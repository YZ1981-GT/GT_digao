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
    </mc:Choice>
  </mc:AlternateContent>
  <bookViews>
    <workbookView xWindow="0" yWindow="0" windowWidth="23040" windowHeight="9144" tabRatio="868"/>
  </bookViews>
  <sheets>
    <sheet name="底稿目录" sheetId="1" r:id="rId1"/>
    <sheet name="营业成本实质性程序表F5A" sheetId="52" r:id="rId2"/>
    <sheet name="营业务成本审定表F5-1" sheetId="49" r:id="rId3"/>
    <sheet name="主营业务成本月度明细表F5-2" sheetId="46" r:id="rId4"/>
    <sheet name="其他业务成本明细表F5-3" sheetId="53" r:id="rId5"/>
    <sheet name="调整分录汇总F5-4" sheetId="51" r:id="rId6"/>
    <sheet name="与上年度比较分析表F5-5" sheetId="38" r:id="rId7"/>
    <sheet name="销售数量与结转成本数量核对明细表F5-6" sheetId="45" r:id="rId8"/>
    <sheet name="成本倒轧表F5-7" sheetId="40" r:id="rId9"/>
    <sheet name="重大调整核查表F5-8" sheetId="41" r:id="rId10"/>
    <sheet name="GT_Custom" sheetId="30" state="hidden" r:id="rId11"/>
  </sheets>
  <externalReferences>
    <externalReference r:id="rId12"/>
  </externalReferences>
  <definedNames>
    <definedName name="_xlnm._FilterDatabase" localSheetId="1">营业成本实质性程序表F5A!$A$15:$I$28</definedName>
    <definedName name="AS2DocOpenMode">"AS2DocumentEdit"</definedName>
    <definedName name="a暗暗">[1]企业表一!$F$20</definedName>
    <definedName name="ffd">[1]企业表一!$E$20</definedName>
    <definedName name="_xlnm.Print_Area" localSheetId="8">'成本倒轧表F5-7'!$A$1:$H$36</definedName>
    <definedName name="_xlnm.Print_Area" localSheetId="5">'调整分录汇总F5-4'!$A$1:$J$20</definedName>
    <definedName name="_xlnm.Print_Area" localSheetId="4">'其他业务成本明细表F5-3'!$A$1:$N$31</definedName>
    <definedName name="_xlnm.Print_Area" localSheetId="7">'销售数量与结转成本数量核对明细表F5-6'!$A$1:$N$54</definedName>
    <definedName name="_xlnm.Print_Area" localSheetId="1">营业成本实质性程序表F5A!$A$1:$I$28</definedName>
    <definedName name="_xlnm.Print_Area" localSheetId="2">'营业务成本审定表F5-1'!$A$1:$J$37</definedName>
    <definedName name="_xlnm.Print_Area" localSheetId="6">'与上年度比较分析表F5-5'!$A$1:$O$24</definedName>
    <definedName name="_xlnm.Print_Area" localSheetId="9">'重大调整核查表F5-8'!$A$1:$H$35</definedName>
    <definedName name="_xlnm.Print_Area" localSheetId="3">'主营业务成本月度明细表F5-2'!$A$1:$X$30</definedName>
    <definedName name="_xlnm.Print_Titles" localSheetId="1">营业成本实质性程序表F5A!$15:$15</definedName>
  </definedNames>
  <calcPr calcId="162913"/>
</workbook>
</file>

<file path=xl/calcChain.xml><?xml version="1.0" encoding="utf-8"?>
<calcChain xmlns="http://schemas.openxmlformats.org/spreadsheetml/2006/main">
  <c r="I3" i="52" l="1"/>
  <c r="J4" i="53" l="1"/>
  <c r="J3" i="53"/>
  <c r="E4" i="53"/>
  <c r="E3" i="53"/>
  <c r="A4" i="53"/>
  <c r="A3" i="53"/>
  <c r="E4" i="52"/>
  <c r="E3" i="52"/>
  <c r="C4" i="52"/>
  <c r="C3" i="52"/>
  <c r="A4" i="52"/>
  <c r="A3" i="52"/>
  <c r="H3" i="41"/>
  <c r="H3" i="40"/>
  <c r="N3" i="45"/>
  <c r="O3" i="38"/>
  <c r="J3" i="51"/>
  <c r="N3" i="53"/>
  <c r="X3" i="46"/>
  <c r="J3" i="49"/>
  <c r="E16" i="40"/>
  <c r="E21" i="40" s="1"/>
  <c r="E24" i="40" s="1"/>
  <c r="B11" i="45"/>
  <c r="D11" i="38"/>
  <c r="J12" i="53"/>
  <c r="J13" i="53"/>
  <c r="J14" i="53"/>
  <c r="J15" i="53"/>
  <c r="J16" i="53"/>
  <c r="J17" i="53"/>
  <c r="J18" i="53"/>
  <c r="K18" i="53" s="1"/>
  <c r="J19" i="53"/>
  <c r="J20" i="53"/>
  <c r="J21" i="53"/>
  <c r="J11" i="53"/>
  <c r="E11" i="53"/>
  <c r="I22" i="53"/>
  <c r="H22" i="53"/>
  <c r="G22" i="53"/>
  <c r="D22" i="53"/>
  <c r="C22" i="53"/>
  <c r="B22" i="53"/>
  <c r="E21" i="53"/>
  <c r="F21" i="53" s="1"/>
  <c r="E20" i="53"/>
  <c r="F20" i="53" s="1"/>
  <c r="E19" i="53"/>
  <c r="F19" i="53" s="1"/>
  <c r="E18" i="53"/>
  <c r="F18" i="53" s="1"/>
  <c r="E17" i="53"/>
  <c r="F17" i="53" s="1"/>
  <c r="E16" i="53"/>
  <c r="F16" i="53" s="1"/>
  <c r="E15" i="53"/>
  <c r="F15" i="53" s="1"/>
  <c r="K14" i="53"/>
  <c r="E14" i="53"/>
  <c r="F14" i="53" s="1"/>
  <c r="E13" i="53"/>
  <c r="F13" i="53" s="1"/>
  <c r="E12" i="53"/>
  <c r="F12" i="53" s="1"/>
  <c r="D17" i="38"/>
  <c r="K12" i="38"/>
  <c r="L12" i="38"/>
  <c r="M12" i="38"/>
  <c r="K13" i="38"/>
  <c r="L13" i="38"/>
  <c r="M13" i="38"/>
  <c r="K14" i="38"/>
  <c r="L14" i="38"/>
  <c r="M14" i="38"/>
  <c r="K15" i="38"/>
  <c r="L15" i="38"/>
  <c r="M15" i="38"/>
  <c r="K16" i="38"/>
  <c r="L16" i="38"/>
  <c r="M16" i="38"/>
  <c r="I11" i="38"/>
  <c r="L11" i="38" s="1"/>
  <c r="I12" i="38"/>
  <c r="J12" i="38"/>
  <c r="I13" i="38"/>
  <c r="J13" i="38"/>
  <c r="I14" i="38"/>
  <c r="J14" i="38"/>
  <c r="I15" i="38"/>
  <c r="J15" i="38"/>
  <c r="I16" i="38"/>
  <c r="J16" i="38"/>
  <c r="H12" i="38"/>
  <c r="H13" i="38"/>
  <c r="H14" i="38"/>
  <c r="H15" i="38"/>
  <c r="H16" i="38"/>
  <c r="H11" i="38"/>
  <c r="K11" i="38" s="1"/>
  <c r="E25" i="49"/>
  <c r="C26" i="49"/>
  <c r="D26" i="49"/>
  <c r="F26" i="49"/>
  <c r="G26" i="49"/>
  <c r="H26" i="49"/>
  <c r="B26" i="49"/>
  <c r="E20" i="49"/>
  <c r="L12" i="53" l="1"/>
  <c r="E22" i="53"/>
  <c r="F22" i="53" s="1"/>
  <c r="M12" i="53"/>
  <c r="L16" i="53"/>
  <c r="M16" i="53" s="1"/>
  <c r="L20" i="53"/>
  <c r="M20" i="53" s="1"/>
  <c r="M15" i="53"/>
  <c r="J22" i="53"/>
  <c r="K11" i="53" s="1"/>
  <c r="L14" i="53"/>
  <c r="M14" i="53" s="1"/>
  <c r="L18" i="53"/>
  <c r="M18" i="53" s="1"/>
  <c r="K13" i="53"/>
  <c r="K17" i="53"/>
  <c r="K21" i="53"/>
  <c r="L19" i="53"/>
  <c r="M19" i="53" s="1"/>
  <c r="L13" i="53"/>
  <c r="M13" i="53" s="1"/>
  <c r="L17" i="53"/>
  <c r="M17" i="53" s="1"/>
  <c r="L21" i="53"/>
  <c r="M21" i="53" s="1"/>
  <c r="L11" i="53"/>
  <c r="L15" i="53"/>
  <c r="K12" i="53"/>
  <c r="K16" i="53"/>
  <c r="K20" i="53"/>
  <c r="K15" i="53"/>
  <c r="K19" i="53"/>
  <c r="F11" i="53" l="1"/>
  <c r="K22" i="53"/>
  <c r="L22" i="53"/>
  <c r="M22" i="53" s="1"/>
  <c r="M11" i="53"/>
  <c r="S23" i="46" l="1"/>
  <c r="T23" i="46"/>
  <c r="R23" i="46"/>
  <c r="U23" i="46" s="1"/>
  <c r="H3" i="46" l="1"/>
  <c r="A3" i="46"/>
  <c r="E4" i="41" l="1"/>
  <c r="C4" i="41"/>
  <c r="E4" i="40"/>
  <c r="C4" i="40"/>
  <c r="J4" i="45"/>
  <c r="F4" i="45"/>
  <c r="I4" i="38"/>
  <c r="E4" i="38"/>
  <c r="R4" i="46"/>
  <c r="R3" i="46"/>
  <c r="A4" i="46"/>
  <c r="H4" i="46"/>
  <c r="G4" i="49"/>
  <c r="D4" i="49"/>
  <c r="G4" i="51" l="1"/>
  <c r="G3" i="51"/>
  <c r="D4" i="51"/>
  <c r="D3" i="51"/>
  <c r="A4" i="51"/>
  <c r="A3" i="51"/>
  <c r="D8" i="49" l="1"/>
  <c r="D9" i="49"/>
  <c r="D10" i="49"/>
  <c r="D11" i="49"/>
  <c r="D12" i="49"/>
  <c r="D13" i="49"/>
  <c r="D14" i="49"/>
  <c r="D15" i="49"/>
  <c r="D16" i="49"/>
  <c r="D17" i="49"/>
  <c r="H8" i="49"/>
  <c r="H9" i="49"/>
  <c r="H10" i="49"/>
  <c r="H11" i="49"/>
  <c r="H12" i="49"/>
  <c r="H13" i="49"/>
  <c r="H14" i="49"/>
  <c r="H15" i="49"/>
  <c r="H16" i="49"/>
  <c r="H17" i="49"/>
  <c r="D18" i="49" l="1"/>
  <c r="D27" i="49" s="1"/>
  <c r="H18" i="49"/>
  <c r="H27" i="49" s="1"/>
  <c r="D12" i="38"/>
  <c r="D4" i="1" l="1"/>
  <c r="D5" i="1" s="1"/>
  <c r="D6" i="1" s="1"/>
  <c r="D7" i="1" s="1"/>
  <c r="D8" i="1" s="1"/>
  <c r="D9" i="1" s="1"/>
  <c r="D10" i="1" s="1"/>
  <c r="D11" i="1" s="1"/>
  <c r="G11" i="38" l="1"/>
  <c r="G17" i="38" l="1"/>
  <c r="J17" i="38" s="1"/>
  <c r="M17" i="38" s="1"/>
  <c r="J11" i="38"/>
  <c r="M11" i="38" s="1"/>
  <c r="I25" i="49"/>
  <c r="I24" i="49"/>
  <c r="I23" i="49"/>
  <c r="I22" i="49"/>
  <c r="G17" i="49"/>
  <c r="F17" i="49"/>
  <c r="I17" i="49" s="1"/>
  <c r="C17" i="49"/>
  <c r="A17" i="49"/>
  <c r="G16" i="49"/>
  <c r="F16" i="49"/>
  <c r="I16" i="49" s="1"/>
  <c r="C16" i="49"/>
  <c r="A16" i="49"/>
  <c r="G15" i="49"/>
  <c r="F15" i="49"/>
  <c r="I15" i="49" s="1"/>
  <c r="C15" i="49"/>
  <c r="A15" i="49"/>
  <c r="G14" i="49"/>
  <c r="F14" i="49"/>
  <c r="I14" i="49" s="1"/>
  <c r="C14" i="49"/>
  <c r="A14" i="49"/>
  <c r="G13" i="49"/>
  <c r="F13" i="49"/>
  <c r="I13" i="49" s="1"/>
  <c r="C13" i="49"/>
  <c r="A13" i="49"/>
  <c r="G12" i="49"/>
  <c r="F12" i="49"/>
  <c r="I12" i="49" s="1"/>
  <c r="C12" i="49"/>
  <c r="A12" i="49"/>
  <c r="G11" i="49"/>
  <c r="F11" i="49"/>
  <c r="I11" i="49" s="1"/>
  <c r="C11" i="49"/>
  <c r="A11" i="49"/>
  <c r="G10" i="49"/>
  <c r="F10" i="49"/>
  <c r="I10" i="49" s="1"/>
  <c r="C10" i="49"/>
  <c r="A10" i="49"/>
  <c r="G9" i="49"/>
  <c r="F9" i="49"/>
  <c r="I9" i="49" s="1"/>
  <c r="C9" i="49"/>
  <c r="A9" i="49"/>
  <c r="G8" i="49"/>
  <c r="F8" i="49"/>
  <c r="C8" i="49"/>
  <c r="A8" i="49"/>
  <c r="A4" i="49"/>
  <c r="G3" i="49"/>
  <c r="D3" i="49"/>
  <c r="A3" i="49"/>
  <c r="P23" i="46"/>
  <c r="O23" i="46"/>
  <c r="M23" i="46"/>
  <c r="L23" i="46"/>
  <c r="K23" i="46"/>
  <c r="J23" i="46"/>
  <c r="I23" i="46"/>
  <c r="H23" i="46"/>
  <c r="G23" i="46"/>
  <c r="F23" i="46"/>
  <c r="E23" i="46"/>
  <c r="D23" i="46"/>
  <c r="C23" i="46"/>
  <c r="B23" i="46"/>
  <c r="U22" i="46"/>
  <c r="N22" i="46"/>
  <c r="U21" i="46"/>
  <c r="N21" i="46"/>
  <c r="U20" i="46"/>
  <c r="N20" i="46"/>
  <c r="U19" i="46"/>
  <c r="N19" i="46"/>
  <c r="U18" i="46"/>
  <c r="N18" i="46"/>
  <c r="U17" i="46"/>
  <c r="N17" i="46"/>
  <c r="U16" i="46"/>
  <c r="N16" i="46"/>
  <c r="B13" i="49" s="1"/>
  <c r="U15" i="46"/>
  <c r="N15" i="46"/>
  <c r="U14" i="46"/>
  <c r="N14" i="46"/>
  <c r="U13" i="46"/>
  <c r="N13" i="46"/>
  <c r="U12" i="46"/>
  <c r="N12" i="46"/>
  <c r="B9" i="49" s="1"/>
  <c r="U11" i="46"/>
  <c r="N11" i="46"/>
  <c r="C18" i="49" l="1"/>
  <c r="C27" i="49" s="1"/>
  <c r="E13" i="49"/>
  <c r="E9" i="49"/>
  <c r="I20" i="49"/>
  <c r="I8" i="49"/>
  <c r="L24" i="46"/>
  <c r="M24" i="46"/>
  <c r="I21" i="49"/>
  <c r="Q13" i="46"/>
  <c r="W13" i="46" s="1"/>
  <c r="V13" i="46"/>
  <c r="Q17" i="46"/>
  <c r="W17" i="46" s="1"/>
  <c r="V17" i="46"/>
  <c r="Q21" i="46"/>
  <c r="W21" i="46" s="1"/>
  <c r="V21" i="46"/>
  <c r="B8" i="49"/>
  <c r="V11" i="46"/>
  <c r="Q15" i="46"/>
  <c r="V15" i="46"/>
  <c r="Q19" i="46"/>
  <c r="W19" i="46" s="1"/>
  <c r="V19" i="46"/>
  <c r="Q12" i="46"/>
  <c r="W12" i="46" s="1"/>
  <c r="V12" i="46"/>
  <c r="Q14" i="46"/>
  <c r="W14" i="46" s="1"/>
  <c r="V14" i="46"/>
  <c r="Q16" i="46"/>
  <c r="W16" i="46" s="1"/>
  <c r="V16" i="46"/>
  <c r="B15" i="49"/>
  <c r="E15" i="49" s="1"/>
  <c r="V18" i="46"/>
  <c r="Q20" i="46"/>
  <c r="W20" i="46" s="1"/>
  <c r="V20" i="46"/>
  <c r="Q22" i="46"/>
  <c r="W22" i="46" s="1"/>
  <c r="V22" i="46"/>
  <c r="W15" i="46"/>
  <c r="E21" i="49"/>
  <c r="E22" i="49"/>
  <c r="E23" i="49"/>
  <c r="E24" i="49"/>
  <c r="Q18" i="46"/>
  <c r="W18" i="46" s="1"/>
  <c r="B10" i="49"/>
  <c r="E10" i="49" s="1"/>
  <c r="B14" i="49"/>
  <c r="E14" i="49" s="1"/>
  <c r="B11" i="49"/>
  <c r="E11" i="49" s="1"/>
  <c r="B12" i="49"/>
  <c r="E12" i="49" s="1"/>
  <c r="B16" i="49"/>
  <c r="E16" i="49" s="1"/>
  <c r="B17" i="49"/>
  <c r="E17" i="49" s="1"/>
  <c r="F18" i="49"/>
  <c r="F27" i="49" s="1"/>
  <c r="G18" i="49"/>
  <c r="G27" i="49" s="1"/>
  <c r="N23" i="46"/>
  <c r="Q11" i="46"/>
  <c r="W11" i="46" s="1"/>
  <c r="N24" i="46" l="1"/>
  <c r="Q23" i="46"/>
  <c r="E8" i="49"/>
  <c r="E18" i="49" s="1"/>
  <c r="B18" i="49"/>
  <c r="B27" i="49" s="1"/>
  <c r="I26" i="49"/>
  <c r="E26" i="49"/>
  <c r="E27" i="49" s="1"/>
  <c r="E29" i="49" s="1"/>
  <c r="E24" i="46"/>
  <c r="K24" i="46"/>
  <c r="J24" i="46"/>
  <c r="I24" i="46"/>
  <c r="G24" i="46"/>
  <c r="F24" i="46"/>
  <c r="H24" i="46"/>
  <c r="D24" i="46"/>
  <c r="B24" i="46"/>
  <c r="C24" i="46"/>
  <c r="V23" i="46"/>
  <c r="I18" i="49"/>
  <c r="I27" i="49" l="1"/>
  <c r="I29" i="49" s="1"/>
  <c r="W23" i="46" l="1"/>
  <c r="M46" i="45" l="1"/>
  <c r="L46" i="45"/>
  <c r="K46" i="45"/>
  <c r="J46" i="45"/>
  <c r="I46" i="45"/>
  <c r="H46" i="45"/>
  <c r="G46" i="45"/>
  <c r="F46" i="45"/>
  <c r="E46" i="45"/>
  <c r="D46" i="45"/>
  <c r="C46" i="45"/>
  <c r="B46" i="45"/>
  <c r="M45" i="45"/>
  <c r="L45" i="45"/>
  <c r="K45" i="45"/>
  <c r="J45" i="45"/>
  <c r="I45" i="45"/>
  <c r="H45" i="45"/>
  <c r="G45" i="45"/>
  <c r="F45" i="45"/>
  <c r="E45" i="45"/>
  <c r="D45" i="45"/>
  <c r="C45" i="45"/>
  <c r="B45" i="45"/>
  <c r="M44" i="45"/>
  <c r="L44" i="45"/>
  <c r="K44" i="45"/>
  <c r="J44" i="45"/>
  <c r="I44" i="45"/>
  <c r="H44" i="45"/>
  <c r="G44" i="45"/>
  <c r="F44" i="45"/>
  <c r="E44" i="45"/>
  <c r="D44" i="45"/>
  <c r="C44" i="45"/>
  <c r="B44" i="45"/>
  <c r="M43" i="45"/>
  <c r="L43" i="45"/>
  <c r="K43" i="45"/>
  <c r="J43" i="45"/>
  <c r="I43" i="45"/>
  <c r="H43" i="45"/>
  <c r="G43" i="45"/>
  <c r="F43" i="45"/>
  <c r="E43" i="45"/>
  <c r="D43" i="45"/>
  <c r="C43" i="45"/>
  <c r="B43" i="45"/>
  <c r="M41" i="45"/>
  <c r="L41" i="45"/>
  <c r="K41" i="45"/>
  <c r="J41" i="45"/>
  <c r="I41" i="45"/>
  <c r="H41" i="45"/>
  <c r="G41" i="45"/>
  <c r="F41" i="45"/>
  <c r="E41" i="45"/>
  <c r="D41" i="45"/>
  <c r="C41" i="45"/>
  <c r="B41" i="45"/>
  <c r="M40" i="45"/>
  <c r="L40" i="45"/>
  <c r="K40" i="45"/>
  <c r="J40" i="45"/>
  <c r="I40" i="45"/>
  <c r="H40" i="45"/>
  <c r="G40" i="45"/>
  <c r="F40" i="45"/>
  <c r="E40" i="45"/>
  <c r="D40" i="45"/>
  <c r="C40" i="45"/>
  <c r="B40" i="45"/>
  <c r="M39" i="45"/>
  <c r="L39" i="45"/>
  <c r="K39" i="45"/>
  <c r="J39" i="45"/>
  <c r="I39" i="45"/>
  <c r="H39" i="45"/>
  <c r="G39" i="45"/>
  <c r="F39" i="45"/>
  <c r="E39" i="45"/>
  <c r="D39" i="45"/>
  <c r="C39" i="45"/>
  <c r="B39" i="45"/>
  <c r="M38" i="45"/>
  <c r="L38" i="45"/>
  <c r="K38" i="45"/>
  <c r="J38" i="45"/>
  <c r="I38" i="45"/>
  <c r="H38" i="45"/>
  <c r="G38" i="45"/>
  <c r="F38" i="45"/>
  <c r="E38" i="45"/>
  <c r="D38" i="45"/>
  <c r="C38" i="45"/>
  <c r="B38" i="45"/>
  <c r="N33" i="45"/>
  <c r="N32" i="45"/>
  <c r="N31" i="45"/>
  <c r="N30" i="45"/>
  <c r="M29" i="45"/>
  <c r="L29" i="45"/>
  <c r="K29" i="45"/>
  <c r="J29" i="45"/>
  <c r="I29" i="45"/>
  <c r="H29" i="45"/>
  <c r="G29" i="45"/>
  <c r="F29" i="45"/>
  <c r="E29" i="45"/>
  <c r="D29" i="45"/>
  <c r="C29" i="45"/>
  <c r="B29" i="45"/>
  <c r="N28" i="45"/>
  <c r="N27" i="45"/>
  <c r="N26" i="45"/>
  <c r="N25" i="45"/>
  <c r="M24" i="45"/>
  <c r="M34" i="45" s="1"/>
  <c r="L24" i="45"/>
  <c r="L34" i="45" s="1"/>
  <c r="K24" i="45"/>
  <c r="K34" i="45" s="1"/>
  <c r="J24" i="45"/>
  <c r="I24" i="45"/>
  <c r="I34" i="45" s="1"/>
  <c r="H24" i="45"/>
  <c r="H34" i="45" s="1"/>
  <c r="G24" i="45"/>
  <c r="G34" i="45" s="1"/>
  <c r="F24" i="45"/>
  <c r="F34" i="45" s="1"/>
  <c r="E24" i="45"/>
  <c r="E34" i="45" s="1"/>
  <c r="D24" i="45"/>
  <c r="D34" i="45" s="1"/>
  <c r="C24" i="45"/>
  <c r="C34" i="45" s="1"/>
  <c r="B24" i="45"/>
  <c r="B34" i="45" s="1"/>
  <c r="N20" i="45"/>
  <c r="N19" i="45"/>
  <c r="N18" i="45"/>
  <c r="N17" i="45"/>
  <c r="M16" i="45"/>
  <c r="M42" i="45" s="1"/>
  <c r="L16" i="45"/>
  <c r="L42" i="45" s="1"/>
  <c r="K16" i="45"/>
  <c r="K42" i="45" s="1"/>
  <c r="J16" i="45"/>
  <c r="I16" i="45"/>
  <c r="I42" i="45" s="1"/>
  <c r="H16" i="45"/>
  <c r="H42" i="45" s="1"/>
  <c r="G16" i="45"/>
  <c r="G42" i="45" s="1"/>
  <c r="F16" i="45"/>
  <c r="E16" i="45"/>
  <c r="E42" i="45" s="1"/>
  <c r="D16" i="45"/>
  <c r="D42" i="45" s="1"/>
  <c r="C16" i="45"/>
  <c r="C42" i="45" s="1"/>
  <c r="B16" i="45"/>
  <c r="N15" i="45"/>
  <c r="N14" i="45"/>
  <c r="N40" i="45" s="1"/>
  <c r="N13" i="45"/>
  <c r="N39" i="45" s="1"/>
  <c r="N12" i="45"/>
  <c r="M11" i="45"/>
  <c r="M37" i="45" s="1"/>
  <c r="L11" i="45"/>
  <c r="L21" i="45" s="1"/>
  <c r="L47" i="45" s="1"/>
  <c r="K11" i="45"/>
  <c r="K21" i="45" s="1"/>
  <c r="K47" i="45" s="1"/>
  <c r="J11" i="45"/>
  <c r="I11" i="45"/>
  <c r="H11" i="45"/>
  <c r="H21" i="45" s="1"/>
  <c r="H47" i="45" s="1"/>
  <c r="G11" i="45"/>
  <c r="G21" i="45" s="1"/>
  <c r="F11" i="45"/>
  <c r="E11" i="45"/>
  <c r="E37" i="45" s="1"/>
  <c r="D11" i="45"/>
  <c r="D37" i="45" s="1"/>
  <c r="C11" i="45"/>
  <c r="C21" i="45" s="1"/>
  <c r="J3" i="45"/>
  <c r="F3" i="45"/>
  <c r="A4" i="45"/>
  <c r="A3" i="45"/>
  <c r="J34" i="45" l="1"/>
  <c r="I37" i="45"/>
  <c r="C47" i="45"/>
  <c r="N29" i="45"/>
  <c r="N11" i="45"/>
  <c r="N16" i="45"/>
  <c r="N43" i="45"/>
  <c r="L37" i="45"/>
  <c r="H37" i="45"/>
  <c r="N44" i="45"/>
  <c r="D21" i="45"/>
  <c r="D47" i="45" s="1"/>
  <c r="G47" i="45"/>
  <c r="N24" i="45"/>
  <c r="C37" i="45"/>
  <c r="G37" i="45"/>
  <c r="K37" i="45"/>
  <c r="N38" i="45"/>
  <c r="B42" i="45"/>
  <c r="F42" i="45"/>
  <c r="J42" i="45"/>
  <c r="N46" i="45"/>
  <c r="B21" i="45"/>
  <c r="F21" i="45"/>
  <c r="J21" i="45"/>
  <c r="B37" i="45"/>
  <c r="F37" i="45"/>
  <c r="J37" i="45"/>
  <c r="N41" i="45"/>
  <c r="N45" i="45"/>
  <c r="E21" i="45"/>
  <c r="I21" i="45"/>
  <c r="M21" i="45"/>
  <c r="N37" i="45" l="1"/>
  <c r="N42" i="45"/>
  <c r="N21" i="45"/>
  <c r="B47" i="45"/>
  <c r="F47" i="45"/>
  <c r="N34" i="45"/>
  <c r="I47" i="45"/>
  <c r="M47" i="45"/>
  <c r="E47" i="45"/>
  <c r="J47" i="45"/>
  <c r="N47" i="45" l="1"/>
  <c r="A4" i="41"/>
  <c r="E3" i="41"/>
  <c r="C3" i="41"/>
  <c r="A3" i="41"/>
  <c r="A4" i="40"/>
  <c r="E3" i="40"/>
  <c r="C3" i="40"/>
  <c r="A3" i="40"/>
  <c r="A4" i="38"/>
  <c r="I3" i="38"/>
  <c r="E3" i="38"/>
  <c r="A3" i="38"/>
  <c r="G30" i="40"/>
  <c r="G29" i="40"/>
  <c r="G28" i="40"/>
  <c r="G27" i="40"/>
  <c r="G26" i="40"/>
  <c r="G25" i="40"/>
  <c r="G23" i="40"/>
  <c r="G22" i="40"/>
  <c r="G20" i="40"/>
  <c r="G19" i="40"/>
  <c r="G18" i="40"/>
  <c r="G17" i="40"/>
  <c r="H16" i="40"/>
  <c r="H21" i="40" s="1"/>
  <c r="H24" i="40" s="1"/>
  <c r="H31" i="40" s="1"/>
  <c r="F16" i="40"/>
  <c r="E31" i="40"/>
  <c r="G15" i="40"/>
  <c r="G14" i="40"/>
  <c r="G13" i="40"/>
  <c r="G12" i="40"/>
  <c r="G11" i="40"/>
  <c r="F21" i="40" l="1"/>
  <c r="F24" i="40" s="1"/>
  <c r="F31" i="40" s="1"/>
  <c r="G16" i="40"/>
  <c r="G16" i="38"/>
  <c r="D16" i="38"/>
  <c r="G15" i="38"/>
  <c r="D15" i="38"/>
  <c r="G14" i="38"/>
  <c r="D14" i="38"/>
  <c r="G13" i="38"/>
  <c r="D13" i="38"/>
  <c r="G12" i="38"/>
  <c r="G21" i="40" l="1"/>
  <c r="G24" i="40" s="1"/>
  <c r="G31" i="40" s="1"/>
</calcChain>
</file>

<file path=xl/comments1.xml><?xml version="1.0" encoding="utf-8"?>
<comments xmlns="http://schemas.openxmlformats.org/spreadsheetml/2006/main">
  <authors>
    <author>Liufs</author>
  </authors>
  <commentList>
    <comment ref="A3" authorId="0" shapeId="0">
      <text>
        <r>
          <rPr>
            <b/>
            <sz val="9"/>
            <color indexed="81"/>
            <rFont val="宋体"/>
            <family val="3"/>
            <charset val="134"/>
          </rPr>
          <t>Liufs:</t>
        </r>
        <r>
          <rPr>
            <sz val="9"/>
            <color indexed="81"/>
            <rFont val="宋体"/>
            <family val="3"/>
            <charset val="134"/>
          </rPr>
          <t xml:space="preserve">
或，2009年1-9月 等</t>
        </r>
      </text>
    </comment>
  </commentList>
</comments>
</file>

<file path=xl/comments2.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3.xml><?xml version="1.0" encoding="utf-8"?>
<comments xmlns="http://schemas.openxmlformats.org/spreadsheetml/2006/main">
  <authors>
    <author>1</author>
  </authors>
  <commentList>
    <comment ref="E2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2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4.xml><?xml version="1.0" encoding="utf-8"?>
<comments xmlns="http://schemas.openxmlformats.org/spreadsheetml/2006/main">
  <authors>
    <author>Liufs</author>
  </authors>
  <commentList>
    <comment ref="C29" authorId="0" shapeId="0">
      <text>
        <r>
          <rPr>
            <b/>
            <sz val="9"/>
            <color indexed="81"/>
            <rFont val="宋体"/>
            <family val="3"/>
            <charset val="134"/>
          </rPr>
          <t>Liufs:</t>
        </r>
        <r>
          <rPr>
            <sz val="9"/>
            <color indexed="81"/>
            <rFont val="宋体"/>
            <family val="3"/>
            <charset val="134"/>
          </rPr>
          <t xml:space="preserve">
从“在建工程”、“应付职工薪酬”、“销售费用”、“管理费用”、“营业外支出”等科目借方分析</t>
        </r>
      </text>
    </comment>
  </commentList>
</comments>
</file>

<file path=xl/sharedStrings.xml><?xml version="1.0" encoding="utf-8"?>
<sst xmlns="http://schemas.openxmlformats.org/spreadsheetml/2006/main" count="515" uniqueCount="401">
  <si>
    <t>索引号：</t>
  </si>
  <si>
    <t>平均单位成本</t>
  </si>
  <si>
    <t>理由是否充分</t>
  </si>
  <si>
    <t>重大调整事项内容</t>
    <phoneticPr fontId="18" type="noConversion"/>
  </si>
  <si>
    <t>借方</t>
    <phoneticPr fontId="18" type="noConversion"/>
  </si>
  <si>
    <t>底稿开列时，可先在以下单元格填写有关内容，以便其他底稿引用有关数据：</t>
    <phoneticPr fontId="18" type="noConversion"/>
  </si>
  <si>
    <t>序号</t>
    <phoneticPr fontId="18" type="noConversion"/>
  </si>
  <si>
    <t>⑴</t>
  </si>
  <si>
    <t>四、审计结论：</t>
    <phoneticPr fontId="18" type="noConversion"/>
  </si>
  <si>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</si>
  <si>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</si>
  <si>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</si>
  <si>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</si>
  <si>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</si>
  <si>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</si>
  <si>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</si>
  <si>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</si>
  <si>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</si>
  <si>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</si>
  <si>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</si>
  <si>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</si>
  <si>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</si>
  <si>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</si>
  <si>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</si>
  <si>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</si>
  <si>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</si>
  <si>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</si>
  <si>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</si>
  <si>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数量</t>
  </si>
  <si>
    <r>
      <rPr>
        <b/>
        <sz val="10"/>
        <rFont val="宋体"/>
        <family val="3"/>
        <charset val="134"/>
      </rPr>
      <t>致同会计师事务所</t>
    </r>
  </si>
  <si>
    <t>页  次：</t>
    <phoneticPr fontId="18" type="noConversion"/>
  </si>
  <si>
    <t>二、审计过程：</t>
    <phoneticPr fontId="18" type="noConversion"/>
  </si>
  <si>
    <t>主营业务成本与上年度比较分析表</t>
    <phoneticPr fontId="18" type="noConversion"/>
  </si>
  <si>
    <t>上期数</t>
    <phoneticPr fontId="49" type="noConversion"/>
  </si>
  <si>
    <t>本期数</t>
    <phoneticPr fontId="49" type="noConversion"/>
  </si>
  <si>
    <t>差异原因分析</t>
    <phoneticPr fontId="18" type="noConversion"/>
  </si>
  <si>
    <t>总成本</t>
    <phoneticPr fontId="18" type="noConversion"/>
  </si>
  <si>
    <t>索引号</t>
    <phoneticPr fontId="18" type="noConversion"/>
  </si>
  <si>
    <t>三、审计说明：</t>
    <phoneticPr fontId="18" type="noConversion"/>
  </si>
  <si>
    <t>四、审计结论：</t>
    <phoneticPr fontId="18" type="noConversion"/>
  </si>
  <si>
    <t>⑾</t>
    <phoneticPr fontId="27" type="noConversion"/>
  </si>
  <si>
    <t>⒁</t>
    <phoneticPr fontId="27" type="noConversion"/>
  </si>
  <si>
    <t>主营业务成本账户中重大调整事项核查表</t>
    <phoneticPr fontId="18" type="noConversion"/>
  </si>
  <si>
    <t>索引号：</t>
    <phoneticPr fontId="18" type="noConversion"/>
  </si>
  <si>
    <t>一、审计目标：</t>
    <phoneticPr fontId="18" type="noConversion"/>
  </si>
  <si>
    <t>二、审计过程：</t>
    <phoneticPr fontId="18" type="noConversion"/>
  </si>
  <si>
    <t>凭证号</t>
    <phoneticPr fontId="18" type="noConversion"/>
  </si>
  <si>
    <t>调整金额</t>
    <phoneticPr fontId="18" type="noConversion"/>
  </si>
  <si>
    <t>调整理由</t>
    <phoneticPr fontId="18" type="noConversion"/>
  </si>
  <si>
    <t>贷方</t>
    <phoneticPr fontId="18" type="noConversion"/>
  </si>
  <si>
    <t>三、审计说明：</t>
    <phoneticPr fontId="18" type="noConversion"/>
  </si>
  <si>
    <t>项目</t>
    <phoneticPr fontId="18" type="noConversion"/>
  </si>
  <si>
    <r>
      <rPr>
        <sz val="10"/>
        <rFont val="宋体"/>
        <family val="3"/>
        <charset val="134"/>
      </rPr>
      <t>索引号：</t>
    </r>
  </si>
  <si>
    <t>1月</t>
  </si>
  <si>
    <t>2月</t>
  </si>
  <si>
    <t>3月</t>
  </si>
  <si>
    <t>4月</t>
  </si>
  <si>
    <t>5月</t>
  </si>
  <si>
    <t>6月</t>
  </si>
  <si>
    <t>7月</t>
  </si>
  <si>
    <t>8月</t>
  </si>
  <si>
    <t>9月</t>
  </si>
  <si>
    <t>10月</t>
  </si>
  <si>
    <t>11月</t>
  </si>
  <si>
    <t>12月</t>
  </si>
  <si>
    <t>总计</t>
  </si>
  <si>
    <r>
      <t>3</t>
    </r>
    <r>
      <rPr>
        <b/>
        <sz val="10"/>
        <rFont val="宋体"/>
        <family val="3"/>
        <charset val="134"/>
      </rPr>
      <t>、差异</t>
    </r>
    <phoneticPr fontId="18" type="noConversion"/>
  </si>
  <si>
    <t>项目</t>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</si>
  <si>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</si>
  <si>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</si>
  <si>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r>
      <t>页</t>
    </r>
    <r>
      <rPr>
        <sz val="10"/>
        <rFont val="Arial Narrow"/>
        <family val="2"/>
      </rPr>
      <t xml:space="preserve">    </t>
    </r>
    <r>
      <rPr>
        <sz val="10"/>
        <rFont val="宋体"/>
        <family val="3"/>
        <charset val="134"/>
      </rPr>
      <t>次：</t>
    </r>
    <phoneticPr fontId="18" type="noConversion"/>
  </si>
  <si>
    <t>二、审计过程：</t>
    <phoneticPr fontId="18" type="noConversion"/>
  </si>
  <si>
    <r>
      <t>1</t>
    </r>
    <r>
      <rPr>
        <sz val="10"/>
        <color indexed="12"/>
        <rFont val="宋体"/>
        <family val="3"/>
        <charset val="134"/>
      </rPr>
      <t>、本表验算主营业务收入确认数量和成本结转数量是否匹配。</t>
    </r>
    <phoneticPr fontId="18" type="noConversion"/>
  </si>
  <si>
    <r>
      <t>2</t>
    </r>
    <r>
      <rPr>
        <sz val="10"/>
        <color indexed="12"/>
        <rFont val="宋体"/>
        <family val="3"/>
        <charset val="134"/>
      </rPr>
      <t>、本表适用制造业中的产品销售，如果项目属于其他行业，请相应修改参考格式。</t>
    </r>
    <phoneticPr fontId="18" type="noConversion"/>
  </si>
  <si>
    <r>
      <rPr>
        <sz val="10"/>
        <rFont val="宋体"/>
        <family val="3"/>
        <charset val="134"/>
      </rPr>
      <t>页次：</t>
    </r>
  </si>
  <si>
    <r>
      <rPr>
        <b/>
        <sz val="10"/>
        <color indexed="8"/>
        <rFont val="宋体"/>
        <family val="3"/>
        <charset val="134"/>
      </rPr>
      <t>一、审计目标：</t>
    </r>
    <phoneticPr fontId="18" type="noConversion"/>
  </si>
  <si>
    <r>
      <rPr>
        <b/>
        <sz val="10"/>
        <color indexed="8"/>
        <rFont val="宋体"/>
        <family val="3"/>
        <charset val="134"/>
      </rPr>
      <t>二、审计过程</t>
    </r>
    <phoneticPr fontId="18" type="noConversion"/>
  </si>
  <si>
    <r>
      <rPr>
        <b/>
        <sz val="10"/>
        <rFont val="宋体"/>
        <family val="3"/>
        <charset val="134"/>
      </rPr>
      <t>项目</t>
    </r>
    <r>
      <rPr>
        <b/>
        <sz val="10"/>
        <rFont val="Arial Narrow"/>
        <family val="2"/>
      </rPr>
      <t xml:space="preserve"> </t>
    </r>
    <r>
      <rPr>
        <b/>
        <sz val="10"/>
        <rFont val="宋体"/>
        <family val="3"/>
        <charset val="134"/>
      </rPr>
      <t>月份</t>
    </r>
    <phoneticPr fontId="18" type="noConversion"/>
  </si>
  <si>
    <t>账项调整</t>
  </si>
  <si>
    <t>重分类调整</t>
  </si>
  <si>
    <r>
      <rPr>
        <sz val="10"/>
        <rFont val="宋体"/>
        <family val="3"/>
        <charset val="134"/>
      </rPr>
      <t>品种</t>
    </r>
    <r>
      <rPr>
        <sz val="10"/>
        <rFont val="Arial Narrow"/>
        <family val="2"/>
      </rPr>
      <t>1</t>
    </r>
    <phoneticPr fontId="18" type="noConversion"/>
  </si>
  <si>
    <r>
      <rPr>
        <sz val="10"/>
        <rFont val="宋体"/>
        <family val="3"/>
        <charset val="134"/>
      </rPr>
      <t>品种</t>
    </r>
    <r>
      <rPr>
        <sz val="10"/>
        <rFont val="Arial Narrow"/>
        <family val="2"/>
      </rPr>
      <t>2</t>
    </r>
    <r>
      <rPr>
        <sz val="10"/>
        <color theme="1"/>
        <rFont val="宋体"/>
        <family val="2"/>
        <charset val="134"/>
        <scheme val="minor"/>
      </rPr>
      <t/>
    </r>
  </si>
  <si>
    <r>
      <rPr>
        <sz val="10"/>
        <rFont val="宋体"/>
        <family val="3"/>
        <charset val="134"/>
      </rPr>
      <t>品种</t>
    </r>
    <r>
      <rPr>
        <sz val="10"/>
        <rFont val="Arial Narrow"/>
        <family val="2"/>
      </rPr>
      <t>3</t>
    </r>
    <r>
      <rPr>
        <sz val="10"/>
        <color theme="1"/>
        <rFont val="宋体"/>
        <family val="2"/>
        <charset val="134"/>
        <scheme val="minor"/>
      </rPr>
      <t/>
    </r>
  </si>
  <si>
    <r>
      <rPr>
        <sz val="10"/>
        <rFont val="宋体"/>
        <family val="3"/>
        <charset val="134"/>
      </rPr>
      <t>品种</t>
    </r>
    <r>
      <rPr>
        <sz val="10"/>
        <rFont val="Arial Narrow"/>
        <family val="2"/>
      </rPr>
      <t>4</t>
    </r>
    <r>
      <rPr>
        <sz val="10"/>
        <color theme="1"/>
        <rFont val="宋体"/>
        <family val="2"/>
        <charset val="134"/>
        <scheme val="minor"/>
      </rPr>
      <t/>
    </r>
  </si>
  <si>
    <r>
      <rPr>
        <sz val="10"/>
        <rFont val="宋体"/>
        <family val="3"/>
        <charset val="134"/>
      </rPr>
      <t>品种</t>
    </r>
    <r>
      <rPr>
        <sz val="10"/>
        <rFont val="Arial Narrow"/>
        <family val="2"/>
      </rPr>
      <t>5</t>
    </r>
    <r>
      <rPr>
        <sz val="10"/>
        <color theme="1"/>
        <rFont val="宋体"/>
        <family val="2"/>
        <charset val="134"/>
        <scheme val="minor"/>
      </rPr>
      <t/>
    </r>
  </si>
  <si>
    <r>
      <rPr>
        <sz val="10"/>
        <rFont val="宋体"/>
        <family val="3"/>
        <charset val="134"/>
      </rPr>
      <t>品种</t>
    </r>
    <r>
      <rPr>
        <sz val="10"/>
        <rFont val="Arial Narrow"/>
        <family val="2"/>
      </rPr>
      <t>6</t>
    </r>
    <r>
      <rPr>
        <sz val="10"/>
        <color theme="1"/>
        <rFont val="宋体"/>
        <family val="2"/>
        <charset val="134"/>
        <scheme val="minor"/>
      </rPr>
      <t/>
    </r>
  </si>
  <si>
    <r>
      <rPr>
        <sz val="10"/>
        <rFont val="宋体"/>
        <family val="3"/>
        <charset val="134"/>
      </rPr>
      <t>品种</t>
    </r>
    <r>
      <rPr>
        <sz val="10"/>
        <rFont val="Arial Narrow"/>
        <family val="2"/>
      </rPr>
      <t>7</t>
    </r>
    <r>
      <rPr>
        <sz val="10"/>
        <color theme="1"/>
        <rFont val="宋体"/>
        <family val="2"/>
        <charset val="134"/>
        <scheme val="minor"/>
      </rPr>
      <t/>
    </r>
  </si>
  <si>
    <r>
      <rPr>
        <sz val="10"/>
        <rFont val="宋体"/>
        <family val="3"/>
        <charset val="134"/>
      </rPr>
      <t>品种</t>
    </r>
    <r>
      <rPr>
        <sz val="10"/>
        <rFont val="Arial Narrow"/>
        <family val="2"/>
      </rPr>
      <t>8</t>
    </r>
    <r>
      <rPr>
        <sz val="10"/>
        <color theme="1"/>
        <rFont val="宋体"/>
        <family val="2"/>
        <charset val="134"/>
        <scheme val="minor"/>
      </rPr>
      <t/>
    </r>
  </si>
  <si>
    <r>
      <rPr>
        <b/>
        <sz val="10"/>
        <rFont val="宋体"/>
        <family val="3"/>
        <charset val="134"/>
      </rPr>
      <t>合计</t>
    </r>
  </si>
  <si>
    <r>
      <rPr>
        <b/>
        <sz val="10"/>
        <rFont val="宋体"/>
        <family val="3"/>
        <charset val="134"/>
      </rPr>
      <t>比例</t>
    </r>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</si>
  <si>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</si>
  <si>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</si>
  <si>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t>主营业务成本分月小计</t>
    <phoneticPr fontId="18" type="noConversion"/>
  </si>
  <si>
    <t xml:space="preserve">
</t>
    <phoneticPr fontId="18" type="noConversion"/>
  </si>
  <si>
    <r>
      <t>1</t>
    </r>
    <r>
      <rPr>
        <b/>
        <sz val="10"/>
        <rFont val="宋体"/>
        <family val="3"/>
        <charset val="134"/>
      </rPr>
      <t>、审计说明</t>
    </r>
    <r>
      <rPr>
        <sz val="10"/>
        <color indexed="12"/>
        <rFont val="宋体"/>
        <family val="3"/>
        <charset val="134"/>
      </rPr>
      <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</si>
  <si>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</si>
  <si>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t>2</t>
    </r>
    <r>
      <rPr>
        <b/>
        <sz val="10"/>
        <rFont val="宋体"/>
        <family val="3"/>
        <charset val="134"/>
      </rPr>
      <t>、审计结论</t>
    </r>
    <phoneticPr fontId="18" type="noConversion"/>
  </si>
  <si>
    <r>
      <rPr>
        <sz val="10"/>
        <color rgb="FFFF0000"/>
        <rFont val="宋体"/>
        <family val="3"/>
        <charset val="134"/>
      </rPr>
      <t>产品</t>
    </r>
    <r>
      <rPr>
        <sz val="10"/>
        <color rgb="FFFF0000"/>
        <rFont val="Arial Narrow"/>
        <family val="2"/>
      </rPr>
      <t>3</t>
    </r>
    <r>
      <rPr>
        <sz val="11"/>
        <color theme="1"/>
        <rFont val="宋体"/>
        <family val="2"/>
        <charset val="134"/>
        <scheme val="minor"/>
      </rPr>
      <t/>
    </r>
  </si>
  <si>
    <r>
      <rPr>
        <sz val="10"/>
        <color rgb="FFFF0000"/>
        <rFont val="宋体"/>
        <family val="3"/>
        <charset val="134"/>
      </rPr>
      <t>产品</t>
    </r>
    <r>
      <rPr>
        <sz val="10"/>
        <color rgb="FFFF0000"/>
        <rFont val="Arial Narrow"/>
        <family val="2"/>
      </rPr>
      <t>4</t>
    </r>
    <r>
      <rPr>
        <sz val="11"/>
        <color theme="1"/>
        <rFont val="宋体"/>
        <family val="2"/>
        <charset val="134"/>
        <scheme val="minor"/>
      </rPr>
      <t/>
    </r>
  </si>
  <si>
    <r>
      <rPr>
        <sz val="10"/>
        <color rgb="FFFF0000"/>
        <rFont val="宋体"/>
        <family val="3"/>
        <charset val="134"/>
      </rPr>
      <t>产品</t>
    </r>
    <r>
      <rPr>
        <sz val="10"/>
        <color rgb="FFFF0000"/>
        <rFont val="Arial Narrow"/>
        <family val="2"/>
      </rPr>
      <t>1</t>
    </r>
    <phoneticPr fontId="18" type="noConversion"/>
  </si>
  <si>
    <r>
      <rPr>
        <sz val="10"/>
        <color rgb="FFFF0000"/>
        <rFont val="宋体"/>
        <family val="3"/>
        <charset val="134"/>
      </rPr>
      <t>产品</t>
    </r>
    <r>
      <rPr>
        <sz val="10"/>
        <color rgb="FFFF0000"/>
        <rFont val="Arial Narrow"/>
        <family val="2"/>
      </rPr>
      <t>2</t>
    </r>
    <phoneticPr fontId="18" type="noConversion"/>
  </si>
  <si>
    <r>
      <rPr>
        <b/>
        <sz val="10"/>
        <color rgb="FFFF0000"/>
        <rFont val="宋体"/>
        <family val="3"/>
        <charset val="134"/>
      </rPr>
      <t>分厂</t>
    </r>
    <r>
      <rPr>
        <b/>
        <sz val="10"/>
        <color rgb="FFFF0000"/>
        <rFont val="Arial Narrow"/>
        <family val="2"/>
      </rPr>
      <t>1</t>
    </r>
    <phoneticPr fontId="18" type="noConversion"/>
  </si>
  <si>
    <r>
      <rPr>
        <b/>
        <sz val="10"/>
        <color rgb="FFFF0000"/>
        <rFont val="宋体"/>
        <family val="3"/>
        <charset val="134"/>
      </rPr>
      <t>分厂</t>
    </r>
    <r>
      <rPr>
        <b/>
        <sz val="10"/>
        <color rgb="FFFF0000"/>
        <rFont val="Arial Narrow"/>
        <family val="2"/>
      </rPr>
      <t>2</t>
    </r>
    <phoneticPr fontId="18" type="noConversion"/>
  </si>
  <si>
    <r>
      <rPr>
        <b/>
        <sz val="10"/>
        <color rgb="FFFF0000"/>
        <rFont val="宋体"/>
        <family val="3"/>
        <charset val="134"/>
      </rPr>
      <t>分厂</t>
    </r>
    <r>
      <rPr>
        <b/>
        <sz val="10"/>
        <color rgb="FFFF0000"/>
        <rFont val="Arial Narrow"/>
        <family val="2"/>
      </rPr>
      <t>1</t>
    </r>
    <phoneticPr fontId="18" type="noConversion"/>
  </si>
  <si>
    <r>
      <rPr>
        <sz val="10"/>
        <color rgb="FFFF0000"/>
        <rFont val="宋体"/>
        <family val="3"/>
        <charset val="134"/>
      </rPr>
      <t>产品</t>
    </r>
    <r>
      <rPr>
        <sz val="10"/>
        <color rgb="FFFF0000"/>
        <rFont val="Arial Narrow"/>
        <family val="2"/>
      </rPr>
      <t>1</t>
    </r>
    <phoneticPr fontId="18" type="noConversion"/>
  </si>
  <si>
    <r>
      <rPr>
        <sz val="10"/>
        <color rgb="FFFF0000"/>
        <rFont val="宋体"/>
        <family val="3"/>
        <charset val="134"/>
      </rPr>
      <t>产品</t>
    </r>
    <r>
      <rPr>
        <sz val="10"/>
        <color rgb="FFFF0000"/>
        <rFont val="Arial Narrow"/>
        <family val="2"/>
      </rPr>
      <t>2</t>
    </r>
    <phoneticPr fontId="18" type="noConversion"/>
  </si>
  <si>
    <r>
      <rPr>
        <b/>
        <sz val="10"/>
        <color rgb="FFFF0000"/>
        <rFont val="宋体"/>
        <family val="3"/>
        <charset val="134"/>
      </rPr>
      <t>分厂</t>
    </r>
    <r>
      <rPr>
        <b/>
        <sz val="10"/>
        <color rgb="FFFF0000"/>
        <rFont val="Arial Narrow"/>
        <family val="2"/>
      </rPr>
      <t>2</t>
    </r>
    <phoneticPr fontId="18" type="noConversion"/>
  </si>
  <si>
    <r>
      <rPr>
        <b/>
        <sz val="10"/>
        <color indexed="8"/>
        <rFont val="宋体"/>
        <family val="3"/>
        <charset val="134"/>
      </rPr>
      <t>一、审计目标</t>
    </r>
    <phoneticPr fontId="27" type="noConversion"/>
  </si>
  <si>
    <r>
      <rPr>
        <b/>
        <sz val="10"/>
        <rFont val="宋体"/>
        <family val="3"/>
        <charset val="134"/>
      </rPr>
      <t>二、审计过程</t>
    </r>
    <phoneticPr fontId="27" type="noConversion"/>
  </si>
  <si>
    <r>
      <rPr>
        <b/>
        <sz val="10"/>
        <color indexed="8"/>
        <rFont val="宋体"/>
        <family val="3"/>
        <charset val="134"/>
      </rPr>
      <t>项目内容</t>
    </r>
    <phoneticPr fontId="27" type="noConversion"/>
  </si>
  <si>
    <r>
      <rPr>
        <b/>
        <sz val="10"/>
        <color indexed="8"/>
        <rFont val="宋体"/>
        <family val="3"/>
        <charset val="134"/>
      </rPr>
      <t>数据来源</t>
    </r>
    <phoneticPr fontId="27" type="noConversion"/>
  </si>
  <si>
    <r>
      <rPr>
        <b/>
        <sz val="10"/>
        <color indexed="8"/>
        <rFont val="宋体"/>
        <family val="3"/>
        <charset val="134"/>
      </rPr>
      <t>索引号</t>
    </r>
    <phoneticPr fontId="27" type="noConversion"/>
  </si>
  <si>
    <r>
      <rPr>
        <b/>
        <sz val="10"/>
        <color indexed="8"/>
        <rFont val="宋体"/>
        <family val="3"/>
        <charset val="134"/>
      </rPr>
      <t>未审数</t>
    </r>
    <phoneticPr fontId="27" type="noConversion"/>
  </si>
  <si>
    <r>
      <rPr>
        <b/>
        <sz val="10"/>
        <color indexed="8"/>
        <rFont val="宋体"/>
        <family val="3"/>
        <charset val="134"/>
      </rPr>
      <t>审计调整</t>
    </r>
    <phoneticPr fontId="27" type="noConversion"/>
  </si>
  <si>
    <r>
      <rPr>
        <b/>
        <sz val="10"/>
        <color indexed="8"/>
        <rFont val="宋体"/>
        <family val="3"/>
        <charset val="134"/>
      </rPr>
      <t>审定数</t>
    </r>
    <phoneticPr fontId="27" type="noConversion"/>
  </si>
  <si>
    <r>
      <rPr>
        <b/>
        <sz val="10"/>
        <color indexed="8"/>
        <rFont val="宋体"/>
        <family val="3"/>
        <charset val="134"/>
      </rPr>
      <t>上期数</t>
    </r>
    <phoneticPr fontId="27" type="noConversion"/>
  </si>
  <si>
    <r>
      <rPr>
        <sz val="10"/>
        <color indexed="8"/>
        <rFont val="宋体"/>
        <family val="3"/>
        <charset val="134"/>
      </rPr>
      <t>期初原材料余额</t>
    </r>
    <phoneticPr fontId="27" type="noConversion"/>
  </si>
  <si>
    <r>
      <rPr>
        <sz val="10"/>
        <color indexed="8"/>
        <rFont val="宋体"/>
        <family val="3"/>
        <charset val="134"/>
      </rPr>
      <t>总账</t>
    </r>
    <r>
      <rPr>
        <sz val="10"/>
        <color indexed="8"/>
        <rFont val="Arial Narrow"/>
        <family val="2"/>
      </rPr>
      <t>“</t>
    </r>
    <r>
      <rPr>
        <sz val="10"/>
        <color indexed="8"/>
        <rFont val="宋体"/>
        <family val="3"/>
        <charset val="134"/>
      </rPr>
      <t>材料</t>
    </r>
    <r>
      <rPr>
        <sz val="10"/>
        <color indexed="8"/>
        <rFont val="Arial Narrow"/>
        <family val="2"/>
      </rPr>
      <t>”</t>
    </r>
    <r>
      <rPr>
        <sz val="10"/>
        <color indexed="8"/>
        <rFont val="宋体"/>
        <family val="3"/>
        <charset val="134"/>
      </rPr>
      <t>账户期初余额</t>
    </r>
    <phoneticPr fontId="27" type="noConversion"/>
  </si>
  <si>
    <r>
      <rPr>
        <sz val="10"/>
        <color indexed="8"/>
        <rFont val="宋体"/>
        <family val="3"/>
        <charset val="134"/>
      </rPr>
      <t>加：本期购入材料净额</t>
    </r>
    <phoneticPr fontId="27" type="noConversion"/>
  </si>
  <si>
    <r>
      <t>“</t>
    </r>
    <r>
      <rPr>
        <sz val="10"/>
        <color indexed="8"/>
        <rFont val="宋体"/>
        <family val="3"/>
        <charset val="134"/>
      </rPr>
      <t>材料</t>
    </r>
    <r>
      <rPr>
        <sz val="10"/>
        <color indexed="8"/>
        <rFont val="Arial Narrow"/>
        <family val="2"/>
      </rPr>
      <t>”</t>
    </r>
    <r>
      <rPr>
        <sz val="10"/>
        <color indexed="8"/>
        <rFont val="宋体"/>
        <family val="3"/>
        <charset val="134"/>
      </rPr>
      <t>借方购入额扣退货折让金额</t>
    </r>
  </si>
  <si>
    <r>
      <rPr>
        <sz val="10"/>
        <color indexed="8"/>
        <rFont val="宋体"/>
        <family val="3"/>
        <charset val="134"/>
      </rPr>
      <t>加：其他增加额</t>
    </r>
  </si>
  <si>
    <r>
      <t>“</t>
    </r>
    <r>
      <rPr>
        <sz val="10"/>
        <color indexed="8"/>
        <rFont val="宋体"/>
        <family val="3"/>
        <charset val="134"/>
      </rPr>
      <t>材料</t>
    </r>
    <r>
      <rPr>
        <sz val="10"/>
        <color indexed="8"/>
        <rFont val="Arial Narrow"/>
        <family val="2"/>
      </rPr>
      <t>”</t>
    </r>
    <r>
      <rPr>
        <sz val="10"/>
        <color indexed="8"/>
        <rFont val="宋体"/>
        <family val="3"/>
        <charset val="134"/>
      </rPr>
      <t>借方其他发生额</t>
    </r>
  </si>
  <si>
    <r>
      <rPr>
        <sz val="10"/>
        <color indexed="8"/>
        <rFont val="宋体"/>
        <family val="3"/>
        <charset val="134"/>
      </rPr>
      <t>减：期末原材料余额</t>
    </r>
    <phoneticPr fontId="27" type="noConversion"/>
  </si>
  <si>
    <r>
      <rPr>
        <sz val="10"/>
        <color indexed="8"/>
        <rFont val="宋体"/>
        <family val="3"/>
        <charset val="134"/>
      </rPr>
      <t>总账</t>
    </r>
    <r>
      <rPr>
        <sz val="10"/>
        <color indexed="8"/>
        <rFont val="Arial Narrow"/>
        <family val="2"/>
      </rPr>
      <t>“</t>
    </r>
    <r>
      <rPr>
        <sz val="10"/>
        <color indexed="8"/>
        <rFont val="宋体"/>
        <family val="3"/>
        <charset val="134"/>
      </rPr>
      <t>材料</t>
    </r>
    <r>
      <rPr>
        <sz val="10"/>
        <color indexed="8"/>
        <rFont val="Arial Narrow"/>
        <family val="2"/>
      </rPr>
      <t>”</t>
    </r>
    <r>
      <rPr>
        <sz val="10"/>
        <color indexed="8"/>
        <rFont val="宋体"/>
        <family val="3"/>
        <charset val="134"/>
      </rPr>
      <t>账户年末余额</t>
    </r>
  </si>
  <si>
    <r>
      <rPr>
        <sz val="10"/>
        <color indexed="8"/>
        <rFont val="宋体"/>
        <family val="3"/>
        <charset val="134"/>
      </rPr>
      <t>减：其他原材料发出额</t>
    </r>
    <phoneticPr fontId="27" type="noConversion"/>
  </si>
  <si>
    <r>
      <t>“</t>
    </r>
    <r>
      <rPr>
        <sz val="10"/>
        <color indexed="8"/>
        <rFont val="宋体"/>
        <family val="3"/>
        <charset val="134"/>
      </rPr>
      <t>材料</t>
    </r>
    <r>
      <rPr>
        <sz val="10"/>
        <color indexed="8"/>
        <rFont val="Arial Narrow"/>
        <family val="2"/>
      </rPr>
      <t>”</t>
    </r>
    <r>
      <rPr>
        <sz val="10"/>
        <color indexed="8"/>
        <rFont val="宋体"/>
        <family val="3"/>
        <charset val="134"/>
      </rPr>
      <t>贷方其他发生额</t>
    </r>
  </si>
  <si>
    <r>
      <rPr>
        <b/>
        <sz val="10"/>
        <color indexed="8"/>
        <rFont val="宋体"/>
        <family val="3"/>
        <charset val="134"/>
      </rPr>
      <t>直接材料成本</t>
    </r>
    <phoneticPr fontId="27" type="noConversion"/>
  </si>
  <si>
    <r>
      <rPr>
        <sz val="10"/>
        <color indexed="8"/>
        <rFont val="宋体"/>
        <family val="3"/>
        <charset val="134"/>
      </rPr>
      <t>生产成本明细账</t>
    </r>
  </si>
  <si>
    <r>
      <rPr>
        <sz val="10"/>
        <color indexed="8"/>
        <rFont val="宋体"/>
        <family val="3"/>
        <charset val="134"/>
      </rPr>
      <t>加：直接人工成本</t>
    </r>
    <phoneticPr fontId="27" type="noConversion"/>
  </si>
  <si>
    <r>
      <rPr>
        <sz val="10"/>
        <color indexed="8"/>
        <rFont val="宋体"/>
        <family val="3"/>
        <charset val="134"/>
      </rPr>
      <t>加：制造费用</t>
    </r>
    <phoneticPr fontId="27" type="noConversion"/>
  </si>
  <si>
    <r>
      <rPr>
        <sz val="10"/>
        <color indexed="8"/>
        <rFont val="宋体"/>
        <family val="3"/>
        <charset val="134"/>
      </rPr>
      <t>其中：材料费用</t>
    </r>
  </si>
  <si>
    <r>
      <t>“</t>
    </r>
    <r>
      <rPr>
        <sz val="10"/>
        <color indexed="8"/>
        <rFont val="宋体"/>
        <family val="3"/>
        <charset val="134"/>
      </rPr>
      <t>材料</t>
    </r>
    <r>
      <rPr>
        <sz val="10"/>
        <color indexed="8"/>
        <rFont val="Arial Narrow"/>
        <family val="2"/>
      </rPr>
      <t>”</t>
    </r>
    <r>
      <rPr>
        <sz val="10"/>
        <color indexed="8"/>
        <rFont val="宋体"/>
        <family val="3"/>
        <charset val="134"/>
      </rPr>
      <t>转入</t>
    </r>
    <r>
      <rPr>
        <sz val="10"/>
        <color indexed="8"/>
        <rFont val="Arial Narrow"/>
        <family val="2"/>
      </rPr>
      <t>“</t>
    </r>
    <r>
      <rPr>
        <sz val="10"/>
        <color indexed="8"/>
        <rFont val="宋体"/>
        <family val="3"/>
        <charset val="134"/>
      </rPr>
      <t>制造费用</t>
    </r>
    <r>
      <rPr>
        <sz val="10"/>
        <color indexed="8"/>
        <rFont val="Arial Narrow"/>
        <family val="2"/>
      </rPr>
      <t>”</t>
    </r>
    <r>
      <rPr>
        <sz val="10"/>
        <color indexed="8"/>
        <rFont val="宋体"/>
        <family val="3"/>
        <charset val="134"/>
      </rPr>
      <t>借方金额</t>
    </r>
  </si>
  <si>
    <r>
      <rPr>
        <sz val="10"/>
        <color indexed="8"/>
        <rFont val="宋体"/>
        <family val="3"/>
        <charset val="134"/>
      </rPr>
      <t>专用工模具</t>
    </r>
  </si>
  <si>
    <r>
      <rPr>
        <b/>
        <sz val="10"/>
        <color indexed="8"/>
        <rFont val="宋体"/>
        <family val="3"/>
        <charset val="134"/>
      </rPr>
      <t>产品生产成本</t>
    </r>
  </si>
  <si>
    <r>
      <t>“</t>
    </r>
    <r>
      <rPr>
        <sz val="10"/>
        <color indexed="8"/>
        <rFont val="宋体"/>
        <family val="3"/>
        <charset val="134"/>
      </rPr>
      <t>生产成本</t>
    </r>
    <r>
      <rPr>
        <sz val="10"/>
        <color indexed="8"/>
        <rFont val="Arial Narrow"/>
        <family val="2"/>
      </rPr>
      <t>”</t>
    </r>
    <r>
      <rPr>
        <sz val="10"/>
        <color indexed="8"/>
        <rFont val="宋体"/>
        <family val="3"/>
        <charset val="134"/>
      </rPr>
      <t>借方发生额</t>
    </r>
  </si>
  <si>
    <r>
      <rPr>
        <sz val="10"/>
        <color indexed="8"/>
        <rFont val="宋体"/>
        <family val="3"/>
        <charset val="134"/>
      </rPr>
      <t>加：在产品期初余额</t>
    </r>
    <phoneticPr fontId="27" type="noConversion"/>
  </si>
  <si>
    <r>
      <t>“</t>
    </r>
    <r>
      <rPr>
        <sz val="10"/>
        <color indexed="8"/>
        <rFont val="宋体"/>
        <family val="3"/>
        <charset val="134"/>
      </rPr>
      <t>生产成本</t>
    </r>
    <r>
      <rPr>
        <sz val="10"/>
        <color indexed="8"/>
        <rFont val="Arial Narrow"/>
        <family val="2"/>
      </rPr>
      <t>”</t>
    </r>
    <r>
      <rPr>
        <sz val="10"/>
        <color indexed="8"/>
        <rFont val="宋体"/>
        <family val="3"/>
        <charset val="134"/>
      </rPr>
      <t>期初余额</t>
    </r>
  </si>
  <si>
    <r>
      <rPr>
        <sz val="10"/>
        <color indexed="8"/>
        <rFont val="宋体"/>
        <family val="3"/>
        <charset val="134"/>
      </rPr>
      <t>减：在产品期末余额</t>
    </r>
    <phoneticPr fontId="27" type="noConversion"/>
  </si>
  <si>
    <r>
      <t>“</t>
    </r>
    <r>
      <rPr>
        <sz val="10"/>
        <color indexed="8"/>
        <rFont val="宋体"/>
        <family val="3"/>
        <charset val="134"/>
      </rPr>
      <t>生产成本</t>
    </r>
    <r>
      <rPr>
        <sz val="10"/>
        <color indexed="8"/>
        <rFont val="Arial Narrow"/>
        <family val="2"/>
      </rPr>
      <t>”</t>
    </r>
    <r>
      <rPr>
        <sz val="10"/>
        <color indexed="8"/>
        <rFont val="宋体"/>
        <family val="3"/>
        <charset val="134"/>
      </rPr>
      <t>期末余额</t>
    </r>
    <phoneticPr fontId="27" type="noConversion"/>
  </si>
  <si>
    <r>
      <rPr>
        <b/>
        <sz val="10"/>
        <color indexed="8"/>
        <rFont val="宋体"/>
        <family val="3"/>
        <charset val="134"/>
      </rPr>
      <t>产成品（库存商品）成本</t>
    </r>
    <phoneticPr fontId="27" type="noConversion"/>
  </si>
  <si>
    <r>
      <t>“</t>
    </r>
    <r>
      <rPr>
        <sz val="10"/>
        <color indexed="8"/>
        <rFont val="宋体"/>
        <family val="3"/>
        <charset val="134"/>
      </rPr>
      <t>生产成本</t>
    </r>
    <r>
      <rPr>
        <sz val="10"/>
        <color indexed="8"/>
        <rFont val="Arial Narrow"/>
        <family val="2"/>
      </rPr>
      <t>”</t>
    </r>
    <r>
      <rPr>
        <sz val="10"/>
        <color indexed="8"/>
        <rFont val="宋体"/>
        <family val="3"/>
        <charset val="134"/>
      </rPr>
      <t>转入</t>
    </r>
    <r>
      <rPr>
        <sz val="10"/>
        <color indexed="8"/>
        <rFont val="Arial Narrow"/>
        <family val="2"/>
      </rPr>
      <t>“</t>
    </r>
    <r>
      <rPr>
        <sz val="10"/>
        <color indexed="8"/>
        <rFont val="宋体"/>
        <family val="3"/>
        <charset val="134"/>
      </rPr>
      <t>产成品</t>
    </r>
    <r>
      <rPr>
        <sz val="10"/>
        <color indexed="8"/>
        <rFont val="Arial Narrow"/>
        <family val="2"/>
      </rPr>
      <t>”</t>
    </r>
    <r>
      <rPr>
        <sz val="10"/>
        <color indexed="8"/>
        <rFont val="宋体"/>
        <family val="3"/>
        <charset val="134"/>
      </rPr>
      <t>借方金额</t>
    </r>
  </si>
  <si>
    <r>
      <rPr>
        <sz val="10"/>
        <color indexed="8"/>
        <rFont val="宋体"/>
        <family val="3"/>
        <charset val="134"/>
      </rPr>
      <t>加：产成品期初余额</t>
    </r>
    <phoneticPr fontId="27" type="noConversion"/>
  </si>
  <si>
    <r>
      <t>“</t>
    </r>
    <r>
      <rPr>
        <sz val="10"/>
        <color indexed="8"/>
        <rFont val="宋体"/>
        <family val="3"/>
        <charset val="134"/>
      </rPr>
      <t>产成品</t>
    </r>
    <r>
      <rPr>
        <sz val="10"/>
        <color indexed="8"/>
        <rFont val="Arial Narrow"/>
        <family val="2"/>
      </rPr>
      <t>”</t>
    </r>
    <r>
      <rPr>
        <sz val="10"/>
        <color indexed="8"/>
        <rFont val="宋体"/>
        <family val="3"/>
        <charset val="134"/>
      </rPr>
      <t>账户期初余额</t>
    </r>
    <phoneticPr fontId="27" type="noConversion"/>
  </si>
  <si>
    <r>
      <rPr>
        <sz val="10"/>
        <color indexed="8"/>
        <rFont val="宋体"/>
        <family val="3"/>
        <charset val="134"/>
      </rPr>
      <t>加：其他增加额</t>
    </r>
    <phoneticPr fontId="27" type="noConversion"/>
  </si>
  <si>
    <r>
      <rPr>
        <sz val="10"/>
        <color indexed="8"/>
        <rFont val="宋体"/>
        <family val="3"/>
        <charset val="134"/>
      </rPr>
      <t>减：产成品期末余额</t>
    </r>
    <phoneticPr fontId="27" type="noConversion"/>
  </si>
  <si>
    <r>
      <t>“</t>
    </r>
    <r>
      <rPr>
        <sz val="10"/>
        <color indexed="8"/>
        <rFont val="宋体"/>
        <family val="3"/>
        <charset val="134"/>
      </rPr>
      <t>产成品</t>
    </r>
    <r>
      <rPr>
        <sz val="10"/>
        <color indexed="8"/>
        <rFont val="Arial Narrow"/>
        <family val="2"/>
      </rPr>
      <t>”</t>
    </r>
    <r>
      <rPr>
        <sz val="10"/>
        <color indexed="8"/>
        <rFont val="宋体"/>
        <family val="3"/>
        <charset val="134"/>
      </rPr>
      <t>账户期末余额</t>
    </r>
    <phoneticPr fontId="27" type="noConversion"/>
  </si>
  <si>
    <r>
      <rPr>
        <sz val="10"/>
        <color indexed="8"/>
        <rFont val="宋体"/>
        <family val="3"/>
        <charset val="134"/>
      </rPr>
      <t>减：自制自用产品成本</t>
    </r>
  </si>
  <si>
    <r>
      <t>“</t>
    </r>
    <r>
      <rPr>
        <sz val="10"/>
        <color indexed="8"/>
        <rFont val="宋体"/>
        <family val="3"/>
        <charset val="134"/>
      </rPr>
      <t>产成品</t>
    </r>
    <r>
      <rPr>
        <sz val="10"/>
        <color indexed="8"/>
        <rFont val="Arial Narrow"/>
        <family val="2"/>
      </rPr>
      <t>”</t>
    </r>
    <r>
      <rPr>
        <sz val="10"/>
        <color indexed="8"/>
        <rFont val="宋体"/>
        <family val="3"/>
        <charset val="134"/>
      </rPr>
      <t>转入</t>
    </r>
    <r>
      <rPr>
        <sz val="10"/>
        <color indexed="8"/>
        <rFont val="Arial Narrow"/>
        <family val="2"/>
      </rPr>
      <t>“</t>
    </r>
    <r>
      <rPr>
        <sz val="10"/>
        <color indexed="8"/>
        <rFont val="宋体"/>
        <family val="3"/>
        <charset val="134"/>
      </rPr>
      <t>生产成本</t>
    </r>
    <r>
      <rPr>
        <sz val="10"/>
        <color indexed="8"/>
        <rFont val="Arial Narrow"/>
        <family val="2"/>
      </rPr>
      <t>”</t>
    </r>
    <r>
      <rPr>
        <sz val="10"/>
        <color indexed="8"/>
        <rFont val="宋体"/>
        <family val="3"/>
        <charset val="134"/>
      </rPr>
      <t>借方金额</t>
    </r>
  </si>
  <si>
    <r>
      <rPr>
        <sz val="10"/>
        <color indexed="8"/>
        <rFont val="宋体"/>
        <family val="3"/>
        <charset val="134"/>
      </rPr>
      <t>减：内部领用产品成本</t>
    </r>
    <phoneticPr fontId="27" type="noConversion"/>
  </si>
  <si>
    <r>
      <rPr>
        <sz val="10"/>
        <color indexed="8"/>
        <rFont val="宋体"/>
        <family val="3"/>
        <charset val="134"/>
      </rPr>
      <t>内部领用记录</t>
    </r>
    <phoneticPr fontId="27" type="noConversion"/>
  </si>
  <si>
    <r>
      <rPr>
        <sz val="10"/>
        <color indexed="8"/>
        <rFont val="宋体"/>
        <family val="3"/>
        <charset val="134"/>
      </rPr>
      <t>减：其他产成品发出额</t>
    </r>
    <phoneticPr fontId="27" type="noConversion"/>
  </si>
  <si>
    <r>
      <rPr>
        <sz val="10"/>
        <color indexed="8"/>
        <rFont val="宋体"/>
        <family val="3"/>
        <charset val="134"/>
      </rPr>
      <t>产成品折价、盘亏、废损会计记录</t>
    </r>
    <phoneticPr fontId="27" type="noConversion"/>
  </si>
  <si>
    <r>
      <rPr>
        <b/>
        <sz val="10"/>
        <color indexed="8"/>
        <rFont val="宋体"/>
        <family val="3"/>
        <charset val="134"/>
      </rPr>
      <t>主营业务成本</t>
    </r>
    <phoneticPr fontId="27" type="noConversion"/>
  </si>
  <si>
    <r>
      <rPr>
        <b/>
        <sz val="10"/>
        <color indexed="8"/>
        <rFont val="宋体"/>
        <family val="3"/>
        <charset val="134"/>
      </rPr>
      <t>三、审计说明：</t>
    </r>
    <phoneticPr fontId="27" type="noConversion"/>
  </si>
  <si>
    <r>
      <rPr>
        <b/>
        <sz val="10"/>
        <color indexed="8"/>
        <rFont val="宋体"/>
        <family val="3"/>
        <charset val="134"/>
      </rPr>
      <t>四、审计结论：</t>
    </r>
    <phoneticPr fontId="27" type="noConversion"/>
  </si>
  <si>
    <t>计算说明</t>
    <phoneticPr fontId="27" type="noConversion"/>
  </si>
  <si>
    <t>⑵</t>
    <phoneticPr fontId="27" type="noConversion"/>
  </si>
  <si>
    <t>⑶</t>
    <phoneticPr fontId="27" type="noConversion"/>
  </si>
  <si>
    <t>⑷</t>
    <phoneticPr fontId="27" type="noConversion"/>
  </si>
  <si>
    <t>⑸</t>
    <phoneticPr fontId="27" type="noConversion"/>
  </si>
  <si>
    <t>⑺</t>
    <phoneticPr fontId="27" type="noConversion"/>
  </si>
  <si>
    <t>⑻</t>
    <phoneticPr fontId="27" type="noConversion"/>
  </si>
  <si>
    <t>⑼</t>
    <phoneticPr fontId="27" type="noConversion"/>
  </si>
  <si>
    <r>
      <rPr>
        <sz val="10"/>
        <color indexed="8"/>
        <rFont val="宋体"/>
        <family val="3"/>
        <charset val="134"/>
      </rPr>
      <t>⑽</t>
    </r>
    <r>
      <rPr>
        <sz val="10"/>
        <color indexed="8"/>
        <rFont val="Arial Narrow"/>
        <family val="2"/>
      </rPr>
      <t>=</t>
    </r>
    <r>
      <rPr>
        <sz val="10"/>
        <color indexed="8"/>
        <rFont val="宋体"/>
        <family val="3"/>
        <charset val="134"/>
      </rPr>
      <t>⑹</t>
    </r>
    <r>
      <rPr>
        <sz val="10"/>
        <color indexed="8"/>
        <rFont val="Arial Narrow"/>
        <family val="2"/>
      </rPr>
      <t>+</t>
    </r>
    <r>
      <rPr>
        <sz val="10"/>
        <color indexed="8"/>
        <rFont val="宋体"/>
        <family val="3"/>
        <charset val="134"/>
      </rPr>
      <t>⑺</t>
    </r>
    <r>
      <rPr>
        <sz val="10"/>
        <color indexed="8"/>
        <rFont val="Arial Narrow"/>
        <family val="2"/>
      </rPr>
      <t>+</t>
    </r>
    <r>
      <rPr>
        <sz val="10"/>
        <color indexed="8"/>
        <rFont val="宋体"/>
        <family val="3"/>
        <charset val="134"/>
      </rPr>
      <t>⑻</t>
    </r>
    <r>
      <rPr>
        <sz val="10"/>
        <color indexed="8"/>
        <rFont val="Arial Narrow"/>
        <family val="2"/>
      </rPr>
      <t>+</t>
    </r>
    <r>
      <rPr>
        <sz val="10"/>
        <color indexed="8"/>
        <rFont val="宋体"/>
        <family val="3"/>
        <charset val="134"/>
      </rPr>
      <t>⑼</t>
    </r>
    <phoneticPr fontId="27" type="noConversion"/>
  </si>
  <si>
    <t>⑿</t>
    <phoneticPr fontId="27" type="noConversion"/>
  </si>
  <si>
    <r>
      <rPr>
        <sz val="10"/>
        <color indexed="8"/>
        <rFont val="宋体"/>
        <family val="3"/>
        <charset val="134"/>
      </rPr>
      <t>⒀</t>
    </r>
    <r>
      <rPr>
        <sz val="10"/>
        <color indexed="8"/>
        <rFont val="Arial Narrow"/>
        <family val="2"/>
      </rPr>
      <t>=</t>
    </r>
    <r>
      <rPr>
        <sz val="10"/>
        <color indexed="8"/>
        <rFont val="宋体"/>
        <family val="3"/>
        <charset val="134"/>
      </rPr>
      <t>⑽</t>
    </r>
    <r>
      <rPr>
        <sz val="10"/>
        <color indexed="8"/>
        <rFont val="Arial Narrow"/>
        <family val="2"/>
      </rPr>
      <t>+</t>
    </r>
    <r>
      <rPr>
        <sz val="10"/>
        <color indexed="8"/>
        <rFont val="宋体"/>
        <family val="3"/>
        <charset val="134"/>
      </rPr>
      <t>⑾</t>
    </r>
    <r>
      <rPr>
        <sz val="10"/>
        <color indexed="8"/>
        <rFont val="Arial Narrow"/>
        <family val="2"/>
      </rPr>
      <t>-</t>
    </r>
    <r>
      <rPr>
        <sz val="10"/>
        <color indexed="8"/>
        <rFont val="宋体"/>
        <family val="3"/>
        <charset val="134"/>
      </rPr>
      <t>⑿</t>
    </r>
    <phoneticPr fontId="27" type="noConversion"/>
  </si>
  <si>
    <t>⒂</t>
    <phoneticPr fontId="27" type="noConversion"/>
  </si>
  <si>
    <t>⒃</t>
    <phoneticPr fontId="27" type="noConversion"/>
  </si>
  <si>
    <t>⒄</t>
    <phoneticPr fontId="27" type="noConversion"/>
  </si>
  <si>
    <t>⒅</t>
    <phoneticPr fontId="27" type="noConversion"/>
  </si>
  <si>
    <t>⒆</t>
    <phoneticPr fontId="27" type="noConversion"/>
  </si>
  <si>
    <r>
      <rPr>
        <sz val="10"/>
        <color indexed="8"/>
        <rFont val="宋体"/>
        <family val="3"/>
        <charset val="134"/>
      </rPr>
      <t>⒇</t>
    </r>
    <r>
      <rPr>
        <sz val="10"/>
        <color indexed="8"/>
        <rFont val="Arial Narrow"/>
        <family val="2"/>
      </rPr>
      <t>=</t>
    </r>
    <r>
      <rPr>
        <sz val="10"/>
        <color indexed="8"/>
        <rFont val="宋体"/>
        <family val="3"/>
        <charset val="134"/>
      </rPr>
      <t>⒀</t>
    </r>
    <r>
      <rPr>
        <sz val="10"/>
        <color indexed="8"/>
        <rFont val="Arial Narrow"/>
        <family val="2"/>
      </rPr>
      <t>+</t>
    </r>
    <r>
      <rPr>
        <sz val="10"/>
        <color indexed="8"/>
        <rFont val="宋体"/>
        <family val="3"/>
        <charset val="134"/>
      </rPr>
      <t>⒁</t>
    </r>
    <r>
      <rPr>
        <sz val="10"/>
        <color indexed="8"/>
        <rFont val="Arial Narrow"/>
        <family val="2"/>
      </rPr>
      <t>+</t>
    </r>
    <r>
      <rPr>
        <sz val="10"/>
        <color indexed="8"/>
        <rFont val="宋体"/>
        <family val="3"/>
        <charset val="134"/>
      </rPr>
      <t>⒂</t>
    </r>
    <r>
      <rPr>
        <sz val="10"/>
        <color indexed="8"/>
        <rFont val="Arial Narrow"/>
        <family val="2"/>
      </rPr>
      <t>-</t>
    </r>
    <r>
      <rPr>
        <sz val="10"/>
        <color indexed="8"/>
        <rFont val="宋体"/>
        <family val="3"/>
        <charset val="134"/>
      </rPr>
      <t>⒃</t>
    </r>
    <r>
      <rPr>
        <sz val="10"/>
        <color indexed="8"/>
        <rFont val="Arial Narrow"/>
        <family val="2"/>
      </rPr>
      <t>-</t>
    </r>
    <r>
      <rPr>
        <sz val="10"/>
        <color indexed="8"/>
        <rFont val="宋体"/>
        <family val="3"/>
        <charset val="134"/>
      </rPr>
      <t>⒄</t>
    </r>
    <r>
      <rPr>
        <sz val="10"/>
        <color indexed="8"/>
        <rFont val="Arial Narrow"/>
        <family val="2"/>
      </rPr>
      <t>-</t>
    </r>
    <r>
      <rPr>
        <sz val="10"/>
        <color indexed="8"/>
        <rFont val="宋体"/>
        <family val="3"/>
        <charset val="134"/>
      </rPr>
      <t>⒅</t>
    </r>
    <r>
      <rPr>
        <sz val="10"/>
        <color indexed="8"/>
        <rFont val="Arial Narrow"/>
        <family val="2"/>
      </rPr>
      <t>-</t>
    </r>
    <r>
      <rPr>
        <sz val="10"/>
        <color indexed="8"/>
        <rFont val="宋体"/>
        <family val="3"/>
        <charset val="134"/>
      </rPr>
      <t>⒆</t>
    </r>
    <r>
      <rPr>
        <sz val="10"/>
        <color indexed="8"/>
        <rFont val="Arial Narrow"/>
        <family val="2"/>
      </rPr>
      <t/>
    </r>
    <phoneticPr fontId="27" type="noConversion"/>
  </si>
  <si>
    <r>
      <rPr>
        <b/>
        <sz val="10"/>
        <rFont val="宋体"/>
        <family val="3"/>
        <charset val="134"/>
      </rPr>
      <t>财务报表的认定　</t>
    </r>
  </si>
  <si>
    <t>审计程序</t>
    <phoneticPr fontId="84" type="noConversion"/>
  </si>
  <si>
    <t>3</t>
  </si>
  <si>
    <t>4</t>
  </si>
  <si>
    <t>发生</t>
    <phoneticPr fontId="18" type="noConversion"/>
  </si>
  <si>
    <t>准确性</t>
    <phoneticPr fontId="18" type="noConversion"/>
  </si>
  <si>
    <t>试算平衡表数</t>
    <phoneticPr fontId="18" type="noConversion"/>
  </si>
  <si>
    <t>差异数</t>
    <phoneticPr fontId="18" type="noConversion"/>
  </si>
  <si>
    <t>调整事项说明</t>
    <phoneticPr fontId="18" type="noConversion"/>
  </si>
  <si>
    <t>类别（报表调整/账项调整/其他）</t>
    <phoneticPr fontId="18" type="noConversion"/>
  </si>
  <si>
    <t>科目名称</t>
    <phoneticPr fontId="18" type="noConversion"/>
  </si>
  <si>
    <t>附注项目</t>
    <phoneticPr fontId="18" type="noConversion"/>
  </si>
  <si>
    <t>……</t>
    <phoneticPr fontId="18" type="noConversion"/>
  </si>
  <si>
    <t>借方调整金额</t>
    <phoneticPr fontId="18" type="noConversion"/>
  </si>
  <si>
    <t>贷方调整金额</t>
    <phoneticPr fontId="18" type="noConversion"/>
  </si>
  <si>
    <t>索引</t>
    <phoneticPr fontId="18" type="noConversion"/>
  </si>
  <si>
    <t>备注</t>
    <phoneticPr fontId="18" type="noConversion"/>
  </si>
  <si>
    <t>【注：本底稿适用于调整分录较多、较复杂的项目，且仅列示与本报表项目相关的审计调整。项目组可根据项目实际情况选择是否使用该底稿。】</t>
    <phoneticPr fontId="18" type="noConversion"/>
  </si>
  <si>
    <t>调整分录汇总</t>
  </si>
  <si>
    <t>主营业务成本调整分录汇总表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</si>
  <si>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84" type="noConversion"/>
  </si>
  <si>
    <t>一、本账户涉及的科目</t>
    <phoneticPr fontId="84" type="noConversion"/>
  </si>
  <si>
    <t>二、审计目标与认定的对应关系</t>
    <phoneticPr fontId="18" type="noConversion"/>
  </si>
  <si>
    <t>审计目标</t>
    <phoneticPr fontId="18" type="noConversion"/>
  </si>
  <si>
    <t>完整性</t>
    <phoneticPr fontId="18" type="noConversion"/>
  </si>
  <si>
    <t>列报</t>
    <phoneticPr fontId="18" type="noConversion"/>
  </si>
  <si>
    <t>序号</t>
    <phoneticPr fontId="18" type="noConversion"/>
  </si>
  <si>
    <t>程序分类</t>
    <phoneticPr fontId="18" type="noConversion"/>
  </si>
  <si>
    <t>财务报表的认定</t>
    <phoneticPr fontId="18" type="noConversion"/>
  </si>
  <si>
    <t>底稿索引号</t>
    <phoneticPr fontId="18" type="noConversion"/>
  </si>
  <si>
    <t>1</t>
    <phoneticPr fontId="84" type="noConversion"/>
  </si>
  <si>
    <t>常规★</t>
    <phoneticPr fontId="84" type="noConversion"/>
  </si>
  <si>
    <t>√</t>
    <phoneticPr fontId="18" type="noConversion"/>
  </si>
  <si>
    <t>√</t>
    <phoneticPr fontId="18" type="noConversion"/>
  </si>
  <si>
    <t>2</t>
    <phoneticPr fontId="84"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</si>
  <si>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84" type="noConversion"/>
  </si>
  <si>
    <r>
      <t>常规</t>
    </r>
    <r>
      <rPr>
        <b/>
        <sz val="10"/>
        <color theme="1"/>
        <rFont val="宋体"/>
        <family val="3"/>
        <charset val="134"/>
      </rPr>
      <t>★</t>
    </r>
    <phoneticPr fontId="84"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</si>
  <si>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84" type="noConversion"/>
  </si>
  <si>
    <t>常规★</t>
    <phoneticPr fontId="84" type="noConversion"/>
  </si>
  <si>
    <t>5</t>
  </si>
  <si>
    <t>常规★</t>
    <phoneticPr fontId="84" type="noConversion"/>
  </si>
  <si>
    <t>6</t>
  </si>
  <si>
    <t>常规★</t>
    <phoneticPr fontId="84" type="noConversion"/>
  </si>
  <si>
    <t>7</t>
  </si>
  <si>
    <t>8</t>
  </si>
  <si>
    <t>√</t>
  </si>
  <si>
    <t>根据评估的舞弊风险等因素增加的审计程序。</t>
    <phoneticPr fontId="18" type="noConversion"/>
  </si>
  <si>
    <r>
      <t>A1-1/</t>
    </r>
    <r>
      <rPr>
        <sz val="10"/>
        <color rgb="FFFF0000"/>
        <rFont val="Arial Narrow"/>
        <family val="2"/>
      </rPr>
      <t>A1-15 /A1-16</t>
    </r>
    <phoneticPr fontId="84" type="noConversion"/>
  </si>
  <si>
    <t>营业成本实质性程序</t>
    <phoneticPr fontId="18" type="noConversion"/>
  </si>
  <si>
    <r>
      <t xml:space="preserve">B. </t>
    </r>
    <r>
      <rPr>
        <sz val="10"/>
        <rFont val="宋体"/>
        <family val="3"/>
        <charset val="134"/>
      </rPr>
      <t>所有应当记录的营业成本均已记录，所有应当包括在财务报表中的相关披露均已包括</t>
    </r>
    <phoneticPr fontId="18" type="noConversion"/>
  </si>
  <si>
    <t>截止</t>
    <phoneticPr fontId="18" type="noConversion"/>
  </si>
  <si>
    <r>
      <t xml:space="preserve">A. </t>
    </r>
    <r>
      <rPr>
        <sz val="10"/>
        <rFont val="宋体"/>
        <family val="3"/>
        <charset val="134"/>
      </rPr>
      <t>利润表中记录的营业成本已发生，且与被审计单位有关，已记录于恰当的账户</t>
    </r>
    <phoneticPr fontId="18" type="noConversion"/>
  </si>
  <si>
    <r>
      <t xml:space="preserve">E. </t>
    </r>
    <r>
      <rPr>
        <sz val="10"/>
        <rFont val="宋体"/>
        <family val="3"/>
        <charset val="134"/>
      </rPr>
      <t>营业成本已被恰当地汇总或分解且表述清楚，相关披露在按照企业会计准则的编制基础下是相关的、可理解的</t>
    </r>
    <phoneticPr fontId="18" type="noConversion"/>
  </si>
  <si>
    <t>发生</t>
    <phoneticPr fontId="18" type="noConversion"/>
  </si>
  <si>
    <t>准确性</t>
    <phoneticPr fontId="18" type="noConversion"/>
  </si>
  <si>
    <t>截止</t>
    <phoneticPr fontId="18"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</si>
  <si>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84" type="noConversion"/>
  </si>
  <si>
    <t>关注会计政策、会计估计合理性、一贯性，关注其是否利用会计政策和会计估计及其变更操纵利润。
（1）了解、分析主营业务成本结转政策及流程的合理性，是否符合实际经营情况和会计准则的要求，并与前期进行对比，分析其是否保持一贯性；
（2）关注主营业务成本的内容和计算方法是否符合会计准则规定，前后期是否一致。</t>
    <phoneticPr fontId="84" type="noConversion"/>
  </si>
  <si>
    <t>T1/</t>
    <phoneticPr fontId="84" type="noConversion"/>
  </si>
  <si>
    <r>
      <t xml:space="preserve">3. </t>
    </r>
    <r>
      <rPr>
        <sz val="10"/>
        <rFont val="宋体"/>
        <family val="3"/>
        <charset val="134"/>
      </rPr>
      <t>与营业成本有关的金额及其他数据已恰当记录，相关披露已得到恰当计量和描述</t>
    </r>
    <phoneticPr fontId="18" type="noConversion"/>
  </si>
  <si>
    <r>
      <t>1.</t>
    </r>
    <r>
      <rPr>
        <sz val="10"/>
        <rFont val="宋体"/>
        <family val="3"/>
        <charset val="134"/>
      </rPr>
      <t>利润表中记录的营业成本已发生，且与被审计单位有关，已记录于恰当的账户；</t>
    </r>
    <r>
      <rPr>
        <sz val="10"/>
        <rFont val="Arial Narrow"/>
        <family val="2"/>
      </rPr>
      <t>2.</t>
    </r>
    <r>
      <rPr>
        <sz val="10"/>
        <rFont val="宋体"/>
        <family val="3"/>
        <charset val="134"/>
      </rPr>
      <t>所有应当记录的营业成本均已记录，所有应当包括在财务报表中的相关披露均已包括；</t>
    </r>
    <phoneticPr fontId="18" type="noConversion"/>
  </si>
  <si>
    <t>上期未审数</t>
    <phoneticPr fontId="18" type="noConversion"/>
  </si>
  <si>
    <t>本期审计调整</t>
    <phoneticPr fontId="18" type="noConversion"/>
  </si>
  <si>
    <r>
      <t>2</t>
    </r>
    <r>
      <rPr>
        <b/>
        <sz val="10"/>
        <rFont val="宋体"/>
        <family val="3"/>
        <charset val="134"/>
      </rPr>
      <t>月</t>
    </r>
  </si>
  <si>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</si>
  <si>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</si>
  <si>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</si>
  <si>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</si>
  <si>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</si>
  <si>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</si>
  <si>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</si>
  <si>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</si>
  <si>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</si>
  <si>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</si>
  <si>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t>1</t>
    </r>
    <r>
      <rPr>
        <b/>
        <sz val="10"/>
        <rFont val="宋体"/>
        <family val="3"/>
        <charset val="134"/>
      </rPr>
      <t>月</t>
    </r>
    <phoneticPr fontId="18" type="noConversion"/>
  </si>
  <si>
    <t>上期审定数</t>
    <phoneticPr fontId="18" type="noConversion"/>
  </si>
  <si>
    <t>本期未审数</t>
    <phoneticPr fontId="18" type="noConversion"/>
  </si>
  <si>
    <t>本期审定数</t>
    <phoneticPr fontId="18" type="noConversion"/>
  </si>
  <si>
    <t>上期审计调整</t>
    <phoneticPr fontId="18" type="noConversion"/>
  </si>
  <si>
    <t>未审变动比例</t>
    <phoneticPr fontId="18" type="noConversion"/>
  </si>
  <si>
    <t>审定变动比例</t>
    <phoneticPr fontId="18" type="noConversion"/>
  </si>
  <si>
    <t>备注</t>
    <phoneticPr fontId="18" type="noConversion"/>
  </si>
  <si>
    <t>营业务成本审定表</t>
    <phoneticPr fontId="18" type="noConversion"/>
  </si>
  <si>
    <t>主营业业成本：</t>
    <phoneticPr fontId="18" type="noConversion"/>
  </si>
  <si>
    <t>其他业务成本</t>
    <phoneticPr fontId="18" type="noConversion"/>
  </si>
  <si>
    <t>小计</t>
    <phoneticPr fontId="18" type="noConversion"/>
  </si>
  <si>
    <r>
      <rPr>
        <b/>
        <sz val="10"/>
        <rFont val="宋体"/>
        <family val="3"/>
        <charset val="134"/>
      </rPr>
      <t>合计</t>
    </r>
    <phoneticPr fontId="18" type="noConversion"/>
  </si>
  <si>
    <r>
      <rPr>
        <sz val="10"/>
        <rFont val="宋体"/>
        <family val="3"/>
        <charset val="134"/>
      </rPr>
      <t>（</t>
    </r>
    <r>
      <rPr>
        <sz val="10"/>
        <rFont val="Arial Narrow"/>
        <family val="2"/>
      </rPr>
      <t>1</t>
    </r>
    <r>
      <rPr>
        <sz val="10"/>
        <rFont val="宋体"/>
        <family val="3"/>
        <charset val="134"/>
      </rPr>
      <t>）主营业务成本本期较上期增加（负数为减少）：</t>
    </r>
    <phoneticPr fontId="18" type="noConversion"/>
  </si>
  <si>
    <t>提示：</t>
    <phoneticPr fontId="18" type="noConversion"/>
  </si>
  <si>
    <r>
      <t>1.</t>
    </r>
    <r>
      <rPr>
        <sz val="10"/>
        <color indexed="12"/>
        <rFont val="宋体"/>
        <family val="3"/>
        <charset val="134"/>
      </rPr>
      <t>本科目核算企业确认的销售商品、提供劳务等主营业务的收入。</t>
    </r>
    <phoneticPr fontId="18" type="noConversion"/>
  </si>
  <si>
    <r>
      <t>2.</t>
    </r>
    <r>
      <rPr>
        <sz val="10"/>
        <color indexed="12"/>
        <rFont val="宋体"/>
        <family val="3"/>
        <charset val="134"/>
      </rPr>
      <t>本科目可按主营业务的种类进行明细核算。</t>
    </r>
    <phoneticPr fontId="18" type="noConversion"/>
  </si>
  <si>
    <t>主营业务成本月度明细表</t>
    <phoneticPr fontId="18" type="noConversion"/>
  </si>
  <si>
    <t>报表项目</t>
    <phoneticPr fontId="18" type="noConversion"/>
  </si>
  <si>
    <t>分析主营业务成本：
（1）将本期和上期主营业务成本按月度进行比较分析；
（2）将本期和上期产品总成本的构成（如原材料，人工及制造费用）进行比较分析；
（3）将本期和上期的主要产品单位成本进行比较分析；</t>
    <phoneticPr fontId="18" type="noConversion"/>
  </si>
  <si>
    <r>
      <t>1.</t>
    </r>
    <r>
      <rPr>
        <sz val="10"/>
        <rFont val="宋体"/>
        <family val="3"/>
        <charset val="134"/>
      </rPr>
      <t>利润表中记录的营业成本已发生，且与被审计单位有关，已记录于恰当的账户；</t>
    </r>
    <r>
      <rPr>
        <sz val="10"/>
        <rFont val="Arial Narrow"/>
        <family val="2"/>
      </rPr>
      <t/>
    </r>
    <phoneticPr fontId="18" type="noConversion"/>
  </si>
  <si>
    <r>
      <t xml:space="preserve">2. </t>
    </r>
    <r>
      <rPr>
        <sz val="10"/>
        <rFont val="宋体"/>
        <family val="3"/>
        <charset val="134"/>
      </rPr>
      <t>所有应当记录的营业成本均已记录，所有应当包括在财务报表中的相关披露均已包括；</t>
    </r>
    <r>
      <rPr>
        <sz val="10"/>
        <rFont val="Arial Narrow"/>
        <family val="2"/>
      </rPr>
      <t>3.</t>
    </r>
    <r>
      <rPr>
        <sz val="10"/>
        <rFont val="宋体"/>
        <family val="3"/>
        <charset val="134"/>
      </rPr>
      <t>营业成本已记录于正确的会计期间</t>
    </r>
    <phoneticPr fontId="18" type="noConversion"/>
  </si>
  <si>
    <t>产品</t>
    <phoneticPr fontId="18" type="noConversion"/>
  </si>
  <si>
    <t>变动额</t>
    <phoneticPr fontId="49" type="noConversion"/>
  </si>
  <si>
    <t>变动率</t>
    <phoneticPr fontId="49" type="noConversion"/>
  </si>
  <si>
    <t>变动原因</t>
    <phoneticPr fontId="18" type="noConversion"/>
  </si>
  <si>
    <t>索引号</t>
    <phoneticPr fontId="18" type="noConversion"/>
  </si>
  <si>
    <t>合计</t>
    <phoneticPr fontId="18" type="noConversion"/>
  </si>
  <si>
    <r>
      <rPr>
        <b/>
        <sz val="12"/>
        <rFont val="宋体"/>
        <family val="3"/>
        <charset val="134"/>
      </rPr>
      <t>其他业务成本明细表</t>
    </r>
    <phoneticPr fontId="18" type="noConversion"/>
  </si>
  <si>
    <r>
      <rPr>
        <b/>
        <sz val="10"/>
        <color indexed="8"/>
        <rFont val="宋体"/>
        <family val="3"/>
        <charset val="134"/>
      </rPr>
      <t>一、审计目标：</t>
    </r>
    <phoneticPr fontId="18" type="noConversion"/>
  </si>
  <si>
    <r>
      <rPr>
        <b/>
        <sz val="10"/>
        <color indexed="8"/>
        <rFont val="宋体"/>
        <family val="3"/>
        <charset val="134"/>
      </rPr>
      <t>二、审计过程</t>
    </r>
    <r>
      <rPr>
        <b/>
        <sz val="10"/>
        <color indexed="8"/>
        <rFont val="Arial Narrow"/>
        <family val="2"/>
      </rPr>
      <t>:</t>
    </r>
    <phoneticPr fontId="18" type="noConversion"/>
  </si>
  <si>
    <r>
      <rPr>
        <b/>
        <sz val="10"/>
        <rFont val="宋体"/>
        <family val="3"/>
        <charset val="134"/>
      </rPr>
      <t>项目</t>
    </r>
    <phoneticPr fontId="18" type="noConversion"/>
  </si>
  <si>
    <t>本期数</t>
    <phoneticPr fontId="18" type="noConversion"/>
  </si>
  <si>
    <t>上期数</t>
    <phoneticPr fontId="18" type="noConversion"/>
  </si>
  <si>
    <r>
      <rPr>
        <b/>
        <sz val="10"/>
        <rFont val="宋体"/>
        <family val="3"/>
        <charset val="134"/>
      </rPr>
      <t>本期数比上期增加（减少）</t>
    </r>
    <phoneticPr fontId="18" type="noConversion"/>
  </si>
  <si>
    <r>
      <rPr>
        <b/>
        <sz val="10"/>
        <rFont val="宋体"/>
        <family val="3"/>
        <charset val="134"/>
      </rPr>
      <t>备注</t>
    </r>
    <phoneticPr fontId="18" type="noConversion"/>
  </si>
  <si>
    <t>本期未审数</t>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</si>
  <si>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</si>
  <si>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</si>
  <si>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</si>
  <si>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结构比</t>
    </r>
    <phoneticPr fontId="18" type="noConversion"/>
  </si>
  <si>
    <t>上期未审数</t>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</si>
  <si>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</si>
  <si>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</si>
  <si>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审定额</t>
    </r>
    <phoneticPr fontId="18" type="noConversion"/>
  </si>
  <si>
    <r>
      <rPr>
        <b/>
        <sz val="10"/>
        <rFont val="宋体"/>
        <family val="3"/>
        <charset val="134"/>
      </rPr>
      <t>结构比</t>
    </r>
    <phoneticPr fontId="18" type="noConversion"/>
  </si>
  <si>
    <r>
      <rPr>
        <b/>
        <sz val="10"/>
        <rFont val="宋体"/>
        <family val="3"/>
        <charset val="134"/>
      </rPr>
      <t>变动额</t>
    </r>
    <phoneticPr fontId="18" type="noConversion"/>
  </si>
  <si>
    <r>
      <rPr>
        <b/>
        <sz val="10"/>
        <rFont val="宋体"/>
        <family val="3"/>
        <charset val="134"/>
      </rPr>
      <t>变动率</t>
    </r>
    <phoneticPr fontId="18" type="noConversion"/>
  </si>
  <si>
    <r>
      <rPr>
        <sz val="10"/>
        <rFont val="宋体"/>
        <family val="3"/>
        <charset val="134"/>
      </rPr>
      <t>出租固定资产</t>
    </r>
  </si>
  <si>
    <r>
      <rPr>
        <sz val="10"/>
        <rFont val="宋体"/>
        <family val="3"/>
        <charset val="134"/>
      </rPr>
      <t>出租包装物和商品</t>
    </r>
  </si>
  <si>
    <r>
      <rPr>
        <sz val="10"/>
        <rFont val="宋体"/>
        <family val="3"/>
        <charset val="134"/>
      </rPr>
      <t>销售材料</t>
    </r>
  </si>
  <si>
    <r>
      <rPr>
        <sz val="10"/>
        <rFont val="宋体"/>
        <family val="3"/>
        <charset val="134"/>
      </rPr>
      <t>用材料进行非货币性交换</t>
    </r>
  </si>
  <si>
    <r>
      <rPr>
        <sz val="10"/>
        <rFont val="宋体"/>
        <family val="3"/>
        <charset val="134"/>
      </rPr>
      <t>用材料进行债务重组</t>
    </r>
  </si>
  <si>
    <r>
      <rPr>
        <sz val="10"/>
        <rFont val="宋体"/>
        <family val="3"/>
        <charset val="134"/>
      </rPr>
      <t>与投资性房地产相关的支出（成本模式计量的投资性房地产计提的折旧，其他后续支出）</t>
    </r>
  </si>
  <si>
    <t>……</t>
  </si>
  <si>
    <t>三、审计说明：</t>
    <phoneticPr fontId="18" type="noConversion"/>
  </si>
  <si>
    <t>提示：</t>
    <phoneticPr fontId="18" type="noConversion"/>
  </si>
  <si>
    <r>
      <t>1.</t>
    </r>
    <r>
      <rPr>
        <sz val="10"/>
        <color indexed="12"/>
        <rFont val="宋体"/>
        <family val="3"/>
        <charset val="134"/>
      </rPr>
      <t>本科目核算企业确认的除主营业务活动以外的其他经营活动所发生的支出，包括销售材料的成本、出租固定资产的折旧额、出租无形资产的摊销额、出租包装物的成本或摊销额等。</t>
    </r>
    <phoneticPr fontId="18" type="noConversion"/>
  </si>
  <si>
    <r>
      <t>2.</t>
    </r>
    <r>
      <rPr>
        <sz val="10"/>
        <color indexed="12"/>
        <rFont val="宋体"/>
        <family val="3"/>
        <charset val="134"/>
      </rPr>
      <t>除主营业务活动以外的其他经营活动发生的相关税费，在</t>
    </r>
    <r>
      <rPr>
        <sz val="10"/>
        <color indexed="12"/>
        <rFont val="Arial Narrow"/>
        <family val="2"/>
      </rPr>
      <t>“</t>
    </r>
    <r>
      <rPr>
        <sz val="10"/>
        <color indexed="12"/>
        <rFont val="宋体"/>
        <family val="3"/>
        <charset val="134"/>
      </rPr>
      <t>营业税金及附加</t>
    </r>
    <r>
      <rPr>
        <sz val="10"/>
        <color indexed="12"/>
        <rFont val="Arial Narrow"/>
        <family val="2"/>
      </rPr>
      <t>”</t>
    </r>
    <r>
      <rPr>
        <sz val="10"/>
        <color indexed="12"/>
        <rFont val="宋体"/>
        <family val="3"/>
        <charset val="134"/>
      </rPr>
      <t>科目核算。</t>
    </r>
    <phoneticPr fontId="18" type="noConversion"/>
  </si>
  <si>
    <r>
      <t>3.</t>
    </r>
    <r>
      <rPr>
        <sz val="10"/>
        <color indexed="12"/>
        <rFont val="宋体"/>
        <family val="3"/>
        <charset val="134"/>
      </rPr>
      <t>采用成本模式计量投资性房地产的，其投资性房地产计提的折旧额或摊销额，也通过本科目核算。</t>
    </r>
    <phoneticPr fontId="18" type="noConversion"/>
  </si>
  <si>
    <t>索引号：</t>
    <phoneticPr fontId="120" type="noConversion"/>
  </si>
  <si>
    <t>页  次：</t>
    <phoneticPr fontId="120" type="noConversion"/>
  </si>
  <si>
    <t>备选</t>
    <phoneticPr fontId="18" type="noConversion"/>
  </si>
  <si>
    <t>检查月主营业务成本结转明细清单，比较计人主营业务成本的品种、规格、数量和计入主营业务收人的口径是否一致，是否符合配比原则。</t>
    <phoneticPr fontId="18" type="noConversion"/>
  </si>
  <si>
    <r>
      <t>2.</t>
    </r>
    <r>
      <rPr>
        <sz val="10"/>
        <rFont val="宋体"/>
        <family val="3"/>
        <charset val="134"/>
      </rPr>
      <t>所有应当记录的营业成本均已记录，所有应当包括在财务报表中的相关披露均已包括</t>
    </r>
    <phoneticPr fontId="18" type="noConversion"/>
  </si>
  <si>
    <r>
      <t>1.</t>
    </r>
    <r>
      <rPr>
        <sz val="10"/>
        <rFont val="宋体"/>
        <family val="3"/>
        <charset val="134"/>
      </rPr>
      <t>利润表中记录的营业成本已发生，且与被审计单位有关，已记录于恰当的账户</t>
    </r>
    <phoneticPr fontId="18" type="noConversion"/>
  </si>
  <si>
    <t>一、审计目标：</t>
    <phoneticPr fontId="18" type="noConversion"/>
  </si>
  <si>
    <t>项目</t>
    <phoneticPr fontId="18" type="noConversion"/>
  </si>
  <si>
    <r>
      <t>2.</t>
    </r>
    <r>
      <rPr>
        <b/>
        <sz val="10"/>
        <rFont val="宋体"/>
        <family val="3"/>
        <charset val="134"/>
      </rPr>
      <t>本期结转销售成本数量表</t>
    </r>
    <phoneticPr fontId="18" type="noConversion"/>
  </si>
  <si>
    <t>提示：</t>
    <phoneticPr fontId="18" type="noConversion"/>
  </si>
  <si>
    <t>编制生产成本与主营业务成本倒轧表，并与相关科目交叉索引</t>
    <phoneticPr fontId="18" type="noConversion"/>
  </si>
  <si>
    <t>主营业务成本倒轧表</t>
    <phoneticPr fontId="18" type="noConversion"/>
  </si>
  <si>
    <r>
      <t>3.</t>
    </r>
    <r>
      <rPr>
        <sz val="10"/>
        <color indexed="8"/>
        <rFont val="宋体"/>
        <family val="3"/>
        <charset val="134"/>
      </rPr>
      <t>与营业成本有关的金额及其他数据已恰当记录，相关披露已得到恰当计量和描述</t>
    </r>
    <phoneticPr fontId="18" type="noConversion"/>
  </si>
  <si>
    <r>
      <t>1.</t>
    </r>
    <r>
      <rPr>
        <sz val="10"/>
        <color indexed="8"/>
        <rFont val="宋体"/>
        <family val="3"/>
        <charset val="134"/>
      </rPr>
      <t>利润表中记录的营业成本已发生，且与被审计单位有关，已记录于恰当的账户；</t>
    </r>
    <phoneticPr fontId="18" type="noConversion"/>
  </si>
  <si>
    <r>
      <t>2.</t>
    </r>
    <r>
      <rPr>
        <sz val="10"/>
        <color indexed="8"/>
        <rFont val="宋体"/>
        <family val="3"/>
        <charset val="134"/>
      </rPr>
      <t>所有应当记录的营业成本均已记录，所有应当包括在财务报表中的相关披露均已包括；</t>
    </r>
    <phoneticPr fontId="18" type="noConversion"/>
  </si>
  <si>
    <r>
      <rPr>
        <sz val="10"/>
        <color indexed="8"/>
        <rFont val="宋体"/>
        <family val="3"/>
        <charset val="134"/>
      </rPr>
      <t>⑹</t>
    </r>
    <r>
      <rPr>
        <sz val="10"/>
        <color indexed="8"/>
        <rFont val="Arial Narrow"/>
        <family val="2"/>
      </rPr>
      <t>=</t>
    </r>
    <r>
      <rPr>
        <sz val="10"/>
        <color indexed="8"/>
        <rFont val="宋体"/>
        <family val="3"/>
        <charset val="134"/>
      </rPr>
      <t>⑴</t>
    </r>
    <r>
      <rPr>
        <sz val="10"/>
        <color indexed="8"/>
        <rFont val="Arial Narrow"/>
        <family val="2"/>
      </rPr>
      <t>+</t>
    </r>
    <r>
      <rPr>
        <sz val="10"/>
        <color indexed="8"/>
        <rFont val="宋体"/>
        <family val="3"/>
        <charset val="134"/>
      </rPr>
      <t>⑵</t>
    </r>
    <r>
      <rPr>
        <sz val="10"/>
        <color indexed="8"/>
        <rFont val="Arial Narrow"/>
        <family val="2"/>
      </rPr>
      <t>+</t>
    </r>
    <r>
      <rPr>
        <sz val="10"/>
        <color indexed="8"/>
        <rFont val="宋体"/>
        <family val="3"/>
        <charset val="134"/>
      </rPr>
      <t>⑶</t>
    </r>
    <r>
      <rPr>
        <sz val="10"/>
        <color indexed="8"/>
        <rFont val="Arial Narrow"/>
        <family val="2"/>
      </rPr>
      <t>-</t>
    </r>
    <r>
      <rPr>
        <sz val="10"/>
        <color indexed="8"/>
        <rFont val="宋体"/>
        <family val="3"/>
        <charset val="134"/>
      </rPr>
      <t>⑷</t>
    </r>
    <r>
      <rPr>
        <sz val="10"/>
        <color indexed="8"/>
        <rFont val="Arial Narrow"/>
        <family val="2"/>
      </rPr>
      <t>-</t>
    </r>
    <r>
      <rPr>
        <sz val="10"/>
        <color indexed="8"/>
        <rFont val="宋体"/>
        <family val="3"/>
        <charset val="134"/>
      </rPr>
      <t>⑸</t>
    </r>
    <phoneticPr fontId="27" type="noConversion"/>
  </si>
  <si>
    <t>索引号：</t>
    <phoneticPr fontId="18" type="noConversion"/>
  </si>
  <si>
    <t>页  次：</t>
    <phoneticPr fontId="18" type="noConversion"/>
  </si>
  <si>
    <t>结合存货账户检查，针对主营业务成本中重大调整事项(如销售退回)、返利、非常规项目，检查相关原始凭证，评价真实性和合理性，检查其会计处理是否正确。</t>
    <phoneticPr fontId="18" type="noConversion"/>
  </si>
  <si>
    <r>
      <t>2.</t>
    </r>
    <r>
      <rPr>
        <sz val="10"/>
        <color indexed="12"/>
        <rFont val="宋体"/>
        <family val="3"/>
        <charset val="134"/>
      </rPr>
      <t>检查现金返利、实物返利是否冲减或调整存货或购货当期的主营业务成本。</t>
    </r>
    <phoneticPr fontId="18" type="noConversion"/>
  </si>
  <si>
    <r>
      <t>1.</t>
    </r>
    <r>
      <rPr>
        <sz val="10"/>
        <color indexed="12"/>
        <rFont val="宋体"/>
        <family val="3"/>
        <charset val="134"/>
      </rPr>
      <t>本表是销售成本审定表的附表，用于审查销售成本帐户中重大调整事项的理由是否充分。</t>
    </r>
    <phoneticPr fontId="18" type="noConversion"/>
  </si>
  <si>
    <r>
      <t>1.</t>
    </r>
    <r>
      <rPr>
        <sz val="10"/>
        <rFont val="宋体"/>
        <family val="3"/>
        <charset val="134"/>
      </rPr>
      <t>利润表中记录的营业成本已发生，且与被审计单位有关，已记录于恰当的账户；</t>
    </r>
    <phoneticPr fontId="18" type="noConversion"/>
  </si>
  <si>
    <r>
      <t xml:space="preserve">2. </t>
    </r>
    <r>
      <rPr>
        <sz val="10"/>
        <rFont val="宋体"/>
        <family val="3"/>
        <charset val="134"/>
      </rPr>
      <t>所有应当记录的营业成本均已记录，所有应当包括在财务报表中的相关披露均已包括；</t>
    </r>
    <phoneticPr fontId="18" type="noConversion"/>
  </si>
  <si>
    <r>
      <t xml:space="preserve">3. </t>
    </r>
    <r>
      <rPr>
        <sz val="10"/>
        <rFont val="宋体"/>
        <family val="3"/>
        <charset val="134"/>
      </rPr>
      <t>与营业成本有关的金额及其他数据已恰当记录，相关披露已得到恰当计量和描述；</t>
    </r>
    <phoneticPr fontId="18" type="noConversion"/>
  </si>
  <si>
    <r>
      <t xml:space="preserve">4. </t>
    </r>
    <r>
      <rPr>
        <sz val="10"/>
        <rFont val="宋体"/>
        <family val="3"/>
        <charset val="134"/>
      </rPr>
      <t>营业成本已记录于正确的会计期间；</t>
    </r>
    <phoneticPr fontId="18" type="noConversion"/>
  </si>
  <si>
    <r>
      <t xml:space="preserve">5. </t>
    </r>
    <r>
      <rPr>
        <sz val="10"/>
        <rFont val="宋体"/>
        <family val="3"/>
        <charset val="134"/>
      </rPr>
      <t>营业成本已被恰当地汇总或分解且表述清楚，相关披露在按照企业会计准则的编制基础下是相关的、可理解的；</t>
    </r>
    <phoneticPr fontId="18" type="noConversion"/>
  </si>
  <si>
    <t>日期</t>
    <phoneticPr fontId="18" type="noConversion"/>
  </si>
  <si>
    <t>备选</t>
    <phoneticPr fontId="18" type="noConversion"/>
  </si>
  <si>
    <t>结合营业收入、存货产成品出库检查，同时检查营业成本支持性文件，确定原始凭证是否齐全、记账凭证与原始凭证是否相符以及账务处理是否正确。</t>
    <phoneticPr fontId="18" type="noConversion"/>
  </si>
  <si>
    <t>在采用计划成本、定额成本、标准成本或售价核算存货的条件下，结合存货标准成本差异和分摊的测试，检查产品成本差异或商品进销差价的计算、分配和会计处理是否正确。</t>
    <phoneticPr fontId="18" type="noConversion"/>
  </si>
  <si>
    <t>F2-40</t>
    <phoneticPr fontId="18" type="noConversion"/>
  </si>
  <si>
    <t>检查营业成本是否已按企业会计准则或其他适用的规定在财务报表中做出恰当列报和披露。</t>
    <phoneticPr fontId="84" type="noConversion"/>
  </si>
  <si>
    <t>主营业务成本、其他业务成本</t>
    <phoneticPr fontId="84" type="noConversion"/>
  </si>
  <si>
    <t>索引号：</t>
    <phoneticPr fontId="18" type="noConversion"/>
  </si>
  <si>
    <t>项目</t>
    <phoneticPr fontId="18" type="noConversion"/>
  </si>
  <si>
    <t>本期数</t>
    <phoneticPr fontId="18" type="noConversion"/>
  </si>
  <si>
    <t>上期数</t>
    <phoneticPr fontId="18" type="noConversion"/>
  </si>
  <si>
    <t>索引</t>
    <phoneticPr fontId="18" type="noConversion"/>
  </si>
  <si>
    <t>本期未审数</t>
    <phoneticPr fontId="18" type="noConversion"/>
  </si>
  <si>
    <t>账项调整</t>
    <phoneticPr fontId="18" type="noConversion"/>
  </si>
  <si>
    <t>重分类调整</t>
    <phoneticPr fontId="18" type="noConversion"/>
  </si>
  <si>
    <t>本期审定数</t>
    <phoneticPr fontId="18" type="noConversion"/>
  </si>
  <si>
    <t>上期未审数</t>
    <phoneticPr fontId="18" type="noConversion"/>
  </si>
  <si>
    <t>上期审定数</t>
    <phoneticPr fontId="18" type="noConversion"/>
  </si>
  <si>
    <t>营业成本实质性程序表</t>
    <phoneticPr fontId="18" type="noConversion"/>
  </si>
  <si>
    <t xml:space="preserve">F5A </t>
    <phoneticPr fontId="18" type="noConversion"/>
  </si>
  <si>
    <t>F5-1</t>
    <phoneticPr fontId="18" type="noConversion"/>
  </si>
  <si>
    <t>营业务成本审定表</t>
    <phoneticPr fontId="18" type="noConversion"/>
  </si>
  <si>
    <t>其他业务成本明细表</t>
    <phoneticPr fontId="18" type="noConversion"/>
  </si>
  <si>
    <t>F5-2</t>
  </si>
  <si>
    <t>F5-3</t>
  </si>
  <si>
    <t>F5-4</t>
  </si>
  <si>
    <t>主营业务成本与上年度比较分析表</t>
    <phoneticPr fontId="18" type="noConversion"/>
  </si>
  <si>
    <t>F5-5</t>
  </si>
  <si>
    <t>主营业务成本倒轧表</t>
    <phoneticPr fontId="18" type="noConversion"/>
  </si>
  <si>
    <t>主营业务成本账户中重大调整事项核查表</t>
    <phoneticPr fontId="18" type="noConversion"/>
  </si>
  <si>
    <t>F5-6</t>
  </si>
  <si>
    <t>F5-7</t>
  </si>
  <si>
    <t>F5-8</t>
  </si>
  <si>
    <t xml:space="preserve"> 页  次：</t>
    <phoneticPr fontId="18" type="noConversion"/>
  </si>
  <si>
    <t>9</t>
  </si>
  <si>
    <t>10</t>
  </si>
  <si>
    <t>11</t>
  </si>
  <si>
    <t>12</t>
  </si>
  <si>
    <r>
      <t>结合存货期初余额审计，确定营业成本前期期末的截止是否恰当。</t>
    </r>
    <r>
      <rPr>
        <sz val="10"/>
        <color rgb="FFFF0000"/>
        <rFont val="宋体"/>
        <family val="3"/>
        <charset val="134"/>
      </rPr>
      <t>（适用于首次承接）</t>
    </r>
    <phoneticPr fontId="18" type="noConversion"/>
  </si>
  <si>
    <t>F2-16</t>
    <phoneticPr fontId="18" type="noConversion"/>
  </si>
  <si>
    <t>F5-1/F5-2/F5-3</t>
    <phoneticPr fontId="18" type="noConversion"/>
  </si>
  <si>
    <t>F5-6</t>
    <phoneticPr fontId="18" type="noConversion"/>
  </si>
  <si>
    <t>F5-7</t>
    <phoneticPr fontId="18" type="noConversion"/>
  </si>
  <si>
    <t>F5-8</t>
    <phoneticPr fontId="18" type="noConversion"/>
  </si>
  <si>
    <t>销售数量与结转成本数量核对明细表</t>
    <phoneticPr fontId="18" type="noConversion"/>
  </si>
  <si>
    <t>销售数量与结转成本数量核对明细表</t>
    <phoneticPr fontId="18" type="noConversion"/>
  </si>
  <si>
    <r>
      <t>1.</t>
    </r>
    <r>
      <rPr>
        <b/>
        <sz val="10"/>
        <rFont val="宋体"/>
        <family val="3"/>
        <charset val="134"/>
      </rPr>
      <t>本期销售数量表</t>
    </r>
    <phoneticPr fontId="18" type="noConversion"/>
  </si>
  <si>
    <t>出租无形资产</t>
    <phoneticPr fontId="120" type="noConversion"/>
  </si>
  <si>
    <t>4.……</t>
    <phoneticPr fontId="120" type="noConversion"/>
  </si>
  <si>
    <r>
      <t>1.</t>
    </r>
    <r>
      <rPr>
        <sz val="10"/>
        <color rgb="FFFF0000"/>
        <rFont val="宋体"/>
        <family val="3"/>
        <charset val="134"/>
      </rPr>
      <t>出租固定资产的折旧与用于出租的固定资产折旧测算核对一致，详见固定资产折旧测算表，索引</t>
    </r>
    <r>
      <rPr>
        <sz val="10"/>
        <color rgb="FFFF0000"/>
        <rFont val="Arial Narrow"/>
        <family val="2"/>
      </rPr>
      <t>&lt;XX&gt;</t>
    </r>
    <phoneticPr fontId="120" type="noConversion"/>
  </si>
  <si>
    <r>
      <t>2.</t>
    </r>
    <r>
      <rPr>
        <sz val="10"/>
        <color rgb="FFFF0000"/>
        <rFont val="宋体"/>
        <family val="3"/>
        <charset val="134"/>
      </rPr>
      <t>出租无形资产的摊销与用于出租的无形资产摊销测算核对一致，详见无形资产摊销测算表，索引</t>
    </r>
    <r>
      <rPr>
        <sz val="10"/>
        <color rgb="FFFF0000"/>
        <rFont val="Arial Narrow"/>
        <family val="2"/>
      </rPr>
      <t>&lt;XX&gt;</t>
    </r>
    <phoneticPr fontId="120" type="noConversion"/>
  </si>
  <si>
    <r>
      <t>3.</t>
    </r>
    <r>
      <rPr>
        <sz val="10"/>
        <color rgb="FFFF0000"/>
        <rFont val="宋体"/>
        <family val="3"/>
        <charset val="134"/>
      </rPr>
      <t>对大额销售材料进行检查，详见底稿</t>
    </r>
    <r>
      <rPr>
        <sz val="10"/>
        <color rgb="FFFF0000"/>
        <rFont val="Arial Narrow"/>
        <family val="2"/>
      </rPr>
      <t>&lt;XX&gt;</t>
    </r>
    <phoneticPr fontId="120" type="noConversion"/>
  </si>
  <si>
    <t>获取或编制主营业务成本、其他业务成本明细表，复核加计是否正确，并与总账数和明细账合计数核对是否相符，编制审定表，结合其他业务成本科目与营业成本报表数核对是否相符。</t>
    <phoneticPr fontId="84" type="noConversion"/>
  </si>
  <si>
    <t>IPO/上市/新三板/重组/舞弊应对</t>
    <phoneticPr fontId="84" type="noConversion"/>
  </si>
  <si>
    <t>被审计单位：</t>
    <phoneticPr fontId="18" type="noConversion"/>
  </si>
  <si>
    <t>编制人：</t>
    <phoneticPr fontId="18" type="noConversion"/>
  </si>
  <si>
    <t>编制日期：</t>
    <phoneticPr fontId="18" type="noConversion"/>
  </si>
  <si>
    <t>复核人：</t>
    <phoneticPr fontId="18" type="noConversion"/>
  </si>
  <si>
    <t>复核日期：</t>
    <phoneticPr fontId="18" type="noConversion"/>
  </si>
  <si>
    <t>三、计划实施的实质性程序</t>
    <phoneticPr fontId="18" type="noConversion"/>
  </si>
  <si>
    <t>F5-2
/F5-5</t>
    <phoneticPr fontId="18" type="noConversion"/>
  </si>
  <si>
    <r>
      <t xml:space="preserve">C. </t>
    </r>
    <r>
      <rPr>
        <sz val="10"/>
        <rFont val="宋体"/>
        <family val="3"/>
        <charset val="134"/>
      </rPr>
      <t>与营业成本有关的金额及其他数据已恰当记录，相关披露已得到恰当计量和描述</t>
    </r>
    <phoneticPr fontId="18" type="noConversion"/>
  </si>
  <si>
    <r>
      <t xml:space="preserve">D. </t>
    </r>
    <r>
      <rPr>
        <sz val="10"/>
        <rFont val="宋体"/>
        <family val="3"/>
        <charset val="134"/>
      </rPr>
      <t>营业成本已记录于正确的会计期间</t>
    </r>
    <phoneticPr fontId="18" type="noConversion"/>
  </si>
  <si>
    <t>会计期间：202X年度</t>
    <phoneticPr fontId="18" type="noConversion"/>
  </si>
  <si>
    <t>根据被审计单位实际情况和风险评估情况裁剪、修改或增加审计程序</t>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</si>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</sst>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8" formatCode="&quot;¥&quot;#,##0.00;[Red]&quot;¥&quot;\-#,##0.00"/>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0%"/>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
    <numFmt numFmtId="196" formatCode="#,##0;\-#,##0;&quot;-&quot;"/>
    <numFmt numFmtId="197" formatCode="\(#,##0\)\ "/>
    <numFmt numFmtId="198" formatCode="[Blue]0.0%;[Blue]\(0.0%\)"/>
    <numFmt numFmtId="199" formatCode="0.0%;\(0.0%\)"/>
    <numFmt numFmtId="200" formatCode="[Red]0.0%;[Red]\(0.0%\)"/>
    <numFmt numFmtId="201" formatCode="[Blue]#,##0_);[Blue]\(#,##0\)"/>
    <numFmt numFmtId="202" formatCode="#,##0_);[Blue]\(#,##0\)"/>
    <numFmt numFmtId="203" formatCode="&quot;$&quot;#,##0;[Red]&quot;$&quot;&quot;$&quot;&quot;$&quot;&quot;$&quot;&quot;$&quot;&quot;$&quot;&quot;$&quot;\-#,##0"/>
    <numFmt numFmtId="204" formatCode="#,##0;\(#,##0\)"/>
    <numFmt numFmtId="205" formatCode="#,##0.0_);\(#,##0.0\)"/>
    <numFmt numFmtId="206" formatCode="hh:mm\ AM/PM_)"/>
    <numFmt numFmtId="207" formatCode="&quot;$&quot;#,##0.00_);\(&quot;$&quot;#,##0.00\)"/>
    <numFmt numFmtId="208" formatCode=";;;"/>
    <numFmt numFmtId="209" formatCode="\$#,##0.00;\(\$#,##0.00\)"/>
    <numFmt numFmtId="210" formatCode="\$#,##0;\(\$#,##0\)"/>
    <numFmt numFmtId="211" formatCode="_(&quot;$&quot;* #,##0_);_(&quot;$&quot;* \(#,##0\);_(&quot;$&quot;* &quot;-&quot;_);_(@_)"/>
    <numFmt numFmtId="212" formatCode="_(&quot;$&quot;* #,##0.00_);_(&quot;$&quot;* \(#,##0.00\);_(&quot;$&quot;* &quot;-&quot;??_);_(@_)"/>
    <numFmt numFmtId="213" formatCode="_-* #,##0_-;\-* #,##0_-;_-* &quot;-&quot;??_-;_-@_-"/>
    <numFmt numFmtId="214" formatCode="0.00000000000_);[Red]\(0.00000000000\)"/>
    <numFmt numFmtId="215" formatCode="0%_);\(0%\)"/>
    <numFmt numFmtId="216" formatCode="\ \ @"/>
    <numFmt numFmtId="217" formatCode="#,##0_);\(#,##0_)"/>
    <numFmt numFmtId="218" formatCode="0.0000000"/>
    <numFmt numFmtId="219" formatCode="0.000000"/>
    <numFmt numFmtId="220" formatCode="0.00000000"/>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2" formatCode="0.00_);[Red]\(0.00\)"/>
    <numFmt numFmtId="223" formatCode="#,##0_ "/>
    <numFmt numFmtId="224" formatCode="#,##0.0_ "/>
  </numFmts>
  <fonts count="12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0"/>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12"/>
      <name val="楷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8"/>
      <name val="宋体"/>
      <family val="3"/>
      <charset val="134"/>
    </font>
    <font>
      <sz val="10"/>
      <color indexed="10"/>
      <name val="宋体"/>
      <family val="3"/>
      <charset val="134"/>
    </font>
    <font>
      <sz val="12"/>
      <name val="Times New Roman"/>
      <family val="1"/>
    </font>
    <font>
      <sz val="12"/>
      <name val="Arial"/>
      <family val="2"/>
    </font>
    <font>
      <b/>
      <sz val="10"/>
      <color indexed="8"/>
      <name val="宋体"/>
      <family val="3"/>
      <charset val="134"/>
    </font>
    <font>
      <sz val="10"/>
      <color indexed="12"/>
      <name val="宋体"/>
      <family val="3"/>
      <charset val="134"/>
    </font>
    <font>
      <b/>
      <sz val="10"/>
      <color indexed="12"/>
      <name val="宋体"/>
      <family val="3"/>
      <charset val="134"/>
    </font>
    <font>
      <i/>
      <sz val="10"/>
      <color indexed="12"/>
      <name val="宋体"/>
      <family val="3"/>
      <charset val="134"/>
    </font>
    <font>
      <sz val="10.5"/>
      <name val="Arial"/>
      <family val="2"/>
    </font>
    <font>
      <sz val="10.5"/>
      <name val="Times New Roman"/>
      <family val="1"/>
    </font>
    <font>
      <b/>
      <sz val="10"/>
      <color indexed="10"/>
      <name val="Arial"/>
      <family val="2"/>
    </font>
    <font>
      <b/>
      <sz val="12"/>
      <name val="Arial"/>
      <family val="2"/>
    </font>
    <font>
      <b/>
      <sz val="9"/>
      <color indexed="81"/>
      <name val="宋体"/>
      <family val="3"/>
      <charset val="134"/>
    </font>
    <font>
      <sz val="9"/>
      <color indexed="81"/>
      <name val="宋体"/>
      <family val="3"/>
      <charset val="134"/>
    </font>
    <font>
      <b/>
      <sz val="12"/>
      <name val="Arial Narrow"/>
      <family val="2"/>
    </font>
    <font>
      <sz val="12"/>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sz val="10"/>
      <color indexed="12"/>
      <name val="Arial Narrow"/>
      <family val="2"/>
    </font>
    <font>
      <i/>
      <sz val="10"/>
      <color indexed="12"/>
      <name val="Arial Narrow"/>
      <family val="2"/>
    </font>
    <font>
      <u val="singleAccounting"/>
      <vertAlign val="subscript"/>
      <sz val="10"/>
      <name val="Times New Roman"/>
      <family val="1"/>
    </font>
    <font>
      <i/>
      <sz val="9"/>
      <name val="Times New Roman"/>
      <family val="1"/>
    </font>
    <font>
      <sz val="10"/>
      <color indexed="10"/>
      <name val="Arial Narrow"/>
      <family val="2"/>
    </font>
    <font>
      <sz val="11"/>
      <name val="楷体"/>
      <family val="3"/>
      <charset val="134"/>
    </font>
    <font>
      <sz val="10"/>
      <color theme="1"/>
      <name val="宋体"/>
      <family val="3"/>
      <charset val="134"/>
      <scheme val="minor"/>
    </font>
    <font>
      <sz val="10"/>
      <color indexed="8"/>
      <name val="Arial"/>
      <family val="2"/>
    </font>
    <font>
      <sz val="13"/>
      <name val="Tms Rmn"/>
      <family val="1"/>
    </font>
    <font>
      <b/>
      <sz val="10"/>
      <name val="Helv"/>
      <family val="2"/>
    </font>
    <font>
      <b/>
      <sz val="13"/>
      <name val="Tms Rmn"/>
      <family val="1"/>
    </font>
    <font>
      <b/>
      <sz val="8"/>
      <name val="Arial"/>
      <family val="2"/>
    </font>
    <font>
      <sz val="10"/>
      <name val="MS Sans Serif"/>
      <family val="2"/>
    </font>
    <font>
      <sz val="9"/>
      <name val="Times New Roman"/>
      <family val="1"/>
    </font>
    <font>
      <b/>
      <sz val="12"/>
      <name val="Helv"/>
      <family val="2"/>
    </font>
    <font>
      <b/>
      <sz val="10"/>
      <name val="Arial"/>
      <family val="2"/>
    </font>
    <font>
      <b/>
      <sz val="11"/>
      <name val="Helv"/>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sz val="10"/>
      <color indexed="17"/>
      <name val="Times New Roman"/>
      <family val="1"/>
    </font>
    <font>
      <sz val="11"/>
      <name val="蹈框"/>
      <charset val="134"/>
    </font>
    <font>
      <sz val="11"/>
      <name val="ＭＳ Ｐゴシック"/>
      <family val="2"/>
    </font>
    <font>
      <sz val="12"/>
      <name val="바탕체"/>
      <family val="3"/>
    </font>
    <font>
      <b/>
      <sz val="10"/>
      <color indexed="12"/>
      <name val="Arial Narrow"/>
      <family val="2"/>
    </font>
    <font>
      <i/>
      <u/>
      <sz val="10"/>
      <color indexed="12"/>
      <name val="Arial Narrow"/>
      <family val="2"/>
    </font>
    <font>
      <sz val="10"/>
      <color rgb="FFFF0000"/>
      <name val="Arial Narrow"/>
      <family val="2"/>
    </font>
    <font>
      <sz val="10"/>
      <color rgb="FFFF0000"/>
      <name val="宋体"/>
      <family val="3"/>
      <charset val="134"/>
    </font>
    <font>
      <sz val="10"/>
      <color theme="1"/>
      <name val="Arial Narrow"/>
      <family val="2"/>
    </font>
    <font>
      <sz val="11"/>
      <color theme="1"/>
      <name val="Arial Narrow"/>
      <family val="2"/>
    </font>
    <font>
      <sz val="9"/>
      <name val="宋体"/>
      <family val="2"/>
      <charset val="134"/>
      <scheme val="minor"/>
    </font>
    <font>
      <b/>
      <sz val="10"/>
      <color theme="1"/>
      <name val="宋体"/>
      <family val="3"/>
      <charset val="134"/>
    </font>
    <font>
      <sz val="10"/>
      <color theme="1"/>
      <name val="宋体"/>
      <family val="3"/>
      <charset val="134"/>
    </font>
    <font>
      <sz val="8"/>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宋体"/>
      <family val="3"/>
      <charset val="134"/>
      <scheme val="minor"/>
    </font>
    <font>
      <sz val="12"/>
      <color indexed="8"/>
      <name val="宋体"/>
      <family val="3"/>
      <charset val="134"/>
    </font>
    <font>
      <b/>
      <sz val="10"/>
      <color rgb="FFFF0000"/>
      <name val="Arial Narrow"/>
      <family val="2"/>
    </font>
    <font>
      <b/>
      <sz val="10"/>
      <color rgb="FFFF0000"/>
      <name val="宋体"/>
      <family val="3"/>
      <charset val="134"/>
    </font>
    <font>
      <b/>
      <sz val="14"/>
      <name val="宋体"/>
      <family val="3"/>
      <charset val="134"/>
    </font>
    <font>
      <b/>
      <sz val="14"/>
      <name val="Arial Narrow"/>
      <family val="2"/>
    </font>
    <font>
      <sz val="10"/>
      <color rgb="FF000000"/>
      <name val="宋体"/>
      <family val="3"/>
      <charset val="134"/>
    </font>
    <font>
      <b/>
      <sz val="10"/>
      <color theme="0" tint="-0.499984740745262"/>
      <name val="Arial Narrow"/>
      <family val="2"/>
    </font>
    <font>
      <b/>
      <sz val="11"/>
      <color theme="1"/>
      <name val="Arial Narrow"/>
      <family val="2"/>
    </font>
    <font>
      <b/>
      <sz val="10"/>
      <color rgb="FFE92841"/>
      <name val="Arial Narrow"/>
      <family val="2"/>
    </font>
    <font>
      <sz val="12"/>
      <color indexed="12"/>
      <name val="仿宋_GB2312"/>
      <family val="3"/>
      <charset val="134"/>
    </font>
    <font>
      <sz val="10"/>
      <color rgb="FF0000FF"/>
      <name val="Arial Narrow"/>
      <family val="2"/>
    </font>
    <font>
      <sz val="10"/>
      <color rgb="FF0000FF"/>
      <name val="宋体"/>
      <family val="3"/>
      <charset val="134"/>
    </font>
    <font>
      <sz val="9"/>
      <color rgb="FF0000FF"/>
      <name val="Arial Narrow"/>
      <family val="2"/>
    </font>
    <font>
      <sz val="9"/>
      <color rgb="FF0000FF"/>
      <name val="宋体"/>
      <family val="3"/>
      <charset val="134"/>
    </font>
    <font>
      <b/>
      <sz val="10"/>
      <color rgb="FF0000FF"/>
      <name val="Arial Narrow"/>
      <family val="2"/>
    </font>
    <font>
      <sz val="9"/>
      <name val="宋体"/>
      <family val="3"/>
      <charset val="134"/>
    </font>
  </fonts>
  <fills count="3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theme="7" tint="0.7999816888943144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rgb="FF00B050"/>
        <bgColor indexed="64"/>
      </patternFill>
    </fill>
  </fills>
  <borders count="3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medium">
        <color indexed="64"/>
      </bottom>
      <diagonal/>
    </border>
    <border>
      <left/>
      <right/>
      <top style="medium">
        <color indexed="64"/>
      </top>
      <bottom style="medium">
        <color indexed="64"/>
      </bottom>
      <diagonal/>
    </border>
    <border diagonalDown="1">
      <left style="hair">
        <color indexed="64"/>
      </left>
      <right style="hair">
        <color indexed="64"/>
      </right>
      <top style="hair">
        <color indexed="64"/>
      </top>
      <bottom/>
      <diagonal style="hair">
        <color indexed="64"/>
      </diagonal>
    </border>
    <border diagonalDown="1">
      <left style="hair">
        <color indexed="64"/>
      </left>
      <right style="hair">
        <color indexed="64"/>
      </right>
      <top/>
      <bottom style="hair">
        <color indexed="64"/>
      </bottom>
      <diagonal style="hair">
        <color indexed="64"/>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hair">
        <color auto="1"/>
      </top>
      <bottom style="hair">
        <color auto="1"/>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style="hair">
        <color auto="1"/>
      </left>
      <right style="hair">
        <color auto="1"/>
      </right>
      <top style="hair">
        <color auto="1"/>
      </top>
      <bottom style="hair">
        <color auto="1"/>
      </bottom>
      <diagonal/>
    </border>
    <border>
      <left/>
      <right/>
      <top/>
      <bottom style="hair">
        <color indexed="64"/>
      </bottom>
      <diagonal/>
    </border>
  </borders>
  <cellStyleXfs count="314">
    <xf numFmtId="0" fontId="0" fillId="0" borderId="0">
      <protection locked="0"/>
    </xf>
    <xf numFmtId="49" fontId="22" fillId="0" borderId="0" applyProtection="0">
      <alignment horizontal="left"/>
    </xf>
    <xf numFmtId="188" fontId="22" fillId="0" borderId="0" applyFill="0" applyBorder="0" applyProtection="0">
      <alignment horizontal="right"/>
    </xf>
    <xf numFmtId="185" fontId="22" fillId="0" borderId="0" applyFill="0" applyBorder="0" applyProtection="0">
      <alignment horizontal="right"/>
    </xf>
    <xf numFmtId="187" fontId="46" fillId="0" borderId="0" applyFill="0" applyBorder="0" applyProtection="0">
      <alignment horizontal="center"/>
    </xf>
    <xf numFmtId="186" fontId="46" fillId="0" borderId="0" applyFill="0" applyBorder="0" applyProtection="0">
      <alignment horizontal="center"/>
    </xf>
    <xf numFmtId="189" fontId="47" fillId="0" borderId="0" applyFill="0" applyBorder="0" applyProtection="0">
      <alignment horizontal="right"/>
    </xf>
    <xf numFmtId="190" fontId="22" fillId="0" borderId="0" applyFill="0" applyBorder="0" applyProtection="0">
      <alignment horizontal="right"/>
    </xf>
    <xf numFmtId="191" fontId="22" fillId="0" borderId="0" applyFill="0" applyBorder="0" applyProtection="0">
      <alignment horizontal="right"/>
    </xf>
    <xf numFmtId="194" fontId="22" fillId="0" borderId="0" applyFill="0" applyBorder="0" applyProtection="0">
      <alignment horizontal="right"/>
    </xf>
    <xf numFmtId="193" fontId="22" fillId="0" borderId="0" applyFill="0" applyBorder="0" applyProtection="0">
      <alignment horizontal="right"/>
    </xf>
    <xf numFmtId="3" fontId="7" fillId="0" borderId="0"/>
    <xf numFmtId="178" fontId="8" fillId="0" borderId="1" applyAlignment="0" applyProtection="0"/>
    <xf numFmtId="41" fontId="9" fillId="0" borderId="0" applyFont="0" applyFill="0" applyBorder="0" applyAlignment="0" applyProtection="0"/>
    <xf numFmtId="43" fontId="9" fillId="0" borderId="0" applyFont="0" applyFill="0" applyBorder="0" applyAlignment="0" applyProtection="0"/>
    <xf numFmtId="192" fontId="22" fillId="0" borderId="0" applyFont="0" applyFill="0" applyBorder="0" applyAlignment="0" applyProtection="0"/>
    <xf numFmtId="0" fontId="10" fillId="0" borderId="0" applyNumberFormat="0" applyFill="0" applyBorder="0" applyAlignment="0" applyProtection="0">
      <alignment vertical="top"/>
      <protection locked="0"/>
    </xf>
    <xf numFmtId="38" fontId="11" fillId="2" borderId="0" applyNumberFormat="0" applyBorder="0" applyAlignment="0" applyProtection="0"/>
    <xf numFmtId="0" fontId="12" fillId="0" borderId="0" applyNumberFormat="0" applyFill="0" applyBorder="0" applyAlignment="0" applyProtection="0">
      <alignment vertical="top"/>
      <protection locked="0"/>
    </xf>
    <xf numFmtId="10" fontId="11" fillId="3" borderId="2" applyNumberFormat="0" applyBorder="0" applyAlignment="0" applyProtection="0"/>
    <xf numFmtId="182" fontId="13" fillId="0" borderId="0" applyFont="0" applyFill="0" applyBorder="0" applyAlignment="0" applyProtection="0"/>
    <xf numFmtId="183" fontId="13" fillId="0" borderId="0" applyFont="0" applyFill="0" applyBorder="0" applyAlignment="0" applyProtection="0"/>
    <xf numFmtId="0" fontId="14" fillId="0" borderId="0"/>
    <xf numFmtId="181" fontId="13" fillId="0" borderId="0"/>
    <xf numFmtId="10" fontId="9" fillId="0" borderId="0" applyFont="0" applyFill="0" applyBorder="0" applyAlignment="0" applyProtection="0"/>
    <xf numFmtId="3" fontId="15" fillId="0" borderId="0"/>
    <xf numFmtId="9" fontId="13" fillId="0" borderId="0" applyFont="0" applyFill="0" applyBorder="0" applyAlignment="0" applyProtection="0"/>
    <xf numFmtId="9" fontId="13" fillId="0" borderId="0" applyFont="0" applyFill="0" applyBorder="0" applyAlignment="0" applyProtection="0">
      <alignment vertical="center"/>
    </xf>
    <xf numFmtId="0" fontId="50" fillId="0" borderId="0">
      <alignment vertical="center"/>
    </xf>
    <xf numFmtId="0" fontId="13" fillId="0" borderId="0">
      <alignment vertical="center"/>
      <protection locked="0"/>
    </xf>
    <xf numFmtId="0" fontId="13" fillId="0" borderId="0">
      <alignment vertical="center"/>
    </xf>
    <xf numFmtId="0" fontId="26" fillId="0" borderId="0"/>
    <xf numFmtId="0" fontId="26" fillId="0" borderId="0"/>
    <xf numFmtId="0" fontId="13" fillId="0" borderId="0"/>
    <xf numFmtId="0" fontId="13" fillId="0" borderId="0">
      <protection locked="0"/>
    </xf>
    <xf numFmtId="0" fontId="13" fillId="0" borderId="0" applyFill="0" applyBorder="0"/>
    <xf numFmtId="0" fontId="16" fillId="0" borderId="0" applyNumberFormat="0" applyFill="0" applyBorder="0" applyAlignment="0" applyProtection="0">
      <alignment vertical="top"/>
      <protection locked="0"/>
    </xf>
    <xf numFmtId="0" fontId="17" fillId="0" borderId="0"/>
    <xf numFmtId="43" fontId="13" fillId="0" borderId="0" applyFont="0" applyFill="0" applyBorder="0" applyAlignment="0" applyProtection="0"/>
    <xf numFmtId="43" fontId="13" fillId="0" borderId="0" applyFont="0" applyFill="0" applyBorder="0" applyAlignment="0" applyProtection="0">
      <alignment vertical="center"/>
    </xf>
    <xf numFmtId="0" fontId="13" fillId="0" borderId="0">
      <protection locked="0"/>
    </xf>
    <xf numFmtId="0" fontId="9" fillId="0" borderId="0"/>
    <xf numFmtId="0" fontId="9" fillId="0" borderId="0"/>
    <xf numFmtId="0" fontId="9" fillId="0" borderId="0"/>
    <xf numFmtId="0" fontId="9" fillId="0" borderId="0"/>
    <xf numFmtId="0" fontId="9" fillId="0" borderId="0"/>
    <xf numFmtId="0" fontId="51" fillId="0" borderId="0">
      <alignment vertical="top"/>
      <protection locked="0"/>
    </xf>
    <xf numFmtId="0" fontId="51" fillId="0" borderId="0">
      <alignment vertical="top"/>
      <protection locked="0"/>
    </xf>
    <xf numFmtId="0" fontId="51" fillId="0" borderId="0">
      <alignment vertical="top"/>
      <protection locked="0"/>
    </xf>
    <xf numFmtId="0" fontId="51" fillId="0" borderId="0">
      <alignment vertical="top"/>
    </xf>
    <xf numFmtId="0" fontId="26" fillId="0" borderId="0"/>
    <xf numFmtId="0" fontId="51" fillId="0" borderId="0">
      <alignment vertical="top"/>
    </xf>
    <xf numFmtId="0" fontId="51" fillId="0" borderId="0">
      <alignment vertical="top"/>
      <protection locked="0"/>
    </xf>
    <xf numFmtId="0" fontId="51" fillId="0" borderId="0">
      <alignment vertical="top"/>
    </xf>
    <xf numFmtId="0" fontId="51" fillId="0" borderId="0">
      <alignment vertical="top"/>
    </xf>
    <xf numFmtId="0" fontId="51" fillId="0" borderId="0">
      <alignment vertical="top"/>
      <protection locked="0"/>
    </xf>
    <xf numFmtId="0" fontId="51" fillId="0" borderId="0">
      <alignment vertical="top"/>
      <protection locked="0"/>
    </xf>
    <xf numFmtId="0" fontId="51" fillId="0" borderId="0">
      <alignment vertical="top"/>
      <protection locked="0"/>
    </xf>
    <xf numFmtId="0" fontId="51" fillId="0" borderId="0">
      <alignment vertical="top"/>
    </xf>
    <xf numFmtId="0" fontId="51" fillId="0" borderId="0">
      <alignment vertical="top"/>
    </xf>
    <xf numFmtId="0" fontId="51" fillId="0" borderId="0">
      <alignment vertical="top"/>
      <protection locked="0"/>
    </xf>
    <xf numFmtId="0" fontId="51" fillId="0" borderId="0">
      <alignment vertical="top"/>
    </xf>
    <xf numFmtId="0" fontId="51" fillId="0" borderId="0">
      <alignment vertical="top"/>
    </xf>
    <xf numFmtId="0" fontId="51" fillId="0" borderId="0">
      <alignment vertical="top"/>
    </xf>
    <xf numFmtId="0" fontId="51" fillId="0" borderId="0">
      <alignment vertical="top"/>
      <protection locked="0"/>
    </xf>
    <xf numFmtId="0" fontId="51" fillId="0" borderId="0">
      <alignment vertical="top"/>
    </xf>
    <xf numFmtId="0" fontId="51" fillId="0" borderId="0">
      <alignment vertical="top"/>
      <protection locked="0"/>
    </xf>
    <xf numFmtId="0" fontId="51" fillId="0" borderId="0">
      <alignment vertical="top"/>
      <protection locked="0"/>
    </xf>
    <xf numFmtId="0" fontId="51" fillId="0" borderId="0">
      <alignment vertical="top"/>
      <protection locked="0"/>
    </xf>
    <xf numFmtId="0" fontId="51" fillId="0" borderId="0">
      <alignment vertical="top"/>
    </xf>
    <xf numFmtId="0" fontId="51" fillId="0" borderId="0">
      <alignment vertical="top"/>
    </xf>
    <xf numFmtId="0" fontId="51" fillId="0" borderId="0">
      <alignment vertical="top"/>
    </xf>
    <xf numFmtId="0" fontId="51" fillId="0" borderId="0">
      <alignment vertical="top"/>
    </xf>
    <xf numFmtId="0" fontId="51" fillId="0" borderId="0">
      <alignment vertical="top"/>
      <protection locked="0"/>
    </xf>
    <xf numFmtId="0" fontId="51" fillId="0" borderId="0">
      <alignment vertical="top"/>
      <protection locked="0"/>
    </xf>
    <xf numFmtId="0" fontId="51" fillId="0" borderId="0">
      <alignment vertical="top"/>
    </xf>
    <xf numFmtId="0" fontId="51" fillId="0" borderId="0">
      <alignment vertical="top"/>
      <protection locked="0"/>
    </xf>
    <xf numFmtId="195" fontId="52" fillId="0" borderId="0" applyFont="0" applyFill="0" applyBorder="0" applyAlignment="0" applyProtection="0"/>
    <xf numFmtId="184" fontId="52" fillId="0" borderId="0" applyFont="0" applyFill="0" applyBorder="0" applyAlignment="0" applyProtection="0"/>
    <xf numFmtId="10" fontId="52" fillId="0" borderId="0" applyFont="0" applyFill="0" applyBorder="0" applyAlignment="0" applyProtection="0"/>
    <xf numFmtId="196" fontId="51" fillId="0" borderId="0" applyFill="0" applyBorder="0" applyAlignment="0"/>
    <xf numFmtId="197" fontId="9" fillId="0" borderId="0" applyFill="0" applyBorder="0" applyAlignment="0"/>
    <xf numFmtId="198" fontId="9" fillId="0" borderId="0" applyFill="0" applyBorder="0" applyAlignment="0"/>
    <xf numFmtId="199" fontId="9" fillId="0" borderId="0" applyFill="0" applyBorder="0" applyAlignment="0"/>
    <xf numFmtId="200" fontId="9" fillId="0" borderId="0" applyFill="0" applyBorder="0" applyAlignment="0"/>
    <xf numFmtId="201" fontId="9" fillId="0" borderId="0" applyFill="0" applyBorder="0" applyAlignment="0"/>
    <xf numFmtId="202" fontId="9" fillId="0" borderId="0" applyFill="0" applyBorder="0" applyAlignment="0"/>
    <xf numFmtId="197" fontId="9" fillId="0" borderId="0" applyFill="0" applyBorder="0" applyAlignment="0"/>
    <xf numFmtId="0" fontId="53" fillId="0" borderId="0"/>
    <xf numFmtId="0" fontId="54" fillId="0" borderId="11" applyNumberFormat="0" applyFill="0" applyProtection="0">
      <alignment horizontal="center"/>
    </xf>
    <xf numFmtId="0" fontId="55" fillId="0" borderId="12">
      <alignment horizontal="center"/>
    </xf>
    <xf numFmtId="203" fontId="9" fillId="0" borderId="0"/>
    <xf numFmtId="203" fontId="9" fillId="0" borderId="0"/>
    <xf numFmtId="203" fontId="9" fillId="0" borderId="0"/>
    <xf numFmtId="203" fontId="9" fillId="0" borderId="0"/>
    <xf numFmtId="203" fontId="9" fillId="0" borderId="0"/>
    <xf numFmtId="203" fontId="9" fillId="0" borderId="0"/>
    <xf numFmtId="203" fontId="9" fillId="0" borderId="0"/>
    <xf numFmtId="203" fontId="9" fillId="0" borderId="0"/>
    <xf numFmtId="38" fontId="56" fillId="0" borderId="0" applyFont="0" applyFill="0" applyBorder="0" applyAlignment="0" applyProtection="0"/>
    <xf numFmtId="201" fontId="9" fillId="0" borderId="0" applyFont="0" applyFill="0" applyBorder="0" applyAlignment="0" applyProtection="0"/>
    <xf numFmtId="43" fontId="13" fillId="0" borderId="0" applyFont="0" applyFill="0" applyBorder="0" applyAlignment="0" applyProtection="0"/>
    <xf numFmtId="204" fontId="22" fillId="0" borderId="0"/>
    <xf numFmtId="37" fontId="52" fillId="0" borderId="0" applyFont="0" applyFill="0" applyBorder="0" applyAlignment="0" applyProtection="0"/>
    <xf numFmtId="205" fontId="52" fillId="0" borderId="0" applyFont="0" applyFill="0" applyBorder="0" applyAlignment="0" applyProtection="0"/>
    <xf numFmtId="39" fontId="52" fillId="0" borderId="0" applyFont="0" applyFill="0" applyBorder="0" applyAlignment="0" applyProtection="0"/>
    <xf numFmtId="40" fontId="56" fillId="0" borderId="0" applyFont="0" applyFill="0" applyBorder="0" applyAlignment="0" applyProtection="0"/>
    <xf numFmtId="206" fontId="13" fillId="0" borderId="0" applyFont="0" applyFill="0" applyBorder="0" applyAlignment="0" applyProtection="0"/>
    <xf numFmtId="197" fontId="9" fillId="0" borderId="0" applyFont="0" applyFill="0" applyBorder="0" applyAlignment="0" applyProtection="0"/>
    <xf numFmtId="178" fontId="52" fillId="0" borderId="0" applyFont="0" applyFill="0" applyBorder="0" applyAlignment="0" applyProtection="0"/>
    <xf numFmtId="207" fontId="52" fillId="0" borderId="0" applyFont="0" applyFill="0" applyBorder="0" applyAlignment="0" applyProtection="0"/>
    <xf numFmtId="208" fontId="13" fillId="0" borderId="0" applyFont="0" applyFill="0" applyBorder="0" applyAlignment="0" applyProtection="0"/>
    <xf numFmtId="209" fontId="22" fillId="0" borderId="0"/>
    <xf numFmtId="14" fontId="51" fillId="0" borderId="0" applyFill="0" applyBorder="0" applyAlignment="0"/>
    <xf numFmtId="210" fontId="22" fillId="0" borderId="0"/>
    <xf numFmtId="201" fontId="9" fillId="0" borderId="0" applyFill="0" applyBorder="0" applyAlignment="0"/>
    <xf numFmtId="197" fontId="9" fillId="0" borderId="0" applyFill="0" applyBorder="0" applyAlignment="0"/>
    <xf numFmtId="201" fontId="9" fillId="0" borderId="0" applyFill="0" applyBorder="0" applyAlignment="0"/>
    <xf numFmtId="202" fontId="9" fillId="0" borderId="0" applyFill="0" applyBorder="0" applyAlignment="0"/>
    <xf numFmtId="197" fontId="9" fillId="0" borderId="0" applyFill="0" applyBorder="0" applyAlignment="0"/>
    <xf numFmtId="0" fontId="57" fillId="0" borderId="0">
      <alignment horizontal="left"/>
    </xf>
    <xf numFmtId="0" fontId="11" fillId="5" borderId="2"/>
    <xf numFmtId="0" fontId="58" fillId="0" borderId="0">
      <alignment horizontal="left"/>
    </xf>
    <xf numFmtId="0" fontId="35" fillId="0" borderId="8" applyNumberFormat="0" applyAlignment="0" applyProtection="0">
      <alignment horizontal="left" vertical="center"/>
    </xf>
    <xf numFmtId="0" fontId="35" fillId="0" borderId="13">
      <alignment horizontal="left" vertical="center"/>
    </xf>
    <xf numFmtId="14" fontId="59" fillId="6" borderId="7">
      <alignment horizontal="center" vertical="center" wrapText="1"/>
    </xf>
    <xf numFmtId="0" fontId="22" fillId="0" borderId="0" applyNumberFormat="0" applyFont="0" applyFill="0" applyBorder="0" applyProtection="0">
      <alignment horizontal="left" vertical="center"/>
    </xf>
    <xf numFmtId="201" fontId="9" fillId="0" borderId="0" applyFill="0" applyBorder="0" applyAlignment="0"/>
    <xf numFmtId="197" fontId="9" fillId="0" borderId="0" applyFill="0" applyBorder="0" applyAlignment="0"/>
    <xf numFmtId="201" fontId="9" fillId="0" borderId="0" applyFill="0" applyBorder="0" applyAlignment="0"/>
    <xf numFmtId="202" fontId="9" fillId="0" borderId="0" applyFill="0" applyBorder="0" applyAlignment="0"/>
    <xf numFmtId="197" fontId="9" fillId="0" borderId="0" applyFill="0" applyBorder="0" applyAlignment="0"/>
    <xf numFmtId="41" fontId="9" fillId="0" borderId="0" applyFont="0" applyFill="0" applyBorder="0" applyAlignment="0" applyProtection="0"/>
    <xf numFmtId="43" fontId="9" fillId="0" borderId="0" applyFont="0" applyFill="0" applyBorder="0" applyAlignment="0" applyProtection="0"/>
    <xf numFmtId="0" fontId="60" fillId="0" borderId="7"/>
    <xf numFmtId="211" fontId="9" fillId="0" borderId="0" applyFont="0" applyFill="0" applyBorder="0" applyAlignment="0" applyProtection="0"/>
    <xf numFmtId="212" fontId="9" fillId="0" borderId="0" applyFont="0" applyFill="0" applyBorder="0" applyAlignment="0" applyProtection="0"/>
    <xf numFmtId="213" fontId="9" fillId="0" borderId="0" applyFont="0" applyFill="0" applyBorder="0" applyAlignment="0" applyProtection="0"/>
    <xf numFmtId="214" fontId="13" fillId="0" borderId="0" applyFont="0" applyFill="0" applyBorder="0" applyAlignment="0" applyProtection="0"/>
    <xf numFmtId="37" fontId="61" fillId="0" borderId="0"/>
    <xf numFmtId="0" fontId="13" fillId="0" borderId="0"/>
    <xf numFmtId="0" fontId="56" fillId="0" borderId="0"/>
    <xf numFmtId="0" fontId="62" fillId="0" borderId="0"/>
    <xf numFmtId="215" fontId="9" fillId="0" borderId="0" applyFont="0" applyFill="0" applyBorder="0" applyAlignment="0" applyProtection="0"/>
    <xf numFmtId="200" fontId="9" fillId="0" borderId="0" applyFont="0" applyFill="0" applyBorder="0" applyAlignment="0" applyProtection="0"/>
    <xf numFmtId="195" fontId="9" fillId="0" borderId="0" applyFont="0" applyFill="0" applyBorder="0" applyAlignment="0" applyProtection="0"/>
    <xf numFmtId="0" fontId="11" fillId="2" borderId="2"/>
    <xf numFmtId="201" fontId="9" fillId="0" borderId="0" applyFill="0" applyBorder="0" applyAlignment="0"/>
    <xf numFmtId="197" fontId="9" fillId="0" borderId="0" applyFill="0" applyBorder="0" applyAlignment="0"/>
    <xf numFmtId="201" fontId="9" fillId="0" borderId="0" applyFill="0" applyBorder="0" applyAlignment="0"/>
    <xf numFmtId="202" fontId="9" fillId="0" borderId="0" applyFill="0" applyBorder="0" applyAlignment="0"/>
    <xf numFmtId="197" fontId="9" fillId="0" borderId="0" applyFill="0" applyBorder="0" applyAlignment="0"/>
    <xf numFmtId="4" fontId="57" fillId="0" borderId="0">
      <alignment horizontal="right"/>
    </xf>
    <xf numFmtId="4" fontId="63" fillId="0" borderId="0">
      <alignment horizontal="right"/>
    </xf>
    <xf numFmtId="0" fontId="64" fillId="0" borderId="0">
      <alignment horizontal="left"/>
    </xf>
    <xf numFmtId="43" fontId="11" fillId="0" borderId="3"/>
    <xf numFmtId="0" fontId="65" fillId="0" borderId="2">
      <alignment horizontal="center"/>
    </xf>
    <xf numFmtId="0" fontId="65" fillId="0" borderId="0">
      <alignment horizontal="center" vertical="center"/>
    </xf>
    <xf numFmtId="0" fontId="66" fillId="7" borderId="0" applyNumberFormat="0" applyFill="0">
      <alignment horizontal="left" vertical="center"/>
    </xf>
    <xf numFmtId="0" fontId="60" fillId="0" borderId="0"/>
    <xf numFmtId="49" fontId="51" fillId="0" borderId="0" applyFill="0" applyBorder="0" applyAlignment="0"/>
    <xf numFmtId="216" fontId="51" fillId="0" borderId="0" applyFill="0" applyBorder="0" applyAlignment="0"/>
    <xf numFmtId="217" fontId="9" fillId="0" borderId="0" applyFill="0" applyBorder="0" applyAlignment="0"/>
    <xf numFmtId="0" fontId="34" fillId="0" borderId="0" applyFill="0" applyBorder="0" applyProtection="0">
      <alignment horizontal="left" vertical="top"/>
    </xf>
    <xf numFmtId="0" fontId="67" fillId="0" borderId="0">
      <alignment horizontal="center"/>
    </xf>
    <xf numFmtId="0" fontId="68" fillId="0" borderId="0" applyNumberFormat="0" applyFont="0" applyFill="0" applyBorder="0" applyProtection="0">
      <alignment horizontal="center" vertical="center" wrapText="1"/>
    </xf>
    <xf numFmtId="9" fontId="69" fillId="0" borderId="0" applyFont="0" applyFill="0" applyBorder="0" applyAlignment="0" applyProtection="0"/>
    <xf numFmtId="0" fontId="26" fillId="0" borderId="0"/>
    <xf numFmtId="0" fontId="9" fillId="0" borderId="0"/>
    <xf numFmtId="176" fontId="26" fillId="0" borderId="0" applyFont="0" applyFill="0" applyBorder="0" applyAlignment="0" applyProtection="0"/>
    <xf numFmtId="177" fontId="26"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 fontId="70" fillId="0" borderId="0">
      <alignment horizontal="right"/>
    </xf>
    <xf numFmtId="0" fontId="71" fillId="8" borderId="0" applyNumberFormat="0" applyBorder="0" applyAlignment="0" applyProtection="0">
      <alignment vertical="center"/>
    </xf>
    <xf numFmtId="0" fontId="13" fillId="0" borderId="0"/>
    <xf numFmtId="0" fontId="72" fillId="0" borderId="0">
      <alignment vertical="center"/>
    </xf>
    <xf numFmtId="0" fontId="13" fillId="0" borderId="0"/>
    <xf numFmtId="0" fontId="73" fillId="0" borderId="0" applyNumberFormat="0" applyFill="0" applyBorder="0" applyAlignment="0" applyProtection="0">
      <alignment vertical="top"/>
      <protection locked="0"/>
    </xf>
    <xf numFmtId="0" fontId="8" fillId="0" borderId="0" applyNumberFormat="0" applyFill="0" applyBorder="0" applyAlignment="0" applyProtection="0"/>
    <xf numFmtId="0" fontId="74" fillId="9" borderId="0" applyNumberFormat="0" applyBorder="0" applyAlignment="0" applyProtection="0">
      <alignment vertical="center"/>
    </xf>
    <xf numFmtId="4" fontId="68" fillId="0" borderId="0" applyFont="0" applyFill="0" applyBorder="0" applyAlignment="0" applyProtection="0"/>
    <xf numFmtId="41" fontId="9" fillId="0" borderId="0" applyFont="0" applyFill="0" applyBorder="0" applyAlignment="0" applyProtection="0"/>
    <xf numFmtId="218" fontId="26" fillId="0" borderId="0" applyFont="0" applyFill="0" applyBorder="0" applyAlignment="0" applyProtection="0"/>
    <xf numFmtId="8" fontId="13" fillId="0" borderId="0" applyFont="0" applyFill="0" applyBorder="0" applyAlignment="0" applyProtection="0"/>
    <xf numFmtId="219" fontId="26" fillId="0" borderId="0" applyFont="0" applyFill="0" applyBorder="0" applyAlignment="0" applyProtection="0"/>
    <xf numFmtId="220" fontId="26" fillId="0" borderId="0" applyFont="0" applyFill="0" applyBorder="0" applyAlignment="0" applyProtection="0"/>
    <xf numFmtId="179" fontId="26" fillId="0" borderId="0" applyFont="0" applyFill="0" applyBorder="0" applyAlignment="0" applyProtection="0"/>
    <xf numFmtId="180" fontId="26" fillId="0" borderId="0" applyFont="0" applyFill="0" applyBorder="0" applyAlignment="0" applyProtection="0"/>
    <xf numFmtId="0" fontId="22" fillId="0" borderId="0"/>
    <xf numFmtId="41" fontId="22" fillId="0" borderId="0" applyFont="0" applyFill="0" applyBorder="0" applyAlignment="0" applyProtection="0"/>
    <xf numFmtId="43" fontId="22"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75" fillId="0" borderId="0"/>
    <xf numFmtId="212" fontId="9" fillId="0" borderId="0" applyFont="0" applyFill="0" applyBorder="0" applyAlignment="0" applyProtection="0"/>
    <xf numFmtId="221" fontId="68" fillId="0" borderId="0" applyFont="0" applyFill="0" applyBorder="0" applyAlignment="0" applyProtection="0"/>
    <xf numFmtId="0" fontId="51" fillId="0" borderId="0">
      <alignment vertical="top"/>
    </xf>
    <xf numFmtId="38" fontId="76" fillId="0" borderId="0" applyFont="0" applyFill="0" applyBorder="0" applyAlignment="0" applyProtection="0"/>
    <xf numFmtId="40" fontId="76"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0" fontId="77" fillId="0" borderId="0"/>
    <xf numFmtId="43" fontId="13" fillId="0" borderId="0" applyFont="0" applyFill="0" applyBorder="0" applyAlignment="0" applyProtection="0"/>
    <xf numFmtId="0" fontId="13" fillId="0" borderId="0">
      <alignment vertical="center"/>
    </xf>
    <xf numFmtId="43" fontId="13" fillId="0" borderId="0" applyFont="0" applyFill="0" applyBorder="0" applyAlignment="0" applyProtection="0"/>
    <xf numFmtId="181" fontId="13" fillId="0" borderId="0"/>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0" fontId="50" fillId="0" borderId="0">
      <alignment vertical="center"/>
    </xf>
    <xf numFmtId="0" fontId="19" fillId="0" borderId="0"/>
    <xf numFmtId="0" fontId="19" fillId="0" borderId="0"/>
    <xf numFmtId="0" fontId="13" fillId="0" borderId="0">
      <alignment vertical="center"/>
      <protection locked="0"/>
    </xf>
    <xf numFmtId="0" fontId="13" fillId="0" borderId="0">
      <protection locked="0"/>
    </xf>
    <xf numFmtId="0" fontId="16" fillId="0" borderId="0" applyNumberFormat="0" applyFill="0" applyBorder="0" applyAlignment="0" applyProtection="0">
      <alignment vertical="top"/>
      <protection locked="0"/>
    </xf>
    <xf numFmtId="43" fontId="13" fillId="0" borderId="0" applyFont="0" applyFill="0" applyBorder="0" applyAlignment="0" applyProtection="0">
      <alignment vertical="center"/>
    </xf>
    <xf numFmtId="0" fontId="9" fillId="0" borderId="0"/>
    <xf numFmtId="192" fontId="88" fillId="11" borderId="0" applyNumberFormat="0" applyBorder="0" applyAlignment="0" applyProtection="0"/>
    <xf numFmtId="192" fontId="88" fillId="8" borderId="0" applyNumberFormat="0" applyBorder="0" applyAlignment="0" applyProtection="0"/>
    <xf numFmtId="192" fontId="88" fillId="9" borderId="0" applyNumberFormat="0" applyBorder="0" applyAlignment="0" applyProtection="0"/>
    <xf numFmtId="192" fontId="88" fillId="12" borderId="0" applyNumberFormat="0" applyBorder="0" applyAlignment="0" applyProtection="0"/>
    <xf numFmtId="192" fontId="88" fillId="13" borderId="0" applyNumberFormat="0" applyBorder="0" applyAlignment="0" applyProtection="0"/>
    <xf numFmtId="192" fontId="88" fillId="14" borderId="0" applyNumberFormat="0" applyBorder="0" applyAlignment="0" applyProtection="0"/>
    <xf numFmtId="192" fontId="88" fillId="15" borderId="0" applyNumberFormat="0" applyBorder="0" applyAlignment="0" applyProtection="0"/>
    <xf numFmtId="192" fontId="88" fillId="16" borderId="0" applyNumberFormat="0" applyBorder="0" applyAlignment="0" applyProtection="0"/>
    <xf numFmtId="192" fontId="88" fillId="17" borderId="0" applyNumberFormat="0" applyBorder="0" applyAlignment="0" applyProtection="0"/>
    <xf numFmtId="192" fontId="88" fillId="12" borderId="0" applyNumberFormat="0" applyBorder="0" applyAlignment="0" applyProtection="0"/>
    <xf numFmtId="192" fontId="88" fillId="15" borderId="0" applyNumberFormat="0" applyBorder="0" applyAlignment="0" applyProtection="0"/>
    <xf numFmtId="192" fontId="88" fillId="18" borderId="0" applyNumberFormat="0" applyBorder="0" applyAlignment="0" applyProtection="0"/>
    <xf numFmtId="192" fontId="89" fillId="19" borderId="0" applyNumberFormat="0" applyBorder="0" applyAlignment="0" applyProtection="0"/>
    <xf numFmtId="192" fontId="89" fillId="16" borderId="0" applyNumberFormat="0" applyBorder="0" applyAlignment="0" applyProtection="0"/>
    <xf numFmtId="192" fontId="89" fillId="17" borderId="0" applyNumberFormat="0" applyBorder="0" applyAlignment="0" applyProtection="0"/>
    <xf numFmtId="192" fontId="89" fillId="20" borderId="0" applyNumberFormat="0" applyBorder="0" applyAlignment="0" applyProtection="0"/>
    <xf numFmtId="192" fontId="89" fillId="21" borderId="0" applyNumberFormat="0" applyBorder="0" applyAlignment="0" applyProtection="0"/>
    <xf numFmtId="192" fontId="89" fillId="22" borderId="0" applyNumberFormat="0" applyBorder="0" applyAlignment="0" applyProtection="0"/>
    <xf numFmtId="192" fontId="89" fillId="23" borderId="0" applyNumberFormat="0" applyBorder="0" applyAlignment="0" applyProtection="0"/>
    <xf numFmtId="192" fontId="89" fillId="24" borderId="0" applyNumberFormat="0" applyBorder="0" applyAlignment="0" applyProtection="0"/>
    <xf numFmtId="192" fontId="89" fillId="25" borderId="0" applyNumberFormat="0" applyBorder="0" applyAlignment="0" applyProtection="0"/>
    <xf numFmtId="192" fontId="89" fillId="20" borderId="0" applyNumberFormat="0" applyBorder="0" applyAlignment="0" applyProtection="0"/>
    <xf numFmtId="192" fontId="89" fillId="21" borderId="0" applyNumberFormat="0" applyBorder="0" applyAlignment="0" applyProtection="0"/>
    <xf numFmtId="192" fontId="89" fillId="26" borderId="0" applyNumberFormat="0" applyBorder="0" applyAlignment="0" applyProtection="0"/>
    <xf numFmtId="192" fontId="90" fillId="8" borderId="0" applyNumberFormat="0" applyBorder="0" applyAlignment="0" applyProtection="0"/>
    <xf numFmtId="192" fontId="91" fillId="27" borderId="18" applyNumberFormat="0" applyAlignment="0" applyProtection="0"/>
    <xf numFmtId="192" fontId="92" fillId="28" borderId="19" applyNumberFormat="0" applyAlignment="0" applyProtection="0"/>
    <xf numFmtId="192" fontId="93" fillId="0" borderId="0" applyNumberFormat="0" applyFill="0" applyBorder="0" applyAlignment="0" applyProtection="0"/>
    <xf numFmtId="192" fontId="94" fillId="9" borderId="0" applyNumberFormat="0" applyBorder="0" applyAlignment="0" applyProtection="0"/>
    <xf numFmtId="192" fontId="95" fillId="0" borderId="20" applyNumberFormat="0" applyFill="0" applyAlignment="0" applyProtection="0"/>
    <xf numFmtId="192" fontId="96" fillId="0" borderId="21" applyNumberFormat="0" applyFill="0" applyAlignment="0" applyProtection="0"/>
    <xf numFmtId="192" fontId="97" fillId="0" borderId="22" applyNumberFormat="0" applyFill="0" applyAlignment="0" applyProtection="0"/>
    <xf numFmtId="192" fontId="97" fillId="0" borderId="0" applyNumberFormat="0" applyFill="0" applyBorder="0" applyAlignment="0" applyProtection="0"/>
    <xf numFmtId="192" fontId="98" fillId="14" borderId="18" applyNumberFormat="0" applyAlignment="0" applyProtection="0"/>
    <xf numFmtId="192" fontId="99" fillId="0" borderId="23" applyNumberFormat="0" applyFill="0" applyAlignment="0" applyProtection="0"/>
    <xf numFmtId="192" fontId="100" fillId="29" borderId="0" applyNumberFormat="0" applyBorder="0" applyAlignment="0" applyProtection="0"/>
    <xf numFmtId="0" fontId="9" fillId="0" borderId="0"/>
    <xf numFmtId="0" fontId="9" fillId="0" borderId="0"/>
    <xf numFmtId="0" fontId="13" fillId="0" borderId="0">
      <alignment vertical="center"/>
    </xf>
    <xf numFmtId="192" fontId="9" fillId="30" borderId="24" applyNumberFormat="0" applyFont="0" applyAlignment="0" applyProtection="0"/>
    <xf numFmtId="192" fontId="101" fillId="27" borderId="25" applyNumberFormat="0" applyAlignment="0" applyProtection="0"/>
    <xf numFmtId="192" fontId="102" fillId="0" borderId="26" applyNumberFormat="0" applyFill="0" applyAlignment="0" applyProtection="0"/>
    <xf numFmtId="192" fontId="103" fillId="0" borderId="0" applyNumberFormat="0" applyFill="0" applyBorder="0" applyAlignment="0" applyProtection="0"/>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3" fillId="0" borderId="0">
      <alignment vertical="center"/>
    </xf>
    <xf numFmtId="0" fontId="13" fillId="0" borderId="0">
      <alignment vertical="center"/>
    </xf>
    <xf numFmtId="0" fontId="13"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5" fillId="0" borderId="0" applyNumberFormat="0" applyBorder="0" applyAlignment="0">
      <alignment vertical="center"/>
      <protection locked="0"/>
    </xf>
    <xf numFmtId="0" fontId="13" fillId="0" borderId="0">
      <alignment vertical="center"/>
    </xf>
    <xf numFmtId="0" fontId="13" fillId="0" borderId="0">
      <alignment vertical="center"/>
    </xf>
    <xf numFmtId="0" fontId="13" fillId="0" borderId="0">
      <alignment vertical="center"/>
    </xf>
    <xf numFmtId="0" fontId="72" fillId="0" borderId="0" applyNumberFormat="0" applyBorder="0" applyProtection="0">
      <alignment vertical="center"/>
    </xf>
    <xf numFmtId="0" fontId="13" fillId="0" borderId="0">
      <protection locked="0"/>
    </xf>
    <xf numFmtId="0" fontId="13" fillId="0" borderId="0">
      <alignment vertical="center"/>
    </xf>
    <xf numFmtId="0" fontId="9"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04" fillId="0" borderId="0">
      <alignment vertical="center"/>
    </xf>
    <xf numFmtId="0" fontId="104" fillId="0" borderId="0">
      <alignment vertical="center"/>
    </xf>
    <xf numFmtId="0" fontId="104" fillId="0" borderId="0">
      <alignment vertical="center"/>
    </xf>
    <xf numFmtId="0" fontId="13" fillId="0" borderId="0"/>
    <xf numFmtId="0" fontId="105" fillId="0" borderId="0" applyNumberFormat="0" applyBorder="0" applyAlignment="0" applyProtection="0">
      <alignment vertical="center"/>
    </xf>
    <xf numFmtId="0" fontId="104" fillId="0" borderId="0">
      <alignment vertical="center"/>
    </xf>
    <xf numFmtId="0" fontId="6"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3" fillId="0" borderId="0" applyFill="0" applyBorder="0"/>
    <xf numFmtId="192" fontId="16" fillId="0" borderId="0" applyNumberFormat="0" applyFill="0" applyBorder="0" applyAlignment="0" applyProtection="0">
      <alignment vertical="top"/>
      <protection locked="0"/>
    </xf>
    <xf numFmtId="192" fontId="4" fillId="0" borderId="0">
      <alignment vertical="center"/>
    </xf>
    <xf numFmtId="43" fontId="13" fillId="0" borderId="0" applyFont="0" applyFill="0" applyBorder="0" applyAlignment="0" applyProtection="0"/>
    <xf numFmtId="192" fontId="13" fillId="0" borderId="0">
      <alignment vertical="center"/>
    </xf>
    <xf numFmtId="192" fontId="3" fillId="0" borderId="0">
      <alignment vertical="center"/>
    </xf>
    <xf numFmtId="0" fontId="13" fillId="0" borderId="0">
      <alignment vertical="center"/>
      <protection locked="0"/>
    </xf>
    <xf numFmtId="0" fontId="13" fillId="0" borderId="0">
      <alignment vertical="center"/>
    </xf>
    <xf numFmtId="192" fontId="2" fillId="0" borderId="0">
      <alignment vertical="center"/>
    </xf>
  </cellStyleXfs>
  <cellXfs count="356">
    <xf numFmtId="0" fontId="0" fillId="0" borderId="0" xfId="0">
      <protection locked="0"/>
    </xf>
    <xf numFmtId="0" fontId="19" fillId="0" borderId="0" xfId="32" applyFont="1" applyBorder="1" applyAlignment="1">
      <alignment vertical="center"/>
    </xf>
    <xf numFmtId="0" fontId="20" fillId="0" borderId="0" xfId="34" applyFont="1" applyAlignment="1">
      <alignment vertical="center"/>
      <protection locked="0"/>
    </xf>
    <xf numFmtId="0" fontId="27" fillId="0" borderId="0" xfId="34" applyFont="1" applyAlignment="1">
      <alignment vertical="center"/>
      <protection locked="0"/>
    </xf>
    <xf numFmtId="0" fontId="13" fillId="0" borderId="0" xfId="34" applyFont="1" applyAlignment="1">
      <alignment vertical="center"/>
      <protection locked="0"/>
    </xf>
    <xf numFmtId="0" fontId="13" fillId="0" borderId="0" xfId="34" applyAlignment="1">
      <alignment vertical="center"/>
      <protection locked="0"/>
    </xf>
    <xf numFmtId="0" fontId="19" fillId="4" borderId="0" xfId="34" applyFont="1" applyFill="1" applyBorder="1" applyAlignment="1">
      <alignment horizontal="justify" vertical="center" wrapText="1"/>
      <protection locked="0"/>
    </xf>
    <xf numFmtId="0" fontId="32" fillId="0" borderId="0" xfId="34" applyFont="1" applyBorder="1" applyAlignment="1">
      <alignment horizontal="justify" wrapText="1"/>
      <protection locked="0"/>
    </xf>
    <xf numFmtId="0" fontId="13" fillId="0" borderId="0" xfId="34" applyFont="1" applyAlignment="1">
      <alignment horizontal="center" vertical="center"/>
      <protection locked="0"/>
    </xf>
    <xf numFmtId="0" fontId="21" fillId="0" borderId="0" xfId="34" applyFont="1" applyBorder="1" applyAlignment="1">
      <alignment horizontal="justify" wrapText="1"/>
      <protection locked="0"/>
    </xf>
    <xf numFmtId="0" fontId="13" fillId="0" borderId="0" xfId="34">
      <protection locked="0"/>
    </xf>
    <xf numFmtId="0" fontId="27" fillId="0" borderId="0" xfId="34" applyFont="1">
      <protection locked="0"/>
    </xf>
    <xf numFmtId="0" fontId="21" fillId="0" borderId="0" xfId="34" applyFont="1" applyBorder="1" applyAlignment="1">
      <alignment horizontal="justify" vertical="top" wrapText="1"/>
      <protection locked="0"/>
    </xf>
    <xf numFmtId="0" fontId="27" fillId="0" borderId="0" xfId="34" applyFont="1" applyBorder="1">
      <protection locked="0"/>
    </xf>
    <xf numFmtId="0" fontId="33" fillId="0" borderId="0" xfId="34" applyFont="1" applyBorder="1" applyAlignment="1">
      <alignment horizontal="justify" wrapText="1"/>
      <protection locked="0"/>
    </xf>
    <xf numFmtId="0" fontId="13" fillId="0" borderId="0" xfId="34" applyBorder="1">
      <protection locked="0"/>
    </xf>
    <xf numFmtId="0" fontId="13" fillId="0" borderId="0" xfId="34" applyFont="1">
      <protection locked="0"/>
    </xf>
    <xf numFmtId="0" fontId="13" fillId="0" borderId="0" xfId="34" applyFont="1" applyAlignment="1">
      <alignment horizontal="left"/>
      <protection locked="0"/>
    </xf>
    <xf numFmtId="0" fontId="39" fillId="0" borderId="0" xfId="30" applyFont="1" applyAlignment="1">
      <alignment vertical="center"/>
    </xf>
    <xf numFmtId="43" fontId="39" fillId="0" borderId="0" xfId="35" applyNumberFormat="1" applyFont="1" applyBorder="1" applyAlignment="1">
      <alignment vertical="center"/>
    </xf>
    <xf numFmtId="43" fontId="40" fillId="0" borderId="0" xfId="35" applyNumberFormat="1" applyFont="1" applyBorder="1" applyAlignment="1">
      <alignment vertical="center"/>
    </xf>
    <xf numFmtId="49" fontId="40" fillId="0" borderId="0" xfId="35" applyNumberFormat="1" applyFont="1" applyBorder="1" applyAlignment="1">
      <alignment vertical="center"/>
    </xf>
    <xf numFmtId="0" fontId="40" fillId="0" borderId="0" xfId="31" applyFont="1" applyBorder="1" applyAlignment="1">
      <alignment vertical="center"/>
    </xf>
    <xf numFmtId="43" fontId="44" fillId="0" borderId="0" xfId="35" applyNumberFormat="1" applyFont="1" applyBorder="1" applyAlignment="1">
      <alignment vertical="center"/>
    </xf>
    <xf numFmtId="43" fontId="40" fillId="0" borderId="3" xfId="38" applyFont="1" applyBorder="1" applyAlignment="1">
      <alignment vertical="center"/>
    </xf>
    <xf numFmtId="0" fontId="42" fillId="0" borderId="0" xfId="33" applyFont="1" applyAlignment="1">
      <alignment horizontal="center" vertical="center"/>
    </xf>
    <xf numFmtId="0" fontId="40" fillId="0" borderId="0" xfId="33" applyFont="1" applyAlignment="1">
      <alignment vertical="center"/>
    </xf>
    <xf numFmtId="0" fontId="43" fillId="0" borderId="0" xfId="33" applyFont="1" applyBorder="1" applyAlignment="1">
      <alignment vertical="center"/>
    </xf>
    <xf numFmtId="0" fontId="40" fillId="0" borderId="0" xfId="33" applyFont="1" applyBorder="1" applyAlignment="1">
      <alignment vertical="center"/>
    </xf>
    <xf numFmtId="0" fontId="40" fillId="0" borderId="0" xfId="32" applyFont="1" applyAlignment="1">
      <alignment vertical="center"/>
    </xf>
    <xf numFmtId="0" fontId="40" fillId="0" borderId="0" xfId="32" applyFont="1" applyBorder="1" applyAlignment="1">
      <alignment vertical="center"/>
    </xf>
    <xf numFmtId="0" fontId="40" fillId="0" borderId="0" xfId="32" applyFont="1" applyBorder="1" applyAlignment="1">
      <alignment horizontal="center" vertical="center"/>
    </xf>
    <xf numFmtId="0" fontId="40" fillId="0" borderId="3" xfId="32" applyFont="1" applyBorder="1" applyAlignment="1">
      <alignment vertical="center"/>
    </xf>
    <xf numFmtId="0" fontId="23" fillId="0" borderId="0" xfId="30" applyFont="1" applyBorder="1" applyAlignment="1">
      <alignment vertical="center"/>
    </xf>
    <xf numFmtId="0" fontId="43" fillId="0" borderId="0" xfId="33" applyFont="1" applyAlignment="1">
      <alignment vertical="center"/>
    </xf>
    <xf numFmtId="0" fontId="40" fillId="0" borderId="0" xfId="30" applyFont="1" applyAlignment="1">
      <alignment vertical="center"/>
    </xf>
    <xf numFmtId="0" fontId="39" fillId="0" borderId="0" xfId="32" applyFont="1" applyAlignment="1">
      <alignment vertical="center"/>
    </xf>
    <xf numFmtId="0" fontId="40" fillId="0" borderId="0" xfId="40" applyFont="1" applyBorder="1" applyAlignment="1">
      <alignment vertical="center"/>
      <protection locked="0"/>
    </xf>
    <xf numFmtId="0" fontId="40" fillId="0" borderId="0" xfId="40" applyFont="1" applyAlignment="1">
      <alignment vertical="center"/>
      <protection locked="0"/>
    </xf>
    <xf numFmtId="0" fontId="19" fillId="0" borderId="0" xfId="40" applyFont="1" applyBorder="1" applyAlignment="1">
      <alignment horizontal="right" vertical="center"/>
      <protection locked="0"/>
    </xf>
    <xf numFmtId="0" fontId="19" fillId="0" borderId="0" xfId="40" applyFont="1" applyBorder="1" applyAlignment="1">
      <alignment vertical="center"/>
      <protection locked="0"/>
    </xf>
    <xf numFmtId="0" fontId="23" fillId="0" borderId="0" xfId="40" applyFont="1" applyBorder="1" applyAlignment="1">
      <alignment vertical="center"/>
      <protection locked="0"/>
    </xf>
    <xf numFmtId="0" fontId="41" fillId="0" borderId="0" xfId="40" applyFont="1" applyAlignment="1">
      <alignment vertical="center"/>
      <protection locked="0"/>
    </xf>
    <xf numFmtId="0" fontId="19" fillId="0" borderId="0" xfId="40" applyFont="1" applyAlignment="1">
      <alignment vertical="center"/>
      <protection locked="0"/>
    </xf>
    <xf numFmtId="0" fontId="40" fillId="0" borderId="3" xfId="40" applyFont="1" applyBorder="1" applyAlignment="1">
      <alignment vertical="center"/>
      <protection locked="0"/>
    </xf>
    <xf numFmtId="0" fontId="45" fillId="0" borderId="0" xfId="40" applyFont="1" applyAlignment="1">
      <alignment vertical="center"/>
      <protection locked="0"/>
    </xf>
    <xf numFmtId="0" fontId="31" fillId="0" borderId="0" xfId="40" applyFont="1" applyAlignment="1">
      <alignment vertical="center"/>
      <protection locked="0"/>
    </xf>
    <xf numFmtId="0" fontId="29" fillId="0" borderId="0" xfId="40" applyFont="1" applyBorder="1" applyAlignment="1">
      <alignment vertical="center"/>
      <protection locked="0"/>
    </xf>
    <xf numFmtId="0" fontId="45" fillId="0" borderId="0" xfId="40" applyFont="1" applyBorder="1" applyAlignment="1">
      <alignment vertical="center"/>
      <protection locked="0"/>
    </xf>
    <xf numFmtId="0" fontId="45" fillId="0" borderId="0" xfId="40" applyFont="1" applyBorder="1" applyAlignment="1">
      <alignment horizontal="left" vertical="center" wrapText="1"/>
      <protection locked="0"/>
    </xf>
    <xf numFmtId="0" fontId="40" fillId="0" borderId="0" xfId="40" applyFont="1" applyBorder="1" applyAlignment="1">
      <alignment horizontal="justify" vertical="center" wrapText="1"/>
      <protection locked="0"/>
    </xf>
    <xf numFmtId="0" fontId="40" fillId="0" borderId="0" xfId="40" applyFont="1" applyFill="1" applyBorder="1" applyAlignment="1">
      <alignment horizontal="left" vertical="center"/>
      <protection locked="0"/>
    </xf>
    <xf numFmtId="0" fontId="40" fillId="0" borderId="0" xfId="204" applyFont="1" applyAlignment="1">
      <alignment vertical="center"/>
    </xf>
    <xf numFmtId="0" fontId="39" fillId="0" borderId="0" xfId="204" applyFont="1" applyAlignment="1">
      <alignment vertical="center"/>
    </xf>
    <xf numFmtId="43" fontId="40" fillId="0" borderId="0" xfId="205" applyFont="1" applyBorder="1" applyAlignment="1" applyProtection="1">
      <alignment vertical="center"/>
      <protection locked="0"/>
    </xf>
    <xf numFmtId="43" fontId="40" fillId="0" borderId="0" xfId="205" applyFont="1" applyAlignment="1" applyProtection="1">
      <alignment vertical="center"/>
      <protection locked="0"/>
    </xf>
    <xf numFmtId="43" fontId="41" fillId="0" borderId="0" xfId="205" applyFont="1" applyBorder="1" applyAlignment="1" applyProtection="1">
      <alignment vertical="center"/>
      <protection locked="0"/>
    </xf>
    <xf numFmtId="43" fontId="40" fillId="0" borderId="0" xfId="205" applyFont="1" applyBorder="1" applyAlignment="1" applyProtection="1">
      <alignment horizontal="right" vertical="center"/>
      <protection locked="0"/>
    </xf>
    <xf numFmtId="43" fontId="41" fillId="0" borderId="0" xfId="205" applyFont="1" applyAlignment="1" applyProtection="1">
      <alignment horizontal="center" vertical="center"/>
      <protection locked="0"/>
    </xf>
    <xf numFmtId="43" fontId="41" fillId="0" borderId="0" xfId="205" applyFont="1" applyAlignment="1" applyProtection="1">
      <alignment vertical="center"/>
      <protection locked="0"/>
    </xf>
    <xf numFmtId="43" fontId="40" fillId="0" borderId="3" xfId="205" applyFont="1" applyBorder="1" applyAlignment="1" applyProtection="1">
      <alignment vertical="center"/>
      <protection locked="0"/>
    </xf>
    <xf numFmtId="43" fontId="40" fillId="0" borderId="3" xfId="205" applyFont="1" applyBorder="1" applyAlignment="1" applyProtection="1">
      <alignment horizontal="right" vertical="center"/>
      <protection locked="0"/>
    </xf>
    <xf numFmtId="43" fontId="40" fillId="0" borderId="0" xfId="205" applyFont="1" applyAlignment="1" applyProtection="1"/>
    <xf numFmtId="43" fontId="40" fillId="0" borderId="0" xfId="205" applyFont="1" applyAlignment="1"/>
    <xf numFmtId="43" fontId="40" fillId="0" borderId="0" xfId="205" applyFont="1" applyFill="1" applyBorder="1" applyAlignment="1" applyProtection="1">
      <alignment vertical="center"/>
      <protection locked="0"/>
    </xf>
    <xf numFmtId="0" fontId="13" fillId="0" borderId="0" xfId="40" applyAlignment="1" applyProtection="1"/>
    <xf numFmtId="40" fontId="87" fillId="0" borderId="0" xfId="205" applyNumberFormat="1" applyFont="1" applyAlignment="1"/>
    <xf numFmtId="43" fontId="41" fillId="0" borderId="0" xfId="205" applyFont="1" applyFill="1" applyBorder="1" applyAlignment="1" applyProtection="1">
      <alignment vertical="center"/>
      <protection locked="0"/>
    </xf>
    <xf numFmtId="43" fontId="41" fillId="0" borderId="0" xfId="205" applyFont="1" applyBorder="1" applyAlignment="1" applyProtection="1">
      <alignment horizontal="left" vertical="center"/>
    </xf>
    <xf numFmtId="43" fontId="41" fillId="0" borderId="0" xfId="205" applyFont="1" applyBorder="1" applyAlignment="1" applyProtection="1">
      <alignment vertical="center"/>
    </xf>
    <xf numFmtId="43" fontId="41" fillId="0" borderId="0" xfId="205" applyFont="1" applyAlignment="1" applyProtection="1">
      <alignment vertical="center"/>
    </xf>
    <xf numFmtId="43" fontId="41" fillId="0" borderId="0" xfId="205" applyFont="1" applyAlignment="1">
      <alignment vertical="center"/>
    </xf>
    <xf numFmtId="43" fontId="40" fillId="0" borderId="0" xfId="205" applyFont="1" applyAlignment="1" applyProtection="1">
      <alignment vertical="center"/>
    </xf>
    <xf numFmtId="43" fontId="40" fillId="0" borderId="0" xfId="205" applyFont="1" applyAlignment="1">
      <alignment vertical="center"/>
    </xf>
    <xf numFmtId="0" fontId="44" fillId="0" borderId="0" xfId="40" applyFont="1" applyBorder="1" applyAlignment="1">
      <alignment vertical="center"/>
      <protection locked="0"/>
    </xf>
    <xf numFmtId="0" fontId="40" fillId="0" borderId="0" xfId="40" applyFont="1" applyBorder="1" applyAlignment="1">
      <alignment horizontal="right" vertical="center"/>
      <protection locked="0"/>
    </xf>
    <xf numFmtId="0" fontId="42" fillId="0" borderId="0" xfId="40" applyFont="1" applyAlignment="1" applyProtection="1">
      <alignment vertical="center"/>
    </xf>
    <xf numFmtId="0" fontId="40" fillId="0" borderId="0" xfId="217" applyFont="1" applyAlignment="1">
      <alignment vertical="center"/>
    </xf>
    <xf numFmtId="43" fontId="40" fillId="0" borderId="3" xfId="38" applyFont="1" applyBorder="1" applyAlignment="1">
      <alignment horizontal="right" vertical="center"/>
    </xf>
    <xf numFmtId="43" fontId="40" fillId="0" borderId="3" xfId="38" applyFont="1" applyBorder="1" applyAlignment="1">
      <alignment horizontal="center" vertical="center"/>
    </xf>
    <xf numFmtId="0" fontId="41" fillId="10" borderId="16" xfId="40" applyFont="1" applyFill="1" applyBorder="1" applyAlignment="1">
      <alignment horizontal="center" vertical="center"/>
      <protection locked="0"/>
    </xf>
    <xf numFmtId="0" fontId="40" fillId="0" borderId="17" xfId="40" applyFont="1" applyBorder="1" applyAlignment="1">
      <alignment vertical="center"/>
      <protection locked="0"/>
    </xf>
    <xf numFmtId="0" fontId="41" fillId="0" borderId="17" xfId="40" applyFont="1" applyBorder="1" applyAlignment="1">
      <alignment vertical="center"/>
      <protection locked="0"/>
    </xf>
    <xf numFmtId="0" fontId="41" fillId="0" borderId="0" xfId="40" applyFont="1" applyBorder="1" applyAlignment="1">
      <alignment vertical="center"/>
      <protection locked="0"/>
    </xf>
    <xf numFmtId="43" fontId="40" fillId="0" borderId="0" xfId="305" applyNumberFormat="1" applyFont="1" applyBorder="1" applyAlignment="1">
      <alignment vertical="center"/>
    </xf>
    <xf numFmtId="43" fontId="39" fillId="0" borderId="0" xfId="305" applyNumberFormat="1" applyFont="1" applyBorder="1" applyAlignment="1">
      <alignment vertical="center"/>
    </xf>
    <xf numFmtId="43" fontId="40" fillId="0" borderId="0" xfId="305" applyNumberFormat="1" applyFont="1" applyBorder="1" applyAlignment="1">
      <alignment horizontal="left" vertical="center"/>
    </xf>
    <xf numFmtId="43" fontId="41" fillId="0" borderId="0" xfId="305" applyNumberFormat="1" applyFont="1" applyBorder="1" applyAlignment="1">
      <alignment vertical="center"/>
    </xf>
    <xf numFmtId="43" fontId="79" fillId="0" borderId="0" xfId="36" applyNumberFormat="1" applyFont="1" applyBorder="1" applyAlignment="1" applyProtection="1">
      <alignment horizontal="center" vertical="center"/>
    </xf>
    <xf numFmtId="43" fontId="44" fillId="0" borderId="0" xfId="305" applyNumberFormat="1" applyFont="1" applyBorder="1" applyAlignment="1">
      <alignment vertical="center"/>
    </xf>
    <xf numFmtId="0" fontId="23" fillId="0" borderId="27" xfId="40" applyFont="1" applyBorder="1" applyAlignment="1">
      <alignment vertical="center"/>
      <protection locked="0"/>
    </xf>
    <xf numFmtId="0" fontId="40" fillId="0" borderId="27" xfId="40" applyFont="1" applyBorder="1" applyAlignment="1">
      <alignment vertical="center"/>
      <protection locked="0"/>
    </xf>
    <xf numFmtId="0" fontId="80" fillId="0" borderId="0" xfId="40" applyFont="1" applyBorder="1" applyAlignment="1">
      <alignment vertical="center"/>
      <protection locked="0"/>
    </xf>
    <xf numFmtId="43" fontId="23" fillId="10" borderId="3" xfId="205" applyFont="1" applyFill="1" applyBorder="1" applyAlignment="1" applyProtection="1">
      <alignment horizontal="center" vertical="center"/>
      <protection locked="0"/>
    </xf>
    <xf numFmtId="43" fontId="41" fillId="10" borderId="3" xfId="205" applyFont="1" applyFill="1" applyBorder="1" applyAlignment="1" applyProtection="1">
      <alignment horizontal="center" vertical="center"/>
      <protection locked="0"/>
    </xf>
    <xf numFmtId="43" fontId="106" fillId="10" borderId="3" xfId="205" applyFont="1" applyFill="1" applyBorder="1" applyAlignment="1" applyProtection="1">
      <alignment vertical="center"/>
      <protection locked="0"/>
    </xf>
    <xf numFmtId="43" fontId="41" fillId="10" borderId="3" xfId="205" applyFont="1" applyFill="1" applyBorder="1" applyAlignment="1" applyProtection="1">
      <alignment horizontal="center" vertical="center"/>
    </xf>
    <xf numFmtId="43" fontId="23" fillId="10" borderId="3" xfId="205" applyFont="1" applyFill="1" applyBorder="1" applyAlignment="1" applyProtection="1">
      <alignment horizontal="center" vertical="center"/>
    </xf>
    <xf numFmtId="43" fontId="41" fillId="0" borderId="27" xfId="205" applyFont="1" applyBorder="1" applyAlignment="1" applyProtection="1">
      <alignment vertical="center"/>
      <protection locked="0"/>
    </xf>
    <xf numFmtId="43" fontId="40" fillId="0" borderId="27" xfId="205" applyFont="1" applyBorder="1" applyAlignment="1" applyProtection="1">
      <alignment vertical="center"/>
      <protection locked="0"/>
    </xf>
    <xf numFmtId="0" fontId="23" fillId="0" borderId="27" xfId="32" applyFont="1" applyBorder="1" applyAlignment="1">
      <alignment vertical="center"/>
    </xf>
    <xf numFmtId="0" fontId="40" fillId="0" borderId="27" xfId="32" applyFont="1" applyBorder="1" applyAlignment="1">
      <alignment vertical="center"/>
    </xf>
    <xf numFmtId="0" fontId="23" fillId="0" borderId="0" xfId="32" applyFont="1" applyBorder="1" applyAlignment="1">
      <alignment vertical="center"/>
    </xf>
    <xf numFmtId="43" fontId="41" fillId="10" borderId="28" xfId="203" applyFont="1" applyFill="1" applyBorder="1" applyAlignment="1">
      <alignment horizontal="center" vertical="center"/>
    </xf>
    <xf numFmtId="43" fontId="40" fillId="10" borderId="28" xfId="203" applyFont="1" applyFill="1" applyBorder="1" applyAlignment="1">
      <alignment horizontal="center" vertical="center"/>
    </xf>
    <xf numFmtId="43" fontId="40" fillId="10" borderId="28" xfId="203" applyFont="1" applyFill="1" applyBorder="1" applyAlignment="1">
      <alignment horizontal="center" vertical="center" shrinkToFit="1"/>
    </xf>
    <xf numFmtId="43" fontId="40" fillId="0" borderId="28" xfId="203" applyFont="1" applyBorder="1" applyAlignment="1">
      <alignment horizontal="centerContinuous" vertical="center"/>
    </xf>
    <xf numFmtId="43" fontId="40" fillId="10" borderId="28" xfId="203" applyFont="1" applyFill="1" applyBorder="1" applyAlignment="1">
      <alignment horizontal="centerContinuous" vertical="center"/>
    </xf>
    <xf numFmtId="43" fontId="41" fillId="0" borderId="28" xfId="203" applyFont="1" applyBorder="1" applyAlignment="1">
      <alignment horizontal="centerContinuous" vertical="center"/>
    </xf>
    <xf numFmtId="14" fontId="40" fillId="0" borderId="0" xfId="40" applyNumberFormat="1" applyFont="1" applyAlignment="1">
      <alignment vertical="center"/>
      <protection locked="0"/>
    </xf>
    <xf numFmtId="0" fontId="43" fillId="0" borderId="17" xfId="33" applyFont="1" applyBorder="1" applyAlignment="1">
      <alignment vertical="center"/>
    </xf>
    <xf numFmtId="0" fontId="40" fillId="0" borderId="17" xfId="33" applyFont="1" applyBorder="1" applyAlignment="1">
      <alignment vertical="center"/>
    </xf>
    <xf numFmtId="0" fontId="40" fillId="0" borderId="0" xfId="305" applyNumberFormat="1" applyFont="1" applyBorder="1" applyAlignment="1">
      <alignment vertical="center"/>
    </xf>
    <xf numFmtId="0" fontId="41" fillId="0" borderId="0" xfId="305" applyNumberFormat="1" applyFont="1" applyBorder="1" applyAlignment="1">
      <alignment horizontal="left" vertical="center"/>
    </xf>
    <xf numFmtId="0" fontId="40" fillId="0" borderId="0" xfId="31" applyNumberFormat="1" applyFont="1" applyBorder="1" applyAlignment="1">
      <alignment vertical="center"/>
    </xf>
    <xf numFmtId="0" fontId="41" fillId="0" borderId="0" xfId="31" applyNumberFormat="1" applyFont="1" applyBorder="1" applyAlignment="1">
      <alignment vertical="center"/>
    </xf>
    <xf numFmtId="0" fontId="44" fillId="0" borderId="0" xfId="31" applyNumberFormat="1" applyFont="1" applyBorder="1" applyAlignment="1">
      <alignment vertical="center"/>
    </xf>
    <xf numFmtId="0" fontId="44" fillId="0" borderId="0" xfId="305" applyNumberFormat="1" applyFont="1" applyBorder="1" applyAlignment="1">
      <alignment vertical="center"/>
    </xf>
    <xf numFmtId="0" fontId="78" fillId="0" borderId="0" xfId="305" applyNumberFormat="1" applyFont="1" applyBorder="1" applyAlignment="1">
      <alignment vertical="center"/>
    </xf>
    <xf numFmtId="0" fontId="44" fillId="0" borderId="0" xfId="305" applyNumberFormat="1" applyFont="1" applyBorder="1" applyAlignment="1">
      <alignment horizontal="right" vertical="center"/>
    </xf>
    <xf numFmtId="43" fontId="80" fillId="0" borderId="3" xfId="205" applyFont="1" applyFill="1" applyBorder="1" applyAlignment="1" applyProtection="1">
      <alignment vertical="center"/>
      <protection locked="0"/>
    </xf>
    <xf numFmtId="0" fontId="42" fillId="0" borderId="0" xfId="28" applyFont="1">
      <alignment vertical="center"/>
    </xf>
    <xf numFmtId="0" fontId="43" fillId="0" borderId="0" xfId="28" applyFont="1">
      <alignment vertical="center"/>
    </xf>
    <xf numFmtId="0" fontId="42" fillId="10" borderId="3" xfId="33" applyFont="1" applyFill="1" applyBorder="1" applyAlignment="1">
      <alignment horizontal="center" vertical="center"/>
    </xf>
    <xf numFmtId="0" fontId="43" fillId="0" borderId="3" xfId="33" applyFont="1" applyFill="1" applyBorder="1" applyAlignment="1">
      <alignment vertical="center"/>
    </xf>
    <xf numFmtId="0" fontId="43" fillId="0" borderId="3" xfId="33" applyFont="1" applyFill="1" applyBorder="1" applyAlignment="1">
      <alignment horizontal="center" vertical="center"/>
    </xf>
    <xf numFmtId="49" fontId="43" fillId="0" borderId="3" xfId="33" applyNumberFormat="1" applyFont="1" applyFill="1" applyBorder="1" applyAlignment="1">
      <alignment horizontal="center" vertical="center"/>
    </xf>
    <xf numFmtId="0" fontId="43" fillId="0" borderId="3" xfId="33" applyFont="1" applyFill="1" applyBorder="1" applyAlignment="1">
      <alignment vertical="center" wrapText="1"/>
    </xf>
    <xf numFmtId="0" fontId="42" fillId="10" borderId="3" xfId="33" applyFont="1" applyFill="1" applyBorder="1" applyAlignment="1">
      <alignment vertical="center"/>
    </xf>
    <xf numFmtId="49" fontId="43" fillId="10" borderId="3" xfId="33" applyNumberFormat="1" applyFont="1" applyFill="1" applyBorder="1" applyAlignment="1">
      <alignment horizontal="left" vertical="center"/>
    </xf>
    <xf numFmtId="0" fontId="43" fillId="10" borderId="3" xfId="33" applyFont="1" applyFill="1" applyBorder="1" applyAlignment="1">
      <alignment vertical="center"/>
    </xf>
    <xf numFmtId="0" fontId="42" fillId="0" borderId="17" xfId="33" applyFont="1" applyBorder="1" applyAlignment="1">
      <alignment vertical="center"/>
    </xf>
    <xf numFmtId="0" fontId="42" fillId="0" borderId="0" xfId="33" applyFont="1" applyBorder="1" applyAlignment="1">
      <alignment vertical="center"/>
    </xf>
    <xf numFmtId="0" fontId="43" fillId="10" borderId="3" xfId="33" applyFont="1" applyFill="1" applyBorder="1" applyAlignment="1">
      <alignment horizontal="center" vertical="center"/>
    </xf>
    <xf numFmtId="0" fontId="27" fillId="0" borderId="1" xfId="34" applyFont="1" applyBorder="1" applyAlignment="1">
      <alignment horizontal="center" wrapText="1"/>
      <protection locked="0"/>
    </xf>
    <xf numFmtId="0" fontId="27" fillId="0" borderId="0" xfId="34" applyFont="1" applyBorder="1" applyAlignment="1">
      <alignment horizontal="center" wrapText="1"/>
      <protection locked="0"/>
    </xf>
    <xf numFmtId="43" fontId="23" fillId="0" borderId="0" xfId="35" applyNumberFormat="1" applyFont="1" applyFill="1" applyBorder="1" applyAlignment="1">
      <alignment vertical="center"/>
    </xf>
    <xf numFmtId="43" fontId="41" fillId="0" borderId="0" xfId="35" applyNumberFormat="1" applyFont="1" applyFill="1" applyBorder="1" applyAlignment="1">
      <alignment vertical="center"/>
    </xf>
    <xf numFmtId="0" fontId="40" fillId="0" borderId="27" xfId="31" applyFont="1" applyBorder="1" applyAlignment="1">
      <alignment vertical="center"/>
    </xf>
    <xf numFmtId="43" fontId="40" fillId="0" borderId="27" xfId="35" applyNumberFormat="1" applyFont="1" applyBorder="1" applyAlignment="1">
      <alignment vertical="center"/>
    </xf>
    <xf numFmtId="0" fontId="39" fillId="0" borderId="0" xfId="0" applyFont="1" applyAlignment="1">
      <alignment vertical="center"/>
      <protection locked="0"/>
    </xf>
    <xf numFmtId="43" fontId="41" fillId="32" borderId="0" xfId="35" applyNumberFormat="1" applyFont="1" applyFill="1" applyBorder="1" applyAlignment="1">
      <alignment vertical="center"/>
    </xf>
    <xf numFmtId="43" fontId="40" fillId="0" borderId="0" xfId="35" applyNumberFormat="1" applyFont="1" applyBorder="1" applyAlignment="1">
      <alignment horizontal="left" vertical="center"/>
    </xf>
    <xf numFmtId="43" fontId="19" fillId="0" borderId="0" xfId="35" applyNumberFormat="1" applyFont="1" applyBorder="1" applyAlignment="1">
      <alignment horizontal="right" vertical="center"/>
    </xf>
    <xf numFmtId="0" fontId="23" fillId="10" borderId="28" xfId="283" applyFont="1" applyFill="1" applyBorder="1" applyAlignment="1" applyProtection="1">
      <alignment horizontal="center" vertical="center" wrapText="1"/>
      <protection locked="0"/>
    </xf>
    <xf numFmtId="0" fontId="113" fillId="10" borderId="28" xfId="283" applyFont="1" applyFill="1" applyBorder="1" applyAlignment="1" applyProtection="1">
      <alignment horizontal="center" vertical="center" wrapText="1"/>
      <protection locked="0"/>
    </xf>
    <xf numFmtId="0" fontId="24" fillId="0" borderId="28" xfId="211" applyFont="1" applyFill="1" applyBorder="1" applyAlignment="1" applyProtection="1">
      <alignment vertical="center"/>
    </xf>
    <xf numFmtId="0" fontId="19" fillId="0" borderId="28" xfId="211" applyFont="1" applyFill="1" applyBorder="1" applyAlignment="1" applyProtection="1">
      <alignment vertical="center"/>
    </xf>
    <xf numFmtId="0" fontId="81" fillId="0" borderId="28" xfId="211" applyFont="1" applyFill="1" applyBorder="1" applyAlignment="1" applyProtection="1">
      <alignment horizontal="left" vertical="center" indent="1"/>
    </xf>
    <xf numFmtId="0" fontId="42" fillId="0" borderId="28" xfId="211" applyFont="1" applyFill="1" applyBorder="1" applyAlignment="1" applyProtection="1">
      <alignment horizontal="center" vertical="center"/>
    </xf>
    <xf numFmtId="43" fontId="41" fillId="0" borderId="27" xfId="35" applyNumberFormat="1" applyFont="1" applyBorder="1" applyAlignment="1">
      <alignment horizontal="left" vertical="center"/>
    </xf>
    <xf numFmtId="43" fontId="40" fillId="0" borderId="27" xfId="35" applyNumberFormat="1" applyFont="1" applyBorder="1" applyAlignment="1">
      <alignment horizontal="left" vertical="center"/>
    </xf>
    <xf numFmtId="43" fontId="79" fillId="0" borderId="27" xfId="306" applyNumberFormat="1" applyFont="1" applyBorder="1" applyAlignment="1" applyProtection="1">
      <alignment horizontal="center" vertical="center"/>
    </xf>
    <xf numFmtId="0" fontId="41" fillId="0" borderId="0" xfId="31" applyFont="1" applyBorder="1" applyAlignment="1">
      <alignment vertical="center"/>
    </xf>
    <xf numFmtId="0" fontId="19" fillId="4" borderId="0" xfId="0" applyFont="1" applyFill="1" applyBorder="1" applyAlignment="1" applyProtection="1">
      <alignment horizontal="justify" vertical="center" wrapText="1"/>
      <protection locked="0"/>
    </xf>
    <xf numFmtId="0" fontId="16" fillId="0" borderId="2" xfId="36" quotePrefix="1" applyBorder="1" applyAlignment="1">
      <alignment vertical="center"/>
      <protection locked="0"/>
    </xf>
    <xf numFmtId="0" fontId="41" fillId="10" borderId="28" xfId="203" applyNumberFormat="1" applyFont="1" applyFill="1" applyBorder="1" applyAlignment="1">
      <alignment horizontal="center" vertical="center"/>
    </xf>
    <xf numFmtId="0" fontId="23" fillId="10" borderId="3" xfId="40" applyFont="1" applyFill="1" applyBorder="1" applyAlignment="1">
      <alignment horizontal="center" vertical="center"/>
      <protection locked="0"/>
    </xf>
    <xf numFmtId="0" fontId="41" fillId="10" borderId="3" xfId="40" applyFont="1" applyFill="1" applyBorder="1" applyAlignment="1">
      <alignment horizontal="center" vertical="center"/>
      <protection locked="0"/>
    </xf>
    <xf numFmtId="0" fontId="40" fillId="0" borderId="3" xfId="32" applyFont="1" applyBorder="1" applyAlignment="1">
      <alignment horizontal="center" vertical="center"/>
    </xf>
    <xf numFmtId="0" fontId="13" fillId="0" borderId="0" xfId="30" applyFont="1" applyAlignment="1">
      <alignment vertical="center"/>
    </xf>
    <xf numFmtId="192" fontId="82" fillId="0" borderId="0" xfId="310" applyFont="1" applyFill="1" applyAlignment="1">
      <alignment horizontal="left" vertical="center"/>
    </xf>
    <xf numFmtId="192" fontId="82" fillId="0" borderId="0" xfId="310" applyFont="1" applyFill="1">
      <alignment vertical="center"/>
    </xf>
    <xf numFmtId="192" fontId="83" fillId="0" borderId="0" xfId="310" applyFont="1" applyFill="1">
      <alignment vertical="center"/>
    </xf>
    <xf numFmtId="192" fontId="16" fillId="0" borderId="0" xfId="36" applyNumberFormat="1" applyFill="1" applyAlignment="1" applyProtection="1">
      <alignment vertical="center"/>
    </xf>
    <xf numFmtId="192" fontId="40" fillId="0" borderId="0" xfId="310" applyFont="1" applyFill="1" applyBorder="1" applyAlignment="1" applyProtection="1">
      <alignment vertical="center"/>
      <protection locked="0"/>
    </xf>
    <xf numFmtId="192" fontId="44" fillId="0" borderId="0" xfId="36" applyNumberFormat="1" applyFont="1" applyFill="1" applyBorder="1" applyAlignment="1" applyProtection="1">
      <alignment vertical="center" wrapText="1"/>
      <protection locked="0"/>
    </xf>
    <xf numFmtId="192" fontId="40" fillId="0" borderId="0" xfId="310" applyFont="1" applyFill="1" applyBorder="1" applyAlignment="1" applyProtection="1">
      <alignment vertical="center" wrapText="1"/>
      <protection locked="0"/>
    </xf>
    <xf numFmtId="0" fontId="23" fillId="0" borderId="0" xfId="279" applyFont="1" applyFill="1" applyBorder="1" applyAlignment="1" applyProtection="1">
      <alignment vertical="center"/>
      <protection locked="0"/>
    </xf>
    <xf numFmtId="192" fontId="40" fillId="0" borderId="0" xfId="310" applyFont="1" applyFill="1" applyAlignment="1" applyProtection="1">
      <alignment vertical="center"/>
      <protection locked="0"/>
    </xf>
    <xf numFmtId="192" fontId="110" fillId="0" borderId="0" xfId="310" applyFont="1">
      <alignment vertical="center"/>
    </xf>
    <xf numFmtId="49" fontId="23" fillId="0" borderId="0" xfId="310" applyNumberFormat="1" applyFont="1" applyFill="1" applyAlignment="1" applyProtection="1">
      <alignment horizontal="left" vertical="center"/>
      <protection locked="0"/>
    </xf>
    <xf numFmtId="192" fontId="41" fillId="0" borderId="0" xfId="310" applyFont="1" applyFill="1" applyAlignment="1" applyProtection="1">
      <alignment horizontal="justify" vertical="center"/>
      <protection locked="0"/>
    </xf>
    <xf numFmtId="192" fontId="106" fillId="0" borderId="0" xfId="310" applyFont="1" applyFill="1" applyAlignment="1" applyProtection="1">
      <alignment horizontal="left" vertical="center"/>
      <protection locked="0"/>
    </xf>
    <xf numFmtId="192" fontId="106" fillId="0" borderId="0" xfId="310" applyFont="1" applyFill="1" applyAlignment="1" applyProtection="1">
      <alignment horizontal="center" vertical="center"/>
      <protection locked="0"/>
    </xf>
    <xf numFmtId="192" fontId="9" fillId="0" borderId="0" xfId="310" applyFont="1" applyFill="1" applyBorder="1" applyAlignment="1" applyProtection="1">
      <alignment horizontal="center" vertical="center" wrapText="1"/>
      <protection locked="0"/>
    </xf>
    <xf numFmtId="192" fontId="9" fillId="0" borderId="0" xfId="310" applyFont="1" applyFill="1" applyAlignment="1" applyProtection="1">
      <alignment horizontal="left" vertical="center"/>
      <protection locked="0"/>
    </xf>
    <xf numFmtId="192" fontId="9" fillId="0" borderId="0" xfId="310" applyFont="1" applyFill="1" applyAlignment="1" applyProtection="1">
      <alignment vertical="center"/>
      <protection locked="0"/>
    </xf>
    <xf numFmtId="192" fontId="111" fillId="31" borderId="0" xfId="310" applyFont="1" applyFill="1" applyAlignment="1" applyProtection="1">
      <alignment horizontal="center" vertical="center"/>
      <protection locked="0"/>
    </xf>
    <xf numFmtId="192" fontId="23" fillId="10" borderId="28" xfId="310" applyFont="1" applyFill="1" applyBorder="1" applyAlignment="1" applyProtection="1">
      <alignment horizontal="center" vertical="center"/>
      <protection locked="0"/>
    </xf>
    <xf numFmtId="192" fontId="23" fillId="10" borderId="28" xfId="310" applyFont="1" applyFill="1" applyBorder="1" applyAlignment="1" applyProtection="1">
      <alignment horizontal="center" vertical="center" wrapText="1"/>
      <protection locked="0"/>
    </xf>
    <xf numFmtId="49" fontId="40" fillId="0" borderId="28" xfId="310" applyNumberFormat="1" applyFont="1" applyFill="1" applyBorder="1" applyAlignment="1" applyProtection="1">
      <alignment horizontal="center" vertical="center"/>
      <protection locked="0"/>
    </xf>
    <xf numFmtId="192" fontId="86" fillId="0" borderId="28" xfId="310" applyFont="1" applyFill="1" applyBorder="1" applyAlignment="1">
      <alignment horizontal="center" vertical="center" wrapText="1"/>
    </xf>
    <xf numFmtId="192" fontId="82" fillId="0" borderId="28" xfId="310" applyFont="1" applyFill="1" applyBorder="1" applyAlignment="1">
      <alignment horizontal="center" vertical="center" wrapText="1"/>
    </xf>
    <xf numFmtId="192" fontId="85" fillId="0" borderId="28" xfId="310" applyFont="1" applyFill="1" applyBorder="1" applyAlignment="1">
      <alignment horizontal="center" vertical="center" wrapText="1"/>
    </xf>
    <xf numFmtId="192" fontId="40" fillId="0" borderId="28" xfId="310" applyFont="1" applyFill="1" applyBorder="1" applyAlignment="1">
      <alignment horizontal="center" vertical="center" wrapText="1"/>
    </xf>
    <xf numFmtId="192" fontId="111" fillId="31" borderId="0" xfId="310" applyFont="1" applyFill="1" applyAlignment="1" applyProtection="1">
      <alignment horizontal="left" vertical="center"/>
      <protection locked="0"/>
    </xf>
    <xf numFmtId="192" fontId="86" fillId="0" borderId="28" xfId="310" applyFont="1" applyFill="1" applyBorder="1" applyAlignment="1">
      <alignment vertical="center" wrapText="1"/>
    </xf>
    <xf numFmtId="192" fontId="115" fillId="31" borderId="0" xfId="310" applyFont="1" applyFill="1" applyAlignment="1" applyProtection="1">
      <alignment horizontal="left" vertical="center" wrapText="1"/>
      <protection locked="0"/>
    </xf>
    <xf numFmtId="192" fontId="117" fillId="31" borderId="0" xfId="310" applyFont="1" applyFill="1" applyAlignment="1" applyProtection="1">
      <alignment horizontal="left" vertical="center" wrapText="1"/>
      <protection locked="0"/>
    </xf>
    <xf numFmtId="192" fontId="118" fillId="31" borderId="0" xfId="310" applyFont="1" applyFill="1" applyAlignment="1" applyProtection="1">
      <alignment horizontal="left" vertical="center" wrapText="1"/>
      <protection locked="0"/>
    </xf>
    <xf numFmtId="192" fontId="112" fillId="0" borderId="0" xfId="310" applyFont="1" applyFill="1">
      <alignment vertical="center"/>
    </xf>
    <xf numFmtId="192" fontId="119" fillId="0" borderId="0" xfId="310" applyFont="1" applyFill="1" applyAlignment="1" applyProtection="1">
      <alignment horizontal="left" vertical="center"/>
      <protection locked="0"/>
    </xf>
    <xf numFmtId="192" fontId="107" fillId="31" borderId="0" xfId="310" applyFont="1" applyFill="1" applyAlignment="1" applyProtection="1">
      <alignment horizontal="left" vertical="center"/>
      <protection locked="0"/>
    </xf>
    <xf numFmtId="0" fontId="40" fillId="0" borderId="0" xfId="177" applyFont="1" applyAlignment="1">
      <alignment vertical="center"/>
    </xf>
    <xf numFmtId="43" fontId="40" fillId="10" borderId="3" xfId="38" applyFont="1" applyFill="1" applyBorder="1" applyAlignment="1">
      <alignment horizontal="right" vertical="center"/>
    </xf>
    <xf numFmtId="43" fontId="41" fillId="10" borderId="3" xfId="38" applyFont="1" applyFill="1" applyBorder="1" applyAlignment="1">
      <alignment horizontal="right" vertical="center"/>
    </xf>
    <xf numFmtId="10" fontId="40" fillId="10" borderId="3" xfId="26" applyNumberFormat="1" applyFont="1" applyFill="1" applyBorder="1" applyAlignment="1">
      <alignment horizontal="right" vertical="center"/>
    </xf>
    <xf numFmtId="43" fontId="41" fillId="10" borderId="3" xfId="38" applyFont="1" applyFill="1" applyBorder="1" applyAlignment="1">
      <alignment horizontal="center" vertical="center"/>
    </xf>
    <xf numFmtId="184" fontId="41" fillId="10" borderId="3" xfId="26" applyNumberFormat="1" applyFont="1" applyFill="1" applyBorder="1" applyAlignment="1">
      <alignment horizontal="right" vertical="center"/>
    </xf>
    <xf numFmtId="184" fontId="40" fillId="10" borderId="3" xfId="26" applyNumberFormat="1" applyFont="1" applyFill="1" applyBorder="1" applyAlignment="1">
      <alignment horizontal="center" vertical="center"/>
    </xf>
    <xf numFmtId="43" fontId="23" fillId="10" borderId="15" xfId="38" applyFont="1" applyFill="1" applyBorder="1" applyAlignment="1">
      <alignment horizontal="center" vertical="center"/>
    </xf>
    <xf numFmtId="0" fontId="40" fillId="0" borderId="15" xfId="40" applyFont="1" applyFill="1" applyBorder="1" applyAlignment="1">
      <alignment horizontal="center" vertical="center"/>
      <protection locked="0"/>
    </xf>
    <xf numFmtId="0" fontId="40" fillId="0" borderId="3" xfId="40" applyFont="1" applyFill="1" applyBorder="1" applyAlignment="1">
      <alignment horizontal="center" vertical="center"/>
      <protection locked="0"/>
    </xf>
    <xf numFmtId="0" fontId="40" fillId="0" borderId="4" xfId="40" applyFont="1" applyFill="1" applyBorder="1" applyAlignment="1">
      <alignment horizontal="center" vertical="center"/>
      <protection locked="0"/>
    </xf>
    <xf numFmtId="43" fontId="40" fillId="0" borderId="3" xfId="38" applyFont="1" applyFill="1" applyBorder="1" applyAlignment="1">
      <alignment horizontal="right" vertical="center"/>
    </xf>
    <xf numFmtId="0" fontId="40" fillId="10" borderId="0" xfId="40" applyFont="1" applyFill="1" applyAlignment="1">
      <alignment vertical="center"/>
      <protection locked="0"/>
    </xf>
    <xf numFmtId="0" fontId="23" fillId="10" borderId="28" xfId="203" applyNumberFormat="1" applyFont="1" applyFill="1" applyBorder="1" applyAlignment="1">
      <alignment horizontal="left" vertical="center"/>
    </xf>
    <xf numFmtId="0" fontId="40" fillId="0" borderId="28" xfId="203" applyNumberFormat="1" applyFont="1" applyFill="1" applyBorder="1" applyAlignment="1">
      <alignment horizontal="left" vertical="center"/>
    </xf>
    <xf numFmtId="43" fontId="40" fillId="0" borderId="28" xfId="203" applyFont="1" applyFill="1" applyBorder="1" applyAlignment="1">
      <alignment horizontal="center" vertical="center"/>
    </xf>
    <xf numFmtId="0" fontId="23" fillId="10" borderId="28" xfId="203" applyNumberFormat="1" applyFont="1" applyFill="1" applyBorder="1" applyAlignment="1">
      <alignment horizontal="center" vertical="center"/>
    </xf>
    <xf numFmtId="43" fontId="40" fillId="10" borderId="0" xfId="305" applyNumberFormat="1" applyFont="1" applyFill="1" applyBorder="1" applyAlignment="1">
      <alignment vertical="center"/>
    </xf>
    <xf numFmtId="0" fontId="30" fillId="0" borderId="0" xfId="305" applyNumberFormat="1" applyFont="1" applyBorder="1" applyAlignment="1">
      <alignment vertical="center"/>
    </xf>
    <xf numFmtId="0" fontId="28" fillId="10" borderId="28" xfId="211" applyFont="1" applyFill="1" applyBorder="1" applyAlignment="1" applyProtection="1">
      <alignment horizontal="center" vertical="center"/>
    </xf>
    <xf numFmtId="0" fontId="28" fillId="10" borderId="28" xfId="211" applyFont="1" applyFill="1" applyBorder="1" applyAlignment="1" applyProtection="1">
      <alignment horizontal="center" vertical="center" wrapText="1"/>
    </xf>
    <xf numFmtId="0" fontId="0" fillId="0" borderId="0" xfId="0" applyAlignment="1">
      <alignment horizontal="center" vertical="center"/>
      <protection locked="0"/>
    </xf>
    <xf numFmtId="0" fontId="19" fillId="0" borderId="3" xfId="40" applyFont="1" applyBorder="1" applyAlignment="1">
      <alignment vertical="center"/>
      <protection locked="0"/>
    </xf>
    <xf numFmtId="0" fontId="40" fillId="0" borderId="3" xfId="40" applyFont="1" applyBorder="1" applyAlignment="1">
      <alignment horizontal="center" vertical="center"/>
      <protection locked="0"/>
    </xf>
    <xf numFmtId="0" fontId="40" fillId="0" borderId="0" xfId="0" applyFont="1" applyBorder="1" applyAlignment="1">
      <alignment vertical="center"/>
      <protection locked="0"/>
    </xf>
    <xf numFmtId="0" fontId="40" fillId="0" borderId="0" xfId="0" applyFont="1" applyAlignment="1">
      <alignment vertical="center"/>
      <protection locked="0"/>
    </xf>
    <xf numFmtId="0" fontId="42" fillId="0" borderId="0" xfId="0" applyFont="1" applyBorder="1" applyAlignment="1" applyProtection="1">
      <alignment vertical="center"/>
    </xf>
    <xf numFmtId="0" fontId="43" fillId="0" borderId="0" xfId="0" applyFont="1" applyBorder="1" applyAlignment="1" applyProtection="1">
      <alignment vertical="center"/>
    </xf>
    <xf numFmtId="0" fontId="41" fillId="10" borderId="28" xfId="0" applyFont="1" applyFill="1" applyBorder="1" applyAlignment="1">
      <alignment horizontal="centerContinuous" vertical="center"/>
      <protection locked="0"/>
    </xf>
    <xf numFmtId="0" fontId="41" fillId="0" borderId="0" xfId="0" applyFont="1" applyAlignment="1">
      <alignment horizontal="center" vertical="center"/>
      <protection locked="0"/>
    </xf>
    <xf numFmtId="0" fontId="23" fillId="10" borderId="28" xfId="0" applyFont="1" applyFill="1" applyBorder="1" applyAlignment="1">
      <alignment horizontal="center" vertical="center"/>
      <protection locked="0"/>
    </xf>
    <xf numFmtId="0" fontId="41" fillId="10" borderId="28" xfId="0" applyFont="1" applyFill="1" applyBorder="1" applyAlignment="1">
      <alignment horizontal="center" vertical="center"/>
      <protection locked="0"/>
    </xf>
    <xf numFmtId="223" fontId="40" fillId="0" borderId="28" xfId="312" applyNumberFormat="1" applyFont="1" applyBorder="1" applyAlignment="1">
      <alignment horizontal="left" vertical="center" wrapText="1"/>
    </xf>
    <xf numFmtId="43" fontId="40" fillId="0" borderId="28" xfId="38" applyFont="1" applyBorder="1" applyAlignment="1">
      <alignment vertical="center"/>
    </xf>
    <xf numFmtId="43" fontId="41" fillId="0" borderId="28" xfId="38" applyFont="1" applyBorder="1" applyAlignment="1">
      <alignment vertical="center"/>
    </xf>
    <xf numFmtId="0" fontId="41" fillId="0" borderId="0" xfId="0" applyFont="1" applyAlignment="1">
      <alignment vertical="center"/>
      <protection locked="0"/>
    </xf>
    <xf numFmtId="0" fontId="23" fillId="0" borderId="0" xfId="0" applyFont="1" applyBorder="1" applyAlignment="1">
      <alignment vertical="center"/>
      <protection locked="0"/>
    </xf>
    <xf numFmtId="0" fontId="41" fillId="0" borderId="0" xfId="0" applyFont="1" applyBorder="1" applyAlignment="1">
      <alignment vertical="center"/>
      <protection locked="0"/>
    </xf>
    <xf numFmtId="0" fontId="44" fillId="0" borderId="0" xfId="0" applyFont="1" applyAlignment="1">
      <alignment vertical="center"/>
      <protection locked="0"/>
    </xf>
    <xf numFmtId="0" fontId="45" fillId="0" borderId="0" xfId="0" applyFont="1" applyAlignment="1">
      <alignment vertical="center"/>
      <protection locked="0"/>
    </xf>
    <xf numFmtId="43" fontId="40" fillId="10" borderId="28" xfId="38" applyFont="1" applyFill="1" applyBorder="1" applyAlignment="1">
      <alignment vertical="center"/>
    </xf>
    <xf numFmtId="10" fontId="40" fillId="10" borderId="28" xfId="26" applyNumberFormat="1" applyFont="1" applyFill="1" applyBorder="1" applyAlignment="1">
      <alignment horizontal="right" vertical="center"/>
    </xf>
    <xf numFmtId="43" fontId="41" fillId="10" borderId="28" xfId="38" applyFont="1" applyFill="1" applyBorder="1" applyAlignment="1">
      <alignment vertical="center"/>
    </xf>
    <xf numFmtId="10" fontId="41" fillId="10" borderId="28" xfId="26" applyNumberFormat="1" applyFont="1" applyFill="1" applyBorder="1" applyAlignment="1">
      <alignment horizontal="right" vertical="center"/>
    </xf>
    <xf numFmtId="43" fontId="40" fillId="0" borderId="28" xfId="38" applyFont="1" applyBorder="1" applyAlignment="1">
      <alignment horizontal="left" vertical="center" wrapText="1"/>
    </xf>
    <xf numFmtId="43" fontId="40" fillId="0" borderId="28" xfId="38" applyFont="1" applyBorder="1" applyAlignment="1">
      <alignment horizontal="center" vertical="center"/>
    </xf>
    <xf numFmtId="224" fontId="40" fillId="10" borderId="28" xfId="38" applyNumberFormat="1" applyFont="1" applyFill="1" applyBorder="1" applyAlignment="1">
      <alignment vertical="center"/>
    </xf>
    <xf numFmtId="0" fontId="30" fillId="0" borderId="0" xfId="0" applyFont="1" applyAlignment="1">
      <alignment vertical="center"/>
      <protection locked="0"/>
    </xf>
    <xf numFmtId="0" fontId="19" fillId="0" borderId="0" xfId="0" applyFont="1" applyBorder="1" applyAlignment="1">
      <alignment horizontal="right" vertical="center"/>
      <protection locked="0"/>
    </xf>
    <xf numFmtId="43" fontId="40" fillId="10" borderId="3" xfId="38" applyFont="1" applyFill="1" applyBorder="1" applyAlignment="1">
      <alignment vertical="center"/>
    </xf>
    <xf numFmtId="43" fontId="41" fillId="10" borderId="3" xfId="38" applyFont="1" applyFill="1" applyBorder="1" applyAlignment="1">
      <alignment vertical="center"/>
    </xf>
    <xf numFmtId="222" fontId="40" fillId="10" borderId="3" xfId="38" applyNumberFormat="1" applyFont="1" applyFill="1" applyBorder="1" applyAlignment="1">
      <alignment vertical="center"/>
    </xf>
    <xf numFmtId="10" fontId="40" fillId="10" borderId="3" xfId="26" applyNumberFormat="1" applyFont="1" applyFill="1" applyBorder="1" applyAlignment="1">
      <alignment vertical="center"/>
    </xf>
    <xf numFmtId="222" fontId="41" fillId="10" borderId="3" xfId="38" applyNumberFormat="1" applyFont="1" applyFill="1" applyBorder="1" applyAlignment="1">
      <alignment vertical="center"/>
    </xf>
    <xf numFmtId="0" fontId="41" fillId="10" borderId="3" xfId="26" applyNumberFormat="1" applyFont="1" applyFill="1" applyBorder="1" applyAlignment="1">
      <alignment vertical="center"/>
    </xf>
    <xf numFmtId="10" fontId="41" fillId="10" borderId="3" xfId="26" applyNumberFormat="1" applyFont="1" applyFill="1" applyBorder="1" applyAlignment="1">
      <alignment vertical="center"/>
    </xf>
    <xf numFmtId="0" fontId="41" fillId="10" borderId="3" xfId="40" applyFont="1" applyFill="1" applyBorder="1" applyAlignment="1">
      <alignment vertical="center"/>
      <protection locked="0"/>
    </xf>
    <xf numFmtId="0" fontId="41" fillId="10" borderId="0" xfId="40" applyFont="1" applyFill="1" applyAlignment="1">
      <alignment vertical="center"/>
      <protection locked="0"/>
    </xf>
    <xf numFmtId="43" fontId="41" fillId="10" borderId="3" xfId="205" applyFont="1" applyFill="1" applyBorder="1" applyAlignment="1" applyProtection="1">
      <alignment vertical="center"/>
      <protection locked="0"/>
    </xf>
    <xf numFmtId="43" fontId="40" fillId="10" borderId="3" xfId="205" applyFont="1" applyFill="1" applyBorder="1" applyAlignment="1" applyProtection="1">
      <alignment vertical="center"/>
      <protection locked="0"/>
    </xf>
    <xf numFmtId="43" fontId="41" fillId="10" borderId="3" xfId="205" applyFont="1" applyFill="1" applyBorder="1" applyAlignment="1" applyProtection="1">
      <alignment horizontal="left" vertical="center"/>
    </xf>
    <xf numFmtId="43" fontId="40" fillId="10" borderId="3" xfId="205" applyFont="1" applyFill="1" applyBorder="1" applyAlignment="1" applyProtection="1">
      <alignment horizontal="left" vertical="center"/>
    </xf>
    <xf numFmtId="0" fontId="30" fillId="0" borderId="0" xfId="40" applyFont="1" applyAlignment="1">
      <alignment vertical="center"/>
      <protection locked="0"/>
    </xf>
    <xf numFmtId="0" fontId="19" fillId="0" borderId="0" xfId="40" applyFont="1" applyAlignment="1">
      <alignment horizontal="right" vertical="center"/>
      <protection locked="0"/>
    </xf>
    <xf numFmtId="0" fontId="40" fillId="0" borderId="3" xfId="33" applyFont="1" applyBorder="1" applyAlignment="1">
      <alignment horizontal="center" vertical="center"/>
    </xf>
    <xf numFmtId="0" fontId="40" fillId="10" borderId="3" xfId="33" applyFont="1" applyFill="1" applyBorder="1" applyAlignment="1">
      <alignment horizontal="center" vertical="center"/>
    </xf>
    <xf numFmtId="0" fontId="30" fillId="0" borderId="0" xfId="32" applyFont="1" applyAlignment="1">
      <alignment vertical="center"/>
    </xf>
    <xf numFmtId="0" fontId="44" fillId="0" borderId="0" xfId="32" applyFont="1" applyAlignment="1">
      <alignment vertical="center"/>
    </xf>
    <xf numFmtId="0" fontId="40" fillId="10" borderId="28" xfId="203" applyNumberFormat="1" applyFont="1" applyFill="1" applyBorder="1" applyAlignment="1">
      <alignment vertical="center"/>
    </xf>
    <xf numFmtId="0" fontId="40" fillId="10" borderId="28" xfId="203" applyNumberFormat="1" applyFont="1" applyFill="1" applyBorder="1" applyAlignment="1">
      <alignment horizontal="left" vertical="center"/>
    </xf>
    <xf numFmtId="43" fontId="43" fillId="0" borderId="28" xfId="308" applyFont="1" applyFill="1" applyBorder="1" applyAlignment="1">
      <alignment horizontal="right" vertical="center"/>
    </xf>
    <xf numFmtId="43" fontId="43" fillId="10" borderId="28" xfId="308" applyFont="1" applyFill="1" applyBorder="1" applyAlignment="1">
      <alignment horizontal="right" vertical="center"/>
    </xf>
    <xf numFmtId="43" fontId="19" fillId="0" borderId="0" xfId="305" applyNumberFormat="1" applyFont="1" applyBorder="1" applyAlignment="1">
      <alignment horizontal="right" vertical="center"/>
    </xf>
    <xf numFmtId="43" fontId="23" fillId="10" borderId="28" xfId="203" applyFont="1" applyFill="1" applyBorder="1" applyAlignment="1">
      <alignment horizontal="center" vertical="center"/>
    </xf>
    <xf numFmtId="0" fontId="27" fillId="0" borderId="2" xfId="34" applyFont="1" applyBorder="1" applyAlignment="1">
      <alignment horizontal="center" vertical="center" wrapText="1"/>
      <protection locked="0"/>
    </xf>
    <xf numFmtId="0" fontId="16" fillId="0" borderId="2" xfId="36" applyBorder="1" applyAlignment="1">
      <alignment vertical="center"/>
      <protection locked="0"/>
    </xf>
    <xf numFmtId="0" fontId="13" fillId="0" borderId="2" xfId="34" applyFont="1" applyBorder="1" applyAlignment="1">
      <alignment horizontal="center" vertical="center" wrapText="1"/>
      <protection locked="0"/>
    </xf>
    <xf numFmtId="0" fontId="19" fillId="0" borderId="3" xfId="32" applyFont="1" applyBorder="1" applyAlignment="1">
      <alignment vertical="center"/>
    </xf>
    <xf numFmtId="14" fontId="40" fillId="0" borderId="3" xfId="32" applyNumberFormat="1" applyFont="1" applyBorder="1" applyAlignment="1">
      <alignment horizontal="center" vertical="center"/>
    </xf>
    <xf numFmtId="0" fontId="19" fillId="0" borderId="3" xfId="32" applyFont="1" applyBorder="1" applyAlignment="1">
      <alignment horizontal="center" vertical="center"/>
    </xf>
    <xf numFmtId="192" fontId="19" fillId="0" borderId="28" xfId="310" applyFont="1" applyFill="1" applyBorder="1" applyAlignment="1">
      <alignment vertical="center" wrapText="1"/>
    </xf>
    <xf numFmtId="223" fontId="19" fillId="0" borderId="28" xfId="312" applyNumberFormat="1" applyFont="1" applyBorder="1" applyAlignment="1">
      <alignment horizontal="left" vertical="center" wrapText="1"/>
    </xf>
    <xf numFmtId="0" fontId="80" fillId="0" borderId="0" xfId="0" applyFont="1" applyBorder="1" applyAlignment="1">
      <alignment vertical="center"/>
      <protection locked="0"/>
    </xf>
    <xf numFmtId="0" fontId="23" fillId="10" borderId="3" xfId="40" applyFont="1" applyFill="1" applyBorder="1" applyAlignment="1">
      <alignment horizontal="center" vertical="center"/>
      <protection locked="0"/>
    </xf>
    <xf numFmtId="0" fontId="23" fillId="10" borderId="3" xfId="32" applyFont="1" applyFill="1" applyBorder="1" applyAlignment="1">
      <alignment horizontal="center" vertical="center"/>
    </xf>
    <xf numFmtId="0" fontId="86" fillId="0" borderId="28" xfId="293" applyFont="1" applyFill="1" applyBorder="1" applyAlignment="1">
      <alignment horizontal="center" vertical="center" wrapText="1"/>
    </xf>
    <xf numFmtId="0" fontId="41" fillId="10" borderId="3" xfId="279" applyFont="1" applyFill="1" applyBorder="1" applyAlignment="1">
      <alignment horizontal="center" vertical="center" wrapText="1"/>
      <protection locked="0"/>
    </xf>
    <xf numFmtId="0" fontId="23" fillId="10" borderId="3" xfId="40" applyFont="1" applyFill="1" applyBorder="1" applyAlignment="1">
      <alignment horizontal="centerContinuous" vertical="center"/>
      <protection locked="0"/>
    </xf>
    <xf numFmtId="0" fontId="40" fillId="0" borderId="0" xfId="40" applyFont="1" applyFill="1" applyAlignment="1">
      <alignment vertical="center"/>
      <protection locked="0"/>
    </xf>
    <xf numFmtId="0" fontId="43" fillId="0" borderId="0" xfId="28" applyFont="1" applyFill="1" applyAlignment="1">
      <alignment vertical="center"/>
    </xf>
    <xf numFmtId="0" fontId="40" fillId="0" borderId="0" xfId="30" applyFont="1" applyFill="1" applyBorder="1" applyAlignment="1">
      <alignment vertical="center"/>
    </xf>
    <xf numFmtId="0" fontId="41" fillId="10" borderId="0" xfId="32" applyFont="1" applyFill="1" applyAlignment="1">
      <alignment vertical="center"/>
    </xf>
    <xf numFmtId="192" fontId="80" fillId="0" borderId="28" xfId="310" applyFont="1" applyFill="1" applyBorder="1" applyAlignment="1">
      <alignment horizontal="center" vertical="center" wrapText="1"/>
    </xf>
    <xf numFmtId="192" fontId="116" fillId="0" borderId="0" xfId="313" applyFont="1" applyFill="1" applyAlignment="1">
      <alignment horizontal="left" vertical="center"/>
    </xf>
    <xf numFmtId="0" fontId="108" fillId="0" borderId="0" xfId="0" applyFont="1" applyAlignment="1">
      <alignment horizontal="center" vertical="center"/>
      <protection locked="0"/>
    </xf>
    <xf numFmtId="0" fontId="38" fillId="0" borderId="0" xfId="0" applyFont="1" applyAlignment="1">
      <alignment horizontal="left" vertical="center" wrapText="1"/>
      <protection locked="0"/>
    </xf>
    <xf numFmtId="0" fontId="39" fillId="0" borderId="0" xfId="0" applyFont="1" applyAlignment="1">
      <alignment horizontal="left" vertical="center" wrapText="1"/>
      <protection locked="0"/>
    </xf>
    <xf numFmtId="192" fontId="19" fillId="0" borderId="28" xfId="310" applyFont="1" applyFill="1" applyBorder="1" applyAlignment="1" applyProtection="1">
      <alignment horizontal="center" vertical="center" wrapText="1"/>
      <protection locked="0"/>
    </xf>
    <xf numFmtId="192" fontId="23" fillId="10" borderId="28" xfId="310" applyFont="1" applyFill="1" applyBorder="1" applyAlignment="1" applyProtection="1">
      <alignment horizontal="center" vertical="center" wrapText="1"/>
      <protection locked="0"/>
    </xf>
    <xf numFmtId="192" fontId="41" fillId="10" borderId="28" xfId="310" applyFont="1" applyFill="1" applyBorder="1" applyAlignment="1" applyProtection="1">
      <alignment horizontal="center" vertical="center" wrapText="1"/>
      <protection locked="0"/>
    </xf>
    <xf numFmtId="0" fontId="23" fillId="0" borderId="29" xfId="293" applyFont="1" applyFill="1" applyBorder="1" applyAlignment="1" applyProtection="1">
      <alignment horizontal="left" vertical="center" wrapText="1"/>
      <protection locked="0"/>
    </xf>
    <xf numFmtId="49" fontId="23" fillId="10" borderId="28" xfId="310" applyNumberFormat="1" applyFont="1" applyFill="1" applyBorder="1" applyAlignment="1" applyProtection="1">
      <alignment horizontal="center" vertical="center"/>
      <protection locked="0"/>
    </xf>
    <xf numFmtId="0" fontId="23" fillId="10" borderId="28" xfId="293" applyFont="1" applyFill="1" applyBorder="1" applyAlignment="1" applyProtection="1">
      <alignment horizontal="center" vertical="center" wrapText="1"/>
      <protection locked="0"/>
    </xf>
    <xf numFmtId="192" fontId="23" fillId="10" borderId="28" xfId="310" applyFont="1" applyFill="1" applyBorder="1" applyAlignment="1" applyProtection="1">
      <alignment horizontal="center" vertical="center"/>
      <protection locked="0"/>
    </xf>
    <xf numFmtId="192" fontId="41" fillId="10" borderId="28" xfId="310" applyFont="1" applyFill="1" applyBorder="1" applyAlignment="1" applyProtection="1">
      <alignment horizontal="center" vertical="center"/>
      <protection locked="0"/>
    </xf>
    <xf numFmtId="192" fontId="9" fillId="0" borderId="28" xfId="310" applyFont="1" applyFill="1" applyBorder="1" applyAlignment="1" applyProtection="1">
      <alignment horizontal="left" vertical="center" wrapText="1"/>
      <protection locked="0"/>
    </xf>
    <xf numFmtId="192" fontId="20" fillId="0" borderId="0" xfId="309" applyFont="1" applyFill="1" applyAlignment="1">
      <alignment horizontal="center" vertical="center"/>
    </xf>
    <xf numFmtId="192" fontId="108" fillId="0" borderId="0" xfId="309" applyFont="1" applyFill="1" applyAlignment="1">
      <alignment horizontal="center" vertical="center"/>
    </xf>
    <xf numFmtId="192" fontId="109" fillId="0" borderId="0" xfId="309" applyFont="1" applyFill="1" applyAlignment="1">
      <alignment horizontal="center" vertical="center"/>
    </xf>
    <xf numFmtId="192" fontId="59" fillId="10" borderId="28" xfId="310" applyFont="1" applyFill="1" applyBorder="1" applyAlignment="1" applyProtection="1">
      <alignment horizontal="center" vertical="center" wrapText="1"/>
      <protection locked="0"/>
    </xf>
    <xf numFmtId="43" fontId="20" fillId="0" borderId="0" xfId="305" applyNumberFormat="1" applyFont="1" applyBorder="1" applyAlignment="1">
      <alignment horizontal="center" vertical="center"/>
    </xf>
    <xf numFmtId="43" fontId="108" fillId="0" borderId="0" xfId="305" applyNumberFormat="1" applyFont="1" applyBorder="1" applyAlignment="1">
      <alignment horizontal="center" vertical="center"/>
    </xf>
    <xf numFmtId="0" fontId="23" fillId="10" borderId="28" xfId="203" applyNumberFormat="1" applyFont="1" applyFill="1" applyBorder="1" applyAlignment="1">
      <alignment horizontal="center" vertical="center"/>
    </xf>
    <xf numFmtId="43" fontId="23" fillId="10" borderId="28" xfId="305" applyNumberFormat="1" applyFont="1" applyFill="1" applyBorder="1" applyAlignment="1">
      <alignment horizontal="center" vertical="center"/>
    </xf>
    <xf numFmtId="43" fontId="23" fillId="10" borderId="28" xfId="203" applyFont="1" applyFill="1" applyBorder="1" applyAlignment="1">
      <alignment horizontal="center" vertical="center" shrinkToFit="1"/>
    </xf>
    <xf numFmtId="43" fontId="23" fillId="10" borderId="15" xfId="38" applyFont="1" applyFill="1" applyBorder="1" applyAlignment="1">
      <alignment horizontal="center" vertical="center" wrapText="1"/>
    </xf>
    <xf numFmtId="43" fontId="23" fillId="10" borderId="4" xfId="38" applyFont="1" applyFill="1" applyBorder="1" applyAlignment="1">
      <alignment horizontal="center" vertical="center" wrapText="1"/>
    </xf>
    <xf numFmtId="0" fontId="23" fillId="10" borderId="15" xfId="40" applyFont="1" applyFill="1" applyBorder="1" applyAlignment="1">
      <alignment horizontal="center" vertical="center"/>
      <protection locked="0"/>
    </xf>
    <xf numFmtId="0" fontId="23" fillId="10" borderId="4" xfId="40" applyFont="1" applyFill="1" applyBorder="1" applyAlignment="1">
      <alignment horizontal="center" vertical="center"/>
      <protection locked="0"/>
    </xf>
    <xf numFmtId="0" fontId="20" fillId="0" borderId="0" xfId="30" applyFont="1" applyAlignment="1">
      <alignment horizontal="center" vertical="center"/>
    </xf>
    <xf numFmtId="0" fontId="108" fillId="0" borderId="0" xfId="30" applyFont="1" applyAlignment="1">
      <alignment horizontal="center" vertical="center"/>
    </xf>
    <xf numFmtId="0" fontId="41" fillId="10" borderId="9" xfId="40" applyFont="1" applyFill="1" applyBorder="1" applyAlignment="1">
      <alignment horizontal="center" vertical="center" wrapText="1"/>
      <protection locked="0"/>
    </xf>
    <xf numFmtId="0" fontId="41" fillId="10" borderId="10" xfId="40" applyFont="1" applyFill="1" applyBorder="1" applyAlignment="1">
      <alignment horizontal="center" vertical="center" wrapText="1"/>
      <protection locked="0"/>
    </xf>
    <xf numFmtId="0" fontId="23" fillId="10" borderId="5" xfId="40" applyFont="1" applyFill="1" applyBorder="1" applyAlignment="1">
      <alignment horizontal="center" vertical="center"/>
      <protection locked="0"/>
    </xf>
    <xf numFmtId="0" fontId="41" fillId="10" borderId="14" xfId="40" applyFont="1" applyFill="1" applyBorder="1" applyAlignment="1">
      <alignment horizontal="center" vertical="center"/>
      <protection locked="0"/>
    </xf>
    <xf numFmtId="0" fontId="41" fillId="10" borderId="6" xfId="40" applyFont="1" applyFill="1" applyBorder="1" applyAlignment="1">
      <alignment horizontal="center" vertical="center"/>
      <protection locked="0"/>
    </xf>
    <xf numFmtId="43" fontId="23" fillId="10" borderId="5" xfId="38" applyFont="1" applyFill="1" applyBorder="1" applyAlignment="1">
      <alignment horizontal="center" vertical="center"/>
    </xf>
    <xf numFmtId="43" fontId="23" fillId="10" borderId="6" xfId="38" applyFont="1" applyFill="1" applyBorder="1" applyAlignment="1">
      <alignment horizontal="center" vertical="center"/>
    </xf>
    <xf numFmtId="43" fontId="23" fillId="10" borderId="15" xfId="38" applyFont="1" applyFill="1" applyBorder="1" applyAlignment="1">
      <alignment vertical="center" wrapText="1"/>
    </xf>
    <xf numFmtId="43" fontId="23" fillId="10" borderId="4" xfId="38" applyFont="1" applyFill="1" applyBorder="1" applyAlignment="1">
      <alignment vertical="center" wrapText="1"/>
    </xf>
    <xf numFmtId="184" fontId="23" fillId="10" borderId="15" xfId="26" applyNumberFormat="1" applyFont="1" applyFill="1" applyBorder="1" applyAlignment="1">
      <alignment vertical="center"/>
    </xf>
    <xf numFmtId="184" fontId="23" fillId="10" borderId="4" xfId="26" applyNumberFormat="1" applyFont="1" applyFill="1" applyBorder="1" applyAlignment="1">
      <alignment vertical="center"/>
    </xf>
    <xf numFmtId="43" fontId="23" fillId="10" borderId="15" xfId="38" applyFont="1" applyFill="1" applyBorder="1" applyAlignment="1">
      <alignment horizontal="center" vertical="center"/>
    </xf>
    <xf numFmtId="43" fontId="23" fillId="10" borderId="4" xfId="38" applyFont="1" applyFill="1" applyBorder="1" applyAlignment="1">
      <alignment horizontal="center" vertical="center"/>
    </xf>
    <xf numFmtId="0" fontId="41" fillId="0" borderId="0" xfId="30" applyFont="1" applyBorder="1" applyAlignment="1">
      <alignment horizontal="center" vertical="center"/>
    </xf>
    <xf numFmtId="0" fontId="38" fillId="0" borderId="0" xfId="30" applyFont="1" applyBorder="1" applyAlignment="1">
      <alignment horizontal="center" vertical="center"/>
    </xf>
    <xf numFmtId="0" fontId="41" fillId="10" borderId="28" xfId="0" applyFont="1" applyFill="1" applyBorder="1" applyAlignment="1">
      <alignment horizontal="center" vertical="center"/>
      <protection locked="0"/>
    </xf>
    <xf numFmtId="0" fontId="23" fillId="10" borderId="28" xfId="0" applyFont="1" applyFill="1" applyBorder="1" applyAlignment="1">
      <alignment horizontal="center" vertical="center"/>
      <protection locked="0"/>
    </xf>
    <xf numFmtId="43" fontId="20" fillId="0" borderId="0" xfId="35" applyNumberFormat="1" applyFont="1" applyBorder="1" applyAlignment="1">
      <alignment horizontal="center" vertical="center"/>
    </xf>
    <xf numFmtId="43" fontId="108" fillId="0" borderId="0" xfId="35" applyNumberFormat="1" applyFont="1" applyBorder="1" applyAlignment="1">
      <alignment horizontal="center" vertical="center"/>
    </xf>
    <xf numFmtId="0" fontId="114" fillId="0" borderId="0" xfId="211" applyFont="1" applyFill="1" applyBorder="1" applyAlignment="1" applyProtection="1">
      <alignment horizontal="left" vertical="center" wrapText="1"/>
      <protection locked="0"/>
    </xf>
    <xf numFmtId="0" fontId="39" fillId="0" borderId="0" xfId="211" applyFont="1" applyFill="1" applyBorder="1" applyAlignment="1" applyProtection="1">
      <alignment horizontal="left" vertical="center" wrapText="1"/>
      <protection locked="0"/>
    </xf>
    <xf numFmtId="0" fontId="38" fillId="0" borderId="0" xfId="30" applyFont="1" applyAlignment="1">
      <alignment horizontal="center" vertical="center"/>
    </xf>
    <xf numFmtId="0" fontId="109" fillId="0" borderId="0" xfId="30" applyFont="1" applyAlignment="1">
      <alignment horizontal="center" vertical="center"/>
    </xf>
    <xf numFmtId="0" fontId="23" fillId="10" borderId="3" xfId="40" applyFont="1" applyFill="1" applyBorder="1" applyAlignment="1">
      <alignment horizontal="center" vertical="center"/>
      <protection locked="0"/>
    </xf>
    <xf numFmtId="0" fontId="41" fillId="10" borderId="3" xfId="40" applyFont="1" applyFill="1" applyBorder="1" applyAlignment="1">
      <alignment horizontal="center" vertical="center"/>
      <protection locked="0"/>
    </xf>
    <xf numFmtId="0" fontId="23" fillId="10" borderId="5" xfId="37" applyFont="1" applyFill="1" applyBorder="1" applyAlignment="1">
      <alignment horizontal="center" vertical="center"/>
    </xf>
    <xf numFmtId="0" fontId="23" fillId="10" borderId="14" xfId="37" applyFont="1" applyFill="1" applyBorder="1" applyAlignment="1">
      <alignment horizontal="center" vertical="center"/>
    </xf>
    <xf numFmtId="0" fontId="23" fillId="10" borderId="6" xfId="37" applyFont="1" applyFill="1" applyBorder="1" applyAlignment="1">
      <alignment horizontal="center" vertical="center"/>
    </xf>
    <xf numFmtId="0" fontId="20" fillId="0" borderId="0" xfId="204" applyFont="1" applyAlignment="1">
      <alignment horizontal="center" vertical="center"/>
    </xf>
    <xf numFmtId="0" fontId="108" fillId="0" borderId="0" xfId="204" applyFont="1" applyFill="1" applyAlignment="1">
      <alignment horizontal="center" vertical="center"/>
    </xf>
    <xf numFmtId="0" fontId="20" fillId="0" borderId="0" xfId="31" applyFont="1" applyAlignment="1">
      <alignment horizontal="center" vertical="center"/>
    </xf>
    <xf numFmtId="0" fontId="108" fillId="0" borderId="0" xfId="31" applyFont="1" applyAlignment="1">
      <alignment horizontal="center" vertical="center"/>
    </xf>
    <xf numFmtId="0" fontId="40" fillId="0" borderId="3" xfId="32" applyFont="1" applyBorder="1" applyAlignment="1">
      <alignment horizontal="left" vertical="center"/>
    </xf>
    <xf numFmtId="0" fontId="38" fillId="0" borderId="0" xfId="31" applyFont="1" applyAlignment="1">
      <alignment horizontal="center" vertical="center"/>
    </xf>
    <xf numFmtId="0" fontId="108" fillId="0" borderId="0" xfId="32" applyFont="1" applyBorder="1" applyAlignment="1">
      <alignment horizontal="center" vertical="center"/>
    </xf>
    <xf numFmtId="0" fontId="109" fillId="0" borderId="0" xfId="32" applyFont="1" applyAlignment="1">
      <alignment horizontal="center" vertical="center"/>
    </xf>
    <xf numFmtId="0" fontId="23" fillId="10" borderId="3" xfId="32" applyFont="1" applyFill="1" applyBorder="1" applyAlignment="1">
      <alignment horizontal="center" vertical="center"/>
    </xf>
    <xf numFmtId="0" fontId="41" fillId="10" borderId="3" xfId="32" applyFont="1" applyFill="1" applyBorder="1" applyAlignment="1">
      <alignment horizontal="center" vertical="center"/>
    </xf>
    <xf numFmtId="0" fontId="19" fillId="0" borderId="3" xfId="32" applyFont="1" applyBorder="1" applyAlignment="1">
      <alignment horizontal="left" vertical="center"/>
    </xf>
    <xf numFmtId="0" fontId="23" fillId="10" borderId="15" xfId="32" applyFont="1" applyFill="1" applyBorder="1" applyAlignment="1">
      <alignment horizontal="center" vertical="center" wrapText="1"/>
    </xf>
    <xf numFmtId="0" fontId="23" fillId="10" borderId="4" xfId="32" applyFont="1" applyFill="1" applyBorder="1" applyAlignment="1">
      <alignment horizontal="center" vertical="center" wrapText="1"/>
    </xf>
  </cellXfs>
  <cellStyles count="314">
    <cellStyle name="%" xfId="41"/>
    <cellStyle name="?" xfId="42"/>
    <cellStyle name="?餡_x000c_k" xfId="43"/>
    <cellStyle name="?餡_x000c_k?_x000d_^" xfId="44"/>
    <cellStyle name="?餡_x000c_k?_x000d_^黇_x0001_??_x0007__x0001__x0001_" xfId="45"/>
    <cellStyle name="@_text" xfId="1"/>
    <cellStyle name="_2005审计报表及附注-中国建材股份模板（房屋）" xfId="46"/>
    <cellStyle name="_2006年年报审计PBC表-XXX" xfId="47"/>
    <cellStyle name="_2006年年报审计填报资料" xfId="48"/>
    <cellStyle name="_Book1" xfId="49"/>
    <cellStyle name="_J1000-存货-ZHHG" xfId="50"/>
    <cellStyle name="_PBC审核提示" xfId="51"/>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存货结转测试" xfId="61"/>
    <cellStyle name="_存货数量与明细05.12" xfId="62"/>
    <cellStyle name="_动力厂2004年审工作底稿-刘" xfId="63"/>
    <cellStyle name="_分工" xfId="64"/>
    <cellStyle name="_工程施工项目现场审计提示" xfId="65"/>
    <cellStyle name="_关联交易" xfId="66"/>
    <cellStyle name="_关联交易、往来统计表" xfId="67"/>
    <cellStyle name="_建造合同-宜万指（正式版）" xfId="68"/>
    <cellStyle name="_科目核对表" xfId="69"/>
    <cellStyle name="_母PL" xfId="70"/>
    <cellStyle name="_人员分工备忘录" xfId="71"/>
    <cellStyle name="_审计所需资料清单－子公司" xfId="72"/>
    <cellStyle name="_一公司建造合同前5名" xfId="73"/>
    <cellStyle name="_一公司－刘丰收" xfId="74"/>
    <cellStyle name="_长期借款－江阴" xfId="75"/>
    <cellStyle name="_子公司审计提示模版-Liufs" xfId="76"/>
    <cellStyle name="{Comma [0]}" xfId="2"/>
    <cellStyle name="{Comma}" xfId="3"/>
    <cellStyle name="{Date}" xfId="4"/>
    <cellStyle name="{Month}" xfId="5"/>
    <cellStyle name="{Percent}" xfId="6"/>
    <cellStyle name="{Thousand [0]}" xfId="7"/>
    <cellStyle name="{Thousand}" xfId="8"/>
    <cellStyle name="{Z'0000(1 dec)}" xfId="9"/>
    <cellStyle name="{Z'0000(4 dec)}" xfId="10"/>
    <cellStyle name="0%" xfId="77"/>
    <cellStyle name="0.0%" xfId="78"/>
    <cellStyle name="0.00%" xfId="79"/>
    <cellStyle name="20% - Accent1" xfId="218"/>
    <cellStyle name="20% - Accent2" xfId="219"/>
    <cellStyle name="20% - Accent3" xfId="220"/>
    <cellStyle name="20% - Accent4" xfId="221"/>
    <cellStyle name="20% - Accent5" xfId="222"/>
    <cellStyle name="20% - Accent6" xfId="223"/>
    <cellStyle name="40% - Accent1" xfId="224"/>
    <cellStyle name="40% - Accent2" xfId="225"/>
    <cellStyle name="40% - Accent3" xfId="226"/>
    <cellStyle name="40% - Accent4" xfId="227"/>
    <cellStyle name="40% - Accent5" xfId="228"/>
    <cellStyle name="40% - Accent6" xfId="229"/>
    <cellStyle name="60% - Accent1" xfId="230"/>
    <cellStyle name="60% - Accent2" xfId="231"/>
    <cellStyle name="60% - Accent3" xfId="232"/>
    <cellStyle name="60% - Accent4" xfId="233"/>
    <cellStyle name="60% - Accent5" xfId="234"/>
    <cellStyle name="60% - Accent6" xfId="235"/>
    <cellStyle name="Accent1" xfId="236"/>
    <cellStyle name="Accent2" xfId="237"/>
    <cellStyle name="Accent3" xfId="238"/>
    <cellStyle name="Accent4" xfId="239"/>
    <cellStyle name="Accent5" xfId="240"/>
    <cellStyle name="Accent6" xfId="241"/>
    <cellStyle name="Bad" xfId="242"/>
    <cellStyle name="Black" xfId="11"/>
    <cellStyle name="Border" xfId="12"/>
    <cellStyle name="Calc Currency (0)" xfId="80"/>
    <cellStyle name="Calc Currency (2)" xfId="81"/>
    <cellStyle name="Calc Percent (0)" xfId="82"/>
    <cellStyle name="Calc Percent (1)" xfId="83"/>
    <cellStyle name="Calc Percent (2)" xfId="84"/>
    <cellStyle name="Calc Units (0)" xfId="85"/>
    <cellStyle name="Calc Units (1)" xfId="86"/>
    <cellStyle name="Calc Units (2)" xfId="87"/>
    <cellStyle name="Calculation" xfId="243"/>
    <cellStyle name="category" xfId="88"/>
    <cellStyle name="Check Cell" xfId="244"/>
    <cellStyle name="Col Heads" xfId="89"/>
    <cellStyle name="Column_Title" xfId="90"/>
    <cellStyle name="Comma  - Style1" xfId="91"/>
    <cellStyle name="Comma  - Style2" xfId="92"/>
    <cellStyle name="Comma  - Style3" xfId="93"/>
    <cellStyle name="Comma  - Style4" xfId="94"/>
    <cellStyle name="Comma  - Style5" xfId="95"/>
    <cellStyle name="Comma  - Style6" xfId="96"/>
    <cellStyle name="Comma  - Style7" xfId="97"/>
    <cellStyle name="Comma  - Style8" xfId="98"/>
    <cellStyle name="Comma [0]_ rislugp" xfId="99"/>
    <cellStyle name="Comma [00]" xfId="100"/>
    <cellStyle name="Comma 28" xfId="101"/>
    <cellStyle name="comma zerodec" xfId="102"/>
    <cellStyle name="Comma,0" xfId="103"/>
    <cellStyle name="Comma,1" xfId="104"/>
    <cellStyle name="Comma,2" xfId="105"/>
    <cellStyle name="Comma_ rislugp" xfId="106"/>
    <cellStyle name="Currency [0]_ rislugp" xfId="107"/>
    <cellStyle name="Currency [00]" xfId="108"/>
    <cellStyle name="Currency,0" xfId="109"/>
    <cellStyle name="Currency,2" xfId="110"/>
    <cellStyle name="Currency_ rislugp" xfId="111"/>
    <cellStyle name="Currency1" xfId="112"/>
    <cellStyle name="Date Short" xfId="113"/>
    <cellStyle name="Dezimal [0]_laroux" xfId="13"/>
    <cellStyle name="Dezimal_laroux" xfId="14"/>
    <cellStyle name="Dollar (zero dec)" xfId="114"/>
    <cellStyle name="Enter Currency (0)" xfId="115"/>
    <cellStyle name="Enter Currency (2)" xfId="116"/>
    <cellStyle name="Enter Units (0)" xfId="117"/>
    <cellStyle name="Enter Units (1)" xfId="118"/>
    <cellStyle name="Enter Units (2)" xfId="119"/>
    <cellStyle name="entry" xfId="120"/>
    <cellStyle name="entry box" xfId="121"/>
    <cellStyle name="Euro" xfId="15"/>
    <cellStyle name="Explanatory Text" xfId="245"/>
    <cellStyle name="Followed Hyperlink_AheadBehind.xls Chart 23" xfId="16"/>
    <cellStyle name="Good" xfId="246"/>
    <cellStyle name="Grey" xfId="17"/>
    <cellStyle name="HEADER" xfId="122"/>
    <cellStyle name="Header1" xfId="123"/>
    <cellStyle name="Header2" xfId="124"/>
    <cellStyle name="Heading" xfId="125"/>
    <cellStyle name="Heading 1" xfId="247"/>
    <cellStyle name="Heading 2" xfId="248"/>
    <cellStyle name="Heading 3" xfId="249"/>
    <cellStyle name="Heading 4" xfId="250"/>
    <cellStyle name="Hyperlink_AheadBehind.xls Chart 23" xfId="18"/>
    <cellStyle name="Input" xfId="251"/>
    <cellStyle name="Input [yellow]" xfId="19"/>
    <cellStyle name="left" xfId="126"/>
    <cellStyle name="Link Currency (0)" xfId="127"/>
    <cellStyle name="Link Currency (2)" xfId="128"/>
    <cellStyle name="Link Units (0)" xfId="129"/>
    <cellStyle name="Link Units (1)" xfId="130"/>
    <cellStyle name="Link Units (2)" xfId="131"/>
    <cellStyle name="Linked Cell" xfId="252"/>
    <cellStyle name="Millares [0]_laroux" xfId="132"/>
    <cellStyle name="Millares_laroux" xfId="133"/>
    <cellStyle name="Milliers [0]_laroux" xfId="20"/>
    <cellStyle name="Milliers_laroux" xfId="21"/>
    <cellStyle name="Model" xfId="134"/>
    <cellStyle name="Moneda [0]_laroux" xfId="135"/>
    <cellStyle name="Moneda_laroux" xfId="136"/>
    <cellStyle name="Mon閠aire [0]_laroux" xfId="137"/>
    <cellStyle name="Mon閠aire_laroux" xfId="138"/>
    <cellStyle name="Neutral" xfId="253"/>
    <cellStyle name="no dec" xfId="139"/>
    <cellStyle name="Non défini" xfId="22"/>
    <cellStyle name="Normal - Style1" xfId="23"/>
    <cellStyle name="Normal - Style1 2" xfId="206"/>
    <cellStyle name="Normal 2" xfId="254"/>
    <cellStyle name="Normal 2 2" xfId="255"/>
    <cellStyle name="Normal 21" xfId="140"/>
    <cellStyle name="Normal 3 2" xfId="256"/>
    <cellStyle name="Normal_ rislugp" xfId="141"/>
    <cellStyle name="Normalny_Arkusz1" xfId="142"/>
    <cellStyle name="Note" xfId="257"/>
    <cellStyle name="Output" xfId="258"/>
    <cellStyle name="Percent (0)" xfId="143"/>
    <cellStyle name="Percent [0]" xfId="144"/>
    <cellStyle name="Percent [00]" xfId="145"/>
    <cellStyle name="Percent [2]" xfId="24"/>
    <cellStyle name="Prefilled" xfId="146"/>
    <cellStyle name="PrePop Currency (0)" xfId="147"/>
    <cellStyle name="PrePop Currency (2)" xfId="148"/>
    <cellStyle name="PrePop Units (0)" xfId="149"/>
    <cellStyle name="PrePop Units (1)" xfId="150"/>
    <cellStyle name="PrePop Units (2)" xfId="151"/>
    <cellStyle name="price" xfId="152"/>
    <cellStyle name="Red" xfId="25"/>
    <cellStyle name="revised" xfId="153"/>
    <cellStyle name="section" xfId="154"/>
    <cellStyle name="SOR" xfId="155"/>
    <cellStyle name="style" xfId="156"/>
    <cellStyle name="style1" xfId="157"/>
    <cellStyle name="style2" xfId="158"/>
    <cellStyle name="subhead" xfId="159"/>
    <cellStyle name="Text Indent A" xfId="160"/>
    <cellStyle name="Text Indent B" xfId="161"/>
    <cellStyle name="Text Indent C" xfId="162"/>
    <cellStyle name="Tickmark" xfId="163"/>
    <cellStyle name="title" xfId="164"/>
    <cellStyle name="Total" xfId="259"/>
    <cellStyle name="Warning Text" xfId="260"/>
    <cellStyle name="wrap" xfId="165"/>
    <cellStyle name="パーセント_laroux" xfId="166"/>
    <cellStyle name="_PLDT" xfId="167"/>
    <cellStyle name="_Total (2)" xfId="168"/>
    <cellStyle name="だ[0]_PLDT" xfId="169"/>
    <cellStyle name="だ_PLDT" xfId="170"/>
    <cellStyle name="だ[0]_Total (2)" xfId="171"/>
    <cellStyle name="だ_Total (2)" xfId="172"/>
    <cellStyle name="百分比" xfId="26" builtinId="5"/>
    <cellStyle name="百分比 2" xfId="27"/>
    <cellStyle name="百分比 2 2" xfId="207"/>
    <cellStyle name="百分比 3" xfId="208"/>
    <cellStyle name="百分比 4" xfId="209"/>
    <cellStyle name="標準_１１月価格表" xfId="173"/>
    <cellStyle name="差_T1000-主营业务收入-LJCH" xfId="174"/>
    <cellStyle name="常规" xfId="0" builtinId="0"/>
    <cellStyle name="常规 10" xfId="261"/>
    <cellStyle name="常规 10 2" xfId="262"/>
    <cellStyle name="常规 10 3" xfId="263"/>
    <cellStyle name="常规 10 4" xfId="264"/>
    <cellStyle name="常规 11" xfId="307"/>
    <cellStyle name="常规 11 2" xfId="265"/>
    <cellStyle name="常规 11 3" xfId="266"/>
    <cellStyle name="常规 11 4" xfId="267"/>
    <cellStyle name="常规 11 5" xfId="313"/>
    <cellStyle name="常规 12 2" xfId="268"/>
    <cellStyle name="常规 12 3" xfId="269"/>
    <cellStyle name="常规 12 4" xfId="270"/>
    <cellStyle name="常规 13 2" xfId="271"/>
    <cellStyle name="常规 13 3" xfId="272"/>
    <cellStyle name="常规 13 4" xfId="273"/>
    <cellStyle name="常规 14" xfId="28"/>
    <cellStyle name="常规 14 2" xfId="210"/>
    <cellStyle name="常规 2" xfId="29"/>
    <cellStyle name="常规 2 2" xfId="211"/>
    <cellStyle name="常规 2 2 2" xfId="212"/>
    <cellStyle name="常规 2 2 3" xfId="274"/>
    <cellStyle name="常规 2 3" xfId="213"/>
    <cellStyle name="常规 2 4" xfId="275"/>
    <cellStyle name="常规 2 5" xfId="276"/>
    <cellStyle name="常规 2 6" xfId="277"/>
    <cellStyle name="常规 2 7" xfId="278"/>
    <cellStyle name="常规 2 8" xfId="279"/>
    <cellStyle name="常规 2_经销商信息-1-原始表" xfId="280"/>
    <cellStyle name="常规 3" xfId="40"/>
    <cellStyle name="常规 3 2" xfId="214"/>
    <cellStyle name="常规 3 3" xfId="281"/>
    <cellStyle name="常规 3 4" xfId="282"/>
    <cellStyle name="常规 4" xfId="175"/>
    <cellStyle name="常规 4 2" xfId="283"/>
    <cellStyle name="常规 4 3" xfId="284"/>
    <cellStyle name="常规 4 4" xfId="285"/>
    <cellStyle name="常规 5" xfId="176"/>
    <cellStyle name="常规 5 2" xfId="286"/>
    <cellStyle name="常规 5 3" xfId="287"/>
    <cellStyle name="常规 5 4" xfId="288"/>
    <cellStyle name="常规 5 5" xfId="311"/>
    <cellStyle name="常规 6" xfId="177"/>
    <cellStyle name="常规 6 2" xfId="289"/>
    <cellStyle name="常规 6 3" xfId="290"/>
    <cellStyle name="常规 6 4" xfId="291"/>
    <cellStyle name="常规 6 5" xfId="292"/>
    <cellStyle name="常规 7" xfId="293"/>
    <cellStyle name="常规 7 2" xfId="294"/>
    <cellStyle name="常规 7 3" xfId="295"/>
    <cellStyle name="常规 7 4" xfId="296"/>
    <cellStyle name="常规 7 5" xfId="310"/>
    <cellStyle name="常规 8" xfId="297"/>
    <cellStyle name="常规 8 2" xfId="298"/>
    <cellStyle name="常规 8 3" xfId="299"/>
    <cellStyle name="常规 8 4" xfId="300"/>
    <cellStyle name="常规 9" xfId="301"/>
    <cellStyle name="常规 9 2" xfId="302"/>
    <cellStyle name="常规 9 3" xfId="303"/>
    <cellStyle name="常规 9 4" xfId="304"/>
    <cellStyle name="常规_2-1项目审定表－模板" xfId="312"/>
    <cellStyle name="常规_Book1" xfId="30"/>
    <cellStyle name="常规_Book1 2" xfId="204"/>
    <cellStyle name="常规_Book1 2 2" xfId="309"/>
    <cellStyle name="常规_c-资产类" xfId="31"/>
    <cellStyle name="常规_E21主营业务成本" xfId="32"/>
    <cellStyle name="常规_supportschedule" xfId="33"/>
    <cellStyle name="常规_T1000-主营业务收入" xfId="217"/>
    <cellStyle name="常规_通用表" xfId="34"/>
    <cellStyle name="常规_新审定表" xfId="35"/>
    <cellStyle name="常规_新审定表 2" xfId="305"/>
    <cellStyle name="超级链接_B4-1审计项目工时预算与控制表(集团)" xfId="178"/>
    <cellStyle name="超链接" xfId="36" builtinId="8"/>
    <cellStyle name="超链接 2" xfId="215"/>
    <cellStyle name="超链接 2 2" xfId="306"/>
    <cellStyle name="分级显示行_1_4附件二凯旋评估表" xfId="179"/>
    <cellStyle name="好_T1000-主营业务收入" xfId="180"/>
    <cellStyle name="桁区切り [0.00]_１１月価格表" xfId="181"/>
    <cellStyle name="桁区切り_１１月価格表" xfId="182"/>
    <cellStyle name="霓付 [0]_97MBO" xfId="183"/>
    <cellStyle name="霓付_97MBO" xfId="184"/>
    <cellStyle name="烹拳 [0]_97MBO" xfId="185"/>
    <cellStyle name="烹拳_97MBO" xfId="186"/>
    <cellStyle name="砯刽 [0]_PLDT" xfId="187"/>
    <cellStyle name="砯刽_PLDT" xfId="188"/>
    <cellStyle name="普通_ 白土" xfId="189"/>
    <cellStyle name="普通_附23_PBC4" xfId="37"/>
    <cellStyle name="千分位[0]_ 白土" xfId="190"/>
    <cellStyle name="千分位_ 白土" xfId="191"/>
    <cellStyle name="千位[0]_ 应交税金审定表" xfId="192"/>
    <cellStyle name="千位_ 应交税金审定表" xfId="193"/>
    <cellStyle name="千位分隔" xfId="38" builtinId="3"/>
    <cellStyle name="千位分隔 2" xfId="39"/>
    <cellStyle name="千位分隔 2 2" xfId="216"/>
    <cellStyle name="千位分隔 2 4" xfId="308"/>
    <cellStyle name="千位分隔 3" xfId="203"/>
    <cellStyle name="千位分隔 4" xfId="205"/>
    <cellStyle name="钎霖_laroux" xfId="194"/>
    <cellStyle name="通貨 [0.00]_１１月価格表" xfId="195"/>
    <cellStyle name="通貨_１１月価格表" xfId="196"/>
    <cellStyle name="样式 1" xfId="197"/>
    <cellStyle name="콤마 [0]_BOILER-CO1" xfId="198"/>
    <cellStyle name="콤마_BOILER-CO1" xfId="199"/>
    <cellStyle name="통화 [0]_BOILER-CO1" xfId="200"/>
    <cellStyle name="통화_BOILER-CO1" xfId="201"/>
    <cellStyle name="표준_0N-HANDLING " xfId="202"/>
  </cellStyles>
  <dxfs count="0"/>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20"/>
  <sheetViews>
    <sheetView tabSelected="1" workbookViewId="0"/>
  </sheetViews>
  <sheetFormatPr defaultColWidth="9" defaultRowHeight="20.100000000000001" customHeight="1"/>
  <cols>
    <col min="1" max="1" width="77.59765625" style="11" customWidth="1"/>
    <col min="2" max="2" width="2" style="11" customWidth="1"/>
    <col min="3" max="3" width="2.09765625" style="11" customWidth="1"/>
    <col min="4" max="4" width="6.09765625" style="11" customWidth="1"/>
    <col min="5" max="5" width="48.5" style="11" customWidth="1"/>
    <col min="6" max="6" width="12.3984375" style="11" customWidth="1"/>
    <col min="7" max="16384" width="9" style="10"/>
  </cols>
  <sheetData>
    <row r="1" spans="1:8" s="5" customFormat="1" ht="20.100000000000001" customHeight="1">
      <c r="A1" s="2" t="s">
        <v>5</v>
      </c>
      <c r="B1" s="3"/>
      <c r="C1" s="3"/>
      <c r="D1" s="4"/>
      <c r="E1" s="4"/>
      <c r="F1" s="4"/>
    </row>
    <row r="2" spans="1:8" ht="20.100000000000001" customHeight="1">
      <c r="A2" s="6" t="s">
        <v>386</v>
      </c>
      <c r="B2" s="7"/>
      <c r="C2" s="7"/>
      <c r="D2" s="8" t="s">
        <v>6</v>
      </c>
      <c r="E2" s="8" t="s">
        <v>25</v>
      </c>
      <c r="F2" s="8" t="s">
        <v>37</v>
      </c>
      <c r="G2" s="9"/>
      <c r="H2" s="9"/>
    </row>
    <row r="3" spans="1:8" ht="20.100000000000001" customHeight="1">
      <c r="A3" s="6" t="s">
        <v>395</v>
      </c>
      <c r="B3" s="7"/>
      <c r="C3" s="7"/>
      <c r="D3" s="268">
        <v>1</v>
      </c>
      <c r="E3" s="269" t="s">
        <v>350</v>
      </c>
      <c r="F3" s="270" t="s">
        <v>351</v>
      </c>
      <c r="G3" s="9"/>
      <c r="H3" s="9"/>
    </row>
    <row r="4" spans="1:8" ht="20.100000000000001" customHeight="1">
      <c r="A4" s="154" t="s">
        <v>387</v>
      </c>
      <c r="B4" s="7"/>
      <c r="C4" s="7"/>
      <c r="D4" s="268">
        <f>D3+1</f>
        <v>2</v>
      </c>
      <c r="E4" s="269" t="s">
        <v>353</v>
      </c>
      <c r="F4" s="270" t="s">
        <v>352</v>
      </c>
      <c r="G4" s="9"/>
      <c r="H4" s="12"/>
    </row>
    <row r="5" spans="1:8" ht="20.100000000000001" customHeight="1">
      <c r="A5" s="154" t="s">
        <v>388</v>
      </c>
      <c r="B5" s="13"/>
      <c r="C5" s="13"/>
      <c r="D5" s="268">
        <f t="shared" ref="D5:D11" si="0">D4+1</f>
        <v>3</v>
      </c>
      <c r="E5" s="269" t="s">
        <v>263</v>
      </c>
      <c r="F5" s="270" t="s">
        <v>355</v>
      </c>
      <c r="G5" s="9"/>
      <c r="H5" s="14"/>
    </row>
    <row r="6" spans="1:8" ht="20.100000000000001" customHeight="1">
      <c r="A6" s="154" t="s">
        <v>389</v>
      </c>
      <c r="D6" s="268">
        <f t="shared" si="0"/>
        <v>4</v>
      </c>
      <c r="E6" s="155" t="s">
        <v>354</v>
      </c>
      <c r="F6" s="270" t="s">
        <v>356</v>
      </c>
      <c r="G6" s="15"/>
      <c r="H6" s="15"/>
    </row>
    <row r="7" spans="1:8" ht="20.100000000000001" customHeight="1">
      <c r="A7" s="154" t="s">
        <v>390</v>
      </c>
      <c r="D7" s="268">
        <f t="shared" si="0"/>
        <v>5</v>
      </c>
      <c r="E7" s="155" t="s">
        <v>190</v>
      </c>
      <c r="F7" s="270" t="s">
        <v>357</v>
      </c>
    </row>
    <row r="8" spans="1:8" ht="20.100000000000001" customHeight="1">
      <c r="A8" s="10"/>
      <c r="D8" s="268">
        <f t="shared" si="0"/>
        <v>6</v>
      </c>
      <c r="E8" s="155" t="s">
        <v>358</v>
      </c>
      <c r="F8" s="270" t="s">
        <v>359</v>
      </c>
    </row>
    <row r="9" spans="1:8" ht="20.100000000000001" customHeight="1">
      <c r="A9" s="288" t="s">
        <v>397</v>
      </c>
      <c r="D9" s="268">
        <f t="shared" si="0"/>
        <v>7</v>
      </c>
      <c r="E9" s="269" t="s">
        <v>377</v>
      </c>
      <c r="F9" s="270" t="s">
        <v>362</v>
      </c>
    </row>
    <row r="10" spans="1:8" ht="20.100000000000001" customHeight="1">
      <c r="A10" s="289" t="s">
        <v>398</v>
      </c>
      <c r="D10" s="268">
        <f t="shared" si="0"/>
        <v>8</v>
      </c>
      <c r="E10" s="269" t="s">
        <v>360</v>
      </c>
      <c r="F10" s="270" t="s">
        <v>363</v>
      </c>
    </row>
    <row r="11" spans="1:8" ht="20.100000000000001" customHeight="1">
      <c r="A11" s="289"/>
      <c r="D11" s="268">
        <f t="shared" si="0"/>
        <v>9</v>
      </c>
      <c r="E11" s="269" t="s">
        <v>361</v>
      </c>
      <c r="F11" s="270" t="s">
        <v>364</v>
      </c>
    </row>
    <row r="12" spans="1:8" ht="20.100000000000001" customHeight="1">
      <c r="A12" s="289"/>
      <c r="D12" s="134"/>
    </row>
    <row r="13" spans="1:8" ht="20.100000000000001" customHeight="1">
      <c r="A13" s="289"/>
      <c r="D13" s="135"/>
    </row>
    <row r="14" spans="1:8" ht="19.95" customHeight="1">
      <c r="A14" s="289" t="s">
        <v>399</v>
      </c>
      <c r="F14" s="16"/>
    </row>
    <row r="15" spans="1:8" ht="19.95" customHeight="1">
      <c r="A15" s="289"/>
    </row>
    <row r="16" spans="1:8" ht="19.95" customHeight="1">
      <c r="A16" s="289"/>
    </row>
    <row r="17" spans="1:1" ht="19.95" customHeight="1">
      <c r="A17" s="290" t="s">
        <v>400</v>
      </c>
    </row>
    <row r="18" spans="1:1" ht="19.95" customHeight="1">
      <c r="A18" s="290"/>
    </row>
    <row r="19" spans="1:1" ht="19.95" customHeight="1">
      <c r="A19" s="290"/>
    </row>
    <row r="20" spans="1:1" ht="20.100000000000001" customHeight="1">
      <c r="A20" s="17"/>
    </row>
  </sheetData>
  <mergeCells count="3">
    <mergeCell ref="A10:A13"/>
    <mergeCell ref="A14:A16"/>
    <mergeCell ref="A17:A19"/>
  </mergeCells>
  <phoneticPr fontId="18" type="noConversion"/>
  <hyperlinks>
    <hyperlink ref="E4" location="'营业务成本审定表F5-1'!A1" display="营业务成本审定表"/>
    <hyperlink ref="E5" location="'主营业务成本月度明细表F5-2'!A1" display="主营业务成本月度明细表"/>
    <hyperlink ref="E9" location="'销售数量与结转成本数量核对明细表F5-6'!A1" display="销售数量与结转成本数量核对明细表"/>
    <hyperlink ref="E3" location="营业成本实质性程序表F5A!A1" display="营业成本实质性程序表"/>
    <hyperlink ref="E8" location="'与上年度比较分析表F5-5'!A1" display="主营业务成本与上年度比较分析表"/>
    <hyperlink ref="E6" location="'其他业务成本明细表F5-3'!A1" display="其他业务成本明细表"/>
    <hyperlink ref="E7" location="'调整分录汇总F5-4'!A1" display="调整分录汇总"/>
    <hyperlink ref="E10" location="'成本倒轧表F5-7'!A1" display="主营业务成本倒轧表"/>
    <hyperlink ref="E11" location="'重大调整核查表F5-8'!A1" display="主营业务成本账户中重大调整事项核查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31"/>
  <sheetViews>
    <sheetView view="pageBreakPreview" zoomScaleNormal="115" zoomScaleSheetLayoutView="100" workbookViewId="0">
      <selection activeCell="J26" sqref="J26"/>
    </sheetView>
  </sheetViews>
  <sheetFormatPr defaultColWidth="9" defaultRowHeight="13.8"/>
  <cols>
    <col min="1" max="1" width="5.19921875" style="163" customWidth="1"/>
    <col min="2" max="2" width="66.5" style="163" customWidth="1"/>
    <col min="3" max="3" width="11" style="163" customWidth="1"/>
    <col min="4" max="8" width="6.296875" style="163" customWidth="1"/>
    <col min="9" max="9" width="7.19921875" style="163" customWidth="1"/>
    <col min="10" max="10" width="71.59765625" style="161" customWidth="1"/>
    <col min="11" max="11" width="70" style="162" customWidth="1"/>
    <col min="12" max="16384" width="9" style="163"/>
  </cols>
  <sheetData>
    <row r="1" spans="1:13" ht="22.05" customHeight="1">
      <c r="A1" s="300" t="s">
        <v>26</v>
      </c>
      <c r="B1" s="300"/>
      <c r="C1" s="300"/>
      <c r="D1" s="300"/>
      <c r="E1" s="300"/>
      <c r="F1" s="300"/>
      <c r="G1" s="300"/>
      <c r="H1" s="300"/>
      <c r="I1" s="300"/>
    </row>
    <row r="2" spans="1:13" ht="22.05" customHeight="1">
      <c r="A2" s="301" t="s">
        <v>220</v>
      </c>
      <c r="B2" s="302"/>
      <c r="C2" s="302"/>
      <c r="D2" s="302"/>
      <c r="E2" s="302"/>
      <c r="F2" s="302"/>
      <c r="G2" s="302"/>
      <c r="H2" s="302"/>
      <c r="I2" s="302"/>
      <c r="K2" s="164"/>
    </row>
    <row r="3" spans="1:13" ht="22.05" customHeight="1">
      <c r="A3" s="165" t="str">
        <f>底稿目录!A2</f>
        <v>被审计单位：</v>
      </c>
      <c r="B3" s="165"/>
      <c r="C3" s="51" t="str">
        <f>底稿目录!A4</f>
        <v>编制人：</v>
      </c>
      <c r="E3" s="165" t="str">
        <f>底稿目录!A5</f>
        <v>编制日期：</v>
      </c>
      <c r="F3" s="165"/>
      <c r="G3" s="165"/>
      <c r="H3" s="165" t="s">
        <v>52</v>
      </c>
      <c r="I3" s="166" t="str">
        <f>底稿目录!F3</f>
        <v xml:space="preserve">F5A </v>
      </c>
    </row>
    <row r="4" spans="1:13" ht="22.05" customHeight="1">
      <c r="A4" s="165" t="str">
        <f>底稿目录!A3</f>
        <v>会计期间：202X年度</v>
      </c>
      <c r="B4" s="165"/>
      <c r="C4" s="51" t="str">
        <f>底稿目录!A6</f>
        <v>复核人：</v>
      </c>
      <c r="E4" s="165" t="str">
        <f>底稿目录!A7</f>
        <v>复核日期：</v>
      </c>
      <c r="F4" s="165"/>
      <c r="G4" s="165"/>
      <c r="H4" s="165" t="s">
        <v>192</v>
      </c>
      <c r="I4" s="167"/>
    </row>
    <row r="5" spans="1:13" ht="22.05" customHeight="1">
      <c r="A5" s="168" t="s">
        <v>193</v>
      </c>
      <c r="B5" s="165"/>
      <c r="C5" s="169"/>
      <c r="D5" s="165"/>
      <c r="E5" s="165"/>
      <c r="F5" s="165"/>
      <c r="G5" s="165"/>
      <c r="H5" s="169"/>
      <c r="I5" s="165"/>
    </row>
    <row r="6" spans="1:13" ht="22.05" customHeight="1">
      <c r="A6" s="170" t="s">
        <v>338</v>
      </c>
      <c r="B6" s="165"/>
      <c r="C6" s="169"/>
      <c r="D6" s="165"/>
      <c r="E6" s="165"/>
      <c r="F6" s="165"/>
      <c r="G6" s="165"/>
      <c r="H6" s="169"/>
      <c r="I6" s="165"/>
    </row>
    <row r="7" spans="1:13" ht="22.05" customHeight="1">
      <c r="A7" s="171" t="s">
        <v>194</v>
      </c>
      <c r="B7" s="172"/>
      <c r="C7" s="169"/>
      <c r="D7" s="169"/>
      <c r="E7" s="169"/>
      <c r="F7" s="169"/>
      <c r="G7" s="169"/>
      <c r="H7" s="169"/>
      <c r="I7" s="169"/>
      <c r="J7" s="173"/>
      <c r="K7" s="174"/>
    </row>
    <row r="8" spans="1:13" s="177" customFormat="1" ht="19.95" customHeight="1">
      <c r="A8" s="292" t="s">
        <v>195</v>
      </c>
      <c r="B8" s="292"/>
      <c r="C8" s="292"/>
      <c r="D8" s="292"/>
      <c r="E8" s="292"/>
      <c r="F8" s="292"/>
      <c r="G8" s="303" t="s">
        <v>172</v>
      </c>
      <c r="H8" s="303"/>
      <c r="I8" s="303"/>
      <c r="J8" s="176"/>
    </row>
    <row r="9" spans="1:13" s="177" customFormat="1" ht="19.95" customHeight="1">
      <c r="A9" s="299" t="s">
        <v>223</v>
      </c>
      <c r="B9" s="299"/>
      <c r="C9" s="299"/>
      <c r="D9" s="299"/>
      <c r="E9" s="299"/>
      <c r="F9" s="299"/>
      <c r="G9" s="291" t="s">
        <v>176</v>
      </c>
      <c r="H9" s="291"/>
      <c r="I9" s="291"/>
      <c r="J9" s="176"/>
    </row>
    <row r="10" spans="1:13" s="177" customFormat="1" ht="19.95" customHeight="1">
      <c r="A10" s="299" t="s">
        <v>221</v>
      </c>
      <c r="B10" s="299"/>
      <c r="C10" s="299"/>
      <c r="D10" s="299"/>
      <c r="E10" s="299"/>
      <c r="F10" s="299"/>
      <c r="G10" s="291" t="s">
        <v>196</v>
      </c>
      <c r="H10" s="291"/>
      <c r="I10" s="291"/>
      <c r="J10" s="176"/>
    </row>
    <row r="11" spans="1:13" s="177" customFormat="1" ht="19.95" customHeight="1">
      <c r="A11" s="299" t="s">
        <v>393</v>
      </c>
      <c r="B11" s="299"/>
      <c r="C11" s="299"/>
      <c r="D11" s="299"/>
      <c r="E11" s="299"/>
      <c r="F11" s="299"/>
      <c r="G11" s="291" t="s">
        <v>177</v>
      </c>
      <c r="H11" s="291"/>
      <c r="I11" s="291"/>
      <c r="J11" s="176"/>
    </row>
    <row r="12" spans="1:13" s="177" customFormat="1" ht="19.95" customHeight="1">
      <c r="A12" s="299" t="s">
        <v>394</v>
      </c>
      <c r="B12" s="299"/>
      <c r="C12" s="299"/>
      <c r="D12" s="299"/>
      <c r="E12" s="299"/>
      <c r="F12" s="299"/>
      <c r="G12" s="291" t="s">
        <v>222</v>
      </c>
      <c r="H12" s="291"/>
      <c r="I12" s="291"/>
      <c r="J12" s="176"/>
    </row>
    <row r="13" spans="1:13" s="177" customFormat="1" ht="19.95" customHeight="1">
      <c r="A13" s="299" t="s">
        <v>224</v>
      </c>
      <c r="B13" s="299"/>
      <c r="C13" s="299"/>
      <c r="D13" s="299"/>
      <c r="E13" s="299"/>
      <c r="F13" s="299"/>
      <c r="G13" s="291" t="s">
        <v>197</v>
      </c>
      <c r="H13" s="291"/>
      <c r="I13" s="291"/>
      <c r="J13" s="176"/>
    </row>
    <row r="14" spans="1:13" s="177" customFormat="1" ht="22.05" customHeight="1">
      <c r="A14" s="294" t="s">
        <v>391</v>
      </c>
      <c r="B14" s="294"/>
      <c r="C14" s="175"/>
      <c r="D14" s="175"/>
      <c r="E14" s="175"/>
      <c r="F14" s="175"/>
      <c r="G14" s="175"/>
      <c r="H14" s="175"/>
      <c r="I14" s="175"/>
      <c r="J14" s="176"/>
    </row>
    <row r="15" spans="1:13" ht="22.05" customHeight="1">
      <c r="A15" s="295" t="s">
        <v>198</v>
      </c>
      <c r="B15" s="296" t="s">
        <v>173</v>
      </c>
      <c r="C15" s="292" t="s">
        <v>199</v>
      </c>
      <c r="D15" s="297" t="s">
        <v>200</v>
      </c>
      <c r="E15" s="298"/>
      <c r="F15" s="298"/>
      <c r="G15" s="298"/>
      <c r="H15" s="298"/>
      <c r="I15" s="292" t="s">
        <v>201</v>
      </c>
      <c r="J15" s="173"/>
      <c r="K15" s="178"/>
      <c r="L15" s="178"/>
      <c r="M15" s="178"/>
    </row>
    <row r="16" spans="1:13" ht="28.8" customHeight="1">
      <c r="A16" s="295"/>
      <c r="B16" s="296"/>
      <c r="C16" s="292"/>
      <c r="D16" s="179" t="s">
        <v>225</v>
      </c>
      <c r="E16" s="179" t="s">
        <v>196</v>
      </c>
      <c r="F16" s="180" t="s">
        <v>226</v>
      </c>
      <c r="G16" s="180" t="s">
        <v>227</v>
      </c>
      <c r="H16" s="180" t="s">
        <v>197</v>
      </c>
      <c r="I16" s="293"/>
      <c r="J16" s="287" t="s">
        <v>396</v>
      </c>
      <c r="K16" s="178"/>
      <c r="L16" s="178"/>
      <c r="M16" s="178"/>
    </row>
    <row r="17" spans="1:13" ht="43.2" customHeight="1">
      <c r="A17" s="181" t="s">
        <v>202</v>
      </c>
      <c r="B17" s="187" t="s">
        <v>384</v>
      </c>
      <c r="C17" s="182" t="s">
        <v>203</v>
      </c>
      <c r="D17" s="182" t="s">
        <v>204</v>
      </c>
      <c r="E17" s="182" t="s">
        <v>204</v>
      </c>
      <c r="F17" s="184" t="s">
        <v>205</v>
      </c>
      <c r="G17" s="182"/>
      <c r="H17" s="183"/>
      <c r="I17" s="185" t="s">
        <v>372</v>
      </c>
      <c r="J17" s="173"/>
      <c r="K17" s="186"/>
      <c r="L17" s="178"/>
      <c r="M17" s="178"/>
    </row>
    <row r="18" spans="1:13" ht="42.6" customHeight="1">
      <c r="A18" s="181" t="s">
        <v>206</v>
      </c>
      <c r="B18" s="187" t="s">
        <v>207</v>
      </c>
      <c r="C18" s="182" t="s">
        <v>208</v>
      </c>
      <c r="D18" s="183"/>
      <c r="E18" s="184" t="s">
        <v>204</v>
      </c>
      <c r="F18" s="182" t="s">
        <v>204</v>
      </c>
      <c r="G18" s="182"/>
      <c r="H18" s="183"/>
      <c r="I18" s="286" t="s">
        <v>230</v>
      </c>
      <c r="J18" s="188" t="s">
        <v>209</v>
      </c>
      <c r="K18" s="189"/>
      <c r="L18" s="178"/>
      <c r="M18" s="178"/>
    </row>
    <row r="19" spans="1:13" ht="28.8" customHeight="1">
      <c r="A19" s="181" t="s">
        <v>174</v>
      </c>
      <c r="B19" s="274" t="s">
        <v>370</v>
      </c>
      <c r="C19" s="182" t="s">
        <v>308</v>
      </c>
      <c r="D19" s="183"/>
      <c r="E19" s="184"/>
      <c r="F19" s="182"/>
      <c r="G19" s="184" t="s">
        <v>204</v>
      </c>
      <c r="H19" s="183"/>
      <c r="I19" s="185"/>
      <c r="J19" s="188" t="s">
        <v>228</v>
      </c>
      <c r="K19" s="189"/>
      <c r="L19" s="178"/>
      <c r="M19" s="178"/>
    </row>
    <row r="20" spans="1:13" ht="70.8" customHeight="1">
      <c r="A20" s="181" t="s">
        <v>175</v>
      </c>
      <c r="B20" s="187" t="s">
        <v>229</v>
      </c>
      <c r="C20" s="182" t="s">
        <v>210</v>
      </c>
      <c r="D20" s="182" t="s">
        <v>204</v>
      </c>
      <c r="E20" s="182" t="s">
        <v>204</v>
      </c>
      <c r="F20" s="183"/>
      <c r="G20" s="182"/>
      <c r="H20" s="183"/>
      <c r="I20" s="185" t="s">
        <v>371</v>
      </c>
      <c r="J20" s="188"/>
      <c r="K20" s="190"/>
      <c r="L20" s="178"/>
      <c r="M20" s="178"/>
    </row>
    <row r="21" spans="1:13" ht="56.4" customHeight="1">
      <c r="A21" s="181" t="s">
        <v>211</v>
      </c>
      <c r="B21" s="187" t="s">
        <v>265</v>
      </c>
      <c r="C21" s="182" t="s">
        <v>212</v>
      </c>
      <c r="D21" s="182" t="s">
        <v>204</v>
      </c>
      <c r="E21" s="184" t="s">
        <v>204</v>
      </c>
      <c r="F21" s="182" t="s">
        <v>204</v>
      </c>
      <c r="G21" s="182"/>
      <c r="H21" s="183"/>
      <c r="I21" s="185" t="s">
        <v>392</v>
      </c>
      <c r="J21" s="188"/>
      <c r="K21" s="186"/>
      <c r="L21" s="178"/>
      <c r="M21" s="178"/>
    </row>
    <row r="22" spans="1:13" ht="33" customHeight="1">
      <c r="A22" s="181" t="s">
        <v>213</v>
      </c>
      <c r="B22" s="187" t="s">
        <v>309</v>
      </c>
      <c r="C22" s="182" t="s">
        <v>214</v>
      </c>
      <c r="D22" s="182" t="s">
        <v>204</v>
      </c>
      <c r="E22" s="184" t="s">
        <v>204</v>
      </c>
      <c r="F22" s="183"/>
      <c r="G22" s="182"/>
      <c r="H22" s="183"/>
      <c r="I22" s="185" t="s">
        <v>373</v>
      </c>
      <c r="J22" s="173"/>
      <c r="K22" s="186"/>
      <c r="L22" s="178"/>
      <c r="M22" s="178"/>
    </row>
    <row r="23" spans="1:13" s="191" customFormat="1" ht="33" customHeight="1">
      <c r="A23" s="181" t="s">
        <v>215</v>
      </c>
      <c r="B23" s="187" t="s">
        <v>316</v>
      </c>
      <c r="C23" s="182" t="s">
        <v>214</v>
      </c>
      <c r="D23" s="182" t="s">
        <v>204</v>
      </c>
      <c r="E23" s="182" t="s">
        <v>204</v>
      </c>
      <c r="F23" s="184" t="s">
        <v>204</v>
      </c>
      <c r="G23" s="182"/>
      <c r="H23" s="183"/>
      <c r="I23" s="185" t="s">
        <v>374</v>
      </c>
      <c r="J23" s="173"/>
      <c r="K23" s="186"/>
      <c r="L23" s="178"/>
      <c r="M23" s="178"/>
    </row>
    <row r="24" spans="1:13" ht="38.4" customHeight="1">
      <c r="A24" s="181" t="s">
        <v>216</v>
      </c>
      <c r="B24" s="187" t="s">
        <v>324</v>
      </c>
      <c r="C24" s="182" t="s">
        <v>214</v>
      </c>
      <c r="D24" s="184" t="s">
        <v>204</v>
      </c>
      <c r="E24" s="182" t="s">
        <v>204</v>
      </c>
      <c r="F24" s="182" t="s">
        <v>204</v>
      </c>
      <c r="G24" s="182" t="s">
        <v>204</v>
      </c>
      <c r="H24" s="182" t="s">
        <v>204</v>
      </c>
      <c r="I24" s="185" t="s">
        <v>375</v>
      </c>
      <c r="J24" s="192"/>
      <c r="K24" s="186"/>
      <c r="L24" s="178"/>
      <c r="M24" s="178"/>
    </row>
    <row r="25" spans="1:13" ht="34.799999999999997" customHeight="1">
      <c r="A25" s="181" t="s">
        <v>366</v>
      </c>
      <c r="B25" s="187" t="s">
        <v>334</v>
      </c>
      <c r="C25" s="182" t="s">
        <v>214</v>
      </c>
      <c r="D25" s="182" t="s">
        <v>204</v>
      </c>
      <c r="E25" s="182"/>
      <c r="F25" s="182" t="s">
        <v>204</v>
      </c>
      <c r="G25" s="182" t="s">
        <v>204</v>
      </c>
      <c r="H25" s="182" t="s">
        <v>204</v>
      </c>
      <c r="I25" s="185"/>
      <c r="J25" s="192"/>
      <c r="K25" s="186"/>
      <c r="L25" s="178"/>
      <c r="M25" s="178"/>
    </row>
    <row r="26" spans="1:13" ht="40.200000000000003" customHeight="1">
      <c r="A26" s="181" t="s">
        <v>367</v>
      </c>
      <c r="B26" s="187" t="s">
        <v>335</v>
      </c>
      <c r="C26" s="182" t="s">
        <v>333</v>
      </c>
      <c r="D26" s="182"/>
      <c r="E26" s="183"/>
      <c r="F26" s="184" t="s">
        <v>204</v>
      </c>
      <c r="G26" s="184"/>
      <c r="H26" s="183"/>
      <c r="I26" s="185" t="s">
        <v>336</v>
      </c>
      <c r="J26" s="173"/>
      <c r="K26" s="186"/>
      <c r="L26" s="178"/>
      <c r="M26" s="178"/>
    </row>
    <row r="27" spans="1:13" ht="36.6" customHeight="1">
      <c r="A27" s="181" t="s">
        <v>368</v>
      </c>
      <c r="B27" s="187" t="s">
        <v>218</v>
      </c>
      <c r="C27" s="279" t="s">
        <v>385</v>
      </c>
      <c r="D27" s="183"/>
      <c r="E27" s="183"/>
      <c r="F27" s="183"/>
      <c r="G27" s="183"/>
      <c r="H27" s="183"/>
      <c r="I27" s="185"/>
      <c r="J27" s="192"/>
      <c r="K27" s="193"/>
      <c r="L27" s="178"/>
      <c r="M27" s="178"/>
    </row>
    <row r="28" spans="1:13" ht="27" customHeight="1">
      <c r="A28" s="181" t="s">
        <v>369</v>
      </c>
      <c r="B28" s="187" t="s">
        <v>337</v>
      </c>
      <c r="C28" s="182" t="s">
        <v>210</v>
      </c>
      <c r="D28" s="183"/>
      <c r="E28" s="183"/>
      <c r="F28" s="183"/>
      <c r="G28" s="183"/>
      <c r="H28" s="184" t="s">
        <v>217</v>
      </c>
      <c r="I28" s="185" t="s">
        <v>219</v>
      </c>
      <c r="J28" s="173"/>
      <c r="K28" s="186"/>
      <c r="L28" s="178"/>
      <c r="M28" s="178"/>
    </row>
    <row r="29" spans="1:13" ht="22.05" customHeight="1">
      <c r="A29" s="181"/>
      <c r="B29" s="187"/>
      <c r="C29" s="182"/>
      <c r="D29" s="183"/>
      <c r="E29" s="183"/>
      <c r="F29" s="183"/>
      <c r="G29" s="183"/>
      <c r="H29" s="184"/>
      <c r="I29" s="185"/>
      <c r="J29" s="173"/>
      <c r="K29" s="186"/>
      <c r="L29" s="178"/>
      <c r="M29" s="178"/>
    </row>
    <row r="31" spans="1:13">
      <c r="A31" s="186"/>
    </row>
  </sheetData>
  <mergeCells count="20">
    <mergeCell ref="A10:F10"/>
    <mergeCell ref="A11:F11"/>
    <mergeCell ref="A12:F12"/>
    <mergeCell ref="A1:I1"/>
    <mergeCell ref="A2:I2"/>
    <mergeCell ref="A8:F8"/>
    <mergeCell ref="A9:F9"/>
    <mergeCell ref="G8:I8"/>
    <mergeCell ref="G9:I9"/>
    <mergeCell ref="G10:I10"/>
    <mergeCell ref="G11:I11"/>
    <mergeCell ref="G12:I12"/>
    <mergeCell ref="G13:I13"/>
    <mergeCell ref="I15:I16"/>
    <mergeCell ref="A14:B14"/>
    <mergeCell ref="A15:A16"/>
    <mergeCell ref="B15:B16"/>
    <mergeCell ref="C15:C16"/>
    <mergeCell ref="D15:H15"/>
    <mergeCell ref="A13:F13"/>
  </mergeCells>
  <phoneticPr fontId="18" type="noConversion"/>
  <hyperlinks>
    <hyperlink ref="I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N60"/>
  <sheetViews>
    <sheetView view="pageBreakPreview" topLeftCell="A13" zoomScaleNormal="130" zoomScaleSheetLayoutView="100" workbookViewId="0">
      <selection activeCell="M14" sqref="M14"/>
    </sheetView>
  </sheetViews>
  <sheetFormatPr defaultColWidth="9" defaultRowHeight="13.8"/>
  <cols>
    <col min="1" max="1" width="14.59765625" style="112" customWidth="1"/>
    <col min="2" max="9" width="10.8984375" style="84" customWidth="1"/>
    <col min="10" max="10" width="10.19921875" style="84" customWidth="1"/>
    <col min="11" max="16384" width="9" style="84"/>
  </cols>
  <sheetData>
    <row r="1" spans="1:10" ht="20.100000000000001" customHeight="1">
      <c r="A1" s="304" t="s">
        <v>26</v>
      </c>
      <c r="B1" s="304"/>
      <c r="C1" s="304"/>
      <c r="D1" s="304"/>
      <c r="E1" s="304"/>
      <c r="F1" s="304"/>
      <c r="G1" s="304"/>
      <c r="H1" s="304"/>
      <c r="I1" s="304"/>
      <c r="J1" s="304"/>
    </row>
    <row r="2" spans="1:10" s="85" customFormat="1" ht="24.9" customHeight="1">
      <c r="A2" s="305" t="s">
        <v>254</v>
      </c>
      <c r="B2" s="305"/>
      <c r="C2" s="305"/>
      <c r="D2" s="305"/>
      <c r="E2" s="305"/>
      <c r="F2" s="305"/>
      <c r="G2" s="305"/>
      <c r="H2" s="305"/>
      <c r="I2" s="305"/>
      <c r="J2" s="305"/>
    </row>
    <row r="3" spans="1:10" ht="20.100000000000001" customHeight="1">
      <c r="A3" s="112" t="str">
        <f>底稿目录!A2</f>
        <v>被审计单位：</v>
      </c>
      <c r="D3" s="86" t="str">
        <f>底稿目录!A4</f>
        <v>编制人：</v>
      </c>
      <c r="G3" s="84" t="str">
        <f>底稿目录!A5</f>
        <v>编制日期：</v>
      </c>
      <c r="I3" s="266" t="s">
        <v>339</v>
      </c>
      <c r="J3" s="166" t="str">
        <f>底稿目录!F4</f>
        <v>F5-1</v>
      </c>
    </row>
    <row r="4" spans="1:10" ht="20.100000000000001" customHeight="1">
      <c r="A4" s="112" t="str">
        <f>底稿目录!A3</f>
        <v>会计期间：202X年度</v>
      </c>
      <c r="D4" s="86" t="str">
        <f>底稿目录!A6</f>
        <v>复核人：</v>
      </c>
      <c r="G4" s="84" t="str">
        <f>底稿目录!A7</f>
        <v>复核日期：</v>
      </c>
      <c r="I4" s="266" t="s">
        <v>323</v>
      </c>
    </row>
    <row r="5" spans="1:10" ht="20.100000000000001" customHeight="1">
      <c r="A5" s="306" t="s">
        <v>340</v>
      </c>
      <c r="B5" s="307" t="s">
        <v>341</v>
      </c>
      <c r="C5" s="307"/>
      <c r="D5" s="307"/>
      <c r="E5" s="307"/>
      <c r="F5" s="307" t="s">
        <v>342</v>
      </c>
      <c r="G5" s="307"/>
      <c r="H5" s="307"/>
      <c r="I5" s="307"/>
      <c r="J5" s="308" t="s">
        <v>343</v>
      </c>
    </row>
    <row r="6" spans="1:10" ht="20.100000000000001" customHeight="1">
      <c r="A6" s="306"/>
      <c r="B6" s="267" t="s">
        <v>344</v>
      </c>
      <c r="C6" s="267" t="s">
        <v>345</v>
      </c>
      <c r="D6" s="267" t="s">
        <v>346</v>
      </c>
      <c r="E6" s="267" t="s">
        <v>347</v>
      </c>
      <c r="F6" s="267" t="s">
        <v>348</v>
      </c>
      <c r="G6" s="267" t="s">
        <v>345</v>
      </c>
      <c r="H6" s="267" t="s">
        <v>346</v>
      </c>
      <c r="I6" s="267" t="s">
        <v>349</v>
      </c>
      <c r="J6" s="308"/>
    </row>
    <row r="7" spans="1:10" ht="20.100000000000001" customHeight="1">
      <c r="A7" s="207" t="s">
        <v>255</v>
      </c>
      <c r="B7" s="104"/>
      <c r="C7" s="104"/>
      <c r="D7" s="104"/>
      <c r="E7" s="104"/>
      <c r="F7" s="104"/>
      <c r="G7" s="104"/>
      <c r="H7" s="104"/>
      <c r="I7" s="104"/>
      <c r="J7" s="105"/>
    </row>
    <row r="8" spans="1:10" ht="20.100000000000001" customHeight="1">
      <c r="A8" s="262" t="str">
        <f>'主营业务成本月度明细表F5-2'!A11</f>
        <v>品种1</v>
      </c>
      <c r="B8" s="104">
        <f>'主营业务成本月度明细表F5-2'!N11</f>
        <v>0</v>
      </c>
      <c r="C8" s="104">
        <f>'主营业务成本月度明细表F5-2'!O11</f>
        <v>0</v>
      </c>
      <c r="D8" s="104">
        <f>'主营业务成本月度明细表F5-2'!P11</f>
        <v>0</v>
      </c>
      <c r="E8" s="104">
        <f t="shared" ref="E8:E17" si="0">B8+C8+D8</f>
        <v>0</v>
      </c>
      <c r="F8" s="104">
        <f>'主营业务成本月度明细表F5-2'!R11</f>
        <v>0</v>
      </c>
      <c r="G8" s="104">
        <f>'主营业务成本月度明细表F5-2'!S11</f>
        <v>0</v>
      </c>
      <c r="H8" s="104">
        <f>'主营业务成本月度明细表F5-2'!T11</f>
        <v>0</v>
      </c>
      <c r="I8" s="104">
        <f t="shared" ref="I8:I17" si="1">F8+G8+H8</f>
        <v>0</v>
      </c>
      <c r="J8" s="106"/>
    </row>
    <row r="9" spans="1:10" ht="20.100000000000001" customHeight="1">
      <c r="A9" s="262" t="str">
        <f>'主营业务成本月度明细表F5-2'!A12</f>
        <v>品种2</v>
      </c>
      <c r="B9" s="104">
        <f>'主营业务成本月度明细表F5-2'!N12</f>
        <v>0</v>
      </c>
      <c r="C9" s="104">
        <f>'主营业务成本月度明细表F5-2'!O12</f>
        <v>0</v>
      </c>
      <c r="D9" s="104">
        <f>'主营业务成本月度明细表F5-2'!P12</f>
        <v>0</v>
      </c>
      <c r="E9" s="104">
        <f t="shared" si="0"/>
        <v>0</v>
      </c>
      <c r="F9" s="104">
        <f>'主营业务成本月度明细表F5-2'!R12</f>
        <v>0</v>
      </c>
      <c r="G9" s="104">
        <f>'主营业务成本月度明细表F5-2'!S12</f>
        <v>0</v>
      </c>
      <c r="H9" s="104">
        <f>'主营业务成本月度明细表F5-2'!T12</f>
        <v>0</v>
      </c>
      <c r="I9" s="104">
        <f t="shared" si="1"/>
        <v>0</v>
      </c>
      <c r="J9" s="106"/>
    </row>
    <row r="10" spans="1:10" ht="20.100000000000001" customHeight="1">
      <c r="A10" s="262" t="str">
        <f>'主营业务成本月度明细表F5-2'!A13</f>
        <v>品种3</v>
      </c>
      <c r="B10" s="104">
        <f>'主营业务成本月度明细表F5-2'!N13</f>
        <v>0</v>
      </c>
      <c r="C10" s="104">
        <f>'主营业务成本月度明细表F5-2'!O13</f>
        <v>0</v>
      </c>
      <c r="D10" s="104">
        <f>'主营业务成本月度明细表F5-2'!P13</f>
        <v>0</v>
      </c>
      <c r="E10" s="104">
        <f t="shared" si="0"/>
        <v>0</v>
      </c>
      <c r="F10" s="104">
        <f>'主营业务成本月度明细表F5-2'!R13</f>
        <v>0</v>
      </c>
      <c r="G10" s="104">
        <f>'主营业务成本月度明细表F5-2'!S13</f>
        <v>0</v>
      </c>
      <c r="H10" s="104">
        <f>'主营业务成本月度明细表F5-2'!T13</f>
        <v>0</v>
      </c>
      <c r="I10" s="104">
        <f t="shared" si="1"/>
        <v>0</v>
      </c>
      <c r="J10" s="106"/>
    </row>
    <row r="11" spans="1:10" ht="20.100000000000001" customHeight="1">
      <c r="A11" s="262" t="str">
        <f>'主营业务成本月度明细表F5-2'!A14</f>
        <v>品种4</v>
      </c>
      <c r="B11" s="104">
        <f>'主营业务成本月度明细表F5-2'!N14</f>
        <v>0</v>
      </c>
      <c r="C11" s="104">
        <f>'主营业务成本月度明细表F5-2'!O14</f>
        <v>0</v>
      </c>
      <c r="D11" s="104">
        <f>'主营业务成本月度明细表F5-2'!P14</f>
        <v>0</v>
      </c>
      <c r="E11" s="104">
        <f t="shared" si="0"/>
        <v>0</v>
      </c>
      <c r="F11" s="104">
        <f>'主营业务成本月度明细表F5-2'!R14</f>
        <v>0</v>
      </c>
      <c r="G11" s="104">
        <f>'主营业务成本月度明细表F5-2'!S14</f>
        <v>0</v>
      </c>
      <c r="H11" s="104">
        <f>'主营业务成本月度明细表F5-2'!T14</f>
        <v>0</v>
      </c>
      <c r="I11" s="104">
        <f t="shared" si="1"/>
        <v>0</v>
      </c>
      <c r="J11" s="106"/>
    </row>
    <row r="12" spans="1:10" ht="20.100000000000001" customHeight="1">
      <c r="A12" s="262" t="str">
        <f>'主营业务成本月度明细表F5-2'!A15</f>
        <v>品种5</v>
      </c>
      <c r="B12" s="104">
        <f>'主营业务成本月度明细表F5-2'!N15</f>
        <v>0</v>
      </c>
      <c r="C12" s="104">
        <f>'主营业务成本月度明细表F5-2'!O15</f>
        <v>0</v>
      </c>
      <c r="D12" s="104">
        <f>'主营业务成本月度明细表F5-2'!P15</f>
        <v>0</v>
      </c>
      <c r="E12" s="104">
        <f t="shared" si="0"/>
        <v>0</v>
      </c>
      <c r="F12" s="104">
        <f>'主营业务成本月度明细表F5-2'!R15</f>
        <v>0</v>
      </c>
      <c r="G12" s="104">
        <f>'主营业务成本月度明细表F5-2'!S15</f>
        <v>0</v>
      </c>
      <c r="H12" s="104">
        <f>'主营业务成本月度明细表F5-2'!T15</f>
        <v>0</v>
      </c>
      <c r="I12" s="104">
        <f t="shared" si="1"/>
        <v>0</v>
      </c>
      <c r="J12" s="106"/>
    </row>
    <row r="13" spans="1:10" ht="20.100000000000001" customHeight="1">
      <c r="A13" s="262" t="str">
        <f>'主营业务成本月度明细表F5-2'!A16</f>
        <v>品种6</v>
      </c>
      <c r="B13" s="104">
        <f>'主营业务成本月度明细表F5-2'!N16</f>
        <v>0</v>
      </c>
      <c r="C13" s="104">
        <f>'主营业务成本月度明细表F5-2'!O16</f>
        <v>0</v>
      </c>
      <c r="D13" s="104">
        <f>'主营业务成本月度明细表F5-2'!P16</f>
        <v>0</v>
      </c>
      <c r="E13" s="104">
        <f t="shared" si="0"/>
        <v>0</v>
      </c>
      <c r="F13" s="104">
        <f>'主营业务成本月度明细表F5-2'!R16</f>
        <v>0</v>
      </c>
      <c r="G13" s="104">
        <f>'主营业务成本月度明细表F5-2'!S16</f>
        <v>0</v>
      </c>
      <c r="H13" s="104">
        <f>'主营业务成本月度明细表F5-2'!T16</f>
        <v>0</v>
      </c>
      <c r="I13" s="104">
        <f t="shared" si="1"/>
        <v>0</v>
      </c>
      <c r="J13" s="106"/>
    </row>
    <row r="14" spans="1:10" ht="20.100000000000001" customHeight="1">
      <c r="A14" s="262" t="str">
        <f>'主营业务成本月度明细表F5-2'!A17</f>
        <v>品种7</v>
      </c>
      <c r="B14" s="104">
        <f>'主营业务成本月度明细表F5-2'!N17</f>
        <v>0</v>
      </c>
      <c r="C14" s="104">
        <f>'主营业务成本月度明细表F5-2'!O17</f>
        <v>0</v>
      </c>
      <c r="D14" s="104">
        <f>'主营业务成本月度明细表F5-2'!P17</f>
        <v>0</v>
      </c>
      <c r="E14" s="104">
        <f t="shared" si="0"/>
        <v>0</v>
      </c>
      <c r="F14" s="104">
        <f>'主营业务成本月度明细表F5-2'!R17</f>
        <v>0</v>
      </c>
      <c r="G14" s="104">
        <f>'主营业务成本月度明细表F5-2'!S17</f>
        <v>0</v>
      </c>
      <c r="H14" s="104">
        <f>'主营业务成本月度明细表F5-2'!T17</f>
        <v>0</v>
      </c>
      <c r="I14" s="104">
        <f t="shared" si="1"/>
        <v>0</v>
      </c>
      <c r="J14" s="106"/>
    </row>
    <row r="15" spans="1:10" ht="20.100000000000001" customHeight="1">
      <c r="A15" s="263" t="str">
        <f>'主营业务成本月度明细表F5-2'!A18</f>
        <v>品种8</v>
      </c>
      <c r="B15" s="104">
        <f>'主营业务成本月度明细表F5-2'!N18</f>
        <v>0</v>
      </c>
      <c r="C15" s="104">
        <f>'主营业务成本月度明细表F5-2'!O18</f>
        <v>0</v>
      </c>
      <c r="D15" s="104">
        <f>'主营业务成本月度明细表F5-2'!P18</f>
        <v>0</v>
      </c>
      <c r="E15" s="104">
        <f t="shared" si="0"/>
        <v>0</v>
      </c>
      <c r="F15" s="104">
        <f>'主营业务成本月度明细表F5-2'!R18</f>
        <v>0</v>
      </c>
      <c r="G15" s="104">
        <f>'主营业务成本月度明细表F5-2'!S18</f>
        <v>0</v>
      </c>
      <c r="H15" s="104">
        <f>'主营业务成本月度明细表F5-2'!T18</f>
        <v>0</v>
      </c>
      <c r="I15" s="104">
        <f t="shared" si="1"/>
        <v>0</v>
      </c>
      <c r="J15" s="106"/>
    </row>
    <row r="16" spans="1:10" ht="20.100000000000001" customHeight="1">
      <c r="A16" s="263">
        <f>'主营业务成本月度明细表F5-2'!A19</f>
        <v>0</v>
      </c>
      <c r="B16" s="104">
        <f>'主营业务成本月度明细表F5-2'!N19</f>
        <v>0</v>
      </c>
      <c r="C16" s="104">
        <f>'主营业务成本月度明细表F5-2'!O19</f>
        <v>0</v>
      </c>
      <c r="D16" s="104">
        <f>'主营业务成本月度明细表F5-2'!P19</f>
        <v>0</v>
      </c>
      <c r="E16" s="104">
        <f t="shared" si="0"/>
        <v>0</v>
      </c>
      <c r="F16" s="104">
        <f>'主营业务成本月度明细表F5-2'!R19</f>
        <v>0</v>
      </c>
      <c r="G16" s="104">
        <f>'主营业务成本月度明细表F5-2'!S19</f>
        <v>0</v>
      </c>
      <c r="H16" s="104">
        <f>'主营业务成本月度明细表F5-2'!T19</f>
        <v>0</v>
      </c>
      <c r="I16" s="104">
        <f t="shared" si="1"/>
        <v>0</v>
      </c>
      <c r="J16" s="106"/>
    </row>
    <row r="17" spans="1:14" ht="20.100000000000001" customHeight="1">
      <c r="A17" s="263">
        <f>'主营业务成本月度明细表F5-2'!A20</f>
        <v>0</v>
      </c>
      <c r="B17" s="104">
        <f>'主营业务成本月度明细表F5-2'!N20</f>
        <v>0</v>
      </c>
      <c r="C17" s="104">
        <f>'主营业务成本月度明细表F5-2'!O20</f>
        <v>0</v>
      </c>
      <c r="D17" s="104">
        <f>'主营业务成本月度明细表F5-2'!P20</f>
        <v>0</v>
      </c>
      <c r="E17" s="104">
        <f t="shared" si="0"/>
        <v>0</v>
      </c>
      <c r="F17" s="104">
        <f>'主营业务成本月度明细表F5-2'!R20</f>
        <v>0</v>
      </c>
      <c r="G17" s="104">
        <f>'主营业务成本月度明细表F5-2'!S20</f>
        <v>0</v>
      </c>
      <c r="H17" s="104">
        <f>'主营业务成本月度明细表F5-2'!T20</f>
        <v>0</v>
      </c>
      <c r="I17" s="104">
        <f t="shared" si="1"/>
        <v>0</v>
      </c>
      <c r="J17" s="106"/>
    </row>
    <row r="18" spans="1:14" s="211" customFormat="1" ht="20.100000000000001" customHeight="1">
      <c r="A18" s="210" t="s">
        <v>257</v>
      </c>
      <c r="B18" s="103">
        <f t="shared" ref="B18:I18" si="2">SUM(B8:B17)</f>
        <v>0</v>
      </c>
      <c r="C18" s="103">
        <f t="shared" si="2"/>
        <v>0</v>
      </c>
      <c r="D18" s="103">
        <f t="shared" si="2"/>
        <v>0</v>
      </c>
      <c r="E18" s="103">
        <f t="shared" si="2"/>
        <v>0</v>
      </c>
      <c r="F18" s="103">
        <f t="shared" si="2"/>
        <v>0</v>
      </c>
      <c r="G18" s="103">
        <f t="shared" si="2"/>
        <v>0</v>
      </c>
      <c r="H18" s="103">
        <f t="shared" si="2"/>
        <v>0</v>
      </c>
      <c r="I18" s="103">
        <f t="shared" si="2"/>
        <v>0</v>
      </c>
      <c r="J18" s="107"/>
    </row>
    <row r="19" spans="1:14" ht="20.100000000000001" customHeight="1">
      <c r="A19" s="207" t="s">
        <v>256</v>
      </c>
      <c r="B19" s="104"/>
      <c r="C19" s="104"/>
      <c r="D19" s="104"/>
      <c r="E19" s="104"/>
      <c r="F19" s="104"/>
      <c r="G19" s="104"/>
      <c r="H19" s="104"/>
      <c r="I19" s="104"/>
      <c r="J19" s="107"/>
    </row>
    <row r="20" spans="1:14" ht="20.100000000000001" customHeight="1">
      <c r="A20" s="208"/>
      <c r="B20" s="209"/>
      <c r="C20" s="209"/>
      <c r="D20" s="209"/>
      <c r="E20" s="104">
        <f>B20+C20+D20</f>
        <v>0</v>
      </c>
      <c r="F20" s="209"/>
      <c r="G20" s="209"/>
      <c r="H20" s="209"/>
      <c r="I20" s="104">
        <f t="shared" ref="I20:I25" si="3">F20+G20+H20</f>
        <v>0</v>
      </c>
      <c r="J20" s="106"/>
    </row>
    <row r="21" spans="1:14" ht="20.100000000000001" customHeight="1">
      <c r="A21" s="208"/>
      <c r="B21" s="209"/>
      <c r="C21" s="209"/>
      <c r="D21" s="209"/>
      <c r="E21" s="104">
        <f t="shared" ref="E21:E24" si="4">B21+C21+D21</f>
        <v>0</v>
      </c>
      <c r="F21" s="209"/>
      <c r="G21" s="209"/>
      <c r="H21" s="209"/>
      <c r="I21" s="104">
        <f t="shared" si="3"/>
        <v>0</v>
      </c>
      <c r="J21" s="106"/>
    </row>
    <row r="22" spans="1:14" ht="20.100000000000001" customHeight="1">
      <c r="A22" s="208"/>
      <c r="B22" s="209"/>
      <c r="C22" s="209"/>
      <c r="D22" s="209"/>
      <c r="E22" s="104">
        <f t="shared" si="4"/>
        <v>0</v>
      </c>
      <c r="F22" s="209"/>
      <c r="G22" s="209"/>
      <c r="H22" s="209"/>
      <c r="I22" s="104">
        <f t="shared" si="3"/>
        <v>0</v>
      </c>
      <c r="J22" s="106"/>
    </row>
    <row r="23" spans="1:14" ht="20.100000000000001" customHeight="1">
      <c r="A23" s="208"/>
      <c r="B23" s="209"/>
      <c r="C23" s="209"/>
      <c r="D23" s="209"/>
      <c r="E23" s="104">
        <f t="shared" si="4"/>
        <v>0</v>
      </c>
      <c r="F23" s="209"/>
      <c r="G23" s="209"/>
      <c r="H23" s="209"/>
      <c r="I23" s="104">
        <f t="shared" si="3"/>
        <v>0</v>
      </c>
      <c r="J23" s="106"/>
    </row>
    <row r="24" spans="1:14" ht="20.100000000000001" customHeight="1">
      <c r="A24" s="208"/>
      <c r="B24" s="209"/>
      <c r="C24" s="209"/>
      <c r="D24" s="209"/>
      <c r="E24" s="104">
        <f t="shared" si="4"/>
        <v>0</v>
      </c>
      <c r="F24" s="209"/>
      <c r="G24" s="209"/>
      <c r="H24" s="209"/>
      <c r="I24" s="104">
        <f t="shared" si="3"/>
        <v>0</v>
      </c>
      <c r="J24" s="106"/>
    </row>
    <row r="25" spans="1:14" ht="20.100000000000001" customHeight="1">
      <c r="A25" s="208"/>
      <c r="B25" s="209"/>
      <c r="C25" s="209"/>
      <c r="D25" s="209"/>
      <c r="E25" s="104">
        <f>B25+C25+D25</f>
        <v>0</v>
      </c>
      <c r="F25" s="209"/>
      <c r="G25" s="209"/>
      <c r="H25" s="209"/>
      <c r="I25" s="104">
        <f t="shared" si="3"/>
        <v>0</v>
      </c>
      <c r="J25" s="106"/>
    </row>
    <row r="26" spans="1:14" s="211" customFormat="1" ht="20.100000000000001" customHeight="1">
      <c r="A26" s="210" t="s">
        <v>257</v>
      </c>
      <c r="B26" s="103">
        <f t="shared" ref="B26:I26" si="5">SUM(B20:B25)</f>
        <v>0</v>
      </c>
      <c r="C26" s="103">
        <f t="shared" si="5"/>
        <v>0</v>
      </c>
      <c r="D26" s="103">
        <f t="shared" si="5"/>
        <v>0</v>
      </c>
      <c r="E26" s="103">
        <f t="shared" si="5"/>
        <v>0</v>
      </c>
      <c r="F26" s="103">
        <f t="shared" si="5"/>
        <v>0</v>
      </c>
      <c r="G26" s="103">
        <f t="shared" si="5"/>
        <v>0</v>
      </c>
      <c r="H26" s="103">
        <f t="shared" si="5"/>
        <v>0</v>
      </c>
      <c r="I26" s="103">
        <f t="shared" si="5"/>
        <v>0</v>
      </c>
      <c r="J26" s="107"/>
    </row>
    <row r="27" spans="1:14" s="87" customFormat="1" ht="20.100000000000001" customHeight="1">
      <c r="A27" s="156" t="s">
        <v>258</v>
      </c>
      <c r="B27" s="103">
        <f t="shared" ref="B27:I27" si="6">B26+B18</f>
        <v>0</v>
      </c>
      <c r="C27" s="103">
        <f t="shared" si="6"/>
        <v>0</v>
      </c>
      <c r="D27" s="103">
        <f t="shared" si="6"/>
        <v>0</v>
      </c>
      <c r="E27" s="103">
        <f t="shared" si="6"/>
        <v>0</v>
      </c>
      <c r="F27" s="103">
        <f t="shared" si="6"/>
        <v>0</v>
      </c>
      <c r="G27" s="103">
        <f t="shared" si="6"/>
        <v>0</v>
      </c>
      <c r="H27" s="103">
        <f t="shared" si="6"/>
        <v>0</v>
      </c>
      <c r="I27" s="103">
        <f t="shared" si="6"/>
        <v>0</v>
      </c>
      <c r="J27" s="108"/>
    </row>
    <row r="28" spans="1:14" s="141" customFormat="1" ht="20.100000000000001" customHeight="1">
      <c r="A28" s="136" t="s">
        <v>178</v>
      </c>
      <c r="B28" s="137"/>
      <c r="C28" s="137"/>
      <c r="D28" s="137"/>
      <c r="E28" s="264"/>
      <c r="F28" s="137"/>
      <c r="G28" s="137"/>
      <c r="H28" s="137"/>
      <c r="I28" s="264"/>
      <c r="J28" s="138"/>
      <c r="K28" s="138"/>
      <c r="L28" s="139"/>
      <c r="M28" s="140"/>
      <c r="N28" s="140"/>
    </row>
    <row r="29" spans="1:14" s="141" customFormat="1" ht="20.100000000000001" customHeight="1">
      <c r="A29" s="136" t="s">
        <v>179</v>
      </c>
      <c r="B29" s="137"/>
      <c r="C29" s="137"/>
      <c r="D29" s="137"/>
      <c r="E29" s="265">
        <f>E27-E28</f>
        <v>0</v>
      </c>
      <c r="F29" s="137"/>
      <c r="G29" s="137"/>
      <c r="H29" s="137"/>
      <c r="I29" s="265">
        <f>I27-I28</f>
        <v>0</v>
      </c>
      <c r="J29" s="138"/>
      <c r="K29" s="138"/>
      <c r="L29" s="139"/>
      <c r="M29" s="140"/>
      <c r="N29" s="140"/>
    </row>
    <row r="30" spans="1:14" ht="20.100000000000001" customHeight="1">
      <c r="A30" s="113" t="s">
        <v>94</v>
      </c>
      <c r="B30" s="86"/>
      <c r="C30" s="86"/>
      <c r="D30" s="86"/>
      <c r="E30" s="86"/>
      <c r="F30" s="88"/>
      <c r="G30" s="88"/>
      <c r="H30" s="88"/>
      <c r="I30" s="88"/>
      <c r="J30" s="86"/>
    </row>
    <row r="31" spans="1:14" ht="20.100000000000001" customHeight="1">
      <c r="A31" s="114" t="s">
        <v>259</v>
      </c>
      <c r="B31" s="22"/>
      <c r="C31" s="22"/>
      <c r="D31" s="22"/>
      <c r="E31" s="22"/>
      <c r="F31" s="22"/>
      <c r="G31" s="22"/>
      <c r="H31" s="22"/>
      <c r="I31" s="22"/>
      <c r="J31" s="22"/>
    </row>
    <row r="32" spans="1:14" ht="20.100000000000001" customHeight="1">
      <c r="A32" s="114" t="s">
        <v>95</v>
      </c>
      <c r="B32" s="22"/>
      <c r="C32" s="22"/>
      <c r="D32" s="22"/>
      <c r="E32" s="22"/>
      <c r="F32" s="22"/>
      <c r="G32" s="22"/>
      <c r="H32" s="22"/>
      <c r="I32" s="22"/>
      <c r="J32" s="22"/>
    </row>
    <row r="33" spans="1:10" ht="20.100000000000001" customHeight="1">
      <c r="A33" s="114"/>
      <c r="B33" s="22"/>
      <c r="C33" s="22"/>
      <c r="D33" s="22"/>
      <c r="E33" s="22"/>
      <c r="F33" s="22"/>
      <c r="G33" s="22"/>
      <c r="H33" s="22"/>
      <c r="I33" s="22"/>
      <c r="J33" s="22"/>
    </row>
    <row r="34" spans="1:10" ht="20.100000000000001" customHeight="1">
      <c r="A34" s="114"/>
      <c r="B34" s="22"/>
      <c r="C34" s="22"/>
      <c r="D34" s="22"/>
      <c r="E34" s="22"/>
      <c r="F34" s="22"/>
      <c r="G34" s="22"/>
      <c r="H34" s="22"/>
      <c r="I34" s="22"/>
      <c r="J34" s="22"/>
    </row>
    <row r="35" spans="1:10" ht="20.100000000000001" customHeight="1">
      <c r="A35" s="115" t="s">
        <v>96</v>
      </c>
      <c r="B35" s="22"/>
      <c r="C35" s="22"/>
      <c r="D35" s="22"/>
      <c r="E35" s="22"/>
      <c r="F35" s="88"/>
      <c r="G35" s="88"/>
      <c r="H35" s="88"/>
      <c r="I35" s="88"/>
      <c r="J35" s="22"/>
    </row>
    <row r="36" spans="1:10" ht="20.100000000000001" customHeight="1">
      <c r="A36" s="115"/>
      <c r="B36" s="22"/>
      <c r="C36" s="22"/>
      <c r="D36" s="22"/>
      <c r="E36" s="22"/>
      <c r="F36" s="22"/>
      <c r="G36" s="22"/>
      <c r="H36" s="22"/>
      <c r="I36" s="22"/>
      <c r="J36" s="22"/>
    </row>
    <row r="37" spans="1:10" ht="20.100000000000001" customHeight="1">
      <c r="A37" s="116" t="s">
        <v>93</v>
      </c>
      <c r="B37" s="22"/>
      <c r="C37" s="22"/>
      <c r="D37" s="22"/>
      <c r="E37" s="22"/>
      <c r="F37" s="22"/>
      <c r="G37" s="22"/>
      <c r="H37" s="22"/>
      <c r="I37" s="22"/>
      <c r="J37" s="22"/>
    </row>
    <row r="39" spans="1:10" s="89" customFormat="1" ht="18" customHeight="1">
      <c r="A39" s="212" t="s">
        <v>260</v>
      </c>
    </row>
    <row r="40" spans="1:10" s="89" customFormat="1" ht="18" customHeight="1">
      <c r="A40" s="117" t="s">
        <v>261</v>
      </c>
    </row>
    <row r="41" spans="1:10" s="89" customFormat="1" ht="18" customHeight="1">
      <c r="A41" s="117" t="s">
        <v>262</v>
      </c>
    </row>
    <row r="42" spans="1:10" s="89" customFormat="1" ht="18" customHeight="1">
      <c r="A42" s="117"/>
    </row>
    <row r="43" spans="1:10" s="89" customFormat="1" ht="18" customHeight="1">
      <c r="A43" s="117"/>
    </row>
    <row r="44" spans="1:10" s="89" customFormat="1" ht="18" customHeight="1">
      <c r="A44" s="117"/>
    </row>
    <row r="45" spans="1:10" s="89" customFormat="1" ht="18" customHeight="1">
      <c r="A45" s="117"/>
    </row>
    <row r="46" spans="1:10" s="89" customFormat="1" ht="18" customHeight="1">
      <c r="A46" s="117"/>
    </row>
    <row r="47" spans="1:10" s="89" customFormat="1" ht="18" customHeight="1">
      <c r="A47" s="117"/>
    </row>
    <row r="48" spans="1:10" s="89" customFormat="1" ht="18" customHeight="1">
      <c r="A48" s="118"/>
    </row>
    <row r="49" spans="1:2" s="89" customFormat="1" ht="18" customHeight="1">
      <c r="A49" s="117"/>
    </row>
    <row r="50" spans="1:2" s="89" customFormat="1" ht="18" customHeight="1">
      <c r="A50" s="117"/>
    </row>
    <row r="51" spans="1:2" ht="18" customHeight="1">
      <c r="A51" s="117"/>
    </row>
    <row r="52" spans="1:2" ht="18" customHeight="1">
      <c r="A52" s="117"/>
    </row>
    <row r="53" spans="1:2" ht="18" customHeight="1">
      <c r="A53" s="117"/>
    </row>
    <row r="54" spans="1:2" ht="18" customHeight="1">
      <c r="A54" s="117"/>
    </row>
    <row r="55" spans="1:2" ht="18" customHeight="1">
      <c r="A55" s="117"/>
    </row>
    <row r="56" spans="1:2" ht="18" customHeight="1">
      <c r="A56" s="117"/>
    </row>
    <row r="57" spans="1:2" ht="18" customHeight="1">
      <c r="A57" s="118"/>
    </row>
    <row r="58" spans="1:2" ht="18" customHeight="1">
      <c r="A58" s="119"/>
      <c r="B58" s="23"/>
    </row>
    <row r="59" spans="1:2" ht="18" customHeight="1">
      <c r="A59" s="119"/>
      <c r="B59" s="23"/>
    </row>
    <row r="60" spans="1:2" ht="18" customHeight="1">
      <c r="A60" s="119"/>
      <c r="B60" s="23"/>
    </row>
  </sheetData>
  <mergeCells count="6">
    <mergeCell ref="A1:J1"/>
    <mergeCell ref="A2:J2"/>
    <mergeCell ref="A5:A6"/>
    <mergeCell ref="B5:E5"/>
    <mergeCell ref="F5:I5"/>
    <mergeCell ref="J5:J6"/>
  </mergeCells>
  <phoneticPr fontId="18" type="noConversion"/>
  <hyperlinks>
    <hyperlink ref="J3" location="底稿目录!A1" display="底稿目录!A1"/>
  </hyperlinks>
  <printOptions horizontalCentered="1"/>
  <pageMargins left="0.94488188976377963" right="0.27559055118110237" top="0.62992125984251968" bottom="0.51181102362204722" header="0.51181102362204722" footer="0.35433070866141736"/>
  <pageSetup paperSize="9" scale="75" fitToHeight="0" orientation="portrait"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X30"/>
  <sheetViews>
    <sheetView view="pageBreakPreview" topLeftCell="A10" zoomScale="90" zoomScaleSheetLayoutView="90" workbookViewId="0">
      <selection activeCell="D14" sqref="D14"/>
    </sheetView>
  </sheetViews>
  <sheetFormatPr defaultColWidth="9" defaultRowHeight="13.8"/>
  <cols>
    <col min="1" max="1" width="11.19921875" style="38" customWidth="1"/>
    <col min="2" max="13" width="8.69921875" style="38" customWidth="1"/>
    <col min="14" max="14" width="11.19921875" style="38" customWidth="1"/>
    <col min="15" max="15" width="9" style="38"/>
    <col min="16" max="16" width="12" style="38" customWidth="1"/>
    <col min="17" max="17" width="11.5" style="38" customWidth="1"/>
    <col min="18" max="18" width="10.5" style="38" customWidth="1"/>
    <col min="19" max="20" width="11.59765625" style="38" customWidth="1"/>
    <col min="21" max="21" width="11.09765625" style="38" customWidth="1"/>
    <col min="22" max="16384" width="9" style="38"/>
  </cols>
  <sheetData>
    <row r="1" spans="1:24" s="35" customFormat="1" ht="20.100000000000001" customHeight="1">
      <c r="A1" s="313" t="s">
        <v>26</v>
      </c>
      <c r="B1" s="313"/>
      <c r="C1" s="313"/>
      <c r="D1" s="313"/>
      <c r="E1" s="313"/>
      <c r="F1" s="313"/>
      <c r="G1" s="313"/>
      <c r="H1" s="313"/>
      <c r="I1" s="313"/>
      <c r="J1" s="313"/>
      <c r="K1" s="313"/>
      <c r="L1" s="313"/>
      <c r="M1" s="313"/>
      <c r="N1" s="313"/>
      <c r="O1" s="313"/>
      <c r="P1" s="313"/>
      <c r="Q1" s="313"/>
      <c r="R1" s="313"/>
      <c r="S1" s="313"/>
      <c r="T1" s="313"/>
      <c r="U1" s="313"/>
      <c r="V1" s="313"/>
      <c r="W1" s="313"/>
      <c r="X1" s="313"/>
    </row>
    <row r="2" spans="1:24" s="18" customFormat="1" ht="24.9" customHeight="1">
      <c r="A2" s="314" t="s">
        <v>263</v>
      </c>
      <c r="B2" s="314"/>
      <c r="C2" s="314"/>
      <c r="D2" s="314"/>
      <c r="E2" s="314"/>
      <c r="F2" s="314"/>
      <c r="G2" s="314"/>
      <c r="H2" s="314"/>
      <c r="I2" s="314"/>
      <c r="J2" s="314"/>
      <c r="K2" s="314"/>
      <c r="L2" s="314"/>
      <c r="M2" s="314"/>
      <c r="N2" s="314"/>
      <c r="O2" s="314"/>
      <c r="P2" s="314"/>
      <c r="Q2" s="314"/>
      <c r="R2" s="314"/>
      <c r="S2" s="314"/>
      <c r="T2" s="314"/>
      <c r="U2" s="314"/>
      <c r="V2" s="314"/>
      <c r="W2" s="314"/>
      <c r="X2" s="314"/>
    </row>
    <row r="3" spans="1:24" ht="20.100000000000001" customHeight="1">
      <c r="A3" s="37" t="str">
        <f>底稿目录!A2</f>
        <v>被审计单位：</v>
      </c>
      <c r="H3" s="37" t="str">
        <f>底稿目录!A4</f>
        <v>编制人：</v>
      </c>
      <c r="M3" s="75"/>
      <c r="R3" s="37" t="str">
        <f>底稿目录!A5</f>
        <v>编制日期：</v>
      </c>
      <c r="S3" s="109"/>
      <c r="W3" s="37" t="s">
        <v>52</v>
      </c>
      <c r="X3" s="166" t="str">
        <f>底稿目录!F5</f>
        <v>F5-2</v>
      </c>
    </row>
    <row r="4" spans="1:24" ht="20.100000000000001" customHeight="1">
      <c r="A4" s="37" t="str">
        <f>底稿目录!A3</f>
        <v>会计期间：202X年度</v>
      </c>
      <c r="H4" s="37" t="str">
        <f>底稿目录!A6</f>
        <v>复核人：</v>
      </c>
      <c r="M4" s="75"/>
      <c r="R4" s="37" t="str">
        <f>底稿目录!A7</f>
        <v>复核日期：</v>
      </c>
      <c r="S4" s="109"/>
      <c r="W4" s="37" t="s">
        <v>74</v>
      </c>
      <c r="X4" s="75"/>
    </row>
    <row r="5" spans="1:24" ht="20.100000000000001" customHeight="1">
      <c r="A5" s="76" t="s">
        <v>75</v>
      </c>
      <c r="B5" s="77"/>
      <c r="E5" s="37"/>
      <c r="H5" s="37"/>
      <c r="K5" s="75"/>
      <c r="L5" s="75"/>
      <c r="M5" s="75"/>
    </row>
    <row r="6" spans="1:24" ht="20.100000000000001" customHeight="1">
      <c r="A6" s="194" t="s">
        <v>232</v>
      </c>
      <c r="E6" s="37"/>
      <c r="H6" s="37"/>
      <c r="K6" s="75"/>
      <c r="L6" s="75"/>
      <c r="M6" s="75"/>
    </row>
    <row r="7" spans="1:24" ht="20.100000000000001" customHeight="1">
      <c r="A7" s="194" t="s">
        <v>231</v>
      </c>
      <c r="E7" s="37"/>
      <c r="H7" s="37"/>
      <c r="K7" s="75"/>
      <c r="L7" s="75"/>
      <c r="M7" s="75"/>
    </row>
    <row r="8" spans="1:24" ht="20.100000000000001" customHeight="1">
      <c r="A8" s="76" t="s">
        <v>76</v>
      </c>
      <c r="E8" s="37"/>
      <c r="H8" s="37"/>
      <c r="K8" s="75"/>
      <c r="L8" s="75"/>
      <c r="M8" s="75"/>
    </row>
    <row r="9" spans="1:24" s="42" customFormat="1" ht="20.100000000000001" customHeight="1">
      <c r="A9" s="315" t="s">
        <v>77</v>
      </c>
      <c r="B9" s="317" t="s">
        <v>92</v>
      </c>
      <c r="C9" s="318"/>
      <c r="D9" s="318"/>
      <c r="E9" s="318"/>
      <c r="F9" s="318"/>
      <c r="G9" s="318"/>
      <c r="H9" s="318"/>
      <c r="I9" s="318"/>
      <c r="J9" s="318"/>
      <c r="K9" s="318"/>
      <c r="L9" s="318"/>
      <c r="M9" s="319"/>
      <c r="N9" s="309" t="s">
        <v>248</v>
      </c>
      <c r="O9" s="320" t="s">
        <v>234</v>
      </c>
      <c r="P9" s="321"/>
      <c r="Q9" s="322" t="s">
        <v>249</v>
      </c>
      <c r="R9" s="324" t="s">
        <v>233</v>
      </c>
      <c r="S9" s="320" t="s">
        <v>250</v>
      </c>
      <c r="T9" s="321"/>
      <c r="U9" s="326" t="s">
        <v>247</v>
      </c>
      <c r="V9" s="309" t="s">
        <v>251</v>
      </c>
      <c r="W9" s="309" t="s">
        <v>252</v>
      </c>
      <c r="X9" s="311" t="s">
        <v>253</v>
      </c>
    </row>
    <row r="10" spans="1:24" s="42" customFormat="1" ht="20.100000000000001" customHeight="1">
      <c r="A10" s="316"/>
      <c r="B10" s="280" t="s">
        <v>246</v>
      </c>
      <c r="C10" s="280" t="s">
        <v>235</v>
      </c>
      <c r="D10" s="280" t="s">
        <v>236</v>
      </c>
      <c r="E10" s="280" t="s">
        <v>237</v>
      </c>
      <c r="F10" s="280" t="s">
        <v>238</v>
      </c>
      <c r="G10" s="280" t="s">
        <v>239</v>
      </c>
      <c r="H10" s="280" t="s">
        <v>240</v>
      </c>
      <c r="I10" s="280" t="s">
        <v>241</v>
      </c>
      <c r="J10" s="280" t="s">
        <v>242</v>
      </c>
      <c r="K10" s="280" t="s">
        <v>243</v>
      </c>
      <c r="L10" s="280" t="s">
        <v>244</v>
      </c>
      <c r="M10" s="280" t="s">
        <v>245</v>
      </c>
      <c r="N10" s="310"/>
      <c r="O10" s="201" t="s">
        <v>78</v>
      </c>
      <c r="P10" s="201" t="s">
        <v>79</v>
      </c>
      <c r="Q10" s="323"/>
      <c r="R10" s="325"/>
      <c r="S10" s="201" t="s">
        <v>78</v>
      </c>
      <c r="T10" s="201" t="s">
        <v>79</v>
      </c>
      <c r="U10" s="327"/>
      <c r="V10" s="310"/>
      <c r="W10" s="310"/>
      <c r="X10" s="312"/>
    </row>
    <row r="11" spans="1:24" ht="20.100000000000001" customHeight="1">
      <c r="A11" s="202" t="s">
        <v>80</v>
      </c>
      <c r="B11" s="78"/>
      <c r="C11" s="78"/>
      <c r="D11" s="78"/>
      <c r="E11" s="78"/>
      <c r="F11" s="78"/>
      <c r="G11" s="78"/>
      <c r="H11" s="78"/>
      <c r="I11" s="78"/>
      <c r="J11" s="78"/>
      <c r="K11" s="78"/>
      <c r="L11" s="78"/>
      <c r="M11" s="78"/>
      <c r="N11" s="195">
        <f t="shared" ref="N11:N22" si="0">SUM(B11:M11)</f>
        <v>0</v>
      </c>
      <c r="O11" s="78"/>
      <c r="P11" s="78"/>
      <c r="Q11" s="196">
        <f>N11+O11+P11</f>
        <v>0</v>
      </c>
      <c r="R11" s="205"/>
      <c r="S11" s="205"/>
      <c r="T11" s="205"/>
      <c r="U11" s="196">
        <f>R11+S11+T11</f>
        <v>0</v>
      </c>
      <c r="V11" s="197">
        <f>IF(AND(R11=0,N11-R11=0),0,IF(AND(R11=0,N11-R11&gt;0),1,(N11-R11)/R11))</f>
        <v>0</v>
      </c>
      <c r="W11" s="197">
        <f>IF(AND(U11=0,Q11-U11=0),0,IF(AND(U11=0,Q11-U11&gt;0),1,(Q11-U11)/U11))</f>
        <v>0</v>
      </c>
      <c r="X11" s="79"/>
    </row>
    <row r="12" spans="1:24" ht="20.100000000000001" customHeight="1">
      <c r="A12" s="202" t="s">
        <v>81</v>
      </c>
      <c r="B12" s="78"/>
      <c r="C12" s="78"/>
      <c r="D12" s="78"/>
      <c r="E12" s="78"/>
      <c r="F12" s="78"/>
      <c r="G12" s="78"/>
      <c r="H12" s="78"/>
      <c r="I12" s="78"/>
      <c r="J12" s="78"/>
      <c r="K12" s="78"/>
      <c r="L12" s="78"/>
      <c r="M12" s="78"/>
      <c r="N12" s="195">
        <f t="shared" si="0"/>
        <v>0</v>
      </c>
      <c r="O12" s="78"/>
      <c r="P12" s="78"/>
      <c r="Q12" s="196">
        <f t="shared" ref="Q12:Q22" si="1">N12+O12+P12</f>
        <v>0</v>
      </c>
      <c r="R12" s="205"/>
      <c r="S12" s="205"/>
      <c r="T12" s="205"/>
      <c r="U12" s="196">
        <f t="shared" ref="U12:U22" si="2">R12+S12+T12</f>
        <v>0</v>
      </c>
      <c r="V12" s="197">
        <f t="shared" ref="V12:V23" si="3">IF(AND(R12=0,N12-R12=0),0,IF(AND(R12=0,N12-R12&gt;0),1,(N12-R12)/R12))</f>
        <v>0</v>
      </c>
      <c r="W12" s="197">
        <f t="shared" ref="W12:W23" si="4">IF(AND(U12=0,Q12-U12=0),0,IF(AND(U12=0,Q12-U12&gt;0),1,(Q12-U12)/U12))</f>
        <v>0</v>
      </c>
      <c r="X12" s="79"/>
    </row>
    <row r="13" spans="1:24" ht="20.100000000000001" customHeight="1">
      <c r="A13" s="202" t="s">
        <v>82</v>
      </c>
      <c r="B13" s="78"/>
      <c r="C13" s="78"/>
      <c r="D13" s="78"/>
      <c r="E13" s="78"/>
      <c r="F13" s="78"/>
      <c r="G13" s="78"/>
      <c r="H13" s="78"/>
      <c r="I13" s="78"/>
      <c r="J13" s="78"/>
      <c r="K13" s="78"/>
      <c r="L13" s="78"/>
      <c r="M13" s="78"/>
      <c r="N13" s="195">
        <f t="shared" si="0"/>
        <v>0</v>
      </c>
      <c r="O13" s="78"/>
      <c r="P13" s="78"/>
      <c r="Q13" s="196">
        <f t="shared" si="1"/>
        <v>0</v>
      </c>
      <c r="R13" s="205"/>
      <c r="S13" s="205"/>
      <c r="T13" s="205"/>
      <c r="U13" s="196">
        <f t="shared" si="2"/>
        <v>0</v>
      </c>
      <c r="V13" s="197">
        <f t="shared" si="3"/>
        <v>0</v>
      </c>
      <c r="W13" s="197">
        <f t="shared" si="4"/>
        <v>0</v>
      </c>
      <c r="X13" s="79"/>
    </row>
    <row r="14" spans="1:24" ht="20.100000000000001" customHeight="1">
      <c r="A14" s="202" t="s">
        <v>83</v>
      </c>
      <c r="B14" s="78"/>
      <c r="C14" s="78"/>
      <c r="D14" s="78"/>
      <c r="E14" s="78"/>
      <c r="F14" s="78"/>
      <c r="G14" s="78"/>
      <c r="H14" s="78"/>
      <c r="I14" s="78"/>
      <c r="J14" s="78"/>
      <c r="K14" s="78"/>
      <c r="L14" s="78"/>
      <c r="M14" s="78"/>
      <c r="N14" s="195">
        <f t="shared" si="0"/>
        <v>0</v>
      </c>
      <c r="O14" s="78"/>
      <c r="P14" s="78"/>
      <c r="Q14" s="196">
        <f t="shared" si="1"/>
        <v>0</v>
      </c>
      <c r="R14" s="205"/>
      <c r="S14" s="205"/>
      <c r="T14" s="205"/>
      <c r="U14" s="196">
        <f t="shared" si="2"/>
        <v>0</v>
      </c>
      <c r="V14" s="197">
        <f t="shared" si="3"/>
        <v>0</v>
      </c>
      <c r="W14" s="197">
        <f t="shared" si="4"/>
        <v>0</v>
      </c>
      <c r="X14" s="79"/>
    </row>
    <row r="15" spans="1:24" ht="20.100000000000001" customHeight="1">
      <c r="A15" s="202" t="s">
        <v>84</v>
      </c>
      <c r="B15" s="78"/>
      <c r="C15" s="78"/>
      <c r="D15" s="78"/>
      <c r="E15" s="78"/>
      <c r="F15" s="78"/>
      <c r="G15" s="78"/>
      <c r="H15" s="78"/>
      <c r="I15" s="78"/>
      <c r="J15" s="78"/>
      <c r="K15" s="78"/>
      <c r="L15" s="78"/>
      <c r="M15" s="78"/>
      <c r="N15" s="195">
        <f t="shared" si="0"/>
        <v>0</v>
      </c>
      <c r="O15" s="78"/>
      <c r="P15" s="78"/>
      <c r="Q15" s="196">
        <f t="shared" si="1"/>
        <v>0</v>
      </c>
      <c r="R15" s="205"/>
      <c r="S15" s="205"/>
      <c r="T15" s="205"/>
      <c r="U15" s="196">
        <f t="shared" si="2"/>
        <v>0</v>
      </c>
      <c r="V15" s="197">
        <f t="shared" si="3"/>
        <v>0</v>
      </c>
      <c r="W15" s="197">
        <f t="shared" si="4"/>
        <v>0</v>
      </c>
      <c r="X15" s="79"/>
    </row>
    <row r="16" spans="1:24" ht="20.100000000000001" customHeight="1">
      <c r="A16" s="202" t="s">
        <v>85</v>
      </c>
      <c r="B16" s="78"/>
      <c r="C16" s="78"/>
      <c r="D16" s="78"/>
      <c r="E16" s="78"/>
      <c r="F16" s="78"/>
      <c r="G16" s="78"/>
      <c r="H16" s="78"/>
      <c r="I16" s="78"/>
      <c r="J16" s="78"/>
      <c r="K16" s="78"/>
      <c r="L16" s="78"/>
      <c r="M16" s="78"/>
      <c r="N16" s="195">
        <f t="shared" si="0"/>
        <v>0</v>
      </c>
      <c r="O16" s="78"/>
      <c r="P16" s="78"/>
      <c r="Q16" s="196">
        <f t="shared" si="1"/>
        <v>0</v>
      </c>
      <c r="R16" s="205"/>
      <c r="S16" s="205"/>
      <c r="T16" s="205"/>
      <c r="U16" s="196">
        <f t="shared" si="2"/>
        <v>0</v>
      </c>
      <c r="V16" s="197">
        <f t="shared" si="3"/>
        <v>0</v>
      </c>
      <c r="W16" s="197">
        <f t="shared" si="4"/>
        <v>0</v>
      </c>
      <c r="X16" s="79"/>
    </row>
    <row r="17" spans="1:24" ht="20.100000000000001" customHeight="1">
      <c r="A17" s="202" t="s">
        <v>86</v>
      </c>
      <c r="B17" s="78"/>
      <c r="C17" s="78"/>
      <c r="D17" s="78"/>
      <c r="E17" s="78"/>
      <c r="F17" s="78"/>
      <c r="G17" s="78"/>
      <c r="H17" s="78"/>
      <c r="I17" s="78"/>
      <c r="J17" s="78"/>
      <c r="K17" s="78"/>
      <c r="L17" s="78"/>
      <c r="M17" s="78"/>
      <c r="N17" s="195">
        <f t="shared" si="0"/>
        <v>0</v>
      </c>
      <c r="O17" s="78"/>
      <c r="P17" s="78"/>
      <c r="Q17" s="196">
        <f t="shared" si="1"/>
        <v>0</v>
      </c>
      <c r="R17" s="205"/>
      <c r="S17" s="205"/>
      <c r="T17" s="205"/>
      <c r="U17" s="196">
        <f t="shared" si="2"/>
        <v>0</v>
      </c>
      <c r="V17" s="197">
        <f t="shared" si="3"/>
        <v>0</v>
      </c>
      <c r="W17" s="197">
        <f t="shared" si="4"/>
        <v>0</v>
      </c>
      <c r="X17" s="79"/>
    </row>
    <row r="18" spans="1:24" ht="20.100000000000001" customHeight="1">
      <c r="A18" s="202" t="s">
        <v>87</v>
      </c>
      <c r="B18" s="78"/>
      <c r="C18" s="78"/>
      <c r="D18" s="78"/>
      <c r="E18" s="78"/>
      <c r="F18" s="78"/>
      <c r="G18" s="78"/>
      <c r="H18" s="78"/>
      <c r="I18" s="78"/>
      <c r="J18" s="78"/>
      <c r="K18" s="78"/>
      <c r="L18" s="78"/>
      <c r="M18" s="78"/>
      <c r="N18" s="195">
        <f t="shared" si="0"/>
        <v>0</v>
      </c>
      <c r="O18" s="78"/>
      <c r="P18" s="78"/>
      <c r="Q18" s="196">
        <f t="shared" si="1"/>
        <v>0</v>
      </c>
      <c r="R18" s="205"/>
      <c r="S18" s="205"/>
      <c r="T18" s="205"/>
      <c r="U18" s="196">
        <f t="shared" si="2"/>
        <v>0</v>
      </c>
      <c r="V18" s="197">
        <f t="shared" si="3"/>
        <v>0</v>
      </c>
      <c r="W18" s="197">
        <f t="shared" si="4"/>
        <v>0</v>
      </c>
      <c r="X18" s="79"/>
    </row>
    <row r="19" spans="1:24" ht="20.100000000000001" customHeight="1">
      <c r="A19" s="203"/>
      <c r="B19" s="78"/>
      <c r="C19" s="78"/>
      <c r="D19" s="78"/>
      <c r="E19" s="78"/>
      <c r="F19" s="78"/>
      <c r="G19" s="78"/>
      <c r="H19" s="78"/>
      <c r="I19" s="78"/>
      <c r="J19" s="78"/>
      <c r="K19" s="78"/>
      <c r="L19" s="78"/>
      <c r="M19" s="78"/>
      <c r="N19" s="195">
        <f t="shared" si="0"/>
        <v>0</v>
      </c>
      <c r="O19" s="78"/>
      <c r="P19" s="78"/>
      <c r="Q19" s="196">
        <f t="shared" si="1"/>
        <v>0</v>
      </c>
      <c r="R19" s="205"/>
      <c r="S19" s="205"/>
      <c r="T19" s="205"/>
      <c r="U19" s="196">
        <f t="shared" si="2"/>
        <v>0</v>
      </c>
      <c r="V19" s="197">
        <f t="shared" si="3"/>
        <v>0</v>
      </c>
      <c r="W19" s="197">
        <f t="shared" si="4"/>
        <v>0</v>
      </c>
      <c r="X19" s="79"/>
    </row>
    <row r="20" spans="1:24" ht="20.100000000000001" customHeight="1">
      <c r="A20" s="203"/>
      <c r="B20" s="78"/>
      <c r="C20" s="78"/>
      <c r="D20" s="78"/>
      <c r="E20" s="78"/>
      <c r="F20" s="78"/>
      <c r="G20" s="78"/>
      <c r="H20" s="78"/>
      <c r="I20" s="78"/>
      <c r="J20" s="78"/>
      <c r="K20" s="78"/>
      <c r="L20" s="78"/>
      <c r="M20" s="78"/>
      <c r="N20" s="195">
        <f t="shared" si="0"/>
        <v>0</v>
      </c>
      <c r="O20" s="78"/>
      <c r="P20" s="78"/>
      <c r="Q20" s="196">
        <f t="shared" si="1"/>
        <v>0</v>
      </c>
      <c r="R20" s="205"/>
      <c r="S20" s="205"/>
      <c r="T20" s="205"/>
      <c r="U20" s="196">
        <f t="shared" si="2"/>
        <v>0</v>
      </c>
      <c r="V20" s="197">
        <f t="shared" si="3"/>
        <v>0</v>
      </c>
      <c r="W20" s="197">
        <f t="shared" si="4"/>
        <v>0</v>
      </c>
      <c r="X20" s="79"/>
    </row>
    <row r="21" spans="1:24" ht="20.100000000000001" customHeight="1">
      <c r="A21" s="203"/>
      <c r="B21" s="78"/>
      <c r="C21" s="78"/>
      <c r="D21" s="78"/>
      <c r="E21" s="78"/>
      <c r="F21" s="78"/>
      <c r="G21" s="78"/>
      <c r="H21" s="78"/>
      <c r="I21" s="78"/>
      <c r="J21" s="78"/>
      <c r="K21" s="78"/>
      <c r="L21" s="78"/>
      <c r="M21" s="78"/>
      <c r="N21" s="195">
        <f t="shared" si="0"/>
        <v>0</v>
      </c>
      <c r="O21" s="78"/>
      <c r="P21" s="78"/>
      <c r="Q21" s="196">
        <f t="shared" si="1"/>
        <v>0</v>
      </c>
      <c r="R21" s="205"/>
      <c r="S21" s="205"/>
      <c r="T21" s="205"/>
      <c r="U21" s="196">
        <f t="shared" si="2"/>
        <v>0</v>
      </c>
      <c r="V21" s="197">
        <f t="shared" si="3"/>
        <v>0</v>
      </c>
      <c r="W21" s="197">
        <f t="shared" si="4"/>
        <v>0</v>
      </c>
      <c r="X21" s="79"/>
    </row>
    <row r="22" spans="1:24" ht="20.100000000000001" customHeight="1">
      <c r="A22" s="204"/>
      <c r="B22" s="78"/>
      <c r="C22" s="78"/>
      <c r="D22" s="78"/>
      <c r="E22" s="78"/>
      <c r="F22" s="78"/>
      <c r="G22" s="78"/>
      <c r="H22" s="78"/>
      <c r="I22" s="78"/>
      <c r="J22" s="78"/>
      <c r="K22" s="78"/>
      <c r="L22" s="78"/>
      <c r="M22" s="78"/>
      <c r="N22" s="195">
        <f t="shared" si="0"/>
        <v>0</v>
      </c>
      <c r="O22" s="78"/>
      <c r="P22" s="78"/>
      <c r="Q22" s="196">
        <f t="shared" si="1"/>
        <v>0</v>
      </c>
      <c r="R22" s="205"/>
      <c r="S22" s="205"/>
      <c r="T22" s="205"/>
      <c r="U22" s="196">
        <f t="shared" si="2"/>
        <v>0</v>
      </c>
      <c r="V22" s="197">
        <f t="shared" si="3"/>
        <v>0</v>
      </c>
      <c r="W22" s="197">
        <f t="shared" si="4"/>
        <v>0</v>
      </c>
      <c r="X22" s="79"/>
    </row>
    <row r="23" spans="1:24" s="206" customFormat="1" ht="20.100000000000001" customHeight="1">
      <c r="A23" s="158" t="s">
        <v>88</v>
      </c>
      <c r="B23" s="196">
        <f t="shared" ref="B23:M23" si="5">SUM(B11:B22)</f>
        <v>0</v>
      </c>
      <c r="C23" s="196">
        <f t="shared" si="5"/>
        <v>0</v>
      </c>
      <c r="D23" s="196">
        <f t="shared" si="5"/>
        <v>0</v>
      </c>
      <c r="E23" s="196">
        <f t="shared" si="5"/>
        <v>0</v>
      </c>
      <c r="F23" s="196">
        <f t="shared" si="5"/>
        <v>0</v>
      </c>
      <c r="G23" s="196">
        <f t="shared" si="5"/>
        <v>0</v>
      </c>
      <c r="H23" s="196">
        <f t="shared" si="5"/>
        <v>0</v>
      </c>
      <c r="I23" s="196">
        <f t="shared" si="5"/>
        <v>0</v>
      </c>
      <c r="J23" s="196">
        <f t="shared" si="5"/>
        <v>0</v>
      </c>
      <c r="K23" s="196">
        <f t="shared" si="5"/>
        <v>0</v>
      </c>
      <c r="L23" s="196">
        <f t="shared" si="5"/>
        <v>0</v>
      </c>
      <c r="M23" s="196">
        <f t="shared" si="5"/>
        <v>0</v>
      </c>
      <c r="N23" s="196">
        <f>SUM(N11:N22)</f>
        <v>0</v>
      </c>
      <c r="O23" s="196">
        <f t="shared" ref="O23:P23" si="6">SUM(O11:O22)</f>
        <v>0</v>
      </c>
      <c r="P23" s="196">
        <f t="shared" si="6"/>
        <v>0</v>
      </c>
      <c r="Q23" s="196">
        <f>N23+O23+P23</f>
        <v>0</v>
      </c>
      <c r="R23" s="196">
        <f>SUM(R11:R22)</f>
        <v>0</v>
      </c>
      <c r="S23" s="196">
        <f t="shared" ref="S23:T23" si="7">SUM(S11:S22)</f>
        <v>0</v>
      </c>
      <c r="T23" s="196">
        <f t="shared" si="7"/>
        <v>0</v>
      </c>
      <c r="U23" s="196">
        <f>R23+S23+T23</f>
        <v>0</v>
      </c>
      <c r="V23" s="197">
        <f t="shared" si="3"/>
        <v>0</v>
      </c>
      <c r="W23" s="197">
        <f t="shared" si="4"/>
        <v>0</v>
      </c>
      <c r="X23" s="198"/>
    </row>
    <row r="24" spans="1:24" s="206" customFormat="1" ht="20.100000000000001" customHeight="1">
      <c r="A24" s="80" t="s">
        <v>89</v>
      </c>
      <c r="B24" s="197">
        <f>IF(B23=0,0,B23/$N$23)</f>
        <v>0</v>
      </c>
      <c r="C24" s="197">
        <f t="shared" ref="C24:N24" si="8">IF(C23=0,0,C23/$N$23)</f>
        <v>0</v>
      </c>
      <c r="D24" s="197">
        <f t="shared" si="8"/>
        <v>0</v>
      </c>
      <c r="E24" s="197">
        <f t="shared" si="8"/>
        <v>0</v>
      </c>
      <c r="F24" s="197">
        <f t="shared" si="8"/>
        <v>0</v>
      </c>
      <c r="G24" s="197">
        <f t="shared" si="8"/>
        <v>0</v>
      </c>
      <c r="H24" s="197">
        <f t="shared" si="8"/>
        <v>0</v>
      </c>
      <c r="I24" s="197">
        <f t="shared" si="8"/>
        <v>0</v>
      </c>
      <c r="J24" s="197">
        <f t="shared" si="8"/>
        <v>0</v>
      </c>
      <c r="K24" s="197">
        <f t="shared" si="8"/>
        <v>0</v>
      </c>
      <c r="L24" s="197">
        <f t="shared" si="8"/>
        <v>0</v>
      </c>
      <c r="M24" s="197">
        <f t="shared" si="8"/>
        <v>0</v>
      </c>
      <c r="N24" s="197">
        <f t="shared" si="8"/>
        <v>0</v>
      </c>
      <c r="O24" s="199"/>
      <c r="P24" s="199"/>
      <c r="Q24" s="199"/>
      <c r="R24" s="199"/>
      <c r="S24" s="199"/>
      <c r="T24" s="199"/>
      <c r="U24" s="199"/>
      <c r="V24" s="199"/>
      <c r="W24" s="199"/>
      <c r="X24" s="200"/>
    </row>
    <row r="25" spans="1:24" ht="20.100000000000001" customHeight="1">
      <c r="A25" s="82" t="s">
        <v>90</v>
      </c>
      <c r="B25" s="81"/>
      <c r="C25" s="81"/>
      <c r="D25" s="81"/>
      <c r="E25" s="81"/>
      <c r="F25" s="81"/>
      <c r="G25" s="81"/>
      <c r="H25" s="81"/>
      <c r="I25" s="81"/>
      <c r="J25" s="81"/>
      <c r="K25" s="81"/>
      <c r="L25" s="81"/>
      <c r="M25" s="81"/>
      <c r="N25" s="81"/>
      <c r="O25" s="81"/>
      <c r="P25" s="81"/>
      <c r="Q25" s="81"/>
      <c r="R25" s="81"/>
      <c r="S25" s="81"/>
      <c r="T25" s="81"/>
      <c r="U25" s="81"/>
      <c r="V25" s="81"/>
      <c r="W25" s="81"/>
      <c r="X25" s="81"/>
    </row>
    <row r="26" spans="1:24" ht="20.100000000000001" customHeight="1">
      <c r="A26" s="37"/>
      <c r="B26" s="37"/>
      <c r="C26" s="37"/>
      <c r="D26" s="37"/>
      <c r="E26" s="37"/>
      <c r="F26" s="37"/>
      <c r="G26" s="37"/>
      <c r="H26" s="37"/>
      <c r="I26" s="37"/>
      <c r="J26" s="37"/>
      <c r="K26" s="37"/>
      <c r="L26" s="37"/>
      <c r="M26" s="37"/>
      <c r="N26" s="37"/>
      <c r="O26" s="37"/>
      <c r="P26" s="37"/>
      <c r="Q26" s="37"/>
      <c r="R26" s="37"/>
      <c r="S26" s="37"/>
      <c r="T26" s="37"/>
      <c r="U26" s="37"/>
      <c r="V26" s="37"/>
      <c r="W26" s="37"/>
      <c r="X26" s="37"/>
    </row>
    <row r="27" spans="1:24" ht="20.100000000000001" customHeight="1">
      <c r="A27" s="37"/>
      <c r="B27" s="37"/>
      <c r="C27" s="37"/>
      <c r="D27" s="37"/>
      <c r="E27" s="37"/>
      <c r="F27" s="37"/>
      <c r="G27" s="37"/>
      <c r="H27" s="37"/>
      <c r="I27" s="37"/>
      <c r="J27" s="37"/>
      <c r="K27" s="37"/>
      <c r="L27" s="37"/>
      <c r="M27" s="37"/>
      <c r="N27" s="37"/>
      <c r="O27" s="37"/>
      <c r="P27" s="37"/>
      <c r="Q27" s="37"/>
      <c r="R27" s="37"/>
      <c r="S27" s="37"/>
      <c r="T27" s="37"/>
      <c r="U27" s="37"/>
      <c r="V27" s="37"/>
      <c r="W27" s="37"/>
      <c r="X27" s="37"/>
    </row>
    <row r="28" spans="1:24" ht="20.100000000000001" customHeight="1">
      <c r="A28" s="83" t="s">
        <v>91</v>
      </c>
      <c r="B28" s="37"/>
      <c r="C28" s="37"/>
      <c r="D28" s="37"/>
      <c r="E28" s="37"/>
      <c r="F28" s="37"/>
      <c r="G28" s="37"/>
      <c r="H28" s="37"/>
      <c r="I28" s="37"/>
      <c r="J28" s="37"/>
      <c r="K28" s="37"/>
      <c r="L28" s="37"/>
      <c r="M28" s="37"/>
      <c r="N28" s="37"/>
      <c r="O28" s="37"/>
      <c r="P28" s="37"/>
      <c r="Q28" s="37"/>
      <c r="R28" s="37"/>
      <c r="S28" s="37"/>
      <c r="T28" s="37"/>
      <c r="U28" s="37"/>
      <c r="V28" s="37"/>
      <c r="W28" s="37"/>
      <c r="X28" s="37"/>
    </row>
    <row r="29" spans="1:24" ht="20.100000000000001" customHeight="1">
      <c r="A29" s="37"/>
      <c r="B29" s="37"/>
      <c r="C29" s="37"/>
      <c r="D29" s="37"/>
      <c r="E29" s="37"/>
      <c r="F29" s="37"/>
      <c r="G29" s="37"/>
      <c r="H29" s="37"/>
      <c r="I29" s="37"/>
      <c r="J29" s="37"/>
      <c r="K29" s="37"/>
      <c r="L29" s="37"/>
      <c r="M29" s="37"/>
      <c r="N29" s="37"/>
      <c r="O29" s="37"/>
      <c r="P29" s="37"/>
      <c r="Q29" s="37"/>
      <c r="R29" s="37"/>
      <c r="S29" s="37"/>
      <c r="T29" s="37"/>
      <c r="U29" s="37"/>
      <c r="V29" s="37"/>
      <c r="W29" s="37"/>
      <c r="X29" s="37"/>
    </row>
    <row r="30" spans="1:24" ht="20.100000000000001" customHeight="1">
      <c r="A30" s="37"/>
      <c r="B30" s="37"/>
      <c r="C30" s="37"/>
      <c r="D30" s="37"/>
      <c r="E30" s="37"/>
      <c r="F30" s="37"/>
      <c r="G30" s="37"/>
      <c r="H30" s="37"/>
      <c r="I30" s="37"/>
      <c r="J30" s="37"/>
      <c r="K30" s="37"/>
      <c r="L30" s="37"/>
      <c r="M30" s="37"/>
      <c r="N30" s="37"/>
      <c r="O30" s="37"/>
      <c r="P30" s="37"/>
      <c r="Q30" s="37"/>
      <c r="R30" s="37"/>
      <c r="S30" s="37"/>
      <c r="T30" s="37"/>
      <c r="U30" s="37"/>
      <c r="V30" s="37"/>
      <c r="W30" s="37"/>
      <c r="X30" s="37"/>
    </row>
  </sheetData>
  <mergeCells count="13">
    <mergeCell ref="V9:V10"/>
    <mergeCell ref="W9:W10"/>
    <mergeCell ref="X9:X10"/>
    <mergeCell ref="A1:X1"/>
    <mergeCell ref="A2:X2"/>
    <mergeCell ref="A9:A10"/>
    <mergeCell ref="B9:M9"/>
    <mergeCell ref="N9:N10"/>
    <mergeCell ref="O9:P9"/>
    <mergeCell ref="Q9:Q10"/>
    <mergeCell ref="R9:R10"/>
    <mergeCell ref="S9:T9"/>
    <mergeCell ref="U9:U10"/>
  </mergeCells>
  <phoneticPr fontId="18" type="noConversion"/>
  <hyperlinks>
    <hyperlink ref="X3" location="底稿目录!A1" display="底稿目录!A1"/>
  </hyperlinks>
  <printOptions horizontalCentered="1"/>
  <pageMargins left="0.51181102362204722" right="0.31496062992125984" top="0.74803149606299213" bottom="0.55118110236220474" header="0.31496062992125984" footer="0.31496062992125984"/>
  <pageSetup paperSize="9" scale="56" fitToHeight="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37"/>
  <sheetViews>
    <sheetView view="pageBreakPreview" zoomScaleNormal="110" zoomScaleSheetLayoutView="100" workbookViewId="0">
      <selection activeCell="G14" sqref="G14"/>
    </sheetView>
  </sheetViews>
  <sheetFormatPr defaultColWidth="9" defaultRowHeight="15.6"/>
  <cols>
    <col min="1" max="1" width="27.59765625" style="140" customWidth="1"/>
    <col min="2" max="2" width="13" style="140" customWidth="1"/>
    <col min="3" max="3" width="11.19921875" style="140" customWidth="1"/>
    <col min="4" max="4" width="11.296875" style="140" customWidth="1"/>
    <col min="5" max="5" width="11.59765625" style="140" customWidth="1"/>
    <col min="6" max="6" width="9.5" style="140" customWidth="1"/>
    <col min="7" max="9" width="11" style="140" customWidth="1"/>
    <col min="10" max="10" width="11.19921875" style="140" customWidth="1"/>
    <col min="11" max="11" width="9.09765625" style="140" customWidth="1"/>
    <col min="12" max="12" width="11.8984375" style="140" customWidth="1"/>
    <col min="13" max="13" width="11.59765625" style="140" customWidth="1"/>
    <col min="14" max="14" width="16.5" style="140" customWidth="1"/>
    <col min="15" max="16384" width="9" style="140"/>
  </cols>
  <sheetData>
    <row r="1" spans="1:14" s="18" customFormat="1" ht="20.100000000000001" customHeight="1">
      <c r="A1" s="328" t="s">
        <v>29</v>
      </c>
      <c r="B1" s="328"/>
      <c r="C1" s="328"/>
      <c r="D1" s="328"/>
      <c r="E1" s="328"/>
      <c r="F1" s="328"/>
      <c r="G1" s="328"/>
      <c r="H1" s="328"/>
      <c r="I1" s="328"/>
      <c r="J1" s="328"/>
      <c r="K1" s="328"/>
      <c r="L1" s="328"/>
      <c r="M1" s="328"/>
      <c r="N1" s="328"/>
    </row>
    <row r="2" spans="1:14" s="18" customFormat="1" ht="25.05" customHeight="1">
      <c r="A2" s="329" t="s">
        <v>274</v>
      </c>
      <c r="B2" s="329"/>
      <c r="C2" s="329"/>
      <c r="D2" s="329"/>
      <c r="E2" s="329"/>
      <c r="F2" s="329"/>
      <c r="G2" s="329"/>
      <c r="H2" s="329"/>
      <c r="I2" s="329"/>
      <c r="J2" s="329"/>
      <c r="K2" s="329"/>
      <c r="L2" s="329"/>
      <c r="M2" s="329"/>
      <c r="N2" s="329"/>
    </row>
    <row r="3" spans="1:14" s="219" customFormat="1" ht="20.100000000000001" customHeight="1">
      <c r="A3" s="218" t="str">
        <f>底稿目录!A2</f>
        <v>被审计单位：</v>
      </c>
      <c r="B3" s="218"/>
      <c r="C3" s="218"/>
      <c r="D3" s="218"/>
      <c r="E3" s="218" t="str">
        <f>底稿目录!A4</f>
        <v>编制人：</v>
      </c>
      <c r="F3" s="218"/>
      <c r="G3" s="218"/>
      <c r="H3" s="218"/>
      <c r="I3" s="218"/>
      <c r="J3" s="218" t="str">
        <f>底稿目录!A5</f>
        <v>编制日期：</v>
      </c>
      <c r="K3" s="218"/>
      <c r="L3" s="218"/>
      <c r="M3" s="242" t="s">
        <v>306</v>
      </c>
      <c r="N3" s="166" t="str">
        <f>底稿目录!F6</f>
        <v>F5-3</v>
      </c>
    </row>
    <row r="4" spans="1:14" s="219" customFormat="1" ht="20.100000000000001" customHeight="1">
      <c r="A4" s="218" t="str">
        <f>底稿目录!A3</f>
        <v>会计期间：202X年度</v>
      </c>
      <c r="B4" s="218"/>
      <c r="C4" s="218"/>
      <c r="D4" s="218"/>
      <c r="E4" s="218" t="str">
        <f>底稿目录!A6</f>
        <v>复核人：</v>
      </c>
      <c r="F4" s="218"/>
      <c r="G4" s="218"/>
      <c r="H4" s="218"/>
      <c r="I4" s="218"/>
      <c r="J4" s="218" t="str">
        <f>底稿目录!A7</f>
        <v>复核日期：</v>
      </c>
      <c r="K4" s="218"/>
      <c r="L4" s="218"/>
      <c r="M4" s="242" t="s">
        <v>307</v>
      </c>
      <c r="N4" s="218"/>
    </row>
    <row r="5" spans="1:14" s="219" customFormat="1" ht="20.100000000000001" customHeight="1">
      <c r="A5" s="220" t="s">
        <v>275</v>
      </c>
      <c r="B5" s="220"/>
      <c r="C5" s="220"/>
      <c r="D5" s="220"/>
      <c r="E5" s="218"/>
      <c r="F5" s="218"/>
      <c r="G5" s="218"/>
      <c r="H5" s="218"/>
      <c r="I5" s="218"/>
      <c r="J5" s="218"/>
      <c r="K5" s="218"/>
      <c r="L5" s="218"/>
      <c r="M5" s="218"/>
      <c r="N5" s="218"/>
    </row>
    <row r="6" spans="1:14" s="219" customFormat="1" ht="20.100000000000001" customHeight="1">
      <c r="A6" s="194" t="s">
        <v>232</v>
      </c>
      <c r="B6" s="221"/>
      <c r="C6" s="221"/>
      <c r="D6" s="221"/>
      <c r="E6" s="218"/>
      <c r="F6" s="218"/>
      <c r="G6" s="218"/>
      <c r="H6" s="218"/>
      <c r="I6" s="218"/>
      <c r="J6" s="218"/>
      <c r="K6" s="218"/>
      <c r="L6" s="218"/>
      <c r="M6" s="218"/>
      <c r="N6" s="218"/>
    </row>
    <row r="7" spans="1:14" s="219" customFormat="1" ht="20.100000000000001" customHeight="1">
      <c r="A7" s="194" t="s">
        <v>231</v>
      </c>
      <c r="B7" s="221"/>
      <c r="C7" s="221"/>
      <c r="D7" s="221"/>
      <c r="E7" s="218"/>
      <c r="F7" s="218"/>
      <c r="G7" s="218"/>
      <c r="H7" s="218"/>
      <c r="I7" s="218"/>
      <c r="J7" s="218"/>
      <c r="K7" s="218"/>
      <c r="L7" s="218"/>
      <c r="M7" s="218"/>
      <c r="N7" s="218"/>
    </row>
    <row r="8" spans="1:14" s="219" customFormat="1" ht="20.100000000000001" customHeight="1">
      <c r="A8" s="220" t="s">
        <v>276</v>
      </c>
      <c r="B8" s="220"/>
      <c r="C8" s="220"/>
      <c r="D8" s="220"/>
      <c r="E8" s="218"/>
      <c r="F8" s="218"/>
      <c r="G8" s="218"/>
      <c r="H8" s="218"/>
      <c r="I8" s="218"/>
      <c r="J8" s="218"/>
      <c r="K8" s="218"/>
      <c r="L8" s="218"/>
      <c r="M8" s="218"/>
      <c r="N8" s="218"/>
    </row>
    <row r="9" spans="1:14" s="223" customFormat="1" ht="20.100000000000001" customHeight="1">
      <c r="A9" s="330" t="s">
        <v>277</v>
      </c>
      <c r="B9" s="331" t="s">
        <v>278</v>
      </c>
      <c r="C9" s="330"/>
      <c r="D9" s="330"/>
      <c r="E9" s="330"/>
      <c r="F9" s="330"/>
      <c r="G9" s="331" t="s">
        <v>279</v>
      </c>
      <c r="H9" s="330"/>
      <c r="I9" s="330"/>
      <c r="J9" s="330"/>
      <c r="K9" s="330"/>
      <c r="L9" s="222" t="s">
        <v>280</v>
      </c>
      <c r="M9" s="222"/>
      <c r="N9" s="330" t="s">
        <v>281</v>
      </c>
    </row>
    <row r="10" spans="1:14" s="223" customFormat="1" ht="20.100000000000001" customHeight="1">
      <c r="A10" s="330"/>
      <c r="B10" s="224" t="s">
        <v>282</v>
      </c>
      <c r="C10" s="225" t="s">
        <v>283</v>
      </c>
      <c r="D10" s="225" t="s">
        <v>284</v>
      </c>
      <c r="E10" s="225" t="s">
        <v>285</v>
      </c>
      <c r="F10" s="225" t="s">
        <v>286</v>
      </c>
      <c r="G10" s="224" t="s">
        <v>287</v>
      </c>
      <c r="H10" s="225" t="s">
        <v>288</v>
      </c>
      <c r="I10" s="225" t="s">
        <v>289</v>
      </c>
      <c r="J10" s="225" t="s">
        <v>290</v>
      </c>
      <c r="K10" s="225" t="s">
        <v>291</v>
      </c>
      <c r="L10" s="225" t="s">
        <v>292</v>
      </c>
      <c r="M10" s="225" t="s">
        <v>293</v>
      </c>
      <c r="N10" s="330"/>
    </row>
    <row r="11" spans="1:14" s="219" customFormat="1" ht="20.100000000000001" customHeight="1">
      <c r="A11" s="226" t="s">
        <v>294</v>
      </c>
      <c r="B11" s="238"/>
      <c r="C11" s="238"/>
      <c r="D11" s="238"/>
      <c r="E11" s="234">
        <f>B11+C11+D11</f>
        <v>0</v>
      </c>
      <c r="F11" s="235">
        <f>IF(E11=0,0,E11/E$22)</f>
        <v>0</v>
      </c>
      <c r="G11" s="239"/>
      <c r="H11" s="239"/>
      <c r="I11" s="239"/>
      <c r="J11" s="240">
        <f>G11+H11+I11</f>
        <v>0</v>
      </c>
      <c r="K11" s="235">
        <f>IF(J11=0,0,J11/$J$22)</f>
        <v>0</v>
      </c>
      <c r="L11" s="234">
        <f>E11-J11</f>
        <v>0</v>
      </c>
      <c r="M11" s="235">
        <f>IF(AND(J11=0,L11=0),0,IF(AND(J11=0,L11&gt;0),1,L11/J11))</f>
        <v>0</v>
      </c>
      <c r="N11" s="227"/>
    </row>
    <row r="12" spans="1:14" s="219" customFormat="1" ht="20.100000000000001" customHeight="1">
      <c r="A12" s="275" t="s">
        <v>379</v>
      </c>
      <c r="B12" s="238"/>
      <c r="C12" s="238"/>
      <c r="D12" s="238"/>
      <c r="E12" s="234">
        <f t="shared" ref="E12:E21" si="0">B12+C12+D12</f>
        <v>0</v>
      </c>
      <c r="F12" s="235">
        <f t="shared" ref="F12:F22" si="1">IF(E12=0,0,E12/E$22)</f>
        <v>0</v>
      </c>
      <c r="G12" s="239"/>
      <c r="H12" s="239"/>
      <c r="I12" s="239"/>
      <c r="J12" s="240">
        <f t="shared" ref="J12:J21" si="2">G12+H12+I12</f>
        <v>0</v>
      </c>
      <c r="K12" s="235">
        <f t="shared" ref="K12:K22" si="3">IF(J12=0,0,J12/$J$22)</f>
        <v>0</v>
      </c>
      <c r="L12" s="234">
        <f t="shared" ref="L12:L21" si="4">E12-J12</f>
        <v>0</v>
      </c>
      <c r="M12" s="235">
        <f t="shared" ref="M12:M21" si="5">IF(AND(J12=0,L12=0),0,IF(AND(J12=0,L12&gt;0),1,L12/J12))</f>
        <v>0</v>
      </c>
      <c r="N12" s="227"/>
    </row>
    <row r="13" spans="1:14" s="219" customFormat="1" ht="20.100000000000001" customHeight="1">
      <c r="A13" s="226" t="s">
        <v>295</v>
      </c>
      <c r="B13" s="238"/>
      <c r="C13" s="238"/>
      <c r="D13" s="238"/>
      <c r="E13" s="234">
        <f t="shared" si="0"/>
        <v>0</v>
      </c>
      <c r="F13" s="235">
        <f t="shared" si="1"/>
        <v>0</v>
      </c>
      <c r="G13" s="239"/>
      <c r="H13" s="239"/>
      <c r="I13" s="239"/>
      <c r="J13" s="240">
        <f t="shared" si="2"/>
        <v>0</v>
      </c>
      <c r="K13" s="235">
        <f t="shared" si="3"/>
        <v>0</v>
      </c>
      <c r="L13" s="234">
        <f t="shared" si="4"/>
        <v>0</v>
      </c>
      <c r="M13" s="235">
        <f t="shared" si="5"/>
        <v>0</v>
      </c>
      <c r="N13" s="227"/>
    </row>
    <row r="14" spans="1:14" s="219" customFormat="1" ht="20.100000000000001" customHeight="1">
      <c r="A14" s="226" t="s">
        <v>296</v>
      </c>
      <c r="B14" s="238"/>
      <c r="C14" s="238"/>
      <c r="D14" s="238"/>
      <c r="E14" s="234">
        <f t="shared" si="0"/>
        <v>0</v>
      </c>
      <c r="F14" s="235">
        <f t="shared" si="1"/>
        <v>0</v>
      </c>
      <c r="G14" s="239"/>
      <c r="H14" s="239"/>
      <c r="I14" s="239"/>
      <c r="J14" s="240">
        <f t="shared" si="2"/>
        <v>0</v>
      </c>
      <c r="K14" s="235">
        <f t="shared" si="3"/>
        <v>0</v>
      </c>
      <c r="L14" s="234">
        <f t="shared" si="4"/>
        <v>0</v>
      </c>
      <c r="M14" s="235">
        <f t="shared" si="5"/>
        <v>0</v>
      </c>
      <c r="N14" s="227"/>
    </row>
    <row r="15" spans="1:14" s="219" customFormat="1" ht="20.100000000000001" customHeight="1">
      <c r="A15" s="226" t="s">
        <v>297</v>
      </c>
      <c r="B15" s="238"/>
      <c r="C15" s="238"/>
      <c r="D15" s="238"/>
      <c r="E15" s="234">
        <f t="shared" si="0"/>
        <v>0</v>
      </c>
      <c r="F15" s="235">
        <f t="shared" si="1"/>
        <v>0</v>
      </c>
      <c r="G15" s="239"/>
      <c r="H15" s="239"/>
      <c r="I15" s="239"/>
      <c r="J15" s="240">
        <f t="shared" si="2"/>
        <v>0</v>
      </c>
      <c r="K15" s="235">
        <f t="shared" si="3"/>
        <v>0</v>
      </c>
      <c r="L15" s="234">
        <f t="shared" si="4"/>
        <v>0</v>
      </c>
      <c r="M15" s="235">
        <f t="shared" si="5"/>
        <v>0</v>
      </c>
      <c r="N15" s="227"/>
    </row>
    <row r="16" spans="1:14" s="219" customFormat="1" ht="20.100000000000001" customHeight="1">
      <c r="A16" s="226" t="s">
        <v>298</v>
      </c>
      <c r="B16" s="238"/>
      <c r="C16" s="238"/>
      <c r="D16" s="238"/>
      <c r="E16" s="234">
        <f t="shared" si="0"/>
        <v>0</v>
      </c>
      <c r="F16" s="235">
        <f t="shared" si="1"/>
        <v>0</v>
      </c>
      <c r="G16" s="239"/>
      <c r="H16" s="239"/>
      <c r="I16" s="239"/>
      <c r="J16" s="240">
        <f t="shared" si="2"/>
        <v>0</v>
      </c>
      <c r="K16" s="235">
        <f t="shared" si="3"/>
        <v>0</v>
      </c>
      <c r="L16" s="234">
        <f t="shared" si="4"/>
        <v>0</v>
      </c>
      <c r="M16" s="235">
        <f t="shared" si="5"/>
        <v>0</v>
      </c>
      <c r="N16" s="227"/>
    </row>
    <row r="17" spans="1:14" s="219" customFormat="1" ht="20.100000000000001" customHeight="1">
      <c r="A17" s="226" t="s">
        <v>299</v>
      </c>
      <c r="B17" s="238"/>
      <c r="C17" s="238"/>
      <c r="D17" s="238"/>
      <c r="E17" s="234">
        <f t="shared" si="0"/>
        <v>0</v>
      </c>
      <c r="F17" s="235">
        <f t="shared" si="1"/>
        <v>0</v>
      </c>
      <c r="G17" s="239"/>
      <c r="H17" s="239"/>
      <c r="I17" s="239"/>
      <c r="J17" s="240">
        <f t="shared" si="2"/>
        <v>0</v>
      </c>
      <c r="K17" s="235">
        <f t="shared" si="3"/>
        <v>0</v>
      </c>
      <c r="L17" s="234">
        <f t="shared" si="4"/>
        <v>0</v>
      </c>
      <c r="M17" s="235">
        <f t="shared" si="5"/>
        <v>0</v>
      </c>
      <c r="N17" s="227"/>
    </row>
    <row r="18" spans="1:14" s="219" customFormat="1" ht="20.100000000000001" customHeight="1">
      <c r="A18" s="226" t="s">
        <v>300</v>
      </c>
      <c r="B18" s="238"/>
      <c r="C18" s="238"/>
      <c r="D18" s="238"/>
      <c r="E18" s="234">
        <f t="shared" si="0"/>
        <v>0</v>
      </c>
      <c r="F18" s="235">
        <f t="shared" si="1"/>
        <v>0</v>
      </c>
      <c r="G18" s="239"/>
      <c r="H18" s="239"/>
      <c r="I18" s="239"/>
      <c r="J18" s="240">
        <f t="shared" si="2"/>
        <v>0</v>
      </c>
      <c r="K18" s="235">
        <f t="shared" si="3"/>
        <v>0</v>
      </c>
      <c r="L18" s="234">
        <f t="shared" si="4"/>
        <v>0</v>
      </c>
      <c r="M18" s="235">
        <f t="shared" si="5"/>
        <v>0</v>
      </c>
      <c r="N18" s="227"/>
    </row>
    <row r="19" spans="1:14" s="219" customFormat="1" ht="20.100000000000001" customHeight="1">
      <c r="A19" s="226"/>
      <c r="B19" s="238"/>
      <c r="C19" s="238"/>
      <c r="D19" s="238"/>
      <c r="E19" s="234">
        <f t="shared" si="0"/>
        <v>0</v>
      </c>
      <c r="F19" s="235">
        <f t="shared" si="1"/>
        <v>0</v>
      </c>
      <c r="G19" s="239"/>
      <c r="H19" s="239"/>
      <c r="I19" s="239"/>
      <c r="J19" s="240">
        <f t="shared" si="2"/>
        <v>0</v>
      </c>
      <c r="K19" s="235">
        <f t="shared" si="3"/>
        <v>0</v>
      </c>
      <c r="L19" s="234">
        <f t="shared" si="4"/>
        <v>0</v>
      </c>
      <c r="M19" s="235">
        <f t="shared" si="5"/>
        <v>0</v>
      </c>
      <c r="N19" s="227"/>
    </row>
    <row r="20" spans="1:14" s="219" customFormat="1" ht="20.100000000000001" customHeight="1">
      <c r="A20" s="226"/>
      <c r="B20" s="238"/>
      <c r="C20" s="238"/>
      <c r="D20" s="238"/>
      <c r="E20" s="234">
        <f t="shared" si="0"/>
        <v>0</v>
      </c>
      <c r="F20" s="235">
        <f t="shared" si="1"/>
        <v>0</v>
      </c>
      <c r="G20" s="239"/>
      <c r="H20" s="239"/>
      <c r="I20" s="239"/>
      <c r="J20" s="240">
        <f t="shared" si="2"/>
        <v>0</v>
      </c>
      <c r="K20" s="235">
        <f t="shared" si="3"/>
        <v>0</v>
      </c>
      <c r="L20" s="234">
        <f t="shared" si="4"/>
        <v>0</v>
      </c>
      <c r="M20" s="235">
        <f t="shared" si="5"/>
        <v>0</v>
      </c>
      <c r="N20" s="227"/>
    </row>
    <row r="21" spans="1:14" s="219" customFormat="1" ht="20.100000000000001" customHeight="1">
      <c r="A21" s="226"/>
      <c r="B21" s="238"/>
      <c r="C21" s="238"/>
      <c r="D21" s="238"/>
      <c r="E21" s="234">
        <f t="shared" si="0"/>
        <v>0</v>
      </c>
      <c r="F21" s="235">
        <f t="shared" si="1"/>
        <v>0</v>
      </c>
      <c r="G21" s="239"/>
      <c r="H21" s="239"/>
      <c r="I21" s="239"/>
      <c r="J21" s="240">
        <f t="shared" si="2"/>
        <v>0</v>
      </c>
      <c r="K21" s="235">
        <f t="shared" si="3"/>
        <v>0</v>
      </c>
      <c r="L21" s="234">
        <f t="shared" si="4"/>
        <v>0</v>
      </c>
      <c r="M21" s="235">
        <f t="shared" si="5"/>
        <v>0</v>
      </c>
      <c r="N21" s="227"/>
    </row>
    <row r="22" spans="1:14" s="229" customFormat="1" ht="20.100000000000001" customHeight="1">
      <c r="A22" s="225" t="s">
        <v>88</v>
      </c>
      <c r="B22" s="236">
        <f t="shared" ref="B22:D22" si="6">SUM(B11:B21)</f>
        <v>0</v>
      </c>
      <c r="C22" s="236">
        <f t="shared" si="6"/>
        <v>0</v>
      </c>
      <c r="D22" s="236">
        <f t="shared" si="6"/>
        <v>0</v>
      </c>
      <c r="E22" s="236">
        <f>SUM(E11:E21)</f>
        <v>0</v>
      </c>
      <c r="F22" s="237">
        <f t="shared" si="1"/>
        <v>0</v>
      </c>
      <c r="G22" s="236">
        <f t="shared" ref="G22:I22" si="7">SUM(G11:G21)</f>
        <v>0</v>
      </c>
      <c r="H22" s="236">
        <f t="shared" si="7"/>
        <v>0</v>
      </c>
      <c r="I22" s="236">
        <f t="shared" si="7"/>
        <v>0</v>
      </c>
      <c r="J22" s="236">
        <f>SUM(J11:J21)</f>
        <v>0</v>
      </c>
      <c r="K22" s="237">
        <f t="shared" si="3"/>
        <v>0</v>
      </c>
      <c r="L22" s="236">
        <f>SUM(L11:L21)</f>
        <v>0</v>
      </c>
      <c r="M22" s="237">
        <f>IF(AND(J22=0,L22=0),0,IF(AND(J22=0,L22&gt;0),1,L22/J22))</f>
        <v>0</v>
      </c>
      <c r="N22" s="228"/>
    </row>
    <row r="23" spans="1:14" s="219" customFormat="1" ht="20.100000000000001" customHeight="1">
      <c r="A23" s="230" t="s">
        <v>301</v>
      </c>
      <c r="B23" s="231"/>
      <c r="C23" s="231"/>
      <c r="D23" s="231"/>
      <c r="E23" s="218"/>
      <c r="F23" s="218"/>
      <c r="G23" s="218"/>
      <c r="H23" s="218"/>
      <c r="I23" s="218"/>
      <c r="J23" s="218"/>
      <c r="K23" s="218"/>
      <c r="L23" s="218"/>
      <c r="M23" s="218"/>
      <c r="N23" s="218"/>
    </row>
    <row r="24" spans="1:14" s="219" customFormat="1" ht="20.100000000000001" customHeight="1">
      <c r="A24" s="276" t="s">
        <v>381</v>
      </c>
      <c r="B24" s="218"/>
      <c r="C24" s="218"/>
      <c r="D24" s="218"/>
      <c r="E24" s="218"/>
      <c r="F24" s="218"/>
      <c r="G24" s="218"/>
      <c r="H24" s="218"/>
      <c r="I24" s="218"/>
      <c r="J24" s="218"/>
      <c r="K24" s="218"/>
      <c r="L24" s="218"/>
      <c r="M24" s="218"/>
      <c r="N24" s="218"/>
    </row>
    <row r="25" spans="1:14" s="219" customFormat="1" ht="20.100000000000001" customHeight="1">
      <c r="A25" s="276" t="s">
        <v>382</v>
      </c>
      <c r="B25" s="218"/>
      <c r="C25" s="218"/>
      <c r="D25" s="218"/>
      <c r="E25" s="218"/>
      <c r="F25" s="218"/>
      <c r="G25" s="218"/>
      <c r="H25" s="218"/>
      <c r="I25" s="218"/>
      <c r="J25" s="218"/>
      <c r="K25" s="218"/>
      <c r="L25" s="218"/>
      <c r="M25" s="218"/>
      <c r="N25" s="218"/>
    </row>
    <row r="26" spans="1:14" s="219" customFormat="1" ht="20.100000000000001" customHeight="1">
      <c r="A26" s="276" t="s">
        <v>383</v>
      </c>
      <c r="B26" s="218"/>
      <c r="C26" s="218"/>
      <c r="D26" s="218"/>
      <c r="E26" s="218"/>
      <c r="F26" s="218"/>
      <c r="G26" s="218"/>
      <c r="H26" s="218"/>
      <c r="I26" s="218"/>
      <c r="J26" s="218"/>
      <c r="K26" s="218"/>
      <c r="L26" s="218"/>
      <c r="M26" s="218"/>
      <c r="N26" s="218"/>
    </row>
    <row r="27" spans="1:14" s="219" customFormat="1" ht="20.100000000000001" customHeight="1">
      <c r="A27" s="276" t="s">
        <v>380</v>
      </c>
      <c r="B27" s="218"/>
      <c r="C27" s="218"/>
      <c r="D27" s="218"/>
      <c r="E27" s="218"/>
      <c r="F27" s="218"/>
      <c r="G27" s="218"/>
      <c r="H27" s="218"/>
      <c r="I27" s="218"/>
      <c r="J27" s="218"/>
      <c r="K27" s="218"/>
      <c r="L27" s="218"/>
      <c r="M27" s="218"/>
      <c r="N27" s="218"/>
    </row>
    <row r="28" spans="1:14" s="219" customFormat="1" ht="20.100000000000001" customHeight="1">
      <c r="A28" s="230" t="s">
        <v>8</v>
      </c>
      <c r="B28" s="218"/>
      <c r="C28" s="218"/>
      <c r="D28" s="218"/>
      <c r="E28" s="218"/>
      <c r="F28" s="218"/>
      <c r="G28" s="218"/>
      <c r="H28" s="218"/>
      <c r="I28" s="218"/>
      <c r="J28" s="218"/>
      <c r="K28" s="218"/>
      <c r="L28" s="218"/>
      <c r="M28" s="218"/>
      <c r="N28" s="218"/>
    </row>
    <row r="29" spans="1:14" s="219" customFormat="1" ht="20.100000000000001" customHeight="1">
      <c r="A29" s="218"/>
      <c r="B29" s="218"/>
      <c r="C29" s="218"/>
      <c r="D29" s="218"/>
      <c r="E29" s="218"/>
      <c r="F29" s="218"/>
      <c r="G29" s="218"/>
      <c r="H29" s="218"/>
      <c r="I29" s="218"/>
      <c r="J29" s="218"/>
      <c r="K29" s="218"/>
      <c r="L29" s="218"/>
      <c r="M29" s="218"/>
      <c r="N29" s="218"/>
    </row>
    <row r="30" spans="1:14" s="219" customFormat="1" ht="20.100000000000001" customHeight="1">
      <c r="A30" s="218"/>
      <c r="B30" s="218"/>
      <c r="C30" s="218"/>
      <c r="D30" s="218"/>
      <c r="E30" s="218"/>
      <c r="F30" s="218"/>
      <c r="G30" s="218"/>
      <c r="H30" s="218"/>
      <c r="I30" s="218"/>
      <c r="J30" s="218"/>
      <c r="K30" s="218"/>
      <c r="L30" s="218"/>
      <c r="M30" s="218"/>
      <c r="N30" s="218"/>
    </row>
    <row r="31" spans="1:14" s="219" customFormat="1" ht="20.100000000000001" customHeight="1">
      <c r="A31" s="218"/>
      <c r="B31" s="218"/>
      <c r="C31" s="218"/>
      <c r="D31" s="218"/>
      <c r="E31" s="218"/>
      <c r="F31" s="218"/>
      <c r="G31" s="218"/>
      <c r="H31" s="218"/>
      <c r="I31" s="218"/>
      <c r="J31" s="218"/>
      <c r="K31" s="218"/>
      <c r="L31" s="218"/>
      <c r="M31" s="218"/>
      <c r="N31" s="218"/>
    </row>
    <row r="32" spans="1:14" s="219" customFormat="1" ht="16.5" customHeight="1">
      <c r="A32" s="232"/>
      <c r="B32" s="232"/>
      <c r="C32" s="232"/>
      <c r="D32" s="232"/>
    </row>
    <row r="33" spans="1:4">
      <c r="A33" s="241" t="s">
        <v>302</v>
      </c>
      <c r="B33" s="233"/>
      <c r="C33" s="233"/>
      <c r="D33" s="233"/>
    </row>
    <row r="34" spans="1:4">
      <c r="A34" s="232" t="s">
        <v>303</v>
      </c>
      <c r="B34" s="232"/>
      <c r="C34" s="232"/>
      <c r="D34" s="232"/>
    </row>
    <row r="35" spans="1:4">
      <c r="A35" s="232" t="s">
        <v>304</v>
      </c>
      <c r="B35" s="232"/>
      <c r="C35" s="232"/>
      <c r="D35" s="232"/>
    </row>
    <row r="36" spans="1:4">
      <c r="A36" s="232" t="s">
        <v>305</v>
      </c>
      <c r="B36" s="232"/>
      <c r="C36" s="232"/>
      <c r="D36" s="232"/>
    </row>
    <row r="37" spans="1:4">
      <c r="A37" s="232"/>
      <c r="B37" s="232"/>
      <c r="C37" s="232"/>
      <c r="D37" s="232"/>
    </row>
  </sheetData>
  <mergeCells count="6">
    <mergeCell ref="A1:N1"/>
    <mergeCell ref="A2:N2"/>
    <mergeCell ref="A9:A10"/>
    <mergeCell ref="B9:F9"/>
    <mergeCell ref="G9:K9"/>
    <mergeCell ref="N9:N10"/>
  </mergeCells>
  <phoneticPr fontId="120" type="noConversion"/>
  <hyperlinks>
    <hyperlink ref="N3" location="底稿目录!A1" display="底稿目录!A1"/>
  </hyperlinks>
  <printOptions horizontalCentered="1"/>
  <pageMargins left="0.59055118110236227" right="0.39370078740157483" top="0.55118110236220474" bottom="0.43307086614173229" header="0.51181102362204722" footer="0.31496062992125984"/>
  <pageSetup paperSize="9" scale="72" orientation="landscape" blackAndWhite="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2"/>
  <sheetViews>
    <sheetView view="pageBreakPreview" zoomScaleNormal="100" zoomScaleSheetLayoutView="100" workbookViewId="0">
      <selection activeCell="M16" sqref="M16"/>
    </sheetView>
  </sheetViews>
  <sheetFormatPr defaultRowHeight="15.6"/>
  <cols>
    <col min="1" max="1" width="18.59765625" customWidth="1"/>
    <col min="2" max="2" width="16" customWidth="1"/>
    <col min="3" max="3" width="13.19921875" customWidth="1"/>
    <col min="4" max="4" width="10.796875" customWidth="1"/>
    <col min="5" max="5" width="10.09765625" customWidth="1"/>
    <col min="7" max="7" width="13.19921875" customWidth="1"/>
    <col min="8" max="8" width="11.5" customWidth="1"/>
    <col min="9" max="9" width="10.09765625" customWidth="1"/>
    <col min="10" max="10" width="14.09765625" customWidth="1"/>
  </cols>
  <sheetData>
    <row r="1" spans="1:10" ht="19.95" customHeight="1">
      <c r="A1" s="332" t="s">
        <v>26</v>
      </c>
      <c r="B1" s="332"/>
      <c r="C1" s="332"/>
      <c r="D1" s="332"/>
      <c r="E1" s="332"/>
      <c r="F1" s="332"/>
      <c r="G1" s="332"/>
      <c r="H1" s="332"/>
      <c r="I1" s="332"/>
      <c r="J1" s="332"/>
    </row>
    <row r="2" spans="1:10" ht="19.95" customHeight="1">
      <c r="A2" s="333" t="s">
        <v>191</v>
      </c>
      <c r="B2" s="333"/>
      <c r="C2" s="333"/>
      <c r="D2" s="333"/>
      <c r="E2" s="333"/>
      <c r="F2" s="333"/>
      <c r="G2" s="333"/>
      <c r="H2" s="333"/>
      <c r="I2" s="333"/>
      <c r="J2" s="333"/>
    </row>
    <row r="3" spans="1:10" ht="19.95" customHeight="1">
      <c r="A3" s="20" t="str">
        <f>底稿目录!A2</f>
        <v>被审计单位：</v>
      </c>
      <c r="B3" s="20"/>
      <c r="C3" s="20"/>
      <c r="D3" s="20" t="str">
        <f>底稿目录!A4</f>
        <v>编制人：</v>
      </c>
      <c r="E3" s="20"/>
      <c r="F3" s="142"/>
      <c r="G3" s="20" t="str">
        <f>底稿目录!A5</f>
        <v>编制日期：</v>
      </c>
      <c r="H3" s="20"/>
      <c r="I3" s="143" t="s">
        <v>322</v>
      </c>
      <c r="J3" s="166" t="str">
        <f>底稿目录!F7</f>
        <v>F5-4</v>
      </c>
    </row>
    <row r="4" spans="1:10" ht="19.95" customHeight="1">
      <c r="A4" s="20" t="str">
        <f>底稿目录!A3</f>
        <v>会计期间：202X年度</v>
      </c>
      <c r="B4" s="20"/>
      <c r="C4" s="20"/>
      <c r="D4" s="20" t="str">
        <f>底稿目录!A6</f>
        <v>复核人：</v>
      </c>
      <c r="E4" s="20"/>
      <c r="F4" s="142"/>
      <c r="G4" s="20" t="str">
        <f>底稿目录!A7</f>
        <v>复核日期：</v>
      </c>
      <c r="H4" s="20"/>
      <c r="I4" s="143" t="s">
        <v>365</v>
      </c>
      <c r="J4" s="142"/>
    </row>
    <row r="5" spans="1:10" s="215" customFormat="1" ht="27" customHeight="1">
      <c r="A5" s="213" t="s">
        <v>180</v>
      </c>
      <c r="B5" s="214" t="s">
        <v>181</v>
      </c>
      <c r="C5" s="214" t="s">
        <v>264</v>
      </c>
      <c r="D5" s="144" t="s">
        <v>182</v>
      </c>
      <c r="E5" s="144" t="s">
        <v>183</v>
      </c>
      <c r="F5" s="145" t="s">
        <v>184</v>
      </c>
      <c r="G5" s="144" t="s">
        <v>185</v>
      </c>
      <c r="H5" s="144" t="s">
        <v>186</v>
      </c>
      <c r="I5" s="144" t="s">
        <v>187</v>
      </c>
      <c r="J5" s="144" t="s">
        <v>188</v>
      </c>
    </row>
    <row r="6" spans="1:10" ht="19.95" customHeight="1">
      <c r="A6" s="146"/>
      <c r="B6" s="146"/>
      <c r="C6" s="146"/>
      <c r="D6" s="146"/>
      <c r="E6" s="146"/>
      <c r="F6" s="146"/>
      <c r="G6" s="146"/>
      <c r="H6" s="146"/>
      <c r="I6" s="146"/>
      <c r="J6" s="146"/>
    </row>
    <row r="7" spans="1:10" ht="19.95" customHeight="1">
      <c r="A7" s="147"/>
      <c r="B7" s="146"/>
      <c r="C7" s="146"/>
      <c r="D7" s="146"/>
      <c r="E7" s="146"/>
      <c r="F7" s="146"/>
      <c r="G7" s="146"/>
      <c r="H7" s="146"/>
      <c r="I7" s="146"/>
      <c r="J7" s="146"/>
    </row>
    <row r="8" spans="1:10" ht="19.95" customHeight="1">
      <c r="A8" s="148"/>
      <c r="B8" s="146"/>
      <c r="C8" s="146"/>
      <c r="D8" s="146"/>
      <c r="E8" s="146"/>
      <c r="F8" s="146"/>
      <c r="G8" s="146"/>
      <c r="H8" s="146"/>
      <c r="I8" s="146"/>
      <c r="J8" s="146"/>
    </row>
    <row r="9" spans="1:10" ht="19.95" customHeight="1">
      <c r="A9" s="148"/>
      <c r="B9" s="146"/>
      <c r="C9" s="146"/>
      <c r="D9" s="146"/>
      <c r="E9" s="146"/>
      <c r="F9" s="146"/>
      <c r="G9" s="146"/>
      <c r="H9" s="146"/>
      <c r="I9" s="146"/>
      <c r="J9" s="146"/>
    </row>
    <row r="10" spans="1:10" ht="19.95" customHeight="1">
      <c r="A10" s="148"/>
      <c r="B10" s="146"/>
      <c r="C10" s="146"/>
      <c r="D10" s="146"/>
      <c r="E10" s="146"/>
      <c r="F10" s="146"/>
      <c r="G10" s="146"/>
      <c r="H10" s="146"/>
      <c r="I10" s="146"/>
      <c r="J10" s="146"/>
    </row>
    <row r="11" spans="1:10" ht="19.95" customHeight="1">
      <c r="A11" s="149"/>
      <c r="B11" s="146"/>
      <c r="C11" s="146"/>
      <c r="D11" s="146"/>
      <c r="E11" s="146"/>
      <c r="F11" s="146"/>
      <c r="G11" s="146"/>
      <c r="H11" s="146"/>
      <c r="I11" s="146"/>
      <c r="J11" s="146"/>
    </row>
    <row r="12" spans="1:10" ht="19.95" customHeight="1">
      <c r="A12" s="148"/>
      <c r="B12" s="146"/>
      <c r="C12" s="146"/>
      <c r="D12" s="146"/>
      <c r="E12" s="146"/>
      <c r="F12" s="146"/>
      <c r="G12" s="146"/>
      <c r="H12" s="146"/>
      <c r="I12" s="146"/>
      <c r="J12" s="146"/>
    </row>
    <row r="13" spans="1:10" ht="19.95" customHeight="1">
      <c r="A13" s="148"/>
      <c r="B13" s="146"/>
      <c r="C13" s="146"/>
      <c r="D13" s="146"/>
      <c r="E13" s="146"/>
      <c r="F13" s="146"/>
      <c r="G13" s="146"/>
      <c r="H13" s="146"/>
      <c r="I13" s="146"/>
      <c r="J13" s="146"/>
    </row>
    <row r="14" spans="1:10" ht="19.95" customHeight="1">
      <c r="A14" s="148"/>
      <c r="B14" s="146"/>
      <c r="C14" s="146"/>
      <c r="D14" s="146"/>
      <c r="E14" s="146"/>
      <c r="F14" s="146"/>
      <c r="G14" s="146"/>
      <c r="H14" s="146"/>
      <c r="I14" s="146"/>
      <c r="J14" s="146"/>
    </row>
    <row r="15" spans="1:10" ht="19.95" customHeight="1">
      <c r="A15" s="148"/>
      <c r="B15" s="146"/>
      <c r="C15" s="146"/>
      <c r="D15" s="146"/>
      <c r="E15" s="146"/>
      <c r="F15" s="146"/>
      <c r="G15" s="146"/>
      <c r="H15" s="146"/>
      <c r="I15" s="146"/>
      <c r="J15" s="146"/>
    </row>
    <row r="16" spans="1:10" ht="19.95" customHeight="1">
      <c r="A16" s="148"/>
      <c r="B16" s="146"/>
      <c r="C16" s="146"/>
      <c r="D16" s="146"/>
      <c r="E16" s="146"/>
      <c r="F16" s="146"/>
      <c r="G16" s="146"/>
      <c r="H16" s="146"/>
      <c r="I16" s="146"/>
      <c r="J16" s="146"/>
    </row>
    <row r="17" spans="1:10" ht="19.95" customHeight="1">
      <c r="A17" s="148"/>
      <c r="B17" s="146"/>
      <c r="C17" s="146"/>
      <c r="D17" s="146"/>
      <c r="E17" s="146"/>
      <c r="F17" s="146"/>
      <c r="G17" s="146"/>
      <c r="H17" s="146"/>
      <c r="I17" s="146"/>
      <c r="J17" s="146"/>
    </row>
    <row r="18" spans="1:10" ht="19.95" customHeight="1">
      <c r="A18" s="148"/>
      <c r="B18" s="146"/>
      <c r="C18" s="146"/>
      <c r="D18" s="146"/>
      <c r="E18" s="146"/>
      <c r="F18" s="146"/>
      <c r="G18" s="146"/>
      <c r="H18" s="146"/>
      <c r="I18" s="146"/>
      <c r="J18" s="146"/>
    </row>
    <row r="19" spans="1:10" ht="19.95" customHeight="1">
      <c r="A19" s="148"/>
      <c r="B19" s="146"/>
      <c r="C19" s="146"/>
      <c r="D19" s="146"/>
      <c r="E19" s="146"/>
      <c r="F19" s="146"/>
      <c r="G19" s="146"/>
      <c r="H19" s="146"/>
      <c r="I19" s="146"/>
      <c r="J19" s="146"/>
    </row>
    <row r="20" spans="1:10" ht="19.95" customHeight="1">
      <c r="A20" s="148"/>
      <c r="B20" s="146"/>
      <c r="C20" s="146"/>
      <c r="D20" s="146"/>
      <c r="E20" s="146"/>
      <c r="F20" s="146"/>
      <c r="G20" s="146"/>
      <c r="H20" s="146"/>
      <c r="I20" s="146"/>
      <c r="J20" s="146"/>
    </row>
    <row r="21" spans="1:10">
      <c r="A21" s="150"/>
      <c r="B21" s="150"/>
      <c r="C21" s="150"/>
      <c r="D21" s="151"/>
      <c r="E21" s="151"/>
      <c r="F21" s="151"/>
      <c r="G21" s="152"/>
      <c r="H21" s="152"/>
      <c r="I21" s="151"/>
      <c r="J21" s="153"/>
    </row>
    <row r="22" spans="1:10">
      <c r="A22" s="334" t="s">
        <v>189</v>
      </c>
      <c r="B22" s="335"/>
      <c r="C22" s="335"/>
      <c r="D22" s="335"/>
      <c r="E22" s="335"/>
      <c r="F22" s="335"/>
      <c r="G22" s="335"/>
      <c r="H22" s="335"/>
      <c r="I22" s="335"/>
      <c r="J22" s="335"/>
    </row>
  </sheetData>
  <mergeCells count="3">
    <mergeCell ref="A1:J1"/>
    <mergeCell ref="A2:J2"/>
    <mergeCell ref="A22:J22"/>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30"/>
  <sheetViews>
    <sheetView view="pageBreakPreview" zoomScaleNormal="115" zoomScaleSheetLayoutView="100" workbookViewId="0">
      <selection activeCell="P13" sqref="P13"/>
    </sheetView>
  </sheetViews>
  <sheetFormatPr defaultColWidth="9" defaultRowHeight="13.8"/>
  <cols>
    <col min="1" max="1" width="15.796875" style="38" customWidth="1"/>
    <col min="2" max="2" width="8.09765625" style="38" customWidth="1"/>
    <col min="3" max="3" width="11" style="38" customWidth="1"/>
    <col min="4" max="4" width="10.69921875" style="38" customWidth="1"/>
    <col min="5" max="5" width="8.5" style="38" customWidth="1"/>
    <col min="6" max="6" width="11.19921875" style="38" customWidth="1"/>
    <col min="7" max="7" width="11.3984375" style="38" customWidth="1"/>
    <col min="8" max="8" width="10.09765625" style="38" customWidth="1"/>
    <col min="9" max="9" width="11.69921875" style="38" customWidth="1"/>
    <col min="10" max="13" width="10.59765625" style="38" customWidth="1"/>
    <col min="14" max="14" width="12.69921875" style="38" customWidth="1"/>
    <col min="15" max="15" width="9.19921875" style="38" customWidth="1"/>
    <col min="16" max="16384" width="9" style="38"/>
  </cols>
  <sheetData>
    <row r="1" spans="1:17" s="35" customFormat="1" ht="19.95" customHeight="1">
      <c r="A1" s="313" t="s">
        <v>26</v>
      </c>
      <c r="B1" s="336"/>
      <c r="C1" s="336"/>
      <c r="D1" s="336"/>
      <c r="E1" s="336"/>
      <c r="F1" s="336"/>
      <c r="G1" s="336"/>
      <c r="H1" s="336"/>
      <c r="I1" s="336"/>
      <c r="J1" s="336"/>
      <c r="K1" s="336"/>
      <c r="L1" s="336"/>
      <c r="M1" s="336"/>
      <c r="N1" s="336"/>
      <c r="O1" s="336"/>
    </row>
    <row r="2" spans="1:17" s="18" customFormat="1" ht="19.95" customHeight="1">
      <c r="A2" s="314" t="s">
        <v>32</v>
      </c>
      <c r="B2" s="337"/>
      <c r="C2" s="337"/>
      <c r="D2" s="337"/>
      <c r="E2" s="337"/>
      <c r="F2" s="337"/>
      <c r="G2" s="337"/>
      <c r="H2" s="337"/>
      <c r="I2" s="337"/>
      <c r="J2" s="337"/>
      <c r="K2" s="337"/>
      <c r="L2" s="337"/>
      <c r="M2" s="337"/>
      <c r="N2" s="337"/>
      <c r="O2" s="337"/>
      <c r="Q2" s="160"/>
    </row>
    <row r="3" spans="1:17" ht="19.95" customHeight="1">
      <c r="A3" s="20" t="str">
        <f>底稿目录!A2</f>
        <v>被审计单位：</v>
      </c>
      <c r="B3" s="20"/>
      <c r="E3" s="20" t="str">
        <f>底稿目录!A4</f>
        <v>编制人：</v>
      </c>
      <c r="G3" s="37"/>
      <c r="I3" s="20" t="str">
        <f>底稿目录!A5</f>
        <v>编制日期：</v>
      </c>
      <c r="N3" s="39" t="s">
        <v>0</v>
      </c>
      <c r="O3" s="166" t="str">
        <f>底稿目录!F8</f>
        <v>F5-5</v>
      </c>
    </row>
    <row r="4" spans="1:17" ht="19.95" customHeight="1">
      <c r="A4" s="20" t="str">
        <f>底稿目录!A3</f>
        <v>会计期间：202X年度</v>
      </c>
      <c r="B4" s="21"/>
      <c r="E4" s="20" t="str">
        <f>底稿目录!A6</f>
        <v>复核人：</v>
      </c>
      <c r="G4" s="37"/>
      <c r="I4" s="20" t="str">
        <f>底稿目录!A7</f>
        <v>复核日期：</v>
      </c>
      <c r="N4" s="39" t="s">
        <v>30</v>
      </c>
      <c r="O4" s="37"/>
    </row>
    <row r="5" spans="1:17" ht="19.95" customHeight="1">
      <c r="A5" s="41" t="s">
        <v>44</v>
      </c>
      <c r="D5" s="40"/>
      <c r="F5" s="37"/>
      <c r="G5" s="40"/>
      <c r="N5" s="39"/>
      <c r="O5" s="37"/>
    </row>
    <row r="6" spans="1:17" ht="19.95" customHeight="1">
      <c r="A6" s="37" t="s">
        <v>266</v>
      </c>
      <c r="D6" s="40"/>
      <c r="F6" s="37"/>
      <c r="G6" s="40"/>
      <c r="N6" s="39"/>
      <c r="O6" s="37"/>
    </row>
    <row r="7" spans="1:17" ht="19.95" customHeight="1">
      <c r="A7" s="37" t="s">
        <v>267</v>
      </c>
      <c r="B7" s="43"/>
      <c r="D7" s="40"/>
      <c r="F7" s="37"/>
      <c r="G7" s="40"/>
      <c r="N7" s="39"/>
      <c r="O7" s="37"/>
    </row>
    <row r="8" spans="1:17" ht="19.95" customHeight="1">
      <c r="A8" s="41" t="s">
        <v>31</v>
      </c>
      <c r="D8" s="40"/>
      <c r="F8" s="37"/>
      <c r="G8" s="40"/>
      <c r="N8" s="39"/>
      <c r="O8" s="37"/>
    </row>
    <row r="9" spans="1:17" s="42" customFormat="1" ht="19.95" customHeight="1">
      <c r="A9" s="338" t="s">
        <v>268</v>
      </c>
      <c r="B9" s="340" t="s">
        <v>34</v>
      </c>
      <c r="C9" s="341"/>
      <c r="D9" s="342"/>
      <c r="E9" s="340" t="s">
        <v>33</v>
      </c>
      <c r="F9" s="341"/>
      <c r="G9" s="342"/>
      <c r="H9" s="340" t="s">
        <v>269</v>
      </c>
      <c r="I9" s="341"/>
      <c r="J9" s="342"/>
      <c r="K9" s="340" t="s">
        <v>270</v>
      </c>
      <c r="L9" s="341"/>
      <c r="M9" s="342"/>
      <c r="N9" s="338" t="s">
        <v>35</v>
      </c>
      <c r="O9" s="339"/>
    </row>
    <row r="10" spans="1:17" s="42" customFormat="1" ht="19.95" customHeight="1">
      <c r="A10" s="339"/>
      <c r="B10" s="277" t="s">
        <v>28</v>
      </c>
      <c r="C10" s="277" t="s">
        <v>1</v>
      </c>
      <c r="D10" s="277" t="s">
        <v>36</v>
      </c>
      <c r="E10" s="277" t="s">
        <v>28</v>
      </c>
      <c r="F10" s="277" t="s">
        <v>1</v>
      </c>
      <c r="G10" s="277" t="s">
        <v>36</v>
      </c>
      <c r="H10" s="277" t="s">
        <v>28</v>
      </c>
      <c r="I10" s="277" t="s">
        <v>1</v>
      </c>
      <c r="J10" s="277" t="s">
        <v>36</v>
      </c>
      <c r="K10" s="277" t="s">
        <v>28</v>
      </c>
      <c r="L10" s="277" t="s">
        <v>1</v>
      </c>
      <c r="M10" s="277" t="s">
        <v>36</v>
      </c>
      <c r="N10" s="281" t="s">
        <v>271</v>
      </c>
      <c r="O10" s="281" t="s">
        <v>272</v>
      </c>
    </row>
    <row r="11" spans="1:17" ht="19.95" customHeight="1">
      <c r="A11" s="216"/>
      <c r="B11" s="24"/>
      <c r="C11" s="24"/>
      <c r="D11" s="243">
        <f>B11*C11</f>
        <v>0</v>
      </c>
      <c r="E11" s="24"/>
      <c r="F11" s="24"/>
      <c r="G11" s="243">
        <f>E11*F11</f>
        <v>0</v>
      </c>
      <c r="H11" s="245">
        <f>B11-E11</f>
        <v>0</v>
      </c>
      <c r="I11" s="245">
        <f t="shared" ref="I11:J16" si="0">C11-F11</f>
        <v>0</v>
      </c>
      <c r="J11" s="245">
        <f t="shared" si="0"/>
        <v>0</v>
      </c>
      <c r="K11" s="246" t="e">
        <f>H11/E11</f>
        <v>#DIV/0!</v>
      </c>
      <c r="L11" s="246" t="e">
        <f t="shared" ref="L11:M11" si="1">I11/F11</f>
        <v>#DIV/0!</v>
      </c>
      <c r="M11" s="246" t="e">
        <f t="shared" si="1"/>
        <v>#DIV/0!</v>
      </c>
      <c r="N11" s="216"/>
      <c r="O11" s="217"/>
    </row>
    <row r="12" spans="1:17" ht="19.95" customHeight="1">
      <c r="A12" s="44"/>
      <c r="B12" s="24"/>
      <c r="C12" s="24"/>
      <c r="D12" s="243">
        <f>B12*C12</f>
        <v>0</v>
      </c>
      <c r="E12" s="24"/>
      <c r="F12" s="24"/>
      <c r="G12" s="243">
        <f t="shared" ref="G12:G16" si="2">E12*F12</f>
        <v>0</v>
      </c>
      <c r="H12" s="245">
        <f t="shared" ref="H12:H16" si="3">B12-E12</f>
        <v>0</v>
      </c>
      <c r="I12" s="245">
        <f t="shared" si="0"/>
        <v>0</v>
      </c>
      <c r="J12" s="245">
        <f t="shared" si="0"/>
        <v>0</v>
      </c>
      <c r="K12" s="246" t="e">
        <f t="shared" ref="K12:K16" si="4">H12/E12</f>
        <v>#DIV/0!</v>
      </c>
      <c r="L12" s="246" t="e">
        <f t="shared" ref="L12:L16" si="5">I12/F12</f>
        <v>#DIV/0!</v>
      </c>
      <c r="M12" s="246" t="e">
        <f t="shared" ref="M12:M16" si="6">J12/G12</f>
        <v>#DIV/0!</v>
      </c>
      <c r="N12" s="44"/>
      <c r="O12" s="217"/>
    </row>
    <row r="13" spans="1:17" ht="19.95" customHeight="1">
      <c r="A13" s="44"/>
      <c r="B13" s="24"/>
      <c r="C13" s="24"/>
      <c r="D13" s="243">
        <f t="shared" ref="D13:D16" si="7">B13*C13</f>
        <v>0</v>
      </c>
      <c r="E13" s="24"/>
      <c r="F13" s="24"/>
      <c r="G13" s="243">
        <f t="shared" si="2"/>
        <v>0</v>
      </c>
      <c r="H13" s="245">
        <f t="shared" si="3"/>
        <v>0</v>
      </c>
      <c r="I13" s="245">
        <f t="shared" si="0"/>
        <v>0</v>
      </c>
      <c r="J13" s="245">
        <f t="shared" si="0"/>
        <v>0</v>
      </c>
      <c r="K13" s="246" t="e">
        <f t="shared" si="4"/>
        <v>#DIV/0!</v>
      </c>
      <c r="L13" s="246" t="e">
        <f t="shared" si="5"/>
        <v>#DIV/0!</v>
      </c>
      <c r="M13" s="246" t="e">
        <f t="shared" si="6"/>
        <v>#DIV/0!</v>
      </c>
      <c r="N13" s="44"/>
      <c r="O13" s="217"/>
    </row>
    <row r="14" spans="1:17" ht="19.95" customHeight="1">
      <c r="A14" s="44"/>
      <c r="B14" s="24"/>
      <c r="C14" s="24"/>
      <c r="D14" s="243">
        <f t="shared" si="7"/>
        <v>0</v>
      </c>
      <c r="E14" s="24"/>
      <c r="F14" s="24"/>
      <c r="G14" s="243">
        <f t="shared" si="2"/>
        <v>0</v>
      </c>
      <c r="H14" s="245">
        <f t="shared" si="3"/>
        <v>0</v>
      </c>
      <c r="I14" s="245">
        <f t="shared" si="0"/>
        <v>0</v>
      </c>
      <c r="J14" s="245">
        <f t="shared" si="0"/>
        <v>0</v>
      </c>
      <c r="K14" s="246" t="e">
        <f t="shared" si="4"/>
        <v>#DIV/0!</v>
      </c>
      <c r="L14" s="246" t="e">
        <f t="shared" si="5"/>
        <v>#DIV/0!</v>
      </c>
      <c r="M14" s="246" t="e">
        <f t="shared" si="6"/>
        <v>#DIV/0!</v>
      </c>
      <c r="N14" s="44"/>
      <c r="O14" s="217"/>
    </row>
    <row r="15" spans="1:17" ht="19.95" customHeight="1">
      <c r="A15" s="44"/>
      <c r="B15" s="24"/>
      <c r="C15" s="24"/>
      <c r="D15" s="243">
        <f t="shared" si="7"/>
        <v>0</v>
      </c>
      <c r="E15" s="24"/>
      <c r="F15" s="24"/>
      <c r="G15" s="243">
        <f t="shared" si="2"/>
        <v>0</v>
      </c>
      <c r="H15" s="245">
        <f t="shared" si="3"/>
        <v>0</v>
      </c>
      <c r="I15" s="245">
        <f t="shared" si="0"/>
        <v>0</v>
      </c>
      <c r="J15" s="245">
        <f t="shared" si="0"/>
        <v>0</v>
      </c>
      <c r="K15" s="246" t="e">
        <f t="shared" si="4"/>
        <v>#DIV/0!</v>
      </c>
      <c r="L15" s="246" t="e">
        <f t="shared" si="5"/>
        <v>#DIV/0!</v>
      </c>
      <c r="M15" s="246" t="e">
        <f t="shared" si="6"/>
        <v>#DIV/0!</v>
      </c>
      <c r="N15" s="44"/>
      <c r="O15" s="217"/>
    </row>
    <row r="16" spans="1:17" ht="19.95" customHeight="1">
      <c r="A16" s="44"/>
      <c r="B16" s="24"/>
      <c r="C16" s="24"/>
      <c r="D16" s="243">
        <f t="shared" si="7"/>
        <v>0</v>
      </c>
      <c r="E16" s="24"/>
      <c r="F16" s="24"/>
      <c r="G16" s="243">
        <f t="shared" si="2"/>
        <v>0</v>
      </c>
      <c r="H16" s="245">
        <f t="shared" si="3"/>
        <v>0</v>
      </c>
      <c r="I16" s="245">
        <f t="shared" si="0"/>
        <v>0</v>
      </c>
      <c r="J16" s="245">
        <f t="shared" si="0"/>
        <v>0</v>
      </c>
      <c r="K16" s="246" t="e">
        <f t="shared" si="4"/>
        <v>#DIV/0!</v>
      </c>
      <c r="L16" s="246" t="e">
        <f t="shared" si="5"/>
        <v>#DIV/0!</v>
      </c>
      <c r="M16" s="246" t="e">
        <f t="shared" si="6"/>
        <v>#DIV/0!</v>
      </c>
      <c r="N16" s="44"/>
      <c r="O16" s="217"/>
    </row>
    <row r="17" spans="1:15" s="251" customFormat="1" ht="19.95" customHeight="1">
      <c r="A17" s="157" t="s">
        <v>273</v>
      </c>
      <c r="B17" s="244"/>
      <c r="C17" s="244"/>
      <c r="D17" s="244">
        <f>SUM(D11:D16)</f>
        <v>0</v>
      </c>
      <c r="E17" s="244"/>
      <c r="F17" s="244"/>
      <c r="G17" s="244">
        <f>SUM(G11:G16)</f>
        <v>0</v>
      </c>
      <c r="H17" s="247"/>
      <c r="I17" s="247"/>
      <c r="J17" s="247">
        <f>D17-G17</f>
        <v>0</v>
      </c>
      <c r="K17" s="248"/>
      <c r="L17" s="249"/>
      <c r="M17" s="249" t="e">
        <f>J17/G17</f>
        <v>#DIV/0!</v>
      </c>
      <c r="N17" s="250"/>
      <c r="O17" s="158"/>
    </row>
    <row r="18" spans="1:15" s="45" customFormat="1" ht="19.95" customHeight="1">
      <c r="A18" s="90" t="s">
        <v>38</v>
      </c>
      <c r="B18" s="91"/>
      <c r="C18" s="91"/>
      <c r="D18" s="91"/>
      <c r="E18" s="91"/>
      <c r="F18" s="91"/>
      <c r="G18" s="91"/>
      <c r="H18" s="91"/>
      <c r="I18" s="91"/>
      <c r="J18" s="91"/>
      <c r="K18" s="91"/>
      <c r="L18" s="91"/>
      <c r="M18" s="91"/>
      <c r="N18" s="91"/>
      <c r="O18" s="91"/>
    </row>
    <row r="19" spans="1:15" s="45" customFormat="1" ht="19.95" customHeight="1">
      <c r="A19" s="92"/>
      <c r="B19" s="37"/>
      <c r="C19" s="37"/>
      <c r="D19" s="37"/>
      <c r="E19" s="37"/>
      <c r="F19" s="37"/>
      <c r="G19" s="37"/>
      <c r="H19" s="37"/>
      <c r="I19" s="37"/>
      <c r="J19" s="37"/>
      <c r="K19" s="37"/>
      <c r="L19" s="37"/>
      <c r="M19" s="37"/>
      <c r="N19" s="37"/>
      <c r="O19" s="37"/>
    </row>
    <row r="20" spans="1:15" s="45" customFormat="1" ht="19.95" customHeight="1">
      <c r="A20" s="37"/>
      <c r="B20" s="37"/>
      <c r="C20" s="37"/>
      <c r="D20" s="37"/>
      <c r="E20" s="37"/>
      <c r="F20" s="37"/>
      <c r="G20" s="37"/>
      <c r="H20" s="37"/>
      <c r="I20" s="37"/>
      <c r="J20" s="37"/>
      <c r="K20" s="37"/>
      <c r="L20" s="37"/>
      <c r="M20" s="37"/>
      <c r="N20" s="37"/>
      <c r="O20" s="37"/>
    </row>
    <row r="21" spans="1:15" s="45" customFormat="1" ht="19.95" customHeight="1">
      <c r="A21" s="37"/>
      <c r="B21" s="37"/>
      <c r="C21" s="37"/>
      <c r="D21" s="37"/>
      <c r="E21" s="37"/>
      <c r="F21" s="37"/>
      <c r="G21" s="37"/>
      <c r="H21" s="37"/>
      <c r="I21" s="37"/>
      <c r="J21" s="37"/>
      <c r="K21" s="37"/>
      <c r="L21" s="37"/>
      <c r="M21" s="37"/>
      <c r="N21" s="37"/>
      <c r="O21" s="37"/>
    </row>
    <row r="22" spans="1:15" ht="19.95" customHeight="1">
      <c r="A22" s="41" t="s">
        <v>39</v>
      </c>
      <c r="B22" s="37"/>
      <c r="C22" s="37"/>
      <c r="D22" s="37"/>
      <c r="E22" s="37"/>
      <c r="F22" s="37"/>
      <c r="G22" s="37"/>
      <c r="H22" s="37"/>
      <c r="I22" s="37"/>
      <c r="J22" s="37"/>
      <c r="K22" s="37"/>
      <c r="L22" s="37"/>
      <c r="M22" s="37"/>
      <c r="N22" s="37"/>
      <c r="O22" s="37"/>
    </row>
    <row r="23" spans="1:15" ht="19.95" customHeight="1">
      <c r="A23" s="40"/>
      <c r="B23" s="37"/>
      <c r="C23" s="37"/>
      <c r="D23" s="37"/>
      <c r="E23" s="37"/>
      <c r="F23" s="37"/>
      <c r="G23" s="37"/>
      <c r="H23" s="37"/>
      <c r="I23" s="37"/>
      <c r="J23" s="37"/>
      <c r="K23" s="37"/>
      <c r="L23" s="37"/>
      <c r="M23" s="37"/>
      <c r="N23" s="37"/>
      <c r="O23" s="37"/>
    </row>
    <row r="24" spans="1:15" ht="19.95" customHeight="1">
      <c r="A24" s="40"/>
      <c r="B24" s="37"/>
      <c r="C24" s="37"/>
      <c r="D24" s="37"/>
      <c r="E24" s="37"/>
      <c r="F24" s="37"/>
      <c r="G24" s="37"/>
      <c r="H24" s="37"/>
      <c r="I24" s="37"/>
      <c r="J24" s="37"/>
      <c r="K24" s="37"/>
      <c r="L24" s="37"/>
      <c r="M24" s="37"/>
      <c r="N24" s="37"/>
      <c r="O24" s="37"/>
    </row>
    <row r="25" spans="1:15" ht="20.100000000000001" customHeight="1">
      <c r="A25" s="40"/>
      <c r="B25" s="37"/>
      <c r="C25" s="37"/>
      <c r="D25" s="37"/>
      <c r="E25" s="37"/>
      <c r="F25" s="37"/>
      <c r="G25" s="37"/>
      <c r="H25" s="37"/>
      <c r="I25" s="37"/>
      <c r="J25" s="37"/>
      <c r="K25" s="37"/>
      <c r="L25" s="37"/>
      <c r="M25" s="37"/>
      <c r="N25" s="37"/>
      <c r="O25" s="37"/>
    </row>
    <row r="26" spans="1:15" ht="15.75" customHeight="1">
      <c r="A26" s="40"/>
      <c r="B26" s="37"/>
      <c r="C26" s="37"/>
      <c r="D26" s="37"/>
      <c r="E26" s="37"/>
      <c r="F26" s="37"/>
      <c r="G26" s="37"/>
      <c r="H26" s="37"/>
      <c r="I26" s="37"/>
      <c r="J26" s="37"/>
      <c r="K26" s="37"/>
      <c r="L26" s="37"/>
      <c r="M26" s="37"/>
      <c r="N26" s="37"/>
      <c r="O26" s="37"/>
    </row>
    <row r="29" spans="1:15">
      <c r="A29" s="46"/>
    </row>
    <row r="30" spans="1:15">
      <c r="A30" s="47"/>
      <c r="B30" s="48"/>
      <c r="C30" s="48"/>
      <c r="D30" s="48"/>
      <c r="E30" s="48"/>
      <c r="F30" s="48"/>
      <c r="G30" s="48"/>
      <c r="H30" s="48"/>
      <c r="I30" s="48"/>
      <c r="J30" s="48"/>
      <c r="K30" s="48"/>
      <c r="L30" s="48"/>
      <c r="M30" s="48"/>
      <c r="N30" s="48"/>
      <c r="O30" s="49"/>
    </row>
  </sheetData>
  <mergeCells count="8">
    <mergeCell ref="A1:O1"/>
    <mergeCell ref="A2:O2"/>
    <mergeCell ref="A9:A10"/>
    <mergeCell ref="N9:O9"/>
    <mergeCell ref="H9:J9"/>
    <mergeCell ref="B9:D9"/>
    <mergeCell ref="E9:G9"/>
    <mergeCell ref="K9:M9"/>
  </mergeCells>
  <phoneticPr fontId="18" type="noConversion"/>
  <hyperlinks>
    <hyperlink ref="O3" location="底稿目录!A1" display="底稿目录!A1"/>
  </hyperlinks>
  <printOptions horizontalCentered="1"/>
  <pageMargins left="0.43307086614173229" right="0.35433070866141736" top="0.6692913385826772" bottom="0.51181102362204722" header="0.51181102362204722" footer="0.43307086614173229"/>
  <pageSetup paperSize="9" scale="75" fitToHeight="2"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81"/>
  <sheetViews>
    <sheetView view="pageBreakPreview" topLeftCell="A10" zoomScaleSheetLayoutView="100" workbookViewId="0">
      <selection activeCell="P11" sqref="P11"/>
    </sheetView>
  </sheetViews>
  <sheetFormatPr defaultRowHeight="15.9" customHeight="1"/>
  <cols>
    <col min="1" max="1" width="13.5" style="66" customWidth="1"/>
    <col min="2" max="12" width="9.5" style="66" customWidth="1"/>
    <col min="13" max="13" width="11.3984375" style="66" customWidth="1"/>
    <col min="14" max="14" width="10.5" style="66" customWidth="1"/>
    <col min="15" max="15" width="11.8984375" style="66" customWidth="1"/>
    <col min="16" max="16" width="11.09765625" style="66" customWidth="1"/>
    <col min="17" max="57" width="11.3984375" style="66" bestFit="1" customWidth="1"/>
    <col min="58" max="58" width="10.3984375" style="66" customWidth="1"/>
    <col min="59" max="256" width="9" style="66"/>
    <col min="257" max="257" width="13.5" style="66" customWidth="1"/>
    <col min="258" max="269" width="9.5" style="66" customWidth="1"/>
    <col min="270" max="270" width="10.5" style="66" customWidth="1"/>
    <col min="271" max="271" width="11.8984375" style="66" customWidth="1"/>
    <col min="272" max="272" width="11.09765625" style="66" customWidth="1"/>
    <col min="273" max="313" width="11.3984375" style="66" bestFit="1" customWidth="1"/>
    <col min="314" max="314" width="10.3984375" style="66" customWidth="1"/>
    <col min="315" max="512" width="9" style="66"/>
    <col min="513" max="513" width="13.5" style="66" customWidth="1"/>
    <col min="514" max="525" width="9.5" style="66" customWidth="1"/>
    <col min="526" max="526" width="10.5" style="66" customWidth="1"/>
    <col min="527" max="527" width="11.8984375" style="66" customWidth="1"/>
    <col min="528" max="528" width="11.09765625" style="66" customWidth="1"/>
    <col min="529" max="569" width="11.3984375" style="66" bestFit="1" customWidth="1"/>
    <col min="570" max="570" width="10.3984375" style="66" customWidth="1"/>
    <col min="571" max="768" width="9" style="66"/>
    <col min="769" max="769" width="13.5" style="66" customWidth="1"/>
    <col min="770" max="781" width="9.5" style="66" customWidth="1"/>
    <col min="782" max="782" width="10.5" style="66" customWidth="1"/>
    <col min="783" max="783" width="11.8984375" style="66" customWidth="1"/>
    <col min="784" max="784" width="11.09765625" style="66" customWidth="1"/>
    <col min="785" max="825" width="11.3984375" style="66" bestFit="1" customWidth="1"/>
    <col min="826" max="826" width="10.3984375" style="66" customWidth="1"/>
    <col min="827" max="1024" width="9" style="66"/>
    <col min="1025" max="1025" width="13.5" style="66" customWidth="1"/>
    <col min="1026" max="1037" width="9.5" style="66" customWidth="1"/>
    <col min="1038" max="1038" width="10.5" style="66" customWidth="1"/>
    <col min="1039" max="1039" width="11.8984375" style="66" customWidth="1"/>
    <col min="1040" max="1040" width="11.09765625" style="66" customWidth="1"/>
    <col min="1041" max="1081" width="11.3984375" style="66" bestFit="1" customWidth="1"/>
    <col min="1082" max="1082" width="10.3984375" style="66" customWidth="1"/>
    <col min="1083" max="1280" width="9" style="66"/>
    <col min="1281" max="1281" width="13.5" style="66" customWidth="1"/>
    <col min="1282" max="1293" width="9.5" style="66" customWidth="1"/>
    <col min="1294" max="1294" width="10.5" style="66" customWidth="1"/>
    <col min="1295" max="1295" width="11.8984375" style="66" customWidth="1"/>
    <col min="1296" max="1296" width="11.09765625" style="66" customWidth="1"/>
    <col min="1297" max="1337" width="11.3984375" style="66" bestFit="1" customWidth="1"/>
    <col min="1338" max="1338" width="10.3984375" style="66" customWidth="1"/>
    <col min="1339" max="1536" width="9" style="66"/>
    <col min="1537" max="1537" width="13.5" style="66" customWidth="1"/>
    <col min="1538" max="1549" width="9.5" style="66" customWidth="1"/>
    <col min="1550" max="1550" width="10.5" style="66" customWidth="1"/>
    <col min="1551" max="1551" width="11.8984375" style="66" customWidth="1"/>
    <col min="1552" max="1552" width="11.09765625" style="66" customWidth="1"/>
    <col min="1553" max="1593" width="11.3984375" style="66" bestFit="1" customWidth="1"/>
    <col min="1594" max="1594" width="10.3984375" style="66" customWidth="1"/>
    <col min="1595" max="1792" width="9" style="66"/>
    <col min="1793" max="1793" width="13.5" style="66" customWidth="1"/>
    <col min="1794" max="1805" width="9.5" style="66" customWidth="1"/>
    <col min="1806" max="1806" width="10.5" style="66" customWidth="1"/>
    <col min="1807" max="1807" width="11.8984375" style="66" customWidth="1"/>
    <col min="1808" max="1808" width="11.09765625" style="66" customWidth="1"/>
    <col min="1809" max="1849" width="11.3984375" style="66" bestFit="1" customWidth="1"/>
    <col min="1850" max="1850" width="10.3984375" style="66" customWidth="1"/>
    <col min="1851" max="2048" width="9" style="66"/>
    <col min="2049" max="2049" width="13.5" style="66" customWidth="1"/>
    <col min="2050" max="2061" width="9.5" style="66" customWidth="1"/>
    <col min="2062" max="2062" width="10.5" style="66" customWidth="1"/>
    <col min="2063" max="2063" width="11.8984375" style="66" customWidth="1"/>
    <col min="2064" max="2064" width="11.09765625" style="66" customWidth="1"/>
    <col min="2065" max="2105" width="11.3984375" style="66" bestFit="1" customWidth="1"/>
    <col min="2106" max="2106" width="10.3984375" style="66" customWidth="1"/>
    <col min="2107" max="2304" width="9" style="66"/>
    <col min="2305" max="2305" width="13.5" style="66" customWidth="1"/>
    <col min="2306" max="2317" width="9.5" style="66" customWidth="1"/>
    <col min="2318" max="2318" width="10.5" style="66" customWidth="1"/>
    <col min="2319" max="2319" width="11.8984375" style="66" customWidth="1"/>
    <col min="2320" max="2320" width="11.09765625" style="66" customWidth="1"/>
    <col min="2321" max="2361" width="11.3984375" style="66" bestFit="1" customWidth="1"/>
    <col min="2362" max="2362" width="10.3984375" style="66" customWidth="1"/>
    <col min="2363" max="2560" width="9" style="66"/>
    <col min="2561" max="2561" width="13.5" style="66" customWidth="1"/>
    <col min="2562" max="2573" width="9.5" style="66" customWidth="1"/>
    <col min="2574" max="2574" width="10.5" style="66" customWidth="1"/>
    <col min="2575" max="2575" width="11.8984375" style="66" customWidth="1"/>
    <col min="2576" max="2576" width="11.09765625" style="66" customWidth="1"/>
    <col min="2577" max="2617" width="11.3984375" style="66" bestFit="1" customWidth="1"/>
    <col min="2618" max="2618" width="10.3984375" style="66" customWidth="1"/>
    <col min="2619" max="2816" width="9" style="66"/>
    <col min="2817" max="2817" width="13.5" style="66" customWidth="1"/>
    <col min="2818" max="2829" width="9.5" style="66" customWidth="1"/>
    <col min="2830" max="2830" width="10.5" style="66" customWidth="1"/>
    <col min="2831" max="2831" width="11.8984375" style="66" customWidth="1"/>
    <col min="2832" max="2832" width="11.09765625" style="66" customWidth="1"/>
    <col min="2833" max="2873" width="11.3984375" style="66" bestFit="1" customWidth="1"/>
    <col min="2874" max="2874" width="10.3984375" style="66" customWidth="1"/>
    <col min="2875" max="3072" width="9" style="66"/>
    <col min="3073" max="3073" width="13.5" style="66" customWidth="1"/>
    <col min="3074" max="3085" width="9.5" style="66" customWidth="1"/>
    <col min="3086" max="3086" width="10.5" style="66" customWidth="1"/>
    <col min="3087" max="3087" width="11.8984375" style="66" customWidth="1"/>
    <col min="3088" max="3088" width="11.09765625" style="66" customWidth="1"/>
    <col min="3089" max="3129" width="11.3984375" style="66" bestFit="1" customWidth="1"/>
    <col min="3130" max="3130" width="10.3984375" style="66" customWidth="1"/>
    <col min="3131" max="3328" width="9" style="66"/>
    <col min="3329" max="3329" width="13.5" style="66" customWidth="1"/>
    <col min="3330" max="3341" width="9.5" style="66" customWidth="1"/>
    <col min="3342" max="3342" width="10.5" style="66" customWidth="1"/>
    <col min="3343" max="3343" width="11.8984375" style="66" customWidth="1"/>
    <col min="3344" max="3344" width="11.09765625" style="66" customWidth="1"/>
    <col min="3345" max="3385" width="11.3984375" style="66" bestFit="1" customWidth="1"/>
    <col min="3386" max="3386" width="10.3984375" style="66" customWidth="1"/>
    <col min="3387" max="3584" width="9" style="66"/>
    <col min="3585" max="3585" width="13.5" style="66" customWidth="1"/>
    <col min="3586" max="3597" width="9.5" style="66" customWidth="1"/>
    <col min="3598" max="3598" width="10.5" style="66" customWidth="1"/>
    <col min="3599" max="3599" width="11.8984375" style="66" customWidth="1"/>
    <col min="3600" max="3600" width="11.09765625" style="66" customWidth="1"/>
    <col min="3601" max="3641" width="11.3984375" style="66" bestFit="1" customWidth="1"/>
    <col min="3642" max="3642" width="10.3984375" style="66" customWidth="1"/>
    <col min="3643" max="3840" width="9" style="66"/>
    <col min="3841" max="3841" width="13.5" style="66" customWidth="1"/>
    <col min="3842" max="3853" width="9.5" style="66" customWidth="1"/>
    <col min="3854" max="3854" width="10.5" style="66" customWidth="1"/>
    <col min="3855" max="3855" width="11.8984375" style="66" customWidth="1"/>
    <col min="3856" max="3856" width="11.09765625" style="66" customWidth="1"/>
    <col min="3857" max="3897" width="11.3984375" style="66" bestFit="1" customWidth="1"/>
    <col min="3898" max="3898" width="10.3984375" style="66" customWidth="1"/>
    <col min="3899" max="4096" width="9" style="66"/>
    <col min="4097" max="4097" width="13.5" style="66" customWidth="1"/>
    <col min="4098" max="4109" width="9.5" style="66" customWidth="1"/>
    <col min="4110" max="4110" width="10.5" style="66" customWidth="1"/>
    <col min="4111" max="4111" width="11.8984375" style="66" customWidth="1"/>
    <col min="4112" max="4112" width="11.09765625" style="66" customWidth="1"/>
    <col min="4113" max="4153" width="11.3984375" style="66" bestFit="1" customWidth="1"/>
    <col min="4154" max="4154" width="10.3984375" style="66" customWidth="1"/>
    <col min="4155" max="4352" width="9" style="66"/>
    <col min="4353" max="4353" width="13.5" style="66" customWidth="1"/>
    <col min="4354" max="4365" width="9.5" style="66" customWidth="1"/>
    <col min="4366" max="4366" width="10.5" style="66" customWidth="1"/>
    <col min="4367" max="4367" width="11.8984375" style="66" customWidth="1"/>
    <col min="4368" max="4368" width="11.09765625" style="66" customWidth="1"/>
    <col min="4369" max="4409" width="11.3984375" style="66" bestFit="1" customWidth="1"/>
    <col min="4410" max="4410" width="10.3984375" style="66" customWidth="1"/>
    <col min="4411" max="4608" width="9" style="66"/>
    <col min="4609" max="4609" width="13.5" style="66" customWidth="1"/>
    <col min="4610" max="4621" width="9.5" style="66" customWidth="1"/>
    <col min="4622" max="4622" width="10.5" style="66" customWidth="1"/>
    <col min="4623" max="4623" width="11.8984375" style="66" customWidth="1"/>
    <col min="4624" max="4624" width="11.09765625" style="66" customWidth="1"/>
    <col min="4625" max="4665" width="11.3984375" style="66" bestFit="1" customWidth="1"/>
    <col min="4666" max="4666" width="10.3984375" style="66" customWidth="1"/>
    <col min="4667" max="4864" width="9" style="66"/>
    <col min="4865" max="4865" width="13.5" style="66" customWidth="1"/>
    <col min="4866" max="4877" width="9.5" style="66" customWidth="1"/>
    <col min="4878" max="4878" width="10.5" style="66" customWidth="1"/>
    <col min="4879" max="4879" width="11.8984375" style="66" customWidth="1"/>
    <col min="4880" max="4880" width="11.09765625" style="66" customWidth="1"/>
    <col min="4881" max="4921" width="11.3984375" style="66" bestFit="1" customWidth="1"/>
    <col min="4922" max="4922" width="10.3984375" style="66" customWidth="1"/>
    <col min="4923" max="5120" width="9" style="66"/>
    <col min="5121" max="5121" width="13.5" style="66" customWidth="1"/>
    <col min="5122" max="5133" width="9.5" style="66" customWidth="1"/>
    <col min="5134" max="5134" width="10.5" style="66" customWidth="1"/>
    <col min="5135" max="5135" width="11.8984375" style="66" customWidth="1"/>
    <col min="5136" max="5136" width="11.09765625" style="66" customWidth="1"/>
    <col min="5137" max="5177" width="11.3984375" style="66" bestFit="1" customWidth="1"/>
    <col min="5178" max="5178" width="10.3984375" style="66" customWidth="1"/>
    <col min="5179" max="5376" width="9" style="66"/>
    <col min="5377" max="5377" width="13.5" style="66" customWidth="1"/>
    <col min="5378" max="5389" width="9.5" style="66" customWidth="1"/>
    <col min="5390" max="5390" width="10.5" style="66" customWidth="1"/>
    <col min="5391" max="5391" width="11.8984375" style="66" customWidth="1"/>
    <col min="5392" max="5392" width="11.09765625" style="66" customWidth="1"/>
    <col min="5393" max="5433" width="11.3984375" style="66" bestFit="1" customWidth="1"/>
    <col min="5434" max="5434" width="10.3984375" style="66" customWidth="1"/>
    <col min="5435" max="5632" width="9" style="66"/>
    <col min="5633" max="5633" width="13.5" style="66" customWidth="1"/>
    <col min="5634" max="5645" width="9.5" style="66" customWidth="1"/>
    <col min="5646" max="5646" width="10.5" style="66" customWidth="1"/>
    <col min="5647" max="5647" width="11.8984375" style="66" customWidth="1"/>
    <col min="5648" max="5648" width="11.09765625" style="66" customWidth="1"/>
    <col min="5649" max="5689" width="11.3984375" style="66" bestFit="1" customWidth="1"/>
    <col min="5690" max="5690" width="10.3984375" style="66" customWidth="1"/>
    <col min="5691" max="5888" width="9" style="66"/>
    <col min="5889" max="5889" width="13.5" style="66" customWidth="1"/>
    <col min="5890" max="5901" width="9.5" style="66" customWidth="1"/>
    <col min="5902" max="5902" width="10.5" style="66" customWidth="1"/>
    <col min="5903" max="5903" width="11.8984375" style="66" customWidth="1"/>
    <col min="5904" max="5904" width="11.09765625" style="66" customWidth="1"/>
    <col min="5905" max="5945" width="11.3984375" style="66" bestFit="1" customWidth="1"/>
    <col min="5946" max="5946" width="10.3984375" style="66" customWidth="1"/>
    <col min="5947" max="6144" width="9" style="66"/>
    <col min="6145" max="6145" width="13.5" style="66" customWidth="1"/>
    <col min="6146" max="6157" width="9.5" style="66" customWidth="1"/>
    <col min="6158" max="6158" width="10.5" style="66" customWidth="1"/>
    <col min="6159" max="6159" width="11.8984375" style="66" customWidth="1"/>
    <col min="6160" max="6160" width="11.09765625" style="66" customWidth="1"/>
    <col min="6161" max="6201" width="11.3984375" style="66" bestFit="1" customWidth="1"/>
    <col min="6202" max="6202" width="10.3984375" style="66" customWidth="1"/>
    <col min="6203" max="6400" width="9" style="66"/>
    <col min="6401" max="6401" width="13.5" style="66" customWidth="1"/>
    <col min="6402" max="6413" width="9.5" style="66" customWidth="1"/>
    <col min="6414" max="6414" width="10.5" style="66" customWidth="1"/>
    <col min="6415" max="6415" width="11.8984375" style="66" customWidth="1"/>
    <col min="6416" max="6416" width="11.09765625" style="66" customWidth="1"/>
    <col min="6417" max="6457" width="11.3984375" style="66" bestFit="1" customWidth="1"/>
    <col min="6458" max="6458" width="10.3984375" style="66" customWidth="1"/>
    <col min="6459" max="6656" width="9" style="66"/>
    <col min="6657" max="6657" width="13.5" style="66" customWidth="1"/>
    <col min="6658" max="6669" width="9.5" style="66" customWidth="1"/>
    <col min="6670" max="6670" width="10.5" style="66" customWidth="1"/>
    <col min="6671" max="6671" width="11.8984375" style="66" customWidth="1"/>
    <col min="6672" max="6672" width="11.09765625" style="66" customWidth="1"/>
    <col min="6673" max="6713" width="11.3984375" style="66" bestFit="1" customWidth="1"/>
    <col min="6714" max="6714" width="10.3984375" style="66" customWidth="1"/>
    <col min="6715" max="6912" width="9" style="66"/>
    <col min="6913" max="6913" width="13.5" style="66" customWidth="1"/>
    <col min="6914" max="6925" width="9.5" style="66" customWidth="1"/>
    <col min="6926" max="6926" width="10.5" style="66" customWidth="1"/>
    <col min="6927" max="6927" width="11.8984375" style="66" customWidth="1"/>
    <col min="6928" max="6928" width="11.09765625" style="66" customWidth="1"/>
    <col min="6929" max="6969" width="11.3984375" style="66" bestFit="1" customWidth="1"/>
    <col min="6970" max="6970" width="10.3984375" style="66" customWidth="1"/>
    <col min="6971" max="7168" width="9" style="66"/>
    <col min="7169" max="7169" width="13.5" style="66" customWidth="1"/>
    <col min="7170" max="7181" width="9.5" style="66" customWidth="1"/>
    <col min="7182" max="7182" width="10.5" style="66" customWidth="1"/>
    <col min="7183" max="7183" width="11.8984375" style="66" customWidth="1"/>
    <col min="7184" max="7184" width="11.09765625" style="66" customWidth="1"/>
    <col min="7185" max="7225" width="11.3984375" style="66" bestFit="1" customWidth="1"/>
    <col min="7226" max="7226" width="10.3984375" style="66" customWidth="1"/>
    <col min="7227" max="7424" width="9" style="66"/>
    <col min="7425" max="7425" width="13.5" style="66" customWidth="1"/>
    <col min="7426" max="7437" width="9.5" style="66" customWidth="1"/>
    <col min="7438" max="7438" width="10.5" style="66" customWidth="1"/>
    <col min="7439" max="7439" width="11.8984375" style="66" customWidth="1"/>
    <col min="7440" max="7440" width="11.09765625" style="66" customWidth="1"/>
    <col min="7441" max="7481" width="11.3984375" style="66" bestFit="1" customWidth="1"/>
    <col min="7482" max="7482" width="10.3984375" style="66" customWidth="1"/>
    <col min="7483" max="7680" width="9" style="66"/>
    <col min="7681" max="7681" width="13.5" style="66" customWidth="1"/>
    <col min="7682" max="7693" width="9.5" style="66" customWidth="1"/>
    <col min="7694" max="7694" width="10.5" style="66" customWidth="1"/>
    <col min="7695" max="7695" width="11.8984375" style="66" customWidth="1"/>
    <col min="7696" max="7696" width="11.09765625" style="66" customWidth="1"/>
    <col min="7697" max="7737" width="11.3984375" style="66" bestFit="1" customWidth="1"/>
    <col min="7738" max="7738" width="10.3984375" style="66" customWidth="1"/>
    <col min="7739" max="7936" width="9" style="66"/>
    <col min="7937" max="7937" width="13.5" style="66" customWidth="1"/>
    <col min="7938" max="7949" width="9.5" style="66" customWidth="1"/>
    <col min="7950" max="7950" width="10.5" style="66" customWidth="1"/>
    <col min="7951" max="7951" width="11.8984375" style="66" customWidth="1"/>
    <col min="7952" max="7952" width="11.09765625" style="66" customWidth="1"/>
    <col min="7953" max="7993" width="11.3984375" style="66" bestFit="1" customWidth="1"/>
    <col min="7994" max="7994" width="10.3984375" style="66" customWidth="1"/>
    <col min="7995" max="8192" width="9" style="66"/>
    <col min="8193" max="8193" width="13.5" style="66" customWidth="1"/>
    <col min="8194" max="8205" width="9.5" style="66" customWidth="1"/>
    <col min="8206" max="8206" width="10.5" style="66" customWidth="1"/>
    <col min="8207" max="8207" width="11.8984375" style="66" customWidth="1"/>
    <col min="8208" max="8208" width="11.09765625" style="66" customWidth="1"/>
    <col min="8209" max="8249" width="11.3984375" style="66" bestFit="1" customWidth="1"/>
    <col min="8250" max="8250" width="10.3984375" style="66" customWidth="1"/>
    <col min="8251" max="8448" width="9" style="66"/>
    <col min="8449" max="8449" width="13.5" style="66" customWidth="1"/>
    <col min="8450" max="8461" width="9.5" style="66" customWidth="1"/>
    <col min="8462" max="8462" width="10.5" style="66" customWidth="1"/>
    <col min="8463" max="8463" width="11.8984375" style="66" customWidth="1"/>
    <col min="8464" max="8464" width="11.09765625" style="66" customWidth="1"/>
    <col min="8465" max="8505" width="11.3984375" style="66" bestFit="1" customWidth="1"/>
    <col min="8506" max="8506" width="10.3984375" style="66" customWidth="1"/>
    <col min="8507" max="8704" width="9" style="66"/>
    <col min="8705" max="8705" width="13.5" style="66" customWidth="1"/>
    <col min="8706" max="8717" width="9.5" style="66" customWidth="1"/>
    <col min="8718" max="8718" width="10.5" style="66" customWidth="1"/>
    <col min="8719" max="8719" width="11.8984375" style="66" customWidth="1"/>
    <col min="8720" max="8720" width="11.09765625" style="66" customWidth="1"/>
    <col min="8721" max="8761" width="11.3984375" style="66" bestFit="1" customWidth="1"/>
    <col min="8762" max="8762" width="10.3984375" style="66" customWidth="1"/>
    <col min="8763" max="8960" width="9" style="66"/>
    <col min="8961" max="8961" width="13.5" style="66" customWidth="1"/>
    <col min="8962" max="8973" width="9.5" style="66" customWidth="1"/>
    <col min="8974" max="8974" width="10.5" style="66" customWidth="1"/>
    <col min="8975" max="8975" width="11.8984375" style="66" customWidth="1"/>
    <col min="8976" max="8976" width="11.09765625" style="66" customWidth="1"/>
    <col min="8977" max="9017" width="11.3984375" style="66" bestFit="1" customWidth="1"/>
    <col min="9018" max="9018" width="10.3984375" style="66" customWidth="1"/>
    <col min="9019" max="9216" width="9" style="66"/>
    <col min="9217" max="9217" width="13.5" style="66" customWidth="1"/>
    <col min="9218" max="9229" width="9.5" style="66" customWidth="1"/>
    <col min="9230" max="9230" width="10.5" style="66" customWidth="1"/>
    <col min="9231" max="9231" width="11.8984375" style="66" customWidth="1"/>
    <col min="9232" max="9232" width="11.09765625" style="66" customWidth="1"/>
    <col min="9233" max="9273" width="11.3984375" style="66" bestFit="1" customWidth="1"/>
    <col min="9274" max="9274" width="10.3984375" style="66" customWidth="1"/>
    <col min="9275" max="9472" width="9" style="66"/>
    <col min="9473" max="9473" width="13.5" style="66" customWidth="1"/>
    <col min="9474" max="9485" width="9.5" style="66" customWidth="1"/>
    <col min="9486" max="9486" width="10.5" style="66" customWidth="1"/>
    <col min="9487" max="9487" width="11.8984375" style="66" customWidth="1"/>
    <col min="9488" max="9488" width="11.09765625" style="66" customWidth="1"/>
    <col min="9489" max="9529" width="11.3984375" style="66" bestFit="1" customWidth="1"/>
    <col min="9530" max="9530" width="10.3984375" style="66" customWidth="1"/>
    <col min="9531" max="9728" width="9" style="66"/>
    <col min="9729" max="9729" width="13.5" style="66" customWidth="1"/>
    <col min="9730" max="9741" width="9.5" style="66" customWidth="1"/>
    <col min="9742" max="9742" width="10.5" style="66" customWidth="1"/>
    <col min="9743" max="9743" width="11.8984375" style="66" customWidth="1"/>
    <col min="9744" max="9744" width="11.09765625" style="66" customWidth="1"/>
    <col min="9745" max="9785" width="11.3984375" style="66" bestFit="1" customWidth="1"/>
    <col min="9786" max="9786" width="10.3984375" style="66" customWidth="1"/>
    <col min="9787" max="9984" width="9" style="66"/>
    <col min="9985" max="9985" width="13.5" style="66" customWidth="1"/>
    <col min="9986" max="9997" width="9.5" style="66" customWidth="1"/>
    <col min="9998" max="9998" width="10.5" style="66" customWidth="1"/>
    <col min="9999" max="9999" width="11.8984375" style="66" customWidth="1"/>
    <col min="10000" max="10000" width="11.09765625" style="66" customWidth="1"/>
    <col min="10001" max="10041" width="11.3984375" style="66" bestFit="1" customWidth="1"/>
    <col min="10042" max="10042" width="10.3984375" style="66" customWidth="1"/>
    <col min="10043" max="10240" width="9" style="66"/>
    <col min="10241" max="10241" width="13.5" style="66" customWidth="1"/>
    <col min="10242" max="10253" width="9.5" style="66" customWidth="1"/>
    <col min="10254" max="10254" width="10.5" style="66" customWidth="1"/>
    <col min="10255" max="10255" width="11.8984375" style="66" customWidth="1"/>
    <col min="10256" max="10256" width="11.09765625" style="66" customWidth="1"/>
    <col min="10257" max="10297" width="11.3984375" style="66" bestFit="1" customWidth="1"/>
    <col min="10298" max="10298" width="10.3984375" style="66" customWidth="1"/>
    <col min="10299" max="10496" width="9" style="66"/>
    <col min="10497" max="10497" width="13.5" style="66" customWidth="1"/>
    <col min="10498" max="10509" width="9.5" style="66" customWidth="1"/>
    <col min="10510" max="10510" width="10.5" style="66" customWidth="1"/>
    <col min="10511" max="10511" width="11.8984375" style="66" customWidth="1"/>
    <col min="10512" max="10512" width="11.09765625" style="66" customWidth="1"/>
    <col min="10513" max="10553" width="11.3984375" style="66" bestFit="1" customWidth="1"/>
    <col min="10554" max="10554" width="10.3984375" style="66" customWidth="1"/>
    <col min="10555" max="10752" width="9" style="66"/>
    <col min="10753" max="10753" width="13.5" style="66" customWidth="1"/>
    <col min="10754" max="10765" width="9.5" style="66" customWidth="1"/>
    <col min="10766" max="10766" width="10.5" style="66" customWidth="1"/>
    <col min="10767" max="10767" width="11.8984375" style="66" customWidth="1"/>
    <col min="10768" max="10768" width="11.09765625" style="66" customWidth="1"/>
    <col min="10769" max="10809" width="11.3984375" style="66" bestFit="1" customWidth="1"/>
    <col min="10810" max="10810" width="10.3984375" style="66" customWidth="1"/>
    <col min="10811" max="11008" width="9" style="66"/>
    <col min="11009" max="11009" width="13.5" style="66" customWidth="1"/>
    <col min="11010" max="11021" width="9.5" style="66" customWidth="1"/>
    <col min="11022" max="11022" width="10.5" style="66" customWidth="1"/>
    <col min="11023" max="11023" width="11.8984375" style="66" customWidth="1"/>
    <col min="11024" max="11024" width="11.09765625" style="66" customWidth="1"/>
    <col min="11025" max="11065" width="11.3984375" style="66" bestFit="1" customWidth="1"/>
    <col min="11066" max="11066" width="10.3984375" style="66" customWidth="1"/>
    <col min="11067" max="11264" width="9" style="66"/>
    <col min="11265" max="11265" width="13.5" style="66" customWidth="1"/>
    <col min="11266" max="11277" width="9.5" style="66" customWidth="1"/>
    <col min="11278" max="11278" width="10.5" style="66" customWidth="1"/>
    <col min="11279" max="11279" width="11.8984375" style="66" customWidth="1"/>
    <col min="11280" max="11280" width="11.09765625" style="66" customWidth="1"/>
    <col min="11281" max="11321" width="11.3984375" style="66" bestFit="1" customWidth="1"/>
    <col min="11322" max="11322" width="10.3984375" style="66" customWidth="1"/>
    <col min="11323" max="11520" width="9" style="66"/>
    <col min="11521" max="11521" width="13.5" style="66" customWidth="1"/>
    <col min="11522" max="11533" width="9.5" style="66" customWidth="1"/>
    <col min="11534" max="11534" width="10.5" style="66" customWidth="1"/>
    <col min="11535" max="11535" width="11.8984375" style="66" customWidth="1"/>
    <col min="11536" max="11536" width="11.09765625" style="66" customWidth="1"/>
    <col min="11537" max="11577" width="11.3984375" style="66" bestFit="1" customWidth="1"/>
    <col min="11578" max="11578" width="10.3984375" style="66" customWidth="1"/>
    <col min="11579" max="11776" width="9" style="66"/>
    <col min="11777" max="11777" width="13.5" style="66" customWidth="1"/>
    <col min="11778" max="11789" width="9.5" style="66" customWidth="1"/>
    <col min="11790" max="11790" width="10.5" style="66" customWidth="1"/>
    <col min="11791" max="11791" width="11.8984375" style="66" customWidth="1"/>
    <col min="11792" max="11792" width="11.09765625" style="66" customWidth="1"/>
    <col min="11793" max="11833" width="11.3984375" style="66" bestFit="1" customWidth="1"/>
    <col min="11834" max="11834" width="10.3984375" style="66" customWidth="1"/>
    <col min="11835" max="12032" width="9" style="66"/>
    <col min="12033" max="12033" width="13.5" style="66" customWidth="1"/>
    <col min="12034" max="12045" width="9.5" style="66" customWidth="1"/>
    <col min="12046" max="12046" width="10.5" style="66" customWidth="1"/>
    <col min="12047" max="12047" width="11.8984375" style="66" customWidth="1"/>
    <col min="12048" max="12048" width="11.09765625" style="66" customWidth="1"/>
    <col min="12049" max="12089" width="11.3984375" style="66" bestFit="1" customWidth="1"/>
    <col min="12090" max="12090" width="10.3984375" style="66" customWidth="1"/>
    <col min="12091" max="12288" width="9" style="66"/>
    <col min="12289" max="12289" width="13.5" style="66" customWidth="1"/>
    <col min="12290" max="12301" width="9.5" style="66" customWidth="1"/>
    <col min="12302" max="12302" width="10.5" style="66" customWidth="1"/>
    <col min="12303" max="12303" width="11.8984375" style="66" customWidth="1"/>
    <col min="12304" max="12304" width="11.09765625" style="66" customWidth="1"/>
    <col min="12305" max="12345" width="11.3984375" style="66" bestFit="1" customWidth="1"/>
    <col min="12346" max="12346" width="10.3984375" style="66" customWidth="1"/>
    <col min="12347" max="12544" width="9" style="66"/>
    <col min="12545" max="12545" width="13.5" style="66" customWidth="1"/>
    <col min="12546" max="12557" width="9.5" style="66" customWidth="1"/>
    <col min="12558" max="12558" width="10.5" style="66" customWidth="1"/>
    <col min="12559" max="12559" width="11.8984375" style="66" customWidth="1"/>
    <col min="12560" max="12560" width="11.09765625" style="66" customWidth="1"/>
    <col min="12561" max="12601" width="11.3984375" style="66" bestFit="1" customWidth="1"/>
    <col min="12602" max="12602" width="10.3984375" style="66" customWidth="1"/>
    <col min="12603" max="12800" width="9" style="66"/>
    <col min="12801" max="12801" width="13.5" style="66" customWidth="1"/>
    <col min="12802" max="12813" width="9.5" style="66" customWidth="1"/>
    <col min="12814" max="12814" width="10.5" style="66" customWidth="1"/>
    <col min="12815" max="12815" width="11.8984375" style="66" customWidth="1"/>
    <col min="12816" max="12816" width="11.09765625" style="66" customWidth="1"/>
    <col min="12817" max="12857" width="11.3984375" style="66" bestFit="1" customWidth="1"/>
    <col min="12858" max="12858" width="10.3984375" style="66" customWidth="1"/>
    <col min="12859" max="13056" width="9" style="66"/>
    <col min="13057" max="13057" width="13.5" style="66" customWidth="1"/>
    <col min="13058" max="13069" width="9.5" style="66" customWidth="1"/>
    <col min="13070" max="13070" width="10.5" style="66" customWidth="1"/>
    <col min="13071" max="13071" width="11.8984375" style="66" customWidth="1"/>
    <col min="13072" max="13072" width="11.09765625" style="66" customWidth="1"/>
    <col min="13073" max="13113" width="11.3984375" style="66" bestFit="1" customWidth="1"/>
    <col min="13114" max="13114" width="10.3984375" style="66" customWidth="1"/>
    <col min="13115" max="13312" width="9" style="66"/>
    <col min="13313" max="13313" width="13.5" style="66" customWidth="1"/>
    <col min="13314" max="13325" width="9.5" style="66" customWidth="1"/>
    <col min="13326" max="13326" width="10.5" style="66" customWidth="1"/>
    <col min="13327" max="13327" width="11.8984375" style="66" customWidth="1"/>
    <col min="13328" max="13328" width="11.09765625" style="66" customWidth="1"/>
    <col min="13329" max="13369" width="11.3984375" style="66" bestFit="1" customWidth="1"/>
    <col min="13370" max="13370" width="10.3984375" style="66" customWidth="1"/>
    <col min="13371" max="13568" width="9" style="66"/>
    <col min="13569" max="13569" width="13.5" style="66" customWidth="1"/>
    <col min="13570" max="13581" width="9.5" style="66" customWidth="1"/>
    <col min="13582" max="13582" width="10.5" style="66" customWidth="1"/>
    <col min="13583" max="13583" width="11.8984375" style="66" customWidth="1"/>
    <col min="13584" max="13584" width="11.09765625" style="66" customWidth="1"/>
    <col min="13585" max="13625" width="11.3984375" style="66" bestFit="1" customWidth="1"/>
    <col min="13626" max="13626" width="10.3984375" style="66" customWidth="1"/>
    <col min="13627" max="13824" width="9" style="66"/>
    <col min="13825" max="13825" width="13.5" style="66" customWidth="1"/>
    <col min="13826" max="13837" width="9.5" style="66" customWidth="1"/>
    <col min="13838" max="13838" width="10.5" style="66" customWidth="1"/>
    <col min="13839" max="13839" width="11.8984375" style="66" customWidth="1"/>
    <col min="13840" max="13840" width="11.09765625" style="66" customWidth="1"/>
    <col min="13841" max="13881" width="11.3984375" style="66" bestFit="1" customWidth="1"/>
    <col min="13882" max="13882" width="10.3984375" style="66" customWidth="1"/>
    <col min="13883" max="14080" width="9" style="66"/>
    <col min="14081" max="14081" width="13.5" style="66" customWidth="1"/>
    <col min="14082" max="14093" width="9.5" style="66" customWidth="1"/>
    <col min="14094" max="14094" width="10.5" style="66" customWidth="1"/>
    <col min="14095" max="14095" width="11.8984375" style="66" customWidth="1"/>
    <col min="14096" max="14096" width="11.09765625" style="66" customWidth="1"/>
    <col min="14097" max="14137" width="11.3984375" style="66" bestFit="1" customWidth="1"/>
    <col min="14138" max="14138" width="10.3984375" style="66" customWidth="1"/>
    <col min="14139" max="14336" width="9" style="66"/>
    <col min="14337" max="14337" width="13.5" style="66" customWidth="1"/>
    <col min="14338" max="14349" width="9.5" style="66" customWidth="1"/>
    <col min="14350" max="14350" width="10.5" style="66" customWidth="1"/>
    <col min="14351" max="14351" width="11.8984375" style="66" customWidth="1"/>
    <col min="14352" max="14352" width="11.09765625" style="66" customWidth="1"/>
    <col min="14353" max="14393" width="11.3984375" style="66" bestFit="1" customWidth="1"/>
    <col min="14394" max="14394" width="10.3984375" style="66" customWidth="1"/>
    <col min="14395" max="14592" width="9" style="66"/>
    <col min="14593" max="14593" width="13.5" style="66" customWidth="1"/>
    <col min="14594" max="14605" width="9.5" style="66" customWidth="1"/>
    <col min="14606" max="14606" width="10.5" style="66" customWidth="1"/>
    <col min="14607" max="14607" width="11.8984375" style="66" customWidth="1"/>
    <col min="14608" max="14608" width="11.09765625" style="66" customWidth="1"/>
    <col min="14609" max="14649" width="11.3984375" style="66" bestFit="1" customWidth="1"/>
    <col min="14650" max="14650" width="10.3984375" style="66" customWidth="1"/>
    <col min="14651" max="14848" width="9" style="66"/>
    <col min="14849" max="14849" width="13.5" style="66" customWidth="1"/>
    <col min="14850" max="14861" width="9.5" style="66" customWidth="1"/>
    <col min="14862" max="14862" width="10.5" style="66" customWidth="1"/>
    <col min="14863" max="14863" width="11.8984375" style="66" customWidth="1"/>
    <col min="14864" max="14864" width="11.09765625" style="66" customWidth="1"/>
    <col min="14865" max="14905" width="11.3984375" style="66" bestFit="1" customWidth="1"/>
    <col min="14906" max="14906" width="10.3984375" style="66" customWidth="1"/>
    <col min="14907" max="15104" width="9" style="66"/>
    <col min="15105" max="15105" width="13.5" style="66" customWidth="1"/>
    <col min="15106" max="15117" width="9.5" style="66" customWidth="1"/>
    <col min="15118" max="15118" width="10.5" style="66" customWidth="1"/>
    <col min="15119" max="15119" width="11.8984375" style="66" customWidth="1"/>
    <col min="15120" max="15120" width="11.09765625" style="66" customWidth="1"/>
    <col min="15121" max="15161" width="11.3984375" style="66" bestFit="1" customWidth="1"/>
    <col min="15162" max="15162" width="10.3984375" style="66" customWidth="1"/>
    <col min="15163" max="15360" width="9" style="66"/>
    <col min="15361" max="15361" width="13.5" style="66" customWidth="1"/>
    <col min="15362" max="15373" width="9.5" style="66" customWidth="1"/>
    <col min="15374" max="15374" width="10.5" style="66" customWidth="1"/>
    <col min="15375" max="15375" width="11.8984375" style="66" customWidth="1"/>
    <col min="15376" max="15376" width="11.09765625" style="66" customWidth="1"/>
    <col min="15377" max="15417" width="11.3984375" style="66" bestFit="1" customWidth="1"/>
    <col min="15418" max="15418" width="10.3984375" style="66" customWidth="1"/>
    <col min="15419" max="15616" width="9" style="66"/>
    <col min="15617" max="15617" width="13.5" style="66" customWidth="1"/>
    <col min="15618" max="15629" width="9.5" style="66" customWidth="1"/>
    <col min="15630" max="15630" width="10.5" style="66" customWidth="1"/>
    <col min="15631" max="15631" width="11.8984375" style="66" customWidth="1"/>
    <col min="15632" max="15632" width="11.09765625" style="66" customWidth="1"/>
    <col min="15633" max="15673" width="11.3984375" style="66" bestFit="1" customWidth="1"/>
    <col min="15674" max="15674" width="10.3984375" style="66" customWidth="1"/>
    <col min="15675" max="15872" width="9" style="66"/>
    <col min="15873" max="15873" width="13.5" style="66" customWidth="1"/>
    <col min="15874" max="15885" width="9.5" style="66" customWidth="1"/>
    <col min="15886" max="15886" width="10.5" style="66" customWidth="1"/>
    <col min="15887" max="15887" width="11.8984375" style="66" customWidth="1"/>
    <col min="15888" max="15888" width="11.09765625" style="66" customWidth="1"/>
    <col min="15889" max="15929" width="11.3984375" style="66" bestFit="1" customWidth="1"/>
    <col min="15930" max="15930" width="10.3984375" style="66" customWidth="1"/>
    <col min="15931" max="16128" width="9" style="66"/>
    <col min="16129" max="16129" width="13.5" style="66" customWidth="1"/>
    <col min="16130" max="16141" width="9.5" style="66" customWidth="1"/>
    <col min="16142" max="16142" width="10.5" style="66" customWidth="1"/>
    <col min="16143" max="16143" width="11.8984375" style="66" customWidth="1"/>
    <col min="16144" max="16144" width="11.09765625" style="66" customWidth="1"/>
    <col min="16145" max="16185" width="11.3984375" style="66" bestFit="1" customWidth="1"/>
    <col min="16186" max="16186" width="10.3984375" style="66" customWidth="1"/>
    <col min="16187" max="16384" width="9" style="66"/>
  </cols>
  <sheetData>
    <row r="1" spans="1:15" s="52" customFormat="1" ht="19.95" customHeight="1">
      <c r="A1" s="343" t="s">
        <v>26</v>
      </c>
      <c r="B1" s="343"/>
      <c r="C1" s="343"/>
      <c r="D1" s="343"/>
      <c r="E1" s="343"/>
      <c r="F1" s="343"/>
      <c r="G1" s="343"/>
      <c r="H1" s="343"/>
      <c r="I1" s="343"/>
      <c r="J1" s="343"/>
      <c r="K1" s="343"/>
      <c r="L1" s="343"/>
      <c r="M1" s="343"/>
      <c r="N1" s="343"/>
      <c r="O1" s="343"/>
    </row>
    <row r="2" spans="1:15" s="53" customFormat="1" ht="19.95" customHeight="1">
      <c r="A2" s="344" t="s">
        <v>376</v>
      </c>
      <c r="B2" s="344"/>
      <c r="C2" s="344"/>
      <c r="D2" s="344"/>
      <c r="E2" s="344"/>
      <c r="F2" s="344"/>
      <c r="G2" s="344"/>
      <c r="H2" s="344"/>
      <c r="I2" s="344"/>
      <c r="J2" s="344"/>
      <c r="K2" s="344"/>
      <c r="L2" s="344"/>
      <c r="M2" s="344"/>
      <c r="N2" s="344"/>
      <c r="O2" s="344"/>
    </row>
    <row r="3" spans="1:15" s="38" customFormat="1" ht="19.95" customHeight="1">
      <c r="A3" s="37" t="str">
        <f>底稿目录!A2</f>
        <v>被审计单位：</v>
      </c>
      <c r="F3" s="54" t="str">
        <f>底稿目录!A4</f>
        <v>编制人：</v>
      </c>
      <c r="G3" s="55"/>
      <c r="H3" s="55"/>
      <c r="I3" s="55"/>
      <c r="J3" s="54" t="str">
        <f>底稿目录!A5</f>
        <v>编制日期：</v>
      </c>
      <c r="K3" s="109"/>
      <c r="M3" s="39" t="s">
        <v>0</v>
      </c>
      <c r="N3" s="166" t="str">
        <f>底稿目录!F9</f>
        <v>F5-6</v>
      </c>
    </row>
    <row r="4" spans="1:15" s="38" customFormat="1" ht="19.95" customHeight="1">
      <c r="A4" s="37" t="str">
        <f>底稿目录!A3</f>
        <v>会计期间：202X年度</v>
      </c>
      <c r="F4" s="54" t="str">
        <f>底稿目录!A6</f>
        <v>复核人：</v>
      </c>
      <c r="G4" s="55"/>
      <c r="H4" s="55"/>
      <c r="I4" s="55"/>
      <c r="J4" s="54" t="str">
        <f>底稿目录!A7</f>
        <v>复核日期：</v>
      </c>
      <c r="K4" s="109"/>
      <c r="M4" s="39" t="s">
        <v>70</v>
      </c>
      <c r="N4" s="37"/>
    </row>
    <row r="5" spans="1:15" s="38" customFormat="1" ht="19.95" customHeight="1">
      <c r="A5" s="41" t="s">
        <v>312</v>
      </c>
      <c r="E5" s="40"/>
      <c r="H5" s="40"/>
      <c r="K5" s="39"/>
      <c r="L5" s="37"/>
    </row>
    <row r="6" spans="1:15" s="38" customFormat="1" ht="19.95" customHeight="1">
      <c r="A6" s="282" t="s">
        <v>311</v>
      </c>
      <c r="E6" s="40"/>
      <c r="H6" s="40"/>
      <c r="K6" s="39"/>
      <c r="L6" s="37"/>
    </row>
    <row r="7" spans="1:15" s="38" customFormat="1" ht="19.95" customHeight="1">
      <c r="A7" s="282" t="s">
        <v>310</v>
      </c>
      <c r="E7" s="40"/>
      <c r="H7" s="40"/>
      <c r="K7" s="39"/>
      <c r="L7" s="37"/>
    </row>
    <row r="8" spans="1:15" s="38" customFormat="1" ht="19.95" customHeight="1">
      <c r="A8" s="41" t="s">
        <v>71</v>
      </c>
      <c r="E8" s="40"/>
      <c r="H8" s="40"/>
      <c r="K8" s="39"/>
      <c r="L8" s="37"/>
    </row>
    <row r="9" spans="1:15" s="55" customFormat="1" ht="19.95" customHeight="1">
      <c r="A9" s="67" t="s">
        <v>378</v>
      </c>
      <c r="E9" s="54"/>
      <c r="H9" s="54"/>
      <c r="K9" s="57"/>
      <c r="L9" s="54"/>
    </row>
    <row r="10" spans="1:15" s="58" customFormat="1" ht="19.95" customHeight="1">
      <c r="A10" s="93" t="s">
        <v>313</v>
      </c>
      <c r="B10" s="93" t="s">
        <v>53</v>
      </c>
      <c r="C10" s="93" t="s">
        <v>54</v>
      </c>
      <c r="D10" s="93" t="s">
        <v>55</v>
      </c>
      <c r="E10" s="93" t="s">
        <v>56</v>
      </c>
      <c r="F10" s="93" t="s">
        <v>57</v>
      </c>
      <c r="G10" s="93" t="s">
        <v>58</v>
      </c>
      <c r="H10" s="93" t="s">
        <v>59</v>
      </c>
      <c r="I10" s="93" t="s">
        <v>60</v>
      </c>
      <c r="J10" s="93" t="s">
        <v>61</v>
      </c>
      <c r="K10" s="93" t="s">
        <v>62</v>
      </c>
      <c r="L10" s="93" t="s">
        <v>63</v>
      </c>
      <c r="M10" s="93" t="s">
        <v>64</v>
      </c>
      <c r="N10" s="93" t="s">
        <v>65</v>
      </c>
    </row>
    <row r="11" spans="1:15" s="59" customFormat="1" ht="19.95" customHeight="1">
      <c r="A11" s="95" t="s">
        <v>101</v>
      </c>
      <c r="B11" s="252">
        <f>SUM(B12:B15)</f>
        <v>0</v>
      </c>
      <c r="C11" s="252">
        <f t="shared" ref="C11:N11" si="0">SUM(C12:C15)</f>
        <v>0</v>
      </c>
      <c r="D11" s="252">
        <f t="shared" si="0"/>
        <v>0</v>
      </c>
      <c r="E11" s="252">
        <f t="shared" si="0"/>
        <v>0</v>
      </c>
      <c r="F11" s="252">
        <f t="shared" si="0"/>
        <v>0</v>
      </c>
      <c r="G11" s="252">
        <f t="shared" si="0"/>
        <v>0</v>
      </c>
      <c r="H11" s="252">
        <f t="shared" si="0"/>
        <v>0</v>
      </c>
      <c r="I11" s="252">
        <f t="shared" si="0"/>
        <v>0</v>
      </c>
      <c r="J11" s="252">
        <f t="shared" si="0"/>
        <v>0</v>
      </c>
      <c r="K11" s="252">
        <f t="shared" si="0"/>
        <v>0</v>
      </c>
      <c r="L11" s="252">
        <f t="shared" si="0"/>
        <v>0</v>
      </c>
      <c r="M11" s="252">
        <f t="shared" si="0"/>
        <v>0</v>
      </c>
      <c r="N11" s="252">
        <f t="shared" si="0"/>
        <v>0</v>
      </c>
    </row>
    <row r="12" spans="1:15" s="55" customFormat="1" ht="19.95" customHeight="1">
      <c r="A12" s="120" t="s">
        <v>99</v>
      </c>
      <c r="B12" s="60"/>
      <c r="C12" s="60"/>
      <c r="D12" s="60"/>
      <c r="E12" s="60"/>
      <c r="F12" s="60"/>
      <c r="G12" s="60"/>
      <c r="H12" s="60"/>
      <c r="I12" s="60"/>
      <c r="J12" s="60"/>
      <c r="K12" s="60"/>
      <c r="L12" s="60"/>
      <c r="M12" s="60"/>
      <c r="N12" s="253">
        <f>SUM(B12:M12)</f>
        <v>0</v>
      </c>
    </row>
    <row r="13" spans="1:15" s="55" customFormat="1" ht="19.95" customHeight="1">
      <c r="A13" s="120" t="s">
        <v>100</v>
      </c>
      <c r="B13" s="60"/>
      <c r="C13" s="60"/>
      <c r="D13" s="60"/>
      <c r="E13" s="60"/>
      <c r="F13" s="60"/>
      <c r="G13" s="60"/>
      <c r="H13" s="60"/>
      <c r="I13" s="60"/>
      <c r="J13" s="60"/>
      <c r="K13" s="61"/>
      <c r="L13" s="60"/>
      <c r="M13" s="60"/>
      <c r="N13" s="253">
        <f t="shared" ref="N13:N15" si="1">SUM(B13:M13)</f>
        <v>0</v>
      </c>
    </row>
    <row r="14" spans="1:15" s="55" customFormat="1" ht="19.95" customHeight="1">
      <c r="A14" s="120" t="s">
        <v>97</v>
      </c>
      <c r="B14" s="60"/>
      <c r="C14" s="60"/>
      <c r="D14" s="60"/>
      <c r="E14" s="60"/>
      <c r="F14" s="60"/>
      <c r="G14" s="60"/>
      <c r="H14" s="60"/>
      <c r="I14" s="60"/>
      <c r="J14" s="60"/>
      <c r="K14" s="61"/>
      <c r="L14" s="60"/>
      <c r="M14" s="60"/>
      <c r="N14" s="253">
        <f t="shared" si="1"/>
        <v>0</v>
      </c>
    </row>
    <row r="15" spans="1:15" s="55" customFormat="1" ht="19.95" customHeight="1">
      <c r="A15" s="120" t="s">
        <v>98</v>
      </c>
      <c r="B15" s="60"/>
      <c r="C15" s="60"/>
      <c r="D15" s="60"/>
      <c r="E15" s="60"/>
      <c r="F15" s="60"/>
      <c r="G15" s="60"/>
      <c r="H15" s="60"/>
      <c r="I15" s="60"/>
      <c r="J15" s="60"/>
      <c r="K15" s="61"/>
      <c r="L15" s="60"/>
      <c r="M15" s="60"/>
      <c r="N15" s="253">
        <f t="shared" si="1"/>
        <v>0</v>
      </c>
    </row>
    <row r="16" spans="1:15" s="59" customFormat="1" ht="19.95" customHeight="1">
      <c r="A16" s="95" t="s">
        <v>102</v>
      </c>
      <c r="B16" s="252">
        <f>SUM(B17:B20)</f>
        <v>0</v>
      </c>
      <c r="C16" s="252">
        <f t="shared" ref="C16:N16" si="2">SUM(C17:C20)</f>
        <v>0</v>
      </c>
      <c r="D16" s="252">
        <f t="shared" si="2"/>
        <v>0</v>
      </c>
      <c r="E16" s="252">
        <f t="shared" si="2"/>
        <v>0</v>
      </c>
      <c r="F16" s="252">
        <f t="shared" si="2"/>
        <v>0</v>
      </c>
      <c r="G16" s="252">
        <f t="shared" si="2"/>
        <v>0</v>
      </c>
      <c r="H16" s="252">
        <f t="shared" si="2"/>
        <v>0</v>
      </c>
      <c r="I16" s="252">
        <f t="shared" si="2"/>
        <v>0</v>
      </c>
      <c r="J16" s="252">
        <f t="shared" si="2"/>
        <v>0</v>
      </c>
      <c r="K16" s="252">
        <f t="shared" si="2"/>
        <v>0</v>
      </c>
      <c r="L16" s="252">
        <f t="shared" si="2"/>
        <v>0</v>
      </c>
      <c r="M16" s="252">
        <f t="shared" si="2"/>
        <v>0</v>
      </c>
      <c r="N16" s="252">
        <f t="shared" si="2"/>
        <v>0</v>
      </c>
    </row>
    <row r="17" spans="1:15" s="55" customFormat="1" ht="19.95" customHeight="1">
      <c r="A17" s="120" t="s">
        <v>99</v>
      </c>
      <c r="B17" s="60"/>
      <c r="C17" s="60"/>
      <c r="D17" s="60"/>
      <c r="E17" s="60"/>
      <c r="F17" s="60"/>
      <c r="G17" s="60"/>
      <c r="H17" s="60"/>
      <c r="I17" s="60"/>
      <c r="J17" s="60"/>
      <c r="K17" s="61"/>
      <c r="L17" s="60"/>
      <c r="M17" s="60"/>
      <c r="N17" s="253">
        <f>SUM(B17:M17)</f>
        <v>0</v>
      </c>
    </row>
    <row r="18" spans="1:15" s="55" customFormat="1" ht="19.95" customHeight="1">
      <c r="A18" s="120" t="s">
        <v>100</v>
      </c>
      <c r="B18" s="60"/>
      <c r="C18" s="60"/>
      <c r="D18" s="60"/>
      <c r="E18" s="60"/>
      <c r="F18" s="60"/>
      <c r="G18" s="60"/>
      <c r="H18" s="60"/>
      <c r="I18" s="60"/>
      <c r="J18" s="60"/>
      <c r="K18" s="61"/>
      <c r="L18" s="60"/>
      <c r="M18" s="60"/>
      <c r="N18" s="253">
        <f>SUM(B18:M18)</f>
        <v>0</v>
      </c>
    </row>
    <row r="19" spans="1:15" s="55" customFormat="1" ht="19.95" customHeight="1">
      <c r="A19" s="120" t="s">
        <v>97</v>
      </c>
      <c r="B19" s="60"/>
      <c r="C19" s="60"/>
      <c r="D19" s="60"/>
      <c r="E19" s="60"/>
      <c r="F19" s="60"/>
      <c r="G19" s="60"/>
      <c r="H19" s="60"/>
      <c r="I19" s="60"/>
      <c r="J19" s="60"/>
      <c r="K19" s="61"/>
      <c r="L19" s="60"/>
      <c r="M19" s="60"/>
      <c r="N19" s="253">
        <f t="shared" ref="N19:N20" si="3">SUM(B19:M19)</f>
        <v>0</v>
      </c>
    </row>
    <row r="20" spans="1:15" s="55" customFormat="1" ht="19.95" customHeight="1">
      <c r="A20" s="120" t="s">
        <v>98</v>
      </c>
      <c r="B20" s="60"/>
      <c r="C20" s="60"/>
      <c r="D20" s="60"/>
      <c r="E20" s="60"/>
      <c r="F20" s="60"/>
      <c r="G20" s="60"/>
      <c r="H20" s="60"/>
      <c r="I20" s="60"/>
      <c r="J20" s="60"/>
      <c r="K20" s="61"/>
      <c r="L20" s="60"/>
      <c r="M20" s="60"/>
      <c r="N20" s="253">
        <f t="shared" si="3"/>
        <v>0</v>
      </c>
    </row>
    <row r="21" spans="1:15" s="59" customFormat="1" ht="19.95" customHeight="1">
      <c r="A21" s="94" t="s">
        <v>65</v>
      </c>
      <c r="B21" s="252">
        <f>B11+B16</f>
        <v>0</v>
      </c>
      <c r="C21" s="252">
        <f t="shared" ref="C21:N21" si="4">C11+C16</f>
        <v>0</v>
      </c>
      <c r="D21" s="252">
        <f t="shared" si="4"/>
        <v>0</v>
      </c>
      <c r="E21" s="252">
        <f t="shared" si="4"/>
        <v>0</v>
      </c>
      <c r="F21" s="252">
        <f t="shared" si="4"/>
        <v>0</v>
      </c>
      <c r="G21" s="252">
        <f t="shared" si="4"/>
        <v>0</v>
      </c>
      <c r="H21" s="252">
        <f t="shared" si="4"/>
        <v>0</v>
      </c>
      <c r="I21" s="252">
        <f t="shared" si="4"/>
        <v>0</v>
      </c>
      <c r="J21" s="252">
        <f t="shared" si="4"/>
        <v>0</v>
      </c>
      <c r="K21" s="252">
        <f t="shared" si="4"/>
        <v>0</v>
      </c>
      <c r="L21" s="252">
        <f t="shared" si="4"/>
        <v>0</v>
      </c>
      <c r="M21" s="252">
        <f t="shared" si="4"/>
        <v>0</v>
      </c>
      <c r="N21" s="252">
        <f t="shared" si="4"/>
        <v>0</v>
      </c>
    </row>
    <row r="22" spans="1:15" s="71" customFormat="1" ht="19.95" customHeight="1">
      <c r="A22" s="56" t="s">
        <v>314</v>
      </c>
      <c r="B22" s="68"/>
      <c r="C22" s="69"/>
      <c r="D22" s="69"/>
      <c r="E22" s="69"/>
      <c r="F22" s="69"/>
      <c r="G22" s="69"/>
      <c r="H22" s="69"/>
      <c r="I22" s="69"/>
      <c r="J22" s="69"/>
      <c r="K22" s="69"/>
      <c r="L22" s="69"/>
      <c r="M22" s="69"/>
      <c r="N22" s="69"/>
      <c r="O22" s="70"/>
    </row>
    <row r="23" spans="1:15" s="58" customFormat="1" ht="19.95" customHeight="1">
      <c r="A23" s="93" t="s">
        <v>51</v>
      </c>
      <c r="B23" s="94" t="s">
        <v>53</v>
      </c>
      <c r="C23" s="94" t="s">
        <v>54</v>
      </c>
      <c r="D23" s="94" t="s">
        <v>55</v>
      </c>
      <c r="E23" s="94" t="s">
        <v>56</v>
      </c>
      <c r="F23" s="94" t="s">
        <v>57</v>
      </c>
      <c r="G23" s="94" t="s">
        <v>58</v>
      </c>
      <c r="H23" s="94" t="s">
        <v>59</v>
      </c>
      <c r="I23" s="94" t="s">
        <v>60</v>
      </c>
      <c r="J23" s="94" t="s">
        <v>61</v>
      </c>
      <c r="K23" s="94" t="s">
        <v>62</v>
      </c>
      <c r="L23" s="94" t="s">
        <v>63</v>
      </c>
      <c r="M23" s="94" t="s">
        <v>64</v>
      </c>
      <c r="N23" s="94" t="s">
        <v>65</v>
      </c>
    </row>
    <row r="24" spans="1:15" s="59" customFormat="1" ht="19.95" customHeight="1">
      <c r="A24" s="95" t="s">
        <v>103</v>
      </c>
      <c r="B24" s="252">
        <f>SUM(B25:B28)</f>
        <v>0</v>
      </c>
      <c r="C24" s="252">
        <f>SUM(C25:C28)</f>
        <v>0</v>
      </c>
      <c r="D24" s="252">
        <f t="shared" ref="D24:N24" si="5">SUM(D25:D28)</f>
        <v>0</v>
      </c>
      <c r="E24" s="252">
        <f t="shared" si="5"/>
        <v>0</v>
      </c>
      <c r="F24" s="252">
        <f t="shared" si="5"/>
        <v>0</v>
      </c>
      <c r="G24" s="252">
        <f t="shared" si="5"/>
        <v>0</v>
      </c>
      <c r="H24" s="252">
        <f t="shared" si="5"/>
        <v>0</v>
      </c>
      <c r="I24" s="252">
        <f t="shared" si="5"/>
        <v>0</v>
      </c>
      <c r="J24" s="252">
        <f t="shared" si="5"/>
        <v>0</v>
      </c>
      <c r="K24" s="252">
        <f t="shared" si="5"/>
        <v>0</v>
      </c>
      <c r="L24" s="252">
        <f t="shared" si="5"/>
        <v>0</v>
      </c>
      <c r="M24" s="252">
        <f t="shared" si="5"/>
        <v>0</v>
      </c>
      <c r="N24" s="252">
        <f t="shared" si="5"/>
        <v>0</v>
      </c>
    </row>
    <row r="25" spans="1:15" s="55" customFormat="1" ht="19.95" customHeight="1">
      <c r="A25" s="120" t="s">
        <v>104</v>
      </c>
      <c r="B25" s="60"/>
      <c r="C25" s="60"/>
      <c r="D25" s="60"/>
      <c r="E25" s="60"/>
      <c r="F25" s="60"/>
      <c r="G25" s="60"/>
      <c r="H25" s="60"/>
      <c r="I25" s="60"/>
      <c r="J25" s="60"/>
      <c r="K25" s="60"/>
      <c r="L25" s="60"/>
      <c r="M25" s="60"/>
      <c r="N25" s="253">
        <f>SUM(B25:M25)</f>
        <v>0</v>
      </c>
    </row>
    <row r="26" spans="1:15" s="55" customFormat="1" ht="19.95" customHeight="1">
      <c r="A26" s="120" t="s">
        <v>105</v>
      </c>
      <c r="B26" s="60"/>
      <c r="C26" s="60"/>
      <c r="D26" s="60"/>
      <c r="E26" s="60"/>
      <c r="F26" s="60"/>
      <c r="G26" s="60"/>
      <c r="H26" s="60"/>
      <c r="I26" s="60"/>
      <c r="J26" s="60"/>
      <c r="K26" s="61"/>
      <c r="L26" s="60"/>
      <c r="M26" s="60"/>
      <c r="N26" s="253">
        <f t="shared" ref="N26:N28" si="6">SUM(B26:M26)</f>
        <v>0</v>
      </c>
    </row>
    <row r="27" spans="1:15" s="55" customFormat="1" ht="19.95" customHeight="1">
      <c r="A27" s="120" t="s">
        <v>97</v>
      </c>
      <c r="B27" s="60"/>
      <c r="C27" s="60"/>
      <c r="D27" s="60"/>
      <c r="E27" s="60"/>
      <c r="F27" s="60"/>
      <c r="G27" s="60"/>
      <c r="H27" s="60"/>
      <c r="I27" s="60"/>
      <c r="J27" s="60"/>
      <c r="K27" s="61"/>
      <c r="L27" s="60"/>
      <c r="M27" s="60"/>
      <c r="N27" s="253">
        <f t="shared" si="6"/>
        <v>0</v>
      </c>
    </row>
    <row r="28" spans="1:15" s="55" customFormat="1" ht="19.95" customHeight="1">
      <c r="A28" s="120" t="s">
        <v>98</v>
      </c>
      <c r="B28" s="60"/>
      <c r="C28" s="60"/>
      <c r="D28" s="60"/>
      <c r="E28" s="60"/>
      <c r="F28" s="60"/>
      <c r="G28" s="60"/>
      <c r="H28" s="60"/>
      <c r="I28" s="60"/>
      <c r="J28" s="60"/>
      <c r="K28" s="61"/>
      <c r="L28" s="60"/>
      <c r="M28" s="60"/>
      <c r="N28" s="253">
        <f t="shared" si="6"/>
        <v>0</v>
      </c>
    </row>
    <row r="29" spans="1:15" s="59" customFormat="1" ht="19.95" customHeight="1">
      <c r="A29" s="95" t="s">
        <v>106</v>
      </c>
      <c r="B29" s="252">
        <f>SUM(B30:B33)</f>
        <v>0</v>
      </c>
      <c r="C29" s="252">
        <f t="shared" ref="C29:N29" si="7">SUM(C30:C33)</f>
        <v>0</v>
      </c>
      <c r="D29" s="252">
        <f t="shared" si="7"/>
        <v>0</v>
      </c>
      <c r="E29" s="252">
        <f t="shared" si="7"/>
        <v>0</v>
      </c>
      <c r="F29" s="252">
        <f t="shared" si="7"/>
        <v>0</v>
      </c>
      <c r="G29" s="252">
        <f t="shared" si="7"/>
        <v>0</v>
      </c>
      <c r="H29" s="252">
        <f t="shared" si="7"/>
        <v>0</v>
      </c>
      <c r="I29" s="252">
        <f t="shared" si="7"/>
        <v>0</v>
      </c>
      <c r="J29" s="252">
        <f t="shared" si="7"/>
        <v>0</v>
      </c>
      <c r="K29" s="252">
        <f t="shared" si="7"/>
        <v>0</v>
      </c>
      <c r="L29" s="252">
        <f t="shared" si="7"/>
        <v>0</v>
      </c>
      <c r="M29" s="252">
        <f t="shared" si="7"/>
        <v>0</v>
      </c>
      <c r="N29" s="252">
        <f t="shared" si="7"/>
        <v>0</v>
      </c>
    </row>
    <row r="30" spans="1:15" s="55" customFormat="1" ht="19.95" customHeight="1">
      <c r="A30" s="120" t="s">
        <v>104</v>
      </c>
      <c r="B30" s="60"/>
      <c r="C30" s="60"/>
      <c r="D30" s="60"/>
      <c r="E30" s="60"/>
      <c r="F30" s="60"/>
      <c r="G30" s="60"/>
      <c r="H30" s="60"/>
      <c r="I30" s="60"/>
      <c r="J30" s="60"/>
      <c r="K30" s="61"/>
      <c r="L30" s="60"/>
      <c r="M30" s="60"/>
      <c r="N30" s="253">
        <f>SUM(B30:M30)</f>
        <v>0</v>
      </c>
    </row>
    <row r="31" spans="1:15" s="55" customFormat="1" ht="19.95" customHeight="1">
      <c r="A31" s="120" t="s">
        <v>105</v>
      </c>
      <c r="B31" s="60"/>
      <c r="C31" s="60"/>
      <c r="D31" s="60"/>
      <c r="E31" s="60"/>
      <c r="F31" s="60"/>
      <c r="G31" s="60"/>
      <c r="H31" s="60"/>
      <c r="I31" s="60"/>
      <c r="J31" s="60"/>
      <c r="K31" s="61"/>
      <c r="L31" s="60"/>
      <c r="M31" s="60"/>
      <c r="N31" s="253">
        <f>SUM(B31:M31)</f>
        <v>0</v>
      </c>
    </row>
    <row r="32" spans="1:15" s="55" customFormat="1" ht="19.95" customHeight="1">
      <c r="A32" s="120" t="s">
        <v>97</v>
      </c>
      <c r="B32" s="60"/>
      <c r="C32" s="60"/>
      <c r="D32" s="60"/>
      <c r="E32" s="60"/>
      <c r="F32" s="60"/>
      <c r="G32" s="60"/>
      <c r="H32" s="60"/>
      <c r="I32" s="60"/>
      <c r="J32" s="60"/>
      <c r="K32" s="61"/>
      <c r="L32" s="60"/>
      <c r="M32" s="60"/>
      <c r="N32" s="253">
        <f t="shared" ref="N32:N33" si="8">SUM(B32:M32)</f>
        <v>0</v>
      </c>
    </row>
    <row r="33" spans="1:15" s="55" customFormat="1" ht="19.95" customHeight="1">
      <c r="A33" s="120" t="s">
        <v>98</v>
      </c>
      <c r="B33" s="60"/>
      <c r="C33" s="60"/>
      <c r="D33" s="60"/>
      <c r="E33" s="60"/>
      <c r="F33" s="60"/>
      <c r="G33" s="60"/>
      <c r="H33" s="60"/>
      <c r="I33" s="60"/>
      <c r="J33" s="60"/>
      <c r="K33" s="61"/>
      <c r="L33" s="60"/>
      <c r="M33" s="60"/>
      <c r="N33" s="253">
        <f t="shared" si="8"/>
        <v>0</v>
      </c>
    </row>
    <row r="34" spans="1:15" s="59" customFormat="1" ht="19.95" customHeight="1">
      <c r="A34" s="94" t="s">
        <v>65</v>
      </c>
      <c r="B34" s="252">
        <f>B24+B29</f>
        <v>0</v>
      </c>
      <c r="C34" s="252">
        <f t="shared" ref="C34:N34" si="9">C24+C29</f>
        <v>0</v>
      </c>
      <c r="D34" s="252">
        <f t="shared" si="9"/>
        <v>0</v>
      </c>
      <c r="E34" s="252">
        <f t="shared" si="9"/>
        <v>0</v>
      </c>
      <c r="F34" s="252">
        <f t="shared" si="9"/>
        <v>0</v>
      </c>
      <c r="G34" s="252">
        <f t="shared" si="9"/>
        <v>0</v>
      </c>
      <c r="H34" s="252">
        <f t="shared" si="9"/>
        <v>0</v>
      </c>
      <c r="I34" s="252">
        <f t="shared" si="9"/>
        <v>0</v>
      </c>
      <c r="J34" s="252">
        <f t="shared" si="9"/>
        <v>0</v>
      </c>
      <c r="K34" s="252">
        <f t="shared" si="9"/>
        <v>0</v>
      </c>
      <c r="L34" s="252">
        <f t="shared" si="9"/>
        <v>0</v>
      </c>
      <c r="M34" s="252">
        <f t="shared" si="9"/>
        <v>0</v>
      </c>
      <c r="N34" s="252">
        <f t="shared" si="9"/>
        <v>0</v>
      </c>
    </row>
    <row r="35" spans="1:15" s="71" customFormat="1" ht="19.95" customHeight="1">
      <c r="A35" s="68" t="s">
        <v>66</v>
      </c>
      <c r="B35" s="68"/>
      <c r="C35" s="69"/>
      <c r="D35" s="69"/>
      <c r="E35" s="69"/>
      <c r="F35" s="69"/>
      <c r="G35" s="69"/>
      <c r="H35" s="69"/>
      <c r="I35" s="69"/>
      <c r="J35" s="69"/>
      <c r="K35" s="69"/>
      <c r="L35" s="69"/>
      <c r="M35" s="69"/>
      <c r="N35" s="69"/>
      <c r="O35" s="70"/>
    </row>
    <row r="36" spans="1:15" s="71" customFormat="1" ht="19.95" customHeight="1">
      <c r="A36" s="97" t="s">
        <v>67</v>
      </c>
      <c r="B36" s="96" t="s">
        <v>53</v>
      </c>
      <c r="C36" s="96" t="s">
        <v>54</v>
      </c>
      <c r="D36" s="96" t="s">
        <v>55</v>
      </c>
      <c r="E36" s="96" t="s">
        <v>56</v>
      </c>
      <c r="F36" s="96" t="s">
        <v>57</v>
      </c>
      <c r="G36" s="96" t="s">
        <v>58</v>
      </c>
      <c r="H36" s="96" t="s">
        <v>59</v>
      </c>
      <c r="I36" s="96" t="s">
        <v>60</v>
      </c>
      <c r="J36" s="96" t="s">
        <v>61</v>
      </c>
      <c r="K36" s="96" t="s">
        <v>62</v>
      </c>
      <c r="L36" s="96" t="s">
        <v>63</v>
      </c>
      <c r="M36" s="96" t="s">
        <v>64</v>
      </c>
      <c r="N36" s="96" t="s">
        <v>65</v>
      </c>
      <c r="O36" s="70"/>
    </row>
    <row r="37" spans="1:15" s="71" customFormat="1" ht="19.95" customHeight="1">
      <c r="A37" s="95" t="s">
        <v>103</v>
      </c>
      <c r="B37" s="254">
        <f>B11-B24</f>
        <v>0</v>
      </c>
      <c r="C37" s="254">
        <f t="shared" ref="C37:N38" si="10">C11-C24</f>
        <v>0</v>
      </c>
      <c r="D37" s="254">
        <f t="shared" si="10"/>
        <v>0</v>
      </c>
      <c r="E37" s="254">
        <f t="shared" si="10"/>
        <v>0</v>
      </c>
      <c r="F37" s="254">
        <f t="shared" si="10"/>
        <v>0</v>
      </c>
      <c r="G37" s="254">
        <f t="shared" si="10"/>
        <v>0</v>
      </c>
      <c r="H37" s="254">
        <f t="shared" si="10"/>
        <v>0</v>
      </c>
      <c r="I37" s="254">
        <f t="shared" si="10"/>
        <v>0</v>
      </c>
      <c r="J37" s="254">
        <f t="shared" si="10"/>
        <v>0</v>
      </c>
      <c r="K37" s="254">
        <f t="shared" si="10"/>
        <v>0</v>
      </c>
      <c r="L37" s="254">
        <f t="shared" si="10"/>
        <v>0</v>
      </c>
      <c r="M37" s="254">
        <f t="shared" si="10"/>
        <v>0</v>
      </c>
      <c r="N37" s="254">
        <f t="shared" si="10"/>
        <v>0</v>
      </c>
      <c r="O37" s="70"/>
    </row>
    <row r="38" spans="1:15" s="71" customFormat="1" ht="19.95" customHeight="1">
      <c r="A38" s="120" t="s">
        <v>104</v>
      </c>
      <c r="B38" s="255">
        <f>B12-B25</f>
        <v>0</v>
      </c>
      <c r="C38" s="255">
        <f t="shared" si="10"/>
        <v>0</v>
      </c>
      <c r="D38" s="255">
        <f t="shared" si="10"/>
        <v>0</v>
      </c>
      <c r="E38" s="255">
        <f t="shared" si="10"/>
        <v>0</v>
      </c>
      <c r="F38" s="255">
        <f t="shared" si="10"/>
        <v>0</v>
      </c>
      <c r="G38" s="255">
        <f t="shared" si="10"/>
        <v>0</v>
      </c>
      <c r="H38" s="255">
        <f t="shared" si="10"/>
        <v>0</v>
      </c>
      <c r="I38" s="255">
        <f t="shared" si="10"/>
        <v>0</v>
      </c>
      <c r="J38" s="255">
        <f t="shared" si="10"/>
        <v>0</v>
      </c>
      <c r="K38" s="255">
        <f t="shared" si="10"/>
        <v>0</v>
      </c>
      <c r="L38" s="255">
        <f t="shared" si="10"/>
        <v>0</v>
      </c>
      <c r="M38" s="255">
        <f t="shared" si="10"/>
        <v>0</v>
      </c>
      <c r="N38" s="255">
        <f t="shared" si="10"/>
        <v>0</v>
      </c>
      <c r="O38" s="70"/>
    </row>
    <row r="39" spans="1:15" s="71" customFormat="1" ht="19.95" customHeight="1">
      <c r="A39" s="120" t="s">
        <v>105</v>
      </c>
      <c r="B39" s="255">
        <f t="shared" ref="B39:N42" si="11">B13-B26</f>
        <v>0</v>
      </c>
      <c r="C39" s="255">
        <f t="shared" si="11"/>
        <v>0</v>
      </c>
      <c r="D39" s="255">
        <f t="shared" si="11"/>
        <v>0</v>
      </c>
      <c r="E39" s="255">
        <f t="shared" si="11"/>
        <v>0</v>
      </c>
      <c r="F39" s="255">
        <f t="shared" si="11"/>
        <v>0</v>
      </c>
      <c r="G39" s="255">
        <f t="shared" si="11"/>
        <v>0</v>
      </c>
      <c r="H39" s="255">
        <f t="shared" si="11"/>
        <v>0</v>
      </c>
      <c r="I39" s="255">
        <f t="shared" si="11"/>
        <v>0</v>
      </c>
      <c r="J39" s="255">
        <f t="shared" si="11"/>
        <v>0</v>
      </c>
      <c r="K39" s="255">
        <f t="shared" si="11"/>
        <v>0</v>
      </c>
      <c r="L39" s="255">
        <f t="shared" si="11"/>
        <v>0</v>
      </c>
      <c r="M39" s="255">
        <f t="shared" si="11"/>
        <v>0</v>
      </c>
      <c r="N39" s="255">
        <f t="shared" si="11"/>
        <v>0</v>
      </c>
      <c r="O39" s="70"/>
    </row>
    <row r="40" spans="1:15" s="71" customFormat="1" ht="19.95" customHeight="1">
      <c r="A40" s="120" t="s">
        <v>97</v>
      </c>
      <c r="B40" s="255">
        <f t="shared" si="11"/>
        <v>0</v>
      </c>
      <c r="C40" s="255">
        <f t="shared" si="11"/>
        <v>0</v>
      </c>
      <c r="D40" s="255">
        <f t="shared" si="11"/>
        <v>0</v>
      </c>
      <c r="E40" s="255">
        <f t="shared" si="11"/>
        <v>0</v>
      </c>
      <c r="F40" s="255">
        <f t="shared" si="11"/>
        <v>0</v>
      </c>
      <c r="G40" s="255">
        <f t="shared" si="11"/>
        <v>0</v>
      </c>
      <c r="H40" s="255">
        <f t="shared" si="11"/>
        <v>0</v>
      </c>
      <c r="I40" s="255">
        <f t="shared" si="11"/>
        <v>0</v>
      </c>
      <c r="J40" s="255">
        <f t="shared" si="11"/>
        <v>0</v>
      </c>
      <c r="K40" s="255">
        <f t="shared" si="11"/>
        <v>0</v>
      </c>
      <c r="L40" s="255">
        <f t="shared" si="11"/>
        <v>0</v>
      </c>
      <c r="M40" s="255">
        <f t="shared" si="11"/>
        <v>0</v>
      </c>
      <c r="N40" s="255">
        <f t="shared" si="11"/>
        <v>0</v>
      </c>
      <c r="O40" s="70"/>
    </row>
    <row r="41" spans="1:15" s="71" customFormat="1" ht="19.95" customHeight="1">
      <c r="A41" s="120" t="s">
        <v>98</v>
      </c>
      <c r="B41" s="255">
        <f t="shared" si="11"/>
        <v>0</v>
      </c>
      <c r="C41" s="255">
        <f t="shared" si="11"/>
        <v>0</v>
      </c>
      <c r="D41" s="255">
        <f t="shared" si="11"/>
        <v>0</v>
      </c>
      <c r="E41" s="255">
        <f t="shared" si="11"/>
        <v>0</v>
      </c>
      <c r="F41" s="255">
        <f t="shared" si="11"/>
        <v>0</v>
      </c>
      <c r="G41" s="255">
        <f t="shared" si="11"/>
        <v>0</v>
      </c>
      <c r="H41" s="255">
        <f t="shared" si="11"/>
        <v>0</v>
      </c>
      <c r="I41" s="255">
        <f t="shared" si="11"/>
        <v>0</v>
      </c>
      <c r="J41" s="255">
        <f t="shared" si="11"/>
        <v>0</v>
      </c>
      <c r="K41" s="255">
        <f t="shared" si="11"/>
        <v>0</v>
      </c>
      <c r="L41" s="255">
        <f t="shared" si="11"/>
        <v>0</v>
      </c>
      <c r="M41" s="255">
        <f t="shared" si="11"/>
        <v>0</v>
      </c>
      <c r="N41" s="255">
        <f t="shared" si="11"/>
        <v>0</v>
      </c>
      <c r="O41" s="70"/>
    </row>
    <row r="42" spans="1:15" s="71" customFormat="1" ht="19.95" customHeight="1">
      <c r="A42" s="95" t="s">
        <v>106</v>
      </c>
      <c r="B42" s="254">
        <f>B16-B29</f>
        <v>0</v>
      </c>
      <c r="C42" s="254">
        <f t="shared" si="11"/>
        <v>0</v>
      </c>
      <c r="D42" s="254">
        <f t="shared" si="11"/>
        <v>0</v>
      </c>
      <c r="E42" s="254">
        <f t="shared" si="11"/>
        <v>0</v>
      </c>
      <c r="F42" s="254">
        <f t="shared" si="11"/>
        <v>0</v>
      </c>
      <c r="G42" s="254">
        <f t="shared" si="11"/>
        <v>0</v>
      </c>
      <c r="H42" s="254">
        <f t="shared" si="11"/>
        <v>0</v>
      </c>
      <c r="I42" s="254">
        <f t="shared" si="11"/>
        <v>0</v>
      </c>
      <c r="J42" s="254">
        <f t="shared" si="11"/>
        <v>0</v>
      </c>
      <c r="K42" s="254">
        <f t="shared" si="11"/>
        <v>0</v>
      </c>
      <c r="L42" s="254">
        <f t="shared" si="11"/>
        <v>0</v>
      </c>
      <c r="M42" s="254">
        <f t="shared" si="11"/>
        <v>0</v>
      </c>
      <c r="N42" s="254">
        <f t="shared" si="11"/>
        <v>0</v>
      </c>
      <c r="O42" s="70"/>
    </row>
    <row r="43" spans="1:15" s="71" customFormat="1" ht="19.95" customHeight="1">
      <c r="A43" s="120" t="s">
        <v>104</v>
      </c>
      <c r="B43" s="255">
        <f t="shared" ref="B43:N47" si="12">B17-B30</f>
        <v>0</v>
      </c>
      <c r="C43" s="255">
        <f t="shared" si="12"/>
        <v>0</v>
      </c>
      <c r="D43" s="255">
        <f t="shared" si="12"/>
        <v>0</v>
      </c>
      <c r="E43" s="255">
        <f t="shared" si="12"/>
        <v>0</v>
      </c>
      <c r="F43" s="255">
        <f t="shared" si="12"/>
        <v>0</v>
      </c>
      <c r="G43" s="255">
        <f t="shared" si="12"/>
        <v>0</v>
      </c>
      <c r="H43" s="255">
        <f t="shared" si="12"/>
        <v>0</v>
      </c>
      <c r="I43" s="255">
        <f t="shared" si="12"/>
        <v>0</v>
      </c>
      <c r="J43" s="255">
        <f t="shared" si="12"/>
        <v>0</v>
      </c>
      <c r="K43" s="255">
        <f t="shared" si="12"/>
        <v>0</v>
      </c>
      <c r="L43" s="255">
        <f t="shared" si="12"/>
        <v>0</v>
      </c>
      <c r="M43" s="255">
        <f t="shared" si="12"/>
        <v>0</v>
      </c>
      <c r="N43" s="255">
        <f t="shared" si="12"/>
        <v>0</v>
      </c>
      <c r="O43" s="70"/>
    </row>
    <row r="44" spans="1:15" s="71" customFormat="1" ht="19.95" customHeight="1">
      <c r="A44" s="120" t="s">
        <v>105</v>
      </c>
      <c r="B44" s="255">
        <f t="shared" si="12"/>
        <v>0</v>
      </c>
      <c r="C44" s="255">
        <f t="shared" si="12"/>
        <v>0</v>
      </c>
      <c r="D44" s="255">
        <f t="shared" si="12"/>
        <v>0</v>
      </c>
      <c r="E44" s="255">
        <f t="shared" si="12"/>
        <v>0</v>
      </c>
      <c r="F44" s="255">
        <f t="shared" si="12"/>
        <v>0</v>
      </c>
      <c r="G44" s="255">
        <f t="shared" si="12"/>
        <v>0</v>
      </c>
      <c r="H44" s="255">
        <f t="shared" si="12"/>
        <v>0</v>
      </c>
      <c r="I44" s="255">
        <f t="shared" si="12"/>
        <v>0</v>
      </c>
      <c r="J44" s="255">
        <f t="shared" si="12"/>
        <v>0</v>
      </c>
      <c r="K44" s="255">
        <f t="shared" si="12"/>
        <v>0</v>
      </c>
      <c r="L44" s="255">
        <f t="shared" si="12"/>
        <v>0</v>
      </c>
      <c r="M44" s="255">
        <f t="shared" si="12"/>
        <v>0</v>
      </c>
      <c r="N44" s="255">
        <f t="shared" si="12"/>
        <v>0</v>
      </c>
      <c r="O44" s="70"/>
    </row>
    <row r="45" spans="1:15" s="71" customFormat="1" ht="19.95" customHeight="1">
      <c r="A45" s="120" t="s">
        <v>97</v>
      </c>
      <c r="B45" s="255">
        <f t="shared" si="12"/>
        <v>0</v>
      </c>
      <c r="C45" s="255">
        <f t="shared" si="12"/>
        <v>0</v>
      </c>
      <c r="D45" s="255">
        <f t="shared" si="12"/>
        <v>0</v>
      </c>
      <c r="E45" s="255">
        <f t="shared" si="12"/>
        <v>0</v>
      </c>
      <c r="F45" s="255">
        <f t="shared" si="12"/>
        <v>0</v>
      </c>
      <c r="G45" s="255">
        <f t="shared" si="12"/>
        <v>0</v>
      </c>
      <c r="H45" s="255">
        <f t="shared" si="12"/>
        <v>0</v>
      </c>
      <c r="I45" s="255">
        <f t="shared" si="12"/>
        <v>0</v>
      </c>
      <c r="J45" s="255">
        <f t="shared" si="12"/>
        <v>0</v>
      </c>
      <c r="K45" s="255">
        <f t="shared" si="12"/>
        <v>0</v>
      </c>
      <c r="L45" s="255">
        <f t="shared" si="12"/>
        <v>0</v>
      </c>
      <c r="M45" s="255">
        <f t="shared" si="12"/>
        <v>0</v>
      </c>
      <c r="N45" s="255">
        <f t="shared" si="12"/>
        <v>0</v>
      </c>
      <c r="O45" s="70"/>
    </row>
    <row r="46" spans="1:15" s="71" customFormat="1" ht="19.95" customHeight="1">
      <c r="A46" s="120" t="s">
        <v>98</v>
      </c>
      <c r="B46" s="255">
        <f t="shared" si="12"/>
        <v>0</v>
      </c>
      <c r="C46" s="255">
        <f t="shared" si="12"/>
        <v>0</v>
      </c>
      <c r="D46" s="255">
        <f t="shared" si="12"/>
        <v>0</v>
      </c>
      <c r="E46" s="255">
        <f t="shared" si="12"/>
        <v>0</v>
      </c>
      <c r="F46" s="255">
        <f t="shared" si="12"/>
        <v>0</v>
      </c>
      <c r="G46" s="255">
        <f t="shared" si="12"/>
        <v>0</v>
      </c>
      <c r="H46" s="255">
        <f t="shared" si="12"/>
        <v>0</v>
      </c>
      <c r="I46" s="255">
        <f t="shared" si="12"/>
        <v>0</v>
      </c>
      <c r="J46" s="255">
        <f t="shared" si="12"/>
        <v>0</v>
      </c>
      <c r="K46" s="255">
        <f t="shared" si="12"/>
        <v>0</v>
      </c>
      <c r="L46" s="255">
        <f t="shared" si="12"/>
        <v>0</v>
      </c>
      <c r="M46" s="255">
        <f t="shared" si="12"/>
        <v>0</v>
      </c>
      <c r="N46" s="255">
        <f t="shared" si="12"/>
        <v>0</v>
      </c>
      <c r="O46" s="70"/>
    </row>
    <row r="47" spans="1:15" s="71" customFormat="1" ht="19.95" customHeight="1">
      <c r="A47" s="94" t="s">
        <v>65</v>
      </c>
      <c r="B47" s="254">
        <f>B21-B34</f>
        <v>0</v>
      </c>
      <c r="C47" s="254">
        <f t="shared" si="12"/>
        <v>0</v>
      </c>
      <c r="D47" s="254">
        <f t="shared" si="12"/>
        <v>0</v>
      </c>
      <c r="E47" s="254">
        <f t="shared" si="12"/>
        <v>0</v>
      </c>
      <c r="F47" s="254">
        <f t="shared" si="12"/>
        <v>0</v>
      </c>
      <c r="G47" s="254">
        <f t="shared" si="12"/>
        <v>0</v>
      </c>
      <c r="H47" s="254">
        <f t="shared" si="12"/>
        <v>0</v>
      </c>
      <c r="I47" s="254">
        <f t="shared" si="12"/>
        <v>0</v>
      </c>
      <c r="J47" s="254">
        <f t="shared" si="12"/>
        <v>0</v>
      </c>
      <c r="K47" s="254">
        <f t="shared" si="12"/>
        <v>0</v>
      </c>
      <c r="L47" s="254">
        <f t="shared" si="12"/>
        <v>0</v>
      </c>
      <c r="M47" s="254">
        <f t="shared" si="12"/>
        <v>0</v>
      </c>
      <c r="N47" s="254">
        <f t="shared" si="12"/>
        <v>0</v>
      </c>
      <c r="O47" s="70"/>
    </row>
    <row r="48" spans="1:15" s="54" customFormat="1" ht="19.95" customHeight="1">
      <c r="A48" s="98" t="s">
        <v>68</v>
      </c>
      <c r="B48" s="99"/>
      <c r="C48" s="99"/>
      <c r="D48" s="99"/>
      <c r="E48" s="99"/>
      <c r="F48" s="99"/>
      <c r="G48" s="99"/>
      <c r="H48" s="99"/>
      <c r="I48" s="99"/>
      <c r="J48" s="99"/>
      <c r="K48" s="99"/>
      <c r="L48" s="99"/>
      <c r="M48" s="99"/>
      <c r="N48" s="99"/>
    </row>
    <row r="49" spans="1:16" s="54" customFormat="1" ht="19.95" customHeight="1"/>
    <row r="50" spans="1:16" s="64" customFormat="1" ht="19.95" customHeight="1"/>
    <row r="51" spans="1:16" s="67" customFormat="1" ht="19.95" customHeight="1">
      <c r="A51" s="54"/>
      <c r="B51" s="54"/>
      <c r="C51" s="54"/>
      <c r="D51" s="54"/>
      <c r="E51" s="54"/>
      <c r="F51" s="54"/>
      <c r="G51" s="54"/>
      <c r="H51" s="54"/>
      <c r="I51" s="54"/>
      <c r="J51" s="54"/>
      <c r="K51" s="54"/>
      <c r="L51" s="54"/>
      <c r="M51" s="54"/>
    </row>
    <row r="52" spans="1:16" s="54" customFormat="1" ht="19.95" customHeight="1">
      <c r="A52" s="56" t="s">
        <v>69</v>
      </c>
    </row>
    <row r="53" spans="1:16" s="54" customFormat="1" ht="19.95" customHeight="1">
      <c r="A53" s="56"/>
    </row>
    <row r="54" spans="1:16" s="54" customFormat="1" ht="19.95" customHeight="1">
      <c r="A54" s="56"/>
    </row>
    <row r="55" spans="1:16" s="63" customFormat="1" ht="15.9" customHeight="1">
      <c r="A55" s="62"/>
      <c r="B55" s="62"/>
      <c r="C55" s="62"/>
      <c r="D55" s="62"/>
      <c r="E55" s="62"/>
      <c r="F55" s="62"/>
      <c r="G55" s="62"/>
      <c r="H55" s="62"/>
      <c r="I55" s="62"/>
      <c r="J55" s="62"/>
      <c r="K55" s="62"/>
      <c r="L55" s="62"/>
      <c r="M55" s="62"/>
      <c r="N55" s="62"/>
      <c r="O55" s="62"/>
      <c r="P55" s="62"/>
    </row>
    <row r="56" spans="1:16" s="73" customFormat="1" ht="15.9" customHeight="1">
      <c r="A56" s="256" t="s">
        <v>315</v>
      </c>
      <c r="B56" s="72"/>
      <c r="C56" s="72"/>
      <c r="D56" s="72"/>
      <c r="E56" s="72"/>
      <c r="F56" s="72"/>
      <c r="G56" s="72"/>
      <c r="H56" s="72"/>
      <c r="I56" s="72"/>
      <c r="J56" s="72"/>
      <c r="K56" s="72"/>
      <c r="L56" s="72"/>
      <c r="M56" s="72"/>
      <c r="N56" s="72"/>
      <c r="O56" s="72"/>
    </row>
    <row r="57" spans="1:16" s="73" customFormat="1" ht="15.9" customHeight="1">
      <c r="A57" s="74" t="s">
        <v>72</v>
      </c>
      <c r="B57" s="72"/>
      <c r="C57" s="72"/>
      <c r="D57" s="72"/>
      <c r="E57" s="72"/>
      <c r="F57" s="72"/>
      <c r="G57" s="72"/>
      <c r="H57" s="72"/>
      <c r="I57" s="72"/>
      <c r="J57" s="72"/>
      <c r="K57" s="72"/>
      <c r="L57" s="72"/>
      <c r="M57" s="72"/>
      <c r="N57" s="72"/>
      <c r="O57" s="72"/>
    </row>
    <row r="58" spans="1:16" s="73" customFormat="1" ht="15.9" customHeight="1">
      <c r="A58" s="74" t="s">
        <v>73</v>
      </c>
      <c r="B58" s="72"/>
      <c r="C58" s="72"/>
      <c r="D58" s="72"/>
      <c r="E58" s="72"/>
      <c r="F58" s="72"/>
      <c r="G58" s="72"/>
      <c r="H58" s="72"/>
      <c r="I58" s="72"/>
      <c r="J58" s="72"/>
      <c r="K58" s="72"/>
      <c r="L58" s="72"/>
      <c r="M58" s="72"/>
      <c r="N58" s="72"/>
      <c r="O58" s="72"/>
    </row>
    <row r="59" spans="1:16" s="63" customFormat="1" ht="15.9" customHeight="1">
      <c r="A59" s="62"/>
      <c r="B59" s="62"/>
      <c r="C59" s="62"/>
      <c r="D59" s="62"/>
      <c r="E59" s="62"/>
      <c r="F59" s="62"/>
      <c r="G59" s="62"/>
      <c r="H59" s="62"/>
      <c r="I59" s="62"/>
      <c r="J59" s="62"/>
      <c r="K59" s="62"/>
      <c r="L59" s="62"/>
      <c r="M59" s="62"/>
      <c r="N59" s="62"/>
      <c r="O59" s="62"/>
      <c r="P59" s="62"/>
    </row>
    <row r="60" spans="1:16" s="63" customFormat="1" ht="15.9" customHeight="1">
      <c r="A60" s="62"/>
      <c r="B60" s="62"/>
      <c r="C60" s="62"/>
      <c r="D60" s="62"/>
      <c r="E60" s="62"/>
      <c r="F60" s="62"/>
      <c r="G60" s="62"/>
      <c r="H60" s="62"/>
      <c r="I60" s="62"/>
      <c r="J60" s="62"/>
      <c r="K60" s="62"/>
      <c r="L60" s="62"/>
      <c r="M60" s="62"/>
      <c r="N60" s="62"/>
      <c r="O60" s="62"/>
      <c r="P60" s="62"/>
    </row>
    <row r="61" spans="1:16" s="63" customFormat="1" ht="15.9" customHeight="1">
      <c r="A61" s="62"/>
      <c r="B61" s="62"/>
      <c r="C61" s="62"/>
      <c r="D61" s="62"/>
      <c r="E61" s="62"/>
      <c r="F61" s="62"/>
      <c r="G61" s="62"/>
      <c r="H61" s="62"/>
      <c r="I61" s="62"/>
      <c r="J61" s="62"/>
      <c r="K61" s="62"/>
      <c r="L61" s="62"/>
      <c r="M61" s="62"/>
      <c r="N61" s="62"/>
      <c r="O61" s="62"/>
      <c r="P61" s="62"/>
    </row>
    <row r="62" spans="1:16" s="63" customFormat="1" ht="15.9" customHeight="1">
      <c r="A62" s="62"/>
      <c r="B62" s="62"/>
      <c r="C62" s="62"/>
      <c r="D62" s="62"/>
      <c r="E62" s="62"/>
      <c r="F62" s="62"/>
      <c r="G62" s="62"/>
      <c r="H62" s="62"/>
      <c r="I62" s="62"/>
      <c r="J62" s="62"/>
      <c r="K62" s="62"/>
      <c r="L62" s="62"/>
      <c r="M62" s="62"/>
      <c r="N62" s="62"/>
      <c r="O62" s="62"/>
      <c r="P62" s="62"/>
    </row>
    <row r="63" spans="1:16" ht="15.9" customHeight="1">
      <c r="A63" s="65"/>
      <c r="B63" s="65"/>
      <c r="C63" s="65"/>
      <c r="D63" s="65"/>
      <c r="E63" s="65"/>
      <c r="F63" s="65"/>
      <c r="G63" s="65"/>
      <c r="H63" s="65"/>
      <c r="I63" s="65"/>
      <c r="J63" s="65"/>
      <c r="K63" s="65"/>
      <c r="L63" s="65"/>
      <c r="M63" s="65"/>
      <c r="N63" s="65"/>
      <c r="O63" s="65"/>
      <c r="P63" s="65"/>
    </row>
    <row r="64" spans="1:16" ht="15.9" customHeight="1">
      <c r="A64" s="65"/>
      <c r="B64" s="65"/>
      <c r="C64" s="65"/>
      <c r="D64" s="65"/>
      <c r="E64" s="65"/>
      <c r="F64" s="65"/>
      <c r="G64" s="65"/>
      <c r="H64" s="65"/>
      <c r="I64" s="65"/>
      <c r="J64" s="65"/>
      <c r="K64" s="65"/>
      <c r="L64" s="65"/>
      <c r="M64" s="65"/>
      <c r="N64" s="65"/>
      <c r="O64" s="65"/>
      <c r="P64" s="65"/>
    </row>
    <row r="65" spans="1:16" ht="15.9" customHeight="1">
      <c r="A65" s="65"/>
      <c r="B65" s="65"/>
      <c r="C65" s="65"/>
      <c r="D65" s="65"/>
      <c r="E65" s="65"/>
      <c r="F65" s="65"/>
      <c r="G65" s="65"/>
      <c r="H65" s="65"/>
      <c r="I65" s="65"/>
      <c r="J65" s="65"/>
      <c r="K65" s="65"/>
      <c r="L65" s="65"/>
      <c r="M65" s="65"/>
      <c r="N65" s="65"/>
      <c r="O65" s="65"/>
      <c r="P65" s="65"/>
    </row>
    <row r="66" spans="1:16" ht="15.9" customHeight="1">
      <c r="A66" s="65"/>
      <c r="B66" s="65"/>
      <c r="C66" s="65"/>
      <c r="D66" s="65"/>
      <c r="E66" s="65"/>
      <c r="F66" s="65"/>
      <c r="G66" s="65"/>
      <c r="H66" s="65"/>
      <c r="I66" s="65"/>
      <c r="J66" s="65"/>
      <c r="K66" s="65"/>
      <c r="L66" s="65"/>
      <c r="M66" s="65"/>
      <c r="N66" s="65"/>
      <c r="O66" s="65"/>
      <c r="P66" s="65"/>
    </row>
    <row r="67" spans="1:16" ht="15.9" customHeight="1">
      <c r="A67" s="65"/>
      <c r="B67" s="65"/>
      <c r="C67" s="65"/>
      <c r="D67" s="65"/>
      <c r="E67" s="65"/>
      <c r="F67" s="65"/>
      <c r="G67" s="65"/>
      <c r="H67" s="65"/>
      <c r="I67" s="65"/>
      <c r="J67" s="65"/>
      <c r="K67" s="65"/>
      <c r="L67" s="65"/>
      <c r="M67" s="65"/>
      <c r="N67" s="65"/>
      <c r="O67" s="65"/>
      <c r="P67" s="65"/>
    </row>
    <row r="68" spans="1:16" ht="15.9" customHeight="1">
      <c r="A68" s="65"/>
      <c r="B68" s="65"/>
      <c r="C68" s="65"/>
      <c r="D68" s="65"/>
      <c r="E68" s="65"/>
      <c r="F68" s="65"/>
      <c r="G68" s="65"/>
      <c r="H68" s="65"/>
      <c r="I68" s="65"/>
      <c r="J68" s="65"/>
      <c r="K68" s="65"/>
      <c r="L68" s="65"/>
      <c r="M68" s="65"/>
      <c r="N68" s="65"/>
      <c r="O68" s="65"/>
      <c r="P68" s="65"/>
    </row>
    <row r="69" spans="1:16" ht="15.9" customHeight="1">
      <c r="A69" s="65"/>
      <c r="B69" s="65"/>
      <c r="C69" s="65"/>
      <c r="D69" s="65"/>
      <c r="E69" s="65"/>
      <c r="F69" s="65"/>
      <c r="G69" s="65"/>
      <c r="H69" s="65"/>
      <c r="I69" s="65"/>
      <c r="J69" s="65"/>
      <c r="K69" s="65"/>
      <c r="L69" s="65"/>
      <c r="M69" s="65"/>
      <c r="N69" s="65"/>
      <c r="O69" s="65"/>
      <c r="P69" s="65"/>
    </row>
    <row r="70" spans="1:16" ht="15.9" customHeight="1">
      <c r="A70" s="65"/>
      <c r="B70" s="65"/>
      <c r="C70" s="65"/>
      <c r="D70" s="65"/>
      <c r="E70" s="65"/>
      <c r="F70" s="65"/>
      <c r="G70" s="65"/>
      <c r="H70" s="65"/>
      <c r="I70" s="65"/>
      <c r="J70" s="65"/>
      <c r="K70" s="65"/>
      <c r="L70" s="65"/>
      <c r="M70" s="65"/>
      <c r="N70" s="65"/>
      <c r="O70" s="65"/>
      <c r="P70" s="65"/>
    </row>
    <row r="71" spans="1:16" ht="15.9" customHeight="1">
      <c r="A71" s="65"/>
      <c r="B71" s="65"/>
      <c r="C71" s="65"/>
      <c r="D71" s="65"/>
      <c r="E71" s="65"/>
      <c r="F71" s="65"/>
      <c r="G71" s="65"/>
      <c r="H71" s="65"/>
      <c r="I71" s="65"/>
      <c r="J71" s="65"/>
      <c r="K71" s="65"/>
      <c r="L71" s="65"/>
      <c r="M71" s="65"/>
      <c r="N71" s="65"/>
      <c r="O71" s="65"/>
      <c r="P71" s="65"/>
    </row>
    <row r="72" spans="1:16" ht="15.9" customHeight="1">
      <c r="A72" s="65"/>
      <c r="B72" s="65"/>
      <c r="C72" s="65"/>
      <c r="D72" s="65"/>
      <c r="E72" s="65"/>
      <c r="F72" s="65"/>
      <c r="G72" s="65"/>
      <c r="H72" s="65"/>
      <c r="I72" s="65"/>
      <c r="J72" s="65"/>
      <c r="K72" s="65"/>
      <c r="L72" s="65"/>
      <c r="M72" s="65"/>
      <c r="N72" s="65"/>
      <c r="O72" s="65"/>
      <c r="P72" s="65"/>
    </row>
    <row r="73" spans="1:16" ht="15.9" customHeight="1">
      <c r="A73" s="65"/>
      <c r="B73" s="65"/>
      <c r="C73" s="65"/>
      <c r="D73" s="65"/>
      <c r="E73" s="65"/>
      <c r="F73" s="65"/>
      <c r="G73" s="65"/>
      <c r="H73" s="65"/>
      <c r="I73" s="65"/>
      <c r="J73" s="65"/>
      <c r="K73" s="65"/>
      <c r="L73" s="65"/>
      <c r="M73" s="65"/>
      <c r="N73" s="65"/>
      <c r="O73" s="65"/>
      <c r="P73" s="65"/>
    </row>
    <row r="74" spans="1:16" ht="15.9" customHeight="1">
      <c r="A74" s="65"/>
      <c r="B74" s="65"/>
      <c r="C74" s="65"/>
      <c r="D74" s="65"/>
      <c r="E74" s="65"/>
      <c r="F74" s="65"/>
      <c r="G74" s="65"/>
      <c r="H74" s="65"/>
      <c r="I74" s="65"/>
      <c r="J74" s="65"/>
      <c r="K74" s="65"/>
      <c r="L74" s="65"/>
      <c r="M74" s="65"/>
      <c r="N74" s="65"/>
      <c r="O74" s="65"/>
      <c r="P74" s="65"/>
    </row>
    <row r="75" spans="1:16" ht="15.9" customHeight="1">
      <c r="A75" s="65"/>
      <c r="B75" s="65"/>
      <c r="C75" s="65"/>
      <c r="D75" s="65"/>
      <c r="E75" s="65"/>
      <c r="F75" s="65"/>
      <c r="G75" s="65"/>
      <c r="H75" s="65"/>
      <c r="I75" s="65"/>
      <c r="J75" s="65"/>
      <c r="K75" s="65"/>
      <c r="L75" s="65"/>
      <c r="M75" s="65"/>
      <c r="N75" s="65"/>
      <c r="O75" s="65"/>
      <c r="P75" s="65"/>
    </row>
    <row r="76" spans="1:16" ht="15.9" customHeight="1">
      <c r="A76" s="65"/>
      <c r="B76" s="65"/>
      <c r="C76" s="65"/>
      <c r="D76" s="65"/>
      <c r="E76" s="65"/>
      <c r="F76" s="65"/>
      <c r="G76" s="65"/>
      <c r="H76" s="65"/>
      <c r="I76" s="65"/>
      <c r="J76" s="65"/>
      <c r="K76" s="65"/>
      <c r="L76" s="65"/>
      <c r="M76" s="65"/>
      <c r="N76" s="65"/>
      <c r="O76" s="65"/>
      <c r="P76" s="65"/>
    </row>
    <row r="77" spans="1:16" ht="15.9" customHeight="1">
      <c r="A77" s="65"/>
      <c r="B77" s="65"/>
      <c r="C77" s="65"/>
      <c r="D77" s="65"/>
      <c r="E77" s="65"/>
      <c r="F77" s="65"/>
      <c r="G77" s="65"/>
      <c r="H77" s="65"/>
      <c r="I77" s="65"/>
      <c r="J77" s="65"/>
      <c r="K77" s="65"/>
      <c r="L77" s="65"/>
      <c r="M77" s="65"/>
      <c r="N77" s="65"/>
      <c r="O77" s="65"/>
      <c r="P77" s="65"/>
    </row>
    <row r="78" spans="1:16" ht="15.9" customHeight="1">
      <c r="A78" s="65"/>
      <c r="B78" s="65"/>
      <c r="C78" s="65"/>
      <c r="D78" s="65"/>
      <c r="E78" s="65"/>
      <c r="F78" s="65"/>
      <c r="G78" s="65"/>
      <c r="H78" s="65"/>
      <c r="I78" s="65"/>
      <c r="J78" s="65"/>
      <c r="K78" s="65"/>
      <c r="L78" s="65"/>
      <c r="M78" s="65"/>
      <c r="N78" s="65"/>
      <c r="O78" s="65"/>
      <c r="P78" s="65"/>
    </row>
    <row r="79" spans="1:16" ht="15.9" customHeight="1">
      <c r="A79" s="65"/>
      <c r="B79" s="65"/>
      <c r="C79" s="65"/>
      <c r="D79" s="65"/>
      <c r="E79" s="65"/>
      <c r="F79" s="65"/>
      <c r="G79" s="65"/>
      <c r="H79" s="65"/>
      <c r="I79" s="65"/>
      <c r="J79" s="65"/>
      <c r="K79" s="65"/>
      <c r="L79" s="65"/>
      <c r="M79" s="65"/>
      <c r="N79" s="65"/>
      <c r="O79" s="65"/>
      <c r="P79" s="65"/>
    </row>
    <row r="80" spans="1:16" ht="15.9" customHeight="1">
      <c r="A80" s="65"/>
      <c r="B80" s="65"/>
      <c r="C80" s="65"/>
      <c r="D80" s="65"/>
      <c r="E80" s="65"/>
      <c r="F80" s="65"/>
      <c r="G80" s="65"/>
      <c r="H80" s="65"/>
      <c r="I80" s="65"/>
      <c r="J80" s="65"/>
      <c r="K80" s="65"/>
      <c r="L80" s="65"/>
      <c r="M80" s="65"/>
      <c r="N80" s="65"/>
      <c r="O80" s="65"/>
      <c r="P80" s="65"/>
    </row>
    <row r="81" spans="1:16" ht="15.9" customHeight="1">
      <c r="A81" s="65"/>
      <c r="B81" s="65"/>
      <c r="C81" s="65"/>
      <c r="D81" s="65"/>
      <c r="E81" s="65"/>
      <c r="F81" s="65"/>
      <c r="G81" s="65"/>
      <c r="H81" s="65"/>
      <c r="I81" s="65"/>
      <c r="J81" s="65"/>
      <c r="K81" s="65"/>
      <c r="L81" s="65"/>
      <c r="M81" s="65"/>
      <c r="N81" s="65"/>
      <c r="O81" s="65"/>
      <c r="P81" s="65"/>
    </row>
  </sheetData>
  <mergeCells count="2">
    <mergeCell ref="A1:O1"/>
    <mergeCell ref="A2:O2"/>
  </mergeCells>
  <phoneticPr fontId="18" type="noConversion"/>
  <hyperlinks>
    <hyperlink ref="N3" location="底稿目录!A1" display="底稿目录!A1"/>
  </hyperlinks>
  <pageMargins left="0.70866141732283472" right="0.70866141732283472" top="0.74803149606299213" bottom="0.74803149606299213" header="0.31496062992125984" footer="0.31496062992125984"/>
  <pageSetup paperSize="9" scale="88" fitToHeight="0" orientation="landscape" blackAndWhite="1" r:id="rId1"/>
  <headerFooter>
    <oddFooter>&amp;C&amp;P/&amp;N</oddFooter>
  </headerFooter>
  <rowBreaks count="1" manualBreakCount="1">
    <brk id="27" max="1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K36"/>
  <sheetViews>
    <sheetView view="pageBreakPreview" topLeftCell="A25" zoomScaleNormal="115" zoomScaleSheetLayoutView="100" workbookViewId="0">
      <selection activeCell="K12" sqref="K12"/>
    </sheetView>
  </sheetViews>
  <sheetFormatPr defaultColWidth="9" defaultRowHeight="13.8"/>
  <cols>
    <col min="1" max="1" width="20.796875" style="34" customWidth="1"/>
    <col min="2" max="2" width="16.19921875" style="34" bestFit="1" customWidth="1"/>
    <col min="3" max="3" width="26.09765625" style="34" customWidth="1"/>
    <col min="4" max="4" width="6.69921875" style="26" customWidth="1"/>
    <col min="5" max="5" width="9.69921875" style="26" customWidth="1"/>
    <col min="6" max="6" width="9.59765625" style="26" customWidth="1"/>
    <col min="7" max="7" width="10.5" style="26" customWidth="1"/>
    <col min="8" max="8" width="11.09765625" style="26" customWidth="1"/>
    <col min="9" max="16384" width="9" style="26"/>
  </cols>
  <sheetData>
    <row r="1" spans="1:11" s="20" customFormat="1" ht="20.100000000000001" customHeight="1">
      <c r="A1" s="345" t="s">
        <v>26</v>
      </c>
      <c r="B1" s="345"/>
      <c r="C1" s="345"/>
      <c r="D1" s="345"/>
      <c r="E1" s="345"/>
      <c r="F1" s="345"/>
      <c r="G1" s="345"/>
      <c r="H1" s="345"/>
    </row>
    <row r="2" spans="1:11" s="19" customFormat="1" ht="24.9" customHeight="1">
      <c r="A2" s="346" t="s">
        <v>317</v>
      </c>
      <c r="B2" s="346"/>
      <c r="C2" s="346"/>
      <c r="D2" s="346"/>
      <c r="E2" s="346"/>
      <c r="F2" s="346"/>
      <c r="G2" s="346"/>
      <c r="H2" s="346"/>
    </row>
    <row r="3" spans="1:11" s="38" customFormat="1" ht="20.100000000000001" customHeight="1">
      <c r="A3" s="20" t="str">
        <f>底稿目录!A2</f>
        <v>被审计单位：</v>
      </c>
      <c r="B3" s="20"/>
      <c r="C3" s="20" t="str">
        <f>底稿目录!A4</f>
        <v>编制人：</v>
      </c>
      <c r="E3" s="20" t="str">
        <f>底稿目录!A5</f>
        <v>编制日期：</v>
      </c>
      <c r="G3" s="257" t="s">
        <v>322</v>
      </c>
      <c r="H3" s="166" t="str">
        <f>底稿目录!F10</f>
        <v>F5-7</v>
      </c>
    </row>
    <row r="4" spans="1:11" s="38" customFormat="1" ht="20.100000000000001" customHeight="1">
      <c r="A4" s="20" t="str">
        <f>底稿目录!A3</f>
        <v>会计期间：202X年度</v>
      </c>
      <c r="B4" s="21"/>
      <c r="C4" s="20" t="str">
        <f>底稿目录!A6</f>
        <v>复核人：</v>
      </c>
      <c r="E4" s="20" t="str">
        <f>底稿目录!A7</f>
        <v>复核日期：</v>
      </c>
      <c r="G4" s="257" t="s">
        <v>323</v>
      </c>
      <c r="K4" s="50"/>
    </row>
    <row r="5" spans="1:11" s="38" customFormat="1" ht="20.100000000000001" customHeight="1">
      <c r="A5" s="121" t="s">
        <v>107</v>
      </c>
      <c r="B5" s="122"/>
      <c r="C5" s="37"/>
      <c r="E5" s="37"/>
      <c r="G5" s="75"/>
      <c r="H5" s="37"/>
      <c r="K5" s="50"/>
    </row>
    <row r="6" spans="1:11" s="38" customFormat="1" ht="20.100000000000001" customHeight="1">
      <c r="A6" s="283" t="s">
        <v>319</v>
      </c>
      <c r="C6" s="37"/>
      <c r="E6" s="37"/>
      <c r="G6" s="75"/>
      <c r="H6" s="37"/>
      <c r="K6" s="50"/>
    </row>
    <row r="7" spans="1:11" s="38" customFormat="1" ht="20.100000000000001" customHeight="1">
      <c r="A7" s="283" t="s">
        <v>320</v>
      </c>
      <c r="C7" s="37"/>
      <c r="E7" s="37"/>
      <c r="G7" s="75"/>
      <c r="H7" s="37"/>
      <c r="K7" s="50"/>
    </row>
    <row r="8" spans="1:11" s="38" customFormat="1" ht="20.100000000000001" customHeight="1">
      <c r="A8" s="283" t="s">
        <v>318</v>
      </c>
      <c r="C8" s="37"/>
      <c r="E8" s="37"/>
      <c r="G8" s="75"/>
      <c r="H8" s="37"/>
      <c r="K8" s="50"/>
    </row>
    <row r="9" spans="1:11" s="38" customFormat="1" ht="20.100000000000001" customHeight="1">
      <c r="A9" s="83" t="s">
        <v>108</v>
      </c>
      <c r="B9" s="37"/>
      <c r="C9" s="37"/>
      <c r="E9" s="37"/>
      <c r="G9" s="75"/>
      <c r="H9" s="37"/>
      <c r="K9" s="50"/>
    </row>
    <row r="10" spans="1:11" s="25" customFormat="1" ht="20.100000000000001" customHeight="1">
      <c r="A10" s="123" t="s">
        <v>109</v>
      </c>
      <c r="B10" s="123" t="s">
        <v>155</v>
      </c>
      <c r="C10" s="123" t="s">
        <v>110</v>
      </c>
      <c r="D10" s="123" t="s">
        <v>111</v>
      </c>
      <c r="E10" s="123" t="s">
        <v>112</v>
      </c>
      <c r="F10" s="123" t="s">
        <v>113</v>
      </c>
      <c r="G10" s="123" t="s">
        <v>114</v>
      </c>
      <c r="H10" s="123" t="s">
        <v>115</v>
      </c>
    </row>
    <row r="11" spans="1:11" ht="20.100000000000001" customHeight="1">
      <c r="A11" s="124" t="s">
        <v>116</v>
      </c>
      <c r="B11" s="125" t="s">
        <v>7</v>
      </c>
      <c r="C11" s="124" t="s">
        <v>117</v>
      </c>
      <c r="D11" s="258"/>
      <c r="E11" s="24"/>
      <c r="F11" s="24"/>
      <c r="G11" s="243">
        <f>E11+F11</f>
        <v>0</v>
      </c>
      <c r="H11" s="24"/>
    </row>
    <row r="12" spans="1:11" ht="20.100000000000001" customHeight="1">
      <c r="A12" s="124" t="s">
        <v>118</v>
      </c>
      <c r="B12" s="125" t="s">
        <v>156</v>
      </c>
      <c r="C12" s="124" t="s">
        <v>119</v>
      </c>
      <c r="D12" s="258"/>
      <c r="E12" s="24"/>
      <c r="F12" s="24"/>
      <c r="G12" s="243">
        <f>E12+F12</f>
        <v>0</v>
      </c>
      <c r="H12" s="24"/>
    </row>
    <row r="13" spans="1:11" ht="20.100000000000001" customHeight="1">
      <c r="A13" s="124" t="s">
        <v>120</v>
      </c>
      <c r="B13" s="125" t="s">
        <v>157</v>
      </c>
      <c r="C13" s="124" t="s">
        <v>121</v>
      </c>
      <c r="D13" s="258"/>
      <c r="E13" s="24"/>
      <c r="F13" s="24"/>
      <c r="G13" s="243">
        <f>E13+F13</f>
        <v>0</v>
      </c>
      <c r="H13" s="24"/>
    </row>
    <row r="14" spans="1:11" ht="20.100000000000001" customHeight="1">
      <c r="A14" s="124" t="s">
        <v>122</v>
      </c>
      <c r="B14" s="125" t="s">
        <v>158</v>
      </c>
      <c r="C14" s="124" t="s">
        <v>123</v>
      </c>
      <c r="D14" s="258"/>
      <c r="E14" s="24"/>
      <c r="F14" s="24"/>
      <c r="G14" s="243">
        <f>E14+F14</f>
        <v>0</v>
      </c>
      <c r="H14" s="24"/>
    </row>
    <row r="15" spans="1:11" ht="20.100000000000001" customHeight="1">
      <c r="A15" s="124" t="s">
        <v>124</v>
      </c>
      <c r="B15" s="125" t="s">
        <v>159</v>
      </c>
      <c r="C15" s="124" t="s">
        <v>125</v>
      </c>
      <c r="D15" s="258"/>
      <c r="E15" s="24"/>
      <c r="F15" s="24"/>
      <c r="G15" s="243">
        <f>E15+F15</f>
        <v>0</v>
      </c>
      <c r="H15" s="24"/>
    </row>
    <row r="16" spans="1:11" ht="20.100000000000001" customHeight="1">
      <c r="A16" s="128" t="s">
        <v>126</v>
      </c>
      <c r="B16" s="133" t="s">
        <v>321</v>
      </c>
      <c r="C16" s="130" t="s">
        <v>127</v>
      </c>
      <c r="D16" s="259"/>
      <c r="E16" s="243">
        <f>E11+E12+E13-E14-E15</f>
        <v>0</v>
      </c>
      <c r="F16" s="243">
        <f>F11+F12+F13-F14-F15</f>
        <v>0</v>
      </c>
      <c r="G16" s="243">
        <f>G11+G12+G13-G14-G15</f>
        <v>0</v>
      </c>
      <c r="H16" s="243">
        <f>H11+H12+H13-H14-H15</f>
        <v>0</v>
      </c>
    </row>
    <row r="17" spans="1:8" ht="20.100000000000001" customHeight="1">
      <c r="A17" s="124" t="s">
        <v>128</v>
      </c>
      <c r="B17" s="125" t="s">
        <v>160</v>
      </c>
      <c r="C17" s="124" t="s">
        <v>127</v>
      </c>
      <c r="D17" s="258"/>
      <c r="E17" s="24"/>
      <c r="F17" s="24"/>
      <c r="G17" s="243">
        <f>E17+F17</f>
        <v>0</v>
      </c>
      <c r="H17" s="24"/>
    </row>
    <row r="18" spans="1:8" ht="20.100000000000001" customHeight="1">
      <c r="A18" s="124" t="s">
        <v>129</v>
      </c>
      <c r="B18" s="125" t="s">
        <v>161</v>
      </c>
      <c r="C18" s="124" t="s">
        <v>127</v>
      </c>
      <c r="D18" s="258"/>
      <c r="E18" s="24"/>
      <c r="F18" s="24"/>
      <c r="G18" s="243">
        <f>E18+F18</f>
        <v>0</v>
      </c>
      <c r="H18" s="24"/>
    </row>
    <row r="19" spans="1:8" ht="20.100000000000001" customHeight="1">
      <c r="A19" s="124" t="s">
        <v>130</v>
      </c>
      <c r="B19" s="125"/>
      <c r="C19" s="124" t="s">
        <v>131</v>
      </c>
      <c r="D19" s="258"/>
      <c r="E19" s="24"/>
      <c r="F19" s="24"/>
      <c r="G19" s="243">
        <f>E19+F19</f>
        <v>0</v>
      </c>
      <c r="H19" s="24"/>
    </row>
    <row r="20" spans="1:8" ht="20.100000000000001" customHeight="1">
      <c r="A20" s="124" t="s">
        <v>132</v>
      </c>
      <c r="B20" s="125" t="s">
        <v>162</v>
      </c>
      <c r="C20" s="124" t="s">
        <v>127</v>
      </c>
      <c r="D20" s="258"/>
      <c r="E20" s="24"/>
      <c r="F20" s="24"/>
      <c r="G20" s="243">
        <f>E20+F20</f>
        <v>0</v>
      </c>
      <c r="H20" s="24"/>
    </row>
    <row r="21" spans="1:8" ht="20.100000000000001" customHeight="1">
      <c r="A21" s="128" t="s">
        <v>133</v>
      </c>
      <c r="B21" s="133" t="s">
        <v>163</v>
      </c>
      <c r="C21" s="130" t="s">
        <v>134</v>
      </c>
      <c r="D21" s="259"/>
      <c r="E21" s="243">
        <f>E16+E17+E18+E20</f>
        <v>0</v>
      </c>
      <c r="F21" s="243">
        <f>F16+F17+F18+F20</f>
        <v>0</v>
      </c>
      <c r="G21" s="243">
        <f>G16+G17+G18+G20</f>
        <v>0</v>
      </c>
      <c r="H21" s="243">
        <f>H16+H17+H18+H20</f>
        <v>0</v>
      </c>
    </row>
    <row r="22" spans="1:8" ht="20.100000000000001" customHeight="1">
      <c r="A22" s="124" t="s">
        <v>135</v>
      </c>
      <c r="B22" s="125" t="s">
        <v>40</v>
      </c>
      <c r="C22" s="124" t="s">
        <v>136</v>
      </c>
      <c r="D22" s="258"/>
      <c r="E22" s="24"/>
      <c r="F22" s="24"/>
      <c r="G22" s="243">
        <f>E22+F22</f>
        <v>0</v>
      </c>
      <c r="H22" s="24"/>
    </row>
    <row r="23" spans="1:8" ht="20.100000000000001" customHeight="1">
      <c r="A23" s="124" t="s">
        <v>137</v>
      </c>
      <c r="B23" s="125" t="s">
        <v>164</v>
      </c>
      <c r="C23" s="124" t="s">
        <v>138</v>
      </c>
      <c r="D23" s="258"/>
      <c r="E23" s="24"/>
      <c r="F23" s="24"/>
      <c r="G23" s="243">
        <f>E23+F23</f>
        <v>0</v>
      </c>
      <c r="H23" s="24"/>
    </row>
    <row r="24" spans="1:8" ht="20.100000000000001" customHeight="1">
      <c r="A24" s="128" t="s">
        <v>139</v>
      </c>
      <c r="B24" s="133" t="s">
        <v>165</v>
      </c>
      <c r="C24" s="130" t="s">
        <v>140</v>
      </c>
      <c r="D24" s="259"/>
      <c r="E24" s="243">
        <f>E21+E22-E23</f>
        <v>0</v>
      </c>
      <c r="F24" s="243">
        <f>F21+F22-F23</f>
        <v>0</v>
      </c>
      <c r="G24" s="243">
        <f>G21+G22-G23</f>
        <v>0</v>
      </c>
      <c r="H24" s="243">
        <f>H21+H22-H23</f>
        <v>0</v>
      </c>
    </row>
    <row r="25" spans="1:8" ht="20.100000000000001" customHeight="1">
      <c r="A25" s="124" t="s">
        <v>141</v>
      </c>
      <c r="B25" s="125" t="s">
        <v>41</v>
      </c>
      <c r="C25" s="124" t="s">
        <v>142</v>
      </c>
      <c r="D25" s="258"/>
      <c r="E25" s="24"/>
      <c r="F25" s="24"/>
      <c r="G25" s="243">
        <f t="shared" ref="G25:G30" si="0">E25+F25</f>
        <v>0</v>
      </c>
      <c r="H25" s="24"/>
    </row>
    <row r="26" spans="1:8" ht="20.100000000000001" customHeight="1">
      <c r="A26" s="124" t="s">
        <v>143</v>
      </c>
      <c r="B26" s="125" t="s">
        <v>166</v>
      </c>
      <c r="C26" s="124"/>
      <c r="D26" s="258"/>
      <c r="E26" s="24"/>
      <c r="F26" s="24"/>
      <c r="G26" s="243">
        <f t="shared" si="0"/>
        <v>0</v>
      </c>
      <c r="H26" s="24"/>
    </row>
    <row r="27" spans="1:8" ht="20.100000000000001" customHeight="1">
      <c r="A27" s="124" t="s">
        <v>144</v>
      </c>
      <c r="B27" s="125" t="s">
        <v>167</v>
      </c>
      <c r="C27" s="124" t="s">
        <v>145</v>
      </c>
      <c r="D27" s="258"/>
      <c r="E27" s="24"/>
      <c r="F27" s="24"/>
      <c r="G27" s="243">
        <f t="shared" si="0"/>
        <v>0</v>
      </c>
      <c r="H27" s="24"/>
    </row>
    <row r="28" spans="1:8" ht="20.100000000000001" customHeight="1">
      <c r="A28" s="124" t="s">
        <v>146</v>
      </c>
      <c r="B28" s="126" t="s">
        <v>168</v>
      </c>
      <c r="C28" s="124" t="s">
        <v>147</v>
      </c>
      <c r="D28" s="258"/>
      <c r="E28" s="24"/>
      <c r="F28" s="24"/>
      <c r="G28" s="243">
        <f t="shared" si="0"/>
        <v>0</v>
      </c>
      <c r="H28" s="24"/>
    </row>
    <row r="29" spans="1:8" ht="20.100000000000001" customHeight="1">
      <c r="A29" s="124" t="s">
        <v>148</v>
      </c>
      <c r="B29" s="126" t="s">
        <v>169</v>
      </c>
      <c r="C29" s="127" t="s">
        <v>149</v>
      </c>
      <c r="D29" s="258"/>
      <c r="E29" s="24"/>
      <c r="F29" s="24"/>
      <c r="G29" s="243">
        <f t="shared" si="0"/>
        <v>0</v>
      </c>
      <c r="H29" s="24"/>
    </row>
    <row r="30" spans="1:8" ht="20.100000000000001" customHeight="1">
      <c r="A30" s="124" t="s">
        <v>150</v>
      </c>
      <c r="B30" s="126" t="s">
        <v>170</v>
      </c>
      <c r="C30" s="124" t="s">
        <v>151</v>
      </c>
      <c r="D30" s="258"/>
      <c r="E30" s="24"/>
      <c r="F30" s="24"/>
      <c r="G30" s="243">
        <f t="shared" si="0"/>
        <v>0</v>
      </c>
      <c r="H30" s="24"/>
    </row>
    <row r="31" spans="1:8" ht="20.100000000000001" customHeight="1">
      <c r="A31" s="128" t="s">
        <v>152</v>
      </c>
      <c r="B31" s="129" t="s">
        <v>171</v>
      </c>
      <c r="C31" s="130"/>
      <c r="D31" s="259"/>
      <c r="E31" s="243">
        <f>E24+E25+E26-E27-E28-E29-E30</f>
        <v>0</v>
      </c>
      <c r="F31" s="243">
        <f>F24+F25+F26-F27-F28-F29-F30</f>
        <v>0</v>
      </c>
      <c r="G31" s="243">
        <f>G24+G56+G57-G58-G59-G60-G61</f>
        <v>0</v>
      </c>
      <c r="H31" s="243">
        <f>H24+H25+H26-H27-H28-H29-H30</f>
        <v>0</v>
      </c>
    </row>
    <row r="32" spans="1:8" ht="20.100000000000001" customHeight="1">
      <c r="A32" s="131" t="s">
        <v>153</v>
      </c>
      <c r="B32" s="110"/>
      <c r="C32" s="110"/>
      <c r="D32" s="111"/>
      <c r="E32" s="111"/>
      <c r="F32" s="111"/>
      <c r="G32" s="111"/>
      <c r="H32" s="111"/>
    </row>
    <row r="33" spans="1:8" ht="20.100000000000001" customHeight="1">
      <c r="A33" s="27"/>
      <c r="B33" s="27"/>
      <c r="C33" s="27"/>
      <c r="D33" s="28"/>
      <c r="E33" s="28"/>
      <c r="F33" s="28"/>
      <c r="G33" s="28"/>
      <c r="H33" s="28"/>
    </row>
    <row r="34" spans="1:8" ht="20.100000000000001" customHeight="1">
      <c r="A34" s="27"/>
      <c r="B34" s="27"/>
      <c r="C34" s="27"/>
      <c r="D34" s="28"/>
      <c r="E34" s="28"/>
      <c r="F34" s="28"/>
      <c r="G34" s="28"/>
      <c r="H34" s="28"/>
    </row>
    <row r="35" spans="1:8" ht="20.100000000000001" customHeight="1">
      <c r="A35" s="132" t="s">
        <v>154</v>
      </c>
      <c r="B35" s="27"/>
      <c r="C35" s="27"/>
      <c r="D35" s="28"/>
      <c r="E35" s="28"/>
      <c r="F35" s="28"/>
      <c r="G35" s="28"/>
      <c r="H35" s="28"/>
    </row>
    <row r="36" spans="1:8" ht="20.100000000000001" customHeight="1">
      <c r="A36" s="27"/>
      <c r="B36" s="27"/>
      <c r="C36" s="27"/>
      <c r="D36" s="28"/>
      <c r="E36" s="28"/>
      <c r="F36" s="28"/>
      <c r="G36" s="28"/>
      <c r="H36" s="28"/>
    </row>
  </sheetData>
  <mergeCells count="2">
    <mergeCell ref="A1:H1"/>
    <mergeCell ref="A2:H2"/>
  </mergeCells>
  <phoneticPr fontId="18" type="noConversion"/>
  <hyperlinks>
    <hyperlink ref="H3" location="底稿目录!A1" display="底稿目录!A1"/>
  </hyperlinks>
  <printOptions horizontalCentered="1"/>
  <pageMargins left="0.43307086614173229" right="0.39370078740157483" top="0.47244094488188981" bottom="0.27559055118110237" header="0.51181102362204722" footer="0.23622047244094491"/>
  <pageSetup paperSize="9" scale="75" firstPageNumber="236" fitToHeight="0" orientation="portrait"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H40"/>
  <sheetViews>
    <sheetView view="pageBreakPreview" zoomScaleNormal="130" zoomScaleSheetLayoutView="100" workbookViewId="0">
      <selection activeCell="H3" sqref="H3"/>
    </sheetView>
  </sheetViews>
  <sheetFormatPr defaultColWidth="9" defaultRowHeight="21.9" customHeight="1"/>
  <cols>
    <col min="1" max="2" width="9" style="29" customWidth="1"/>
    <col min="3" max="3" width="19.19921875" style="29" customWidth="1"/>
    <col min="4" max="5" width="10.59765625" style="29" customWidth="1"/>
    <col min="6" max="6" width="9.59765625" style="29" customWidth="1"/>
    <col min="7" max="7" width="8.3984375" style="29" customWidth="1"/>
    <col min="8" max="8" width="9" style="29" customWidth="1"/>
    <col min="9" max="16384" width="9" style="29"/>
  </cols>
  <sheetData>
    <row r="1" spans="1:8" ht="20.100000000000001" customHeight="1">
      <c r="A1" s="345" t="s">
        <v>26</v>
      </c>
      <c r="B1" s="348"/>
      <c r="C1" s="348"/>
      <c r="D1" s="348"/>
      <c r="E1" s="348"/>
      <c r="F1" s="348"/>
      <c r="G1" s="348"/>
      <c r="H1" s="348"/>
    </row>
    <row r="2" spans="1:8" s="36" customFormat="1" ht="24.9" customHeight="1">
      <c r="A2" s="349" t="s">
        <v>42</v>
      </c>
      <c r="B2" s="350"/>
      <c r="C2" s="350"/>
      <c r="D2" s="350"/>
      <c r="E2" s="350"/>
      <c r="F2" s="350"/>
      <c r="G2" s="350"/>
      <c r="H2" s="350"/>
    </row>
    <row r="3" spans="1:8" ht="20.100000000000001" customHeight="1">
      <c r="A3" s="20" t="str">
        <f>底稿目录!A2</f>
        <v>被审计单位：</v>
      </c>
      <c r="C3" s="20" t="str">
        <f>底稿目录!A4</f>
        <v>编制人：</v>
      </c>
      <c r="E3" s="20" t="str">
        <f>底稿目录!A5</f>
        <v>编制日期：</v>
      </c>
      <c r="G3" s="1" t="s">
        <v>43</v>
      </c>
      <c r="H3" s="166" t="str">
        <f>底稿目录!F11</f>
        <v>F5-8</v>
      </c>
    </row>
    <row r="4" spans="1:8" ht="20.100000000000001" customHeight="1">
      <c r="A4" s="20" t="str">
        <f>底稿目录!A3</f>
        <v>会计期间：202X年度</v>
      </c>
      <c r="C4" s="20" t="str">
        <f>底稿目录!A6</f>
        <v>复核人：</v>
      </c>
      <c r="E4" s="20" t="str">
        <f>底稿目录!A7</f>
        <v>复核日期：</v>
      </c>
      <c r="G4" s="1" t="s">
        <v>27</v>
      </c>
      <c r="H4" s="31"/>
    </row>
    <row r="5" spans="1:8" ht="20.399999999999999" customHeight="1">
      <c r="A5" s="33" t="s">
        <v>44</v>
      </c>
      <c r="B5" s="30"/>
      <c r="C5" s="30"/>
      <c r="D5" s="1"/>
      <c r="E5" s="30"/>
      <c r="F5" s="1"/>
      <c r="H5" s="1"/>
    </row>
    <row r="6" spans="1:8" ht="20.100000000000001" customHeight="1">
      <c r="A6" s="284" t="s">
        <v>327</v>
      </c>
      <c r="B6" s="1"/>
      <c r="C6" s="30"/>
      <c r="D6" s="1"/>
      <c r="E6" s="30"/>
      <c r="F6" s="1"/>
      <c r="H6" s="1"/>
    </row>
    <row r="7" spans="1:8" ht="20.100000000000001" customHeight="1">
      <c r="A7" s="284" t="s">
        <v>328</v>
      </c>
      <c r="B7" s="1"/>
      <c r="C7" s="30"/>
      <c r="D7" s="1"/>
      <c r="E7" s="30"/>
      <c r="F7" s="1"/>
      <c r="H7" s="1"/>
    </row>
    <row r="8" spans="1:8" ht="20.100000000000001" customHeight="1">
      <c r="A8" s="284" t="s">
        <v>329</v>
      </c>
      <c r="B8" s="1"/>
      <c r="C8" s="30"/>
      <c r="D8" s="1"/>
      <c r="E8" s="30"/>
      <c r="F8" s="1"/>
      <c r="H8" s="1"/>
    </row>
    <row r="9" spans="1:8" ht="20.100000000000001" customHeight="1">
      <c r="A9" s="284" t="s">
        <v>330</v>
      </c>
      <c r="B9" s="1"/>
      <c r="C9" s="30"/>
      <c r="D9" s="1"/>
      <c r="E9" s="30"/>
      <c r="F9" s="1"/>
      <c r="H9" s="1"/>
    </row>
    <row r="10" spans="1:8" ht="20.100000000000001" customHeight="1">
      <c r="A10" s="284" t="s">
        <v>331</v>
      </c>
      <c r="B10" s="1"/>
      <c r="C10" s="30"/>
      <c r="D10" s="1"/>
      <c r="E10" s="30"/>
      <c r="F10" s="1"/>
      <c r="H10" s="1"/>
    </row>
    <row r="11" spans="1:8" ht="20.100000000000001" customHeight="1">
      <c r="A11" s="33" t="s">
        <v>45</v>
      </c>
      <c r="B11" s="30"/>
      <c r="C11" s="30"/>
      <c r="D11" s="1"/>
      <c r="E11" s="30"/>
      <c r="F11" s="1"/>
      <c r="H11" s="1"/>
    </row>
    <row r="12" spans="1:8" s="285" customFormat="1" ht="20.100000000000001" customHeight="1">
      <c r="A12" s="351" t="s">
        <v>332</v>
      </c>
      <c r="B12" s="351" t="s">
        <v>46</v>
      </c>
      <c r="C12" s="351" t="s">
        <v>3</v>
      </c>
      <c r="D12" s="351" t="s">
        <v>47</v>
      </c>
      <c r="E12" s="352"/>
      <c r="F12" s="351" t="s">
        <v>48</v>
      </c>
      <c r="G12" s="352"/>
      <c r="H12" s="354" t="s">
        <v>2</v>
      </c>
    </row>
    <row r="13" spans="1:8" s="285" customFormat="1" ht="20.100000000000001" customHeight="1">
      <c r="A13" s="352"/>
      <c r="B13" s="352"/>
      <c r="C13" s="352"/>
      <c r="D13" s="278" t="s">
        <v>4</v>
      </c>
      <c r="E13" s="278" t="s">
        <v>49</v>
      </c>
      <c r="F13" s="352"/>
      <c r="G13" s="352"/>
      <c r="H13" s="355"/>
    </row>
    <row r="14" spans="1:8" ht="20.100000000000001" customHeight="1">
      <c r="A14" s="272"/>
      <c r="B14" s="159"/>
      <c r="C14" s="271"/>
      <c r="D14" s="24"/>
      <c r="E14" s="24"/>
      <c r="F14" s="353"/>
      <c r="G14" s="347"/>
      <c r="H14" s="273"/>
    </row>
    <row r="15" spans="1:8" ht="20.100000000000001" customHeight="1">
      <c r="A15" s="159"/>
      <c r="B15" s="159"/>
      <c r="C15" s="32"/>
      <c r="D15" s="24"/>
      <c r="E15" s="24"/>
      <c r="F15" s="347"/>
      <c r="G15" s="347"/>
      <c r="H15" s="159"/>
    </row>
    <row r="16" spans="1:8" ht="20.100000000000001" customHeight="1">
      <c r="A16" s="159"/>
      <c r="B16" s="159"/>
      <c r="C16" s="32"/>
      <c r="D16" s="24"/>
      <c r="E16" s="24"/>
      <c r="F16" s="347"/>
      <c r="G16" s="347"/>
      <c r="H16" s="159"/>
    </row>
    <row r="17" spans="1:8" ht="20.100000000000001" customHeight="1">
      <c r="A17" s="159"/>
      <c r="B17" s="159"/>
      <c r="C17" s="32"/>
      <c r="D17" s="24"/>
      <c r="E17" s="24"/>
      <c r="F17" s="347"/>
      <c r="G17" s="347"/>
      <c r="H17" s="159"/>
    </row>
    <row r="18" spans="1:8" ht="20.100000000000001" customHeight="1">
      <c r="A18" s="159"/>
      <c r="B18" s="159"/>
      <c r="C18" s="32"/>
      <c r="D18" s="24"/>
      <c r="E18" s="24"/>
      <c r="F18" s="347"/>
      <c r="G18" s="347"/>
      <c r="H18" s="159"/>
    </row>
    <row r="19" spans="1:8" ht="20.100000000000001" customHeight="1">
      <c r="A19" s="159"/>
      <c r="B19" s="159"/>
      <c r="C19" s="32"/>
      <c r="D19" s="24"/>
      <c r="E19" s="24"/>
      <c r="F19" s="347"/>
      <c r="G19" s="347"/>
      <c r="H19" s="159"/>
    </row>
    <row r="20" spans="1:8" ht="20.100000000000001" customHeight="1">
      <c r="A20" s="159"/>
      <c r="B20" s="159"/>
      <c r="C20" s="32"/>
      <c r="D20" s="24"/>
      <c r="E20" s="24"/>
      <c r="F20" s="347"/>
      <c r="G20" s="347"/>
      <c r="H20" s="159"/>
    </row>
    <row r="21" spans="1:8" ht="20.100000000000001" customHeight="1">
      <c r="A21" s="159"/>
      <c r="B21" s="159"/>
      <c r="C21" s="32"/>
      <c r="D21" s="24"/>
      <c r="E21" s="24"/>
      <c r="F21" s="347"/>
      <c r="G21" s="347"/>
      <c r="H21" s="159"/>
    </row>
    <row r="22" spans="1:8" ht="20.100000000000001" customHeight="1">
      <c r="A22" s="159"/>
      <c r="B22" s="159"/>
      <c r="C22" s="32"/>
      <c r="D22" s="24"/>
      <c r="E22" s="24"/>
      <c r="F22" s="347"/>
      <c r="G22" s="347"/>
      <c r="H22" s="159"/>
    </row>
    <row r="23" spans="1:8" ht="20.100000000000001" customHeight="1">
      <c r="A23" s="159"/>
      <c r="B23" s="159"/>
      <c r="C23" s="32"/>
      <c r="D23" s="24"/>
      <c r="E23" s="24"/>
      <c r="F23" s="347"/>
      <c r="G23" s="347"/>
      <c r="H23" s="159"/>
    </row>
    <row r="24" spans="1:8" ht="20.100000000000001" customHeight="1">
      <c r="A24" s="159"/>
      <c r="B24" s="159"/>
      <c r="C24" s="32"/>
      <c r="D24" s="24"/>
      <c r="E24" s="24"/>
      <c r="F24" s="347"/>
      <c r="G24" s="347"/>
      <c r="H24" s="159"/>
    </row>
    <row r="25" spans="1:8" ht="20.100000000000001" customHeight="1">
      <c r="A25" s="159"/>
      <c r="B25" s="159"/>
      <c r="C25" s="32"/>
      <c r="D25" s="24"/>
      <c r="E25" s="24"/>
      <c r="F25" s="347"/>
      <c r="G25" s="347"/>
      <c r="H25" s="159"/>
    </row>
    <row r="26" spans="1:8" ht="20.100000000000001" customHeight="1">
      <c r="A26" s="159"/>
      <c r="B26" s="159"/>
      <c r="C26" s="32"/>
      <c r="D26" s="24"/>
      <c r="E26" s="24"/>
      <c r="F26" s="347"/>
      <c r="G26" s="347"/>
      <c r="H26" s="159"/>
    </row>
    <row r="27" spans="1:8" ht="20.100000000000001" customHeight="1">
      <c r="A27" s="159"/>
      <c r="B27" s="159"/>
      <c r="C27" s="32"/>
      <c r="D27" s="24"/>
      <c r="E27" s="24"/>
      <c r="F27" s="347"/>
      <c r="G27" s="347"/>
      <c r="H27" s="159"/>
    </row>
    <row r="28" spans="1:8" ht="20.100000000000001" customHeight="1">
      <c r="A28" s="159"/>
      <c r="B28" s="159"/>
      <c r="C28" s="32"/>
      <c r="D28" s="24"/>
      <c r="E28" s="24"/>
      <c r="F28" s="347"/>
      <c r="G28" s="347"/>
      <c r="H28" s="159"/>
    </row>
    <row r="29" spans="1:8" ht="20.100000000000001" customHeight="1">
      <c r="A29" s="159"/>
      <c r="B29" s="159"/>
      <c r="C29" s="32"/>
      <c r="D29" s="24"/>
      <c r="E29" s="24"/>
      <c r="F29" s="347"/>
      <c r="G29" s="347"/>
      <c r="H29" s="159"/>
    </row>
    <row r="30" spans="1:8" ht="20.100000000000001" customHeight="1">
      <c r="A30" s="100" t="s">
        <v>50</v>
      </c>
      <c r="B30" s="101"/>
      <c r="C30" s="101"/>
      <c r="D30" s="101"/>
      <c r="E30" s="101"/>
      <c r="F30" s="101"/>
      <c r="G30" s="101"/>
      <c r="H30" s="101"/>
    </row>
    <row r="31" spans="1:8" ht="20.100000000000001" customHeight="1">
      <c r="A31" s="30"/>
      <c r="B31" s="30"/>
      <c r="C31" s="30"/>
      <c r="D31" s="30"/>
      <c r="E31" s="30"/>
      <c r="F31" s="30"/>
      <c r="G31" s="30"/>
      <c r="H31" s="30"/>
    </row>
    <row r="32" spans="1:8" ht="20.100000000000001" customHeight="1">
      <c r="A32" s="30"/>
      <c r="B32" s="30"/>
      <c r="C32" s="30"/>
      <c r="D32" s="30"/>
      <c r="E32" s="30"/>
      <c r="F32" s="30"/>
      <c r="G32" s="30"/>
      <c r="H32" s="30"/>
    </row>
    <row r="33" spans="1:8" ht="20.100000000000001" customHeight="1">
      <c r="A33" s="102" t="s">
        <v>8</v>
      </c>
      <c r="B33" s="30"/>
      <c r="C33" s="30"/>
      <c r="D33" s="30"/>
      <c r="E33" s="30"/>
      <c r="F33" s="30"/>
      <c r="G33" s="30"/>
      <c r="H33" s="30"/>
    </row>
    <row r="34" spans="1:8" ht="20.100000000000001" customHeight="1">
      <c r="A34" s="30"/>
      <c r="B34" s="30"/>
      <c r="C34" s="30"/>
      <c r="D34" s="30"/>
      <c r="E34" s="30"/>
      <c r="F34" s="30"/>
      <c r="G34" s="30"/>
      <c r="H34" s="30"/>
    </row>
    <row r="35" spans="1:8" ht="20.100000000000001" customHeight="1">
      <c r="A35" s="30"/>
      <c r="B35" s="30"/>
      <c r="C35" s="30"/>
      <c r="D35" s="30"/>
      <c r="E35" s="30"/>
      <c r="F35" s="30"/>
      <c r="G35" s="30"/>
      <c r="H35" s="30"/>
    </row>
    <row r="36" spans="1:8" ht="19.8" customHeight="1"/>
    <row r="37" spans="1:8" ht="19.8" customHeight="1">
      <c r="A37" s="260" t="s">
        <v>315</v>
      </c>
    </row>
    <row r="38" spans="1:8" ht="19.8" customHeight="1">
      <c r="A38" s="261" t="s">
        <v>326</v>
      </c>
    </row>
    <row r="39" spans="1:8" ht="19.8" customHeight="1">
      <c r="A39" s="261" t="s">
        <v>325</v>
      </c>
    </row>
    <row r="40" spans="1:8" ht="19.8" customHeight="1"/>
  </sheetData>
  <mergeCells count="24">
    <mergeCell ref="F26:G26"/>
    <mergeCell ref="F27:G27"/>
    <mergeCell ref="F28:G28"/>
    <mergeCell ref="F29:G29"/>
    <mergeCell ref="F20:G20"/>
    <mergeCell ref="F21:G21"/>
    <mergeCell ref="F22:G22"/>
    <mergeCell ref="F23:G23"/>
    <mergeCell ref="F24:G24"/>
    <mergeCell ref="F25:G25"/>
    <mergeCell ref="F19:G19"/>
    <mergeCell ref="A1:H1"/>
    <mergeCell ref="A2:H2"/>
    <mergeCell ref="A12:A13"/>
    <mergeCell ref="B12:B13"/>
    <mergeCell ref="C12:C13"/>
    <mergeCell ref="D12:E12"/>
    <mergeCell ref="F12:G13"/>
    <mergeCell ref="F14:G14"/>
    <mergeCell ref="F15:G15"/>
    <mergeCell ref="F16:G16"/>
    <mergeCell ref="F17:G17"/>
    <mergeCell ref="F18:G18"/>
    <mergeCell ref="H12:H13"/>
  </mergeCells>
  <phoneticPr fontId="18" type="noConversion"/>
  <hyperlinks>
    <hyperlink ref="H3" location="底稿目录!A1" display="底稿目录!A1"/>
  </hyperlinks>
  <pageMargins left="0.74803149606299213" right="0.43307086614173229" top="0.78740157480314965" bottom="0.78740157480314965" header="0.51181102362204722" footer="0.51181102362204722"/>
  <pageSetup paperSize="9" scale="99" fitToHeight="0" orientation="portrait" blackAndWhite="1" horizontalDpi="360" verticalDpi="360"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8"/>
  <sheetViews>
    <sheetView workbookViewId="0"/>
  </sheetViews>
  <sheetFormatPr defaultRowHeight="15.6"/>
  <sheetData>
    <row r="1" spans="1:2">
      <c r="A1" t="s">
        <v>9</v>
      </c>
      <c r="B1" t="s">
        <v>10</v>
      </c>
    </row>
    <row r="2" spans="1:2">
      <c r="A2" t="s">
        <v>11</v>
      </c>
      <c r="B2" t="s">
        <v>12</v>
      </c>
    </row>
    <row r="3" spans="1:2">
      <c r="A3" t="s">
        <v>13</v>
      </c>
      <c r="B3" t="s">
        <v>14</v>
      </c>
    </row>
    <row r="4" spans="1:2">
      <c r="A4" t="s">
        <v>15</v>
      </c>
      <c r="B4" t="s">
        <v>16</v>
      </c>
    </row>
    <row r="5" spans="1:2">
      <c r="A5" t="s">
        <v>17</v>
      </c>
      <c r="B5" t="s">
        <v>18</v>
      </c>
    </row>
    <row r="6" spans="1:2">
      <c r="A6" t="s">
        <v>19</v>
      </c>
      <c r="B6" t="s">
        <v>20</v>
      </c>
    </row>
    <row r="7" spans="1:2">
      <c r="A7" t="s">
        <v>21</v>
      </c>
      <c r="B7" t="s">
        <v>22</v>
      </c>
    </row>
    <row r="8" spans="1:2">
      <c r="A8" t="s">
        <v>23</v>
      </c>
      <c r="B8" t="s">
        <v>24</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11</vt:i4>
      </vt:variant>
    </vt:vector>
  </HeadingPairs>
  <TitlesOfParts>
    <vt:vector size="22" baseType="lpstr">
      <vt:lpstr>底稿目录</vt:lpstr>
      <vt:lpstr>营业成本实质性程序表F5A</vt:lpstr>
      <vt:lpstr>营业务成本审定表F5-1</vt:lpstr>
      <vt:lpstr>主营业务成本月度明细表F5-2</vt:lpstr>
      <vt:lpstr>其他业务成本明细表F5-3</vt:lpstr>
      <vt:lpstr>调整分录汇总F5-4</vt:lpstr>
      <vt:lpstr>与上年度比较分析表F5-5</vt:lpstr>
      <vt:lpstr>销售数量与结转成本数量核对明细表F5-6</vt:lpstr>
      <vt:lpstr>成本倒轧表F5-7</vt:lpstr>
      <vt:lpstr>重大调整核查表F5-8</vt:lpstr>
      <vt:lpstr>GT_Custom</vt:lpstr>
      <vt:lpstr>营业成本实质性程序表F5A!_FilterDatabase</vt:lpstr>
      <vt:lpstr>'成本倒轧表F5-7'!Print_Area</vt:lpstr>
      <vt:lpstr>'调整分录汇总F5-4'!Print_Area</vt:lpstr>
      <vt:lpstr>'其他业务成本明细表F5-3'!Print_Area</vt:lpstr>
      <vt:lpstr>'销售数量与结转成本数量核对明细表F5-6'!Print_Area</vt:lpstr>
      <vt:lpstr>营业成本实质性程序表F5A!Print_Area</vt:lpstr>
      <vt:lpstr>'营业务成本审定表F5-1'!Print_Area</vt:lpstr>
      <vt:lpstr>'与上年度比较分析表F5-5'!Print_Area</vt:lpstr>
      <vt:lpstr>'重大调整核查表F5-8'!Print_Area</vt:lpstr>
      <vt:lpstr>'主营业务成本月度明细表F5-2'!Print_Area</vt:lpstr>
      <vt:lpstr>营业成本实质性程序表F5A!Print_Titles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2025-08-27T09:35:36Z</cp:lastPrinted>
  <dcterms:created xsi:type="dcterms:W3CDTF">2007-05-20T08:51:05Z</dcterms:created>
  <dcterms:modified xsi:type="dcterms:W3CDTF">2025-10-23T07:59:36Z</dcterms:modified>
</cp:coreProperties>
</file>