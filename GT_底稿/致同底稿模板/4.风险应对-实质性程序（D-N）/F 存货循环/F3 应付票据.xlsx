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
    </mc:Choice>
  </mc:AlternateContent>
  <bookViews>
    <workbookView xWindow="0" yWindow="0" windowWidth="23040" windowHeight="9144" tabRatio="898"/>
  </bookViews>
  <sheets>
    <sheet name="底稿目录" sheetId="1" r:id="rId1"/>
    <sheet name="应付票据实质性程序表F3A " sheetId="36" r:id="rId2"/>
    <sheet name="审定表F3-1" sheetId="15" r:id="rId3"/>
    <sheet name="附注披露信息(上市公司)" sheetId="23" r:id="rId4"/>
    <sheet name="附注披露信息(国企)" sheetId="24" r:id="rId5"/>
    <sheet name="明细表F3-2" sheetId="28" r:id="rId6"/>
    <sheet name="调整分录汇总F3-3" sheetId="35" r:id="rId7"/>
    <sheet name="应付票据（带息）利息测算表F3-4" sheetId="33" r:id="rId8"/>
    <sheet name="逾期票据检查F3-5" sheetId="39" r:id="rId9"/>
    <sheet name="关联方及交易检查表F3-6" sheetId="38" r:id="rId10"/>
    <sheet name="应付票据检查表F3-7" sheetId="41" r:id="rId11"/>
    <sheet name="GT_Custom" sheetId="26" state="hidden" r:id="rId12"/>
  </sheets>
  <definedNames>
    <definedName name="_xlnm._FilterDatabase" localSheetId="1">'应付票据实质性程序表F3A '!$A$15:$I$30</definedName>
    <definedName name="_xlnm.Print_Area" localSheetId="6">'调整分录汇总F3-3'!$A$1:$J$20</definedName>
    <definedName name="_xlnm.Print_Area" localSheetId="4">'附注披露信息(国企)'!$A$1:$E$12</definedName>
    <definedName name="_xlnm.Print_Area" localSheetId="3">'附注披露信息(上市公司)'!$A$1:$E$14</definedName>
    <definedName name="_xlnm.Print_Area" localSheetId="9">'关联方及交易检查表F3-6'!$A$1:$M$17</definedName>
    <definedName name="_xlnm.Print_Area" localSheetId="5">'明细表F3-2'!$A$1:$W$39</definedName>
    <definedName name="_xlnm.Print_Area" localSheetId="2">'审定表F3-1'!$A$1:$J$25</definedName>
    <definedName name="_xlnm.Print_Area" localSheetId="7">'应付票据（带息）利息测算表F3-4'!$A$1:$K$38</definedName>
    <definedName name="_xlnm.Print_Area" localSheetId="10">'应付票据检查表F3-7'!$A$1:$Q$90</definedName>
    <definedName name="_xlnm.Print_Area" localSheetId="1">'应付票据实质性程序表F3A '!$A$1:$I$30</definedName>
    <definedName name="_xlnm.Print_Area" localSheetId="8">'逾期票据检查F3-5'!$A$1:$O$29</definedName>
    <definedName name="_xlnm.Print_Titles" localSheetId="1">'应付票据实质性程序表F3A '!$15:$15</definedName>
  </definedNames>
  <calcPr calcId="162913"/>
</workbook>
</file>

<file path=xl/calcChain.xml><?xml version="1.0" encoding="utf-8"?>
<calcChain xmlns="http://schemas.openxmlformats.org/spreadsheetml/2006/main">
  <c r="F80" i="41" l="1"/>
  <c r="F85" i="41" s="1"/>
  <c r="E85" i="41"/>
  <c r="E84" i="41"/>
  <c r="E83" i="41"/>
  <c r="B8" i="15"/>
  <c r="B7" i="15"/>
  <c r="F7" i="15"/>
  <c r="N31" i="28"/>
  <c r="M31" i="28"/>
  <c r="L31" i="28"/>
  <c r="O16" i="28"/>
  <c r="O17" i="28"/>
  <c r="O18" i="28"/>
  <c r="O19" i="28"/>
  <c r="O20" i="28"/>
  <c r="O21" i="28"/>
  <c r="O22" i="28"/>
  <c r="O23" i="28"/>
  <c r="O24" i="28"/>
  <c r="O25" i="28"/>
  <c r="O26" i="28"/>
  <c r="O27" i="28"/>
  <c r="O28" i="28"/>
  <c r="O29" i="28"/>
  <c r="O30" i="28"/>
  <c r="O15" i="28"/>
  <c r="G85" i="41" l="1"/>
  <c r="F13" i="38" l="1"/>
  <c r="G13" i="38"/>
  <c r="G11" i="38"/>
  <c r="G7" i="38"/>
  <c r="G8" i="38"/>
  <c r="L4" i="41" l="1"/>
  <c r="L3" i="41"/>
  <c r="Q3" i="41"/>
  <c r="M3" i="38"/>
  <c r="O3" i="39"/>
  <c r="K3" i="33"/>
  <c r="J3" i="35"/>
  <c r="W3" i="28"/>
  <c r="J3" i="15"/>
  <c r="L37" i="41" l="1"/>
  <c r="F37" i="41"/>
  <c r="F83" i="41" s="1"/>
  <c r="G83" i="41" s="1"/>
  <c r="L80" i="41"/>
  <c r="K13" i="38"/>
  <c r="D13" i="38"/>
  <c r="E13" i="38"/>
  <c r="G9" i="38"/>
  <c r="G10" i="38"/>
  <c r="G12" i="38"/>
  <c r="V31" i="28" l="1"/>
  <c r="H11" i="33" l="1"/>
  <c r="J11" i="33" s="1"/>
  <c r="J22" i="39" l="1"/>
  <c r="K22" i="39" l="1"/>
  <c r="H4" i="41"/>
  <c r="H3" i="41"/>
  <c r="A4" i="41"/>
  <c r="A3" i="41"/>
  <c r="G4" i="38"/>
  <c r="G3" i="38"/>
  <c r="C4" i="38"/>
  <c r="C3" i="38"/>
  <c r="A4" i="38"/>
  <c r="A3" i="38"/>
  <c r="I4" i="39"/>
  <c r="I3" i="39"/>
  <c r="E4" i="39"/>
  <c r="E3" i="39"/>
  <c r="A4" i="39"/>
  <c r="A3" i="39"/>
  <c r="N59" i="41" l="1"/>
  <c r="F59" i="41"/>
  <c r="F84" i="41" s="1"/>
  <c r="G84" i="41" s="1"/>
  <c r="I32" i="33" l="1"/>
  <c r="F32" i="33"/>
  <c r="H12" i="33"/>
  <c r="H13" i="33"/>
  <c r="H14" i="33"/>
  <c r="H15" i="33"/>
  <c r="H16" i="33"/>
  <c r="H17" i="33"/>
  <c r="H18" i="33"/>
  <c r="H19" i="33"/>
  <c r="H20" i="33"/>
  <c r="H21" i="33"/>
  <c r="H22" i="33"/>
  <c r="H23" i="33"/>
  <c r="H24" i="33"/>
  <c r="H25" i="33"/>
  <c r="H26" i="33"/>
  <c r="H27" i="33"/>
  <c r="H28" i="33"/>
  <c r="H29" i="33"/>
  <c r="H30" i="33"/>
  <c r="H31" i="33"/>
  <c r="R15" i="28"/>
  <c r="O22" i="39"/>
  <c r="H32" i="33" l="1"/>
  <c r="E4" i="36" l="1"/>
  <c r="C4" i="36"/>
  <c r="A4" i="36"/>
  <c r="E3" i="36"/>
  <c r="C3" i="36"/>
  <c r="A3" i="36"/>
  <c r="G8" i="15" l="1"/>
  <c r="H8" i="15"/>
  <c r="F8" i="15"/>
  <c r="G7" i="15"/>
  <c r="H7" i="15"/>
  <c r="P31" i="28" l="1"/>
  <c r="Q31" i="28"/>
  <c r="S31" i="28"/>
  <c r="O31" i="28"/>
  <c r="R23" i="28" l="1"/>
  <c r="R24" i="28"/>
  <c r="R25" i="28"/>
  <c r="R26" i="28"/>
  <c r="R27" i="28"/>
  <c r="R28" i="28"/>
  <c r="R16" i="28"/>
  <c r="R17" i="28"/>
  <c r="R18" i="28"/>
  <c r="R19" i="28"/>
  <c r="R20" i="28"/>
  <c r="G4" i="33" l="1"/>
  <c r="D4" i="33"/>
  <c r="O4" i="28"/>
  <c r="F4" i="28"/>
  <c r="C4" i="24"/>
  <c r="B4" i="24"/>
  <c r="D4" i="23"/>
  <c r="B4" i="23"/>
  <c r="E4" i="15"/>
  <c r="C4" i="15"/>
  <c r="G4" i="35" l="1"/>
  <c r="G3" i="35"/>
  <c r="D4" i="35"/>
  <c r="D3" i="35"/>
  <c r="A4" i="35"/>
  <c r="A3" i="35"/>
  <c r="E7" i="15" l="1"/>
  <c r="C7" i="23" s="1"/>
  <c r="E8" i="15"/>
  <c r="C8" i="23" s="1"/>
  <c r="E9" i="15"/>
  <c r="E10" i="15"/>
  <c r="I9" i="15"/>
  <c r="I10" i="15"/>
  <c r="R30" i="28"/>
  <c r="R29" i="28"/>
  <c r="R22" i="28"/>
  <c r="R21" i="28"/>
  <c r="C11" i="15"/>
  <c r="D11" i="15"/>
  <c r="B11" i="15"/>
  <c r="J15" i="33"/>
  <c r="J16" i="33"/>
  <c r="J17" i="33"/>
  <c r="J18" i="33"/>
  <c r="J19" i="33"/>
  <c r="J20" i="33"/>
  <c r="J21" i="33"/>
  <c r="J22" i="33"/>
  <c r="J23" i="33"/>
  <c r="J24" i="33"/>
  <c r="J25" i="33"/>
  <c r="J26" i="33"/>
  <c r="J27" i="33"/>
  <c r="J13" i="33"/>
  <c r="J14" i="33"/>
  <c r="J28" i="33"/>
  <c r="J29" i="33"/>
  <c r="J30" i="33"/>
  <c r="J31" i="33"/>
  <c r="G3" i="33"/>
  <c r="D3" i="33"/>
  <c r="A4" i="33"/>
  <c r="A3" i="33"/>
  <c r="J12" i="33"/>
  <c r="A4" i="28"/>
  <c r="O3" i="28"/>
  <c r="F3" i="28"/>
  <c r="A3" i="28"/>
  <c r="A4" i="24"/>
  <c r="C3" i="24"/>
  <c r="B3" i="24"/>
  <c r="A3" i="24"/>
  <c r="D3" i="23"/>
  <c r="B3" i="23"/>
  <c r="A4" i="23"/>
  <c r="A3" i="23"/>
  <c r="E3" i="15"/>
  <c r="C3" i="15"/>
  <c r="A4" i="15"/>
  <c r="A3" i="15"/>
  <c r="C8" i="24" l="1"/>
  <c r="J32" i="33"/>
  <c r="C7" i="24"/>
  <c r="I8" i="15"/>
  <c r="I7" i="15"/>
  <c r="D15" i="15" s="1"/>
  <c r="R31" i="28"/>
  <c r="H11" i="15"/>
  <c r="C9" i="23"/>
  <c r="E11" i="15"/>
  <c r="E13" i="15" s="1"/>
  <c r="C9" i="24" l="1"/>
  <c r="B7" i="24"/>
  <c r="B7" i="23"/>
  <c r="F11" i="15"/>
  <c r="B8" i="24"/>
  <c r="G11" i="15"/>
  <c r="B9" i="24" l="1"/>
  <c r="B8" i="23"/>
  <c r="B9" i="23" s="1"/>
  <c r="I11" i="15"/>
  <c r="I13" i="15" l="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3"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3"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s>
  <commentList>
    <comment ref="A60" authorId="0" shapeId="0">
      <text>
        <r>
          <rPr>
            <b/>
            <sz val="9"/>
            <color indexed="81"/>
            <rFont val="宋体"/>
            <family val="3"/>
            <charset val="134"/>
          </rPr>
          <t>Windows 用户:</t>
        </r>
        <r>
          <rPr>
            <sz val="9"/>
            <color indexed="81"/>
            <rFont val="宋体"/>
            <family val="3"/>
            <charset val="134"/>
          </rPr>
          <t xml:space="preserve">
关注资产负债表日后已偿付的应付票据，检查有无应计而未计人当期的应付票据</t>
        </r>
      </text>
    </comment>
  </commentList>
</comments>
</file>

<file path=xl/sharedStrings.xml><?xml version="1.0" encoding="utf-8"?>
<sst xmlns="http://schemas.openxmlformats.org/spreadsheetml/2006/main" count="488" uniqueCount="389">
  <si>
    <t>底稿开列时，可先在以下单元格填写有关内容，以便其他底稿引用有关数据：</t>
    <phoneticPr fontId="17" type="noConversion"/>
  </si>
  <si>
    <t>序号</t>
    <phoneticPr fontId="17" type="noConversion"/>
  </si>
  <si>
    <t>审定表</t>
    <phoneticPr fontId="17" type="noConversion"/>
  </si>
  <si>
    <t>C1</t>
  </si>
  <si>
    <t>Custom 1</t>
  </si>
  <si>
    <t>C2</t>
  </si>
  <si>
    <t>Custom 2</t>
  </si>
  <si>
    <t>C3</t>
  </si>
  <si>
    <t>Custom 3</t>
  </si>
  <si>
    <t>C4</t>
  </si>
  <si>
    <t>Custom 4</t>
  </si>
  <si>
    <t>C5</t>
  </si>
  <si>
    <t>Custom 5</t>
  </si>
  <si>
    <t>C6</t>
  </si>
  <si>
    <t>Custom 6</t>
  </si>
  <si>
    <t>C7</t>
  </si>
  <si>
    <t>Custom 7</t>
  </si>
  <si>
    <t>C8</t>
  </si>
  <si>
    <t>Custom 8</t>
  </si>
  <si>
    <t>内容</t>
  </si>
  <si>
    <r>
      <rPr>
        <sz val="10"/>
        <rFont val="宋体"/>
        <family val="3"/>
        <charset val="134"/>
      </rPr>
      <t>页次：</t>
    </r>
  </si>
  <si>
    <t>三、审计说明：</t>
    <phoneticPr fontId="17" type="noConversion"/>
  </si>
  <si>
    <t>四、审计结论：</t>
    <phoneticPr fontId="17" type="noConversion"/>
  </si>
  <si>
    <t>票据类别</t>
  </si>
  <si>
    <t>票面金额</t>
  </si>
  <si>
    <t>票据号</t>
    <phoneticPr fontId="45" type="noConversion"/>
  </si>
  <si>
    <t>票据期限</t>
    <phoneticPr fontId="45" type="noConversion"/>
  </si>
  <si>
    <t>票面利率</t>
    <phoneticPr fontId="45" type="noConversion"/>
  </si>
  <si>
    <t>账面已计利息</t>
    <phoneticPr fontId="45" type="noConversion"/>
  </si>
  <si>
    <t>差异</t>
    <phoneticPr fontId="45" type="noConversion"/>
  </si>
  <si>
    <t>说明</t>
    <phoneticPr fontId="45" type="noConversion"/>
  </si>
  <si>
    <t>出票日</t>
    <phoneticPr fontId="45" type="noConversion"/>
  </si>
  <si>
    <t>到期日</t>
    <phoneticPr fontId="45" type="noConversion"/>
  </si>
  <si>
    <t>期限</t>
    <phoneticPr fontId="45" type="noConversion"/>
  </si>
  <si>
    <t>一、审计目标：</t>
    <phoneticPr fontId="17" type="noConversion"/>
  </si>
  <si>
    <t>二、审计过程：</t>
    <phoneticPr fontId="17" type="noConversion"/>
  </si>
  <si>
    <t>合  计</t>
    <phoneticPr fontId="17" type="noConversion"/>
  </si>
  <si>
    <r>
      <rPr>
        <b/>
        <sz val="10"/>
        <rFont val="宋体"/>
        <family val="3"/>
        <charset val="134"/>
      </rPr>
      <t>致同会计师事务所</t>
    </r>
  </si>
  <si>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</si>
  <si>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17" type="noConversion"/>
  </si>
  <si>
    <r>
      <rPr>
        <b/>
        <sz val="10"/>
        <color indexed="8"/>
        <rFont val="宋体"/>
        <family val="3"/>
        <charset val="134"/>
      </rPr>
      <t>一、审计目标：</t>
    </r>
    <phoneticPr fontId="21" type="noConversion"/>
  </si>
  <si>
    <r>
      <rPr>
        <b/>
        <sz val="10"/>
        <rFont val="宋体"/>
        <family val="3"/>
        <charset val="134"/>
      </rPr>
      <t>二、审计过程：</t>
    </r>
    <phoneticPr fontId="21" type="noConversion"/>
  </si>
  <si>
    <r>
      <rPr>
        <b/>
        <sz val="10"/>
        <rFont val="宋体"/>
        <family val="3"/>
        <charset val="134"/>
      </rPr>
      <t>票据号</t>
    </r>
    <phoneticPr fontId="17" type="noConversion"/>
  </si>
  <si>
    <r>
      <rPr>
        <b/>
        <sz val="10"/>
        <rFont val="宋体"/>
        <family val="3"/>
        <charset val="134"/>
      </rPr>
      <t>票据关系人</t>
    </r>
    <phoneticPr fontId="17" type="noConversion"/>
  </si>
  <si>
    <r>
      <rPr>
        <b/>
        <sz val="10"/>
        <rFont val="宋体"/>
        <family val="3"/>
        <charset val="134"/>
      </rPr>
      <t>票据期限</t>
    </r>
    <phoneticPr fontId="17" type="noConversion"/>
  </si>
  <si>
    <r>
      <rPr>
        <b/>
        <sz val="10"/>
        <rFont val="宋体"/>
        <family val="3"/>
        <charset val="134"/>
      </rPr>
      <t>票面利率</t>
    </r>
    <phoneticPr fontId="17" type="noConversion"/>
  </si>
  <si>
    <r>
      <rPr>
        <b/>
        <sz val="10"/>
        <rFont val="宋体"/>
        <family val="3"/>
        <charset val="134"/>
      </rPr>
      <t>是否函证</t>
    </r>
  </si>
  <si>
    <r>
      <rPr>
        <b/>
        <sz val="10"/>
        <rFont val="宋体"/>
        <family val="3"/>
        <charset val="134"/>
      </rPr>
      <t>票据保证金比例</t>
    </r>
    <phoneticPr fontId="17" type="noConversion"/>
  </si>
  <si>
    <r>
      <rPr>
        <b/>
        <sz val="10"/>
        <rFont val="宋体"/>
        <family val="3"/>
        <charset val="134"/>
      </rPr>
      <t>备注</t>
    </r>
    <phoneticPr fontId="17" type="noConversion"/>
  </si>
  <si>
    <r>
      <rPr>
        <b/>
        <sz val="10"/>
        <rFont val="宋体"/>
        <family val="3"/>
        <charset val="134"/>
      </rPr>
      <t>出票人</t>
    </r>
    <phoneticPr fontId="17" type="noConversion"/>
  </si>
  <si>
    <r>
      <rPr>
        <b/>
        <sz val="10"/>
        <rFont val="宋体"/>
        <family val="3"/>
        <charset val="134"/>
      </rPr>
      <t>承兑人</t>
    </r>
    <phoneticPr fontId="17" type="noConversion"/>
  </si>
  <si>
    <r>
      <rPr>
        <b/>
        <sz val="10"/>
        <rFont val="宋体"/>
        <family val="3"/>
        <charset val="134"/>
      </rPr>
      <t>收款人</t>
    </r>
    <phoneticPr fontId="17" type="noConversion"/>
  </si>
  <si>
    <r>
      <rPr>
        <b/>
        <sz val="10"/>
        <rFont val="宋体"/>
        <family val="3"/>
        <charset val="134"/>
      </rPr>
      <t>出票日</t>
    </r>
    <phoneticPr fontId="17" type="noConversion"/>
  </si>
  <si>
    <r>
      <rPr>
        <b/>
        <sz val="10"/>
        <rFont val="宋体"/>
        <family val="3"/>
        <charset val="134"/>
      </rPr>
      <t>到期日</t>
    </r>
    <phoneticPr fontId="17" type="noConversion"/>
  </si>
  <si>
    <r>
      <rPr>
        <b/>
        <sz val="10"/>
        <rFont val="宋体"/>
        <family val="3"/>
        <charset val="134"/>
      </rPr>
      <t>期限</t>
    </r>
    <phoneticPr fontId="17" type="noConversion"/>
  </si>
  <si>
    <r>
      <rPr>
        <b/>
        <sz val="10"/>
        <rFont val="宋体"/>
        <family val="3"/>
        <charset val="134"/>
      </rPr>
      <t>三、审计说明：</t>
    </r>
    <phoneticPr fontId="17" type="noConversion"/>
  </si>
  <si>
    <r>
      <rPr>
        <b/>
        <sz val="10"/>
        <rFont val="宋体"/>
        <family val="3"/>
        <charset val="134"/>
      </rPr>
      <t>四、审计结论：</t>
    </r>
    <phoneticPr fontId="17" type="noConversion"/>
  </si>
  <si>
    <r>
      <rPr>
        <sz val="10"/>
        <color rgb="FF0000FF"/>
        <rFont val="宋体"/>
        <family val="3"/>
        <charset val="134"/>
      </rPr>
      <t>编制说明：</t>
    </r>
    <phoneticPr fontId="17" type="noConversion"/>
  </si>
  <si>
    <r>
      <t>1.</t>
    </r>
    <r>
      <rPr>
        <sz val="10"/>
        <color rgb="FF0000FF"/>
        <rFont val="宋体"/>
        <family val="3"/>
        <charset val="134"/>
      </rPr>
      <t>票据类别应按商业承兑汇票、银行承兑汇票分别列示。</t>
    </r>
    <phoneticPr fontId="17" type="noConversion"/>
  </si>
  <si>
    <t>账项调整</t>
    <phoneticPr fontId="17" type="noConversion"/>
  </si>
  <si>
    <t>重分类调整</t>
    <phoneticPr fontId="17" type="noConversion"/>
  </si>
  <si>
    <t>期末未审数</t>
    <phoneticPr fontId="17" type="noConversion"/>
  </si>
  <si>
    <t>期末审定数</t>
    <phoneticPr fontId="17" type="noConversion"/>
  </si>
  <si>
    <t>已计利息</t>
    <phoneticPr fontId="17" type="noConversion"/>
  </si>
  <si>
    <t>合  计</t>
    <phoneticPr fontId="17" type="noConversion"/>
  </si>
  <si>
    <r>
      <rPr>
        <b/>
        <sz val="10"/>
        <rFont val="宋体"/>
        <family val="3"/>
        <charset val="134"/>
      </rPr>
      <t>项目</t>
    </r>
    <phoneticPr fontId="17" type="noConversion"/>
  </si>
  <si>
    <r>
      <rPr>
        <b/>
        <sz val="10"/>
        <rFont val="宋体"/>
        <family val="3"/>
        <charset val="134"/>
      </rPr>
      <t>期初数</t>
    </r>
    <phoneticPr fontId="17" type="noConversion"/>
  </si>
  <si>
    <r>
      <rPr>
        <b/>
        <sz val="10"/>
        <rFont val="宋体"/>
        <family val="3"/>
        <charset val="134"/>
      </rPr>
      <t>期末数</t>
    </r>
    <phoneticPr fontId="17" type="noConversion"/>
  </si>
  <si>
    <r>
      <rPr>
        <b/>
        <sz val="10"/>
        <rFont val="宋体"/>
        <family val="3"/>
        <charset val="134"/>
      </rPr>
      <t>未审数</t>
    </r>
    <phoneticPr fontId="17" type="noConversion"/>
  </si>
  <si>
    <r>
      <rPr>
        <b/>
        <sz val="10"/>
        <rFont val="宋体"/>
        <family val="3"/>
        <charset val="134"/>
      </rPr>
      <t>账项调整</t>
    </r>
    <phoneticPr fontId="17" type="noConversion"/>
  </si>
  <si>
    <r>
      <rPr>
        <b/>
        <sz val="10"/>
        <rFont val="宋体"/>
        <family val="3"/>
        <charset val="134"/>
      </rPr>
      <t>重分类调整</t>
    </r>
    <phoneticPr fontId="17" type="noConversion"/>
  </si>
  <si>
    <r>
      <rPr>
        <b/>
        <sz val="10"/>
        <rFont val="宋体"/>
        <family val="3"/>
        <charset val="134"/>
      </rPr>
      <t>审定数</t>
    </r>
    <phoneticPr fontId="17" type="noConversion"/>
  </si>
  <si>
    <r>
      <rPr>
        <b/>
        <sz val="10"/>
        <rFont val="宋体"/>
        <family val="3"/>
        <charset val="134"/>
      </rPr>
      <t>索引</t>
    </r>
    <phoneticPr fontId="17" type="noConversion"/>
  </si>
  <si>
    <r>
      <t>1</t>
    </r>
    <r>
      <rPr>
        <b/>
        <sz val="10"/>
        <rFont val="宋体"/>
        <family val="3"/>
        <charset val="134"/>
      </rPr>
      <t>、审计说明</t>
    </r>
    <r>
      <rPr>
        <sz val="10"/>
        <color indexed="12"/>
        <rFont val="宋体"/>
        <family val="3"/>
        <charset val="134"/>
      </rPr>
      <t/>
    </r>
    <phoneticPr fontId="17" type="noConversion"/>
  </si>
  <si>
    <r>
      <rPr>
        <sz val="10"/>
        <rFont val="宋体"/>
        <family val="3"/>
        <charset val="134"/>
      </rPr>
      <t>（</t>
    </r>
    <r>
      <rPr>
        <sz val="10"/>
        <rFont val="Arial Narrow"/>
        <family val="2"/>
      </rPr>
      <t>1</t>
    </r>
    <r>
      <rPr>
        <sz val="10"/>
        <rFont val="宋体"/>
        <family val="3"/>
        <charset val="134"/>
      </rPr>
      <t>）应付票据期末余额较期初余额增加（负数为减少）：</t>
    </r>
    <phoneticPr fontId="17"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</si>
  <si>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7" type="noConversion"/>
  </si>
  <si>
    <r>
      <rPr>
        <sz val="10"/>
        <rFont val="宋体"/>
        <family val="3"/>
        <charset val="134"/>
      </rPr>
      <t>（</t>
    </r>
    <r>
      <rPr>
        <sz val="10"/>
        <rFont val="Arial Narrow"/>
        <family val="2"/>
      </rPr>
      <t>2</t>
    </r>
    <r>
      <rPr>
        <sz val="10"/>
        <rFont val="宋体"/>
        <family val="3"/>
        <charset val="134"/>
      </rPr>
      <t>）逾期应付票据调整情况说明。</t>
    </r>
    <phoneticPr fontId="17" type="noConversion"/>
  </si>
  <si>
    <r>
      <t>2</t>
    </r>
    <r>
      <rPr>
        <b/>
        <sz val="10"/>
        <rFont val="宋体"/>
        <family val="3"/>
        <charset val="134"/>
      </rPr>
      <t>、审计结论</t>
    </r>
    <phoneticPr fontId="17" type="noConversion"/>
  </si>
  <si>
    <r>
      <rPr>
        <b/>
        <sz val="12"/>
        <rFont val="宋体"/>
        <family val="3"/>
        <charset val="134"/>
      </rPr>
      <t>应付票据附注披露信息（上市公司）</t>
    </r>
    <phoneticPr fontId="17" type="noConversion"/>
  </si>
  <si>
    <r>
      <rPr>
        <sz val="10"/>
        <rFont val="宋体"/>
        <family val="3"/>
        <charset val="134"/>
      </rPr>
      <t>页次：</t>
    </r>
    <phoneticPr fontId="17" type="noConversion"/>
  </si>
  <si>
    <r>
      <rPr>
        <b/>
        <sz val="12"/>
        <rFont val="宋体"/>
        <family val="3"/>
        <charset val="134"/>
      </rPr>
      <t>应付票据附注披露信息（国企）</t>
    </r>
    <phoneticPr fontId="17" type="noConversion"/>
  </si>
  <si>
    <t>期末应付票据明细表</t>
    <phoneticPr fontId="17" type="noConversion"/>
  </si>
  <si>
    <r>
      <rPr>
        <b/>
        <sz val="12"/>
        <rFont val="宋体"/>
        <family val="3"/>
        <charset val="134"/>
      </rPr>
      <t>致同会计师事务所</t>
    </r>
  </si>
  <si>
    <t>应付票据实质性程序</t>
    <phoneticPr fontId="17" type="noConversion"/>
  </si>
  <si>
    <t>页  次：</t>
    <phoneticPr fontId="45" type="noConversion"/>
  </si>
  <si>
    <r>
      <rPr>
        <b/>
        <sz val="10"/>
        <rFont val="宋体"/>
        <family val="3"/>
        <charset val="134"/>
      </rPr>
      <t>财务报表的认定　</t>
    </r>
  </si>
  <si>
    <t>程序分类</t>
    <phoneticPr fontId="17" type="noConversion"/>
  </si>
  <si>
    <t>备选</t>
    <phoneticPr fontId="45" type="noConversion"/>
  </si>
  <si>
    <t>3</t>
  </si>
  <si>
    <t>4</t>
  </si>
  <si>
    <t>5</t>
  </si>
  <si>
    <t>应付票据</t>
    <phoneticPr fontId="45" type="noConversion"/>
  </si>
  <si>
    <t>一、本账户涉及的科目</t>
    <phoneticPr fontId="45" type="noConversion"/>
  </si>
  <si>
    <t>试算平衡表数</t>
    <phoneticPr fontId="17" type="noConversion"/>
  </si>
  <si>
    <t>差异数</t>
    <phoneticPr fontId="17" type="noConversion"/>
  </si>
  <si>
    <t>调整事项说明</t>
    <phoneticPr fontId="17" type="noConversion"/>
  </si>
  <si>
    <t>类别（报表调整/账项调整/其他）</t>
    <phoneticPr fontId="17" type="noConversion"/>
  </si>
  <si>
    <t>科目名称</t>
    <phoneticPr fontId="17" type="noConversion"/>
  </si>
  <si>
    <t>附注项目</t>
    <phoneticPr fontId="17" type="noConversion"/>
  </si>
  <si>
    <t>……</t>
    <phoneticPr fontId="17" type="noConversion"/>
  </si>
  <si>
    <t>借方调整金额</t>
    <phoneticPr fontId="17" type="noConversion"/>
  </si>
  <si>
    <t>贷方调整金额</t>
    <phoneticPr fontId="17" type="noConversion"/>
  </si>
  <si>
    <t>索引</t>
    <phoneticPr fontId="17" type="noConversion"/>
  </si>
  <si>
    <t>备注</t>
    <phoneticPr fontId="17" type="noConversion"/>
  </si>
  <si>
    <t>【注：本底稿适用于调整分录较多、较复杂的项目，且仅列示与本报表项目相关的审计调整。项目组可根据项目实际情况选择是否使用该底稿。】</t>
    <phoneticPr fontId="17" type="noConversion"/>
  </si>
  <si>
    <t>索引号</t>
    <phoneticPr fontId="17" type="noConversion"/>
  </si>
  <si>
    <t>应付票据实质性程序表</t>
    <phoneticPr fontId="17" type="noConversion"/>
  </si>
  <si>
    <t>附注披露信息(上市公司)</t>
    <phoneticPr fontId="17" type="noConversion"/>
  </si>
  <si>
    <t>附注披露信息(国企)</t>
    <phoneticPr fontId="17" type="noConversion"/>
  </si>
  <si>
    <t>明细表</t>
    <phoneticPr fontId="17" type="noConversion"/>
  </si>
  <si>
    <t>调整分录汇总</t>
  </si>
  <si>
    <t>应付票据调整分录汇总表</t>
    <phoneticPr fontId="17" type="noConversion"/>
  </si>
  <si>
    <t>关联方类型</t>
    <phoneticPr fontId="17" type="noConversion"/>
  </si>
  <si>
    <t>票据类别</t>
    <phoneticPr fontId="17" type="noConversion"/>
  </si>
  <si>
    <t>银行承兑汇票</t>
  </si>
  <si>
    <t>商业承兑汇票</t>
  </si>
  <si>
    <t>应付票据</t>
    <phoneticPr fontId="17" type="noConversion"/>
  </si>
  <si>
    <t>应付票据</t>
    <phoneticPr fontId="17" type="noConversion"/>
  </si>
  <si>
    <t>期末余额</t>
    <phoneticPr fontId="17" type="noConversion"/>
  </si>
  <si>
    <t>期初余额</t>
    <phoneticPr fontId="17" type="noConversion"/>
  </si>
  <si>
    <t>种类</t>
  </si>
  <si>
    <t>合计</t>
  </si>
  <si>
    <t>说明：本期末已到期未支付的应付票据总额为XXX元。</t>
  </si>
  <si>
    <t>类别</t>
  </si>
  <si>
    <t xml:space="preserve"> 注：企业应说明本期已到期未支付的应付票据总金额。 </t>
  </si>
  <si>
    <t>期末余额</t>
    <phoneticPr fontId="17" type="noConversion"/>
  </si>
  <si>
    <t>上年年末余额</t>
    <phoneticPr fontId="17" type="noConversion"/>
  </si>
  <si>
    <r>
      <rPr>
        <sz val="10"/>
        <color rgb="FF0000FF"/>
        <rFont val="宋体"/>
        <family val="3"/>
        <charset val="134"/>
      </rPr>
      <t>【如果法律上认定供应链票据属于《商业汇票承兑、贴现与再贴现管理办法》（中国人民银行中国银行保险监督管理委员会令〔</t>
    </r>
    <r>
      <rPr>
        <sz val="10"/>
        <color rgb="FF0000FF"/>
        <rFont val="Arial Narrow"/>
        <family val="2"/>
      </rPr>
      <t>2022</t>
    </r>
    <r>
      <rPr>
        <sz val="10"/>
        <color rgb="FF0000FF"/>
        <rFont val="宋体"/>
        <family val="3"/>
        <charset val="134"/>
      </rPr>
      <t>〕第</t>
    </r>
    <r>
      <rPr>
        <sz val="10"/>
        <color rgb="FF0000FF"/>
        <rFont val="Arial Narrow"/>
        <family val="2"/>
      </rPr>
      <t>4</t>
    </r>
    <r>
      <rPr>
        <sz val="10"/>
        <color rgb="FF0000FF"/>
        <rFont val="宋体"/>
        <family val="3"/>
        <charset val="134"/>
      </rPr>
      <t>号）的范围、具备《票据法》规定的要件，则出票人应当自法律认定生效日（</t>
    </r>
    <r>
      <rPr>
        <sz val="10"/>
        <color rgb="FF0000FF"/>
        <rFont val="Arial Narrow"/>
        <family val="2"/>
      </rPr>
      <t>2023</t>
    </r>
    <r>
      <rPr>
        <sz val="10"/>
        <color rgb="FF0000FF"/>
        <rFont val="宋体"/>
        <family val="3"/>
        <charset val="134"/>
      </rPr>
      <t>年</t>
    </r>
    <r>
      <rPr>
        <sz val="10"/>
        <color rgb="FF0000FF"/>
        <rFont val="Arial Narrow"/>
        <family val="2"/>
      </rPr>
      <t>1</t>
    </r>
    <r>
      <rPr>
        <sz val="10"/>
        <color rgb="FF0000FF"/>
        <rFont val="宋体"/>
        <family val="3"/>
        <charset val="134"/>
      </rPr>
      <t>月</t>
    </r>
    <r>
      <rPr>
        <sz val="10"/>
        <color rgb="FF0000FF"/>
        <rFont val="Arial Narrow"/>
        <family val="2"/>
      </rPr>
      <t>1</t>
    </r>
    <r>
      <rPr>
        <sz val="10"/>
        <color rgb="FF0000FF"/>
        <rFont val="宋体"/>
        <family val="3"/>
        <charset val="134"/>
      </rPr>
      <t>日）起将其作为</t>
    </r>
    <r>
      <rPr>
        <sz val="10"/>
        <color rgb="FF0000FF"/>
        <rFont val="Arial Narrow"/>
        <family val="2"/>
      </rPr>
      <t>“</t>
    </r>
    <r>
      <rPr>
        <sz val="10"/>
        <color rgb="FF0000FF"/>
        <rFont val="宋体"/>
        <family val="3"/>
        <charset val="134"/>
      </rPr>
      <t>应付票据</t>
    </r>
    <r>
      <rPr>
        <sz val="10"/>
        <color rgb="FF0000FF"/>
        <rFont val="Arial Narrow"/>
        <family val="2"/>
      </rPr>
      <t>”</t>
    </r>
    <r>
      <rPr>
        <sz val="10"/>
        <color rgb="FF0000FF"/>
        <rFont val="宋体"/>
        <family val="3"/>
        <charset val="134"/>
      </rPr>
      <t>进行会计处理，且无需对前期比较期间数据进行追溯调整。】</t>
    </r>
    <phoneticPr fontId="17" type="noConversion"/>
  </si>
  <si>
    <t>列报</t>
    <phoneticPr fontId="17" type="noConversion"/>
  </si>
  <si>
    <t>审计目标</t>
    <phoneticPr fontId="17" type="noConversion"/>
  </si>
  <si>
    <t>存在</t>
    <phoneticPr fontId="17" type="noConversion"/>
  </si>
  <si>
    <t>权利和义务</t>
    <phoneticPr fontId="17" type="noConversion"/>
  </si>
  <si>
    <t>序号</t>
    <phoneticPr fontId="17" type="noConversion"/>
  </si>
  <si>
    <t>财务报表的认定</t>
    <phoneticPr fontId="17" type="noConversion"/>
  </si>
  <si>
    <t>底稿索引号</t>
    <phoneticPr fontId="17" type="noConversion"/>
  </si>
  <si>
    <t>存在</t>
    <phoneticPr fontId="17" type="noConversion"/>
  </si>
  <si>
    <t>完整性</t>
    <phoneticPr fontId="17" type="noConversion"/>
  </si>
  <si>
    <t>权利和
义务</t>
    <phoneticPr fontId="17" type="noConversion"/>
  </si>
  <si>
    <t>准确性、计价和分摊</t>
  </si>
  <si>
    <t>保证金金额</t>
    <phoneticPr fontId="17" type="noConversion"/>
  </si>
  <si>
    <r>
      <rPr>
        <sz val="10"/>
        <color theme="1"/>
        <rFont val="宋体"/>
        <family val="3"/>
        <charset val="134"/>
      </rPr>
      <t>获取或编制应付票据的明细表，完成以下工作，并编制审定表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）检查借方余额是否需要重分类、非记账本位币应付票据折算是否正确。</t>
    </r>
    <phoneticPr fontId="45" type="noConversion"/>
  </si>
  <si>
    <t>获取并阅读被审计单位的企业信用报告（贷款卡），检查其中与应付票据有关的信息是否一致，如果不一致应查明原因并编制差额调节表。</t>
    <phoneticPr fontId="17"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</si>
  <si>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5" type="noConversion"/>
  </si>
  <si>
    <t>应付票据中的由被审计单位生成的信息例如：应付票据备查簿、采购合同台账、被函证方信息等</t>
    <phoneticPr fontId="45" type="noConversion"/>
  </si>
  <si>
    <r>
      <rPr>
        <sz val="10"/>
        <color theme="1"/>
        <rFont val="宋体"/>
        <family val="3"/>
        <charset val="134"/>
      </rPr>
      <t>常规★</t>
    </r>
    <phoneticPr fontId="45" type="noConversion"/>
  </si>
  <si>
    <r>
      <rPr>
        <sz val="10"/>
        <color theme="1"/>
        <rFont val="宋体"/>
        <family val="3"/>
        <charset val="134"/>
      </rPr>
      <t>针对舞弊风险较大的供应商，考虑对采购额、合同条款、是否存在关联方关系及是否存在补充协议等实施函证程序。</t>
    </r>
    <phoneticPr fontId="17" type="noConversion"/>
  </si>
  <si>
    <r>
      <rPr>
        <sz val="10"/>
        <color theme="1"/>
        <rFont val="宋体"/>
        <family val="3"/>
        <charset val="134"/>
      </rPr>
      <t>结合票据的函证程序、分析程序及其他检查程序，重点关注票据的真实性及交易的合理性，特别关注票据流转与合同约定、实物流转等是否匹配，以及票据流转的前后手情况。通过网上查验、现场验证等方式，对异常的票据进行重点核查。</t>
    </r>
    <phoneticPr fontId="45" type="noConversion"/>
  </si>
  <si>
    <r>
      <rPr>
        <sz val="10"/>
        <color theme="1"/>
        <rFont val="宋体"/>
        <family val="3"/>
        <charset val="134"/>
      </rPr>
      <t>根据评估的舞弊风险等因素增加的审计程序。</t>
    </r>
  </si>
  <si>
    <r>
      <rPr>
        <sz val="10"/>
        <color theme="1"/>
        <rFont val="宋体"/>
        <family val="3"/>
        <charset val="134"/>
      </rPr>
      <t>对期初余额的审计，取得应付票据期初余额明细表复核加计是否正确，与总账、明细账合计数是否相符，检查上期应付票据在本期到期付款情况，函证期初余额以及其他必要追加的审计程序。</t>
    </r>
    <r>
      <rPr>
        <sz val="10"/>
        <color rgb="FFFF0000"/>
        <rFont val="宋体"/>
        <family val="3"/>
        <charset val="134"/>
      </rPr>
      <t>（适用于首次承接）</t>
    </r>
    <phoneticPr fontId="17" type="noConversion"/>
  </si>
  <si>
    <r>
      <rPr>
        <sz val="10"/>
        <color theme="1"/>
        <rFont val="宋体"/>
        <family val="3"/>
        <charset val="134"/>
      </rPr>
      <t>实施函证程序：
（</t>
    </r>
    <r>
      <rPr>
        <sz val="10"/>
        <color theme="1"/>
        <rFont val="Arial Narrow"/>
        <family val="2"/>
      </rPr>
      <t>1</t>
    </r>
    <r>
      <rPr>
        <sz val="10"/>
        <color theme="1"/>
        <rFont val="宋体"/>
        <family val="3"/>
        <charset val="134"/>
      </rPr>
      <t>）以积极方式对应付票据进行函证，设计询证函、发函前核实被函证单位信息；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17" type="noConversion"/>
  </si>
  <si>
    <r>
      <rPr>
        <sz val="10"/>
        <color theme="1"/>
        <rFont val="宋体"/>
        <family val="3"/>
        <charset val="134"/>
      </rPr>
      <t>检查应付关联方款项：
（</t>
    </r>
    <r>
      <rPr>
        <sz val="10"/>
        <color theme="1"/>
        <rFont val="Arial Narrow"/>
        <family val="2"/>
      </rPr>
      <t>1</t>
    </r>
    <r>
      <rPr>
        <sz val="10"/>
        <color theme="1"/>
        <rFont val="宋体"/>
        <family val="3"/>
        <charset val="134"/>
      </rPr>
      <t>）了解交易的商业理由、交易事项的目的、价格和条件，考虑对关联方应付票据的合理性、合法性；
（</t>
    </r>
    <r>
      <rPr>
        <sz val="10"/>
        <color theme="1"/>
        <rFont val="Arial Narrow"/>
        <family val="2"/>
      </rPr>
      <t>2</t>
    </r>
    <r>
      <rPr>
        <sz val="10"/>
        <color theme="1"/>
        <rFont val="宋体"/>
        <family val="3"/>
        <charset val="134"/>
      </rPr>
      <t>）检查对关联方应付票据的真实性相关的支持性文件、检查会计处理是否正确；
（</t>
    </r>
    <r>
      <rPr>
        <sz val="10"/>
        <color theme="1"/>
        <rFont val="Arial Narrow"/>
        <family val="2"/>
      </rPr>
      <t>3</t>
    </r>
    <r>
      <rPr>
        <sz val="10"/>
        <color theme="1"/>
        <rFont val="宋体"/>
        <family val="3"/>
        <charset val="134"/>
      </rPr>
      <t>）考虑向关联方或其他注册会计师函证重大的关联采购交易和余额（包括担保和其他重要信息）；
（</t>
    </r>
    <r>
      <rPr>
        <sz val="10"/>
        <color theme="1"/>
        <rFont val="Arial Narrow"/>
        <family val="2"/>
      </rPr>
      <t>4</t>
    </r>
    <r>
      <rPr>
        <sz val="10"/>
        <color theme="1"/>
        <rFont val="宋体"/>
        <family val="3"/>
        <charset val="134"/>
      </rPr>
      <t>）必要时，向与交易相关的人员和机构（如银行、律师）函证或与其讨论有关信息；
（</t>
    </r>
    <r>
      <rPr>
        <sz val="10"/>
        <color theme="1"/>
        <rFont val="Arial Narrow"/>
        <family val="2"/>
      </rPr>
      <t>5</t>
    </r>
    <r>
      <rPr>
        <sz val="10"/>
        <color theme="1"/>
        <rFont val="宋体"/>
        <family val="3"/>
        <charset val="134"/>
      </rPr>
      <t>）考虑是否存在未识别的关联方，关联交易和余额披露是否正确。</t>
    </r>
    <phoneticPr fontId="17" type="noConversion"/>
  </si>
  <si>
    <t>1</t>
    <phoneticPr fontId="45" type="noConversion"/>
  </si>
  <si>
    <t>2</t>
    <phoneticPr fontId="17" type="noConversion"/>
  </si>
  <si>
    <t>6</t>
  </si>
  <si>
    <t>7</t>
  </si>
  <si>
    <t>8</t>
  </si>
  <si>
    <t>9</t>
  </si>
  <si>
    <t>10</t>
  </si>
  <si>
    <t>11</t>
  </si>
  <si>
    <t>12</t>
  </si>
  <si>
    <t>13</t>
  </si>
  <si>
    <t>√</t>
    <phoneticPr fontId="17" type="noConversion"/>
  </si>
  <si>
    <t>√</t>
    <phoneticPr fontId="17" type="noConversion"/>
  </si>
  <si>
    <t>检查应付票据是否已按企业会计准则或其他适用的规定在财务报表中做出恰当列报和披露。</t>
    <phoneticPr fontId="17"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</si>
  <si>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5" type="noConversion"/>
  </si>
  <si>
    <t>14</t>
    <phoneticPr fontId="17" type="noConversion"/>
  </si>
  <si>
    <t>√</t>
  </si>
  <si>
    <t>√</t>
    <phoneticPr fontId="17" type="noConversion"/>
  </si>
  <si>
    <t>√</t>
    <phoneticPr fontId="17" type="noConversion"/>
  </si>
  <si>
    <t>√</t>
    <phoneticPr fontId="17" type="noConversion"/>
  </si>
  <si>
    <t>√</t>
    <phoneticPr fontId="17" type="noConversion"/>
  </si>
  <si>
    <t>报表项目</t>
    <phoneticPr fontId="17" type="noConversion"/>
  </si>
  <si>
    <r>
      <t xml:space="preserve">E. </t>
    </r>
    <r>
      <rPr>
        <sz val="10"/>
        <rFont val="宋体"/>
        <family val="3"/>
        <charset val="134"/>
      </rPr>
      <t>应付票据已被恰当地汇总或分解且表述清楚，相关披露在按照企业会计准则的编制基础下是相关的、可理解的</t>
    </r>
    <phoneticPr fontId="17" type="noConversion"/>
  </si>
  <si>
    <r>
      <t xml:space="preserve">A. </t>
    </r>
    <r>
      <rPr>
        <sz val="10"/>
        <rFont val="宋体"/>
        <family val="3"/>
        <charset val="134"/>
      </rPr>
      <t>资产负债表中记录的应付票据是存在的，且已经记录在恰当的账户中</t>
    </r>
    <phoneticPr fontId="17" type="noConversion"/>
  </si>
  <si>
    <t>对逾期未兑付的票据查明原因，检查相关会计处理是否正确，是否符合适用的财务报告编制基础。</t>
    <phoneticPr fontId="17" type="noConversion"/>
  </si>
  <si>
    <r>
      <t>2.</t>
    </r>
    <r>
      <rPr>
        <sz val="10"/>
        <color rgb="FF0000FF"/>
        <rFont val="宋体"/>
        <family val="3"/>
        <charset val="134"/>
      </rPr>
      <t>与收款人是否存在关联关系，在</t>
    </r>
    <r>
      <rPr>
        <sz val="10"/>
        <color rgb="FF0000FF"/>
        <rFont val="Arial Narrow"/>
        <family val="2"/>
      </rPr>
      <t>“</t>
    </r>
    <r>
      <rPr>
        <sz val="10"/>
        <color rgb="FF0000FF"/>
        <rFont val="宋体"/>
        <family val="3"/>
        <charset val="134"/>
      </rPr>
      <t>备注</t>
    </r>
    <r>
      <rPr>
        <sz val="10"/>
        <color rgb="FF0000FF"/>
        <rFont val="Arial Narrow"/>
        <family val="2"/>
      </rPr>
      <t>”</t>
    </r>
    <r>
      <rPr>
        <sz val="10"/>
        <color rgb="FF0000FF"/>
        <rFont val="宋体"/>
        <family val="3"/>
        <charset val="134"/>
      </rPr>
      <t>栏中说明。</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</si>
  <si>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</si>
  <si>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r>
      <rPr>
        <sz val="10"/>
        <rFont val="宋体"/>
        <family val="3"/>
        <charset val="134"/>
      </rPr>
      <t>索引号：</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</si>
  <si>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</si>
  <si>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t>关联方名称</t>
    <phoneticPr fontId="17" type="noConversion"/>
  </si>
  <si>
    <t>关联关系</t>
    <phoneticPr fontId="17" type="noConversion"/>
  </si>
  <si>
    <r>
      <rPr>
        <b/>
        <sz val="10"/>
        <rFont val="宋体"/>
        <family val="3"/>
        <charset val="134"/>
      </rPr>
      <t>发生原因（款项性质）</t>
    </r>
    <phoneticPr fontId="17" type="noConversion"/>
  </si>
  <si>
    <r>
      <rPr>
        <b/>
        <sz val="10"/>
        <rFont val="宋体"/>
        <family val="3"/>
        <charset val="134"/>
      </rPr>
      <t>索引号</t>
    </r>
    <phoneticPr fontId="17" type="noConversion"/>
  </si>
  <si>
    <r>
      <rPr>
        <b/>
        <sz val="10"/>
        <rFont val="宋体"/>
        <family val="3"/>
        <charset val="134"/>
      </rPr>
      <t>备注</t>
    </r>
    <phoneticPr fontId="17" type="noConversion"/>
  </si>
  <si>
    <t>实际控制人</t>
    <phoneticPr fontId="17" type="noConversion"/>
  </si>
  <si>
    <t>控股股东</t>
    <phoneticPr fontId="17" type="noConversion"/>
  </si>
  <si>
    <t>控股股东、实际控制人的附属企业</t>
    <phoneticPr fontId="17" type="noConversion"/>
  </si>
  <si>
    <r>
      <rPr>
        <sz val="10"/>
        <rFont val="宋体"/>
        <family val="3"/>
        <charset val="134"/>
      </rPr>
      <t>持有</t>
    </r>
    <r>
      <rPr>
        <sz val="10"/>
        <rFont val="Arial Narrow"/>
        <family val="2"/>
      </rPr>
      <t>5%</t>
    </r>
    <r>
      <rPr>
        <sz val="10"/>
        <rFont val="宋体"/>
        <family val="3"/>
        <charset val="134"/>
      </rPr>
      <t>以上股份的法人或其他组织</t>
    </r>
    <phoneticPr fontId="17" type="noConversion"/>
  </si>
  <si>
    <r>
      <t>1</t>
    </r>
    <r>
      <rPr>
        <b/>
        <sz val="10"/>
        <rFont val="宋体"/>
        <family val="3"/>
        <charset val="134"/>
      </rPr>
      <t>、审计说明：</t>
    </r>
    <r>
      <rPr>
        <b/>
        <sz val="10"/>
        <color indexed="12"/>
        <rFont val="Arial Narrow"/>
        <family val="2"/>
      </rPr>
      <t/>
    </r>
    <phoneticPr fontId="17" type="noConversion"/>
  </si>
  <si>
    <t>联营企业</t>
    <phoneticPr fontId="17" type="noConversion"/>
  </si>
  <si>
    <t>合营企业</t>
    <phoneticPr fontId="17" type="noConversion"/>
  </si>
  <si>
    <r>
      <t>2</t>
    </r>
    <r>
      <rPr>
        <b/>
        <sz val="10"/>
        <rFont val="宋体"/>
        <family val="3"/>
        <charset val="134"/>
      </rPr>
      <t>、审计结论：</t>
    </r>
    <phoneticPr fontId="17" type="noConversion"/>
  </si>
  <si>
    <t>董高监等关键管理人员</t>
    <phoneticPr fontId="17" type="noConversion"/>
  </si>
  <si>
    <t>其他关联方</t>
    <phoneticPr fontId="17" type="noConversion"/>
  </si>
  <si>
    <t>应付票据关联方及交易检查表</t>
    <phoneticPr fontId="17" type="noConversion"/>
  </si>
  <si>
    <t>关注对关联方应付票据的真实性、合理性、合法性、会计处理是否正确，考虑是否存在未识别的关联方，检查关联交易和余额披露是否正确。</t>
    <phoneticPr fontId="17" type="noConversion"/>
  </si>
  <si>
    <t>逾期未付票据检查表</t>
    <phoneticPr fontId="17" type="noConversion"/>
  </si>
  <si>
    <t>借款条件</t>
    <phoneticPr fontId="17" type="noConversion"/>
  </si>
  <si>
    <t>到期日</t>
    <phoneticPr fontId="17" type="noConversion"/>
  </si>
  <si>
    <t>票面金额</t>
    <phoneticPr fontId="17" type="noConversion"/>
  </si>
  <si>
    <t>抵押情况</t>
    <phoneticPr fontId="17" type="noConversion"/>
  </si>
  <si>
    <t>物品名称</t>
    <phoneticPr fontId="17" type="noConversion"/>
  </si>
  <si>
    <t>金额</t>
    <phoneticPr fontId="17" type="noConversion"/>
  </si>
  <si>
    <t>合计</t>
    <phoneticPr fontId="17" type="noConversion"/>
  </si>
  <si>
    <t>合计</t>
    <phoneticPr fontId="17" type="noConversion"/>
  </si>
  <si>
    <t>票据期限</t>
    <phoneticPr fontId="17" type="noConversion"/>
  </si>
  <si>
    <t>票面利率</t>
    <phoneticPr fontId="17" type="noConversion"/>
  </si>
  <si>
    <t>承兑人</t>
    <phoneticPr fontId="17" type="noConversion"/>
  </si>
  <si>
    <t>出票人</t>
    <phoneticPr fontId="17" type="noConversion"/>
  </si>
  <si>
    <t>收款人</t>
    <phoneticPr fontId="17" type="noConversion"/>
  </si>
  <si>
    <t>出票日</t>
    <phoneticPr fontId="17" type="noConversion"/>
  </si>
  <si>
    <t>期限</t>
    <phoneticPr fontId="17" type="noConversion"/>
  </si>
  <si>
    <t>票据关系人</t>
    <phoneticPr fontId="17" type="noConversion"/>
  </si>
  <si>
    <t>分析逾期未付票据对公司持续经营的影响程度</t>
    <phoneticPr fontId="17" type="noConversion"/>
  </si>
  <si>
    <t>逾期票据是否引发了诉讼事项？如确引发了诉讼事项，取得相关诉状</t>
    <phoneticPr fontId="17" type="noConversion"/>
  </si>
  <si>
    <t xml:space="preserve">应付票据以恰当的金额包括在财务报表中，与之相关的计价或分摊调整已恰当记录，相关披露已得到恰当计量和描述 </t>
    <phoneticPr fontId="17" type="noConversion"/>
  </si>
  <si>
    <t>复核带息应付票据利息是否足额计提，其会计处理是否正确。</t>
    <phoneticPr fontId="17" type="noConversion"/>
  </si>
  <si>
    <t>应付票据（带息）利息测算表</t>
    <phoneticPr fontId="17" type="noConversion"/>
  </si>
  <si>
    <t>一、审计目标：</t>
    <phoneticPr fontId="77" type="noConversion"/>
  </si>
  <si>
    <t>二、样本选取标准与规模：</t>
    <phoneticPr fontId="77" type="noConversion"/>
  </si>
  <si>
    <t>测试总体：</t>
    <phoneticPr fontId="17" type="noConversion"/>
  </si>
  <si>
    <t>抽样总体：</t>
    <phoneticPr fontId="17" type="noConversion"/>
  </si>
  <si>
    <t>三、测试：</t>
    <phoneticPr fontId="77" type="noConversion"/>
  </si>
  <si>
    <t>记账凭证</t>
    <phoneticPr fontId="17" type="noConversion"/>
  </si>
  <si>
    <t>付款审批单</t>
    <phoneticPr fontId="17" type="noConversion"/>
  </si>
  <si>
    <t>……</t>
    <phoneticPr fontId="17" type="noConversion"/>
  </si>
  <si>
    <t>索引号</t>
    <phoneticPr fontId="17" type="noConversion"/>
  </si>
  <si>
    <t>是否异常</t>
    <phoneticPr fontId="17" type="noConversion"/>
  </si>
  <si>
    <t>日期</t>
  </si>
  <si>
    <t>凭证编号</t>
  </si>
  <si>
    <t>业务内容</t>
    <phoneticPr fontId="17" type="noConversion"/>
  </si>
  <si>
    <t>对方科目</t>
    <phoneticPr fontId="17" type="noConversion"/>
  </si>
  <si>
    <t>明细科目</t>
  </si>
  <si>
    <t>借方金额</t>
    <phoneticPr fontId="17" type="noConversion"/>
  </si>
  <si>
    <t>日期/编号</t>
    <phoneticPr fontId="17" type="noConversion"/>
  </si>
  <si>
    <t>日期</t>
    <phoneticPr fontId="17" type="noConversion"/>
  </si>
  <si>
    <t>检查的关键证据和要素根据被审计单位具体情况修改</t>
    <phoneticPr fontId="17" type="noConversion"/>
  </si>
  <si>
    <t>合计</t>
    <phoneticPr fontId="17" type="noConversion"/>
  </si>
  <si>
    <t>记账凭证</t>
    <phoneticPr fontId="17" type="noConversion"/>
  </si>
  <si>
    <t>入库单/验收单</t>
    <phoneticPr fontId="17" type="noConversion"/>
  </si>
  <si>
    <t>采购发票</t>
    <phoneticPr fontId="17" type="noConversion"/>
  </si>
  <si>
    <t>……</t>
    <phoneticPr fontId="17" type="noConversion"/>
  </si>
  <si>
    <t>索引号</t>
    <phoneticPr fontId="17" type="noConversion"/>
  </si>
  <si>
    <t>是否异常</t>
    <phoneticPr fontId="17" type="noConversion"/>
  </si>
  <si>
    <t>业务内容</t>
    <phoneticPr fontId="17" type="noConversion"/>
  </si>
  <si>
    <t>贷方金额</t>
    <phoneticPr fontId="17" type="noConversion"/>
  </si>
  <si>
    <t>日期/编号</t>
    <phoneticPr fontId="17" type="noConversion"/>
  </si>
  <si>
    <t>品名</t>
    <phoneticPr fontId="17" type="noConversion"/>
  </si>
  <si>
    <t>单位</t>
    <phoneticPr fontId="17" type="noConversion"/>
  </si>
  <si>
    <t>数量</t>
    <phoneticPr fontId="17" type="noConversion"/>
  </si>
  <si>
    <t>日期/编号</t>
    <phoneticPr fontId="17" type="noConversion"/>
  </si>
  <si>
    <t>对手方名称</t>
    <phoneticPr fontId="17" type="noConversion"/>
  </si>
  <si>
    <t>四、审计说明：</t>
    <phoneticPr fontId="77" type="noConversion"/>
  </si>
  <si>
    <t>五、审计结论：</t>
    <phoneticPr fontId="17" type="noConversion"/>
  </si>
  <si>
    <t>应付票据检查表</t>
    <phoneticPr fontId="17" type="noConversion"/>
  </si>
  <si>
    <r>
      <t>1.</t>
    </r>
    <r>
      <rPr>
        <sz val="10"/>
        <rFont val="宋体"/>
        <family val="3"/>
        <charset val="134"/>
      </rPr>
      <t>产负债表中记录的应付票据是存在的，且已经记录在恰当的账户中；</t>
    </r>
    <r>
      <rPr>
        <sz val="10"/>
        <rFont val="Arial Narrow"/>
        <family val="2"/>
      </rPr>
      <t>2.</t>
    </r>
    <r>
      <rPr>
        <sz val="10"/>
        <rFont val="宋体"/>
        <family val="3"/>
        <charset val="134"/>
      </rPr>
      <t>记录的应付票据由被审计单位拥有或控制；</t>
    </r>
    <phoneticPr fontId="17" type="noConversion"/>
  </si>
  <si>
    <r>
      <t>3.</t>
    </r>
    <r>
      <rPr>
        <sz val="10"/>
        <rFont val="宋体"/>
        <family val="3"/>
        <charset val="134"/>
      </rPr>
      <t>应付票据以恰当的金额包括在财务报表中，与之相关的计价或分摊调整已恰当记录，相关披露已得到恰当计量和描述</t>
    </r>
    <r>
      <rPr>
        <sz val="10"/>
        <rFont val="Arial Narrow"/>
        <family val="2"/>
      </rPr>
      <t xml:space="preserve"> </t>
    </r>
    <phoneticPr fontId="17" type="noConversion"/>
  </si>
  <si>
    <t>票据类别</t>
    <phoneticPr fontId="17" type="noConversion"/>
  </si>
  <si>
    <t>票据类别</t>
    <phoneticPr fontId="17" type="noConversion"/>
  </si>
  <si>
    <t>检查与应付票据有关的的记账凭证和相应的支持性证据以确定交易的真实性，是否按规定进行相应的会计处理和披露。</t>
    <phoneticPr fontId="17" type="noConversion"/>
  </si>
  <si>
    <r>
      <t>3.</t>
    </r>
    <r>
      <rPr>
        <sz val="10"/>
        <rFont val="宋体"/>
        <family val="3"/>
        <charset val="134"/>
      </rPr>
      <t>应付票据以恰当的金额包括在财务报表中，与之相关的计价或分摊调整已恰当记录，相关披露已得到恰当计量和描述</t>
    </r>
    <r>
      <rPr>
        <sz val="10"/>
        <rFont val="Arial Narrow"/>
        <family val="2"/>
      </rPr>
      <t xml:space="preserve"> </t>
    </r>
    <phoneticPr fontId="17" type="noConversion"/>
  </si>
  <si>
    <r>
      <t>1.</t>
    </r>
    <r>
      <rPr>
        <sz val="10"/>
        <color indexed="8"/>
        <rFont val="宋体"/>
        <family val="3"/>
        <charset val="134"/>
      </rPr>
      <t>资产负债表中记录的应付票据是存在的，且已经记录在恰当的账户中；</t>
    </r>
    <r>
      <rPr>
        <sz val="10"/>
        <color indexed="8"/>
        <rFont val="Arial Narrow"/>
        <family val="2"/>
      </rPr>
      <t>2.</t>
    </r>
    <r>
      <rPr>
        <sz val="10"/>
        <color indexed="8"/>
        <rFont val="宋体"/>
        <family val="3"/>
        <charset val="134"/>
      </rPr>
      <t>所有应记录的应付票据均已记录，所有应当包括在财务报表中的相关披露均已包括；</t>
    </r>
    <phoneticPr fontId="17" type="noConversion"/>
  </si>
  <si>
    <t>期后支付金额</t>
    <phoneticPr fontId="17" type="noConversion"/>
  </si>
  <si>
    <t>二、审计目标与认定的对应关系</t>
    <phoneticPr fontId="17"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</si>
  <si>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7" type="noConversion"/>
  </si>
  <si>
    <t>关注会计政策、会计估计合理性、一贯性，关注其是否利用会计政策和会计估计及其变更操纵利润。</t>
    <phoneticPr fontId="17" type="noConversion"/>
  </si>
  <si>
    <t>应计利息</t>
    <phoneticPr fontId="45" type="noConversion"/>
  </si>
  <si>
    <t>F3A</t>
    <phoneticPr fontId="17" type="noConversion"/>
  </si>
  <si>
    <t>商业承兑汇票</t>
    <phoneticPr fontId="21" type="noConversion"/>
  </si>
  <si>
    <t>银行承兑汇票</t>
    <phoneticPr fontId="21" type="noConversion"/>
  </si>
  <si>
    <r>
      <rPr>
        <b/>
        <sz val="10"/>
        <rFont val="宋体"/>
        <family val="3"/>
        <charset val="134"/>
      </rPr>
      <t>合计</t>
    </r>
    <phoneticPr fontId="17" type="noConversion"/>
  </si>
  <si>
    <t>提示：</t>
    <phoneticPr fontId="17" type="noConversion"/>
  </si>
  <si>
    <t>逾期的银行承兑汇票转入短期借款；逾期的商业承兑汇票转入应付账款。</t>
    <phoneticPr fontId="17" type="noConversion"/>
  </si>
  <si>
    <t>索引号：</t>
    <phoneticPr fontId="21" type="noConversion"/>
  </si>
  <si>
    <t>页  次：</t>
    <phoneticPr fontId="21" type="noConversion"/>
  </si>
  <si>
    <t>致同会计师事务所</t>
  </si>
  <si>
    <t>应付票据审定表</t>
    <phoneticPr fontId="17" type="noConversion"/>
  </si>
  <si>
    <t>索引号：</t>
    <phoneticPr fontId="17" type="noConversion"/>
  </si>
  <si>
    <r>
      <t>1.</t>
    </r>
    <r>
      <rPr>
        <sz val="10"/>
        <rFont val="宋体"/>
        <family val="3"/>
        <charset val="134"/>
      </rPr>
      <t>核对应付票据明细表与应付票据备查簿的相关内容，包括商业汇票的种类、号数和出票日期、到期日、票面金额、票面利率、已计提的利息等，复核其应存人银行的承兑保证金，并与其他货币资金科目勾稽；</t>
    </r>
    <phoneticPr fontId="17" type="noConversion"/>
  </si>
  <si>
    <r>
      <t>2.</t>
    </r>
    <r>
      <rPr>
        <sz val="10"/>
        <rFont val="宋体"/>
        <family val="3"/>
        <charset val="134"/>
      </rPr>
      <t>获取并阅读被审计单位的企业信用报告（贷款卡），检查其中与应付票据有关的信息是否一致；</t>
    </r>
    <phoneticPr fontId="17" type="noConversion"/>
  </si>
  <si>
    <r>
      <t>3.</t>
    </r>
    <r>
      <rPr>
        <sz val="10"/>
        <rFont val="宋体"/>
        <family val="3"/>
        <charset val="134"/>
      </rPr>
      <t>对逾期未兑付的票据，了解原因，检查相关会计处理是否正确；询问管理层，审查有关文件并结合购货截止测试，检查应付票据的完整性。</t>
    </r>
    <phoneticPr fontId="17" type="noConversion"/>
  </si>
  <si>
    <r>
      <t>4.</t>
    </r>
    <r>
      <rPr>
        <sz val="10"/>
        <color rgb="FFFF0000"/>
        <rFont val="宋体"/>
        <family val="3"/>
        <charset val="134"/>
      </rPr>
      <t>关注票据的真实性及交易的合理性，特别关注票据流转与合同约定、实物流转等是否匹配，以及票据流转的前后手情况。通过网上查验、现场验证等方式，对异常的票据进行重点核查。</t>
    </r>
    <phoneticPr fontId="17"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</si>
  <si>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7"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</si>
  <si>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7" type="noConversion"/>
  </si>
  <si>
    <t>索引号：</t>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</si>
  <si>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</si>
  <si>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t>是否调整</t>
    <phoneticPr fontId="17" type="noConversion"/>
  </si>
  <si>
    <t>期初余额</t>
  </si>
  <si>
    <t>借方发生</t>
  </si>
  <si>
    <t>贷方发生</t>
  </si>
  <si>
    <t>期末余额</t>
  </si>
  <si>
    <t>账龄</t>
    <phoneticPr fontId="17" type="noConversion"/>
  </si>
  <si>
    <t>定价政策</t>
    <phoneticPr fontId="17" type="noConversion"/>
  </si>
  <si>
    <t>期后付款金额</t>
    <phoneticPr fontId="17" type="noConversion"/>
  </si>
  <si>
    <t>如应付票据借方发生额所有凭证共XX笔金额XX、贷方发生额所有凭证共XX笔金额XX</t>
    <phoneticPr fontId="17" type="noConversion"/>
  </si>
  <si>
    <t>测试范围扣除特定样本以外的样本，共XX笔、金额XX</t>
    <phoneticPr fontId="17" type="noConversion"/>
  </si>
  <si>
    <t>抽样方法：</t>
    <phoneticPr fontId="17" type="noConversion"/>
  </si>
  <si>
    <t>特定样本：</t>
    <phoneticPr fontId="17" type="noConversion"/>
  </si>
  <si>
    <t>XX金额以上（大额）、关联方/关联交易形成的款项、XX异常款项全部测试，共XX笔；</t>
    <phoneticPr fontId="17" type="noConversion"/>
  </si>
  <si>
    <t>确定的抽样样本量：</t>
    <phoneticPr fontId="17" type="noConversion"/>
  </si>
  <si>
    <t>抽取XX笔</t>
    <phoneticPr fontId="17" type="noConversion"/>
  </si>
  <si>
    <t>（如果使用了样本计算器计算样本量，样本量计算过程见&lt;XX&gt;底稿）</t>
    <phoneticPr fontId="17" type="noConversion"/>
  </si>
  <si>
    <t>抽样过程：</t>
    <phoneticPr fontId="17" type="noConversion"/>
  </si>
  <si>
    <t>使用IDEA（XX抽样工具）选择XX数量、金额XX的样本进行测试，抽样工具中的样本选择过程和结果见&lt;XX&gt;底稿</t>
    <phoneticPr fontId="17" type="noConversion"/>
  </si>
  <si>
    <t>银行回单</t>
    <phoneticPr fontId="17" type="noConversion"/>
  </si>
  <si>
    <t>收款方</t>
    <phoneticPr fontId="17" type="noConversion"/>
  </si>
  <si>
    <t>1.本期借方金额检查</t>
    <phoneticPr fontId="17" type="noConversion"/>
  </si>
  <si>
    <t>2.贷方金额检查</t>
    <phoneticPr fontId="17" type="noConversion"/>
  </si>
  <si>
    <t>3.资产负债表日后借方检查</t>
    <phoneticPr fontId="17" type="noConversion"/>
  </si>
  <si>
    <t>索引号：</t>
    <phoneticPr fontId="21" type="noConversion"/>
  </si>
  <si>
    <t>F3A</t>
    <phoneticPr fontId="17" type="noConversion"/>
  </si>
  <si>
    <t>无需打印</t>
    <phoneticPr fontId="17" type="noConversion"/>
  </si>
  <si>
    <t>F3-2</t>
    <phoneticPr fontId="17" type="noConversion"/>
  </si>
  <si>
    <t>F3-3</t>
  </si>
  <si>
    <t>F3-5</t>
  </si>
  <si>
    <t>F3-6</t>
  </si>
  <si>
    <t>函证结果汇总表</t>
  </si>
  <si>
    <t>核实被函证单位信息</t>
  </si>
  <si>
    <t>跟函函证过程控制</t>
  </si>
  <si>
    <t>函证差异调节表</t>
  </si>
  <si>
    <t>F0-4</t>
  </si>
  <si>
    <t>预付及采购替代程序检查表</t>
  </si>
  <si>
    <t>邮件传真回函可靠性验证</t>
  </si>
  <si>
    <t>F0-7</t>
  </si>
  <si>
    <t>函证程序舞弊风险评价表</t>
  </si>
  <si>
    <t>应付票据（带息）利息测算表</t>
    <phoneticPr fontId="17" type="noConversion"/>
  </si>
  <si>
    <t>逾期票据检查表</t>
    <phoneticPr fontId="17" type="noConversion"/>
  </si>
  <si>
    <t>关联方及交易检查表</t>
    <phoneticPr fontId="17" type="noConversion"/>
  </si>
  <si>
    <t>应付票据检查表</t>
    <phoneticPr fontId="17" type="noConversion"/>
  </si>
  <si>
    <t>F3-4</t>
    <phoneticPr fontId="17" type="noConversion"/>
  </si>
  <si>
    <t>F3-7</t>
  </si>
  <si>
    <t>F3-1
/F3-2</t>
    <phoneticPr fontId="17" type="noConversion"/>
  </si>
  <si>
    <t>F3-2
/F3-4
/F3-7</t>
    <phoneticPr fontId="17" type="noConversion"/>
  </si>
  <si>
    <r>
      <rPr>
        <sz val="10"/>
        <color theme="1"/>
        <rFont val="宋体"/>
        <family val="3"/>
        <charset val="134"/>
      </rPr>
      <t>将应付票据明细表与应付票据备查簿的相关内容核对相符：
（</t>
    </r>
    <r>
      <rPr>
        <sz val="10"/>
        <color theme="1"/>
        <rFont val="Arial Narrow"/>
        <family val="2"/>
      </rPr>
      <t>1</t>
    </r>
    <r>
      <rPr>
        <sz val="10"/>
        <color theme="1"/>
        <rFont val="宋体"/>
        <family val="3"/>
        <charset val="134"/>
      </rPr>
      <t>）核对商业汇票的种类、号数和出票日期、到期日、票面金额、票面利率、已计提的利息等，复核其应存人银行的承兑保证金，并与其他货币资金科目勾稽；
（</t>
    </r>
    <r>
      <rPr>
        <sz val="10"/>
        <color theme="1"/>
        <rFont val="Arial Narrow"/>
        <family val="2"/>
      </rPr>
      <t>2</t>
    </r>
    <r>
      <rPr>
        <sz val="10"/>
        <color theme="1"/>
        <rFont val="宋体"/>
        <family val="3"/>
        <charset val="134"/>
      </rPr>
      <t>）检查发票和收货单等原始资料，核实交易、事项交易真实性；</t>
    </r>
    <phoneticPr fontId="17" type="noConversion"/>
  </si>
  <si>
    <t>F3-5</t>
    <phoneticPr fontId="17" type="noConversion"/>
  </si>
  <si>
    <t>F0</t>
    <phoneticPr fontId="17" type="noConversion"/>
  </si>
  <si>
    <t>F3-7</t>
    <phoneticPr fontId="17" type="noConversion"/>
  </si>
  <si>
    <r>
      <t>A1-1/</t>
    </r>
    <r>
      <rPr>
        <sz val="10"/>
        <color rgb="FFFF0000"/>
        <rFont val="Arial Narrow"/>
        <family val="2"/>
      </rPr>
      <t>A1-15 /A1-16</t>
    </r>
    <phoneticPr fontId="45" type="noConversion"/>
  </si>
  <si>
    <t>E1-15</t>
    <phoneticPr fontId="17" type="noConversion"/>
  </si>
  <si>
    <t>关注资产负债表日后已偿付的应付票据，检查有无应计而未计人当期的应付票据</t>
    <phoneticPr fontId="17" type="noConversion"/>
  </si>
  <si>
    <r>
      <t>1.</t>
    </r>
    <r>
      <rPr>
        <sz val="10"/>
        <color rgb="FFFF0000"/>
        <rFont val="宋体"/>
        <family val="3"/>
        <charset val="134"/>
      </rPr>
      <t>银行承兑汇票保证金与其他货币资金保证金核对……</t>
    </r>
    <phoneticPr fontId="17"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</si>
  <si>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7" type="noConversion"/>
  </si>
  <si>
    <t>是否经过恰当审批</t>
    <phoneticPr fontId="17" type="noConversion"/>
  </si>
  <si>
    <t>勿改、勿删</t>
    <phoneticPr fontId="17" type="noConversion"/>
  </si>
  <si>
    <t>IPO/上市/新三板/重组/舞弊应对</t>
    <phoneticPr fontId="45" type="noConversion"/>
  </si>
  <si>
    <t>IPO/上市/新三板/重组/舞弊应对</t>
    <phoneticPr fontId="45" type="noConversion"/>
  </si>
  <si>
    <t>三、计划实施的实质性程序</t>
    <phoneticPr fontId="17" type="noConversion"/>
  </si>
  <si>
    <t>被审计单位：</t>
    <phoneticPr fontId="17" type="noConversion"/>
  </si>
  <si>
    <t>编制人：</t>
    <phoneticPr fontId="17" type="noConversion"/>
  </si>
  <si>
    <t>编制日期：</t>
    <phoneticPr fontId="17" type="noConversion"/>
  </si>
  <si>
    <t>复核人：</t>
    <phoneticPr fontId="17" type="noConversion"/>
  </si>
  <si>
    <t>复核日期：</t>
    <phoneticPr fontId="17" type="noConversion"/>
  </si>
  <si>
    <t>完整性</t>
    <phoneticPr fontId="17" type="noConversion"/>
  </si>
  <si>
    <t>准确性、计价和分摊</t>
    <phoneticPr fontId="17" type="noConversion"/>
  </si>
  <si>
    <r>
      <t xml:space="preserve">B. </t>
    </r>
    <r>
      <rPr>
        <sz val="10"/>
        <rFont val="宋体"/>
        <family val="3"/>
        <charset val="134"/>
      </rPr>
      <t>所有应记录的应付票据均已记录，所有应当包括在财务报表中的相关披露均已包括</t>
    </r>
    <phoneticPr fontId="17" type="noConversion"/>
  </si>
  <si>
    <r>
      <t xml:space="preserve">C. </t>
    </r>
    <r>
      <rPr>
        <sz val="10"/>
        <rFont val="宋体"/>
        <family val="3"/>
        <charset val="134"/>
      </rPr>
      <t>记录的应付票据由被审计单位拥有或控制</t>
    </r>
    <phoneticPr fontId="17" type="noConversion"/>
  </si>
  <si>
    <r>
      <t xml:space="preserve">D. </t>
    </r>
    <r>
      <rPr>
        <sz val="10"/>
        <rFont val="宋体"/>
        <family val="3"/>
        <charset val="134"/>
      </rPr>
      <t>应付票据以恰当的金额包括在财务报表中，与之相关的计价或分摊调整已恰当记录，相关披露已得到恰当计量和描述</t>
    </r>
    <r>
      <rPr>
        <sz val="10"/>
        <rFont val="Arial"/>
        <family val="2"/>
      </rPr>
      <t xml:space="preserve"> </t>
    </r>
    <phoneticPr fontId="17" type="noConversion"/>
  </si>
  <si>
    <t>T1
/F0-1
/</t>
    <phoneticPr fontId="17" type="noConversion"/>
  </si>
  <si>
    <r>
      <t xml:space="preserve">F3-6
/F3-7
</t>
    </r>
    <r>
      <rPr>
        <sz val="10"/>
        <color rgb="FFFF0000"/>
        <rFont val="Arial Narrow"/>
        <family val="2"/>
      </rPr>
      <t>/F0</t>
    </r>
    <phoneticPr fontId="17" type="noConversion"/>
  </si>
  <si>
    <r>
      <t>1.</t>
    </r>
    <r>
      <rPr>
        <sz val="10"/>
        <rFont val="宋体"/>
        <family val="3"/>
        <charset val="134"/>
      </rPr>
      <t>本期发生额、期末余额检查比例：</t>
    </r>
    <phoneticPr fontId="17" type="noConversion"/>
  </si>
  <si>
    <t>本期借方</t>
    <phoneticPr fontId="17" type="noConversion"/>
  </si>
  <si>
    <t>本期贷方</t>
    <phoneticPr fontId="17" type="noConversion"/>
  </si>
  <si>
    <t>2.……</t>
    <phoneticPr fontId="17" type="noConversion"/>
  </si>
  <si>
    <t>是否承兑</t>
    <phoneticPr fontId="17" type="noConversion"/>
  </si>
  <si>
    <t>期初余额</t>
    <phoneticPr fontId="17" type="noConversion"/>
  </si>
  <si>
    <t>本期开票</t>
    <phoneticPr fontId="17" type="noConversion"/>
  </si>
  <si>
    <t>本期承兑</t>
    <phoneticPr fontId="17" type="noConversion"/>
  </si>
  <si>
    <t>方向</t>
    <phoneticPr fontId="17" type="noConversion"/>
  </si>
  <si>
    <t>账面金额</t>
    <phoneticPr fontId="17" type="noConversion"/>
  </si>
  <si>
    <t>检查金额</t>
    <phoneticPr fontId="17" type="noConversion"/>
  </si>
  <si>
    <t>检查比例</t>
    <phoneticPr fontId="17" type="noConversion"/>
  </si>
  <si>
    <t>期末余额</t>
    <phoneticPr fontId="17" type="noConversion"/>
  </si>
  <si>
    <t>随机选样/系统选样/货币单元抽样/随意选样（非统计抽样适用）</t>
    <phoneticPr fontId="17" type="noConversion"/>
  </si>
  <si>
    <t>截止日：202X年12月31日</t>
  </si>
  <si>
    <t>关于工作底稿与审计程序索引号对应的说明</t>
    <phoneticPr fontId="1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</si>
  <si>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</si>
  <si>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</si>
  <si>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7" type="noConversion"/>
  </si>
  <si>
    <t>根据被审计单位实际情况和风险评估情况裁剪、修改或增加审计程序</t>
    <phoneticPr fontId="17" type="noConversion"/>
  </si>
  <si>
    <t>审计程序</t>
    <phoneticPr fontId="45" type="noConversion"/>
  </si>
  <si>
    <t>如果检查比例较低应扩大检查样本量或说明原因</t>
    <phoneticPr fontId="17" type="noConversion"/>
  </si>
  <si>
    <t>F0-1/E0-1</t>
    <phoneticPr fontId="17" type="noConversion"/>
  </si>
  <si>
    <t>F0-2/E0-2</t>
    <phoneticPr fontId="17" type="noConversion"/>
  </si>
  <si>
    <t>F0-5</t>
    <phoneticPr fontId="17" type="noConversion"/>
  </si>
  <si>
    <t>F0-3/E0-7</t>
    <phoneticPr fontId="17" type="noConversion"/>
  </si>
  <si>
    <t>F0-8/E0-8</t>
    <phoneticPr fontId="17" type="noConversion"/>
  </si>
  <si>
    <t>应付银行承兑汇票发函记录表</t>
    <phoneticPr fontId="45" type="noConversion"/>
  </si>
  <si>
    <t>E0-5</t>
    <phoneticPr fontId="45" type="noConversion"/>
  </si>
  <si>
    <t>F3-1</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</si>
</sst>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 numFmtId="196" formatCode="#,##0.00_ "/>
  </numFmts>
  <fonts count="84">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sz val="12"/>
      <name val="Times New Roman"/>
      <family val="1"/>
    </font>
    <font>
      <sz val="10"/>
      <color indexed="12"/>
      <name val="宋体"/>
      <family val="3"/>
      <charset val="134"/>
    </font>
    <font>
      <sz val="12"/>
      <name val="Arial"/>
      <family val="2"/>
    </font>
    <font>
      <sz val="10.5"/>
      <name val="Arial"/>
      <family val="2"/>
    </font>
    <font>
      <sz val="10.5"/>
      <name val="Times New Roman"/>
      <family val="1"/>
    </font>
    <font>
      <b/>
      <sz val="12"/>
      <name val="Arial"/>
      <family val="2"/>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sz val="11"/>
      <color indexed="9"/>
      <name val="宋体"/>
      <family val="3"/>
      <charset val="134"/>
    </font>
    <font>
      <b/>
      <sz val="10"/>
      <name val="宋体"/>
      <family val="3"/>
      <charset val="134"/>
    </font>
    <font>
      <sz val="10"/>
      <color indexed="10"/>
      <name val="宋体"/>
      <family val="3"/>
      <charset val="134"/>
    </font>
    <font>
      <b/>
      <sz val="10"/>
      <color indexed="12"/>
      <name val="宋体"/>
      <family val="3"/>
      <charset val="134"/>
    </font>
    <font>
      <b/>
      <sz val="10"/>
      <color indexed="8"/>
      <name val="Arial Narrow"/>
      <family val="2"/>
    </font>
    <font>
      <sz val="10"/>
      <color rgb="FF0000FF"/>
      <name val="宋体"/>
      <family val="3"/>
      <charset val="134"/>
    </font>
    <font>
      <sz val="10"/>
      <color rgb="FF0000FF"/>
      <name val="Arial Narrow"/>
      <family val="2"/>
    </font>
    <font>
      <sz val="11"/>
      <color theme="1"/>
      <name val="宋体"/>
      <family val="2"/>
      <scheme val="minor"/>
    </font>
    <font>
      <b/>
      <sz val="10"/>
      <color indexed="8"/>
      <name val="宋体"/>
      <family val="3"/>
      <charset val="134"/>
    </font>
    <font>
      <sz val="9"/>
      <name val="宋体"/>
      <family val="2"/>
      <charset val="134"/>
      <scheme val="minor"/>
    </font>
    <font>
      <i/>
      <u/>
      <sz val="10"/>
      <color indexed="12"/>
      <name val="Arial Narrow"/>
      <family val="2"/>
    </font>
    <font>
      <b/>
      <sz val="10"/>
      <color indexed="12"/>
      <name val="Arial Narrow"/>
      <family val="2"/>
    </font>
    <font>
      <sz val="10"/>
      <color indexed="10"/>
      <name val="Arial Narrow"/>
      <family val="2"/>
    </font>
    <font>
      <sz val="10"/>
      <color rgb="FFFF0000"/>
      <name val="Arial Narrow"/>
      <family val="2"/>
    </font>
    <font>
      <sz val="10"/>
      <color rgb="FFFF0000"/>
      <name val="宋体"/>
      <family val="3"/>
      <charset val="134"/>
    </font>
    <font>
      <sz val="10"/>
      <color theme="1"/>
      <name val="Arial Narrow"/>
      <family val="2"/>
    </font>
    <font>
      <sz val="11"/>
      <color theme="1"/>
      <name val="Arial Narrow"/>
      <family val="2"/>
    </font>
    <font>
      <b/>
      <sz val="14"/>
      <name val="宋体"/>
      <family val="3"/>
      <charset val="134"/>
    </font>
    <font>
      <b/>
      <sz val="14"/>
      <name val="Arial Narrow"/>
      <family val="2"/>
    </font>
    <font>
      <sz val="10"/>
      <color rgb="FF000000"/>
      <name val="宋体"/>
      <family val="3"/>
      <charset val="134"/>
    </font>
    <font>
      <b/>
      <sz val="10"/>
      <color rgb="FFFF0000"/>
      <name val="Arial Narrow"/>
      <family val="2"/>
    </font>
    <font>
      <b/>
      <sz val="10"/>
      <name val="Arial"/>
      <family val="2"/>
    </font>
    <font>
      <b/>
      <sz val="10"/>
      <color theme="0" tint="-0.499984740745262"/>
      <name val="Arial Narrow"/>
      <family val="2"/>
    </font>
    <font>
      <b/>
      <sz val="10"/>
      <color theme="1"/>
      <name val="宋体"/>
      <family val="3"/>
      <charset val="134"/>
    </font>
    <font>
      <sz val="10"/>
      <color theme="1"/>
      <name val="宋体"/>
      <family val="3"/>
      <charset val="134"/>
    </font>
    <font>
      <sz val="10"/>
      <color indexed="8"/>
      <name val="Arial Narrow"/>
      <family val="2"/>
    </font>
    <font>
      <b/>
      <sz val="9"/>
      <color indexed="81"/>
      <name val="宋体"/>
      <family val="3"/>
      <charset val="134"/>
    </font>
    <font>
      <sz val="9"/>
      <color indexed="81"/>
      <name val="宋体"/>
      <family val="3"/>
      <charset val="134"/>
    </font>
    <font>
      <b/>
      <sz val="10"/>
      <color rgb="FFE92841"/>
      <name val="Arial Narrow"/>
      <family val="2"/>
    </font>
    <font>
      <sz val="10"/>
      <color indexed="8"/>
      <name val="宋体"/>
      <family val="3"/>
      <charset val="134"/>
    </font>
    <font>
      <sz val="12"/>
      <color indexed="12"/>
      <name val="仿宋_GB2312"/>
      <family val="3"/>
      <charset val="134"/>
    </font>
    <font>
      <sz val="12"/>
      <name val="宋体"/>
      <family val="3"/>
      <charset val="134"/>
      <scheme val="minor"/>
    </font>
    <font>
      <sz val="10"/>
      <name val="宋体"/>
      <family val="3"/>
      <charset val="134"/>
      <scheme val="minor"/>
    </font>
    <font>
      <b/>
      <sz val="10"/>
      <color indexed="8"/>
      <name val="宋体"/>
      <family val="3"/>
      <charset val="134"/>
      <scheme val="minor"/>
    </font>
    <font>
      <b/>
      <sz val="10"/>
      <name val="宋体"/>
      <family val="3"/>
      <charset val="134"/>
      <scheme val="minor"/>
    </font>
    <font>
      <sz val="10"/>
      <color rgb="FF0000FF"/>
      <name val="宋体"/>
      <family val="3"/>
      <charset val="134"/>
      <scheme val="minor"/>
    </font>
    <font>
      <b/>
      <sz val="10"/>
      <color rgb="FFFF0000"/>
      <name val="宋体"/>
      <family val="3"/>
      <charset val="134"/>
    </font>
    <font>
      <b/>
      <sz val="12"/>
      <color rgb="FFFF0000"/>
      <name val="宋体"/>
      <family val="3"/>
      <charset val="134"/>
    </font>
    <font>
      <sz val="9"/>
      <color rgb="FF0000FF"/>
      <name val="Arial Narrow"/>
      <family val="2"/>
    </font>
    <font>
      <sz val="9"/>
      <color rgb="FF0000FF"/>
      <name val="宋体"/>
      <family val="3"/>
      <charset val="134"/>
    </font>
    <font>
      <sz val="9"/>
      <name val="Arial"/>
      <family val="2"/>
    </font>
    <font>
      <sz val="18"/>
      <color indexed="48"/>
      <name val="魏碑"/>
      <family val="3"/>
      <charset val="134"/>
    </font>
    <font>
      <sz val="9"/>
      <color rgb="FF000000"/>
      <name val="Arial Narrow"/>
      <family val="2"/>
    </font>
    <font>
      <sz val="10"/>
      <color rgb="FF000000"/>
      <name val="Arial Narrow"/>
      <family val="2"/>
    </font>
    <font>
      <sz val="10"/>
      <color indexed="12"/>
      <name val="宋体"/>
      <family val="3"/>
      <charset val="134"/>
      <scheme val="minor"/>
    </font>
    <font>
      <b/>
      <sz val="10"/>
      <color rgb="FF000000"/>
      <name val="宋体"/>
      <family val="3"/>
      <charset val="134"/>
    </font>
    <font>
      <sz val="12"/>
      <color rgb="FF0000FF"/>
      <name val="宋体"/>
      <family val="3"/>
      <charset val="134"/>
    </font>
    <font>
      <sz val="12"/>
      <color indexed="8"/>
      <name val="Arial Narrow"/>
      <family val="2"/>
    </font>
  </fonts>
  <fills count="10">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rgb="FFB7DEE8"/>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indexed="64"/>
      </top>
      <bottom style="medium">
        <color indexed="64"/>
      </bottom>
      <diagonal/>
    </border>
    <border>
      <left/>
      <right/>
      <top/>
      <bottom style="medium">
        <color indexed="64"/>
      </bottom>
      <diagonal/>
    </border>
    <border>
      <left style="hair">
        <color auto="1"/>
      </left>
      <right style="hair">
        <color auto="1"/>
      </right>
      <top style="hair">
        <color auto="1"/>
      </top>
      <bottom style="hair">
        <color auto="1"/>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67">
    <xf numFmtId="0" fontId="0" fillId="0" borderId="0">
      <protection locked="0"/>
    </xf>
    <xf numFmtId="0" fontId="36" fillId="2" borderId="0" applyNumberFormat="0" applyBorder="0" applyAlignment="0" applyProtection="0">
      <alignment vertical="center"/>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28" fillId="0" borderId="0" applyFill="0" applyBorder="0" applyProtection="0">
      <alignment horizontal="center"/>
    </xf>
    <xf numFmtId="187" fontId="28" fillId="0" borderId="0" applyFill="0" applyBorder="0" applyProtection="0">
      <alignment horizontal="center"/>
    </xf>
    <xf numFmtId="190" fontId="29"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4" fillId="0" borderId="0"/>
    <xf numFmtId="180" fontId="5" fillId="0" borderId="1" applyAlignment="0" applyProtection="0"/>
    <xf numFmtId="176" fontId="6" fillId="0" borderId="0" applyFont="0" applyFill="0" applyBorder="0" applyAlignment="0" applyProtection="0"/>
    <xf numFmtId="177"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193" fontId="21" fillId="0" borderId="0" applyFont="0" applyFill="0" applyBorder="0" applyAlignment="0" applyProtection="0"/>
    <xf numFmtId="0" fontId="7" fillId="0" borderId="0" applyNumberFormat="0" applyFill="0" applyBorder="0" applyAlignment="0" applyProtection="0">
      <alignment vertical="top"/>
      <protection locked="0"/>
    </xf>
    <xf numFmtId="38" fontId="8" fillId="3" borderId="0" applyNumberFormat="0" applyBorder="0" applyAlignment="0" applyProtection="0"/>
    <xf numFmtId="0" fontId="9" fillId="0" borderId="0" applyNumberFormat="0" applyFill="0" applyBorder="0" applyAlignment="0" applyProtection="0">
      <alignment vertical="top"/>
      <protection locked="0"/>
    </xf>
    <xf numFmtId="10" fontId="8" fillId="4" borderId="2" applyNumberFormat="0" applyBorder="0" applyAlignment="0" applyProtection="0"/>
    <xf numFmtId="184" fontId="10" fillId="0" borderId="0" applyFont="0" applyFill="0" applyBorder="0" applyAlignment="0" applyProtection="0"/>
    <xf numFmtId="185" fontId="10" fillId="0" borderId="0" applyFont="0" applyFill="0" applyBorder="0" applyAlignment="0" applyProtection="0"/>
    <xf numFmtId="0" fontId="11" fillId="0" borderId="0"/>
    <xf numFmtId="183" fontId="10" fillId="0" borderId="0"/>
    <xf numFmtId="0" fontId="10" fillId="0" borderId="0">
      <alignment vertical="center"/>
    </xf>
    <xf numFmtId="0" fontId="12" fillId="0" borderId="0"/>
    <xf numFmtId="10" fontId="6" fillId="0" borderId="0" applyFont="0" applyFill="0" applyBorder="0" applyAlignment="0" applyProtection="0"/>
    <xf numFmtId="3" fontId="13" fillId="0" borderId="0"/>
    <xf numFmtId="9" fontId="10" fillId="0" borderId="0" applyFont="0" applyFill="0" applyBorder="0" applyAlignment="0" applyProtection="0"/>
    <xf numFmtId="0" fontId="10" fillId="0" borderId="0">
      <protection locked="0"/>
    </xf>
    <xf numFmtId="0" fontId="10" fillId="0" borderId="0">
      <alignment vertical="center"/>
    </xf>
    <xf numFmtId="0" fontId="22" fillId="0" borderId="0"/>
    <xf numFmtId="0" fontId="10" fillId="0" borderId="0" applyFill="0" applyBorder="0"/>
    <xf numFmtId="0" fontId="14" fillId="0" borderId="0" applyNumberFormat="0" applyFill="0" applyBorder="0" applyAlignment="0" applyProtection="0">
      <alignment vertical="top"/>
      <protection locked="0"/>
    </xf>
    <xf numFmtId="0" fontId="15" fillId="0" borderId="0"/>
    <xf numFmtId="178" fontId="10" fillId="0" borderId="0" applyFont="0" applyFill="0" applyBorder="0" applyAlignment="0" applyProtection="0"/>
    <xf numFmtId="179" fontId="10"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0" fillId="0" borderId="0" applyFont="0" applyFill="0" applyBorder="0" applyAlignment="0" applyProtection="0"/>
    <xf numFmtId="0" fontId="6" fillId="0" borderId="0"/>
    <xf numFmtId="0" fontId="43" fillId="0" borderId="0"/>
    <xf numFmtId="43" fontId="10" fillId="0" borderId="0" applyFont="0" applyFill="0" applyBorder="0" applyAlignment="0" applyProtection="0">
      <alignment vertical="center"/>
    </xf>
    <xf numFmtId="0" fontId="21" fillId="0" borderId="0">
      <protection locked="0"/>
    </xf>
    <xf numFmtId="0" fontId="10" fillId="0" borderId="0">
      <alignment vertical="center"/>
    </xf>
    <xf numFmtId="9" fontId="10" fillId="0" borderId="0" applyFont="0" applyFill="0" applyBorder="0" applyAlignment="0" applyProtection="0"/>
    <xf numFmtId="0" fontId="10" fillId="0" borderId="0">
      <protection locked="0"/>
    </xf>
    <xf numFmtId="193" fontId="10" fillId="0" borderId="0"/>
    <xf numFmtId="43" fontId="10" fillId="0" borderId="0" applyFont="0" applyFill="0" applyBorder="0" applyAlignment="0" applyProtection="0">
      <alignment vertical="center"/>
    </xf>
    <xf numFmtId="0" fontId="22" fillId="0" borderId="0">
      <alignment vertical="center" shrinkToFit="1"/>
    </xf>
    <xf numFmtId="193" fontId="10" fillId="0" borderId="0">
      <alignment vertical="center"/>
    </xf>
    <xf numFmtId="193" fontId="3" fillId="0" borderId="0">
      <alignment vertical="center"/>
    </xf>
    <xf numFmtId="43" fontId="10" fillId="0" borderId="0" applyFont="0" applyFill="0" applyBorder="0" applyAlignment="0" applyProtection="0"/>
    <xf numFmtId="0" fontId="10" fillId="0" borderId="0">
      <alignment vertical="center"/>
    </xf>
    <xf numFmtId="193" fontId="14" fillId="0" borderId="0" applyNumberFormat="0" applyFill="0" applyBorder="0" applyAlignment="0" applyProtection="0">
      <alignment vertical="top"/>
      <protection locked="0"/>
    </xf>
    <xf numFmtId="9" fontId="10" fillId="0" borderId="0" applyFont="0" applyFill="0" applyBorder="0" applyAlignment="0" applyProtection="0">
      <alignment vertical="center"/>
    </xf>
    <xf numFmtId="0" fontId="10" fillId="0" borderId="0">
      <protection locked="0"/>
    </xf>
    <xf numFmtId="193" fontId="2" fillId="0" borderId="0">
      <alignment vertical="center"/>
    </xf>
    <xf numFmtId="0" fontId="10" fillId="0" borderId="0">
      <alignment vertical="center"/>
    </xf>
    <xf numFmtId="0" fontId="10" fillId="0" borderId="0">
      <alignment vertical="center"/>
    </xf>
    <xf numFmtId="0" fontId="10" fillId="0" borderId="0"/>
    <xf numFmtId="193" fontId="1" fillId="0" borderId="0">
      <alignment vertical="center"/>
    </xf>
  </cellStyleXfs>
  <cellXfs count="387">
    <xf numFmtId="0" fontId="0" fillId="0" borderId="0" xfId="0">
      <protection locked="0"/>
    </xf>
    <xf numFmtId="0" fontId="20" fillId="0" borderId="0" xfId="0" applyFont="1" applyBorder="1" applyAlignment="1">
      <alignment horizontal="justify" wrapText="1"/>
      <protection locked="0"/>
    </xf>
    <xf numFmtId="0" fontId="20" fillId="0" borderId="0" xfId="0" applyFont="1" applyBorder="1" applyAlignment="1">
      <alignment horizontal="justify" vertical="top" wrapText="1"/>
      <protection locked="0"/>
    </xf>
    <xf numFmtId="0" fontId="0" fillId="0" borderId="0" xfId="0" applyBorder="1">
      <protection locked="0"/>
    </xf>
    <xf numFmtId="0" fontId="18" fillId="5" borderId="0" xfId="0" applyFont="1" applyFill="1" applyBorder="1" applyAlignment="1">
      <alignment horizontal="justify" vertical="center" wrapText="1"/>
      <protection locked="0"/>
    </xf>
    <xf numFmtId="0" fontId="19" fillId="0" borderId="0" xfId="0" applyFont="1" applyAlignment="1">
      <alignment vertical="center"/>
      <protection locked="0"/>
    </xf>
    <xf numFmtId="0" fontId="0" fillId="0" borderId="0" xfId="0" applyAlignment="1">
      <alignment vertical="center"/>
      <protection locked="0"/>
    </xf>
    <xf numFmtId="0" fontId="24" fillId="0" borderId="0" xfId="0" applyFont="1" applyAlignment="1">
      <alignment vertical="center"/>
      <protection locked="0"/>
    </xf>
    <xf numFmtId="0" fontId="25" fillId="0" borderId="0" xfId="0" applyFont="1" applyBorder="1" applyAlignment="1">
      <alignment horizontal="justify" wrapText="1"/>
      <protection locked="0"/>
    </xf>
    <xf numFmtId="0" fontId="6" fillId="0" borderId="0" xfId="0" applyFont="1">
      <protection locked="0"/>
    </xf>
    <xf numFmtId="0" fontId="24" fillId="0" borderId="0" xfId="0" applyFont="1" applyBorder="1">
      <protection locked="0"/>
    </xf>
    <xf numFmtId="0" fontId="26" fillId="0" borderId="0" xfId="0" applyFont="1" applyBorder="1" applyAlignment="1">
      <alignment horizontal="justify" wrapText="1"/>
      <protection locked="0"/>
    </xf>
    <xf numFmtId="0" fontId="24" fillId="0" borderId="0" xfId="0" applyFont="1">
      <protection locked="0"/>
    </xf>
    <xf numFmtId="0" fontId="27" fillId="0" borderId="0" xfId="0" applyFont="1" applyAlignment="1">
      <alignment horizontal="justify"/>
      <protection locked="0"/>
    </xf>
    <xf numFmtId="0" fontId="10" fillId="0" borderId="0" xfId="0" applyFont="1" applyAlignment="1">
      <alignment horizontal="left"/>
      <protection locked="0"/>
    </xf>
    <xf numFmtId="43" fontId="31" fillId="0" borderId="0" xfId="37" applyNumberFormat="1" applyFont="1" applyBorder="1" applyAlignment="1">
      <alignment vertical="center"/>
    </xf>
    <xf numFmtId="43" fontId="33" fillId="0" borderId="0" xfId="37" applyNumberFormat="1" applyFont="1" applyBorder="1" applyAlignment="1">
      <alignment vertical="center"/>
    </xf>
    <xf numFmtId="43" fontId="33" fillId="0" borderId="0" xfId="37" applyNumberFormat="1" applyFont="1" applyBorder="1" applyAlignment="1">
      <alignment horizontal="left" vertical="center"/>
    </xf>
    <xf numFmtId="43" fontId="33" fillId="0" borderId="0" xfId="37" applyNumberFormat="1" applyFont="1" applyBorder="1" applyAlignment="1">
      <alignment horizontal="center" vertical="center"/>
    </xf>
    <xf numFmtId="49" fontId="33" fillId="0" borderId="0" xfId="37" applyNumberFormat="1" applyFont="1" applyBorder="1" applyAlignment="1">
      <alignment vertical="center"/>
    </xf>
    <xf numFmtId="49" fontId="33" fillId="0" borderId="0" xfId="37" applyNumberFormat="1" applyFont="1" applyBorder="1" applyAlignment="1">
      <alignment horizontal="center" vertical="center"/>
    </xf>
    <xf numFmtId="43" fontId="30" fillId="0" borderId="0" xfId="37" applyNumberFormat="1" applyFont="1" applyBorder="1" applyAlignment="1">
      <alignment vertical="center"/>
    </xf>
    <xf numFmtId="0" fontId="33" fillId="0" borderId="0" xfId="36" applyFont="1" applyBorder="1" applyAlignment="1">
      <alignment vertical="center"/>
    </xf>
    <xf numFmtId="0" fontId="33" fillId="0" borderId="0" xfId="36" applyFont="1" applyBorder="1" applyAlignment="1">
      <alignment horizontal="left" vertical="center"/>
    </xf>
    <xf numFmtId="43" fontId="35" fillId="0" borderId="0" xfId="37" applyNumberFormat="1" applyFont="1" applyBorder="1" applyAlignment="1">
      <alignment vertical="center"/>
    </xf>
    <xf numFmtId="0" fontId="31" fillId="0" borderId="0" xfId="35" applyFont="1" applyAlignment="1">
      <alignment vertical="center"/>
    </xf>
    <xf numFmtId="0" fontId="10" fillId="0" borderId="0" xfId="0" applyFont="1" applyAlignment="1">
      <alignment horizontal="center" vertical="center"/>
      <protection locked="0"/>
    </xf>
    <xf numFmtId="0" fontId="30" fillId="0" borderId="0" xfId="34" applyFont="1" applyAlignment="1">
      <alignment vertical="center"/>
      <protection locked="0"/>
    </xf>
    <xf numFmtId="0" fontId="33" fillId="0" borderId="0" xfId="34" applyFont="1" applyAlignment="1">
      <alignment vertical="center"/>
      <protection locked="0"/>
    </xf>
    <xf numFmtId="0" fontId="33" fillId="0" borderId="0" xfId="35" applyFont="1" applyAlignment="1">
      <alignment vertical="center"/>
    </xf>
    <xf numFmtId="0" fontId="33" fillId="0" borderId="0" xfId="34" applyFont="1" applyBorder="1" applyAlignment="1">
      <alignment vertical="center"/>
      <protection locked="0"/>
    </xf>
    <xf numFmtId="0" fontId="18" fillId="0" borderId="0" xfId="34" applyFont="1" applyBorder="1" applyAlignment="1">
      <alignment vertical="center"/>
      <protection locked="0"/>
    </xf>
    <xf numFmtId="0" fontId="33" fillId="0" borderId="0" xfId="34" applyFont="1" applyBorder="1" applyAlignment="1">
      <alignment horizontal="justify" vertical="center" wrapText="1"/>
      <protection locked="0"/>
    </xf>
    <xf numFmtId="0" fontId="42" fillId="0" borderId="0" xfId="34" applyFont="1" applyAlignment="1">
      <alignment vertical="center"/>
      <protection locked="0"/>
    </xf>
    <xf numFmtId="0" fontId="33" fillId="0" borderId="0" xfId="0" applyFont="1" applyBorder="1" applyAlignment="1">
      <alignment vertical="center"/>
      <protection locked="0"/>
    </xf>
    <xf numFmtId="0" fontId="33" fillId="0" borderId="0" xfId="48" applyFont="1">
      <protection locked="0"/>
    </xf>
    <xf numFmtId="0" fontId="33" fillId="0" borderId="0" xfId="49" applyFont="1" applyAlignment="1">
      <alignment vertical="center"/>
    </xf>
    <xf numFmtId="0" fontId="33" fillId="0" borderId="0" xfId="0" applyFont="1" applyAlignment="1">
      <alignment vertical="center"/>
      <protection locked="0"/>
    </xf>
    <xf numFmtId="43" fontId="37" fillId="0" borderId="0" xfId="37" applyNumberFormat="1" applyFont="1" applyBorder="1" applyAlignment="1">
      <alignment vertical="center"/>
    </xf>
    <xf numFmtId="0" fontId="33" fillId="0" borderId="0" xfId="34" applyFont="1" applyBorder="1" applyAlignment="1">
      <alignment horizontal="right" vertical="center" wrapText="1"/>
      <protection locked="0"/>
    </xf>
    <xf numFmtId="0" fontId="33" fillId="0" borderId="0" xfId="34" applyFont="1" applyAlignment="1">
      <alignment horizontal="right" vertical="center"/>
      <protection locked="0"/>
    </xf>
    <xf numFmtId="0" fontId="40" fillId="0" borderId="0" xfId="0" applyFont="1" applyFill="1" applyAlignment="1" applyProtection="1">
      <alignment vertical="center"/>
    </xf>
    <xf numFmtId="0" fontId="30" fillId="0" borderId="0" xfId="0" applyFont="1" applyBorder="1" applyAlignment="1">
      <alignment vertical="center"/>
      <protection locked="0"/>
    </xf>
    <xf numFmtId="0" fontId="33" fillId="0" borderId="0" xfId="0" applyFont="1" applyFill="1" applyAlignment="1" applyProtection="1">
      <alignment horizontal="left" vertical="center" indent="1"/>
    </xf>
    <xf numFmtId="0" fontId="33" fillId="0" borderId="0" xfId="0" applyFont="1" applyBorder="1" applyAlignment="1">
      <alignment horizontal="left" vertical="center" indent="1"/>
      <protection locked="0"/>
    </xf>
    <xf numFmtId="43" fontId="30" fillId="6" borderId="3" xfId="44" applyFont="1" applyFill="1" applyBorder="1" applyAlignment="1" applyProtection="1">
      <alignment horizontal="centerContinuous" vertical="center" wrapText="1"/>
      <protection locked="0"/>
    </xf>
    <xf numFmtId="43" fontId="30" fillId="6" borderId="3" xfId="44" applyFont="1" applyFill="1" applyBorder="1" applyAlignment="1" applyProtection="1">
      <alignment horizontal="center" vertical="center" wrapText="1"/>
      <protection locked="0"/>
    </xf>
    <xf numFmtId="43" fontId="47" fillId="0" borderId="0" xfId="37" applyNumberFormat="1" applyFont="1" applyBorder="1" applyAlignment="1">
      <alignment vertical="center"/>
    </xf>
    <xf numFmtId="43" fontId="35" fillId="0" borderId="0" xfId="37" applyNumberFormat="1" applyFont="1" applyBorder="1" applyAlignment="1">
      <alignment horizontal="right" vertical="center"/>
    </xf>
    <xf numFmtId="0" fontId="30" fillId="0" borderId="0" xfId="0" applyFont="1" applyAlignment="1">
      <alignment vertical="center"/>
      <protection locked="0"/>
    </xf>
    <xf numFmtId="0" fontId="32" fillId="0" borderId="0" xfId="0" applyFont="1" applyAlignment="1">
      <alignment vertical="center"/>
      <protection locked="0"/>
    </xf>
    <xf numFmtId="0" fontId="31" fillId="0" borderId="0" xfId="0" applyFont="1" applyAlignment="1">
      <alignment vertical="center"/>
      <protection locked="0"/>
    </xf>
    <xf numFmtId="0" fontId="37" fillId="6" borderId="9" xfId="54" applyNumberFormat="1" applyFont="1" applyFill="1" applyBorder="1" applyAlignment="1">
      <alignment horizontal="center" vertical="center" wrapText="1"/>
    </xf>
    <xf numFmtId="14" fontId="33" fillId="0" borderId="0" xfId="37" applyNumberFormat="1" applyFont="1" applyBorder="1" applyAlignment="1">
      <alignment vertical="center"/>
    </xf>
    <xf numFmtId="43" fontId="30" fillId="0" borderId="0" xfId="37" applyNumberFormat="1" applyFont="1" applyBorder="1" applyAlignment="1">
      <alignment horizontal="left" vertical="center"/>
    </xf>
    <xf numFmtId="43" fontId="46" fillId="0" borderId="0" xfId="38" applyNumberFormat="1" applyFont="1" applyBorder="1" applyAlignment="1" applyProtection="1">
      <alignment horizontal="center" vertical="center"/>
    </xf>
    <xf numFmtId="0" fontId="30" fillId="0" borderId="0" xfId="36" applyFont="1" applyBorder="1" applyAlignment="1">
      <alignment vertical="center"/>
    </xf>
    <xf numFmtId="43" fontId="30" fillId="6" borderId="9" xfId="44" applyFont="1" applyFill="1" applyBorder="1" applyAlignment="1">
      <alignment horizontal="center" vertical="center" shrinkToFit="1"/>
    </xf>
    <xf numFmtId="43" fontId="33" fillId="0" borderId="9" xfId="44" applyFont="1" applyFill="1" applyBorder="1" applyAlignment="1">
      <alignment horizontal="left" vertical="center"/>
    </xf>
    <xf numFmtId="43" fontId="33" fillId="0" borderId="9" xfId="44" applyFont="1" applyFill="1" applyBorder="1" applyAlignment="1">
      <alignment horizontal="right" vertical="center"/>
    </xf>
    <xf numFmtId="0" fontId="30" fillId="0" borderId="0" xfId="34" applyFont="1" applyBorder="1" applyAlignment="1">
      <alignment vertical="center"/>
      <protection locked="0"/>
    </xf>
    <xf numFmtId="14" fontId="33" fillId="0" borderId="0" xfId="34" applyNumberFormat="1" applyFont="1" applyBorder="1" applyAlignment="1">
      <alignment vertical="center"/>
      <protection locked="0"/>
    </xf>
    <xf numFmtId="43" fontId="18" fillId="0" borderId="9" xfId="44" applyFont="1" applyFill="1" applyBorder="1" applyAlignment="1">
      <alignment horizontal="left" vertical="center"/>
    </xf>
    <xf numFmtId="0" fontId="30" fillId="0" borderId="10" xfId="34" applyFont="1" applyBorder="1" applyAlignment="1">
      <alignment vertical="center"/>
      <protection locked="0"/>
    </xf>
    <xf numFmtId="0" fontId="33" fillId="0" borderId="10" xfId="34" applyFont="1" applyBorder="1" applyAlignment="1">
      <alignment vertical="center"/>
      <protection locked="0"/>
    </xf>
    <xf numFmtId="0" fontId="32" fillId="0" borderId="0" xfId="34" applyFont="1" applyBorder="1" applyAlignment="1">
      <alignment vertical="center"/>
      <protection locked="0"/>
    </xf>
    <xf numFmtId="0" fontId="32" fillId="0" borderId="0" xfId="35" applyFont="1" applyBorder="1" applyAlignment="1">
      <alignment vertical="center"/>
    </xf>
    <xf numFmtId="0" fontId="19" fillId="0" borderId="0" xfId="0" applyFont="1" applyBorder="1" applyAlignment="1">
      <alignment vertical="center"/>
      <protection locked="0"/>
    </xf>
    <xf numFmtId="0" fontId="0" fillId="0" borderId="0" xfId="0" applyBorder="1" applyAlignment="1">
      <alignment vertical="center"/>
      <protection locked="0"/>
    </xf>
    <xf numFmtId="0" fontId="37" fillId="0" borderId="0" xfId="0" applyFont="1" applyBorder="1" applyAlignment="1">
      <alignment vertical="center"/>
      <protection locked="0"/>
    </xf>
    <xf numFmtId="0" fontId="18" fillId="0" borderId="0" xfId="0" applyFont="1" applyBorder="1" applyAlignment="1">
      <alignment vertical="center"/>
      <protection locked="0"/>
    </xf>
    <xf numFmtId="0" fontId="24" fillId="0" borderId="2" xfId="0" applyFont="1" applyBorder="1" applyAlignment="1">
      <alignment horizontal="center" wrapText="1"/>
      <protection locked="0"/>
    </xf>
    <xf numFmtId="0" fontId="10" fillId="0" borderId="0" xfId="0" applyFont="1" applyAlignment="1">
      <alignment vertical="center"/>
      <protection locked="0"/>
    </xf>
    <xf numFmtId="193" fontId="51" fillId="0" borderId="0" xfId="56" applyFont="1" applyFill="1">
      <alignment vertical="center"/>
    </xf>
    <xf numFmtId="193" fontId="52" fillId="0" borderId="0" xfId="56" applyFont="1" applyFill="1">
      <alignment vertical="center"/>
    </xf>
    <xf numFmtId="193" fontId="33" fillId="0" borderId="0" xfId="56" applyFont="1" applyFill="1" applyBorder="1" applyAlignment="1" applyProtection="1">
      <alignment vertical="center"/>
      <protection locked="0"/>
    </xf>
    <xf numFmtId="0" fontId="33" fillId="0" borderId="0" xfId="51" applyFont="1" applyFill="1" applyBorder="1" applyAlignment="1">
      <alignment horizontal="left" vertical="center"/>
      <protection locked="0"/>
    </xf>
    <xf numFmtId="193" fontId="33" fillId="0" borderId="0" xfId="56" applyFont="1" applyFill="1" applyAlignment="1" applyProtection="1">
      <alignment vertical="center"/>
      <protection locked="0"/>
    </xf>
    <xf numFmtId="193" fontId="33" fillId="0" borderId="0" xfId="56" applyFont="1" applyFill="1" applyBorder="1" applyAlignment="1" applyProtection="1">
      <alignment vertical="center" wrapText="1"/>
      <protection locked="0"/>
    </xf>
    <xf numFmtId="193" fontId="18" fillId="0" borderId="0" xfId="56" applyFont="1" applyFill="1" applyBorder="1" applyAlignment="1" applyProtection="1">
      <alignment vertical="center"/>
      <protection locked="0"/>
    </xf>
    <xf numFmtId="193" fontId="55" fillId="0" borderId="0" xfId="56" applyFont="1">
      <alignment vertical="center"/>
    </xf>
    <xf numFmtId="193" fontId="30" fillId="0" borderId="0" xfId="56" applyFont="1" applyFill="1" applyAlignment="1" applyProtection="1">
      <alignment horizontal="justify" vertical="center"/>
      <protection locked="0"/>
    </xf>
    <xf numFmtId="193" fontId="33" fillId="0" borderId="0" xfId="56" applyFont="1" applyFill="1" applyAlignment="1" applyProtection="1">
      <alignment vertical="center" wrapText="1"/>
      <protection locked="0"/>
    </xf>
    <xf numFmtId="193" fontId="56" fillId="0" borderId="0" xfId="56" applyFont="1" applyFill="1" applyAlignment="1" applyProtection="1">
      <alignment horizontal="center" vertical="center"/>
      <protection locked="0"/>
    </xf>
    <xf numFmtId="193" fontId="6" fillId="0" borderId="0" xfId="56" applyFont="1" applyFill="1" applyAlignment="1" applyProtection="1">
      <alignment vertical="center"/>
      <protection locked="0"/>
    </xf>
    <xf numFmtId="193" fontId="58" fillId="7" borderId="0" xfId="56" applyFont="1" applyFill="1" applyAlignment="1" applyProtection="1">
      <alignment horizontal="center" vertical="center"/>
      <protection locked="0"/>
    </xf>
    <xf numFmtId="193" fontId="58" fillId="7" borderId="0" xfId="56" applyFont="1" applyFill="1" applyAlignment="1" applyProtection="1">
      <alignment horizontal="left" vertical="center"/>
      <protection locked="0"/>
    </xf>
    <xf numFmtId="193" fontId="60" fillId="0" borderId="9" xfId="56" applyFont="1" applyFill="1" applyBorder="1" applyAlignment="1">
      <alignment horizontal="center" vertical="center" wrapText="1"/>
    </xf>
    <xf numFmtId="193" fontId="51" fillId="0" borderId="9" xfId="56" applyFont="1" applyFill="1" applyBorder="1" applyAlignment="1">
      <alignment horizontal="center" vertical="center" wrapText="1"/>
    </xf>
    <xf numFmtId="193" fontId="52" fillId="0" borderId="0" xfId="56" applyFont="1" applyFill="1" applyAlignment="1">
      <alignment vertical="center" wrapText="1"/>
    </xf>
    <xf numFmtId="0" fontId="37" fillId="0" borderId="0" xfId="0" applyFont="1" applyFill="1" applyBorder="1" applyAlignment="1" applyProtection="1">
      <alignment vertical="center"/>
      <protection locked="0"/>
    </xf>
    <xf numFmtId="43" fontId="37" fillId="0" borderId="0" xfId="37" applyNumberFormat="1" applyFont="1" applyFill="1" applyBorder="1" applyAlignment="1">
      <alignment vertical="center"/>
    </xf>
    <xf numFmtId="43" fontId="30" fillId="0" borderId="0" xfId="37" applyNumberFormat="1" applyFont="1" applyFill="1" applyBorder="1" applyAlignment="1">
      <alignment vertical="center"/>
    </xf>
    <xf numFmtId="43" fontId="30" fillId="8" borderId="0" xfId="37" applyNumberFormat="1" applyFont="1" applyFill="1" applyBorder="1" applyAlignment="1">
      <alignment vertical="center"/>
    </xf>
    <xf numFmtId="0" fontId="44" fillId="6" borderId="9" xfId="46" applyFont="1" applyFill="1" applyBorder="1" applyAlignment="1" applyProtection="1">
      <alignment vertical="center"/>
    </xf>
    <xf numFmtId="0" fontId="37" fillId="6" borderId="9" xfId="58" applyFont="1" applyFill="1" applyBorder="1" applyAlignment="1" applyProtection="1">
      <alignment horizontal="center" vertical="center" wrapText="1"/>
      <protection locked="0"/>
    </xf>
    <xf numFmtId="0" fontId="64" fillId="6" borderId="9" xfId="58" applyFont="1" applyFill="1" applyBorder="1" applyAlignment="1" applyProtection="1">
      <alignment horizontal="center" vertical="center" wrapText="1"/>
      <protection locked="0"/>
    </xf>
    <xf numFmtId="0" fontId="65" fillId="0" borderId="9" xfId="46" applyFont="1" applyFill="1" applyBorder="1" applyAlignment="1" applyProtection="1">
      <alignment vertical="center"/>
    </xf>
    <xf numFmtId="0" fontId="18" fillId="0" borderId="9" xfId="46" applyFont="1" applyFill="1" applyBorder="1" applyAlignment="1" applyProtection="1">
      <alignment vertical="center"/>
    </xf>
    <xf numFmtId="0" fontId="50" fillId="0" borderId="9" xfId="46" applyFont="1" applyFill="1" applyBorder="1" applyAlignment="1" applyProtection="1">
      <alignment horizontal="left" vertical="center" indent="1"/>
    </xf>
    <xf numFmtId="0" fontId="40" fillId="0" borderId="9" xfId="46" applyFont="1" applyFill="1" applyBorder="1" applyAlignment="1" applyProtection="1">
      <alignment horizontal="center" vertical="center"/>
    </xf>
    <xf numFmtId="43" fontId="30" fillId="0" borderId="10" xfId="37" applyNumberFormat="1" applyFont="1" applyBorder="1" applyAlignment="1">
      <alignment horizontal="left" vertical="center"/>
    </xf>
    <xf numFmtId="43" fontId="33" fillId="0" borderId="10" xfId="37" applyNumberFormat="1" applyFont="1" applyBorder="1" applyAlignment="1">
      <alignment horizontal="left" vertical="center"/>
    </xf>
    <xf numFmtId="43" fontId="46" fillId="0" borderId="10" xfId="59" applyNumberFormat="1" applyFont="1" applyBorder="1" applyAlignment="1" applyProtection="1">
      <alignment horizontal="center" vertical="center"/>
    </xf>
    <xf numFmtId="0" fontId="43" fillId="0" borderId="0" xfId="46" applyProtection="1">
      <protection locked="0"/>
    </xf>
    <xf numFmtId="0" fontId="18" fillId="5" borderId="0" xfId="0" applyFont="1" applyFill="1" applyBorder="1" applyAlignment="1" applyProtection="1">
      <alignment horizontal="justify" vertical="center" wrapText="1"/>
      <protection locked="0"/>
    </xf>
    <xf numFmtId="0" fontId="14" fillId="0" borderId="2" xfId="38" quotePrefix="1" applyBorder="1" applyAlignment="1">
      <alignment vertical="center"/>
      <protection locked="0"/>
    </xf>
    <xf numFmtId="43" fontId="33" fillId="0" borderId="9" xfId="44" applyFont="1" applyBorder="1" applyAlignment="1" applyProtection="1">
      <alignment vertical="center"/>
      <protection locked="0"/>
    </xf>
    <xf numFmtId="43" fontId="33" fillId="0" borderId="9" xfId="44" applyFont="1" applyBorder="1" applyAlignment="1" applyProtection="1">
      <alignment horizontal="center" vertical="center"/>
      <protection locked="0"/>
    </xf>
    <xf numFmtId="0" fontId="67" fillId="0" borderId="0" xfId="0" applyFont="1" applyAlignment="1">
      <alignment vertical="center"/>
      <protection locked="0"/>
    </xf>
    <xf numFmtId="0" fontId="68" fillId="0" borderId="0" xfId="0" applyFont="1" applyAlignment="1">
      <alignment vertical="center"/>
      <protection locked="0"/>
    </xf>
    <xf numFmtId="0" fontId="69" fillId="0" borderId="7" xfId="0" applyFont="1" applyBorder="1" applyAlignment="1">
      <alignment horizontal="center" vertical="center" wrapText="1"/>
      <protection locked="0"/>
    </xf>
    <xf numFmtId="0" fontId="68" fillId="0" borderId="0" xfId="0" applyFont="1" applyAlignment="1">
      <alignment horizontal="justify" vertical="center" wrapText="1"/>
      <protection locked="0"/>
    </xf>
    <xf numFmtId="43" fontId="68" fillId="0" borderId="0" xfId="0" applyNumberFormat="1" applyFont="1" applyAlignment="1">
      <alignment vertical="center"/>
      <protection locked="0"/>
    </xf>
    <xf numFmtId="0" fontId="68" fillId="0" borderId="8" xfId="0" applyFont="1" applyBorder="1" applyAlignment="1">
      <alignment horizontal="justify" vertical="center" wrapText="1"/>
      <protection locked="0"/>
    </xf>
    <xf numFmtId="43" fontId="68" fillId="0" borderId="0" xfId="0" applyNumberFormat="1" applyFont="1" applyBorder="1" applyAlignment="1">
      <alignment vertical="center"/>
      <protection locked="0"/>
    </xf>
    <xf numFmtId="0" fontId="70" fillId="0" borderId="8" xfId="0" applyFont="1" applyBorder="1" applyAlignment="1">
      <alignment horizontal="center" vertical="center" wrapText="1"/>
      <protection locked="0"/>
    </xf>
    <xf numFmtId="43" fontId="70" fillId="0" borderId="7" xfId="0" applyNumberFormat="1" applyFont="1" applyBorder="1" applyAlignment="1">
      <alignment vertical="center"/>
      <protection locked="0"/>
    </xf>
    <xf numFmtId="0" fontId="70" fillId="0" borderId="7" xfId="0" applyFont="1" applyBorder="1" applyAlignment="1">
      <alignment horizontal="center" vertical="center" wrapText="1"/>
      <protection locked="0"/>
    </xf>
    <xf numFmtId="43" fontId="68" fillId="0" borderId="0" xfId="0" applyNumberFormat="1" applyFont="1" applyAlignment="1">
      <alignment horizontal="right" vertical="center" wrapText="1"/>
      <protection locked="0"/>
    </xf>
    <xf numFmtId="43" fontId="68" fillId="0" borderId="8" xfId="0" applyNumberFormat="1" applyFont="1" applyBorder="1" applyAlignment="1">
      <alignment horizontal="right" vertical="center" wrapText="1"/>
      <protection locked="0"/>
    </xf>
    <xf numFmtId="43" fontId="70" fillId="0" borderId="8" xfId="0" applyNumberFormat="1" applyFont="1" applyBorder="1" applyAlignment="1">
      <alignment horizontal="right" vertical="center" wrapText="1"/>
      <protection locked="0"/>
    </xf>
    <xf numFmtId="0" fontId="18" fillId="0" borderId="0" xfId="34" applyFont="1" applyAlignment="1">
      <alignment vertical="center"/>
      <protection locked="0"/>
    </xf>
    <xf numFmtId="0" fontId="71" fillId="0" borderId="0" xfId="0" applyFont="1" applyAlignment="1">
      <alignment vertical="center"/>
      <protection locked="0"/>
    </xf>
    <xf numFmtId="0" fontId="73" fillId="0" borderId="0" xfId="34" applyFont="1" applyBorder="1" applyAlignment="1">
      <alignment vertical="center"/>
      <protection locked="0"/>
    </xf>
    <xf numFmtId="193" fontId="72" fillId="7" borderId="0" xfId="56" applyFont="1" applyFill="1" applyAlignment="1" applyProtection="1">
      <alignment horizontal="center" vertical="center"/>
      <protection locked="0"/>
    </xf>
    <xf numFmtId="49" fontId="37" fillId="0" borderId="0" xfId="62" applyNumberFormat="1" applyFont="1" applyFill="1" applyAlignment="1" applyProtection="1">
      <alignment horizontal="left" vertical="center"/>
      <protection locked="0"/>
    </xf>
    <xf numFmtId="193" fontId="6" fillId="0" borderId="0" xfId="62" applyFont="1" applyFill="1" applyBorder="1" applyAlignment="1" applyProtection="1">
      <alignment vertical="center"/>
      <protection locked="0"/>
    </xf>
    <xf numFmtId="193" fontId="37" fillId="6" borderId="9" xfId="62" applyFont="1" applyFill="1" applyBorder="1" applyAlignment="1" applyProtection="1">
      <alignment horizontal="center" vertical="center"/>
      <protection locked="0"/>
    </xf>
    <xf numFmtId="193" fontId="37" fillId="6" borderId="9" xfId="62" applyFont="1" applyFill="1" applyBorder="1" applyAlignment="1" applyProtection="1">
      <alignment horizontal="center" vertical="center" wrapText="1"/>
      <protection locked="0"/>
    </xf>
    <xf numFmtId="193" fontId="58" fillId="7" borderId="0" xfId="56" applyFont="1" applyFill="1" applyAlignment="1" applyProtection="1">
      <alignment horizontal="left" vertical="center" wrapText="1"/>
      <protection locked="0"/>
    </xf>
    <xf numFmtId="193" fontId="74" fillId="7" borderId="0" xfId="62" applyFont="1" applyFill="1" applyAlignment="1" applyProtection="1">
      <alignment horizontal="left" vertical="center" wrapText="1"/>
      <protection locked="0"/>
    </xf>
    <xf numFmtId="193" fontId="75" fillId="7" borderId="0" xfId="62" applyFont="1" applyFill="1" applyAlignment="1" applyProtection="1">
      <alignment horizontal="left" vertical="center" wrapText="1"/>
      <protection locked="0"/>
    </xf>
    <xf numFmtId="193" fontId="42" fillId="7" borderId="0" xfId="56" applyFont="1" applyFill="1" applyAlignment="1" applyProtection="1">
      <alignment vertical="center"/>
      <protection locked="0"/>
    </xf>
    <xf numFmtId="49" fontId="33" fillId="0" borderId="9" xfId="56" applyNumberFormat="1" applyFont="1" applyFill="1" applyBorder="1" applyAlignment="1" applyProtection="1">
      <alignment horizontal="center" vertical="center"/>
      <protection locked="0"/>
    </xf>
    <xf numFmtId="193" fontId="51" fillId="0" borderId="9" xfId="56" applyFont="1" applyFill="1" applyBorder="1" applyAlignment="1">
      <alignment vertical="center" wrapText="1"/>
    </xf>
    <xf numFmtId="193" fontId="49" fillId="0" borderId="9" xfId="56" applyFont="1" applyFill="1" applyBorder="1" applyAlignment="1">
      <alignment vertical="center" wrapText="1"/>
    </xf>
    <xf numFmtId="193" fontId="51" fillId="0" borderId="9" xfId="56" applyFont="1" applyFill="1" applyBorder="1" applyAlignment="1">
      <alignment vertical="center" wrapText="1"/>
    </xf>
    <xf numFmtId="193" fontId="6" fillId="0" borderId="4" xfId="62" applyFont="1" applyFill="1" applyBorder="1" applyAlignment="1" applyProtection="1">
      <alignment horizontal="center" vertical="center" wrapText="1"/>
      <protection locked="0"/>
    </xf>
    <xf numFmtId="193" fontId="60" fillId="0" borderId="9" xfId="62" applyFont="1" applyFill="1" applyBorder="1" applyAlignment="1">
      <alignment horizontal="center" vertical="center" wrapText="1"/>
    </xf>
    <xf numFmtId="193" fontId="51" fillId="0" borderId="9" xfId="62" applyFont="1" applyFill="1" applyBorder="1" applyAlignment="1">
      <alignment horizontal="center" vertical="center" wrapText="1"/>
    </xf>
    <xf numFmtId="193" fontId="59" fillId="0" borderId="9" xfId="62" applyFont="1" applyFill="1" applyBorder="1" applyAlignment="1">
      <alignment horizontal="center" vertical="center" wrapText="1"/>
    </xf>
    <xf numFmtId="193" fontId="60" fillId="0" borderId="9" xfId="56" applyFont="1" applyFill="1" applyBorder="1" applyAlignment="1">
      <alignment vertical="center" wrapText="1"/>
    </xf>
    <xf numFmtId="193" fontId="50" fillId="7" borderId="0" xfId="56" applyFont="1" applyFill="1" applyAlignment="1" applyProtection="1">
      <alignment vertical="center"/>
      <protection locked="0"/>
    </xf>
    <xf numFmtId="0" fontId="44" fillId="6" borderId="9" xfId="46" applyFont="1" applyFill="1" applyBorder="1" applyAlignment="1" applyProtection="1">
      <alignment vertical="center" wrapText="1"/>
    </xf>
    <xf numFmtId="43" fontId="33" fillId="6" borderId="9" xfId="44" applyFont="1" applyFill="1" applyBorder="1" applyAlignment="1">
      <alignment horizontal="right" vertical="center"/>
    </xf>
    <xf numFmtId="43" fontId="61" fillId="0" borderId="9" xfId="57" applyFont="1" applyFill="1" applyBorder="1" applyAlignment="1">
      <alignment horizontal="right" vertical="center"/>
    </xf>
    <xf numFmtId="43" fontId="61" fillId="6" borderId="9" xfId="57" applyFont="1" applyFill="1" applyBorder="1" applyAlignment="1">
      <alignment horizontal="right" vertical="center"/>
    </xf>
    <xf numFmtId="10" fontId="34" fillId="0" borderId="0" xfId="33" applyNumberFormat="1" applyFont="1" applyBorder="1" applyAlignment="1">
      <alignment vertical="center"/>
    </xf>
    <xf numFmtId="0" fontId="61" fillId="0" borderId="0" xfId="0" applyFont="1" applyFill="1" applyAlignment="1" applyProtection="1">
      <alignment vertical="center"/>
    </xf>
    <xf numFmtId="0" fontId="33" fillId="0" borderId="0" xfId="0" applyFont="1" applyFill="1" applyAlignment="1" applyProtection="1">
      <alignment vertical="center"/>
    </xf>
    <xf numFmtId="43" fontId="33" fillId="6" borderId="9" xfId="44" applyFont="1" applyFill="1" applyBorder="1" applyAlignment="1">
      <alignment vertical="center" shrinkToFit="1"/>
    </xf>
    <xf numFmtId="0" fontId="33" fillId="0" borderId="0" xfId="34" applyFont="1" applyBorder="1" applyAlignment="1">
      <alignment vertical="center" wrapText="1"/>
      <protection locked="0"/>
    </xf>
    <xf numFmtId="43" fontId="33" fillId="0" borderId="0" xfId="37" applyNumberFormat="1" applyFont="1" applyBorder="1" applyAlignment="1">
      <alignment horizontal="right" vertical="center"/>
    </xf>
    <xf numFmtId="0" fontId="33" fillId="0" borderId="0" xfId="35" applyFont="1" applyBorder="1" applyAlignment="1">
      <alignment vertical="center" wrapText="1"/>
    </xf>
    <xf numFmtId="193" fontId="14" fillId="0" borderId="0" xfId="38" applyNumberFormat="1" applyFill="1" applyAlignment="1" applyProtection="1">
      <alignment vertical="center"/>
    </xf>
    <xf numFmtId="0" fontId="31" fillId="0" borderId="0" xfId="35" applyFont="1" applyBorder="1" applyAlignment="1">
      <alignment vertical="center" wrapText="1"/>
    </xf>
    <xf numFmtId="0" fontId="71" fillId="0" borderId="0" xfId="34" applyFont="1" applyBorder="1" applyAlignment="1">
      <alignment vertical="center"/>
      <protection locked="0"/>
    </xf>
    <xf numFmtId="0" fontId="37" fillId="6" borderId="9" xfId="34" applyFont="1" applyFill="1" applyBorder="1" applyAlignment="1">
      <alignment horizontal="center" vertical="center" wrapText="1"/>
      <protection locked="0"/>
    </xf>
    <xf numFmtId="0" fontId="30" fillId="6" borderId="9" xfId="34" applyFont="1" applyFill="1" applyBorder="1" applyAlignment="1">
      <alignment horizontal="center" vertical="center" wrapText="1"/>
      <protection locked="0"/>
    </xf>
    <xf numFmtId="0" fontId="30" fillId="0" borderId="0" xfId="34" applyFont="1" applyBorder="1" applyAlignment="1">
      <alignment vertical="center" wrapText="1"/>
      <protection locked="0"/>
    </xf>
    <xf numFmtId="0" fontId="18" fillId="0" borderId="0" xfId="34" applyFont="1" applyBorder="1" applyAlignment="1">
      <alignment vertical="center" wrapText="1"/>
      <protection locked="0"/>
    </xf>
    <xf numFmtId="0" fontId="72" fillId="0" borderId="0" xfId="34" applyFont="1" applyBorder="1" applyAlignment="1">
      <alignment vertical="center" wrapText="1"/>
      <protection locked="0"/>
    </xf>
    <xf numFmtId="0" fontId="33" fillId="0" borderId="9" xfId="34" applyFont="1" applyBorder="1" applyAlignment="1">
      <alignment horizontal="left" vertical="center" wrapText="1"/>
      <protection locked="0"/>
    </xf>
    <xf numFmtId="0" fontId="35" fillId="0" borderId="0" xfId="34" applyFont="1" applyBorder="1" applyAlignment="1">
      <alignment vertical="center"/>
      <protection locked="0"/>
    </xf>
    <xf numFmtId="0" fontId="47" fillId="0" borderId="0" xfId="34" applyFont="1" applyBorder="1" applyAlignment="1">
      <alignment horizontal="right" vertical="center"/>
      <protection locked="0"/>
    </xf>
    <xf numFmtId="0" fontId="35" fillId="0" borderId="0" xfId="34" applyFont="1" applyBorder="1" applyAlignment="1">
      <alignment horizontal="right" vertical="center"/>
      <protection locked="0"/>
    </xf>
    <xf numFmtId="0" fontId="76" fillId="0" borderId="0" xfId="64" applyFont="1" applyFill="1" applyBorder="1" applyAlignment="1">
      <alignment horizontal="left" vertical="center"/>
    </xf>
    <xf numFmtId="10" fontId="76" fillId="0" borderId="0" xfId="64" applyNumberFormat="1" applyFont="1" applyFill="1" applyBorder="1" applyAlignment="1">
      <alignment horizontal="center" vertical="center"/>
    </xf>
    <xf numFmtId="0" fontId="76" fillId="0" borderId="0" xfId="64" applyFont="1" applyFill="1" applyBorder="1" applyAlignment="1">
      <alignment horizontal="center" vertical="center"/>
    </xf>
    <xf numFmtId="196" fontId="76" fillId="0" borderId="0" xfId="64" applyNumberFormat="1" applyFont="1" applyFill="1" applyBorder="1" applyAlignment="1">
      <alignment horizontal="right" vertical="center"/>
    </xf>
    <xf numFmtId="0" fontId="37" fillId="6" borderId="9" xfId="64" applyFont="1" applyFill="1" applyBorder="1" applyAlignment="1">
      <alignment horizontal="center" vertical="center"/>
    </xf>
    <xf numFmtId="43" fontId="33" fillId="6" borderId="3" xfId="44" applyFont="1" applyFill="1" applyBorder="1" applyAlignment="1" applyProtection="1">
      <alignment horizontal="center" vertical="center"/>
      <protection locked="0"/>
    </xf>
    <xf numFmtId="10" fontId="76" fillId="0" borderId="10" xfId="64" applyNumberFormat="1" applyFont="1" applyFill="1" applyBorder="1" applyAlignment="1">
      <alignment horizontal="center" vertical="center"/>
    </xf>
    <xf numFmtId="0" fontId="76" fillId="0" borderId="10" xfId="64" applyFont="1" applyFill="1" applyBorder="1" applyAlignment="1">
      <alignment horizontal="center" vertical="center"/>
    </xf>
    <xf numFmtId="196" fontId="76" fillId="0" borderId="10" xfId="64" applyNumberFormat="1" applyFont="1" applyFill="1" applyBorder="1" applyAlignment="1">
      <alignment horizontal="right" vertical="center"/>
    </xf>
    <xf numFmtId="0" fontId="76" fillId="0" borderId="10" xfId="64" applyFont="1" applyFill="1" applyBorder="1" applyAlignment="1">
      <alignment horizontal="left" vertical="center"/>
    </xf>
    <xf numFmtId="0" fontId="30" fillId="0" borderId="10" xfId="34" applyFont="1" applyFill="1" applyBorder="1" applyAlignment="1">
      <alignment vertical="center"/>
      <protection locked="0"/>
    </xf>
    <xf numFmtId="0" fontId="76" fillId="0" borderId="0" xfId="64" applyFont="1" applyFill="1" applyBorder="1" applyAlignment="1">
      <alignment vertical="center"/>
    </xf>
    <xf numFmtId="0" fontId="0" fillId="0" borderId="0" xfId="0" applyFill="1" applyBorder="1">
      <protection locked="0"/>
    </xf>
    <xf numFmtId="0" fontId="30" fillId="0" borderId="0" xfId="34" applyFont="1" applyFill="1" applyBorder="1" applyAlignment="1">
      <alignment vertical="center"/>
      <protection locked="0"/>
    </xf>
    <xf numFmtId="0" fontId="71" fillId="0" borderId="0" xfId="64" applyFont="1" applyFill="1" applyBorder="1" applyAlignment="1">
      <alignment horizontal="left" vertical="center"/>
    </xf>
    <xf numFmtId="0" fontId="71" fillId="0" borderId="0" xfId="64" applyFont="1" applyFill="1" applyBorder="1" applyAlignment="1">
      <alignment vertical="center"/>
    </xf>
    <xf numFmtId="0" fontId="76" fillId="0" borderId="0" xfId="64" applyFont="1" applyFill="1" applyBorder="1" applyAlignment="1">
      <alignment vertical="center" wrapText="1"/>
    </xf>
    <xf numFmtId="43" fontId="18" fillId="0" borderId="0" xfId="37" applyNumberFormat="1" applyFont="1" applyBorder="1" applyAlignment="1">
      <alignment vertical="center"/>
    </xf>
    <xf numFmtId="43" fontId="33" fillId="0" borderId="9" xfId="44" applyFont="1" applyFill="1" applyBorder="1" applyAlignment="1">
      <alignment vertical="center"/>
    </xf>
    <xf numFmtId="10" fontId="33" fillId="0" borderId="9" xfId="33" applyNumberFormat="1" applyFont="1" applyFill="1" applyBorder="1" applyAlignment="1">
      <alignment vertical="center"/>
    </xf>
    <xf numFmtId="43" fontId="33" fillId="6" borderId="9" xfId="44" applyFont="1" applyFill="1" applyBorder="1" applyAlignment="1">
      <alignment vertical="center"/>
    </xf>
    <xf numFmtId="0" fontId="37" fillId="6" borderId="9" xfId="54" applyNumberFormat="1" applyFont="1" applyFill="1" applyBorder="1" applyAlignment="1">
      <alignment horizontal="center" vertical="center"/>
    </xf>
    <xf numFmtId="0" fontId="10" fillId="0" borderId="0" xfId="34">
      <protection locked="0"/>
    </xf>
    <xf numFmtId="0" fontId="37" fillId="0" borderId="0" xfId="65" applyFont="1" applyAlignment="1">
      <alignment vertical="center"/>
    </xf>
    <xf numFmtId="0" fontId="37" fillId="0" borderId="0" xfId="65" applyFont="1" applyAlignment="1">
      <alignment vertical="center" wrapText="1"/>
    </xf>
    <xf numFmtId="0" fontId="33" fillId="0" borderId="0" xfId="65" applyFont="1" applyAlignment="1">
      <alignment vertical="center"/>
    </xf>
    <xf numFmtId="0" fontId="37" fillId="0" borderId="0" xfId="65" applyFont="1" applyAlignment="1">
      <alignment horizontal="left" vertical="center"/>
    </xf>
    <xf numFmtId="0" fontId="18" fillId="0" borderId="0" xfId="65" applyFont="1" applyAlignment="1">
      <alignment horizontal="left" vertical="center"/>
    </xf>
    <xf numFmtId="0" fontId="41" fillId="0" borderId="0" xfId="65" applyFont="1" applyAlignment="1">
      <alignment horizontal="left" vertical="center"/>
    </xf>
    <xf numFmtId="0" fontId="41" fillId="0" borderId="0" xfId="34" applyFont="1" applyAlignment="1">
      <alignment horizontal="left" vertical="center"/>
      <protection locked="0"/>
    </xf>
    <xf numFmtId="0" fontId="37" fillId="0" borderId="0" xfId="65" applyFont="1" applyBorder="1" applyAlignment="1">
      <alignment vertical="center"/>
    </xf>
    <xf numFmtId="0" fontId="37" fillId="0" borderId="4" xfId="65" applyFont="1" applyBorder="1" applyAlignment="1">
      <alignment vertical="center"/>
    </xf>
    <xf numFmtId="0" fontId="18" fillId="0" borderId="0" xfId="34" applyFont="1">
      <protection locked="0"/>
    </xf>
    <xf numFmtId="0" fontId="37" fillId="6" borderId="9" xfId="34" applyFont="1" applyFill="1" applyBorder="1" applyAlignment="1">
      <alignment horizontal="center" vertical="center"/>
      <protection locked="0"/>
    </xf>
    <xf numFmtId="0" fontId="72" fillId="9" borderId="9" xfId="34" applyNumberFormat="1" applyFont="1" applyFill="1" applyBorder="1" applyAlignment="1" applyProtection="1">
      <alignment horizontal="center" vertical="center" wrapText="1"/>
    </xf>
    <xf numFmtId="0" fontId="72" fillId="9" borderId="9" xfId="34" applyNumberFormat="1" applyFont="1" applyFill="1" applyBorder="1" applyAlignment="1" applyProtection="1">
      <alignment horizontal="center" vertical="center"/>
    </xf>
    <xf numFmtId="0" fontId="18" fillId="0" borderId="0" xfId="34" applyFont="1" applyAlignment="1">
      <alignment horizontal="center"/>
      <protection locked="0"/>
    </xf>
    <xf numFmtId="43" fontId="78" fillId="0" borderId="9" xfId="34" applyNumberFormat="1" applyFont="1" applyFill="1" applyBorder="1" applyAlignment="1" applyProtection="1">
      <alignment horizontal="center" vertical="center" wrapText="1"/>
    </xf>
    <xf numFmtId="43" fontId="79" fillId="0" borderId="9" xfId="47" applyFont="1" applyFill="1" applyBorder="1" applyAlignment="1" applyProtection="1">
      <alignment horizontal="center" vertical="center"/>
    </xf>
    <xf numFmtId="0" fontId="37" fillId="0" borderId="0" xfId="34" applyFont="1" applyBorder="1" applyAlignment="1">
      <alignment vertical="center"/>
      <protection locked="0"/>
    </xf>
    <xf numFmtId="0" fontId="37" fillId="0" borderId="0" xfId="34" applyFont="1" applyAlignment="1">
      <alignment vertical="center"/>
      <protection locked="0"/>
    </xf>
    <xf numFmtId="0" fontId="18" fillId="0" borderId="14" xfId="34" applyFont="1" applyFill="1" applyBorder="1" applyAlignment="1">
      <alignment vertical="center"/>
      <protection locked="0"/>
    </xf>
    <xf numFmtId="0" fontId="18" fillId="0" borderId="0" xfId="34" applyFont="1" applyFill="1" applyBorder="1" applyAlignment="1">
      <alignment vertical="center"/>
      <protection locked="0"/>
    </xf>
    <xf numFmtId="0" fontId="41" fillId="0" borderId="0" xfId="34" applyFont="1" applyAlignment="1">
      <alignment wrapText="1"/>
      <protection locked="0"/>
    </xf>
    <xf numFmtId="0" fontId="41" fillId="0" borderId="0" xfId="34" applyFont="1">
      <protection locked="0"/>
    </xf>
    <xf numFmtId="0" fontId="41" fillId="0" borderId="0" xfId="34" applyFont="1" applyAlignment="1">
      <alignment horizontal="left"/>
      <protection locked="0"/>
    </xf>
    <xf numFmtId="0" fontId="33" fillId="0" borderId="0" xfId="0" applyFont="1" applyBorder="1" applyAlignment="1">
      <alignment horizontal="left" vertical="center"/>
      <protection locked="0"/>
    </xf>
    <xf numFmtId="0" fontId="49" fillId="0" borderId="0" xfId="0" applyFont="1" applyBorder="1" applyAlignment="1">
      <alignment horizontal="left" vertical="center"/>
      <protection locked="0"/>
    </xf>
    <xf numFmtId="43" fontId="30" fillId="6" borderId="9" xfId="44" applyFont="1" applyFill="1" applyBorder="1" applyAlignment="1">
      <alignment horizontal="center" vertical="center"/>
    </xf>
    <xf numFmtId="43" fontId="70" fillId="6" borderId="9" xfId="44" applyFont="1" applyFill="1" applyBorder="1" applyAlignment="1" applyProtection="1">
      <alignment horizontal="center" vertical="center" wrapText="1"/>
      <protection locked="0"/>
    </xf>
    <xf numFmtId="0" fontId="72" fillId="9" borderId="9" xfId="34" applyNumberFormat="1" applyFont="1" applyFill="1" applyBorder="1" applyAlignment="1" applyProtection="1">
      <alignment horizontal="center" vertical="center" wrapText="1"/>
    </xf>
    <xf numFmtId="0" fontId="37" fillId="6" borderId="9" xfId="34" applyFont="1" applyFill="1" applyBorder="1" applyAlignment="1">
      <alignment horizontal="center" vertical="center"/>
      <protection locked="0"/>
    </xf>
    <xf numFmtId="0" fontId="49" fillId="0" borderId="0" xfId="34" applyFont="1" applyBorder="1" applyAlignment="1">
      <alignment vertical="center"/>
      <protection locked="0"/>
    </xf>
    <xf numFmtId="193" fontId="18" fillId="0" borderId="4" xfId="62" applyFont="1" applyFill="1" applyBorder="1" applyAlignment="1" applyProtection="1">
      <alignment horizontal="center" vertical="center" wrapText="1"/>
      <protection locked="0"/>
    </xf>
    <xf numFmtId="0" fontId="33" fillId="0" borderId="9" xfId="44" applyNumberFormat="1" applyFont="1" applyBorder="1" applyAlignment="1">
      <alignment horizontal="center" vertical="center" shrinkToFit="1"/>
    </xf>
    <xf numFmtId="0" fontId="33" fillId="0" borderId="9" xfId="44" applyNumberFormat="1" applyFont="1" applyFill="1" applyBorder="1" applyAlignment="1">
      <alignment horizontal="center" vertical="center" shrinkToFit="1"/>
    </xf>
    <xf numFmtId="43" fontId="30" fillId="6" borderId="9" xfId="44" applyFont="1" applyFill="1" applyBorder="1" applyAlignment="1">
      <alignment horizontal="right" vertical="center"/>
    </xf>
    <xf numFmtId="43" fontId="30" fillId="6" borderId="9" xfId="44" applyFont="1" applyFill="1" applyBorder="1" applyAlignment="1">
      <alignment horizontal="right" vertical="center" shrinkToFit="1"/>
    </xf>
    <xf numFmtId="43" fontId="39" fillId="0" borderId="0" xfId="37" applyNumberFormat="1" applyFont="1" applyBorder="1" applyAlignment="1">
      <alignment vertical="center"/>
    </xf>
    <xf numFmtId="43" fontId="23" fillId="0" borderId="0" xfId="37" applyNumberFormat="1" applyFont="1" applyBorder="1" applyAlignment="1">
      <alignment vertical="center"/>
    </xf>
    <xf numFmtId="43" fontId="18" fillId="0" borderId="0" xfId="37" applyNumberFormat="1" applyFont="1" applyBorder="1" applyAlignment="1">
      <alignment horizontal="right" vertical="center"/>
    </xf>
    <xf numFmtId="0" fontId="18" fillId="0" borderId="0" xfId="0" applyFont="1" applyAlignment="1">
      <alignment vertical="center"/>
      <protection locked="0"/>
    </xf>
    <xf numFmtId="43" fontId="37" fillId="6" borderId="9" xfId="44" applyFont="1" applyFill="1" applyBorder="1" applyAlignment="1" applyProtection="1">
      <alignment horizontal="center" vertical="center" wrapText="1"/>
      <protection locked="0"/>
    </xf>
    <xf numFmtId="43" fontId="30" fillId="6" borderId="3" xfId="44" applyFont="1" applyFill="1" applyBorder="1" applyAlignment="1" applyProtection="1">
      <alignment vertical="center"/>
      <protection locked="0"/>
    </xf>
    <xf numFmtId="43" fontId="18" fillId="0" borderId="9" xfId="44" applyFont="1" applyBorder="1" applyAlignment="1" applyProtection="1">
      <alignment vertical="center"/>
      <protection locked="0"/>
    </xf>
    <xf numFmtId="14" fontId="33" fillId="0" borderId="9" xfId="44" applyNumberFormat="1" applyFont="1" applyBorder="1" applyAlignment="1" applyProtection="1">
      <alignment vertical="center"/>
      <protection locked="0"/>
    </xf>
    <xf numFmtId="9" fontId="33" fillId="0" borderId="9" xfId="44" applyNumberFormat="1" applyFont="1" applyBorder="1" applyAlignment="1" applyProtection="1">
      <alignment horizontal="center" vertical="center"/>
      <protection locked="0"/>
    </xf>
    <xf numFmtId="43" fontId="18" fillId="0" borderId="9" xfId="44" applyFont="1" applyFill="1" applyBorder="1" applyAlignment="1">
      <alignment vertical="center"/>
    </xf>
    <xf numFmtId="0" fontId="33" fillId="0" borderId="9" xfId="44" applyNumberFormat="1" applyFont="1" applyFill="1" applyBorder="1" applyAlignment="1">
      <alignment horizontal="left" vertical="center"/>
    </xf>
    <xf numFmtId="0" fontId="18" fillId="0" borderId="9" xfId="0" applyFont="1" applyBorder="1" applyAlignment="1">
      <alignment horizontal="left" vertical="center" wrapText="1"/>
      <protection locked="0"/>
    </xf>
    <xf numFmtId="10" fontId="33" fillId="0" borderId="9" xfId="33" applyNumberFormat="1" applyFont="1" applyBorder="1" applyAlignment="1" applyProtection="1">
      <alignment vertical="center"/>
      <protection locked="0"/>
    </xf>
    <xf numFmtId="0" fontId="35" fillId="0" borderId="0" xfId="0" applyFont="1" applyAlignment="1">
      <alignment vertical="center"/>
      <protection locked="0"/>
    </xf>
    <xf numFmtId="43" fontId="61" fillId="0" borderId="9" xfId="44" applyFont="1" applyFill="1" applyBorder="1" applyAlignment="1" applyProtection="1">
      <alignment vertical="center"/>
    </xf>
    <xf numFmtId="0" fontId="61" fillId="0" borderId="9" xfId="46" applyFont="1" applyFill="1" applyBorder="1" applyAlignment="1" applyProtection="1">
      <alignment horizontal="center" vertical="center"/>
    </xf>
    <xf numFmtId="43" fontId="30" fillId="6" borderId="9" xfId="44" quotePrefix="1" applyFont="1" applyFill="1" applyBorder="1" applyAlignment="1">
      <alignment horizontal="center" vertical="center"/>
    </xf>
    <xf numFmtId="196" fontId="30" fillId="6" borderId="9" xfId="54" applyNumberFormat="1" applyFont="1" applyFill="1" applyBorder="1" applyAlignment="1">
      <alignment vertical="center" shrinkToFit="1"/>
    </xf>
    <xf numFmtId="43" fontId="30" fillId="6" borderId="9" xfId="44" applyFont="1" applyFill="1" applyBorder="1" applyAlignment="1">
      <alignment vertical="center"/>
    </xf>
    <xf numFmtId="43" fontId="30" fillId="6" borderId="3" xfId="44" applyFont="1" applyFill="1" applyBorder="1" applyAlignment="1" applyProtection="1">
      <alignment horizontal="center" vertical="center"/>
      <protection locked="0"/>
    </xf>
    <xf numFmtId="0" fontId="18" fillId="0" borderId="0" xfId="34" applyFont="1" applyBorder="1" applyAlignment="1">
      <alignment horizontal="justify" vertical="center" wrapText="1"/>
      <protection locked="0"/>
    </xf>
    <xf numFmtId="0" fontId="70" fillId="6" borderId="9" xfId="64" applyFont="1" applyFill="1" applyBorder="1" applyAlignment="1">
      <alignment horizontal="center" vertical="center" wrapText="1"/>
    </xf>
    <xf numFmtId="0" fontId="18" fillId="0" borderId="0" xfId="0" applyFont="1">
      <protection locked="0"/>
    </xf>
    <xf numFmtId="10" fontId="18" fillId="0" borderId="9" xfId="64" applyNumberFormat="1" applyFont="1" applyFill="1" applyBorder="1" applyAlignment="1">
      <alignment horizontal="left" vertical="center"/>
    </xf>
    <xf numFmtId="14" fontId="33" fillId="0" borderId="9" xfId="64" applyNumberFormat="1" applyFont="1" applyFill="1" applyBorder="1" applyAlignment="1">
      <alignment horizontal="center" vertical="center"/>
    </xf>
    <xf numFmtId="0" fontId="33" fillId="0" borderId="9" xfId="64" applyNumberFormat="1" applyFont="1" applyFill="1" applyBorder="1" applyAlignment="1">
      <alignment horizontal="center" vertical="center"/>
    </xf>
    <xf numFmtId="10" fontId="33" fillId="0" borderId="9" xfId="33" applyNumberFormat="1" applyFont="1" applyFill="1" applyBorder="1" applyAlignment="1">
      <alignment horizontal="center" vertical="center"/>
    </xf>
    <xf numFmtId="43" fontId="33" fillId="0" borderId="9" xfId="44" applyFont="1" applyFill="1" applyBorder="1" applyAlignment="1">
      <alignment horizontal="center" vertical="center"/>
    </xf>
    <xf numFmtId="0" fontId="18" fillId="0" borderId="9" xfId="64" applyFont="1" applyFill="1" applyBorder="1" applyAlignment="1">
      <alignment horizontal="center" vertical="center"/>
    </xf>
    <xf numFmtId="196" fontId="6" fillId="0" borderId="9" xfId="64" applyNumberFormat="1" applyFont="1" applyFill="1" applyBorder="1" applyAlignment="1">
      <alignment horizontal="center" vertical="center"/>
    </xf>
    <xf numFmtId="0" fontId="18" fillId="0" borderId="9" xfId="64" applyFont="1" applyFill="1" applyBorder="1" applyAlignment="1">
      <alignment horizontal="left" vertical="center"/>
    </xf>
    <xf numFmtId="10" fontId="57" fillId="6" borderId="9" xfId="64" applyNumberFormat="1" applyFont="1" applyFill="1" applyBorder="1" applyAlignment="1">
      <alignment horizontal="center" vertical="center"/>
    </xf>
    <xf numFmtId="14" fontId="30" fillId="6" borderId="9" xfId="64" applyNumberFormat="1" applyFont="1" applyFill="1" applyBorder="1" applyAlignment="1">
      <alignment horizontal="center" vertical="center"/>
    </xf>
    <xf numFmtId="10" fontId="30" fillId="6" borderId="9" xfId="64" applyNumberFormat="1" applyFont="1" applyFill="1" applyBorder="1" applyAlignment="1">
      <alignment horizontal="center" vertical="center"/>
    </xf>
    <xf numFmtId="10" fontId="30" fillId="6" borderId="9" xfId="33" applyNumberFormat="1" applyFont="1" applyFill="1" applyBorder="1" applyAlignment="1">
      <alignment horizontal="center" vertical="center"/>
    </xf>
    <xf numFmtId="0" fontId="57" fillId="6" borderId="9" xfId="64" applyFont="1" applyFill="1" applyBorder="1" applyAlignment="1">
      <alignment horizontal="center" vertical="center"/>
    </xf>
    <xf numFmtId="196" fontId="57" fillId="6" borderId="9" xfId="64" applyNumberFormat="1" applyFont="1" applyFill="1" applyBorder="1" applyAlignment="1">
      <alignment horizontal="right" vertical="center"/>
    </xf>
    <xf numFmtId="0" fontId="57" fillId="6" borderId="9" xfId="64" applyFont="1" applyFill="1" applyBorder="1" applyAlignment="1">
      <alignment horizontal="left" vertical="center"/>
    </xf>
    <xf numFmtId="0" fontId="18" fillId="0" borderId="9" xfId="34" applyFont="1" applyBorder="1" applyAlignment="1">
      <alignment horizontal="left" vertical="center" wrapText="1"/>
      <protection locked="0"/>
    </xf>
    <xf numFmtId="43" fontId="33" fillId="0" borderId="9" xfId="44" applyFont="1" applyFill="1" applyBorder="1" applyAlignment="1" applyProtection="1">
      <alignment vertical="center"/>
    </xf>
    <xf numFmtId="0" fontId="33" fillId="0" borderId="9" xfId="34" applyFont="1" applyBorder="1" applyAlignment="1">
      <alignment horizontal="center" vertical="center" wrapText="1"/>
      <protection locked="0"/>
    </xf>
    <xf numFmtId="43" fontId="30" fillId="6" borderId="9" xfId="44" applyFont="1" applyFill="1" applyBorder="1" applyAlignment="1" applyProtection="1">
      <alignment vertical="center"/>
    </xf>
    <xf numFmtId="0" fontId="37" fillId="6" borderId="9" xfId="34" applyFont="1" applyFill="1" applyBorder="1" applyAlignment="1">
      <alignment vertical="center"/>
      <protection locked="0"/>
    </xf>
    <xf numFmtId="43" fontId="30" fillId="6" borderId="9" xfId="47" applyFont="1" applyFill="1" applyBorder="1" applyAlignment="1" applyProtection="1">
      <alignment vertical="center"/>
      <protection locked="0"/>
    </xf>
    <xf numFmtId="0" fontId="18" fillId="0" borderId="9" xfId="34" applyFont="1" applyBorder="1" applyAlignment="1">
      <alignment vertical="center"/>
      <protection locked="0"/>
    </xf>
    <xf numFmtId="43" fontId="33" fillId="0" borderId="9" xfId="47" applyFont="1" applyBorder="1" applyAlignment="1" applyProtection="1">
      <alignment vertical="center"/>
      <protection locked="0"/>
    </xf>
    <xf numFmtId="0" fontId="10" fillId="0" borderId="0" xfId="34" applyAlignment="1">
      <alignment vertical="center"/>
      <protection locked="0"/>
    </xf>
    <xf numFmtId="0" fontId="10" fillId="0" borderId="0" xfId="34" applyFont="1" applyAlignment="1">
      <alignment vertical="center"/>
      <protection locked="0"/>
    </xf>
    <xf numFmtId="0" fontId="18" fillId="0" borderId="0" xfId="34" applyFont="1" applyAlignment="1">
      <alignment horizontal="center" vertical="center"/>
      <protection locked="0"/>
    </xf>
    <xf numFmtId="0" fontId="41" fillId="0" borderId="0" xfId="34" applyFont="1" applyAlignment="1">
      <alignment vertical="center"/>
      <protection locked="0"/>
    </xf>
    <xf numFmtId="0" fontId="18" fillId="0" borderId="0" xfId="34" applyFont="1" applyFill="1" applyAlignment="1">
      <alignment vertical="center"/>
      <protection locked="0"/>
    </xf>
    <xf numFmtId="0" fontId="37" fillId="6" borderId="9" xfId="34" applyFont="1" applyFill="1" applyBorder="1" applyAlignment="1">
      <alignment horizontal="left" vertical="center"/>
      <protection locked="0"/>
    </xf>
    <xf numFmtId="0" fontId="18" fillId="0" borderId="9" xfId="34" applyFont="1" applyBorder="1" applyAlignment="1">
      <alignment horizontal="center" vertical="center"/>
      <protection locked="0"/>
    </xf>
    <xf numFmtId="14" fontId="33" fillId="0" borderId="9" xfId="34" applyNumberFormat="1" applyFont="1" applyBorder="1" applyAlignment="1">
      <alignment horizontal="left" vertical="center"/>
      <protection locked="0"/>
    </xf>
    <xf numFmtId="0" fontId="33" fillId="0" borderId="9" xfId="34" applyFont="1" applyBorder="1" applyAlignment="1">
      <alignment horizontal="left" vertical="center"/>
      <protection locked="0"/>
    </xf>
    <xf numFmtId="0" fontId="33" fillId="0" borderId="9" xfId="34" applyFont="1" applyBorder="1" applyAlignment="1">
      <alignment horizontal="center" vertical="center"/>
      <protection locked="0"/>
    </xf>
    <xf numFmtId="43" fontId="18" fillId="0" borderId="9" xfId="47" applyFont="1" applyBorder="1" applyAlignment="1" applyProtection="1">
      <alignment horizontal="center" vertical="center"/>
      <protection locked="0"/>
    </xf>
    <xf numFmtId="43" fontId="55" fillId="0" borderId="9" xfId="47" applyFont="1" applyFill="1" applyBorder="1" applyAlignment="1" applyProtection="1">
      <alignment horizontal="center" vertical="center"/>
    </xf>
    <xf numFmtId="0" fontId="78" fillId="0" borderId="9" xfId="34" applyNumberFormat="1" applyFont="1" applyFill="1" applyBorder="1" applyAlignment="1" applyProtection="1">
      <alignment horizontal="center" vertical="center"/>
    </xf>
    <xf numFmtId="43" fontId="55" fillId="0" borderId="9" xfId="34" applyNumberFormat="1" applyFont="1" applyFill="1" applyBorder="1" applyAlignment="1" applyProtection="1">
      <alignment horizontal="center" vertical="center" wrapText="1"/>
    </xf>
    <xf numFmtId="0" fontId="55" fillId="0" borderId="9" xfId="34" applyNumberFormat="1" applyFont="1" applyFill="1" applyBorder="1" applyAlignment="1" applyProtection="1">
      <alignment horizontal="center" vertical="center"/>
    </xf>
    <xf numFmtId="43" fontId="37" fillId="6" borderId="9" xfId="47" applyFont="1" applyFill="1" applyBorder="1" applyAlignment="1" applyProtection="1">
      <alignment vertical="center"/>
      <protection locked="0"/>
    </xf>
    <xf numFmtId="0" fontId="30" fillId="6" borderId="9" xfId="34" applyFont="1" applyFill="1" applyBorder="1" applyAlignment="1">
      <alignment vertical="center"/>
      <protection locked="0"/>
    </xf>
    <xf numFmtId="0" fontId="71" fillId="0" borderId="0" xfId="34" applyFont="1" applyAlignment="1">
      <alignment vertical="center"/>
      <protection locked="0"/>
    </xf>
    <xf numFmtId="0" fontId="82" fillId="0" borderId="0" xfId="34" applyFont="1" applyAlignment="1">
      <alignment vertical="center"/>
      <protection locked="0"/>
    </xf>
    <xf numFmtId="0" fontId="37" fillId="0" borderId="0" xfId="34" applyFont="1" applyFill="1" applyBorder="1" applyAlignment="1">
      <alignment horizontal="left" vertical="center"/>
      <protection locked="0"/>
    </xf>
    <xf numFmtId="43" fontId="33" fillId="0" borderId="0" xfId="47" applyFont="1" applyFill="1" applyBorder="1" applyAlignment="1" applyProtection="1">
      <alignment vertical="center"/>
      <protection locked="0"/>
    </xf>
    <xf numFmtId="0" fontId="14" fillId="0" borderId="2" xfId="38" applyBorder="1" applyAlignment="1">
      <alignment vertical="center"/>
      <protection locked="0"/>
    </xf>
    <xf numFmtId="0" fontId="10" fillId="0" borderId="2" xfId="38" applyFont="1" applyBorder="1" applyAlignment="1">
      <alignment vertical="center"/>
      <protection locked="0"/>
    </xf>
    <xf numFmtId="0" fontId="6" fillId="0" borderId="0" xfId="0" applyFont="1" applyAlignment="1">
      <alignment vertical="center"/>
      <protection locked="0"/>
    </xf>
    <xf numFmtId="196" fontId="18" fillId="0" borderId="9" xfId="54" applyNumberFormat="1" applyFont="1" applyFill="1" applyBorder="1" applyAlignment="1">
      <alignment vertical="center" shrinkToFit="1"/>
    </xf>
    <xf numFmtId="0" fontId="33" fillId="0" borderId="9" xfId="54" applyNumberFormat="1" applyFont="1" applyFill="1" applyBorder="1" applyAlignment="1">
      <alignment horizontal="left" vertical="center"/>
    </xf>
    <xf numFmtId="14" fontId="33" fillId="0" borderId="9" xfId="54" applyNumberFormat="1" applyFont="1" applyFill="1" applyBorder="1" applyAlignment="1">
      <alignment vertical="center"/>
    </xf>
    <xf numFmtId="193" fontId="33" fillId="0" borderId="9" xfId="56" applyFont="1" applyFill="1" applyBorder="1" applyAlignment="1">
      <alignment horizontal="center" vertical="center" wrapText="1"/>
    </xf>
    <xf numFmtId="193" fontId="33" fillId="0" borderId="9" xfId="62" applyFont="1" applyFill="1" applyBorder="1" applyAlignment="1">
      <alignment horizontal="center" vertical="center" wrapText="1"/>
    </xf>
    <xf numFmtId="43" fontId="35" fillId="0" borderId="0" xfId="38" applyNumberFormat="1" applyFont="1" applyBorder="1" applyAlignment="1" applyProtection="1">
      <alignment vertical="center"/>
    </xf>
    <xf numFmtId="0" fontId="72" fillId="9" borderId="9" xfId="34" applyNumberFormat="1" applyFont="1" applyFill="1" applyBorder="1" applyAlignment="1" applyProtection="1">
      <alignment horizontal="center" vertical="center" wrapText="1"/>
    </xf>
    <xf numFmtId="0" fontId="49" fillId="0" borderId="0" xfId="0" applyFont="1" applyFill="1" applyBorder="1" applyAlignment="1">
      <alignment horizontal="left" vertical="center"/>
      <protection locked="0"/>
    </xf>
    <xf numFmtId="0" fontId="23" fillId="0" borderId="0" xfId="34" applyFont="1" applyBorder="1" applyAlignment="1">
      <alignment vertical="center"/>
      <protection locked="0"/>
    </xf>
    <xf numFmtId="0" fontId="30" fillId="6" borderId="9" xfId="34" applyFont="1" applyFill="1" applyBorder="1" applyAlignment="1">
      <alignment horizontal="left" vertical="center" wrapText="1"/>
      <protection locked="0"/>
    </xf>
    <xf numFmtId="43" fontId="30" fillId="6" borderId="9" xfId="57" applyFont="1" applyFill="1" applyBorder="1" applyAlignment="1" applyProtection="1">
      <alignment vertical="center"/>
    </xf>
    <xf numFmtId="0" fontId="30" fillId="6" borderId="0" xfId="34" applyFont="1" applyFill="1" applyBorder="1" applyAlignment="1">
      <alignment vertical="center" wrapText="1"/>
      <protection locked="0"/>
    </xf>
    <xf numFmtId="0" fontId="18" fillId="0" borderId="9" xfId="34" applyFont="1" applyFill="1" applyBorder="1" applyAlignment="1">
      <alignment horizontal="left" vertical="center" wrapText="1"/>
      <protection locked="0"/>
    </xf>
    <xf numFmtId="0" fontId="37" fillId="6" borderId="9" xfId="46" applyFont="1" applyFill="1" applyBorder="1" applyAlignment="1" applyProtection="1">
      <alignment horizontal="center" vertical="center"/>
    </xf>
    <xf numFmtId="193" fontId="49" fillId="0" borderId="9" xfId="56" applyFont="1" applyFill="1" applyBorder="1" applyAlignment="1">
      <alignment horizontal="center" vertical="center" wrapText="1"/>
    </xf>
    <xf numFmtId="0" fontId="37" fillId="6" borderId="9" xfId="34" applyFont="1" applyFill="1" applyBorder="1" applyAlignment="1">
      <alignment horizontal="center" vertical="center"/>
      <protection locked="0"/>
    </xf>
    <xf numFmtId="0" fontId="18" fillId="0" borderId="9" xfId="0" applyFont="1" applyBorder="1" applyAlignment="1">
      <alignment horizontal="center" vertical="center"/>
      <protection locked="0"/>
    </xf>
    <xf numFmtId="0" fontId="50" fillId="0" borderId="0" xfId="34" applyFont="1" applyAlignment="1">
      <alignment vertical="center"/>
      <protection locked="0"/>
    </xf>
    <xf numFmtId="43" fontId="33" fillId="0" borderId="9" xfId="47" applyFont="1" applyBorder="1" applyAlignment="1" applyProtection="1">
      <alignment horizontal="center" vertical="center"/>
      <protection locked="0"/>
    </xf>
    <xf numFmtId="10" fontId="33" fillId="0" borderId="9" xfId="60" applyNumberFormat="1" applyFont="1" applyBorder="1" applyAlignment="1" applyProtection="1">
      <alignment horizontal="center" vertical="center"/>
      <protection locked="0"/>
    </xf>
    <xf numFmtId="0" fontId="18" fillId="0" borderId="0" xfId="0" applyFont="1" applyBorder="1" applyAlignment="1">
      <alignment horizontal="center" vertical="center"/>
      <protection locked="0"/>
    </xf>
    <xf numFmtId="43" fontId="33" fillId="0" borderId="0" xfId="47" applyFont="1" applyBorder="1" applyAlignment="1" applyProtection="1">
      <alignment horizontal="center" vertical="center"/>
      <protection locked="0"/>
    </xf>
    <xf numFmtId="10" fontId="33" fillId="0" borderId="0" xfId="60" applyNumberFormat="1" applyFont="1" applyBorder="1" applyAlignment="1" applyProtection="1">
      <alignment horizontal="center" vertical="center"/>
      <protection locked="0"/>
    </xf>
    <xf numFmtId="0" fontId="49" fillId="0" borderId="0" xfId="34" applyFont="1" applyAlignment="1">
      <alignment vertical="center"/>
      <protection locked="0"/>
    </xf>
    <xf numFmtId="43" fontId="30" fillId="6" borderId="9" xfId="44" applyFont="1" applyFill="1" applyBorder="1" applyAlignment="1" applyProtection="1">
      <alignment horizontal="center" vertical="center"/>
      <protection locked="0"/>
    </xf>
    <xf numFmtId="43" fontId="33" fillId="6" borderId="9" xfId="44" applyFont="1" applyFill="1" applyBorder="1" applyAlignment="1" applyProtection="1">
      <alignment horizontal="center" vertical="center"/>
      <protection locked="0"/>
    </xf>
    <xf numFmtId="0" fontId="18" fillId="6" borderId="14" xfId="34" applyFont="1" applyFill="1" applyBorder="1" applyAlignment="1">
      <alignment vertical="center"/>
      <protection locked="0"/>
    </xf>
    <xf numFmtId="0" fontId="18" fillId="6" borderId="0" xfId="34" applyFont="1" applyFill="1" applyBorder="1" applyAlignment="1">
      <alignment vertical="center"/>
      <protection locked="0"/>
    </xf>
    <xf numFmtId="0" fontId="18" fillId="6" borderId="0" xfId="34" applyFont="1" applyFill="1" applyAlignment="1">
      <alignment vertical="center"/>
      <protection locked="0"/>
    </xf>
    <xf numFmtId="0" fontId="53" fillId="0" borderId="0" xfId="0" applyFont="1" applyAlignment="1">
      <alignment horizontal="center" vertical="center"/>
      <protection locked="0"/>
    </xf>
    <xf numFmtId="193" fontId="41" fillId="0" borderId="0" xfId="66" applyFont="1" applyFill="1" applyAlignment="1">
      <alignment horizontal="left" vertical="center"/>
    </xf>
    <xf numFmtId="0" fontId="32" fillId="0" borderId="0" xfId="0" applyFont="1" applyAlignment="1">
      <alignment horizontal="left" vertical="center" wrapText="1"/>
      <protection locked="0"/>
    </xf>
    <xf numFmtId="0" fontId="31" fillId="0" borderId="0" xfId="0" applyFont="1" applyAlignment="1">
      <alignment horizontal="left" vertical="center" wrapText="1"/>
      <protection locked="0"/>
    </xf>
    <xf numFmtId="193" fontId="37" fillId="6" borderId="9" xfId="62" applyFont="1" applyFill="1" applyBorder="1" applyAlignment="1" applyProtection="1">
      <alignment horizontal="center" vertical="center"/>
      <protection locked="0"/>
    </xf>
    <xf numFmtId="193" fontId="30" fillId="6" borderId="9" xfId="62" applyFont="1" applyFill="1" applyBorder="1" applyAlignment="1" applyProtection="1">
      <alignment horizontal="center" vertical="center"/>
      <protection locked="0"/>
    </xf>
    <xf numFmtId="193" fontId="37" fillId="6" borderId="9" xfId="62" applyFont="1" applyFill="1" applyBorder="1" applyAlignment="1" applyProtection="1">
      <alignment horizontal="center" vertical="center" wrapText="1"/>
      <protection locked="0"/>
    </xf>
    <xf numFmtId="49" fontId="37" fillId="6" borderId="6" xfId="62" applyNumberFormat="1" applyFont="1" applyFill="1" applyBorder="1" applyAlignment="1" applyProtection="1">
      <alignment horizontal="center" vertical="center"/>
      <protection locked="0"/>
    </xf>
    <xf numFmtId="49" fontId="37" fillId="6" borderId="5" xfId="62" applyNumberFormat="1" applyFont="1" applyFill="1" applyBorder="1" applyAlignment="1" applyProtection="1">
      <alignment horizontal="center" vertical="center"/>
      <protection locked="0"/>
    </xf>
    <xf numFmtId="193" fontId="32" fillId="0" borderId="0" xfId="55" applyFont="1" applyFill="1" applyAlignment="1">
      <alignment horizontal="center" vertical="center"/>
    </xf>
    <xf numFmtId="193" fontId="53" fillId="0" borderId="0" xfId="55" applyFont="1" applyFill="1" applyAlignment="1">
      <alignment horizontal="center" vertical="center"/>
    </xf>
    <xf numFmtId="193" fontId="54" fillId="0" borderId="0" xfId="55" applyFont="1" applyFill="1" applyAlignment="1">
      <alignment horizontal="center" vertical="center"/>
    </xf>
    <xf numFmtId="193" fontId="37" fillId="0" borderId="4" xfId="62" applyFont="1" applyFill="1" applyBorder="1" applyAlignment="1" applyProtection="1">
      <alignment horizontal="left" vertical="center" wrapText="1"/>
      <protection locked="0"/>
    </xf>
    <xf numFmtId="193" fontId="57" fillId="6" borderId="9" xfId="62" applyFont="1" applyFill="1" applyBorder="1" applyAlignment="1" applyProtection="1">
      <alignment horizontal="center" vertical="center" wrapText="1"/>
      <protection locked="0"/>
    </xf>
    <xf numFmtId="193" fontId="18" fillId="0" borderId="9" xfId="62" applyFont="1" applyFill="1" applyBorder="1" applyAlignment="1" applyProtection="1">
      <alignment horizontal="center" vertical="center" wrapText="1"/>
      <protection locked="0"/>
    </xf>
    <xf numFmtId="193" fontId="6" fillId="0" borderId="9" xfId="62" applyFont="1" applyFill="1" applyBorder="1" applyAlignment="1" applyProtection="1">
      <alignment horizontal="left" vertical="center" wrapText="1"/>
      <protection locked="0"/>
    </xf>
    <xf numFmtId="43" fontId="30" fillId="6" borderId="9" xfId="44" applyFont="1" applyFill="1" applyBorder="1" applyAlignment="1">
      <alignment horizontal="center" vertical="center"/>
    </xf>
    <xf numFmtId="43" fontId="19" fillId="0" borderId="0" xfId="37" applyNumberFormat="1" applyFont="1" applyBorder="1" applyAlignment="1">
      <alignment horizontal="center" vertical="center"/>
    </xf>
    <xf numFmtId="43" fontId="53" fillId="0" borderId="0" xfId="37" applyNumberFormat="1" applyFont="1" applyBorder="1" applyAlignment="1">
      <alignment horizontal="center" vertical="center"/>
    </xf>
    <xf numFmtId="0" fontId="32" fillId="0" borderId="0" xfId="0" applyFont="1" applyAlignment="1">
      <alignment horizontal="center" vertical="center"/>
      <protection locked="0"/>
    </xf>
    <xf numFmtId="0" fontId="68" fillId="0" borderId="0" xfId="0" applyFont="1" applyAlignment="1">
      <alignment horizontal="left" vertical="center"/>
      <protection locked="0"/>
    </xf>
    <xf numFmtId="0" fontId="42" fillId="0" borderId="0" xfId="0" applyFont="1" applyAlignment="1">
      <alignment horizontal="left" vertical="center" wrapText="1"/>
      <protection locked="0"/>
    </xf>
    <xf numFmtId="43" fontId="30" fillId="6" borderId="6" xfId="44" applyFont="1" applyFill="1" applyBorder="1" applyAlignment="1" applyProtection="1">
      <alignment horizontal="center" vertical="center" wrapText="1"/>
      <protection locked="0"/>
    </xf>
    <xf numFmtId="43" fontId="30" fillId="6" borderId="5" xfId="44" applyFont="1" applyFill="1" applyBorder="1" applyAlignment="1" applyProtection="1">
      <alignment horizontal="center" vertical="center" wrapText="1"/>
      <protection locked="0"/>
    </xf>
    <xf numFmtId="43" fontId="37" fillId="6" borderId="3" xfId="44" applyFont="1" applyFill="1" applyBorder="1" applyAlignment="1" applyProtection="1">
      <alignment horizontal="center" vertical="center" wrapText="1"/>
      <protection locked="0"/>
    </xf>
    <xf numFmtId="43" fontId="30" fillId="6" borderId="3" xfId="44" applyFont="1" applyFill="1" applyBorder="1" applyAlignment="1" applyProtection="1">
      <alignment horizontal="center" vertical="center" wrapText="1"/>
      <protection locked="0"/>
    </xf>
    <xf numFmtId="43" fontId="37" fillId="6" borderId="6" xfId="44" applyFont="1" applyFill="1" applyBorder="1" applyAlignment="1" applyProtection="1">
      <alignment horizontal="center" vertical="center" wrapText="1"/>
      <protection locked="0"/>
    </xf>
    <xf numFmtId="43" fontId="37" fillId="6" borderId="5" xfId="44" applyFont="1" applyFill="1" applyBorder="1" applyAlignment="1" applyProtection="1">
      <alignment horizontal="center" vertical="center" wrapText="1"/>
      <protection locked="0"/>
    </xf>
    <xf numFmtId="0" fontId="19" fillId="0" borderId="0" xfId="35" applyFont="1" applyAlignment="1">
      <alignment horizontal="center" vertical="center"/>
    </xf>
    <xf numFmtId="0" fontId="53" fillId="0" borderId="0" xfId="35" applyFont="1" applyAlignment="1">
      <alignment horizontal="center" vertical="center"/>
    </xf>
    <xf numFmtId="43" fontId="30" fillId="6" borderId="9" xfId="44" applyFont="1" applyFill="1" applyBorder="1" applyAlignment="1" applyProtection="1">
      <alignment horizontal="center" vertical="center" wrapText="1"/>
      <protection locked="0"/>
    </xf>
    <xf numFmtId="0" fontId="66" fillId="0" borderId="0" xfId="46" applyFont="1" applyFill="1" applyBorder="1" applyAlignment="1" applyProtection="1">
      <alignment horizontal="left" vertical="center" wrapText="1"/>
      <protection locked="0"/>
    </xf>
    <xf numFmtId="0" fontId="31" fillId="0" borderId="0" xfId="46" applyFont="1" applyFill="1" applyBorder="1" applyAlignment="1" applyProtection="1">
      <alignment horizontal="left" vertical="center" wrapText="1"/>
      <protection locked="0"/>
    </xf>
    <xf numFmtId="0" fontId="80" fillId="0" borderId="0" xfId="46" applyFont="1" applyFill="1" applyBorder="1" applyAlignment="1" applyProtection="1">
      <alignment horizontal="left" vertical="center" wrapText="1"/>
      <protection locked="0"/>
    </xf>
    <xf numFmtId="0" fontId="68" fillId="0" borderId="0" xfId="46" applyFont="1" applyFill="1" applyBorder="1" applyAlignment="1" applyProtection="1">
      <alignment horizontal="left" vertical="center" wrapText="1"/>
      <protection locked="0"/>
    </xf>
    <xf numFmtId="0" fontId="37" fillId="6" borderId="9" xfId="54" applyNumberFormat="1" applyFont="1" applyFill="1" applyBorder="1" applyAlignment="1">
      <alignment horizontal="center" vertical="center" wrapText="1"/>
    </xf>
    <xf numFmtId="0" fontId="19" fillId="0" borderId="0" xfId="34" applyFont="1" applyBorder="1" applyAlignment="1">
      <alignment horizontal="center" vertical="center"/>
      <protection locked="0"/>
    </xf>
    <xf numFmtId="0" fontId="53" fillId="0" borderId="0" xfId="34" applyFont="1" applyBorder="1" applyAlignment="1">
      <alignment horizontal="center" vertical="center"/>
      <protection locked="0"/>
    </xf>
    <xf numFmtId="0" fontId="19" fillId="0" borderId="0" xfId="63" applyFont="1" applyBorder="1" applyAlignment="1">
      <alignment horizontal="center" vertical="center" wrapText="1"/>
    </xf>
    <xf numFmtId="0" fontId="53" fillId="0" borderId="0" xfId="63" applyFont="1" applyBorder="1" applyAlignment="1">
      <alignment horizontal="center" vertical="center" wrapText="1"/>
    </xf>
    <xf numFmtId="0" fontId="70" fillId="6" borderId="11" xfId="64" applyFont="1" applyFill="1" applyBorder="1" applyAlignment="1">
      <alignment horizontal="center" vertical="center" wrapText="1"/>
    </xf>
    <xf numFmtId="0" fontId="70" fillId="6" borderId="13" xfId="64" applyFont="1" applyFill="1" applyBorder="1" applyAlignment="1">
      <alignment horizontal="center" vertical="center" wrapText="1"/>
    </xf>
    <xf numFmtId="43" fontId="70" fillId="6" borderId="6" xfId="44" applyFont="1" applyFill="1" applyBorder="1" applyAlignment="1" applyProtection="1">
      <alignment horizontal="center" vertical="center" wrapText="1"/>
      <protection locked="0"/>
    </xf>
    <xf numFmtId="43" fontId="70" fillId="6" borderId="5" xfId="44" applyFont="1" applyFill="1" applyBorder="1" applyAlignment="1" applyProtection="1">
      <alignment horizontal="center" vertical="center" wrapText="1"/>
      <protection locked="0"/>
    </xf>
    <xf numFmtId="0" fontId="70" fillId="6" borderId="9" xfId="64" applyFont="1" applyFill="1" applyBorder="1" applyAlignment="1">
      <alignment horizontal="center" vertical="center" wrapText="1"/>
    </xf>
    <xf numFmtId="43" fontId="70" fillId="6" borderId="11" xfId="44" applyFont="1" applyFill="1" applyBorder="1" applyAlignment="1" applyProtection="1">
      <alignment horizontal="center" vertical="center" wrapText="1"/>
      <protection locked="0"/>
    </xf>
    <xf numFmtId="43" fontId="70" fillId="6" borderId="12" xfId="44" applyFont="1" applyFill="1" applyBorder="1" applyAlignment="1" applyProtection="1">
      <alignment horizontal="center" vertical="center" wrapText="1"/>
      <protection locked="0"/>
    </xf>
    <xf numFmtId="43" fontId="70" fillId="6" borderId="13" xfId="44" applyFont="1" applyFill="1" applyBorder="1" applyAlignment="1" applyProtection="1">
      <alignment horizontal="center" vertical="center" wrapText="1"/>
      <protection locked="0"/>
    </xf>
    <xf numFmtId="43" fontId="70" fillId="6" borderId="9" xfId="44" applyFont="1" applyFill="1" applyBorder="1" applyAlignment="1" applyProtection="1">
      <alignment horizontal="center" vertical="center" wrapText="1"/>
      <protection locked="0"/>
    </xf>
    <xf numFmtId="0" fontId="30" fillId="0" borderId="0" xfId="63" applyFont="1" applyBorder="1" applyAlignment="1">
      <alignment horizontal="center" vertical="center" wrapText="1"/>
    </xf>
    <xf numFmtId="0" fontId="32" fillId="0" borderId="0" xfId="63" applyFont="1" applyBorder="1" applyAlignment="1">
      <alignment horizontal="center" vertical="center" wrapText="1"/>
    </xf>
    <xf numFmtId="0" fontId="19" fillId="0" borderId="0" xfId="35" applyFont="1" applyAlignment="1">
      <alignment horizontal="center" vertical="center" wrapText="1"/>
    </xf>
    <xf numFmtId="0" fontId="53" fillId="0" borderId="0" xfId="35" applyFont="1" applyAlignment="1">
      <alignment horizontal="center" vertical="center" wrapText="1"/>
    </xf>
    <xf numFmtId="0" fontId="37" fillId="6" borderId="9" xfId="34" applyFont="1" applyFill="1" applyBorder="1" applyAlignment="1">
      <alignment horizontal="center" vertical="center"/>
      <protection locked="0"/>
    </xf>
    <xf numFmtId="0" fontId="72" fillId="9" borderId="9" xfId="34" applyNumberFormat="1" applyFont="1" applyFill="1" applyBorder="1" applyAlignment="1" applyProtection="1">
      <alignment horizontal="center" vertical="center" wrapText="1"/>
    </xf>
    <xf numFmtId="0" fontId="81" fillId="9" borderId="9" xfId="34" applyNumberFormat="1" applyFont="1" applyFill="1" applyBorder="1" applyAlignment="1" applyProtection="1">
      <alignment horizontal="center" vertical="center" wrapText="1"/>
    </xf>
    <xf numFmtId="0" fontId="72" fillId="0" borderId="14" xfId="34" applyNumberFormat="1" applyFont="1" applyFill="1" applyBorder="1" applyAlignment="1" applyProtection="1">
      <alignment horizontal="center" vertical="center" wrapText="1"/>
    </xf>
    <xf numFmtId="0" fontId="37" fillId="0" borderId="0" xfId="34" applyNumberFormat="1" applyFont="1" applyFill="1" applyBorder="1" applyAlignment="1" applyProtection="1">
      <alignment horizontal="center" vertical="center" wrapText="1"/>
    </xf>
    <xf numFmtId="0" fontId="37" fillId="9" borderId="9" xfId="34" applyNumberFormat="1" applyFont="1" applyFill="1" applyBorder="1" applyAlignment="1" applyProtection="1">
      <alignment horizontal="center" vertical="center" wrapText="1"/>
    </xf>
    <xf numFmtId="0" fontId="37" fillId="6" borderId="6" xfId="34" applyFont="1" applyFill="1" applyBorder="1" applyAlignment="1">
      <alignment horizontal="center" vertical="center"/>
      <protection locked="0"/>
    </xf>
    <xf numFmtId="0" fontId="37" fillId="6" borderId="5" xfId="34" applyFont="1" applyFill="1" applyBorder="1" applyAlignment="1">
      <alignment horizontal="center" vertical="center"/>
      <protection locked="0"/>
    </xf>
    <xf numFmtId="0" fontId="31" fillId="0" borderId="2" xfId="0" applyFont="1" applyBorder="1" applyAlignment="1">
      <alignment horizontal="center" vertical="center"/>
      <protection locked="0"/>
    </xf>
    <xf numFmtId="0" fontId="83" fillId="0" borderId="2" xfId="0" applyFont="1" applyBorder="1" applyAlignment="1" applyProtection="1">
      <alignment horizontal="center" vertical="center"/>
    </xf>
  </cellXfs>
  <cellStyles count="67">
    <cellStyle name="?" xfId="1"/>
    <cellStyle name="@_text" xfId="2"/>
    <cellStyle name="{Comma [0]}" xfId="3"/>
    <cellStyle name="{Comma}" xfId="4"/>
    <cellStyle name="{Date}" xfId="5"/>
    <cellStyle name="{Month}" xfId="6"/>
    <cellStyle name="{Percent}" xfId="7"/>
    <cellStyle name="{Thousand [0]}" xfId="8"/>
    <cellStyle name="{Thousand}" xfId="9"/>
    <cellStyle name="{Z'0000(1 dec)}" xfId="10"/>
    <cellStyle name="{Z'0000(4 dec)}" xfId="11"/>
    <cellStyle name="Black" xfId="12"/>
    <cellStyle name="Border" xfId="13"/>
    <cellStyle name="Comma [0]_1995" xfId="14"/>
    <cellStyle name="Comma_1995" xfId="15"/>
    <cellStyle name="Currency [0]_1995" xfId="16"/>
    <cellStyle name="Currency_1995" xfId="17"/>
    <cellStyle name="Dezimal [0]_laroux" xfId="18"/>
    <cellStyle name="Dezimal_laroux" xfId="19"/>
    <cellStyle name="Euro" xfId="20"/>
    <cellStyle name="Followed Hyperlink_AheadBehind.xls Chart 23" xfId="21"/>
    <cellStyle name="Grey" xfId="22"/>
    <cellStyle name="Hyperlink_AheadBehind.xls Chart 23" xfId="23"/>
    <cellStyle name="Input [yellow]" xfId="24"/>
    <cellStyle name="Milliers [0]_laroux" xfId="25"/>
    <cellStyle name="Milliers_laroux" xfId="26"/>
    <cellStyle name="Non défini" xfId="27"/>
    <cellStyle name="Normal - Style1" xfId="28"/>
    <cellStyle name="Normal 2" xfId="45"/>
    <cellStyle name="Normal 3 2" xfId="29"/>
    <cellStyle name="Normal_22-Jun EUS Forecasts" xfId="30"/>
    <cellStyle name="Percent [2]" xfId="31"/>
    <cellStyle name="Red" xfId="32"/>
    <cellStyle name="百分比" xfId="33" builtinId="5"/>
    <cellStyle name="百分比 2" xfId="50"/>
    <cellStyle name="百分比 2 2" xfId="60"/>
    <cellStyle name="常规" xfId="0" builtinId="0"/>
    <cellStyle name="常规 11 5" xfId="66"/>
    <cellStyle name="常规 2" xfId="34"/>
    <cellStyle name="常规 2 2" xfId="46"/>
    <cellStyle name="常规 3" xfId="51"/>
    <cellStyle name="常规 3 2" xfId="61"/>
    <cellStyle name="常规 4" xfId="52"/>
    <cellStyle name="常规 4 2" xfId="58"/>
    <cellStyle name="常规 5" xfId="56"/>
    <cellStyle name="常规 7" xfId="62"/>
    <cellStyle name="常规_2-1项目审定表－模板" xfId="63"/>
    <cellStyle name="常规_Book1" xfId="35"/>
    <cellStyle name="常规_Book1 2" xfId="55"/>
    <cellStyle name="常规_c-资产类" xfId="36"/>
    <cellStyle name="常规_FC-应付票据" xfId="64"/>
    <cellStyle name="常规_sheet" xfId="48"/>
    <cellStyle name="常规_WOOKSHEET2" xfId="54"/>
    <cellStyle name="常规_进一步审计程序--销售与收款循环" xfId="65"/>
    <cellStyle name="常规_新审定表" xfId="37"/>
    <cellStyle name="常规_制造费用" xfId="49"/>
    <cellStyle name="超链接" xfId="38" builtinId="8"/>
    <cellStyle name="超链接 2" xfId="59"/>
    <cellStyle name="普通_ 外G9(3)" xfId="39"/>
    <cellStyle name="千分位[0]_宁波" xfId="40"/>
    <cellStyle name="千分位_宁波" xfId="41"/>
    <cellStyle name="千位[0]_laroux" xfId="42"/>
    <cellStyle name="千位_laroux" xfId="43"/>
    <cellStyle name="千位分隔" xfId="44" builtinId="3"/>
    <cellStyle name="千位分隔 2" xfId="47"/>
    <cellStyle name="千位分隔 2 2" xfId="53"/>
    <cellStyle name="千位分隔 2 4" xfId="57"/>
  </cellStyles>
  <dxfs count="0"/>
  <tableStyles count="0" defaultTableStyle="TableStyleMedium9" defaultPivotStyle="PivotStyleLight16"/>
  <colors>
    <mruColors>
      <color rgb="FF0000FF"/>
      <color rgb="FF0000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workbookViewId="0">
      <selection activeCell="F12" sqref="F12"/>
    </sheetView>
  </sheetViews>
  <sheetFormatPr defaultRowHeight="20.100000000000001" customHeight="1"/>
  <cols>
    <col min="1" max="1" width="77.59765625" style="12" customWidth="1"/>
    <col min="2" max="2" width="2" style="12" customWidth="1"/>
    <col min="3" max="3" width="2.09765625" style="12" customWidth="1"/>
    <col min="4" max="4" width="6.09765625" style="9" customWidth="1"/>
    <col min="5" max="5" width="38.59765625" style="9" customWidth="1"/>
    <col min="6" max="6" width="11.19921875" style="294" customWidth="1"/>
  </cols>
  <sheetData>
    <row r="1" spans="1:8" s="6" customFormat="1" ht="20.100000000000001" customHeight="1">
      <c r="A1" s="5" t="s">
        <v>0</v>
      </c>
      <c r="B1" s="7"/>
      <c r="C1" s="7"/>
    </row>
    <row r="2" spans="1:8" ht="20.100000000000001" customHeight="1">
      <c r="A2" s="4" t="s">
        <v>347</v>
      </c>
      <c r="B2" s="8"/>
      <c r="C2" s="8"/>
      <c r="G2" s="1"/>
      <c r="H2" s="1"/>
    </row>
    <row r="3" spans="1:8" ht="20.100000000000001" customHeight="1">
      <c r="A3" s="4" t="s">
        <v>373</v>
      </c>
      <c r="B3" s="8"/>
      <c r="C3" s="8"/>
      <c r="D3" s="26" t="s">
        <v>1</v>
      </c>
      <c r="E3" s="26" t="s">
        <v>19</v>
      </c>
      <c r="F3" s="26" t="s">
        <v>105</v>
      </c>
      <c r="G3" s="1"/>
      <c r="H3" s="2"/>
    </row>
    <row r="4" spans="1:8" ht="20.100000000000001" customHeight="1">
      <c r="A4" s="105" t="s">
        <v>348</v>
      </c>
      <c r="B4" s="8"/>
      <c r="C4" s="8"/>
      <c r="D4" s="71">
        <v>1</v>
      </c>
      <c r="E4" s="292" t="s">
        <v>106</v>
      </c>
      <c r="F4" s="385" t="s">
        <v>310</v>
      </c>
      <c r="G4" s="1"/>
      <c r="H4" s="2"/>
    </row>
    <row r="5" spans="1:8" ht="20.100000000000001" customHeight="1">
      <c r="A5" s="105" t="s">
        <v>349</v>
      </c>
      <c r="B5" s="10"/>
      <c r="C5" s="10"/>
      <c r="D5" s="71">
        <v>2</v>
      </c>
      <c r="E5" s="292" t="s">
        <v>2</v>
      </c>
      <c r="F5" s="385" t="s">
        <v>388</v>
      </c>
      <c r="G5" s="1"/>
      <c r="H5" s="11"/>
    </row>
    <row r="6" spans="1:8" ht="20.100000000000001" customHeight="1">
      <c r="A6" s="105" t="s">
        <v>350</v>
      </c>
      <c r="D6" s="71">
        <v>3</v>
      </c>
      <c r="E6" s="292" t="s">
        <v>107</v>
      </c>
      <c r="F6" s="385"/>
      <c r="G6" t="s">
        <v>311</v>
      </c>
      <c r="H6" s="3"/>
    </row>
    <row r="7" spans="1:8" ht="20.100000000000001" customHeight="1">
      <c r="A7" s="105" t="s">
        <v>351</v>
      </c>
      <c r="D7" s="71">
        <v>4</v>
      </c>
      <c r="E7" s="292" t="s">
        <v>108</v>
      </c>
      <c r="F7" s="385"/>
      <c r="G7" t="s">
        <v>311</v>
      </c>
    </row>
    <row r="8" spans="1:8" ht="20.100000000000001" customHeight="1">
      <c r="A8" s="13"/>
      <c r="D8" s="71">
        <v>5</v>
      </c>
      <c r="E8" s="292" t="s">
        <v>109</v>
      </c>
      <c r="F8" s="385" t="s">
        <v>312</v>
      </c>
    </row>
    <row r="9" spans="1:8" ht="20.100000000000001" customHeight="1">
      <c r="A9" s="324" t="s">
        <v>374</v>
      </c>
      <c r="D9" s="71">
        <v>6</v>
      </c>
      <c r="E9" s="106" t="s">
        <v>110</v>
      </c>
      <c r="F9" s="385" t="s">
        <v>313</v>
      </c>
    </row>
    <row r="10" spans="1:8" ht="20.100000000000001" customHeight="1">
      <c r="A10" s="326" t="s">
        <v>375</v>
      </c>
      <c r="D10" s="71">
        <v>7</v>
      </c>
      <c r="E10" s="293" t="s">
        <v>316</v>
      </c>
      <c r="F10" s="385" t="s">
        <v>381</v>
      </c>
    </row>
    <row r="11" spans="1:8" ht="20.100000000000001" customHeight="1">
      <c r="A11" s="326"/>
      <c r="D11" s="71">
        <v>8</v>
      </c>
      <c r="E11" s="293" t="s">
        <v>317</v>
      </c>
      <c r="F11" s="385" t="s">
        <v>382</v>
      </c>
    </row>
    <row r="12" spans="1:8" ht="20.100000000000001" customHeight="1">
      <c r="A12" s="326"/>
      <c r="D12" s="71">
        <v>9</v>
      </c>
      <c r="E12" s="293" t="s">
        <v>386</v>
      </c>
      <c r="F12" s="386" t="s">
        <v>387</v>
      </c>
    </row>
    <row r="13" spans="1:8" ht="20.100000000000001" customHeight="1">
      <c r="A13" s="326"/>
      <c r="D13" s="71">
        <v>10</v>
      </c>
      <c r="E13" s="293" t="s">
        <v>318</v>
      </c>
      <c r="F13" s="385" t="s">
        <v>384</v>
      </c>
    </row>
    <row r="14" spans="1:8" ht="20.100000000000001" customHeight="1">
      <c r="A14" s="326" t="s">
        <v>376</v>
      </c>
      <c r="D14" s="71">
        <v>11</v>
      </c>
      <c r="E14" s="293" t="s">
        <v>319</v>
      </c>
      <c r="F14" s="385" t="s">
        <v>320</v>
      </c>
    </row>
    <row r="15" spans="1:8" ht="20.100000000000001" customHeight="1">
      <c r="A15" s="326"/>
      <c r="D15" s="71">
        <v>12</v>
      </c>
      <c r="E15" s="293" t="s">
        <v>321</v>
      </c>
      <c r="F15" s="385" t="s">
        <v>383</v>
      </c>
    </row>
    <row r="16" spans="1:8" ht="20.100000000000001" customHeight="1">
      <c r="A16" s="326"/>
      <c r="D16" s="71">
        <v>13</v>
      </c>
      <c r="E16" s="293" t="s">
        <v>322</v>
      </c>
      <c r="F16" s="385" t="s">
        <v>323</v>
      </c>
    </row>
    <row r="17" spans="1:6" ht="20.100000000000001" customHeight="1">
      <c r="A17" s="327" t="s">
        <v>377</v>
      </c>
      <c r="D17" s="71">
        <v>14</v>
      </c>
      <c r="E17" s="293" t="s">
        <v>324</v>
      </c>
      <c r="F17" s="385" t="s">
        <v>385</v>
      </c>
    </row>
    <row r="18" spans="1:6" ht="20.100000000000001" customHeight="1">
      <c r="A18" s="327"/>
      <c r="D18" s="71">
        <v>15</v>
      </c>
      <c r="E18" s="292" t="s">
        <v>325</v>
      </c>
      <c r="F18" s="385" t="s">
        <v>329</v>
      </c>
    </row>
    <row r="19" spans="1:6" ht="20.100000000000001" customHeight="1">
      <c r="A19" s="327"/>
      <c r="D19" s="71">
        <v>16</v>
      </c>
      <c r="E19" s="292" t="s">
        <v>326</v>
      </c>
      <c r="F19" s="385" t="s">
        <v>314</v>
      </c>
    </row>
    <row r="20" spans="1:6" ht="20.100000000000001" customHeight="1">
      <c r="A20" s="14"/>
      <c r="D20" s="71">
        <v>17</v>
      </c>
      <c r="E20" s="292" t="s">
        <v>327</v>
      </c>
      <c r="F20" s="385" t="s">
        <v>315</v>
      </c>
    </row>
    <row r="21" spans="1:6" ht="20.100000000000001" customHeight="1">
      <c r="D21" s="71">
        <v>18</v>
      </c>
      <c r="E21" s="292" t="s">
        <v>328</v>
      </c>
      <c r="F21" s="385" t="s">
        <v>330</v>
      </c>
    </row>
  </sheetData>
  <mergeCells count="3">
    <mergeCell ref="A10:A13"/>
    <mergeCell ref="A14:A16"/>
    <mergeCell ref="A17:A19"/>
  </mergeCells>
  <phoneticPr fontId="17" type="noConversion"/>
  <hyperlinks>
    <hyperlink ref="E5" location="'审定表F3-1'!A1" display="审定表"/>
    <hyperlink ref="E8" location="'明细表F3-2'!A1" display="明细表"/>
    <hyperlink ref="E6" location="'附注披露信息(上市公司)'!A1" display="附注披露信息(上市公司)"/>
    <hyperlink ref="E7" location="'附注披露信息(国企)'!A1" display="附注披露信息(国企)"/>
    <hyperlink ref="E4" location="'应付票据实质性程序表F3A '!A1" display="应付票据实质性程序表"/>
    <hyperlink ref="E9" location="'调整分录汇总F3-3'!A1" display="调整分录汇总"/>
    <hyperlink ref="E18" location="'应付票据（带息）利息测算表F3-4'!A1" display="应付票据（带息）利息测算表"/>
    <hyperlink ref="E19" location="'逾期票据检查F3-5'!A1" display="逾期票据检查表"/>
    <hyperlink ref="E20" location="'关联方及交易检查表F3-6'!A1" display="关联方及交易检查表"/>
    <hyperlink ref="E21" location="'应付票据检查表F3-7'!A1" display="应付票据检查表"/>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M33"/>
  <sheetViews>
    <sheetView view="pageBreakPreview" zoomScaleNormal="115" zoomScaleSheetLayoutView="100" workbookViewId="0">
      <selection activeCell="B15" sqref="B15:B16"/>
    </sheetView>
  </sheetViews>
  <sheetFormatPr defaultColWidth="9" defaultRowHeight="13.8"/>
  <cols>
    <col min="1" max="1" width="4.5" style="74" customWidth="1"/>
    <col min="2" max="2" width="69.296875" style="74" customWidth="1"/>
    <col min="3" max="3" width="8.8984375" style="74" customWidth="1"/>
    <col min="4" max="4" width="5.69921875" style="74" customWidth="1"/>
    <col min="5" max="5" width="6.19921875" style="74" customWidth="1"/>
    <col min="6" max="6" width="6.3984375" style="74" customWidth="1"/>
    <col min="7" max="7" width="9.8984375" style="74" customWidth="1"/>
    <col min="8" max="8" width="5.5" style="74" customWidth="1"/>
    <col min="9" max="9" width="6.796875" style="89" customWidth="1"/>
    <col min="10" max="10" width="2.5" style="73" customWidth="1"/>
    <col min="11" max="11" width="69.3984375" style="73" customWidth="1"/>
    <col min="12" max="16384" width="9" style="74"/>
  </cols>
  <sheetData>
    <row r="1" spans="1:13" ht="19.95" customHeight="1">
      <c r="A1" s="333" t="s">
        <v>82</v>
      </c>
      <c r="B1" s="333"/>
      <c r="C1" s="333"/>
      <c r="D1" s="333"/>
      <c r="E1" s="333"/>
      <c r="F1" s="333"/>
      <c r="G1" s="333"/>
      <c r="H1" s="333"/>
      <c r="I1" s="333"/>
    </row>
    <row r="2" spans="1:13" ht="19.95" customHeight="1">
      <c r="A2" s="334" t="s">
        <v>83</v>
      </c>
      <c r="B2" s="335"/>
      <c r="C2" s="335"/>
      <c r="D2" s="335"/>
      <c r="E2" s="335"/>
      <c r="F2" s="335"/>
      <c r="G2" s="335"/>
      <c r="H2" s="335"/>
      <c r="I2" s="335"/>
    </row>
    <row r="3" spans="1:13" ht="19.95" customHeight="1">
      <c r="A3" s="75" t="str">
        <f>底稿目录!A2</f>
        <v>被审计单位：</v>
      </c>
      <c r="B3" s="75"/>
      <c r="C3" s="76" t="str">
        <f>底稿目录!A4</f>
        <v>编制人：</v>
      </c>
      <c r="E3" s="75" t="str">
        <f>底稿目录!A5</f>
        <v>编制日期：</v>
      </c>
      <c r="G3" s="77"/>
      <c r="H3" s="75" t="s">
        <v>38</v>
      </c>
      <c r="I3" s="78" t="s">
        <v>267</v>
      </c>
    </row>
    <row r="4" spans="1:13" ht="19.95" customHeight="1">
      <c r="A4" s="75" t="str">
        <f>底稿目录!A3</f>
        <v>截止日：202X年12月31日</v>
      </c>
      <c r="B4" s="75"/>
      <c r="C4" s="76" t="str">
        <f>底稿目录!A6</f>
        <v>复核人：</v>
      </c>
      <c r="E4" s="75" t="str">
        <f>底稿目录!A7</f>
        <v>复核日期：</v>
      </c>
      <c r="G4" s="77"/>
      <c r="H4" s="79" t="s">
        <v>84</v>
      </c>
      <c r="I4" s="78"/>
    </row>
    <row r="5" spans="1:13" ht="19.95" customHeight="1">
      <c r="A5" s="90" t="s">
        <v>92</v>
      </c>
      <c r="B5" s="75"/>
      <c r="C5" s="75"/>
      <c r="D5" s="75"/>
      <c r="E5" s="75"/>
      <c r="F5" s="75"/>
      <c r="G5" s="77"/>
      <c r="H5" s="75"/>
      <c r="I5" s="78"/>
    </row>
    <row r="6" spans="1:13" ht="19.95" customHeight="1">
      <c r="A6" s="80" t="s">
        <v>91</v>
      </c>
      <c r="B6" s="75"/>
      <c r="C6" s="75"/>
      <c r="D6" s="75"/>
      <c r="E6" s="75"/>
      <c r="F6" s="75"/>
      <c r="G6" s="77"/>
      <c r="H6" s="75"/>
      <c r="I6" s="78"/>
    </row>
    <row r="7" spans="1:13" ht="19.95" customHeight="1">
      <c r="A7" s="126" t="s">
        <v>263</v>
      </c>
      <c r="B7" s="81"/>
      <c r="C7" s="81"/>
      <c r="D7" s="77"/>
      <c r="E7" s="77"/>
      <c r="F7" s="77"/>
      <c r="G7" s="77"/>
      <c r="H7" s="77"/>
      <c r="I7" s="82"/>
      <c r="J7" s="83"/>
      <c r="K7" s="83"/>
    </row>
    <row r="8" spans="1:13" s="84" customFormat="1" ht="19.95" customHeight="1">
      <c r="A8" s="330" t="s">
        <v>129</v>
      </c>
      <c r="B8" s="330"/>
      <c r="C8" s="330"/>
      <c r="D8" s="330"/>
      <c r="E8" s="330"/>
      <c r="F8" s="330"/>
      <c r="G8" s="337" t="s">
        <v>85</v>
      </c>
      <c r="H8" s="337"/>
      <c r="I8" s="337"/>
      <c r="J8" s="127"/>
    </row>
    <row r="9" spans="1:13" s="84" customFormat="1" ht="19.95" customHeight="1">
      <c r="A9" s="339" t="s">
        <v>173</v>
      </c>
      <c r="B9" s="339"/>
      <c r="C9" s="339"/>
      <c r="D9" s="339"/>
      <c r="E9" s="339"/>
      <c r="F9" s="339"/>
      <c r="G9" s="338" t="s">
        <v>130</v>
      </c>
      <c r="H9" s="338"/>
      <c r="I9" s="338"/>
      <c r="J9" s="127"/>
    </row>
    <row r="10" spans="1:13" s="84" customFormat="1" ht="19.95" customHeight="1">
      <c r="A10" s="339" t="s">
        <v>354</v>
      </c>
      <c r="B10" s="339"/>
      <c r="C10" s="339"/>
      <c r="D10" s="339"/>
      <c r="E10" s="339"/>
      <c r="F10" s="339"/>
      <c r="G10" s="338" t="s">
        <v>352</v>
      </c>
      <c r="H10" s="338"/>
      <c r="I10" s="338"/>
      <c r="J10" s="127"/>
    </row>
    <row r="11" spans="1:13" s="84" customFormat="1" ht="19.95" customHeight="1">
      <c r="A11" s="339" t="s">
        <v>355</v>
      </c>
      <c r="B11" s="339"/>
      <c r="C11" s="339"/>
      <c r="D11" s="339"/>
      <c r="E11" s="339"/>
      <c r="F11" s="339"/>
      <c r="G11" s="338" t="s">
        <v>131</v>
      </c>
      <c r="H11" s="338"/>
      <c r="I11" s="338"/>
      <c r="J11" s="127"/>
    </row>
    <row r="12" spans="1:13" s="84" customFormat="1" ht="19.95" customHeight="1">
      <c r="A12" s="339" t="s">
        <v>356</v>
      </c>
      <c r="B12" s="339"/>
      <c r="C12" s="339"/>
      <c r="D12" s="339"/>
      <c r="E12" s="339"/>
      <c r="F12" s="339"/>
      <c r="G12" s="338" t="s">
        <v>353</v>
      </c>
      <c r="H12" s="338"/>
      <c r="I12" s="338"/>
      <c r="J12" s="127"/>
    </row>
    <row r="13" spans="1:13" s="84" customFormat="1" ht="19.95" customHeight="1">
      <c r="A13" s="339" t="s">
        <v>172</v>
      </c>
      <c r="B13" s="339"/>
      <c r="C13" s="339"/>
      <c r="D13" s="339"/>
      <c r="E13" s="339"/>
      <c r="F13" s="339"/>
      <c r="G13" s="338" t="s">
        <v>128</v>
      </c>
      <c r="H13" s="338"/>
      <c r="I13" s="338"/>
      <c r="J13" s="127"/>
    </row>
    <row r="14" spans="1:13" s="84" customFormat="1" ht="19.95" customHeight="1">
      <c r="A14" s="336" t="s">
        <v>346</v>
      </c>
      <c r="B14" s="336"/>
      <c r="C14" s="220"/>
      <c r="D14" s="138"/>
      <c r="E14" s="138"/>
      <c r="F14" s="138"/>
      <c r="G14" s="138"/>
      <c r="H14" s="138"/>
      <c r="I14" s="138"/>
      <c r="J14" s="127"/>
    </row>
    <row r="15" spans="1:13" ht="21.6" customHeight="1">
      <c r="A15" s="331" t="s">
        <v>132</v>
      </c>
      <c r="B15" s="330" t="s">
        <v>379</v>
      </c>
      <c r="C15" s="330" t="s">
        <v>86</v>
      </c>
      <c r="D15" s="328" t="s">
        <v>133</v>
      </c>
      <c r="E15" s="329"/>
      <c r="F15" s="329"/>
      <c r="G15" s="329"/>
      <c r="H15" s="329"/>
      <c r="I15" s="330" t="s">
        <v>134</v>
      </c>
      <c r="J15" s="127"/>
      <c r="K15" s="85"/>
      <c r="L15" s="85"/>
      <c r="M15" s="85"/>
    </row>
    <row r="16" spans="1:13" ht="28.5" customHeight="1">
      <c r="A16" s="332"/>
      <c r="B16" s="330"/>
      <c r="C16" s="330"/>
      <c r="D16" s="128" t="s">
        <v>135</v>
      </c>
      <c r="E16" s="128" t="s">
        <v>136</v>
      </c>
      <c r="F16" s="129" t="s">
        <v>137</v>
      </c>
      <c r="G16" s="129" t="s">
        <v>138</v>
      </c>
      <c r="H16" s="129" t="s">
        <v>128</v>
      </c>
      <c r="I16" s="330"/>
      <c r="J16" s="127"/>
      <c r="K16" s="325" t="s">
        <v>378</v>
      </c>
      <c r="L16" s="85"/>
      <c r="M16" s="85"/>
    </row>
    <row r="17" spans="1:13" ht="57" customHeight="1">
      <c r="A17" s="134" t="s">
        <v>151</v>
      </c>
      <c r="B17" s="137" t="s">
        <v>140</v>
      </c>
      <c r="C17" s="88" t="s">
        <v>144</v>
      </c>
      <c r="D17" s="139" t="s">
        <v>161</v>
      </c>
      <c r="E17" s="139" t="s">
        <v>162</v>
      </c>
      <c r="F17" s="140"/>
      <c r="G17" s="141" t="s">
        <v>161</v>
      </c>
      <c r="H17" s="136"/>
      <c r="I17" s="298" t="s">
        <v>331</v>
      </c>
      <c r="J17" s="83"/>
      <c r="K17" s="86"/>
      <c r="L17" s="85"/>
      <c r="M17" s="85"/>
    </row>
    <row r="18" spans="1:13" ht="55.8" customHeight="1">
      <c r="A18" s="134" t="s">
        <v>152</v>
      </c>
      <c r="B18" s="137" t="s">
        <v>333</v>
      </c>
      <c r="C18" s="88" t="s">
        <v>144</v>
      </c>
      <c r="D18" s="139" t="s">
        <v>161</v>
      </c>
      <c r="E18" s="141" t="s">
        <v>162</v>
      </c>
      <c r="F18" s="140"/>
      <c r="G18" s="141" t="s">
        <v>161</v>
      </c>
      <c r="H18" s="136"/>
      <c r="I18" s="298" t="s">
        <v>332</v>
      </c>
      <c r="J18" s="83"/>
      <c r="K18" s="86"/>
      <c r="L18" s="85"/>
      <c r="M18" s="85"/>
    </row>
    <row r="19" spans="1:13" ht="41.4" customHeight="1">
      <c r="A19" s="134" t="s">
        <v>88</v>
      </c>
      <c r="B19" s="142" t="s">
        <v>264</v>
      </c>
      <c r="C19" s="88" t="s">
        <v>144</v>
      </c>
      <c r="D19" s="140"/>
      <c r="E19" s="141" t="s">
        <v>162</v>
      </c>
      <c r="F19" s="140"/>
      <c r="G19" s="139" t="s">
        <v>162</v>
      </c>
      <c r="H19" s="135"/>
      <c r="I19" s="309" t="s">
        <v>357</v>
      </c>
      <c r="J19" s="83"/>
      <c r="K19" s="131" t="s">
        <v>142</v>
      </c>
      <c r="L19" s="85"/>
      <c r="M19" s="85"/>
    </row>
    <row r="20" spans="1:13" ht="42" customHeight="1">
      <c r="A20" s="134" t="s">
        <v>89</v>
      </c>
      <c r="B20" s="137" t="s">
        <v>148</v>
      </c>
      <c r="C20" s="87" t="s">
        <v>87</v>
      </c>
      <c r="D20" s="139" t="s">
        <v>167</v>
      </c>
      <c r="E20" s="141" t="s">
        <v>168</v>
      </c>
      <c r="F20" s="139" t="s">
        <v>168</v>
      </c>
      <c r="G20" s="139" t="s">
        <v>168</v>
      </c>
      <c r="H20" s="135"/>
      <c r="I20" s="88"/>
      <c r="J20" s="83"/>
      <c r="K20" s="131" t="s">
        <v>164</v>
      </c>
      <c r="L20" s="85"/>
      <c r="M20" s="85"/>
    </row>
    <row r="21" spans="1:13" ht="30.6" customHeight="1">
      <c r="A21" s="134" t="s">
        <v>90</v>
      </c>
      <c r="B21" s="142" t="s">
        <v>265</v>
      </c>
      <c r="C21" s="88" t="s">
        <v>144</v>
      </c>
      <c r="D21" s="139" t="s">
        <v>162</v>
      </c>
      <c r="E21" s="139" t="s">
        <v>162</v>
      </c>
      <c r="F21" s="140"/>
      <c r="G21" s="139" t="s">
        <v>162</v>
      </c>
      <c r="H21" s="135"/>
      <c r="I21" s="298" t="s">
        <v>331</v>
      </c>
      <c r="J21" s="83"/>
      <c r="K21" s="132" t="s">
        <v>143</v>
      </c>
      <c r="L21" s="85"/>
      <c r="M21" s="85"/>
    </row>
    <row r="22" spans="1:13" ht="34.200000000000003" customHeight="1">
      <c r="A22" s="134" t="s">
        <v>153</v>
      </c>
      <c r="B22" s="142" t="s">
        <v>141</v>
      </c>
      <c r="C22" s="88" t="s">
        <v>144</v>
      </c>
      <c r="D22" s="139" t="s">
        <v>162</v>
      </c>
      <c r="E22" s="141" t="s">
        <v>162</v>
      </c>
      <c r="F22" s="139" t="s">
        <v>162</v>
      </c>
      <c r="G22" s="139" t="s">
        <v>162</v>
      </c>
      <c r="H22" s="135"/>
      <c r="I22" s="88" t="s">
        <v>338</v>
      </c>
      <c r="J22" s="83"/>
      <c r="K22" s="130"/>
      <c r="L22" s="85"/>
      <c r="M22" s="85"/>
    </row>
    <row r="23" spans="1:13" ht="25.2" customHeight="1">
      <c r="A23" s="134" t="s">
        <v>154</v>
      </c>
      <c r="B23" s="142" t="s">
        <v>174</v>
      </c>
      <c r="C23" s="88" t="s">
        <v>144</v>
      </c>
      <c r="D23" s="141" t="s">
        <v>162</v>
      </c>
      <c r="E23" s="135"/>
      <c r="F23" s="135"/>
      <c r="G23" s="135"/>
      <c r="H23" s="135"/>
      <c r="I23" s="88" t="s">
        <v>334</v>
      </c>
      <c r="J23" s="83"/>
      <c r="K23" s="86"/>
      <c r="L23" s="85"/>
      <c r="M23" s="85"/>
    </row>
    <row r="24" spans="1:13" ht="153.6" customHeight="1">
      <c r="A24" s="134" t="s">
        <v>155</v>
      </c>
      <c r="B24" s="137" t="s">
        <v>149</v>
      </c>
      <c r="C24" s="88" t="s">
        <v>144</v>
      </c>
      <c r="D24" s="141" t="s">
        <v>162</v>
      </c>
      <c r="E24" s="139" t="s">
        <v>169</v>
      </c>
      <c r="F24" s="141" t="s">
        <v>169</v>
      </c>
      <c r="G24" s="139" t="s">
        <v>162</v>
      </c>
      <c r="H24" s="135"/>
      <c r="I24" s="88" t="s">
        <v>335</v>
      </c>
      <c r="J24" s="83"/>
      <c r="K24" s="86"/>
      <c r="L24" s="85"/>
      <c r="M24" s="85"/>
    </row>
    <row r="25" spans="1:13" ht="43.8" customHeight="1">
      <c r="A25" s="134" t="s">
        <v>156</v>
      </c>
      <c r="B25" s="137" t="s">
        <v>145</v>
      </c>
      <c r="C25" s="139" t="s">
        <v>344</v>
      </c>
      <c r="D25" s="139" t="s">
        <v>162</v>
      </c>
      <c r="E25" s="141" t="s">
        <v>169</v>
      </c>
      <c r="F25" s="141" t="s">
        <v>169</v>
      </c>
      <c r="G25" s="139" t="s">
        <v>162</v>
      </c>
      <c r="H25" s="135"/>
      <c r="I25" s="88" t="s">
        <v>335</v>
      </c>
      <c r="J25" s="83"/>
      <c r="K25" s="86"/>
      <c r="L25" s="85"/>
      <c r="M25" s="85"/>
    </row>
    <row r="26" spans="1:13" ht="105.6" customHeight="1">
      <c r="A26" s="134" t="s">
        <v>157</v>
      </c>
      <c r="B26" s="137" t="s">
        <v>150</v>
      </c>
      <c r="C26" s="88" t="s">
        <v>144</v>
      </c>
      <c r="D26" s="141" t="s">
        <v>166</v>
      </c>
      <c r="E26" s="141" t="s">
        <v>166</v>
      </c>
      <c r="F26" s="139" t="s">
        <v>166</v>
      </c>
      <c r="G26" s="141" t="s">
        <v>166</v>
      </c>
      <c r="H26" s="139" t="s">
        <v>166</v>
      </c>
      <c r="I26" s="88" t="s">
        <v>358</v>
      </c>
      <c r="J26" s="83"/>
      <c r="K26" s="86"/>
      <c r="L26" s="85"/>
      <c r="M26" s="85"/>
    </row>
    <row r="27" spans="1:13" ht="28.8" customHeight="1">
      <c r="A27" s="134" t="s">
        <v>158</v>
      </c>
      <c r="B27" s="142" t="s">
        <v>259</v>
      </c>
      <c r="C27" s="88" t="s">
        <v>144</v>
      </c>
      <c r="D27" s="141" t="s">
        <v>162</v>
      </c>
      <c r="E27" s="140"/>
      <c r="F27" s="139" t="s">
        <v>162</v>
      </c>
      <c r="G27" s="139" t="s">
        <v>170</v>
      </c>
      <c r="H27" s="135"/>
      <c r="I27" s="88" t="s">
        <v>336</v>
      </c>
      <c r="J27" s="83"/>
      <c r="K27" s="143"/>
      <c r="L27" s="85"/>
      <c r="M27" s="85"/>
    </row>
    <row r="28" spans="1:13" ht="49.2" customHeight="1">
      <c r="A28" s="134" t="s">
        <v>159</v>
      </c>
      <c r="B28" s="137" t="s">
        <v>146</v>
      </c>
      <c r="C28" s="139" t="s">
        <v>344</v>
      </c>
      <c r="D28" s="141" t="s">
        <v>162</v>
      </c>
      <c r="E28" s="135"/>
      <c r="F28" s="139" t="s">
        <v>162</v>
      </c>
      <c r="G28" s="135"/>
      <c r="H28" s="135"/>
      <c r="I28" s="88"/>
      <c r="J28" s="83"/>
      <c r="K28" s="133"/>
      <c r="L28" s="125"/>
      <c r="M28" s="85"/>
    </row>
    <row r="29" spans="1:13" ht="47.4" customHeight="1">
      <c r="A29" s="134" t="s">
        <v>160</v>
      </c>
      <c r="B29" s="137" t="s">
        <v>147</v>
      </c>
      <c r="C29" s="139" t="s">
        <v>345</v>
      </c>
      <c r="D29" s="88"/>
      <c r="E29" s="88"/>
      <c r="F29" s="88"/>
      <c r="G29" s="88"/>
      <c r="H29" s="88"/>
      <c r="I29" s="88"/>
      <c r="J29" s="83"/>
      <c r="K29" s="143"/>
      <c r="L29" s="125"/>
      <c r="M29" s="85"/>
    </row>
    <row r="30" spans="1:13" ht="24" customHeight="1">
      <c r="A30" s="134" t="s">
        <v>165</v>
      </c>
      <c r="B30" s="142" t="s">
        <v>163</v>
      </c>
      <c r="C30" s="88" t="s">
        <v>144</v>
      </c>
      <c r="D30" s="135"/>
      <c r="E30" s="135"/>
      <c r="F30" s="135"/>
      <c r="G30" s="135"/>
      <c r="H30" s="141" t="s">
        <v>162</v>
      </c>
      <c r="I30" s="299" t="s">
        <v>337</v>
      </c>
      <c r="J30" s="83"/>
      <c r="K30" s="86"/>
      <c r="L30" s="85"/>
      <c r="M30" s="85"/>
    </row>
    <row r="33" spans="1:1">
      <c r="A33" s="86"/>
    </row>
  </sheetData>
  <mergeCells count="20">
    <mergeCell ref="A1:I1"/>
    <mergeCell ref="A2:I2"/>
    <mergeCell ref="A14:B14"/>
    <mergeCell ref="G8:I8"/>
    <mergeCell ref="G9:I9"/>
    <mergeCell ref="G10:I10"/>
    <mergeCell ref="G11:I11"/>
    <mergeCell ref="G12:I12"/>
    <mergeCell ref="G13:I13"/>
    <mergeCell ref="A13:F13"/>
    <mergeCell ref="A8:F8"/>
    <mergeCell ref="A9:F9"/>
    <mergeCell ref="A10:F10"/>
    <mergeCell ref="A11:F11"/>
    <mergeCell ref="A12:F12"/>
    <mergeCell ref="D15:H15"/>
    <mergeCell ref="I15:I16"/>
    <mergeCell ref="C15:C16"/>
    <mergeCell ref="B15:B16"/>
    <mergeCell ref="A15:A16"/>
  </mergeCells>
  <phoneticPr fontId="17" type="noConversion"/>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8"/>
  <sheetViews>
    <sheetView view="pageBreakPreview" zoomScaleNormal="130" zoomScaleSheetLayoutView="100" workbookViewId="0">
      <selection activeCell="B7" sqref="B7:B8"/>
    </sheetView>
  </sheetViews>
  <sheetFormatPr defaultColWidth="9" defaultRowHeight="23.25" customHeight="1"/>
  <cols>
    <col min="1" max="1" width="22.19921875" style="16" customWidth="1"/>
    <col min="2" max="9" width="11.69921875" style="16" customWidth="1"/>
    <col min="10" max="16384" width="9" style="16"/>
  </cols>
  <sheetData>
    <row r="1" spans="1:12" ht="20.100000000000001" customHeight="1">
      <c r="A1" s="341" t="s">
        <v>275</v>
      </c>
      <c r="B1" s="341"/>
      <c r="C1" s="341"/>
      <c r="D1" s="341"/>
      <c r="E1" s="341"/>
      <c r="F1" s="341"/>
      <c r="G1" s="341"/>
      <c r="H1" s="341"/>
      <c r="I1" s="341"/>
      <c r="J1" s="341"/>
    </row>
    <row r="2" spans="1:12" s="15" customFormat="1" ht="25.05" customHeight="1">
      <c r="A2" s="342" t="s">
        <v>276</v>
      </c>
      <c r="B2" s="342"/>
      <c r="C2" s="342"/>
      <c r="D2" s="342"/>
      <c r="E2" s="342"/>
      <c r="F2" s="342"/>
      <c r="G2" s="342"/>
      <c r="H2" s="342"/>
      <c r="I2" s="342"/>
      <c r="J2" s="342"/>
    </row>
    <row r="3" spans="1:12" ht="20.100000000000001" customHeight="1">
      <c r="A3" s="16" t="str">
        <f>底稿目录!A2</f>
        <v>被审计单位：</v>
      </c>
      <c r="C3" s="17" t="str">
        <f>底稿目录!A4</f>
        <v>编制人：</v>
      </c>
      <c r="E3" s="16" t="str">
        <f>底稿目录!A5</f>
        <v>编制日期：</v>
      </c>
      <c r="F3" s="53"/>
      <c r="H3" s="18"/>
      <c r="I3" s="227" t="s">
        <v>273</v>
      </c>
      <c r="J3" s="300" t="str">
        <f>底稿目录!F5</f>
        <v>F3-1</v>
      </c>
    </row>
    <row r="4" spans="1:12" ht="20.100000000000001" customHeight="1">
      <c r="A4" s="16" t="str">
        <f>底稿目录!A3</f>
        <v>截止日：202X年12月31日</v>
      </c>
      <c r="B4" s="19"/>
      <c r="C4" s="17" t="str">
        <f>底稿目录!A6</f>
        <v>复核人：</v>
      </c>
      <c r="E4" s="16" t="str">
        <f>底稿目录!A7</f>
        <v>复核日期：</v>
      </c>
      <c r="F4" s="53"/>
      <c r="H4" s="20"/>
      <c r="I4" s="227" t="s">
        <v>274</v>
      </c>
    </row>
    <row r="5" spans="1:12" ht="20.100000000000001" customHeight="1">
      <c r="A5" s="340" t="s">
        <v>65</v>
      </c>
      <c r="B5" s="340" t="s">
        <v>66</v>
      </c>
      <c r="C5" s="340"/>
      <c r="D5" s="340"/>
      <c r="E5" s="340"/>
      <c r="F5" s="340" t="s">
        <v>67</v>
      </c>
      <c r="G5" s="340"/>
      <c r="H5" s="340"/>
      <c r="I5" s="340"/>
      <c r="J5" s="340"/>
    </row>
    <row r="6" spans="1:12" ht="20.100000000000001" customHeight="1">
      <c r="A6" s="340"/>
      <c r="B6" s="57" t="s">
        <v>68</v>
      </c>
      <c r="C6" s="57" t="s">
        <v>69</v>
      </c>
      <c r="D6" s="57" t="s">
        <v>70</v>
      </c>
      <c r="E6" s="57" t="s">
        <v>71</v>
      </c>
      <c r="F6" s="57" t="s">
        <v>68</v>
      </c>
      <c r="G6" s="57" t="s">
        <v>69</v>
      </c>
      <c r="H6" s="57" t="s">
        <v>70</v>
      </c>
      <c r="I6" s="57" t="s">
        <v>71</v>
      </c>
      <c r="J6" s="57" t="s">
        <v>72</v>
      </c>
    </row>
    <row r="7" spans="1:12" ht="20.100000000000001" customHeight="1">
      <c r="A7" s="62" t="s">
        <v>269</v>
      </c>
      <c r="B7" s="145">
        <f>SUMPRODUCT(('明细表F3-2'!$B$15:$B$30=$A7)*('明细表F3-2'!L$15:L$30))</f>
        <v>0</v>
      </c>
      <c r="C7" s="59"/>
      <c r="D7" s="59"/>
      <c r="E7" s="151">
        <f t="shared" ref="E7:E10" si="0">B7+C7+D7</f>
        <v>0</v>
      </c>
      <c r="F7" s="145">
        <f>SUMPRODUCT(('明细表F3-2'!$B$15:$B$30=$A7)*('明细表F3-2'!O$15:O$30))</f>
        <v>0</v>
      </c>
      <c r="G7" s="145">
        <f>SUMPRODUCT(('明细表F3-2'!$B$15:$B$30=$A7)*('明细表F3-2'!P$15:P$30))</f>
        <v>0</v>
      </c>
      <c r="H7" s="145">
        <f>SUMPRODUCT(('明细表F3-2'!$B$15:$B$30=$A7)*('明细表F3-2'!Q$15:Q$30))</f>
        <v>0</v>
      </c>
      <c r="I7" s="145">
        <f>SUMPRODUCT(('明细表F3-2'!$B$15:$B$30=$A7)*('明细表F3-2'!R$15:R$30))</f>
        <v>0</v>
      </c>
      <c r="J7" s="221">
        <v>111</v>
      </c>
    </row>
    <row r="8" spans="1:12" ht="20.100000000000001" customHeight="1">
      <c r="A8" s="62" t="s">
        <v>268</v>
      </c>
      <c r="B8" s="145">
        <f>SUMPRODUCT(('明细表F3-2'!$B$15:$B$30=$A8)*('明细表F3-2'!L$15:L$30))</f>
        <v>0</v>
      </c>
      <c r="C8" s="59"/>
      <c r="D8" s="59"/>
      <c r="E8" s="151">
        <f t="shared" si="0"/>
        <v>0</v>
      </c>
      <c r="F8" s="145">
        <f>SUMPRODUCT(('明细表F3-2'!$B$15:$B$30=$A8)*('明细表F3-2'!O$15:O$30))</f>
        <v>0</v>
      </c>
      <c r="G8" s="145">
        <f>SUMPRODUCT(('明细表F3-2'!$B$15:$B$30=$A8)*('明细表F3-2'!P$15:P$30))</f>
        <v>0</v>
      </c>
      <c r="H8" s="145">
        <f>SUMPRODUCT(('明细表F3-2'!$B$15:$B$30=$A8)*('明细表F3-2'!Q$15:Q$30))</f>
        <v>0</v>
      </c>
      <c r="I8" s="145">
        <f>SUMPRODUCT(('明细表F3-2'!$B$15:$B$30=$A8)*('明细表F3-2'!R$15:R$30))</f>
        <v>0</v>
      </c>
      <c r="J8" s="221"/>
    </row>
    <row r="9" spans="1:12" ht="20.100000000000001" customHeight="1">
      <c r="A9" s="58"/>
      <c r="B9" s="59"/>
      <c r="C9" s="59"/>
      <c r="D9" s="59"/>
      <c r="E9" s="151">
        <f t="shared" si="0"/>
        <v>0</v>
      </c>
      <c r="F9" s="59"/>
      <c r="G9" s="59"/>
      <c r="H9" s="59"/>
      <c r="I9" s="151">
        <f t="shared" ref="I9:I10" si="1">F9+G9+H9</f>
        <v>0</v>
      </c>
      <c r="J9" s="222"/>
    </row>
    <row r="10" spans="1:12" ht="20.100000000000001" customHeight="1">
      <c r="A10" s="58"/>
      <c r="B10" s="59"/>
      <c r="C10" s="59"/>
      <c r="D10" s="59"/>
      <c r="E10" s="151">
        <f t="shared" si="0"/>
        <v>0</v>
      </c>
      <c r="F10" s="59"/>
      <c r="G10" s="59"/>
      <c r="H10" s="59"/>
      <c r="I10" s="151">
        <f t="shared" si="1"/>
        <v>0</v>
      </c>
      <c r="J10" s="222"/>
    </row>
    <row r="11" spans="1:12" s="21" customFormat="1" ht="20.100000000000001" customHeight="1">
      <c r="A11" s="215" t="s">
        <v>270</v>
      </c>
      <c r="B11" s="223">
        <f>SUM(B7:B10)</f>
        <v>0</v>
      </c>
      <c r="C11" s="223">
        <f t="shared" ref="C11:I11" si="2">SUM(C7:C10)</f>
        <v>0</v>
      </c>
      <c r="D11" s="223">
        <f t="shared" si="2"/>
        <v>0</v>
      </c>
      <c r="E11" s="223">
        <f t="shared" si="2"/>
        <v>0</v>
      </c>
      <c r="F11" s="223">
        <f t="shared" si="2"/>
        <v>0</v>
      </c>
      <c r="G11" s="223">
        <f t="shared" si="2"/>
        <v>0</v>
      </c>
      <c r="H11" s="223">
        <f t="shared" si="2"/>
        <v>0</v>
      </c>
      <c r="I11" s="223">
        <f t="shared" si="2"/>
        <v>0</v>
      </c>
      <c r="J11" s="224"/>
      <c r="L11" s="16"/>
    </row>
    <row r="12" spans="1:12" s="93" customFormat="1" ht="20.100000000000001" customHeight="1">
      <c r="A12" s="91" t="s">
        <v>93</v>
      </c>
      <c r="B12" s="92"/>
      <c r="C12" s="92"/>
      <c r="D12" s="92"/>
      <c r="E12" s="146"/>
      <c r="F12" s="92"/>
      <c r="G12" s="92"/>
      <c r="H12" s="92"/>
      <c r="I12" s="146"/>
      <c r="J12" s="22"/>
      <c r="K12" s="16"/>
      <c r="L12" s="16"/>
    </row>
    <row r="13" spans="1:12" s="93" customFormat="1" ht="20.100000000000001" customHeight="1">
      <c r="A13" s="91" t="s">
        <v>94</v>
      </c>
      <c r="B13" s="92"/>
      <c r="C13" s="92"/>
      <c r="D13" s="92"/>
      <c r="E13" s="147">
        <f>E11-E12</f>
        <v>0</v>
      </c>
      <c r="F13" s="92"/>
      <c r="G13" s="92"/>
      <c r="H13" s="92"/>
      <c r="I13" s="147">
        <f>I11-I12</f>
        <v>0</v>
      </c>
      <c r="J13" s="22"/>
      <c r="K13" s="16"/>
      <c r="L13" s="16"/>
    </row>
    <row r="14" spans="1:12" ht="20.100000000000001" customHeight="1">
      <c r="A14" s="54" t="s">
        <v>73</v>
      </c>
      <c r="B14" s="17"/>
      <c r="C14" s="17"/>
      <c r="D14" s="17"/>
      <c r="E14" s="17"/>
      <c r="F14" s="55"/>
      <c r="G14" s="17"/>
      <c r="H14" s="17"/>
    </row>
    <row r="15" spans="1:12" ht="20.100000000000001" customHeight="1">
      <c r="A15" s="22" t="s">
        <v>74</v>
      </c>
      <c r="B15" s="22"/>
      <c r="C15" s="22"/>
      <c r="D15" s="148">
        <f>IF(E7=0,0,(I7-E7)/E7)</f>
        <v>0</v>
      </c>
      <c r="E15" s="148"/>
      <c r="F15" s="22"/>
      <c r="G15" s="22"/>
      <c r="H15" s="22"/>
    </row>
    <row r="16" spans="1:12" ht="20.100000000000001" customHeight="1">
      <c r="A16" s="22" t="s">
        <v>75</v>
      </c>
      <c r="B16" s="22"/>
      <c r="C16" s="22"/>
      <c r="D16" s="22"/>
      <c r="E16" s="22"/>
      <c r="F16" s="22"/>
      <c r="G16" s="22"/>
      <c r="H16" s="22"/>
    </row>
    <row r="17" spans="1:8" ht="20.100000000000001" customHeight="1">
      <c r="A17" s="22"/>
      <c r="B17" s="22"/>
      <c r="C17" s="22"/>
      <c r="D17" s="22"/>
      <c r="E17" s="22"/>
      <c r="F17" s="22"/>
      <c r="G17" s="22"/>
      <c r="H17" s="22"/>
    </row>
    <row r="18" spans="1:8" ht="20.100000000000001" customHeight="1">
      <c r="A18" s="22"/>
      <c r="B18" s="22"/>
      <c r="C18" s="22"/>
      <c r="D18" s="22"/>
      <c r="E18" s="22"/>
      <c r="F18" s="22"/>
      <c r="G18" s="22"/>
      <c r="H18" s="22"/>
    </row>
    <row r="19" spans="1:8" ht="20.100000000000001" customHeight="1">
      <c r="A19" s="23" t="s">
        <v>76</v>
      </c>
      <c r="B19" s="23"/>
      <c r="C19" s="23"/>
      <c r="D19" s="23"/>
      <c r="E19" s="23"/>
      <c r="F19" s="55"/>
      <c r="G19" s="23"/>
      <c r="H19" s="23"/>
    </row>
    <row r="20" spans="1:8" ht="20.100000000000001" customHeight="1">
      <c r="A20" s="23"/>
      <c r="B20" s="23"/>
      <c r="C20" s="23"/>
      <c r="D20" s="23"/>
      <c r="E20" s="23"/>
      <c r="F20" s="23"/>
      <c r="G20" s="23"/>
      <c r="H20" s="23"/>
    </row>
    <row r="21" spans="1:8" ht="20.100000000000001" customHeight="1">
      <c r="A21" s="22"/>
      <c r="B21" s="22"/>
      <c r="C21" s="22"/>
      <c r="D21" s="22"/>
      <c r="E21" s="22"/>
      <c r="F21" s="22"/>
      <c r="G21" s="22"/>
      <c r="H21" s="22"/>
    </row>
    <row r="22" spans="1:8" ht="20.100000000000001" customHeight="1">
      <c r="A22" s="22"/>
      <c r="B22" s="22"/>
      <c r="C22" s="22"/>
      <c r="D22" s="22"/>
      <c r="E22" s="22"/>
      <c r="F22" s="22"/>
      <c r="G22" s="22"/>
      <c r="H22" s="22"/>
    </row>
    <row r="23" spans="1:8" ht="20.100000000000001" customHeight="1">
      <c r="A23" s="56" t="s">
        <v>77</v>
      </c>
      <c r="B23" s="22"/>
      <c r="C23" s="22"/>
      <c r="D23" s="22"/>
      <c r="E23" s="22"/>
      <c r="F23" s="55"/>
      <c r="G23" s="22"/>
      <c r="H23" s="22"/>
    </row>
    <row r="24" spans="1:8" ht="20.100000000000001" customHeight="1">
      <c r="A24" s="56"/>
      <c r="B24" s="22"/>
      <c r="C24" s="22"/>
      <c r="D24" s="22"/>
      <c r="E24" s="22"/>
      <c r="F24" s="22"/>
      <c r="G24" s="22"/>
      <c r="H24" s="22"/>
    </row>
    <row r="25" spans="1:8" ht="20.100000000000001" customHeight="1">
      <c r="A25" s="56"/>
      <c r="B25" s="22"/>
      <c r="C25" s="22"/>
      <c r="D25" s="22"/>
      <c r="E25" s="22"/>
      <c r="F25" s="22"/>
      <c r="G25" s="22"/>
      <c r="H25" s="22"/>
    </row>
    <row r="26" spans="1:8" s="24" customFormat="1" ht="18" customHeight="1">
      <c r="A26" s="225" t="s">
        <v>271</v>
      </c>
    </row>
    <row r="27" spans="1:8" s="24" customFormat="1" ht="18" customHeight="1">
      <c r="A27" s="226" t="s">
        <v>272</v>
      </c>
    </row>
    <row r="28" spans="1:8" s="24" customFormat="1" ht="18" customHeight="1"/>
    <row r="29" spans="1:8" s="24" customFormat="1" ht="18" customHeight="1"/>
    <row r="30" spans="1:8" s="24" customFormat="1" ht="18" customHeight="1"/>
    <row r="31" spans="1:8" s="24" customFormat="1" ht="18" customHeight="1"/>
    <row r="32" spans="1:8" s="24" customFormat="1" ht="18" customHeight="1"/>
    <row r="33" spans="1:2" s="24" customFormat="1" ht="18" customHeight="1"/>
    <row r="34" spans="1:2" s="24" customFormat="1" ht="18" customHeight="1"/>
    <row r="35" spans="1:2" s="24" customFormat="1" ht="18" customHeight="1">
      <c r="A35" s="47"/>
    </row>
    <row r="36" spans="1:2" s="24" customFormat="1" ht="18" customHeight="1"/>
    <row r="37" spans="1:2" s="24" customFormat="1" ht="18" customHeight="1"/>
    <row r="38" spans="1:2" ht="18" customHeight="1">
      <c r="A38" s="24"/>
    </row>
    <row r="39" spans="1:2" ht="18" customHeight="1">
      <c r="A39" s="24"/>
    </row>
    <row r="40" spans="1:2" ht="18" customHeight="1">
      <c r="A40" s="24"/>
    </row>
    <row r="41" spans="1:2" ht="18" customHeight="1">
      <c r="A41" s="24"/>
    </row>
    <row r="42" spans="1:2" ht="18" customHeight="1">
      <c r="A42" s="24"/>
    </row>
    <row r="43" spans="1:2" ht="18" customHeight="1"/>
    <row r="44" spans="1:2" ht="18" customHeight="1">
      <c r="A44" s="24"/>
    </row>
    <row r="45" spans="1:2" ht="18" customHeight="1">
      <c r="A45" s="47"/>
    </row>
    <row r="46" spans="1:2" ht="18" customHeight="1">
      <c r="A46" s="48"/>
      <c r="B46" s="24"/>
    </row>
    <row r="47" spans="1:2" ht="18" customHeight="1">
      <c r="A47" s="48"/>
      <c r="B47" s="24"/>
    </row>
    <row r="48" spans="1:2" ht="18" customHeight="1">
      <c r="A48" s="48"/>
      <c r="B48" s="24"/>
    </row>
  </sheetData>
  <mergeCells count="5">
    <mergeCell ref="F5:J5"/>
    <mergeCell ref="A1:J1"/>
    <mergeCell ref="A2:J2"/>
    <mergeCell ref="A5:A6"/>
    <mergeCell ref="B5:E5"/>
  </mergeCells>
  <phoneticPr fontId="21" type="noConversion"/>
  <hyperlinks>
    <hyperlink ref="J3" location="底稿目录!A1" display="底稿目录!A1"/>
  </hyperlinks>
  <printOptions horizontalCentered="1"/>
  <pageMargins left="0.74803149606299213" right="0.35433070866141736" top="0.59055118110236227" bottom="0.27559055118110237" header="0.51181102362204722" footer="0.19685039370078741"/>
  <pageSetup paperSize="9" orientation="landscape" blackAndWhite="1"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3"/>
  <sheetViews>
    <sheetView view="pageBreakPreview" zoomScaleSheetLayoutView="100" workbookViewId="0">
      <selection activeCell="B7" sqref="B7"/>
    </sheetView>
  </sheetViews>
  <sheetFormatPr defaultColWidth="9" defaultRowHeight="13.8"/>
  <cols>
    <col min="1" max="1" width="22.5" style="37" customWidth="1"/>
    <col min="2" max="2" width="11.796875" style="37" customWidth="1"/>
    <col min="3" max="4" width="12.19921875" style="37" customWidth="1"/>
    <col min="5" max="5" width="13.09765625" style="37" customWidth="1"/>
    <col min="6" max="16384" width="9" style="37"/>
  </cols>
  <sheetData>
    <row r="1" spans="1:16" ht="20.100000000000001" customHeight="1">
      <c r="A1" s="343" t="s">
        <v>82</v>
      </c>
      <c r="B1" s="343"/>
      <c r="C1" s="343"/>
      <c r="D1" s="343"/>
      <c r="E1" s="343"/>
      <c r="F1" s="49"/>
      <c r="G1" s="49"/>
      <c r="H1" s="49"/>
      <c r="I1" s="49"/>
      <c r="J1" s="49"/>
      <c r="K1" s="49"/>
      <c r="L1" s="49"/>
      <c r="M1" s="49"/>
      <c r="N1" s="49"/>
      <c r="O1" s="49"/>
      <c r="P1" s="49"/>
    </row>
    <row r="2" spans="1:16" s="51" customFormat="1" ht="25.05" customHeight="1">
      <c r="A2" s="343" t="s">
        <v>78</v>
      </c>
      <c r="B2" s="343"/>
      <c r="C2" s="343"/>
      <c r="D2" s="343"/>
      <c r="E2" s="343"/>
      <c r="F2" s="50"/>
      <c r="G2" s="50"/>
      <c r="H2" s="50"/>
      <c r="I2" s="50"/>
      <c r="J2" s="50"/>
      <c r="K2" s="50"/>
      <c r="L2" s="50"/>
      <c r="M2" s="50"/>
      <c r="N2" s="50"/>
      <c r="O2" s="50"/>
      <c r="P2" s="50"/>
    </row>
    <row r="3" spans="1:16" ht="25.05" customHeight="1">
      <c r="A3" s="37" t="str">
        <f>底稿目录!A2</f>
        <v>被审计单位：</v>
      </c>
      <c r="B3" s="37" t="str">
        <f>底稿目录!A4</f>
        <v>编制人：</v>
      </c>
      <c r="D3" s="37" t="str">
        <f>底稿目录!A5</f>
        <v>编制日期：</v>
      </c>
      <c r="E3" s="228" t="s">
        <v>277</v>
      </c>
    </row>
    <row r="4" spans="1:16" ht="25.05" customHeight="1">
      <c r="A4" s="37" t="str">
        <f>底稿目录!A3</f>
        <v>截止日：202X年12月31日</v>
      </c>
      <c r="B4" s="37" t="str">
        <f>底稿目录!A6</f>
        <v>复核人：</v>
      </c>
      <c r="D4" s="37" t="str">
        <f>底稿目录!A7</f>
        <v>复核日期：</v>
      </c>
      <c r="E4" s="37" t="s">
        <v>79</v>
      </c>
    </row>
    <row r="5" spans="1:16" s="110" customFormat="1" ht="25.05" customHeight="1" thickBot="1">
      <c r="A5" s="109" t="s">
        <v>116</v>
      </c>
    </row>
    <row r="6" spans="1:16" s="110" customFormat="1" ht="25.05" customHeight="1" thickBot="1">
      <c r="A6" s="111" t="s">
        <v>120</v>
      </c>
      <c r="B6" s="111" t="s">
        <v>125</v>
      </c>
      <c r="C6" s="111" t="s">
        <v>126</v>
      </c>
    </row>
    <row r="7" spans="1:16" s="110" customFormat="1" ht="25.05" customHeight="1">
      <c r="A7" s="112" t="s">
        <v>114</v>
      </c>
      <c r="B7" s="113">
        <f>'审定表F3-1'!I7</f>
        <v>0</v>
      </c>
      <c r="C7" s="113">
        <f>'审定表F3-1'!E7</f>
        <v>0</v>
      </c>
    </row>
    <row r="8" spans="1:16" s="110" customFormat="1" ht="25.05" customHeight="1" thickBot="1">
      <c r="A8" s="114" t="s">
        <v>115</v>
      </c>
      <c r="B8" s="115">
        <f>'审定表F3-1'!I8</f>
        <v>0</v>
      </c>
      <c r="C8" s="113">
        <f>'审定表F3-1'!E8</f>
        <v>0</v>
      </c>
    </row>
    <row r="9" spans="1:16" s="110" customFormat="1" ht="25.05" customHeight="1" thickBot="1">
      <c r="A9" s="116" t="s">
        <v>121</v>
      </c>
      <c r="B9" s="117">
        <f>SUM(B7:B8)</f>
        <v>0</v>
      </c>
      <c r="C9" s="117">
        <f>SUM(C7:C8)</f>
        <v>0</v>
      </c>
    </row>
    <row r="10" spans="1:16" s="110" customFormat="1" ht="25.05" customHeight="1">
      <c r="A10" s="344" t="s">
        <v>122</v>
      </c>
      <c r="B10" s="344"/>
      <c r="C10" s="344"/>
      <c r="D10" s="344"/>
      <c r="E10" s="344"/>
    </row>
    <row r="11" spans="1:16" ht="21.45" customHeight="1">
      <c r="A11" s="345" t="s">
        <v>127</v>
      </c>
      <c r="B11" s="345"/>
      <c r="C11" s="345"/>
      <c r="D11" s="345"/>
      <c r="E11" s="345"/>
    </row>
    <row r="12" spans="1:16" ht="21.45" customHeight="1">
      <c r="A12" s="345"/>
      <c r="B12" s="345"/>
      <c r="C12" s="345"/>
      <c r="D12" s="345"/>
      <c r="E12" s="345"/>
    </row>
    <row r="13" spans="1:16" ht="21.45" customHeight="1">
      <c r="A13" s="345"/>
      <c r="B13" s="345"/>
      <c r="C13" s="345"/>
      <c r="D13" s="345"/>
      <c r="E13" s="345"/>
    </row>
  </sheetData>
  <mergeCells count="4">
    <mergeCell ref="A1:E1"/>
    <mergeCell ref="A2:E2"/>
    <mergeCell ref="A10:E10"/>
    <mergeCell ref="A11:E13"/>
  </mergeCells>
  <phoneticPr fontId="17" type="noConversion"/>
  <pageMargins left="0.70866141732283472" right="0.70866141732283472" top="0.74803149606299213" bottom="0.74803149606299213" header="0.31496062992125984" footer="0.31496062992125984"/>
  <pageSetup paperSize="9" orientation="portrait" blackAndWhite="1"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E16"/>
  <sheetViews>
    <sheetView view="pageBreakPreview" zoomScaleSheetLayoutView="100" workbookViewId="0">
      <selection activeCell="I9" sqref="I9"/>
    </sheetView>
  </sheetViews>
  <sheetFormatPr defaultColWidth="9" defaultRowHeight="13.8"/>
  <cols>
    <col min="1" max="1" width="19.19921875" style="37" customWidth="1"/>
    <col min="2" max="2" width="13" style="37" customWidth="1"/>
    <col min="3" max="3" width="17" style="37" customWidth="1"/>
    <col min="4" max="4" width="9.59765625" style="37" customWidth="1"/>
    <col min="5" max="5" width="17.296875" style="37" customWidth="1"/>
    <col min="6" max="16384" width="9" style="37"/>
  </cols>
  <sheetData>
    <row r="1" spans="1:5" ht="20.100000000000001" customHeight="1">
      <c r="A1" s="343" t="s">
        <v>82</v>
      </c>
      <c r="B1" s="343"/>
      <c r="C1" s="343"/>
      <c r="D1" s="343"/>
      <c r="E1" s="343"/>
    </row>
    <row r="2" spans="1:5" s="51" customFormat="1" ht="25.05" customHeight="1">
      <c r="A2" s="343" t="s">
        <v>80</v>
      </c>
      <c r="B2" s="343"/>
      <c r="C2" s="343"/>
      <c r="D2" s="343"/>
      <c r="E2" s="343"/>
    </row>
    <row r="3" spans="1:5" ht="25.05" customHeight="1">
      <c r="A3" s="37" t="str">
        <f>底稿目录!A2</f>
        <v>被审计单位：</v>
      </c>
      <c r="B3" s="37" t="str">
        <f>底稿目录!A4</f>
        <v>编制人：</v>
      </c>
      <c r="C3" s="37" t="str">
        <f>底稿目录!A5</f>
        <v>编制日期：</v>
      </c>
      <c r="E3" s="228" t="s">
        <v>277</v>
      </c>
    </row>
    <row r="4" spans="1:5" ht="25.05" customHeight="1">
      <c r="A4" s="37" t="str">
        <f>底稿目录!A3</f>
        <v>截止日：202X年12月31日</v>
      </c>
      <c r="B4" s="37" t="str">
        <f>底稿目录!A6</f>
        <v>复核人：</v>
      </c>
      <c r="C4" s="37" t="str">
        <f>底稿目录!A7</f>
        <v>复核日期：</v>
      </c>
      <c r="E4" s="37" t="s">
        <v>79</v>
      </c>
    </row>
    <row r="5" spans="1:5" ht="25.05" customHeight="1" thickBot="1">
      <c r="A5" s="72" t="s">
        <v>117</v>
      </c>
      <c r="B5" s="51"/>
      <c r="C5" s="51"/>
    </row>
    <row r="6" spans="1:5" s="51" customFormat="1" ht="25.05" customHeight="1" thickBot="1">
      <c r="A6" s="118" t="s">
        <v>123</v>
      </c>
      <c r="B6" s="111" t="s">
        <v>118</v>
      </c>
      <c r="C6" s="111" t="s">
        <v>119</v>
      </c>
    </row>
    <row r="7" spans="1:5" s="51" customFormat="1" ht="25.05" customHeight="1">
      <c r="A7" s="112" t="s">
        <v>114</v>
      </c>
      <c r="B7" s="119">
        <f>'审定表F3-1'!I7</f>
        <v>0</v>
      </c>
      <c r="C7" s="119">
        <f>'审定表F3-1'!E7</f>
        <v>0</v>
      </c>
    </row>
    <row r="8" spans="1:5" s="51" customFormat="1" ht="25.05" customHeight="1" thickBot="1">
      <c r="A8" s="114" t="s">
        <v>115</v>
      </c>
      <c r="B8" s="120">
        <f>'审定表F3-1'!I8</f>
        <v>0</v>
      </c>
      <c r="C8" s="120">
        <f>'审定表F3-1'!E8</f>
        <v>0</v>
      </c>
    </row>
    <row r="9" spans="1:5" s="51" customFormat="1" ht="25.05" customHeight="1" thickBot="1">
      <c r="A9" s="116" t="s">
        <v>121</v>
      </c>
      <c r="B9" s="121">
        <f>SUM(B7:B8)</f>
        <v>0</v>
      </c>
      <c r="C9" s="121">
        <f>SUM(C7:C8)</f>
        <v>0</v>
      </c>
    </row>
    <row r="10" spans="1:5" ht="18" customHeight="1">
      <c r="A10" s="123" t="s">
        <v>124</v>
      </c>
      <c r="B10" s="110"/>
      <c r="C10" s="110"/>
    </row>
    <row r="11" spans="1:5" ht="18" customHeight="1">
      <c r="A11" s="110"/>
      <c r="B11" s="110"/>
      <c r="C11" s="110"/>
    </row>
    <row r="12" spans="1:5" ht="18" customHeight="1"/>
    <row r="13" spans="1:5" ht="18" customHeight="1"/>
    <row r="14" spans="1:5" ht="18" customHeight="1"/>
    <row r="15" spans="1:5" ht="18" customHeight="1"/>
    <row r="16" spans="1:5" ht="18" customHeight="1"/>
  </sheetData>
  <mergeCells count="2">
    <mergeCell ref="A1:E1"/>
    <mergeCell ref="A2:E2"/>
  </mergeCells>
  <phoneticPr fontId="17" type="noConversion"/>
  <printOptions horizontalCentered="1"/>
  <pageMargins left="0.94488188976377963" right="0.27559055118110237" top="0.62992125984251968" bottom="0.51181102362204722" header="0.51181102362204722" footer="0.35433070866141736"/>
  <pageSetup paperSize="9"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Y53"/>
  <sheetViews>
    <sheetView view="pageBreakPreview" topLeftCell="A16" zoomScale="91" zoomScaleNormal="115" zoomScaleSheetLayoutView="91" workbookViewId="0">
      <selection activeCell="F14" sqref="F14"/>
    </sheetView>
  </sheetViews>
  <sheetFormatPr defaultColWidth="9" defaultRowHeight="13.8"/>
  <cols>
    <col min="1" max="1" width="12.19921875" style="28" customWidth="1"/>
    <col min="2" max="2" width="12.59765625" style="28" customWidth="1"/>
    <col min="3" max="3" width="16.19921875" style="28" customWidth="1"/>
    <col min="4" max="6" width="13.09765625" style="28" customWidth="1"/>
    <col min="7" max="7" width="9" style="28"/>
    <col min="8" max="8" width="10.09765625" style="28" customWidth="1"/>
    <col min="9" max="9" width="6.5" style="28" customWidth="1"/>
    <col min="10" max="10" width="5.19921875" style="28" customWidth="1"/>
    <col min="11" max="11" width="6.09765625" style="28" customWidth="1"/>
    <col min="12" max="12" width="9.59765625" style="28" customWidth="1"/>
    <col min="13" max="13" width="9.09765625" style="28" customWidth="1"/>
    <col min="14" max="14" width="10.09765625" style="28" customWidth="1"/>
    <col min="15" max="15" width="10.19921875" style="28" customWidth="1"/>
    <col min="16" max="16" width="9.09765625" style="28" customWidth="1"/>
    <col min="17" max="17" width="10.5" style="28" customWidth="1"/>
    <col min="18" max="18" width="11.09765625" style="28" customWidth="1"/>
    <col min="19" max="19" width="7.796875" style="28" customWidth="1"/>
    <col min="20" max="20" width="6.19921875" style="28" customWidth="1"/>
    <col min="21" max="22" width="7.796875" style="28" customWidth="1"/>
    <col min="23" max="23" width="9.3984375" style="28" customWidth="1"/>
    <col min="24" max="16384" width="9" style="28"/>
  </cols>
  <sheetData>
    <row r="1" spans="1:25" s="29" customFormat="1" ht="19.95" customHeight="1">
      <c r="A1" s="352" t="s">
        <v>275</v>
      </c>
      <c r="B1" s="352"/>
      <c r="C1" s="352"/>
      <c r="D1" s="352"/>
      <c r="E1" s="352"/>
      <c r="F1" s="352"/>
      <c r="G1" s="352"/>
      <c r="H1" s="352"/>
      <c r="I1" s="352"/>
      <c r="J1" s="352"/>
      <c r="K1" s="352"/>
      <c r="L1" s="352"/>
      <c r="M1" s="352"/>
      <c r="N1" s="352"/>
      <c r="O1" s="352"/>
      <c r="P1" s="352"/>
      <c r="Q1" s="352"/>
      <c r="R1" s="352"/>
      <c r="S1" s="352"/>
      <c r="T1" s="352"/>
      <c r="U1" s="352"/>
      <c r="V1" s="352"/>
      <c r="W1" s="352"/>
    </row>
    <row r="2" spans="1:25" s="25" customFormat="1" ht="19.95" customHeight="1">
      <c r="A2" s="353" t="s">
        <v>81</v>
      </c>
      <c r="B2" s="353"/>
      <c r="C2" s="353"/>
      <c r="D2" s="353"/>
      <c r="E2" s="353"/>
      <c r="F2" s="353"/>
      <c r="G2" s="353"/>
      <c r="H2" s="353"/>
      <c r="I2" s="353"/>
      <c r="J2" s="353"/>
      <c r="K2" s="353"/>
      <c r="L2" s="353"/>
      <c r="M2" s="353"/>
      <c r="N2" s="353"/>
      <c r="O2" s="353"/>
      <c r="P2" s="353"/>
      <c r="Q2" s="353"/>
      <c r="R2" s="353"/>
      <c r="S2" s="353"/>
      <c r="T2" s="353"/>
      <c r="U2" s="353"/>
      <c r="V2" s="353"/>
      <c r="W2" s="353"/>
    </row>
    <row r="3" spans="1:25" ht="19.95" customHeight="1">
      <c r="A3" s="37" t="str">
        <f>底稿目录!A2</f>
        <v>被审计单位：</v>
      </c>
      <c r="B3" s="37"/>
      <c r="C3" s="37"/>
      <c r="F3" s="37" t="str">
        <f>底稿目录!A4</f>
        <v>编制人：</v>
      </c>
      <c r="O3" s="37" t="str">
        <f>底稿目录!A5</f>
        <v>编制日期：</v>
      </c>
      <c r="U3" s="39"/>
      <c r="V3" s="39" t="s">
        <v>38</v>
      </c>
      <c r="W3" s="300" t="str">
        <f>底稿目录!F8</f>
        <v>F3-2</v>
      </c>
    </row>
    <row r="4" spans="1:25" ht="19.95" customHeight="1">
      <c r="A4" s="37" t="str">
        <f>底稿目录!A3</f>
        <v>截止日：202X年12月31日</v>
      </c>
      <c r="B4" s="37"/>
      <c r="C4" s="37"/>
      <c r="F4" s="37" t="str">
        <f>底稿目录!A6</f>
        <v>复核人：</v>
      </c>
      <c r="O4" s="37" t="str">
        <f>底稿目录!A7</f>
        <v>复核日期：</v>
      </c>
      <c r="U4" s="40"/>
      <c r="V4" s="40" t="s">
        <v>39</v>
      </c>
    </row>
    <row r="5" spans="1:25" s="35" customFormat="1" ht="19.95" customHeight="1">
      <c r="A5" s="41" t="s">
        <v>40</v>
      </c>
      <c r="B5" s="149"/>
      <c r="C5" s="41"/>
      <c r="D5" s="34"/>
      <c r="E5" s="34"/>
      <c r="F5" s="34"/>
      <c r="G5" s="34"/>
      <c r="I5" s="36"/>
      <c r="J5" s="37"/>
      <c r="K5" s="37"/>
      <c r="L5" s="37"/>
      <c r="M5" s="37"/>
      <c r="N5" s="37"/>
      <c r="O5" s="37"/>
      <c r="P5" s="37"/>
      <c r="Q5" s="34"/>
      <c r="S5" s="34"/>
      <c r="T5" s="34"/>
      <c r="U5" s="34"/>
      <c r="V5" s="34"/>
      <c r="W5" s="34"/>
      <c r="X5" s="34"/>
      <c r="Y5" s="34"/>
    </row>
    <row r="6" spans="1:25" s="35" customFormat="1" ht="19.95" customHeight="1">
      <c r="A6" s="149" t="s">
        <v>261</v>
      </c>
      <c r="B6" s="149"/>
      <c r="C6" s="41"/>
      <c r="D6" s="34"/>
      <c r="E6" s="34"/>
      <c r="F6" s="34"/>
      <c r="G6" s="34"/>
      <c r="I6" s="36"/>
      <c r="J6" s="37"/>
      <c r="K6" s="37"/>
      <c r="L6" s="37"/>
      <c r="M6" s="37"/>
      <c r="N6" s="37"/>
      <c r="O6" s="37"/>
      <c r="P6" s="37"/>
      <c r="Q6" s="34"/>
      <c r="S6" s="34"/>
      <c r="T6" s="34"/>
      <c r="U6" s="34"/>
      <c r="V6" s="34"/>
      <c r="W6" s="34"/>
      <c r="X6" s="34"/>
      <c r="Y6" s="34"/>
    </row>
    <row r="7" spans="1:25" s="35" customFormat="1" ht="19.95" customHeight="1">
      <c r="A7" s="150" t="s">
        <v>260</v>
      </c>
      <c r="B7" s="150"/>
      <c r="C7" s="43"/>
      <c r="D7" s="34"/>
      <c r="E7" s="34"/>
      <c r="F7" s="34"/>
      <c r="G7" s="34"/>
      <c r="I7" s="36"/>
      <c r="J7" s="37"/>
      <c r="K7" s="37"/>
      <c r="L7" s="37"/>
      <c r="M7" s="37"/>
      <c r="N7" s="37"/>
      <c r="O7" s="37"/>
      <c r="P7" s="37"/>
      <c r="Q7" s="34"/>
      <c r="S7" s="34"/>
      <c r="T7" s="34"/>
      <c r="U7" s="34"/>
      <c r="V7" s="34"/>
      <c r="W7" s="34"/>
      <c r="X7" s="34"/>
      <c r="Y7" s="34"/>
    </row>
    <row r="8" spans="1:25" s="35" customFormat="1" ht="19.95" customHeight="1">
      <c r="A8" s="42" t="s">
        <v>41</v>
      </c>
      <c r="B8" s="42"/>
      <c r="C8" s="42"/>
      <c r="D8" s="34"/>
      <c r="E8" s="34"/>
      <c r="F8" s="34"/>
      <c r="G8" s="34"/>
      <c r="I8" s="36"/>
      <c r="J8" s="37"/>
      <c r="K8" s="37"/>
      <c r="L8" s="37"/>
      <c r="M8" s="37"/>
      <c r="N8" s="37"/>
      <c r="O8" s="37"/>
      <c r="P8" s="37"/>
      <c r="Q8" s="34"/>
      <c r="S8" s="34"/>
      <c r="T8" s="34"/>
      <c r="U8" s="34"/>
      <c r="V8" s="34"/>
      <c r="W8" s="34"/>
      <c r="X8" s="34"/>
      <c r="Y8" s="34"/>
    </row>
    <row r="9" spans="1:25" s="35" customFormat="1" ht="19.95" customHeight="1">
      <c r="A9" s="213" t="s">
        <v>278</v>
      </c>
      <c r="B9" s="70"/>
      <c r="C9" s="44"/>
      <c r="D9" s="34"/>
      <c r="E9" s="34"/>
      <c r="F9" s="34"/>
      <c r="G9" s="34"/>
      <c r="I9" s="36"/>
      <c r="J9" s="37"/>
      <c r="K9" s="37"/>
      <c r="L9" s="37"/>
      <c r="M9" s="37"/>
      <c r="N9" s="37"/>
      <c r="O9" s="37"/>
      <c r="P9" s="37"/>
      <c r="Q9" s="34"/>
      <c r="S9" s="34"/>
      <c r="T9" s="34"/>
      <c r="U9" s="34"/>
      <c r="V9" s="34"/>
      <c r="W9" s="34"/>
      <c r="X9" s="34"/>
      <c r="Y9" s="34"/>
    </row>
    <row r="10" spans="1:25" s="35" customFormat="1" ht="19.95" customHeight="1">
      <c r="A10" s="213" t="s">
        <v>279</v>
      </c>
      <c r="B10" s="70"/>
      <c r="C10" s="44"/>
      <c r="D10" s="34"/>
      <c r="E10" s="34"/>
      <c r="F10" s="34"/>
      <c r="G10" s="34"/>
      <c r="I10" s="36"/>
      <c r="J10" s="37"/>
      <c r="K10" s="37"/>
      <c r="L10" s="37"/>
      <c r="M10" s="37"/>
      <c r="N10" s="37"/>
      <c r="O10" s="37"/>
      <c r="P10" s="37"/>
      <c r="Q10" s="34"/>
      <c r="S10" s="34"/>
      <c r="T10" s="34"/>
      <c r="U10" s="34"/>
      <c r="V10" s="34"/>
      <c r="W10" s="34"/>
      <c r="X10" s="34"/>
      <c r="Y10" s="34"/>
    </row>
    <row r="11" spans="1:25" s="35" customFormat="1" ht="19.95" customHeight="1">
      <c r="A11" s="213" t="s">
        <v>280</v>
      </c>
      <c r="B11" s="70"/>
      <c r="C11" s="44"/>
      <c r="D11" s="34"/>
      <c r="E11" s="34"/>
      <c r="F11" s="34"/>
      <c r="G11" s="34"/>
      <c r="I11" s="36"/>
      <c r="J11" s="37"/>
      <c r="K11" s="37"/>
      <c r="L11" s="37"/>
      <c r="M11" s="37"/>
      <c r="N11" s="37"/>
      <c r="O11" s="37"/>
      <c r="P11" s="37"/>
      <c r="Q11" s="34"/>
      <c r="S11" s="34"/>
      <c r="T11" s="34"/>
      <c r="U11" s="34"/>
      <c r="V11" s="34"/>
      <c r="W11" s="34"/>
      <c r="X11" s="34"/>
      <c r="Y11" s="34"/>
    </row>
    <row r="12" spans="1:25" s="35" customFormat="1" ht="19.95" customHeight="1">
      <c r="A12" s="214" t="s">
        <v>281</v>
      </c>
      <c r="B12" s="70"/>
      <c r="C12" s="44"/>
      <c r="D12" s="34"/>
      <c r="E12" s="34"/>
      <c r="F12" s="34"/>
      <c r="G12" s="34"/>
      <c r="I12" s="36"/>
      <c r="J12" s="37"/>
      <c r="K12" s="37"/>
      <c r="L12" s="37"/>
      <c r="M12" s="37"/>
      <c r="N12" s="37"/>
      <c r="O12" s="37"/>
      <c r="P12" s="37"/>
      <c r="Q12" s="34"/>
      <c r="S12" s="34"/>
      <c r="T12" s="34"/>
      <c r="U12" s="34"/>
      <c r="V12" s="34"/>
      <c r="W12" s="34"/>
      <c r="X12" s="34"/>
      <c r="Y12" s="34"/>
    </row>
    <row r="13" spans="1:25" ht="19.95" customHeight="1">
      <c r="A13" s="346" t="s">
        <v>42</v>
      </c>
      <c r="B13" s="346" t="s">
        <v>113</v>
      </c>
      <c r="C13" s="354" t="s">
        <v>112</v>
      </c>
      <c r="D13" s="45" t="s">
        <v>43</v>
      </c>
      <c r="E13" s="45"/>
      <c r="F13" s="45"/>
      <c r="G13" s="45" t="s">
        <v>44</v>
      </c>
      <c r="H13" s="45"/>
      <c r="I13" s="45"/>
      <c r="J13" s="349" t="s">
        <v>45</v>
      </c>
      <c r="K13" s="350" t="s">
        <v>363</v>
      </c>
      <c r="L13" s="350" t="s">
        <v>364</v>
      </c>
      <c r="M13" s="350" t="s">
        <v>365</v>
      </c>
      <c r="N13" s="350" t="s">
        <v>366</v>
      </c>
      <c r="O13" s="350" t="s">
        <v>61</v>
      </c>
      <c r="P13" s="350" t="s">
        <v>59</v>
      </c>
      <c r="Q13" s="350" t="s">
        <v>60</v>
      </c>
      <c r="R13" s="350" t="s">
        <v>62</v>
      </c>
      <c r="S13" s="350" t="s">
        <v>63</v>
      </c>
      <c r="T13" s="349" t="s">
        <v>46</v>
      </c>
      <c r="U13" s="349" t="s">
        <v>47</v>
      </c>
      <c r="V13" s="348" t="s">
        <v>139</v>
      </c>
      <c r="W13" s="349" t="s">
        <v>48</v>
      </c>
    </row>
    <row r="14" spans="1:25" ht="19.95" customHeight="1">
      <c r="A14" s="347"/>
      <c r="B14" s="347"/>
      <c r="C14" s="354"/>
      <c r="D14" s="46" t="s">
        <v>49</v>
      </c>
      <c r="E14" s="46" t="s">
        <v>50</v>
      </c>
      <c r="F14" s="46" t="s">
        <v>51</v>
      </c>
      <c r="G14" s="46" t="s">
        <v>52</v>
      </c>
      <c r="H14" s="46" t="s">
        <v>53</v>
      </c>
      <c r="I14" s="46" t="s">
        <v>54</v>
      </c>
      <c r="J14" s="349"/>
      <c r="K14" s="351"/>
      <c r="L14" s="351"/>
      <c r="M14" s="351"/>
      <c r="N14" s="351"/>
      <c r="O14" s="351"/>
      <c r="P14" s="351"/>
      <c r="Q14" s="351"/>
      <c r="R14" s="351"/>
      <c r="S14" s="347"/>
      <c r="T14" s="349"/>
      <c r="U14" s="349"/>
      <c r="V14" s="349"/>
      <c r="W14" s="349"/>
      <c r="X14" s="122"/>
    </row>
    <row r="15" spans="1:25" ht="19.95" customHeight="1">
      <c r="A15" s="235"/>
      <c r="B15" s="62"/>
      <c r="C15" s="236"/>
      <c r="D15" s="231"/>
      <c r="E15" s="231"/>
      <c r="F15" s="231"/>
      <c r="G15" s="232"/>
      <c r="H15" s="232"/>
      <c r="I15" s="107"/>
      <c r="J15" s="233"/>
      <c r="K15" s="233"/>
      <c r="L15" s="108"/>
      <c r="M15" s="108"/>
      <c r="N15" s="108"/>
      <c r="O15" s="320">
        <f>L15+M15-N15</f>
        <v>0</v>
      </c>
      <c r="P15" s="108"/>
      <c r="Q15" s="107"/>
      <c r="R15" s="172">
        <f>O15+P15+Q15</f>
        <v>0</v>
      </c>
      <c r="S15" s="107"/>
      <c r="T15" s="108"/>
      <c r="U15" s="237"/>
      <c r="V15" s="107"/>
      <c r="W15" s="231"/>
    </row>
    <row r="16" spans="1:25" ht="19.95" customHeight="1">
      <c r="A16" s="235"/>
      <c r="B16" s="62"/>
      <c r="C16" s="236"/>
      <c r="D16" s="231"/>
      <c r="E16" s="231"/>
      <c r="F16" s="231"/>
      <c r="G16" s="232"/>
      <c r="H16" s="232"/>
      <c r="I16" s="107"/>
      <c r="J16" s="233"/>
      <c r="K16" s="233"/>
      <c r="L16" s="108"/>
      <c r="M16" s="108"/>
      <c r="N16" s="108"/>
      <c r="O16" s="320">
        <f t="shared" ref="O16:O30" si="0">L16+M16-N16</f>
        <v>0</v>
      </c>
      <c r="P16" s="108"/>
      <c r="Q16" s="107"/>
      <c r="R16" s="172">
        <f t="shared" ref="R16:R20" si="1">O16+P16+Q16</f>
        <v>0</v>
      </c>
      <c r="S16" s="107"/>
      <c r="T16" s="108"/>
      <c r="U16" s="237"/>
      <c r="V16" s="107"/>
      <c r="W16" s="231"/>
    </row>
    <row r="17" spans="1:23" ht="19.95" customHeight="1">
      <c r="A17" s="235"/>
      <c r="B17" s="62"/>
      <c r="C17" s="236"/>
      <c r="D17" s="231"/>
      <c r="E17" s="231"/>
      <c r="F17" s="231"/>
      <c r="G17" s="232"/>
      <c r="H17" s="232"/>
      <c r="I17" s="107"/>
      <c r="J17" s="233"/>
      <c r="K17" s="233"/>
      <c r="L17" s="108"/>
      <c r="M17" s="108"/>
      <c r="N17" s="108"/>
      <c r="O17" s="320">
        <f t="shared" si="0"/>
        <v>0</v>
      </c>
      <c r="P17" s="108"/>
      <c r="Q17" s="107"/>
      <c r="R17" s="172">
        <f t="shared" si="1"/>
        <v>0</v>
      </c>
      <c r="S17" s="107"/>
      <c r="T17" s="108"/>
      <c r="U17" s="237"/>
      <c r="V17" s="107"/>
      <c r="W17" s="231"/>
    </row>
    <row r="18" spans="1:23" ht="19.95" customHeight="1">
      <c r="A18" s="235"/>
      <c r="B18" s="62"/>
      <c r="C18" s="236"/>
      <c r="D18" s="231"/>
      <c r="E18" s="231"/>
      <c r="F18" s="231"/>
      <c r="G18" s="232"/>
      <c r="H18" s="232"/>
      <c r="I18" s="107"/>
      <c r="J18" s="233"/>
      <c r="K18" s="233"/>
      <c r="L18" s="108"/>
      <c r="M18" s="108"/>
      <c r="N18" s="108"/>
      <c r="O18" s="320">
        <f t="shared" si="0"/>
        <v>0</v>
      </c>
      <c r="P18" s="108"/>
      <c r="Q18" s="107"/>
      <c r="R18" s="172">
        <f t="shared" si="1"/>
        <v>0</v>
      </c>
      <c r="S18" s="107"/>
      <c r="T18" s="108"/>
      <c r="U18" s="237"/>
      <c r="V18" s="107"/>
      <c r="W18" s="231"/>
    </row>
    <row r="19" spans="1:23" ht="19.95" customHeight="1">
      <c r="A19" s="235"/>
      <c r="B19" s="62"/>
      <c r="C19" s="236"/>
      <c r="D19" s="231"/>
      <c r="E19" s="231"/>
      <c r="F19" s="231"/>
      <c r="G19" s="232"/>
      <c r="H19" s="232"/>
      <c r="I19" s="107"/>
      <c r="J19" s="233"/>
      <c r="K19" s="233"/>
      <c r="L19" s="108"/>
      <c r="M19" s="108"/>
      <c r="N19" s="108"/>
      <c r="O19" s="320">
        <f t="shared" si="0"/>
        <v>0</v>
      </c>
      <c r="P19" s="108"/>
      <c r="Q19" s="107"/>
      <c r="R19" s="172">
        <f t="shared" si="1"/>
        <v>0</v>
      </c>
      <c r="S19" s="107"/>
      <c r="T19" s="108"/>
      <c r="U19" s="237"/>
      <c r="V19" s="107"/>
      <c r="W19" s="231"/>
    </row>
    <row r="20" spans="1:23" ht="19.95" customHeight="1">
      <c r="A20" s="235"/>
      <c r="B20" s="62"/>
      <c r="C20" s="236"/>
      <c r="D20" s="231"/>
      <c r="E20" s="231"/>
      <c r="F20" s="231"/>
      <c r="G20" s="232"/>
      <c r="H20" s="232"/>
      <c r="I20" s="107"/>
      <c r="J20" s="233"/>
      <c r="K20" s="233"/>
      <c r="L20" s="108"/>
      <c r="M20" s="108"/>
      <c r="N20" s="108"/>
      <c r="O20" s="320">
        <f t="shared" si="0"/>
        <v>0</v>
      </c>
      <c r="P20" s="108"/>
      <c r="Q20" s="107"/>
      <c r="R20" s="172">
        <f t="shared" si="1"/>
        <v>0</v>
      </c>
      <c r="S20" s="107"/>
      <c r="T20" s="108"/>
      <c r="U20" s="237"/>
      <c r="V20" s="107"/>
      <c r="W20" s="231"/>
    </row>
    <row r="21" spans="1:23" ht="19.95" customHeight="1">
      <c r="A21" s="235"/>
      <c r="B21" s="62"/>
      <c r="C21" s="236"/>
      <c r="D21" s="231"/>
      <c r="E21" s="231"/>
      <c r="F21" s="231"/>
      <c r="G21" s="232"/>
      <c r="H21" s="232"/>
      <c r="I21" s="107"/>
      <c r="J21" s="233"/>
      <c r="K21" s="233"/>
      <c r="L21" s="108"/>
      <c r="M21" s="108"/>
      <c r="N21" s="108"/>
      <c r="O21" s="320">
        <f t="shared" si="0"/>
        <v>0</v>
      </c>
      <c r="P21" s="108"/>
      <c r="Q21" s="107"/>
      <c r="R21" s="172">
        <f>O21+P21+Q21</f>
        <v>0</v>
      </c>
      <c r="S21" s="107"/>
      <c r="T21" s="108"/>
      <c r="U21" s="237"/>
      <c r="V21" s="107"/>
      <c r="W21" s="231"/>
    </row>
    <row r="22" spans="1:23" ht="19.95" customHeight="1">
      <c r="A22" s="235"/>
      <c r="B22" s="62"/>
      <c r="C22" s="236"/>
      <c r="D22" s="231"/>
      <c r="E22" s="231"/>
      <c r="F22" s="231"/>
      <c r="G22" s="232"/>
      <c r="H22" s="232"/>
      <c r="I22" s="107"/>
      <c r="J22" s="233"/>
      <c r="K22" s="233"/>
      <c r="L22" s="108"/>
      <c r="M22" s="108"/>
      <c r="N22" s="108"/>
      <c r="O22" s="320">
        <f t="shared" si="0"/>
        <v>0</v>
      </c>
      <c r="P22" s="108"/>
      <c r="Q22" s="107"/>
      <c r="R22" s="172">
        <f>O22+P22+Q22</f>
        <v>0</v>
      </c>
      <c r="S22" s="107"/>
      <c r="T22" s="108"/>
      <c r="U22" s="237"/>
      <c r="V22" s="107"/>
      <c r="W22" s="231"/>
    </row>
    <row r="23" spans="1:23" ht="19.95" customHeight="1">
      <c r="A23" s="235"/>
      <c r="B23" s="62"/>
      <c r="C23" s="236"/>
      <c r="D23" s="231"/>
      <c r="E23" s="231"/>
      <c r="F23" s="231"/>
      <c r="G23" s="232"/>
      <c r="H23" s="232"/>
      <c r="I23" s="107"/>
      <c r="J23" s="233"/>
      <c r="K23" s="233"/>
      <c r="L23" s="108"/>
      <c r="M23" s="108"/>
      <c r="N23" s="108"/>
      <c r="O23" s="320">
        <f t="shared" si="0"/>
        <v>0</v>
      </c>
      <c r="P23" s="108"/>
      <c r="Q23" s="107"/>
      <c r="R23" s="172">
        <f t="shared" ref="R23:R28" si="2">O23+P23+Q23</f>
        <v>0</v>
      </c>
      <c r="S23" s="107"/>
      <c r="T23" s="108"/>
      <c r="U23" s="237"/>
      <c r="V23" s="107"/>
      <c r="W23" s="231"/>
    </row>
    <row r="24" spans="1:23" ht="19.95" customHeight="1">
      <c r="A24" s="235"/>
      <c r="B24" s="62"/>
      <c r="C24" s="236"/>
      <c r="D24" s="231"/>
      <c r="E24" s="231"/>
      <c r="F24" s="231"/>
      <c r="G24" s="232"/>
      <c r="H24" s="232"/>
      <c r="I24" s="107"/>
      <c r="J24" s="233"/>
      <c r="K24" s="233"/>
      <c r="L24" s="108"/>
      <c r="M24" s="108"/>
      <c r="N24" s="108"/>
      <c r="O24" s="320">
        <f t="shared" si="0"/>
        <v>0</v>
      </c>
      <c r="P24" s="108"/>
      <c r="Q24" s="107"/>
      <c r="R24" s="172">
        <f t="shared" si="2"/>
        <v>0</v>
      </c>
      <c r="S24" s="107"/>
      <c r="T24" s="108"/>
      <c r="U24" s="237"/>
      <c r="V24" s="107"/>
      <c r="W24" s="231"/>
    </row>
    <row r="25" spans="1:23" ht="19.95" customHeight="1">
      <c r="A25" s="235"/>
      <c r="B25" s="62"/>
      <c r="C25" s="236"/>
      <c r="D25" s="231"/>
      <c r="E25" s="231"/>
      <c r="F25" s="231"/>
      <c r="G25" s="232"/>
      <c r="H25" s="232"/>
      <c r="I25" s="107"/>
      <c r="J25" s="233"/>
      <c r="K25" s="233"/>
      <c r="L25" s="108"/>
      <c r="M25" s="108"/>
      <c r="N25" s="108"/>
      <c r="O25" s="320">
        <f t="shared" si="0"/>
        <v>0</v>
      </c>
      <c r="P25" s="108"/>
      <c r="Q25" s="107"/>
      <c r="R25" s="172">
        <f t="shared" si="2"/>
        <v>0</v>
      </c>
      <c r="S25" s="107"/>
      <c r="T25" s="108"/>
      <c r="U25" s="237"/>
      <c r="V25" s="107"/>
      <c r="W25" s="231"/>
    </row>
    <row r="26" spans="1:23" ht="19.95" customHeight="1">
      <c r="A26" s="235"/>
      <c r="B26" s="62"/>
      <c r="C26" s="236"/>
      <c r="D26" s="231"/>
      <c r="E26" s="231"/>
      <c r="F26" s="231"/>
      <c r="G26" s="232"/>
      <c r="H26" s="232"/>
      <c r="I26" s="107"/>
      <c r="J26" s="233"/>
      <c r="K26" s="233"/>
      <c r="L26" s="108"/>
      <c r="M26" s="108"/>
      <c r="N26" s="108"/>
      <c r="O26" s="320">
        <f t="shared" si="0"/>
        <v>0</v>
      </c>
      <c r="P26" s="108"/>
      <c r="Q26" s="107"/>
      <c r="R26" s="172">
        <f t="shared" si="2"/>
        <v>0</v>
      </c>
      <c r="S26" s="107"/>
      <c r="T26" s="108"/>
      <c r="U26" s="237"/>
      <c r="V26" s="107"/>
      <c r="W26" s="231"/>
    </row>
    <row r="27" spans="1:23" ht="19.95" customHeight="1">
      <c r="A27" s="235"/>
      <c r="B27" s="62"/>
      <c r="C27" s="236"/>
      <c r="D27" s="231"/>
      <c r="E27" s="231"/>
      <c r="F27" s="231"/>
      <c r="G27" s="232"/>
      <c r="H27" s="232"/>
      <c r="I27" s="107"/>
      <c r="J27" s="233"/>
      <c r="K27" s="233"/>
      <c r="L27" s="108"/>
      <c r="M27" s="108"/>
      <c r="N27" s="108"/>
      <c r="O27" s="320">
        <f t="shared" si="0"/>
        <v>0</v>
      </c>
      <c r="P27" s="108"/>
      <c r="Q27" s="107"/>
      <c r="R27" s="172">
        <f t="shared" si="2"/>
        <v>0</v>
      </c>
      <c r="S27" s="107"/>
      <c r="T27" s="108"/>
      <c r="U27" s="237"/>
      <c r="V27" s="107"/>
      <c r="W27" s="231"/>
    </row>
    <row r="28" spans="1:23" ht="19.95" customHeight="1">
      <c r="A28" s="235"/>
      <c r="B28" s="62"/>
      <c r="C28" s="236"/>
      <c r="D28" s="231"/>
      <c r="E28" s="231"/>
      <c r="F28" s="231"/>
      <c r="G28" s="232"/>
      <c r="H28" s="232"/>
      <c r="I28" s="107"/>
      <c r="J28" s="233"/>
      <c r="K28" s="233"/>
      <c r="L28" s="108"/>
      <c r="M28" s="108"/>
      <c r="N28" s="108"/>
      <c r="O28" s="320">
        <f t="shared" si="0"/>
        <v>0</v>
      </c>
      <c r="P28" s="108"/>
      <c r="Q28" s="107"/>
      <c r="R28" s="172">
        <f t="shared" si="2"/>
        <v>0</v>
      </c>
      <c r="S28" s="107"/>
      <c r="T28" s="108"/>
      <c r="U28" s="237"/>
      <c r="V28" s="107"/>
      <c r="W28" s="231"/>
    </row>
    <row r="29" spans="1:23" ht="19.95" customHeight="1">
      <c r="A29" s="235"/>
      <c r="B29" s="62"/>
      <c r="C29" s="236"/>
      <c r="D29" s="231"/>
      <c r="E29" s="231"/>
      <c r="F29" s="231"/>
      <c r="G29" s="232"/>
      <c r="H29" s="232"/>
      <c r="I29" s="107"/>
      <c r="J29" s="233"/>
      <c r="K29" s="233"/>
      <c r="L29" s="108"/>
      <c r="M29" s="108"/>
      <c r="N29" s="108"/>
      <c r="O29" s="320">
        <f t="shared" si="0"/>
        <v>0</v>
      </c>
      <c r="P29" s="108"/>
      <c r="Q29" s="107"/>
      <c r="R29" s="172">
        <f>O29+P29+Q29</f>
        <v>0</v>
      </c>
      <c r="S29" s="107"/>
      <c r="T29" s="108"/>
      <c r="U29" s="237"/>
      <c r="V29" s="107"/>
      <c r="W29" s="231"/>
    </row>
    <row r="30" spans="1:23" ht="19.95" customHeight="1">
      <c r="A30" s="235"/>
      <c r="B30" s="62"/>
      <c r="C30" s="236"/>
      <c r="D30" s="231"/>
      <c r="E30" s="231"/>
      <c r="F30" s="231"/>
      <c r="G30" s="232"/>
      <c r="H30" s="232"/>
      <c r="I30" s="107"/>
      <c r="J30" s="233"/>
      <c r="K30" s="233"/>
      <c r="L30" s="108"/>
      <c r="M30" s="108"/>
      <c r="N30" s="108"/>
      <c r="O30" s="320">
        <f t="shared" si="0"/>
        <v>0</v>
      </c>
      <c r="P30" s="108"/>
      <c r="Q30" s="107"/>
      <c r="R30" s="172">
        <f>O30+P30+Q30</f>
        <v>0</v>
      </c>
      <c r="S30" s="107"/>
      <c r="T30" s="108"/>
      <c r="U30" s="237"/>
      <c r="V30" s="107"/>
      <c r="W30" s="231"/>
    </row>
    <row r="31" spans="1:23" ht="19.95" customHeight="1">
      <c r="A31" s="229" t="s">
        <v>64</v>
      </c>
      <c r="B31" s="229"/>
      <c r="C31" s="229"/>
      <c r="D31" s="230"/>
      <c r="E31" s="230"/>
      <c r="F31" s="230"/>
      <c r="G31" s="230"/>
      <c r="H31" s="230"/>
      <c r="I31" s="230"/>
      <c r="J31" s="244"/>
      <c r="K31" s="319"/>
      <c r="L31" s="244">
        <f>SUM(L15:L30)</f>
        <v>0</v>
      </c>
      <c r="M31" s="244">
        <f>SUM(M15:M30)</f>
        <v>0</v>
      </c>
      <c r="N31" s="244">
        <f>SUM(N15:N30)</f>
        <v>0</v>
      </c>
      <c r="O31" s="244">
        <f>SUM(O15:O30)</f>
        <v>0</v>
      </c>
      <c r="P31" s="244">
        <f t="shared" ref="P31:S31" si="3">SUM(P15:P30)</f>
        <v>0</v>
      </c>
      <c r="Q31" s="244">
        <f t="shared" si="3"/>
        <v>0</v>
      </c>
      <c r="R31" s="244">
        <f t="shared" si="3"/>
        <v>0</v>
      </c>
      <c r="S31" s="244">
        <f t="shared" si="3"/>
        <v>0</v>
      </c>
      <c r="T31" s="230"/>
      <c r="U31" s="230"/>
      <c r="V31" s="244">
        <f>SUM(V15:V30)</f>
        <v>0</v>
      </c>
      <c r="W31" s="230"/>
    </row>
    <row r="32" spans="1:23" ht="19.95" customHeight="1">
      <c r="A32" s="63" t="s">
        <v>55</v>
      </c>
      <c r="B32" s="63"/>
      <c r="C32" s="63"/>
      <c r="D32" s="64"/>
      <c r="E32" s="64"/>
      <c r="F32" s="64"/>
      <c r="G32" s="64"/>
      <c r="H32" s="64"/>
      <c r="I32" s="64"/>
      <c r="J32" s="64"/>
      <c r="K32" s="64"/>
      <c r="L32" s="64"/>
      <c r="M32" s="64"/>
      <c r="N32" s="64"/>
      <c r="O32" s="64"/>
      <c r="P32" s="64"/>
      <c r="Q32" s="64"/>
      <c r="R32" s="64"/>
      <c r="S32" s="64"/>
      <c r="T32" s="64"/>
      <c r="U32" s="64"/>
      <c r="V32" s="64"/>
      <c r="W32" s="64"/>
    </row>
    <row r="33" spans="1:23" ht="19.95" customHeight="1">
      <c r="A33" s="219" t="s">
        <v>340</v>
      </c>
      <c r="B33" s="30"/>
      <c r="C33" s="30"/>
      <c r="D33" s="30"/>
      <c r="E33" s="30"/>
      <c r="F33" s="30"/>
      <c r="G33" s="30"/>
      <c r="H33" s="30"/>
      <c r="I33" s="30"/>
      <c r="J33" s="30"/>
      <c r="K33" s="30"/>
      <c r="L33" s="30"/>
      <c r="M33" s="30"/>
      <c r="N33" s="30"/>
      <c r="O33" s="30"/>
      <c r="P33" s="30"/>
      <c r="Q33" s="30"/>
      <c r="R33" s="30"/>
      <c r="S33" s="30"/>
      <c r="T33" s="30"/>
      <c r="U33" s="30"/>
      <c r="V33" s="30"/>
      <c r="W33" s="30"/>
    </row>
    <row r="34" spans="1:23" ht="19.95" customHeight="1">
      <c r="A34" s="30"/>
      <c r="B34" s="30"/>
      <c r="C34" s="30"/>
      <c r="D34" s="30"/>
      <c r="E34" s="30"/>
      <c r="F34" s="30"/>
      <c r="G34" s="30"/>
      <c r="H34" s="30"/>
      <c r="I34" s="30"/>
      <c r="J34" s="30"/>
      <c r="K34" s="30"/>
      <c r="L34" s="30"/>
      <c r="M34" s="30"/>
      <c r="N34" s="30"/>
      <c r="O34" s="30"/>
      <c r="P34" s="30"/>
      <c r="Q34" s="30"/>
      <c r="R34" s="30"/>
      <c r="S34" s="30"/>
      <c r="T34" s="30"/>
      <c r="U34" s="30"/>
      <c r="V34" s="30"/>
      <c r="W34" s="30"/>
    </row>
    <row r="35" spans="1:23" ht="19.95" customHeight="1">
      <c r="A35" s="30"/>
      <c r="B35" s="30"/>
      <c r="C35" s="30"/>
      <c r="D35" s="30"/>
      <c r="E35" s="30"/>
      <c r="F35" s="30"/>
      <c r="G35" s="30"/>
      <c r="H35" s="30"/>
      <c r="I35" s="30"/>
      <c r="J35" s="30"/>
      <c r="K35" s="30"/>
      <c r="L35" s="30"/>
      <c r="M35" s="30"/>
      <c r="N35" s="30"/>
      <c r="O35" s="30"/>
      <c r="P35" s="30"/>
      <c r="Q35" s="30"/>
      <c r="R35" s="30"/>
      <c r="S35" s="30"/>
      <c r="T35" s="30"/>
      <c r="U35" s="30"/>
      <c r="V35" s="30"/>
      <c r="W35" s="30"/>
    </row>
    <row r="36" spans="1:23" ht="19.95" customHeight="1">
      <c r="A36" s="60" t="s">
        <v>56</v>
      </c>
      <c r="B36" s="60"/>
      <c r="C36" s="60"/>
      <c r="D36" s="30"/>
      <c r="E36" s="30"/>
      <c r="F36" s="30"/>
      <c r="G36" s="30"/>
      <c r="H36" s="30"/>
      <c r="I36" s="30"/>
      <c r="J36" s="30"/>
      <c r="K36" s="30"/>
      <c r="L36" s="30"/>
      <c r="M36" s="30"/>
      <c r="N36" s="30"/>
      <c r="O36" s="30"/>
      <c r="P36" s="30"/>
      <c r="Q36" s="30"/>
      <c r="R36" s="30"/>
      <c r="S36" s="30"/>
      <c r="T36" s="30"/>
      <c r="U36" s="30"/>
      <c r="V36" s="30"/>
      <c r="W36" s="30"/>
    </row>
    <row r="37" spans="1:23" ht="19.95" customHeight="1">
      <c r="A37" s="30"/>
      <c r="B37" s="30"/>
      <c r="C37" s="30"/>
      <c r="D37" s="30"/>
      <c r="E37" s="30"/>
      <c r="F37" s="30"/>
      <c r="G37" s="30"/>
      <c r="H37" s="30"/>
      <c r="I37" s="30"/>
      <c r="J37" s="30"/>
      <c r="K37" s="30"/>
      <c r="L37" s="30"/>
      <c r="M37" s="30"/>
      <c r="N37" s="30"/>
      <c r="O37" s="30"/>
      <c r="P37" s="30"/>
      <c r="Q37" s="30"/>
      <c r="R37" s="30"/>
      <c r="S37" s="30"/>
      <c r="T37" s="30"/>
      <c r="U37" s="30"/>
      <c r="V37" s="30"/>
      <c r="W37" s="30"/>
    </row>
    <row r="38" spans="1:23" ht="19.95" customHeight="1">
      <c r="A38" s="30"/>
      <c r="B38" s="30"/>
      <c r="C38" s="30"/>
      <c r="D38" s="30"/>
      <c r="E38" s="30"/>
      <c r="F38" s="30"/>
      <c r="G38" s="30"/>
      <c r="H38" s="30"/>
      <c r="I38" s="30"/>
      <c r="J38" s="30"/>
      <c r="K38" s="30"/>
      <c r="L38" s="30"/>
      <c r="M38" s="30"/>
      <c r="N38" s="30"/>
      <c r="O38" s="30"/>
      <c r="P38" s="30"/>
      <c r="Q38" s="30"/>
      <c r="R38" s="30"/>
      <c r="S38" s="30"/>
      <c r="T38" s="30"/>
      <c r="U38" s="30"/>
      <c r="V38" s="30"/>
      <c r="W38" s="30"/>
    </row>
    <row r="39" spans="1:23" ht="19.95" customHeight="1">
      <c r="A39" s="30"/>
      <c r="B39" s="30"/>
      <c r="C39" s="30"/>
      <c r="D39" s="30"/>
      <c r="E39" s="30"/>
      <c r="F39" s="30"/>
      <c r="G39" s="30"/>
      <c r="H39" s="30"/>
      <c r="I39" s="30"/>
      <c r="J39" s="30"/>
      <c r="K39" s="30"/>
      <c r="L39" s="30"/>
      <c r="M39" s="30"/>
      <c r="N39" s="30"/>
      <c r="O39" s="30"/>
      <c r="P39" s="30"/>
      <c r="Q39" s="30"/>
      <c r="R39" s="30"/>
      <c r="S39" s="30"/>
      <c r="T39" s="30"/>
      <c r="U39" s="30"/>
      <c r="V39" s="30"/>
      <c r="W39" s="30"/>
    </row>
    <row r="40" spans="1:23" ht="16.5" customHeight="1">
      <c r="A40" s="33" t="s">
        <v>57</v>
      </c>
      <c r="B40" s="33"/>
      <c r="C40" s="33"/>
    </row>
    <row r="41" spans="1:23" ht="16.5" customHeight="1">
      <c r="A41" s="33" t="s">
        <v>58</v>
      </c>
      <c r="B41" s="33"/>
      <c r="C41" s="33"/>
    </row>
    <row r="42" spans="1:23" ht="16.5" customHeight="1">
      <c r="A42" s="33" t="s">
        <v>175</v>
      </c>
      <c r="B42" s="33"/>
      <c r="C42" s="33"/>
    </row>
    <row r="43" spans="1:23" ht="16.5" customHeight="1">
      <c r="A43" s="238" t="s">
        <v>282</v>
      </c>
      <c r="B43" s="33"/>
      <c r="C43" s="33"/>
    </row>
    <row r="44" spans="1:23" ht="16.5" customHeight="1">
      <c r="A44" s="238" t="s">
        <v>283</v>
      </c>
    </row>
    <row r="45" spans="1:23" ht="16.5" customHeight="1"/>
    <row r="46" spans="1:23" ht="16.5" customHeight="1"/>
    <row r="47" spans="1:23" ht="16.5" customHeight="1"/>
    <row r="48" spans="1:23" ht="16.5" customHeight="1"/>
    <row r="49" ht="16.5" customHeight="1"/>
    <row r="50" ht="16.5" customHeight="1"/>
    <row r="51" ht="16.5" customHeight="1"/>
    <row r="52" ht="16.5" customHeight="1"/>
    <row r="53" ht="16.5" customHeight="1"/>
  </sheetData>
  <mergeCells count="19">
    <mergeCell ref="W13:W14"/>
    <mergeCell ref="A1:W1"/>
    <mergeCell ref="A2:W2"/>
    <mergeCell ref="A13:A14"/>
    <mergeCell ref="J13:J14"/>
    <mergeCell ref="T13:T14"/>
    <mergeCell ref="U13:U14"/>
    <mergeCell ref="O13:O14"/>
    <mergeCell ref="P13:P14"/>
    <mergeCell ref="Q13:Q14"/>
    <mergeCell ref="R13:R14"/>
    <mergeCell ref="S13:S14"/>
    <mergeCell ref="C13:C14"/>
    <mergeCell ref="B13:B14"/>
    <mergeCell ref="V13:V14"/>
    <mergeCell ref="K13:K14"/>
    <mergeCell ref="L13:L14"/>
    <mergeCell ref="M13:M14"/>
    <mergeCell ref="N13:N14"/>
  </mergeCells>
  <phoneticPr fontId="17" type="noConversion"/>
  <dataValidations count="3">
    <dataValidation type="list" allowBlank="1" showInputMessage="1" showErrorMessage="1" sqref="T15:T30 K15:K30">
      <formula1>"是,否"</formula1>
    </dataValidation>
    <dataValidation type="list" allowBlank="1" showInputMessage="1" showErrorMessage="1" sqref="B15:B30">
      <formula1>"银行承兑汇票,商业承兑汇票"</formula1>
    </dataValidation>
    <dataValidation type="list" allowBlank="1" showInputMessage="1" showErrorMessage="1" prompt="如要修改下列框的选项，单击“数据-数据有效性-设置-序列-来源”，并相应修改审定表和附注披露表中的款项性质。" sqref="C15:C30">
      <formula1>"合并范围内关联方,合并范围外关联方,非关联方"</formula1>
    </dataValidation>
  </dataValidations>
  <hyperlinks>
    <hyperlink ref="W3" location="底稿目录!A1" display="底稿目录!A1"/>
  </hyperlinks>
  <printOptions horizontalCentered="1"/>
  <pageMargins left="0.35433070866141736" right="0.19685039370078741" top="0.62992125984251968" bottom="0.35433070866141736" header="0.51181102362204722" footer="0.27559055118110237"/>
  <pageSetup paperSize="9" scale="59" fitToHeight="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4"/>
  <sheetViews>
    <sheetView view="pageBreakPreview" zoomScaleNormal="100" zoomScaleSheetLayoutView="100" workbookViewId="0">
      <selection activeCell="E11" sqref="E11"/>
    </sheetView>
  </sheetViews>
  <sheetFormatPr defaultRowHeight="15.6"/>
  <cols>
    <col min="1" max="1" width="17" customWidth="1"/>
    <col min="2" max="2" width="15.09765625" customWidth="1"/>
    <col min="3" max="3" width="12" customWidth="1"/>
    <col min="4" max="4" width="14.796875" customWidth="1"/>
    <col min="5" max="5" width="13.8984375" customWidth="1"/>
    <col min="7" max="7" width="12.09765625" customWidth="1"/>
    <col min="8" max="8" width="11.69921875" customWidth="1"/>
  </cols>
  <sheetData>
    <row r="1" spans="1:10" ht="19.95" customHeight="1">
      <c r="A1" s="341" t="s">
        <v>275</v>
      </c>
      <c r="B1" s="341"/>
      <c r="C1" s="341"/>
      <c r="D1" s="341"/>
      <c r="E1" s="341"/>
      <c r="F1" s="341"/>
      <c r="G1" s="341"/>
      <c r="H1" s="341"/>
      <c r="I1" s="341"/>
      <c r="J1" s="341"/>
    </row>
    <row r="2" spans="1:10" ht="19.95" customHeight="1">
      <c r="A2" s="342" t="s">
        <v>111</v>
      </c>
      <c r="B2" s="342"/>
      <c r="C2" s="342"/>
      <c r="D2" s="342"/>
      <c r="E2" s="342"/>
      <c r="F2" s="342"/>
      <c r="G2" s="342"/>
      <c r="H2" s="342"/>
      <c r="I2" s="342"/>
      <c r="J2" s="342"/>
    </row>
    <row r="3" spans="1:10" ht="19.95" customHeight="1">
      <c r="A3" s="16" t="str">
        <f>底稿目录!A2</f>
        <v>被审计单位：</v>
      </c>
      <c r="B3" s="16"/>
      <c r="C3" s="16"/>
      <c r="D3" s="16" t="str">
        <f>底稿目录!A4</f>
        <v>编制人：</v>
      </c>
      <c r="E3" s="16"/>
      <c r="F3" s="17"/>
      <c r="G3" s="16" t="str">
        <f>底稿目录!A5</f>
        <v>编制日期：</v>
      </c>
      <c r="H3" s="16"/>
      <c r="I3" s="39" t="s">
        <v>38</v>
      </c>
      <c r="J3" s="300" t="str">
        <f>底稿目录!F9</f>
        <v>F3-3</v>
      </c>
    </row>
    <row r="4" spans="1:10" ht="19.95" customHeight="1">
      <c r="A4" s="16" t="str">
        <f>底稿目录!A3</f>
        <v>截止日：202X年12月31日</v>
      </c>
      <c r="B4" s="16"/>
      <c r="C4" s="16"/>
      <c r="D4" s="16" t="str">
        <f>底稿目录!A6</f>
        <v>复核人：</v>
      </c>
      <c r="E4" s="16"/>
      <c r="F4" s="17"/>
      <c r="G4" s="16" t="str">
        <f>底稿目录!A7</f>
        <v>复核日期：</v>
      </c>
      <c r="H4" s="16"/>
      <c r="I4" s="40" t="s">
        <v>176</v>
      </c>
      <c r="J4" s="17"/>
    </row>
    <row r="5" spans="1:10" ht="19.95" customHeight="1">
      <c r="A5" s="94" t="s">
        <v>95</v>
      </c>
      <c r="B5" s="144" t="s">
        <v>96</v>
      </c>
      <c r="C5" s="308" t="s">
        <v>171</v>
      </c>
      <c r="D5" s="95" t="s">
        <v>97</v>
      </c>
      <c r="E5" s="95" t="s">
        <v>98</v>
      </c>
      <c r="F5" s="96" t="s">
        <v>99</v>
      </c>
      <c r="G5" s="95" t="s">
        <v>100</v>
      </c>
      <c r="H5" s="95" t="s">
        <v>101</v>
      </c>
      <c r="I5" s="95" t="s">
        <v>102</v>
      </c>
      <c r="J5" s="95" t="s">
        <v>103</v>
      </c>
    </row>
    <row r="6" spans="1:10" ht="19.95" customHeight="1">
      <c r="A6" s="97"/>
      <c r="B6" s="97"/>
      <c r="C6" s="97"/>
      <c r="D6" s="97"/>
      <c r="E6" s="97"/>
      <c r="F6" s="97"/>
      <c r="G6" s="239"/>
      <c r="H6" s="239"/>
      <c r="I6" s="240"/>
      <c r="J6" s="97"/>
    </row>
    <row r="7" spans="1:10" ht="19.95" customHeight="1">
      <c r="A7" s="98"/>
      <c r="B7" s="97"/>
      <c r="C7" s="97"/>
      <c r="D7" s="97"/>
      <c r="E7" s="97"/>
      <c r="F7" s="97"/>
      <c r="G7" s="239"/>
      <c r="H7" s="239"/>
      <c r="I7" s="240"/>
      <c r="J7" s="97"/>
    </row>
    <row r="8" spans="1:10" ht="19.95" customHeight="1">
      <c r="A8" s="99"/>
      <c r="B8" s="97"/>
      <c r="C8" s="97"/>
      <c r="D8" s="97"/>
      <c r="E8" s="97"/>
      <c r="F8" s="97"/>
      <c r="G8" s="239"/>
      <c r="H8" s="239"/>
      <c r="I8" s="240"/>
      <c r="J8" s="97"/>
    </row>
    <row r="9" spans="1:10" ht="19.95" customHeight="1">
      <c r="A9" s="99"/>
      <c r="B9" s="97"/>
      <c r="C9" s="97"/>
      <c r="D9" s="97"/>
      <c r="E9" s="97"/>
      <c r="F9" s="97"/>
      <c r="G9" s="239"/>
      <c r="H9" s="239"/>
      <c r="I9" s="240"/>
      <c r="J9" s="97"/>
    </row>
    <row r="10" spans="1:10" ht="19.95" customHeight="1">
      <c r="A10" s="99"/>
      <c r="B10" s="97"/>
      <c r="C10" s="97"/>
      <c r="D10" s="97"/>
      <c r="E10" s="97"/>
      <c r="F10" s="97"/>
      <c r="G10" s="239"/>
      <c r="H10" s="239"/>
      <c r="I10" s="240"/>
      <c r="J10" s="97"/>
    </row>
    <row r="11" spans="1:10" ht="19.95" customHeight="1">
      <c r="A11" s="100"/>
      <c r="B11" s="97"/>
      <c r="C11" s="97"/>
      <c r="D11" s="97"/>
      <c r="E11" s="97"/>
      <c r="F11" s="97"/>
      <c r="G11" s="239"/>
      <c r="H11" s="239"/>
      <c r="I11" s="240"/>
      <c r="J11" s="97"/>
    </row>
    <row r="12" spans="1:10" ht="19.95" customHeight="1">
      <c r="A12" s="99"/>
      <c r="B12" s="97"/>
      <c r="C12" s="97"/>
      <c r="D12" s="97"/>
      <c r="E12" s="97"/>
      <c r="F12" s="97"/>
      <c r="G12" s="239"/>
      <c r="H12" s="239"/>
      <c r="I12" s="240"/>
      <c r="J12" s="97"/>
    </row>
    <row r="13" spans="1:10" ht="19.95" customHeight="1">
      <c r="A13" s="99"/>
      <c r="B13" s="97"/>
      <c r="C13" s="97"/>
      <c r="D13" s="97"/>
      <c r="E13" s="97"/>
      <c r="F13" s="97"/>
      <c r="G13" s="239"/>
      <c r="H13" s="239"/>
      <c r="I13" s="240"/>
      <c r="J13" s="97"/>
    </row>
    <row r="14" spans="1:10" ht="19.95" customHeight="1">
      <c r="A14" s="99"/>
      <c r="B14" s="97"/>
      <c r="C14" s="97"/>
      <c r="D14" s="97"/>
      <c r="E14" s="97"/>
      <c r="F14" s="97"/>
      <c r="G14" s="239"/>
      <c r="H14" s="239"/>
      <c r="I14" s="240"/>
      <c r="J14" s="97"/>
    </row>
    <row r="15" spans="1:10" ht="19.95" customHeight="1">
      <c r="A15" s="99"/>
      <c r="B15" s="97"/>
      <c r="C15" s="97"/>
      <c r="D15" s="97"/>
      <c r="E15" s="97"/>
      <c r="F15" s="97"/>
      <c r="G15" s="239"/>
      <c r="H15" s="239"/>
      <c r="I15" s="240"/>
      <c r="J15" s="97"/>
    </row>
    <row r="16" spans="1:10" ht="19.95" customHeight="1">
      <c r="A16" s="99"/>
      <c r="B16" s="97"/>
      <c r="C16" s="97"/>
      <c r="D16" s="97"/>
      <c r="E16" s="97"/>
      <c r="F16" s="97"/>
      <c r="G16" s="239"/>
      <c r="H16" s="239"/>
      <c r="I16" s="240"/>
      <c r="J16" s="97"/>
    </row>
    <row r="17" spans="1:10" ht="19.95" customHeight="1">
      <c r="A17" s="99"/>
      <c r="B17" s="97"/>
      <c r="C17" s="97"/>
      <c r="D17" s="97"/>
      <c r="E17" s="97"/>
      <c r="F17" s="97"/>
      <c r="G17" s="239"/>
      <c r="H17" s="239"/>
      <c r="I17" s="240"/>
      <c r="J17" s="97"/>
    </row>
    <row r="18" spans="1:10" ht="19.95" customHeight="1">
      <c r="A18" s="99"/>
      <c r="B18" s="97"/>
      <c r="C18" s="97"/>
      <c r="D18" s="97"/>
      <c r="E18" s="97"/>
      <c r="F18" s="97"/>
      <c r="G18" s="239"/>
      <c r="H18" s="239"/>
      <c r="I18" s="240"/>
      <c r="J18" s="97"/>
    </row>
    <row r="19" spans="1:10" ht="19.95" customHeight="1">
      <c r="A19" s="99"/>
      <c r="B19" s="97"/>
      <c r="C19" s="97"/>
      <c r="D19" s="97"/>
      <c r="E19" s="97"/>
      <c r="F19" s="97"/>
      <c r="G19" s="239"/>
      <c r="H19" s="239"/>
      <c r="I19" s="240"/>
      <c r="J19" s="97"/>
    </row>
    <row r="20" spans="1:10" ht="19.95" customHeight="1">
      <c r="A20" s="99"/>
      <c r="B20" s="97"/>
      <c r="C20" s="97"/>
      <c r="D20" s="97"/>
      <c r="E20" s="97"/>
      <c r="F20" s="97"/>
      <c r="G20" s="239"/>
      <c r="H20" s="239"/>
      <c r="I20" s="240"/>
      <c r="J20" s="97"/>
    </row>
    <row r="21" spans="1:10">
      <c r="A21" s="101"/>
      <c r="B21" s="101"/>
      <c r="C21" s="101"/>
      <c r="D21" s="102"/>
      <c r="E21" s="102"/>
      <c r="F21" s="102"/>
      <c r="G21" s="103"/>
      <c r="H21" s="103"/>
      <c r="I21" s="102"/>
      <c r="J21" s="56"/>
    </row>
    <row r="22" spans="1:10" ht="30.6" customHeight="1">
      <c r="A22" s="357" t="s">
        <v>104</v>
      </c>
      <c r="B22" s="358"/>
      <c r="C22" s="358"/>
      <c r="D22" s="358"/>
      <c r="E22" s="358"/>
      <c r="F22" s="358"/>
      <c r="G22" s="358"/>
      <c r="H22" s="358"/>
      <c r="I22" s="358"/>
      <c r="J22" s="358"/>
    </row>
    <row r="23" spans="1:10">
      <c r="A23" s="104"/>
      <c r="B23" s="104"/>
      <c r="C23" s="104"/>
      <c r="D23" s="104"/>
      <c r="E23" s="104"/>
      <c r="F23" s="104"/>
      <c r="G23" s="104"/>
      <c r="H23" s="104"/>
      <c r="I23" s="104"/>
      <c r="J23" s="104"/>
    </row>
    <row r="24" spans="1:10">
      <c r="A24" s="355"/>
      <c r="B24" s="356"/>
      <c r="C24" s="356"/>
      <c r="D24" s="356"/>
      <c r="E24" s="356"/>
      <c r="F24" s="356"/>
      <c r="G24" s="356"/>
      <c r="H24" s="356"/>
      <c r="I24" s="356"/>
      <c r="J24" s="356"/>
    </row>
  </sheetData>
  <mergeCells count="4">
    <mergeCell ref="A1:J1"/>
    <mergeCell ref="A2:J2"/>
    <mergeCell ref="A24:J24"/>
    <mergeCell ref="A22:J22"/>
  </mergeCells>
  <phoneticPr fontId="1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M38"/>
  <sheetViews>
    <sheetView view="pageBreakPreview" zoomScaleSheetLayoutView="100" workbookViewId="0">
      <selection activeCell="K11" sqref="K11"/>
    </sheetView>
  </sheetViews>
  <sheetFormatPr defaultColWidth="9" defaultRowHeight="15.6"/>
  <cols>
    <col min="1" max="1" width="11.5" style="68" customWidth="1"/>
    <col min="2" max="2" width="13.59765625" style="68" customWidth="1"/>
    <col min="3" max="4" width="9.796875" style="68" customWidth="1"/>
    <col min="5" max="10" width="9" style="68"/>
    <col min="11" max="11" width="15.09765625" style="68" customWidth="1"/>
    <col min="12" max="16384" width="9" style="68"/>
  </cols>
  <sheetData>
    <row r="1" spans="1:13" s="66" customFormat="1" ht="20.100000000000001" customHeight="1">
      <c r="A1" s="360" t="s">
        <v>275</v>
      </c>
      <c r="B1" s="360"/>
      <c r="C1" s="360"/>
      <c r="D1" s="360"/>
      <c r="E1" s="360"/>
      <c r="F1" s="360"/>
      <c r="G1" s="360"/>
      <c r="H1" s="360"/>
      <c r="I1" s="360"/>
      <c r="J1" s="360"/>
      <c r="K1" s="360"/>
      <c r="L1" s="65"/>
      <c r="M1" s="65"/>
    </row>
    <row r="2" spans="1:13" s="65" customFormat="1" ht="25.05" customHeight="1">
      <c r="A2" s="361" t="s">
        <v>217</v>
      </c>
      <c r="B2" s="361"/>
      <c r="C2" s="361"/>
      <c r="D2" s="361"/>
      <c r="E2" s="361"/>
      <c r="F2" s="361"/>
      <c r="G2" s="361"/>
      <c r="H2" s="361"/>
      <c r="I2" s="361"/>
      <c r="J2" s="361"/>
      <c r="K2" s="361"/>
      <c r="L2" s="124"/>
    </row>
    <row r="3" spans="1:13" s="30" customFormat="1" ht="20.100000000000001" customHeight="1">
      <c r="A3" s="16" t="str">
        <f>底稿目录!A2</f>
        <v>被审计单位：</v>
      </c>
      <c r="B3" s="16"/>
      <c r="C3" s="16"/>
      <c r="D3" s="16" t="str">
        <f>底稿目录!A4</f>
        <v>编制人：</v>
      </c>
      <c r="G3" s="30" t="str">
        <f>底稿目录!A5</f>
        <v>编制日期：</v>
      </c>
      <c r="I3" s="61"/>
      <c r="J3" s="245" t="s">
        <v>284</v>
      </c>
      <c r="K3" s="300" t="str">
        <f>底稿目录!F18</f>
        <v>F3-4</v>
      </c>
    </row>
    <row r="4" spans="1:13" s="30" customFormat="1" ht="20.100000000000001" customHeight="1">
      <c r="A4" s="16" t="str">
        <f>底稿目录!A3</f>
        <v>截止日：202X年12月31日</v>
      </c>
      <c r="B4" s="19"/>
      <c r="C4" s="16"/>
      <c r="D4" s="16" t="str">
        <f>底稿目录!A6</f>
        <v>复核人：</v>
      </c>
      <c r="G4" s="30" t="str">
        <f>底稿目录!A7</f>
        <v>复核日期：</v>
      </c>
      <c r="I4" s="61"/>
      <c r="J4" s="32" t="s">
        <v>285</v>
      </c>
    </row>
    <row r="5" spans="1:13" s="30" customFormat="1" ht="20.100000000000001" customHeight="1">
      <c r="A5" s="38" t="s">
        <v>34</v>
      </c>
      <c r="B5" s="19"/>
      <c r="C5" s="16"/>
      <c r="E5" s="16"/>
      <c r="H5" s="31"/>
      <c r="J5" s="32"/>
    </row>
    <row r="6" spans="1:13" s="30" customFormat="1" ht="20.100000000000001" customHeight="1">
      <c r="A6" s="184" t="s">
        <v>215</v>
      </c>
      <c r="B6" s="19"/>
      <c r="C6" s="16"/>
      <c r="E6" s="16"/>
      <c r="H6" s="31"/>
      <c r="J6" s="32"/>
    </row>
    <row r="7" spans="1:13" s="30" customFormat="1" ht="20.100000000000001" customHeight="1">
      <c r="A7" s="38" t="s">
        <v>35</v>
      </c>
      <c r="B7" s="19"/>
      <c r="C7" s="16"/>
      <c r="E7" s="16"/>
      <c r="H7" s="31"/>
      <c r="J7" s="32"/>
    </row>
    <row r="8" spans="1:13" s="30" customFormat="1" ht="20.100000000000001" customHeight="1">
      <c r="A8" s="184" t="s">
        <v>216</v>
      </c>
      <c r="B8" s="19"/>
      <c r="C8" s="16"/>
      <c r="E8" s="16"/>
      <c r="H8" s="31"/>
      <c r="J8" s="32"/>
    </row>
    <row r="9" spans="1:13" s="67" customFormat="1" ht="20.100000000000001" customHeight="1">
      <c r="A9" s="359" t="s">
        <v>23</v>
      </c>
      <c r="B9" s="359" t="s">
        <v>25</v>
      </c>
      <c r="C9" s="359" t="s">
        <v>26</v>
      </c>
      <c r="D9" s="359"/>
      <c r="E9" s="359"/>
      <c r="F9" s="359" t="s">
        <v>24</v>
      </c>
      <c r="G9" s="359" t="s">
        <v>27</v>
      </c>
      <c r="H9" s="359" t="s">
        <v>266</v>
      </c>
      <c r="I9" s="359" t="s">
        <v>28</v>
      </c>
      <c r="J9" s="359" t="s">
        <v>29</v>
      </c>
      <c r="K9" s="359" t="s">
        <v>30</v>
      </c>
    </row>
    <row r="10" spans="1:13" s="67" customFormat="1" ht="20.100000000000001" customHeight="1">
      <c r="A10" s="359"/>
      <c r="B10" s="359"/>
      <c r="C10" s="52" t="s">
        <v>31</v>
      </c>
      <c r="D10" s="52" t="s">
        <v>32</v>
      </c>
      <c r="E10" s="52" t="s">
        <v>33</v>
      </c>
      <c r="F10" s="359"/>
      <c r="G10" s="359"/>
      <c r="H10" s="359"/>
      <c r="I10" s="359"/>
      <c r="J10" s="359"/>
      <c r="K10" s="359"/>
    </row>
    <row r="11" spans="1:13" ht="20.100000000000001" customHeight="1">
      <c r="A11" s="234"/>
      <c r="B11" s="296"/>
      <c r="C11" s="297"/>
      <c r="D11" s="297"/>
      <c r="E11" s="252"/>
      <c r="F11" s="185"/>
      <c r="G11" s="186"/>
      <c r="H11" s="187">
        <f>ROUND(F11*G11,2)</f>
        <v>0</v>
      </c>
      <c r="I11" s="185"/>
      <c r="J11" s="151">
        <f>H11-I11</f>
        <v>0</v>
      </c>
      <c r="K11" s="295"/>
    </row>
    <row r="12" spans="1:13" ht="20.100000000000001" customHeight="1">
      <c r="A12" s="234"/>
      <c r="B12" s="296"/>
      <c r="C12" s="297"/>
      <c r="D12" s="297"/>
      <c r="E12" s="252"/>
      <c r="F12" s="185"/>
      <c r="G12" s="186"/>
      <c r="H12" s="187">
        <f t="shared" ref="H12:H31" si="0">ROUND(F12*G12,2)</f>
        <v>0</v>
      </c>
      <c r="I12" s="185"/>
      <c r="J12" s="151">
        <f t="shared" ref="J12:J31" si="1">H12-I12</f>
        <v>0</v>
      </c>
      <c r="K12" s="295"/>
    </row>
    <row r="13" spans="1:13" ht="20.100000000000001" customHeight="1">
      <c r="A13" s="234"/>
      <c r="B13" s="296"/>
      <c r="C13" s="297"/>
      <c r="D13" s="297"/>
      <c r="E13" s="252"/>
      <c r="F13" s="185"/>
      <c r="G13" s="186"/>
      <c r="H13" s="187">
        <f t="shared" si="0"/>
        <v>0</v>
      </c>
      <c r="I13" s="185"/>
      <c r="J13" s="151">
        <f t="shared" si="1"/>
        <v>0</v>
      </c>
      <c r="K13" s="295"/>
    </row>
    <row r="14" spans="1:13" ht="20.100000000000001" customHeight="1">
      <c r="A14" s="234"/>
      <c r="B14" s="296"/>
      <c r="C14" s="297"/>
      <c r="D14" s="297"/>
      <c r="E14" s="252"/>
      <c r="F14" s="185"/>
      <c r="G14" s="186"/>
      <c r="H14" s="187">
        <f t="shared" si="0"/>
        <v>0</v>
      </c>
      <c r="I14" s="185"/>
      <c r="J14" s="151">
        <f t="shared" si="1"/>
        <v>0</v>
      </c>
      <c r="K14" s="295"/>
    </row>
    <row r="15" spans="1:13" ht="20.100000000000001" customHeight="1">
      <c r="A15" s="234"/>
      <c r="B15" s="296"/>
      <c r="C15" s="297"/>
      <c r="D15" s="297"/>
      <c r="E15" s="252"/>
      <c r="F15" s="185"/>
      <c r="G15" s="186"/>
      <c r="H15" s="187">
        <f t="shared" si="0"/>
        <v>0</v>
      </c>
      <c r="I15" s="185"/>
      <c r="J15" s="151">
        <f t="shared" si="1"/>
        <v>0</v>
      </c>
      <c r="K15" s="295"/>
    </row>
    <row r="16" spans="1:13" ht="20.100000000000001" customHeight="1">
      <c r="A16" s="234"/>
      <c r="B16" s="296"/>
      <c r="C16" s="297"/>
      <c r="D16" s="297"/>
      <c r="E16" s="252"/>
      <c r="F16" s="185"/>
      <c r="G16" s="186"/>
      <c r="H16" s="187">
        <f t="shared" si="0"/>
        <v>0</v>
      </c>
      <c r="I16" s="185"/>
      <c r="J16" s="151">
        <f t="shared" si="1"/>
        <v>0</v>
      </c>
      <c r="K16" s="295"/>
    </row>
    <row r="17" spans="1:11" ht="20.100000000000001" customHeight="1">
      <c r="A17" s="234"/>
      <c r="B17" s="296"/>
      <c r="C17" s="297"/>
      <c r="D17" s="297"/>
      <c r="E17" s="252"/>
      <c r="F17" s="185"/>
      <c r="G17" s="186"/>
      <c r="H17" s="187">
        <f t="shared" si="0"/>
        <v>0</v>
      </c>
      <c r="I17" s="185"/>
      <c r="J17" s="151">
        <f t="shared" si="1"/>
        <v>0</v>
      </c>
      <c r="K17" s="295"/>
    </row>
    <row r="18" spans="1:11" ht="20.100000000000001" customHeight="1">
      <c r="A18" s="234"/>
      <c r="B18" s="296"/>
      <c r="C18" s="297"/>
      <c r="D18" s="297"/>
      <c r="E18" s="252"/>
      <c r="F18" s="185"/>
      <c r="G18" s="186"/>
      <c r="H18" s="187">
        <f t="shared" si="0"/>
        <v>0</v>
      </c>
      <c r="I18" s="185"/>
      <c r="J18" s="151">
        <f t="shared" si="1"/>
        <v>0</v>
      </c>
      <c r="K18" s="295"/>
    </row>
    <row r="19" spans="1:11" ht="20.100000000000001" customHeight="1">
      <c r="A19" s="234"/>
      <c r="B19" s="296"/>
      <c r="C19" s="297"/>
      <c r="D19" s="297"/>
      <c r="E19" s="252"/>
      <c r="F19" s="185"/>
      <c r="G19" s="186"/>
      <c r="H19" s="187">
        <f t="shared" si="0"/>
        <v>0</v>
      </c>
      <c r="I19" s="185"/>
      <c r="J19" s="151">
        <f t="shared" si="1"/>
        <v>0</v>
      </c>
      <c r="K19" s="295"/>
    </row>
    <row r="20" spans="1:11" ht="20.100000000000001" customHeight="1">
      <c r="A20" s="234"/>
      <c r="B20" s="296"/>
      <c r="C20" s="297"/>
      <c r="D20" s="297"/>
      <c r="E20" s="252"/>
      <c r="F20" s="185"/>
      <c r="G20" s="186"/>
      <c r="H20" s="187">
        <f t="shared" si="0"/>
        <v>0</v>
      </c>
      <c r="I20" s="185"/>
      <c r="J20" s="151">
        <f t="shared" si="1"/>
        <v>0</v>
      </c>
      <c r="K20" s="295"/>
    </row>
    <row r="21" spans="1:11" ht="20.100000000000001" customHeight="1">
      <c r="A21" s="234"/>
      <c r="B21" s="296"/>
      <c r="C21" s="297"/>
      <c r="D21" s="297"/>
      <c r="E21" s="252"/>
      <c r="F21" s="185"/>
      <c r="G21" s="186"/>
      <c r="H21" s="187">
        <f t="shared" si="0"/>
        <v>0</v>
      </c>
      <c r="I21" s="185"/>
      <c r="J21" s="151">
        <f t="shared" si="1"/>
        <v>0</v>
      </c>
      <c r="K21" s="295"/>
    </row>
    <row r="22" spans="1:11" ht="20.100000000000001" customHeight="1">
      <c r="A22" s="234"/>
      <c r="B22" s="296"/>
      <c r="C22" s="297"/>
      <c r="D22" s="297"/>
      <c r="E22" s="252"/>
      <c r="F22" s="185"/>
      <c r="G22" s="186"/>
      <c r="H22" s="187">
        <f t="shared" si="0"/>
        <v>0</v>
      </c>
      <c r="I22" s="185"/>
      <c r="J22" s="151">
        <f t="shared" si="1"/>
        <v>0</v>
      </c>
      <c r="K22" s="295"/>
    </row>
    <row r="23" spans="1:11" ht="20.100000000000001" customHeight="1">
      <c r="A23" s="234"/>
      <c r="B23" s="296"/>
      <c r="C23" s="297"/>
      <c r="D23" s="297"/>
      <c r="E23" s="252"/>
      <c r="F23" s="185"/>
      <c r="G23" s="186"/>
      <c r="H23" s="187">
        <f t="shared" si="0"/>
        <v>0</v>
      </c>
      <c r="I23" s="185"/>
      <c r="J23" s="151">
        <f t="shared" si="1"/>
        <v>0</v>
      </c>
      <c r="K23" s="295"/>
    </row>
    <row r="24" spans="1:11" ht="20.100000000000001" customHeight="1">
      <c r="A24" s="234"/>
      <c r="B24" s="296"/>
      <c r="C24" s="297"/>
      <c r="D24" s="297"/>
      <c r="E24" s="252"/>
      <c r="F24" s="185"/>
      <c r="G24" s="186"/>
      <c r="H24" s="187">
        <f t="shared" si="0"/>
        <v>0</v>
      </c>
      <c r="I24" s="185"/>
      <c r="J24" s="151">
        <f t="shared" si="1"/>
        <v>0</v>
      </c>
      <c r="K24" s="295"/>
    </row>
    <row r="25" spans="1:11" ht="20.100000000000001" customHeight="1">
      <c r="A25" s="234"/>
      <c r="B25" s="296"/>
      <c r="C25" s="297"/>
      <c r="D25" s="297"/>
      <c r="E25" s="252"/>
      <c r="F25" s="185"/>
      <c r="G25" s="186"/>
      <c r="H25" s="187">
        <f t="shared" si="0"/>
        <v>0</v>
      </c>
      <c r="I25" s="185"/>
      <c r="J25" s="151">
        <f t="shared" si="1"/>
        <v>0</v>
      </c>
      <c r="K25" s="295"/>
    </row>
    <row r="26" spans="1:11" ht="20.100000000000001" customHeight="1">
      <c r="A26" s="234"/>
      <c r="B26" s="296"/>
      <c r="C26" s="297"/>
      <c r="D26" s="297"/>
      <c r="E26" s="252"/>
      <c r="F26" s="185"/>
      <c r="G26" s="186"/>
      <c r="H26" s="187">
        <f t="shared" si="0"/>
        <v>0</v>
      </c>
      <c r="I26" s="185"/>
      <c r="J26" s="151">
        <f t="shared" si="1"/>
        <v>0</v>
      </c>
      <c r="K26" s="295"/>
    </row>
    <row r="27" spans="1:11" ht="20.100000000000001" customHeight="1">
      <c r="A27" s="234"/>
      <c r="B27" s="296"/>
      <c r="C27" s="297"/>
      <c r="D27" s="297"/>
      <c r="E27" s="252"/>
      <c r="F27" s="185"/>
      <c r="G27" s="186"/>
      <c r="H27" s="187">
        <f t="shared" si="0"/>
        <v>0</v>
      </c>
      <c r="I27" s="185"/>
      <c r="J27" s="151">
        <f>H27-I27</f>
        <v>0</v>
      </c>
      <c r="K27" s="295"/>
    </row>
    <row r="28" spans="1:11" ht="20.100000000000001" customHeight="1">
      <c r="A28" s="234"/>
      <c r="B28" s="296"/>
      <c r="C28" s="297"/>
      <c r="D28" s="297"/>
      <c r="E28" s="252"/>
      <c r="F28" s="185"/>
      <c r="G28" s="186"/>
      <c r="H28" s="187">
        <f t="shared" si="0"/>
        <v>0</v>
      </c>
      <c r="I28" s="185"/>
      <c r="J28" s="151">
        <f t="shared" si="1"/>
        <v>0</v>
      </c>
      <c r="K28" s="295"/>
    </row>
    <row r="29" spans="1:11" ht="20.100000000000001" customHeight="1">
      <c r="A29" s="234"/>
      <c r="B29" s="296"/>
      <c r="C29" s="297"/>
      <c r="D29" s="297"/>
      <c r="E29" s="252"/>
      <c r="F29" s="185"/>
      <c r="G29" s="186"/>
      <c r="H29" s="187">
        <f t="shared" si="0"/>
        <v>0</v>
      </c>
      <c r="I29" s="185"/>
      <c r="J29" s="151">
        <f t="shared" si="1"/>
        <v>0</v>
      </c>
      <c r="K29" s="295"/>
    </row>
    <row r="30" spans="1:11" ht="20.100000000000001" customHeight="1">
      <c r="A30" s="234"/>
      <c r="B30" s="296"/>
      <c r="C30" s="297"/>
      <c r="D30" s="297"/>
      <c r="E30" s="252"/>
      <c r="F30" s="185"/>
      <c r="G30" s="186"/>
      <c r="H30" s="187">
        <f t="shared" si="0"/>
        <v>0</v>
      </c>
      <c r="I30" s="185"/>
      <c r="J30" s="151">
        <f t="shared" si="1"/>
        <v>0</v>
      </c>
      <c r="K30" s="295"/>
    </row>
    <row r="31" spans="1:11" ht="20.100000000000001" customHeight="1">
      <c r="A31" s="234"/>
      <c r="B31" s="296"/>
      <c r="C31" s="297"/>
      <c r="D31" s="297"/>
      <c r="E31" s="252"/>
      <c r="F31" s="185"/>
      <c r="G31" s="186"/>
      <c r="H31" s="187">
        <f t="shared" si="0"/>
        <v>0</v>
      </c>
      <c r="I31" s="185"/>
      <c r="J31" s="151">
        <f t="shared" si="1"/>
        <v>0</v>
      </c>
      <c r="K31" s="295"/>
    </row>
    <row r="32" spans="1:11" s="67" customFormat="1" ht="20.100000000000001" customHeight="1">
      <c r="A32" s="188" t="s">
        <v>36</v>
      </c>
      <c r="B32" s="241"/>
      <c r="C32" s="241"/>
      <c r="D32" s="241"/>
      <c r="E32" s="241"/>
      <c r="F32" s="243">
        <f>SUM(F11:F31)</f>
        <v>0</v>
      </c>
      <c r="G32" s="241"/>
      <c r="H32" s="243">
        <f>SUM(H11:H31)</f>
        <v>0</v>
      </c>
      <c r="I32" s="243">
        <f>SUM(I11:I31)</f>
        <v>0</v>
      </c>
      <c r="J32" s="243">
        <f>SUM(J11:J31)</f>
        <v>0</v>
      </c>
      <c r="K32" s="242"/>
    </row>
    <row r="33" spans="1:1" ht="20.100000000000001" customHeight="1">
      <c r="A33" s="69" t="s">
        <v>21</v>
      </c>
    </row>
    <row r="34" spans="1:1" ht="20.100000000000001" customHeight="1">
      <c r="A34" s="70"/>
    </row>
    <row r="35" spans="1:1" ht="20.100000000000001" customHeight="1">
      <c r="A35" s="70"/>
    </row>
    <row r="36" spans="1:1" ht="20.100000000000001" customHeight="1">
      <c r="A36" s="69" t="s">
        <v>22</v>
      </c>
    </row>
    <row r="37" spans="1:1" ht="20.100000000000001" customHeight="1">
      <c r="A37" s="70"/>
    </row>
    <row r="38" spans="1:1" ht="20.100000000000001" customHeight="1"/>
  </sheetData>
  <mergeCells count="11">
    <mergeCell ref="I9:I10"/>
    <mergeCell ref="J9:J10"/>
    <mergeCell ref="K9:K10"/>
    <mergeCell ref="A1:K1"/>
    <mergeCell ref="A2:K2"/>
    <mergeCell ref="A9:A10"/>
    <mergeCell ref="B9:B10"/>
    <mergeCell ref="C9:E9"/>
    <mergeCell ref="F9:F10"/>
    <mergeCell ref="G9:G10"/>
    <mergeCell ref="H9:H10"/>
  </mergeCells>
  <phoneticPr fontId="17" type="noConversion"/>
  <dataValidations count="1">
    <dataValidation type="list" allowBlank="1" showInputMessage="1" showErrorMessage="1" sqref="A11:A31">
      <formula1>"银行承兑汇票,商业承兑汇票"</formula1>
    </dataValidation>
  </dataValidations>
  <hyperlinks>
    <hyperlink ref="K3" location="底稿目录!A1" display="底稿目录!A1"/>
  </hyperlinks>
  <pageMargins left="0.70866141732283472" right="0.70866141732283472" top="0.74803149606299213" bottom="0.74803149606299213" header="0.31496062992125984" footer="0.31496062992125984"/>
  <pageSetup paperSize="9" scale="72" fitToHeight="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O32"/>
  <sheetViews>
    <sheetView view="pageBreakPreview" zoomScale="96" zoomScaleNormal="100" zoomScaleSheetLayoutView="96" workbookViewId="0">
      <selection activeCell="M12" sqref="M12"/>
    </sheetView>
  </sheetViews>
  <sheetFormatPr defaultRowHeight="15.6"/>
  <cols>
    <col min="1" max="1" width="12.3984375" customWidth="1"/>
    <col min="2" max="2" width="12.19921875" customWidth="1"/>
    <col min="3" max="5" width="15.296875" customWidth="1"/>
    <col min="6" max="7" width="10.8984375" customWidth="1"/>
    <col min="8" max="8" width="8.09765625" customWidth="1"/>
    <col min="9" max="9" width="6.5" customWidth="1"/>
    <col min="10" max="10" width="11.5" customWidth="1"/>
    <col min="11" max="11" width="10.19921875" customWidth="1"/>
    <col min="12" max="12" width="18.296875" customWidth="1"/>
    <col min="13" max="13" width="7.19921875" customWidth="1"/>
    <col min="14" max="14" width="15.09765625" customWidth="1"/>
    <col min="15" max="15" width="10.8984375" customWidth="1"/>
  </cols>
  <sheetData>
    <row r="1" spans="1:15" ht="21" customHeight="1">
      <c r="A1" s="362" t="s">
        <v>275</v>
      </c>
      <c r="B1" s="362"/>
      <c r="C1" s="362"/>
      <c r="D1" s="362"/>
      <c r="E1" s="362"/>
      <c r="F1" s="362"/>
      <c r="G1" s="362"/>
      <c r="H1" s="362"/>
      <c r="I1" s="362"/>
      <c r="J1" s="362"/>
      <c r="K1" s="362"/>
      <c r="L1" s="362"/>
      <c r="M1" s="362"/>
      <c r="N1" s="362"/>
      <c r="O1" s="362"/>
    </row>
    <row r="2" spans="1:15" ht="21" customHeight="1">
      <c r="A2" s="363" t="s">
        <v>196</v>
      </c>
      <c r="B2" s="363"/>
      <c r="C2" s="363"/>
      <c r="D2" s="363"/>
      <c r="E2" s="363"/>
      <c r="F2" s="363"/>
      <c r="G2" s="363"/>
      <c r="H2" s="363"/>
      <c r="I2" s="363"/>
      <c r="J2" s="363"/>
      <c r="K2" s="363"/>
      <c r="L2" s="363"/>
      <c r="M2" s="363"/>
      <c r="N2" s="363"/>
      <c r="O2" s="363"/>
    </row>
    <row r="3" spans="1:15" ht="21" customHeight="1">
      <c r="A3" s="16" t="str">
        <f>底稿目录!A2</f>
        <v>被审计单位：</v>
      </c>
      <c r="B3" s="16"/>
      <c r="D3" s="16"/>
      <c r="E3" s="16" t="str">
        <f>底稿目录!A4</f>
        <v>编制人：</v>
      </c>
      <c r="F3" s="16"/>
      <c r="G3" s="16"/>
      <c r="H3" s="16"/>
      <c r="I3" s="16" t="str">
        <f>底稿目录!A5</f>
        <v>编制日期：</v>
      </c>
      <c r="J3" s="16"/>
      <c r="K3" s="16"/>
      <c r="N3" s="153" t="s">
        <v>177</v>
      </c>
      <c r="O3" s="300" t="str">
        <f>底稿目录!F19</f>
        <v>F3-5</v>
      </c>
    </row>
    <row r="4" spans="1:15" ht="21" customHeight="1">
      <c r="A4" s="16" t="str">
        <f>底稿目录!A3</f>
        <v>截止日：202X年12月31日</v>
      </c>
      <c r="B4" s="16"/>
      <c r="D4" s="16"/>
      <c r="E4" s="16" t="str">
        <f>底稿目录!A6</f>
        <v>复核人：</v>
      </c>
      <c r="F4" s="16"/>
      <c r="G4" s="16"/>
      <c r="H4" s="16"/>
      <c r="I4" s="16" t="str">
        <f>底稿目录!A7</f>
        <v>复核日期：</v>
      </c>
      <c r="J4" s="16"/>
      <c r="K4" s="16"/>
      <c r="N4" s="153" t="s">
        <v>178</v>
      </c>
      <c r="O4" s="30"/>
    </row>
    <row r="5" spans="1:15" s="247" customFormat="1" ht="21" customHeight="1">
      <c r="A5" s="372" t="s">
        <v>113</v>
      </c>
      <c r="B5" s="359" t="s">
        <v>25</v>
      </c>
      <c r="C5" s="369" t="s">
        <v>212</v>
      </c>
      <c r="D5" s="370"/>
      <c r="E5" s="371"/>
      <c r="F5" s="369" t="s">
        <v>205</v>
      </c>
      <c r="G5" s="370"/>
      <c r="H5" s="371"/>
      <c r="I5" s="372" t="s">
        <v>206</v>
      </c>
      <c r="J5" s="366" t="s">
        <v>199</v>
      </c>
      <c r="K5" s="366" t="s">
        <v>262</v>
      </c>
      <c r="L5" s="368" t="s">
        <v>197</v>
      </c>
      <c r="M5" s="368" t="s">
        <v>286</v>
      </c>
      <c r="N5" s="364" t="s">
        <v>200</v>
      </c>
      <c r="O5" s="365"/>
    </row>
    <row r="6" spans="1:15" s="247" customFormat="1" ht="21" customHeight="1">
      <c r="A6" s="372"/>
      <c r="B6" s="359"/>
      <c r="C6" s="216" t="s">
        <v>208</v>
      </c>
      <c r="D6" s="216" t="s">
        <v>207</v>
      </c>
      <c r="E6" s="216" t="s">
        <v>209</v>
      </c>
      <c r="F6" s="216" t="s">
        <v>210</v>
      </c>
      <c r="G6" s="216" t="s">
        <v>198</v>
      </c>
      <c r="H6" s="216" t="s">
        <v>211</v>
      </c>
      <c r="I6" s="372"/>
      <c r="J6" s="367"/>
      <c r="K6" s="367"/>
      <c r="L6" s="368"/>
      <c r="M6" s="368"/>
      <c r="N6" s="246" t="s">
        <v>201</v>
      </c>
      <c r="O6" s="246" t="s">
        <v>202</v>
      </c>
    </row>
    <row r="7" spans="1:15" s="247" customFormat="1" ht="21" customHeight="1">
      <c r="A7" s="62"/>
      <c r="B7" s="235"/>
      <c r="C7" s="248"/>
      <c r="D7" s="248"/>
      <c r="E7" s="248"/>
      <c r="F7" s="249"/>
      <c r="G7" s="249"/>
      <c r="H7" s="250"/>
      <c r="I7" s="251"/>
      <c r="J7" s="252"/>
      <c r="K7" s="252"/>
      <c r="L7" s="253"/>
      <c r="M7" s="254"/>
      <c r="N7" s="255"/>
      <c r="O7" s="252"/>
    </row>
    <row r="8" spans="1:15" s="247" customFormat="1" ht="21" customHeight="1">
      <c r="A8" s="62"/>
      <c r="B8" s="235"/>
      <c r="C8" s="248"/>
      <c r="D8" s="248"/>
      <c r="E8" s="248"/>
      <c r="F8" s="249"/>
      <c r="G8" s="249"/>
      <c r="H8" s="250"/>
      <c r="I8" s="251"/>
      <c r="J8" s="252"/>
      <c r="K8" s="252"/>
      <c r="L8" s="253"/>
      <c r="M8" s="254"/>
      <c r="N8" s="255"/>
      <c r="O8" s="252"/>
    </row>
    <row r="9" spans="1:15" s="247" customFormat="1" ht="21" customHeight="1">
      <c r="A9" s="62"/>
      <c r="B9" s="235"/>
      <c r="C9" s="248"/>
      <c r="D9" s="248"/>
      <c r="E9" s="248"/>
      <c r="F9" s="249"/>
      <c r="G9" s="249"/>
      <c r="H9" s="250"/>
      <c r="I9" s="251"/>
      <c r="J9" s="252"/>
      <c r="K9" s="252"/>
      <c r="L9" s="253"/>
      <c r="M9" s="254"/>
      <c r="N9" s="255"/>
      <c r="O9" s="252"/>
    </row>
    <row r="10" spans="1:15" s="247" customFormat="1" ht="21" customHeight="1">
      <c r="A10" s="62"/>
      <c r="B10" s="235"/>
      <c r="C10" s="248"/>
      <c r="D10" s="248"/>
      <c r="E10" s="248"/>
      <c r="F10" s="249"/>
      <c r="G10" s="249"/>
      <c r="H10" s="250"/>
      <c r="I10" s="251"/>
      <c r="J10" s="252"/>
      <c r="K10" s="252"/>
      <c r="L10" s="253"/>
      <c r="M10" s="254"/>
      <c r="N10" s="255"/>
      <c r="O10" s="252"/>
    </row>
    <row r="11" spans="1:15" s="247" customFormat="1" ht="21" customHeight="1">
      <c r="A11" s="62"/>
      <c r="B11" s="235"/>
      <c r="C11" s="248"/>
      <c r="D11" s="248"/>
      <c r="E11" s="248"/>
      <c r="F11" s="249"/>
      <c r="G11" s="249"/>
      <c r="H11" s="250"/>
      <c r="I11" s="251"/>
      <c r="J11" s="252"/>
      <c r="K11" s="252"/>
      <c r="L11" s="253"/>
      <c r="M11" s="254"/>
      <c r="N11" s="255"/>
      <c r="O11" s="252"/>
    </row>
    <row r="12" spans="1:15" s="247" customFormat="1" ht="21" customHeight="1">
      <c r="A12" s="62"/>
      <c r="B12" s="235"/>
      <c r="C12" s="248"/>
      <c r="D12" s="248"/>
      <c r="E12" s="248"/>
      <c r="F12" s="249"/>
      <c r="G12" s="249"/>
      <c r="H12" s="250"/>
      <c r="I12" s="251"/>
      <c r="J12" s="252"/>
      <c r="K12" s="252"/>
      <c r="L12" s="253"/>
      <c r="M12" s="254"/>
      <c r="N12" s="255"/>
      <c r="O12" s="252"/>
    </row>
    <row r="13" spans="1:15" s="247" customFormat="1" ht="21" customHeight="1">
      <c r="A13" s="62"/>
      <c r="B13" s="235"/>
      <c r="C13" s="248"/>
      <c r="D13" s="248"/>
      <c r="E13" s="248"/>
      <c r="F13" s="249"/>
      <c r="G13" s="249"/>
      <c r="H13" s="250"/>
      <c r="I13" s="251"/>
      <c r="J13" s="252"/>
      <c r="K13" s="252"/>
      <c r="L13" s="253"/>
      <c r="M13" s="254"/>
      <c r="N13" s="255"/>
      <c r="O13" s="252"/>
    </row>
    <row r="14" spans="1:15" s="247" customFormat="1" ht="21" customHeight="1">
      <c r="A14" s="62"/>
      <c r="B14" s="235"/>
      <c r="C14" s="248"/>
      <c r="D14" s="248"/>
      <c r="E14" s="248"/>
      <c r="F14" s="249"/>
      <c r="G14" s="249"/>
      <c r="H14" s="250"/>
      <c r="I14" s="251"/>
      <c r="J14" s="252"/>
      <c r="K14" s="252"/>
      <c r="L14" s="253"/>
      <c r="M14" s="254"/>
      <c r="N14" s="255"/>
      <c r="O14" s="252"/>
    </row>
    <row r="15" spans="1:15" s="247" customFormat="1" ht="21" customHeight="1">
      <c r="A15" s="62"/>
      <c r="B15" s="235"/>
      <c r="C15" s="248"/>
      <c r="D15" s="248"/>
      <c r="E15" s="248"/>
      <c r="F15" s="249"/>
      <c r="G15" s="249"/>
      <c r="H15" s="250"/>
      <c r="I15" s="251"/>
      <c r="J15" s="252"/>
      <c r="K15" s="252"/>
      <c r="L15" s="253"/>
      <c r="M15" s="254"/>
      <c r="N15" s="255"/>
      <c r="O15" s="252"/>
    </row>
    <row r="16" spans="1:15" s="247" customFormat="1" ht="21" customHeight="1">
      <c r="A16" s="62"/>
      <c r="B16" s="235"/>
      <c r="C16" s="248"/>
      <c r="D16" s="248"/>
      <c r="E16" s="248"/>
      <c r="F16" s="249"/>
      <c r="G16" s="249"/>
      <c r="H16" s="250"/>
      <c r="I16" s="251"/>
      <c r="J16" s="252"/>
      <c r="K16" s="252"/>
      <c r="L16" s="253"/>
      <c r="M16" s="254"/>
      <c r="N16" s="255"/>
      <c r="O16" s="252"/>
    </row>
    <row r="17" spans="1:15" s="247" customFormat="1" ht="21" customHeight="1">
      <c r="A17" s="62"/>
      <c r="B17" s="235"/>
      <c r="C17" s="248"/>
      <c r="D17" s="248"/>
      <c r="E17" s="248"/>
      <c r="F17" s="249"/>
      <c r="G17" s="249"/>
      <c r="H17" s="250"/>
      <c r="I17" s="251"/>
      <c r="J17" s="252"/>
      <c r="K17" s="252"/>
      <c r="L17" s="253"/>
      <c r="M17" s="254"/>
      <c r="N17" s="255"/>
      <c r="O17" s="252"/>
    </row>
    <row r="18" spans="1:15" s="247" customFormat="1" ht="21" customHeight="1">
      <c r="A18" s="62"/>
      <c r="B18" s="235"/>
      <c r="C18" s="248"/>
      <c r="D18" s="248"/>
      <c r="E18" s="248"/>
      <c r="F18" s="249"/>
      <c r="G18" s="249"/>
      <c r="H18" s="250"/>
      <c r="I18" s="251"/>
      <c r="J18" s="252"/>
      <c r="K18" s="252"/>
      <c r="L18" s="253"/>
      <c r="M18" s="254"/>
      <c r="N18" s="255"/>
      <c r="O18" s="252"/>
    </row>
    <row r="19" spans="1:15" s="247" customFormat="1" ht="21" customHeight="1">
      <c r="A19" s="62"/>
      <c r="B19" s="235"/>
      <c r="C19" s="248"/>
      <c r="D19" s="248"/>
      <c r="E19" s="248"/>
      <c r="F19" s="249"/>
      <c r="G19" s="249"/>
      <c r="H19" s="250"/>
      <c r="I19" s="251"/>
      <c r="J19" s="252"/>
      <c r="K19" s="252"/>
      <c r="L19" s="253"/>
      <c r="M19" s="254"/>
      <c r="N19" s="255"/>
      <c r="O19" s="252"/>
    </row>
    <row r="20" spans="1:15" s="247" customFormat="1" ht="21" customHeight="1">
      <c r="A20" s="62"/>
      <c r="B20" s="235"/>
      <c r="C20" s="248"/>
      <c r="D20" s="248"/>
      <c r="E20" s="248"/>
      <c r="F20" s="249"/>
      <c r="G20" s="249"/>
      <c r="H20" s="250"/>
      <c r="I20" s="251"/>
      <c r="J20" s="252"/>
      <c r="K20" s="252"/>
      <c r="L20" s="253"/>
      <c r="M20" s="254"/>
      <c r="N20" s="255"/>
      <c r="O20" s="252"/>
    </row>
    <row r="21" spans="1:15" s="247" customFormat="1" ht="21" customHeight="1">
      <c r="A21" s="62"/>
      <c r="B21" s="235"/>
      <c r="C21" s="248"/>
      <c r="D21" s="248"/>
      <c r="E21" s="248"/>
      <c r="F21" s="249"/>
      <c r="G21" s="249"/>
      <c r="H21" s="250"/>
      <c r="I21" s="251"/>
      <c r="J21" s="252"/>
      <c r="K21" s="252"/>
      <c r="L21" s="253"/>
      <c r="M21" s="254"/>
      <c r="N21" s="255"/>
      <c r="O21" s="252"/>
    </row>
    <row r="22" spans="1:15" s="247" customFormat="1" ht="21" customHeight="1">
      <c r="A22" s="171" t="s">
        <v>203</v>
      </c>
      <c r="B22" s="171"/>
      <c r="C22" s="256"/>
      <c r="D22" s="256"/>
      <c r="E22" s="256"/>
      <c r="F22" s="257"/>
      <c r="G22" s="257"/>
      <c r="H22" s="258"/>
      <c r="I22" s="259"/>
      <c r="J22" s="215">
        <f>SUM(J7:J21)</f>
        <v>0</v>
      </c>
      <c r="K22" s="215">
        <f>SUM(K7:K21)</f>
        <v>0</v>
      </c>
      <c r="L22" s="260"/>
      <c r="M22" s="261"/>
      <c r="N22" s="262"/>
      <c r="O22" s="215">
        <f>SUM(O7:O21)</f>
        <v>0</v>
      </c>
    </row>
    <row r="23" spans="1:15" ht="21" customHeight="1">
      <c r="A23" s="177" t="s">
        <v>188</v>
      </c>
      <c r="B23" s="177"/>
      <c r="C23" s="173"/>
      <c r="D23" s="173"/>
      <c r="E23" s="173"/>
      <c r="F23" s="173"/>
      <c r="G23" s="173"/>
      <c r="H23" s="173"/>
      <c r="I23" s="173"/>
      <c r="J23" s="173"/>
      <c r="K23" s="173"/>
      <c r="L23" s="174"/>
      <c r="M23" s="175"/>
      <c r="N23" s="176"/>
      <c r="O23" s="175"/>
    </row>
    <row r="24" spans="1:15" ht="21" customHeight="1">
      <c r="A24" s="181" t="s">
        <v>214</v>
      </c>
      <c r="B24" s="181"/>
      <c r="C24" s="168"/>
      <c r="D24" s="168"/>
      <c r="E24" s="168"/>
      <c r="F24" s="168"/>
      <c r="G24" s="168"/>
      <c r="H24" s="168"/>
      <c r="I24" s="168"/>
      <c r="J24" s="168"/>
      <c r="K24" s="168"/>
      <c r="L24" s="169"/>
      <c r="M24" s="170"/>
      <c r="N24" s="167"/>
      <c r="O24" s="170"/>
    </row>
    <row r="25" spans="1:15" ht="21" customHeight="1">
      <c r="A25" s="182" t="s">
        <v>213</v>
      </c>
      <c r="B25" s="182"/>
      <c r="C25" s="178"/>
      <c r="D25" s="178"/>
      <c r="E25" s="178"/>
      <c r="F25" s="178"/>
      <c r="G25" s="178"/>
      <c r="H25" s="178"/>
      <c r="I25" s="178"/>
      <c r="J25" s="178"/>
      <c r="K25" s="178"/>
      <c r="L25" s="179"/>
      <c r="M25" s="179"/>
      <c r="N25" s="179"/>
      <c r="O25" s="179"/>
    </row>
    <row r="26" spans="1:15" ht="21" customHeight="1">
      <c r="A26" s="183"/>
      <c r="B26" s="183"/>
      <c r="C26" s="183"/>
      <c r="D26" s="183"/>
      <c r="E26" s="183"/>
      <c r="F26" s="183"/>
      <c r="G26" s="183"/>
      <c r="H26" s="183"/>
      <c r="I26" s="183"/>
      <c r="J26" s="183"/>
      <c r="K26" s="183"/>
      <c r="L26" s="179"/>
      <c r="M26" s="179"/>
      <c r="N26" s="179"/>
      <c r="O26" s="179"/>
    </row>
    <row r="27" spans="1:15" ht="21" customHeight="1">
      <c r="A27" s="180" t="s">
        <v>191</v>
      </c>
      <c r="B27" s="180"/>
      <c r="C27" s="179"/>
      <c r="D27" s="179"/>
      <c r="E27" s="179"/>
      <c r="F27" s="179"/>
      <c r="G27" s="179"/>
      <c r="H27" s="179"/>
      <c r="I27" s="179"/>
      <c r="J27" s="179"/>
      <c r="K27" s="179"/>
      <c r="L27" s="179"/>
      <c r="M27" s="179"/>
      <c r="N27" s="179"/>
      <c r="O27" s="179"/>
    </row>
    <row r="28" spans="1:15" ht="21" customHeight="1">
      <c r="A28" s="179"/>
      <c r="B28" s="179"/>
      <c r="C28" s="179"/>
      <c r="D28" s="179"/>
      <c r="E28" s="179"/>
      <c r="F28" s="179"/>
      <c r="G28" s="179"/>
      <c r="H28" s="179"/>
      <c r="I28" s="179"/>
      <c r="J28" s="179"/>
      <c r="K28" s="179"/>
      <c r="L28" s="179"/>
      <c r="M28" s="179"/>
      <c r="N28" s="179"/>
      <c r="O28" s="179"/>
    </row>
    <row r="29" spans="1:15" ht="21" customHeight="1">
      <c r="A29" s="179"/>
      <c r="B29" s="179"/>
      <c r="C29" s="179"/>
      <c r="D29" s="179"/>
      <c r="E29" s="179"/>
      <c r="F29" s="179"/>
      <c r="G29" s="179"/>
      <c r="H29" s="179"/>
      <c r="I29" s="179"/>
      <c r="J29" s="179"/>
      <c r="K29" s="179"/>
      <c r="L29" s="179"/>
      <c r="M29" s="179"/>
      <c r="N29" s="179"/>
      <c r="O29" s="179"/>
    </row>
    <row r="30" spans="1:15" ht="19.95" customHeight="1"/>
    <row r="31" spans="1:15" ht="19.95" customHeight="1"/>
    <row r="32" spans="1:15" ht="19.95" customHeight="1"/>
  </sheetData>
  <mergeCells count="12">
    <mergeCell ref="A1:O1"/>
    <mergeCell ref="A2:O2"/>
    <mergeCell ref="N5:O5"/>
    <mergeCell ref="B5:B6"/>
    <mergeCell ref="K5:K6"/>
    <mergeCell ref="L5:L6"/>
    <mergeCell ref="J5:J6"/>
    <mergeCell ref="C5:E5"/>
    <mergeCell ref="F5:H5"/>
    <mergeCell ref="A5:A6"/>
    <mergeCell ref="M5:M6"/>
    <mergeCell ref="I5:I6"/>
  </mergeCells>
  <phoneticPr fontId="17" type="noConversion"/>
  <dataValidations count="2">
    <dataValidation type="list" allowBlank="1" showInputMessage="1" showErrorMessage="1" sqref="A7:A21">
      <formula1>"银行承兑汇票,商业承兑汇票"</formula1>
    </dataValidation>
    <dataValidation type="list" allowBlank="1" showInputMessage="1" showErrorMessage="1" sqref="M7:M21">
      <formula1>"是,否"</formula1>
    </dataValidation>
  </dataValidations>
  <hyperlinks>
    <hyperlink ref="O3" location="底稿目录!A1" display="底稿目录!A1"/>
  </hyperlinks>
  <pageMargins left="0.70866141732283472" right="0.70866141732283472" top="0.74803149606299213" bottom="0.74803149606299213" header="0.31496062992125984" footer="0.31496062992125984"/>
  <pageSetup paperSize="9" scale="68" orientation="landscape" blackAndWhite="1"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26"/>
  <sheetViews>
    <sheetView view="pageBreakPreview" zoomScaleNormal="130" zoomScaleSheetLayoutView="100" workbookViewId="0">
      <selection activeCell="F14" sqref="F14"/>
    </sheetView>
  </sheetViews>
  <sheetFormatPr defaultColWidth="9" defaultRowHeight="13.8"/>
  <cols>
    <col min="1" max="1" width="20" style="152" customWidth="1"/>
    <col min="2" max="2" width="16.296875" style="152" customWidth="1"/>
    <col min="3" max="3" width="13.19921875" style="152" customWidth="1"/>
    <col min="4" max="7" width="11.3984375" style="152" customWidth="1"/>
    <col min="8" max="9" width="10" style="152" customWidth="1"/>
    <col min="10" max="10" width="12.8984375" style="152" customWidth="1"/>
    <col min="11" max="11" width="8.59765625" style="152" customWidth="1"/>
    <col min="12" max="12" width="10.09765625" style="152" customWidth="1"/>
    <col min="13" max="13" width="11.3984375" style="152" customWidth="1"/>
    <col min="14" max="14" width="9" style="152"/>
    <col min="15" max="15" width="27.09765625" style="152" customWidth="1"/>
    <col min="16" max="16384" width="9" style="152"/>
  </cols>
  <sheetData>
    <row r="1" spans="1:16" s="154" customFormat="1" ht="20.100000000000001" customHeight="1">
      <c r="A1" s="373" t="s">
        <v>37</v>
      </c>
      <c r="B1" s="373"/>
      <c r="C1" s="373"/>
      <c r="D1" s="373"/>
      <c r="E1" s="373"/>
      <c r="F1" s="373"/>
      <c r="G1" s="373"/>
      <c r="H1" s="373"/>
      <c r="I1" s="373"/>
      <c r="J1" s="373"/>
      <c r="K1" s="373"/>
      <c r="L1" s="373"/>
      <c r="M1" s="373"/>
    </row>
    <row r="2" spans="1:16" s="156" customFormat="1" ht="25.05" customHeight="1">
      <c r="A2" s="362" t="s">
        <v>194</v>
      </c>
      <c r="B2" s="362"/>
      <c r="C2" s="374"/>
      <c r="D2" s="374"/>
      <c r="E2" s="374"/>
      <c r="F2" s="374"/>
      <c r="G2" s="374"/>
      <c r="H2" s="374"/>
      <c r="I2" s="374"/>
      <c r="J2" s="374"/>
      <c r="K2" s="374"/>
      <c r="L2" s="374"/>
      <c r="M2" s="374"/>
      <c r="N2" s="155"/>
    </row>
    <row r="3" spans="1:16" ht="20.100000000000001" customHeight="1">
      <c r="A3" s="16" t="str">
        <f>底稿目录!A2</f>
        <v>被审计单位：</v>
      </c>
      <c r="B3" s="16"/>
      <c r="C3" s="16" t="str">
        <f>底稿目录!A4</f>
        <v>编制人：</v>
      </c>
      <c r="G3" s="16" t="str">
        <f>底稿目录!A5</f>
        <v>编制日期：</v>
      </c>
      <c r="J3" s="61"/>
      <c r="K3" s="61"/>
      <c r="L3" s="153" t="s">
        <v>177</v>
      </c>
      <c r="M3" s="300" t="str">
        <f>底稿目录!F20</f>
        <v>F3-6</v>
      </c>
    </row>
    <row r="4" spans="1:16" ht="20.100000000000001" customHeight="1">
      <c r="A4" s="16" t="str">
        <f>底稿目录!A3</f>
        <v>截止日：202X年12月31日</v>
      </c>
      <c r="B4" s="16"/>
      <c r="C4" s="16" t="str">
        <f>底稿目录!A6</f>
        <v>复核人：</v>
      </c>
      <c r="G4" s="16" t="str">
        <f>底稿目录!A7</f>
        <v>复核日期：</v>
      </c>
      <c r="J4" s="61"/>
      <c r="K4" s="61"/>
      <c r="L4" s="153" t="s">
        <v>178</v>
      </c>
      <c r="M4" s="30"/>
    </row>
    <row r="5" spans="1:16" ht="20.100000000000001" customHeight="1">
      <c r="A5" s="157" t="s">
        <v>195</v>
      </c>
      <c r="B5" s="157"/>
      <c r="C5" s="19"/>
      <c r="D5" s="19"/>
      <c r="E5" s="19"/>
      <c r="F5" s="19"/>
      <c r="H5" s="16"/>
      <c r="I5" s="16"/>
      <c r="J5" s="61"/>
      <c r="K5" s="61"/>
      <c r="L5" s="16"/>
      <c r="M5" s="30"/>
    </row>
    <row r="6" spans="1:16" s="160" customFormat="1" ht="27.6" customHeight="1">
      <c r="A6" s="158" t="s">
        <v>179</v>
      </c>
      <c r="B6" s="158" t="s">
        <v>180</v>
      </c>
      <c r="C6" s="158" t="s">
        <v>257</v>
      </c>
      <c r="D6" s="158" t="s">
        <v>287</v>
      </c>
      <c r="E6" s="158" t="s">
        <v>288</v>
      </c>
      <c r="F6" s="158" t="s">
        <v>289</v>
      </c>
      <c r="G6" s="158" t="s">
        <v>290</v>
      </c>
      <c r="H6" s="158" t="s">
        <v>291</v>
      </c>
      <c r="I6" s="158" t="s">
        <v>292</v>
      </c>
      <c r="J6" s="159" t="s">
        <v>181</v>
      </c>
      <c r="K6" s="158" t="s">
        <v>293</v>
      </c>
      <c r="L6" s="159" t="s">
        <v>182</v>
      </c>
      <c r="M6" s="159" t="s">
        <v>183</v>
      </c>
      <c r="O6" s="161"/>
      <c r="P6" s="162"/>
    </row>
    <row r="7" spans="1:16" ht="20.100000000000001" customHeight="1">
      <c r="A7" s="263"/>
      <c r="B7" s="307"/>
      <c r="C7" s="62"/>
      <c r="D7" s="58"/>
      <c r="E7" s="58"/>
      <c r="F7" s="58"/>
      <c r="G7" s="264">
        <f t="shared" ref="G7:G12" si="0">D7+F7-E7</f>
        <v>0</v>
      </c>
      <c r="H7" s="163"/>
      <c r="I7" s="263"/>
      <c r="J7" s="263"/>
      <c r="K7" s="58"/>
      <c r="L7" s="265"/>
      <c r="M7" s="263"/>
    </row>
    <row r="8" spans="1:16" ht="20.100000000000001" customHeight="1">
      <c r="A8" s="263"/>
      <c r="B8" s="307"/>
      <c r="C8" s="62"/>
      <c r="D8" s="58"/>
      <c r="E8" s="58"/>
      <c r="F8" s="58"/>
      <c r="G8" s="264">
        <f t="shared" si="0"/>
        <v>0</v>
      </c>
      <c r="H8" s="163"/>
      <c r="I8" s="263"/>
      <c r="J8" s="263"/>
      <c r="K8" s="58"/>
      <c r="L8" s="265"/>
      <c r="M8" s="263"/>
    </row>
    <row r="9" spans="1:16" ht="20.100000000000001" customHeight="1">
      <c r="A9" s="263"/>
      <c r="B9" s="307"/>
      <c r="C9" s="62"/>
      <c r="D9" s="58"/>
      <c r="E9" s="58"/>
      <c r="F9" s="58"/>
      <c r="G9" s="264">
        <f t="shared" si="0"/>
        <v>0</v>
      </c>
      <c r="H9" s="163"/>
      <c r="I9" s="263"/>
      <c r="J9" s="263"/>
      <c r="K9" s="58"/>
      <c r="L9" s="265"/>
      <c r="M9" s="263"/>
    </row>
    <row r="10" spans="1:16" ht="20.100000000000001" customHeight="1">
      <c r="A10" s="263"/>
      <c r="B10" s="307"/>
      <c r="C10" s="62"/>
      <c r="D10" s="58"/>
      <c r="E10" s="58"/>
      <c r="F10" s="58"/>
      <c r="G10" s="264">
        <f t="shared" si="0"/>
        <v>0</v>
      </c>
      <c r="H10" s="163"/>
      <c r="I10" s="263"/>
      <c r="J10" s="263"/>
      <c r="K10" s="58"/>
      <c r="L10" s="265"/>
      <c r="M10" s="263"/>
    </row>
    <row r="11" spans="1:16" ht="20.100000000000001" customHeight="1">
      <c r="A11" s="263"/>
      <c r="B11" s="307"/>
      <c r="C11" s="62"/>
      <c r="D11" s="58"/>
      <c r="E11" s="58"/>
      <c r="F11" s="58"/>
      <c r="G11" s="264">
        <f>D11+F11-E11</f>
        <v>0</v>
      </c>
      <c r="H11" s="163"/>
      <c r="I11" s="263"/>
      <c r="J11" s="263"/>
      <c r="K11" s="58"/>
      <c r="L11" s="265"/>
      <c r="M11" s="263"/>
    </row>
    <row r="12" spans="1:16" ht="20.100000000000001" customHeight="1">
      <c r="A12" s="263"/>
      <c r="B12" s="307"/>
      <c r="C12" s="62"/>
      <c r="D12" s="58"/>
      <c r="E12" s="58"/>
      <c r="F12" s="58"/>
      <c r="G12" s="264">
        <f t="shared" si="0"/>
        <v>0</v>
      </c>
      <c r="H12" s="163"/>
      <c r="I12" s="263"/>
      <c r="J12" s="263"/>
      <c r="K12" s="58"/>
      <c r="L12" s="265"/>
      <c r="M12" s="263"/>
    </row>
    <row r="13" spans="1:16" s="306" customFormat="1" ht="20.100000000000001" customHeight="1">
      <c r="A13" s="158" t="s">
        <v>204</v>
      </c>
      <c r="B13" s="304"/>
      <c r="C13" s="305"/>
      <c r="D13" s="266">
        <f t="shared" ref="D13:E13" si="1">SUM(D7:D12)</f>
        <v>0</v>
      </c>
      <c r="E13" s="266">
        <f t="shared" si="1"/>
        <v>0</v>
      </c>
      <c r="F13" s="266">
        <f>SUM(F7:F12)</f>
        <v>0</v>
      </c>
      <c r="G13" s="266">
        <f>SUM(G7:G12)</f>
        <v>0</v>
      </c>
      <c r="H13" s="304"/>
      <c r="I13" s="304"/>
      <c r="J13" s="304"/>
      <c r="K13" s="266">
        <f>SUM(K7:K12)</f>
        <v>0</v>
      </c>
      <c r="L13" s="159"/>
      <c r="M13" s="159"/>
    </row>
    <row r="14" spans="1:16" s="30" customFormat="1" ht="20.100000000000001" customHeight="1">
      <c r="A14" s="60" t="s">
        <v>188</v>
      </c>
      <c r="B14" s="60"/>
      <c r="C14" s="164"/>
      <c r="D14" s="164"/>
      <c r="E14" s="164"/>
      <c r="F14" s="164"/>
      <c r="G14" s="164"/>
      <c r="H14" s="164"/>
      <c r="I14" s="164"/>
      <c r="J14" s="164"/>
      <c r="K14" s="164"/>
      <c r="L14" s="164"/>
      <c r="M14" s="164"/>
      <c r="N14" s="164"/>
    </row>
    <row r="15" spans="1:16" ht="20.100000000000001" customHeight="1"/>
    <row r="16" spans="1:16" ht="20.100000000000001" customHeight="1">
      <c r="A16" s="160" t="s">
        <v>191</v>
      </c>
      <c r="B16" s="160"/>
    </row>
    <row r="17" spans="1:14" ht="20.100000000000001" customHeight="1"/>
    <row r="18" spans="1:14" ht="18" customHeight="1">
      <c r="A18" s="164"/>
      <c r="B18" s="303" t="s">
        <v>343</v>
      </c>
      <c r="C18" s="30"/>
      <c r="D18" s="30"/>
      <c r="E18" s="30"/>
      <c r="F18" s="30"/>
      <c r="G18" s="30"/>
      <c r="H18" s="30"/>
      <c r="I18" s="30"/>
      <c r="J18" s="30"/>
      <c r="K18" s="30"/>
      <c r="L18" s="30"/>
      <c r="M18" s="30"/>
      <c r="N18" s="30"/>
    </row>
    <row r="19" spans="1:14" ht="18" customHeight="1">
      <c r="A19" s="164"/>
      <c r="B19" s="161" t="s">
        <v>184</v>
      </c>
      <c r="C19" s="30"/>
      <c r="D19" s="30"/>
      <c r="E19" s="30"/>
      <c r="F19" s="30"/>
      <c r="G19" s="30"/>
      <c r="H19" s="30"/>
      <c r="I19" s="30"/>
      <c r="J19" s="31"/>
      <c r="K19" s="31"/>
      <c r="L19" s="30"/>
      <c r="M19" s="30"/>
      <c r="N19" s="30"/>
    </row>
    <row r="20" spans="1:14" ht="18" customHeight="1">
      <c r="A20" s="164"/>
      <c r="B20" s="161" t="s">
        <v>185</v>
      </c>
      <c r="C20" s="30"/>
      <c r="D20" s="30"/>
      <c r="E20" s="30"/>
      <c r="F20" s="30"/>
      <c r="G20" s="30"/>
      <c r="H20" s="30"/>
      <c r="I20" s="30"/>
      <c r="J20" s="30"/>
      <c r="K20" s="30"/>
      <c r="L20" s="30"/>
      <c r="M20" s="30"/>
      <c r="N20" s="30"/>
    </row>
    <row r="21" spans="1:14" ht="18" customHeight="1">
      <c r="A21" s="165"/>
      <c r="B21" s="161" t="s">
        <v>186</v>
      </c>
      <c r="C21" s="30"/>
      <c r="D21" s="30"/>
      <c r="E21" s="30"/>
      <c r="F21" s="30"/>
      <c r="G21" s="30"/>
      <c r="H21" s="30"/>
      <c r="I21" s="30"/>
      <c r="J21" s="30"/>
      <c r="K21" s="30"/>
      <c r="L21" s="30"/>
      <c r="M21" s="30"/>
      <c r="N21" s="30"/>
    </row>
    <row r="22" spans="1:14" ht="18" customHeight="1">
      <c r="A22" s="166"/>
      <c r="B22" s="152" t="s">
        <v>187</v>
      </c>
      <c r="C22" s="164"/>
      <c r="D22" s="164"/>
      <c r="E22" s="164"/>
      <c r="F22" s="164"/>
      <c r="G22" s="30"/>
      <c r="H22" s="30"/>
      <c r="I22" s="30"/>
      <c r="J22" s="30"/>
      <c r="K22" s="30"/>
      <c r="L22" s="30"/>
      <c r="M22" s="30"/>
      <c r="N22" s="30"/>
    </row>
    <row r="23" spans="1:14" ht="18" customHeight="1">
      <c r="A23" s="166"/>
      <c r="B23" s="161" t="s">
        <v>189</v>
      </c>
      <c r="C23" s="164"/>
      <c r="D23" s="164"/>
      <c r="E23" s="164"/>
      <c r="F23" s="164"/>
      <c r="G23" s="30"/>
      <c r="H23" s="30"/>
      <c r="I23" s="30"/>
      <c r="J23" s="30"/>
      <c r="K23" s="30"/>
      <c r="L23" s="30"/>
      <c r="M23" s="30"/>
      <c r="N23" s="30"/>
    </row>
    <row r="24" spans="1:14" ht="18" customHeight="1">
      <c r="A24" s="166"/>
      <c r="B24" s="31" t="s">
        <v>190</v>
      </c>
      <c r="C24" s="164"/>
      <c r="D24" s="164"/>
      <c r="E24" s="164"/>
      <c r="F24" s="164"/>
      <c r="G24" s="30"/>
      <c r="H24" s="30"/>
      <c r="I24" s="30"/>
      <c r="J24" s="30"/>
      <c r="K24" s="30"/>
      <c r="L24" s="30"/>
      <c r="M24" s="30"/>
      <c r="N24" s="30"/>
    </row>
    <row r="25" spans="1:14" ht="24">
      <c r="B25" s="161" t="s">
        <v>192</v>
      </c>
    </row>
    <row r="26" spans="1:14">
      <c r="B26" s="161" t="s">
        <v>193</v>
      </c>
    </row>
  </sheetData>
  <mergeCells count="2">
    <mergeCell ref="A1:M1"/>
    <mergeCell ref="A2:M2"/>
  </mergeCells>
  <phoneticPr fontId="17" type="noConversion"/>
  <dataValidations count="2">
    <dataValidation type="list" allowBlank="1" showInputMessage="1" showErrorMessage="1" sqref="C7:C12">
      <formula1>"银行承兑汇票,商业承兑汇票"</formula1>
    </dataValidation>
    <dataValidation type="list" allowBlank="1" showInputMessage="1" showErrorMessage="1" sqref="B7:B12">
      <formula1>$B$19:$B$26</formula1>
    </dataValidation>
  </dataValidations>
  <hyperlinks>
    <hyperlink ref="M3" location="底稿目录!A1" display="底稿目录!A1"/>
  </hyperlinks>
  <printOptions horizontalCentered="1"/>
  <pageMargins left="0.55118110236220474" right="0.39370078740157483" top="0.51181102362204722" bottom="0.43307086614173229" header="0.31496062992125984" footer="0.31496062992125984"/>
  <pageSetup paperSize="9" scale="81" fitToHeight="10" orientation="landscape" blackAndWhite="1" cellComments="atEnd" r:id="rId1"/>
  <headerFooter>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R97"/>
  <sheetViews>
    <sheetView view="pageBreakPreview" zoomScale="98" zoomScaleNormal="100" zoomScaleSheetLayoutView="98" workbookViewId="0">
      <selection activeCell="Q3" sqref="Q3"/>
    </sheetView>
  </sheetViews>
  <sheetFormatPr defaultRowHeight="15.6"/>
  <cols>
    <col min="1" max="5" width="8.796875" style="189"/>
    <col min="6" max="6" width="9.8984375" style="189" customWidth="1"/>
    <col min="7" max="7" width="11.3984375" style="189" customWidth="1"/>
    <col min="8" max="8" width="10.59765625" style="189" customWidth="1"/>
    <col min="9" max="9" width="11.296875" style="189" customWidth="1"/>
    <col min="10" max="10" width="8.796875" style="189"/>
    <col min="11" max="11" width="11.796875" style="189" customWidth="1"/>
    <col min="12" max="12" width="8.796875" style="189"/>
    <col min="13" max="13" width="10.3984375" style="189" customWidth="1"/>
    <col min="14" max="14" width="10.69921875" style="189" customWidth="1"/>
    <col min="15" max="16384" width="8.796875" style="189"/>
  </cols>
  <sheetData>
    <row r="1" spans="1:18" ht="19.95" customHeight="1">
      <c r="A1" s="375" t="s">
        <v>275</v>
      </c>
      <c r="B1" s="375"/>
      <c r="C1" s="375"/>
      <c r="D1" s="375"/>
      <c r="E1" s="375"/>
      <c r="F1" s="375"/>
      <c r="G1" s="375"/>
      <c r="H1" s="375"/>
      <c r="I1" s="375"/>
      <c r="J1" s="375"/>
      <c r="K1" s="375"/>
      <c r="L1" s="375"/>
      <c r="M1" s="375"/>
      <c r="N1" s="375"/>
      <c r="O1" s="375"/>
      <c r="P1" s="375"/>
      <c r="Q1" s="375"/>
    </row>
    <row r="2" spans="1:18" ht="19.95" customHeight="1">
      <c r="A2" s="376" t="s">
        <v>254</v>
      </c>
      <c r="B2" s="376"/>
      <c r="C2" s="376"/>
      <c r="D2" s="376"/>
      <c r="E2" s="376"/>
      <c r="F2" s="376"/>
      <c r="G2" s="376"/>
      <c r="H2" s="376"/>
      <c r="I2" s="376"/>
      <c r="J2" s="376"/>
      <c r="K2" s="376"/>
      <c r="L2" s="376"/>
      <c r="M2" s="376"/>
      <c r="N2" s="376"/>
      <c r="O2" s="376"/>
      <c r="P2" s="376"/>
      <c r="Q2" s="376"/>
      <c r="R2" s="155"/>
    </row>
    <row r="3" spans="1:18" ht="19.95" customHeight="1">
      <c r="A3" s="30" t="str">
        <f>底稿目录!A2</f>
        <v>被审计单位：</v>
      </c>
      <c r="B3" s="30"/>
      <c r="C3" s="30"/>
      <c r="E3" s="30"/>
      <c r="F3" s="30"/>
      <c r="G3" s="30"/>
      <c r="H3" s="30" t="str">
        <f>底稿目录!A4</f>
        <v>编制人：</v>
      </c>
      <c r="J3" s="30"/>
      <c r="K3" s="30"/>
      <c r="L3" s="30" t="str">
        <f>底稿目录!A5</f>
        <v>编制日期：</v>
      </c>
      <c r="N3" s="35"/>
      <c r="P3" s="31" t="s">
        <v>309</v>
      </c>
      <c r="Q3" s="300" t="str">
        <f>底稿目录!F21</f>
        <v>F3-7</v>
      </c>
    </row>
    <row r="4" spans="1:18" ht="19.95" customHeight="1">
      <c r="A4" s="30" t="str">
        <f>底稿目录!A3</f>
        <v>截止日：202X年12月31日</v>
      </c>
      <c r="B4" s="30"/>
      <c r="C4" s="30"/>
      <c r="E4" s="30"/>
      <c r="F4" s="30"/>
      <c r="G4" s="30"/>
      <c r="H4" s="30" t="str">
        <f>底稿目录!A6</f>
        <v>复核人：</v>
      </c>
      <c r="J4" s="30"/>
      <c r="K4" s="30"/>
      <c r="L4" s="30" t="str">
        <f>底稿目录!A7</f>
        <v>复核日期：</v>
      </c>
      <c r="N4" s="35"/>
      <c r="P4" s="30" t="s">
        <v>20</v>
      </c>
    </row>
    <row r="5" spans="1:18" ht="22.8" customHeight="1">
      <c r="A5" s="190" t="s">
        <v>218</v>
      </c>
      <c r="B5" s="191"/>
      <c r="C5" s="192"/>
      <c r="D5" s="191"/>
      <c r="E5" s="191"/>
      <c r="F5" s="191"/>
      <c r="G5" s="191"/>
      <c r="H5" s="191"/>
      <c r="I5" s="191"/>
      <c r="J5" s="191"/>
      <c r="K5" s="191"/>
      <c r="L5" s="191"/>
      <c r="M5" s="191"/>
      <c r="N5" s="191"/>
      <c r="O5" s="191"/>
      <c r="P5" s="191"/>
      <c r="Q5" s="191"/>
    </row>
    <row r="6" spans="1:18" ht="22.8" customHeight="1">
      <c r="A6" s="192" t="s">
        <v>255</v>
      </c>
      <c r="B6" s="191"/>
      <c r="C6" s="192"/>
      <c r="D6" s="191"/>
      <c r="E6" s="191"/>
      <c r="F6" s="191"/>
      <c r="G6" s="191"/>
      <c r="H6" s="191"/>
      <c r="I6" s="191"/>
      <c r="J6" s="191"/>
      <c r="K6" s="191"/>
      <c r="L6" s="191"/>
      <c r="M6" s="191"/>
      <c r="N6" s="191"/>
      <c r="O6" s="191"/>
      <c r="P6" s="191"/>
      <c r="Q6" s="191"/>
    </row>
    <row r="7" spans="1:18" ht="22.8" customHeight="1">
      <c r="A7" s="192" t="s">
        <v>256</v>
      </c>
      <c r="B7" s="191"/>
      <c r="C7" s="192"/>
      <c r="D7" s="191"/>
      <c r="E7" s="191"/>
      <c r="F7" s="191"/>
      <c r="G7" s="191"/>
      <c r="H7" s="191"/>
      <c r="I7" s="191"/>
      <c r="J7" s="191"/>
      <c r="K7" s="191"/>
      <c r="L7" s="191"/>
      <c r="M7" s="191"/>
      <c r="N7" s="191"/>
      <c r="O7" s="191"/>
      <c r="P7" s="191"/>
      <c r="Q7" s="191"/>
    </row>
    <row r="8" spans="1:18" ht="19.95" customHeight="1">
      <c r="A8" s="193" t="s">
        <v>219</v>
      </c>
    </row>
    <row r="9" spans="1:18" ht="19.95" customHeight="1">
      <c r="A9" s="194" t="s">
        <v>220</v>
      </c>
      <c r="B9" s="195" t="s">
        <v>294</v>
      </c>
      <c r="E9" s="194"/>
      <c r="F9" s="195"/>
      <c r="G9" s="195"/>
      <c r="I9" s="194" t="s">
        <v>297</v>
      </c>
      <c r="J9" s="195" t="s">
        <v>298</v>
      </c>
    </row>
    <row r="10" spans="1:18" ht="19.95" customHeight="1">
      <c r="A10" s="194" t="s">
        <v>221</v>
      </c>
      <c r="B10" s="195" t="s">
        <v>295</v>
      </c>
      <c r="E10" s="194"/>
      <c r="F10" s="195"/>
      <c r="G10" s="195"/>
      <c r="I10" s="194" t="s">
        <v>299</v>
      </c>
      <c r="J10" s="195"/>
      <c r="K10" s="195" t="s">
        <v>300</v>
      </c>
      <c r="L10" s="195" t="s">
        <v>301</v>
      </c>
      <c r="N10" s="194"/>
      <c r="O10" s="195"/>
    </row>
    <row r="11" spans="1:18" ht="19.95" customHeight="1">
      <c r="A11" s="194" t="s">
        <v>296</v>
      </c>
      <c r="B11" s="195" t="s">
        <v>372</v>
      </c>
      <c r="E11" s="194"/>
      <c r="F11" s="195"/>
      <c r="G11" s="195"/>
      <c r="I11" s="194" t="s">
        <v>302</v>
      </c>
      <c r="J11" s="195" t="s">
        <v>303</v>
      </c>
      <c r="N11" s="194"/>
      <c r="O11" s="195"/>
    </row>
    <row r="12" spans="1:18" ht="19.95" customHeight="1">
      <c r="A12" s="197" t="s">
        <v>222</v>
      </c>
    </row>
    <row r="13" spans="1:18" ht="19.95" customHeight="1">
      <c r="A13" s="302" t="s">
        <v>341</v>
      </c>
    </row>
    <row r="14" spans="1:18" ht="19.95" customHeight="1">
      <c r="A14" s="198" t="s">
        <v>306</v>
      </c>
      <c r="R14" s="211"/>
    </row>
    <row r="15" spans="1:18" s="199" customFormat="1" ht="19.95" customHeight="1">
      <c r="A15" s="377" t="s">
        <v>223</v>
      </c>
      <c r="B15" s="377"/>
      <c r="C15" s="377"/>
      <c r="D15" s="377"/>
      <c r="E15" s="377"/>
      <c r="F15" s="377"/>
      <c r="G15" s="383" t="s">
        <v>258</v>
      </c>
      <c r="H15" s="378" t="s">
        <v>224</v>
      </c>
      <c r="I15" s="378"/>
      <c r="J15" s="379" t="s">
        <v>304</v>
      </c>
      <c r="K15" s="379"/>
      <c r="L15" s="379"/>
      <c r="M15" s="378" t="s">
        <v>225</v>
      </c>
      <c r="N15" s="382" t="s">
        <v>226</v>
      </c>
      <c r="O15" s="382" t="s">
        <v>227</v>
      </c>
      <c r="P15" s="380"/>
      <c r="Q15" s="381"/>
    </row>
    <row r="16" spans="1:18" s="203" customFormat="1" ht="19.95" customHeight="1">
      <c r="A16" s="200" t="s">
        <v>228</v>
      </c>
      <c r="B16" s="200" t="s">
        <v>229</v>
      </c>
      <c r="C16" s="200" t="s">
        <v>230</v>
      </c>
      <c r="D16" s="200" t="s">
        <v>231</v>
      </c>
      <c r="E16" s="200" t="s">
        <v>232</v>
      </c>
      <c r="F16" s="158" t="s">
        <v>233</v>
      </c>
      <c r="G16" s="384"/>
      <c r="H16" s="201" t="s">
        <v>234</v>
      </c>
      <c r="I16" s="301" t="s">
        <v>342</v>
      </c>
      <c r="J16" s="202" t="s">
        <v>235</v>
      </c>
      <c r="K16" s="202" t="s">
        <v>305</v>
      </c>
      <c r="L16" s="202" t="s">
        <v>202</v>
      </c>
      <c r="M16" s="378"/>
      <c r="N16" s="382"/>
      <c r="O16" s="382"/>
      <c r="P16" s="380"/>
      <c r="Q16" s="381"/>
      <c r="R16" s="212" t="s">
        <v>236</v>
      </c>
    </row>
    <row r="17" spans="1:17" s="122" customFormat="1" ht="19.95" customHeight="1">
      <c r="A17" s="278"/>
      <c r="B17" s="279"/>
      <c r="C17" s="269"/>
      <c r="D17" s="269"/>
      <c r="E17" s="269"/>
      <c r="F17" s="270"/>
      <c r="G17" s="62"/>
      <c r="H17" s="280"/>
      <c r="I17" s="277"/>
      <c r="J17" s="278"/>
      <c r="K17" s="269"/>
      <c r="L17" s="270"/>
      <c r="M17" s="269"/>
      <c r="N17" s="280"/>
      <c r="O17" s="281"/>
      <c r="P17" s="208"/>
      <c r="Q17" s="209"/>
    </row>
    <row r="18" spans="1:17" s="122" customFormat="1" ht="19.95" customHeight="1">
      <c r="A18" s="278"/>
      <c r="B18" s="279"/>
      <c r="C18" s="269"/>
      <c r="D18" s="269"/>
      <c r="E18" s="269"/>
      <c r="F18" s="270"/>
      <c r="G18" s="62"/>
      <c r="H18" s="280"/>
      <c r="I18" s="277"/>
      <c r="J18" s="278"/>
      <c r="K18" s="269"/>
      <c r="L18" s="270"/>
      <c r="M18" s="269"/>
      <c r="N18" s="280"/>
      <c r="O18" s="281"/>
      <c r="P18" s="208"/>
      <c r="Q18" s="209"/>
    </row>
    <row r="19" spans="1:17" s="122" customFormat="1" ht="19.95" customHeight="1">
      <c r="A19" s="278"/>
      <c r="B19" s="279"/>
      <c r="C19" s="269"/>
      <c r="D19" s="269"/>
      <c r="E19" s="269"/>
      <c r="F19" s="270"/>
      <c r="G19" s="62"/>
      <c r="H19" s="280"/>
      <c r="I19" s="277"/>
      <c r="J19" s="278"/>
      <c r="K19" s="269"/>
      <c r="L19" s="270"/>
      <c r="M19" s="269"/>
      <c r="N19" s="280"/>
      <c r="O19" s="281"/>
      <c r="P19" s="208"/>
      <c r="Q19" s="209"/>
    </row>
    <row r="20" spans="1:17" s="122" customFormat="1" ht="19.95" customHeight="1">
      <c r="A20" s="278"/>
      <c r="B20" s="279"/>
      <c r="C20" s="269"/>
      <c r="D20" s="269"/>
      <c r="E20" s="269"/>
      <c r="F20" s="270"/>
      <c r="G20" s="62"/>
      <c r="H20" s="280"/>
      <c r="I20" s="277"/>
      <c r="J20" s="278"/>
      <c r="K20" s="269"/>
      <c r="L20" s="270"/>
      <c r="M20" s="269"/>
      <c r="N20" s="280"/>
      <c r="O20" s="281"/>
      <c r="P20" s="208"/>
      <c r="Q20" s="209"/>
    </row>
    <row r="21" spans="1:17" s="122" customFormat="1" ht="19.95" customHeight="1">
      <c r="A21" s="278"/>
      <c r="B21" s="279"/>
      <c r="C21" s="269"/>
      <c r="D21" s="269"/>
      <c r="E21" s="269"/>
      <c r="F21" s="270"/>
      <c r="G21" s="62"/>
      <c r="H21" s="280"/>
      <c r="I21" s="277"/>
      <c r="J21" s="278"/>
      <c r="K21" s="269"/>
      <c r="L21" s="270"/>
      <c r="M21" s="269"/>
      <c r="N21" s="280"/>
      <c r="O21" s="281"/>
      <c r="P21" s="208"/>
      <c r="Q21" s="209"/>
    </row>
    <row r="22" spans="1:17" s="122" customFormat="1" ht="19.95" customHeight="1">
      <c r="A22" s="278"/>
      <c r="B22" s="279"/>
      <c r="C22" s="269"/>
      <c r="D22" s="269"/>
      <c r="E22" s="269"/>
      <c r="F22" s="270"/>
      <c r="G22" s="62"/>
      <c r="H22" s="280"/>
      <c r="I22" s="277"/>
      <c r="J22" s="278"/>
      <c r="K22" s="269"/>
      <c r="L22" s="270"/>
      <c r="M22" s="269"/>
      <c r="N22" s="280"/>
      <c r="O22" s="281"/>
      <c r="P22" s="208"/>
      <c r="Q22" s="209"/>
    </row>
    <row r="23" spans="1:17" s="122" customFormat="1" ht="19.95" customHeight="1">
      <c r="A23" s="278"/>
      <c r="B23" s="279"/>
      <c r="C23" s="269"/>
      <c r="D23" s="269"/>
      <c r="E23" s="269"/>
      <c r="F23" s="270"/>
      <c r="G23" s="62"/>
      <c r="H23" s="280"/>
      <c r="I23" s="277"/>
      <c r="J23" s="278"/>
      <c r="K23" s="269"/>
      <c r="L23" s="270"/>
      <c r="M23" s="269"/>
      <c r="N23" s="280"/>
      <c r="O23" s="281"/>
      <c r="P23" s="208"/>
      <c r="Q23" s="209"/>
    </row>
    <row r="24" spans="1:17" s="122" customFormat="1" ht="19.95" customHeight="1">
      <c r="A24" s="278"/>
      <c r="B24" s="279"/>
      <c r="C24" s="269"/>
      <c r="D24" s="269"/>
      <c r="E24" s="269"/>
      <c r="F24" s="270"/>
      <c r="G24" s="62"/>
      <c r="H24" s="280"/>
      <c r="I24" s="277"/>
      <c r="J24" s="278"/>
      <c r="K24" s="269"/>
      <c r="L24" s="270"/>
      <c r="M24" s="269"/>
      <c r="N24" s="280"/>
      <c r="O24" s="281"/>
      <c r="P24" s="208"/>
      <c r="Q24" s="209"/>
    </row>
    <row r="25" spans="1:17" s="122" customFormat="1" ht="19.95" customHeight="1">
      <c r="A25" s="278"/>
      <c r="B25" s="279"/>
      <c r="C25" s="269"/>
      <c r="D25" s="269"/>
      <c r="E25" s="269"/>
      <c r="F25" s="270"/>
      <c r="G25" s="62"/>
      <c r="H25" s="280"/>
      <c r="I25" s="277"/>
      <c r="J25" s="278"/>
      <c r="K25" s="269"/>
      <c r="L25" s="270"/>
      <c r="M25" s="269"/>
      <c r="N25" s="280"/>
      <c r="O25" s="281"/>
      <c r="P25" s="208"/>
      <c r="Q25" s="209"/>
    </row>
    <row r="26" spans="1:17" s="122" customFormat="1" ht="19.95" customHeight="1">
      <c r="A26" s="278"/>
      <c r="B26" s="279"/>
      <c r="C26" s="269"/>
      <c r="D26" s="269"/>
      <c r="E26" s="269"/>
      <c r="F26" s="270"/>
      <c r="G26" s="62"/>
      <c r="H26" s="280"/>
      <c r="I26" s="277"/>
      <c r="J26" s="278"/>
      <c r="K26" s="269"/>
      <c r="L26" s="270"/>
      <c r="M26" s="269"/>
      <c r="N26" s="280"/>
      <c r="O26" s="281"/>
      <c r="P26" s="208"/>
      <c r="Q26" s="209"/>
    </row>
    <row r="27" spans="1:17" s="122" customFormat="1" ht="19.95" customHeight="1">
      <c r="A27" s="278"/>
      <c r="B27" s="279"/>
      <c r="C27" s="269"/>
      <c r="D27" s="269"/>
      <c r="E27" s="269"/>
      <c r="F27" s="270"/>
      <c r="G27" s="62"/>
      <c r="H27" s="280"/>
      <c r="I27" s="277"/>
      <c r="J27" s="278"/>
      <c r="K27" s="269"/>
      <c r="L27" s="270"/>
      <c r="M27" s="269"/>
      <c r="N27" s="280"/>
      <c r="O27" s="281"/>
      <c r="P27" s="208"/>
      <c r="Q27" s="209"/>
    </row>
    <row r="28" spans="1:17" s="122" customFormat="1" ht="19.95" customHeight="1">
      <c r="A28" s="278"/>
      <c r="B28" s="279"/>
      <c r="C28" s="269"/>
      <c r="D28" s="269"/>
      <c r="E28" s="269"/>
      <c r="F28" s="270"/>
      <c r="G28" s="62"/>
      <c r="H28" s="280"/>
      <c r="I28" s="277"/>
      <c r="J28" s="278"/>
      <c r="K28" s="269"/>
      <c r="L28" s="270"/>
      <c r="M28" s="269"/>
      <c r="N28" s="280"/>
      <c r="O28" s="281"/>
      <c r="P28" s="208"/>
      <c r="Q28" s="209"/>
    </row>
    <row r="29" spans="1:17" s="122" customFormat="1" ht="19.95" customHeight="1">
      <c r="A29" s="278"/>
      <c r="B29" s="279"/>
      <c r="C29" s="269"/>
      <c r="D29" s="269"/>
      <c r="E29" s="269"/>
      <c r="F29" s="270"/>
      <c r="G29" s="62"/>
      <c r="H29" s="280"/>
      <c r="I29" s="277"/>
      <c r="J29" s="278"/>
      <c r="K29" s="269"/>
      <c r="L29" s="270"/>
      <c r="M29" s="269"/>
      <c r="N29" s="280"/>
      <c r="O29" s="281"/>
      <c r="P29" s="208"/>
      <c r="Q29" s="209"/>
    </row>
    <row r="30" spans="1:17" s="122" customFormat="1" ht="19.95" customHeight="1">
      <c r="A30" s="278"/>
      <c r="B30" s="279"/>
      <c r="C30" s="269"/>
      <c r="D30" s="269"/>
      <c r="E30" s="269"/>
      <c r="F30" s="270"/>
      <c r="G30" s="62"/>
      <c r="H30" s="280"/>
      <c r="I30" s="277"/>
      <c r="J30" s="278"/>
      <c r="K30" s="269"/>
      <c r="L30" s="270"/>
      <c r="M30" s="269"/>
      <c r="N30" s="280"/>
      <c r="O30" s="281"/>
      <c r="P30" s="208"/>
      <c r="Q30" s="209"/>
    </row>
    <row r="31" spans="1:17" s="122" customFormat="1" ht="19.95" customHeight="1">
      <c r="A31" s="278"/>
      <c r="B31" s="279"/>
      <c r="C31" s="269"/>
      <c r="D31" s="269"/>
      <c r="E31" s="269"/>
      <c r="F31" s="270"/>
      <c r="G31" s="62"/>
      <c r="H31" s="280"/>
      <c r="I31" s="277"/>
      <c r="J31" s="278"/>
      <c r="K31" s="269"/>
      <c r="L31" s="270"/>
      <c r="M31" s="269"/>
      <c r="N31" s="280"/>
      <c r="O31" s="281"/>
      <c r="P31" s="208"/>
      <c r="Q31" s="209"/>
    </row>
    <row r="32" spans="1:17" s="122" customFormat="1" ht="19.95" customHeight="1">
      <c r="A32" s="278"/>
      <c r="B32" s="279"/>
      <c r="C32" s="269"/>
      <c r="D32" s="269"/>
      <c r="E32" s="269"/>
      <c r="F32" s="270"/>
      <c r="G32" s="62"/>
      <c r="H32" s="280"/>
      <c r="I32" s="277"/>
      <c r="J32" s="278"/>
      <c r="K32" s="269"/>
      <c r="L32" s="270"/>
      <c r="M32" s="269"/>
      <c r="N32" s="280"/>
      <c r="O32" s="281"/>
      <c r="P32" s="208"/>
      <c r="Q32" s="209"/>
    </row>
    <row r="33" spans="1:18" s="122" customFormat="1" ht="19.95" customHeight="1">
      <c r="A33" s="278"/>
      <c r="B33" s="279"/>
      <c r="C33" s="269"/>
      <c r="D33" s="269"/>
      <c r="E33" s="269"/>
      <c r="F33" s="270"/>
      <c r="G33" s="62"/>
      <c r="H33" s="280"/>
      <c r="I33" s="277"/>
      <c r="J33" s="278"/>
      <c r="K33" s="269"/>
      <c r="L33" s="270"/>
      <c r="M33" s="269"/>
      <c r="N33" s="280"/>
      <c r="O33" s="281"/>
      <c r="P33" s="208"/>
      <c r="Q33" s="209"/>
    </row>
    <row r="34" spans="1:18" s="122" customFormat="1" ht="19.95" customHeight="1">
      <c r="A34" s="278"/>
      <c r="B34" s="279"/>
      <c r="C34" s="269"/>
      <c r="D34" s="269"/>
      <c r="E34" s="269"/>
      <c r="F34" s="270"/>
      <c r="G34" s="62"/>
      <c r="H34" s="280"/>
      <c r="I34" s="277"/>
      <c r="J34" s="278"/>
      <c r="K34" s="269"/>
      <c r="L34" s="270"/>
      <c r="M34" s="269"/>
      <c r="N34" s="280"/>
      <c r="O34" s="281"/>
      <c r="P34" s="208"/>
      <c r="Q34" s="209"/>
    </row>
    <row r="35" spans="1:18" s="122" customFormat="1" ht="19.95" customHeight="1">
      <c r="A35" s="278"/>
      <c r="B35" s="279"/>
      <c r="C35" s="269"/>
      <c r="D35" s="269"/>
      <c r="E35" s="269"/>
      <c r="F35" s="270"/>
      <c r="G35" s="62"/>
      <c r="H35" s="280"/>
      <c r="I35" s="277"/>
      <c r="J35" s="278"/>
      <c r="K35" s="269"/>
      <c r="L35" s="270"/>
      <c r="M35" s="269"/>
      <c r="N35" s="280"/>
      <c r="O35" s="281"/>
      <c r="P35" s="208"/>
      <c r="Q35" s="209"/>
    </row>
    <row r="36" spans="1:18" s="122" customFormat="1" ht="19.95" customHeight="1">
      <c r="A36" s="278"/>
      <c r="B36" s="279"/>
      <c r="C36" s="269"/>
      <c r="D36" s="269"/>
      <c r="E36" s="269"/>
      <c r="F36" s="270"/>
      <c r="G36" s="62"/>
      <c r="H36" s="280"/>
      <c r="I36" s="277"/>
      <c r="J36" s="278"/>
      <c r="K36" s="269"/>
      <c r="L36" s="270"/>
      <c r="M36" s="269"/>
      <c r="N36" s="280"/>
      <c r="O36" s="281"/>
      <c r="P36" s="208"/>
      <c r="Q36" s="209"/>
    </row>
    <row r="37" spans="1:18" s="122" customFormat="1" ht="19.95" customHeight="1">
      <c r="A37" s="218" t="s">
        <v>237</v>
      </c>
      <c r="B37" s="276"/>
      <c r="C37" s="267"/>
      <c r="D37" s="267"/>
      <c r="E37" s="267"/>
      <c r="F37" s="268">
        <f>SUM(F17:F36)</f>
        <v>0</v>
      </c>
      <c r="G37" s="268"/>
      <c r="H37" s="267"/>
      <c r="I37" s="267"/>
      <c r="J37" s="267"/>
      <c r="K37" s="267"/>
      <c r="L37" s="268">
        <f>SUM(L17:L36)</f>
        <v>0</v>
      </c>
      <c r="M37" s="267"/>
      <c r="N37" s="267"/>
      <c r="O37" s="268"/>
      <c r="P37" s="208"/>
      <c r="Q37" s="209"/>
    </row>
    <row r="38" spans="1:18" s="271" customFormat="1" ht="19.95" customHeight="1">
      <c r="A38" s="198" t="s">
        <v>307</v>
      </c>
      <c r="R38" s="272"/>
    </row>
    <row r="39" spans="1:18" s="122" customFormat="1" ht="19.95" customHeight="1">
      <c r="A39" s="377" t="s">
        <v>238</v>
      </c>
      <c r="B39" s="377"/>
      <c r="C39" s="377"/>
      <c r="D39" s="377"/>
      <c r="E39" s="377"/>
      <c r="F39" s="377"/>
      <c r="G39" s="377" t="s">
        <v>258</v>
      </c>
      <c r="H39" s="378" t="s">
        <v>239</v>
      </c>
      <c r="I39" s="378"/>
      <c r="J39" s="378"/>
      <c r="K39" s="378"/>
      <c r="L39" s="378" t="s">
        <v>240</v>
      </c>
      <c r="M39" s="378"/>
      <c r="N39" s="378"/>
      <c r="O39" s="378" t="s">
        <v>241</v>
      </c>
      <c r="P39" s="382" t="s">
        <v>242</v>
      </c>
      <c r="Q39" s="382" t="s">
        <v>243</v>
      </c>
    </row>
    <row r="40" spans="1:18" s="273" customFormat="1" ht="19.95" customHeight="1">
      <c r="A40" s="218" t="s">
        <v>228</v>
      </c>
      <c r="B40" s="218" t="s">
        <v>229</v>
      </c>
      <c r="C40" s="218" t="s">
        <v>244</v>
      </c>
      <c r="D40" s="218" t="s">
        <v>231</v>
      </c>
      <c r="E40" s="218" t="s">
        <v>232</v>
      </c>
      <c r="F40" s="158" t="s">
        <v>245</v>
      </c>
      <c r="G40" s="377"/>
      <c r="H40" s="217" t="s">
        <v>246</v>
      </c>
      <c r="I40" s="217" t="s">
        <v>247</v>
      </c>
      <c r="J40" s="217" t="s">
        <v>248</v>
      </c>
      <c r="K40" s="217" t="s">
        <v>249</v>
      </c>
      <c r="L40" s="202" t="s">
        <v>250</v>
      </c>
      <c r="M40" s="202" t="s">
        <v>251</v>
      </c>
      <c r="N40" s="202" t="s">
        <v>202</v>
      </c>
      <c r="O40" s="378"/>
      <c r="P40" s="382"/>
      <c r="Q40" s="382"/>
      <c r="R40" s="196" t="s">
        <v>236</v>
      </c>
    </row>
    <row r="41" spans="1:18" s="271" customFormat="1" ht="19.95" customHeight="1">
      <c r="A41" s="278"/>
      <c r="B41" s="279"/>
      <c r="C41" s="269"/>
      <c r="D41" s="269"/>
      <c r="E41" s="269"/>
      <c r="F41" s="270"/>
      <c r="G41" s="62"/>
      <c r="H41" s="204"/>
      <c r="I41" s="284"/>
      <c r="J41" s="282"/>
      <c r="K41" s="283"/>
      <c r="L41" s="283"/>
      <c r="M41" s="282"/>
      <c r="N41" s="205"/>
      <c r="O41" s="285"/>
      <c r="P41" s="283"/>
      <c r="Q41" s="282"/>
    </row>
    <row r="42" spans="1:18" s="271" customFormat="1" ht="19.95" customHeight="1">
      <c r="A42" s="278"/>
      <c r="B42" s="279"/>
      <c r="C42" s="269"/>
      <c r="D42" s="269"/>
      <c r="E42" s="269"/>
      <c r="F42" s="270"/>
      <c r="G42" s="62"/>
      <c r="H42" s="204"/>
      <c r="I42" s="284"/>
      <c r="J42" s="282"/>
      <c r="K42" s="283"/>
      <c r="L42" s="283"/>
      <c r="M42" s="282"/>
      <c r="N42" s="205"/>
      <c r="O42" s="285"/>
      <c r="P42" s="283"/>
      <c r="Q42" s="282"/>
    </row>
    <row r="43" spans="1:18" s="271" customFormat="1" ht="19.95" customHeight="1">
      <c r="A43" s="278"/>
      <c r="B43" s="279"/>
      <c r="C43" s="269"/>
      <c r="D43" s="269"/>
      <c r="E43" s="269"/>
      <c r="F43" s="270"/>
      <c r="G43" s="62"/>
      <c r="H43" s="204"/>
      <c r="I43" s="284"/>
      <c r="J43" s="282"/>
      <c r="K43" s="283"/>
      <c r="L43" s="283"/>
      <c r="M43" s="282"/>
      <c r="N43" s="205"/>
      <c r="O43" s="285"/>
      <c r="P43" s="283"/>
      <c r="Q43" s="282"/>
    </row>
    <row r="44" spans="1:18" s="271" customFormat="1" ht="19.95" customHeight="1">
      <c r="A44" s="278"/>
      <c r="B44" s="279"/>
      <c r="C44" s="269"/>
      <c r="D44" s="269"/>
      <c r="E44" s="269"/>
      <c r="F44" s="270"/>
      <c r="G44" s="62"/>
      <c r="H44" s="204"/>
      <c r="I44" s="284"/>
      <c r="J44" s="282"/>
      <c r="K44" s="283"/>
      <c r="L44" s="283"/>
      <c r="M44" s="282"/>
      <c r="N44" s="205"/>
      <c r="O44" s="285"/>
      <c r="P44" s="283"/>
      <c r="Q44" s="282"/>
    </row>
    <row r="45" spans="1:18" s="271" customFormat="1" ht="19.95" customHeight="1">
      <c r="A45" s="278"/>
      <c r="B45" s="279"/>
      <c r="C45" s="269"/>
      <c r="D45" s="269"/>
      <c r="E45" s="269"/>
      <c r="F45" s="270"/>
      <c r="G45" s="62"/>
      <c r="H45" s="204"/>
      <c r="I45" s="284"/>
      <c r="J45" s="282"/>
      <c r="K45" s="283"/>
      <c r="L45" s="283"/>
      <c r="M45" s="282"/>
      <c r="N45" s="205"/>
      <c r="O45" s="285"/>
      <c r="P45" s="283"/>
      <c r="Q45" s="282"/>
    </row>
    <row r="46" spans="1:18" s="271" customFormat="1" ht="19.95" customHeight="1">
      <c r="A46" s="278"/>
      <c r="B46" s="279"/>
      <c r="C46" s="269"/>
      <c r="D46" s="269"/>
      <c r="E46" s="269"/>
      <c r="F46" s="270"/>
      <c r="G46" s="62"/>
      <c r="H46" s="204"/>
      <c r="I46" s="284"/>
      <c r="J46" s="282"/>
      <c r="K46" s="283"/>
      <c r="L46" s="283"/>
      <c r="M46" s="282"/>
      <c r="N46" s="205"/>
      <c r="O46" s="285"/>
      <c r="P46" s="283"/>
      <c r="Q46" s="282"/>
    </row>
    <row r="47" spans="1:18" s="271" customFormat="1" ht="19.95" customHeight="1">
      <c r="A47" s="278"/>
      <c r="B47" s="279"/>
      <c r="C47" s="269"/>
      <c r="D47" s="269"/>
      <c r="E47" s="269"/>
      <c r="F47" s="270"/>
      <c r="G47" s="62"/>
      <c r="H47" s="204"/>
      <c r="I47" s="284"/>
      <c r="J47" s="282"/>
      <c r="K47" s="283"/>
      <c r="L47" s="283"/>
      <c r="M47" s="282"/>
      <c r="N47" s="205"/>
      <c r="O47" s="285"/>
      <c r="P47" s="283"/>
      <c r="Q47" s="282"/>
    </row>
    <row r="48" spans="1:18" s="271" customFormat="1" ht="19.95" customHeight="1">
      <c r="A48" s="278"/>
      <c r="B48" s="279"/>
      <c r="C48" s="269"/>
      <c r="D48" s="269"/>
      <c r="E48" s="269"/>
      <c r="F48" s="270"/>
      <c r="G48" s="62"/>
      <c r="H48" s="204"/>
      <c r="I48" s="284"/>
      <c r="J48" s="282"/>
      <c r="K48" s="283"/>
      <c r="L48" s="283"/>
      <c r="M48" s="282"/>
      <c r="N48" s="205"/>
      <c r="O48" s="285"/>
      <c r="P48" s="283"/>
      <c r="Q48" s="282"/>
    </row>
    <row r="49" spans="1:18" s="271" customFormat="1" ht="19.95" customHeight="1">
      <c r="A49" s="278"/>
      <c r="B49" s="279"/>
      <c r="C49" s="269"/>
      <c r="D49" s="269"/>
      <c r="E49" s="269"/>
      <c r="F49" s="270"/>
      <c r="G49" s="62"/>
      <c r="H49" s="204"/>
      <c r="I49" s="284"/>
      <c r="J49" s="282"/>
      <c r="K49" s="283"/>
      <c r="L49" s="283"/>
      <c r="M49" s="282"/>
      <c r="N49" s="205"/>
      <c r="O49" s="285"/>
      <c r="P49" s="283"/>
      <c r="Q49" s="282"/>
    </row>
    <row r="50" spans="1:18" s="271" customFormat="1" ht="19.95" customHeight="1">
      <c r="A50" s="278"/>
      <c r="B50" s="279"/>
      <c r="C50" s="269"/>
      <c r="D50" s="269"/>
      <c r="E50" s="269"/>
      <c r="F50" s="270"/>
      <c r="G50" s="62"/>
      <c r="H50" s="204"/>
      <c r="I50" s="284"/>
      <c r="J50" s="282"/>
      <c r="K50" s="283"/>
      <c r="L50" s="283"/>
      <c r="M50" s="282"/>
      <c r="N50" s="205"/>
      <c r="O50" s="285"/>
      <c r="P50" s="283"/>
      <c r="Q50" s="282"/>
    </row>
    <row r="51" spans="1:18" s="271" customFormat="1" ht="19.95" customHeight="1">
      <c r="A51" s="278"/>
      <c r="B51" s="279"/>
      <c r="C51" s="269"/>
      <c r="D51" s="269"/>
      <c r="E51" s="269"/>
      <c r="F51" s="270"/>
      <c r="G51" s="62"/>
      <c r="H51" s="204"/>
      <c r="I51" s="284"/>
      <c r="J51" s="282"/>
      <c r="K51" s="283"/>
      <c r="L51" s="283"/>
      <c r="M51" s="282"/>
      <c r="N51" s="205"/>
      <c r="O51" s="285"/>
      <c r="P51" s="283"/>
      <c r="Q51" s="282"/>
    </row>
    <row r="52" spans="1:18" s="271" customFormat="1" ht="19.95" customHeight="1">
      <c r="A52" s="278"/>
      <c r="B52" s="279"/>
      <c r="C52" s="269"/>
      <c r="D52" s="269"/>
      <c r="E52" s="269"/>
      <c r="F52" s="270"/>
      <c r="G52" s="62"/>
      <c r="H52" s="204"/>
      <c r="I52" s="284"/>
      <c r="J52" s="282"/>
      <c r="K52" s="283"/>
      <c r="L52" s="283"/>
      <c r="M52" s="282"/>
      <c r="N52" s="205"/>
      <c r="O52" s="285"/>
      <c r="P52" s="283"/>
      <c r="Q52" s="282"/>
    </row>
    <row r="53" spans="1:18" s="271" customFormat="1" ht="19.95" customHeight="1">
      <c r="A53" s="278"/>
      <c r="B53" s="279"/>
      <c r="C53" s="269"/>
      <c r="D53" s="269"/>
      <c r="E53" s="269"/>
      <c r="F53" s="270"/>
      <c r="G53" s="62"/>
      <c r="H53" s="204"/>
      <c r="I53" s="284"/>
      <c r="J53" s="282"/>
      <c r="K53" s="283"/>
      <c r="L53" s="283"/>
      <c r="M53" s="282"/>
      <c r="N53" s="205"/>
      <c r="O53" s="285"/>
      <c r="P53" s="283"/>
      <c r="Q53" s="282"/>
    </row>
    <row r="54" spans="1:18" s="271" customFormat="1" ht="19.95" customHeight="1">
      <c r="A54" s="278"/>
      <c r="B54" s="279"/>
      <c r="C54" s="269"/>
      <c r="D54" s="269"/>
      <c r="E54" s="269"/>
      <c r="F54" s="270"/>
      <c r="G54" s="62"/>
      <c r="H54" s="204"/>
      <c r="I54" s="284"/>
      <c r="J54" s="282"/>
      <c r="K54" s="283"/>
      <c r="L54" s="283"/>
      <c r="M54" s="282"/>
      <c r="N54" s="205"/>
      <c r="O54" s="285"/>
      <c r="P54" s="283"/>
      <c r="Q54" s="282"/>
    </row>
    <row r="55" spans="1:18" s="271" customFormat="1" ht="19.95" customHeight="1">
      <c r="A55" s="278"/>
      <c r="B55" s="279"/>
      <c r="C55" s="269"/>
      <c r="D55" s="269"/>
      <c r="E55" s="269"/>
      <c r="F55" s="270"/>
      <c r="G55" s="62"/>
      <c r="H55" s="204"/>
      <c r="I55" s="284"/>
      <c r="J55" s="282"/>
      <c r="K55" s="283"/>
      <c r="L55" s="283"/>
      <c r="M55" s="282"/>
      <c r="N55" s="205"/>
      <c r="O55" s="285"/>
      <c r="P55" s="283"/>
      <c r="Q55" s="282"/>
    </row>
    <row r="56" spans="1:18" s="271" customFormat="1" ht="19.95" customHeight="1">
      <c r="A56" s="278"/>
      <c r="B56" s="279"/>
      <c r="C56" s="269"/>
      <c r="D56" s="269"/>
      <c r="E56" s="269"/>
      <c r="F56" s="270"/>
      <c r="G56" s="62"/>
      <c r="H56" s="204"/>
      <c r="I56" s="284"/>
      <c r="J56" s="282"/>
      <c r="K56" s="283"/>
      <c r="L56" s="283"/>
      <c r="M56" s="282"/>
      <c r="N56" s="205"/>
      <c r="O56" s="285"/>
      <c r="P56" s="283"/>
      <c r="Q56" s="282"/>
    </row>
    <row r="57" spans="1:18" s="271" customFormat="1" ht="19.95" customHeight="1">
      <c r="A57" s="278"/>
      <c r="B57" s="279"/>
      <c r="C57" s="269"/>
      <c r="D57" s="269"/>
      <c r="E57" s="269"/>
      <c r="F57" s="270"/>
      <c r="G57" s="62"/>
      <c r="H57" s="204"/>
      <c r="I57" s="284"/>
      <c r="J57" s="282"/>
      <c r="K57" s="283"/>
      <c r="L57" s="283"/>
      <c r="M57" s="282"/>
      <c r="N57" s="205"/>
      <c r="O57" s="285"/>
      <c r="P57" s="283"/>
      <c r="Q57" s="282"/>
    </row>
    <row r="58" spans="1:18" s="271" customFormat="1" ht="19.95" customHeight="1">
      <c r="A58" s="278"/>
      <c r="B58" s="279"/>
      <c r="C58" s="269"/>
      <c r="D58" s="269"/>
      <c r="E58" s="269"/>
      <c r="F58" s="270"/>
      <c r="G58" s="62"/>
      <c r="H58" s="204"/>
      <c r="I58" s="284"/>
      <c r="J58" s="282"/>
      <c r="K58" s="283"/>
      <c r="L58" s="283"/>
      <c r="M58" s="282"/>
      <c r="N58" s="205"/>
      <c r="O58" s="285"/>
      <c r="P58" s="283"/>
      <c r="Q58" s="282"/>
    </row>
    <row r="59" spans="1:18" s="207" customFormat="1" ht="19.95" customHeight="1">
      <c r="A59" s="218" t="s">
        <v>203</v>
      </c>
      <c r="B59" s="267"/>
      <c r="C59" s="267"/>
      <c r="D59" s="267"/>
      <c r="E59" s="267"/>
      <c r="F59" s="268">
        <f>SUM(F41:F58)</f>
        <v>0</v>
      </c>
      <c r="G59" s="268"/>
      <c r="H59" s="267"/>
      <c r="I59" s="267"/>
      <c r="J59" s="267"/>
      <c r="K59" s="267"/>
      <c r="L59" s="268"/>
      <c r="M59" s="267"/>
      <c r="N59" s="268">
        <f>SUM(N41:N58)</f>
        <v>0</v>
      </c>
      <c r="O59" s="286"/>
      <c r="P59" s="287"/>
      <c r="Q59" s="286"/>
    </row>
    <row r="60" spans="1:18" s="275" customFormat="1" ht="19.95" customHeight="1">
      <c r="A60" s="290" t="s">
        <v>308</v>
      </c>
      <c r="B60" s="209"/>
      <c r="C60" s="209"/>
      <c r="D60" s="209"/>
      <c r="E60" s="209"/>
      <c r="F60" s="291"/>
      <c r="G60" s="291"/>
      <c r="H60" s="209"/>
      <c r="I60" s="209"/>
      <c r="J60" s="209"/>
      <c r="K60" s="209"/>
      <c r="L60" s="291"/>
      <c r="M60" s="209"/>
      <c r="N60" s="291"/>
      <c r="O60" s="291"/>
      <c r="P60" s="209"/>
      <c r="Q60" s="291"/>
      <c r="R60" s="274" t="s">
        <v>339</v>
      </c>
    </row>
    <row r="61" spans="1:18" s="122" customFormat="1" ht="19.95" customHeight="1">
      <c r="A61" s="377" t="s">
        <v>223</v>
      </c>
      <c r="B61" s="377"/>
      <c r="C61" s="377"/>
      <c r="D61" s="377"/>
      <c r="E61" s="377"/>
      <c r="F61" s="377"/>
      <c r="G61" s="383" t="s">
        <v>113</v>
      </c>
      <c r="H61" s="378" t="s">
        <v>224</v>
      </c>
      <c r="I61" s="378"/>
      <c r="J61" s="379" t="s">
        <v>304</v>
      </c>
      <c r="K61" s="379"/>
      <c r="L61" s="379"/>
      <c r="M61" s="378" t="s">
        <v>99</v>
      </c>
      <c r="N61" s="382" t="s">
        <v>105</v>
      </c>
      <c r="O61" s="382" t="s">
        <v>227</v>
      </c>
      <c r="P61" s="380"/>
      <c r="Q61" s="381"/>
    </row>
    <row r="62" spans="1:18" s="273" customFormat="1" ht="19.95" customHeight="1">
      <c r="A62" s="218" t="s">
        <v>228</v>
      </c>
      <c r="B62" s="218" t="s">
        <v>229</v>
      </c>
      <c r="C62" s="218" t="s">
        <v>230</v>
      </c>
      <c r="D62" s="218" t="s">
        <v>231</v>
      </c>
      <c r="E62" s="218" t="s">
        <v>232</v>
      </c>
      <c r="F62" s="158" t="s">
        <v>233</v>
      </c>
      <c r="G62" s="384"/>
      <c r="H62" s="217" t="s">
        <v>234</v>
      </c>
      <c r="I62" s="217" t="s">
        <v>342</v>
      </c>
      <c r="J62" s="202" t="s">
        <v>235</v>
      </c>
      <c r="K62" s="202" t="s">
        <v>305</v>
      </c>
      <c r="L62" s="202" t="s">
        <v>202</v>
      </c>
      <c r="M62" s="378"/>
      <c r="N62" s="382"/>
      <c r="O62" s="382"/>
      <c r="P62" s="380"/>
      <c r="Q62" s="381"/>
      <c r="R62" s="196" t="s">
        <v>236</v>
      </c>
    </row>
    <row r="63" spans="1:18" s="122" customFormat="1" ht="19.95" customHeight="1">
      <c r="A63" s="278"/>
      <c r="B63" s="279"/>
      <c r="C63" s="269"/>
      <c r="D63" s="269"/>
      <c r="E63" s="269"/>
      <c r="F63" s="270"/>
      <c r="G63" s="62"/>
      <c r="H63" s="280"/>
      <c r="I63" s="277"/>
      <c r="J63" s="278"/>
      <c r="K63" s="269"/>
      <c r="L63" s="270"/>
      <c r="M63" s="269"/>
      <c r="N63" s="280"/>
      <c r="O63" s="281"/>
      <c r="P63" s="208"/>
      <c r="Q63" s="209"/>
    </row>
    <row r="64" spans="1:18" s="122" customFormat="1" ht="19.95" customHeight="1">
      <c r="A64" s="278"/>
      <c r="B64" s="279"/>
      <c r="C64" s="269"/>
      <c r="D64" s="269"/>
      <c r="E64" s="269"/>
      <c r="F64" s="270"/>
      <c r="G64" s="62"/>
      <c r="H64" s="280"/>
      <c r="I64" s="277"/>
      <c r="J64" s="278"/>
      <c r="K64" s="269"/>
      <c r="L64" s="270"/>
      <c r="M64" s="269"/>
      <c r="N64" s="280"/>
      <c r="O64" s="281"/>
      <c r="P64" s="208"/>
      <c r="Q64" s="209"/>
    </row>
    <row r="65" spans="1:17" s="122" customFormat="1" ht="19.95" customHeight="1">
      <c r="A65" s="278"/>
      <c r="B65" s="279"/>
      <c r="C65" s="269"/>
      <c r="D65" s="269"/>
      <c r="E65" s="269"/>
      <c r="F65" s="270"/>
      <c r="G65" s="62"/>
      <c r="H65" s="280"/>
      <c r="I65" s="277"/>
      <c r="J65" s="278"/>
      <c r="K65" s="269"/>
      <c r="L65" s="270"/>
      <c r="M65" s="269"/>
      <c r="N65" s="280"/>
      <c r="O65" s="281"/>
      <c r="P65" s="208"/>
      <c r="Q65" s="209"/>
    </row>
    <row r="66" spans="1:17" s="122" customFormat="1" ht="19.95" customHeight="1">
      <c r="A66" s="278"/>
      <c r="B66" s="279"/>
      <c r="C66" s="269"/>
      <c r="D66" s="269"/>
      <c r="E66" s="269"/>
      <c r="F66" s="270"/>
      <c r="G66" s="62"/>
      <c r="H66" s="280"/>
      <c r="I66" s="277"/>
      <c r="J66" s="278"/>
      <c r="K66" s="269"/>
      <c r="L66" s="270"/>
      <c r="M66" s="269"/>
      <c r="N66" s="280"/>
      <c r="O66" s="281"/>
      <c r="P66" s="208"/>
      <c r="Q66" s="209"/>
    </row>
    <row r="67" spans="1:17" s="122" customFormat="1" ht="19.95" customHeight="1">
      <c r="A67" s="278"/>
      <c r="B67" s="279"/>
      <c r="C67" s="269"/>
      <c r="D67" s="269"/>
      <c r="E67" s="269"/>
      <c r="F67" s="270"/>
      <c r="G67" s="62"/>
      <c r="H67" s="280"/>
      <c r="I67" s="277"/>
      <c r="J67" s="278"/>
      <c r="K67" s="269"/>
      <c r="L67" s="270"/>
      <c r="M67" s="269"/>
      <c r="N67" s="280"/>
      <c r="O67" s="281"/>
      <c r="P67" s="208"/>
      <c r="Q67" s="209"/>
    </row>
    <row r="68" spans="1:17" s="122" customFormat="1" ht="19.95" customHeight="1">
      <c r="A68" s="278"/>
      <c r="B68" s="279"/>
      <c r="C68" s="269"/>
      <c r="D68" s="269"/>
      <c r="E68" s="269"/>
      <c r="F68" s="270"/>
      <c r="G68" s="62"/>
      <c r="H68" s="280"/>
      <c r="I68" s="277"/>
      <c r="J68" s="278"/>
      <c r="K68" s="269"/>
      <c r="L68" s="270"/>
      <c r="M68" s="269"/>
      <c r="N68" s="280"/>
      <c r="O68" s="281"/>
      <c r="P68" s="208"/>
      <c r="Q68" s="209"/>
    </row>
    <row r="69" spans="1:17" s="122" customFormat="1" ht="19.95" customHeight="1">
      <c r="A69" s="278"/>
      <c r="B69" s="279"/>
      <c r="C69" s="269"/>
      <c r="D69" s="269"/>
      <c r="E69" s="269"/>
      <c r="F69" s="270"/>
      <c r="G69" s="62"/>
      <c r="H69" s="280"/>
      <c r="I69" s="277"/>
      <c r="J69" s="278"/>
      <c r="K69" s="269"/>
      <c r="L69" s="270"/>
      <c r="M69" s="269"/>
      <c r="N69" s="280"/>
      <c r="O69" s="281"/>
      <c r="P69" s="208"/>
      <c r="Q69" s="209"/>
    </row>
    <row r="70" spans="1:17" s="122" customFormat="1" ht="19.95" customHeight="1">
      <c r="A70" s="278"/>
      <c r="B70" s="279"/>
      <c r="C70" s="269"/>
      <c r="D70" s="269"/>
      <c r="E70" s="269"/>
      <c r="F70" s="270"/>
      <c r="G70" s="62"/>
      <c r="H70" s="280"/>
      <c r="I70" s="277"/>
      <c r="J70" s="278"/>
      <c r="K70" s="269"/>
      <c r="L70" s="270"/>
      <c r="M70" s="269"/>
      <c r="N70" s="280"/>
      <c r="O70" s="281"/>
      <c r="P70" s="208"/>
      <c r="Q70" s="209"/>
    </row>
    <row r="71" spans="1:17" s="122" customFormat="1" ht="19.95" customHeight="1">
      <c r="A71" s="278"/>
      <c r="B71" s="279"/>
      <c r="C71" s="269"/>
      <c r="D71" s="269"/>
      <c r="E71" s="269"/>
      <c r="F71" s="270"/>
      <c r="G71" s="62"/>
      <c r="H71" s="280"/>
      <c r="I71" s="277"/>
      <c r="J71" s="278"/>
      <c r="K71" s="269"/>
      <c r="L71" s="270"/>
      <c r="M71" s="269"/>
      <c r="N71" s="280"/>
      <c r="O71" s="281"/>
      <c r="P71" s="208"/>
      <c r="Q71" s="209"/>
    </row>
    <row r="72" spans="1:17" s="122" customFormat="1" ht="19.95" customHeight="1">
      <c r="A72" s="278"/>
      <c r="B72" s="279"/>
      <c r="C72" s="269"/>
      <c r="D72" s="269"/>
      <c r="E72" s="269"/>
      <c r="F72" s="270"/>
      <c r="G72" s="62"/>
      <c r="H72" s="280"/>
      <c r="I72" s="277"/>
      <c r="J72" s="278"/>
      <c r="K72" s="269"/>
      <c r="L72" s="270"/>
      <c r="M72" s="269"/>
      <c r="N72" s="280"/>
      <c r="O72" s="281"/>
      <c r="P72" s="208"/>
      <c r="Q72" s="209"/>
    </row>
    <row r="73" spans="1:17" s="122" customFormat="1" ht="19.95" customHeight="1">
      <c r="A73" s="278"/>
      <c r="B73" s="279"/>
      <c r="C73" s="269"/>
      <c r="D73" s="269"/>
      <c r="E73" s="269"/>
      <c r="F73" s="270"/>
      <c r="G73" s="62"/>
      <c r="H73" s="280"/>
      <c r="I73" s="277"/>
      <c r="J73" s="278"/>
      <c r="K73" s="269"/>
      <c r="L73" s="270"/>
      <c r="M73" s="269"/>
      <c r="N73" s="280"/>
      <c r="O73" s="281"/>
      <c r="P73" s="208"/>
      <c r="Q73" s="209"/>
    </row>
    <row r="74" spans="1:17" s="122" customFormat="1" ht="19.95" customHeight="1">
      <c r="A74" s="278"/>
      <c r="B74" s="279"/>
      <c r="C74" s="269"/>
      <c r="D74" s="269"/>
      <c r="E74" s="269"/>
      <c r="F74" s="270"/>
      <c r="G74" s="62"/>
      <c r="H74" s="280"/>
      <c r="I74" s="277"/>
      <c r="J74" s="278"/>
      <c r="K74" s="269"/>
      <c r="L74" s="270"/>
      <c r="M74" s="269"/>
      <c r="N74" s="280"/>
      <c r="O74" s="281"/>
      <c r="P74" s="208"/>
      <c r="Q74" s="209"/>
    </row>
    <row r="75" spans="1:17" s="122" customFormat="1" ht="19.95" customHeight="1">
      <c r="A75" s="278"/>
      <c r="B75" s="279"/>
      <c r="C75" s="269"/>
      <c r="D75" s="269"/>
      <c r="E75" s="269"/>
      <c r="F75" s="270"/>
      <c r="G75" s="62"/>
      <c r="H75" s="280"/>
      <c r="I75" s="277"/>
      <c r="J75" s="278"/>
      <c r="K75" s="269"/>
      <c r="L75" s="270"/>
      <c r="M75" s="269"/>
      <c r="N75" s="280"/>
      <c r="O75" s="281"/>
      <c r="P75" s="208"/>
      <c r="Q75" s="209"/>
    </row>
    <row r="76" spans="1:17" s="122" customFormat="1" ht="19.95" customHeight="1">
      <c r="A76" s="278"/>
      <c r="B76" s="279"/>
      <c r="C76" s="269"/>
      <c r="D76" s="269"/>
      <c r="E76" s="269"/>
      <c r="F76" s="270"/>
      <c r="G76" s="62"/>
      <c r="H76" s="280"/>
      <c r="I76" s="277"/>
      <c r="J76" s="278"/>
      <c r="K76" s="269"/>
      <c r="L76" s="270"/>
      <c r="M76" s="269"/>
      <c r="N76" s="280"/>
      <c r="O76" s="281"/>
      <c r="P76" s="208"/>
      <c r="Q76" s="209"/>
    </row>
    <row r="77" spans="1:17" s="122" customFormat="1" ht="19.95" customHeight="1">
      <c r="A77" s="278"/>
      <c r="B77" s="279"/>
      <c r="C77" s="269"/>
      <c r="D77" s="269"/>
      <c r="E77" s="269"/>
      <c r="F77" s="270"/>
      <c r="G77" s="62"/>
      <c r="H77" s="280"/>
      <c r="I77" s="277"/>
      <c r="J77" s="278"/>
      <c r="K77" s="269"/>
      <c r="L77" s="270"/>
      <c r="M77" s="269"/>
      <c r="N77" s="280"/>
      <c r="O77" s="281"/>
      <c r="P77" s="208"/>
      <c r="Q77" s="209"/>
    </row>
    <row r="78" spans="1:17" s="122" customFormat="1" ht="19.95" customHeight="1">
      <c r="A78" s="278"/>
      <c r="B78" s="279"/>
      <c r="C78" s="269"/>
      <c r="D78" s="269"/>
      <c r="E78" s="269"/>
      <c r="F78" s="270"/>
      <c r="G78" s="62"/>
      <c r="H78" s="280"/>
      <c r="I78" s="277"/>
      <c r="J78" s="278"/>
      <c r="K78" s="269"/>
      <c r="L78" s="270"/>
      <c r="M78" s="269"/>
      <c r="N78" s="280"/>
      <c r="O78" s="281"/>
      <c r="P78" s="208"/>
      <c r="Q78" s="209"/>
    </row>
    <row r="79" spans="1:17" s="122" customFormat="1" ht="19.95" customHeight="1">
      <c r="A79" s="278"/>
      <c r="B79" s="279"/>
      <c r="C79" s="269"/>
      <c r="D79" s="269"/>
      <c r="E79" s="269"/>
      <c r="F79" s="270"/>
      <c r="G79" s="62"/>
      <c r="H79" s="280"/>
      <c r="I79" s="277"/>
      <c r="J79" s="278"/>
      <c r="K79" s="269"/>
      <c r="L79" s="270"/>
      <c r="M79" s="269"/>
      <c r="N79" s="280"/>
      <c r="O79" s="281"/>
      <c r="P79" s="208"/>
      <c r="Q79" s="209"/>
    </row>
    <row r="80" spans="1:17" s="323" customFormat="1" ht="19.95" customHeight="1">
      <c r="A80" s="310" t="s">
        <v>203</v>
      </c>
      <c r="B80" s="267"/>
      <c r="C80" s="267"/>
      <c r="D80" s="267"/>
      <c r="E80" s="267"/>
      <c r="F80" s="268">
        <f>SUM(F63:F79)</f>
        <v>0</v>
      </c>
      <c r="G80" s="268"/>
      <c r="H80" s="267"/>
      <c r="I80" s="267"/>
      <c r="J80" s="267"/>
      <c r="K80" s="267"/>
      <c r="L80" s="268">
        <f>SUM(L63:L79)</f>
        <v>0</v>
      </c>
      <c r="M80" s="267"/>
      <c r="N80" s="267"/>
      <c r="O80" s="268"/>
      <c r="P80" s="321"/>
      <c r="Q80" s="322"/>
    </row>
    <row r="81" spans="1:15" s="271" customFormat="1" ht="19.95" customHeight="1">
      <c r="A81" s="197" t="s">
        <v>252</v>
      </c>
      <c r="I81" s="206"/>
      <c r="K81" s="288"/>
      <c r="M81" s="288"/>
    </row>
    <row r="82" spans="1:15" s="271" customFormat="1" ht="19.95" customHeight="1">
      <c r="A82" s="28" t="s">
        <v>359</v>
      </c>
      <c r="B82" s="28"/>
      <c r="C82"/>
      <c r="D82" s="311" t="s">
        <v>367</v>
      </c>
      <c r="E82" s="311" t="s">
        <v>368</v>
      </c>
      <c r="F82" s="311" t="s">
        <v>369</v>
      </c>
      <c r="G82" s="311" t="s">
        <v>370</v>
      </c>
      <c r="H82" s="312" t="s">
        <v>380</v>
      </c>
      <c r="I82" s="228"/>
      <c r="K82" s="288"/>
      <c r="M82" s="288"/>
    </row>
    <row r="83" spans="1:15" s="271" customFormat="1" ht="19.95" customHeight="1">
      <c r="A83" s="27"/>
      <c r="B83" s="27"/>
      <c r="C83"/>
      <c r="D83" s="311" t="s">
        <v>360</v>
      </c>
      <c r="E83" s="313">
        <f>'明细表F3-2'!N31</f>
        <v>0</v>
      </c>
      <c r="F83" s="313">
        <f>F37</f>
        <v>0</v>
      </c>
      <c r="G83" s="314" t="e">
        <f>ROUND(F83/E83,4)</f>
        <v>#DIV/0!</v>
      </c>
      <c r="H83" s="228"/>
      <c r="I83" s="228"/>
      <c r="K83" s="288"/>
      <c r="M83" s="288"/>
    </row>
    <row r="84" spans="1:15" s="271" customFormat="1" ht="19.95" customHeight="1">
      <c r="A84" s="27"/>
      <c r="B84" s="27"/>
      <c r="C84"/>
      <c r="D84" s="311" t="s">
        <v>361</v>
      </c>
      <c r="E84" s="313">
        <f>'明细表F3-2'!M31</f>
        <v>0</v>
      </c>
      <c r="F84" s="313">
        <f>F59</f>
        <v>0</v>
      </c>
      <c r="G84" s="314" t="e">
        <f>ROUND(F84/E84,2)</f>
        <v>#DIV/0!</v>
      </c>
      <c r="H84" s="228"/>
      <c r="I84" s="228"/>
      <c r="K84" s="288"/>
      <c r="M84" s="288"/>
    </row>
    <row r="85" spans="1:15" s="271" customFormat="1" ht="19.95" customHeight="1">
      <c r="A85" s="27"/>
      <c r="B85" s="27"/>
      <c r="C85"/>
      <c r="D85" s="311" t="s">
        <v>371</v>
      </c>
      <c r="E85" s="313">
        <f>'明细表F3-2'!R31</f>
        <v>0</v>
      </c>
      <c r="F85" s="313">
        <f>F80</f>
        <v>0</v>
      </c>
      <c r="G85" s="314" t="e">
        <f>ROUND(F85/E85,2)</f>
        <v>#DIV/0!</v>
      </c>
      <c r="H85" s="228"/>
      <c r="I85" s="228"/>
      <c r="K85" s="288"/>
      <c r="M85" s="288"/>
    </row>
    <row r="86" spans="1:15" s="271" customFormat="1" ht="19.95" customHeight="1">
      <c r="A86" s="318" t="s">
        <v>362</v>
      </c>
      <c r="B86" s="27"/>
      <c r="C86"/>
      <c r="D86" s="315"/>
      <c r="E86" s="316"/>
      <c r="F86" s="316"/>
      <c r="G86" s="317"/>
      <c r="H86" s="228"/>
      <c r="I86" s="228"/>
      <c r="K86" s="288"/>
      <c r="M86" s="288"/>
    </row>
    <row r="87" spans="1:15" s="271" customFormat="1" ht="19.95" customHeight="1">
      <c r="A87" s="318"/>
      <c r="B87" s="27"/>
      <c r="C87"/>
      <c r="D87" s="315"/>
      <c r="E87" s="316"/>
      <c r="F87" s="316"/>
      <c r="G87" s="317"/>
      <c r="H87" s="228"/>
      <c r="K87" s="288"/>
      <c r="O87" s="289"/>
    </row>
    <row r="88" spans="1:15" s="271" customFormat="1" ht="19.95" customHeight="1">
      <c r="A88" s="207" t="s">
        <v>253</v>
      </c>
    </row>
    <row r="89" spans="1:15" s="271" customFormat="1" ht="19.95" customHeight="1"/>
    <row r="90" spans="1:15" s="271" customFormat="1" ht="19.95" customHeight="1"/>
    <row r="91" spans="1:15" ht="19.95" customHeight="1"/>
    <row r="92" spans="1:15" ht="19.95" customHeight="1">
      <c r="A92" s="210"/>
    </row>
    <row r="93" spans="1:15" ht="19.95" customHeight="1"/>
    <row r="94" spans="1:15" ht="19.95" customHeight="1"/>
    <row r="95" spans="1:15" ht="19.95" customHeight="1"/>
    <row r="96" spans="1:15" ht="19.95" customHeight="1"/>
    <row r="97" ht="19.95" customHeight="1"/>
  </sheetData>
  <mergeCells count="27">
    <mergeCell ref="N61:N62"/>
    <mergeCell ref="O61:O62"/>
    <mergeCell ref="P61:P62"/>
    <mergeCell ref="Q61:Q62"/>
    <mergeCell ref="A61:F61"/>
    <mergeCell ref="G61:G62"/>
    <mergeCell ref="H61:I61"/>
    <mergeCell ref="J61:L61"/>
    <mergeCell ref="M61:M62"/>
    <mergeCell ref="Q39:Q40"/>
    <mergeCell ref="A39:F39"/>
    <mergeCell ref="H39:K39"/>
    <mergeCell ref="L39:N39"/>
    <mergeCell ref="O39:O40"/>
    <mergeCell ref="P39:P40"/>
    <mergeCell ref="G39:G40"/>
    <mergeCell ref="A1:Q1"/>
    <mergeCell ref="A2:Q2"/>
    <mergeCell ref="A15:F15"/>
    <mergeCell ref="H15:I15"/>
    <mergeCell ref="J15:L15"/>
    <mergeCell ref="P15:P16"/>
    <mergeCell ref="Q15:Q16"/>
    <mergeCell ref="G15:G16"/>
    <mergeCell ref="M15:M16"/>
    <mergeCell ref="N15:N16"/>
    <mergeCell ref="O15:O16"/>
  </mergeCells>
  <phoneticPr fontId="17" type="noConversion"/>
  <dataValidations count="1">
    <dataValidation type="list" allowBlank="1" showInputMessage="1" showErrorMessage="1" sqref="G17:G36 G63:G79 G41:G58">
      <formula1>"银行承兑汇票,商业承兑汇票"</formula1>
    </dataValidation>
  </dataValidations>
  <hyperlinks>
    <hyperlink ref="Q3" location="底稿目录!A1" display="底稿目录!A1"/>
  </hyperlinks>
  <pageMargins left="0.70866141732283472" right="0.70866141732283472" top="0.74803149606299213" bottom="0.74803149606299213" header="0.31496062992125984" footer="0.31496062992125984"/>
  <pageSetup paperSize="9" scale="67" orientation="landscape" blackAndWhite="1" r:id="rId1"/>
  <headerFooter>
    <oddFooter>&amp;C&amp;P/&amp;N</oddFooter>
  </headerFooter>
  <rowBreaks count="2" manualBreakCount="2">
    <brk id="37" max="16" man="1"/>
    <brk id="59" max="17"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8"/>
  <sheetViews>
    <sheetView workbookViewId="0"/>
  </sheetViews>
  <sheetFormatPr defaultRowHeight="15.6"/>
  <sheetData>
    <row r="1" spans="1:2">
      <c r="A1" t="s">
        <v>3</v>
      </c>
      <c r="B1" t="s">
        <v>4</v>
      </c>
    </row>
    <row r="2" spans="1:2">
      <c r="A2" t="s">
        <v>5</v>
      </c>
      <c r="B2" t="s">
        <v>6</v>
      </c>
    </row>
    <row r="3" spans="1:2">
      <c r="A3" t="s">
        <v>7</v>
      </c>
      <c r="B3" t="s">
        <v>8</v>
      </c>
    </row>
    <row r="4" spans="1:2">
      <c r="A4" t="s">
        <v>9</v>
      </c>
      <c r="B4" t="s">
        <v>10</v>
      </c>
    </row>
    <row r="5" spans="1:2">
      <c r="A5" t="s">
        <v>11</v>
      </c>
      <c r="B5" t="s">
        <v>12</v>
      </c>
    </row>
    <row r="6" spans="1:2">
      <c r="A6" t="s">
        <v>13</v>
      </c>
      <c r="B6" t="s">
        <v>14</v>
      </c>
    </row>
    <row r="7" spans="1:2">
      <c r="A7" t="s">
        <v>15</v>
      </c>
      <c r="B7" t="s">
        <v>16</v>
      </c>
    </row>
    <row r="8" spans="1:2">
      <c r="A8" t="s">
        <v>17</v>
      </c>
      <c r="B8" t="s">
        <v>18</v>
      </c>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12</vt:i4>
      </vt:variant>
    </vt:vector>
  </HeadingPairs>
  <TitlesOfParts>
    <vt:vector size="24" baseType="lpstr">
      <vt:lpstr>底稿目录</vt:lpstr>
      <vt:lpstr>应付票据实质性程序表F3A </vt:lpstr>
      <vt:lpstr>审定表F3-1</vt:lpstr>
      <vt:lpstr>附注披露信息(上市公司)</vt:lpstr>
      <vt:lpstr>附注披露信息(国企)</vt:lpstr>
      <vt:lpstr>明细表F3-2</vt:lpstr>
      <vt:lpstr>调整分录汇总F3-3</vt:lpstr>
      <vt:lpstr>应付票据（带息）利息测算表F3-4</vt:lpstr>
      <vt:lpstr>逾期票据检查F3-5</vt:lpstr>
      <vt:lpstr>关联方及交易检查表F3-6</vt:lpstr>
      <vt:lpstr>应付票据检查表F3-7</vt:lpstr>
      <vt:lpstr>GT_Custom</vt:lpstr>
      <vt:lpstr>'应付票据实质性程序表F3A '!_FilterDatabase</vt:lpstr>
      <vt:lpstr>'调整分录汇总F3-3'!Print_Area</vt:lpstr>
      <vt:lpstr>'附注披露信息(国企)'!Print_Area</vt:lpstr>
      <vt:lpstr>'附注披露信息(上市公司)'!Print_Area</vt:lpstr>
      <vt:lpstr>'关联方及交易检查表F3-6'!Print_Area</vt:lpstr>
      <vt:lpstr>'明细表F3-2'!Print_Area</vt:lpstr>
      <vt:lpstr>'审定表F3-1'!Print_Area</vt:lpstr>
      <vt:lpstr>'应付票据（带息）利息测算表F3-4'!Print_Area</vt:lpstr>
      <vt:lpstr>'应付票据检查表F3-7'!Print_Area</vt:lpstr>
      <vt:lpstr>'应付票据实质性程序表F3A '!Print_Area</vt:lpstr>
      <vt:lpstr>'逾期票据检查F3-5'!Print_Area</vt:lpstr>
      <vt:lpstr>'应付票据实质性程序表F3A '!Print_Titles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2025-10-20T02:03:28Z</cp:lastPrinted>
  <dcterms:created xsi:type="dcterms:W3CDTF">2007-05-20T08:51:05Z</dcterms:created>
  <dcterms:modified xsi:type="dcterms:W3CDTF">2025-10-27T01:55:02Z</dcterms:modified>
</cp:coreProperties>
</file>