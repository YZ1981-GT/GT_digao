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M 权益循环\"/>
    </mc:Choice>
  </mc:AlternateContent>
  <bookViews>
    <workbookView xWindow="-108" yWindow="-108" windowWidth="23256" windowHeight="12576" tabRatio="907"/>
  </bookViews>
  <sheets>
    <sheet name="底稿目录" sheetId="1" r:id="rId1"/>
    <sheet name="其他权益工具实质性程序表 M10A" sheetId="35" r:id="rId2"/>
    <sheet name="其他权益工具实质性程序表 Q10A (修订前)" sheetId="38" state="hidden" r:id="rId3"/>
    <sheet name="审定表M10-1" sheetId="33" r:id="rId4"/>
    <sheet name="附注披露信息核对（上市公司）" sheetId="23" r:id="rId5"/>
    <sheet name="附注披露信息核对（国企）" sheetId="26" r:id="rId6"/>
    <sheet name="明细表M10-2" sheetId="37" r:id="rId7"/>
    <sheet name="调整分录汇总M10-3" sheetId="36" r:id="rId8"/>
    <sheet name="负债与权益区分检查表M10-4" sheetId="32" r:id="rId9"/>
    <sheet name="其他权益工具检查表M10-5" sheetId="21" r:id="rId10"/>
    <sheet name="GT_Custom" sheetId="24" state="hidden" r:id="rId11"/>
  </sheets>
  <externalReferences>
    <externalReference r:id="rId12"/>
    <externalReference r:id="rId13"/>
    <externalReference r:id="rId14"/>
  </externalReferences>
  <definedNames>
    <definedName name="_xlnm._FilterDatabase" localSheetId="1" hidden="1">'其他权益工具实质性程序表 M10A'!$A$15:$I$15</definedName>
    <definedName name="_xlnm._FilterDatabase" localSheetId="2" hidden="1">'其他权益工具实质性程序表 Q10A (修订前)'!$A$16:$J$16</definedName>
    <definedName name="_xlnm._FilterDatabase" hidden="1">#REF!</definedName>
    <definedName name="AFV" localSheetId="1" hidden="1">#REF!</definedName>
    <definedName name="AFV" localSheetId="2" hidden="1">#REF!</definedName>
    <definedName name="AFV" hidden="1">#REF!</definedName>
    <definedName name="AS2DocOpenMode" hidden="1">"AS2DocumentEdit"</definedName>
    <definedName name="bs" hidden="1">{#N/A,#N/A,FALSE,"BBPREP"}</definedName>
    <definedName name="bs_1" hidden="1">{#N/A,#N/A,FALSE,"BBPREP"}</definedName>
    <definedName name="CCD" localSheetId="1" hidden="1">#REF!</definedName>
    <definedName name="CCD" localSheetId="2" hidden="1">#REF!</definedName>
    <definedName name="CCD" hidden="1">#REF!</definedName>
    <definedName name="CDE" localSheetId="1" hidden="1">#REF!</definedName>
    <definedName name="CDE" localSheetId="2" hidden="1">#REF!</definedName>
    <definedName name="CDE" hidden="1">#REF!</definedName>
    <definedName name="DEX" localSheetId="1" hidden="1">#REF!</definedName>
    <definedName name="DEX" localSheetId="2" hidden="1">#REF!</definedName>
    <definedName name="DEX" hidden="1">#REF!</definedName>
    <definedName name="EDC" localSheetId="1" hidden="1">#REF!</definedName>
    <definedName name="EDC" localSheetId="2" hidden="1">#REF!</definedName>
    <definedName name="EDC" hidden="1">#REF!</definedName>
    <definedName name="FAD" localSheetId="1" hidden="1">[1]Breakdown!#REF!</definedName>
    <definedName name="FAD" localSheetId="2" hidden="1">[1]Breakdown!#REF!</definedName>
    <definedName name="FAD" hidden="1">[1]Breakdown!#REF!</definedName>
    <definedName name="FASD" localSheetId="1" hidden="1">#REF!</definedName>
    <definedName name="FASD" localSheetId="2" hidden="1">#REF!</definedName>
    <definedName name="FASD" hidden="1">#REF!</definedName>
    <definedName name="FEDC" localSheetId="1" hidden="1">'[2]2004'!#REF!</definedName>
    <definedName name="FEDC" localSheetId="2" hidden="1">'[2]2004'!#REF!</definedName>
    <definedName name="FEDC" hidden="1">'[2]2004'!#REF!</definedName>
    <definedName name="_xlnm.Print_Area" localSheetId="7">'调整分录汇总M10-3'!$A$1:$J$24</definedName>
    <definedName name="_xlnm.Print_Area" localSheetId="8">'负债与权益区分检查表M10-4'!$A$1:$F$38</definedName>
    <definedName name="_xlnm.Print_Area" localSheetId="6">'明细表M10-2'!$A$1:$AD$33</definedName>
    <definedName name="_xlnm.Print_Area" localSheetId="9">'其他权益工具检查表M10-5'!$A$1:$P$26</definedName>
    <definedName name="_xlnm.Print_Area" localSheetId="1">'其他权益工具实质性程序表 M10A'!$A$1:$I$24</definedName>
    <definedName name="_xlnm.Print_Area" localSheetId="2">'其他权益工具实质性程序表 Q10A (修订前)'!$A$1:$J$43</definedName>
    <definedName name="_xlnm.Print_Area" localSheetId="3">'审定表M10-1'!$A$1:$L$32</definedName>
    <definedName name="RDES" localSheetId="1" hidden="1">#REF!</definedName>
    <definedName name="RDES" localSheetId="2" hidden="1">#REF!</definedName>
    <definedName name="RDES" hidden="1">#REF!</definedName>
    <definedName name="TextRefCopyRangeCount" hidden="1">136</definedName>
    <definedName name="VFE" localSheetId="1" hidden="1">#REF!</definedName>
    <definedName name="VFE" localSheetId="2" hidden="1">#REF!</definedName>
    <definedName name="VFE" hidden="1">#REF!</definedName>
    <definedName name="XAP" localSheetId="1" hidden="1">#REF!</definedName>
    <definedName name="XAP" localSheetId="2" hidden="1">#REF!</definedName>
    <definedName name="XAP" hidden="1">#REF!</definedName>
    <definedName name="XAQ" localSheetId="1" hidden="1">#REF!</definedName>
    <definedName name="XAQ" localSheetId="2" hidden="1">#REF!</definedName>
    <definedName name="XAQ" hidden="1">#REF!</definedName>
    <definedName name="XCD" localSheetId="1" hidden="1">#REF!</definedName>
    <definedName name="XCD" localSheetId="2" hidden="1">#REF!</definedName>
    <definedName name="XCD" hidden="1">#REF!</definedName>
    <definedName name="XREF_COLUMN_1" localSheetId="1" hidden="1">#REF!</definedName>
    <definedName name="XREF_COLUMN_1" localSheetId="2" hidden="1">#REF!</definedName>
    <definedName name="XREF_COLUMN_1" hidden="1">#REF!</definedName>
    <definedName name="XREF_COLUMN_2" localSheetId="1" hidden="1">[1]Breakdown!#REF!</definedName>
    <definedName name="XREF_COLUMN_2" localSheetId="2" hidden="1">[1]Breakdown!#REF!</definedName>
    <definedName name="XREF_COLUMN_2" hidden="1">[1]Breakdown!#REF!</definedName>
    <definedName name="XREF_COLUMN_3" localSheetId="1" hidden="1">#REF!</definedName>
    <definedName name="XREF_COLUMN_3" localSheetId="2" hidden="1">#REF!</definedName>
    <definedName name="XREF_COLUMN_3" hidden="1">#REF!</definedName>
    <definedName name="XREF_COLUMN_5" localSheetId="1" hidden="1">'[2]2004'!#REF!</definedName>
    <definedName name="XREF_COLUMN_5" localSheetId="2" hidden="1">'[2]2004'!#REF!</definedName>
    <definedName name="XREF_COLUMN_5" hidden="1">'[2]2004'!#REF!</definedName>
    <definedName name="XRefActiveRow" localSheetId="1" hidden="1">#REF!</definedName>
    <definedName name="XRefActiveRow" localSheetId="2" hidden="1">#REF!</definedName>
    <definedName name="XRefActiveRow" hidden="1">#REF!</definedName>
    <definedName name="XRefColumnsCount" hidden="1">2</definedName>
    <definedName name="XRefCopy1" localSheetId="1" hidden="1">#REF!</definedName>
    <definedName name="XRefCopy1" localSheetId="2" hidden="1">#REF!</definedName>
    <definedName name="XRefCopy1" hidden="1">#REF!</definedName>
    <definedName name="XRefCopy1Row" localSheetId="1" hidden="1">#REF!</definedName>
    <definedName name="XRefCopy1Row" localSheetId="2" hidden="1">#REF!</definedName>
    <definedName name="XRefCopy1Row" hidden="1">#REF!</definedName>
    <definedName name="XRefCopy2Row" localSheetId="1" hidden="1">#REF!</definedName>
    <definedName name="XRefCopy2Row" localSheetId="2" hidden="1">#REF!</definedName>
    <definedName name="XRefCopy2Row" hidden="1">#REF!</definedName>
    <definedName name="XRefCopyRangeCount" hidden="1">2</definedName>
    <definedName name="XRefPaste1" localSheetId="1" hidden="1">#REF!</definedName>
    <definedName name="XRefPaste1" localSheetId="2" hidden="1">#REF!</definedName>
    <definedName name="XRefPaste1" hidden="1">#REF!</definedName>
    <definedName name="XRefPaste1Row" localSheetId="1" hidden="1">#REF!</definedName>
    <definedName name="XRefPaste1Row" localSheetId="2" hidden="1">#REF!</definedName>
    <definedName name="XRefPaste1Row" hidden="1">#REF!</definedName>
    <definedName name="XRefPaste2" localSheetId="1" hidden="1">#REF!</definedName>
    <definedName name="XRefPaste2" localSheetId="2" hidden="1">#REF!</definedName>
    <definedName name="XRefPaste2" hidden="1">#REF!</definedName>
    <definedName name="XRefPaste2Row" localSheetId="1" hidden="1">#REF!</definedName>
    <definedName name="XRefPaste2Row" localSheetId="2" hidden="1">#REF!</definedName>
    <definedName name="XRefPaste2Row" hidden="1">#REF!</definedName>
    <definedName name="XRefPaste3" localSheetId="1" hidden="1">#REF!</definedName>
    <definedName name="XRefPaste3" localSheetId="2" hidden="1">#REF!</definedName>
    <definedName name="XRefPaste3" hidden="1">#REF!</definedName>
    <definedName name="XRefPaste3Row" localSheetId="1" hidden="1">#REF!</definedName>
    <definedName name="XRefPaste3Row" localSheetId="2" hidden="1">#REF!</definedName>
    <definedName name="XRefPaste3Row" hidden="1">#REF!</definedName>
    <definedName name="XRefPasteRangeCount" hidden="1">2</definedName>
    <definedName name="本循环科目" hidden="1">[3]索引!$D$15:$D$76</definedName>
    <definedName name="底稿目录" localSheetId="1" hidden="1">#REF!</definedName>
    <definedName name="底稿目录" localSheetId="2" hidden="1">#REF!</definedName>
    <definedName name="底稿目录" hidden="1">#REF!</definedName>
    <definedName name="新目录" localSheetId="1" hidden="1">#REF!</definedName>
    <definedName name="新目录" localSheetId="2"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21" l="1"/>
  <c r="F19" i="21"/>
  <c r="P3" i="21" l="1"/>
  <c r="F3" i="32"/>
  <c r="J3" i="36"/>
  <c r="AD3" i="37"/>
  <c r="L3" i="33"/>
  <c r="N4" i="37" l="1"/>
  <c r="G4" i="37"/>
  <c r="A4" i="37"/>
  <c r="N3" i="37"/>
  <c r="G3" i="37"/>
  <c r="A3" i="37"/>
  <c r="F4" i="38"/>
  <c r="C4" i="38"/>
  <c r="A4" i="38"/>
  <c r="F3" i="38"/>
  <c r="C3" i="38"/>
  <c r="A3" i="38"/>
  <c r="X25" i="37"/>
  <c r="W25" i="37"/>
  <c r="V25" i="37"/>
  <c r="U25" i="37"/>
  <c r="Q25" i="37"/>
  <c r="O25" i="37"/>
  <c r="M25" i="37"/>
  <c r="K25" i="37"/>
  <c r="J25" i="37"/>
  <c r="H25" i="37"/>
  <c r="S24" i="37"/>
  <c r="Y24" i="37" s="1"/>
  <c r="R24" i="37"/>
  <c r="N24" i="37"/>
  <c r="S23" i="37"/>
  <c r="Y23" i="37" s="1"/>
  <c r="R23" i="37"/>
  <c r="N23" i="37"/>
  <c r="S22" i="37"/>
  <c r="R22" i="37"/>
  <c r="N22" i="37"/>
  <c r="X20" i="37"/>
  <c r="W20" i="37"/>
  <c r="V20" i="37"/>
  <c r="U20" i="37"/>
  <c r="Q20" i="37"/>
  <c r="O20" i="37"/>
  <c r="M20" i="37"/>
  <c r="K20" i="37"/>
  <c r="J20" i="37"/>
  <c r="H20" i="37"/>
  <c r="S19" i="37"/>
  <c r="Y19" i="37" s="1"/>
  <c r="R19" i="37"/>
  <c r="N19" i="37"/>
  <c r="S18" i="37"/>
  <c r="Y18" i="37" s="1"/>
  <c r="R18" i="37"/>
  <c r="N18" i="37"/>
  <c r="T18" i="37" s="1"/>
  <c r="Z18" i="37" s="1"/>
  <c r="S17" i="37"/>
  <c r="Y17" i="37" s="1"/>
  <c r="R17" i="37"/>
  <c r="N17" i="37"/>
  <c r="X15" i="37"/>
  <c r="W15" i="37"/>
  <c r="V15" i="37"/>
  <c r="U15" i="37"/>
  <c r="Q15" i="37"/>
  <c r="O15" i="37"/>
  <c r="M15" i="37"/>
  <c r="K15" i="37"/>
  <c r="J15" i="37"/>
  <c r="H15" i="37"/>
  <c r="S14" i="37"/>
  <c r="Y14" i="37" s="1"/>
  <c r="R14" i="37"/>
  <c r="N14" i="37"/>
  <c r="S13" i="37"/>
  <c r="Y13" i="37" s="1"/>
  <c r="R13" i="37"/>
  <c r="N13" i="37"/>
  <c r="S12" i="37"/>
  <c r="Y12" i="37" s="1"/>
  <c r="R12" i="37"/>
  <c r="N12" i="37"/>
  <c r="Q26" i="37" l="1"/>
  <c r="N25" i="37"/>
  <c r="R25" i="37"/>
  <c r="J26" i="37"/>
  <c r="H26" i="37"/>
  <c r="T17" i="37"/>
  <c r="Z17" i="37" s="1"/>
  <c r="R15" i="37"/>
  <c r="T23" i="37"/>
  <c r="Z23" i="37" s="1"/>
  <c r="O26" i="37"/>
  <c r="T14" i="37"/>
  <c r="Z14" i="37" s="1"/>
  <c r="N15" i="37"/>
  <c r="S25" i="37"/>
  <c r="Y25" i="37" s="1"/>
  <c r="K26" i="37"/>
  <c r="T24" i="37"/>
  <c r="Z24" i="37" s="1"/>
  <c r="M26" i="37"/>
  <c r="U26" i="37"/>
  <c r="Y15" i="37"/>
  <c r="V26" i="37"/>
  <c r="T22" i="37"/>
  <c r="Z22" i="37" s="1"/>
  <c r="W26" i="37"/>
  <c r="T13" i="37"/>
  <c r="Z13" i="37" s="1"/>
  <c r="T19" i="37"/>
  <c r="Z19" i="37" s="1"/>
  <c r="Y22" i="37"/>
  <c r="X26" i="37"/>
  <c r="R20" i="37"/>
  <c r="Y20" i="37"/>
  <c r="N20" i="37"/>
  <c r="N26" i="37" s="1"/>
  <c r="G20" i="21" s="1"/>
  <c r="G21" i="21" s="1"/>
  <c r="S15" i="37"/>
  <c r="T12" i="37"/>
  <c r="S20" i="37"/>
  <c r="R26" i="37" l="1"/>
  <c r="F20" i="21" s="1"/>
  <c r="F21" i="21" s="1"/>
  <c r="Z20" i="37"/>
  <c r="T20" i="37"/>
  <c r="S26" i="37"/>
  <c r="Y26" i="37" s="1"/>
  <c r="T25" i="37"/>
  <c r="Z25" i="37" s="1"/>
  <c r="Z12" i="37"/>
  <c r="Z15" i="37" s="1"/>
  <c r="T15" i="37"/>
  <c r="T26" i="37" l="1"/>
  <c r="Z26" i="37" s="1"/>
  <c r="I11" i="26"/>
  <c r="H11" i="26"/>
  <c r="G11" i="26"/>
  <c r="F11" i="26"/>
  <c r="E11" i="26"/>
  <c r="D11" i="26"/>
  <c r="C11" i="26"/>
  <c r="B11" i="26"/>
  <c r="G4" i="36" l="1"/>
  <c r="G3" i="36"/>
  <c r="D4" i="36"/>
  <c r="D3" i="36"/>
  <c r="A4" i="36"/>
  <c r="A3" i="36"/>
  <c r="H4" i="21" l="1"/>
  <c r="D4" i="32"/>
  <c r="G4" i="26"/>
  <c r="G4" i="23"/>
  <c r="H4" i="33"/>
  <c r="E4" i="35"/>
  <c r="E4" i="21"/>
  <c r="C4" i="32"/>
  <c r="D4" i="26"/>
  <c r="D4" i="23"/>
  <c r="E4" i="33"/>
  <c r="C4" i="35"/>
  <c r="E3" i="35" l="1"/>
  <c r="C3" i="35"/>
  <c r="A4" i="35"/>
  <c r="A3" i="35"/>
  <c r="H21" i="33" l="1"/>
  <c r="G21" i="33"/>
  <c r="F21" i="33"/>
  <c r="D21" i="33"/>
  <c r="C21" i="33"/>
  <c r="B21" i="33"/>
  <c r="I20" i="33"/>
  <c r="E20" i="33"/>
  <c r="I19" i="33"/>
  <c r="E19" i="33"/>
  <c r="I18" i="33"/>
  <c r="E18" i="33"/>
  <c r="C16" i="33"/>
  <c r="D16" i="33"/>
  <c r="F16" i="33"/>
  <c r="G16" i="33"/>
  <c r="H16" i="33"/>
  <c r="B16" i="33"/>
  <c r="C11" i="33"/>
  <c r="D11" i="33"/>
  <c r="F11" i="33"/>
  <c r="G11" i="33"/>
  <c r="H11" i="33"/>
  <c r="B11" i="33"/>
  <c r="H3" i="33"/>
  <c r="E3" i="33"/>
  <c r="A4" i="33"/>
  <c r="A3" i="33"/>
  <c r="I15" i="33"/>
  <c r="E15" i="33"/>
  <c r="I14" i="33"/>
  <c r="E14" i="33"/>
  <c r="I13" i="33"/>
  <c r="E13" i="33"/>
  <c r="I10" i="33"/>
  <c r="E10" i="33"/>
  <c r="I9" i="33"/>
  <c r="E9" i="33"/>
  <c r="I8" i="33"/>
  <c r="E8" i="33"/>
  <c r="J19" i="33" l="1"/>
  <c r="G22" i="33"/>
  <c r="D22" i="33"/>
  <c r="J20" i="33"/>
  <c r="I21" i="33"/>
  <c r="F22" i="33"/>
  <c r="E21" i="33"/>
  <c r="K20" i="33"/>
  <c r="H22" i="33"/>
  <c r="C22" i="33"/>
  <c r="K19" i="33"/>
  <c r="B22" i="33"/>
  <c r="I11" i="33"/>
  <c r="J18" i="33"/>
  <c r="K15" i="33"/>
  <c r="K18" i="33"/>
  <c r="E16" i="33"/>
  <c r="I16" i="33"/>
  <c r="E11" i="33"/>
  <c r="J14" i="33"/>
  <c r="J13" i="33"/>
  <c r="J8" i="33"/>
  <c r="J10" i="33"/>
  <c r="K14" i="33"/>
  <c r="J15" i="33"/>
  <c r="K13" i="33"/>
  <c r="K8" i="33"/>
  <c r="K9" i="33"/>
  <c r="K10" i="33"/>
  <c r="J9" i="33"/>
  <c r="K21" i="33" l="1"/>
  <c r="J21" i="33"/>
  <c r="E22" i="33"/>
  <c r="E24" i="33" s="1"/>
  <c r="I22" i="33"/>
  <c r="J11" i="33"/>
  <c r="J16" i="33"/>
  <c r="K11" i="33"/>
  <c r="J22" i="33" l="1"/>
  <c r="I24" i="33"/>
  <c r="K16" i="33"/>
  <c r="E26" i="33" l="1"/>
  <c r="K22" i="33"/>
  <c r="A4" i="32" l="1"/>
  <c r="D3" i="32"/>
  <c r="C3" i="32"/>
  <c r="A3" i="32"/>
  <c r="G13" i="23" l="1"/>
  <c r="A4" i="21" l="1"/>
  <c r="H3" i="21"/>
  <c r="E3" i="21"/>
  <c r="A3" i="21"/>
  <c r="B34" i="23" l="1"/>
  <c r="C34" i="23"/>
  <c r="F34" i="23"/>
  <c r="D34" i="23"/>
  <c r="G34" i="23"/>
  <c r="E34" i="23"/>
  <c r="I34" i="23" l="1"/>
  <c r="H34" i="23"/>
  <c r="A4" i="26" l="1"/>
  <c r="G3" i="26"/>
  <c r="D3" i="26"/>
  <c r="A3" i="26"/>
  <c r="A4" i="23"/>
  <c r="G3" i="23"/>
  <c r="D3" i="23"/>
  <c r="A3" i="23"/>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24"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24"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comments3.xml><?xml version="1.0" encoding="utf-8"?>
<comments xmlns="http://schemas.openxmlformats.org/spreadsheetml/2006/main">
  <authors>
    <author>Windows 用户</author>
  </authors>
  <commentList>
    <comment ref="B17" authorId="0" shapeId="0">
      <text>
        <r>
          <rPr>
            <b/>
            <sz val="9"/>
            <color indexed="81"/>
            <rFont val="宋体"/>
            <family val="3"/>
            <charset val="134"/>
          </rPr>
          <t>技术部:</t>
        </r>
        <r>
          <rPr>
            <sz val="9"/>
            <color indexed="81"/>
            <rFont val="宋体"/>
            <family val="3"/>
            <charset val="134"/>
          </rPr>
          <t xml:space="preserve">
如果约定票面利率公式为：当期票面利率=上期利率+初始利差+300个基点，则“上期利率”除了前3个计息年度，后面每期均增加“初始利差+300个基点”，则由于累积，利率跳升不封顶，发行方可能在此显著不利的条件下选择赎回，从而间接地形成合同义务，符合金融负债的定义。同样，当期票面利率=当期基准利率+初始利差+重置次数*300bps，也导致利率跳升不封顶。</t>
        </r>
      </text>
    </comment>
  </commentList>
</comments>
</file>

<file path=xl/sharedStrings.xml><?xml version="1.0" encoding="utf-8"?>
<sst xmlns="http://schemas.openxmlformats.org/spreadsheetml/2006/main" count="648" uniqueCount="470">
  <si>
    <t>索引号：</t>
  </si>
  <si>
    <t>合计</t>
  </si>
  <si>
    <t>本期增加</t>
  </si>
  <si>
    <t>本期减少</t>
  </si>
  <si>
    <t>底稿开列时，可先在以下单元格填写有关内容，以便其他底稿引用有关数据：</t>
    <phoneticPr fontId="15" type="noConversion"/>
  </si>
  <si>
    <t>序号</t>
    <phoneticPr fontId="15" type="noConversion"/>
  </si>
  <si>
    <t>附注披露信息（上市公司）</t>
    <phoneticPr fontId="15" type="noConversion"/>
  </si>
  <si>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</si>
  <si>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</si>
  <si>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</si>
  <si>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</si>
  <si>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</si>
  <si>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</si>
  <si>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</si>
  <si>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</si>
  <si>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</si>
  <si>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</si>
  <si>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</si>
  <si>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</si>
  <si>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</si>
  <si>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</si>
  <si>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</si>
  <si>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</si>
  <si>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</si>
  <si>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</si>
  <si>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页次：</t>
  </si>
  <si>
    <t>数量</t>
  </si>
  <si>
    <t>账面价值</t>
  </si>
  <si>
    <t>金额</t>
  </si>
  <si>
    <t>……</t>
  </si>
  <si>
    <t>【提示：</t>
  </si>
  <si>
    <t>【如果企业受特定监管规则约束，还需披露该金融工具是否被相关监管部门认定为合格的监管资本以及对本企业监管资本水平的影响。】</t>
  </si>
  <si>
    <t>期末发行在外的优先股、永续债等其他金融工具变动情况表：</t>
  </si>
  <si>
    <t>发行在外的金融工具</t>
    <phoneticPr fontId="15" type="noConversion"/>
  </si>
  <si>
    <r>
      <rPr>
        <b/>
        <sz val="10"/>
        <rFont val="宋体"/>
        <family val="3"/>
        <charset val="134"/>
      </rPr>
      <t>审定数</t>
    </r>
    <phoneticPr fontId="15" type="noConversion"/>
  </si>
  <si>
    <t>转股条件</t>
    <phoneticPr fontId="15" type="noConversion"/>
  </si>
  <si>
    <r>
      <rPr>
        <b/>
        <sz val="10"/>
        <rFont val="宋体"/>
        <family val="3"/>
        <charset val="134"/>
      </rPr>
      <t>未审数</t>
    </r>
    <phoneticPr fontId="15" type="noConversion"/>
  </si>
  <si>
    <t>发行时间</t>
    <phoneticPr fontId="15" type="noConversion"/>
  </si>
  <si>
    <t>转换情况</t>
    <phoneticPr fontId="15" type="noConversion"/>
  </si>
  <si>
    <r>
      <rPr>
        <b/>
        <sz val="10"/>
        <rFont val="宋体"/>
        <family val="3"/>
        <charset val="134"/>
      </rPr>
      <t>账项调整</t>
    </r>
    <phoneticPr fontId="15" type="noConversion"/>
  </si>
  <si>
    <r>
      <rPr>
        <b/>
        <sz val="10"/>
        <rFont val="宋体"/>
        <family val="3"/>
        <charset val="134"/>
      </rPr>
      <t>重分类调整</t>
    </r>
    <phoneticPr fontId="15" type="noConversion"/>
  </si>
  <si>
    <r>
      <rPr>
        <b/>
        <sz val="10"/>
        <rFont val="宋体"/>
        <family val="3"/>
        <charset val="134"/>
      </rPr>
      <t>变动额</t>
    </r>
    <phoneticPr fontId="15" type="noConversion"/>
  </si>
  <si>
    <r>
      <rPr>
        <sz val="10"/>
        <rFont val="宋体"/>
        <family val="3"/>
        <charset val="134"/>
      </rPr>
      <t>页次：</t>
    </r>
  </si>
  <si>
    <r>
      <rPr>
        <b/>
        <sz val="10"/>
        <rFont val="宋体"/>
        <family val="3"/>
        <charset val="134"/>
      </rPr>
      <t>一、审计目标</t>
    </r>
    <r>
      <rPr>
        <b/>
        <sz val="10"/>
        <rFont val="Arial Narrow"/>
        <family val="2"/>
      </rPr>
      <t>:</t>
    </r>
  </si>
  <si>
    <t>合  计</t>
  </si>
  <si>
    <t xml:space="preserve">2、“转股条件”栏应当披露合同中是否包含强制转股、自愿转股等条款。 </t>
  </si>
  <si>
    <t>3、“金额”栏以发行价格乘以发行数量填列。】</t>
  </si>
  <si>
    <t xml:space="preserve">②工具2的主要条款说明以及利息的设定机制： </t>
  </si>
  <si>
    <t>发行在外的金融工具</t>
    <phoneticPr fontId="15" type="noConversion"/>
  </si>
  <si>
    <t>发行价格</t>
    <phoneticPr fontId="15" type="noConversion"/>
  </si>
  <si>
    <t>附注披露信息（国企）</t>
    <phoneticPr fontId="15" type="noConversion"/>
  </si>
  <si>
    <t>会计分类</t>
    <phoneticPr fontId="15" type="noConversion"/>
  </si>
  <si>
    <t>股利率或利息率</t>
    <phoneticPr fontId="15" type="noConversion"/>
  </si>
  <si>
    <t>可无限加行</t>
    <phoneticPr fontId="15" type="noConversion"/>
  </si>
  <si>
    <r>
      <rPr>
        <b/>
        <sz val="10"/>
        <color theme="1"/>
        <rFont val="宋体"/>
        <family val="3"/>
        <charset val="134"/>
      </rPr>
      <t>一、审计目标</t>
    </r>
    <phoneticPr fontId="40" type="noConversion"/>
  </si>
  <si>
    <r>
      <rPr>
        <b/>
        <sz val="10"/>
        <color theme="1"/>
        <rFont val="宋体"/>
        <family val="3"/>
        <charset val="134"/>
      </rPr>
      <t>二、审计过程</t>
    </r>
    <phoneticPr fontId="40" type="noConversion"/>
  </si>
  <si>
    <r>
      <rPr>
        <b/>
        <sz val="10"/>
        <rFont val="宋体"/>
        <family val="3"/>
        <charset val="134"/>
      </rPr>
      <t>三、审计说明：</t>
    </r>
    <phoneticPr fontId="15" type="noConversion"/>
  </si>
  <si>
    <r>
      <rPr>
        <b/>
        <sz val="10"/>
        <rFont val="宋体"/>
        <family val="3"/>
        <charset val="134"/>
      </rPr>
      <t>四、审计结论</t>
    </r>
    <phoneticPr fontId="40" type="noConversion"/>
  </si>
  <si>
    <t>赎回选择权</t>
  </si>
  <si>
    <t>项目</t>
  </si>
  <si>
    <t>优先股条款</t>
  </si>
  <si>
    <t>本金的赎回</t>
  </si>
  <si>
    <t>本金无需赎回，或发行方可自主决定是否赎回</t>
  </si>
  <si>
    <t>可能表明具有权益特征，但须分析股息的支付机制。若必须支付股息，则负债部分等于支付的永续股利的现值；若自主决定是否支付股息，则属于权益。</t>
  </si>
  <si>
    <t>需在某固定或未来日期按照固定或可确定的金额强制赎回</t>
  </si>
  <si>
    <t>负债，还需分析股息的支付机制。若必须支付股息，则整体为负债；若自主决定是否支付股息，则负债部分等于赎回金额的现值，权益部分等于发行收入减去负债部分。</t>
  </si>
  <si>
    <t>股息支付</t>
  </si>
  <si>
    <t>发行方可自主决定是否支付或无限期地递延股息而无任何支付义务（即使股息可累积）</t>
  </si>
  <si>
    <t>可能表明具有权益特征，还需分析本金的赎回机制。若本金无需赎回或发行方可自主决定是否赎回，则属于权益；若本金需强制赎回，则负债部分等于赎回金额的现值，权益部分等于发行收入减去负债部分。</t>
  </si>
  <si>
    <t>强制付息——固定股息，发行方不能递延支付</t>
  </si>
  <si>
    <t>负债。若本金无需赎回或发行方可自主决定是否赎回，则负债部分等于支付的永续股利的现值；若本金需强制赎回，则整体为负债。</t>
  </si>
  <si>
    <t>强制付息——浮动股息</t>
  </si>
  <si>
    <t>应分析浮动机制是否构成一项嵌入衍生工具并评估其是否与主合同紧密相关。</t>
  </si>
  <si>
    <t>股息支付与另一项强制付息的金融工具相关联</t>
  </si>
  <si>
    <t>若优先股的股息支付与另一项强制付息的金融工具相关联，即支付另一关联工具的利息时，就必须支付该优先股股息，则仍然形成了支付该优先股股息的合同义务。</t>
  </si>
  <si>
    <t>若必须支付股息，则整体为负债；若自主决定是否支付股息，则负债部分等于赎回金额的现值，权益部分等于发行收入减去负债部分，但若赎回时需支付的金额还包括未支付的股利，则整体上为负债。</t>
  </si>
  <si>
    <t>仅发行方有权选择赎回</t>
  </si>
  <si>
    <t>可能不影响其分类。</t>
  </si>
  <si>
    <t>投资方有权选择赎回</t>
  </si>
  <si>
    <t>负债，还需分析股息的支付机制。若必须支付股息，则整体上为负债，且以现金赎回股票的嵌入看跌期权是一项嵌入衍生工具；若自主决定是否支付股息，则负债部分等于赎回金额的现值，权益部分等于发行收入减去负债部分，但若赎回时需支付的金额还包括未支付的股利，则整体上为负债。</t>
  </si>
  <si>
    <t>剩余利润分配</t>
  </si>
  <si>
    <t>无权同普通股股东一起参加剩余利润分配</t>
  </si>
  <si>
    <t>通常不影响根据其他条款划分的类别</t>
  </si>
  <si>
    <t>有权同普通股股东一起参加剩余利润分配</t>
  </si>
  <si>
    <t>转股权条款</t>
  </si>
  <si>
    <t>注释：优先股合同条款与分类的倾向意见</t>
    <phoneticPr fontId="40" type="noConversion"/>
  </si>
  <si>
    <t>https://www.gt-china.com.cn/article_view.php?id=5951</t>
    <phoneticPr fontId="40" type="noConversion"/>
  </si>
  <si>
    <t>其他权益工具审定表</t>
    <phoneticPr fontId="15" type="noConversion"/>
  </si>
  <si>
    <t>到期日或续期情况</t>
    <phoneticPr fontId="15" type="noConversion"/>
  </si>
  <si>
    <t>其他权益工具附注披露信息</t>
    <phoneticPr fontId="15" type="noConversion"/>
  </si>
  <si>
    <t>1、“会计分类”栏应填写“金融负债”、“权益工具”或“复合金融工具”等，对于整体指定以公允价值计量且其变动计入当期损益的金融负债，在“会计分类”栏中只需注明“整体指定”即可。</t>
    <phoneticPr fontId="15" type="noConversion"/>
  </si>
  <si>
    <t>无需打印</t>
    <phoneticPr fontId="15" type="noConversion"/>
  </si>
  <si>
    <t>项目</t>
    <phoneticPr fontId="15" type="noConversion"/>
  </si>
  <si>
    <r>
      <rPr>
        <b/>
        <sz val="10"/>
        <rFont val="宋体"/>
        <family val="3"/>
        <charset val="134"/>
      </rPr>
      <t>期初数</t>
    </r>
    <phoneticPr fontId="15" type="noConversion"/>
  </si>
  <si>
    <r>
      <rPr>
        <b/>
        <sz val="10"/>
        <rFont val="宋体"/>
        <family val="3"/>
        <charset val="134"/>
      </rPr>
      <t>期末数</t>
    </r>
    <phoneticPr fontId="15" type="noConversion"/>
  </si>
  <si>
    <t>本期与上期审定数比较</t>
    <phoneticPr fontId="15" type="noConversion"/>
  </si>
  <si>
    <r>
      <rPr>
        <b/>
        <sz val="10"/>
        <color indexed="8"/>
        <rFont val="宋体"/>
        <family val="3"/>
        <charset val="134"/>
      </rPr>
      <t>原因分析</t>
    </r>
    <phoneticPr fontId="15" type="noConversion"/>
  </si>
  <si>
    <r>
      <rPr>
        <b/>
        <sz val="10"/>
        <color indexed="8"/>
        <rFont val="宋体"/>
        <family val="3"/>
        <charset val="134"/>
      </rPr>
      <t>变动率</t>
    </r>
    <phoneticPr fontId="15" type="noConversion"/>
  </si>
  <si>
    <r>
      <t>1</t>
    </r>
    <r>
      <rPr>
        <b/>
        <sz val="10"/>
        <rFont val="宋体"/>
        <family val="3"/>
        <charset val="134"/>
      </rPr>
      <t>、审计说明</t>
    </r>
    <r>
      <rPr>
        <sz val="10"/>
        <color indexed="12"/>
        <rFont val="宋体"/>
        <family val="3"/>
        <charset val="134"/>
      </rPr>
      <t/>
    </r>
    <phoneticPr fontId="15"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</si>
  <si>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5" type="noConversion"/>
  </si>
  <si>
    <r>
      <rPr>
        <sz val="10"/>
        <rFont val="宋体"/>
        <family val="3"/>
        <charset val="134"/>
      </rPr>
      <t>（</t>
    </r>
    <r>
      <rPr>
        <sz val="10"/>
        <rFont val="Arial Narrow"/>
        <family val="2"/>
      </rPr>
      <t>2</t>
    </r>
    <r>
      <rPr>
        <sz val="10"/>
        <rFont val="宋体"/>
        <family val="3"/>
        <charset val="134"/>
      </rPr>
      <t>）情况说明</t>
    </r>
    <phoneticPr fontId="15" type="noConversion"/>
  </si>
  <si>
    <r>
      <t>2</t>
    </r>
    <r>
      <rPr>
        <b/>
        <sz val="10"/>
        <rFont val="宋体"/>
        <family val="3"/>
        <charset val="134"/>
      </rPr>
      <t>、审计结论</t>
    </r>
    <phoneticPr fontId="15" type="noConversion"/>
  </si>
  <si>
    <t>小计</t>
    <phoneticPr fontId="40" type="noConversion"/>
  </si>
  <si>
    <t>其他权益工具合计</t>
    <phoneticPr fontId="40" type="noConversion"/>
  </si>
  <si>
    <r>
      <rPr>
        <sz val="10"/>
        <rFont val="宋体"/>
        <family val="3"/>
        <charset val="134"/>
      </rPr>
      <t>（</t>
    </r>
    <r>
      <rPr>
        <sz val="10"/>
        <rFont val="Arial Narrow"/>
        <family val="2"/>
      </rPr>
      <t>1</t>
    </r>
    <r>
      <rPr>
        <sz val="10"/>
        <rFont val="宋体"/>
        <family val="3"/>
        <charset val="134"/>
      </rPr>
      <t>）其他权益工具本期较上期增加（负数为减少）：</t>
    </r>
    <phoneticPr fontId="15" type="noConversion"/>
  </si>
  <si>
    <t>页  次：</t>
    <phoneticPr fontId="40" type="noConversion"/>
  </si>
  <si>
    <t>其他权益工具明细表</t>
    <phoneticPr fontId="15" type="noConversion"/>
  </si>
  <si>
    <t>一、优先股</t>
    <phoneticPr fontId="15" type="noConversion"/>
  </si>
  <si>
    <t>二、永续债(含永续中票、无固定期限委托贷款等）</t>
    <phoneticPr fontId="15" type="noConversion"/>
  </si>
  <si>
    <t>三、转股特征(如可转债权益成分）</t>
    <phoneticPr fontId="15" type="noConversion"/>
  </si>
  <si>
    <t>分类时的考虑</t>
  </si>
  <si>
    <t>若发行方可自行选择在某一未来日期赎回，则发行方以现金赎回股票的看涨期权是一项嵌入衍生工具。</t>
  </si>
  <si>
    <t>若必须支付股息，则负债部分等于支付的永续股利的现值, 且发行方以现金赎回股票的看涨期权是一项嵌入衍生工具；若自主决定是否支付股息，则属于权益。</t>
  </si>
  <si>
    <t>通常表明存在权益成分（享有剩余收益），但还需考虑金融负债的计量金额</t>
  </si>
  <si>
    <t>转换为固定数量的股份或固定金额转换固定数量的股份</t>
  </si>
  <si>
    <t>该转股权具有权益特征，通常需要拆分</t>
  </si>
  <si>
    <t>转换为可变数量的股份或固定金额转换可变数量的股份</t>
  </si>
  <si>
    <t>该转股权具有负债特征，需要判断是否需要拆分</t>
  </si>
  <si>
    <t>N/A</t>
    <phoneticPr fontId="40" type="noConversion"/>
  </si>
  <si>
    <t>--</t>
    <phoneticPr fontId="40" type="noConversion"/>
  </si>
  <si>
    <t>《会计提示第78号—优先股永续债可转换公司债券》</t>
    <phoneticPr fontId="40" type="noConversion"/>
  </si>
  <si>
    <t>优先股、永续债划分为权益工具需满足的条件（须同时满足）：
（1）不构成支付义务，即发行方能够无条件避免支付。为满足这一条件，发行方需（不限于）：无需或自主决定分红付息、不存在或有支付义务、不存在或有结算条款（除非满足例外规定）、不存在结算选择权。
（2）转股条件（如有）不会导致交付可变数量的自身权益工具，或者符合“固定换固定”的标准。
（3）持有方不享有回售权。</t>
    <phoneticPr fontId="40" type="noConversion"/>
  </si>
  <si>
    <r>
      <rPr>
        <b/>
        <sz val="12"/>
        <rFont val="宋体"/>
        <family val="3"/>
        <charset val="134"/>
      </rPr>
      <t>致同会计师事务所</t>
    </r>
  </si>
  <si>
    <t>其他权益工具实质性程序</t>
    <phoneticPr fontId="15" type="noConversion"/>
  </si>
  <si>
    <r>
      <rPr>
        <sz val="10"/>
        <rFont val="宋体"/>
        <family val="3"/>
        <charset val="134"/>
      </rPr>
      <t>索引号：</t>
    </r>
  </si>
  <si>
    <t>Q10A</t>
    <phoneticPr fontId="15" type="noConversion"/>
  </si>
  <si>
    <t>其他权益工具</t>
    <phoneticPr fontId="40" type="noConversion"/>
  </si>
  <si>
    <r>
      <rPr>
        <b/>
        <sz val="10"/>
        <rFont val="宋体"/>
        <family val="3"/>
        <charset val="134"/>
      </rPr>
      <t>二、重大错报风险需从实质性程序获取的保证程度</t>
    </r>
    <phoneticPr fontId="15" type="noConversion"/>
  </si>
  <si>
    <r>
      <rPr>
        <b/>
        <sz val="10"/>
        <rFont val="宋体"/>
        <family val="3"/>
        <charset val="134"/>
      </rPr>
      <t>审计目标与认定对应关系</t>
    </r>
    <phoneticPr fontId="15" type="noConversion"/>
  </si>
  <si>
    <r>
      <rPr>
        <b/>
        <sz val="10"/>
        <rFont val="宋体"/>
        <family val="3"/>
        <charset val="134"/>
      </rPr>
      <t>财务报表的认定　</t>
    </r>
  </si>
  <si>
    <t>信赖/不信赖/不适用</t>
    <phoneticPr fontId="15" type="noConversion"/>
  </si>
  <si>
    <r>
      <rPr>
        <sz val="10"/>
        <rFont val="宋体"/>
        <family val="3"/>
        <charset val="134"/>
      </rPr>
      <t>索引号</t>
    </r>
  </si>
  <si>
    <r>
      <rPr>
        <sz val="10"/>
        <rFont val="宋体"/>
        <family val="3"/>
        <charset val="134"/>
      </rPr>
      <t>存在</t>
    </r>
    <phoneticPr fontId="15" type="noConversion"/>
  </si>
  <si>
    <r>
      <rPr>
        <sz val="10"/>
        <rFont val="宋体"/>
        <family val="3"/>
        <charset val="134"/>
      </rPr>
      <t>完整性</t>
    </r>
    <phoneticPr fontId="15" type="noConversion"/>
  </si>
  <si>
    <r>
      <rPr>
        <sz val="10"/>
        <rFont val="宋体"/>
        <family val="3"/>
        <charset val="134"/>
      </rPr>
      <t>权利和义务</t>
    </r>
    <phoneticPr fontId="15" type="noConversion"/>
  </si>
  <si>
    <r>
      <rPr>
        <sz val="10"/>
        <rFont val="宋体"/>
        <family val="3"/>
        <charset val="134"/>
      </rPr>
      <t>计价和分摊</t>
    </r>
    <phoneticPr fontId="15" type="noConversion"/>
  </si>
  <si>
    <r>
      <rPr>
        <sz val="10"/>
        <rFont val="宋体"/>
        <family val="3"/>
        <charset val="134"/>
      </rPr>
      <t>列报与披露</t>
    </r>
    <phoneticPr fontId="15" type="noConversion"/>
  </si>
  <si>
    <t>A. 资产负债表中记录的其他权益工具是存在的。</t>
    <phoneticPr fontId="40" type="noConversion"/>
  </si>
  <si>
    <r>
      <rPr>
        <sz val="10"/>
        <rFont val="宋体"/>
        <family val="3"/>
        <charset val="134"/>
      </rPr>
      <t>√</t>
    </r>
    <phoneticPr fontId="15" type="noConversion"/>
  </si>
  <si>
    <t>B. 所有应记录的其他权益工具均已记录，其他权益工具的增减变动符合法律、法规和合同、章程的规定。</t>
  </si>
  <si>
    <r>
      <rPr>
        <b/>
        <sz val="10"/>
        <rFont val="宋体"/>
        <family val="3"/>
        <charset val="134"/>
      </rPr>
      <t>三、计划实施的实质性程序</t>
    </r>
    <phoneticPr fontId="15" type="noConversion"/>
  </si>
  <si>
    <r>
      <rPr>
        <b/>
        <sz val="10"/>
        <rFont val="宋体"/>
        <family val="3"/>
        <charset val="134"/>
      </rPr>
      <t>序号</t>
    </r>
    <phoneticPr fontId="15" type="noConversion"/>
  </si>
  <si>
    <t>审计程序</t>
    <phoneticPr fontId="40" type="noConversion"/>
  </si>
  <si>
    <r>
      <rPr>
        <b/>
        <sz val="10"/>
        <rFont val="宋体"/>
        <family val="3"/>
        <charset val="134"/>
      </rPr>
      <t>程序分类</t>
    </r>
    <phoneticPr fontId="15" type="noConversion"/>
  </si>
  <si>
    <r>
      <rPr>
        <b/>
        <sz val="10"/>
        <rFont val="宋体"/>
        <family val="3"/>
        <charset val="134"/>
      </rPr>
      <t>对应的认定</t>
    </r>
    <r>
      <rPr>
        <b/>
        <sz val="10"/>
        <rFont val="Arial Narrow"/>
        <family val="2"/>
      </rPr>
      <t>/</t>
    </r>
    <r>
      <rPr>
        <b/>
        <sz val="10"/>
        <rFont val="宋体"/>
        <family val="3"/>
        <charset val="134"/>
      </rPr>
      <t>风险</t>
    </r>
    <phoneticPr fontId="15" type="noConversion"/>
  </si>
  <si>
    <r>
      <rPr>
        <b/>
        <sz val="10"/>
        <rFont val="宋体"/>
        <family val="3"/>
        <charset val="134"/>
      </rPr>
      <t>执行情况说明
（含底稿索引）</t>
    </r>
    <phoneticPr fontId="15" type="noConversion"/>
  </si>
  <si>
    <t>（一）</t>
    <phoneticPr fontId="40" type="noConversion"/>
  </si>
  <si>
    <r>
      <rPr>
        <b/>
        <sz val="10"/>
        <rFont val="宋体"/>
        <family val="3"/>
        <charset val="134"/>
      </rPr>
      <t>编制审定表</t>
    </r>
    <r>
      <rPr>
        <b/>
        <sz val="10"/>
        <rFont val="Arial Narrow"/>
        <family val="2"/>
      </rPr>
      <t xml:space="preserve"> </t>
    </r>
    <phoneticPr fontId="40" type="noConversion"/>
  </si>
  <si>
    <t>常规★</t>
    <phoneticPr fontId="40" type="noConversion"/>
  </si>
  <si>
    <t>B</t>
    <phoneticPr fontId="40" type="noConversion"/>
  </si>
  <si>
    <t>Q10</t>
    <phoneticPr fontId="40" type="noConversion"/>
  </si>
  <si>
    <t>（二）</t>
    <phoneticPr fontId="40" type="noConversion"/>
  </si>
  <si>
    <t>获取或编制其他权益工具明细表，并完成以下工作：</t>
    <phoneticPr fontId="40" type="noConversion"/>
  </si>
  <si>
    <t>C</t>
    <phoneticPr fontId="40" type="noConversion"/>
  </si>
  <si>
    <t>Q10-2</t>
    <phoneticPr fontId="40" type="noConversion"/>
  </si>
  <si>
    <t>1</t>
    <phoneticPr fontId="40" type="noConversion"/>
  </si>
  <si>
    <r>
      <rPr>
        <b/>
        <sz val="10"/>
        <rFont val="宋体"/>
        <family val="3"/>
        <charset val="134"/>
      </rPr>
      <t>复核加计正确</t>
    </r>
    <r>
      <rPr>
        <b/>
        <sz val="10"/>
        <rFont val="Arial Narrow"/>
        <family val="2"/>
      </rPr>
      <t xml:space="preserve"> </t>
    </r>
    <r>
      <rPr>
        <b/>
        <sz val="10"/>
        <rFont val="宋体"/>
        <family val="3"/>
        <charset val="134"/>
      </rPr>
      <t>。</t>
    </r>
    <phoneticPr fontId="40" type="noConversion"/>
  </si>
  <si>
    <t>C</t>
  </si>
  <si>
    <t>2</t>
    <phoneticPr fontId="40" type="noConversion"/>
  </si>
  <si>
    <r>
      <rPr>
        <b/>
        <sz val="10"/>
        <rFont val="宋体"/>
        <family val="3"/>
        <charset val="134"/>
      </rPr>
      <t>将总金额与总账核对。</t>
    </r>
    <r>
      <rPr>
        <b/>
        <sz val="10"/>
        <rFont val="Arial Narrow"/>
        <family val="2"/>
      </rPr>
      <t xml:space="preserve"> </t>
    </r>
    <phoneticPr fontId="40" type="noConversion"/>
  </si>
  <si>
    <t>3</t>
  </si>
  <si>
    <r>
      <rPr>
        <sz val="10"/>
        <rFont val="宋体"/>
        <family val="3"/>
        <charset val="134"/>
      </rPr>
      <t>确定计算的准确性。</t>
    </r>
    <r>
      <rPr>
        <sz val="10"/>
        <rFont val="Arial Narrow"/>
        <family val="2"/>
      </rPr>
      <t xml:space="preserve"> </t>
    </r>
    <phoneticPr fontId="40" type="noConversion"/>
  </si>
  <si>
    <t>常规</t>
  </si>
  <si>
    <t>4</t>
  </si>
  <si>
    <r>
      <rPr>
        <sz val="10"/>
        <rFont val="宋体"/>
        <family val="3"/>
        <charset val="134"/>
      </rPr>
      <t>将期初额与上年度工作底稿或前期财务报表核对。</t>
    </r>
    <r>
      <rPr>
        <sz val="10"/>
        <rFont val="Arial Narrow"/>
        <family val="2"/>
      </rPr>
      <t xml:space="preserve"> </t>
    </r>
    <phoneticPr fontId="40" type="noConversion"/>
  </si>
  <si>
    <t>5</t>
  </si>
  <si>
    <t>将期末余额与总分类账核对一致。</t>
    <phoneticPr fontId="40" type="noConversion"/>
  </si>
  <si>
    <t>6</t>
  </si>
  <si>
    <t>以非记账本位币出资的，检查其折算汇率是否符合规定，折算差额的会计处理是否正确。</t>
    <phoneticPr fontId="40" type="noConversion"/>
  </si>
  <si>
    <t>（三）</t>
    <phoneticPr fontId="40" type="noConversion"/>
  </si>
  <si>
    <t>在使用被审计单位生成的信息（IPE）时，应当评价该信息对实现审计目的是否足够可靠，包括根据具体情况在必要时实施下列程序：</t>
    <phoneticPr fontId="40" type="noConversion"/>
  </si>
  <si>
    <r>
      <rPr>
        <b/>
        <sz val="10"/>
        <color theme="1"/>
        <rFont val="宋体"/>
        <family val="3"/>
        <charset val="134"/>
      </rPr>
      <t>常规★</t>
    </r>
    <phoneticPr fontId="40" type="noConversion"/>
  </si>
  <si>
    <t>T1</t>
    <phoneticPr fontId="40" type="noConversion"/>
  </si>
  <si>
    <t>1</t>
  </si>
  <si>
    <t>获取有关信息准确性和完整性的审计证据。</t>
    <phoneticPr fontId="40" type="noConversion"/>
  </si>
  <si>
    <t>2</t>
  </si>
  <si>
    <t>评价信息对实现审计目的是否足够准确和详细。</t>
    <phoneticPr fontId="40" type="noConversion"/>
  </si>
  <si>
    <t>（四）</t>
    <phoneticPr fontId="15" type="noConversion"/>
  </si>
  <si>
    <r>
      <rPr>
        <sz val="10"/>
        <color theme="1"/>
        <rFont val="宋体"/>
        <family val="3"/>
        <charset val="134"/>
      </rPr>
      <t>对于上期其他权益工具账户的期末余额（</t>
    </r>
    <r>
      <rPr>
        <sz val="10"/>
        <color rgb="FFFF0000"/>
        <rFont val="宋体"/>
        <family val="3"/>
        <charset val="134"/>
      </rPr>
      <t>适用于首次承接时对期初余额的审计</t>
    </r>
    <r>
      <rPr>
        <sz val="10"/>
        <color theme="1"/>
        <rFont val="宋体"/>
        <family val="3"/>
        <charset val="134"/>
      </rPr>
      <t>）：</t>
    </r>
    <phoneticPr fontId="40" type="noConversion"/>
  </si>
  <si>
    <t>备选</t>
    <phoneticPr fontId="40" type="noConversion"/>
  </si>
  <si>
    <t>AB</t>
    <phoneticPr fontId="40" type="noConversion"/>
  </si>
  <si>
    <t>（五）</t>
    <phoneticPr fontId="40" type="noConversion"/>
  </si>
  <si>
    <t>取得其他权益工具账户当期交易活动的明细表，检查增减变动的原因，对每一项增加或减少，关注有关交易的性质，检查法律性文件是否齐全，相关的手续是否办理，以及其会计处理是否正确：</t>
    <phoneticPr fontId="40" type="noConversion"/>
  </si>
  <si>
    <t>AB</t>
  </si>
  <si>
    <r>
      <rPr>
        <b/>
        <sz val="10"/>
        <rFont val="宋体"/>
        <family val="3"/>
        <charset val="134"/>
      </rPr>
      <t>对于每一增减变动，确定交易的是否恰当，会计处理是否正确。</t>
    </r>
    <r>
      <rPr>
        <b/>
        <sz val="10"/>
        <rFont val="Arial Narrow"/>
        <family val="2"/>
      </rPr>
      <t xml:space="preserve"> </t>
    </r>
    <phoneticPr fontId="40" type="noConversion"/>
  </si>
  <si>
    <t>通过查阅上述会议记录，确定每笔交易是否都已通过授权。</t>
    <phoneticPr fontId="40" type="noConversion"/>
  </si>
  <si>
    <t>审阅公司章程、股东（大）会、董事会会议记录中相关规定。收集与所有者权益账户变动有关的董股东（大）会决议、事会会议纪要、合同、协议、公司章程及营业执照，公司设立批文、验资报告以及政府主管部门、财政部门批复、资产评估报告等文件资料，并更新永久性档案。</t>
    <phoneticPr fontId="40" type="noConversion"/>
  </si>
  <si>
    <t>4</t>
    <phoneticPr fontId="40" type="noConversion"/>
  </si>
  <si>
    <t>获取所有者权益账户结转明细，并确认入账是否恰当。</t>
    <phoneticPr fontId="40" type="noConversion"/>
  </si>
  <si>
    <t>5</t>
    <phoneticPr fontId="40" type="noConversion"/>
  </si>
  <si>
    <r>
      <rPr>
        <sz val="10"/>
        <color theme="1"/>
        <rFont val="宋体"/>
        <family val="3"/>
        <charset val="134"/>
      </rPr>
      <t>检查股权协议，考虑是否有需要单独确认的嵌入式衍生工具。如果有，完成金融工具审计程序。</t>
    </r>
    <r>
      <rPr>
        <sz val="10"/>
        <color theme="1"/>
        <rFont val="Arial"/>
        <family val="2"/>
      </rPr>
      <t xml:space="preserve"> </t>
    </r>
    <phoneticPr fontId="40" type="noConversion"/>
  </si>
  <si>
    <t>备选</t>
  </si>
  <si>
    <r>
      <rPr>
        <sz val="10"/>
        <rFont val="宋体"/>
        <family val="3"/>
        <charset val="134"/>
      </rPr>
      <t>（</t>
    </r>
    <r>
      <rPr>
        <sz val="10"/>
        <rFont val="Arial Narrow"/>
        <family val="2"/>
      </rPr>
      <t>1</t>
    </r>
    <r>
      <rPr>
        <sz val="10"/>
        <rFont val="宋体"/>
        <family val="3"/>
        <charset val="134"/>
      </rPr>
      <t>）</t>
    </r>
    <phoneticPr fontId="40" type="noConversion"/>
  </si>
  <si>
    <t>检查股票回购的交易活动。检查的内容包括已发行股票的登记簿、回购的股票、银行对账单、会计账面记录等；</t>
    <phoneticPr fontId="40" type="noConversion"/>
  </si>
  <si>
    <r>
      <rPr>
        <sz val="10"/>
        <rFont val="宋体"/>
        <family val="3"/>
        <charset val="134"/>
      </rPr>
      <t>（</t>
    </r>
    <r>
      <rPr>
        <sz val="10"/>
        <rFont val="Arial Narrow"/>
        <family val="2"/>
      </rPr>
      <t>2）</t>
    </r>
    <r>
      <rPr>
        <sz val="10"/>
        <rFont val="宋体"/>
        <family val="3"/>
        <charset val="134"/>
      </rPr>
      <t/>
    </r>
  </si>
  <si>
    <t>以回购股票以及其他法定程序报经批准减资的，检查股东会决议以及相关的法律文件，手续是否办理，检查其是否按注销的股票面值总额和所注销的库存股的账面余额，冲减资本公积，会计处理是否正确；</t>
    <phoneticPr fontId="40" type="noConversion"/>
  </si>
  <si>
    <t>6</t>
    <phoneticPr fontId="40" type="noConversion"/>
  </si>
  <si>
    <t>（六）</t>
  </si>
  <si>
    <t>E</t>
    <phoneticPr fontId="40" type="noConversion"/>
  </si>
  <si>
    <t>获取发行文件，梳理对发行人的全部合同义务的约定条款。</t>
  </si>
  <si>
    <t>BE</t>
    <phoneticPr fontId="40" type="noConversion"/>
  </si>
  <si>
    <t>根据或有结算条款和结算选择权、可回售工具或清算产生的义务等因素，判断被审计单位选取的会计分类是否符合企业会计准则的要求。</t>
  </si>
  <si>
    <t>考虑是否需要对复合型金融产品各成分的拆分。</t>
  </si>
  <si>
    <t>如果发现会计分类方面的重大差异，应与管理层沟通，并执行其他补充审计程序。</t>
  </si>
  <si>
    <t>（七）</t>
    <phoneticPr fontId="40" type="noConversion"/>
  </si>
  <si>
    <r>
      <rPr>
        <b/>
        <sz val="10"/>
        <color theme="1"/>
        <rFont val="宋体"/>
        <family val="3"/>
        <charset val="134"/>
      </rPr>
      <t>确定需在财务报表中单独披露的信息已被记录。</t>
    </r>
    <r>
      <rPr>
        <b/>
        <sz val="10"/>
        <color theme="1"/>
        <rFont val="Arial Narrow"/>
        <family val="2"/>
      </rPr>
      <t xml:space="preserve"> </t>
    </r>
    <phoneticPr fontId="40" type="noConversion"/>
  </si>
  <si>
    <t>E</t>
  </si>
  <si>
    <t>一、本账户涉及的科目</t>
    <phoneticPr fontId="15" type="noConversion"/>
  </si>
  <si>
    <t>试算平衡表数</t>
    <phoneticPr fontId="15" type="noConversion"/>
  </si>
  <si>
    <t>差异数</t>
    <phoneticPr fontId="15" type="noConversion"/>
  </si>
  <si>
    <t>……</t>
    <phoneticPr fontId="15" type="noConversion"/>
  </si>
  <si>
    <t>【注：本底稿适用于调整分录较多、较复杂的项目，且仅列示与本报表项目相关的审计调整。项目组可根据项目实际情况选择是否使用该底稿。】</t>
    <phoneticPr fontId="15" type="noConversion"/>
  </si>
  <si>
    <t>索引号</t>
    <phoneticPr fontId="15" type="noConversion"/>
  </si>
  <si>
    <t xml:space="preserve">其他权益工具实质性程序表 </t>
    <phoneticPr fontId="15" type="noConversion"/>
  </si>
  <si>
    <t>附注披露信息(上市公司)</t>
    <phoneticPr fontId="15" type="noConversion"/>
  </si>
  <si>
    <t>附注披露信息(国企)</t>
    <phoneticPr fontId="15" type="noConversion"/>
  </si>
  <si>
    <t>负债与权益区分检查表</t>
    <phoneticPr fontId="15" type="noConversion"/>
  </si>
  <si>
    <t>发行在外的金融工具</t>
  </si>
  <si>
    <t>期初</t>
  </si>
  <si>
    <t>期末</t>
  </si>
  <si>
    <t>注：企业应详细说明期末发行在外的优先股、永续债等其他金融工具基本情况。</t>
  </si>
  <si>
    <t>项  目</t>
  </si>
  <si>
    <t>1.归属于母公司所有者的权益（股东权益）</t>
  </si>
  <si>
    <t>（1）归属于母公司普通股持有者的权益</t>
  </si>
  <si>
    <t>（2）归属于母公司其他权益持有者的权益</t>
  </si>
  <si>
    <t xml:space="preserve">     其中：净利润</t>
  </si>
  <si>
    <t xml:space="preserve">           综合收益总额</t>
  </si>
  <si>
    <t xml:space="preserve">           当期已分配股利</t>
  </si>
  <si>
    <t xml:space="preserve">           累积未分配股利</t>
  </si>
  <si>
    <t>2.归属于少数股东的权益</t>
  </si>
  <si>
    <t>（1）归属于普通股少数股东的权益</t>
  </si>
  <si>
    <t>（2）归属于少数股东其他权益工具持有者的权益</t>
  </si>
  <si>
    <r>
      <rPr>
        <sz val="10"/>
        <rFont val="宋体"/>
        <family val="3"/>
        <charset val="134"/>
        <scheme val="minor"/>
      </rPr>
      <t>说明</t>
    </r>
    <r>
      <rPr>
        <sz val="10"/>
        <color rgb="FF0000FF"/>
        <rFont val="宋体"/>
        <family val="3"/>
        <charset val="134"/>
        <scheme val="minor"/>
      </rPr>
      <t>：其他权益工具的本期增减变动情况、变动原因，以及相关会计处理依据。</t>
    </r>
    <phoneticPr fontId="15" type="noConversion"/>
  </si>
  <si>
    <r>
      <t>权益工具持有者的相关信息</t>
    </r>
    <r>
      <rPr>
        <sz val="10"/>
        <color rgb="FF0000FF"/>
        <rFont val="宋体"/>
        <family val="3"/>
        <charset val="134"/>
        <scheme val="minor"/>
      </rPr>
      <t>【根据《企业会计准则第37号——金融工具列报》的要求披露】</t>
    </r>
  </si>
  <si>
    <t>期末余额/本期发生额</t>
    <phoneticPr fontId="15" type="noConversion"/>
  </si>
  <si>
    <t>上年年末余额/上期发生额</t>
    <phoneticPr fontId="15" type="noConversion"/>
  </si>
  <si>
    <t>（披露以下信息：</t>
    <phoneticPr fontId="15" type="noConversion"/>
  </si>
  <si>
    <t xml:space="preserve">①工具1的主要条款说明以及股利的设定机制 </t>
    <phoneticPr fontId="15" type="noConversion"/>
  </si>
  <si>
    <t>【包括本金是否可赎回，企业是否有权自主决定股利或利息支付政策，是否可转换为普通股以及发行合同关于转股价格或数量的约定等其他影响该类工具会计分类的重要特征。】</t>
    <phoneticPr fontId="15" type="noConversion"/>
  </si>
  <si>
    <t>【提示：如果发行方发行的分类为权益工具的金融工具为累积的，即发行方当期未分配的股利或利息可累积至以后期间分配的，应当在财务报表附注中披露累积未分配的股利；如果发行方发行的其他权益工具为可参与剩余利润分配的，即可与普通股股东一起参加剩余利润分配的，应当披露可参与分配的事实及分配的方法等信息。】</t>
    <phoneticPr fontId="15" type="noConversion"/>
  </si>
  <si>
    <t>期初余额</t>
    <phoneticPr fontId="15" type="noConversion"/>
  </si>
  <si>
    <t>期末余额</t>
    <phoneticPr fontId="15" type="noConversion"/>
  </si>
  <si>
    <t>M10A</t>
    <phoneticPr fontId="15" type="noConversion"/>
  </si>
  <si>
    <r>
      <t xml:space="preserve">A. </t>
    </r>
    <r>
      <rPr>
        <sz val="10"/>
        <rFont val="宋体"/>
        <family val="3"/>
        <charset val="134"/>
      </rPr>
      <t>资产负债表中记录的其他综合收益是存在的，且已经记录在恰当的账户中</t>
    </r>
    <phoneticPr fontId="15" type="noConversion"/>
  </si>
  <si>
    <r>
      <t xml:space="preserve">C. </t>
    </r>
    <r>
      <rPr>
        <sz val="10"/>
        <rFont val="宋体"/>
        <family val="3"/>
        <charset val="134"/>
      </rPr>
      <t>记录的其他综合收益由被审计单位拥有或控制</t>
    </r>
    <phoneticPr fontId="15" type="noConversion"/>
  </si>
  <si>
    <r>
      <t xml:space="preserve">E. </t>
    </r>
    <r>
      <rPr>
        <sz val="10"/>
        <rFont val="宋体"/>
        <family val="3"/>
        <charset val="134"/>
      </rPr>
      <t>其他综合收益已被恰当地汇总或分解且表述清楚，相关披露在按照企业会计准则的编制基础下是相关的、可理解的</t>
    </r>
    <phoneticPr fontId="15" type="noConversion"/>
  </si>
  <si>
    <t>M10-2</t>
    <phoneticPr fontId="15" type="noConversion"/>
  </si>
  <si>
    <t>M10-1</t>
    <phoneticPr fontId="15" type="noConversion"/>
  </si>
  <si>
    <t>C. 其他权益工具以恰当的金额包括在财务报表中。</t>
    <phoneticPr fontId="15" type="noConversion"/>
  </si>
  <si>
    <t>D. 其他权益工具已按照企业会计准则的规定在财务报表中作出恰当列报和披露。</t>
    <phoneticPr fontId="15" type="noConversion"/>
  </si>
  <si>
    <t>M10-5</t>
    <phoneticPr fontId="15" type="noConversion"/>
  </si>
  <si>
    <t>调整分录汇总</t>
    <phoneticPr fontId="15" type="noConversion"/>
  </si>
  <si>
    <t>M10-3</t>
    <phoneticPr fontId="15" type="noConversion"/>
  </si>
  <si>
    <t>M10-4</t>
    <phoneticPr fontId="15" type="noConversion"/>
  </si>
  <si>
    <r>
      <t>A1-1/</t>
    </r>
    <r>
      <rPr>
        <sz val="10"/>
        <color rgb="FFFF0000"/>
        <rFont val="Arial Narrow"/>
        <family val="2"/>
      </rPr>
      <t>A1-15 /A1-16</t>
    </r>
    <phoneticPr fontId="40"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</si>
  <si>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40"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</si>
  <si>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0" type="noConversion"/>
  </si>
  <si>
    <t>整合</t>
    <phoneticPr fontId="15" type="noConversion"/>
  </si>
  <si>
    <t>保留</t>
    <phoneticPr fontId="15" type="noConversion"/>
  </si>
  <si>
    <t>索引号：</t>
    <phoneticPr fontId="15" type="noConversion"/>
  </si>
  <si>
    <r>
      <rPr>
        <b/>
        <sz val="14"/>
        <rFont val="宋体"/>
        <family val="3"/>
        <charset val="134"/>
      </rPr>
      <t>其他权益工具实质性程序</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</si>
  <si>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40" type="noConversion"/>
  </si>
  <si>
    <r>
      <rPr>
        <b/>
        <sz val="10"/>
        <rFont val="宋体"/>
        <family val="3"/>
        <charset val="134"/>
      </rPr>
      <t>一、本账户涉及的科目</t>
    </r>
    <phoneticPr fontId="15" type="noConversion"/>
  </si>
  <si>
    <r>
      <rPr>
        <sz val="10"/>
        <color theme="1" tint="0.14999847407452621"/>
        <rFont val="宋体"/>
        <family val="3"/>
        <charset val="134"/>
      </rPr>
      <t>其他权益工具</t>
    </r>
    <phoneticPr fontId="40" type="noConversion"/>
  </si>
  <si>
    <r>
      <rPr>
        <b/>
        <sz val="10"/>
        <rFont val="宋体"/>
        <family val="3"/>
        <charset val="134"/>
      </rPr>
      <t>二、审计目标与认定的对应关系</t>
    </r>
    <phoneticPr fontId="15" type="noConversion"/>
  </si>
  <si>
    <r>
      <rPr>
        <b/>
        <sz val="10"/>
        <rFont val="宋体"/>
        <family val="3"/>
        <charset val="134"/>
      </rPr>
      <t>审计目标</t>
    </r>
    <phoneticPr fontId="15" type="noConversion"/>
  </si>
  <si>
    <r>
      <rPr>
        <b/>
        <sz val="10"/>
        <rFont val="宋体"/>
        <family val="3"/>
        <charset val="134"/>
      </rPr>
      <t>财务报表的认定</t>
    </r>
    <phoneticPr fontId="15" type="noConversion"/>
  </si>
  <si>
    <r>
      <rPr>
        <b/>
        <sz val="10"/>
        <rFont val="宋体"/>
        <family val="3"/>
        <charset val="134"/>
      </rPr>
      <t>底稿索引号</t>
    </r>
    <phoneticPr fontId="15" type="noConversion"/>
  </si>
  <si>
    <r>
      <rPr>
        <b/>
        <sz val="10"/>
        <rFont val="宋体"/>
        <family val="3"/>
        <charset val="134"/>
      </rPr>
      <t>存在</t>
    </r>
    <phoneticPr fontId="15" type="noConversion"/>
  </si>
  <si>
    <r>
      <rPr>
        <b/>
        <sz val="10"/>
        <rFont val="宋体"/>
        <family val="3"/>
        <charset val="134"/>
      </rPr>
      <t>完整性</t>
    </r>
    <phoneticPr fontId="15" type="noConversion"/>
  </si>
  <si>
    <r>
      <rPr>
        <b/>
        <sz val="10"/>
        <rFont val="宋体"/>
        <family val="3"/>
        <charset val="134"/>
      </rPr>
      <t>权利和
义务</t>
    </r>
    <phoneticPr fontId="15" type="noConversion"/>
  </si>
  <si>
    <r>
      <rPr>
        <b/>
        <sz val="10"/>
        <rFont val="宋体"/>
        <family val="3"/>
        <charset val="134"/>
      </rPr>
      <t>准确性、计价和分摊</t>
    </r>
  </si>
  <si>
    <r>
      <rPr>
        <b/>
        <sz val="10"/>
        <rFont val="宋体"/>
        <family val="3"/>
        <charset val="134"/>
      </rPr>
      <t>列报</t>
    </r>
    <phoneticPr fontId="15" type="noConversion"/>
  </si>
  <si>
    <r>
      <rPr>
        <sz val="10"/>
        <color theme="1"/>
        <rFont val="宋体"/>
        <family val="3"/>
        <charset val="134"/>
      </rPr>
      <t>常规★</t>
    </r>
    <phoneticPr fontId="40" type="noConversion"/>
  </si>
  <si>
    <r>
      <rPr>
        <sz val="10"/>
        <color theme="1"/>
        <rFont val="宋体"/>
        <family val="3"/>
        <charset val="134"/>
      </rPr>
      <t>√</t>
    </r>
    <phoneticPr fontId="15" type="noConversion"/>
  </si>
  <si>
    <r>
      <rPr>
        <sz val="10"/>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phoneticPr fontId="15" type="noConversion"/>
  </si>
  <si>
    <r>
      <rPr>
        <sz val="10"/>
        <color theme="1"/>
        <rFont val="宋体"/>
        <family val="3"/>
        <charset val="134"/>
      </rPr>
      <t>备选</t>
    </r>
  </si>
  <si>
    <r>
      <rPr>
        <sz val="10"/>
        <color theme="1"/>
        <rFont val="宋体"/>
        <family val="3"/>
        <charset val="134"/>
      </rPr>
      <t>检查其他权益工具是否已按企业会计准则或其他适用的规定在财务报表中做出恰当列报和披露。</t>
    </r>
    <phoneticPr fontId="40" type="noConversion"/>
  </si>
  <si>
    <r>
      <rPr>
        <sz val="10"/>
        <color theme="1"/>
        <rFont val="宋体"/>
        <family val="3"/>
        <charset val="134"/>
      </rPr>
      <t>常规★</t>
    </r>
  </si>
  <si>
    <r>
      <rPr>
        <b/>
        <sz val="10"/>
        <rFont val="宋体"/>
        <family val="3"/>
        <charset val="134"/>
      </rPr>
      <t>一、审计目标</t>
    </r>
    <phoneticPr fontId="40" type="noConversion"/>
  </si>
  <si>
    <r>
      <t>1.</t>
    </r>
    <r>
      <rPr>
        <sz val="10"/>
        <rFont val="宋体"/>
        <family val="3"/>
        <charset val="134"/>
      </rPr>
      <t>资产负债表中记录的其他综合收益是存在的，且已经记录在恰当的账户中。</t>
    </r>
    <phoneticPr fontId="15" type="noConversion"/>
  </si>
  <si>
    <r>
      <t>2.</t>
    </r>
    <r>
      <rPr>
        <sz val="10"/>
        <rFont val="宋体"/>
        <family val="3"/>
        <charset val="134"/>
      </rPr>
      <t>所有应记录的其他综合收益均已记录，所有应当包括在财务报表中的相关披露均已包括。</t>
    </r>
    <phoneticPr fontId="15" type="noConversion"/>
  </si>
  <si>
    <r>
      <t>3.</t>
    </r>
    <r>
      <rPr>
        <sz val="10"/>
        <rFont val="宋体"/>
        <family val="3"/>
        <charset val="134"/>
      </rPr>
      <t>其他综合收益以恰当的金额包括在财务报表中，与之相关的计价或分摊调整已恰当记录，相关披露已得到恰当计量和描述。</t>
    </r>
    <phoneticPr fontId="15" type="noConversion"/>
  </si>
  <si>
    <r>
      <rPr>
        <b/>
        <sz val="10"/>
        <rFont val="宋体"/>
        <family val="3"/>
        <charset val="134"/>
      </rPr>
      <t>二、审计过程</t>
    </r>
    <phoneticPr fontId="40" type="noConversion"/>
  </si>
  <si>
    <r>
      <rPr>
        <b/>
        <sz val="10"/>
        <rFont val="宋体"/>
        <family val="3"/>
        <charset val="134"/>
      </rPr>
      <t>融资工具种类</t>
    </r>
    <phoneticPr fontId="15" type="noConversion"/>
  </si>
  <si>
    <r>
      <rPr>
        <b/>
        <sz val="10"/>
        <rFont val="宋体"/>
        <family val="3"/>
        <charset val="134"/>
      </rPr>
      <t>发行时间</t>
    </r>
    <phoneticPr fontId="15" type="noConversion"/>
  </si>
  <si>
    <r>
      <rPr>
        <b/>
        <sz val="10"/>
        <rFont val="宋体"/>
        <family val="3"/>
        <charset val="134"/>
      </rPr>
      <t>股利率或利息率</t>
    </r>
  </si>
  <si>
    <r>
      <rPr>
        <b/>
        <sz val="10"/>
        <rFont val="宋体"/>
        <family val="3"/>
        <charset val="134"/>
      </rPr>
      <t>发行价格</t>
    </r>
  </si>
  <si>
    <r>
      <rPr>
        <b/>
        <sz val="10"/>
        <rFont val="宋体"/>
        <family val="3"/>
        <charset val="134"/>
      </rPr>
      <t>数量</t>
    </r>
  </si>
  <si>
    <r>
      <rPr>
        <b/>
        <sz val="10"/>
        <rFont val="宋体"/>
        <family val="3"/>
        <charset val="134"/>
      </rPr>
      <t>会计分类</t>
    </r>
    <phoneticPr fontId="15" type="noConversion"/>
  </si>
  <si>
    <r>
      <rPr>
        <b/>
        <sz val="10"/>
        <rFont val="宋体"/>
        <family val="3"/>
        <charset val="134"/>
      </rPr>
      <t>发行总额（面值）</t>
    </r>
    <phoneticPr fontId="15" type="noConversion"/>
  </si>
  <si>
    <r>
      <rPr>
        <b/>
        <sz val="10"/>
        <rFont val="宋体"/>
        <family val="3"/>
        <charset val="134"/>
      </rPr>
      <t>期初账面价值</t>
    </r>
    <phoneticPr fontId="15" type="noConversion"/>
  </si>
  <si>
    <r>
      <rPr>
        <b/>
        <sz val="10"/>
        <rFont val="宋体"/>
        <family val="3"/>
        <charset val="134"/>
      </rPr>
      <t>本期发行</t>
    </r>
    <phoneticPr fontId="19" type="noConversion"/>
  </si>
  <si>
    <r>
      <rPr>
        <b/>
        <sz val="10"/>
        <rFont val="宋体"/>
        <family val="3"/>
        <charset val="134"/>
      </rPr>
      <t>本期减少</t>
    </r>
    <phoneticPr fontId="19" type="noConversion"/>
  </si>
  <si>
    <r>
      <rPr>
        <b/>
        <sz val="10"/>
        <rFont val="宋体"/>
        <family val="3"/>
        <charset val="134"/>
      </rPr>
      <t>期末账面价值</t>
    </r>
    <phoneticPr fontId="15" type="noConversion"/>
  </si>
  <si>
    <r>
      <rPr>
        <b/>
        <sz val="10"/>
        <rFont val="宋体"/>
        <family val="3"/>
        <charset val="134"/>
      </rPr>
      <t>审计调整（增加）</t>
    </r>
    <phoneticPr fontId="15" type="noConversion"/>
  </si>
  <si>
    <r>
      <rPr>
        <b/>
        <sz val="10"/>
        <rFont val="宋体"/>
        <family val="3"/>
        <charset val="134"/>
      </rPr>
      <t>审计调整（减少）</t>
    </r>
    <phoneticPr fontId="15" type="noConversion"/>
  </si>
  <si>
    <r>
      <rPr>
        <b/>
        <sz val="10"/>
        <rFont val="宋体"/>
        <family val="3"/>
        <charset val="134"/>
      </rPr>
      <t>审计调整后期末账面价值</t>
    </r>
    <phoneticPr fontId="15" type="noConversion"/>
  </si>
  <si>
    <r>
      <rPr>
        <b/>
        <sz val="10"/>
        <rFont val="宋体"/>
        <family val="3"/>
        <charset val="134"/>
      </rPr>
      <t>转股条件</t>
    </r>
    <phoneticPr fontId="15" type="noConversion"/>
  </si>
  <si>
    <r>
      <rPr>
        <b/>
        <sz val="10"/>
        <rFont val="宋体"/>
        <family val="3"/>
        <charset val="134"/>
      </rPr>
      <t>转换情况</t>
    </r>
    <phoneticPr fontId="15" type="noConversion"/>
  </si>
  <si>
    <r>
      <rPr>
        <b/>
        <sz val="10"/>
        <rFont val="宋体"/>
        <family val="3"/>
        <charset val="134"/>
      </rPr>
      <t>备注</t>
    </r>
    <phoneticPr fontId="15" type="noConversion"/>
  </si>
  <si>
    <r>
      <rPr>
        <b/>
        <sz val="10"/>
        <rFont val="宋体"/>
        <family val="3"/>
        <charset val="134"/>
      </rPr>
      <t>文件索引号</t>
    </r>
    <phoneticPr fontId="15" type="noConversion"/>
  </si>
  <si>
    <r>
      <rPr>
        <b/>
        <sz val="10"/>
        <rFont val="宋体"/>
        <family val="3"/>
        <charset val="134"/>
      </rPr>
      <t>数量</t>
    </r>
    <phoneticPr fontId="15" type="noConversion"/>
  </si>
  <si>
    <r>
      <rPr>
        <b/>
        <sz val="10"/>
        <rFont val="宋体"/>
        <family val="3"/>
        <charset val="134"/>
      </rPr>
      <t>金额</t>
    </r>
    <phoneticPr fontId="15" type="noConversion"/>
  </si>
  <si>
    <r>
      <rPr>
        <b/>
        <sz val="10"/>
        <rFont val="宋体"/>
        <family val="3"/>
        <charset val="134"/>
      </rPr>
      <t>交易费用</t>
    </r>
    <phoneticPr fontId="15" type="noConversion"/>
  </si>
  <si>
    <r>
      <rPr>
        <b/>
        <sz val="10"/>
        <rFont val="宋体"/>
        <family val="3"/>
        <charset val="134"/>
      </rPr>
      <t>账面价值</t>
    </r>
    <phoneticPr fontId="15" type="noConversion"/>
  </si>
  <si>
    <r>
      <rPr>
        <b/>
        <sz val="10"/>
        <rFont val="宋体"/>
        <family val="3"/>
        <charset val="134"/>
      </rPr>
      <t>其他变动</t>
    </r>
    <phoneticPr fontId="15" type="noConversion"/>
  </si>
  <si>
    <r>
      <rPr>
        <b/>
        <sz val="10"/>
        <rFont val="宋体"/>
        <family val="3"/>
        <charset val="134"/>
      </rPr>
      <t>小计</t>
    </r>
    <phoneticPr fontId="40" type="noConversion"/>
  </si>
  <si>
    <r>
      <rPr>
        <b/>
        <sz val="10"/>
        <color theme="1"/>
        <rFont val="宋体"/>
        <family val="3"/>
        <charset val="134"/>
      </rPr>
      <t>一、优先股</t>
    </r>
    <phoneticPr fontId="40" type="noConversion"/>
  </si>
  <si>
    <r>
      <rPr>
        <b/>
        <sz val="9"/>
        <rFont val="宋体"/>
        <family val="3"/>
        <charset val="134"/>
      </rPr>
      <t>小计</t>
    </r>
    <phoneticPr fontId="19" type="noConversion"/>
  </si>
  <si>
    <r>
      <rPr>
        <b/>
        <sz val="10"/>
        <color indexed="8"/>
        <rFont val="宋体"/>
        <family val="3"/>
        <charset val="134"/>
      </rPr>
      <t>二、永续债</t>
    </r>
    <r>
      <rPr>
        <b/>
        <sz val="10"/>
        <color indexed="8"/>
        <rFont val="Arial Narrow"/>
        <family val="2"/>
      </rPr>
      <t>(</t>
    </r>
    <r>
      <rPr>
        <b/>
        <sz val="10"/>
        <color indexed="8"/>
        <rFont val="宋体"/>
        <family val="3"/>
        <charset val="134"/>
      </rPr>
      <t>含永续中票、无固定期限委托贷款等）</t>
    </r>
    <phoneticPr fontId="15" type="noConversion"/>
  </si>
  <si>
    <r>
      <rPr>
        <b/>
        <sz val="10"/>
        <color indexed="8"/>
        <rFont val="宋体"/>
        <family val="3"/>
        <charset val="134"/>
      </rPr>
      <t>三、转股特征</t>
    </r>
    <r>
      <rPr>
        <b/>
        <sz val="10"/>
        <color indexed="8"/>
        <rFont val="Arial Narrow"/>
        <family val="2"/>
      </rPr>
      <t>(</t>
    </r>
    <r>
      <rPr>
        <b/>
        <sz val="10"/>
        <color indexed="8"/>
        <rFont val="宋体"/>
        <family val="3"/>
        <charset val="134"/>
      </rPr>
      <t>如可转债权益成分）</t>
    </r>
    <phoneticPr fontId="15" type="noConversion"/>
  </si>
  <si>
    <r>
      <rPr>
        <b/>
        <sz val="9"/>
        <rFont val="宋体"/>
        <family val="3"/>
        <charset val="134"/>
      </rPr>
      <t>合计</t>
    </r>
    <phoneticPr fontId="19" type="noConversion"/>
  </si>
  <si>
    <r>
      <rPr>
        <b/>
        <sz val="10"/>
        <rFont val="宋体"/>
        <family val="3"/>
        <charset val="134"/>
      </rPr>
      <t>四、审计结论：</t>
    </r>
    <phoneticPr fontId="15" type="noConversion"/>
  </si>
  <si>
    <r>
      <rPr>
        <sz val="10"/>
        <color rgb="FFFF0000"/>
        <rFont val="宋体"/>
        <family val="3"/>
        <charset val="134"/>
      </rPr>
      <t>公司破产、全面无力偿债、拖欠到期应付款项、停止</t>
    </r>
    <r>
      <rPr>
        <sz val="10"/>
        <color rgb="FFFF0000"/>
        <rFont val="Arial Narrow"/>
        <family val="2"/>
      </rPr>
      <t>/</t>
    </r>
    <r>
      <rPr>
        <sz val="10"/>
        <color rgb="FFFF0000"/>
        <rFont val="宋体"/>
        <family val="3"/>
        <charset val="134"/>
      </rPr>
      <t>暂停支付所有或大部份债务或终止经营其业务，或公司根据《破产法》规定进入破产程序。</t>
    </r>
    <phoneticPr fontId="40" type="noConversion"/>
  </si>
  <si>
    <r>
      <rPr>
        <sz val="10"/>
        <color rgb="FFFF0000"/>
        <rFont val="宋体"/>
        <family val="3"/>
        <charset val="134"/>
      </rPr>
      <t>发行人在本期债务融资工具存续期间应当确保发行人的合并财务报表资产负债率不超过</t>
    </r>
    <r>
      <rPr>
        <sz val="10"/>
        <color rgb="FFFF0000"/>
        <rFont val="Arial Narrow"/>
        <family val="2"/>
      </rPr>
      <t>85%</t>
    </r>
    <phoneticPr fontId="40" type="noConversion"/>
  </si>
  <si>
    <r>
      <rPr>
        <sz val="10"/>
        <color rgb="FFFF0000"/>
        <rFont val="宋体"/>
        <family val="3"/>
        <charset val="134"/>
      </rPr>
      <t>永续债持有人有权对如下处理方案进行表决：（</t>
    </r>
    <r>
      <rPr>
        <sz val="10"/>
        <color rgb="FFFF0000"/>
        <rFont val="Arial Narrow"/>
        <family val="2"/>
      </rPr>
      <t>1</t>
    </r>
    <r>
      <rPr>
        <sz val="10"/>
        <color rgb="FFFF0000"/>
        <rFont val="宋体"/>
        <family val="3"/>
        <charset val="134"/>
      </rPr>
      <t>）无条件豁免违反约定；（</t>
    </r>
    <r>
      <rPr>
        <sz val="10"/>
        <color rgb="FFFF0000"/>
        <rFont val="Arial Narrow"/>
        <family val="2"/>
      </rPr>
      <t>2</t>
    </r>
    <r>
      <rPr>
        <sz val="10"/>
        <color rgb="FFFF0000"/>
        <rFont val="宋体"/>
        <family val="3"/>
        <charset val="134"/>
      </rPr>
      <t>）有条件豁免违反约定，即如果发行人采取了补救方案（如增加担保），并在</t>
    </r>
    <r>
      <rPr>
        <sz val="10"/>
        <color rgb="FFFF0000"/>
        <rFont val="Arial Narrow"/>
        <family val="2"/>
      </rPr>
      <t xml:space="preserve">30 </t>
    </r>
    <r>
      <rPr>
        <sz val="10"/>
        <color rgb="FFFF0000"/>
        <rFont val="宋体"/>
        <family val="3"/>
        <charset val="134"/>
      </rPr>
      <t>日内完成相关法律手续的，则豁免违反约定。
如上述豁免的方案经表决生效，发行人应无条件接受持有人会议作出的上述决议，并于</t>
    </r>
    <r>
      <rPr>
        <sz val="10"/>
        <color rgb="FFFF0000"/>
        <rFont val="Arial Narrow"/>
        <family val="2"/>
      </rPr>
      <t xml:space="preserve">30 </t>
    </r>
    <r>
      <rPr>
        <sz val="10"/>
        <color rgb="FFFF0000"/>
        <rFont val="宋体"/>
        <family val="3"/>
        <charset val="134"/>
      </rPr>
      <t>个工作日内完成相关法律手续。如上述方案未获表决通过，则永续债本息应在持有人会议召开日的次日立即到期应付。</t>
    </r>
    <phoneticPr fontId="40" type="noConversion"/>
  </si>
  <si>
    <r>
      <rPr>
        <sz val="10"/>
        <color rgb="FFFF0000"/>
        <rFont val="宋体"/>
        <family val="3"/>
        <charset val="134"/>
      </rPr>
      <t>当公司核心一级资本充足率降至</t>
    </r>
    <r>
      <rPr>
        <sz val="10"/>
        <color rgb="FFFF0000"/>
        <rFont val="Arial Narrow"/>
        <family val="2"/>
      </rPr>
      <t>5.125%</t>
    </r>
    <r>
      <rPr>
        <sz val="10"/>
        <color rgb="FFFF0000"/>
        <rFont val="宋体"/>
        <family val="3"/>
        <charset val="134"/>
      </rPr>
      <t>（或以下）时，由公司董事会决定，本次发行的优先股应按照强制转股价格全额或部分转为公司</t>
    </r>
    <r>
      <rPr>
        <sz val="10"/>
        <color rgb="FFFF0000"/>
        <rFont val="Arial Narrow"/>
        <family val="2"/>
      </rPr>
      <t>A</t>
    </r>
    <r>
      <rPr>
        <sz val="10"/>
        <color rgb="FFFF0000"/>
        <rFont val="宋体"/>
        <family val="3"/>
        <charset val="134"/>
      </rPr>
      <t>股普通股</t>
    </r>
    <phoneticPr fontId="40" type="noConversion"/>
  </si>
  <si>
    <r>
      <t>10.96</t>
    </r>
    <r>
      <rPr>
        <sz val="10"/>
        <color rgb="FFFF0000"/>
        <rFont val="宋体"/>
        <family val="3"/>
        <charset val="134"/>
      </rPr>
      <t>元</t>
    </r>
    <r>
      <rPr>
        <sz val="10"/>
        <color rgb="FFFF0000"/>
        <rFont val="Arial Narrow"/>
        <family val="2"/>
      </rPr>
      <t>/</t>
    </r>
    <r>
      <rPr>
        <sz val="10"/>
        <color rgb="FFFF0000"/>
        <rFont val="宋体"/>
        <family val="3"/>
        <charset val="134"/>
      </rPr>
      <t>股</t>
    </r>
    <phoneticPr fontId="40" type="noConversion"/>
  </si>
  <si>
    <r>
      <rPr>
        <sz val="10"/>
        <color rgb="FFFF0000"/>
        <rFont val="宋体"/>
        <family val="3"/>
        <charset val="134"/>
      </rPr>
      <t>送红股或转增股本：</t>
    </r>
    <r>
      <rPr>
        <sz val="10"/>
        <color rgb="FFFF0000"/>
        <rFont val="Arial Narrow"/>
        <family val="2"/>
      </rPr>
      <t>P1=P0/</t>
    </r>
    <r>
      <rPr>
        <sz val="10"/>
        <color rgb="FFFF0000"/>
        <rFont val="宋体"/>
        <family val="3"/>
        <charset val="134"/>
      </rPr>
      <t>（</t>
    </r>
    <r>
      <rPr>
        <sz val="10"/>
        <color rgb="FFFF0000"/>
        <rFont val="Arial Narrow"/>
        <family val="2"/>
      </rPr>
      <t>1+n</t>
    </r>
    <r>
      <rPr>
        <sz val="10"/>
        <color rgb="FFFF0000"/>
        <rFont val="宋体"/>
        <family val="3"/>
        <charset val="134"/>
      </rPr>
      <t>）</t>
    </r>
    <r>
      <rPr>
        <sz val="10"/>
        <color rgb="FFFF0000"/>
        <rFont val="Arial Narrow"/>
        <family val="2"/>
      </rPr>
      <t xml:space="preserve"> 
</t>
    </r>
    <r>
      <rPr>
        <sz val="10"/>
        <color rgb="FFFF0000"/>
        <rFont val="宋体"/>
        <family val="3"/>
        <charset val="134"/>
      </rPr>
      <t>增发新股或配股：</t>
    </r>
    <r>
      <rPr>
        <sz val="10"/>
        <color rgb="FFFF0000"/>
        <rFont val="Arial Narrow"/>
        <family val="2"/>
      </rPr>
      <t>P1= P0×</t>
    </r>
    <r>
      <rPr>
        <sz val="10"/>
        <color rgb="FFFF0000"/>
        <rFont val="宋体"/>
        <family val="3"/>
        <charset val="134"/>
      </rPr>
      <t>（</t>
    </r>
    <r>
      <rPr>
        <sz val="10"/>
        <color rgb="FFFF0000"/>
        <rFont val="Arial Narrow"/>
        <family val="2"/>
      </rPr>
      <t>N+Q×</t>
    </r>
    <r>
      <rPr>
        <sz val="10"/>
        <color rgb="FFFF0000"/>
        <rFont val="宋体"/>
        <family val="3"/>
        <charset val="134"/>
      </rPr>
      <t>（</t>
    </r>
    <r>
      <rPr>
        <sz val="10"/>
        <color rgb="FFFF0000"/>
        <rFont val="Arial Narrow"/>
        <family val="2"/>
      </rPr>
      <t>A/M</t>
    </r>
    <r>
      <rPr>
        <sz val="10"/>
        <color rgb="FFFF0000"/>
        <rFont val="宋体"/>
        <family val="3"/>
        <charset val="134"/>
      </rPr>
      <t>））</t>
    </r>
    <r>
      <rPr>
        <sz val="10"/>
        <color rgb="FFFF0000"/>
        <rFont val="Arial Narrow"/>
        <family val="2"/>
      </rPr>
      <t>/</t>
    </r>
    <r>
      <rPr>
        <sz val="10"/>
        <color rgb="FFFF0000"/>
        <rFont val="宋体"/>
        <family val="3"/>
        <charset val="134"/>
      </rPr>
      <t>（</t>
    </r>
    <r>
      <rPr>
        <sz val="10"/>
        <color rgb="FFFF0000"/>
        <rFont val="Arial Narrow"/>
        <family val="2"/>
      </rPr>
      <t>N+Q</t>
    </r>
    <r>
      <rPr>
        <sz val="10"/>
        <color rgb="FFFF0000"/>
        <rFont val="宋体"/>
        <family val="3"/>
        <charset val="134"/>
      </rPr>
      <t>）</t>
    </r>
    <r>
      <rPr>
        <sz val="10"/>
        <color rgb="FFFF0000"/>
        <rFont val="Arial Narrow"/>
        <family val="2"/>
      </rPr>
      <t xml:space="preserve"> 
</t>
    </r>
    <r>
      <rPr>
        <sz val="10"/>
        <color rgb="FFFF0000"/>
        <rFont val="宋体"/>
        <family val="3"/>
        <charset val="134"/>
      </rPr>
      <t>本次优先股的强制转股价格不因公司派发普通股现金股利的行为而进行调整。</t>
    </r>
    <phoneticPr fontId="40" type="noConversion"/>
  </si>
  <si>
    <r>
      <t>1.</t>
    </r>
    <r>
      <rPr>
        <sz val="10"/>
        <color theme="1"/>
        <rFont val="宋体"/>
        <family val="3"/>
        <charset val="134"/>
      </rPr>
      <t>检查被审计单位发行的优先股、永续债等工具已按照企业会计准则的规定在财务报表中作出恰当列报和披露。</t>
    </r>
    <phoneticPr fontId="40" type="noConversion"/>
  </si>
  <si>
    <r>
      <t>1.</t>
    </r>
    <r>
      <rPr>
        <sz val="10"/>
        <color theme="1"/>
        <rFont val="宋体"/>
        <family val="3"/>
        <charset val="134"/>
      </rPr>
      <t>获取发行文件，梳理对发行人的全部合同义务的约定条款。</t>
    </r>
    <phoneticPr fontId="40" type="noConversion"/>
  </si>
  <si>
    <r>
      <t>2.</t>
    </r>
    <r>
      <rPr>
        <sz val="10"/>
        <color theme="1"/>
        <rFont val="宋体"/>
        <family val="3"/>
        <charset val="134"/>
      </rPr>
      <t>根据或有结算条款和结算选择权、可回售工具或清算产生的义务等因素，判断被审计单位选取的会计分类是否符合企业会计准则的要求。</t>
    </r>
    <phoneticPr fontId="40" type="noConversion"/>
  </si>
  <si>
    <r>
      <t>3.</t>
    </r>
    <r>
      <rPr>
        <sz val="10"/>
        <color theme="1"/>
        <rFont val="宋体"/>
        <family val="3"/>
        <charset val="134"/>
      </rPr>
      <t>考虑是否需要对复合型金融产品各成分进行拆分。</t>
    </r>
    <phoneticPr fontId="40" type="noConversion"/>
  </si>
  <si>
    <r>
      <t>4.</t>
    </r>
    <r>
      <rPr>
        <sz val="10"/>
        <color theme="1"/>
        <rFont val="宋体"/>
        <family val="3"/>
        <charset val="134"/>
      </rPr>
      <t>如果发现会计分类方面的重大差异，应与管理层沟通，并执行其他补充审计程序。</t>
    </r>
    <phoneticPr fontId="40" type="noConversion"/>
  </si>
  <si>
    <r>
      <rPr>
        <b/>
        <sz val="10"/>
        <color theme="1"/>
        <rFont val="宋体"/>
        <family val="3"/>
        <charset val="134"/>
      </rPr>
      <t>项目</t>
    </r>
    <phoneticPr fontId="40" type="noConversion"/>
  </si>
  <si>
    <r>
      <rPr>
        <b/>
        <sz val="10"/>
        <color theme="1"/>
        <rFont val="宋体"/>
        <family val="3"/>
        <charset val="134"/>
      </rPr>
      <t>注意事项</t>
    </r>
    <phoneticPr fontId="40" type="noConversion"/>
  </si>
  <si>
    <r>
      <t>XX</t>
    </r>
    <r>
      <rPr>
        <b/>
        <u/>
        <sz val="10"/>
        <color theme="1"/>
        <rFont val="宋体"/>
        <family val="3"/>
        <charset val="134"/>
      </rPr>
      <t>优先股</t>
    </r>
    <phoneticPr fontId="40" type="noConversion"/>
  </si>
  <si>
    <r>
      <t>XX</t>
    </r>
    <r>
      <rPr>
        <b/>
        <u/>
        <sz val="10"/>
        <color theme="1"/>
        <rFont val="宋体"/>
        <family val="3"/>
        <charset val="134"/>
      </rPr>
      <t>永续中票</t>
    </r>
    <phoneticPr fontId="40" type="noConversion"/>
  </si>
  <si>
    <r>
      <rPr>
        <b/>
        <sz val="10"/>
        <color theme="1"/>
        <rFont val="宋体"/>
        <family val="3"/>
        <charset val="134"/>
      </rPr>
      <t>发行时间</t>
    </r>
    <phoneticPr fontId="40" type="noConversion"/>
  </si>
  <si>
    <r>
      <rPr>
        <b/>
        <sz val="10"/>
        <color theme="1"/>
        <rFont val="宋体"/>
        <family val="3"/>
        <charset val="134"/>
      </rPr>
      <t>发行总额（面值）</t>
    </r>
    <phoneticPr fontId="40" type="noConversion"/>
  </si>
  <si>
    <r>
      <rPr>
        <b/>
        <sz val="10"/>
        <color theme="1"/>
        <rFont val="宋体"/>
        <family val="3"/>
        <charset val="134"/>
      </rPr>
      <t>期末账面价值</t>
    </r>
    <phoneticPr fontId="40" type="noConversion"/>
  </si>
  <si>
    <r>
      <rPr>
        <b/>
        <sz val="10"/>
        <color theme="1"/>
        <rFont val="宋体"/>
        <family val="3"/>
        <charset val="134"/>
      </rPr>
      <t>本金相关分析</t>
    </r>
    <phoneticPr fontId="40" type="noConversion"/>
  </si>
  <si>
    <r>
      <rPr>
        <b/>
        <sz val="10"/>
        <color theme="1"/>
        <rFont val="宋体"/>
        <family val="3"/>
        <charset val="134"/>
      </rPr>
      <t>存续期限或续期情况</t>
    </r>
    <phoneticPr fontId="40" type="noConversion"/>
  </si>
  <si>
    <r>
      <rPr>
        <sz val="10"/>
        <color theme="1"/>
        <rFont val="宋体"/>
        <family val="3"/>
        <charset val="134"/>
      </rPr>
      <t>应无到期期限或可通过展期长期存续</t>
    </r>
    <phoneticPr fontId="40" type="noConversion"/>
  </si>
  <si>
    <r>
      <rPr>
        <sz val="10"/>
        <color rgb="FFFF0000"/>
        <rFont val="宋体"/>
        <family val="3"/>
        <charset val="134"/>
      </rPr>
      <t>无到期期限</t>
    </r>
    <phoneticPr fontId="40" type="noConversion"/>
  </si>
  <si>
    <r>
      <rPr>
        <sz val="10"/>
        <color rgb="FFFF0000"/>
        <rFont val="宋体"/>
        <family val="3"/>
        <charset val="134"/>
      </rPr>
      <t>长期存续</t>
    </r>
    <phoneticPr fontId="40" type="noConversion"/>
  </si>
  <si>
    <r>
      <rPr>
        <b/>
        <sz val="10"/>
        <color theme="1"/>
        <rFont val="宋体"/>
        <family val="3"/>
        <charset val="134"/>
      </rPr>
      <t>回购</t>
    </r>
    <r>
      <rPr>
        <b/>
        <sz val="10"/>
        <color theme="1"/>
        <rFont val="Arial Narrow"/>
        <family val="2"/>
      </rPr>
      <t>/</t>
    </r>
    <r>
      <rPr>
        <b/>
        <sz val="10"/>
        <color theme="1"/>
        <rFont val="宋体"/>
        <family val="3"/>
        <charset val="134"/>
      </rPr>
      <t>赎回条件</t>
    </r>
    <phoneticPr fontId="40" type="noConversion"/>
  </si>
  <si>
    <r>
      <rPr>
        <sz val="10"/>
        <color theme="1"/>
        <rFont val="宋体"/>
        <family val="3"/>
        <charset val="134"/>
      </rPr>
      <t>如果发行方不能无条件避免的赎回，则符合金融负债的定义</t>
    </r>
    <phoneticPr fontId="40" type="noConversion"/>
  </si>
  <si>
    <r>
      <rPr>
        <sz val="10"/>
        <color rgb="FFFF0000"/>
        <rFont val="宋体"/>
        <family val="3"/>
        <charset val="134"/>
      </rPr>
      <t>仅发行方有权选择赎回</t>
    </r>
    <phoneticPr fontId="40" type="noConversion"/>
  </si>
  <si>
    <r>
      <rPr>
        <b/>
        <sz val="10"/>
        <color theme="1"/>
        <rFont val="宋体"/>
        <family val="3"/>
        <charset val="134"/>
      </rPr>
      <t>股利</t>
    </r>
    <r>
      <rPr>
        <b/>
        <sz val="10"/>
        <color theme="1"/>
        <rFont val="Arial Narrow"/>
        <family val="2"/>
      </rPr>
      <t>/</t>
    </r>
    <r>
      <rPr>
        <b/>
        <sz val="10"/>
        <color theme="1"/>
        <rFont val="宋体"/>
        <family val="3"/>
        <charset val="134"/>
      </rPr>
      <t>利息相关分析</t>
    </r>
    <phoneticPr fontId="40" type="noConversion"/>
  </si>
  <si>
    <r>
      <rPr>
        <b/>
        <sz val="10"/>
        <color theme="1"/>
        <rFont val="宋体"/>
        <family val="3"/>
        <charset val="134"/>
      </rPr>
      <t>股息确定方式</t>
    </r>
    <phoneticPr fontId="40" type="noConversion"/>
  </si>
  <si>
    <r>
      <rPr>
        <sz val="10"/>
        <color theme="1"/>
        <rFont val="宋体"/>
        <family val="3"/>
        <charset val="134"/>
      </rPr>
      <t>跳升总幅度较小且封顶利率未超过同期同行业同类型工具平均的利率水平，可能不构成间接义务</t>
    </r>
    <phoneticPr fontId="40" type="noConversion"/>
  </si>
  <si>
    <r>
      <rPr>
        <sz val="10"/>
        <color rgb="FFFF0000"/>
        <rFont val="宋体"/>
        <family val="3"/>
        <charset val="134"/>
      </rPr>
      <t>重定价日的基准利率加首次定价时所确定的固定溢价</t>
    </r>
    <phoneticPr fontId="40" type="noConversion"/>
  </si>
  <si>
    <r>
      <rPr>
        <sz val="10"/>
        <color rgb="FFFF0000"/>
        <rFont val="宋体"/>
        <family val="3"/>
        <charset val="134"/>
      </rPr>
      <t>当期基准利率</t>
    </r>
    <r>
      <rPr>
        <sz val="10"/>
        <color rgb="FFFF0000"/>
        <rFont val="Arial Narrow"/>
        <family val="2"/>
      </rPr>
      <t>+</t>
    </r>
    <r>
      <rPr>
        <sz val="10"/>
        <color rgb="FFFF0000"/>
        <rFont val="宋体"/>
        <family val="3"/>
        <charset val="134"/>
      </rPr>
      <t>初始利差</t>
    </r>
    <r>
      <rPr>
        <sz val="10"/>
        <color rgb="FFFF0000"/>
        <rFont val="Arial Narrow"/>
        <family val="2"/>
      </rPr>
      <t>+300bps</t>
    </r>
    <phoneticPr fontId="40" type="noConversion"/>
  </si>
  <si>
    <r>
      <rPr>
        <b/>
        <sz val="10"/>
        <color theme="1"/>
        <rFont val="宋体"/>
        <family val="3"/>
        <charset val="134"/>
      </rPr>
      <t>强制付息事件</t>
    </r>
    <phoneticPr fontId="40" type="noConversion"/>
  </si>
  <si>
    <r>
      <rPr>
        <sz val="10"/>
        <color theme="1"/>
        <rFont val="宋体"/>
        <family val="3"/>
        <charset val="134"/>
      </rPr>
      <t>如果强制付息事件不能由发行方自主决定（例如控股股东变更，存在普通股隐性强制分红义务），则存在强制付息义务</t>
    </r>
    <phoneticPr fontId="40" type="noConversion"/>
  </si>
  <si>
    <r>
      <rPr>
        <sz val="10"/>
        <color rgb="FFFF0000"/>
        <rFont val="宋体"/>
        <family val="3"/>
        <charset val="134"/>
      </rPr>
      <t>向普通股股东分红</t>
    </r>
    <phoneticPr fontId="40" type="noConversion"/>
  </si>
  <si>
    <r>
      <rPr>
        <sz val="10"/>
        <color rgb="FFFF0000"/>
        <rFont val="宋体"/>
        <family val="3"/>
        <charset val="134"/>
      </rPr>
      <t>向普通股股东分红；减少注册资本。</t>
    </r>
    <phoneticPr fontId="40" type="noConversion"/>
  </si>
  <si>
    <r>
      <rPr>
        <b/>
        <sz val="10"/>
        <color theme="1"/>
        <rFont val="宋体"/>
        <family val="3"/>
        <charset val="134"/>
      </rPr>
      <t>股息递延或取消</t>
    </r>
    <phoneticPr fontId="40" type="noConversion"/>
  </si>
  <si>
    <r>
      <rPr>
        <sz val="10"/>
        <color theme="1"/>
        <rFont val="宋体"/>
        <family val="3"/>
        <charset val="134"/>
      </rPr>
      <t>应能够根据相应的议事机制自主决定是否支付股息（即无支付股息的义务）</t>
    </r>
    <phoneticPr fontId="40" type="noConversion"/>
  </si>
  <si>
    <r>
      <rPr>
        <sz val="10"/>
        <color rgb="FFFF0000"/>
        <rFont val="宋体"/>
        <family val="3"/>
        <charset val="134"/>
      </rPr>
      <t>公司有权全部或部分取消优先股股息的宣派和支付，且不构成违约事件</t>
    </r>
    <phoneticPr fontId="40" type="noConversion"/>
  </si>
  <si>
    <r>
      <rPr>
        <sz val="10"/>
        <color rgb="FFFF0000"/>
        <rFont val="宋体"/>
        <family val="3"/>
        <charset val="134"/>
      </rPr>
      <t>发行人可自行选择将当期利息以及此前已经递延的所有利息及其孳息推迟至下一个付息日支付，且不受到任何递延支付利息次数的限制</t>
    </r>
    <phoneticPr fontId="40" type="noConversion"/>
  </si>
  <si>
    <r>
      <rPr>
        <b/>
        <sz val="10"/>
        <color theme="1"/>
        <rFont val="宋体"/>
        <family val="3"/>
        <charset val="134"/>
      </rPr>
      <t>或有结算条款</t>
    </r>
    <phoneticPr fontId="40" type="noConversion"/>
  </si>
  <si>
    <r>
      <rPr>
        <b/>
        <sz val="10"/>
        <color theme="1"/>
        <rFont val="宋体"/>
        <family val="3"/>
        <charset val="134"/>
      </rPr>
      <t>违约事件</t>
    </r>
    <phoneticPr fontId="40" type="noConversion"/>
  </si>
  <si>
    <r>
      <rPr>
        <sz val="10"/>
        <color theme="1"/>
        <rFont val="宋体"/>
        <family val="3"/>
        <charset val="134"/>
      </rPr>
      <t>发行方不能控制能否按时偿债、是否会发生超过净资产</t>
    </r>
    <r>
      <rPr>
        <sz val="10"/>
        <color theme="1"/>
        <rFont val="Arial Narrow"/>
        <family val="2"/>
      </rPr>
      <t>10%</t>
    </r>
    <r>
      <rPr>
        <sz val="10"/>
        <color theme="1"/>
        <rFont val="宋体"/>
        <family val="3"/>
        <charset val="134"/>
      </rPr>
      <t>以上重大损失、财务指标承诺能否达标、财务状况是否发生重大变化、控制权是否会变更或信用等级是否会被降级、是否会发生其他投资者认定足以影响债权实现的事项等情形。因此，包含此类条款的永续债会触发投资者保护机制。</t>
    </r>
    <phoneticPr fontId="40" type="noConversion"/>
  </si>
  <si>
    <r>
      <rPr>
        <b/>
        <sz val="10"/>
        <color theme="1"/>
        <rFont val="宋体"/>
        <family val="3"/>
        <charset val="134"/>
      </rPr>
      <t>应急事件</t>
    </r>
    <phoneticPr fontId="40" type="noConversion"/>
  </si>
  <si>
    <r>
      <rPr>
        <sz val="10"/>
        <color rgb="FFFF0000"/>
        <rFont val="宋体"/>
        <family val="3"/>
        <charset val="134"/>
      </rPr>
      <t>本公司发生未能清偿到期债务的违约情况；本公司或本公司的高级管理层出现严重违法、违规案件；本公司发生超过净资产</t>
    </r>
    <r>
      <rPr>
        <sz val="10"/>
        <color rgb="FFFF0000"/>
        <rFont val="Arial Narrow"/>
        <family val="2"/>
      </rPr>
      <t>10%</t>
    </r>
    <r>
      <rPr>
        <sz val="10"/>
        <color rgb="FFFF0000"/>
        <rFont val="宋体"/>
        <family val="3"/>
        <charset val="134"/>
      </rPr>
      <t>以上重大损失；本公司受到重大行政处分、罚款或涉及重大诉讼或司法强制执行等事件；其他可能引起投资者重大损失的事件。</t>
    </r>
    <phoneticPr fontId="40" type="noConversion"/>
  </si>
  <si>
    <r>
      <rPr>
        <b/>
        <sz val="10"/>
        <color theme="1"/>
        <rFont val="宋体"/>
        <family val="3"/>
        <charset val="134"/>
      </rPr>
      <t>事先约束条款</t>
    </r>
    <phoneticPr fontId="40" type="noConversion"/>
  </si>
  <si>
    <r>
      <rPr>
        <b/>
        <sz val="10"/>
        <color theme="1"/>
        <rFont val="宋体"/>
        <family val="3"/>
        <charset val="134"/>
      </rPr>
      <t>投资者保护机制</t>
    </r>
    <phoneticPr fontId="40" type="noConversion"/>
  </si>
  <si>
    <r>
      <rPr>
        <sz val="10"/>
        <color theme="1"/>
        <rFont val="宋体"/>
        <family val="3"/>
        <charset val="134"/>
      </rPr>
      <t>除非发行方可以拒绝履行持有人会议要求赎回、提供担保的决议，或持有人会议无权要求发行方回购或提供担保（但可以要求有限度的利率跳升），否则发行方不能无条件避免合同义务。</t>
    </r>
    <phoneticPr fontId="40" type="noConversion"/>
  </si>
  <si>
    <r>
      <rPr>
        <b/>
        <sz val="10"/>
        <color theme="1"/>
        <rFont val="宋体"/>
        <family val="3"/>
        <charset val="134"/>
      </rPr>
      <t>转股特征</t>
    </r>
    <phoneticPr fontId="40" type="noConversion"/>
  </si>
  <si>
    <r>
      <rPr>
        <b/>
        <sz val="10"/>
        <color theme="1"/>
        <rFont val="宋体"/>
        <family val="3"/>
        <charset val="134"/>
      </rPr>
      <t>转股条件</t>
    </r>
    <phoneticPr fontId="40" type="noConversion"/>
  </si>
  <si>
    <r>
      <rPr>
        <b/>
        <sz val="10"/>
        <color theme="1"/>
        <rFont val="宋体"/>
        <family val="3"/>
        <charset val="134"/>
      </rPr>
      <t>转股价格</t>
    </r>
    <phoneticPr fontId="40" type="noConversion"/>
  </si>
  <si>
    <r>
      <rPr>
        <sz val="10"/>
        <color theme="1"/>
        <rFont val="宋体"/>
        <family val="3"/>
        <charset val="134"/>
      </rPr>
      <t>应当不包括交付可变数量的自身权益工具进行结算的合同义务，或者满足</t>
    </r>
    <r>
      <rPr>
        <sz val="10"/>
        <color theme="1"/>
        <rFont val="Arial Narrow"/>
        <family val="2"/>
      </rPr>
      <t>“</t>
    </r>
    <r>
      <rPr>
        <sz val="10"/>
        <color theme="1"/>
        <rFont val="宋体"/>
        <family val="3"/>
        <charset val="134"/>
      </rPr>
      <t>固定换固定</t>
    </r>
    <r>
      <rPr>
        <sz val="10"/>
        <color theme="1"/>
        <rFont val="Arial Narrow"/>
        <family val="2"/>
      </rPr>
      <t>”</t>
    </r>
    <r>
      <rPr>
        <sz val="10"/>
        <color theme="1"/>
        <rFont val="宋体"/>
        <family val="3"/>
        <charset val="134"/>
      </rPr>
      <t>原则，通常表现为转股价初始固定</t>
    </r>
    <phoneticPr fontId="40" type="noConversion"/>
  </si>
  <si>
    <r>
      <rPr>
        <b/>
        <sz val="10"/>
        <color theme="1"/>
        <rFont val="宋体"/>
        <family val="3"/>
        <charset val="134"/>
      </rPr>
      <t>转股价格调整</t>
    </r>
    <phoneticPr fontId="40" type="noConversion"/>
  </si>
  <si>
    <r>
      <rPr>
        <sz val="10"/>
        <color theme="1"/>
        <rFont val="宋体"/>
        <family val="3"/>
        <charset val="134"/>
      </rPr>
      <t>按照转股价格调整公式进行</t>
    </r>
    <r>
      <rPr>
        <sz val="10"/>
        <color theme="1"/>
        <rFont val="Arial Narrow"/>
        <family val="2"/>
      </rPr>
      <t>“</t>
    </r>
    <r>
      <rPr>
        <sz val="10"/>
        <color theme="1"/>
        <rFont val="宋体"/>
        <family val="3"/>
        <charset val="134"/>
      </rPr>
      <t>反稀释</t>
    </r>
    <r>
      <rPr>
        <sz val="10"/>
        <color theme="1"/>
        <rFont val="Arial Narrow"/>
        <family val="2"/>
      </rPr>
      <t>”</t>
    </r>
    <r>
      <rPr>
        <sz val="10"/>
        <color theme="1"/>
        <rFont val="宋体"/>
        <family val="3"/>
        <charset val="134"/>
      </rPr>
      <t>调整，是的持有人相对利益保持不变</t>
    </r>
    <phoneticPr fontId="40" type="noConversion"/>
  </si>
  <si>
    <r>
      <rPr>
        <b/>
        <sz val="10"/>
        <color theme="1"/>
        <rFont val="宋体"/>
        <family val="3"/>
        <charset val="134"/>
      </rPr>
      <t>清算偿付顺序</t>
    </r>
    <phoneticPr fontId="40" type="noConversion"/>
  </si>
  <si>
    <r>
      <rPr>
        <sz val="10"/>
        <color theme="1"/>
        <rFont val="宋体"/>
        <family val="3"/>
        <charset val="134"/>
      </rPr>
      <t>清算时永续债与发行方发行的普通债券和其他债务处于相同清偿顺序的，应当审慎考虑此清偿顺序是否会导致持有方对发行方承担交付现金或其他金融资产合同义务的预期，并据此确定其会计分类</t>
    </r>
    <phoneticPr fontId="40" type="noConversion"/>
  </si>
  <si>
    <r>
      <rPr>
        <sz val="10"/>
        <color rgb="FFFF0000"/>
        <rFont val="宋体"/>
        <family val="3"/>
        <charset val="134"/>
      </rPr>
      <t>本次发行的优先股股东受偿顺序位列存款人、一般债权人和次级债务（包括但不限于次级债、混合资本债券、二级资本工具等）之后，先于公司普通股股东</t>
    </r>
    <phoneticPr fontId="40" type="noConversion"/>
  </si>
  <si>
    <r>
      <rPr>
        <sz val="10"/>
        <color rgb="FFFF0000"/>
        <rFont val="宋体"/>
        <family val="3"/>
        <charset val="134"/>
      </rPr>
      <t>本期中期票据的本金和利息在破产清算时的清偿顺序等同于发行人其他待偿还债务融资工具</t>
    </r>
    <phoneticPr fontId="40" type="noConversion"/>
  </si>
  <si>
    <r>
      <rPr>
        <b/>
        <sz val="10"/>
        <color theme="1"/>
        <rFont val="宋体"/>
        <family val="3"/>
        <charset val="134"/>
      </rPr>
      <t>其他相关条款分析</t>
    </r>
    <phoneticPr fontId="40" type="noConversion"/>
  </si>
  <si>
    <r>
      <rPr>
        <b/>
        <sz val="10"/>
        <color theme="1"/>
        <rFont val="宋体"/>
        <family val="3"/>
        <charset val="134"/>
      </rPr>
      <t>发行方或其控股股东固定价格回购承诺</t>
    </r>
    <phoneticPr fontId="40" type="noConversion"/>
  </si>
  <si>
    <r>
      <rPr>
        <sz val="10"/>
        <color theme="1"/>
        <rFont val="宋体"/>
        <family val="3"/>
        <charset val="134"/>
      </rPr>
      <t>签出看跌期权使集团整体承担了不能无条件避免的支付现金的合同义务</t>
    </r>
    <phoneticPr fontId="40" type="noConversion"/>
  </si>
  <si>
    <r>
      <rPr>
        <b/>
        <sz val="10"/>
        <color theme="1"/>
        <rFont val="宋体"/>
        <family val="3"/>
        <charset val="134"/>
      </rPr>
      <t>信用增级</t>
    </r>
    <phoneticPr fontId="40" type="noConversion"/>
  </si>
  <si>
    <r>
      <rPr>
        <sz val="10"/>
        <color theme="1"/>
        <rFont val="宋体"/>
        <family val="3"/>
        <charset val="134"/>
      </rPr>
      <t>不应包含其他合同义务</t>
    </r>
    <phoneticPr fontId="40" type="noConversion"/>
  </si>
  <si>
    <r>
      <rPr>
        <sz val="10"/>
        <color rgb="FFFF0000"/>
        <rFont val="宋体"/>
        <family val="3"/>
        <charset val="134"/>
      </rPr>
      <t>本期中期票据不设担保</t>
    </r>
    <phoneticPr fontId="40" type="noConversion"/>
  </si>
  <si>
    <r>
      <rPr>
        <b/>
        <sz val="10"/>
        <color theme="1"/>
        <rFont val="宋体"/>
        <family val="3"/>
        <charset val="134"/>
      </rPr>
      <t>会计属性区分</t>
    </r>
    <phoneticPr fontId="40" type="noConversion"/>
  </si>
  <si>
    <r>
      <rPr>
        <sz val="10"/>
        <color theme="1"/>
        <rFont val="宋体"/>
        <family val="3"/>
        <charset val="134"/>
      </rPr>
      <t>应当按照该金融工具的合同条款及其所反映的经济实质而非法律形式进行区分</t>
    </r>
    <phoneticPr fontId="40" type="noConversion"/>
  </si>
  <si>
    <r>
      <rPr>
        <b/>
        <sz val="10"/>
        <color rgb="FFFF0000"/>
        <rFont val="宋体"/>
        <family val="3"/>
        <charset val="134"/>
      </rPr>
      <t>公司支付固定股息的义务可以无条件取消；本金有权（但无需）赎回；转股权满足换取固定数量的自身权益工具的标准，不存在或有结算条款。因此，属于权益工具</t>
    </r>
    <phoneticPr fontId="40" type="noConversion"/>
  </si>
  <si>
    <r>
      <rPr>
        <b/>
        <sz val="10"/>
        <color rgb="FFFF0000"/>
        <rFont val="宋体"/>
        <family val="3"/>
        <charset val="134"/>
      </rPr>
      <t>存在或有结算条款，且相关事件发生后发行方无法控制持有人大会是否会通过豁免的方案。而当持有人大会决定不豁免时，永续债本息就到期应付。此外，清偿顺序于普通债务等同，会导致持有方对发行方承担交付现金或其他金融资产合同义务的预期。因此，该永续债属于金融负债。</t>
    </r>
    <phoneticPr fontId="40" type="noConversion"/>
  </si>
  <si>
    <r>
      <rPr>
        <b/>
        <sz val="10"/>
        <color theme="1"/>
        <rFont val="宋体"/>
        <family val="3"/>
        <charset val="134"/>
      </rPr>
      <t>发行文件索引号</t>
    </r>
    <phoneticPr fontId="40" type="noConversion"/>
  </si>
  <si>
    <r>
      <t>1.</t>
    </r>
    <r>
      <rPr>
        <sz val="10"/>
        <color theme="1"/>
        <rFont val="宋体"/>
        <family val="3"/>
        <charset val="134"/>
      </rPr>
      <t>其他综合收益以恰当的金额包括在财务报表中，与之相关的计价或分摊调整已恰当记录，相关披露已得到恰当计量和描述。</t>
    </r>
    <phoneticPr fontId="40" type="noConversion"/>
  </si>
  <si>
    <r>
      <rPr>
        <b/>
        <sz val="10"/>
        <rFont val="宋体"/>
        <family val="3"/>
        <charset val="134"/>
      </rPr>
      <t>备注说明</t>
    </r>
    <phoneticPr fontId="15" type="noConversion"/>
  </si>
  <si>
    <r>
      <rPr>
        <b/>
        <sz val="10"/>
        <rFont val="宋体"/>
        <family val="3"/>
        <charset val="134"/>
      </rPr>
      <t>五、审计说明：</t>
    </r>
    <phoneticPr fontId="24" type="noConversion"/>
  </si>
  <si>
    <r>
      <rPr>
        <b/>
        <sz val="10"/>
        <rFont val="宋体"/>
        <family val="3"/>
        <charset val="134"/>
      </rPr>
      <t>六、审计结论：</t>
    </r>
    <phoneticPr fontId="15"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</si>
  <si>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5" type="noConversion"/>
  </si>
  <si>
    <t>获取或编制实收资本（股本）明细表，完成以下工作，并编制审定表
（1）复核加计是否正确，与总账、明细账合计数核对是否相符，期初余额与上期审定期末余额是否相符；
（2）以非记账本位币出资的，检查其折算汇率是否符合规定，折算差额的会计处理是否正确。</t>
    <phoneticPr fontId="40" type="noConversion"/>
  </si>
  <si>
    <t>对可转换公司债券持有人行使转换权利转为股本和形成的股本溢价，结合长期债券的审计，检查相关的法律文件，手续是否办理，检查入账金额和会计处理是否正确；</t>
    <phoneticPr fontId="40" type="noConversion"/>
  </si>
  <si>
    <t>检查股权协议，考虑是否有需要单独确认的嵌入式衍生工具。如果有，完成金融工具审计程序。</t>
    <phoneticPr fontId="15" type="noConversion"/>
  </si>
  <si>
    <t>检查可转换公司债券是否将负债和权益成份分拆，可转换公司债券持有人行使转换权利，将其持有的债券转为股票时其会计处理是否正确。</t>
    <phoneticPr fontId="15" type="noConversion"/>
  </si>
  <si>
    <r>
      <rPr>
        <sz val="10"/>
        <rFont val="宋体"/>
        <family val="3"/>
        <charset val="134"/>
      </rPr>
      <t>检查可转换公司债券是否将负债和权益成份分拆，结合长期债券的审计，检查相关的法律文件，手续是否办理，检查入账金额和会计处理是否正确，其持有的债券转为股票时其会计处理是否正确。
（</t>
    </r>
    <r>
      <rPr>
        <sz val="10"/>
        <rFont val="Arial Narrow"/>
        <family val="2"/>
      </rPr>
      <t>1</t>
    </r>
    <r>
      <rPr>
        <sz val="10"/>
        <rFont val="宋体"/>
        <family val="3"/>
        <charset val="134"/>
      </rPr>
      <t>）获取发行文件，检查对发行人的全部合同义务的约定条款；
（</t>
    </r>
    <r>
      <rPr>
        <sz val="10"/>
        <rFont val="Arial Narrow"/>
        <family val="2"/>
      </rPr>
      <t>2</t>
    </r>
    <r>
      <rPr>
        <sz val="10"/>
        <rFont val="宋体"/>
        <family val="3"/>
        <charset val="134"/>
      </rPr>
      <t>）根据或有结算条款和结算选择权、可回售工具或清算产生的义务等因素，判断被审计单位选取的会计分类是否符合企业会计准则的要求；
（</t>
    </r>
    <r>
      <rPr>
        <sz val="10"/>
        <rFont val="Arial Narrow"/>
        <family val="2"/>
      </rPr>
      <t>3</t>
    </r>
    <r>
      <rPr>
        <sz val="10"/>
        <rFont val="宋体"/>
        <family val="3"/>
        <charset val="134"/>
      </rPr>
      <t>）考虑是否需要对复合型金融产品各成分的拆分。</t>
    </r>
    <phoneticPr fontId="15" type="noConversion"/>
  </si>
  <si>
    <t>√</t>
    <phoneticPr fontId="15" type="noConversion"/>
  </si>
  <si>
    <t>√</t>
    <phoneticPr fontId="15" type="noConversion"/>
  </si>
  <si>
    <t>√</t>
    <phoneticPr fontId="15" type="noConversion"/>
  </si>
  <si>
    <r>
      <t>对于上期其他权益工具的期末余额，取得发行该项工具的决议、协议、募集说明书等发行文件、审批文件等，检查与账面记录是否一致，检查上期其他权益工具在本期减少情况。</t>
    </r>
    <r>
      <rPr>
        <sz val="10"/>
        <color rgb="FFFF0000"/>
        <rFont val="宋体"/>
        <family val="3"/>
        <charset val="134"/>
      </rPr>
      <t>（适用于首次承接）</t>
    </r>
    <phoneticPr fontId="40" type="noConversion"/>
  </si>
  <si>
    <t>对本期增加的优先股、永续债等其他权益工具投资，获取公司章程、股东（大）会/董事会决议、协议、募集说明书等发行文件、政府主管部门批复等相关文件，检查重要条款，判断分类为其他权益工具投资是否恰当。</t>
    <phoneticPr fontId="15" type="noConversion"/>
  </si>
  <si>
    <t>检查与其他权益工具有关的的记账凭证和相应的支持性证据，入账金额是否正确、会计处理是否正确。</t>
    <phoneticPr fontId="15" type="noConversion"/>
  </si>
  <si>
    <t>修改</t>
    <phoneticPr fontId="15" type="noConversion"/>
  </si>
  <si>
    <t>修改</t>
    <phoneticPr fontId="15" type="noConversion"/>
  </si>
  <si>
    <t>删除</t>
    <phoneticPr fontId="15" type="noConversion"/>
  </si>
  <si>
    <t>整合</t>
    <phoneticPr fontId="15" type="noConversion"/>
  </si>
  <si>
    <t>提示：</t>
    <phoneticPr fontId="40" type="noConversion"/>
  </si>
  <si>
    <r>
      <t>4.</t>
    </r>
    <r>
      <rPr>
        <sz val="10"/>
        <color rgb="FF0000FF"/>
        <rFont val="宋体"/>
        <family val="3"/>
        <charset val="134"/>
      </rPr>
      <t>考虑融资工具是否在合并报表层面进行了适当的会计处理。</t>
    </r>
    <phoneticPr fontId="15" type="noConversion"/>
  </si>
  <si>
    <r>
      <t>1.</t>
    </r>
    <r>
      <rPr>
        <sz val="10"/>
        <color rgb="FF0000FF"/>
        <rFont val="宋体"/>
        <family val="3"/>
        <charset val="134"/>
      </rPr>
      <t>权益工具，是指能证明拥有某个企业在扣除所有负债后的资产中的剩余权益的合同。，</t>
    </r>
    <r>
      <rPr>
        <sz val="10"/>
        <color rgb="FF0000FF"/>
        <rFont val="Arial Narrow"/>
        <family val="2"/>
      </rPr>
      <t>“</t>
    </r>
    <r>
      <rPr>
        <sz val="10"/>
        <color rgb="FF0000FF"/>
        <rFont val="宋体"/>
        <family val="3"/>
        <charset val="134"/>
      </rPr>
      <t>其他权益工具</t>
    </r>
    <r>
      <rPr>
        <sz val="10"/>
        <color rgb="FF0000FF"/>
        <rFont val="Arial Narrow"/>
        <family val="2"/>
      </rPr>
      <t>”</t>
    </r>
    <r>
      <rPr>
        <sz val="10"/>
        <color rgb="FF0000FF"/>
        <rFont val="宋体"/>
        <family val="3"/>
        <charset val="134"/>
      </rPr>
      <t>核算企业发行的除普通股以外的归类为权益工具的各种金融工具；</t>
    </r>
    <phoneticPr fontId="15" type="noConversion"/>
  </si>
  <si>
    <r>
      <t>2.</t>
    </r>
    <r>
      <rPr>
        <sz val="10"/>
        <color rgb="FF0000FF"/>
        <rFont val="宋体"/>
        <family val="3"/>
        <charset val="134"/>
      </rPr>
      <t>分类为其他权益工具的金融工具，在存续期间分派股利（含分类为权益工具的工具所产生的</t>
    </r>
    <r>
      <rPr>
        <sz val="10"/>
        <color rgb="FF0000FF"/>
        <rFont val="Arial Narrow"/>
        <family val="2"/>
      </rPr>
      <t>“</t>
    </r>
    <r>
      <rPr>
        <sz val="10"/>
        <color rgb="FF0000FF"/>
        <rFont val="宋体"/>
        <family val="3"/>
        <charset val="134"/>
      </rPr>
      <t>利息</t>
    </r>
    <r>
      <rPr>
        <sz val="10"/>
        <color rgb="FF0000FF"/>
        <rFont val="Arial Narrow"/>
        <family val="2"/>
      </rPr>
      <t>”</t>
    </r>
    <r>
      <rPr>
        <sz val="10"/>
        <color rgb="FF0000FF"/>
        <rFont val="宋体"/>
        <family val="3"/>
        <charset val="134"/>
      </rPr>
      <t>）的，作为利润分配处理。</t>
    </r>
    <phoneticPr fontId="15" type="noConversion"/>
  </si>
  <si>
    <r>
      <t>3.</t>
    </r>
    <r>
      <rPr>
        <sz val="10"/>
        <color rgb="FF0000FF"/>
        <rFont val="宋体"/>
        <family val="3"/>
        <charset val="134"/>
      </rPr>
      <t>发行复合金融工具发生的交易费用，应当在负债成分和权益成分之间按照各自占总发行价款的比例进行分摊。</t>
    </r>
    <phoneticPr fontId="15" type="noConversion"/>
  </si>
  <si>
    <r>
      <t>1.</t>
    </r>
    <r>
      <rPr>
        <sz val="10"/>
        <color indexed="12"/>
        <rFont val="宋体"/>
        <family val="3"/>
        <charset val="134"/>
      </rPr>
      <t>权益工具，是指能证明拥有某个企业在扣除所有负债后的资产中的剩余权益的合同。</t>
    </r>
    <phoneticPr fontId="40" type="noConversion"/>
  </si>
  <si>
    <r>
      <rPr>
        <sz val="10"/>
        <color indexed="12"/>
        <rFont val="宋体"/>
        <family val="3"/>
        <charset val="134"/>
      </rPr>
      <t>如果企业不能无条件地避免以交付现金或其他金融资产来履行一项合同义务，则该合同义务符合金融负债的定义。</t>
    </r>
    <phoneticPr fontId="15" type="noConversion"/>
  </si>
  <si>
    <r>
      <rPr>
        <sz val="10"/>
        <color indexed="12"/>
        <rFont val="宋体"/>
        <family val="3"/>
        <charset val="134"/>
      </rPr>
      <t>如果企业能够无条件地避免交付现金或其他金融资产，例如能够根据相应的议事机制自主决定是否支付股息（即无支付股息的义务），同时所发行的金融工具没有到期日且合同对手没有回售权，</t>
    </r>
    <phoneticPr fontId="15" type="noConversion"/>
  </si>
  <si>
    <r>
      <rPr>
        <sz val="10"/>
        <color indexed="12"/>
        <rFont val="宋体"/>
        <family val="3"/>
        <charset val="134"/>
      </rPr>
      <t>或虽有固定期限但发行方有权无限期递延（即无支付本金的义务），则此类交付现金或其他金融资产的结算条款不构成金融负债。</t>
    </r>
    <phoneticPr fontId="15" type="noConversion"/>
  </si>
  <si>
    <r>
      <t>2.</t>
    </r>
    <r>
      <rPr>
        <sz val="10"/>
        <color rgb="FF3333FF"/>
        <rFont val="宋体"/>
        <family val="3"/>
        <charset val="134"/>
      </rPr>
      <t>审计说明可以概述：（</t>
    </r>
    <r>
      <rPr>
        <sz val="10"/>
        <color rgb="FF3333FF"/>
        <rFont val="Arial Narrow"/>
        <family val="2"/>
      </rPr>
      <t>1</t>
    </r>
    <r>
      <rPr>
        <sz val="10"/>
        <color rgb="FF3333FF"/>
        <rFont val="宋体"/>
        <family val="3"/>
        <charset val="134"/>
      </rPr>
      <t>）程序的测试情况、结果；（</t>
    </r>
    <r>
      <rPr>
        <sz val="10"/>
        <color rgb="FF3333FF"/>
        <rFont val="Arial Narrow"/>
        <family val="2"/>
      </rPr>
      <t>2</t>
    </r>
    <r>
      <rPr>
        <sz val="10"/>
        <color rgb="FF3333FF"/>
        <rFont val="宋体"/>
        <family val="3"/>
        <charset val="134"/>
      </rPr>
      <t>）拟调整事项及其调整分录、未调整事项及其影响，审计范围受到限制情况及其影响。</t>
    </r>
    <phoneticPr fontId="15" type="noConversion"/>
  </si>
  <si>
    <r>
      <t>3.</t>
    </r>
    <r>
      <rPr>
        <sz val="10"/>
        <color rgb="FF0000FF"/>
        <rFont val="宋体"/>
        <family val="3"/>
        <charset val="134"/>
      </rPr>
      <t>审计结论可参考：</t>
    </r>
    <r>
      <rPr>
        <sz val="10"/>
        <color rgb="FF0000FF"/>
        <rFont val="Arial Narrow"/>
        <family val="2"/>
      </rPr>
      <t>A</t>
    </r>
    <r>
      <rPr>
        <sz val="10"/>
        <color rgb="FF0000FF"/>
        <rFont val="宋体"/>
        <family val="3"/>
        <charset val="134"/>
      </rPr>
      <t>、未见异常。</t>
    </r>
    <r>
      <rPr>
        <sz val="10"/>
        <color rgb="FF0000FF"/>
        <rFont val="Arial Narrow"/>
        <family val="2"/>
      </rPr>
      <t>B</t>
    </r>
    <r>
      <rPr>
        <sz val="10"/>
        <color rgb="FF0000FF"/>
        <rFont val="宋体"/>
        <family val="3"/>
        <charset val="134"/>
      </rPr>
      <t>、除上述重大不符事项应当作为调整事项予以调整外，其余未见异常。</t>
    </r>
    <r>
      <rPr>
        <sz val="10"/>
        <color rgb="FF0000FF"/>
        <rFont val="Arial Narrow"/>
        <family val="2"/>
      </rPr>
      <t>C</t>
    </r>
    <r>
      <rPr>
        <sz val="10"/>
        <color rgb="FF0000FF"/>
        <rFont val="宋体"/>
        <family val="3"/>
        <charset val="134"/>
      </rPr>
      <t>、由于存在以下重大未调整事项</t>
    </r>
    <r>
      <rPr>
        <sz val="10"/>
        <color rgb="FF0000FF"/>
        <rFont val="Arial Narrow"/>
        <family val="2"/>
      </rPr>
      <t>(</t>
    </r>
    <r>
      <rPr>
        <sz val="10"/>
        <color rgb="FF0000FF"/>
        <rFont val="宋体"/>
        <family val="3"/>
        <charset val="134"/>
      </rPr>
      <t>或审计范围受到限制无法获取充分、适当证据），不可确认。</t>
    </r>
    <phoneticPr fontId="15" type="noConversion"/>
  </si>
  <si>
    <t>二、测试：</t>
    <phoneticPr fontId="24" type="noConversion"/>
  </si>
  <si>
    <t>记账凭证</t>
    <phoneticPr fontId="15" type="noConversion"/>
  </si>
  <si>
    <t>日期</t>
  </si>
  <si>
    <t>凭证编号</t>
  </si>
  <si>
    <t>业务内容</t>
    <phoneticPr fontId="15" type="noConversion"/>
  </si>
  <si>
    <t>对方科目</t>
    <phoneticPr fontId="15" type="noConversion"/>
  </si>
  <si>
    <t>对方明细科目</t>
    <phoneticPr fontId="15" type="noConversion"/>
  </si>
  <si>
    <t>借方金额</t>
    <phoneticPr fontId="15" type="noConversion"/>
  </si>
  <si>
    <t>贷方金额</t>
    <phoneticPr fontId="15" type="noConversion"/>
  </si>
  <si>
    <t>支持性文件</t>
    <phoneticPr fontId="15" type="noConversion"/>
  </si>
  <si>
    <r>
      <rPr>
        <b/>
        <sz val="10"/>
        <rFont val="宋体"/>
        <family val="3"/>
        <charset val="134"/>
      </rPr>
      <t>核对内容</t>
    </r>
  </si>
  <si>
    <t>索引号</t>
  </si>
  <si>
    <r>
      <rPr>
        <sz val="10"/>
        <rFont val="宋体"/>
        <family val="3"/>
        <charset val="134"/>
      </rPr>
      <t>检查可转换公司债券是否将负债和权益成份分拆，结合长期债券的审计，检查相关的法律文件，手续是否办理，检查入账金额和会计处理是否正确，其持有的债券转为股票时其会计处理是否正确。
（</t>
    </r>
    <r>
      <rPr>
        <sz val="10"/>
        <rFont val="Arial Narrow"/>
        <family val="2"/>
      </rPr>
      <t>1</t>
    </r>
    <r>
      <rPr>
        <sz val="10"/>
        <rFont val="宋体"/>
        <family val="3"/>
        <charset val="134"/>
      </rPr>
      <t>）获取发行文件，检查对发行人的全部合同义务的约定条款；
（</t>
    </r>
    <r>
      <rPr>
        <sz val="10"/>
        <rFont val="Arial Narrow"/>
        <family val="2"/>
      </rPr>
      <t>2</t>
    </r>
    <r>
      <rPr>
        <sz val="10"/>
        <rFont val="宋体"/>
        <family val="3"/>
        <charset val="134"/>
      </rPr>
      <t>）根据或有结算条款和结算选择权、可回售工具或清算产生的义务等因素，判断被审计单位选取的会计分类是否符合企业会计准则的要求；
（</t>
    </r>
    <r>
      <rPr>
        <sz val="10"/>
        <rFont val="Arial Narrow"/>
        <family val="2"/>
      </rPr>
      <t>3</t>
    </r>
    <r>
      <rPr>
        <sz val="10"/>
        <rFont val="宋体"/>
        <family val="3"/>
        <charset val="134"/>
      </rPr>
      <t>）考虑是否需要对复合型金融产品各成分的拆分。</t>
    </r>
    <phoneticPr fontId="15" type="noConversion"/>
  </si>
  <si>
    <t>准确性、计价和分摊</t>
    <phoneticPr fontId="15" type="noConversion"/>
  </si>
  <si>
    <t>列报</t>
    <phoneticPr fontId="15" type="noConversion"/>
  </si>
  <si>
    <r>
      <rPr>
        <b/>
        <sz val="10"/>
        <color theme="1"/>
        <rFont val="宋体"/>
        <family val="3"/>
        <charset val="134"/>
      </rPr>
      <t>√</t>
    </r>
    <phoneticPr fontId="15" type="noConversion"/>
  </si>
  <si>
    <t>M10-1
/M10-2</t>
    <phoneticPr fontId="40" type="noConversion"/>
  </si>
  <si>
    <t>T1/</t>
    <phoneticPr fontId="40" type="noConversion"/>
  </si>
  <si>
    <t>M10-</t>
    <phoneticPr fontId="15" type="noConversion"/>
  </si>
  <si>
    <t>M10-4</t>
    <phoneticPr fontId="15" type="noConversion"/>
  </si>
  <si>
    <t>M10-5</t>
    <phoneticPr fontId="15" type="noConversion"/>
  </si>
  <si>
    <t>致同会计师事务所</t>
    <phoneticPr fontId="137" type="noConversion"/>
  </si>
  <si>
    <t>其他权益工具调整分录汇总表</t>
    <phoneticPr fontId="15" type="noConversion"/>
  </si>
  <si>
    <t>金融负债和权益工具的区分检查表</t>
    <phoneticPr fontId="15" type="noConversion"/>
  </si>
  <si>
    <t>其他权益工具检查表</t>
    <phoneticPr fontId="15" type="noConversion"/>
  </si>
  <si>
    <t>其他权益工具检查表</t>
    <phoneticPr fontId="15" type="noConversion"/>
  </si>
  <si>
    <r>
      <rPr>
        <sz val="10"/>
        <rFont val="宋体"/>
        <family val="3"/>
        <charset val="134"/>
      </rPr>
      <t>页</t>
    </r>
    <r>
      <rPr>
        <sz val="10"/>
        <rFont val="Arial Narrow"/>
        <family val="2"/>
      </rPr>
      <t xml:space="preserve">   </t>
    </r>
    <r>
      <rPr>
        <sz val="10"/>
        <rFont val="宋体"/>
        <family val="3"/>
        <charset val="134"/>
      </rPr>
      <t>次：</t>
    </r>
    <phoneticPr fontId="40" type="noConversion"/>
  </si>
  <si>
    <t>是否异常</t>
    <phoneticPr fontId="15" type="noConversion"/>
  </si>
  <si>
    <t>索引</t>
    <phoneticPr fontId="15" type="noConversion"/>
  </si>
  <si>
    <t>贷方调整金额</t>
    <phoneticPr fontId="15" type="noConversion"/>
  </si>
  <si>
    <t>备注</t>
    <phoneticPr fontId="15" type="noConversion"/>
  </si>
  <si>
    <t>报表项目</t>
    <phoneticPr fontId="15" type="noConversion"/>
  </si>
  <si>
    <t>科目名称</t>
    <phoneticPr fontId="15" type="noConversion"/>
  </si>
  <si>
    <t>调整事项说明</t>
    <phoneticPr fontId="15" type="noConversion"/>
  </si>
  <si>
    <t>类别（报表调整/账项调整/其他）</t>
    <phoneticPr fontId="15" type="noConversion"/>
  </si>
  <si>
    <t>附注项目</t>
    <phoneticPr fontId="15" type="noConversion"/>
  </si>
  <si>
    <t>借方调整金额</t>
    <phoneticPr fontId="15" type="noConversion"/>
  </si>
  <si>
    <r>
      <rPr>
        <sz val="10"/>
        <rFont val="宋体"/>
        <family val="3"/>
        <charset val="134"/>
      </rPr>
      <t>被审计单位：</t>
    </r>
    <r>
      <rPr>
        <sz val="10"/>
        <rFont val="Arial Narrow"/>
        <family val="2"/>
      </rPr>
      <t/>
    </r>
    <phoneticPr fontId="15" type="noConversion"/>
  </si>
  <si>
    <t>编制人：</t>
    <phoneticPr fontId="15" type="noConversion"/>
  </si>
  <si>
    <t>编制日期：</t>
    <phoneticPr fontId="15" type="noConversion"/>
  </si>
  <si>
    <t>复核人：</t>
    <phoneticPr fontId="15" type="noConversion"/>
  </si>
  <si>
    <t>复核日期：</t>
    <phoneticPr fontId="15" type="noConversion"/>
  </si>
  <si>
    <t>完整性</t>
    <phoneticPr fontId="15" type="noConversion"/>
  </si>
  <si>
    <t>权利和义务</t>
    <phoneticPr fontId="15" type="noConversion"/>
  </si>
  <si>
    <r>
      <t xml:space="preserve">B. </t>
    </r>
    <r>
      <rPr>
        <sz val="10"/>
        <rFont val="宋体"/>
        <family val="3"/>
        <charset val="134"/>
      </rPr>
      <t>所有应记录的其他综合收益均已记录，所有应当包括在财务报表中的相关披露均已包括</t>
    </r>
    <phoneticPr fontId="15" type="noConversion"/>
  </si>
  <si>
    <r>
      <t xml:space="preserve">D. </t>
    </r>
    <r>
      <rPr>
        <sz val="10"/>
        <rFont val="宋体"/>
        <family val="3"/>
        <charset val="134"/>
      </rPr>
      <t>其他综合收益以恰当的金额包括在财务报表中，与之相关的计价或分摊调整已恰当记录，相关披露已得到恰当计量和描述</t>
    </r>
    <r>
      <rPr>
        <sz val="10"/>
        <rFont val="Arial Narrow"/>
        <family val="2"/>
      </rPr>
      <t xml:space="preserve"> </t>
    </r>
    <phoneticPr fontId="15" type="noConversion"/>
  </si>
  <si>
    <t>根据被审计单位实际情况和风险评估情况裁剪、修改或增加审计程序</t>
    <phoneticPr fontId="15" type="noConversion"/>
  </si>
  <si>
    <t>审计程序</t>
    <phoneticPr fontId="40" type="noConversion"/>
  </si>
  <si>
    <t>到期日或续期情况</t>
    <phoneticPr fontId="15" type="noConversion"/>
  </si>
  <si>
    <t>合计</t>
    <phoneticPr fontId="15" type="noConversion"/>
  </si>
  <si>
    <t>本期发生额</t>
    <phoneticPr fontId="15" type="noConversion"/>
  </si>
  <si>
    <t>检查比例</t>
    <phoneticPr fontId="15"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</si>
  <si>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5" type="noConversion"/>
  </si>
  <si>
    <t>关于工作底稿与审计程序索引号对应的说明</t>
    <phoneticPr fontId="15"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</si>
  <si>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5"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</si>
  <si>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5"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</si>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</sst>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3">
    <numFmt numFmtId="41" formatCode="_ * #,##0_ ;_ * \-#,##0_ ;_ * &quot;-&quot;_ ;_ @_ "/>
    <numFmt numFmtId="43" formatCode="_ * #,##0.00_ ;_ * \-#,##0.00_ ;_ * &quot;-&quot;??_ ;_ @_ "/>
    <numFmt numFmtId="176" formatCode="_-* #,##0_-;\-* #,##0_-;_-* &quot;-&quot;_-;_-@_-"/>
    <numFmt numFmtId="177" formatCode="_-* #,##0.00_-;\-* #,##0.00_-;_-* &quot;-&quot;??_-;_-@_-"/>
    <numFmt numFmtId="178" formatCode="&quot;$&quot;#,##0_);\(&quot;$&quot;#,##0\)"/>
    <numFmt numFmtId="179" formatCode="_-&quot;$&quot;* #,##0_-;\-&quot;$&quot;* #,##0_-;_-&quot;$&quot;* &quot;-&quot;_-;_-@_-"/>
    <numFmt numFmtId="180" formatCode="_-&quot;$&quot;* #,##0.00_-;\-&quot;$&quot;* #,##0.00_-;_-&quot;$&quot;* &quot;-&quot;??_-;_-@_-"/>
    <numFmt numFmtId="181" formatCode="&quot;\&quot;#,##0;&quot;\&quot;&quot;\&quot;\-#,##0"/>
    <numFmt numFmtId="182" formatCode="&quot;\&quot;#,##0;[Red]&quot;\&quot;&quot;\&quot;\-#,##0"/>
    <numFmt numFmtId="183" formatCode="_-#,##0.00_-;\(#,##0.00\);_-\ \ &quot;-&quot;_-;_-@_-"/>
    <numFmt numFmtId="184" formatCode="mmm/yyyy;_-\ &quot;N/A&quot;_-;_-\ &quot;-&quot;_-"/>
    <numFmt numFmtId="185" formatCode="mmm/dd/yyyy;_-\ &quot;N/A&quot;_-;_-\ &quot;-&quot;_-"/>
    <numFmt numFmtId="186" formatCode="_-#,##0_-;\(#,##0\);_-\ \ &quot;-&quot;_-;_-@_-"/>
    <numFmt numFmtId="187" formatCode="_-#,##0%_-;\(#,##0%\);_-\ &quot;-&quot;_-"/>
    <numFmt numFmtId="188" formatCode="_-#,###,_-;\(#,###,\);_-\ \ &quot;-&quot;_-;_-@_-"/>
    <numFmt numFmtId="189" formatCode="_-#,###.00,_-;\(#,###.00,\);_-\ \ &quot;-&quot;_-;_-@_-"/>
    <numFmt numFmtId="190" formatCode="_([$€-2]* #,##0.00_);_([$€-2]* \(#,##0.00\);_([$€-2]* &quot;-&quot;??_)"/>
    <numFmt numFmtId="191" formatCode="_-#0&quot;.&quot;0000_-;\(#0&quot;.&quot;0000\);_-\ \ &quot;-&quot;_-;_-@_-"/>
    <numFmt numFmtId="192" formatCode="_-#0&quot;.&quot;0,_-;\(#0&quot;.&quot;0,\);_-\ \ &quot;-&quot;_-;_-@_-"/>
    <numFmt numFmtId="193" formatCode="0.000%"/>
    <numFmt numFmtId="194" formatCode="&quot;\&quot;#,##0.00;[Red]&quot;\&quot;&quot;\&quot;&quot;\&quot;&quot;\&quot;&quot;\&quot;&quot;\&quot;\-#,##0.00"/>
    <numFmt numFmtId="195" formatCode="&quot;\&quot;#,##0.00;[Red]&quot;\&quot;\-#,##0.00"/>
    <numFmt numFmtId="196" formatCode="&quot;\&quot;#,##0;[Red]&quot;\&quot;\-#,##0"/>
    <numFmt numFmtId="197" formatCode="0%;\(0%\)"/>
    <numFmt numFmtId="198" formatCode="0.0%"/>
    <numFmt numFmtId="199" formatCode="&quot;¥&quot;#,##0;\-&quot;¥&quot;#,##0"/>
    <numFmt numFmtId="200" formatCode="#,##0;\-#,##0;&quot;-&quot;"/>
    <numFmt numFmtId="201" formatCode="\(#,##0\)\ "/>
    <numFmt numFmtId="202" formatCode="[Blue]0.0%;[Blue]\(0.0%\)"/>
    <numFmt numFmtId="203" formatCode="0.0%;\(0.0%\)"/>
    <numFmt numFmtId="204" formatCode="[Red]0.0%;[Red]\(0.0%\)"/>
    <numFmt numFmtId="205" formatCode="[Blue]#,##0_);[Blue]\(#,##0\)"/>
    <numFmt numFmtId="206" formatCode="#,##0_);[Blue]\(#,##0\)"/>
    <numFmt numFmtId="207" formatCode="&quot;$&quot;#,##0;[Red]&quot;$&quot;&quot;$&quot;&quot;$&quot;&quot;$&quot;&quot;$&quot;&quot;$&quot;&quot;$&quot;\-#,##0"/>
    <numFmt numFmtId="208" formatCode="#,##0;\(#,##0\)"/>
    <numFmt numFmtId="209" formatCode="#,##0.0_);\(#,##0.0\)"/>
    <numFmt numFmtId="210" formatCode="hh:mm\ AM/PM_)"/>
    <numFmt numFmtId="211" formatCode="&quot;$&quot;#,##0.00_);\(&quot;$&quot;#,##0.00\)"/>
    <numFmt numFmtId="212" formatCode=";;;"/>
    <numFmt numFmtId="213" formatCode="\$#,##0.00;\(\$#,##0.00\)"/>
    <numFmt numFmtId="214" formatCode="\$#,##0;\(\$#,##0\)"/>
    <numFmt numFmtId="215" formatCode="#,##0.00&quot;¥&quot;;\-#,##0.00&quot;¥&quot;"/>
    <numFmt numFmtId="216" formatCode="_-* #,##0.00&quot;¥&quot;_-;\-* #,##0.00&quot;¥&quot;_-;_-* &quot;-&quot;??&quot;¥&quot;_-;_-@_-"/>
    <numFmt numFmtId="217" formatCode="_(&quot;$&quot;* #,##0_);_(&quot;$&quot;* \(#,##0\);_(&quot;$&quot;* &quot;-&quot;_);_(@_)"/>
    <numFmt numFmtId="218" formatCode="_(&quot;$&quot;* #,##0.00_);_(&quot;$&quot;* \(#,##0.00\);_(&quot;$&quot;* &quot;-&quot;??_);_(@_)"/>
    <numFmt numFmtId="219" formatCode="_-* #,##0&quot;¥&quot;_-;\-* #,##0&quot;¥&quot;_-;_-* &quot;-&quot;&quot;¥&quot;_-;_-@_-"/>
    <numFmt numFmtId="220" formatCode="_-* #,##0_-;\-* #,##0_-;_-* &quot;-&quot;??_-;_-@_-"/>
    <numFmt numFmtId="221" formatCode="0.00000000000_);[Red]\(0.00000000000\)"/>
    <numFmt numFmtId="222" formatCode="0%_);\(0%\)"/>
    <numFmt numFmtId="223" formatCode="#,##0.00&quot;¥&quot;;[Red]\-#,##0.00&quot;¥&quot;"/>
    <numFmt numFmtId="224" formatCode="\ \ @"/>
    <numFmt numFmtId="225" formatCode="#,##0_);\(#,##0_)"/>
    <numFmt numFmtId="22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55">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5"/>
      <name val="宋体"/>
      <family val="3"/>
      <charset val="134"/>
    </font>
    <font>
      <sz val="10"/>
      <name val="Times New Roman"/>
      <family val="1"/>
    </font>
    <font>
      <b/>
      <sz val="10"/>
      <name val="宋体"/>
      <family val="3"/>
      <charset val="134"/>
    </font>
    <font>
      <sz val="10"/>
      <color indexed="12"/>
      <name val="宋体"/>
      <family val="3"/>
      <charset val="134"/>
    </font>
    <font>
      <b/>
      <sz val="10"/>
      <color indexed="8"/>
      <name val="宋体"/>
      <family val="3"/>
      <charset val="134"/>
    </font>
    <font>
      <i/>
      <sz val="10"/>
      <color indexed="12"/>
      <name val="宋体"/>
      <family val="3"/>
      <charset val="134"/>
    </font>
    <font>
      <sz val="18"/>
      <color indexed="48"/>
      <name val="魏碑"/>
      <family val="3"/>
      <charset val="134"/>
    </font>
    <font>
      <b/>
      <sz val="10"/>
      <color indexed="12"/>
      <name val="宋体"/>
      <family val="3"/>
      <charset val="134"/>
    </font>
    <font>
      <sz val="12"/>
      <name val="Arial"/>
      <family val="2"/>
    </font>
    <font>
      <sz val="10.5"/>
      <name val="Arial"/>
      <family val="2"/>
    </font>
    <font>
      <sz val="10.5"/>
      <name val="Times New Roman"/>
      <family val="1"/>
    </font>
    <font>
      <b/>
      <sz val="12"/>
      <name val="Arial"/>
      <family val="2"/>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sz val="10"/>
      <color indexed="12"/>
      <name val="Arial Narrow"/>
      <family val="2"/>
    </font>
    <font>
      <b/>
      <sz val="9"/>
      <color indexed="81"/>
      <name val="宋体"/>
      <family val="3"/>
      <charset val="134"/>
    </font>
    <font>
      <sz val="9"/>
      <color indexed="81"/>
      <name val="宋体"/>
      <family val="3"/>
      <charset val="134"/>
    </font>
    <font>
      <b/>
      <sz val="10"/>
      <color indexed="8"/>
      <name val="Arial Narrow"/>
      <family val="2"/>
    </font>
    <font>
      <sz val="9"/>
      <name val="宋体"/>
      <family val="2"/>
      <charset val="134"/>
      <scheme val="minor"/>
    </font>
    <font>
      <sz val="12"/>
      <name val="宋体"/>
      <family val="3"/>
      <charset val="134"/>
      <scheme val="minor"/>
    </font>
    <font>
      <sz val="10"/>
      <name val="宋体"/>
      <family val="3"/>
      <charset val="134"/>
      <scheme val="minor"/>
    </font>
    <font>
      <b/>
      <sz val="10"/>
      <name val="宋体"/>
      <family val="3"/>
      <charset val="134"/>
      <scheme val="minor"/>
    </font>
    <font>
      <sz val="12"/>
      <name val="Times New Roman"/>
      <family val="1"/>
    </font>
    <font>
      <sz val="14"/>
      <name val="柧挬"/>
      <family val="2"/>
    </font>
    <font>
      <sz val="12"/>
      <name val="官帕眉"/>
      <family val="2"/>
    </font>
    <font>
      <sz val="10"/>
      <name val="奔覆眉"/>
      <family val="2"/>
    </font>
    <font>
      <sz val="12"/>
      <name val="柧挬"/>
      <family val="2"/>
    </font>
    <font>
      <sz val="10"/>
      <color rgb="FFFF0000"/>
      <name val="宋体"/>
      <family val="3"/>
      <charset val="134"/>
    </font>
    <font>
      <b/>
      <sz val="14"/>
      <name val="Arial Narrow"/>
      <family val="2"/>
    </font>
    <font>
      <i/>
      <u/>
      <sz val="10"/>
      <color indexed="12"/>
      <name val="Arial Narrow"/>
      <family val="2"/>
    </font>
    <font>
      <i/>
      <sz val="10"/>
      <color indexed="12"/>
      <name val="Arial Narrow"/>
      <family val="2"/>
    </font>
    <font>
      <b/>
      <sz val="10"/>
      <color indexed="12"/>
      <name val="Arial Narrow"/>
      <family val="2"/>
    </font>
    <font>
      <b/>
      <sz val="10"/>
      <color theme="1"/>
      <name val="Arial Narrow"/>
      <family val="2"/>
    </font>
    <font>
      <b/>
      <sz val="10"/>
      <color theme="1"/>
      <name val="宋体"/>
      <family val="3"/>
      <charset val="134"/>
    </font>
    <font>
      <sz val="10"/>
      <color theme="1"/>
      <name val="Arial Narrow"/>
      <family val="2"/>
    </font>
    <font>
      <sz val="10"/>
      <color theme="1"/>
      <name val="宋体"/>
      <family val="3"/>
      <charset val="134"/>
    </font>
    <font>
      <sz val="10"/>
      <color indexed="8"/>
      <name val="Arial Narrow"/>
      <family val="2"/>
    </font>
    <font>
      <b/>
      <sz val="9"/>
      <name val="宋体"/>
      <family val="3"/>
      <charset val="134"/>
    </font>
    <font>
      <sz val="10"/>
      <color rgb="FF0000FF"/>
      <name val="宋体"/>
      <family val="3"/>
      <charset val="134"/>
    </font>
    <font>
      <u/>
      <sz val="10"/>
      <color indexed="12"/>
      <name val="宋体"/>
      <family val="3"/>
      <charset val="134"/>
    </font>
    <font>
      <u/>
      <sz val="10"/>
      <name val="Arial Narrow"/>
      <family val="2"/>
    </font>
    <font>
      <sz val="10"/>
      <color indexed="10"/>
      <name val="宋体"/>
      <family val="3"/>
      <charset val="134"/>
    </font>
    <font>
      <sz val="10"/>
      <color indexed="10"/>
      <name val="Arial Narrow"/>
      <family val="2"/>
    </font>
    <font>
      <sz val="11"/>
      <name val="ＭＳ Ｐゴシック"/>
      <family val="2"/>
    </font>
    <font>
      <sz val="12"/>
      <name val="???"/>
      <family val="1"/>
    </font>
    <font>
      <sz val="10"/>
      <color indexed="8"/>
      <name val="Arial"/>
      <family val="2"/>
    </font>
    <font>
      <sz val="13"/>
      <name val="Tms Rmn"/>
      <family val="1"/>
    </font>
    <font>
      <sz val="11"/>
      <color indexed="8"/>
      <name val="Calibri"/>
      <family val="2"/>
    </font>
    <font>
      <sz val="11"/>
      <color indexed="9"/>
      <name val="Calibri"/>
      <family val="2"/>
    </font>
    <font>
      <sz val="8"/>
      <name val="Times New Roman"/>
      <family val="1"/>
    </font>
    <font>
      <sz val="11"/>
      <color indexed="20"/>
      <name val="Calibri"/>
      <family val="2"/>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2"/>
      <name val="Tms Rmn"/>
      <family val="1"/>
    </font>
    <font>
      <sz val="10"/>
      <color indexed="16"/>
      <name val="MS Serif"/>
      <family val="1"/>
    </font>
    <font>
      <sz val="9"/>
      <name val="Times New Roman"/>
      <family val="1"/>
    </font>
    <font>
      <i/>
      <sz val="11"/>
      <color indexed="23"/>
      <name val="Calibri"/>
      <family val="2"/>
    </font>
    <font>
      <sz val="11"/>
      <color indexed="17"/>
      <name val="Calibri"/>
      <family val="2"/>
    </font>
    <font>
      <b/>
      <sz val="12"/>
      <name val="Helv"/>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sz val="11"/>
      <color rgb="FF9C0006"/>
      <name val="宋体"/>
      <family val="3"/>
      <charset val="134"/>
      <scheme val="minor"/>
    </font>
    <font>
      <sz val="12"/>
      <color indexed="20"/>
      <name val="宋体"/>
      <family val="3"/>
      <charset val="134"/>
    </font>
    <font>
      <sz val="10"/>
      <color indexed="20"/>
      <name val="Times New Roman"/>
      <family val="1"/>
    </font>
    <font>
      <sz val="11"/>
      <color theme="1"/>
      <name val="宋体"/>
      <family val="3"/>
      <charset val="134"/>
      <scheme val="minor"/>
    </font>
    <font>
      <sz val="11"/>
      <color indexed="8"/>
      <name val="宋体"/>
      <family val="3"/>
      <charset val="134"/>
    </font>
    <font>
      <u/>
      <sz val="11"/>
      <color theme="10"/>
      <name val="宋体"/>
      <family val="3"/>
      <charset val="134"/>
    </font>
    <font>
      <sz val="11"/>
      <color rgb="FF006100"/>
      <name val="宋体"/>
      <family val="3"/>
      <charset val="134"/>
      <scheme val="minor"/>
    </font>
    <font>
      <sz val="10"/>
      <color indexed="17"/>
      <name val="Times New Roman"/>
      <family val="1"/>
    </font>
    <font>
      <sz val="12"/>
      <name val="바탕체"/>
      <family val="3"/>
    </font>
    <font>
      <sz val="9"/>
      <name val="Arial Narrow"/>
      <family val="2"/>
    </font>
    <font>
      <b/>
      <u/>
      <sz val="10"/>
      <color theme="1"/>
      <name val="宋体"/>
      <family val="3"/>
      <charset val="134"/>
    </font>
    <font>
      <sz val="11"/>
      <color theme="1"/>
      <name val="Arial Narrow"/>
      <family val="2"/>
    </font>
    <font>
      <b/>
      <sz val="14"/>
      <name val="宋体"/>
      <family val="3"/>
      <charset val="134"/>
    </font>
    <font>
      <sz val="10"/>
      <color theme="1" tint="0.14999847407452621"/>
      <name val="宋体"/>
      <family val="3"/>
      <charset val="134"/>
    </font>
    <font>
      <b/>
      <sz val="10"/>
      <color rgb="FFFF0000"/>
      <name val="Arial Narrow"/>
      <family val="2"/>
    </font>
    <font>
      <sz val="10"/>
      <color indexed="10"/>
      <name val="Arial"/>
      <family val="2"/>
    </font>
    <font>
      <sz val="10"/>
      <color rgb="FFFF0000"/>
      <name val="Arial Narrow"/>
      <family val="2"/>
    </font>
    <font>
      <sz val="10"/>
      <color rgb="FF0070C0"/>
      <name val="Arial Narrow"/>
      <family val="2"/>
    </font>
    <font>
      <b/>
      <sz val="10"/>
      <color theme="0" tint="-0.499984740745262"/>
      <name val="Arial Narrow"/>
      <family val="2"/>
    </font>
    <font>
      <sz val="11"/>
      <name val="Arial Narrow"/>
      <family val="2"/>
    </font>
    <font>
      <sz val="10"/>
      <color theme="1"/>
      <name val="Arial"/>
      <family val="2"/>
    </font>
    <font>
      <sz val="12"/>
      <color indexed="12"/>
      <name val="仿宋_GB2312"/>
      <family val="3"/>
      <charset val="134"/>
    </font>
    <font>
      <b/>
      <sz val="12"/>
      <name val="宋体"/>
      <family val="3"/>
      <charset val="134"/>
      <scheme val="minor"/>
    </font>
    <font>
      <sz val="10"/>
      <color rgb="FF0000FF"/>
      <name val="宋体"/>
      <family val="3"/>
      <charset val="134"/>
      <scheme val="minor"/>
    </font>
    <font>
      <b/>
      <sz val="10"/>
      <color rgb="FF000000"/>
      <name val="宋体"/>
      <family val="3"/>
      <charset val="134"/>
      <scheme val="minor"/>
    </font>
    <font>
      <sz val="10"/>
      <color rgb="FF000000"/>
      <name val="宋体"/>
      <family val="3"/>
      <charset val="134"/>
      <scheme val="minor"/>
    </font>
    <font>
      <sz val="9"/>
      <name val="宋体"/>
      <family val="3"/>
      <charset val="134"/>
      <scheme val="minor"/>
    </font>
    <font>
      <b/>
      <sz val="10"/>
      <color rgb="FF0000FF"/>
      <name val="宋体"/>
      <family val="3"/>
      <charset val="134"/>
    </font>
    <font>
      <sz val="10"/>
      <color rgb="FF0000FF"/>
      <name val="Arial Narrow"/>
      <family val="2"/>
    </font>
    <font>
      <b/>
      <sz val="10"/>
      <color rgb="FFFF0000"/>
      <name val="宋体"/>
      <family val="3"/>
      <charset val="134"/>
    </font>
    <font>
      <sz val="10"/>
      <color theme="1" tint="0.14999847407452621"/>
      <name val="Arial Narrow"/>
      <family val="2"/>
    </font>
    <font>
      <sz val="9"/>
      <color theme="1"/>
      <name val="Arial Narrow"/>
      <family val="2"/>
    </font>
    <font>
      <b/>
      <sz val="9"/>
      <name val="Arial Narrow"/>
      <family val="2"/>
    </font>
    <font>
      <b/>
      <u/>
      <sz val="10"/>
      <color theme="1"/>
      <name val="Arial Narrow"/>
      <family val="2"/>
    </font>
    <font>
      <b/>
      <sz val="10"/>
      <color rgb="FF0000FF"/>
      <name val="宋体"/>
      <family val="3"/>
      <charset val="134"/>
      <scheme val="minor"/>
    </font>
    <font>
      <sz val="12"/>
      <color rgb="FF0000FF"/>
      <name val="宋体"/>
      <family val="3"/>
      <charset val="134"/>
      <scheme val="minor"/>
    </font>
    <font>
      <sz val="12"/>
      <color rgb="FF0000FF"/>
      <name val="宋体"/>
      <family val="3"/>
      <charset val="134"/>
    </font>
    <font>
      <u/>
      <sz val="10"/>
      <color rgb="FF0000FF"/>
      <name val="宋体"/>
      <family val="3"/>
      <charset val="134"/>
    </font>
    <font>
      <sz val="10"/>
      <color rgb="FF3333FF"/>
      <name val="Arial Narrow"/>
      <family val="2"/>
    </font>
    <font>
      <sz val="10"/>
      <color rgb="FF3333FF"/>
      <name val="宋体"/>
      <family val="3"/>
      <charset val="134"/>
    </font>
    <font>
      <b/>
      <sz val="12"/>
      <color theme="1"/>
      <name val="宋体"/>
      <family val="3"/>
      <charset val="134"/>
    </font>
    <font>
      <b/>
      <sz val="14"/>
      <color theme="1"/>
      <name val="宋体"/>
      <family val="3"/>
      <charset val="134"/>
    </font>
    <font>
      <sz val="10"/>
      <color theme="10"/>
      <name val="宋体"/>
      <family val="3"/>
      <charset val="134"/>
    </font>
    <font>
      <sz val="12"/>
      <name val="宋体"/>
      <family val="3"/>
      <charset val="134"/>
    </font>
  </fonts>
  <fills count="4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rgb="FFC6EFCE"/>
      </patternFill>
    </fill>
    <fill>
      <patternFill patternType="solid">
        <fgColor rgb="FFFFC7CE"/>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solid">
        <fgColor indexed="9"/>
      </patternFill>
    </fill>
    <fill>
      <patternFill patternType="solid">
        <fgColor indexed="9"/>
        <bgColor indexed="9"/>
      </patternFill>
    </fill>
    <fill>
      <patternFill patternType="solid">
        <fgColor theme="0" tint="-0.14999847407452621"/>
        <bgColor indexed="64"/>
      </patternFill>
    </fill>
    <fill>
      <patternFill patternType="solid">
        <fgColor rgb="FF00B050"/>
        <bgColor indexed="64"/>
      </patternFill>
    </fill>
    <fill>
      <patternFill patternType="solid">
        <fgColor rgb="FFE4DFEC"/>
        <bgColor indexed="64"/>
      </patternFill>
    </fill>
    <fill>
      <patternFill patternType="solid">
        <fgColor theme="7" tint="0.79998168889431442"/>
        <bgColor rgb="FFB7DEE8"/>
      </patternFill>
    </fill>
  </fills>
  <borders count="41">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style="hair">
        <color indexed="64"/>
      </left>
      <right style="hair">
        <color indexed="64"/>
      </right>
      <top style="hair">
        <color indexed="64"/>
      </top>
      <bottom/>
      <diagonal/>
    </border>
    <border>
      <left/>
      <right/>
      <top style="medium">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indexed="64"/>
      </right>
      <top style="thick">
        <color indexed="64"/>
      </top>
      <bottom style="medium">
        <color indexed="64"/>
      </bottom>
      <diagonal/>
    </border>
    <border>
      <left/>
      <right/>
      <top style="thick">
        <color indexed="64"/>
      </top>
      <bottom style="medium">
        <color indexed="64"/>
      </bottom>
      <diagonal/>
    </border>
    <border>
      <left/>
      <right style="medium">
        <color indexed="64"/>
      </right>
      <top/>
      <bottom/>
      <diagonal/>
    </border>
    <border>
      <left/>
      <right style="medium">
        <color indexed="64"/>
      </right>
      <top/>
      <bottom style="thick">
        <color indexed="64"/>
      </bottom>
      <diagonal/>
    </border>
    <border>
      <left style="medium">
        <color indexed="64"/>
      </left>
      <right/>
      <top style="thick">
        <color indexed="64"/>
      </top>
      <bottom style="medium">
        <color indexed="64"/>
      </bottom>
      <diagonal/>
    </border>
    <border>
      <left/>
      <right/>
      <top/>
      <bottom style="medium">
        <color auto="1"/>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s>
  <cellStyleXfs count="340">
    <xf numFmtId="0" fontId="0" fillId="0" borderId="0">
      <protection locked="0"/>
    </xf>
    <xf numFmtId="49" fontId="19" fillId="0" borderId="0" applyProtection="0">
      <alignment horizontal="left"/>
    </xf>
    <xf numFmtId="186" fontId="19" fillId="0" borderId="0" applyFill="0" applyBorder="0" applyProtection="0">
      <alignment horizontal="right"/>
    </xf>
    <xf numFmtId="183" fontId="19" fillId="0" borderId="0" applyFill="0" applyBorder="0" applyProtection="0">
      <alignment horizontal="right"/>
    </xf>
    <xf numFmtId="185" fontId="30" fillId="0" borderId="0" applyFill="0" applyBorder="0" applyProtection="0">
      <alignment horizontal="center"/>
    </xf>
    <xf numFmtId="184" fontId="30" fillId="0" borderId="0" applyFill="0" applyBorder="0" applyProtection="0">
      <alignment horizontal="center"/>
    </xf>
    <xf numFmtId="187" fontId="31" fillId="0" borderId="0" applyFill="0" applyBorder="0" applyProtection="0">
      <alignment horizontal="right"/>
    </xf>
    <xf numFmtId="188" fontId="19" fillId="0" borderId="0" applyFill="0" applyBorder="0" applyProtection="0">
      <alignment horizontal="right"/>
    </xf>
    <xf numFmtId="189" fontId="19" fillId="0" borderId="0" applyFill="0" applyBorder="0" applyProtection="0">
      <alignment horizontal="right"/>
    </xf>
    <xf numFmtId="192" fontId="19" fillId="0" borderId="0" applyFill="0" applyBorder="0" applyProtection="0">
      <alignment horizontal="right"/>
    </xf>
    <xf numFmtId="191" fontId="19" fillId="0" borderId="0" applyFill="0" applyBorder="0" applyProtection="0">
      <alignment horizontal="right"/>
    </xf>
    <xf numFmtId="3" fontId="5" fillId="0" borderId="0"/>
    <xf numFmtId="178" fontId="6" fillId="0" borderId="1" applyAlignment="0" applyProtection="0"/>
    <xf numFmtId="41" fontId="7" fillId="0" borderId="0" applyFont="0" applyFill="0" applyBorder="0" applyAlignment="0" applyProtection="0"/>
    <xf numFmtId="43" fontId="7" fillId="0" borderId="0" applyFont="0" applyFill="0" applyBorder="0" applyAlignment="0" applyProtection="0"/>
    <xf numFmtId="190" fontId="19"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2" applyNumberFormat="0" applyBorder="0" applyAlignment="0" applyProtection="0"/>
    <xf numFmtId="0" fontId="12" fillId="0" borderId="0"/>
    <xf numFmtId="181" fontId="11" fillId="0" borderId="0"/>
    <xf numFmtId="10" fontId="7" fillId="0" borderId="0" applyFont="0" applyFill="0" applyBorder="0" applyAlignment="0" applyProtection="0"/>
    <xf numFmtId="3" fontId="13" fillId="0" borderId="0"/>
    <xf numFmtId="0" fontId="11" fillId="0" borderId="0">
      <alignment vertical="center"/>
    </xf>
    <xf numFmtId="0" fontId="11" fillId="0" borderId="0"/>
    <xf numFmtId="0" fontId="11" fillId="0" borderId="0" applyFill="0" applyBorder="0"/>
    <xf numFmtId="0" fontId="14" fillId="0" borderId="0" applyNumberFormat="0" applyFill="0" applyBorder="0" applyAlignment="0" applyProtection="0">
      <alignment vertical="top"/>
      <protection locked="0"/>
    </xf>
    <xf numFmtId="43" fontId="11" fillId="0" borderId="0" applyFont="0" applyFill="0" applyBorder="0" applyAlignment="0" applyProtection="0"/>
    <xf numFmtId="0" fontId="11" fillId="0" borderId="0">
      <alignment vertical="center"/>
    </xf>
    <xf numFmtId="9" fontId="11" fillId="0" borderId="0" applyFont="0" applyFill="0" applyBorder="0" applyAlignment="0" applyProtection="0">
      <alignment vertical="center"/>
    </xf>
    <xf numFmtId="0" fontId="29" fillId="0" borderId="8" applyNumberFormat="0" applyAlignment="0" applyProtection="0">
      <alignment horizontal="left" vertical="center"/>
    </xf>
    <xf numFmtId="0" fontId="29" fillId="0" borderId="15">
      <alignment horizontal="left" vertical="center"/>
    </xf>
    <xf numFmtId="41" fontId="19" fillId="0" borderId="0" applyFont="0" applyFill="0" applyBorder="0" applyAlignment="0" applyProtection="0"/>
    <xf numFmtId="0" fontId="35" fillId="0" borderId="0"/>
    <xf numFmtId="9" fontId="44"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82" fontId="7" fillId="0" borderId="0" applyFont="0" applyFill="0" applyBorder="0" applyAlignment="0" applyProtection="0"/>
    <xf numFmtId="194" fontId="7" fillId="0" borderId="0" applyFont="0" applyFill="0" applyBorder="0" applyAlignment="0" applyProtection="0"/>
    <xf numFmtId="195" fontId="46" fillId="0" borderId="0" applyFont="0" applyFill="0" applyBorder="0" applyAlignment="0" applyProtection="0"/>
    <xf numFmtId="196" fontId="46" fillId="0" borderId="0" applyFont="0" applyFill="0" applyBorder="0" applyAlignment="0" applyProtection="0"/>
    <xf numFmtId="0" fontId="47" fillId="0" borderId="0"/>
    <xf numFmtId="0" fontId="48" fillId="0" borderId="0"/>
    <xf numFmtId="40" fontId="45" fillId="0" borderId="0" applyFont="0" applyFill="0" applyBorder="0" applyAlignment="0" applyProtection="0"/>
    <xf numFmtId="38" fontId="45" fillId="0" borderId="0" applyFont="0" applyFill="0" applyBorder="0" applyAlignment="0" applyProtection="0"/>
    <xf numFmtId="0" fontId="11" fillId="0" borderId="0">
      <protection locked="0"/>
    </xf>
    <xf numFmtId="0" fontId="11" fillId="0" borderId="0">
      <alignment vertical="center"/>
    </xf>
    <xf numFmtId="43" fontId="11" fillId="0" borderId="0" applyFont="0" applyFill="0" applyBorder="0" applyAlignment="0" applyProtection="0"/>
    <xf numFmtId="0" fontId="11" fillId="0" borderId="0">
      <protection locked="0"/>
    </xf>
    <xf numFmtId="190" fontId="11" fillId="0" borderId="0"/>
    <xf numFmtId="0" fontId="11" fillId="0" borderId="0">
      <protection locked="0"/>
    </xf>
    <xf numFmtId="9" fontId="11" fillId="0" borderId="0" applyFont="0" applyFill="0" applyBorder="0" applyAlignment="0" applyProtection="0"/>
    <xf numFmtId="0" fontId="14" fillId="0" borderId="0" applyNumberFormat="0" applyFill="0" applyBorder="0" applyAlignment="0" applyProtection="0">
      <alignment vertical="top"/>
      <protection locked="0"/>
    </xf>
    <xf numFmtId="0" fontId="44" fillId="0" borderId="0"/>
    <xf numFmtId="0" fontId="7" fillId="0" borderId="0"/>
    <xf numFmtId="0" fontId="11" fillId="0" borderId="0" applyNumberFormat="0" applyFill="0" applyBorder="0" applyAlignment="0" applyProtection="0"/>
    <xf numFmtId="0" fontId="7" fillId="0" borderId="0"/>
    <xf numFmtId="0" fontId="65" fillId="0" borderId="0" applyFont="0" applyFill="0" applyBorder="0" applyAlignment="0" applyProtection="0"/>
    <xf numFmtId="0" fontId="65" fillId="0" borderId="0" applyFont="0" applyFill="0" applyBorder="0" applyAlignment="0" applyProtection="0"/>
    <xf numFmtId="0" fontId="66" fillId="0" borderId="0"/>
    <xf numFmtId="0" fontId="7" fillId="0" borderId="0"/>
    <xf numFmtId="0" fontId="7" fillId="0" borderId="0"/>
    <xf numFmtId="0" fontId="7" fillId="0" borderId="0"/>
    <xf numFmtId="49" fontId="19" fillId="0" borderId="0" applyProtection="0">
      <alignment horizontal="left"/>
    </xf>
    <xf numFmtId="0" fontId="67" fillId="0" borderId="0">
      <alignment vertical="top"/>
      <protection locked="0"/>
    </xf>
    <xf numFmtId="0" fontId="67" fillId="0" borderId="0">
      <alignment vertical="top"/>
    </xf>
    <xf numFmtId="0" fontId="7" fillId="0" borderId="0" applyNumberFormat="0" applyFill="0" applyBorder="0" applyAlignment="0">
      <protection locked="0"/>
    </xf>
    <xf numFmtId="0" fontId="67" fillId="0" borderId="0">
      <alignment vertical="top"/>
      <protection locked="0"/>
    </xf>
    <xf numFmtId="0" fontId="67" fillId="0" borderId="0">
      <alignment vertical="top"/>
      <protection locked="0"/>
    </xf>
    <xf numFmtId="0" fontId="67" fillId="0" borderId="0">
      <alignment vertical="top"/>
      <protection locked="0"/>
    </xf>
    <xf numFmtId="0" fontId="67" fillId="0" borderId="0">
      <alignment vertical="top"/>
      <protection locked="0"/>
    </xf>
    <xf numFmtId="0" fontId="67" fillId="0" borderId="0">
      <alignment vertical="top"/>
      <protection locked="0"/>
    </xf>
    <xf numFmtId="0" fontId="67" fillId="0" borderId="0">
      <alignment vertical="top"/>
      <protection locked="0"/>
    </xf>
    <xf numFmtId="0" fontId="67" fillId="0" borderId="0">
      <alignment vertical="top"/>
      <protection locked="0"/>
    </xf>
    <xf numFmtId="0" fontId="67" fillId="0" borderId="0">
      <alignment vertical="top"/>
      <protection locked="0"/>
    </xf>
    <xf numFmtId="0" fontId="7" fillId="0" borderId="0" applyNumberFormat="0" applyFill="0" applyBorder="0" applyAlignment="0">
      <protection locked="0"/>
    </xf>
    <xf numFmtId="0" fontId="67" fillId="0" borderId="0">
      <alignment vertical="top"/>
    </xf>
    <xf numFmtId="0" fontId="67" fillId="0" borderId="0">
      <alignment vertical="top"/>
    </xf>
    <xf numFmtId="0" fontId="67" fillId="0" borderId="0">
      <alignment vertical="top"/>
    </xf>
    <xf numFmtId="0" fontId="7" fillId="0" borderId="0" applyNumberFormat="0" applyFill="0" applyBorder="0" applyAlignment="0" applyProtection="0"/>
    <xf numFmtId="0" fontId="67" fillId="0" borderId="0">
      <alignment vertical="top"/>
      <protection locked="0"/>
    </xf>
    <xf numFmtId="0" fontId="67" fillId="0" borderId="0">
      <alignment vertical="top"/>
      <protection locked="0"/>
    </xf>
    <xf numFmtId="0" fontId="67" fillId="0" borderId="0">
      <alignment vertical="top"/>
      <protection locked="0"/>
    </xf>
    <xf numFmtId="0" fontId="67" fillId="0" borderId="0">
      <alignment vertical="top"/>
    </xf>
    <xf numFmtId="0" fontId="67" fillId="0" borderId="0">
      <alignment vertical="top"/>
    </xf>
    <xf numFmtId="0" fontId="44" fillId="0" borderId="0"/>
    <xf numFmtId="0" fontId="67" fillId="0" borderId="0">
      <alignment vertical="top"/>
    </xf>
    <xf numFmtId="0" fontId="67" fillId="0" borderId="0">
      <alignment vertical="top"/>
      <protection locked="0"/>
    </xf>
    <xf numFmtId="0" fontId="67" fillId="0" borderId="0">
      <alignment vertical="top"/>
    </xf>
    <xf numFmtId="0" fontId="67" fillId="0" borderId="0">
      <alignment vertical="top"/>
    </xf>
    <xf numFmtId="0" fontId="67" fillId="0" borderId="0">
      <alignment vertical="top"/>
      <protection locked="0"/>
    </xf>
    <xf numFmtId="0" fontId="67" fillId="0" borderId="0">
      <alignment vertical="top"/>
      <protection locked="0"/>
    </xf>
    <xf numFmtId="0" fontId="67" fillId="0" borderId="0">
      <alignment vertical="top"/>
      <protection locked="0"/>
    </xf>
    <xf numFmtId="0" fontId="67" fillId="0" borderId="0">
      <alignment vertical="top"/>
    </xf>
    <xf numFmtId="0" fontId="67" fillId="0" borderId="0">
      <alignment vertical="top"/>
    </xf>
    <xf numFmtId="0" fontId="67" fillId="0" borderId="0">
      <alignment vertical="top"/>
      <protection locked="0"/>
    </xf>
    <xf numFmtId="0" fontId="67" fillId="0" borderId="0">
      <alignment vertical="top"/>
      <protection locked="0"/>
    </xf>
    <xf numFmtId="0" fontId="67" fillId="0" borderId="0">
      <alignment vertical="top"/>
    </xf>
    <xf numFmtId="0" fontId="67" fillId="0" borderId="0">
      <alignment vertical="top"/>
    </xf>
    <xf numFmtId="0" fontId="67" fillId="0" borderId="0">
      <alignment vertical="top"/>
    </xf>
    <xf numFmtId="0" fontId="67" fillId="0" borderId="0">
      <alignment vertical="top"/>
      <protection locked="0"/>
    </xf>
    <xf numFmtId="0" fontId="67" fillId="0" borderId="0">
      <alignment vertical="top"/>
    </xf>
    <xf numFmtId="0" fontId="67" fillId="0" borderId="0">
      <alignment vertical="top"/>
      <protection locked="0"/>
    </xf>
    <xf numFmtId="0" fontId="67" fillId="0" borderId="0">
      <alignment vertical="top"/>
      <protection locked="0"/>
    </xf>
    <xf numFmtId="0" fontId="67" fillId="0" borderId="0">
      <alignment vertical="top"/>
      <protection locked="0"/>
    </xf>
    <xf numFmtId="0" fontId="67" fillId="0" borderId="0">
      <alignment vertical="top"/>
      <protection locked="0"/>
    </xf>
    <xf numFmtId="0" fontId="67" fillId="0" borderId="0">
      <alignment vertical="top"/>
      <protection locked="0"/>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xf>
    <xf numFmtId="0" fontId="67" fillId="0" borderId="0">
      <alignment vertical="top"/>
      <protection locked="0"/>
    </xf>
    <xf numFmtId="0" fontId="67" fillId="0" borderId="0">
      <alignment vertical="top"/>
    </xf>
    <xf numFmtId="0" fontId="67" fillId="0" borderId="0">
      <alignment vertical="top"/>
      <protection locked="0"/>
    </xf>
    <xf numFmtId="0" fontId="67" fillId="0" borderId="0">
      <alignment vertical="top"/>
    </xf>
    <xf numFmtId="0" fontId="67" fillId="0" borderId="0">
      <alignment vertical="top"/>
      <protection locked="0"/>
    </xf>
    <xf numFmtId="0" fontId="67" fillId="0" borderId="0">
      <alignment vertical="top"/>
      <protection locked="0"/>
    </xf>
    <xf numFmtId="0" fontId="67" fillId="0" borderId="0">
      <alignment vertical="top"/>
    </xf>
    <xf numFmtId="0" fontId="67" fillId="0" borderId="0">
      <alignment vertical="top"/>
      <protection locked="0"/>
    </xf>
    <xf numFmtId="0" fontId="67" fillId="0" borderId="0">
      <alignment vertical="top"/>
    </xf>
    <xf numFmtId="0" fontId="67" fillId="0" borderId="0">
      <alignment vertical="top"/>
      <protection locked="0"/>
    </xf>
    <xf numFmtId="0" fontId="67" fillId="0" borderId="0">
      <alignment vertical="top"/>
      <protection locked="0"/>
    </xf>
    <xf numFmtId="0" fontId="67" fillId="0" borderId="0">
      <alignment vertical="top"/>
      <protection locked="0"/>
    </xf>
    <xf numFmtId="0" fontId="67" fillId="0" borderId="0">
      <alignment vertical="top"/>
    </xf>
    <xf numFmtId="0" fontId="67" fillId="0" borderId="0">
      <alignment vertical="top"/>
      <protection locked="0"/>
    </xf>
    <xf numFmtId="0" fontId="67" fillId="0" borderId="0">
      <alignment vertical="top"/>
      <protection locked="0"/>
    </xf>
    <xf numFmtId="197" fontId="68" fillId="0" borderId="0" applyFont="0" applyFill="0" applyBorder="0" applyAlignment="0" applyProtection="0"/>
    <xf numFmtId="0" fontId="44" fillId="0" borderId="0"/>
    <xf numFmtId="198" fontId="68" fillId="0" borderId="0" applyFont="0" applyFill="0" applyBorder="0" applyAlignment="0" applyProtection="0"/>
    <xf numFmtId="10" fontId="68" fillId="0" borderId="0" applyFont="0" applyFill="0" applyBorder="0" applyAlignment="0" applyProtection="0"/>
    <xf numFmtId="199" fontId="11" fillId="0" borderId="0" applyFont="0" applyFill="0" applyBorder="0" applyAlignment="0" applyProtection="0"/>
    <xf numFmtId="190" fontId="69" fillId="8" borderId="0" applyNumberFormat="0" applyBorder="0" applyAlignment="0" applyProtection="0"/>
    <xf numFmtId="190" fontId="69" fillId="9" borderId="0" applyNumberFormat="0" applyBorder="0" applyAlignment="0" applyProtection="0"/>
    <xf numFmtId="190" fontId="69" fillId="10" borderId="0" applyNumberFormat="0" applyBorder="0" applyAlignment="0" applyProtection="0"/>
    <xf numFmtId="190" fontId="69" fillId="11" borderId="0" applyNumberFormat="0" applyBorder="0" applyAlignment="0" applyProtection="0"/>
    <xf numFmtId="190" fontId="69" fillId="12" borderId="0" applyNumberFormat="0" applyBorder="0" applyAlignment="0" applyProtection="0"/>
    <xf numFmtId="190" fontId="69" fillId="13" borderId="0" applyNumberFormat="0" applyBorder="0" applyAlignment="0" applyProtection="0"/>
    <xf numFmtId="190" fontId="69" fillId="14" borderId="0" applyNumberFormat="0" applyBorder="0" applyAlignment="0" applyProtection="0"/>
    <xf numFmtId="190" fontId="69" fillId="15" borderId="0" applyNumberFormat="0" applyBorder="0" applyAlignment="0" applyProtection="0"/>
    <xf numFmtId="190" fontId="69" fillId="16" borderId="0" applyNumberFormat="0" applyBorder="0" applyAlignment="0" applyProtection="0"/>
    <xf numFmtId="190" fontId="69" fillId="11" borderId="0" applyNumberFormat="0" applyBorder="0" applyAlignment="0" applyProtection="0"/>
    <xf numFmtId="190" fontId="69" fillId="14" borderId="0" applyNumberFormat="0" applyBorder="0" applyAlignment="0" applyProtection="0"/>
    <xf numFmtId="190" fontId="69" fillId="17" borderId="0" applyNumberFormat="0" applyBorder="0" applyAlignment="0" applyProtection="0"/>
    <xf numFmtId="190" fontId="70" fillId="18" borderId="0" applyNumberFormat="0" applyBorder="0" applyAlignment="0" applyProtection="0"/>
    <xf numFmtId="190" fontId="70" fillId="15" borderId="0" applyNumberFormat="0" applyBorder="0" applyAlignment="0" applyProtection="0"/>
    <xf numFmtId="190" fontId="70" fillId="16" borderId="0" applyNumberFormat="0" applyBorder="0" applyAlignment="0" applyProtection="0"/>
    <xf numFmtId="190" fontId="70" fillId="19" borderId="0" applyNumberFormat="0" applyBorder="0" applyAlignment="0" applyProtection="0"/>
    <xf numFmtId="190" fontId="70" fillId="20" borderId="0" applyNumberFormat="0" applyBorder="0" applyAlignment="0" applyProtection="0"/>
    <xf numFmtId="190" fontId="70" fillId="21" borderId="0" applyNumberFormat="0" applyBorder="0" applyAlignment="0" applyProtection="0"/>
    <xf numFmtId="190" fontId="70" fillId="22" borderId="0" applyNumberFormat="0" applyBorder="0" applyAlignment="0" applyProtection="0"/>
    <xf numFmtId="190" fontId="70" fillId="23" borderId="0" applyNumberFormat="0" applyBorder="0" applyAlignment="0" applyProtection="0"/>
    <xf numFmtId="190" fontId="70" fillId="24" borderId="0" applyNumberFormat="0" applyBorder="0" applyAlignment="0" applyProtection="0"/>
    <xf numFmtId="190" fontId="70" fillId="19" borderId="0" applyNumberFormat="0" applyBorder="0" applyAlignment="0" applyProtection="0"/>
    <xf numFmtId="190" fontId="70" fillId="20" borderId="0" applyNumberFormat="0" applyBorder="0" applyAlignment="0" applyProtection="0"/>
    <xf numFmtId="190" fontId="70" fillId="25" borderId="0" applyNumberFormat="0" applyBorder="0" applyAlignment="0" applyProtection="0"/>
    <xf numFmtId="0" fontId="71" fillId="0" borderId="0">
      <alignment horizontal="center" wrapText="1"/>
      <protection locked="0"/>
    </xf>
    <xf numFmtId="190" fontId="72" fillId="9" borderId="0" applyNumberFormat="0" applyBorder="0" applyAlignment="0" applyProtection="0"/>
    <xf numFmtId="200" fontId="67" fillId="0" borderId="0" applyFill="0" applyBorder="0" applyAlignment="0"/>
    <xf numFmtId="201" fontId="7" fillId="0" borderId="0" applyFill="0" applyBorder="0" applyAlignment="0"/>
    <xf numFmtId="202" fontId="7" fillId="0" borderId="0" applyFill="0" applyBorder="0" applyAlignment="0"/>
    <xf numFmtId="203" fontId="7" fillId="0" borderId="0" applyFill="0" applyBorder="0" applyAlignment="0"/>
    <xf numFmtId="204" fontId="7" fillId="0" borderId="0" applyFill="0" applyBorder="0" applyAlignment="0"/>
    <xf numFmtId="205" fontId="7" fillId="0" borderId="0" applyFill="0" applyBorder="0" applyAlignment="0"/>
    <xf numFmtId="206" fontId="7" fillId="0" borderId="0" applyFill="0" applyBorder="0" applyAlignment="0"/>
    <xf numFmtId="201" fontId="7" fillId="0" borderId="0" applyFill="0" applyBorder="0" applyAlignment="0"/>
    <xf numFmtId="190" fontId="73" fillId="26" borderId="22" applyNumberFormat="0" applyAlignment="0" applyProtection="0"/>
    <xf numFmtId="0" fontId="74" fillId="0" borderId="0"/>
    <xf numFmtId="190" fontId="75" fillId="27" borderId="23" applyNumberFormat="0" applyAlignment="0" applyProtection="0"/>
    <xf numFmtId="0" fontId="76" fillId="0" borderId="10" applyNumberFormat="0" applyFill="0" applyProtection="0">
      <alignment horizontal="center"/>
    </xf>
    <xf numFmtId="0" fontId="77" fillId="0" borderId="24">
      <alignment horizontal="center"/>
    </xf>
    <xf numFmtId="207" fontId="7" fillId="0" borderId="0"/>
    <xf numFmtId="207" fontId="7" fillId="0" borderId="0"/>
    <xf numFmtId="207" fontId="7" fillId="0" borderId="0"/>
    <xf numFmtId="207" fontId="7" fillId="0" borderId="0"/>
    <xf numFmtId="207" fontId="7" fillId="0" borderId="0"/>
    <xf numFmtId="207" fontId="7" fillId="0" borderId="0"/>
    <xf numFmtId="207" fontId="7" fillId="0" borderId="0"/>
    <xf numFmtId="207" fontId="7" fillId="0" borderId="0"/>
    <xf numFmtId="38" fontId="78" fillId="0" borderId="0" applyFont="0" applyFill="0" applyBorder="0" applyAlignment="0" applyProtection="0"/>
    <xf numFmtId="205" fontId="7" fillId="0" borderId="0" applyFont="0" applyFill="0" applyBorder="0" applyAlignment="0" applyProtection="0"/>
    <xf numFmtId="43" fontId="11" fillId="0" borderId="0" applyFont="0" applyFill="0" applyBorder="0" applyAlignment="0" applyProtection="0"/>
    <xf numFmtId="208" fontId="19" fillId="0" borderId="0"/>
    <xf numFmtId="37" fontId="68" fillId="0" borderId="0" applyFont="0" applyFill="0" applyBorder="0" applyAlignment="0" applyProtection="0"/>
    <xf numFmtId="209" fontId="68" fillId="0" borderId="0" applyFont="0" applyFill="0" applyBorder="0" applyAlignment="0" applyProtection="0"/>
    <xf numFmtId="39" fontId="68" fillId="0" borderId="0" applyFont="0" applyFill="0" applyBorder="0" applyAlignment="0" applyProtection="0"/>
    <xf numFmtId="40" fontId="78" fillId="0" borderId="0" applyFont="0" applyFill="0" applyBorder="0" applyAlignment="0" applyProtection="0"/>
    <xf numFmtId="0" fontId="79" fillId="0" borderId="0" applyNumberFormat="0" applyAlignment="0">
      <alignment horizontal="left"/>
    </xf>
    <xf numFmtId="0" fontId="12" fillId="0" borderId="0" applyNumberFormat="0" applyAlignment="0"/>
    <xf numFmtId="210" fontId="11" fillId="0" borderId="0" applyFont="0" applyFill="0" applyBorder="0" applyAlignment="0" applyProtection="0"/>
    <xf numFmtId="201" fontId="7" fillId="0" borderId="0" applyFont="0" applyFill="0" applyBorder="0" applyAlignment="0" applyProtection="0"/>
    <xf numFmtId="178" fontId="68" fillId="0" borderId="0" applyFont="0" applyFill="0" applyBorder="0" applyAlignment="0" applyProtection="0"/>
    <xf numFmtId="211" fontId="68" fillId="0" borderId="0" applyFont="0" applyFill="0" applyBorder="0" applyAlignment="0" applyProtection="0"/>
    <xf numFmtId="212" fontId="11" fillId="0" borderId="0" applyFont="0" applyFill="0" applyBorder="0" applyAlignment="0" applyProtection="0"/>
    <xf numFmtId="213" fontId="19" fillId="0" borderId="0"/>
    <xf numFmtId="15" fontId="78" fillId="0" borderId="0"/>
    <xf numFmtId="14" fontId="67" fillId="0" borderId="0" applyFill="0" applyBorder="0" applyAlignment="0"/>
    <xf numFmtId="214" fontId="19" fillId="0" borderId="0"/>
    <xf numFmtId="0" fontId="80" fillId="0" borderId="0" applyNumberFormat="0" applyFill="0" applyBorder="0" applyAlignment="0" applyProtection="0"/>
    <xf numFmtId="205" fontId="7" fillId="0" borderId="0" applyFill="0" applyBorder="0" applyAlignment="0"/>
    <xf numFmtId="201" fontId="7" fillId="0" borderId="0" applyFill="0" applyBorder="0" applyAlignment="0"/>
    <xf numFmtId="205" fontId="7" fillId="0" borderId="0" applyFill="0" applyBorder="0" applyAlignment="0"/>
    <xf numFmtId="206" fontId="7" fillId="0" borderId="0" applyFill="0" applyBorder="0" applyAlignment="0"/>
    <xf numFmtId="201" fontId="7" fillId="0" borderId="0" applyFill="0" applyBorder="0" applyAlignment="0"/>
    <xf numFmtId="0" fontId="81" fillId="0" borderId="0" applyNumberFormat="0" applyAlignment="0">
      <alignment horizontal="left"/>
    </xf>
    <xf numFmtId="0" fontId="82" fillId="0" borderId="0">
      <alignment horizontal="left"/>
    </xf>
    <xf numFmtId="0" fontId="9" fillId="28" borderId="2"/>
    <xf numFmtId="190" fontId="83" fillId="0" borderId="0" applyNumberFormat="0" applyFill="0" applyBorder="0" applyAlignment="0" applyProtection="0"/>
    <xf numFmtId="190" fontId="84" fillId="10" borderId="0" applyNumberFormat="0" applyBorder="0" applyAlignment="0" applyProtection="0"/>
    <xf numFmtId="0" fontId="85" fillId="0" borderId="0">
      <alignment horizontal="left"/>
    </xf>
    <xf numFmtId="14" fontId="86" fillId="29" borderId="9">
      <alignment horizontal="center" vertical="center" wrapText="1"/>
    </xf>
    <xf numFmtId="190" fontId="87" fillId="0" borderId="25" applyNumberFormat="0" applyFill="0" applyAlignment="0" applyProtection="0"/>
    <xf numFmtId="190" fontId="88" fillId="0" borderId="26" applyNumberFormat="0" applyFill="0" applyAlignment="0" applyProtection="0"/>
    <xf numFmtId="190" fontId="89" fillId="0" borderId="27" applyNumberFormat="0" applyFill="0" applyAlignment="0" applyProtection="0"/>
    <xf numFmtId="190" fontId="89" fillId="0" borderId="0" applyNumberFormat="0" applyFill="0" applyBorder="0" applyAlignment="0" applyProtection="0"/>
    <xf numFmtId="190" fontId="90" fillId="13" borderId="22" applyNumberFormat="0" applyAlignment="0" applyProtection="0"/>
    <xf numFmtId="215" fontId="11" fillId="30" borderId="0"/>
    <xf numFmtId="0" fontId="19" fillId="0" borderId="0" applyNumberFormat="0" applyFont="0" applyFill="0" applyBorder="0" applyProtection="0">
      <alignment horizontal="left" vertical="center"/>
    </xf>
    <xf numFmtId="205" fontId="7" fillId="0" borderId="0" applyFill="0" applyBorder="0" applyAlignment="0"/>
    <xf numFmtId="201" fontId="7" fillId="0" borderId="0" applyFill="0" applyBorder="0" applyAlignment="0"/>
    <xf numFmtId="205" fontId="7" fillId="0" borderId="0" applyFill="0" applyBorder="0" applyAlignment="0"/>
    <xf numFmtId="206" fontId="7" fillId="0" borderId="0" applyFill="0" applyBorder="0" applyAlignment="0"/>
    <xf numFmtId="201" fontId="7" fillId="0" borderId="0" applyFill="0" applyBorder="0" applyAlignment="0"/>
    <xf numFmtId="190" fontId="91" fillId="0" borderId="28" applyNumberFormat="0" applyFill="0" applyAlignment="0" applyProtection="0"/>
    <xf numFmtId="215" fontId="11" fillId="31" borderId="0"/>
    <xf numFmtId="41" fontId="7" fillId="0" borderId="0" applyFont="0" applyFill="0" applyBorder="0" applyAlignment="0" applyProtection="0"/>
    <xf numFmtId="43" fontId="7" fillId="0" borderId="0" applyFont="0" applyFill="0" applyBorder="0" applyAlignment="0" applyProtection="0"/>
    <xf numFmtId="216" fontId="11" fillId="0" borderId="0" applyFont="0" applyFill="0" applyBorder="0" applyAlignment="0" applyProtection="0"/>
    <xf numFmtId="193" fontId="11" fillId="0" borderId="0" applyFont="0" applyFill="0" applyBorder="0" applyAlignment="0" applyProtection="0"/>
    <xf numFmtId="0" fontId="92" fillId="0" borderId="9"/>
    <xf numFmtId="217" fontId="7" fillId="0" borderId="0" applyFont="0" applyFill="0" applyBorder="0" applyAlignment="0" applyProtection="0"/>
    <xf numFmtId="218" fontId="7" fillId="0" borderId="0" applyFont="0" applyFill="0" applyBorder="0" applyAlignment="0" applyProtection="0"/>
    <xf numFmtId="219" fontId="11" fillId="0" borderId="0" applyFont="0" applyFill="0" applyBorder="0" applyAlignment="0" applyProtection="0"/>
    <xf numFmtId="198" fontId="11" fillId="0" borderId="0" applyFont="0" applyFill="0" applyBorder="0" applyAlignment="0" applyProtection="0"/>
    <xf numFmtId="220" fontId="7" fillId="0" borderId="0" applyFont="0" applyFill="0" applyBorder="0" applyAlignment="0" applyProtection="0"/>
    <xf numFmtId="221" fontId="11" fillId="0" borderId="0" applyFont="0" applyFill="0" applyBorder="0" applyAlignment="0" applyProtection="0"/>
    <xf numFmtId="190" fontId="93" fillId="32" borderId="0" applyNumberFormat="0" applyBorder="0" applyAlignment="0" applyProtection="0"/>
    <xf numFmtId="0" fontId="19" fillId="0" borderId="0"/>
    <xf numFmtId="37" fontId="94" fillId="0" borderId="0"/>
    <xf numFmtId="0" fontId="7" fillId="0" borderId="0"/>
    <xf numFmtId="0" fontId="7" fillId="0" borderId="0"/>
    <xf numFmtId="0" fontId="11" fillId="0" borderId="0"/>
    <xf numFmtId="0" fontId="11" fillId="0" borderId="0">
      <alignment vertical="center"/>
    </xf>
    <xf numFmtId="0" fontId="78" fillId="0" borderId="0"/>
    <xf numFmtId="0" fontId="95" fillId="0" borderId="0"/>
    <xf numFmtId="190" fontId="7" fillId="33" borderId="29" applyNumberFormat="0" applyFont="0" applyAlignment="0" applyProtection="0"/>
    <xf numFmtId="177" fontId="7" fillId="0" borderId="0" applyFont="0" applyFill="0" applyBorder="0" applyAlignment="0" applyProtection="0"/>
    <xf numFmtId="176" fontId="7" fillId="0" borderId="0" applyFont="0" applyFill="0" applyBorder="0" applyAlignment="0" applyProtection="0"/>
    <xf numFmtId="190" fontId="96" fillId="26" borderId="30" applyNumberFormat="0" applyAlignment="0" applyProtection="0"/>
    <xf numFmtId="14" fontId="71" fillId="0" borderId="0">
      <alignment horizontal="center" wrapText="1"/>
      <protection locked="0"/>
    </xf>
    <xf numFmtId="222" fontId="7" fillId="0" borderId="0" applyFont="0" applyFill="0" applyBorder="0" applyAlignment="0" applyProtection="0"/>
    <xf numFmtId="204" fontId="7" fillId="0" borderId="0" applyFont="0" applyFill="0" applyBorder="0" applyAlignment="0" applyProtection="0"/>
    <xf numFmtId="197" fontId="7" fillId="0" borderId="0" applyFont="0" applyFill="0" applyBorder="0" applyAlignment="0" applyProtection="0"/>
    <xf numFmtId="0" fontId="9" fillId="2" borderId="2"/>
    <xf numFmtId="205" fontId="7" fillId="0" borderId="0" applyFill="0" applyBorder="0" applyAlignment="0"/>
    <xf numFmtId="201" fontId="7" fillId="0" borderId="0" applyFill="0" applyBorder="0" applyAlignment="0"/>
    <xf numFmtId="205" fontId="7" fillId="0" borderId="0" applyFill="0" applyBorder="0" applyAlignment="0"/>
    <xf numFmtId="206" fontId="7" fillId="0" borderId="0" applyFill="0" applyBorder="0" applyAlignment="0"/>
    <xf numFmtId="201" fontId="7" fillId="0" borderId="0" applyFill="0" applyBorder="0" applyAlignment="0"/>
    <xf numFmtId="4" fontId="82" fillId="0" borderId="0">
      <alignment horizontal="right"/>
    </xf>
    <xf numFmtId="199" fontId="97" fillId="0" borderId="0"/>
    <xf numFmtId="0" fontId="78" fillId="0" borderId="0" applyNumberFormat="0" applyFont="0" applyFill="0" applyBorder="0" applyAlignment="0" applyProtection="0">
      <alignment horizontal="left"/>
    </xf>
    <xf numFmtId="4" fontId="98" fillId="0" borderId="0">
      <alignment horizontal="right"/>
    </xf>
    <xf numFmtId="223" fontId="11" fillId="0" borderId="0" applyNumberFormat="0" applyFill="0" applyBorder="0" applyAlignment="0" applyProtection="0">
      <alignment horizontal="left"/>
    </xf>
    <xf numFmtId="0" fontId="99" fillId="34" borderId="0">
      <alignment horizontal="left" vertical="center"/>
    </xf>
    <xf numFmtId="0" fontId="99" fillId="34" borderId="0">
      <alignment horizontal="right" vertical="center"/>
    </xf>
    <xf numFmtId="0" fontId="100" fillId="0" borderId="0">
      <alignment horizontal="left"/>
    </xf>
    <xf numFmtId="43" fontId="9" fillId="0" borderId="3"/>
    <xf numFmtId="0" fontId="101" fillId="0" borderId="2">
      <alignment horizontal="center"/>
    </xf>
    <xf numFmtId="0" fontId="101" fillId="0" borderId="0">
      <alignment horizontal="center" vertical="center"/>
    </xf>
    <xf numFmtId="0" fontId="102" fillId="35" borderId="0" applyNumberFormat="0" applyFill="0">
      <alignment horizontal="left" vertical="center"/>
    </xf>
    <xf numFmtId="0" fontId="92" fillId="0" borderId="0"/>
    <xf numFmtId="40" fontId="103" fillId="0" borderId="0" applyBorder="0">
      <alignment horizontal="right"/>
    </xf>
    <xf numFmtId="49" fontId="67" fillId="0" borderId="0" applyFill="0" applyBorder="0" applyAlignment="0"/>
    <xf numFmtId="224" fontId="67" fillId="0" borderId="0" applyFill="0" applyBorder="0" applyAlignment="0"/>
    <xf numFmtId="225" fontId="7" fillId="0" borderId="0" applyFill="0" applyBorder="0" applyAlignment="0"/>
    <xf numFmtId="0" fontId="104" fillId="0" borderId="0" applyFill="0" applyBorder="0" applyProtection="0">
      <alignment horizontal="left" vertical="top"/>
    </xf>
    <xf numFmtId="0" fontId="105" fillId="0" borderId="0">
      <alignment horizontal="center"/>
    </xf>
    <xf numFmtId="190" fontId="106" fillId="0" borderId="31" applyNumberFormat="0" applyFill="0" applyAlignment="0" applyProtection="0"/>
    <xf numFmtId="190" fontId="107" fillId="0" borderId="0" applyNumberFormat="0" applyFill="0" applyBorder="0" applyAlignment="0" applyProtection="0"/>
    <xf numFmtId="0" fontId="108" fillId="0" borderId="0" applyNumberFormat="0" applyFont="0" applyFill="0" applyBorder="0" applyProtection="0">
      <alignment horizontal="center" vertical="center" wrapText="1"/>
    </xf>
    <xf numFmtId="9" fontId="109" fillId="0" borderId="0" applyFont="0" applyFill="0" applyBorder="0" applyAlignment="0" applyProtection="0"/>
    <xf numFmtId="0" fontId="44" fillId="0" borderId="0"/>
    <xf numFmtId="176" fontId="44" fillId="0" borderId="0" applyFont="0" applyFill="0" applyBorder="0" applyAlignment="0" applyProtection="0"/>
    <xf numFmtId="177" fontId="44" fillId="0" borderId="0" applyFont="0" applyFill="0" applyBorder="0" applyAlignment="0" applyProtection="0"/>
    <xf numFmtId="41" fontId="7" fillId="0" borderId="0" applyFont="0" applyFill="0" applyBorder="0" applyAlignment="0" applyProtection="0"/>
    <xf numFmtId="4" fontId="110" fillId="0" borderId="0">
      <alignment horizontal="right"/>
    </xf>
    <xf numFmtId="0" fontId="111" fillId="7" borderId="0" applyNumberFormat="0" applyBorder="0" applyAlignment="0" applyProtection="0">
      <alignment vertical="center"/>
    </xf>
    <xf numFmtId="0" fontId="112" fillId="9" borderId="0" applyNumberFormat="0" applyBorder="0" applyAlignment="0" applyProtection="0">
      <alignment vertical="center"/>
    </xf>
    <xf numFmtId="0" fontId="113" fillId="11" borderId="0" applyNumberFormat="0" applyBorder="0" applyAlignment="0" applyProtection="0">
      <alignment vertical="center"/>
    </xf>
    <xf numFmtId="0" fontId="114" fillId="0" borderId="0">
      <alignment vertical="center"/>
    </xf>
    <xf numFmtId="0" fontId="7" fillId="0" borderId="0"/>
    <xf numFmtId="0" fontId="114" fillId="0" borderId="0">
      <alignment vertical="center"/>
    </xf>
    <xf numFmtId="0" fontId="11" fillId="0" borderId="0">
      <alignment vertical="center"/>
      <protection locked="0"/>
    </xf>
    <xf numFmtId="190" fontId="11" fillId="0" borderId="0">
      <protection locked="0"/>
    </xf>
    <xf numFmtId="0" fontId="11" fillId="0" borderId="0">
      <protection locked="0"/>
    </xf>
    <xf numFmtId="0" fontId="115" fillId="0" borderId="0">
      <alignment vertical="center"/>
    </xf>
    <xf numFmtId="0" fontId="114" fillId="0" borderId="0">
      <alignment vertical="center"/>
    </xf>
    <xf numFmtId="0" fontId="7" fillId="0" borderId="0"/>
    <xf numFmtId="0" fontId="11" fillId="0" borderId="0" applyNumberFormat="0" applyFill="0" applyBorder="0" applyAlignment="0" applyProtection="0"/>
    <xf numFmtId="0" fontId="4" fillId="0" borderId="0">
      <alignment vertical="center"/>
    </xf>
    <xf numFmtId="0" fontId="4" fillId="0" borderId="0">
      <alignment vertical="center"/>
    </xf>
    <xf numFmtId="0" fontId="19" fillId="0" borderId="0">
      <protection locked="0"/>
    </xf>
    <xf numFmtId="0" fontId="61" fillId="0" borderId="0" applyNumberFormat="0" applyFill="0" applyBorder="0" applyAlignment="0" applyProtection="0">
      <alignment vertical="top"/>
      <protection locked="0"/>
    </xf>
    <xf numFmtId="190" fontId="14" fillId="0" borderId="0" applyNumberFormat="0" applyFill="0" applyBorder="0" applyAlignment="0" applyProtection="0">
      <alignment vertical="top"/>
      <protection locked="0"/>
    </xf>
    <xf numFmtId="0" fontId="116" fillId="0" borderId="0" applyNumberFormat="0" applyFill="0" applyBorder="0" applyAlignment="0" applyProtection="0">
      <alignment vertical="top"/>
      <protection locked="0"/>
    </xf>
    <xf numFmtId="0" fontId="6" fillId="0" borderId="0" applyNumberFormat="0" applyFill="0" applyBorder="0" applyAlignment="0" applyProtection="0"/>
    <xf numFmtId="0" fontId="117" fillId="6" borderId="0" applyNumberFormat="0" applyBorder="0" applyAlignment="0" applyProtection="0">
      <alignment vertical="center"/>
    </xf>
    <xf numFmtId="0" fontId="118" fillId="10" borderId="0" applyNumberFormat="0" applyBorder="0" applyAlignment="0" applyProtection="0">
      <alignment vertical="center"/>
    </xf>
    <xf numFmtId="0" fontId="118" fillId="12" borderId="0" applyNumberFormat="0" applyBorder="0" applyAlignment="0" applyProtection="0">
      <alignment vertical="center"/>
    </xf>
    <xf numFmtId="4" fontId="108" fillId="0" borderId="0" applyFont="0" applyFill="0" applyBorder="0" applyAlignment="0" applyProtection="0"/>
    <xf numFmtId="41" fontId="7" fillId="0" borderId="0" applyFont="0" applyFill="0" applyBorder="0" applyAlignment="0" applyProtection="0"/>
    <xf numFmtId="179" fontId="44" fillId="0" borderId="0" applyFont="0" applyFill="0" applyBorder="0" applyAlignment="0" applyProtection="0"/>
    <xf numFmtId="180" fontId="44" fillId="0" borderId="0" applyFont="0" applyFill="0" applyBorder="0" applyAlignment="0" applyProtection="0"/>
    <xf numFmtId="0" fontId="19" fillId="0" borderId="0"/>
    <xf numFmtId="41" fontId="19" fillId="0" borderId="0" applyFont="0" applyFill="0" applyBorder="0" applyAlignment="0" applyProtection="0"/>
    <xf numFmtId="43" fontId="19" fillId="0" borderId="0" applyFont="0" applyFill="0" applyBorder="0" applyAlignment="0" applyProtection="0"/>
    <xf numFmtId="41" fontId="44" fillId="0" borderId="0" applyFont="0" applyFill="0" applyBorder="0" applyAlignment="0" applyProtection="0"/>
    <xf numFmtId="43" fontId="44" fillId="0" borderId="0" applyFont="0" applyFill="0" applyBorder="0" applyAlignment="0" applyProtection="0"/>
    <xf numFmtId="43" fontId="11" fillId="0" borderId="0" applyFont="0" applyFill="0" applyBorder="0" applyAlignment="0" applyProtection="0">
      <alignment vertical="center"/>
    </xf>
    <xf numFmtId="43" fontId="11" fillId="0" borderId="0" applyFont="0" applyFill="0" applyBorder="0" applyAlignment="0" applyProtection="0">
      <alignment vertical="center"/>
    </xf>
    <xf numFmtId="41" fontId="11" fillId="0" borderId="0" applyFont="0" applyFill="0" applyBorder="0" applyAlignment="0" applyProtection="0"/>
    <xf numFmtId="218" fontId="7" fillId="0" borderId="0" applyFont="0" applyFill="0" applyBorder="0" applyAlignment="0" applyProtection="0"/>
    <xf numFmtId="226" fontId="108" fillId="0" borderId="0" applyFont="0" applyFill="0" applyBorder="0" applyAlignment="0" applyProtection="0"/>
    <xf numFmtId="0" fontId="67" fillId="0" borderId="0">
      <alignment vertical="top"/>
    </xf>
    <xf numFmtId="177" fontId="7" fillId="0" borderId="2" applyNumberFormat="0"/>
    <xf numFmtId="38" fontId="65" fillId="0" borderId="0" applyFont="0" applyFill="0" applyBorder="0" applyAlignment="0" applyProtection="0"/>
    <xf numFmtId="40"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0" fontId="119" fillId="0" borderId="0"/>
    <xf numFmtId="190" fontId="11" fillId="0" borderId="0">
      <alignment vertical="center"/>
    </xf>
    <xf numFmtId="190" fontId="3" fillId="0" borderId="0">
      <alignment vertical="center"/>
    </xf>
    <xf numFmtId="43" fontId="11" fillId="0" borderId="0" applyFont="0" applyFill="0" applyBorder="0" applyAlignment="0" applyProtection="0"/>
    <xf numFmtId="9" fontId="11" fillId="0" borderId="0" applyFont="0" applyFill="0" applyBorder="0" applyAlignment="0" applyProtection="0"/>
    <xf numFmtId="190" fontId="2" fillId="0" borderId="0">
      <alignment vertical="center"/>
    </xf>
    <xf numFmtId="9" fontId="154" fillId="0" borderId="0" applyFont="0" applyFill="0" applyBorder="0" applyAlignment="0" applyProtection="0">
      <alignment vertical="center"/>
    </xf>
    <xf numFmtId="190" fontId="1" fillId="0" borderId="0">
      <alignment vertical="center"/>
    </xf>
  </cellStyleXfs>
  <cellXfs count="465">
    <xf numFmtId="0" fontId="0" fillId="0" borderId="0" xfId="0">
      <protection locked="0"/>
    </xf>
    <xf numFmtId="0" fontId="18" fillId="0" borderId="0" xfId="0" applyFont="1" applyAlignment="1">
      <alignment horizontal="justify" wrapText="1"/>
      <protection locked="0"/>
    </xf>
    <xf numFmtId="0" fontId="18" fillId="0" borderId="0" xfId="0" applyFont="1" applyAlignment="1">
      <alignment horizontal="justify" vertical="top" wrapText="1"/>
      <protection locked="0"/>
    </xf>
    <xf numFmtId="0" fontId="17" fillId="0" borderId="0" xfId="0" applyFont="1" applyAlignment="1">
      <alignment vertical="center"/>
      <protection locked="0"/>
    </xf>
    <xf numFmtId="0" fontId="0" fillId="0" borderId="0" xfId="0" applyAlignment="1">
      <alignment vertical="center"/>
      <protection locked="0"/>
    </xf>
    <xf numFmtId="0" fontId="26" fillId="0" borderId="0" xfId="0" applyFont="1" applyAlignment="1">
      <alignment vertical="center"/>
      <protection locked="0"/>
    </xf>
    <xf numFmtId="0" fontId="11" fillId="0" borderId="0" xfId="0" applyFont="1" applyAlignment="1">
      <alignment vertical="center"/>
      <protection locked="0"/>
    </xf>
    <xf numFmtId="0" fontId="27" fillId="0" borderId="0" xfId="0" applyFont="1" applyAlignment="1">
      <alignment horizontal="justify" wrapText="1"/>
      <protection locked="0"/>
    </xf>
    <xf numFmtId="0" fontId="11" fillId="0" borderId="0" xfId="0" applyFont="1" applyAlignment="1">
      <alignment horizontal="center" vertical="center"/>
      <protection locked="0"/>
    </xf>
    <xf numFmtId="0" fontId="26" fillId="0" borderId="0" xfId="0" applyFont="1">
      <protection locked="0"/>
    </xf>
    <xf numFmtId="0" fontId="28" fillId="0" borderId="0" xfId="0" applyFont="1" applyAlignment="1">
      <alignment horizontal="justify" wrapText="1"/>
      <protection locked="0"/>
    </xf>
    <xf numFmtId="0" fontId="29" fillId="0" borderId="0" xfId="0" applyFont="1" applyAlignment="1">
      <alignment horizontal="justify"/>
      <protection locked="0"/>
    </xf>
    <xf numFmtId="43" fontId="33" fillId="0" borderId="0" xfId="26" applyNumberFormat="1" applyFont="1" applyBorder="1" applyAlignment="1">
      <alignment vertical="center"/>
    </xf>
    <xf numFmtId="43" fontId="35" fillId="0" borderId="0" xfId="26" applyNumberFormat="1" applyFont="1" applyBorder="1" applyAlignment="1">
      <alignment vertical="center"/>
    </xf>
    <xf numFmtId="43" fontId="35" fillId="0" borderId="0" xfId="26" applyNumberFormat="1" applyFont="1" applyBorder="1" applyAlignment="1">
      <alignment horizontal="left" vertical="center"/>
    </xf>
    <xf numFmtId="49" fontId="35" fillId="0" borderId="0" xfId="26" applyNumberFormat="1" applyFont="1" applyBorder="1" applyAlignment="1">
      <alignment vertical="center"/>
    </xf>
    <xf numFmtId="43" fontId="32" fillId="0" borderId="0" xfId="26" applyNumberFormat="1" applyFont="1" applyBorder="1" applyAlignment="1">
      <alignment vertical="center"/>
    </xf>
    <xf numFmtId="0" fontId="16" fillId="0" borderId="0" xfId="0" applyFont="1" applyAlignment="1">
      <alignment vertical="center"/>
      <protection locked="0"/>
    </xf>
    <xf numFmtId="0" fontId="34" fillId="0" borderId="0" xfId="24" applyFont="1">
      <alignment vertical="center"/>
    </xf>
    <xf numFmtId="0" fontId="33" fillId="0" borderId="0" xfId="24" applyFont="1">
      <alignment vertical="center"/>
    </xf>
    <xf numFmtId="0" fontId="35" fillId="0" borderId="0" xfId="0" applyFont="1" applyAlignment="1">
      <alignment vertical="center"/>
      <protection locked="0"/>
    </xf>
    <xf numFmtId="0" fontId="33" fillId="0" borderId="0" xfId="0" applyFont="1" applyAlignment="1">
      <alignment vertical="center"/>
      <protection locked="0"/>
    </xf>
    <xf numFmtId="0" fontId="35" fillId="0" borderId="3" xfId="0" applyFont="1" applyBorder="1" applyAlignment="1">
      <alignment horizontal="center" vertical="center"/>
      <protection locked="0"/>
    </xf>
    <xf numFmtId="0" fontId="34" fillId="0" borderId="0" xfId="0" applyFont="1" applyAlignment="1">
      <alignment vertical="center"/>
      <protection locked="0"/>
    </xf>
    <xf numFmtId="0" fontId="35" fillId="0" borderId="0" xfId="0" applyFont="1" applyAlignment="1">
      <alignment horizontal="left" vertical="center"/>
      <protection locked="0"/>
    </xf>
    <xf numFmtId="0" fontId="32" fillId="0" borderId="0" xfId="25" applyFont="1" applyAlignment="1">
      <alignment horizontal="left" vertical="center"/>
    </xf>
    <xf numFmtId="0" fontId="35" fillId="0" borderId="0" xfId="25" applyFont="1" applyAlignment="1" applyProtection="1">
      <alignment vertical="center"/>
      <protection locked="0"/>
    </xf>
    <xf numFmtId="0" fontId="36" fillId="0" borderId="0" xfId="25" applyFont="1" applyAlignment="1" applyProtection="1">
      <alignment horizontal="center" vertical="center"/>
      <protection hidden="1"/>
    </xf>
    <xf numFmtId="0" fontId="35" fillId="0" borderId="0" xfId="25" applyFont="1" applyAlignment="1" applyProtection="1">
      <alignment horizontal="left" vertical="center"/>
      <protection hidden="1"/>
    </xf>
    <xf numFmtId="0" fontId="36" fillId="0" borderId="0" xfId="25" applyFont="1" applyAlignment="1" applyProtection="1">
      <alignment horizontal="left" vertical="center"/>
      <protection locked="0"/>
    </xf>
    <xf numFmtId="0" fontId="35" fillId="0" borderId="3" xfId="0" applyFont="1" applyBorder="1" applyAlignment="1">
      <alignment horizontal="left" vertical="center"/>
      <protection locked="0"/>
    </xf>
    <xf numFmtId="0" fontId="35" fillId="0" borderId="3" xfId="0" applyFont="1" applyBorder="1" applyAlignment="1">
      <alignment vertical="center" wrapText="1"/>
      <protection locked="0"/>
    </xf>
    <xf numFmtId="0" fontId="35" fillId="0" borderId="0" xfId="0" applyFont="1" applyAlignment="1">
      <alignment horizontal="center" vertical="center"/>
      <protection locked="0"/>
    </xf>
    <xf numFmtId="0" fontId="32" fillId="0" borderId="0" xfId="0" applyFont="1" applyAlignment="1">
      <alignment vertical="center"/>
      <protection locked="0"/>
    </xf>
    <xf numFmtId="0" fontId="36" fillId="0" borderId="0" xfId="0" applyFont="1" applyAlignment="1">
      <alignment vertical="center"/>
      <protection locked="0"/>
    </xf>
    <xf numFmtId="0" fontId="36" fillId="0" borderId="0" xfId="0" applyFont="1">
      <protection locked="0"/>
    </xf>
    <xf numFmtId="0" fontId="36" fillId="0" borderId="0" xfId="0" applyFont="1" applyAlignment="1">
      <alignment horizontal="right"/>
      <protection locked="0"/>
    </xf>
    <xf numFmtId="0" fontId="17" fillId="0" borderId="0" xfId="24" applyFont="1">
      <alignment vertical="center"/>
    </xf>
    <xf numFmtId="0" fontId="35" fillId="0" borderId="0" xfId="25" applyFont="1" applyAlignment="1">
      <alignment vertical="center"/>
    </xf>
    <xf numFmtId="43" fontId="35" fillId="0" borderId="0" xfId="0" applyNumberFormat="1" applyFont="1" applyAlignment="1">
      <alignment vertical="center"/>
      <protection locked="0"/>
    </xf>
    <xf numFmtId="43" fontId="35" fillId="0" borderId="3" xfId="28" applyFont="1" applyBorder="1" applyAlignment="1" applyProtection="1">
      <alignment horizontal="left" vertical="center"/>
      <protection locked="0"/>
    </xf>
    <xf numFmtId="0" fontId="52" fillId="0" borderId="0" xfId="0" applyFont="1" applyAlignment="1">
      <alignment vertical="center"/>
      <protection locked="0"/>
    </xf>
    <xf numFmtId="0" fontId="53" fillId="0" borderId="0" xfId="0" applyFont="1" applyAlignment="1">
      <alignment horizontal="left"/>
      <protection locked="0"/>
    </xf>
    <xf numFmtId="14" fontId="16" fillId="0" borderId="0" xfId="0" applyNumberFormat="1" applyFont="1" applyAlignment="1">
      <alignment vertical="center"/>
      <protection locked="0"/>
    </xf>
    <xf numFmtId="14" fontId="35" fillId="0" borderId="0" xfId="0" applyNumberFormat="1" applyFont="1" applyAlignment="1">
      <alignment vertical="center"/>
      <protection locked="0"/>
    </xf>
    <xf numFmtId="14" fontId="35" fillId="0" borderId="3" xfId="0" applyNumberFormat="1" applyFont="1" applyBorder="1" applyAlignment="1">
      <alignment horizontal="left" vertical="center"/>
      <protection locked="0"/>
    </xf>
    <xf numFmtId="0" fontId="54" fillId="0" borderId="0" xfId="0" applyFont="1" applyAlignment="1" applyProtection="1">
      <alignment vertical="center"/>
    </xf>
    <xf numFmtId="0" fontId="56" fillId="0" borderId="0" xfId="0" applyFont="1" applyAlignment="1" applyProtection="1">
      <alignment vertical="center"/>
    </xf>
    <xf numFmtId="0" fontId="32" fillId="0" borderId="0" xfId="46" applyFont="1" applyAlignment="1">
      <alignment vertical="center"/>
      <protection locked="0"/>
    </xf>
    <xf numFmtId="0" fontId="35" fillId="0" borderId="0" xfId="46" applyFont="1" applyAlignment="1">
      <alignment vertical="center"/>
      <protection locked="0"/>
    </xf>
    <xf numFmtId="43" fontId="58" fillId="0" borderId="3" xfId="48" applyFont="1" applyFill="1" applyBorder="1" applyAlignment="1">
      <alignment horizontal="right" vertical="center"/>
    </xf>
    <xf numFmtId="0" fontId="60" fillId="0" borderId="0" xfId="0" applyFont="1" applyAlignment="1">
      <alignment vertical="center"/>
      <protection locked="0"/>
    </xf>
    <xf numFmtId="190" fontId="32" fillId="5" borderId="3" xfId="50" applyFont="1" applyFill="1" applyBorder="1" applyAlignment="1" applyProtection="1">
      <alignment horizontal="center" vertical="center" wrapText="1"/>
      <protection locked="0"/>
    </xf>
    <xf numFmtId="190" fontId="32" fillId="5" borderId="3" xfId="51" applyNumberFormat="1" applyFont="1" applyFill="1" applyBorder="1" applyAlignment="1">
      <alignment horizontal="center" vertical="center"/>
      <protection locked="0"/>
    </xf>
    <xf numFmtId="190" fontId="39" fillId="5" borderId="3" xfId="51" applyNumberFormat="1" applyFont="1" applyFill="1" applyBorder="1" applyAlignment="1">
      <alignment horizontal="center" vertical="center" wrapText="1"/>
      <protection locked="0"/>
    </xf>
    <xf numFmtId="0" fontId="22" fillId="5" borderId="3" xfId="49" applyFont="1" applyFill="1" applyBorder="1" applyAlignment="1" applyProtection="1">
      <alignment vertical="center"/>
    </xf>
    <xf numFmtId="43" fontId="58" fillId="5" borderId="3" xfId="48" applyFont="1" applyFill="1" applyBorder="1" applyAlignment="1">
      <alignment horizontal="right" vertical="center"/>
    </xf>
    <xf numFmtId="43" fontId="35" fillId="5" borderId="3" xfId="48" applyFont="1" applyFill="1" applyBorder="1" applyAlignment="1">
      <alignment horizontal="right" vertical="center" wrapText="1"/>
    </xf>
    <xf numFmtId="10" fontId="35" fillId="5" borderId="3" xfId="52" applyNumberFormat="1" applyFont="1" applyFill="1" applyBorder="1" applyAlignment="1">
      <alignment horizontal="right" vertical="center" wrapText="1"/>
    </xf>
    <xf numFmtId="43" fontId="35" fillId="0" borderId="3" xfId="48" applyFont="1" applyFill="1" applyBorder="1" applyAlignment="1">
      <alignment horizontal="right" vertical="center" wrapText="1"/>
    </xf>
    <xf numFmtId="0" fontId="49" fillId="0" borderId="3" xfId="49" applyFont="1" applyBorder="1" applyAlignment="1" applyProtection="1">
      <alignment horizontal="left" vertical="center" indent="1"/>
    </xf>
    <xf numFmtId="43" fontId="32" fillId="0" borderId="4" xfId="26" applyNumberFormat="1" applyFont="1" applyBorder="1" applyAlignment="1">
      <alignment horizontal="left" vertical="center"/>
    </xf>
    <xf numFmtId="43" fontId="35" fillId="0" borderId="4" xfId="26" applyNumberFormat="1" applyFont="1" applyBorder="1" applyAlignment="1">
      <alignment horizontal="left" vertical="center"/>
    </xf>
    <xf numFmtId="43" fontId="51" fillId="0" borderId="4" xfId="53" applyNumberFormat="1" applyFont="1" applyBorder="1" applyAlignment="1" applyProtection="1">
      <alignment horizontal="center" vertical="center"/>
    </xf>
    <xf numFmtId="43" fontId="35" fillId="0" borderId="4" xfId="26" applyNumberFormat="1" applyFont="1" applyBorder="1" applyAlignment="1">
      <alignment vertical="center"/>
    </xf>
    <xf numFmtId="43" fontId="32" fillId="0" borderId="0" xfId="26" applyNumberFormat="1" applyFont="1" applyFill="1" applyBorder="1" applyAlignment="1">
      <alignment vertical="center"/>
    </xf>
    <xf numFmtId="0" fontId="35" fillId="0" borderId="0" xfId="54" applyFont="1" applyAlignment="1">
      <alignment vertical="center"/>
    </xf>
    <xf numFmtId="9" fontId="62" fillId="0" borderId="0" xfId="52" applyFont="1" applyBorder="1" applyAlignment="1">
      <alignment horizontal="left" vertical="center"/>
    </xf>
    <xf numFmtId="10" fontId="62" fillId="0" borderId="0" xfId="52" applyNumberFormat="1" applyFont="1" applyBorder="1" applyAlignment="1">
      <alignment horizontal="left" vertical="center"/>
    </xf>
    <xf numFmtId="43" fontId="35" fillId="0" borderId="0" xfId="26" applyNumberFormat="1" applyFont="1" applyFill="1" applyBorder="1" applyAlignment="1">
      <alignment vertical="center"/>
    </xf>
    <xf numFmtId="0" fontId="35" fillId="0" borderId="0" xfId="54" applyFont="1" applyAlignment="1">
      <alignment horizontal="left" vertical="center"/>
    </xf>
    <xf numFmtId="0" fontId="32" fillId="0" borderId="0" xfId="54" applyFont="1" applyAlignment="1">
      <alignment vertical="center"/>
    </xf>
    <xf numFmtId="0" fontId="35" fillId="0" borderId="0" xfId="49" applyFont="1" applyAlignment="1">
      <alignment vertical="center"/>
      <protection locked="0"/>
    </xf>
    <xf numFmtId="0" fontId="35" fillId="0" borderId="0" xfId="47" applyFont="1">
      <alignment vertical="center"/>
    </xf>
    <xf numFmtId="43" fontId="120" fillId="0" borderId="3" xfId="49" quotePrefix="1" applyNumberFormat="1" applyFont="1" applyBorder="1" applyAlignment="1" applyProtection="1">
      <alignment horizontal="left" vertical="center" shrinkToFit="1"/>
    </xf>
    <xf numFmtId="43" fontId="120" fillId="0" borderId="3" xfId="49" applyNumberFormat="1" applyFont="1" applyBorder="1" applyAlignment="1" applyProtection="1">
      <alignment horizontal="right" vertical="center" shrinkToFit="1"/>
    </xf>
    <xf numFmtId="0" fontId="35" fillId="0" borderId="3" xfId="304" applyFont="1" applyBorder="1">
      <protection locked="0"/>
    </xf>
    <xf numFmtId="0" fontId="120" fillId="0" borderId="3" xfId="49" applyFont="1" applyBorder="1" applyAlignment="1" applyProtection="1">
      <alignment horizontal="center" vertical="center" wrapText="1"/>
    </xf>
    <xf numFmtId="43" fontId="120" fillId="0" borderId="3" xfId="49" applyNumberFormat="1" applyFont="1" applyBorder="1" applyAlignment="1" applyProtection="1">
      <alignment horizontal="left" vertical="center" shrinkToFit="1"/>
    </xf>
    <xf numFmtId="0" fontId="32" fillId="0" borderId="0" xfId="49" applyFont="1" applyAlignment="1">
      <alignment vertical="center"/>
      <protection locked="0"/>
    </xf>
    <xf numFmtId="0" fontId="23" fillId="0" borderId="0" xfId="49" applyFont="1" applyAlignment="1">
      <alignment vertical="center"/>
      <protection locked="0"/>
    </xf>
    <xf numFmtId="0" fontId="16" fillId="0" borderId="0" xfId="49" applyFont="1" applyAlignment="1">
      <alignment vertical="center"/>
      <protection locked="0"/>
    </xf>
    <xf numFmtId="0" fontId="36" fillId="0" borderId="0" xfId="49" applyFont="1" applyAlignment="1">
      <alignment vertical="center"/>
      <protection locked="0"/>
    </xf>
    <xf numFmtId="0" fontId="36" fillId="0" borderId="0" xfId="49" applyFont="1">
      <protection locked="0"/>
    </xf>
    <xf numFmtId="0" fontId="25" fillId="0" borderId="0" xfId="49" applyFont="1" applyAlignment="1">
      <alignment horizontal="right"/>
      <protection locked="0"/>
    </xf>
    <xf numFmtId="0" fontId="36" fillId="0" borderId="0" xfId="49" applyFont="1" applyAlignment="1">
      <alignment horizontal="right"/>
      <protection locked="0"/>
    </xf>
    <xf numFmtId="0" fontId="21" fillId="0" borderId="0" xfId="49" applyFont="1">
      <protection locked="0"/>
    </xf>
    <xf numFmtId="0" fontId="35" fillId="0" borderId="0" xfId="46" applyFont="1" applyAlignment="1">
      <alignment horizontal="left" vertical="center" indent="1"/>
      <protection locked="0"/>
    </xf>
    <xf numFmtId="0" fontId="56" fillId="0" borderId="3" xfId="0" applyFont="1" applyBorder="1" applyAlignment="1" applyProtection="1">
      <alignment vertical="center" wrapText="1"/>
    </xf>
    <xf numFmtId="0" fontId="56" fillId="0" borderId="3" xfId="0" applyFont="1" applyBorder="1" applyAlignment="1" applyProtection="1">
      <alignment horizontal="center" vertical="center" wrapText="1"/>
    </xf>
    <xf numFmtId="0" fontId="54" fillId="0" borderId="3" xfId="0" applyFont="1" applyBorder="1" applyAlignment="1" applyProtection="1">
      <alignment horizontal="center" vertical="center" wrapText="1"/>
    </xf>
    <xf numFmtId="190" fontId="56" fillId="0" borderId="0" xfId="334" applyFont="1">
      <alignment vertical="center"/>
    </xf>
    <xf numFmtId="190" fontId="122" fillId="0" borderId="0" xfId="334" applyFont="1">
      <alignment vertical="center"/>
    </xf>
    <xf numFmtId="190" fontId="35" fillId="0" borderId="0" xfId="334" applyFont="1" applyProtection="1">
      <alignment vertical="center"/>
      <protection locked="0"/>
    </xf>
    <xf numFmtId="0" fontId="35" fillId="0" borderId="0" xfId="51" applyFont="1" applyAlignment="1">
      <alignment horizontal="left" vertical="center"/>
      <protection locked="0"/>
    </xf>
    <xf numFmtId="190" fontId="35" fillId="0" borderId="0" xfId="334" applyFont="1" applyAlignment="1" applyProtection="1">
      <alignment horizontal="center" vertical="center"/>
      <protection locked="0"/>
    </xf>
    <xf numFmtId="190" fontId="35" fillId="0" borderId="0" xfId="334" applyFont="1" applyAlignment="1" applyProtection="1">
      <alignment vertical="center" wrapText="1"/>
      <protection locked="0"/>
    </xf>
    <xf numFmtId="190" fontId="16" fillId="0" borderId="0" xfId="334" applyFont="1" applyProtection="1">
      <alignment vertical="center"/>
      <protection locked="0"/>
    </xf>
    <xf numFmtId="190" fontId="124" fillId="0" borderId="0" xfId="334" applyFont="1" applyProtection="1">
      <alignment vertical="center"/>
      <protection locked="0"/>
    </xf>
    <xf numFmtId="49" fontId="32" fillId="0" borderId="0" xfId="334" applyNumberFormat="1" applyFont="1" applyAlignment="1" applyProtection="1">
      <alignment horizontal="left" vertical="center"/>
      <protection locked="0"/>
    </xf>
    <xf numFmtId="190" fontId="32" fillId="0" borderId="0" xfId="334" applyFont="1" applyAlignment="1" applyProtection="1">
      <alignment horizontal="justify" vertical="center"/>
      <protection locked="0"/>
    </xf>
    <xf numFmtId="190" fontId="125" fillId="0" borderId="0" xfId="334" applyFont="1" applyAlignment="1" applyProtection="1">
      <alignment horizontal="center" vertical="center"/>
      <protection locked="0"/>
    </xf>
    <xf numFmtId="190" fontId="16" fillId="0" borderId="3" xfId="334" applyFont="1" applyBorder="1" applyAlignment="1" applyProtection="1">
      <alignment horizontal="center" vertical="center" wrapText="1"/>
      <protection locked="0"/>
    </xf>
    <xf numFmtId="190" fontId="7" fillId="0" borderId="3" xfId="334" applyFont="1" applyBorder="1" applyAlignment="1" applyProtection="1">
      <alignment horizontal="center" vertical="center" wrapText="1"/>
      <protection locked="0"/>
    </xf>
    <xf numFmtId="190" fontId="126" fillId="0" borderId="3" xfId="334" applyFont="1" applyBorder="1" applyAlignment="1" applyProtection="1">
      <alignment horizontal="center" vertical="center" wrapText="1"/>
      <protection locked="0"/>
    </xf>
    <xf numFmtId="190" fontId="127" fillId="0" borderId="3" xfId="334" applyFont="1" applyBorder="1" applyAlignment="1" applyProtection="1">
      <alignment horizontal="center" vertical="center" wrapText="1"/>
      <protection locked="0"/>
    </xf>
    <xf numFmtId="190" fontId="7" fillId="0" borderId="3" xfId="334" applyFont="1" applyBorder="1" applyAlignment="1" applyProtection="1">
      <alignment horizontal="left" vertical="center" wrapText="1"/>
      <protection locked="0"/>
    </xf>
    <xf numFmtId="190" fontId="35" fillId="0" borderId="0" xfId="334" applyFont="1" applyAlignment="1" applyProtection="1">
      <alignment horizontal="center" vertical="center" wrapText="1"/>
      <protection locked="0"/>
    </xf>
    <xf numFmtId="190" fontId="35" fillId="0" borderId="0" xfId="334" applyFont="1" applyAlignment="1" applyProtection="1">
      <alignment horizontal="left" vertical="center" wrapText="1"/>
      <protection locked="0"/>
    </xf>
    <xf numFmtId="190" fontId="128" fillId="0" borderId="0" xfId="334" applyFont="1" applyAlignment="1" applyProtection="1">
      <alignment horizontal="center" vertical="center" wrapText="1"/>
      <protection locked="0"/>
    </xf>
    <xf numFmtId="190" fontId="122" fillId="0" borderId="0" xfId="334" applyFont="1" applyAlignment="1">
      <alignment horizontal="center" vertical="center"/>
    </xf>
    <xf numFmtId="190" fontId="122" fillId="0" borderId="0" xfId="334" applyFont="1" applyAlignment="1">
      <alignment vertical="center" wrapText="1"/>
    </xf>
    <xf numFmtId="190" fontId="129" fillId="36" borderId="10" xfId="334" applyFont="1" applyFill="1" applyBorder="1" applyAlignment="1" applyProtection="1">
      <alignment horizontal="centerContinuous" vertical="center"/>
      <protection locked="0"/>
    </xf>
    <xf numFmtId="190" fontId="122" fillId="36" borderId="10" xfId="334" applyFont="1" applyFill="1" applyBorder="1" applyAlignment="1">
      <alignment horizontal="centerContinuous" vertical="center"/>
    </xf>
    <xf numFmtId="49" fontId="32" fillId="5" borderId="3" xfId="334" applyNumberFormat="1" applyFont="1" applyFill="1" applyBorder="1" applyAlignment="1" applyProtection="1">
      <alignment horizontal="center" vertical="center"/>
      <protection locked="0"/>
    </xf>
    <xf numFmtId="190" fontId="32" fillId="5" borderId="3" xfId="334" applyFont="1" applyFill="1" applyBorder="1" applyAlignment="1" applyProtection="1">
      <alignment horizontal="center" vertical="center" wrapText="1"/>
      <protection locked="0"/>
    </xf>
    <xf numFmtId="190" fontId="129" fillId="36" borderId="0" xfId="334" applyFont="1" applyFill="1" applyAlignment="1" applyProtection="1">
      <alignment horizontal="center" vertical="center"/>
      <protection locked="0"/>
    </xf>
    <xf numFmtId="49" fontId="20" fillId="5" borderId="5" xfId="334" applyNumberFormat="1" applyFont="1" applyFill="1" applyBorder="1" applyAlignment="1" applyProtection="1">
      <alignment horizontal="center" vertical="center"/>
      <protection locked="0"/>
    </xf>
    <xf numFmtId="190" fontId="57" fillId="5" borderId="3" xfId="334" applyFont="1" applyFill="1" applyBorder="1" applyAlignment="1">
      <alignment horizontal="center" vertical="center" wrapText="1"/>
    </xf>
    <xf numFmtId="190" fontId="130" fillId="36" borderId="0" xfId="334" applyFont="1" applyFill="1" applyAlignment="1">
      <alignment horizontal="left" vertical="center"/>
    </xf>
    <xf numFmtId="190" fontId="35" fillId="36" borderId="0" xfId="334" applyFont="1" applyFill="1" applyAlignment="1">
      <alignment horizontal="left" vertical="center"/>
    </xf>
    <xf numFmtId="49" fontId="32" fillId="0" borderId="5" xfId="334" applyNumberFormat="1" applyFont="1" applyBorder="1" applyAlignment="1" applyProtection="1">
      <alignment horizontal="center" vertical="center"/>
      <protection locked="0"/>
    </xf>
    <xf numFmtId="190" fontId="57" fillId="0" borderId="3" xfId="334" applyFont="1" applyBorder="1" applyAlignment="1">
      <alignment horizontal="center" vertical="center" wrapText="1"/>
    </xf>
    <xf numFmtId="190" fontId="56" fillId="0" borderId="3" xfId="334" applyFont="1" applyBorder="1" applyAlignment="1">
      <alignment horizontal="center" vertical="center" wrapText="1"/>
    </xf>
    <xf numFmtId="49" fontId="16" fillId="5" borderId="3" xfId="334" applyNumberFormat="1" applyFont="1" applyFill="1" applyBorder="1" applyAlignment="1" applyProtection="1">
      <alignment horizontal="center" vertical="center"/>
      <protection locked="0"/>
    </xf>
    <xf numFmtId="49" fontId="20" fillId="0" borderId="3" xfId="334" applyNumberFormat="1" applyFont="1" applyBorder="1" applyAlignment="1" applyProtection="1">
      <alignment horizontal="center" vertical="center"/>
      <protection locked="0"/>
    </xf>
    <xf numFmtId="49" fontId="16" fillId="5" borderId="5" xfId="334" applyNumberFormat="1" applyFont="1" applyFill="1" applyBorder="1" applyAlignment="1" applyProtection="1">
      <alignment horizontal="center" vertical="center"/>
      <protection locked="0"/>
    </xf>
    <xf numFmtId="0" fontId="57" fillId="5" borderId="3" xfId="334" applyNumberFormat="1" applyFont="1" applyFill="1" applyBorder="1" applyAlignment="1">
      <alignment horizontal="center" vertical="center" wrapText="1"/>
    </xf>
    <xf numFmtId="49" fontId="35" fillId="0" borderId="5" xfId="334" applyNumberFormat="1" applyFont="1" applyBorder="1" applyAlignment="1" applyProtection="1">
      <alignment horizontal="center" vertical="center"/>
      <protection locked="0"/>
    </xf>
    <xf numFmtId="49" fontId="56" fillId="0" borderId="5" xfId="334" applyNumberFormat="1" applyFont="1" applyBorder="1" applyAlignment="1">
      <alignment horizontal="center" vertical="center" wrapText="1"/>
    </xf>
    <xf numFmtId="49" fontId="57" fillId="5" borderId="3" xfId="334" applyNumberFormat="1" applyFont="1" applyFill="1" applyBorder="1" applyAlignment="1">
      <alignment horizontal="center" vertical="center"/>
    </xf>
    <xf numFmtId="49" fontId="56" fillId="0" borderId="3" xfId="334" applyNumberFormat="1" applyFont="1" applyBorder="1" applyAlignment="1">
      <alignment horizontal="center" vertical="center"/>
    </xf>
    <xf numFmtId="0" fontId="57" fillId="0" borderId="3" xfId="334" applyNumberFormat="1" applyFont="1" applyBorder="1" applyAlignment="1">
      <alignment horizontal="center" vertical="center" wrapText="1"/>
    </xf>
    <xf numFmtId="0" fontId="131" fillId="0" borderId="3" xfId="334" applyNumberFormat="1" applyFont="1" applyBorder="1" applyAlignment="1">
      <alignment horizontal="center" vertical="center" wrapText="1"/>
    </xf>
    <xf numFmtId="49" fontId="55" fillId="5" borderId="3" xfId="334" applyNumberFormat="1" applyFont="1" applyFill="1" applyBorder="1" applyAlignment="1">
      <alignment horizontal="center" vertical="center"/>
    </xf>
    <xf numFmtId="190" fontId="20" fillId="0" borderId="0" xfId="334" applyFont="1" applyProtection="1">
      <alignment vertical="center"/>
      <protection locked="0"/>
    </xf>
    <xf numFmtId="43" fontId="20" fillId="0" borderId="0" xfId="26" applyNumberFormat="1" applyFont="1" applyFill="1" applyBorder="1" applyAlignment="1">
      <alignment vertical="center"/>
    </xf>
    <xf numFmtId="0" fontId="35" fillId="0" borderId="4" xfId="54" applyFont="1" applyBorder="1" applyAlignment="1">
      <alignment vertical="center"/>
    </xf>
    <xf numFmtId="43" fontId="32" fillId="37" borderId="0" xfId="26" applyNumberFormat="1" applyFont="1" applyFill="1" applyBorder="1" applyAlignment="1">
      <alignment vertical="center"/>
    </xf>
    <xf numFmtId="0" fontId="39" fillId="0" borderId="3" xfId="292" applyFont="1" applyBorder="1" applyAlignment="1">
      <alignment horizontal="center" vertical="center"/>
    </xf>
    <xf numFmtId="9" fontId="62" fillId="0" borderId="0" xfId="336" applyFont="1" applyBorder="1" applyAlignment="1">
      <alignment horizontal="left" vertical="center"/>
    </xf>
    <xf numFmtId="10" fontId="62" fillId="0" borderId="0" xfId="336" applyNumberFormat="1" applyFont="1" applyBorder="1" applyAlignment="1">
      <alignment horizontal="left" vertical="center"/>
    </xf>
    <xf numFmtId="43" fontId="32" fillId="0" borderId="0" xfId="26" applyNumberFormat="1" applyFont="1" applyBorder="1" applyAlignment="1">
      <alignment horizontal="left" vertical="center"/>
    </xf>
    <xf numFmtId="0" fontId="114" fillId="0" borderId="0" xfId="292" applyAlignment="1" applyProtection="1">
      <protection locked="0"/>
    </xf>
    <xf numFmtId="0" fontId="133" fillId="0" borderId="0" xfId="0" applyFont="1" applyAlignment="1">
      <alignment vertical="center"/>
      <protection locked="0"/>
    </xf>
    <xf numFmtId="0" fontId="41" fillId="0" borderId="0" xfId="0" applyFont="1" applyAlignment="1">
      <alignment vertical="center"/>
      <protection locked="0"/>
    </xf>
    <xf numFmtId="0" fontId="42" fillId="0" borderId="0" xfId="0" applyFont="1" applyAlignment="1">
      <alignment vertical="center"/>
      <protection locked="0"/>
    </xf>
    <xf numFmtId="0" fontId="43" fillId="0" borderId="8" xfId="0" applyFont="1" applyBorder="1" applyAlignment="1">
      <alignment horizontal="center" vertical="center" wrapText="1"/>
      <protection locked="0"/>
    </xf>
    <xf numFmtId="0" fontId="42" fillId="0" borderId="0" xfId="0" applyFont="1" applyAlignment="1">
      <alignment horizontal="left" vertical="center" wrapText="1"/>
      <protection locked="0"/>
    </xf>
    <xf numFmtId="43" fontId="42" fillId="0" borderId="0" xfId="0" applyNumberFormat="1" applyFont="1" applyAlignment="1">
      <alignment horizontal="left" vertical="center" wrapText="1"/>
      <protection locked="0"/>
    </xf>
    <xf numFmtId="0" fontId="42" fillId="0" borderId="0" xfId="0" applyFont="1" applyAlignment="1">
      <alignment horizontal="right" vertical="center" wrapText="1"/>
      <protection locked="0"/>
    </xf>
    <xf numFmtId="0" fontId="43" fillId="0" borderId="8" xfId="0" applyFont="1" applyBorder="1" applyAlignment="1">
      <alignment horizontal="left" vertical="center" wrapText="1"/>
      <protection locked="0"/>
    </xf>
    <xf numFmtId="0" fontId="43" fillId="0" borderId="8" xfId="0" applyFont="1" applyBorder="1" applyAlignment="1">
      <alignment horizontal="right" vertical="center" wrapText="1"/>
      <protection locked="0"/>
    </xf>
    <xf numFmtId="43" fontId="43" fillId="0" borderId="8" xfId="0" applyNumberFormat="1" applyFont="1" applyBorder="1" applyAlignment="1">
      <alignment horizontal="right" vertical="center" wrapText="1"/>
      <protection locked="0"/>
    </xf>
    <xf numFmtId="0" fontId="134" fillId="0" borderId="0" xfId="0" applyFont="1" applyAlignment="1">
      <alignment horizontal="justify" vertical="center"/>
      <protection locked="0"/>
    </xf>
    <xf numFmtId="0" fontId="134" fillId="0" borderId="0" xfId="0" applyFont="1" applyAlignment="1">
      <alignment horizontal="left" vertical="center" wrapText="1"/>
      <protection locked="0"/>
    </xf>
    <xf numFmtId="0" fontId="135" fillId="0" borderId="9" xfId="0" applyFont="1" applyBorder="1" applyAlignment="1">
      <alignment horizontal="center" vertical="center" wrapText="1"/>
      <protection locked="0"/>
    </xf>
    <xf numFmtId="0" fontId="136" fillId="0" borderId="0" xfId="0" applyFont="1" applyAlignment="1">
      <alignment horizontal="justify" vertical="center" wrapText="1"/>
      <protection locked="0"/>
    </xf>
    <xf numFmtId="43" fontId="136" fillId="0" borderId="0" xfId="0" applyNumberFormat="1" applyFont="1" applyAlignment="1">
      <alignment horizontal="right" vertical="center" wrapText="1"/>
      <protection locked="0"/>
    </xf>
    <xf numFmtId="0" fontId="135" fillId="0" borderId="9" xfId="0" applyFont="1" applyBorder="1" applyAlignment="1">
      <alignment horizontal="justify" vertical="center" wrapText="1"/>
      <protection locked="0"/>
    </xf>
    <xf numFmtId="43" fontId="135" fillId="0" borderId="9" xfId="0" applyNumberFormat="1" applyFont="1" applyBorder="1" applyAlignment="1">
      <alignment horizontal="right" vertical="center" wrapText="1"/>
      <protection locked="0"/>
    </xf>
    <xf numFmtId="0" fontId="42" fillId="0" borderId="0" xfId="0" applyFont="1" applyAlignment="1">
      <alignment horizontal="left" vertical="center"/>
      <protection locked="0"/>
    </xf>
    <xf numFmtId="0" fontId="42" fillId="0" borderId="0" xfId="0" applyFont="1" applyAlignment="1">
      <alignment horizontal="left"/>
      <protection locked="0"/>
    </xf>
    <xf numFmtId="0" fontId="43" fillId="0" borderId="8" xfId="0" applyFont="1" applyBorder="1" applyAlignment="1">
      <alignment horizontal="left" vertical="center"/>
      <protection locked="0"/>
    </xf>
    <xf numFmtId="0" fontId="42" fillId="0" borderId="37" xfId="0" applyFont="1" applyBorder="1" applyAlignment="1">
      <alignment horizontal="left" vertical="center"/>
      <protection locked="0"/>
    </xf>
    <xf numFmtId="43" fontId="42" fillId="0" borderId="0" xfId="0" applyNumberFormat="1" applyFont="1" applyAlignment="1" applyProtection="1">
      <alignment vertical="center"/>
    </xf>
    <xf numFmtId="43" fontId="135" fillId="0" borderId="37" xfId="0" applyNumberFormat="1" applyFont="1" applyBorder="1" applyAlignment="1" applyProtection="1">
      <alignment horizontal="right" vertical="center" wrapText="1"/>
    </xf>
    <xf numFmtId="43" fontId="42" fillId="0" borderId="0" xfId="0" applyNumberFormat="1" applyFont="1" applyAlignment="1" applyProtection="1">
      <alignment horizontal="justify" vertical="center" wrapText="1"/>
    </xf>
    <xf numFmtId="43" fontId="42" fillId="0" borderId="0" xfId="0" applyNumberFormat="1" applyFont="1" applyAlignment="1" applyProtection="1">
      <alignment horizontal="right" vertical="center" wrapText="1"/>
    </xf>
    <xf numFmtId="43" fontId="42" fillId="0" borderId="0" xfId="0" applyNumberFormat="1" applyFont="1" applyAlignment="1" applyProtection="1">
      <alignment horizontal="right" vertical="center"/>
    </xf>
    <xf numFmtId="43" fontId="42" fillId="0" borderId="37" xfId="0" applyNumberFormat="1" applyFont="1" applyBorder="1" applyAlignment="1" applyProtection="1">
      <alignment horizontal="justify" vertical="center" wrapText="1"/>
    </xf>
    <xf numFmtId="43" fontId="42" fillId="0" borderId="37" xfId="0" applyNumberFormat="1" applyFont="1" applyBorder="1" applyAlignment="1" applyProtection="1">
      <alignment horizontal="right" vertical="center" wrapText="1"/>
    </xf>
    <xf numFmtId="43" fontId="43" fillId="0" borderId="37" xfId="0" applyNumberFormat="1" applyFont="1" applyBorder="1" applyAlignment="1" applyProtection="1">
      <alignment horizontal="justify" vertical="center" wrapText="1"/>
    </xf>
    <xf numFmtId="43" fontId="43" fillId="0" borderId="37" xfId="0" applyNumberFormat="1" applyFont="1" applyBorder="1" applyAlignment="1" applyProtection="1">
      <alignment horizontal="right" vertical="center" wrapText="1"/>
    </xf>
    <xf numFmtId="43" fontId="134" fillId="0" borderId="0" xfId="0" applyNumberFormat="1" applyFont="1" applyAlignment="1" applyProtection="1">
      <alignment horizontal="left" vertical="center"/>
    </xf>
    <xf numFmtId="9" fontId="120" fillId="0" borderId="3" xfId="49" quotePrefix="1" applyNumberFormat="1" applyFont="1" applyBorder="1" applyAlignment="1" applyProtection="1">
      <alignment horizontal="left" vertical="center" shrinkToFit="1"/>
    </xf>
    <xf numFmtId="0" fontId="32" fillId="38" borderId="6" xfId="49" applyFont="1" applyFill="1" applyBorder="1" applyAlignment="1">
      <alignment horizontal="center" vertical="center" wrapText="1"/>
      <protection locked="0"/>
    </xf>
    <xf numFmtId="0" fontId="32" fillId="0" borderId="0" xfId="300" applyFont="1" applyAlignment="1" applyProtection="1">
      <alignment horizontal="justify" vertical="center"/>
      <protection locked="0"/>
    </xf>
    <xf numFmtId="190" fontId="35" fillId="0" borderId="0" xfId="334" applyFont="1" applyAlignment="1">
      <alignment horizontal="left" vertical="center"/>
    </xf>
    <xf numFmtId="190" fontId="130" fillId="0" borderId="0" xfId="334" applyFont="1" applyAlignment="1">
      <alignment horizontal="left" vertical="center"/>
    </xf>
    <xf numFmtId="0" fontId="56" fillId="0" borderId="3" xfId="303" applyFont="1" applyBorder="1" applyAlignment="1">
      <alignment horizontal="center" vertical="center" wrapText="1"/>
    </xf>
    <xf numFmtId="43" fontId="58" fillId="38" borderId="3" xfId="48" applyFont="1" applyFill="1" applyBorder="1" applyAlignment="1">
      <alignment horizontal="right" vertical="center"/>
    </xf>
    <xf numFmtId="43" fontId="39" fillId="38" borderId="3" xfId="48" applyFont="1" applyFill="1" applyBorder="1" applyAlignment="1">
      <alignment horizontal="right" vertical="center"/>
    </xf>
    <xf numFmtId="43" fontId="35" fillId="38" borderId="3" xfId="48" applyFont="1" applyFill="1" applyBorder="1" applyAlignment="1">
      <alignment horizontal="right" vertical="center" wrapText="1"/>
    </xf>
    <xf numFmtId="10" fontId="35" fillId="38" borderId="3" xfId="52" applyNumberFormat="1" applyFont="1" applyFill="1" applyBorder="1" applyAlignment="1">
      <alignment horizontal="right" vertical="center" wrapText="1"/>
    </xf>
    <xf numFmtId="43" fontId="32" fillId="38" borderId="3" xfId="48" applyFont="1" applyFill="1" applyBorder="1" applyAlignment="1">
      <alignment horizontal="right" vertical="center" wrapText="1"/>
    </xf>
    <xf numFmtId="0" fontId="22" fillId="38" borderId="3" xfId="49" applyFont="1" applyFill="1" applyBorder="1" applyAlignment="1" applyProtection="1">
      <alignment horizontal="center" vertical="center"/>
    </xf>
    <xf numFmtId="43" fontId="58" fillId="38" borderId="3" xfId="335" applyFont="1" applyFill="1" applyBorder="1" applyAlignment="1">
      <alignment horizontal="right" vertical="center"/>
    </xf>
    <xf numFmtId="10" fontId="62" fillId="38" borderId="0" xfId="52" applyNumberFormat="1" applyFont="1" applyFill="1" applyBorder="1" applyAlignment="1">
      <alignment horizontal="center" vertical="center"/>
    </xf>
    <xf numFmtId="43" fontId="138" fillId="0" borderId="0" xfId="26" applyNumberFormat="1" applyFont="1" applyBorder="1" applyAlignment="1">
      <alignment vertical="center"/>
    </xf>
    <xf numFmtId="43" fontId="139" fillId="0" borderId="0" xfId="26" applyNumberFormat="1" applyFont="1" applyBorder="1" applyAlignment="1">
      <alignment vertical="center"/>
    </xf>
    <xf numFmtId="0" fontId="32" fillId="38" borderId="3" xfId="304" applyFont="1" applyFill="1" applyBorder="1">
      <protection locked="0"/>
    </xf>
    <xf numFmtId="0" fontId="16" fillId="0" borderId="0" xfId="0" applyFont="1">
      <protection locked="0"/>
    </xf>
    <xf numFmtId="0" fontId="7" fillId="0" borderId="2" xfId="0" applyFont="1" applyBorder="1" applyAlignment="1">
      <alignment horizontal="center" vertical="center"/>
      <protection locked="0"/>
    </xf>
    <xf numFmtId="0" fontId="139" fillId="36" borderId="0" xfId="303" applyFont="1" applyFill="1" applyAlignment="1" applyProtection="1">
      <alignment horizontal="left" vertical="center" wrapText="1"/>
      <protection locked="0"/>
    </xf>
    <xf numFmtId="190" fontId="16" fillId="38" borderId="0" xfId="337" applyFont="1" applyFill="1" applyAlignment="1">
      <alignment horizontal="center" vertical="center" wrapText="1"/>
    </xf>
    <xf numFmtId="0" fontId="56" fillId="0" borderId="40" xfId="0" applyFont="1" applyBorder="1" applyAlignment="1" applyProtection="1">
      <alignment vertical="center" wrapText="1"/>
    </xf>
    <xf numFmtId="0" fontId="56" fillId="0" borderId="0" xfId="0" applyFont="1" applyAlignment="1" applyProtection="1">
      <alignment vertical="center" wrapText="1"/>
    </xf>
    <xf numFmtId="0" fontId="56" fillId="0" borderId="40" xfId="0" applyFont="1" applyBorder="1" applyAlignment="1" applyProtection="1">
      <alignment horizontal="center" vertical="center" wrapText="1"/>
    </xf>
    <xf numFmtId="0" fontId="56" fillId="0" borderId="0" xfId="0" applyFont="1" applyAlignment="1" applyProtection="1">
      <alignment horizontal="center" vertical="center" wrapText="1"/>
    </xf>
    <xf numFmtId="0" fontId="54" fillId="0" borderId="40" xfId="0" applyFont="1" applyBorder="1" applyAlignment="1" applyProtection="1">
      <alignment horizontal="center" vertical="center" wrapText="1"/>
    </xf>
    <xf numFmtId="0" fontId="54" fillId="0" borderId="0" xfId="0" applyFont="1" applyAlignment="1" applyProtection="1">
      <alignment horizontal="center" vertical="center" wrapText="1"/>
    </xf>
    <xf numFmtId="190" fontId="32" fillId="0" borderId="0" xfId="334" applyFont="1" applyProtection="1">
      <alignment vertical="center"/>
      <protection locked="0"/>
    </xf>
    <xf numFmtId="190" fontId="141" fillId="0" borderId="0" xfId="334" applyFont="1" applyProtection="1">
      <alignment vertical="center"/>
      <protection locked="0"/>
    </xf>
    <xf numFmtId="49" fontId="32" fillId="0" borderId="0" xfId="303" applyNumberFormat="1" applyFont="1" applyAlignment="1" applyProtection="1">
      <alignment horizontal="left" vertical="center"/>
      <protection locked="0"/>
    </xf>
    <xf numFmtId="0" fontId="32" fillId="5" borderId="3" xfId="303" applyFont="1" applyFill="1" applyBorder="1" applyAlignment="1" applyProtection="1">
      <alignment horizontal="center" vertical="center" wrapText="1"/>
      <protection locked="0"/>
    </xf>
    <xf numFmtId="0" fontId="33" fillId="0" borderId="0" xfId="0" applyFont="1">
      <protection locked="0"/>
    </xf>
    <xf numFmtId="0" fontId="142" fillId="0" borderId="0" xfId="0" applyFont="1" applyAlignment="1" applyProtection="1">
      <alignment vertical="center" wrapText="1"/>
    </xf>
    <xf numFmtId="0" fontId="32" fillId="0" borderId="0" xfId="47" applyFont="1" applyAlignment="1">
      <alignment horizontal="left" vertical="center"/>
    </xf>
    <xf numFmtId="0" fontId="35" fillId="0" borderId="0" xfId="49" applyFont="1" applyAlignment="1">
      <alignment horizontal="left" vertical="center"/>
      <protection locked="0"/>
    </xf>
    <xf numFmtId="0" fontId="35" fillId="0" borderId="0" xfId="46" applyFont="1" applyAlignment="1">
      <alignment horizontal="left" vertical="center"/>
      <protection locked="0"/>
    </xf>
    <xf numFmtId="0" fontId="32" fillId="38" borderId="3" xfId="49" applyFont="1" applyFill="1" applyBorder="1" applyAlignment="1">
      <alignment horizontal="center" vertical="center" wrapText="1"/>
      <protection locked="0"/>
    </xf>
    <xf numFmtId="0" fontId="54" fillId="38" borderId="5" xfId="302" applyFont="1" applyFill="1" applyBorder="1">
      <alignment vertical="center"/>
    </xf>
    <xf numFmtId="0" fontId="122" fillId="38" borderId="6" xfId="302" applyFont="1" applyFill="1" applyBorder="1" applyAlignment="1">
      <alignment horizontal="center" vertical="center" wrapText="1"/>
    </xf>
    <xf numFmtId="0" fontId="32" fillId="38" borderId="7" xfId="49" applyFont="1" applyFill="1" applyBorder="1" applyAlignment="1">
      <alignment horizontal="center" vertical="center" wrapText="1"/>
      <protection locked="0"/>
    </xf>
    <xf numFmtId="0" fontId="143" fillId="38" borderId="5" xfId="49" applyFont="1" applyFill="1" applyBorder="1" applyAlignment="1" applyProtection="1">
      <alignment horizontal="center" vertical="center" wrapText="1"/>
    </xf>
    <xf numFmtId="0" fontId="143" fillId="38" borderId="6" xfId="49" applyFont="1" applyFill="1" applyBorder="1" applyAlignment="1" applyProtection="1">
      <alignment vertical="center" wrapText="1"/>
    </xf>
    <xf numFmtId="0" fontId="39" fillId="38" borderId="3" xfId="49" applyFont="1" applyFill="1" applyBorder="1" applyAlignment="1" applyProtection="1">
      <alignment vertical="center"/>
    </xf>
    <xf numFmtId="0" fontId="58" fillId="0" borderId="3" xfId="292" applyFont="1" applyBorder="1">
      <alignment vertical="center"/>
    </xf>
    <xf numFmtId="0" fontId="35" fillId="0" borderId="3" xfId="292" applyFont="1" applyBorder="1">
      <alignment vertical="center"/>
    </xf>
    <xf numFmtId="0" fontId="127" fillId="0" borderId="3" xfId="292" applyFont="1" applyBorder="1" applyAlignment="1">
      <alignment horizontal="left" vertical="center" indent="1"/>
    </xf>
    <xf numFmtId="0" fontId="127" fillId="0" borderId="3" xfId="0" applyFont="1" applyBorder="1" applyAlignment="1" applyProtection="1">
      <alignment horizontal="center" vertical="center" wrapText="1"/>
    </xf>
    <xf numFmtId="0" fontId="32" fillId="0" borderId="0" xfId="24" applyFont="1">
      <alignment vertical="center"/>
    </xf>
    <xf numFmtId="14" fontId="35" fillId="0" borderId="0" xfId="0" applyNumberFormat="1" applyFont="1" applyAlignment="1">
      <alignment horizontal="left" vertical="center" indent="2"/>
      <protection locked="0"/>
    </xf>
    <xf numFmtId="0" fontId="56" fillId="0" borderId="0" xfId="0" applyFont="1" applyAlignment="1" applyProtection="1">
      <alignment horizontal="left" vertical="center"/>
    </xf>
    <xf numFmtId="0" fontId="54" fillId="5" borderId="3" xfId="0" applyFont="1" applyFill="1" applyBorder="1" applyAlignment="1" applyProtection="1">
      <alignment horizontal="center" vertical="center" wrapText="1"/>
    </xf>
    <xf numFmtId="0" fontId="144" fillId="5" borderId="3" xfId="0" applyFont="1" applyFill="1" applyBorder="1" applyAlignment="1" applyProtection="1">
      <alignment horizontal="center" vertical="center" wrapText="1"/>
    </xf>
    <xf numFmtId="0" fontId="144" fillId="5" borderId="40" xfId="0" applyFont="1" applyFill="1" applyBorder="1" applyAlignment="1" applyProtection="1">
      <alignment horizontal="center" vertical="center" wrapText="1"/>
    </xf>
    <xf numFmtId="0" fontId="144" fillId="5" borderId="0" xfId="0" applyFont="1" applyFill="1" applyAlignment="1" applyProtection="1">
      <alignment horizontal="center" vertical="center" wrapText="1"/>
    </xf>
    <xf numFmtId="0" fontId="56" fillId="5" borderId="3" xfId="0" quotePrefix="1" applyFont="1" applyFill="1" applyBorder="1" applyAlignment="1" applyProtection="1">
      <alignment horizontal="center" vertical="center" wrapText="1"/>
    </xf>
    <xf numFmtId="0" fontId="56" fillId="5" borderId="3" xfId="0" applyFont="1" applyFill="1" applyBorder="1" applyAlignment="1" applyProtection="1">
      <alignment horizontal="left" vertical="center" wrapText="1"/>
    </xf>
    <xf numFmtId="43" fontId="127" fillId="0" borderId="3" xfId="0" applyNumberFormat="1" applyFont="1" applyBorder="1" applyAlignment="1" applyProtection="1">
      <alignment horizontal="center" vertical="center" wrapText="1"/>
    </xf>
    <xf numFmtId="0" fontId="56" fillId="5" borderId="3" xfId="0" applyFont="1" applyFill="1" applyBorder="1" applyAlignment="1" applyProtection="1">
      <alignment horizontal="center" vertical="center" wrapText="1"/>
    </xf>
    <xf numFmtId="0" fontId="125" fillId="0" borderId="3" xfId="0" applyFont="1" applyBorder="1" applyAlignment="1" applyProtection="1">
      <alignment horizontal="center" vertical="center" wrapText="1"/>
    </xf>
    <xf numFmtId="0" fontId="145" fillId="0" borderId="32" xfId="0" applyFont="1" applyBorder="1" applyAlignment="1">
      <alignment horizontal="center" vertical="center" wrapText="1"/>
      <protection locked="0"/>
    </xf>
    <xf numFmtId="0" fontId="147" fillId="0" borderId="0" xfId="0" applyFont="1" applyAlignment="1">
      <alignment vertical="center"/>
      <protection locked="0"/>
    </xf>
    <xf numFmtId="0" fontId="138" fillId="0" borderId="0" xfId="0" applyFont="1" applyAlignment="1">
      <alignment vertical="center"/>
      <protection locked="0"/>
    </xf>
    <xf numFmtId="0" fontId="148" fillId="0" borderId="0" xfId="27" applyFont="1" applyAlignment="1">
      <alignment vertical="center"/>
      <protection locked="0"/>
    </xf>
    <xf numFmtId="14" fontId="35" fillId="0" borderId="0" xfId="0" applyNumberFormat="1" applyFont="1" applyAlignment="1">
      <alignment horizontal="left" vertical="center"/>
      <protection locked="0"/>
    </xf>
    <xf numFmtId="43" fontId="35" fillId="0" borderId="0" xfId="0" applyNumberFormat="1" applyFont="1" applyAlignment="1">
      <alignment horizontal="left" vertical="center"/>
      <protection locked="0"/>
    </xf>
    <xf numFmtId="0" fontId="35" fillId="0" borderId="0" xfId="0" applyFont="1">
      <protection locked="0"/>
    </xf>
    <xf numFmtId="0" fontId="127" fillId="0" borderId="0" xfId="0" applyFont="1" applyAlignment="1">
      <alignment horizontal="left" vertical="center"/>
      <protection locked="0"/>
    </xf>
    <xf numFmtId="0" fontId="57" fillId="0" borderId="3" xfId="303" applyFont="1" applyBorder="1" applyAlignment="1">
      <alignment horizontal="center" vertical="center" wrapText="1"/>
    </xf>
    <xf numFmtId="0" fontId="55" fillId="0" borderId="3" xfId="303" applyFont="1" applyBorder="1" applyAlignment="1">
      <alignment horizontal="center" vertical="center" wrapText="1"/>
    </xf>
    <xf numFmtId="0" fontId="55" fillId="0" borderId="3" xfId="303" applyFont="1" applyFill="1" applyBorder="1" applyAlignment="1">
      <alignment horizontal="center" vertical="center" wrapText="1"/>
    </xf>
    <xf numFmtId="0" fontId="57" fillId="0" borderId="3" xfId="303" applyFont="1" applyFill="1" applyBorder="1" applyAlignment="1">
      <alignment horizontal="center" vertical="center" wrapText="1"/>
    </xf>
    <xf numFmtId="0" fontId="56" fillId="0" borderId="3" xfId="303" applyFont="1" applyFill="1" applyBorder="1" applyAlignment="1">
      <alignment horizontal="center" vertical="center" wrapText="1"/>
    </xf>
    <xf numFmtId="190" fontId="49" fillId="36" borderId="0" xfId="334" applyFont="1" applyFill="1" applyAlignment="1">
      <alignment horizontal="left" vertical="center"/>
    </xf>
    <xf numFmtId="0" fontId="49" fillId="36" borderId="0" xfId="303" applyFont="1" applyFill="1" applyAlignment="1" applyProtection="1">
      <alignment horizontal="left" vertical="center" wrapText="1"/>
      <protection locked="0"/>
    </xf>
    <xf numFmtId="190" fontId="49" fillId="38" borderId="0" xfId="337" applyFont="1" applyFill="1" applyAlignment="1">
      <alignment horizontal="center" vertical="center" wrapText="1"/>
    </xf>
    <xf numFmtId="0" fontId="149" fillId="0" borderId="0" xfId="0" applyFont="1" applyAlignment="1">
      <alignment vertical="top"/>
      <protection locked="0"/>
    </xf>
    <xf numFmtId="0" fontId="139" fillId="0" borderId="0" xfId="0" applyFont="1" applyAlignment="1">
      <alignment vertical="top"/>
      <protection locked="0"/>
    </xf>
    <xf numFmtId="0" fontId="20" fillId="0" borderId="0" xfId="25" applyFont="1" applyAlignment="1">
      <alignment vertical="center"/>
    </xf>
    <xf numFmtId="0" fontId="32" fillId="0" borderId="0" xfId="0" applyFont="1" applyBorder="1" applyAlignment="1">
      <alignment vertical="center"/>
      <protection locked="0"/>
    </xf>
    <xf numFmtId="0" fontId="32" fillId="5" borderId="3" xfId="0" applyFont="1" applyFill="1" applyBorder="1" applyAlignment="1">
      <alignment horizontal="center" vertical="center"/>
      <protection locked="0"/>
    </xf>
    <xf numFmtId="190" fontId="16" fillId="0" borderId="3" xfId="334" applyFont="1" applyBorder="1" applyAlignment="1">
      <alignment vertical="center" wrapText="1"/>
    </xf>
    <xf numFmtId="190" fontId="35" fillId="0" borderId="3" xfId="334" applyFont="1" applyBorder="1" applyAlignment="1">
      <alignment vertical="center" wrapText="1"/>
    </xf>
    <xf numFmtId="0" fontId="35" fillId="0" borderId="3" xfId="300" applyFont="1" applyBorder="1" applyAlignment="1">
      <alignment vertical="center" wrapText="1"/>
    </xf>
    <xf numFmtId="0" fontId="57" fillId="0" borderId="3" xfId="300" applyFont="1" applyBorder="1" applyAlignment="1">
      <alignment vertical="center" wrapText="1"/>
    </xf>
    <xf numFmtId="0" fontId="16" fillId="0" borderId="3" xfId="300" applyFont="1" applyBorder="1" applyAlignment="1">
      <alignment vertical="center" wrapText="1"/>
    </xf>
    <xf numFmtId="0" fontId="32" fillId="5" borderId="3" xfId="303" applyFont="1" applyFill="1" applyBorder="1" applyAlignment="1" applyProtection="1">
      <alignment horizontal="center" vertical="center"/>
      <protection locked="0"/>
    </xf>
    <xf numFmtId="190" fontId="35" fillId="0" borderId="3" xfId="334" applyFont="1" applyBorder="1" applyAlignment="1">
      <alignment horizontal="center" vertical="center" wrapText="1"/>
    </xf>
    <xf numFmtId="0" fontId="35" fillId="4" borderId="0" xfId="0" applyFont="1" applyFill="1" applyAlignment="1">
      <alignment horizontal="justify" vertical="center" wrapText="1"/>
      <protection locked="0"/>
    </xf>
    <xf numFmtId="0" fontId="54" fillId="0" borderId="3" xfId="303" applyFont="1" applyBorder="1" applyAlignment="1">
      <alignment horizontal="center" vertical="center" wrapText="1"/>
    </xf>
    <xf numFmtId="0" fontId="35" fillId="0" borderId="3" xfId="303" applyFont="1" applyBorder="1" applyAlignment="1">
      <alignment horizontal="center" vertical="center" wrapText="1"/>
    </xf>
    <xf numFmtId="0" fontId="34" fillId="0" borderId="0" xfId="24" applyFont="1" applyAlignment="1">
      <alignment vertical="center"/>
    </xf>
    <xf numFmtId="0" fontId="35" fillId="0" borderId="3" xfId="334" applyNumberFormat="1" applyFont="1" applyBorder="1" applyAlignment="1" applyProtection="1">
      <alignment horizontal="center" vertical="center"/>
      <protection locked="0"/>
    </xf>
    <xf numFmtId="190" fontId="122" fillId="0" borderId="3" xfId="334" applyFont="1" applyBorder="1" applyAlignment="1">
      <alignment horizontal="center" vertical="center"/>
    </xf>
    <xf numFmtId="0" fontId="56" fillId="0" borderId="3" xfId="298" applyFont="1" applyBorder="1" applyAlignment="1">
      <alignment vertical="center" wrapText="1"/>
    </xf>
    <xf numFmtId="0" fontId="26" fillId="0" borderId="0" xfId="0" applyFont="1" applyAlignment="1">
      <alignment horizontal="center"/>
      <protection locked="0"/>
    </xf>
    <xf numFmtId="0" fontId="153" fillId="0" borderId="2" xfId="307" quotePrefix="1" applyFont="1" applyBorder="1" applyAlignment="1">
      <alignment vertical="center"/>
      <protection locked="0"/>
    </xf>
    <xf numFmtId="0" fontId="21" fillId="0" borderId="2" xfId="27" quotePrefix="1" applyFont="1" applyBorder="1" applyAlignment="1">
      <alignment vertical="center"/>
      <protection locked="0"/>
    </xf>
    <xf numFmtId="190" fontId="36" fillId="0" borderId="0" xfId="27" applyNumberFormat="1" applyFont="1" applyAlignment="1" applyProtection="1">
      <alignment vertical="center" wrapText="1"/>
      <protection locked="0"/>
    </xf>
    <xf numFmtId="190" fontId="35" fillId="0" borderId="0" xfId="334" applyFont="1" applyAlignment="1" applyProtection="1">
      <alignment horizontal="right" vertical="center"/>
      <protection locked="0"/>
    </xf>
    <xf numFmtId="190" fontId="129" fillId="36" borderId="0" xfId="334" applyFont="1" applyFill="1" applyBorder="1" applyAlignment="1" applyProtection="1">
      <alignment horizontal="centerContinuous" vertical="center"/>
      <protection locked="0"/>
    </xf>
    <xf numFmtId="190" fontId="122" fillId="36" borderId="0" xfId="334" applyFont="1" applyFill="1" applyBorder="1" applyAlignment="1">
      <alignment horizontal="centerContinuous" vertical="center"/>
    </xf>
    <xf numFmtId="0" fontId="32" fillId="0" borderId="0" xfId="25" applyFont="1" applyBorder="1" applyAlignment="1">
      <alignment vertical="center"/>
    </xf>
    <xf numFmtId="0" fontId="35" fillId="0" borderId="0" xfId="0" applyFont="1" applyBorder="1" applyAlignment="1">
      <alignment vertical="center"/>
      <protection locked="0"/>
    </xf>
    <xf numFmtId="0" fontId="35" fillId="0" borderId="0" xfId="0" applyFont="1" applyBorder="1" applyAlignment="1">
      <alignment horizontal="center" vertical="center"/>
      <protection locked="0"/>
    </xf>
    <xf numFmtId="0" fontId="20" fillId="5" borderId="3" xfId="49" applyFont="1" applyFill="1" applyBorder="1" applyAlignment="1">
      <alignment horizontal="center" vertical="center"/>
      <protection locked="0"/>
    </xf>
    <xf numFmtId="0" fontId="20" fillId="5" borderId="3" xfId="49" applyFont="1" applyFill="1" applyBorder="1" applyAlignment="1">
      <alignment horizontal="center" vertical="center" wrapText="1"/>
      <protection locked="0"/>
    </xf>
    <xf numFmtId="190" fontId="20" fillId="5" borderId="3" xfId="50" applyFont="1" applyFill="1" applyBorder="1" applyAlignment="1" applyProtection="1">
      <alignment horizontal="center" vertical="center" wrapText="1"/>
      <protection locked="0"/>
    </xf>
    <xf numFmtId="0" fontId="20" fillId="5" borderId="3" xfId="292" applyFont="1" applyFill="1" applyBorder="1">
      <alignment vertical="center"/>
    </xf>
    <xf numFmtId="0" fontId="20" fillId="5" borderId="3" xfId="292" applyFont="1" applyFill="1" applyBorder="1" applyAlignment="1">
      <alignment horizontal="center" vertical="center" wrapText="1"/>
    </xf>
    <xf numFmtId="0" fontId="20" fillId="5" borderId="3" xfId="292" applyFont="1" applyFill="1" applyBorder="1" applyAlignment="1">
      <alignment horizontal="center" vertical="center"/>
    </xf>
    <xf numFmtId="43" fontId="39" fillId="5" borderId="3" xfId="48" applyFont="1" applyFill="1" applyBorder="1" applyAlignment="1">
      <alignment horizontal="right" vertical="center"/>
    </xf>
    <xf numFmtId="0" fontId="32" fillId="5" borderId="6" xfId="49" applyFont="1" applyFill="1" applyBorder="1" applyAlignment="1">
      <alignment horizontal="center" vertical="center" wrapText="1"/>
      <protection locked="0"/>
    </xf>
    <xf numFmtId="43" fontId="58" fillId="38" borderId="11" xfId="335" applyFont="1" applyFill="1" applyBorder="1" applyAlignment="1">
      <alignment horizontal="right" vertical="center"/>
    </xf>
    <xf numFmtId="43" fontId="35" fillId="38" borderId="0" xfId="26" applyNumberFormat="1" applyFont="1" applyFill="1" applyBorder="1" applyAlignment="1">
      <alignment horizontal="left" vertical="center"/>
    </xf>
    <xf numFmtId="43" fontId="51" fillId="0" borderId="0" xfId="53" applyNumberFormat="1" applyFont="1" applyBorder="1" applyAlignment="1" applyProtection="1">
      <alignment horizontal="center" vertical="center"/>
    </xf>
    <xf numFmtId="0" fontId="35" fillId="0" borderId="0" xfId="54" applyFont="1" applyBorder="1" applyAlignment="1">
      <alignment vertical="center"/>
    </xf>
    <xf numFmtId="0" fontId="127" fillId="0" borderId="3" xfId="300" applyFont="1" applyBorder="1" applyAlignment="1">
      <alignment horizontal="center" vertical="center" wrapText="1"/>
    </xf>
    <xf numFmtId="0" fontId="16" fillId="4" borderId="0" xfId="0" applyFont="1" applyFill="1" applyAlignment="1">
      <alignment horizontal="justify" vertical="center" wrapText="1"/>
      <protection locked="0"/>
    </xf>
    <xf numFmtId="0" fontId="123" fillId="0" borderId="0" xfId="0" applyFont="1" applyAlignment="1">
      <alignment horizontal="center" vertical="center"/>
      <protection locked="0"/>
    </xf>
    <xf numFmtId="190" fontId="60" fillId="0" borderId="0" xfId="339" applyFont="1" applyFill="1" applyAlignment="1">
      <alignment horizontal="left" vertical="center"/>
    </xf>
    <xf numFmtId="0" fontId="32" fillId="5" borderId="3" xfId="0" applyFont="1" applyFill="1" applyBorder="1" applyAlignment="1">
      <alignment horizontal="left" vertical="center"/>
      <protection locked="0"/>
    </xf>
    <xf numFmtId="43" fontId="32" fillId="5" borderId="3" xfId="28" applyFont="1" applyFill="1" applyBorder="1" applyAlignment="1" applyProtection="1">
      <alignment horizontal="left" vertical="center"/>
      <protection locked="0"/>
    </xf>
    <xf numFmtId="0" fontId="32" fillId="5" borderId="0" xfId="0" applyFont="1" applyFill="1" applyAlignment="1">
      <alignment vertical="center"/>
      <protection locked="0"/>
    </xf>
    <xf numFmtId="43" fontId="32" fillId="5" borderId="3" xfId="0" applyNumberFormat="1" applyFont="1" applyFill="1" applyBorder="1" applyAlignment="1">
      <alignment horizontal="left" vertical="center"/>
      <protection locked="0"/>
    </xf>
    <xf numFmtId="10" fontId="32" fillId="5" borderId="3" xfId="338" applyNumberFormat="1" applyFont="1" applyFill="1" applyBorder="1" applyAlignment="1" applyProtection="1">
      <alignment horizontal="right" vertical="center"/>
      <protection locked="0"/>
    </xf>
    <xf numFmtId="0" fontId="35" fillId="4" borderId="0" xfId="0" applyFont="1" applyFill="1" applyBorder="1" applyAlignment="1">
      <alignment horizontal="justify" vertical="center" wrapText="1"/>
      <protection locked="0"/>
    </xf>
    <xf numFmtId="0" fontId="34" fillId="0" borderId="0" xfId="0" applyFont="1" applyAlignment="1">
      <alignment horizontal="left" vertical="center" wrapText="1"/>
      <protection locked="0"/>
    </xf>
    <xf numFmtId="0" fontId="33" fillId="0" borderId="0" xfId="0" applyFont="1" applyAlignment="1">
      <alignment horizontal="left" vertical="center" wrapText="1"/>
      <protection locked="0"/>
    </xf>
    <xf numFmtId="190" fontId="34" fillId="0" borderId="0" xfId="333" applyFont="1" applyAlignment="1">
      <alignment horizontal="center" vertical="center"/>
    </xf>
    <xf numFmtId="190" fontId="50" fillId="0" borderId="0" xfId="333" applyFont="1" applyAlignment="1">
      <alignment horizontal="center" vertical="center"/>
    </xf>
    <xf numFmtId="0" fontId="32" fillId="5" borderId="3" xfId="303" applyFont="1" applyFill="1" applyBorder="1" applyAlignment="1" applyProtection="1">
      <alignment horizontal="center" vertical="center"/>
      <protection locked="0"/>
    </xf>
    <xf numFmtId="49" fontId="32" fillId="5" borderId="3" xfId="298" applyNumberFormat="1" applyFont="1" applyFill="1" applyBorder="1" applyAlignment="1" applyProtection="1">
      <alignment horizontal="center" vertical="center"/>
      <protection locked="0"/>
    </xf>
    <xf numFmtId="0" fontId="32" fillId="5" borderId="3" xfId="298" applyFont="1" applyFill="1" applyBorder="1" applyAlignment="1" applyProtection="1">
      <alignment horizontal="center" vertical="center" wrapText="1"/>
      <protection locked="0"/>
    </xf>
    <xf numFmtId="0" fontId="20" fillId="5" borderId="3" xfId="303" applyFont="1" applyFill="1" applyBorder="1" applyAlignment="1" applyProtection="1">
      <alignment horizontal="center" vertical="center" wrapText="1"/>
      <protection locked="0"/>
    </xf>
    <xf numFmtId="0" fontId="16" fillId="0" borderId="3" xfId="303" applyFont="1" applyBorder="1" applyAlignment="1" applyProtection="1">
      <alignment horizontal="center" vertical="center" wrapText="1"/>
      <protection locked="0"/>
    </xf>
    <xf numFmtId="0" fontId="35" fillId="0" borderId="3" xfId="303" applyFont="1" applyBorder="1" applyAlignment="1" applyProtection="1">
      <alignment horizontal="left" vertical="center" wrapText="1"/>
      <protection locked="0"/>
    </xf>
    <xf numFmtId="0" fontId="35" fillId="0" borderId="3" xfId="303" applyFont="1" applyBorder="1" applyAlignment="1" applyProtection="1">
      <alignment horizontal="center" vertical="center" wrapText="1"/>
      <protection locked="0"/>
    </xf>
    <xf numFmtId="0" fontId="32" fillId="5" borderId="3" xfId="303" applyFont="1" applyFill="1" applyBorder="1" applyAlignment="1" applyProtection="1">
      <alignment horizontal="center" vertical="center" wrapText="1"/>
      <protection locked="0"/>
    </xf>
    <xf numFmtId="0" fontId="57" fillId="0" borderId="4" xfId="300" applyFont="1" applyBorder="1" applyAlignment="1">
      <alignment horizontal="center" vertical="center" wrapText="1"/>
    </xf>
    <xf numFmtId="0" fontId="57" fillId="0" borderId="0" xfId="300" applyFont="1" applyBorder="1" applyAlignment="1">
      <alignment horizontal="center" vertical="center" wrapText="1"/>
    </xf>
    <xf numFmtId="190" fontId="35" fillId="0" borderId="4" xfId="334" applyFont="1" applyBorder="1" applyAlignment="1">
      <alignment horizontal="left" vertical="center" wrapText="1"/>
    </xf>
    <xf numFmtId="190" fontId="35" fillId="0" borderId="0" xfId="334" applyFont="1" applyBorder="1" applyAlignment="1">
      <alignment horizontal="left" vertical="center" wrapText="1"/>
    </xf>
    <xf numFmtId="0" fontId="16" fillId="0" borderId="4" xfId="300" applyFont="1" applyBorder="1" applyAlignment="1">
      <alignment horizontal="center" vertical="center" wrapText="1"/>
    </xf>
    <xf numFmtId="0" fontId="16" fillId="0" borderId="0" xfId="300" applyFont="1" applyBorder="1" applyAlignment="1">
      <alignment horizontal="center" vertical="center" wrapText="1"/>
    </xf>
    <xf numFmtId="0" fontId="35" fillId="0" borderId="4" xfId="300" applyFont="1" applyBorder="1" applyAlignment="1">
      <alignment horizontal="center" vertical="center" wrapText="1"/>
    </xf>
    <xf numFmtId="0" fontId="35" fillId="0" borderId="0" xfId="300" applyFont="1" applyBorder="1" applyAlignment="1">
      <alignment horizontal="center" vertical="center" wrapText="1"/>
    </xf>
    <xf numFmtId="0" fontId="57" fillId="0" borderId="3" xfId="300" applyFont="1" applyBorder="1" applyAlignment="1">
      <alignment vertical="center" wrapText="1"/>
    </xf>
    <xf numFmtId="0" fontId="56" fillId="0" borderId="3" xfId="300" applyFont="1" applyBorder="1" applyAlignment="1">
      <alignment vertical="center" wrapText="1"/>
    </xf>
    <xf numFmtId="190" fontId="54" fillId="5" borderId="5" xfId="334" applyFont="1" applyFill="1" applyBorder="1" applyAlignment="1">
      <alignment vertical="center" wrapText="1"/>
    </xf>
    <xf numFmtId="190" fontId="54" fillId="5" borderId="7" xfId="334" applyFont="1" applyFill="1" applyBorder="1" applyAlignment="1">
      <alignment vertical="center" wrapText="1"/>
    </xf>
    <xf numFmtId="190" fontId="56" fillId="5" borderId="5" xfId="334" applyFont="1" applyFill="1" applyBorder="1" applyAlignment="1">
      <alignment horizontal="center" vertical="center" wrapText="1"/>
    </xf>
    <xf numFmtId="190" fontId="56" fillId="5" borderId="6" xfId="334" applyFont="1" applyFill="1" applyBorder="1" applyAlignment="1">
      <alignment horizontal="center" vertical="center" wrapText="1"/>
    </xf>
    <xf numFmtId="190" fontId="56" fillId="5" borderId="7" xfId="334" applyFont="1" applyFill="1" applyBorder="1" applyAlignment="1">
      <alignment horizontal="center" vertical="center" wrapText="1"/>
    </xf>
    <xf numFmtId="190" fontId="122" fillId="5" borderId="5" xfId="334" applyFont="1" applyFill="1" applyBorder="1" applyAlignment="1">
      <alignment horizontal="center" vertical="center"/>
    </xf>
    <xf numFmtId="190" fontId="122" fillId="5" borderId="7" xfId="334" applyFont="1" applyFill="1" applyBorder="1" applyAlignment="1">
      <alignment horizontal="center" vertical="center"/>
    </xf>
    <xf numFmtId="0" fontId="131" fillId="0" borderId="3" xfId="334" applyNumberFormat="1" applyFont="1" applyBorder="1" applyAlignment="1">
      <alignment horizontal="left" vertical="center" wrapText="1"/>
    </xf>
    <xf numFmtId="0" fontId="131" fillId="0" borderId="3" xfId="334" applyNumberFormat="1" applyFont="1" applyBorder="1" applyAlignment="1">
      <alignment horizontal="center" vertical="center" wrapText="1"/>
    </xf>
    <xf numFmtId="190" fontId="122" fillId="0" borderId="5" xfId="334" applyFont="1" applyBorder="1" applyAlignment="1">
      <alignment horizontal="center" vertical="center"/>
    </xf>
    <xf numFmtId="190" fontId="122" fillId="0" borderId="7" xfId="334" applyFont="1" applyBorder="1" applyAlignment="1">
      <alignment horizontal="center" vertical="center"/>
    </xf>
    <xf numFmtId="190" fontId="57" fillId="0" borderId="5" xfId="334" applyFont="1" applyBorder="1" applyAlignment="1">
      <alignment horizontal="left" vertical="center" wrapText="1"/>
    </xf>
    <xf numFmtId="190" fontId="56" fillId="0" borderId="7" xfId="334" applyFont="1" applyBorder="1" applyAlignment="1">
      <alignment horizontal="left" vertical="center" wrapText="1"/>
    </xf>
    <xf numFmtId="0" fontId="131" fillId="0" borderId="5" xfId="334" applyNumberFormat="1" applyFont="1" applyBorder="1" applyAlignment="1">
      <alignment horizontal="center" vertical="center" wrapText="1"/>
    </xf>
    <xf numFmtId="0" fontId="131" fillId="0" borderId="6" xfId="334" applyNumberFormat="1" applyFont="1" applyBorder="1" applyAlignment="1">
      <alignment horizontal="center" vertical="center" wrapText="1"/>
    </xf>
    <xf numFmtId="0" fontId="131" fillId="0" borderId="7" xfId="334" applyNumberFormat="1" applyFont="1" applyBorder="1" applyAlignment="1">
      <alignment horizontal="center" vertical="center" wrapText="1"/>
    </xf>
    <xf numFmtId="0" fontId="57" fillId="5" borderId="3" xfId="334" applyNumberFormat="1" applyFont="1" applyFill="1" applyBorder="1" applyAlignment="1">
      <alignment horizontal="left" vertical="center" wrapText="1"/>
    </xf>
    <xf numFmtId="0" fontId="131" fillId="5" borderId="3" xfId="334" applyNumberFormat="1" applyFont="1" applyFill="1" applyBorder="1" applyAlignment="1">
      <alignment horizontal="left" vertical="center" wrapText="1"/>
    </xf>
    <xf numFmtId="0" fontId="57" fillId="5" borderId="3" xfId="334" applyNumberFormat="1" applyFont="1" applyFill="1" applyBorder="1" applyAlignment="1">
      <alignment horizontal="center" vertical="center" wrapText="1"/>
    </xf>
    <xf numFmtId="0" fontId="131" fillId="5" borderId="3" xfId="334" applyNumberFormat="1" applyFont="1" applyFill="1" applyBorder="1" applyAlignment="1">
      <alignment horizontal="center" vertical="center" wrapText="1"/>
    </xf>
    <xf numFmtId="190" fontId="127" fillId="5" borderId="5" xfId="334" applyFont="1" applyFill="1" applyBorder="1" applyAlignment="1">
      <alignment horizontal="left" vertical="center" wrapText="1"/>
    </xf>
    <xf numFmtId="190" fontId="127" fillId="5" borderId="7" xfId="334" applyFont="1" applyFill="1" applyBorder="1" applyAlignment="1">
      <alignment horizontal="left" vertical="center" wrapText="1"/>
    </xf>
    <xf numFmtId="190" fontId="57" fillId="0" borderId="3" xfId="334" applyFont="1" applyBorder="1" applyAlignment="1">
      <alignment vertical="center" wrapText="1"/>
    </xf>
    <xf numFmtId="190" fontId="56" fillId="0" borderId="3" xfId="334" applyFont="1" applyBorder="1" applyAlignment="1">
      <alignment vertical="center" wrapText="1"/>
    </xf>
    <xf numFmtId="190" fontId="35" fillId="0" borderId="3" xfId="334" applyFont="1" applyBorder="1" applyAlignment="1">
      <alignment horizontal="center" vertical="center" wrapText="1"/>
    </xf>
    <xf numFmtId="190" fontId="16" fillId="0" borderId="3" xfId="334" applyFont="1" applyBorder="1" applyAlignment="1">
      <alignment vertical="center" wrapText="1"/>
    </xf>
    <xf numFmtId="190" fontId="20" fillId="0" borderId="3" xfId="334" applyFont="1" applyBorder="1" applyAlignment="1">
      <alignment vertical="center" wrapText="1"/>
    </xf>
    <xf numFmtId="190" fontId="54" fillId="0" borderId="3" xfId="334" applyFont="1" applyBorder="1" applyAlignment="1">
      <alignment vertical="center" wrapText="1"/>
    </xf>
    <xf numFmtId="190" fontId="20" fillId="5" borderId="3" xfId="334" applyFont="1" applyFill="1" applyBorder="1" applyAlignment="1">
      <alignment vertical="center" wrapText="1"/>
    </xf>
    <xf numFmtId="190" fontId="54" fillId="5" borderId="3" xfId="334" applyFont="1" applyFill="1" applyBorder="1" applyAlignment="1">
      <alignment vertical="center" wrapText="1"/>
    </xf>
    <xf numFmtId="190" fontId="35" fillId="5" borderId="3" xfId="334" applyFont="1" applyFill="1" applyBorder="1" applyAlignment="1">
      <alignment horizontal="center" vertical="center" wrapText="1"/>
    </xf>
    <xf numFmtId="190" fontId="127" fillId="5" borderId="5" xfId="334" applyFont="1" applyFill="1" applyBorder="1" applyAlignment="1">
      <alignment horizontal="center" vertical="center" wrapText="1"/>
    </xf>
    <xf numFmtId="190" fontId="127" fillId="5" borderId="7" xfId="334" applyFont="1" applyFill="1" applyBorder="1" applyAlignment="1">
      <alignment horizontal="center" vertical="center" wrapText="1"/>
    </xf>
    <xf numFmtId="190" fontId="32" fillId="0" borderId="3" xfId="334" applyFont="1" applyBorder="1" applyAlignment="1">
      <alignment vertical="center" wrapText="1"/>
    </xf>
    <xf numFmtId="190" fontId="57" fillId="0" borderId="5" xfId="334" applyFont="1" applyBorder="1" applyAlignment="1">
      <alignment vertical="center" wrapText="1"/>
    </xf>
    <xf numFmtId="190" fontId="56" fillId="0" borderId="7" xfId="334" applyFont="1" applyBorder="1" applyAlignment="1">
      <alignment vertical="center" wrapText="1"/>
    </xf>
    <xf numFmtId="190" fontId="16" fillId="5" borderId="3" xfId="334" applyFont="1" applyFill="1" applyBorder="1" applyAlignment="1">
      <alignment vertical="center" wrapText="1"/>
    </xf>
    <xf numFmtId="190" fontId="56" fillId="5" borderId="3" xfId="334" applyFont="1" applyFill="1" applyBorder="1" applyAlignment="1">
      <alignment vertical="center" wrapText="1"/>
    </xf>
    <xf numFmtId="190" fontId="57" fillId="5" borderId="5" xfId="334" applyFont="1" applyFill="1" applyBorder="1" applyAlignment="1">
      <alignment vertical="center" wrapText="1"/>
    </xf>
    <xf numFmtId="190" fontId="56" fillId="5" borderId="7" xfId="334" applyFont="1" applyFill="1" applyBorder="1" applyAlignment="1">
      <alignment vertical="center" wrapText="1"/>
    </xf>
    <xf numFmtId="190" fontId="35" fillId="0" borderId="3" xfId="334" applyFont="1" applyBorder="1" applyAlignment="1">
      <alignment vertical="center" wrapText="1"/>
    </xf>
    <xf numFmtId="190" fontId="32" fillId="5" borderId="3" xfId="334" applyFont="1" applyFill="1" applyBorder="1" applyAlignment="1">
      <alignment vertical="center" wrapText="1"/>
    </xf>
    <xf numFmtId="190" fontId="35" fillId="5" borderId="3" xfId="334" applyFont="1" applyFill="1" applyBorder="1" applyAlignment="1">
      <alignment horizontal="left" vertical="center" wrapText="1"/>
    </xf>
    <xf numFmtId="190" fontId="56" fillId="5" borderId="3" xfId="334" applyFont="1" applyFill="1" applyBorder="1" applyAlignment="1">
      <alignment horizontal="left" vertical="center" wrapText="1"/>
    </xf>
    <xf numFmtId="190" fontId="32" fillId="5" borderId="3" xfId="334" applyFont="1" applyFill="1" applyBorder="1" applyAlignment="1" applyProtection="1">
      <alignment horizontal="center" vertical="center" wrapText="1"/>
      <protection locked="0"/>
    </xf>
    <xf numFmtId="190" fontId="123" fillId="0" borderId="0" xfId="333" applyFont="1" applyAlignment="1">
      <alignment horizontal="center" vertical="center"/>
    </xf>
    <xf numFmtId="190" fontId="86" fillId="0" borderId="3" xfId="334" applyFont="1" applyBorder="1" applyAlignment="1" applyProtection="1">
      <alignment horizontal="left" vertical="center" wrapText="1"/>
      <protection locked="0"/>
    </xf>
    <xf numFmtId="190" fontId="86" fillId="0" borderId="5" xfId="334" applyFont="1" applyBorder="1" applyAlignment="1" applyProtection="1">
      <alignment horizontal="center" vertical="center"/>
      <protection locked="0"/>
    </xf>
    <xf numFmtId="190" fontId="86" fillId="0" borderId="6" xfId="334" applyFont="1" applyBorder="1" applyAlignment="1" applyProtection="1">
      <alignment horizontal="center" vertical="center"/>
      <protection locked="0"/>
    </xf>
    <xf numFmtId="190" fontId="86" fillId="0" borderId="7" xfId="334" applyFont="1" applyBorder="1" applyAlignment="1" applyProtection="1">
      <alignment horizontal="center" vertical="center"/>
      <protection locked="0"/>
    </xf>
    <xf numFmtId="190" fontId="32" fillId="0" borderId="11" xfId="334" applyFont="1" applyBorder="1" applyAlignment="1" applyProtection="1">
      <alignment horizontal="center" vertical="center" wrapText="1"/>
      <protection locked="0"/>
    </xf>
    <xf numFmtId="190" fontId="32" fillId="0" borderId="13" xfId="334" applyFont="1" applyBorder="1" applyAlignment="1" applyProtection="1">
      <alignment horizontal="center" vertical="center" wrapText="1"/>
      <protection locked="0"/>
    </xf>
    <xf numFmtId="190" fontId="42" fillId="0" borderId="3" xfId="334" applyFont="1" applyBorder="1" applyAlignment="1" applyProtection="1">
      <alignment horizontal="left" vertical="center" wrapText="1"/>
      <protection locked="0"/>
    </xf>
    <xf numFmtId="190" fontId="42" fillId="0" borderId="5" xfId="334" applyFont="1" applyBorder="1" applyAlignment="1" applyProtection="1">
      <alignment horizontal="left" vertical="center" wrapText="1"/>
      <protection locked="0"/>
    </xf>
    <xf numFmtId="190" fontId="42" fillId="0" borderId="7" xfId="334" applyFont="1" applyBorder="1" applyAlignment="1" applyProtection="1">
      <alignment horizontal="left" vertical="center" wrapText="1"/>
      <protection locked="0"/>
    </xf>
    <xf numFmtId="190" fontId="20" fillId="5" borderId="3" xfId="334" applyFont="1" applyFill="1" applyBorder="1" applyAlignment="1" applyProtection="1">
      <alignment horizontal="center" vertical="center" wrapText="1"/>
      <protection locked="0"/>
    </xf>
    <xf numFmtId="190" fontId="32" fillId="5" borderId="3" xfId="334" applyFont="1" applyFill="1" applyBorder="1" applyAlignment="1" applyProtection="1">
      <alignment horizontal="center" vertical="center"/>
      <protection locked="0"/>
    </xf>
    <xf numFmtId="43" fontId="17" fillId="0" borderId="0" xfId="26" applyNumberFormat="1" applyFont="1" applyBorder="1" applyAlignment="1">
      <alignment horizontal="center" vertical="center"/>
    </xf>
    <xf numFmtId="43" fontId="123" fillId="0" borderId="0" xfId="26" applyNumberFormat="1" applyFont="1" applyBorder="1" applyAlignment="1">
      <alignment horizontal="center" vertical="center"/>
    </xf>
    <xf numFmtId="0" fontId="22" fillId="5" borderId="11" xfId="49" applyFont="1" applyFill="1" applyBorder="1" applyAlignment="1" applyProtection="1">
      <alignment horizontal="center" vertical="center" wrapText="1"/>
    </xf>
    <xf numFmtId="0" fontId="39" fillId="5" borderId="13" xfId="49" applyFont="1" applyFill="1" applyBorder="1" applyAlignment="1" applyProtection="1">
      <alignment vertical="center" wrapText="1"/>
    </xf>
    <xf numFmtId="190" fontId="32" fillId="38" borderId="5" xfId="50" applyFont="1" applyFill="1" applyBorder="1" applyAlignment="1" applyProtection="1">
      <alignment horizontal="center" vertical="center" wrapText="1"/>
      <protection locked="0"/>
    </xf>
    <xf numFmtId="190" fontId="32" fillId="38" borderId="6" xfId="50" applyFont="1" applyFill="1" applyBorder="1" applyAlignment="1" applyProtection="1">
      <alignment horizontal="center" vertical="center" wrapText="1"/>
      <protection locked="0"/>
    </xf>
    <xf numFmtId="190" fontId="32" fillId="38" borderId="7" xfId="50" applyFont="1" applyFill="1" applyBorder="1" applyAlignment="1" applyProtection="1">
      <alignment horizontal="center" vertical="center" wrapText="1"/>
      <protection locked="0"/>
    </xf>
    <xf numFmtId="190" fontId="32" fillId="5" borderId="5" xfId="50" applyFont="1" applyFill="1" applyBorder="1" applyAlignment="1" applyProtection="1">
      <alignment horizontal="center" vertical="center" wrapText="1"/>
      <protection locked="0"/>
    </xf>
    <xf numFmtId="190" fontId="32" fillId="5" borderId="6" xfId="50" applyFont="1" applyFill="1" applyBorder="1" applyAlignment="1" applyProtection="1">
      <alignment horizontal="center" vertical="center" wrapText="1"/>
      <protection locked="0"/>
    </xf>
    <xf numFmtId="190" fontId="32" fillId="5" borderId="7" xfId="50" applyFont="1" applyFill="1" applyBorder="1" applyAlignment="1" applyProtection="1">
      <alignment horizontal="center" vertical="center" wrapText="1"/>
      <protection locked="0"/>
    </xf>
    <xf numFmtId="190" fontId="22" fillId="5" borderId="3" xfId="51" applyNumberFormat="1" applyFont="1" applyFill="1" applyBorder="1" applyAlignment="1">
      <alignment horizontal="center" vertical="center" wrapText="1"/>
      <protection locked="0"/>
    </xf>
    <xf numFmtId="0" fontId="32" fillId="5" borderId="3" xfId="51" applyFont="1" applyFill="1" applyBorder="1" applyAlignment="1">
      <alignment horizontal="center" vertical="center" wrapText="1"/>
      <protection locked="0"/>
    </xf>
    <xf numFmtId="0" fontId="39" fillId="5" borderId="3" xfId="49" applyFont="1" applyFill="1" applyBorder="1" applyAlignment="1" applyProtection="1">
      <alignment horizontal="center" vertical="center"/>
    </xf>
    <xf numFmtId="0" fontId="58" fillId="5" borderId="3" xfId="49" applyFont="1" applyFill="1" applyBorder="1" applyAlignment="1" applyProtection="1">
      <alignment vertical="center"/>
    </xf>
    <xf numFmtId="0" fontId="134" fillId="0" borderId="0" xfId="0" applyFont="1" applyAlignment="1">
      <alignment horizontal="left" vertical="center" wrapText="1"/>
      <protection locked="0"/>
    </xf>
    <xf numFmtId="0" fontId="17" fillId="0" borderId="0" xfId="24" applyFont="1" applyAlignment="1">
      <alignment horizontal="center" vertical="center"/>
    </xf>
    <xf numFmtId="0" fontId="42" fillId="0" borderId="9" xfId="0" applyFont="1" applyBorder="1" applyAlignment="1">
      <alignment horizontal="center" vertical="center"/>
      <protection locked="0"/>
    </xf>
    <xf numFmtId="0" fontId="135" fillId="0" borderId="12" xfId="0" applyFont="1" applyBorder="1" applyAlignment="1">
      <alignment horizontal="center" vertical="center" wrapText="1"/>
      <protection locked="0"/>
    </xf>
    <xf numFmtId="0" fontId="135" fillId="0" borderId="9" xfId="0" applyFont="1" applyBorder="1" applyAlignment="1">
      <alignment horizontal="center" vertical="center" wrapText="1"/>
      <protection locked="0"/>
    </xf>
    <xf numFmtId="0" fontId="34" fillId="0" borderId="0" xfId="24" applyFont="1" applyAlignment="1">
      <alignment horizontal="center" vertical="center"/>
    </xf>
    <xf numFmtId="43" fontId="135" fillId="0" borderId="8" xfId="0" applyNumberFormat="1" applyFont="1" applyBorder="1" applyAlignment="1" applyProtection="1">
      <alignment horizontal="justify" vertical="center" wrapText="1"/>
    </xf>
    <xf numFmtId="0" fontId="42" fillId="0" borderId="37" xfId="0" applyFont="1" applyBorder="1" applyProtection="1"/>
    <xf numFmtId="43" fontId="135" fillId="0" borderId="12" xfId="0" applyNumberFormat="1" applyFont="1" applyBorder="1" applyAlignment="1" applyProtection="1">
      <alignment horizontal="center" vertical="center" wrapText="1"/>
    </xf>
    <xf numFmtId="0" fontId="42" fillId="0" borderId="12" xfId="0" applyFont="1" applyBorder="1" applyProtection="1"/>
    <xf numFmtId="0" fontId="151" fillId="0" borderId="0" xfId="0" applyFont="1" applyAlignment="1" applyProtection="1">
      <alignment horizontal="center" vertical="center"/>
    </xf>
    <xf numFmtId="0" fontId="152" fillId="0" borderId="0" xfId="27" applyFont="1" applyBorder="1" applyAlignment="1" applyProtection="1">
      <alignment horizontal="center" vertical="center"/>
    </xf>
    <xf numFmtId="0" fontId="32" fillId="38" borderId="11" xfId="49" applyFont="1" applyFill="1" applyBorder="1" applyAlignment="1">
      <alignment horizontal="center" vertical="center" wrapText="1"/>
      <protection locked="0"/>
    </xf>
    <xf numFmtId="0" fontId="122" fillId="38" borderId="13" xfId="302" applyFont="1" applyFill="1" applyBorder="1" applyAlignment="1">
      <alignment horizontal="center" vertical="center" wrapText="1"/>
    </xf>
    <xf numFmtId="0" fontId="20" fillId="38" borderId="11" xfId="49" applyFont="1" applyFill="1" applyBorder="1" applyAlignment="1">
      <alignment horizontal="center" vertical="center" wrapText="1"/>
      <protection locked="0"/>
    </xf>
    <xf numFmtId="0" fontId="32" fillId="38" borderId="13" xfId="49" applyFont="1" applyFill="1" applyBorder="1" applyAlignment="1">
      <alignment horizontal="center" vertical="center" wrapText="1"/>
      <protection locked="0"/>
    </xf>
    <xf numFmtId="0" fontId="32" fillId="38" borderId="38" xfId="49" applyFont="1" applyFill="1" applyBorder="1" applyAlignment="1">
      <alignment horizontal="center" vertical="center" wrapText="1"/>
      <protection locked="0"/>
    </xf>
    <xf numFmtId="0" fontId="32" fillId="38" borderId="39" xfId="49" applyFont="1" applyFill="1" applyBorder="1" applyAlignment="1">
      <alignment horizontal="center" vertical="center" wrapText="1"/>
      <protection locked="0"/>
    </xf>
    <xf numFmtId="0" fontId="32" fillId="38" borderId="5" xfId="49" applyFont="1" applyFill="1" applyBorder="1" applyAlignment="1">
      <alignment horizontal="center" vertical="center" wrapText="1"/>
      <protection locked="0"/>
    </xf>
    <xf numFmtId="0" fontId="32" fillId="38" borderId="6" xfId="49" applyFont="1" applyFill="1" applyBorder="1" applyAlignment="1">
      <alignment horizontal="center" vertical="center" wrapText="1"/>
      <protection locked="0"/>
    </xf>
    <xf numFmtId="0" fontId="33" fillId="38" borderId="6" xfId="0" applyFont="1" applyFill="1" applyBorder="1" applyAlignment="1">
      <alignment horizontal="center" vertical="center" wrapText="1"/>
      <protection locked="0"/>
    </xf>
    <xf numFmtId="0" fontId="33" fillId="38" borderId="7" xfId="0" applyFont="1" applyFill="1" applyBorder="1" applyAlignment="1">
      <alignment horizontal="center" vertical="center" wrapText="1"/>
      <protection locked="0"/>
    </xf>
    <xf numFmtId="0" fontId="132" fillId="0" borderId="0" xfId="292" applyFont="1" applyAlignment="1" applyProtection="1">
      <alignment horizontal="left" vertical="center" wrapText="1"/>
      <protection locked="0"/>
    </xf>
    <xf numFmtId="0" fontId="33" fillId="0" borderId="0" xfId="292" applyFont="1" applyAlignment="1" applyProtection="1">
      <alignment horizontal="left" vertical="center" wrapText="1"/>
      <protection locked="0"/>
    </xf>
    <xf numFmtId="0" fontId="134" fillId="0" borderId="18" xfId="0" applyFont="1" applyBorder="1" applyAlignment="1">
      <alignment horizontal="justify" vertical="center" wrapText="1"/>
      <protection locked="0"/>
    </xf>
    <xf numFmtId="0" fontId="134" fillId="0" borderId="8" xfId="0" applyFont="1" applyBorder="1" applyAlignment="1">
      <alignment vertical="center" wrapText="1"/>
      <protection locked="0"/>
    </xf>
    <xf numFmtId="0" fontId="134" fillId="0" borderId="16" xfId="0" applyFont="1" applyBorder="1" applyAlignment="1">
      <alignment vertical="center" wrapText="1"/>
      <protection locked="0"/>
    </xf>
    <xf numFmtId="0" fontId="134" fillId="0" borderId="19" xfId="0" applyFont="1" applyBorder="1" applyAlignment="1">
      <alignment horizontal="justify" vertical="center" wrapText="1"/>
      <protection locked="0"/>
    </xf>
    <xf numFmtId="0" fontId="134" fillId="0" borderId="12" xfId="0" applyFont="1" applyBorder="1" applyAlignment="1">
      <alignment vertical="center" wrapText="1"/>
      <protection locked="0"/>
    </xf>
    <xf numFmtId="0" fontId="134" fillId="0" borderId="20" xfId="0" applyFont="1" applyBorder="1" applyAlignment="1">
      <alignment vertical="center" wrapText="1"/>
      <protection locked="0"/>
    </xf>
    <xf numFmtId="0" fontId="134" fillId="0" borderId="21" xfId="0" applyFont="1" applyBorder="1" applyAlignment="1">
      <alignment horizontal="justify" vertical="center" wrapText="1"/>
      <protection locked="0"/>
    </xf>
    <xf numFmtId="0" fontId="134" fillId="0" borderId="9" xfId="0" applyFont="1" applyBorder="1" applyAlignment="1">
      <alignment vertical="center" wrapText="1"/>
      <protection locked="0"/>
    </xf>
    <xf numFmtId="0" fontId="134" fillId="0" borderId="17" xfId="0" applyFont="1" applyBorder="1" applyAlignment="1">
      <alignment vertical="center" wrapText="1"/>
      <protection locked="0"/>
    </xf>
    <xf numFmtId="0" fontId="60" fillId="0" borderId="0" xfId="0" applyFont="1" applyAlignment="1">
      <alignment vertical="center" wrapText="1"/>
      <protection locked="0"/>
    </xf>
    <xf numFmtId="0" fontId="60" fillId="0" borderId="0" xfId="0" applyFont="1" applyAlignment="1">
      <alignment vertical="center"/>
      <protection locked="0"/>
    </xf>
    <xf numFmtId="0" fontId="145" fillId="0" borderId="36" xfId="0" applyFont="1" applyBorder="1" applyAlignment="1">
      <alignment horizontal="center" vertical="center" wrapText="1"/>
      <protection locked="0"/>
    </xf>
    <xf numFmtId="0" fontId="134" fillId="0" borderId="33" xfId="0" applyFont="1" applyBorder="1" applyAlignment="1">
      <alignment horizontal="center" vertical="center" wrapText="1"/>
      <protection locked="0"/>
    </xf>
    <xf numFmtId="0" fontId="134" fillId="0" borderId="32" xfId="0" applyFont="1" applyBorder="1" applyAlignment="1">
      <alignment horizontal="center" vertical="center" wrapText="1"/>
      <protection locked="0"/>
    </xf>
    <xf numFmtId="0" fontId="134" fillId="0" borderId="20" xfId="0" applyFont="1" applyBorder="1" applyAlignment="1">
      <alignment horizontal="justify" vertical="center" wrapText="1"/>
      <protection locked="0"/>
    </xf>
    <xf numFmtId="0" fontId="134" fillId="0" borderId="34" xfId="0" applyFont="1" applyBorder="1" applyAlignment="1">
      <alignment horizontal="justify" vertical="center" wrapText="1"/>
      <protection locked="0"/>
    </xf>
    <xf numFmtId="0" fontId="134" fillId="0" borderId="17" xfId="0" applyFont="1" applyBorder="1" applyAlignment="1">
      <alignment horizontal="justify" vertical="center" wrapText="1"/>
      <protection locked="0"/>
    </xf>
    <xf numFmtId="0" fontId="134" fillId="0" borderId="35" xfId="0" applyFont="1" applyBorder="1" applyAlignment="1">
      <alignment horizontal="justify" vertical="center" wrapText="1"/>
      <protection locked="0"/>
    </xf>
    <xf numFmtId="0" fontId="54" fillId="5" borderId="5" xfId="0" applyFont="1" applyFill="1" applyBorder="1" applyAlignment="1" applyProtection="1">
      <alignment horizontal="center" vertical="center" wrapText="1"/>
    </xf>
    <xf numFmtId="0" fontId="33" fillId="0" borderId="7" xfId="0" applyFont="1" applyBorder="1" applyAlignment="1">
      <alignment horizontal="center" vertical="center" wrapText="1"/>
      <protection locked="0"/>
    </xf>
    <xf numFmtId="0" fontId="146" fillId="0" borderId="32" xfId="0" applyFont="1" applyBorder="1" applyAlignment="1">
      <alignment horizontal="center" vertical="center" wrapText="1"/>
      <protection locked="0"/>
    </xf>
    <xf numFmtId="0" fontId="134" fillId="0" borderId="19" xfId="0" applyFont="1" applyBorder="1" applyAlignment="1">
      <alignment horizontal="center" vertical="center" wrapText="1"/>
      <protection locked="0"/>
    </xf>
    <xf numFmtId="0" fontId="146" fillId="0" borderId="20" xfId="0" applyFont="1" applyBorder="1" applyAlignment="1">
      <alignment horizontal="center" vertical="center" wrapText="1"/>
      <protection locked="0"/>
    </xf>
    <xf numFmtId="0" fontId="134" fillId="0" borderId="21" xfId="0" applyFont="1" applyBorder="1" applyAlignment="1">
      <alignment horizontal="center" vertical="center" wrapText="1"/>
      <protection locked="0"/>
    </xf>
    <xf numFmtId="0" fontId="146" fillId="0" borderId="17" xfId="0" applyFont="1" applyBorder="1" applyAlignment="1">
      <alignment horizontal="center" vertical="center" wrapText="1"/>
      <protection locked="0"/>
    </xf>
    <xf numFmtId="0" fontId="134" fillId="0" borderId="18" xfId="0" applyFont="1" applyBorder="1" applyAlignment="1">
      <alignment horizontal="center" vertical="center" wrapText="1"/>
      <protection locked="0"/>
    </xf>
    <xf numFmtId="0" fontId="146" fillId="0" borderId="16" xfId="0" applyFont="1" applyBorder="1" applyAlignment="1">
      <alignment horizontal="center" vertical="center" wrapText="1"/>
      <protection locked="0"/>
    </xf>
    <xf numFmtId="0" fontId="123" fillId="0" borderId="0" xfId="24" applyFont="1" applyAlignment="1">
      <alignment horizontal="center" vertical="center"/>
    </xf>
    <xf numFmtId="0" fontId="146" fillId="0" borderId="16" xfId="0" applyFont="1" applyBorder="1" applyAlignment="1">
      <alignment horizontal="justify" vertical="center" wrapText="1"/>
      <protection locked="0"/>
    </xf>
    <xf numFmtId="0" fontId="146" fillId="0" borderId="20" xfId="0" applyFont="1" applyBorder="1" applyAlignment="1">
      <alignment horizontal="justify" vertical="center" wrapText="1"/>
      <protection locked="0"/>
    </xf>
    <xf numFmtId="0" fontId="146" fillId="0" borderId="17" xfId="0" applyFont="1" applyBorder="1" applyAlignment="1">
      <alignment horizontal="justify" vertical="center" wrapText="1"/>
      <protection locked="0"/>
    </xf>
    <xf numFmtId="0" fontId="54" fillId="5" borderId="11" xfId="0" applyFont="1" applyFill="1" applyBorder="1" applyAlignment="1" applyProtection="1">
      <alignment horizontal="center" vertical="center" wrapText="1"/>
    </xf>
    <xf numFmtId="0" fontId="33" fillId="0" borderId="13" xfId="0" applyFont="1" applyBorder="1" applyAlignment="1">
      <alignment horizontal="center" vertical="center" wrapText="1"/>
      <protection locked="0"/>
    </xf>
    <xf numFmtId="0" fontId="33" fillId="0" borderId="14" xfId="0" applyFont="1" applyBorder="1" applyAlignment="1">
      <alignment horizontal="center" vertical="center" wrapText="1"/>
      <protection locked="0"/>
    </xf>
    <xf numFmtId="0" fontId="56" fillId="5" borderId="11" xfId="0" applyFont="1" applyFill="1" applyBorder="1" applyAlignment="1" applyProtection="1">
      <alignment horizontal="center" vertical="center" wrapText="1"/>
    </xf>
    <xf numFmtId="14" fontId="20" fillId="5" borderId="3" xfId="0" applyNumberFormat="1" applyFont="1" applyFill="1" applyBorder="1" applyAlignment="1">
      <alignment horizontal="center" vertical="center"/>
      <protection locked="0"/>
    </xf>
    <xf numFmtId="0" fontId="32" fillId="39" borderId="3" xfId="49" applyFont="1" applyFill="1" applyBorder="1" applyAlignment="1" applyProtection="1">
      <alignment horizontal="center" vertical="center" wrapText="1"/>
    </xf>
    <xf numFmtId="0" fontId="17" fillId="0" borderId="0" xfId="0" applyFont="1" applyAlignment="1">
      <alignment horizontal="center" vertical="center"/>
      <protection locked="0"/>
    </xf>
    <xf numFmtId="0" fontId="123" fillId="0" borderId="0" xfId="0" applyFont="1" applyAlignment="1">
      <alignment horizontal="center" vertical="center"/>
      <protection locked="0"/>
    </xf>
    <xf numFmtId="0" fontId="20" fillId="5" borderId="3" xfId="49" applyFont="1" applyFill="1" applyBorder="1" applyAlignment="1">
      <alignment horizontal="center" vertical="center"/>
      <protection locked="0"/>
    </xf>
    <xf numFmtId="0" fontId="20" fillId="39" borderId="3" xfId="49" applyFont="1" applyFill="1" applyBorder="1" applyAlignment="1" applyProtection="1">
      <alignment horizontal="center" vertical="center" wrapText="1"/>
    </xf>
    <xf numFmtId="0" fontId="20" fillId="5" borderId="3" xfId="292" applyFont="1" applyFill="1" applyBorder="1" applyAlignment="1" applyProtection="1">
      <alignment horizontal="center" vertical="center" wrapText="1"/>
      <protection locked="0"/>
    </xf>
    <xf numFmtId="0" fontId="32" fillId="5" borderId="3" xfId="292" applyFont="1" applyFill="1" applyBorder="1" applyAlignment="1" applyProtection="1">
      <alignment horizontal="center" vertical="center" wrapText="1"/>
      <protection locked="0"/>
    </xf>
    <xf numFmtId="0" fontId="32" fillId="5" borderId="5" xfId="0" applyFont="1" applyFill="1" applyBorder="1" applyAlignment="1">
      <alignment horizontal="center" vertical="center"/>
      <protection locked="0"/>
    </xf>
    <xf numFmtId="0" fontId="32" fillId="5" borderId="6" xfId="0" applyFont="1" applyFill="1" applyBorder="1" applyAlignment="1">
      <alignment horizontal="center" vertical="center"/>
      <protection locked="0"/>
    </xf>
    <xf numFmtId="0" fontId="20" fillId="39" borderId="11" xfId="49" applyFont="1" applyFill="1" applyBorder="1" applyAlignment="1" applyProtection="1">
      <alignment horizontal="center" vertical="center" wrapText="1"/>
    </xf>
    <xf numFmtId="0" fontId="20" fillId="39" borderId="13" xfId="49" applyFont="1" applyFill="1" applyBorder="1" applyAlignment="1" applyProtection="1">
      <alignment horizontal="center" vertical="center" wrapText="1"/>
    </xf>
  </cellXfs>
  <cellStyles count="340">
    <cellStyle name="%" xfId="55"/>
    <cellStyle name="% 2" xfId="56"/>
    <cellStyle name="?" xfId="57"/>
    <cellStyle name="??" xfId="58"/>
    <cellStyle name="?? [0]" xfId="59"/>
    <cellStyle name="??_0N-HANDLING " xfId="60"/>
    <cellStyle name="?餡_x000c_k" xfId="61"/>
    <cellStyle name="?餡_x000c_k?_x000d_^" xfId="62"/>
    <cellStyle name="?餡_x000c_k?_x000d_^黇_x0001_??_x0007__x0001__x0001_" xfId="63"/>
    <cellStyle name="@_text" xfId="1"/>
    <cellStyle name="@_text_子公司附注汇总(房开公司)" xfId="64"/>
    <cellStyle name="_(本部)2006年年报审计PBC表" xfId="65"/>
    <cellStyle name="_07930建造合同" xfId="66"/>
    <cellStyle name="_12月项目部访问及审计-德勤" xfId="67"/>
    <cellStyle name="_2005-08-31审计底稿－李" xfId="68"/>
    <cellStyle name="_2005审计报表及附注-中国建材股份模板（房屋）" xfId="69"/>
    <cellStyle name="_2006年年报审计PBC表（合并）" xfId="70"/>
    <cellStyle name="_2006年年报审计PBC表-XX" xfId="71"/>
    <cellStyle name="_2006年年报审计PBC表-XXX" xfId="72"/>
    <cellStyle name="_2006年年报审计PBC表-福州分公司" xfId="73"/>
    <cellStyle name="_2006年年报审计PBC表-云南分公司" xfId="74"/>
    <cellStyle name="_2006年年报审计填报资料" xfId="75"/>
    <cellStyle name="_2007调整分录-鲁佳" xfId="76"/>
    <cellStyle name="_Book1" xfId="77"/>
    <cellStyle name="_CREC(Huo" xfId="78"/>
    <cellStyle name="_ET_STYLE_NoName_00_" xfId="79"/>
    <cellStyle name="_ET_STYLE_NoName_00__2007调整分录-鲁佳" xfId="80"/>
    <cellStyle name="_ET_STYLE_NoName_00__股份本部" xfId="81"/>
    <cellStyle name="_ET_STYLE_NoName_00__股份本部_1" xfId="82"/>
    <cellStyle name="_ET_STYLE_NoName_00__股份本部_3" xfId="83"/>
    <cellStyle name="_ET_STYLE_NoName_00__股份本部_6_股份本部_2" xfId="84"/>
    <cellStyle name="_ET_STYLE_NoName_00__股份本部_7_股份本部_3" xfId="85"/>
    <cellStyle name="_J1000-存货-ZHHG" xfId="86"/>
    <cellStyle name="_PBC审核提示" xfId="87"/>
    <cellStyle name="_宝丽华房地产20051231" xfId="88"/>
    <cellStyle name="_保证金-企业填写部分" xfId="89"/>
    <cellStyle name="_北新房屋2004年审-刘" xfId="90"/>
    <cellStyle name="_北新股份2005年审工作底稿" xfId="91"/>
    <cellStyle name="_北新建材关连交易基础表051230（10－12月版）更新稿" xfId="92"/>
    <cellStyle name="_北新建材-会计报表附注模版" xfId="93"/>
    <cellStyle name="_北新龙之星2004年审工作底稿" xfId="94"/>
    <cellStyle name="_北新物流2005底稿-刘" xfId="95"/>
    <cellStyle name="_北新置换memo" xfId="96"/>
    <cellStyle name="_本部其他应收应付年审底稿--鲁佳pb" xfId="97"/>
    <cellStyle name="_存货结转测试" xfId="98"/>
    <cellStyle name="_存货数量与明细05.12" xfId="99"/>
    <cellStyle name="_动力厂2004年审工作底稿-刘" xfId="100"/>
    <cellStyle name="_分工" xfId="101"/>
    <cellStyle name="_工程施工项目现场审计提示" xfId="102"/>
    <cellStyle name="_关联交易" xfId="103"/>
    <cellStyle name="_关联交易、往来统计表" xfId="104"/>
    <cellStyle name="_合并报表审计调整模板(CREC)" xfId="105"/>
    <cellStyle name="_合并公司2006年度科目明细表(定稿)" xfId="106"/>
    <cellStyle name="_建造合同-宜万指（正式版）" xfId="107"/>
    <cellStyle name="_科目核对表" xfId="108"/>
    <cellStyle name="_刘青分工填列信息统计" xfId="109"/>
    <cellStyle name="_刘青分工－子公司审计模板-电务" xfId="110"/>
    <cellStyle name="_刘青分工－子公司审计模板－铁达本部" xfId="111"/>
    <cellStyle name="_母PL" xfId="112"/>
    <cellStyle name="_母公司底稿-鲁佳" xfId="113"/>
    <cellStyle name="_年审筹资循环资料清单" xfId="114"/>
    <cellStyle name="_人员分工备忘录" xfId="115"/>
    <cellStyle name="_审计底稿-轩" xfId="116"/>
    <cellStyle name="_审计所需资料清单－子公司" xfId="117"/>
    <cellStyle name="_审计提示模版" xfId="118"/>
    <cellStyle name="_审计提示模版-母公司部分" xfId="119"/>
    <cellStyle name="_铁鸿源－刘青分工－子公司审计模板" xfId="120"/>
    <cellStyle name="_兴华审计成本" xfId="121"/>
    <cellStyle name="_岩土长投--急0121报王占学" xfId="122"/>
    <cellStyle name="_一公司建造合同前5名" xfId="123"/>
    <cellStyle name="_一公司－刘丰收" xfId="124"/>
    <cellStyle name="_银行询证函统计－大表" xfId="125"/>
    <cellStyle name="_长期借款－江阴" xfId="126"/>
    <cellStyle name="_子公司筹资循环－刘青" xfId="127"/>
    <cellStyle name="_子公司审计提示模版-Liufs" xfId="128"/>
    <cellStyle name="{Comma [0]}" xfId="2"/>
    <cellStyle name="{Comma}" xfId="3"/>
    <cellStyle name="{Date}" xfId="4"/>
    <cellStyle name="{Month}" xfId="5"/>
    <cellStyle name="{Percent}" xfId="6"/>
    <cellStyle name="{Thousand [0]}" xfId="7"/>
    <cellStyle name="{Thousand}" xfId="8"/>
    <cellStyle name="{Z'0000(1 dec)}" xfId="9"/>
    <cellStyle name="{Z'0000(4 dec)}" xfId="10"/>
    <cellStyle name="0%" xfId="129"/>
    <cellStyle name="0,0_x000d__x000a_NA_x000d__x000a_" xfId="130"/>
    <cellStyle name="0.0%" xfId="131"/>
    <cellStyle name="0.00%" xfId="132"/>
    <cellStyle name="00" xfId="133"/>
    <cellStyle name="20% - Accent1" xfId="134"/>
    <cellStyle name="20% - Accent2" xfId="135"/>
    <cellStyle name="20% - Accent3" xfId="136"/>
    <cellStyle name="20% - Accent4" xfId="137"/>
    <cellStyle name="20% - Accent5" xfId="138"/>
    <cellStyle name="20% - Accent6" xfId="139"/>
    <cellStyle name="40% - Accent1" xfId="140"/>
    <cellStyle name="40% - Accent2" xfId="141"/>
    <cellStyle name="40% - Accent3" xfId="142"/>
    <cellStyle name="40% - Accent4" xfId="143"/>
    <cellStyle name="40% - Accent5" xfId="144"/>
    <cellStyle name="40% - Accent6" xfId="145"/>
    <cellStyle name="60% - Accent1" xfId="146"/>
    <cellStyle name="60% - Accent2" xfId="147"/>
    <cellStyle name="60% - Accent3" xfId="148"/>
    <cellStyle name="60% - Accent4" xfId="149"/>
    <cellStyle name="60% - Accent5" xfId="150"/>
    <cellStyle name="60% - Accent6" xfId="151"/>
    <cellStyle name="Accent1" xfId="152"/>
    <cellStyle name="Accent2" xfId="153"/>
    <cellStyle name="Accent3" xfId="154"/>
    <cellStyle name="Accent4" xfId="155"/>
    <cellStyle name="Accent5" xfId="156"/>
    <cellStyle name="Accent6" xfId="157"/>
    <cellStyle name="args.style" xfId="158"/>
    <cellStyle name="Bad" xfId="159"/>
    <cellStyle name="Black" xfId="11"/>
    <cellStyle name="Border" xfId="12"/>
    <cellStyle name="Calc Currency (0)" xfId="160"/>
    <cellStyle name="Calc Currency (2)" xfId="161"/>
    <cellStyle name="Calc Percent (0)" xfId="162"/>
    <cellStyle name="Calc Percent (1)" xfId="163"/>
    <cellStyle name="Calc Percent (2)" xfId="164"/>
    <cellStyle name="Calc Units (0)" xfId="165"/>
    <cellStyle name="Calc Units (1)" xfId="166"/>
    <cellStyle name="Calc Units (2)" xfId="167"/>
    <cellStyle name="Calculation" xfId="168"/>
    <cellStyle name="category" xfId="169"/>
    <cellStyle name="Check Cell" xfId="170"/>
    <cellStyle name="Col Heads" xfId="171"/>
    <cellStyle name="Column_Title" xfId="172"/>
    <cellStyle name="Comma  - Style1" xfId="173"/>
    <cellStyle name="Comma  - Style2" xfId="174"/>
    <cellStyle name="Comma  - Style3" xfId="175"/>
    <cellStyle name="Comma  - Style4" xfId="176"/>
    <cellStyle name="Comma  - Style5" xfId="177"/>
    <cellStyle name="Comma  - Style6" xfId="178"/>
    <cellStyle name="Comma  - Style7" xfId="179"/>
    <cellStyle name="Comma  - Style8" xfId="180"/>
    <cellStyle name="Comma [0]_ rislugp" xfId="181"/>
    <cellStyle name="Comma [00]" xfId="182"/>
    <cellStyle name="Comma 28" xfId="183"/>
    <cellStyle name="comma zerodec" xfId="184"/>
    <cellStyle name="Comma,0" xfId="185"/>
    <cellStyle name="Comma,1" xfId="186"/>
    <cellStyle name="Comma,2" xfId="187"/>
    <cellStyle name="Comma_ rislugp" xfId="188"/>
    <cellStyle name="Copied" xfId="189"/>
    <cellStyle name="COST1" xfId="190"/>
    <cellStyle name="Currency [0]_ rislugp" xfId="191"/>
    <cellStyle name="Currency [00]" xfId="192"/>
    <cellStyle name="Currency,0" xfId="193"/>
    <cellStyle name="Currency,2" xfId="194"/>
    <cellStyle name="Currency_ rislugp" xfId="195"/>
    <cellStyle name="Currency1" xfId="196"/>
    <cellStyle name="Date" xfId="197"/>
    <cellStyle name="Date Short" xfId="198"/>
    <cellStyle name="Dezimal [0]_laroux" xfId="13"/>
    <cellStyle name="Dezimal_laroux" xfId="14"/>
    <cellStyle name="Dollar (zero dec)" xfId="199"/>
    <cellStyle name="E&amp;Y House" xfId="200"/>
    <cellStyle name="Enter Currency (0)" xfId="201"/>
    <cellStyle name="Enter Currency (2)" xfId="202"/>
    <cellStyle name="Enter Units (0)" xfId="203"/>
    <cellStyle name="Enter Units (1)" xfId="204"/>
    <cellStyle name="Enter Units (2)" xfId="205"/>
    <cellStyle name="Entered" xfId="206"/>
    <cellStyle name="entry" xfId="207"/>
    <cellStyle name="entry box" xfId="208"/>
    <cellStyle name="Euro" xfId="15"/>
    <cellStyle name="Explanatory Text" xfId="209"/>
    <cellStyle name="Followed Hyperlink_AheadBehind.xls Chart 23" xfId="16"/>
    <cellStyle name="Good" xfId="210"/>
    <cellStyle name="Grey" xfId="17"/>
    <cellStyle name="HEADER" xfId="211"/>
    <cellStyle name="Header1" xfId="31"/>
    <cellStyle name="Header2" xfId="32"/>
    <cellStyle name="Heading" xfId="212"/>
    <cellStyle name="Heading 1" xfId="213"/>
    <cellStyle name="Heading 2" xfId="214"/>
    <cellStyle name="Heading 3" xfId="215"/>
    <cellStyle name="Heading 4" xfId="216"/>
    <cellStyle name="Hyperlink_AheadBehind.xls Chart 23" xfId="18"/>
    <cellStyle name="Input" xfId="217"/>
    <cellStyle name="Input [yellow]" xfId="19"/>
    <cellStyle name="Input Cells" xfId="218"/>
    <cellStyle name="left" xfId="219"/>
    <cellStyle name="Link Currency (0)" xfId="220"/>
    <cellStyle name="Link Currency (2)" xfId="221"/>
    <cellStyle name="Link Units (0)" xfId="222"/>
    <cellStyle name="Link Units (1)" xfId="223"/>
    <cellStyle name="Link Units (2)" xfId="224"/>
    <cellStyle name="Linked Cell" xfId="225"/>
    <cellStyle name="Linked Cells" xfId="226"/>
    <cellStyle name="Millares [0]_laroux" xfId="227"/>
    <cellStyle name="Millares_laroux" xfId="228"/>
    <cellStyle name="Milliers [0]_!!!GO" xfId="229"/>
    <cellStyle name="Milliers_!!!GO" xfId="230"/>
    <cellStyle name="Model" xfId="231"/>
    <cellStyle name="Moneda [0]_laroux" xfId="232"/>
    <cellStyle name="Moneda_laroux" xfId="233"/>
    <cellStyle name="Monétaire [0]_!!!GO" xfId="234"/>
    <cellStyle name="Monétaire_!!!GO" xfId="235"/>
    <cellStyle name="Mon閠aire [0]_laroux" xfId="236"/>
    <cellStyle name="Mon閠aire_laroux" xfId="237"/>
    <cellStyle name="Neutral" xfId="238"/>
    <cellStyle name="New Times Roman" xfId="239"/>
    <cellStyle name="no dec" xfId="240"/>
    <cellStyle name="Non défini" xfId="20"/>
    <cellStyle name="Normal - Style1" xfId="21"/>
    <cellStyle name="Normal 2" xfId="241"/>
    <cellStyle name="Normal 2 2" xfId="242"/>
    <cellStyle name="Normal 21" xfId="243"/>
    <cellStyle name="Normal 3 2" xfId="244"/>
    <cellStyle name="Normal_ rislugp" xfId="245"/>
    <cellStyle name="Normalny_Arkusz1" xfId="246"/>
    <cellStyle name="Note" xfId="247"/>
    <cellStyle name="Œ…‹æØ‚è [0.00]_Region Orders (2)" xfId="248"/>
    <cellStyle name="Œ…‹æØ‚è_Region Orders (2)" xfId="249"/>
    <cellStyle name="Output" xfId="250"/>
    <cellStyle name="per.style" xfId="251"/>
    <cellStyle name="Percent (0)" xfId="252"/>
    <cellStyle name="Percent [0]" xfId="253"/>
    <cellStyle name="Percent [00]" xfId="254"/>
    <cellStyle name="Percent [2]" xfId="22"/>
    <cellStyle name="Prefilled" xfId="255"/>
    <cellStyle name="PrePop Currency (0)" xfId="256"/>
    <cellStyle name="PrePop Currency (2)" xfId="257"/>
    <cellStyle name="PrePop Units (0)" xfId="258"/>
    <cellStyle name="PrePop Units (1)" xfId="259"/>
    <cellStyle name="PrePop Units (2)" xfId="260"/>
    <cellStyle name="price" xfId="261"/>
    <cellStyle name="pricing" xfId="262"/>
    <cellStyle name="PSChar" xfId="263"/>
    <cellStyle name="Red" xfId="23"/>
    <cellStyle name="revised" xfId="264"/>
    <cellStyle name="RevList" xfId="265"/>
    <cellStyle name="row_def_array" xfId="33"/>
    <cellStyle name="S4" xfId="266"/>
    <cellStyle name="S5" xfId="267"/>
    <cellStyle name="section" xfId="268"/>
    <cellStyle name="SOR" xfId="269"/>
    <cellStyle name="style" xfId="270"/>
    <cellStyle name="style1" xfId="271"/>
    <cellStyle name="style2" xfId="272"/>
    <cellStyle name="subhead" xfId="273"/>
    <cellStyle name="Subtotal" xfId="274"/>
    <cellStyle name="Text Indent A" xfId="275"/>
    <cellStyle name="Text Indent B" xfId="276"/>
    <cellStyle name="Text Indent C" xfId="277"/>
    <cellStyle name="Tickmark" xfId="278"/>
    <cellStyle name="title" xfId="279"/>
    <cellStyle name="Total" xfId="280"/>
    <cellStyle name="Warning Text" xfId="281"/>
    <cellStyle name="wrap" xfId="282"/>
    <cellStyle name="パーセント_laroux" xfId="283"/>
    <cellStyle name="_PLDT" xfId="284"/>
    <cellStyle name="_laroux" xfId="34"/>
    <cellStyle name="だ[0]_PLDT" xfId="285"/>
    <cellStyle name="だ_PLDT" xfId="286"/>
    <cellStyle name="だ[0]_Total (2)" xfId="287"/>
    <cellStyle name="だ_laroux" xfId="35"/>
    <cellStyle name="百分比" xfId="338" builtinId="5"/>
    <cellStyle name="百分比 2" xfId="30"/>
    <cellStyle name="百分比 2 2" xfId="336"/>
    <cellStyle name="百分比 3" xfId="52"/>
    <cellStyle name="捠壿 [0.00]_PRODUCT DETAIL Q1" xfId="36"/>
    <cellStyle name="捠壿_PRODUCT DETAIL Q1" xfId="37"/>
    <cellStyle name="標準_１１月価格表" xfId="288"/>
    <cellStyle name="差_StartUp" xfId="289"/>
    <cellStyle name="差_T1000-主营业务收入-LJCH" xfId="290"/>
    <cellStyle name="差_子公司附注汇总(房开公司)" xfId="291"/>
    <cellStyle name="常规" xfId="0" builtinId="0"/>
    <cellStyle name="常规 11 5" xfId="339"/>
    <cellStyle name="常规 2" xfId="29"/>
    <cellStyle name="常规 2 2" xfId="292"/>
    <cellStyle name="常规 2 2 2" xfId="293"/>
    <cellStyle name="常规 2 3" xfId="294"/>
    <cellStyle name="常规 2 8" xfId="49"/>
    <cellStyle name="常规 3" xfId="295"/>
    <cellStyle name="常规 3 2" xfId="296"/>
    <cellStyle name="常规 3 2 2" xfId="51"/>
    <cellStyle name="常规 3 3" xfId="297"/>
    <cellStyle name="常规 4" xfId="46"/>
    <cellStyle name="常规 4 2" xfId="50"/>
    <cellStyle name="常规 5" xfId="298"/>
    <cellStyle name="常规 5 2" xfId="299"/>
    <cellStyle name="常规 6" xfId="300"/>
    <cellStyle name="常规 6 2" xfId="301"/>
    <cellStyle name="常规 6 3" xfId="302"/>
    <cellStyle name="常规 7" xfId="303"/>
    <cellStyle name="常规 7 2" xfId="337"/>
    <cellStyle name="常规 8" xfId="334"/>
    <cellStyle name="常规_2-1项目审定表－模板" xfId="47"/>
    <cellStyle name="常规_Book1" xfId="24"/>
    <cellStyle name="常规_Book1 2" xfId="333"/>
    <cellStyle name="常规_c-资产类" xfId="54"/>
    <cellStyle name="常规_sheet" xfId="304"/>
    <cellStyle name="常规_进一步审计程序--销售与收款循环" xfId="25"/>
    <cellStyle name="常规_新审定表" xfId="26"/>
    <cellStyle name="超级链接_B4-1审计项目工时预算与控制表(集团)" xfId="305"/>
    <cellStyle name="超链接" xfId="27" builtinId="8"/>
    <cellStyle name="超链接 2" xfId="53"/>
    <cellStyle name="超链接 2 2" xfId="306"/>
    <cellStyle name="超链接 3" xfId="307"/>
    <cellStyle name="分级显示行_1_4附件二凯旋评估表" xfId="308"/>
    <cellStyle name="好_StartUp" xfId="309"/>
    <cellStyle name="好_T1000-主营业务收入" xfId="310"/>
    <cellStyle name="好_子公司附注汇总(房开公司)" xfId="311"/>
    <cellStyle name="桁区切り [0.00]_１１月価格表" xfId="312"/>
    <cellStyle name="桁区切り_１１月価格表" xfId="313"/>
    <cellStyle name="霓付 [0]_1202" xfId="38"/>
    <cellStyle name="霓付_1202" xfId="39"/>
    <cellStyle name="烹拳 [0]_1202" xfId="40"/>
    <cellStyle name="烹拳_1202" xfId="41"/>
    <cellStyle name="砯刽 [0]_PLDT" xfId="314"/>
    <cellStyle name="砯刽_PLDT" xfId="315"/>
    <cellStyle name="普通_ 白土" xfId="316"/>
    <cellStyle name="千分位[0]_ 白土" xfId="317"/>
    <cellStyle name="千分位_ 白土" xfId="318"/>
    <cellStyle name="千位[0]_ 应交税金审定表" xfId="319"/>
    <cellStyle name="千位_ 应交税金审定表" xfId="320"/>
    <cellStyle name="千位分隔" xfId="28" builtinId="3"/>
    <cellStyle name="千位分隔 2" xfId="321"/>
    <cellStyle name="千位分隔 2 3" xfId="322"/>
    <cellStyle name="千位分隔 2 4" xfId="335"/>
    <cellStyle name="千位分隔 3" xfId="48"/>
    <cellStyle name="千位分隔[0] 2" xfId="323"/>
    <cellStyle name="钎霖_(沥焊何巩)岿喊牢盔拌裙" xfId="42"/>
    <cellStyle name="通貨 [0.00]_１１月価格表" xfId="324"/>
    <cellStyle name="通貨_１１月価格表" xfId="325"/>
    <cellStyle name="样式 1" xfId="326"/>
    <cellStyle name="昗弨_BOOKSHIP" xfId="43"/>
    <cellStyle name="寘嬫愗傝 [0.00]_PRODUCT DETAIL Q1" xfId="44"/>
    <cellStyle name="寘嬫愗傝_PRODUCT DETAIL Q1" xfId="45"/>
    <cellStyle name="资产" xfId="327"/>
    <cellStyle name="콤마 [0]_BOILER-CO1" xfId="328"/>
    <cellStyle name="콤마_BOILER-CO1" xfId="329"/>
    <cellStyle name="통화 [0]_BOILER-CO1" xfId="330"/>
    <cellStyle name="통화_BOILER-CO1" xfId="331"/>
    <cellStyle name="표준_0N-HANDLING " xfId="332"/>
  </cellStyles>
  <dxfs count="0"/>
  <tableStyles count="0" defaultTableStyle="TableStyleMedium9"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E"/>
      <sheetName val="IS"/>
      <sheetName val="Customize Your Loan Manager"/>
      <sheetName val="初始设定"/>
      <sheetName val="内销收人"/>
      <sheetName val="校验"/>
      <sheetName val="原报表"/>
      <sheetName val="上年审前调整"/>
      <sheetName val="上年审前试算表"/>
      <sheetName val="本年审前调整"/>
      <sheetName val="本年审前试算表"/>
      <sheetName val="审前报表"/>
      <sheetName val="2006TB"/>
      <sheetName val="银行列表"/>
      <sheetName val="报表11"/>
      <sheetName val="折旧测算表"/>
      <sheetName val="母公司TB"/>
      <sheetName val="Chart of Account"/>
      <sheetName val="清单"/>
      <sheetName val="关联方_物流集团"/>
      <sheetName val="存货_生产成本Dy"/>
      <sheetName val="主营业务成本mx"/>
      <sheetName val="注释补充表1"/>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799"/>
      <sheetName val="应收账款明细分类账2019"/>
      <sheetName val="20年销售出库"/>
      <sheetName val="6.6-存货-制造费用明细表"/>
      <sheetName val="核算项目组合表"/>
      <sheetName val="全部预算"/>
      <sheetName val="A3 &amp; U 09-01"/>
      <sheetName val="公司名称一览表"/>
      <sheetName val="UFPrn20210115161842"/>
      <sheetName val="单位往来"/>
      <sheetName val="投资保证金"/>
      <sheetName val="2019—库存商品库龄"/>
      <sheetName val="2018年报表"/>
      <sheetName val="预期信用损失的计量测试D2-14（20201231）"/>
      <sheetName val="鼎信诺字典表"/>
      <sheetName val="现金流量表(未审)"/>
      <sheetName val="偿债力分析"/>
      <sheetName val="应收帐款询证函"/>
      <sheetName val="Final"/>
      <sheetName val="JA#1"/>
      <sheetName val="JA#2&amp;5"/>
      <sheetName val="Stock_turnove_x005f_x005f_x005f_x005f_x005f"/>
      <sheetName val="合并"/>
      <sheetName val="dm"/>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订"/>
      <sheetName val="2-R1619"/>
      <sheetName val="研发项目"/>
      <sheetName val="资金计划项目说明"/>
      <sheetName val="database"/>
      <sheetName val="원단위"/>
      <sheetName val="类型设置"/>
      <sheetName val="往来"/>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原材料&amp;存货跌价 list"/>
      <sheetName val="生产成本list"/>
      <sheetName val="2009.12.31日完工比例"/>
      <sheetName val="2011.12.31完工比例"/>
      <sheetName val="2010.06.30完工比例"/>
      <sheetName val="库存明细2011"/>
      <sheetName val="在途"/>
      <sheetName val="其他业务利润"/>
      <sheetName val="其他材料收入重复"/>
      <sheetName val="其他材料收入账"/>
      <sheetName val="预收"/>
      <sheetName val="F1"/>
      <sheetName val="销售费用"/>
      <sheetName val="截止测试-入库G2-7-1"/>
      <sheetName val="TB试算表_本年"/>
      <sheetName val="院级设计"/>
      <sheetName val="银行存款明细表"/>
      <sheetName val="人员支出"/>
      <sheetName val="农业用地"/>
      <sheetName val="2002年一般预算收入"/>
      <sheetName val="RYRPADTN"/>
      <sheetName val="2019收入成本（未审）"/>
      <sheetName val="2019年6月-2020年5月项目收入成本一览"/>
      <sheetName val="TB-公证天业"/>
      <sheetName val="BKD-氢能"/>
      <sheetName val="2045020001"/>
      <sheetName val="schedule"/>
      <sheetName val="2008 SPL"/>
      <sheetName val="TargetReports"/>
      <sheetName val="KIINAS"/>
      <sheetName val="BW_FAELI"/>
      <sheetName val="（27）实收资本"/>
      <sheetName val="面积指标"/>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设备部房屋"/>
      <sheetName val="表六 "/>
      <sheetName val="A41-2折旧测试"/>
      <sheetName val="披露表（上市）"/>
      <sheetName val="P-7 CF Fed"/>
      <sheetName val="应收-全"/>
      <sheetName val="二月"/>
      <sheetName val="2011调整分录"/>
      <sheetName val="B7-2-1应付账款余额表"/>
      <sheetName val="一级"/>
      <sheetName val="2003本部资产负债试算表"/>
      <sheetName val="2003本部利润及利润分配表试算表"/>
      <sheetName val="tra-vat-lieu"/>
      <sheetName val="威海汉邦"/>
      <sheetName val="dtct cong"/>
      <sheetName val="数据源-勿动"/>
      <sheetName val="BPR"/>
      <sheetName val="2015PPE"/>
      <sheetName val="资产负债表-母"/>
      <sheetName val="Sheet668"/>
      <sheetName val="USD Data input"/>
      <sheetName val="附表2"/>
      <sheetName val="在制"/>
      <sheetName val="22"/>
      <sheetName val="M 67"/>
      <sheetName val="福利费1"/>
      <sheetName val="整理"/>
      <sheetName val="RawData"/>
      <sheetName val="1－5月余额表"/>
      <sheetName val="1－10月余额表"/>
      <sheetName val="数量金额明细账"/>
      <sheetName val="Jumei"/>
      <sheetName val="SW"/>
      <sheetName val="JDMCode"/>
      <sheetName val="PanelInfo"/>
      <sheetName val="2.1 PS估值分析-上市公司"/>
      <sheetName val="3111"/>
      <sheetName val="3113"/>
      <sheetName val="_8013"/>
      <sheetName val="序时帐"/>
      <sheetName val="Common Assumptions"/>
      <sheetName val="4528"/>
      <sheetName val="有效性"/>
      <sheetName val="Bid_Details"/>
      <sheetName val="BW系统 原稿"/>
      <sheetName val="营业费用02"/>
      <sheetName val="Provision list"/>
      <sheetName val="现金流分录汇总"/>
      <sheetName val="递延所得税资产Dy"/>
      <sheetName val="产能统计（2014）"/>
      <sheetName val="审定_资产负债表"/>
      <sheetName val="未审_资产负债表"/>
      <sheetName val="C1"/>
      <sheetName val="科目代码表"/>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A180-10"/>
      <sheetName val="填制说明"/>
      <sheetName val="科目2015"/>
      <sheetName val="2018"/>
      <sheetName val="应交税费审定表"/>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F01-A (2)"/>
      <sheetName val="固定资产、累计折旧、减值准备明细表"/>
      <sheetName val="现金流量1-10月"/>
      <sheetName val="10月"/>
      <sheetName val="2月"/>
      <sheetName val="3月"/>
      <sheetName val="4月"/>
      <sheetName val="7月"/>
      <sheetName val="8月"/>
      <sheetName val="9月"/>
      <sheetName val="敏感参数"/>
      <sheetName val="1 项目情况"/>
      <sheetName val="1 项目利润表(PS)"/>
      <sheetName val="3 损益推导"/>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mvt"/>
      <sheetName val="支出项目对应现金流项目"/>
      <sheetName val="UFPrn2003其他"/>
      <sheetName val="sales"/>
      <sheetName val="数据源"/>
      <sheetName val="审计工作底稿目录"/>
      <sheetName val="面料"/>
      <sheetName val="辅料"/>
      <sheetName val="燃料"/>
      <sheetName val="预收帐款"/>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01 Balance Sheet资产负债表"/>
      <sheetName val="PY-pp"/>
      <sheetName val="Sheet761"/>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profit2 (2)"/>
      <sheetName val="351B发出商品明细-不打印"/>
      <sheetName val="351A发出商品测试"/>
      <sheetName val="3402存货导引表"/>
      <sheetName val="3月生产成本凭证"/>
      <sheetName val="能耗计算 OK "/>
      <sheetName val="应付帐款余额表"/>
      <sheetName val="或有事项"/>
      <sheetName val="关联方交易"/>
      <sheetName val="其他综合收益"/>
      <sheetName val="审定表M4"/>
      <sheetName val="FIN48 TP Doc"/>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frm销售合同-Sub"/>
      <sheetName val="服务部待报废"/>
      <sheetName val="VAS TB"/>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Marco"/>
      <sheetName val="Customize Your Loan Manager"/>
      <sheetName val="Group"/>
      <sheetName val="预收账款明细表D3-2"/>
      <sheetName val="J"/>
      <sheetName val="C - Cash and Bank"/>
      <sheetName val="A300"/>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初始设定"/>
      <sheetName val="报表11"/>
      <sheetName val="其它业务收入分类"/>
      <sheetName val="壓摸穿燈"/>
      <sheetName val="Rate"/>
      <sheetName val="校验"/>
      <sheetName val="原报表"/>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Cashbook"/>
      <sheetName val="现调整"/>
      <sheetName val="（附表2）固定资产处理情况表"/>
      <sheetName val="科余表"/>
      <sheetName val="资产负债表利润及利润分配表"/>
      <sheetName val="期初应付帐款明细表G4-2 "/>
      <sheetName val="操作页"/>
      <sheetName val="核算项目组合表"/>
      <sheetName val="科目"/>
      <sheetName val="公司名称一览表"/>
      <sheetName val="其他应付款明细表M4-2 21"/>
      <sheetName val="其他应付款明细表M4-2 20"/>
      <sheetName val="2020年调整分录"/>
      <sheetName val="2019年调整分录 "/>
      <sheetName val="投资性房地产Dy"/>
      <sheetName val="表5_2_3固定资产—电子设备"/>
      <sheetName val="0609"/>
      <sheetName val="发出商品替代"/>
      <sheetName val="2007.11PPR管件单件测算"/>
      <sheetName val="清冊"/>
      <sheetName val="JA"/>
      <sheetName val="坏账准备_预付账款Dy"/>
      <sheetName val="Dis."/>
      <sheetName val="账户汇总表_2017年1月至12月_"/>
      <sheetName val="应收账款明细表"/>
      <sheetName val="Income tax reconciliation"/>
      <sheetName val="销项税"/>
      <sheetName val="十一、消耗性生物资产G2-2-11"/>
      <sheetName val="应付账款 (2)"/>
      <sheetName val="累计1"/>
      <sheetName val="FIRE Parameters"/>
      <sheetName val="应付(单位)关注"/>
      <sheetName val="员工工资"/>
      <sheetName val="Permit"/>
      <sheetName val="瓶差"/>
      <sheetName val="本期毛利"/>
      <sheetName val="余额表数量"/>
      <sheetName val="_Profile"/>
      <sheetName val="无形资产"/>
      <sheetName val="长期待摊费用"/>
      <sheetName val="应交税金"/>
      <sheetName val="BKD-氢能"/>
      <sheetName val="for disclosure"/>
      <sheetName val="Final"/>
      <sheetName val="2008 SPL"/>
      <sheetName val="OB97LST"/>
      <sheetName val="WIP(For Nick)"/>
      <sheetName val="Admin"/>
      <sheetName val="WO CONV"/>
      <sheetName val="ACTINV"/>
      <sheetName val="N3 PBT"/>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科目余额表正式"/>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披露表（上市）"/>
      <sheetName val="Namelist"/>
      <sheetName val="固资明细"/>
      <sheetName val="日照"/>
      <sheetName val="德州"/>
      <sheetName val="滨州"/>
      <sheetName val="淄博"/>
      <sheetName val="大鲁"/>
      <sheetName val="威海"/>
      <sheetName val="山东省互联网传媒集团应收账款（账龄统计）统计数据"/>
      <sheetName val="张淑东"/>
      <sheetName val="Master Data"/>
      <sheetName val="一级"/>
      <sheetName val="办公设备"/>
      <sheetName val="会计分录序时簿_2"/>
      <sheetName val="表1.5"/>
      <sheetName val="Sheet116"/>
      <sheetName val="Sheet140"/>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设备部房屋"/>
      <sheetName val="definition"/>
      <sheetName val="SW"/>
      <sheetName val="JDMCode"/>
      <sheetName val="PanelInfo"/>
      <sheetName val="00 FG breakdown"/>
      <sheetName val="01 FG breakdown"/>
      <sheetName val="99 FG breakdown"/>
      <sheetName val="电动车间"/>
      <sheetName val="5132"/>
      <sheetName val="会计科目"/>
      <sheetName val="Detail P&amp;L"/>
      <sheetName val="审计程序"/>
      <sheetName val="披露表(上市)-2016"/>
      <sheetName val="替代结果汇总表"/>
      <sheetName val="审定_资产负债表"/>
      <sheetName val="未审_资产负债表"/>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07TB"/>
      <sheetName val="AR Breakdown&amp;Aging"/>
      <sheetName val="AP Breakdown &amp; Aging"/>
      <sheetName val="测算表"/>
      <sheetName val="A140-10"/>
      <sheetName val="数据源"/>
      <sheetName val="画底稿使用"/>
      <sheetName val="调整后报表"/>
      <sheetName val="收入成本审定表D4试剂"/>
      <sheetName val="审计说明M4-0"/>
      <sheetName val="库存商品库龄分析G2-3-3"/>
      <sheetName val="固定资产、累计折旧、减值准备明细表"/>
      <sheetName val="现金流量1-10月"/>
      <sheetName val="基础资料（B）"/>
      <sheetName val="Tfc&amp;toll asmptns"/>
      <sheetName val="G1-1-1a AR-85A"/>
      <sheetName val="浙江道之-机器设备"/>
      <sheetName val="Dates"/>
      <sheetName val="Sheet113"/>
      <sheetName val="合并TB-19年"/>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能耗计算 OK "/>
      <sheetName val="Acc1"/>
      <sheetName val="基本情况"/>
      <sheetName val="上市1"/>
      <sheetName val="上市2"/>
      <sheetName val="上市3"/>
      <sheetName val="上市4"/>
      <sheetName val="上市5"/>
      <sheetName val="上市6"/>
      <sheetName val="上市7"/>
      <sheetName val="上市8"/>
      <sheetName val="上市9"/>
      <sheetName val="accode"/>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 val="Sheet120"/>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sheetData sheetId="1315"/>
      <sheetData sheetId="1316"/>
      <sheetData sheetId="1317" refreshError="1"/>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9.bin"/><Relationship Id="rId1" Type="http://schemas.openxmlformats.org/officeDocument/2006/relationships/hyperlink" Target="https://www.gt-china.com.cn/article_view.php?id=5951" TargetMode="Externa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RowHeight="20.100000000000001" customHeight="1"/>
  <cols>
    <col min="1" max="1" width="77.59765625" style="9" customWidth="1"/>
    <col min="2" max="2" width="2" style="9" customWidth="1"/>
    <col min="3" max="3" width="2.09765625" style="9" customWidth="1"/>
    <col min="4" max="4" width="6.09765625" style="9" customWidth="1"/>
    <col min="5" max="5" width="27.3984375" style="9" customWidth="1"/>
    <col min="6" max="6" width="15.09765625" style="269" customWidth="1"/>
  </cols>
  <sheetData>
    <row r="1" spans="1:8" s="4" customFormat="1" ht="20.100000000000001" customHeight="1">
      <c r="A1" s="3" t="s">
        <v>4</v>
      </c>
      <c r="B1" s="5"/>
      <c r="C1" s="5"/>
      <c r="D1" s="6"/>
      <c r="E1" s="6"/>
      <c r="F1" s="8"/>
    </row>
    <row r="2" spans="1:8" ht="20.100000000000001" customHeight="1">
      <c r="A2" s="262" t="s">
        <v>450</v>
      </c>
      <c r="B2" s="7"/>
      <c r="C2" s="7"/>
      <c r="D2" s="8" t="s">
        <v>5</v>
      </c>
      <c r="E2" s="8" t="s">
        <v>23</v>
      </c>
      <c r="F2" s="8" t="s">
        <v>212</v>
      </c>
      <c r="G2" s="1"/>
      <c r="H2" s="1"/>
    </row>
    <row r="3" spans="1:8" ht="20.100000000000001" customHeight="1">
      <c r="A3" s="300" t="s">
        <v>465</v>
      </c>
      <c r="B3" s="7"/>
      <c r="C3" s="7"/>
      <c r="D3" s="193">
        <v>1</v>
      </c>
      <c r="E3" s="270" t="s">
        <v>213</v>
      </c>
      <c r="F3" s="193" t="s">
        <v>242</v>
      </c>
      <c r="G3" s="1"/>
      <c r="H3" s="2"/>
    </row>
    <row r="4" spans="1:8" ht="20.100000000000001" customHeight="1">
      <c r="A4" s="292" t="s">
        <v>451</v>
      </c>
      <c r="B4" s="7"/>
      <c r="C4" s="7"/>
      <c r="D4" s="193">
        <v>2</v>
      </c>
      <c r="E4" s="271" t="s">
        <v>87</v>
      </c>
      <c r="F4" s="193" t="s">
        <v>247</v>
      </c>
      <c r="G4" s="1"/>
      <c r="H4" s="2"/>
    </row>
    <row r="5" spans="1:8" ht="20.100000000000001" customHeight="1">
      <c r="A5" s="292" t="s">
        <v>452</v>
      </c>
      <c r="D5" s="193">
        <v>3</v>
      </c>
      <c r="E5" s="271" t="s">
        <v>214</v>
      </c>
      <c r="F5" s="193"/>
      <c r="G5" s="192" t="s">
        <v>91</v>
      </c>
      <c r="H5" s="10"/>
    </row>
    <row r="6" spans="1:8" ht="20.100000000000001" customHeight="1">
      <c r="A6" s="292" t="s">
        <v>453</v>
      </c>
      <c r="D6" s="193">
        <v>4</v>
      </c>
      <c r="E6" s="271" t="s">
        <v>215</v>
      </c>
      <c r="F6" s="193"/>
      <c r="G6" s="192" t="s">
        <v>91</v>
      </c>
    </row>
    <row r="7" spans="1:8" ht="20.100000000000001" customHeight="1">
      <c r="A7" s="292" t="s">
        <v>454</v>
      </c>
      <c r="D7" s="193">
        <v>5</v>
      </c>
      <c r="E7" s="270" t="s">
        <v>106</v>
      </c>
      <c r="F7" s="193" t="s">
        <v>246</v>
      </c>
    </row>
    <row r="8" spans="1:8" ht="20.100000000000001" customHeight="1">
      <c r="A8" s="11"/>
      <c r="D8" s="193">
        <v>6</v>
      </c>
      <c r="E8" s="270" t="s">
        <v>251</v>
      </c>
      <c r="F8" s="193" t="s">
        <v>252</v>
      </c>
    </row>
    <row r="9" spans="1:8" ht="20.100000000000001" customHeight="1">
      <c r="A9" s="293" t="s">
        <v>466</v>
      </c>
      <c r="D9" s="193">
        <v>7</v>
      </c>
      <c r="E9" s="270" t="s">
        <v>216</v>
      </c>
      <c r="F9" s="193" t="s">
        <v>253</v>
      </c>
    </row>
    <row r="10" spans="1:8" ht="20.100000000000001" customHeight="1">
      <c r="A10" s="301" t="s">
        <v>467</v>
      </c>
      <c r="D10" s="193">
        <v>8</v>
      </c>
      <c r="E10" s="271" t="s">
        <v>438</v>
      </c>
      <c r="F10" s="193" t="s">
        <v>250</v>
      </c>
    </row>
    <row r="11" spans="1:8" ht="20.100000000000001" customHeight="1">
      <c r="A11" s="301"/>
    </row>
    <row r="12" spans="1:8" ht="20.100000000000001" customHeight="1">
      <c r="A12" s="301"/>
    </row>
    <row r="13" spans="1:8" ht="20.100000000000001" customHeight="1">
      <c r="A13" s="301"/>
    </row>
    <row r="14" spans="1:8" ht="20.100000000000001" customHeight="1">
      <c r="A14" s="301" t="s">
        <v>468</v>
      </c>
    </row>
    <row r="15" spans="1:8" ht="20.100000000000001" customHeight="1">
      <c r="A15" s="301"/>
    </row>
    <row r="16" spans="1:8" ht="20.100000000000001" customHeight="1">
      <c r="A16" s="301"/>
    </row>
    <row r="17" spans="1:1" ht="20.100000000000001" customHeight="1">
      <c r="A17" s="302" t="s">
        <v>469</v>
      </c>
    </row>
    <row r="18" spans="1:1" ht="36" customHeight="1">
      <c r="A18" s="302"/>
    </row>
    <row r="19" spans="1:1" ht="20.100000000000001" customHeight="1">
      <c r="A19" s="302"/>
    </row>
  </sheetData>
  <mergeCells count="3">
    <mergeCell ref="A10:A13"/>
    <mergeCell ref="A14:A16"/>
    <mergeCell ref="A17:A19"/>
  </mergeCells>
  <phoneticPr fontId="15" type="noConversion"/>
  <hyperlinks>
    <hyperlink ref="E4" location="'审定表M10-1'!A1" display="其他权益工具审定表"/>
    <hyperlink ref="E7" location="'明细表M10-2'!A1" display="其他权益工具明细表"/>
    <hyperlink ref="E10" location="'其他权益工具检查表M10-5'!A1" display="针对性测试"/>
    <hyperlink ref="E5" location="'附注披露信息核对（上市公司）'!A1" display="附注披露信息(上市公司)"/>
    <hyperlink ref="E6" location="'附注披露信息核对（国企）'!A1" display="附注披露信息(国企)"/>
    <hyperlink ref="E9" location="'负债与权益区分检查表M10-4'!A1" display="负债与权益区分检查表"/>
    <hyperlink ref="E3" location="'其他权益工具实质性程序表 M10A'!A1" display="其他权益工具实质性程序表 "/>
    <hyperlink ref="E8" location="'调整分录汇总M10-3'!A1" display="调整分录汇总"/>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5"/>
  <sheetViews>
    <sheetView view="pageBreakPreview" zoomScaleNormal="110" zoomScaleSheetLayoutView="100" workbookViewId="0">
      <selection sqref="A1:I1"/>
    </sheetView>
  </sheetViews>
  <sheetFormatPr defaultColWidth="9" defaultRowHeight="13.8"/>
  <cols>
    <col min="1" max="1" width="5.19921875" style="92" customWidth="1"/>
    <col min="2" max="2" width="61.796875" style="92" customWidth="1"/>
    <col min="3" max="3" width="8.19921875" style="92" customWidth="1"/>
    <col min="4" max="4" width="5.59765625" style="110" customWidth="1"/>
    <col min="5" max="5" width="5.69921875" style="92" customWidth="1"/>
    <col min="6" max="6" width="6.59765625" style="92" customWidth="1"/>
    <col min="7" max="7" width="7.5" style="92" customWidth="1"/>
    <col min="8" max="8" width="5.3984375" style="92" customWidth="1"/>
    <col min="9" max="9" width="7.3984375" style="92" customWidth="1"/>
    <col min="10" max="10" width="60.8984375" style="91" customWidth="1"/>
    <col min="11" max="11" width="14.59765625" style="91" customWidth="1"/>
    <col min="12" max="16384" width="9" style="92"/>
  </cols>
  <sheetData>
    <row r="1" spans="1:12" ht="19.95" customHeight="1">
      <c r="A1" s="303" t="s">
        <v>122</v>
      </c>
      <c r="B1" s="303"/>
      <c r="C1" s="303"/>
      <c r="D1" s="303"/>
      <c r="E1" s="303"/>
      <c r="F1" s="303"/>
      <c r="G1" s="303"/>
      <c r="H1" s="303"/>
      <c r="I1" s="303"/>
    </row>
    <row r="2" spans="1:12" ht="19.95" customHeight="1">
      <c r="A2" s="304" t="s">
        <v>260</v>
      </c>
      <c r="B2" s="304"/>
      <c r="C2" s="304"/>
      <c r="D2" s="304"/>
      <c r="E2" s="304"/>
      <c r="F2" s="304"/>
      <c r="G2" s="304"/>
      <c r="H2" s="304"/>
      <c r="I2" s="304"/>
    </row>
    <row r="3" spans="1:12" ht="19.95" customHeight="1">
      <c r="A3" s="93" t="str">
        <f>底稿目录!A2</f>
        <v>被审计单位：</v>
      </c>
      <c r="B3" s="93"/>
      <c r="C3" s="94" t="str">
        <f>底稿目录!A4</f>
        <v>编制人：</v>
      </c>
      <c r="E3" s="93" t="str">
        <f>底稿目录!A5</f>
        <v>编制日期：</v>
      </c>
      <c r="G3" s="93"/>
      <c r="H3" s="93" t="s">
        <v>124</v>
      </c>
      <c r="I3" s="272" t="s">
        <v>242</v>
      </c>
    </row>
    <row r="4" spans="1:12" ht="19.95" customHeight="1">
      <c r="A4" s="93" t="str">
        <f>底稿目录!A3</f>
        <v>截止日：202X年12月31日</v>
      </c>
      <c r="B4" s="93"/>
      <c r="C4" s="94" t="str">
        <f>底稿目录!A6</f>
        <v>复核人：</v>
      </c>
      <c r="E4" s="93" t="str">
        <f>底稿目录!A7</f>
        <v>复核日期：</v>
      </c>
      <c r="G4" s="93"/>
      <c r="H4" s="93" t="s">
        <v>261</v>
      </c>
      <c r="I4" s="96"/>
    </row>
    <row r="5" spans="1:12" ht="19.95" customHeight="1">
      <c r="A5" s="202" t="s">
        <v>262</v>
      </c>
      <c r="B5" s="93"/>
      <c r="C5" s="93"/>
      <c r="D5" s="95"/>
      <c r="E5" s="93"/>
      <c r="F5" s="93"/>
      <c r="G5" s="93"/>
      <c r="H5" s="93"/>
      <c r="I5" s="93"/>
    </row>
    <row r="6" spans="1:12" ht="19.95" customHeight="1">
      <c r="A6" s="203" t="s">
        <v>263</v>
      </c>
      <c r="C6" s="93"/>
      <c r="D6" s="95"/>
      <c r="E6" s="93"/>
      <c r="F6" s="93"/>
      <c r="G6" s="93"/>
      <c r="H6" s="93"/>
      <c r="I6" s="93"/>
    </row>
    <row r="7" spans="1:12" ht="19.95" customHeight="1">
      <c r="A7" s="204" t="s">
        <v>264</v>
      </c>
      <c r="B7" s="177"/>
      <c r="C7" s="177"/>
      <c r="D7" s="95"/>
      <c r="E7" s="93"/>
      <c r="F7" s="93"/>
      <c r="G7" s="93"/>
      <c r="H7" s="93"/>
      <c r="I7" s="93"/>
      <c r="J7" s="101"/>
      <c r="K7" s="101"/>
    </row>
    <row r="8" spans="1:12" ht="19.95" customHeight="1">
      <c r="A8" s="312" t="s">
        <v>265</v>
      </c>
      <c r="B8" s="312"/>
      <c r="C8" s="312"/>
      <c r="D8" s="312"/>
      <c r="E8" s="312"/>
      <c r="F8" s="312"/>
      <c r="G8" s="305" t="s">
        <v>129</v>
      </c>
      <c r="H8" s="305"/>
      <c r="I8" s="305"/>
      <c r="J8" s="101"/>
      <c r="K8" s="101"/>
    </row>
    <row r="9" spans="1:12" ht="19.95" customHeight="1">
      <c r="A9" s="310" t="s">
        <v>243</v>
      </c>
      <c r="B9" s="310"/>
      <c r="C9" s="310"/>
      <c r="D9" s="310"/>
      <c r="E9" s="310"/>
      <c r="F9" s="310"/>
      <c r="G9" s="311" t="s">
        <v>132</v>
      </c>
      <c r="H9" s="311"/>
      <c r="I9" s="311"/>
      <c r="J9" s="101"/>
      <c r="K9" s="101"/>
    </row>
    <row r="10" spans="1:12" ht="19.95" customHeight="1">
      <c r="A10" s="310" t="s">
        <v>457</v>
      </c>
      <c r="B10" s="310"/>
      <c r="C10" s="310"/>
      <c r="D10" s="310"/>
      <c r="E10" s="310"/>
      <c r="F10" s="310"/>
      <c r="G10" s="309" t="s">
        <v>455</v>
      </c>
      <c r="H10" s="309"/>
      <c r="I10" s="309"/>
      <c r="J10" s="101"/>
      <c r="K10" s="101"/>
    </row>
    <row r="11" spans="1:12" ht="19.95" customHeight="1">
      <c r="A11" s="310" t="s">
        <v>244</v>
      </c>
      <c r="B11" s="310"/>
      <c r="C11" s="310"/>
      <c r="D11" s="310"/>
      <c r="E11" s="310"/>
      <c r="F11" s="310"/>
      <c r="G11" s="309" t="s">
        <v>456</v>
      </c>
      <c r="H11" s="309"/>
      <c r="I11" s="309"/>
      <c r="J11" s="101"/>
      <c r="K11" s="101"/>
    </row>
    <row r="12" spans="1:12" ht="19.95" customHeight="1">
      <c r="A12" s="310" t="s">
        <v>458</v>
      </c>
      <c r="B12" s="310"/>
      <c r="C12" s="310"/>
      <c r="D12" s="310"/>
      <c r="E12" s="310"/>
      <c r="F12" s="310"/>
      <c r="G12" s="309" t="s">
        <v>426</v>
      </c>
      <c r="H12" s="309"/>
      <c r="I12" s="309"/>
      <c r="J12" s="101"/>
      <c r="K12" s="101"/>
    </row>
    <row r="13" spans="1:12" ht="19.95" customHeight="1">
      <c r="A13" s="310" t="s">
        <v>245</v>
      </c>
      <c r="B13" s="310"/>
      <c r="C13" s="310"/>
      <c r="D13" s="310"/>
      <c r="E13" s="310"/>
      <c r="F13" s="310"/>
      <c r="G13" s="309" t="s">
        <v>427</v>
      </c>
      <c r="H13" s="309"/>
      <c r="I13" s="309"/>
      <c r="J13" s="101"/>
      <c r="K13" s="101"/>
    </row>
    <row r="14" spans="1:12" ht="19.95" customHeight="1">
      <c r="A14" s="99" t="s">
        <v>140</v>
      </c>
      <c r="J14" s="274"/>
      <c r="K14" s="275"/>
      <c r="L14" s="275"/>
    </row>
    <row r="15" spans="1:12" ht="19.95" customHeight="1">
      <c r="A15" s="306" t="s">
        <v>141</v>
      </c>
      <c r="B15" s="308" t="s">
        <v>460</v>
      </c>
      <c r="C15" s="307" t="s">
        <v>143</v>
      </c>
      <c r="D15" s="305" t="s">
        <v>266</v>
      </c>
      <c r="E15" s="305"/>
      <c r="F15" s="305"/>
      <c r="G15" s="305"/>
      <c r="H15" s="305"/>
      <c r="I15" s="307" t="s">
        <v>267</v>
      </c>
      <c r="J15" s="116"/>
      <c r="K15" s="116"/>
      <c r="L15" s="116"/>
    </row>
    <row r="16" spans="1:12" ht="35.4" customHeight="1">
      <c r="A16" s="306"/>
      <c r="B16" s="308"/>
      <c r="C16" s="307"/>
      <c r="D16" s="260" t="s">
        <v>268</v>
      </c>
      <c r="E16" s="260" t="s">
        <v>269</v>
      </c>
      <c r="F16" s="205" t="s">
        <v>270</v>
      </c>
      <c r="G16" s="205" t="s">
        <v>271</v>
      </c>
      <c r="H16" s="205" t="s">
        <v>272</v>
      </c>
      <c r="I16" s="307"/>
      <c r="J16" s="294" t="s">
        <v>459</v>
      </c>
      <c r="K16" s="116"/>
      <c r="L16" s="116"/>
    </row>
    <row r="17" spans="1:12" ht="68.400000000000006" customHeight="1">
      <c r="A17" s="266">
        <v>1</v>
      </c>
      <c r="B17" s="259" t="s">
        <v>387</v>
      </c>
      <c r="C17" s="123" t="s">
        <v>273</v>
      </c>
      <c r="D17" s="242" t="s">
        <v>392</v>
      </c>
      <c r="E17" s="242" t="s">
        <v>393</v>
      </c>
      <c r="F17" s="243"/>
      <c r="G17" s="243" t="s">
        <v>393</v>
      </c>
      <c r="H17" s="261"/>
      <c r="I17" s="261" t="s">
        <v>429</v>
      </c>
      <c r="J17" s="178"/>
      <c r="K17" s="178"/>
      <c r="L17" s="179"/>
    </row>
    <row r="18" spans="1:12" ht="57" customHeight="1">
      <c r="A18" s="266">
        <v>2</v>
      </c>
      <c r="B18" s="257" t="s">
        <v>275</v>
      </c>
      <c r="C18" s="123" t="s">
        <v>273</v>
      </c>
      <c r="D18" s="242"/>
      <c r="E18" s="243" t="s">
        <v>394</v>
      </c>
      <c r="F18" s="180"/>
      <c r="G18" s="242" t="s">
        <v>394</v>
      </c>
      <c r="H18" s="180"/>
      <c r="I18" s="291" t="s">
        <v>430</v>
      </c>
      <c r="J18" s="194" t="s">
        <v>255</v>
      </c>
      <c r="K18" s="120"/>
      <c r="L18" s="119"/>
    </row>
    <row r="19" spans="1:12" ht="42.6" customHeight="1">
      <c r="A19" s="266">
        <v>3</v>
      </c>
      <c r="B19" s="258" t="s">
        <v>395</v>
      </c>
      <c r="C19" s="123" t="s">
        <v>276</v>
      </c>
      <c r="D19" s="244" t="s">
        <v>394</v>
      </c>
      <c r="E19" s="245" t="s">
        <v>394</v>
      </c>
      <c r="F19" s="245" t="s">
        <v>394</v>
      </c>
      <c r="G19" s="245" t="s">
        <v>394</v>
      </c>
      <c r="H19" s="180"/>
      <c r="I19" s="267" t="s">
        <v>431</v>
      </c>
      <c r="J19" s="194" t="s">
        <v>256</v>
      </c>
      <c r="K19" s="120"/>
      <c r="L19" s="119"/>
    </row>
    <row r="20" spans="1:12" ht="46.8" customHeight="1">
      <c r="A20" s="266">
        <v>4</v>
      </c>
      <c r="B20" s="258" t="s">
        <v>396</v>
      </c>
      <c r="C20" s="123" t="s">
        <v>273</v>
      </c>
      <c r="D20" s="244" t="s">
        <v>394</v>
      </c>
      <c r="E20" s="245" t="s">
        <v>394</v>
      </c>
      <c r="F20" s="244" t="s">
        <v>394</v>
      </c>
      <c r="G20" s="180"/>
      <c r="H20" s="244" t="s">
        <v>394</v>
      </c>
      <c r="I20" s="267" t="s">
        <v>432</v>
      </c>
      <c r="J20" s="248"/>
      <c r="K20" s="120"/>
      <c r="L20" s="119"/>
    </row>
    <row r="21" spans="1:12" ht="33.6" customHeight="1">
      <c r="A21" s="266">
        <v>5</v>
      </c>
      <c r="B21" s="255" t="s">
        <v>389</v>
      </c>
      <c r="C21" s="123" t="s">
        <v>276</v>
      </c>
      <c r="D21" s="180" t="s">
        <v>274</v>
      </c>
      <c r="E21" s="180" t="s">
        <v>274</v>
      </c>
      <c r="F21" s="180"/>
      <c r="G21" s="180"/>
      <c r="H21" s="180"/>
      <c r="I21" s="267"/>
      <c r="K21" s="120"/>
      <c r="L21" s="119"/>
    </row>
    <row r="22" spans="1:12" ht="97.8" customHeight="1">
      <c r="A22" s="266">
        <v>6</v>
      </c>
      <c r="B22" s="256" t="s">
        <v>425</v>
      </c>
      <c r="C22" s="123" t="s">
        <v>276</v>
      </c>
      <c r="D22" s="180" t="s">
        <v>274</v>
      </c>
      <c r="E22" s="180" t="s">
        <v>274</v>
      </c>
      <c r="F22" s="263" t="s">
        <v>428</v>
      </c>
      <c r="G22" s="180" t="s">
        <v>274</v>
      </c>
      <c r="H22" s="180"/>
      <c r="I22" s="267"/>
      <c r="J22" s="120"/>
      <c r="K22" s="120"/>
      <c r="L22" s="119"/>
    </row>
    <row r="23" spans="1:12" ht="32.4" customHeight="1">
      <c r="A23" s="266">
        <v>7</v>
      </c>
      <c r="B23" s="255" t="s">
        <v>397</v>
      </c>
      <c r="C23" s="123" t="s">
        <v>273</v>
      </c>
      <c r="D23" s="244" t="s">
        <v>394</v>
      </c>
      <c r="E23" s="246"/>
      <c r="F23" s="245" t="s">
        <v>394</v>
      </c>
      <c r="G23" s="245" t="s">
        <v>393</v>
      </c>
      <c r="H23" s="180"/>
      <c r="I23" s="267" t="s">
        <v>433</v>
      </c>
      <c r="J23" s="247"/>
      <c r="K23" s="120"/>
      <c r="L23" s="119"/>
    </row>
    <row r="24" spans="1:12" ht="33" customHeight="1">
      <c r="A24" s="266">
        <v>8</v>
      </c>
      <c r="B24" s="268" t="s">
        <v>277</v>
      </c>
      <c r="C24" s="123" t="s">
        <v>278</v>
      </c>
      <c r="D24" s="180"/>
      <c r="E24" s="180"/>
      <c r="F24" s="180"/>
      <c r="G24" s="180"/>
      <c r="H24" s="180" t="s">
        <v>274</v>
      </c>
      <c r="I24" s="264" t="s">
        <v>254</v>
      </c>
      <c r="J24" s="120"/>
      <c r="K24" s="120"/>
      <c r="L24" s="119"/>
    </row>
    <row r="25" spans="1:12" ht="28.5" customHeight="1"/>
  </sheetData>
  <mergeCells count="19">
    <mergeCell ref="A10:F10"/>
    <mergeCell ref="A11:F11"/>
    <mergeCell ref="A12:F12"/>
    <mergeCell ref="A1:I1"/>
    <mergeCell ref="A2:I2"/>
    <mergeCell ref="D15:H15"/>
    <mergeCell ref="A15:A16"/>
    <mergeCell ref="I15:I16"/>
    <mergeCell ref="B15:B16"/>
    <mergeCell ref="C15:C16"/>
    <mergeCell ref="G13:I13"/>
    <mergeCell ref="A13:F13"/>
    <mergeCell ref="G8:I8"/>
    <mergeCell ref="G9:I9"/>
    <mergeCell ref="G10:I10"/>
    <mergeCell ref="G11:I11"/>
    <mergeCell ref="G12:I12"/>
    <mergeCell ref="A8:F8"/>
    <mergeCell ref="A9:F9"/>
  </mergeCells>
  <phoneticPr fontId="15" type="noConversion"/>
  <hyperlinks>
    <hyperlink ref="I3" location="底稿目录!A1" display="M10A"/>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M44"/>
  <sheetViews>
    <sheetView view="pageBreakPreview" topLeftCell="A9" zoomScaleNormal="110" zoomScaleSheetLayoutView="100" workbookViewId="0">
      <selection activeCell="M13" sqref="M13"/>
    </sheetView>
  </sheetViews>
  <sheetFormatPr defaultColWidth="9" defaultRowHeight="13.8" outlineLevelRow="1"/>
  <cols>
    <col min="1" max="1" width="7.796875" style="92" customWidth="1"/>
    <col min="2" max="2" width="42.796875" style="92" customWidth="1"/>
    <col min="3" max="3" width="16.59765625" style="92" customWidth="1"/>
    <col min="4" max="4" width="5.09765625" style="110" customWidth="1"/>
    <col min="5" max="5" width="5.59765625" style="92" customWidth="1"/>
    <col min="6" max="6" width="6.59765625" style="92" customWidth="1"/>
    <col min="7" max="7" width="7.5" style="92" customWidth="1"/>
    <col min="8" max="8" width="11.09765625" style="92" customWidth="1"/>
    <col min="9" max="9" width="11" style="92" customWidth="1"/>
    <col min="10" max="10" width="8.09765625" style="111" customWidth="1"/>
    <col min="11" max="11" width="8.09765625" style="91" customWidth="1"/>
    <col min="12" max="12" width="14.59765625" style="91" customWidth="1"/>
    <col min="13" max="16384" width="9" style="92"/>
  </cols>
  <sheetData>
    <row r="1" spans="1:13" ht="15.6">
      <c r="A1" s="303" t="s">
        <v>122</v>
      </c>
      <c r="B1" s="303"/>
      <c r="C1" s="303"/>
      <c r="D1" s="303"/>
      <c r="E1" s="303"/>
      <c r="F1" s="303"/>
      <c r="G1" s="303"/>
      <c r="H1" s="303"/>
      <c r="I1" s="303"/>
      <c r="J1" s="303"/>
    </row>
    <row r="2" spans="1:13" ht="24" customHeight="1">
      <c r="A2" s="368" t="s">
        <v>123</v>
      </c>
      <c r="B2" s="304"/>
      <c r="C2" s="304"/>
      <c r="D2" s="304"/>
      <c r="E2" s="304"/>
      <c r="F2" s="304"/>
      <c r="G2" s="304"/>
      <c r="H2" s="304"/>
      <c r="I2" s="304"/>
      <c r="J2" s="304"/>
    </row>
    <row r="3" spans="1:13" ht="20.25" customHeight="1">
      <c r="A3" s="93" t="str">
        <f>底稿目录!A2</f>
        <v>被审计单位：</v>
      </c>
      <c r="B3" s="93"/>
      <c r="C3" s="94" t="str">
        <f>底稿目录!A4</f>
        <v>编制人：</v>
      </c>
      <c r="D3" s="95"/>
      <c r="F3" s="93" t="str">
        <f>底稿目录!A5</f>
        <v>编制日期：</v>
      </c>
      <c r="G3" s="93"/>
      <c r="H3" s="93"/>
      <c r="I3" s="93" t="s">
        <v>124</v>
      </c>
      <c r="J3" s="96" t="s">
        <v>125</v>
      </c>
    </row>
    <row r="4" spans="1:13" ht="20.25" customHeight="1">
      <c r="A4" s="93" t="str">
        <f>底稿目录!A3</f>
        <v>截止日：202X年12月31日</v>
      </c>
      <c r="B4" s="93"/>
      <c r="C4" s="94" t="str">
        <f>底稿目录!A6</f>
        <v>复核人：</v>
      </c>
      <c r="D4" s="95"/>
      <c r="F4" s="93" t="str">
        <f>底稿目录!A7</f>
        <v>复核日期：</v>
      </c>
      <c r="G4" s="93"/>
      <c r="H4" s="93"/>
      <c r="I4" s="97" t="s">
        <v>105</v>
      </c>
      <c r="J4" s="96"/>
    </row>
    <row r="5" spans="1:13" ht="20.25" customHeight="1">
      <c r="A5" s="135" t="s">
        <v>207</v>
      </c>
      <c r="B5" s="93"/>
      <c r="C5" s="93"/>
      <c r="D5" s="95"/>
      <c r="E5" s="93"/>
      <c r="F5" s="93"/>
      <c r="G5" s="93"/>
      <c r="H5" s="93"/>
      <c r="I5" s="93"/>
      <c r="J5" s="96"/>
    </row>
    <row r="6" spans="1:13" ht="20.25" customHeight="1">
      <c r="A6" s="98" t="s">
        <v>126</v>
      </c>
      <c r="C6" s="93"/>
      <c r="D6" s="95"/>
      <c r="E6" s="93"/>
      <c r="F6" s="93"/>
      <c r="G6" s="93"/>
      <c r="H6" s="93"/>
      <c r="I6" s="93"/>
      <c r="J6" s="96"/>
    </row>
    <row r="7" spans="1:13" ht="20.25" customHeight="1">
      <c r="A7" s="99" t="s">
        <v>127</v>
      </c>
      <c r="B7" s="100"/>
      <c r="C7" s="100"/>
      <c r="D7" s="95"/>
      <c r="E7" s="93"/>
      <c r="F7" s="93"/>
      <c r="G7" s="93"/>
      <c r="H7" s="93"/>
      <c r="I7" s="93"/>
      <c r="J7" s="96"/>
      <c r="K7" s="101"/>
      <c r="L7" s="101"/>
    </row>
    <row r="8" spans="1:13" ht="26.25" customHeight="1">
      <c r="A8" s="369" t="s">
        <v>128</v>
      </c>
      <c r="B8" s="369"/>
      <c r="C8" s="370" t="s">
        <v>129</v>
      </c>
      <c r="D8" s="371"/>
      <c r="E8" s="371"/>
      <c r="F8" s="371"/>
      <c r="G8" s="372"/>
      <c r="H8" s="102" t="s">
        <v>130</v>
      </c>
      <c r="I8" s="103" t="s">
        <v>131</v>
      </c>
      <c r="J8" s="373"/>
      <c r="K8" s="101"/>
      <c r="L8" s="101"/>
    </row>
    <row r="9" spans="1:13" ht="30.75" customHeight="1">
      <c r="A9" s="369"/>
      <c r="B9" s="369"/>
      <c r="C9" s="103" t="s">
        <v>132</v>
      </c>
      <c r="D9" s="103" t="s">
        <v>133</v>
      </c>
      <c r="E9" s="103" t="s">
        <v>134</v>
      </c>
      <c r="F9" s="103" t="s">
        <v>135</v>
      </c>
      <c r="G9" s="103" t="s">
        <v>136</v>
      </c>
      <c r="H9" s="103"/>
      <c r="I9" s="103"/>
      <c r="J9" s="374"/>
      <c r="K9" s="101"/>
      <c r="L9" s="101"/>
    </row>
    <row r="10" spans="1:13" ht="23.25" customHeight="1">
      <c r="A10" s="375" t="s">
        <v>137</v>
      </c>
      <c r="B10" s="375"/>
      <c r="C10" s="103" t="s">
        <v>138</v>
      </c>
      <c r="D10" s="103"/>
      <c r="E10" s="103"/>
      <c r="F10" s="103"/>
      <c r="G10" s="103"/>
      <c r="H10" s="103"/>
      <c r="I10" s="104"/>
      <c r="J10" s="105"/>
      <c r="K10" s="101"/>
      <c r="L10" s="101"/>
    </row>
    <row r="11" spans="1:13" ht="31.5" customHeight="1">
      <c r="A11" s="376" t="s">
        <v>139</v>
      </c>
      <c r="B11" s="377"/>
      <c r="C11" s="106"/>
      <c r="D11" s="103" t="s">
        <v>138</v>
      </c>
      <c r="E11" s="103"/>
      <c r="F11" s="103"/>
      <c r="G11" s="103"/>
      <c r="H11" s="103"/>
      <c r="I11" s="104"/>
      <c r="J11" s="105"/>
      <c r="K11" s="101"/>
      <c r="L11" s="101"/>
    </row>
    <row r="12" spans="1:13" ht="25.5" customHeight="1">
      <c r="A12" s="376" t="s">
        <v>248</v>
      </c>
      <c r="B12" s="377"/>
      <c r="C12" s="106"/>
      <c r="D12" s="103"/>
      <c r="E12" s="103"/>
      <c r="F12" s="103" t="s">
        <v>138</v>
      </c>
      <c r="G12" s="103"/>
      <c r="H12" s="103"/>
      <c r="I12" s="104"/>
      <c r="J12" s="107"/>
      <c r="K12" s="101"/>
      <c r="L12" s="101"/>
    </row>
    <row r="13" spans="1:13" ht="25.5" customHeight="1">
      <c r="A13" s="376" t="s">
        <v>249</v>
      </c>
      <c r="B13" s="377"/>
      <c r="C13" s="106"/>
      <c r="D13" s="103"/>
      <c r="E13" s="103"/>
      <c r="F13" s="103"/>
      <c r="G13" s="103" t="s">
        <v>138</v>
      </c>
      <c r="H13" s="103"/>
      <c r="I13" s="103"/>
      <c r="J13" s="107"/>
      <c r="K13" s="101"/>
      <c r="L13" s="101"/>
    </row>
    <row r="14" spans="1:13" ht="25.5" customHeight="1">
      <c r="A14" s="108"/>
      <c r="B14" s="108"/>
      <c r="C14" s="108"/>
      <c r="D14" s="109"/>
      <c r="E14" s="109"/>
      <c r="F14" s="109"/>
      <c r="G14" s="109"/>
      <c r="H14" s="109"/>
      <c r="I14" s="107"/>
      <c r="J14" s="107"/>
      <c r="K14" s="101"/>
      <c r="L14" s="101"/>
    </row>
    <row r="15" spans="1:13" ht="20.25" customHeight="1">
      <c r="A15" s="99" t="s">
        <v>140</v>
      </c>
      <c r="K15" s="112"/>
      <c r="L15" s="113"/>
      <c r="M15" s="113"/>
    </row>
    <row r="16" spans="1:13" ht="28.5" customHeight="1">
      <c r="A16" s="114" t="s">
        <v>141</v>
      </c>
      <c r="B16" s="378" t="s">
        <v>142</v>
      </c>
      <c r="C16" s="367"/>
      <c r="D16" s="115" t="s">
        <v>143</v>
      </c>
      <c r="E16" s="379" t="s">
        <v>144</v>
      </c>
      <c r="F16" s="379"/>
      <c r="G16" s="379"/>
      <c r="H16" s="379"/>
      <c r="I16" s="367" t="s">
        <v>145</v>
      </c>
      <c r="J16" s="367"/>
      <c r="K16" s="116"/>
      <c r="L16" s="116"/>
      <c r="M16" s="116"/>
    </row>
    <row r="17" spans="1:13" ht="28.5" customHeight="1">
      <c r="A17" s="117" t="s">
        <v>146</v>
      </c>
      <c r="B17" s="364" t="s">
        <v>147</v>
      </c>
      <c r="C17" s="352"/>
      <c r="D17" s="118" t="s">
        <v>148</v>
      </c>
      <c r="E17" s="365" t="s">
        <v>149</v>
      </c>
      <c r="F17" s="366"/>
      <c r="G17" s="366"/>
      <c r="H17" s="366"/>
      <c r="I17" s="354" t="s">
        <v>150</v>
      </c>
      <c r="J17" s="355"/>
      <c r="K17" s="195" t="s">
        <v>257</v>
      </c>
      <c r="L17" s="317" t="s">
        <v>387</v>
      </c>
      <c r="M17" s="317"/>
    </row>
    <row r="18" spans="1:13" ht="43.5" customHeight="1">
      <c r="A18" s="117" t="s">
        <v>151</v>
      </c>
      <c r="B18" s="351" t="s">
        <v>152</v>
      </c>
      <c r="C18" s="352"/>
      <c r="D18" s="118" t="s">
        <v>148</v>
      </c>
      <c r="E18" s="353" t="s">
        <v>153</v>
      </c>
      <c r="F18" s="353"/>
      <c r="G18" s="353"/>
      <c r="H18" s="353"/>
      <c r="I18" s="354" t="s">
        <v>154</v>
      </c>
      <c r="J18" s="355"/>
      <c r="K18" s="195" t="s">
        <v>257</v>
      </c>
      <c r="L18" s="318"/>
      <c r="M18" s="318"/>
    </row>
    <row r="19" spans="1:13" ht="24.75" customHeight="1" outlineLevel="1">
      <c r="A19" s="121" t="s">
        <v>155</v>
      </c>
      <c r="B19" s="356" t="s">
        <v>156</v>
      </c>
      <c r="C19" s="350"/>
      <c r="D19" s="122" t="s">
        <v>148</v>
      </c>
      <c r="E19" s="347" t="s">
        <v>157</v>
      </c>
      <c r="F19" s="347"/>
      <c r="G19" s="347"/>
      <c r="H19" s="347"/>
      <c r="I19" s="332"/>
      <c r="J19" s="333"/>
      <c r="K19" s="195" t="s">
        <v>257</v>
      </c>
      <c r="L19" s="318"/>
      <c r="M19" s="318"/>
    </row>
    <row r="20" spans="1:13" ht="24.75" customHeight="1" outlineLevel="1">
      <c r="A20" s="121" t="s">
        <v>158</v>
      </c>
      <c r="B20" s="356" t="s">
        <v>159</v>
      </c>
      <c r="C20" s="350"/>
      <c r="D20" s="122" t="s">
        <v>148</v>
      </c>
      <c r="E20" s="347" t="s">
        <v>157</v>
      </c>
      <c r="F20" s="347"/>
      <c r="G20" s="347"/>
      <c r="H20" s="347"/>
      <c r="I20" s="332"/>
      <c r="J20" s="333"/>
      <c r="K20" s="195" t="s">
        <v>257</v>
      </c>
      <c r="L20" s="318"/>
      <c r="M20" s="318"/>
    </row>
    <row r="21" spans="1:13" ht="21.75" customHeight="1" outlineLevel="1">
      <c r="A21" s="121" t="s">
        <v>160</v>
      </c>
      <c r="B21" s="363" t="s">
        <v>161</v>
      </c>
      <c r="C21" s="346"/>
      <c r="D21" s="123" t="s">
        <v>162</v>
      </c>
      <c r="E21" s="336" t="s">
        <v>157</v>
      </c>
      <c r="F21" s="337"/>
      <c r="G21" s="337"/>
      <c r="H21" s="338"/>
      <c r="I21" s="332"/>
      <c r="J21" s="333"/>
      <c r="K21" s="195" t="s">
        <v>257</v>
      </c>
      <c r="L21" s="318"/>
      <c r="M21" s="318"/>
    </row>
    <row r="22" spans="1:13" ht="21.75" customHeight="1" outlineLevel="1">
      <c r="A22" s="121" t="s">
        <v>163</v>
      </c>
      <c r="B22" s="363" t="s">
        <v>164</v>
      </c>
      <c r="C22" s="346"/>
      <c r="D22" s="123" t="s">
        <v>162</v>
      </c>
      <c r="E22" s="336" t="s">
        <v>157</v>
      </c>
      <c r="F22" s="337"/>
      <c r="G22" s="337"/>
      <c r="H22" s="338"/>
      <c r="I22" s="332"/>
      <c r="J22" s="333"/>
      <c r="K22" s="195" t="s">
        <v>257</v>
      </c>
      <c r="L22" s="318"/>
      <c r="M22" s="318"/>
    </row>
    <row r="23" spans="1:13" ht="21.75" customHeight="1" outlineLevel="1">
      <c r="A23" s="121" t="s">
        <v>165</v>
      </c>
      <c r="B23" s="348" t="s">
        <v>166</v>
      </c>
      <c r="C23" s="346"/>
      <c r="D23" s="123" t="s">
        <v>162</v>
      </c>
      <c r="E23" s="336" t="s">
        <v>157</v>
      </c>
      <c r="F23" s="337"/>
      <c r="G23" s="337"/>
      <c r="H23" s="338"/>
      <c r="I23" s="332"/>
      <c r="J23" s="333"/>
      <c r="K23" s="195" t="s">
        <v>257</v>
      </c>
      <c r="L23" s="318"/>
      <c r="M23" s="318"/>
    </row>
    <row r="24" spans="1:13" ht="21.75" customHeight="1" outlineLevel="1">
      <c r="A24" s="121" t="s">
        <v>167</v>
      </c>
      <c r="B24" s="349" t="s">
        <v>168</v>
      </c>
      <c r="C24" s="350"/>
      <c r="D24" s="122" t="s">
        <v>148</v>
      </c>
      <c r="E24" s="336" t="s">
        <v>157</v>
      </c>
      <c r="F24" s="337"/>
      <c r="G24" s="337"/>
      <c r="H24" s="338"/>
      <c r="I24" s="332"/>
      <c r="J24" s="333"/>
      <c r="K24" s="195" t="s">
        <v>257</v>
      </c>
      <c r="L24" s="318"/>
      <c r="M24" s="318"/>
    </row>
    <row r="25" spans="1:13" ht="27" customHeight="1">
      <c r="A25" s="124" t="s">
        <v>169</v>
      </c>
      <c r="B25" s="361" t="s">
        <v>170</v>
      </c>
      <c r="C25" s="362"/>
      <c r="D25" s="118" t="s">
        <v>171</v>
      </c>
      <c r="E25" s="325" t="s">
        <v>149</v>
      </c>
      <c r="F25" s="326"/>
      <c r="G25" s="326"/>
      <c r="H25" s="327"/>
      <c r="I25" s="325" t="s">
        <v>172</v>
      </c>
      <c r="J25" s="327"/>
      <c r="K25" s="195" t="s">
        <v>257</v>
      </c>
      <c r="L25" s="319" t="s">
        <v>275</v>
      </c>
      <c r="M25" s="319"/>
    </row>
    <row r="26" spans="1:13" ht="27" customHeight="1" outlineLevel="1">
      <c r="A26" s="125" t="s">
        <v>173</v>
      </c>
      <c r="B26" s="357" t="s">
        <v>174</v>
      </c>
      <c r="C26" s="358"/>
      <c r="D26" s="122"/>
      <c r="E26" s="336"/>
      <c r="F26" s="337"/>
      <c r="G26" s="337"/>
      <c r="H26" s="338"/>
      <c r="I26" s="332"/>
      <c r="J26" s="333"/>
      <c r="K26" s="195" t="s">
        <v>257</v>
      </c>
      <c r="L26" s="320"/>
      <c r="M26" s="320"/>
    </row>
    <row r="27" spans="1:13" ht="27" customHeight="1" outlineLevel="1">
      <c r="A27" s="125" t="s">
        <v>175</v>
      </c>
      <c r="B27" s="357" t="s">
        <v>176</v>
      </c>
      <c r="C27" s="358"/>
      <c r="D27" s="122"/>
      <c r="E27" s="336"/>
      <c r="F27" s="337"/>
      <c r="G27" s="337"/>
      <c r="H27" s="338"/>
      <c r="I27" s="332"/>
      <c r="J27" s="333"/>
      <c r="K27" s="195" t="s">
        <v>257</v>
      </c>
      <c r="L27" s="320"/>
      <c r="M27" s="320"/>
    </row>
    <row r="28" spans="1:13" ht="34.5" customHeight="1">
      <c r="A28" s="126" t="s">
        <v>177</v>
      </c>
      <c r="B28" s="359" t="s">
        <v>178</v>
      </c>
      <c r="C28" s="360"/>
      <c r="D28" s="127" t="s">
        <v>179</v>
      </c>
      <c r="E28" s="353" t="s">
        <v>180</v>
      </c>
      <c r="F28" s="353"/>
      <c r="G28" s="353"/>
      <c r="H28" s="353"/>
      <c r="I28" s="354" t="s">
        <v>154</v>
      </c>
      <c r="J28" s="355"/>
      <c r="K28" s="195" t="s">
        <v>398</v>
      </c>
      <c r="L28" s="321" t="s">
        <v>395</v>
      </c>
      <c r="M28" s="322"/>
    </row>
    <row r="29" spans="1:13" ht="49.5" customHeight="1">
      <c r="A29" s="117" t="s">
        <v>181</v>
      </c>
      <c r="B29" s="351" t="s">
        <v>182</v>
      </c>
      <c r="C29" s="352"/>
      <c r="D29" s="118" t="s">
        <v>148</v>
      </c>
      <c r="E29" s="353" t="s">
        <v>183</v>
      </c>
      <c r="F29" s="353"/>
      <c r="G29" s="353"/>
      <c r="H29" s="353"/>
      <c r="I29" s="354" t="s">
        <v>154</v>
      </c>
      <c r="J29" s="355"/>
      <c r="K29" s="195" t="s">
        <v>399</v>
      </c>
      <c r="L29" s="313" t="s">
        <v>396</v>
      </c>
      <c r="M29" s="313"/>
    </row>
    <row r="30" spans="1:13" ht="33.75" customHeight="1" outlineLevel="1">
      <c r="A30" s="121" t="s">
        <v>155</v>
      </c>
      <c r="B30" s="356" t="s">
        <v>184</v>
      </c>
      <c r="C30" s="350"/>
      <c r="D30" s="122" t="s">
        <v>148</v>
      </c>
      <c r="E30" s="336" t="s">
        <v>183</v>
      </c>
      <c r="F30" s="337"/>
      <c r="G30" s="337"/>
      <c r="H30" s="338"/>
      <c r="I30" s="332"/>
      <c r="J30" s="333"/>
      <c r="K30" s="195" t="s">
        <v>399</v>
      </c>
      <c r="L30" s="314"/>
      <c r="M30" s="314"/>
    </row>
    <row r="31" spans="1:13" ht="33.75" customHeight="1" outlineLevel="1">
      <c r="A31" s="128" t="s">
        <v>158</v>
      </c>
      <c r="B31" s="348" t="s">
        <v>185</v>
      </c>
      <c r="C31" s="346"/>
      <c r="D31" s="123" t="s">
        <v>162</v>
      </c>
      <c r="E31" s="336" t="s">
        <v>183</v>
      </c>
      <c r="F31" s="337"/>
      <c r="G31" s="337"/>
      <c r="H31" s="338"/>
      <c r="I31" s="332"/>
      <c r="J31" s="333"/>
      <c r="K31" s="195" t="s">
        <v>399</v>
      </c>
      <c r="L31" s="314"/>
      <c r="M31" s="314"/>
    </row>
    <row r="32" spans="1:13" ht="49.5" customHeight="1" outlineLevel="1">
      <c r="A32" s="121" t="s">
        <v>160</v>
      </c>
      <c r="B32" s="349" t="s">
        <v>186</v>
      </c>
      <c r="C32" s="350"/>
      <c r="D32" s="122" t="s">
        <v>148</v>
      </c>
      <c r="E32" s="336" t="s">
        <v>183</v>
      </c>
      <c r="F32" s="337"/>
      <c r="G32" s="337"/>
      <c r="H32" s="338"/>
      <c r="I32" s="332"/>
      <c r="J32" s="333"/>
      <c r="K32" s="195" t="s">
        <v>399</v>
      </c>
      <c r="L32" s="314"/>
      <c r="M32" s="314"/>
    </row>
    <row r="33" spans="1:13" ht="33" customHeight="1" outlineLevel="1">
      <c r="A33" s="128" t="s">
        <v>187</v>
      </c>
      <c r="B33" s="345" t="s">
        <v>188</v>
      </c>
      <c r="C33" s="346"/>
      <c r="D33" s="123" t="s">
        <v>162</v>
      </c>
      <c r="E33" s="347" t="s">
        <v>183</v>
      </c>
      <c r="F33" s="347"/>
      <c r="G33" s="347"/>
      <c r="H33" s="347"/>
      <c r="I33" s="332"/>
      <c r="J33" s="333"/>
      <c r="K33" s="195" t="s">
        <v>399</v>
      </c>
      <c r="L33" s="314"/>
      <c r="M33" s="314"/>
    </row>
    <row r="34" spans="1:13" ht="45" customHeight="1" outlineLevel="1">
      <c r="A34" s="128" t="s">
        <v>189</v>
      </c>
      <c r="B34" s="330" t="s">
        <v>190</v>
      </c>
      <c r="C34" s="330"/>
      <c r="D34" s="123" t="s">
        <v>191</v>
      </c>
      <c r="E34" s="331" t="s">
        <v>183</v>
      </c>
      <c r="F34" s="331"/>
      <c r="G34" s="331"/>
      <c r="H34" s="331"/>
      <c r="I34" s="332"/>
      <c r="J34" s="333"/>
      <c r="K34" s="249" t="s">
        <v>400</v>
      </c>
      <c r="L34" s="314"/>
      <c r="M34" s="314"/>
    </row>
    <row r="35" spans="1:13" ht="32.25" customHeight="1" outlineLevel="1">
      <c r="A35" s="128" t="s">
        <v>192</v>
      </c>
      <c r="B35" s="334" t="s">
        <v>193</v>
      </c>
      <c r="C35" s="335"/>
      <c r="D35" s="123" t="s">
        <v>191</v>
      </c>
      <c r="E35" s="336" t="s">
        <v>183</v>
      </c>
      <c r="F35" s="337"/>
      <c r="G35" s="337"/>
      <c r="H35" s="338"/>
      <c r="I35" s="332"/>
      <c r="J35" s="333"/>
      <c r="K35" s="249" t="s">
        <v>400</v>
      </c>
      <c r="L35" s="314"/>
      <c r="M35" s="314"/>
    </row>
    <row r="36" spans="1:13" ht="33.75" customHeight="1" outlineLevel="1">
      <c r="A36" s="128" t="s">
        <v>194</v>
      </c>
      <c r="B36" s="334" t="s">
        <v>195</v>
      </c>
      <c r="C36" s="335"/>
      <c r="D36" s="123" t="s">
        <v>191</v>
      </c>
      <c r="E36" s="336" t="s">
        <v>183</v>
      </c>
      <c r="F36" s="337"/>
      <c r="G36" s="337"/>
      <c r="H36" s="338"/>
      <c r="I36" s="332"/>
      <c r="J36" s="333"/>
      <c r="K36" s="249" t="s">
        <v>400</v>
      </c>
      <c r="L36" s="314"/>
      <c r="M36" s="314"/>
    </row>
    <row r="37" spans="1:13" ht="31.5" customHeight="1" outlineLevel="1">
      <c r="A37" s="129" t="s">
        <v>196</v>
      </c>
      <c r="B37" s="334" t="s">
        <v>388</v>
      </c>
      <c r="C37" s="335"/>
      <c r="D37" s="123" t="s">
        <v>191</v>
      </c>
      <c r="E37" s="336" t="s">
        <v>183</v>
      </c>
      <c r="F37" s="337"/>
      <c r="G37" s="337"/>
      <c r="H37" s="338"/>
      <c r="I37" s="332"/>
      <c r="J37" s="333"/>
      <c r="K37" s="195" t="s">
        <v>401</v>
      </c>
      <c r="L37" s="314"/>
      <c r="M37" s="314"/>
    </row>
    <row r="38" spans="1:13" ht="33.75" customHeight="1">
      <c r="A38" s="130" t="s">
        <v>197</v>
      </c>
      <c r="B38" s="339" t="s">
        <v>390</v>
      </c>
      <c r="C38" s="340"/>
      <c r="D38" s="127" t="s">
        <v>162</v>
      </c>
      <c r="E38" s="341" t="s">
        <v>198</v>
      </c>
      <c r="F38" s="342"/>
      <c r="G38" s="342"/>
      <c r="H38" s="342"/>
      <c r="I38" s="343"/>
      <c r="J38" s="344"/>
      <c r="K38" s="195" t="s">
        <v>401</v>
      </c>
      <c r="L38" s="315" t="s">
        <v>391</v>
      </c>
      <c r="M38" s="315"/>
    </row>
    <row r="39" spans="1:13" ht="33.75" customHeight="1" outlineLevel="1">
      <c r="A39" s="131" t="s">
        <v>155</v>
      </c>
      <c r="B39" s="330" t="s">
        <v>199</v>
      </c>
      <c r="C39" s="330"/>
      <c r="D39" s="132" t="s">
        <v>162</v>
      </c>
      <c r="E39" s="331" t="s">
        <v>200</v>
      </c>
      <c r="F39" s="331"/>
      <c r="G39" s="331"/>
      <c r="H39" s="331"/>
      <c r="I39" s="332"/>
      <c r="J39" s="333"/>
      <c r="K39" s="195" t="s">
        <v>401</v>
      </c>
      <c r="L39" s="316"/>
      <c r="M39" s="316"/>
    </row>
    <row r="40" spans="1:13" ht="33.75" customHeight="1" outlineLevel="1">
      <c r="A40" s="131" t="s">
        <v>158</v>
      </c>
      <c r="B40" s="330" t="s">
        <v>201</v>
      </c>
      <c r="C40" s="330"/>
      <c r="D40" s="132" t="s">
        <v>162</v>
      </c>
      <c r="E40" s="331" t="s">
        <v>200</v>
      </c>
      <c r="F40" s="331"/>
      <c r="G40" s="331"/>
      <c r="H40" s="331"/>
      <c r="I40" s="332"/>
      <c r="J40" s="333"/>
      <c r="K40" s="195" t="s">
        <v>401</v>
      </c>
      <c r="L40" s="316"/>
      <c r="M40" s="316"/>
    </row>
    <row r="41" spans="1:13" ht="33.75" customHeight="1" outlineLevel="1">
      <c r="A41" s="131" t="s">
        <v>160</v>
      </c>
      <c r="B41" s="330" t="s">
        <v>202</v>
      </c>
      <c r="C41" s="330"/>
      <c r="D41" s="132" t="s">
        <v>162</v>
      </c>
      <c r="E41" s="331" t="s">
        <v>200</v>
      </c>
      <c r="F41" s="331"/>
      <c r="G41" s="331"/>
      <c r="H41" s="331"/>
      <c r="I41" s="332"/>
      <c r="J41" s="333"/>
      <c r="K41" s="195" t="s">
        <v>401</v>
      </c>
      <c r="L41" s="316"/>
      <c r="M41" s="316"/>
    </row>
    <row r="42" spans="1:13" ht="33.75" customHeight="1" outlineLevel="1">
      <c r="A42" s="131" t="s">
        <v>163</v>
      </c>
      <c r="B42" s="330" t="s">
        <v>203</v>
      </c>
      <c r="C42" s="330"/>
      <c r="D42" s="133" t="s">
        <v>162</v>
      </c>
      <c r="E42" s="331" t="s">
        <v>200</v>
      </c>
      <c r="F42" s="331"/>
      <c r="G42" s="331"/>
      <c r="H42" s="331"/>
      <c r="I42" s="332"/>
      <c r="J42" s="333"/>
      <c r="K42" s="195" t="s">
        <v>401</v>
      </c>
      <c r="L42" s="316"/>
      <c r="M42" s="316"/>
    </row>
    <row r="43" spans="1:13" ht="32.25" customHeight="1">
      <c r="A43" s="134" t="s">
        <v>204</v>
      </c>
      <c r="B43" s="323" t="s">
        <v>205</v>
      </c>
      <c r="C43" s="324"/>
      <c r="D43" s="118" t="s">
        <v>148</v>
      </c>
      <c r="E43" s="325" t="s">
        <v>206</v>
      </c>
      <c r="F43" s="326"/>
      <c r="G43" s="326"/>
      <c r="H43" s="327"/>
      <c r="I43" s="328"/>
      <c r="J43" s="329"/>
      <c r="K43" s="195" t="s">
        <v>258</v>
      </c>
    </row>
    <row r="44" spans="1:13" ht="28.5" customHeight="1"/>
  </sheetData>
  <autoFilter ref="A16:J16">
    <filterColumn colId="1" showButton="0"/>
    <filterColumn colId="4" showButton="0"/>
    <filterColumn colId="5" showButton="0"/>
    <filterColumn colId="6" showButton="0"/>
    <filterColumn colId="8" showButton="0"/>
  </autoFilter>
  <mergeCells count="98">
    <mergeCell ref="I16:J16"/>
    <mergeCell ref="A1:J1"/>
    <mergeCell ref="A2:J2"/>
    <mergeCell ref="A8:B9"/>
    <mergeCell ref="C8:G8"/>
    <mergeCell ref="J8:J9"/>
    <mergeCell ref="A10:B10"/>
    <mergeCell ref="A11:B11"/>
    <mergeCell ref="A12:B12"/>
    <mergeCell ref="A13:B13"/>
    <mergeCell ref="B16:C16"/>
    <mergeCell ref="E16:H16"/>
    <mergeCell ref="B17:C17"/>
    <mergeCell ref="E17:H17"/>
    <mergeCell ref="I17:J17"/>
    <mergeCell ref="B18:C18"/>
    <mergeCell ref="E18:H18"/>
    <mergeCell ref="I18:J18"/>
    <mergeCell ref="B19:C19"/>
    <mergeCell ref="E19:H19"/>
    <mergeCell ref="I19:J19"/>
    <mergeCell ref="B20:C20"/>
    <mergeCell ref="E20:H20"/>
    <mergeCell ref="I20:J20"/>
    <mergeCell ref="B21:C21"/>
    <mergeCell ref="E21:H21"/>
    <mergeCell ref="I21:J21"/>
    <mergeCell ref="B22:C22"/>
    <mergeCell ref="E22:H22"/>
    <mergeCell ref="I22:J22"/>
    <mergeCell ref="B23:C23"/>
    <mergeCell ref="E23:H23"/>
    <mergeCell ref="I23:J23"/>
    <mergeCell ref="B24:C24"/>
    <mergeCell ref="E24:H24"/>
    <mergeCell ref="I24:J24"/>
    <mergeCell ref="B25:C25"/>
    <mergeCell ref="E25:H25"/>
    <mergeCell ref="I25:J25"/>
    <mergeCell ref="B26:C26"/>
    <mergeCell ref="E26:H26"/>
    <mergeCell ref="I26:J26"/>
    <mergeCell ref="B27:C27"/>
    <mergeCell ref="E27:H27"/>
    <mergeCell ref="I27:J27"/>
    <mergeCell ref="B28:C28"/>
    <mergeCell ref="E28:H28"/>
    <mergeCell ref="I28:J28"/>
    <mergeCell ref="B29:C29"/>
    <mergeCell ref="E29:H29"/>
    <mergeCell ref="I29:J29"/>
    <mergeCell ref="B30:C30"/>
    <mergeCell ref="E30:H30"/>
    <mergeCell ref="I30:J30"/>
    <mergeCell ref="B31:C31"/>
    <mergeCell ref="E31:H31"/>
    <mergeCell ref="I31:J31"/>
    <mergeCell ref="B32:C32"/>
    <mergeCell ref="E32:H32"/>
    <mergeCell ref="I32:J32"/>
    <mergeCell ref="B33:C33"/>
    <mergeCell ref="E33:H33"/>
    <mergeCell ref="I33:J33"/>
    <mergeCell ref="B34:C34"/>
    <mergeCell ref="E34:H34"/>
    <mergeCell ref="I34:J34"/>
    <mergeCell ref="B35:C35"/>
    <mergeCell ref="E35:H35"/>
    <mergeCell ref="I35:J35"/>
    <mergeCell ref="B36:C36"/>
    <mergeCell ref="E36:H36"/>
    <mergeCell ref="I36:J36"/>
    <mergeCell ref="B37:C37"/>
    <mergeCell ref="E37:H37"/>
    <mergeCell ref="I37:J37"/>
    <mergeCell ref="B38:C38"/>
    <mergeCell ref="E38:H38"/>
    <mergeCell ref="I38:J38"/>
    <mergeCell ref="B39:C39"/>
    <mergeCell ref="E39:H39"/>
    <mergeCell ref="I39:J39"/>
    <mergeCell ref="B40:C40"/>
    <mergeCell ref="E40:H40"/>
    <mergeCell ref="I40:J40"/>
    <mergeCell ref="B43:C43"/>
    <mergeCell ref="E43:H43"/>
    <mergeCell ref="I43:J43"/>
    <mergeCell ref="B41:C41"/>
    <mergeCell ref="E41:H41"/>
    <mergeCell ref="I41:J41"/>
    <mergeCell ref="B42:C42"/>
    <mergeCell ref="E42:H42"/>
    <mergeCell ref="I42:J42"/>
    <mergeCell ref="L29:M37"/>
    <mergeCell ref="L38:M42"/>
    <mergeCell ref="L17:M24"/>
    <mergeCell ref="L25:M27"/>
    <mergeCell ref="L28:M28"/>
  </mergeCells>
  <phoneticPr fontId="15" type="noConversion"/>
  <printOptions horizontalCentered="1"/>
  <pageMargins left="0.47244094488188981" right="0.31496062992125984" top="0.57999999999999996" bottom="0.35" header="0.51181102362204722" footer="0.19685039370078741"/>
  <pageSetup paperSize="9" scale="16" fitToHeight="50" orientation="landscape" blackAndWhite="1" cellComments="atEnd" r:id="rId1"/>
  <headerFooter alignWithMargins="0">
    <oddFooter>&amp;R&amp;10&amp;P/&amp;N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N38"/>
  <sheetViews>
    <sheetView view="pageBreakPreview" zoomScaleSheetLayoutView="100" workbookViewId="0">
      <pane xSplit="1" ySplit="6" topLeftCell="B7" activePane="bottomRight" state="frozen"/>
      <selection activeCell="A13" sqref="A13:B13"/>
      <selection pane="topRight" activeCell="A13" sqref="A13:B13"/>
      <selection pane="bottomLeft" activeCell="A13" sqref="A13:B13"/>
      <selection pane="bottomRight" sqref="A1:L1"/>
    </sheetView>
  </sheetViews>
  <sheetFormatPr defaultColWidth="9" defaultRowHeight="23.25" customHeight="1"/>
  <cols>
    <col min="1" max="1" width="21.59765625" style="13" customWidth="1"/>
    <col min="2" max="2" width="14.09765625" style="13" customWidth="1"/>
    <col min="3" max="3" width="10.296875" style="13" customWidth="1"/>
    <col min="4" max="4" width="12.09765625" style="13" customWidth="1"/>
    <col min="5" max="5" width="14.296875" style="13" bestFit="1" customWidth="1"/>
    <col min="6" max="6" width="13" style="13" customWidth="1"/>
    <col min="7" max="7" width="11.59765625" style="13" customWidth="1"/>
    <col min="8" max="8" width="13.59765625" style="13" customWidth="1"/>
    <col min="9" max="9" width="14.296875" style="13" bestFit="1" customWidth="1"/>
    <col min="10" max="10" width="12" style="13" customWidth="1"/>
    <col min="11" max="11" width="8.09765625" style="13" customWidth="1"/>
    <col min="12" max="12" width="14.09765625" style="13" customWidth="1"/>
    <col min="13" max="13" width="13.5" style="13" customWidth="1"/>
    <col min="14" max="16384" width="9" style="13"/>
  </cols>
  <sheetData>
    <row r="1" spans="1:12" s="12" customFormat="1" ht="19.95" customHeight="1">
      <c r="A1" s="380" t="s">
        <v>24</v>
      </c>
      <c r="B1" s="380"/>
      <c r="C1" s="380"/>
      <c r="D1" s="380"/>
      <c r="E1" s="380"/>
      <c r="F1" s="380"/>
      <c r="G1" s="380"/>
      <c r="H1" s="380"/>
      <c r="I1" s="380"/>
      <c r="J1" s="380"/>
      <c r="K1" s="380"/>
      <c r="L1" s="380"/>
    </row>
    <row r="2" spans="1:12" s="12" customFormat="1" ht="19.95" customHeight="1">
      <c r="A2" s="381" t="s">
        <v>87</v>
      </c>
      <c r="B2" s="381"/>
      <c r="C2" s="381"/>
      <c r="D2" s="381"/>
      <c r="E2" s="381"/>
      <c r="F2" s="381"/>
      <c r="G2" s="381"/>
      <c r="H2" s="381"/>
      <c r="I2" s="381"/>
      <c r="J2" s="381"/>
      <c r="K2" s="381"/>
      <c r="L2" s="381"/>
    </row>
    <row r="3" spans="1:12" ht="19.95" customHeight="1">
      <c r="A3" s="13" t="str">
        <f>底稿目录!A2</f>
        <v>被审计单位：</v>
      </c>
      <c r="E3" s="14" t="str">
        <f>底稿目录!A4</f>
        <v>编制人：</v>
      </c>
      <c r="H3" s="14" t="str">
        <f>底稿目录!A5</f>
        <v>编制日期：</v>
      </c>
      <c r="K3" s="93" t="s">
        <v>124</v>
      </c>
      <c r="L3" s="272" t="str">
        <f>底稿目录!F4</f>
        <v>M10-1</v>
      </c>
    </row>
    <row r="4" spans="1:12" ht="19.95" customHeight="1">
      <c r="A4" s="13" t="str">
        <f>底稿目录!A3</f>
        <v>截止日：202X年12月31日</v>
      </c>
      <c r="B4" s="15"/>
      <c r="E4" s="14" t="str">
        <f>底稿目录!A6</f>
        <v>复核人：</v>
      </c>
      <c r="H4" s="14" t="str">
        <f>底稿目录!A7</f>
        <v>复核日期：</v>
      </c>
      <c r="K4" s="93" t="s">
        <v>261</v>
      </c>
      <c r="L4" s="96"/>
    </row>
    <row r="5" spans="1:12" ht="19.95" customHeight="1">
      <c r="A5" s="382" t="s">
        <v>92</v>
      </c>
      <c r="B5" s="384" t="s">
        <v>93</v>
      </c>
      <c r="C5" s="385"/>
      <c r="D5" s="385"/>
      <c r="E5" s="386"/>
      <c r="F5" s="387" t="s">
        <v>94</v>
      </c>
      <c r="G5" s="388"/>
      <c r="H5" s="388"/>
      <c r="I5" s="389"/>
      <c r="J5" s="390" t="s">
        <v>95</v>
      </c>
      <c r="K5" s="391"/>
      <c r="L5" s="392" t="s">
        <v>96</v>
      </c>
    </row>
    <row r="6" spans="1:12" ht="19.95" customHeight="1">
      <c r="A6" s="383"/>
      <c r="B6" s="52" t="s">
        <v>36</v>
      </c>
      <c r="C6" s="52" t="s">
        <v>39</v>
      </c>
      <c r="D6" s="52" t="s">
        <v>40</v>
      </c>
      <c r="E6" s="52" t="s">
        <v>34</v>
      </c>
      <c r="F6" s="52" t="s">
        <v>36</v>
      </c>
      <c r="G6" s="52" t="s">
        <v>39</v>
      </c>
      <c r="H6" s="52" t="s">
        <v>40</v>
      </c>
      <c r="I6" s="52" t="s">
        <v>34</v>
      </c>
      <c r="J6" s="53" t="s">
        <v>41</v>
      </c>
      <c r="K6" s="54" t="s">
        <v>97</v>
      </c>
      <c r="L6" s="393"/>
    </row>
    <row r="7" spans="1:12" s="16" customFormat="1" ht="19.95" customHeight="1">
      <c r="A7" s="55" t="s">
        <v>107</v>
      </c>
      <c r="B7" s="56"/>
      <c r="C7" s="56"/>
      <c r="D7" s="56"/>
      <c r="E7" s="56"/>
      <c r="F7" s="56"/>
      <c r="G7" s="56"/>
      <c r="H7" s="56"/>
      <c r="I7" s="56"/>
      <c r="J7" s="57"/>
      <c r="K7" s="58"/>
      <c r="L7" s="57"/>
    </row>
    <row r="8" spans="1:12" s="16" customFormat="1" ht="19.95" customHeight="1">
      <c r="A8" s="60"/>
      <c r="B8" s="50"/>
      <c r="C8" s="50"/>
      <c r="D8" s="50"/>
      <c r="E8" s="181">
        <f t="shared" ref="E8:E10" si="0">B8+C8+D8</f>
        <v>0</v>
      </c>
      <c r="F8" s="50"/>
      <c r="G8" s="50"/>
      <c r="H8" s="50"/>
      <c r="I8" s="181">
        <f>F8+G8+H8</f>
        <v>0</v>
      </c>
      <c r="J8" s="183">
        <f t="shared" ref="J8:J9" si="1">I8-E8</f>
        <v>0</v>
      </c>
      <c r="K8" s="184" t="str">
        <f t="shared" ref="K8:K11" si="2">IF(AND(E8=0,I8=0),"",IF(AND(E8=0,I8&gt;0),1,J8/E8))</f>
        <v/>
      </c>
      <c r="L8" s="59"/>
    </row>
    <row r="9" spans="1:12" s="16" customFormat="1" ht="19.95" customHeight="1">
      <c r="A9" s="60"/>
      <c r="B9" s="50"/>
      <c r="C9" s="50"/>
      <c r="D9" s="50"/>
      <c r="E9" s="181">
        <f t="shared" si="0"/>
        <v>0</v>
      </c>
      <c r="F9" s="50"/>
      <c r="G9" s="50"/>
      <c r="H9" s="50"/>
      <c r="I9" s="181">
        <f>F9+G9+H9</f>
        <v>0</v>
      </c>
      <c r="J9" s="183">
        <f t="shared" si="1"/>
        <v>0</v>
      </c>
      <c r="K9" s="184" t="str">
        <f t="shared" si="2"/>
        <v/>
      </c>
      <c r="L9" s="59"/>
    </row>
    <row r="10" spans="1:12" s="16" customFormat="1" ht="19.95" customHeight="1">
      <c r="A10" s="60"/>
      <c r="B10" s="50"/>
      <c r="C10" s="50"/>
      <c r="D10" s="50"/>
      <c r="E10" s="181">
        <f t="shared" si="0"/>
        <v>0</v>
      </c>
      <c r="F10" s="50"/>
      <c r="G10" s="50"/>
      <c r="H10" s="50"/>
      <c r="I10" s="181">
        <f t="shared" ref="I10" si="3">F10+G10+H10</f>
        <v>0</v>
      </c>
      <c r="J10" s="183">
        <f>I10-E10</f>
        <v>0</v>
      </c>
      <c r="K10" s="184" t="str">
        <f t="shared" si="2"/>
        <v/>
      </c>
      <c r="L10" s="59"/>
    </row>
    <row r="11" spans="1:12" s="16" customFormat="1" ht="19.95" customHeight="1">
      <c r="A11" s="186" t="s">
        <v>102</v>
      </c>
      <c r="B11" s="182">
        <f>SUM(B8:B10)</f>
        <v>0</v>
      </c>
      <c r="C11" s="182">
        <f t="shared" ref="C11:I11" si="4">SUM(C8:C10)</f>
        <v>0</v>
      </c>
      <c r="D11" s="182">
        <f t="shared" si="4"/>
        <v>0</v>
      </c>
      <c r="E11" s="182">
        <f t="shared" si="4"/>
        <v>0</v>
      </c>
      <c r="F11" s="182">
        <f t="shared" si="4"/>
        <v>0</v>
      </c>
      <c r="G11" s="182">
        <f t="shared" si="4"/>
        <v>0</v>
      </c>
      <c r="H11" s="182">
        <f t="shared" si="4"/>
        <v>0</v>
      </c>
      <c r="I11" s="182">
        <f t="shared" si="4"/>
        <v>0</v>
      </c>
      <c r="J11" s="185">
        <f>I11-E11</f>
        <v>0</v>
      </c>
      <c r="K11" s="184" t="str">
        <f t="shared" si="2"/>
        <v/>
      </c>
      <c r="L11" s="59"/>
    </row>
    <row r="12" spans="1:12" s="16" customFormat="1" ht="19.95" customHeight="1">
      <c r="A12" s="55" t="s">
        <v>108</v>
      </c>
      <c r="B12" s="56"/>
      <c r="C12" s="56"/>
      <c r="D12" s="56"/>
      <c r="E12" s="181"/>
      <c r="F12" s="56"/>
      <c r="G12" s="56"/>
      <c r="H12" s="56"/>
      <c r="I12" s="181"/>
      <c r="J12" s="57"/>
      <c r="K12" s="58"/>
      <c r="L12" s="57"/>
    </row>
    <row r="13" spans="1:12" s="16" customFormat="1" ht="19.95" customHeight="1">
      <c r="A13" s="60"/>
      <c r="B13" s="50"/>
      <c r="C13" s="50"/>
      <c r="D13" s="50"/>
      <c r="E13" s="181">
        <f t="shared" ref="E13:E15" si="5">B13+C13+D13</f>
        <v>0</v>
      </c>
      <c r="F13" s="50"/>
      <c r="G13" s="50"/>
      <c r="H13" s="50"/>
      <c r="I13" s="181">
        <f t="shared" ref="I13:I15" si="6">F13+G13+H13</f>
        <v>0</v>
      </c>
      <c r="J13" s="183">
        <f t="shared" ref="J13:J14" si="7">I13-E13</f>
        <v>0</v>
      </c>
      <c r="K13" s="184" t="str">
        <f t="shared" ref="K13:K16" si="8">IF(AND(E13=0,I13=0),"",IF(AND(E13=0,I13&gt;0),1,J13/E13))</f>
        <v/>
      </c>
      <c r="L13" s="59"/>
    </row>
    <row r="14" spans="1:12" s="16" customFormat="1" ht="19.95" customHeight="1">
      <c r="A14" s="60"/>
      <c r="B14" s="50"/>
      <c r="C14" s="50"/>
      <c r="D14" s="50"/>
      <c r="E14" s="181">
        <f t="shared" si="5"/>
        <v>0</v>
      </c>
      <c r="F14" s="50"/>
      <c r="G14" s="50"/>
      <c r="H14" s="50"/>
      <c r="I14" s="181">
        <f t="shared" si="6"/>
        <v>0</v>
      </c>
      <c r="J14" s="183">
        <f t="shared" si="7"/>
        <v>0</v>
      </c>
      <c r="K14" s="184" t="str">
        <f t="shared" si="8"/>
        <v/>
      </c>
      <c r="L14" s="59"/>
    </row>
    <row r="15" spans="1:12" s="16" customFormat="1" ht="19.95" customHeight="1">
      <c r="A15" s="60"/>
      <c r="B15" s="50"/>
      <c r="C15" s="50"/>
      <c r="D15" s="50"/>
      <c r="E15" s="181">
        <f t="shared" si="5"/>
        <v>0</v>
      </c>
      <c r="F15" s="50"/>
      <c r="G15" s="50"/>
      <c r="H15" s="50"/>
      <c r="I15" s="181">
        <f t="shared" si="6"/>
        <v>0</v>
      </c>
      <c r="J15" s="183">
        <f>I15-E15</f>
        <v>0</v>
      </c>
      <c r="K15" s="184" t="str">
        <f t="shared" si="8"/>
        <v/>
      </c>
      <c r="L15" s="59"/>
    </row>
    <row r="16" spans="1:12" s="16" customFormat="1" ht="19.95" customHeight="1">
      <c r="A16" s="186" t="s">
        <v>102</v>
      </c>
      <c r="B16" s="182">
        <f>SUM(B13:B15)</f>
        <v>0</v>
      </c>
      <c r="C16" s="182">
        <f t="shared" ref="C16:I16" si="9">SUM(C13:C15)</f>
        <v>0</v>
      </c>
      <c r="D16" s="182">
        <f t="shared" si="9"/>
        <v>0</v>
      </c>
      <c r="E16" s="182">
        <f t="shared" si="9"/>
        <v>0</v>
      </c>
      <c r="F16" s="182">
        <f t="shared" si="9"/>
        <v>0</v>
      </c>
      <c r="G16" s="182">
        <f t="shared" si="9"/>
        <v>0</v>
      </c>
      <c r="H16" s="182">
        <f t="shared" si="9"/>
        <v>0</v>
      </c>
      <c r="I16" s="182">
        <f t="shared" si="9"/>
        <v>0</v>
      </c>
      <c r="J16" s="185">
        <f>I16-E16</f>
        <v>0</v>
      </c>
      <c r="K16" s="184" t="str">
        <f t="shared" si="8"/>
        <v/>
      </c>
      <c r="L16" s="59"/>
    </row>
    <row r="17" spans="1:14" s="16" customFormat="1" ht="19.95" customHeight="1">
      <c r="A17" s="55" t="s">
        <v>109</v>
      </c>
      <c r="B17" s="56"/>
      <c r="C17" s="56"/>
      <c r="D17" s="56"/>
      <c r="E17" s="181"/>
      <c r="F17" s="56"/>
      <c r="G17" s="56"/>
      <c r="H17" s="56"/>
      <c r="I17" s="181"/>
      <c r="J17" s="183"/>
      <c r="K17" s="184"/>
      <c r="L17" s="57"/>
    </row>
    <row r="18" spans="1:14" s="16" customFormat="1" ht="19.95" customHeight="1">
      <c r="A18" s="60"/>
      <c r="B18" s="50"/>
      <c r="C18" s="50"/>
      <c r="D18" s="50"/>
      <c r="E18" s="181">
        <f t="shared" ref="E18:E20" si="10">B18+C18+D18</f>
        <v>0</v>
      </c>
      <c r="F18" s="50"/>
      <c r="G18" s="50"/>
      <c r="H18" s="50"/>
      <c r="I18" s="181">
        <f t="shared" ref="I18:I20" si="11">F18+G18+H18</f>
        <v>0</v>
      </c>
      <c r="J18" s="183">
        <f t="shared" ref="J18:J19" si="12">I18-E18</f>
        <v>0</v>
      </c>
      <c r="K18" s="184" t="str">
        <f t="shared" ref="K18:K21" si="13">IF(AND(E18=0,I18=0),"",IF(AND(E18=0,I18&gt;0),1,J18/E18))</f>
        <v/>
      </c>
      <c r="L18" s="59"/>
    </row>
    <row r="19" spans="1:14" s="16" customFormat="1" ht="19.95" customHeight="1">
      <c r="A19" s="60"/>
      <c r="B19" s="50"/>
      <c r="C19" s="50"/>
      <c r="D19" s="50"/>
      <c r="E19" s="181">
        <f t="shared" si="10"/>
        <v>0</v>
      </c>
      <c r="F19" s="50"/>
      <c r="G19" s="50"/>
      <c r="H19" s="50"/>
      <c r="I19" s="181">
        <f t="shared" si="11"/>
        <v>0</v>
      </c>
      <c r="J19" s="183">
        <f t="shared" si="12"/>
        <v>0</v>
      </c>
      <c r="K19" s="184" t="str">
        <f t="shared" si="13"/>
        <v/>
      </c>
      <c r="L19" s="59"/>
    </row>
    <row r="20" spans="1:14" s="16" customFormat="1" ht="19.95" customHeight="1">
      <c r="A20" s="60"/>
      <c r="B20" s="50"/>
      <c r="C20" s="50"/>
      <c r="D20" s="50"/>
      <c r="E20" s="181">
        <f t="shared" si="10"/>
        <v>0</v>
      </c>
      <c r="F20" s="50"/>
      <c r="G20" s="50"/>
      <c r="H20" s="50"/>
      <c r="I20" s="181">
        <f t="shared" si="11"/>
        <v>0</v>
      </c>
      <c r="J20" s="183">
        <f>I20-E20</f>
        <v>0</v>
      </c>
      <c r="K20" s="184" t="str">
        <f t="shared" si="13"/>
        <v/>
      </c>
      <c r="L20" s="59"/>
    </row>
    <row r="21" spans="1:14" s="16" customFormat="1" ht="19.95" customHeight="1">
      <c r="A21" s="186" t="s">
        <v>102</v>
      </c>
      <c r="B21" s="182">
        <f>SUM(B18:B20)</f>
        <v>0</v>
      </c>
      <c r="C21" s="182">
        <f t="shared" ref="C21" si="14">SUM(C18:C20)</f>
        <v>0</v>
      </c>
      <c r="D21" s="182">
        <f t="shared" ref="D21" si="15">SUM(D18:D20)</f>
        <v>0</v>
      </c>
      <c r="E21" s="182">
        <f t="shared" ref="E21" si="16">SUM(E18:E20)</f>
        <v>0</v>
      </c>
      <c r="F21" s="182">
        <f t="shared" ref="F21" si="17">SUM(F18:F20)</f>
        <v>0</v>
      </c>
      <c r="G21" s="182">
        <f t="shared" ref="G21" si="18">SUM(G18:G20)</f>
        <v>0</v>
      </c>
      <c r="H21" s="182">
        <f t="shared" ref="H21" si="19">SUM(H18:H20)</f>
        <v>0</v>
      </c>
      <c r="I21" s="182">
        <f t="shared" ref="I21" si="20">SUM(I18:I20)</f>
        <v>0</v>
      </c>
      <c r="J21" s="185">
        <f>I21-E21</f>
        <v>0</v>
      </c>
      <c r="K21" s="184" t="str">
        <f t="shared" si="13"/>
        <v/>
      </c>
      <c r="L21" s="59"/>
    </row>
    <row r="22" spans="1:14" s="16" customFormat="1" ht="19.95" customHeight="1">
      <c r="A22" s="186" t="s">
        <v>103</v>
      </c>
      <c r="B22" s="182">
        <f>SUM(B11,B16,B21)</f>
        <v>0</v>
      </c>
      <c r="C22" s="182">
        <f t="shared" ref="C22:I22" si="21">SUM(C11,C16,C21)</f>
        <v>0</v>
      </c>
      <c r="D22" s="182">
        <f t="shared" si="21"/>
        <v>0</v>
      </c>
      <c r="E22" s="182">
        <f t="shared" si="21"/>
        <v>0</v>
      </c>
      <c r="F22" s="182">
        <f t="shared" si="21"/>
        <v>0</v>
      </c>
      <c r="G22" s="182">
        <f t="shared" si="21"/>
        <v>0</v>
      </c>
      <c r="H22" s="182">
        <f t="shared" si="21"/>
        <v>0</v>
      </c>
      <c r="I22" s="182">
        <f t="shared" si="21"/>
        <v>0</v>
      </c>
      <c r="J22" s="185">
        <f>I22-E22</f>
        <v>0</v>
      </c>
      <c r="K22" s="184" t="str">
        <f t="shared" ref="K22" si="22">IF(AND(E22=0,I22=0),"",IF(AND(E22=0,I22&gt;0),1,J22/E22))</f>
        <v/>
      </c>
      <c r="L22" s="59"/>
    </row>
    <row r="23" spans="1:14" s="138" customFormat="1" ht="19.95" customHeight="1">
      <c r="A23" s="136" t="s">
        <v>208</v>
      </c>
      <c r="B23" s="65"/>
      <c r="C23" s="65"/>
      <c r="D23" s="65"/>
      <c r="E23" s="287"/>
      <c r="F23" s="65"/>
      <c r="G23" s="65"/>
      <c r="H23" s="65"/>
      <c r="I23" s="287"/>
      <c r="J23" s="137"/>
      <c r="K23" s="137"/>
      <c r="L23" s="64"/>
      <c r="M23" s="137"/>
      <c r="N23" s="137"/>
    </row>
    <row r="24" spans="1:14" s="138" customFormat="1" ht="19.95" customHeight="1">
      <c r="A24" s="136" t="s">
        <v>209</v>
      </c>
      <c r="B24" s="65"/>
      <c r="C24" s="65"/>
      <c r="D24" s="65"/>
      <c r="E24" s="187">
        <f>E22-E23</f>
        <v>0</v>
      </c>
      <c r="F24" s="65"/>
      <c r="G24" s="65"/>
      <c r="H24" s="65"/>
      <c r="I24" s="187">
        <f>I22-I23</f>
        <v>0</v>
      </c>
      <c r="J24" s="290"/>
      <c r="K24" s="290"/>
      <c r="L24" s="13"/>
      <c r="M24" s="137"/>
      <c r="N24" s="137"/>
    </row>
    <row r="25" spans="1:14" s="65" customFormat="1" ht="19.95" customHeight="1">
      <c r="A25" s="142" t="s">
        <v>98</v>
      </c>
      <c r="B25" s="14"/>
      <c r="C25" s="14"/>
      <c r="D25" s="14"/>
      <c r="E25" s="288"/>
      <c r="F25" s="289"/>
      <c r="G25" s="289"/>
      <c r="H25" s="14"/>
      <c r="I25" s="13"/>
      <c r="J25" s="13"/>
      <c r="K25" s="13"/>
      <c r="L25" s="13"/>
      <c r="M25" s="13"/>
    </row>
    <row r="26" spans="1:14" s="69" customFormat="1" ht="19.95" customHeight="1">
      <c r="A26" s="66" t="s">
        <v>104</v>
      </c>
      <c r="B26" s="66"/>
      <c r="C26" s="66"/>
      <c r="D26" s="67"/>
      <c r="E26" s="188">
        <f>IF(AND(E22=0,I22=0),0,IF(AND(E22=0,I22&gt;0),1,(I22-E22)/E22))</f>
        <v>0</v>
      </c>
      <c r="F26" s="68"/>
      <c r="G26" s="68"/>
      <c r="H26" s="68"/>
      <c r="I26" s="68"/>
      <c r="J26" s="68"/>
      <c r="K26" s="68"/>
      <c r="L26" s="13"/>
      <c r="M26" s="13"/>
    </row>
    <row r="27" spans="1:14" s="65" customFormat="1" ht="19.95" customHeight="1">
      <c r="A27" s="66" t="s">
        <v>99</v>
      </c>
      <c r="B27" s="66"/>
      <c r="C27" s="66"/>
      <c r="D27" s="66"/>
      <c r="E27" s="66"/>
      <c r="F27" s="66"/>
      <c r="G27" s="66"/>
      <c r="H27" s="66"/>
      <c r="I27" s="66"/>
      <c r="J27" s="66"/>
      <c r="K27" s="66"/>
      <c r="L27" s="13"/>
      <c r="M27" s="13"/>
    </row>
    <row r="28" spans="1:14" s="69" customFormat="1" ht="19.95" customHeight="1">
      <c r="A28" s="66"/>
      <c r="B28" s="66"/>
      <c r="C28" s="66"/>
      <c r="D28" s="66"/>
      <c r="E28" s="66"/>
      <c r="F28" s="66"/>
      <c r="G28" s="66"/>
      <c r="H28" s="66"/>
      <c r="I28" s="66"/>
      <c r="J28" s="66"/>
      <c r="K28" s="66"/>
      <c r="L28" s="13"/>
      <c r="M28" s="13"/>
    </row>
    <row r="29" spans="1:14" s="69" customFormat="1" ht="19.95" customHeight="1">
      <c r="A29" s="70" t="s">
        <v>100</v>
      </c>
      <c r="B29" s="66"/>
      <c r="C29" s="66"/>
      <c r="D29" s="66"/>
      <c r="E29" s="66"/>
      <c r="F29" s="66"/>
      <c r="G29" s="66"/>
      <c r="H29" s="66"/>
      <c r="I29" s="66"/>
      <c r="J29" s="66"/>
      <c r="K29" s="66"/>
      <c r="L29" s="13"/>
      <c r="M29" s="13"/>
    </row>
    <row r="30" spans="1:14" s="69" customFormat="1" ht="19.95" customHeight="1">
      <c r="B30" s="70"/>
      <c r="C30" s="70"/>
      <c r="D30" s="70"/>
      <c r="E30" s="70"/>
      <c r="F30" s="70"/>
      <c r="G30" s="70"/>
      <c r="H30" s="70"/>
      <c r="I30" s="70"/>
      <c r="J30" s="70"/>
      <c r="K30" s="70"/>
      <c r="L30" s="13"/>
      <c r="M30" s="13"/>
    </row>
    <row r="31" spans="1:14" s="69" customFormat="1" ht="19.95" customHeight="1">
      <c r="A31" s="71" t="s">
        <v>101</v>
      </c>
      <c r="B31" s="70"/>
      <c r="C31" s="70"/>
      <c r="D31" s="70"/>
      <c r="E31" s="70"/>
      <c r="F31" s="70"/>
      <c r="G31" s="70"/>
      <c r="H31" s="70"/>
      <c r="I31" s="70"/>
      <c r="J31" s="70"/>
      <c r="K31" s="70"/>
      <c r="L31" s="13"/>
      <c r="M31" s="13"/>
    </row>
    <row r="32" spans="1:14" s="69" customFormat="1" ht="19.95" customHeight="1">
      <c r="A32" s="71"/>
      <c r="B32" s="70"/>
      <c r="C32" s="70"/>
      <c r="D32" s="70"/>
      <c r="E32" s="70"/>
      <c r="F32" s="70"/>
      <c r="G32" s="70"/>
      <c r="H32" s="70"/>
      <c r="I32" s="70"/>
      <c r="J32" s="70"/>
      <c r="K32" s="70"/>
      <c r="L32" s="13"/>
      <c r="M32" s="13"/>
    </row>
    <row r="33" spans="1:11" ht="19.95" customHeight="1">
      <c r="A33" s="71"/>
      <c r="B33" s="66"/>
      <c r="C33" s="66"/>
      <c r="D33" s="66"/>
      <c r="E33" s="66"/>
      <c r="F33" s="66"/>
      <c r="G33" s="66"/>
      <c r="H33" s="66"/>
      <c r="I33" s="66"/>
      <c r="J33" s="66"/>
      <c r="K33" s="66"/>
    </row>
    <row r="34" spans="1:11" ht="23.25" customHeight="1">
      <c r="A34" s="189" t="s">
        <v>402</v>
      </c>
    </row>
    <row r="35" spans="1:11" ht="23.25" customHeight="1">
      <c r="A35" s="190" t="s">
        <v>404</v>
      </c>
    </row>
    <row r="36" spans="1:11" ht="23.25" customHeight="1">
      <c r="A36" s="190" t="s">
        <v>405</v>
      </c>
    </row>
    <row r="37" spans="1:11" ht="23.25" customHeight="1">
      <c r="A37" s="190" t="s">
        <v>406</v>
      </c>
    </row>
    <row r="38" spans="1:11" ht="23.25" customHeight="1">
      <c r="A38" s="190" t="s">
        <v>403</v>
      </c>
    </row>
  </sheetData>
  <mergeCells count="7">
    <mergeCell ref="A1:L1"/>
    <mergeCell ref="A2:L2"/>
    <mergeCell ref="A5:A6"/>
    <mergeCell ref="B5:E5"/>
    <mergeCell ref="F5:I5"/>
    <mergeCell ref="J5:K5"/>
    <mergeCell ref="L5:L6"/>
  </mergeCells>
  <phoneticPr fontId="15" type="noConversion"/>
  <hyperlinks>
    <hyperlink ref="L3" location="底稿目录!A1" display="M10A"/>
  </hyperlinks>
  <pageMargins left="0.70866141732283472" right="0.70866141732283472" top="0.74803149606299213" bottom="0.74803149606299213" header="0.31496062992125984" footer="0.31496062992125984"/>
  <pageSetup paperSize="9" scale="70" fitToHeight="3" orientation="landscape" blackAndWhite="1" r:id="rId1"/>
  <headerFooter alignWithMargins="0">
    <oddFooter>&amp;C&amp;P/&amp;N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S47"/>
  <sheetViews>
    <sheetView view="pageBreakPreview" zoomScaleSheetLayoutView="100" workbookViewId="0">
      <selection activeCell="J3" sqref="J3"/>
    </sheetView>
  </sheetViews>
  <sheetFormatPr defaultColWidth="9" defaultRowHeight="15.6"/>
  <cols>
    <col min="1" max="1" width="26.09765625" style="4" customWidth="1"/>
    <col min="2" max="5" width="15.796875" style="4" customWidth="1"/>
    <col min="6" max="6" width="15" style="4" customWidth="1"/>
    <col min="7" max="7" width="14.5" style="4" customWidth="1"/>
    <col min="8" max="10" width="10.59765625" style="4" customWidth="1"/>
    <col min="11" max="16384" width="9" style="4"/>
  </cols>
  <sheetData>
    <row r="1" spans="1:19" s="19" customFormat="1" ht="20.100000000000001" customHeight="1">
      <c r="A1" s="395" t="s">
        <v>24</v>
      </c>
      <c r="B1" s="395"/>
      <c r="C1" s="395"/>
      <c r="D1" s="395"/>
      <c r="E1" s="395"/>
      <c r="F1" s="395"/>
      <c r="G1" s="395"/>
      <c r="H1" s="395"/>
      <c r="I1" s="395"/>
      <c r="J1" s="395"/>
      <c r="K1" s="37"/>
      <c r="L1" s="37"/>
      <c r="M1" s="18"/>
      <c r="N1" s="18"/>
      <c r="O1" s="18"/>
      <c r="P1" s="18"/>
      <c r="Q1" s="18"/>
      <c r="R1" s="18"/>
      <c r="S1" s="18"/>
    </row>
    <row r="2" spans="1:19" s="19" customFormat="1" ht="25.05" customHeight="1">
      <c r="A2" s="395" t="s">
        <v>89</v>
      </c>
      <c r="B2" s="395"/>
      <c r="C2" s="395"/>
      <c r="D2" s="395"/>
      <c r="E2" s="395"/>
      <c r="F2" s="395"/>
      <c r="G2" s="395"/>
      <c r="H2" s="395"/>
      <c r="I2" s="395"/>
      <c r="J2" s="395"/>
      <c r="K2" s="37"/>
      <c r="L2" s="37"/>
      <c r="M2" s="37"/>
      <c r="N2" s="37"/>
      <c r="O2" s="37"/>
      <c r="P2" s="37"/>
      <c r="Q2" s="37"/>
      <c r="R2" s="37"/>
      <c r="S2" s="37"/>
    </row>
    <row r="3" spans="1:19" s="20" customFormat="1" ht="20.100000000000001" customHeight="1">
      <c r="A3" s="20" t="str">
        <f>底稿目录!A2</f>
        <v>被审计单位：</v>
      </c>
      <c r="D3" s="17" t="str">
        <f>底稿目录!A4</f>
        <v>编制人：</v>
      </c>
      <c r="G3" s="43" t="str">
        <f>底稿目录!A5</f>
        <v>编制日期：</v>
      </c>
      <c r="H3" s="44"/>
      <c r="I3" s="17" t="s">
        <v>0</v>
      </c>
      <c r="Q3" s="17"/>
      <c r="R3" s="17"/>
    </row>
    <row r="4" spans="1:19" s="20" customFormat="1" ht="20.100000000000001" customHeight="1">
      <c r="A4" s="20" t="str">
        <f>底稿目录!A3</f>
        <v>截止日：202X年12月31日</v>
      </c>
      <c r="D4" s="17" t="str">
        <f>底稿目录!A6</f>
        <v>复核人：</v>
      </c>
      <c r="G4" s="43" t="str">
        <f>底稿目录!A7</f>
        <v>复核日期：</v>
      </c>
      <c r="H4" s="44"/>
      <c r="I4" s="17" t="s">
        <v>25</v>
      </c>
      <c r="Q4" s="17"/>
      <c r="R4" s="17"/>
    </row>
    <row r="5" spans="1:19" s="146" customFormat="1" ht="20.100000000000001" customHeight="1" thickBot="1">
      <c r="A5" s="144" t="s">
        <v>6</v>
      </c>
    </row>
    <row r="6" spans="1:19" s="146" customFormat="1" ht="41.25" customHeight="1" thickBot="1">
      <c r="A6" s="147" t="s">
        <v>33</v>
      </c>
      <c r="B6" s="147" t="s">
        <v>37</v>
      </c>
      <c r="C6" s="147" t="s">
        <v>51</v>
      </c>
      <c r="D6" s="147" t="s">
        <v>52</v>
      </c>
      <c r="E6" s="147" t="s">
        <v>49</v>
      </c>
      <c r="F6" s="147" t="s">
        <v>26</v>
      </c>
      <c r="G6" s="147" t="s">
        <v>28</v>
      </c>
      <c r="H6" s="147" t="s">
        <v>88</v>
      </c>
      <c r="I6" s="147" t="s">
        <v>35</v>
      </c>
      <c r="J6" s="147" t="s">
        <v>38</v>
      </c>
    </row>
    <row r="7" spans="1:19" s="146" customFormat="1" ht="20.100000000000001" customHeight="1">
      <c r="A7" s="148"/>
      <c r="B7" s="149"/>
      <c r="C7" s="149"/>
      <c r="D7" s="149"/>
      <c r="E7" s="149"/>
      <c r="F7" s="149"/>
      <c r="G7" s="149"/>
      <c r="H7" s="149"/>
      <c r="I7" s="149"/>
      <c r="J7" s="149"/>
    </row>
    <row r="8" spans="1:19" s="146" customFormat="1" ht="20.100000000000001" customHeight="1">
      <c r="A8" s="148"/>
      <c r="B8" s="149"/>
      <c r="C8" s="149"/>
      <c r="D8" s="149"/>
      <c r="E8" s="149"/>
      <c r="F8" s="149"/>
      <c r="G8" s="149"/>
      <c r="H8" s="149"/>
      <c r="I8" s="149"/>
      <c r="J8" s="149"/>
    </row>
    <row r="9" spans="1:19" s="146" customFormat="1" ht="20.100000000000001" customHeight="1">
      <c r="A9" s="148"/>
      <c r="B9" s="149"/>
      <c r="C9" s="149"/>
      <c r="D9" s="149"/>
      <c r="E9" s="149"/>
      <c r="F9" s="149"/>
      <c r="G9" s="149"/>
      <c r="H9" s="149"/>
      <c r="I9" s="149"/>
      <c r="J9" s="149"/>
    </row>
    <row r="10" spans="1:19" s="146" customFormat="1" ht="20.100000000000001" customHeight="1">
      <c r="A10" s="148"/>
      <c r="B10" s="149"/>
      <c r="C10" s="149"/>
      <c r="D10" s="149"/>
      <c r="E10" s="149"/>
      <c r="F10" s="149"/>
      <c r="G10" s="149"/>
      <c r="H10" s="149"/>
      <c r="I10" s="149"/>
      <c r="J10" s="149"/>
    </row>
    <row r="11" spans="1:19" s="146" customFormat="1" ht="20.100000000000001" customHeight="1">
      <c r="A11" s="148"/>
      <c r="B11" s="149"/>
      <c r="C11" s="149"/>
      <c r="D11" s="149"/>
      <c r="E11" s="149"/>
      <c r="F11" s="149"/>
      <c r="G11" s="149"/>
      <c r="H11" s="149"/>
      <c r="I11" s="149"/>
      <c r="J11" s="149"/>
    </row>
    <row r="12" spans="1:19" s="146" customFormat="1" ht="20.100000000000001" customHeight="1" thickBot="1">
      <c r="A12" s="148" t="s">
        <v>53</v>
      </c>
      <c r="B12" s="149"/>
      <c r="C12" s="148"/>
      <c r="D12" s="148"/>
      <c r="E12" s="148"/>
      <c r="F12" s="150"/>
      <c r="G12" s="150"/>
      <c r="H12" s="148"/>
      <c r="I12" s="148"/>
      <c r="J12" s="148"/>
    </row>
    <row r="13" spans="1:19" s="146" customFormat="1" ht="20.100000000000001" customHeight="1" thickBot="1">
      <c r="A13" s="151" t="s">
        <v>1</v>
      </c>
      <c r="B13" s="151"/>
      <c r="C13" s="151"/>
      <c r="D13" s="151"/>
      <c r="E13" s="151"/>
      <c r="F13" s="152"/>
      <c r="G13" s="153">
        <f>SUM(G7:G12)</f>
        <v>0</v>
      </c>
      <c r="H13" s="151"/>
      <c r="I13" s="151"/>
      <c r="J13" s="151"/>
    </row>
    <row r="14" spans="1:19" s="146" customFormat="1" ht="20.100000000000001" customHeight="1">
      <c r="A14" s="154" t="s">
        <v>30</v>
      </c>
    </row>
    <row r="15" spans="1:19" s="146" customFormat="1" ht="12">
      <c r="A15" s="394" t="s">
        <v>90</v>
      </c>
      <c r="B15" s="394"/>
      <c r="C15" s="394"/>
      <c r="D15" s="394"/>
      <c r="E15" s="394"/>
      <c r="F15" s="394"/>
      <c r="G15" s="394"/>
      <c r="H15" s="394"/>
      <c r="I15" s="394"/>
      <c r="J15" s="394"/>
    </row>
    <row r="16" spans="1:19" s="146" customFormat="1" ht="20.100000000000001" customHeight="1">
      <c r="A16" s="394" t="s">
        <v>45</v>
      </c>
      <c r="B16" s="394"/>
      <c r="C16" s="394"/>
      <c r="D16" s="394"/>
      <c r="E16" s="394"/>
      <c r="F16" s="394"/>
      <c r="G16" s="394"/>
      <c r="H16" s="394"/>
      <c r="I16" s="394"/>
      <c r="J16" s="394"/>
    </row>
    <row r="17" spans="1:10" s="146" customFormat="1" ht="20.100000000000001" customHeight="1">
      <c r="A17" s="394" t="s">
        <v>46</v>
      </c>
      <c r="B17" s="394"/>
      <c r="C17" s="394"/>
      <c r="D17" s="394"/>
      <c r="E17" s="394"/>
      <c r="F17" s="394"/>
      <c r="G17" s="394"/>
      <c r="H17" s="394"/>
      <c r="I17" s="394"/>
      <c r="J17" s="394"/>
    </row>
    <row r="18" spans="1:10" s="146" customFormat="1" ht="20.100000000000001" customHeight="1">
      <c r="A18" s="154" t="s">
        <v>236</v>
      </c>
    </row>
    <row r="19" spans="1:10" s="146" customFormat="1" ht="20.100000000000001" customHeight="1">
      <c r="A19" s="394" t="s">
        <v>237</v>
      </c>
      <c r="B19" s="394"/>
      <c r="C19" s="394"/>
      <c r="D19" s="394"/>
      <c r="E19" s="394"/>
      <c r="F19" s="394"/>
      <c r="G19" s="394"/>
      <c r="H19" s="394"/>
      <c r="I19" s="394"/>
      <c r="J19" s="394"/>
    </row>
    <row r="20" spans="1:10" s="146" customFormat="1" ht="27" customHeight="1">
      <c r="A20" s="394" t="s">
        <v>238</v>
      </c>
      <c r="B20" s="394"/>
      <c r="C20" s="394"/>
      <c r="D20" s="394"/>
      <c r="E20" s="394"/>
      <c r="F20" s="394"/>
      <c r="G20" s="394"/>
      <c r="H20" s="394"/>
      <c r="I20" s="394"/>
      <c r="J20" s="394"/>
    </row>
    <row r="21" spans="1:10" s="146" customFormat="1" ht="39.450000000000003" customHeight="1">
      <c r="A21" s="394" t="s">
        <v>239</v>
      </c>
      <c r="B21" s="394"/>
      <c r="C21" s="394"/>
      <c r="D21" s="394"/>
      <c r="E21" s="394"/>
      <c r="F21" s="394"/>
      <c r="G21" s="394"/>
      <c r="H21" s="394"/>
      <c r="I21" s="394"/>
      <c r="J21" s="394"/>
    </row>
    <row r="22" spans="1:10" s="146" customFormat="1" ht="20.100000000000001" customHeight="1">
      <c r="A22" s="394" t="s">
        <v>47</v>
      </c>
      <c r="B22" s="394"/>
      <c r="C22" s="394"/>
      <c r="D22" s="394"/>
      <c r="E22" s="394"/>
      <c r="F22" s="394"/>
      <c r="G22" s="394"/>
      <c r="H22" s="394"/>
      <c r="I22" s="394"/>
      <c r="J22" s="394"/>
    </row>
    <row r="23" spans="1:10" s="146" customFormat="1" ht="20.100000000000001" customHeight="1">
      <c r="A23" s="154" t="s">
        <v>29</v>
      </c>
    </row>
    <row r="24" spans="1:10" s="146" customFormat="1" ht="20.100000000000001" customHeight="1">
      <c r="A24" s="394" t="s">
        <v>31</v>
      </c>
      <c r="B24" s="394"/>
      <c r="C24" s="394"/>
      <c r="D24" s="394"/>
      <c r="E24" s="394"/>
      <c r="F24" s="394"/>
      <c r="G24" s="394"/>
      <c r="H24" s="394"/>
      <c r="I24" s="394"/>
      <c r="J24" s="394"/>
    </row>
    <row r="25" spans="1:10" s="146" customFormat="1" ht="20.100000000000001" customHeight="1" thickBot="1">
      <c r="A25" s="396" t="s">
        <v>32</v>
      </c>
      <c r="B25" s="396"/>
      <c r="C25" s="396"/>
    </row>
    <row r="26" spans="1:10" s="146" customFormat="1" ht="20.100000000000001" customHeight="1">
      <c r="A26" s="397" t="s">
        <v>48</v>
      </c>
      <c r="B26" s="397" t="s">
        <v>240</v>
      </c>
      <c r="C26" s="397"/>
      <c r="D26" s="397" t="s">
        <v>2</v>
      </c>
      <c r="E26" s="397"/>
      <c r="F26" s="397" t="s">
        <v>3</v>
      </c>
      <c r="G26" s="397"/>
      <c r="H26" s="397" t="s">
        <v>241</v>
      </c>
      <c r="I26" s="397"/>
    </row>
    <row r="27" spans="1:10" s="146" customFormat="1" ht="20.100000000000001" customHeight="1" thickBot="1">
      <c r="A27" s="398"/>
      <c r="B27" s="156" t="s">
        <v>26</v>
      </c>
      <c r="C27" s="156" t="s">
        <v>27</v>
      </c>
      <c r="D27" s="156" t="s">
        <v>26</v>
      </c>
      <c r="E27" s="156" t="s">
        <v>27</v>
      </c>
      <c r="F27" s="156" t="s">
        <v>26</v>
      </c>
      <c r="G27" s="156" t="s">
        <v>27</v>
      </c>
      <c r="H27" s="156" t="s">
        <v>26</v>
      </c>
      <c r="I27" s="156" t="s">
        <v>27</v>
      </c>
    </row>
    <row r="28" spans="1:10" s="146" customFormat="1" ht="20.100000000000001" customHeight="1">
      <c r="A28" s="157"/>
      <c r="B28" s="158"/>
      <c r="C28" s="158"/>
      <c r="D28" s="158"/>
      <c r="E28" s="158"/>
      <c r="F28" s="158"/>
      <c r="G28" s="158"/>
      <c r="H28" s="158"/>
      <c r="I28" s="158"/>
    </row>
    <row r="29" spans="1:10" s="146" customFormat="1" ht="20.100000000000001" customHeight="1">
      <c r="A29" s="157"/>
      <c r="B29" s="158"/>
      <c r="C29" s="158"/>
      <c r="D29" s="158"/>
      <c r="E29" s="158"/>
      <c r="F29" s="158"/>
      <c r="G29" s="158"/>
      <c r="H29" s="158"/>
      <c r="I29" s="158"/>
    </row>
    <row r="30" spans="1:10" s="146" customFormat="1" ht="20.100000000000001" customHeight="1">
      <c r="A30" s="157"/>
      <c r="B30" s="158"/>
      <c r="C30" s="158"/>
      <c r="D30" s="158"/>
      <c r="E30" s="158"/>
      <c r="F30" s="158"/>
      <c r="G30" s="158"/>
      <c r="H30" s="158"/>
      <c r="I30" s="158"/>
    </row>
    <row r="31" spans="1:10" s="146" customFormat="1" ht="20.100000000000001" customHeight="1">
      <c r="A31" s="157"/>
      <c r="B31" s="158"/>
      <c r="C31" s="158"/>
      <c r="D31" s="158"/>
      <c r="E31" s="158"/>
      <c r="F31" s="158"/>
      <c r="G31" s="158"/>
      <c r="H31" s="158"/>
      <c r="I31" s="158"/>
    </row>
    <row r="32" spans="1:10" s="146" customFormat="1" ht="20.100000000000001" customHeight="1">
      <c r="A32" s="157"/>
      <c r="B32" s="158"/>
      <c r="C32" s="158"/>
      <c r="D32" s="158"/>
      <c r="E32" s="158"/>
      <c r="F32" s="158"/>
      <c r="G32" s="158"/>
      <c r="H32" s="158"/>
      <c r="I32" s="158"/>
    </row>
    <row r="33" spans="1:10" s="146" customFormat="1" ht="20.100000000000001" customHeight="1">
      <c r="A33" s="155"/>
      <c r="B33" s="158"/>
      <c r="C33" s="158"/>
      <c r="D33" s="158"/>
      <c r="E33" s="158"/>
      <c r="F33" s="158"/>
      <c r="G33" s="158"/>
      <c r="H33" s="158"/>
      <c r="I33" s="158"/>
    </row>
    <row r="34" spans="1:10" s="146" customFormat="1" ht="20.100000000000001" customHeight="1" thickBot="1">
      <c r="A34" s="159" t="s">
        <v>44</v>
      </c>
      <c r="B34" s="160">
        <f>SUM(B28:B33)</f>
        <v>0</v>
      </c>
      <c r="C34" s="160">
        <f t="shared" ref="C34:I34" si="0">SUM(C28:C33)</f>
        <v>0</v>
      </c>
      <c r="D34" s="160">
        <f t="shared" si="0"/>
        <v>0</v>
      </c>
      <c r="E34" s="160">
        <f t="shared" si="0"/>
        <v>0</v>
      </c>
      <c r="F34" s="160">
        <f t="shared" si="0"/>
        <v>0</v>
      </c>
      <c r="G34" s="160">
        <f t="shared" si="0"/>
        <v>0</v>
      </c>
      <c r="H34" s="160">
        <f t="shared" si="0"/>
        <v>0</v>
      </c>
      <c r="I34" s="160">
        <f t="shared" si="0"/>
        <v>0</v>
      </c>
    </row>
    <row r="35" spans="1:10" s="146" customFormat="1" ht="20.100000000000001" customHeight="1">
      <c r="A35" s="394" t="s">
        <v>232</v>
      </c>
      <c r="B35" s="394"/>
      <c r="C35" s="394"/>
      <c r="D35" s="394"/>
      <c r="E35" s="394"/>
      <c r="F35" s="394"/>
      <c r="G35" s="394"/>
      <c r="H35" s="394"/>
      <c r="I35" s="394"/>
      <c r="J35" s="394"/>
    </row>
    <row r="36" spans="1:10" s="146" customFormat="1" ht="12.6" thickBot="1">
      <c r="A36" s="161" t="s">
        <v>233</v>
      </c>
      <c r="B36" s="162"/>
      <c r="C36" s="162"/>
    </row>
    <row r="37" spans="1:10" s="146" customFormat="1" ht="12.6" thickBot="1">
      <c r="A37" s="163" t="s">
        <v>221</v>
      </c>
      <c r="B37" s="163" t="s">
        <v>234</v>
      </c>
      <c r="C37" s="163" t="s">
        <v>235</v>
      </c>
    </row>
    <row r="38" spans="1:10" s="146" customFormat="1" ht="12">
      <c r="A38" s="161" t="s">
        <v>222</v>
      </c>
      <c r="B38" s="161"/>
      <c r="C38" s="161"/>
    </row>
    <row r="39" spans="1:10" s="146" customFormat="1" ht="12">
      <c r="A39" s="161" t="s">
        <v>223</v>
      </c>
      <c r="B39" s="161"/>
      <c r="C39" s="161"/>
    </row>
    <row r="40" spans="1:10" s="146" customFormat="1" ht="12">
      <c r="A40" s="161" t="s">
        <v>224</v>
      </c>
      <c r="B40" s="161"/>
      <c r="C40" s="161"/>
    </row>
    <row r="41" spans="1:10" s="146" customFormat="1" ht="12">
      <c r="A41" s="161" t="s">
        <v>225</v>
      </c>
      <c r="B41" s="161"/>
      <c r="C41" s="161"/>
    </row>
    <row r="42" spans="1:10" s="146" customFormat="1" ht="12">
      <c r="A42" s="161" t="s">
        <v>226</v>
      </c>
      <c r="B42" s="161"/>
      <c r="C42" s="161"/>
    </row>
    <row r="43" spans="1:10" s="146" customFormat="1" ht="12">
      <c r="A43" s="161" t="s">
        <v>227</v>
      </c>
      <c r="B43" s="161"/>
      <c r="C43" s="161"/>
    </row>
    <row r="44" spans="1:10" s="146" customFormat="1" ht="12">
      <c r="A44" s="161" t="s">
        <v>228</v>
      </c>
      <c r="B44" s="161"/>
      <c r="C44" s="161"/>
    </row>
    <row r="45" spans="1:10" s="146" customFormat="1" ht="12">
      <c r="A45" s="161" t="s">
        <v>229</v>
      </c>
      <c r="B45" s="161"/>
      <c r="C45" s="161"/>
    </row>
    <row r="46" spans="1:10" s="146" customFormat="1" ht="12">
      <c r="A46" s="161" t="s">
        <v>230</v>
      </c>
      <c r="B46" s="161"/>
      <c r="C46" s="161"/>
    </row>
    <row r="47" spans="1:10" s="146" customFormat="1" ht="12.6" thickBot="1">
      <c r="A47" s="164" t="s">
        <v>231</v>
      </c>
      <c r="B47" s="164"/>
      <c r="C47" s="164"/>
    </row>
  </sheetData>
  <mergeCells count="17">
    <mergeCell ref="A35:J35"/>
    <mergeCell ref="A25:C25"/>
    <mergeCell ref="A15:J15"/>
    <mergeCell ref="A16:J16"/>
    <mergeCell ref="A26:A27"/>
    <mergeCell ref="B26:C26"/>
    <mergeCell ref="D26:E26"/>
    <mergeCell ref="F26:G26"/>
    <mergeCell ref="H26:I26"/>
    <mergeCell ref="A17:J17"/>
    <mergeCell ref="A22:J22"/>
    <mergeCell ref="A24:J24"/>
    <mergeCell ref="A19:J19"/>
    <mergeCell ref="A20:J20"/>
    <mergeCell ref="A21:J21"/>
    <mergeCell ref="A1:J1"/>
    <mergeCell ref="A2:J2"/>
  </mergeCells>
  <phoneticPr fontId="15" type="noConversion"/>
  <pageMargins left="0.70866141732283472" right="0.70866141732283472" top="0.74803149606299213" bottom="0.74803149606299213" header="0.31496062992125984" footer="0.31496062992125984"/>
  <pageSetup paperSize="9" scale="81" fitToHeight="0" orientation="landscape" blackAndWhite="1" r:id="rId1"/>
  <rowBreaks count="1" manualBreakCount="1">
    <brk id="2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S12"/>
  <sheetViews>
    <sheetView view="pageBreakPreview" zoomScaleSheetLayoutView="100" workbookViewId="0">
      <selection activeCell="J4" sqref="J4"/>
    </sheetView>
  </sheetViews>
  <sheetFormatPr defaultColWidth="9" defaultRowHeight="15.6"/>
  <cols>
    <col min="1" max="1" width="27.09765625" style="21" customWidth="1"/>
    <col min="2" max="5" width="15.796875" style="21" customWidth="1"/>
    <col min="6" max="6" width="15" style="21" customWidth="1"/>
    <col min="7" max="7" width="14.5" style="21" customWidth="1"/>
    <col min="8" max="9" width="14" style="21" customWidth="1"/>
    <col min="10" max="10" width="12.796875" style="21" customWidth="1"/>
    <col min="11" max="16384" width="9" style="21"/>
  </cols>
  <sheetData>
    <row r="1" spans="1:19" s="19" customFormat="1" ht="20.100000000000001" customHeight="1">
      <c r="A1" s="399" t="s">
        <v>122</v>
      </c>
      <c r="B1" s="399"/>
      <c r="C1" s="399"/>
      <c r="D1" s="399"/>
      <c r="E1" s="399"/>
      <c r="F1" s="399"/>
      <c r="G1" s="399"/>
      <c r="H1" s="399"/>
      <c r="I1" s="399"/>
      <c r="J1" s="399"/>
      <c r="K1" s="18"/>
      <c r="L1" s="18"/>
      <c r="M1" s="18"/>
      <c r="N1" s="18"/>
      <c r="O1" s="18"/>
      <c r="P1" s="18"/>
      <c r="Q1" s="18"/>
      <c r="R1" s="18"/>
      <c r="S1" s="18"/>
    </row>
    <row r="2" spans="1:19" s="19" customFormat="1" ht="25.05" customHeight="1">
      <c r="A2" s="395" t="s">
        <v>89</v>
      </c>
      <c r="B2" s="399"/>
      <c r="C2" s="399"/>
      <c r="D2" s="399"/>
      <c r="E2" s="399"/>
      <c r="F2" s="399"/>
      <c r="G2" s="399"/>
      <c r="H2" s="399"/>
      <c r="I2" s="399"/>
      <c r="J2" s="399"/>
      <c r="K2" s="18"/>
      <c r="L2" s="18"/>
      <c r="M2" s="18"/>
      <c r="N2" s="18"/>
      <c r="O2" s="18"/>
      <c r="P2" s="18"/>
      <c r="Q2" s="18"/>
      <c r="R2" s="18"/>
      <c r="S2" s="18"/>
    </row>
    <row r="3" spans="1:19" s="20" customFormat="1" ht="20.100000000000001" customHeight="1">
      <c r="A3" s="20" t="str">
        <f>底稿目录!A2</f>
        <v>被审计单位：</v>
      </c>
      <c r="D3" s="20" t="str">
        <f>底稿目录!A4</f>
        <v>编制人：</v>
      </c>
      <c r="G3" s="44" t="str">
        <f>底稿目录!A5</f>
        <v>编制日期：</v>
      </c>
      <c r="H3" s="44"/>
      <c r="J3" s="17" t="s">
        <v>259</v>
      </c>
    </row>
    <row r="4" spans="1:19" s="20" customFormat="1" ht="20.100000000000001" customHeight="1">
      <c r="A4" s="20" t="str">
        <f>底稿目录!A3</f>
        <v>截止日：202X年12月31日</v>
      </c>
      <c r="D4" s="39" t="str">
        <f>底稿目录!A6</f>
        <v>复核人：</v>
      </c>
      <c r="G4" s="44" t="str">
        <f>底稿目录!A7</f>
        <v>复核日期：</v>
      </c>
      <c r="H4" s="44"/>
      <c r="J4" s="20" t="s">
        <v>42</v>
      </c>
    </row>
    <row r="5" spans="1:19" s="145" customFormat="1" ht="20.100000000000001" customHeight="1" thickBot="1">
      <c r="A5" s="144" t="s">
        <v>50</v>
      </c>
    </row>
    <row r="6" spans="1:19" s="145" customFormat="1" ht="16.2" thickBot="1">
      <c r="A6" s="400" t="s">
        <v>217</v>
      </c>
      <c r="B6" s="402" t="s">
        <v>218</v>
      </c>
      <c r="C6" s="403"/>
      <c r="D6" s="402" t="s">
        <v>2</v>
      </c>
      <c r="E6" s="403"/>
      <c r="F6" s="402" t="s">
        <v>3</v>
      </c>
      <c r="G6" s="403"/>
      <c r="H6" s="402" t="s">
        <v>219</v>
      </c>
      <c r="I6" s="403"/>
    </row>
    <row r="7" spans="1:19" s="145" customFormat="1" ht="16.2" thickBot="1">
      <c r="A7" s="401"/>
      <c r="B7" s="166" t="s">
        <v>26</v>
      </c>
      <c r="C7" s="166" t="s">
        <v>27</v>
      </c>
      <c r="D7" s="166" t="s">
        <v>26</v>
      </c>
      <c r="E7" s="166" t="s">
        <v>27</v>
      </c>
      <c r="F7" s="166" t="s">
        <v>26</v>
      </c>
      <c r="G7" s="166" t="s">
        <v>27</v>
      </c>
      <c r="H7" s="166" t="s">
        <v>26</v>
      </c>
      <c r="I7" s="166" t="s">
        <v>27</v>
      </c>
    </row>
    <row r="8" spans="1:19" s="145" customFormat="1">
      <c r="A8" s="167"/>
      <c r="B8" s="168"/>
      <c r="C8" s="168"/>
      <c r="D8" s="169"/>
      <c r="E8" s="169"/>
      <c r="F8" s="168"/>
      <c r="G8" s="168"/>
      <c r="H8" s="168"/>
      <c r="I8" s="168"/>
    </row>
    <row r="9" spans="1:19" s="145" customFormat="1">
      <c r="A9" s="167"/>
      <c r="B9" s="168"/>
      <c r="C9" s="168"/>
      <c r="D9" s="168"/>
      <c r="E9" s="168"/>
      <c r="F9" s="168"/>
      <c r="G9" s="168"/>
      <c r="H9" s="168"/>
      <c r="I9" s="168"/>
    </row>
    <row r="10" spans="1:19" s="145" customFormat="1" ht="16.2" thickBot="1">
      <c r="A10" s="170"/>
      <c r="B10" s="171"/>
      <c r="C10" s="171"/>
      <c r="D10" s="171"/>
      <c r="E10" s="171"/>
      <c r="F10" s="171"/>
      <c r="G10" s="171"/>
      <c r="H10" s="171"/>
      <c r="I10" s="171"/>
    </row>
    <row r="11" spans="1:19" s="145" customFormat="1" ht="16.2" thickBot="1">
      <c r="A11" s="172" t="s">
        <v>44</v>
      </c>
      <c r="B11" s="173">
        <f t="shared" ref="B11:I11" si="0">SUM(B8:B10)</f>
        <v>0</v>
      </c>
      <c r="C11" s="173">
        <f t="shared" si="0"/>
        <v>0</v>
      </c>
      <c r="D11" s="173">
        <f t="shared" si="0"/>
        <v>0</v>
      </c>
      <c r="E11" s="173">
        <f t="shared" si="0"/>
        <v>0</v>
      </c>
      <c r="F11" s="173">
        <f t="shared" si="0"/>
        <v>0</v>
      </c>
      <c r="G11" s="173">
        <f t="shared" si="0"/>
        <v>0</v>
      </c>
      <c r="H11" s="173">
        <f t="shared" si="0"/>
        <v>0</v>
      </c>
      <c r="I11" s="173">
        <f t="shared" si="0"/>
        <v>0</v>
      </c>
    </row>
    <row r="12" spans="1:19" s="145" customFormat="1">
      <c r="A12" s="174" t="s">
        <v>220</v>
      </c>
      <c r="B12" s="165"/>
      <c r="C12" s="165"/>
      <c r="D12" s="165"/>
      <c r="E12" s="165"/>
      <c r="F12" s="165"/>
      <c r="G12" s="165"/>
      <c r="H12" s="165"/>
      <c r="I12" s="165"/>
    </row>
  </sheetData>
  <mergeCells count="7">
    <mergeCell ref="A1:J1"/>
    <mergeCell ref="A2:J2"/>
    <mergeCell ref="A6:A7"/>
    <mergeCell ref="B6:C6"/>
    <mergeCell ref="D6:E6"/>
    <mergeCell ref="F6:G6"/>
    <mergeCell ref="H6:I6"/>
  </mergeCells>
  <phoneticPr fontId="15" type="noConversion"/>
  <pageMargins left="0.70866141732283472" right="0.70866141732283472" top="0.74803149606299213" bottom="0.74803149606299213" header="0.31496062992125984" footer="0.31496062992125984"/>
  <pageSetup paperSize="9" scale="76" fitToHeight="0" orientation="landscape" blackAndWhite="1"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5"/>
  <sheetViews>
    <sheetView view="pageBreakPreview" zoomScaleNormal="100" zoomScaleSheetLayoutView="100" workbookViewId="0">
      <selection sqref="A1:AD1"/>
    </sheetView>
  </sheetViews>
  <sheetFormatPr defaultRowHeight="15.6"/>
  <cols>
    <col min="8" max="8" width="8.8984375" bestFit="1" customWidth="1"/>
    <col min="9" max="9" width="10.09765625" customWidth="1"/>
    <col min="10" max="10" width="11.19921875" customWidth="1"/>
    <col min="11" max="11" width="8.8984375" bestFit="1" customWidth="1"/>
    <col min="13" max="15" width="8.8984375" bestFit="1" customWidth="1"/>
    <col min="17" max="18" width="8.8984375" bestFit="1" customWidth="1"/>
    <col min="19" max="19" width="13.69921875" bestFit="1" customWidth="1"/>
    <col min="20" max="20" width="11.5" customWidth="1"/>
    <col min="21" max="24" width="8.8984375" bestFit="1" customWidth="1"/>
    <col min="25" max="25" width="13.69921875" bestFit="1" customWidth="1"/>
    <col min="26" max="26" width="11.796875" customWidth="1"/>
    <col min="29" max="29" width="8.8984375" bestFit="1" customWidth="1"/>
  </cols>
  <sheetData>
    <row r="1" spans="1:30" ht="19.95" customHeight="1">
      <c r="A1" s="404" t="s">
        <v>434</v>
      </c>
      <c r="B1" s="404"/>
      <c r="C1" s="404"/>
      <c r="D1" s="404"/>
      <c r="E1" s="404"/>
      <c r="F1" s="404"/>
      <c r="G1" s="404"/>
      <c r="H1" s="404"/>
      <c r="I1" s="404"/>
      <c r="J1" s="404"/>
      <c r="K1" s="404"/>
      <c r="L1" s="404"/>
      <c r="M1" s="404"/>
      <c r="N1" s="404"/>
      <c r="O1" s="404"/>
      <c r="P1" s="404"/>
      <c r="Q1" s="404"/>
      <c r="R1" s="404"/>
      <c r="S1" s="404"/>
      <c r="T1" s="404"/>
      <c r="U1" s="404"/>
      <c r="V1" s="404"/>
      <c r="W1" s="404"/>
      <c r="X1" s="404"/>
      <c r="Y1" s="404"/>
      <c r="Z1" s="404"/>
      <c r="AA1" s="404"/>
      <c r="AB1" s="404"/>
      <c r="AC1" s="404"/>
      <c r="AD1" s="404"/>
    </row>
    <row r="2" spans="1:30" ht="19.95" customHeight="1">
      <c r="A2" s="405" t="s">
        <v>106</v>
      </c>
      <c r="B2" s="405"/>
      <c r="C2" s="405"/>
      <c r="D2" s="405"/>
      <c r="E2" s="405"/>
      <c r="F2" s="405"/>
      <c r="G2" s="405"/>
      <c r="H2" s="405"/>
      <c r="I2" s="405"/>
      <c r="J2" s="405"/>
      <c r="K2" s="405"/>
      <c r="L2" s="405"/>
      <c r="M2" s="405"/>
      <c r="N2" s="405"/>
      <c r="O2" s="405"/>
      <c r="P2" s="405"/>
      <c r="Q2" s="405"/>
      <c r="R2" s="405"/>
      <c r="S2" s="405"/>
      <c r="T2" s="405"/>
      <c r="U2" s="405"/>
      <c r="V2" s="405"/>
      <c r="W2" s="405"/>
      <c r="X2" s="405"/>
      <c r="Y2" s="405"/>
      <c r="Z2" s="405"/>
      <c r="AA2" s="405"/>
      <c r="AB2" s="405"/>
      <c r="AC2" s="405"/>
      <c r="AD2" s="405"/>
    </row>
    <row r="3" spans="1:30" ht="19.95" customHeight="1">
      <c r="A3" s="20" t="str">
        <f>底稿目录!A2</f>
        <v>被审计单位：</v>
      </c>
      <c r="B3" s="20"/>
      <c r="C3" s="20"/>
      <c r="D3" s="206"/>
      <c r="E3" s="206"/>
      <c r="F3" s="206"/>
      <c r="G3" s="20" t="str">
        <f>底稿目录!A4</f>
        <v>编制人：</v>
      </c>
      <c r="H3" s="20"/>
      <c r="I3" s="20"/>
      <c r="J3" s="206"/>
      <c r="K3" s="206"/>
      <c r="L3" s="206"/>
      <c r="M3" s="206"/>
      <c r="N3" s="44" t="str">
        <f>底稿目录!A5</f>
        <v>编制日期：</v>
      </c>
      <c r="O3" s="44"/>
      <c r="P3" s="20"/>
      <c r="Q3" s="206"/>
      <c r="R3" s="207"/>
      <c r="S3" s="207"/>
      <c r="T3" s="207"/>
      <c r="U3" s="207"/>
      <c r="V3" s="207"/>
      <c r="W3" s="207"/>
      <c r="X3" s="207"/>
      <c r="Y3" s="207"/>
      <c r="Z3" s="207"/>
      <c r="AA3" s="20"/>
      <c r="AB3" s="207"/>
      <c r="AC3" s="93" t="s">
        <v>124</v>
      </c>
      <c r="AD3" s="272" t="str">
        <f>底稿目录!F7</f>
        <v>M10-2</v>
      </c>
    </row>
    <row r="4" spans="1:30" ht="19.95" customHeight="1">
      <c r="A4" s="20" t="str">
        <f>底稿目录!A3</f>
        <v>截止日：202X年12月31日</v>
      </c>
      <c r="B4" s="20"/>
      <c r="C4" s="20"/>
      <c r="D4" s="206"/>
      <c r="E4" s="206"/>
      <c r="F4" s="206"/>
      <c r="G4" s="39" t="str">
        <f>底稿目录!A6</f>
        <v>复核人：</v>
      </c>
      <c r="H4" s="20"/>
      <c r="I4" s="20"/>
      <c r="J4" s="206"/>
      <c r="K4" s="206"/>
      <c r="L4" s="206"/>
      <c r="M4" s="206"/>
      <c r="N4" s="44" t="str">
        <f>底稿目录!A7</f>
        <v>复核日期：</v>
      </c>
      <c r="O4" s="44"/>
      <c r="P4" s="20"/>
      <c r="Q4" s="206"/>
      <c r="R4" s="207"/>
      <c r="S4" s="207"/>
      <c r="T4" s="207"/>
      <c r="U4" s="207"/>
      <c r="V4" s="207"/>
      <c r="W4" s="207"/>
      <c r="X4" s="207"/>
      <c r="Y4" s="207"/>
      <c r="Z4" s="207"/>
      <c r="AA4" s="20"/>
      <c r="AB4" s="207"/>
      <c r="AC4" s="93" t="s">
        <v>261</v>
      </c>
      <c r="AD4" s="96"/>
    </row>
    <row r="5" spans="1:30" ht="19.95" customHeight="1">
      <c r="A5" s="208" t="s">
        <v>279</v>
      </c>
      <c r="B5" s="208"/>
      <c r="C5" s="208"/>
      <c r="D5" s="208"/>
      <c r="E5" s="208"/>
      <c r="F5" s="208"/>
      <c r="G5" s="208"/>
      <c r="H5" s="208"/>
      <c r="I5" s="208"/>
      <c r="J5" s="49"/>
      <c r="K5" s="49"/>
      <c r="L5" s="49"/>
      <c r="M5" s="49"/>
      <c r="N5" s="49"/>
      <c r="O5" s="49"/>
      <c r="P5" s="49"/>
      <c r="Q5" s="209"/>
      <c r="R5" s="72"/>
      <c r="S5" s="72"/>
      <c r="T5" s="209"/>
      <c r="U5" s="209"/>
      <c r="V5" s="209"/>
      <c r="W5" s="209"/>
      <c r="X5" s="209"/>
      <c r="Y5" s="209"/>
      <c r="Z5" s="209"/>
      <c r="AA5" s="209"/>
      <c r="AB5" s="209"/>
      <c r="AC5" s="72"/>
      <c r="AD5" s="72"/>
    </row>
    <row r="6" spans="1:30" ht="19.95" customHeight="1">
      <c r="A6" s="210" t="s">
        <v>280</v>
      </c>
      <c r="B6" s="49"/>
      <c r="C6" s="87"/>
      <c r="D6" s="206"/>
      <c r="E6" s="206"/>
      <c r="F6" s="206"/>
      <c r="G6" s="206"/>
      <c r="H6" s="206"/>
      <c r="I6" s="210" t="s">
        <v>281</v>
      </c>
      <c r="J6" s="206"/>
      <c r="K6" s="206"/>
      <c r="L6" s="206"/>
      <c r="M6" s="206"/>
      <c r="N6" s="206"/>
      <c r="O6" s="206"/>
      <c r="P6" s="206"/>
      <c r="Q6" s="206"/>
      <c r="R6" s="206"/>
      <c r="S6" s="206"/>
      <c r="T6" s="206"/>
      <c r="U6" s="206"/>
      <c r="V6" s="206"/>
      <c r="W6" s="206"/>
      <c r="X6" s="206"/>
      <c r="Y6" s="206"/>
      <c r="Z6" s="206"/>
      <c r="AA6" s="206"/>
      <c r="AB6" s="206"/>
      <c r="AC6" s="206"/>
      <c r="AD6" s="206"/>
    </row>
    <row r="7" spans="1:30" ht="19.95" customHeight="1">
      <c r="A7" s="210" t="s">
        <v>282</v>
      </c>
      <c r="B7" s="49"/>
      <c r="C7" s="87"/>
      <c r="D7" s="206"/>
      <c r="E7" s="206"/>
      <c r="F7" s="206"/>
      <c r="G7" s="206"/>
      <c r="H7" s="206"/>
      <c r="I7" s="206"/>
      <c r="J7" s="206"/>
      <c r="K7" s="206"/>
      <c r="L7" s="206"/>
      <c r="M7" s="206"/>
      <c r="N7" s="206"/>
      <c r="O7" s="206"/>
      <c r="P7" s="206"/>
      <c r="Q7" s="206"/>
      <c r="R7" s="206"/>
      <c r="S7" s="206"/>
      <c r="T7" s="206"/>
      <c r="U7" s="206"/>
      <c r="V7" s="206"/>
      <c r="W7" s="206"/>
      <c r="X7" s="206"/>
      <c r="Y7" s="206"/>
      <c r="Z7" s="206"/>
      <c r="AA7" s="206"/>
      <c r="AB7" s="206"/>
      <c r="AC7" s="206"/>
      <c r="AD7" s="206"/>
    </row>
    <row r="8" spans="1:30" ht="19.95" customHeight="1">
      <c r="A8" s="208" t="s">
        <v>283</v>
      </c>
      <c r="B8" s="208"/>
      <c r="C8" s="208"/>
      <c r="D8" s="208"/>
      <c r="E8" s="208"/>
      <c r="F8" s="208"/>
      <c r="G8" s="208"/>
      <c r="H8" s="208"/>
      <c r="I8" s="208"/>
      <c r="J8" s="49"/>
      <c r="K8" s="49"/>
      <c r="L8" s="49"/>
      <c r="M8" s="49"/>
      <c r="N8" s="49"/>
      <c r="O8" s="49"/>
      <c r="P8" s="49"/>
      <c r="Q8" s="209"/>
      <c r="R8" s="72"/>
      <c r="S8" s="72"/>
      <c r="T8" s="209"/>
      <c r="U8" s="209"/>
      <c r="V8" s="209"/>
      <c r="W8" s="209"/>
      <c r="X8" s="209"/>
      <c r="Y8" s="209"/>
      <c r="Z8" s="209"/>
      <c r="AA8" s="209"/>
      <c r="AB8" s="209"/>
      <c r="AC8" s="72"/>
      <c r="AD8" s="72"/>
    </row>
    <row r="9" spans="1:30" ht="19.95" customHeight="1">
      <c r="A9" s="406" t="s">
        <v>284</v>
      </c>
      <c r="B9" s="406" t="s">
        <v>285</v>
      </c>
      <c r="C9" s="406" t="s">
        <v>286</v>
      </c>
      <c r="D9" s="406" t="s">
        <v>287</v>
      </c>
      <c r="E9" s="406" t="s">
        <v>288</v>
      </c>
      <c r="F9" s="408" t="s">
        <v>461</v>
      </c>
      <c r="G9" s="406" t="s">
        <v>289</v>
      </c>
      <c r="H9" s="406" t="s">
        <v>290</v>
      </c>
      <c r="I9" s="410" t="s">
        <v>291</v>
      </c>
      <c r="J9" s="411"/>
      <c r="K9" s="412" t="s">
        <v>292</v>
      </c>
      <c r="L9" s="413"/>
      <c r="M9" s="414"/>
      <c r="N9" s="415"/>
      <c r="O9" s="412" t="s">
        <v>293</v>
      </c>
      <c r="P9" s="413"/>
      <c r="Q9" s="414"/>
      <c r="R9" s="415"/>
      <c r="S9" s="410" t="s">
        <v>294</v>
      </c>
      <c r="T9" s="411"/>
      <c r="U9" s="410" t="s">
        <v>295</v>
      </c>
      <c r="V9" s="411"/>
      <c r="W9" s="410" t="s">
        <v>296</v>
      </c>
      <c r="X9" s="411"/>
      <c r="Y9" s="410" t="s">
        <v>297</v>
      </c>
      <c r="Z9" s="411"/>
      <c r="AA9" s="406" t="s">
        <v>298</v>
      </c>
      <c r="AB9" s="406" t="s">
        <v>299</v>
      </c>
      <c r="AC9" s="406" t="s">
        <v>300</v>
      </c>
      <c r="AD9" s="406" t="s">
        <v>301</v>
      </c>
    </row>
    <row r="10" spans="1:30" ht="19.95" customHeight="1">
      <c r="A10" s="407"/>
      <c r="B10" s="407"/>
      <c r="C10" s="407"/>
      <c r="D10" s="407"/>
      <c r="E10" s="407"/>
      <c r="F10" s="407"/>
      <c r="G10" s="407"/>
      <c r="H10" s="409"/>
      <c r="I10" s="211" t="s">
        <v>302</v>
      </c>
      <c r="J10" s="211" t="s">
        <v>303</v>
      </c>
      <c r="K10" s="211" t="s">
        <v>302</v>
      </c>
      <c r="L10" s="211" t="s">
        <v>303</v>
      </c>
      <c r="M10" s="211" t="s">
        <v>304</v>
      </c>
      <c r="N10" s="211" t="s">
        <v>305</v>
      </c>
      <c r="O10" s="211" t="s">
        <v>302</v>
      </c>
      <c r="P10" s="211" t="s">
        <v>303</v>
      </c>
      <c r="Q10" s="211" t="s">
        <v>306</v>
      </c>
      <c r="R10" s="211" t="s">
        <v>307</v>
      </c>
      <c r="S10" s="176" t="s">
        <v>302</v>
      </c>
      <c r="T10" s="211" t="s">
        <v>303</v>
      </c>
      <c r="U10" s="211" t="s">
        <v>302</v>
      </c>
      <c r="V10" s="211" t="s">
        <v>303</v>
      </c>
      <c r="W10" s="211" t="s">
        <v>302</v>
      </c>
      <c r="X10" s="211" t="s">
        <v>303</v>
      </c>
      <c r="Y10" s="211" t="s">
        <v>302</v>
      </c>
      <c r="Z10" s="211" t="s">
        <v>303</v>
      </c>
      <c r="AA10" s="409"/>
      <c r="AB10" s="409"/>
      <c r="AC10" s="407"/>
      <c r="AD10" s="409"/>
    </row>
    <row r="11" spans="1:30" ht="19.95" customHeight="1">
      <c r="A11" s="212" t="s">
        <v>308</v>
      </c>
      <c r="B11" s="213"/>
      <c r="C11" s="213"/>
      <c r="D11" s="213"/>
      <c r="E11" s="213"/>
      <c r="F11" s="213"/>
      <c r="G11" s="213"/>
      <c r="H11" s="213"/>
      <c r="I11" s="213"/>
      <c r="J11" s="176"/>
      <c r="K11" s="176"/>
      <c r="L11" s="176"/>
      <c r="M11" s="176"/>
      <c r="N11" s="176"/>
      <c r="O11" s="176"/>
      <c r="P11" s="176"/>
      <c r="Q11" s="176"/>
      <c r="R11" s="176"/>
      <c r="S11" s="176"/>
      <c r="T11" s="176"/>
      <c r="U11" s="176"/>
      <c r="V11" s="176"/>
      <c r="W11" s="176"/>
      <c r="X11" s="176"/>
      <c r="Y11" s="176"/>
      <c r="Z11" s="176"/>
      <c r="AA11" s="176"/>
      <c r="AB11" s="176"/>
      <c r="AC11" s="213"/>
      <c r="AD11" s="214"/>
    </row>
    <row r="12" spans="1:30" ht="19.95" customHeight="1">
      <c r="A12" s="77"/>
      <c r="B12" s="74"/>
      <c r="C12" s="175"/>
      <c r="D12" s="74"/>
      <c r="E12" s="74"/>
      <c r="F12" s="74"/>
      <c r="G12" s="74"/>
      <c r="H12" s="74"/>
      <c r="I12" s="74"/>
      <c r="J12" s="75"/>
      <c r="K12" s="75"/>
      <c r="L12" s="75"/>
      <c r="M12" s="75"/>
      <c r="N12" s="181">
        <f>L12-M12</f>
        <v>0</v>
      </c>
      <c r="O12" s="75"/>
      <c r="P12" s="75"/>
      <c r="Q12" s="75"/>
      <c r="R12" s="181">
        <f>SUM(P12:Q12)</f>
        <v>0</v>
      </c>
      <c r="S12" s="56">
        <f>I12+K12-O12</f>
        <v>0</v>
      </c>
      <c r="T12" s="181">
        <f>J12+N12-R12</f>
        <v>0</v>
      </c>
      <c r="U12" s="50"/>
      <c r="V12" s="50"/>
      <c r="W12" s="50"/>
      <c r="X12" s="50"/>
      <c r="Y12" s="56">
        <f>S12+U12-W12</f>
        <v>0</v>
      </c>
      <c r="Z12" s="56">
        <f>T12+V12-X12</f>
        <v>0</v>
      </c>
      <c r="AA12" s="50"/>
      <c r="AB12" s="50"/>
      <c r="AC12" s="76"/>
      <c r="AD12" s="76"/>
    </row>
    <row r="13" spans="1:30" ht="19.95" customHeight="1">
      <c r="A13" s="77"/>
      <c r="B13" s="74"/>
      <c r="C13" s="74"/>
      <c r="D13" s="74"/>
      <c r="E13" s="74"/>
      <c r="F13" s="74"/>
      <c r="G13" s="74"/>
      <c r="H13" s="74"/>
      <c r="I13" s="74"/>
      <c r="J13" s="75"/>
      <c r="K13" s="75"/>
      <c r="L13" s="75"/>
      <c r="M13" s="75"/>
      <c r="N13" s="181">
        <f t="shared" ref="N13:N14" si="0">L13-M13</f>
        <v>0</v>
      </c>
      <c r="O13" s="75"/>
      <c r="P13" s="75"/>
      <c r="Q13" s="75"/>
      <c r="R13" s="181">
        <f t="shared" ref="R13:R14" si="1">SUM(P13:Q13)</f>
        <v>0</v>
      </c>
      <c r="S13" s="56">
        <f t="shared" ref="S13:S14" si="2">I13+K13-O13</f>
        <v>0</v>
      </c>
      <c r="T13" s="181">
        <f t="shared" ref="T13:T14" si="3">J13+N13-R13</f>
        <v>0</v>
      </c>
      <c r="U13" s="50"/>
      <c r="V13" s="50"/>
      <c r="W13" s="50"/>
      <c r="X13" s="50"/>
      <c r="Y13" s="56">
        <f t="shared" ref="Y13:Z14" si="4">S13+U13-W13</f>
        <v>0</v>
      </c>
      <c r="Z13" s="56">
        <f t="shared" si="4"/>
        <v>0</v>
      </c>
      <c r="AA13" s="50"/>
      <c r="AB13" s="50"/>
      <c r="AC13" s="76"/>
      <c r="AD13" s="76"/>
    </row>
    <row r="14" spans="1:30" ht="19.95" customHeight="1">
      <c r="A14" s="77"/>
      <c r="B14" s="74"/>
      <c r="C14" s="74"/>
      <c r="D14" s="74"/>
      <c r="E14" s="74"/>
      <c r="F14" s="74"/>
      <c r="G14" s="74"/>
      <c r="H14" s="74"/>
      <c r="I14" s="74"/>
      <c r="J14" s="75"/>
      <c r="K14" s="75"/>
      <c r="L14" s="75"/>
      <c r="M14" s="75"/>
      <c r="N14" s="181">
        <f t="shared" si="0"/>
        <v>0</v>
      </c>
      <c r="O14" s="75"/>
      <c r="P14" s="75"/>
      <c r="Q14" s="75"/>
      <c r="R14" s="181">
        <f t="shared" si="1"/>
        <v>0</v>
      </c>
      <c r="S14" s="56">
        <f t="shared" si="2"/>
        <v>0</v>
      </c>
      <c r="T14" s="181">
        <f t="shared" si="3"/>
        <v>0</v>
      </c>
      <c r="U14" s="50"/>
      <c r="V14" s="50"/>
      <c r="W14" s="50"/>
      <c r="X14" s="50"/>
      <c r="Y14" s="56">
        <f t="shared" si="4"/>
        <v>0</v>
      </c>
      <c r="Z14" s="56">
        <f t="shared" si="4"/>
        <v>0</v>
      </c>
      <c r="AA14" s="50"/>
      <c r="AB14" s="50"/>
      <c r="AC14" s="76"/>
      <c r="AD14" s="76"/>
    </row>
    <row r="15" spans="1:30" ht="19.95" customHeight="1">
      <c r="A15" s="215" t="s">
        <v>309</v>
      </c>
      <c r="B15" s="216"/>
      <c r="C15" s="216"/>
      <c r="D15" s="216"/>
      <c r="E15" s="216"/>
      <c r="F15" s="216"/>
      <c r="G15" s="216"/>
      <c r="H15" s="182">
        <f t="shared" ref="H15:T15" si="5">SUM(H12:H14)</f>
        <v>0</v>
      </c>
      <c r="I15" s="216"/>
      <c r="J15" s="182">
        <f t="shared" si="5"/>
        <v>0</v>
      </c>
      <c r="K15" s="182">
        <f t="shared" si="5"/>
        <v>0</v>
      </c>
      <c r="L15" s="182"/>
      <c r="M15" s="182">
        <f t="shared" si="5"/>
        <v>0</v>
      </c>
      <c r="N15" s="182">
        <f>SUM(N12:N14)</f>
        <v>0</v>
      </c>
      <c r="O15" s="182">
        <f t="shared" si="5"/>
        <v>0</v>
      </c>
      <c r="P15" s="182"/>
      <c r="Q15" s="182">
        <f t="shared" si="5"/>
        <v>0</v>
      </c>
      <c r="R15" s="182">
        <f t="shared" si="5"/>
        <v>0</v>
      </c>
      <c r="S15" s="285">
        <f t="shared" si="5"/>
        <v>0</v>
      </c>
      <c r="T15" s="182">
        <f t="shared" si="5"/>
        <v>0</v>
      </c>
      <c r="U15" s="182">
        <f>U14+U13+U12</f>
        <v>0</v>
      </c>
      <c r="V15" s="182">
        <f t="shared" ref="V15:X15" si="6">V14+V13+V12</f>
        <v>0</v>
      </c>
      <c r="W15" s="182">
        <f t="shared" si="6"/>
        <v>0</v>
      </c>
      <c r="X15" s="182">
        <f t="shared" si="6"/>
        <v>0</v>
      </c>
      <c r="Y15" s="285">
        <f>SUM(Y12:Y14)</f>
        <v>0</v>
      </c>
      <c r="Z15" s="285">
        <f>SUM(Z12:Z14)</f>
        <v>0</v>
      </c>
      <c r="AA15" s="182"/>
      <c r="AB15" s="182"/>
      <c r="AC15" s="182"/>
      <c r="AD15" s="191"/>
    </row>
    <row r="16" spans="1:30" ht="19.95" customHeight="1">
      <c r="A16" s="217" t="s">
        <v>310</v>
      </c>
      <c r="B16" s="213"/>
      <c r="C16" s="213"/>
      <c r="D16" s="213"/>
      <c r="E16" s="213"/>
      <c r="F16" s="213"/>
      <c r="G16" s="213"/>
      <c r="H16" s="213"/>
      <c r="I16" s="213"/>
      <c r="J16" s="176"/>
      <c r="K16" s="176"/>
      <c r="L16" s="176"/>
      <c r="M16" s="176"/>
      <c r="N16" s="176"/>
      <c r="O16" s="176"/>
      <c r="P16" s="176"/>
      <c r="Q16" s="176"/>
      <c r="R16" s="176"/>
      <c r="S16" s="286"/>
      <c r="T16" s="176"/>
      <c r="U16" s="176"/>
      <c r="V16" s="176"/>
      <c r="W16" s="176"/>
      <c r="X16" s="176"/>
      <c r="Y16" s="286"/>
      <c r="Z16" s="286"/>
      <c r="AA16" s="176"/>
      <c r="AB16" s="176"/>
      <c r="AC16" s="213"/>
      <c r="AD16" s="214"/>
    </row>
    <row r="17" spans="1:30" ht="19.95" customHeight="1">
      <c r="A17" s="77"/>
      <c r="B17" s="74"/>
      <c r="C17" s="74"/>
      <c r="D17" s="74"/>
      <c r="E17" s="74"/>
      <c r="F17" s="74"/>
      <c r="G17" s="74"/>
      <c r="H17" s="74"/>
      <c r="I17" s="74"/>
      <c r="J17" s="75"/>
      <c r="K17" s="75"/>
      <c r="L17" s="75"/>
      <c r="M17" s="75"/>
      <c r="N17" s="181">
        <f>L17-M17</f>
        <v>0</v>
      </c>
      <c r="O17" s="75"/>
      <c r="P17" s="75"/>
      <c r="Q17" s="75"/>
      <c r="R17" s="181">
        <f>SUM(P17:Q17)</f>
        <v>0</v>
      </c>
      <c r="S17" s="56">
        <f>I17+K17-O17</f>
        <v>0</v>
      </c>
      <c r="T17" s="181">
        <f>J17+N17-R17</f>
        <v>0</v>
      </c>
      <c r="U17" s="50"/>
      <c r="V17" s="50"/>
      <c r="W17" s="50"/>
      <c r="X17" s="50"/>
      <c r="Y17" s="56">
        <f>S17+U17-W17</f>
        <v>0</v>
      </c>
      <c r="Z17" s="56">
        <f>T17+V17-X17</f>
        <v>0</v>
      </c>
      <c r="AA17" s="50"/>
      <c r="AB17" s="50"/>
      <c r="AC17" s="76"/>
      <c r="AD17" s="76"/>
    </row>
    <row r="18" spans="1:30" ht="19.95" customHeight="1">
      <c r="A18" s="77"/>
      <c r="B18" s="78"/>
      <c r="C18" s="78"/>
      <c r="D18" s="78"/>
      <c r="E18" s="78"/>
      <c r="F18" s="78"/>
      <c r="G18" s="78"/>
      <c r="H18" s="78"/>
      <c r="I18" s="78"/>
      <c r="J18" s="75"/>
      <c r="K18" s="75"/>
      <c r="L18" s="75"/>
      <c r="M18" s="75"/>
      <c r="N18" s="181">
        <f t="shared" ref="N18:N19" si="7">L18-M18</f>
        <v>0</v>
      </c>
      <c r="O18" s="75"/>
      <c r="P18" s="75"/>
      <c r="Q18" s="75"/>
      <c r="R18" s="181">
        <f t="shared" ref="R18:R19" si="8">SUM(P18:Q18)</f>
        <v>0</v>
      </c>
      <c r="S18" s="56">
        <f t="shared" ref="S18:S19" si="9">I18+K18-O18</f>
        <v>0</v>
      </c>
      <c r="T18" s="181">
        <f t="shared" ref="T18:T19" si="10">J18+N18-R18</f>
        <v>0</v>
      </c>
      <c r="U18" s="50"/>
      <c r="V18" s="50"/>
      <c r="W18" s="50"/>
      <c r="X18" s="50"/>
      <c r="Y18" s="56">
        <f t="shared" ref="Y18:Z19" si="11">S18+U18-W18</f>
        <v>0</v>
      </c>
      <c r="Z18" s="56">
        <f t="shared" si="11"/>
        <v>0</v>
      </c>
      <c r="AA18" s="50"/>
      <c r="AB18" s="50"/>
      <c r="AC18" s="76"/>
      <c r="AD18" s="76"/>
    </row>
    <row r="19" spans="1:30" ht="19.95" customHeight="1">
      <c r="A19" s="77"/>
      <c r="B19" s="78"/>
      <c r="C19" s="78"/>
      <c r="D19" s="78"/>
      <c r="E19" s="78"/>
      <c r="F19" s="78"/>
      <c r="G19" s="78"/>
      <c r="H19" s="78"/>
      <c r="I19" s="78"/>
      <c r="J19" s="75"/>
      <c r="K19" s="75"/>
      <c r="L19" s="75"/>
      <c r="M19" s="75"/>
      <c r="N19" s="181">
        <f t="shared" si="7"/>
        <v>0</v>
      </c>
      <c r="O19" s="75"/>
      <c r="P19" s="75"/>
      <c r="Q19" s="75"/>
      <c r="R19" s="181">
        <f t="shared" si="8"/>
        <v>0</v>
      </c>
      <c r="S19" s="56">
        <f t="shared" si="9"/>
        <v>0</v>
      </c>
      <c r="T19" s="181">
        <f t="shared" si="10"/>
        <v>0</v>
      </c>
      <c r="U19" s="50"/>
      <c r="V19" s="50"/>
      <c r="W19" s="50"/>
      <c r="X19" s="50"/>
      <c r="Y19" s="56">
        <f t="shared" si="11"/>
        <v>0</v>
      </c>
      <c r="Z19" s="56">
        <f t="shared" si="11"/>
        <v>0</v>
      </c>
      <c r="AA19" s="50"/>
      <c r="AB19" s="50"/>
      <c r="AC19" s="76"/>
      <c r="AD19" s="76"/>
    </row>
    <row r="20" spans="1:30" ht="19.95" customHeight="1">
      <c r="A20" s="215" t="s">
        <v>309</v>
      </c>
      <c r="B20" s="216"/>
      <c r="C20" s="216"/>
      <c r="D20" s="216"/>
      <c r="E20" s="216"/>
      <c r="F20" s="216"/>
      <c r="G20" s="216"/>
      <c r="H20" s="182">
        <f t="shared" ref="H20:T20" si="12">SUM(H17:H19)</f>
        <v>0</v>
      </c>
      <c r="I20" s="182"/>
      <c r="J20" s="182">
        <f t="shared" si="12"/>
        <v>0</v>
      </c>
      <c r="K20" s="182">
        <f t="shared" si="12"/>
        <v>0</v>
      </c>
      <c r="L20" s="182"/>
      <c r="M20" s="182">
        <f t="shared" si="12"/>
        <v>0</v>
      </c>
      <c r="N20" s="182">
        <f t="shared" si="12"/>
        <v>0</v>
      </c>
      <c r="O20" s="182">
        <f t="shared" si="12"/>
        <v>0</v>
      </c>
      <c r="P20" s="182"/>
      <c r="Q20" s="182">
        <f t="shared" si="12"/>
        <v>0</v>
      </c>
      <c r="R20" s="182">
        <f t="shared" si="12"/>
        <v>0</v>
      </c>
      <c r="S20" s="285">
        <f t="shared" si="12"/>
        <v>0</v>
      </c>
      <c r="T20" s="182">
        <f t="shared" si="12"/>
        <v>0</v>
      </c>
      <c r="U20" s="182">
        <f>U19+U18+U17</f>
        <v>0</v>
      </c>
      <c r="V20" s="182">
        <f t="shared" ref="V20:X20" si="13">V19+V18+V17</f>
        <v>0</v>
      </c>
      <c r="W20" s="182">
        <f t="shared" si="13"/>
        <v>0</v>
      </c>
      <c r="X20" s="182">
        <f t="shared" si="13"/>
        <v>0</v>
      </c>
      <c r="Y20" s="56">
        <f>SUM(Y17:Y19)</f>
        <v>0</v>
      </c>
      <c r="Z20" s="56">
        <f>SUM(Z17:Z19)</f>
        <v>0</v>
      </c>
      <c r="AA20" s="182"/>
      <c r="AB20" s="182"/>
      <c r="AC20" s="182"/>
      <c r="AD20" s="191"/>
    </row>
    <row r="21" spans="1:30" ht="19.95" customHeight="1">
      <c r="A21" s="217" t="s">
        <v>311</v>
      </c>
      <c r="B21" s="213"/>
      <c r="C21" s="213"/>
      <c r="D21" s="213"/>
      <c r="E21" s="213"/>
      <c r="F21" s="213"/>
      <c r="G21" s="213"/>
      <c r="H21" s="213"/>
      <c r="I21" s="213"/>
      <c r="J21" s="176"/>
      <c r="K21" s="176"/>
      <c r="L21" s="176"/>
      <c r="M21" s="176"/>
      <c r="N21" s="176"/>
      <c r="O21" s="176"/>
      <c r="P21" s="176"/>
      <c r="Q21" s="176"/>
      <c r="R21" s="176"/>
      <c r="S21" s="286"/>
      <c r="T21" s="176"/>
      <c r="U21" s="176"/>
      <c r="V21" s="176"/>
      <c r="W21" s="176"/>
      <c r="X21" s="176"/>
      <c r="Y21" s="286"/>
      <c r="Z21" s="286"/>
      <c r="AA21" s="176"/>
      <c r="AB21" s="176"/>
      <c r="AC21" s="213"/>
      <c r="AD21" s="214"/>
    </row>
    <row r="22" spans="1:30" ht="19.95" customHeight="1">
      <c r="A22" s="77"/>
      <c r="B22" s="74"/>
      <c r="C22" s="74"/>
      <c r="D22" s="74"/>
      <c r="E22" s="74"/>
      <c r="F22" s="74"/>
      <c r="G22" s="74"/>
      <c r="H22" s="74"/>
      <c r="I22" s="74"/>
      <c r="J22" s="75"/>
      <c r="K22" s="75"/>
      <c r="L22" s="75"/>
      <c r="M22" s="75"/>
      <c r="N22" s="181">
        <f>L22-M22</f>
        <v>0</v>
      </c>
      <c r="O22" s="75"/>
      <c r="P22" s="75"/>
      <c r="Q22" s="75"/>
      <c r="R22" s="181">
        <f>SUM(P22:Q22)</f>
        <v>0</v>
      </c>
      <c r="S22" s="56">
        <f>I22+K22-O22</f>
        <v>0</v>
      </c>
      <c r="T22" s="181">
        <f>J22+N22-R22</f>
        <v>0</v>
      </c>
      <c r="U22" s="50"/>
      <c r="V22" s="50"/>
      <c r="W22" s="50"/>
      <c r="X22" s="50"/>
      <c r="Y22" s="56">
        <f>S22+U22-W22</f>
        <v>0</v>
      </c>
      <c r="Z22" s="56">
        <f>T22+V22-X22</f>
        <v>0</v>
      </c>
      <c r="AA22" s="50"/>
      <c r="AB22" s="50"/>
      <c r="AC22" s="76"/>
      <c r="AD22" s="76"/>
    </row>
    <row r="23" spans="1:30" ht="19.95" customHeight="1">
      <c r="A23" s="77"/>
      <c r="B23" s="78"/>
      <c r="C23" s="78"/>
      <c r="D23" s="78"/>
      <c r="E23" s="78"/>
      <c r="F23" s="78"/>
      <c r="G23" s="78"/>
      <c r="H23" s="78"/>
      <c r="I23" s="78"/>
      <c r="J23" s="75"/>
      <c r="K23" s="75"/>
      <c r="L23" s="75"/>
      <c r="M23" s="75"/>
      <c r="N23" s="181">
        <f t="shared" ref="N23:N24" si="14">L23-M23</f>
        <v>0</v>
      </c>
      <c r="O23" s="75"/>
      <c r="P23" s="75"/>
      <c r="Q23" s="75"/>
      <c r="R23" s="181">
        <f t="shared" ref="R23:R24" si="15">SUM(P23:Q23)</f>
        <v>0</v>
      </c>
      <c r="S23" s="56">
        <f t="shared" ref="S23:S24" si="16">I23+K23-O23</f>
        <v>0</v>
      </c>
      <c r="T23" s="181">
        <f t="shared" ref="T23:T24" si="17">J23+N23-R23</f>
        <v>0</v>
      </c>
      <c r="U23" s="50"/>
      <c r="V23" s="50"/>
      <c r="W23" s="50"/>
      <c r="X23" s="50"/>
      <c r="Y23" s="56">
        <f t="shared" ref="Y23:Z24" si="18">S23+U23-W23</f>
        <v>0</v>
      </c>
      <c r="Z23" s="56">
        <f t="shared" si="18"/>
        <v>0</v>
      </c>
      <c r="AA23" s="50"/>
      <c r="AB23" s="50"/>
      <c r="AC23" s="76"/>
      <c r="AD23" s="76"/>
    </row>
    <row r="24" spans="1:30" ht="19.95" customHeight="1">
      <c r="A24" s="77"/>
      <c r="B24" s="78"/>
      <c r="C24" s="78"/>
      <c r="D24" s="78"/>
      <c r="E24" s="78"/>
      <c r="F24" s="78"/>
      <c r="G24" s="78"/>
      <c r="H24" s="78"/>
      <c r="I24" s="78"/>
      <c r="J24" s="75"/>
      <c r="K24" s="75"/>
      <c r="L24" s="75"/>
      <c r="M24" s="75"/>
      <c r="N24" s="181">
        <f t="shared" si="14"/>
        <v>0</v>
      </c>
      <c r="O24" s="75"/>
      <c r="P24" s="75"/>
      <c r="Q24" s="75"/>
      <c r="R24" s="181">
        <f t="shared" si="15"/>
        <v>0</v>
      </c>
      <c r="S24" s="56">
        <f t="shared" si="16"/>
        <v>0</v>
      </c>
      <c r="T24" s="181">
        <f t="shared" si="17"/>
        <v>0</v>
      </c>
      <c r="U24" s="50"/>
      <c r="V24" s="50"/>
      <c r="W24" s="50"/>
      <c r="X24" s="50"/>
      <c r="Y24" s="56">
        <f t="shared" si="18"/>
        <v>0</v>
      </c>
      <c r="Z24" s="56">
        <f t="shared" si="18"/>
        <v>0</v>
      </c>
      <c r="AA24" s="50"/>
      <c r="AB24" s="50"/>
      <c r="AC24" s="76"/>
      <c r="AD24" s="76"/>
    </row>
    <row r="25" spans="1:30" ht="19.95" customHeight="1">
      <c r="A25" s="215" t="s">
        <v>309</v>
      </c>
      <c r="B25" s="216"/>
      <c r="C25" s="216"/>
      <c r="D25" s="216"/>
      <c r="E25" s="216"/>
      <c r="F25" s="216"/>
      <c r="G25" s="216"/>
      <c r="H25" s="182">
        <f t="shared" ref="H25:Q25" si="19">SUM(H22:H24)</f>
        <v>0</v>
      </c>
      <c r="I25" s="182"/>
      <c r="J25" s="182">
        <f t="shared" si="19"/>
        <v>0</v>
      </c>
      <c r="K25" s="182">
        <f t="shared" si="19"/>
        <v>0</v>
      </c>
      <c r="L25" s="182"/>
      <c r="M25" s="182">
        <f t="shared" si="19"/>
        <v>0</v>
      </c>
      <c r="N25" s="182">
        <f t="shared" si="19"/>
        <v>0</v>
      </c>
      <c r="O25" s="182">
        <f t="shared" si="19"/>
        <v>0</v>
      </c>
      <c r="P25" s="182"/>
      <c r="Q25" s="182">
        <f t="shared" si="19"/>
        <v>0</v>
      </c>
      <c r="R25" s="182">
        <f>SUM(R22:R24)</f>
        <v>0</v>
      </c>
      <c r="S25" s="56">
        <f>SUM(S22:S24)</f>
        <v>0</v>
      </c>
      <c r="T25" s="182">
        <f>SUM(T22:T24 )</f>
        <v>0</v>
      </c>
      <c r="U25" s="182">
        <f>U24+U23+U22</f>
        <v>0</v>
      </c>
      <c r="V25" s="182">
        <f t="shared" ref="V25:X25" si="20">V24+V23+V22</f>
        <v>0</v>
      </c>
      <c r="W25" s="182">
        <f t="shared" si="20"/>
        <v>0</v>
      </c>
      <c r="X25" s="182">
        <f t="shared" si="20"/>
        <v>0</v>
      </c>
      <c r="Y25" s="56">
        <f>S25+U25-W25</f>
        <v>0</v>
      </c>
      <c r="Z25" s="56">
        <f>T25+V25-X25</f>
        <v>0</v>
      </c>
      <c r="AA25" s="181"/>
      <c r="AB25" s="181"/>
      <c r="AC25" s="182"/>
      <c r="AD25" s="191"/>
    </row>
    <row r="26" spans="1:30" ht="19.95" customHeight="1">
      <c r="A26" s="215" t="s">
        <v>312</v>
      </c>
      <c r="B26" s="216"/>
      <c r="C26" s="216"/>
      <c r="D26" s="216"/>
      <c r="E26" s="216"/>
      <c r="F26" s="216"/>
      <c r="G26" s="216"/>
      <c r="H26" s="182">
        <f t="shared" ref="H26:T26" si="21">SUM(H15,H20)</f>
        <v>0</v>
      </c>
      <c r="I26" s="182"/>
      <c r="J26" s="182">
        <f t="shared" si="21"/>
        <v>0</v>
      </c>
      <c r="K26" s="182">
        <f t="shared" si="21"/>
        <v>0</v>
      </c>
      <c r="L26" s="182"/>
      <c r="M26" s="182">
        <f t="shared" si="21"/>
        <v>0</v>
      </c>
      <c r="N26" s="182">
        <f t="shared" si="21"/>
        <v>0</v>
      </c>
      <c r="O26" s="182">
        <f t="shared" si="21"/>
        <v>0</v>
      </c>
      <c r="P26" s="182"/>
      <c r="Q26" s="182">
        <f t="shared" si="21"/>
        <v>0</v>
      </c>
      <c r="R26" s="182">
        <f t="shared" si="21"/>
        <v>0</v>
      </c>
      <c r="S26" s="56">
        <f t="shared" si="21"/>
        <v>0</v>
      </c>
      <c r="T26" s="182">
        <f t="shared" si="21"/>
        <v>0</v>
      </c>
      <c r="U26" s="182">
        <f>U25+U20+U15</f>
        <v>0</v>
      </c>
      <c r="V26" s="182">
        <f t="shared" ref="V26:X26" si="22">V25+V20+V15</f>
        <v>0</v>
      </c>
      <c r="W26" s="182">
        <f t="shared" si="22"/>
        <v>0</v>
      </c>
      <c r="X26" s="182">
        <f t="shared" si="22"/>
        <v>0</v>
      </c>
      <c r="Y26" s="56">
        <f>S26+U26-W26</f>
        <v>0</v>
      </c>
      <c r="Z26" s="56">
        <f>T26+V26-X26</f>
        <v>0</v>
      </c>
      <c r="AA26" s="181"/>
      <c r="AB26" s="181"/>
      <c r="AC26" s="182"/>
      <c r="AD26" s="191"/>
    </row>
    <row r="27" spans="1:30" ht="19.95" customHeight="1">
      <c r="A27" s="210"/>
      <c r="B27" s="73"/>
      <c r="C27" s="73"/>
      <c r="D27" s="73"/>
      <c r="E27" s="73"/>
      <c r="F27" s="73"/>
      <c r="G27" s="73"/>
      <c r="H27" s="73"/>
      <c r="I27" s="73"/>
      <c r="J27" s="72"/>
      <c r="K27" s="72"/>
      <c r="L27" s="72"/>
      <c r="M27" s="72"/>
      <c r="N27" s="72"/>
      <c r="O27" s="72"/>
      <c r="P27" s="72"/>
      <c r="Q27" s="209"/>
      <c r="R27" s="72"/>
      <c r="S27" s="72"/>
      <c r="T27" s="209"/>
      <c r="U27" s="209"/>
      <c r="V27" s="209"/>
      <c r="W27" s="209"/>
      <c r="X27" s="209"/>
      <c r="Y27" s="209"/>
      <c r="Z27" s="209"/>
      <c r="AA27" s="209"/>
      <c r="AB27" s="209"/>
      <c r="AC27" s="72"/>
      <c r="AD27" s="72"/>
    </row>
    <row r="28" spans="1:30" ht="19.95" customHeight="1">
      <c r="A28" s="79" t="s">
        <v>56</v>
      </c>
      <c r="B28" s="79"/>
      <c r="C28" s="79"/>
      <c r="D28" s="79"/>
      <c r="E28" s="79"/>
      <c r="F28" s="79"/>
      <c r="G28" s="79"/>
      <c r="H28" s="79"/>
      <c r="I28" s="79"/>
      <c r="J28" s="72"/>
      <c r="K28" s="72"/>
      <c r="L28" s="72"/>
      <c r="M28" s="72"/>
      <c r="N28" s="72"/>
      <c r="O28" s="72"/>
      <c r="P28" s="72"/>
      <c r="Q28" s="72"/>
      <c r="R28" s="72"/>
      <c r="S28" s="72"/>
      <c r="T28" s="72"/>
      <c r="U28" s="72"/>
      <c r="V28" s="72"/>
      <c r="W28" s="72"/>
      <c r="X28" s="72"/>
      <c r="Y28" s="72"/>
      <c r="Z28" s="72"/>
      <c r="AA28" s="72"/>
      <c r="AB28" s="72"/>
      <c r="AC28" s="72"/>
      <c r="AD28" s="72"/>
    </row>
    <row r="29" spans="1:30" ht="19.95" customHeight="1">
      <c r="A29" s="79"/>
      <c r="B29" s="79"/>
      <c r="C29" s="79"/>
      <c r="D29" s="79"/>
      <c r="E29" s="79"/>
      <c r="F29" s="79"/>
      <c r="G29" s="79"/>
      <c r="H29" s="79"/>
      <c r="I29" s="79"/>
      <c r="J29" s="72"/>
      <c r="K29" s="72"/>
      <c r="L29" s="72"/>
      <c r="M29" s="72"/>
      <c r="N29" s="72"/>
      <c r="O29" s="72"/>
      <c r="P29" s="72"/>
      <c r="Q29" s="72"/>
      <c r="R29" s="72"/>
      <c r="S29" s="72"/>
      <c r="T29" s="72"/>
      <c r="U29" s="72"/>
      <c r="V29" s="72"/>
      <c r="W29" s="72"/>
      <c r="X29" s="72"/>
      <c r="Y29" s="72"/>
      <c r="Z29" s="72"/>
      <c r="AA29" s="72"/>
      <c r="AB29" s="72"/>
      <c r="AC29" s="72"/>
      <c r="AD29" s="72"/>
    </row>
    <row r="30" spans="1:30" ht="19.95" customHeight="1">
      <c r="A30" s="79"/>
      <c r="B30" s="79"/>
      <c r="C30" s="79"/>
      <c r="D30" s="79"/>
      <c r="E30" s="79"/>
      <c r="F30" s="79"/>
      <c r="G30" s="79"/>
      <c r="H30" s="79"/>
      <c r="I30" s="79"/>
      <c r="J30" s="72"/>
      <c r="K30" s="72"/>
      <c r="L30" s="72"/>
      <c r="M30" s="72"/>
      <c r="N30" s="72"/>
      <c r="O30" s="72"/>
      <c r="P30" s="72"/>
      <c r="Q30" s="72"/>
      <c r="R30" s="72"/>
      <c r="S30" s="72"/>
      <c r="T30" s="72"/>
      <c r="U30" s="72"/>
      <c r="V30" s="72"/>
      <c r="W30" s="72"/>
      <c r="X30" s="72"/>
      <c r="Y30" s="72"/>
      <c r="Z30" s="72"/>
      <c r="AA30" s="72"/>
      <c r="AB30" s="72"/>
      <c r="AC30" s="72"/>
      <c r="AD30" s="72"/>
    </row>
    <row r="31" spans="1:30" ht="19.95" customHeight="1">
      <c r="A31" s="79"/>
      <c r="B31" s="79"/>
      <c r="C31" s="79"/>
      <c r="D31" s="79"/>
      <c r="E31" s="79"/>
      <c r="F31" s="79"/>
      <c r="G31" s="79"/>
      <c r="H31" s="79"/>
      <c r="I31" s="79"/>
      <c r="J31" s="72"/>
      <c r="K31" s="72"/>
      <c r="L31" s="72"/>
      <c r="M31" s="72"/>
      <c r="N31" s="72"/>
      <c r="O31" s="72"/>
      <c r="P31" s="72"/>
      <c r="Q31" s="72"/>
      <c r="R31" s="72"/>
      <c r="S31" s="72"/>
      <c r="T31" s="72"/>
      <c r="U31" s="72"/>
      <c r="V31" s="72"/>
      <c r="W31" s="72"/>
      <c r="X31" s="72"/>
      <c r="Y31" s="72"/>
      <c r="Z31" s="72"/>
      <c r="AA31" s="72"/>
      <c r="AB31" s="72"/>
      <c r="AC31" s="72"/>
      <c r="AD31" s="72"/>
    </row>
    <row r="32" spans="1:30" ht="19.95" customHeight="1">
      <c r="A32" s="79" t="s">
        <v>313</v>
      </c>
      <c r="B32" s="79"/>
      <c r="C32" s="79"/>
      <c r="D32" s="79"/>
      <c r="E32" s="79"/>
      <c r="F32" s="79"/>
      <c r="G32" s="79"/>
      <c r="H32" s="79"/>
      <c r="I32" s="79"/>
      <c r="J32" s="72"/>
      <c r="K32" s="72"/>
      <c r="L32" s="72"/>
      <c r="M32" s="72"/>
      <c r="N32" s="72"/>
      <c r="O32" s="72"/>
      <c r="P32" s="72"/>
      <c r="Q32" s="72"/>
      <c r="R32" s="72"/>
      <c r="S32" s="72"/>
      <c r="T32" s="72"/>
      <c r="U32" s="72"/>
      <c r="V32" s="72"/>
      <c r="W32" s="72"/>
      <c r="X32" s="72"/>
      <c r="Y32" s="72"/>
      <c r="Z32" s="72"/>
      <c r="AA32" s="72"/>
      <c r="AB32" s="72"/>
      <c r="AC32" s="72"/>
      <c r="AD32" s="72"/>
    </row>
    <row r="33" spans="1:30" ht="19.95" customHeight="1">
      <c r="A33" s="79"/>
      <c r="B33" s="79"/>
      <c r="C33" s="79"/>
      <c r="D33" s="79"/>
      <c r="E33" s="79"/>
      <c r="F33" s="79"/>
      <c r="G33" s="79"/>
      <c r="H33" s="79"/>
      <c r="I33" s="79"/>
      <c r="J33" s="72"/>
      <c r="K33" s="72"/>
      <c r="L33" s="72"/>
      <c r="M33" s="72"/>
      <c r="N33" s="72"/>
      <c r="O33" s="72"/>
      <c r="P33" s="72"/>
      <c r="Q33" s="72"/>
      <c r="R33" s="72"/>
      <c r="S33" s="72"/>
      <c r="T33" s="72"/>
      <c r="U33" s="72"/>
      <c r="V33" s="72"/>
      <c r="W33" s="72"/>
      <c r="X33" s="72"/>
      <c r="Y33" s="72"/>
      <c r="Z33" s="72"/>
      <c r="AA33" s="72"/>
      <c r="AB33" s="72"/>
      <c r="AC33" s="72"/>
      <c r="AD33" s="72"/>
    </row>
    <row r="34" spans="1:30">
      <c r="A34" s="79"/>
      <c r="B34" s="79"/>
      <c r="C34" s="79"/>
      <c r="D34" s="79"/>
      <c r="E34" s="79"/>
      <c r="F34" s="79"/>
      <c r="G34" s="79"/>
      <c r="H34" s="79"/>
      <c r="I34" s="79"/>
      <c r="J34" s="72"/>
      <c r="K34" s="72"/>
      <c r="L34" s="72"/>
      <c r="M34" s="72"/>
      <c r="N34" s="72"/>
      <c r="O34" s="72"/>
      <c r="P34" s="72"/>
      <c r="Q34" s="72"/>
      <c r="R34" s="72"/>
      <c r="S34" s="72"/>
      <c r="T34" s="72"/>
      <c r="U34" s="72"/>
      <c r="V34" s="72"/>
      <c r="W34" s="72"/>
      <c r="X34" s="72"/>
      <c r="Y34" s="72"/>
      <c r="Z34" s="72"/>
      <c r="AA34" s="72"/>
      <c r="AB34" s="72"/>
      <c r="AC34" s="72"/>
      <c r="AD34" s="72"/>
    </row>
    <row r="35" spans="1:30">
      <c r="A35" s="189" t="s">
        <v>402</v>
      </c>
      <c r="B35" s="80"/>
      <c r="C35" s="80"/>
      <c r="D35" s="80"/>
      <c r="E35" s="80"/>
      <c r="F35" s="80"/>
      <c r="G35" s="80"/>
      <c r="H35" s="80"/>
      <c r="I35" s="80"/>
      <c r="J35" s="72"/>
      <c r="K35" s="72"/>
      <c r="L35" s="72"/>
      <c r="M35" s="72"/>
      <c r="N35" s="72"/>
      <c r="O35" s="72"/>
      <c r="P35" s="72"/>
      <c r="Q35" s="72"/>
      <c r="R35" s="72"/>
      <c r="S35" s="72"/>
      <c r="T35" s="72"/>
      <c r="U35" s="72"/>
      <c r="V35" s="72"/>
      <c r="W35" s="72"/>
      <c r="X35" s="72"/>
      <c r="Y35" s="72"/>
      <c r="Z35" s="72"/>
      <c r="AA35" s="72"/>
      <c r="AB35" s="72"/>
      <c r="AC35" s="72"/>
      <c r="AD35" s="72"/>
    </row>
    <row r="36" spans="1:30" ht="16.2">
      <c r="A36" s="83" t="s">
        <v>407</v>
      </c>
      <c r="B36" s="81"/>
      <c r="C36" s="81"/>
      <c r="D36" s="81"/>
      <c r="E36" s="81"/>
      <c r="F36" s="81"/>
      <c r="G36" s="81"/>
      <c r="H36" s="72"/>
      <c r="I36" s="72"/>
      <c r="J36" s="72"/>
      <c r="K36" s="72"/>
      <c r="L36" s="72"/>
      <c r="M36" s="72"/>
      <c r="N36" s="72"/>
      <c r="O36" s="72"/>
      <c r="P36" s="72"/>
      <c r="Q36" s="72"/>
      <c r="R36" s="72"/>
      <c r="S36" s="72"/>
      <c r="T36" s="72"/>
      <c r="U36" s="72"/>
      <c r="V36" s="72"/>
      <c r="W36" s="72"/>
      <c r="X36" s="72"/>
      <c r="Y36" s="72"/>
      <c r="Z36" s="72"/>
      <c r="AA36" s="72"/>
      <c r="AB36" s="72"/>
      <c r="AC36" s="72"/>
      <c r="AD36" s="72"/>
    </row>
    <row r="37" spans="1:30" ht="16.2">
      <c r="A37" s="83" t="s">
        <v>408</v>
      </c>
      <c r="B37" s="81"/>
      <c r="C37" s="81"/>
      <c r="D37" s="81"/>
      <c r="E37" s="81"/>
      <c r="F37" s="81"/>
      <c r="G37" s="81"/>
      <c r="H37" s="72"/>
      <c r="I37" s="72"/>
      <c r="J37" s="72"/>
      <c r="K37" s="72"/>
      <c r="L37" s="72"/>
      <c r="M37" s="72"/>
      <c r="N37" s="72"/>
      <c r="O37" s="72"/>
      <c r="P37" s="72"/>
      <c r="Q37" s="72"/>
      <c r="R37" s="72"/>
      <c r="S37" s="72"/>
      <c r="T37" s="72"/>
      <c r="U37" s="72"/>
      <c r="V37" s="72"/>
      <c r="W37" s="72"/>
      <c r="X37" s="72"/>
      <c r="Y37" s="72"/>
      <c r="Z37" s="72"/>
      <c r="AA37" s="72"/>
      <c r="AB37" s="72"/>
      <c r="AC37" s="72"/>
      <c r="AD37" s="72"/>
    </row>
    <row r="38" spans="1:30" ht="16.2">
      <c r="A38" s="83" t="s">
        <v>409</v>
      </c>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row>
    <row r="39" spans="1:30" ht="16.2">
      <c r="A39" s="83" t="s">
        <v>410</v>
      </c>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row>
    <row r="40" spans="1:30">
      <c r="A40" s="250" t="s">
        <v>411</v>
      </c>
      <c r="B40" s="82"/>
      <c r="C40" s="82"/>
      <c r="D40" s="82"/>
      <c r="E40" s="82"/>
      <c r="F40" s="82"/>
      <c r="G40" s="82"/>
      <c r="H40" s="72"/>
      <c r="I40" s="72"/>
      <c r="J40" s="82"/>
      <c r="K40" s="82"/>
      <c r="L40" s="82"/>
      <c r="M40" s="82"/>
      <c r="N40" s="82"/>
      <c r="O40" s="82"/>
      <c r="P40" s="82"/>
      <c r="Q40" s="72"/>
      <c r="R40" s="72"/>
      <c r="S40" s="72"/>
      <c r="T40" s="72"/>
      <c r="U40" s="72"/>
      <c r="V40" s="72"/>
      <c r="W40" s="72"/>
      <c r="X40" s="72"/>
      <c r="Y40" s="72"/>
      <c r="Z40" s="72"/>
      <c r="AA40" s="72"/>
      <c r="AB40" s="72"/>
      <c r="AC40" s="72"/>
      <c r="AD40" s="72"/>
    </row>
    <row r="41" spans="1:30" ht="16.2">
      <c r="A41" s="251" t="s">
        <v>412</v>
      </c>
      <c r="B41" s="83"/>
      <c r="C41" s="83"/>
      <c r="D41" s="83"/>
      <c r="E41" s="83"/>
      <c r="F41" s="83"/>
      <c r="G41" s="83"/>
      <c r="H41" s="72"/>
      <c r="I41" s="72"/>
      <c r="J41" s="83"/>
      <c r="K41" s="83"/>
      <c r="L41" s="83"/>
      <c r="M41" s="83"/>
      <c r="N41" s="83"/>
      <c r="O41" s="83"/>
      <c r="P41" s="83"/>
      <c r="Q41" s="72"/>
      <c r="R41" s="72"/>
      <c r="S41" s="72"/>
      <c r="T41" s="72"/>
      <c r="U41" s="72"/>
      <c r="V41" s="72"/>
      <c r="W41" s="72"/>
      <c r="X41" s="72"/>
      <c r="Y41" s="72"/>
      <c r="Z41" s="72"/>
      <c r="AA41" s="72"/>
      <c r="AB41" s="72"/>
      <c r="AC41" s="72"/>
      <c r="AD41" s="72"/>
    </row>
    <row r="42" spans="1:30" ht="16.2">
      <c r="A42" s="84"/>
      <c r="B42" s="84"/>
      <c r="C42" s="84"/>
      <c r="D42" s="84"/>
      <c r="E42" s="84"/>
      <c r="F42" s="84"/>
      <c r="G42" s="84"/>
      <c r="H42" s="72"/>
      <c r="I42" s="72"/>
      <c r="J42" s="83"/>
      <c r="K42" s="83"/>
      <c r="L42" s="83"/>
      <c r="M42" s="83"/>
      <c r="N42" s="83"/>
      <c r="O42" s="83"/>
      <c r="P42" s="83"/>
      <c r="Q42" s="72"/>
      <c r="R42" s="72"/>
      <c r="S42" s="72"/>
      <c r="T42" s="72"/>
      <c r="U42" s="72"/>
      <c r="V42" s="72"/>
      <c r="W42" s="72"/>
      <c r="X42" s="72"/>
      <c r="Y42" s="72"/>
      <c r="Z42" s="72"/>
      <c r="AA42" s="72"/>
      <c r="AB42" s="72"/>
      <c r="AC42" s="72"/>
      <c r="AD42" s="72"/>
    </row>
    <row r="43" spans="1:30" ht="16.2">
      <c r="A43" s="85"/>
      <c r="B43" s="86"/>
      <c r="C43" s="86"/>
      <c r="D43" s="86"/>
      <c r="E43" s="86"/>
      <c r="F43" s="86"/>
      <c r="G43" s="86"/>
      <c r="H43" s="72"/>
      <c r="I43" s="72"/>
      <c r="J43" s="72"/>
      <c r="K43" s="86"/>
      <c r="L43" s="86"/>
      <c r="M43" s="86"/>
      <c r="N43" s="86"/>
      <c r="O43" s="86"/>
      <c r="P43" s="86"/>
      <c r="Q43" s="72"/>
      <c r="R43" s="72"/>
      <c r="S43" s="72"/>
      <c r="T43" s="72"/>
      <c r="U43" s="72"/>
      <c r="V43" s="72"/>
      <c r="W43" s="72"/>
      <c r="X43" s="72"/>
      <c r="Y43" s="72"/>
      <c r="Z43" s="72"/>
      <c r="AA43" s="72"/>
      <c r="AB43" s="72"/>
      <c r="AC43" s="72"/>
      <c r="AD43" s="72"/>
    </row>
    <row r="44" spans="1:30" ht="16.2">
      <c r="A44" s="85"/>
      <c r="B44" s="86"/>
      <c r="C44" s="86"/>
      <c r="D44" s="86"/>
      <c r="E44" s="86"/>
      <c r="F44" s="86"/>
      <c r="G44" s="86"/>
      <c r="H44" s="72"/>
      <c r="I44" s="72"/>
      <c r="J44" s="72"/>
      <c r="K44" s="86"/>
      <c r="L44" s="86"/>
      <c r="M44" s="86"/>
      <c r="N44" s="86"/>
      <c r="O44" s="86"/>
      <c r="P44" s="86"/>
      <c r="Q44" s="72"/>
      <c r="R44" s="72"/>
      <c r="S44" s="72"/>
      <c r="T44" s="72"/>
      <c r="U44" s="72"/>
      <c r="V44" s="72"/>
      <c r="W44" s="72"/>
      <c r="X44" s="72"/>
      <c r="Y44" s="72"/>
      <c r="Z44" s="72"/>
      <c r="AA44" s="72"/>
      <c r="AB44" s="72"/>
      <c r="AC44" s="72"/>
      <c r="AD44" s="72"/>
    </row>
    <row r="45" spans="1:30" ht="16.2">
      <c r="A45" s="85"/>
      <c r="B45" s="86"/>
      <c r="C45" s="86"/>
      <c r="D45" s="86"/>
      <c r="E45" s="86"/>
      <c r="F45" s="86"/>
      <c r="G45" s="86"/>
      <c r="H45" s="72"/>
      <c r="I45" s="72"/>
      <c r="J45" s="72"/>
      <c r="K45" s="86"/>
      <c r="L45" s="86"/>
      <c r="M45" s="86"/>
      <c r="N45" s="86"/>
      <c r="O45" s="86"/>
      <c r="P45" s="86"/>
      <c r="Q45" s="72"/>
      <c r="R45" s="72"/>
      <c r="S45" s="72"/>
      <c r="T45" s="72"/>
      <c r="U45" s="72"/>
      <c r="V45" s="72"/>
      <c r="W45" s="72"/>
      <c r="X45" s="72"/>
      <c r="Y45" s="72"/>
      <c r="Z45" s="72"/>
      <c r="AA45" s="72"/>
      <c r="AB45" s="72"/>
      <c r="AC45" s="72"/>
      <c r="AD45" s="72"/>
    </row>
  </sheetData>
  <mergeCells count="21">
    <mergeCell ref="U9:V9"/>
    <mergeCell ref="W9:X9"/>
    <mergeCell ref="Y9:Z9"/>
    <mergeCell ref="AA9:AA10"/>
    <mergeCell ref="AB9:AB10"/>
    <mergeCell ref="A1:AD1"/>
    <mergeCell ref="A2:AD2"/>
    <mergeCell ref="A9:A10"/>
    <mergeCell ref="B9:B10"/>
    <mergeCell ref="C9:C10"/>
    <mergeCell ref="D9:D10"/>
    <mergeCell ref="E9:E10"/>
    <mergeCell ref="F9:F10"/>
    <mergeCell ref="G9:G10"/>
    <mergeCell ref="AD9:AD10"/>
    <mergeCell ref="H9:H10"/>
    <mergeCell ref="I9:J9"/>
    <mergeCell ref="K9:N9"/>
    <mergeCell ref="O9:R9"/>
    <mergeCell ref="S9:T9"/>
    <mergeCell ref="AC9:AC10"/>
  </mergeCells>
  <phoneticPr fontId="15" type="noConversion"/>
  <hyperlinks>
    <hyperlink ref="AD3" location="底稿目录!A1" display="M10A"/>
  </hyperlinks>
  <printOptions horizontalCentered="1"/>
  <pageMargins left="0.70866141732283472" right="0.70866141732283472" top="0.74803149606299213" bottom="0.74803149606299213" header="0.31496062992125984" footer="0.31496062992125984"/>
  <pageSetup paperSize="9" scale="40" orientation="landscape" blackAndWhite="1" r:id="rId1"/>
  <headerFooter alignWithMargins="0">
    <oddFooter>&amp;C&amp;P/&amp;N</oddFooter>
  </headerFooter>
  <ignoredErrors>
    <ignoredError sqref="A3:N4"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view="pageBreakPreview" zoomScaleNormal="100" zoomScaleSheetLayoutView="100" workbookViewId="0">
      <selection sqref="A1:J1"/>
    </sheetView>
  </sheetViews>
  <sheetFormatPr defaultRowHeight="15.6"/>
  <cols>
    <col min="1" max="1" width="15.59765625" customWidth="1"/>
    <col min="2" max="2" width="17.19921875" customWidth="1"/>
    <col min="3" max="3" width="12.19921875" customWidth="1"/>
    <col min="4" max="4" width="11.69921875" customWidth="1"/>
    <col min="5" max="5" width="14.296875" customWidth="1"/>
    <col min="7" max="7" width="11.3984375" customWidth="1"/>
    <col min="8" max="8" width="10.796875" customWidth="1"/>
    <col min="9" max="9" width="9.796875" customWidth="1"/>
    <col min="10" max="10" width="14.59765625" customWidth="1"/>
  </cols>
  <sheetData>
    <row r="1" spans="1:10" ht="19.95" customHeight="1">
      <c r="A1" s="380" t="s">
        <v>24</v>
      </c>
      <c r="B1" s="380"/>
      <c r="C1" s="380"/>
      <c r="D1" s="380"/>
      <c r="E1" s="380"/>
      <c r="F1" s="380"/>
      <c r="G1" s="380"/>
      <c r="H1" s="380"/>
      <c r="I1" s="380"/>
      <c r="J1" s="380"/>
    </row>
    <row r="2" spans="1:10" ht="19.95" customHeight="1">
      <c r="A2" s="381" t="s">
        <v>435</v>
      </c>
      <c r="B2" s="381"/>
      <c r="C2" s="381"/>
      <c r="D2" s="381"/>
      <c r="E2" s="381"/>
      <c r="F2" s="381"/>
      <c r="G2" s="381"/>
      <c r="H2" s="381"/>
      <c r="I2" s="381"/>
      <c r="J2" s="381"/>
    </row>
    <row r="3" spans="1:10" ht="19.95" customHeight="1">
      <c r="A3" s="14" t="str">
        <f>底稿目录!A2</f>
        <v>被审计单位：</v>
      </c>
      <c r="B3" s="14"/>
      <c r="C3" s="14"/>
      <c r="D3" s="14" t="str">
        <f>底稿目录!A4</f>
        <v>编制人：</v>
      </c>
      <c r="E3" s="14"/>
      <c r="F3" s="14"/>
      <c r="G3" s="14" t="str">
        <f>底稿目录!A5</f>
        <v>编制日期：</v>
      </c>
      <c r="H3" s="14"/>
      <c r="I3" s="93" t="s">
        <v>124</v>
      </c>
      <c r="J3" s="272" t="str">
        <f>底稿目录!F8</f>
        <v>M10-3</v>
      </c>
    </row>
    <row r="4" spans="1:10" ht="19.95" customHeight="1">
      <c r="A4" s="14" t="str">
        <f>底稿目录!A3</f>
        <v>截止日：202X年12月31日</v>
      </c>
      <c r="B4" s="14"/>
      <c r="C4" s="14"/>
      <c r="D4" s="14" t="str">
        <f>底稿目录!A6</f>
        <v>复核人：</v>
      </c>
      <c r="E4" s="14"/>
      <c r="F4" s="14"/>
      <c r="G4" s="14" t="str">
        <f>底稿目录!A7</f>
        <v>复核日期：</v>
      </c>
      <c r="H4" s="14"/>
      <c r="I4" s="93" t="s">
        <v>261</v>
      </c>
      <c r="J4" s="96"/>
    </row>
    <row r="5" spans="1:10" ht="29.4" customHeight="1">
      <c r="A5" s="282" t="s">
        <v>446</v>
      </c>
      <c r="B5" s="283" t="s">
        <v>447</v>
      </c>
      <c r="C5" s="284" t="s">
        <v>444</v>
      </c>
      <c r="D5" s="284" t="s">
        <v>445</v>
      </c>
      <c r="E5" s="281" t="s">
        <v>448</v>
      </c>
      <c r="F5" s="281" t="s">
        <v>210</v>
      </c>
      <c r="G5" s="281" t="s">
        <v>449</v>
      </c>
      <c r="H5" s="281" t="s">
        <v>442</v>
      </c>
      <c r="I5" s="281" t="s">
        <v>441</v>
      </c>
      <c r="J5" s="281" t="s">
        <v>443</v>
      </c>
    </row>
    <row r="6" spans="1:10" ht="19.95" customHeight="1">
      <c r="A6" s="218"/>
      <c r="B6" s="218"/>
      <c r="C6" s="218"/>
      <c r="D6" s="218"/>
      <c r="E6" s="218"/>
      <c r="F6" s="218"/>
      <c r="G6" s="218"/>
      <c r="H6" s="218"/>
      <c r="I6" s="218"/>
      <c r="J6" s="218"/>
    </row>
    <row r="7" spans="1:10" ht="19.95" customHeight="1">
      <c r="A7" s="219"/>
      <c r="B7" s="218"/>
      <c r="C7" s="218"/>
      <c r="D7" s="218"/>
      <c r="E7" s="218"/>
      <c r="F7" s="218"/>
      <c r="G7" s="218"/>
      <c r="H7" s="218"/>
      <c r="I7" s="218"/>
      <c r="J7" s="218"/>
    </row>
    <row r="8" spans="1:10" ht="19.95" customHeight="1">
      <c r="A8" s="220"/>
      <c r="B8" s="218"/>
      <c r="C8" s="218"/>
      <c r="D8" s="218"/>
      <c r="E8" s="218"/>
      <c r="F8" s="218"/>
      <c r="G8" s="218"/>
      <c r="H8" s="218"/>
      <c r="I8" s="218"/>
      <c r="J8" s="218"/>
    </row>
    <row r="9" spans="1:10" ht="19.95" customHeight="1">
      <c r="A9" s="220"/>
      <c r="B9" s="218"/>
      <c r="C9" s="218"/>
      <c r="D9" s="218"/>
      <c r="E9" s="218"/>
      <c r="F9" s="218"/>
      <c r="G9" s="218"/>
      <c r="H9" s="218"/>
      <c r="I9" s="218"/>
      <c r="J9" s="218"/>
    </row>
    <row r="10" spans="1:10" ht="19.95" customHeight="1">
      <c r="A10" s="220"/>
      <c r="B10" s="218"/>
      <c r="C10" s="218"/>
      <c r="D10" s="218"/>
      <c r="E10" s="218"/>
      <c r="F10" s="218"/>
      <c r="G10" s="218"/>
      <c r="H10" s="218"/>
      <c r="I10" s="218"/>
      <c r="J10" s="218"/>
    </row>
    <row r="11" spans="1:10" ht="19.95" customHeight="1">
      <c r="A11" s="139"/>
      <c r="B11" s="218"/>
      <c r="C11" s="218"/>
      <c r="D11" s="218"/>
      <c r="E11" s="218"/>
      <c r="F11" s="218"/>
      <c r="G11" s="218"/>
      <c r="H11" s="218"/>
      <c r="I11" s="218"/>
      <c r="J11" s="218"/>
    </row>
    <row r="12" spans="1:10" ht="19.95" customHeight="1">
      <c r="A12" s="220"/>
      <c r="B12" s="218"/>
      <c r="C12" s="218"/>
      <c r="D12" s="218"/>
      <c r="E12" s="218"/>
      <c r="F12" s="218"/>
      <c r="G12" s="218"/>
      <c r="H12" s="218"/>
      <c r="I12" s="218"/>
      <c r="J12" s="218"/>
    </row>
    <row r="13" spans="1:10" ht="19.95" customHeight="1">
      <c r="A13" s="220"/>
      <c r="B13" s="218"/>
      <c r="C13" s="218"/>
      <c r="D13" s="218"/>
      <c r="E13" s="218"/>
      <c r="F13" s="218"/>
      <c r="G13" s="218"/>
      <c r="H13" s="218"/>
      <c r="I13" s="218"/>
      <c r="J13" s="218"/>
    </row>
    <row r="14" spans="1:10" ht="19.95" customHeight="1">
      <c r="A14" s="220"/>
      <c r="B14" s="218"/>
      <c r="C14" s="218"/>
      <c r="D14" s="218"/>
      <c r="E14" s="218"/>
      <c r="F14" s="218"/>
      <c r="G14" s="218"/>
      <c r="H14" s="218"/>
      <c r="I14" s="218"/>
      <c r="J14" s="218"/>
    </row>
    <row r="15" spans="1:10" ht="19.95" customHeight="1">
      <c r="A15" s="220"/>
      <c r="B15" s="218"/>
      <c r="C15" s="218"/>
      <c r="D15" s="218"/>
      <c r="E15" s="218"/>
      <c r="F15" s="218"/>
      <c r="G15" s="218"/>
      <c r="H15" s="218"/>
      <c r="I15" s="218"/>
      <c r="J15" s="218"/>
    </row>
    <row r="16" spans="1:10" ht="19.95" customHeight="1">
      <c r="A16" s="220"/>
      <c r="B16" s="218"/>
      <c r="C16" s="218"/>
      <c r="D16" s="218"/>
      <c r="E16" s="218"/>
      <c r="F16" s="218"/>
      <c r="G16" s="218"/>
      <c r="H16" s="218"/>
      <c r="I16" s="218"/>
      <c r="J16" s="218"/>
    </row>
    <row r="17" spans="1:10" ht="19.95" customHeight="1">
      <c r="A17" s="220"/>
      <c r="B17" s="218"/>
      <c r="C17" s="218"/>
      <c r="D17" s="218"/>
      <c r="E17" s="218"/>
      <c r="F17" s="218"/>
      <c r="G17" s="218"/>
      <c r="H17" s="218"/>
      <c r="I17" s="218"/>
      <c r="J17" s="218"/>
    </row>
    <row r="18" spans="1:10" ht="19.95" customHeight="1">
      <c r="A18" s="220"/>
      <c r="B18" s="218"/>
      <c r="C18" s="218"/>
      <c r="D18" s="218"/>
      <c r="E18" s="218"/>
      <c r="F18" s="218"/>
      <c r="G18" s="218"/>
      <c r="H18" s="218"/>
      <c r="I18" s="218"/>
      <c r="J18" s="218"/>
    </row>
    <row r="19" spans="1:10" ht="19.95" customHeight="1">
      <c r="A19" s="220"/>
      <c r="B19" s="218"/>
      <c r="C19" s="218"/>
      <c r="D19" s="218"/>
      <c r="E19" s="218"/>
      <c r="F19" s="218"/>
      <c r="G19" s="218"/>
      <c r="H19" s="218"/>
      <c r="I19" s="218"/>
      <c r="J19" s="218"/>
    </row>
    <row r="20" spans="1:10" ht="19.95" customHeight="1">
      <c r="A20" s="220"/>
      <c r="B20" s="218"/>
      <c r="C20" s="218"/>
      <c r="D20" s="218"/>
      <c r="E20" s="218"/>
      <c r="F20" s="218"/>
      <c r="G20" s="218"/>
      <c r="H20" s="218"/>
      <c r="I20" s="218"/>
      <c r="J20" s="218"/>
    </row>
    <row r="21" spans="1:10" ht="19.95" customHeight="1">
      <c r="A21" s="61"/>
      <c r="B21" s="61"/>
      <c r="C21" s="61"/>
      <c r="D21" s="62"/>
      <c r="E21" s="62"/>
      <c r="F21" s="62"/>
      <c r="G21" s="63"/>
      <c r="H21" s="63"/>
      <c r="I21" s="62"/>
      <c r="J21" s="71"/>
    </row>
    <row r="22" spans="1:10" ht="19.95" customHeight="1">
      <c r="A22" s="66"/>
      <c r="B22" s="66"/>
      <c r="C22" s="66"/>
      <c r="D22" s="66"/>
      <c r="E22" s="140"/>
      <c r="F22" s="70"/>
      <c r="G22" s="141"/>
      <c r="H22" s="141"/>
      <c r="I22" s="141"/>
      <c r="J22" s="141"/>
    </row>
    <row r="23" spans="1:10" ht="19.95" customHeight="1">
      <c r="A23" s="142"/>
      <c r="B23" s="66"/>
      <c r="C23" s="66"/>
      <c r="D23" s="66"/>
      <c r="E23" s="66"/>
      <c r="F23" s="66"/>
      <c r="G23" s="66"/>
      <c r="H23" s="66"/>
      <c r="I23" s="66"/>
      <c r="J23" s="66"/>
    </row>
    <row r="24" spans="1:10">
      <c r="A24" s="66"/>
      <c r="B24" s="66"/>
      <c r="C24" s="66"/>
      <c r="D24" s="66"/>
      <c r="E24" s="66"/>
      <c r="F24" s="66"/>
      <c r="G24" s="66"/>
      <c r="H24" s="66"/>
      <c r="I24" s="66"/>
      <c r="J24" s="66"/>
    </row>
    <row r="25" spans="1:10">
      <c r="A25" s="416" t="s">
        <v>211</v>
      </c>
      <c r="B25" s="417"/>
      <c r="C25" s="417"/>
      <c r="D25" s="417"/>
      <c r="E25" s="417"/>
      <c r="F25" s="417"/>
      <c r="G25" s="417"/>
      <c r="H25" s="417"/>
      <c r="I25" s="417"/>
      <c r="J25" s="417"/>
    </row>
    <row r="26" spans="1:10">
      <c r="A26" s="69"/>
      <c r="B26" s="69"/>
      <c r="C26" s="69"/>
      <c r="D26" s="70"/>
      <c r="E26" s="70"/>
      <c r="F26" s="70"/>
      <c r="G26" s="70"/>
      <c r="H26" s="70"/>
      <c r="I26" s="70"/>
      <c r="J26" s="70"/>
    </row>
    <row r="27" spans="1:10">
      <c r="A27" s="71"/>
      <c r="B27" s="71"/>
      <c r="C27" s="71"/>
      <c r="D27" s="70"/>
      <c r="E27" s="70"/>
      <c r="F27" s="70"/>
      <c r="G27" s="70"/>
      <c r="H27" s="70"/>
      <c r="I27" s="70"/>
      <c r="J27" s="70"/>
    </row>
    <row r="28" spans="1:10">
      <c r="A28" s="71"/>
      <c r="B28" s="71"/>
      <c r="C28" s="71"/>
      <c r="D28" s="66"/>
      <c r="E28" s="66"/>
      <c r="F28" s="66"/>
      <c r="G28" s="66"/>
      <c r="H28" s="66"/>
      <c r="I28" s="66"/>
      <c r="J28" s="66"/>
    </row>
    <row r="29" spans="1:10">
      <c r="A29" s="143"/>
      <c r="B29" s="143"/>
      <c r="C29" s="143"/>
      <c r="D29" s="143"/>
      <c r="E29" s="143"/>
      <c r="F29" s="143"/>
      <c r="G29" s="143"/>
      <c r="H29" s="143"/>
      <c r="I29" s="143"/>
      <c r="J29" s="143"/>
    </row>
    <row r="30" spans="1:10">
      <c r="A30" s="143"/>
      <c r="B30" s="143"/>
      <c r="C30" s="143"/>
      <c r="D30" s="143"/>
      <c r="E30" s="143"/>
      <c r="F30" s="143"/>
      <c r="G30" s="143"/>
      <c r="H30" s="143"/>
      <c r="I30" s="143"/>
      <c r="J30" s="143"/>
    </row>
    <row r="32" spans="1:10">
      <c r="A32" s="143"/>
      <c r="B32" s="143"/>
      <c r="C32" s="143"/>
      <c r="D32" s="143"/>
      <c r="E32" s="143"/>
      <c r="F32" s="143"/>
      <c r="G32" s="143"/>
      <c r="H32" s="143"/>
      <c r="I32" s="143"/>
      <c r="J32" s="143"/>
    </row>
    <row r="33" spans="1:10">
      <c r="A33" s="143"/>
      <c r="B33" s="143"/>
      <c r="C33" s="143"/>
      <c r="D33" s="143"/>
      <c r="E33" s="143"/>
      <c r="F33" s="143"/>
      <c r="G33" s="143"/>
      <c r="H33" s="143"/>
      <c r="I33" s="143"/>
      <c r="J33" s="143"/>
    </row>
  </sheetData>
  <mergeCells count="3">
    <mergeCell ref="A1:J1"/>
    <mergeCell ref="A2:J2"/>
    <mergeCell ref="A25:J25"/>
  </mergeCells>
  <phoneticPr fontId="15" type="noConversion"/>
  <dataValidations count="1">
    <dataValidation type="list" allowBlank="1" showInputMessage="1" showErrorMessage="1" sqref="B6:C20">
      <formula1>"账项调整,报表调整,其他"</formula1>
    </dataValidation>
  </dataValidations>
  <hyperlinks>
    <hyperlink ref="J3" location="底稿目录!A1" display="M10A"/>
  </hyperlinks>
  <printOptions horizontalCentered="1"/>
  <pageMargins left="0.70866141732283472" right="0.70866141732283472" top="0.74803149606299213" bottom="0.74803149606299213" header="0.31496062992125984" footer="0.31496062992125984"/>
  <pageSetup paperSize="9" scale="95" orientation="landscape" blackAndWhite="1"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H64"/>
  <sheetViews>
    <sheetView view="pageBreakPreview" zoomScaleSheetLayoutView="100" workbookViewId="0">
      <selection sqref="A1:F1"/>
    </sheetView>
  </sheetViews>
  <sheetFormatPr defaultColWidth="9" defaultRowHeight="15.6"/>
  <cols>
    <col min="1" max="1" width="13.59765625" style="4" customWidth="1"/>
    <col min="2" max="2" width="15" style="4" customWidth="1"/>
    <col min="3" max="3" width="31.8984375" style="4" customWidth="1"/>
    <col min="4" max="4" width="32.09765625" style="4" customWidth="1"/>
    <col min="5" max="5" width="42.796875" style="4" customWidth="1"/>
    <col min="6" max="6" width="15.59765625" style="4" customWidth="1"/>
    <col min="7" max="7" width="5" style="4" customWidth="1"/>
    <col min="8" max="8" width="4.59765625" style="4" customWidth="1"/>
    <col min="9" max="16384" width="9" style="4"/>
  </cols>
  <sheetData>
    <row r="1" spans="1:8" s="19" customFormat="1" ht="19.95" customHeight="1">
      <c r="A1" s="395" t="s">
        <v>24</v>
      </c>
      <c r="B1" s="395"/>
      <c r="C1" s="395"/>
      <c r="D1" s="395"/>
      <c r="E1" s="395"/>
      <c r="F1" s="395"/>
      <c r="G1" s="222"/>
      <c r="H1" s="222"/>
    </row>
    <row r="2" spans="1:8" s="19" customFormat="1" ht="19.95" customHeight="1">
      <c r="A2" s="445" t="s">
        <v>436</v>
      </c>
      <c r="B2" s="445"/>
      <c r="C2" s="445"/>
      <c r="D2" s="445"/>
      <c r="E2" s="445"/>
      <c r="F2" s="445"/>
      <c r="G2" s="265"/>
      <c r="H2" s="265"/>
    </row>
    <row r="3" spans="1:8" s="20" customFormat="1" ht="19.95" customHeight="1">
      <c r="A3" s="20" t="str">
        <f>底稿目录!A2</f>
        <v>被审计单位：</v>
      </c>
      <c r="C3" s="20" t="str">
        <f>底稿目录!A4</f>
        <v>编制人：</v>
      </c>
      <c r="D3" s="223" t="str">
        <f>底稿目录!A5</f>
        <v>编制日期：</v>
      </c>
      <c r="E3" s="273" t="s">
        <v>124</v>
      </c>
      <c r="F3" s="272" t="str">
        <f>底稿目录!F9</f>
        <v>M10-4</v>
      </c>
    </row>
    <row r="4" spans="1:8" s="20" customFormat="1" ht="19.95" customHeight="1">
      <c r="A4" s="20" t="str">
        <f>底稿目录!A3</f>
        <v>截止日：202X年12月31日</v>
      </c>
      <c r="C4" s="20" t="str">
        <f>底稿目录!A6</f>
        <v>复核人：</v>
      </c>
      <c r="D4" s="223" t="str">
        <f>底稿目录!A7</f>
        <v>复核日期：</v>
      </c>
      <c r="E4" s="273" t="s">
        <v>261</v>
      </c>
      <c r="F4" s="96"/>
    </row>
    <row r="5" spans="1:8" s="47" customFormat="1" ht="19.95" customHeight="1">
      <c r="A5" s="46" t="s">
        <v>54</v>
      </c>
    </row>
    <row r="6" spans="1:8" s="47" customFormat="1" ht="19.95" customHeight="1">
      <c r="A6" s="224" t="s">
        <v>320</v>
      </c>
    </row>
    <row r="7" spans="1:8" s="47" customFormat="1" ht="19.95" customHeight="1">
      <c r="A7" s="46" t="s">
        <v>55</v>
      </c>
    </row>
    <row r="8" spans="1:8" s="47" customFormat="1" ht="19.95" customHeight="1">
      <c r="A8" s="224" t="s">
        <v>321</v>
      </c>
    </row>
    <row r="9" spans="1:8" s="47" customFormat="1" ht="19.95" customHeight="1">
      <c r="A9" s="224" t="s">
        <v>322</v>
      </c>
    </row>
    <row r="10" spans="1:8" s="47" customFormat="1" ht="19.95" customHeight="1">
      <c r="A10" s="224" t="s">
        <v>323</v>
      </c>
      <c r="D10" s="224" t="s">
        <v>324</v>
      </c>
    </row>
    <row r="11" spans="1:8" s="47" customFormat="1" ht="27.75" customHeight="1">
      <c r="A11" s="436" t="s">
        <v>325</v>
      </c>
      <c r="B11" s="437"/>
      <c r="C11" s="225" t="s">
        <v>326</v>
      </c>
      <c r="D11" s="226" t="s">
        <v>327</v>
      </c>
      <c r="E11" s="226" t="s">
        <v>328</v>
      </c>
      <c r="F11" s="226"/>
      <c r="G11" s="227"/>
      <c r="H11" s="228"/>
    </row>
    <row r="12" spans="1:8" s="47" customFormat="1" ht="20.100000000000001" customHeight="1">
      <c r="A12" s="436" t="s">
        <v>329</v>
      </c>
      <c r="B12" s="437"/>
      <c r="C12" s="229" t="s">
        <v>119</v>
      </c>
      <c r="D12" s="88"/>
      <c r="E12" s="88"/>
      <c r="F12" s="88"/>
      <c r="G12" s="196"/>
      <c r="H12" s="197"/>
    </row>
    <row r="13" spans="1:8" s="47" customFormat="1" ht="20.100000000000001" customHeight="1">
      <c r="A13" s="436" t="s">
        <v>330</v>
      </c>
      <c r="B13" s="437"/>
      <c r="C13" s="229" t="s">
        <v>119</v>
      </c>
      <c r="D13" s="88"/>
      <c r="E13" s="88"/>
      <c r="F13" s="88"/>
      <c r="G13" s="196"/>
      <c r="H13" s="197"/>
    </row>
    <row r="14" spans="1:8" s="47" customFormat="1" ht="20.100000000000001" customHeight="1">
      <c r="A14" s="436" t="s">
        <v>331</v>
      </c>
      <c r="B14" s="437"/>
      <c r="C14" s="229" t="s">
        <v>119</v>
      </c>
      <c r="D14" s="88"/>
      <c r="E14" s="88"/>
      <c r="F14" s="88"/>
      <c r="G14" s="196"/>
      <c r="H14" s="197"/>
    </row>
    <row r="15" spans="1:8" s="47" customFormat="1" ht="30.75" customHeight="1">
      <c r="A15" s="449" t="s">
        <v>332</v>
      </c>
      <c r="B15" s="225" t="s">
        <v>333</v>
      </c>
      <c r="C15" s="230" t="s">
        <v>334</v>
      </c>
      <c r="D15" s="231" t="s">
        <v>335</v>
      </c>
      <c r="E15" s="231" t="s">
        <v>336</v>
      </c>
      <c r="F15" s="88"/>
      <c r="G15" s="196"/>
      <c r="H15" s="197"/>
    </row>
    <row r="16" spans="1:8" s="47" customFormat="1" ht="30.75" customHeight="1">
      <c r="A16" s="450"/>
      <c r="B16" s="225" t="s">
        <v>337</v>
      </c>
      <c r="C16" s="230" t="s">
        <v>338</v>
      </c>
      <c r="D16" s="231" t="s">
        <v>118</v>
      </c>
      <c r="E16" s="231" t="s">
        <v>339</v>
      </c>
      <c r="F16" s="88"/>
      <c r="G16" s="196"/>
      <c r="H16" s="197"/>
    </row>
    <row r="17" spans="1:8" s="47" customFormat="1" ht="38.25" customHeight="1">
      <c r="A17" s="449" t="s">
        <v>340</v>
      </c>
      <c r="B17" s="225" t="s">
        <v>341</v>
      </c>
      <c r="C17" s="230" t="s">
        <v>342</v>
      </c>
      <c r="D17" s="231" t="s">
        <v>343</v>
      </c>
      <c r="E17" s="231" t="s">
        <v>344</v>
      </c>
      <c r="F17" s="88"/>
      <c r="G17" s="196"/>
      <c r="H17" s="197"/>
    </row>
    <row r="18" spans="1:8" s="47" customFormat="1" ht="45" customHeight="1">
      <c r="A18" s="451"/>
      <c r="B18" s="225" t="s">
        <v>345</v>
      </c>
      <c r="C18" s="230" t="s">
        <v>346</v>
      </c>
      <c r="D18" s="231" t="s">
        <v>347</v>
      </c>
      <c r="E18" s="231" t="s">
        <v>348</v>
      </c>
      <c r="F18" s="88"/>
      <c r="G18" s="196"/>
      <c r="H18" s="197"/>
    </row>
    <row r="19" spans="1:8" s="47" customFormat="1" ht="54" customHeight="1">
      <c r="A19" s="450"/>
      <c r="B19" s="225" t="s">
        <v>349</v>
      </c>
      <c r="C19" s="230" t="s">
        <v>350</v>
      </c>
      <c r="D19" s="231" t="s">
        <v>351</v>
      </c>
      <c r="E19" s="231" t="s">
        <v>352</v>
      </c>
      <c r="F19" s="88"/>
      <c r="G19" s="196"/>
      <c r="H19" s="197"/>
    </row>
    <row r="20" spans="1:8" s="47" customFormat="1" ht="53.25" customHeight="1">
      <c r="A20" s="449" t="s">
        <v>353</v>
      </c>
      <c r="B20" s="225" t="s">
        <v>354</v>
      </c>
      <c r="C20" s="452" t="s">
        <v>355</v>
      </c>
      <c r="D20" s="231" t="s">
        <v>118</v>
      </c>
      <c r="E20" s="221" t="s">
        <v>314</v>
      </c>
      <c r="F20" s="89"/>
      <c r="G20" s="198"/>
      <c r="H20" s="199"/>
    </row>
    <row r="21" spans="1:8" s="47" customFormat="1" ht="73.5" customHeight="1">
      <c r="A21" s="451"/>
      <c r="B21" s="225" t="s">
        <v>356</v>
      </c>
      <c r="C21" s="451"/>
      <c r="D21" s="231" t="s">
        <v>118</v>
      </c>
      <c r="E21" s="221" t="s">
        <v>357</v>
      </c>
      <c r="F21" s="89"/>
      <c r="G21" s="198"/>
      <c r="H21" s="199"/>
    </row>
    <row r="22" spans="1:8" s="47" customFormat="1" ht="39.75" customHeight="1">
      <c r="A22" s="450"/>
      <c r="B22" s="225" t="s">
        <v>358</v>
      </c>
      <c r="C22" s="450"/>
      <c r="D22" s="231" t="s">
        <v>118</v>
      </c>
      <c r="E22" s="221" t="s">
        <v>315</v>
      </c>
      <c r="F22" s="89"/>
      <c r="G22" s="198"/>
      <c r="H22" s="199"/>
    </row>
    <row r="23" spans="1:8" s="47" customFormat="1" ht="110.25" customHeight="1">
      <c r="A23" s="436" t="s">
        <v>359</v>
      </c>
      <c r="B23" s="437"/>
      <c r="C23" s="230" t="s">
        <v>360</v>
      </c>
      <c r="D23" s="231" t="s">
        <v>118</v>
      </c>
      <c r="E23" s="221" t="s">
        <v>316</v>
      </c>
      <c r="F23" s="89"/>
      <c r="G23" s="198"/>
      <c r="H23" s="199"/>
    </row>
    <row r="24" spans="1:8" s="47" customFormat="1" ht="51.75" customHeight="1">
      <c r="A24" s="449" t="s">
        <v>361</v>
      </c>
      <c r="B24" s="225" t="s">
        <v>362</v>
      </c>
      <c r="C24" s="230"/>
      <c r="D24" s="221" t="s">
        <v>317</v>
      </c>
      <c r="E24" s="231" t="s">
        <v>118</v>
      </c>
      <c r="F24" s="89"/>
      <c r="G24" s="198"/>
      <c r="H24" s="199"/>
    </row>
    <row r="25" spans="1:8" s="47" customFormat="1" ht="40.5" customHeight="1">
      <c r="A25" s="451"/>
      <c r="B25" s="225" t="s">
        <v>363</v>
      </c>
      <c r="C25" s="230" t="s">
        <v>364</v>
      </c>
      <c r="D25" s="221" t="s">
        <v>318</v>
      </c>
      <c r="E25" s="231" t="s">
        <v>118</v>
      </c>
      <c r="F25" s="89"/>
      <c r="G25" s="198"/>
      <c r="H25" s="199"/>
    </row>
    <row r="26" spans="1:8" s="47" customFormat="1" ht="65.25" customHeight="1">
      <c r="A26" s="450"/>
      <c r="B26" s="225" t="s">
        <v>365</v>
      </c>
      <c r="C26" s="230" t="s">
        <v>366</v>
      </c>
      <c r="D26" s="221" t="s">
        <v>319</v>
      </c>
      <c r="E26" s="231" t="s">
        <v>118</v>
      </c>
      <c r="F26" s="89"/>
      <c r="G26" s="198"/>
      <c r="H26" s="199"/>
    </row>
    <row r="27" spans="1:8" s="47" customFormat="1" ht="66" customHeight="1">
      <c r="A27" s="436" t="s">
        <v>367</v>
      </c>
      <c r="B27" s="437"/>
      <c r="C27" s="230" t="s">
        <v>368</v>
      </c>
      <c r="D27" s="221" t="s">
        <v>369</v>
      </c>
      <c r="E27" s="221" t="s">
        <v>370</v>
      </c>
      <c r="F27" s="89"/>
      <c r="G27" s="198"/>
      <c r="H27" s="199"/>
    </row>
    <row r="28" spans="1:8" s="47" customFormat="1" ht="45" customHeight="1">
      <c r="A28" s="449" t="s">
        <v>371</v>
      </c>
      <c r="B28" s="225" t="s">
        <v>372</v>
      </c>
      <c r="C28" s="230" t="s">
        <v>373</v>
      </c>
      <c r="D28" s="231" t="s">
        <v>118</v>
      </c>
      <c r="E28" s="231" t="s">
        <v>118</v>
      </c>
      <c r="F28" s="89"/>
      <c r="G28" s="198"/>
      <c r="H28" s="199"/>
    </row>
    <row r="29" spans="1:8" s="47" customFormat="1" ht="27" customHeight="1">
      <c r="A29" s="450"/>
      <c r="B29" s="225" t="s">
        <v>374</v>
      </c>
      <c r="C29" s="230" t="s">
        <v>375</v>
      </c>
      <c r="D29" s="231" t="s">
        <v>118</v>
      </c>
      <c r="E29" s="231" t="s">
        <v>376</v>
      </c>
      <c r="F29" s="89"/>
      <c r="G29" s="198"/>
      <c r="H29" s="199"/>
    </row>
    <row r="30" spans="1:8" s="47" customFormat="1" ht="87" customHeight="1">
      <c r="A30" s="436" t="s">
        <v>377</v>
      </c>
      <c r="B30" s="437"/>
      <c r="C30" s="232" t="s">
        <v>378</v>
      </c>
      <c r="D30" s="233" t="s">
        <v>379</v>
      </c>
      <c r="E30" s="233" t="s">
        <v>380</v>
      </c>
      <c r="F30" s="90"/>
      <c r="G30" s="200"/>
      <c r="H30" s="201"/>
    </row>
    <row r="31" spans="1:8" s="47" customFormat="1" ht="20.100000000000001" customHeight="1">
      <c r="A31" s="436" t="s">
        <v>381</v>
      </c>
      <c r="B31" s="437"/>
      <c r="C31" s="229" t="s">
        <v>119</v>
      </c>
      <c r="D31" s="89"/>
      <c r="E31" s="89"/>
      <c r="F31" s="89"/>
      <c r="G31" s="198"/>
      <c r="H31" s="199"/>
    </row>
    <row r="32" spans="1:8" s="47" customFormat="1" ht="20.100000000000001" customHeight="1">
      <c r="A32" s="49"/>
    </row>
    <row r="33" spans="1:8" s="47" customFormat="1" ht="20.100000000000001" customHeight="1">
      <c r="A33" s="48" t="s">
        <v>56</v>
      </c>
    </row>
    <row r="34" spans="1:8" s="47" customFormat="1" ht="20.100000000000001" customHeight="1">
      <c r="A34" s="49"/>
    </row>
    <row r="35" spans="1:8" s="47" customFormat="1" ht="20.100000000000001" customHeight="1">
      <c r="A35" s="49"/>
    </row>
    <row r="36" spans="1:8" s="47" customFormat="1" ht="20.100000000000001" customHeight="1">
      <c r="A36" s="48" t="s">
        <v>57</v>
      </c>
    </row>
    <row r="37" spans="1:8" ht="20.100000000000001" customHeight="1">
      <c r="A37" s="21"/>
      <c r="B37" s="21"/>
      <c r="C37" s="21"/>
      <c r="D37" s="21"/>
      <c r="E37" s="21"/>
      <c r="F37" s="21"/>
      <c r="G37" s="21"/>
      <c r="H37" s="21"/>
    </row>
    <row r="39" spans="1:8" s="51" customFormat="1" ht="12.6" thickBot="1">
      <c r="A39" s="51" t="s">
        <v>85</v>
      </c>
    </row>
    <row r="40" spans="1:8" s="51" customFormat="1" ht="16.8" thickTop="1" thickBot="1">
      <c r="A40" s="234" t="s">
        <v>59</v>
      </c>
      <c r="B40" s="429" t="s">
        <v>60</v>
      </c>
      <c r="C40" s="438"/>
      <c r="D40" s="429" t="s">
        <v>110</v>
      </c>
      <c r="E40" s="430"/>
      <c r="F40" s="430"/>
      <c r="G40" s="430"/>
      <c r="H40" s="431"/>
    </row>
    <row r="41" spans="1:8" s="51" customFormat="1" ht="42" customHeight="1">
      <c r="A41" s="432" t="s">
        <v>61</v>
      </c>
      <c r="B41" s="439" t="s">
        <v>62</v>
      </c>
      <c r="C41" s="440"/>
      <c r="D41" s="421" t="s">
        <v>63</v>
      </c>
      <c r="E41" s="422"/>
      <c r="F41" s="422"/>
      <c r="G41" s="422"/>
      <c r="H41" s="423"/>
    </row>
    <row r="42" spans="1:8" s="51" customFormat="1" ht="33.75" customHeight="1" thickBot="1">
      <c r="A42" s="433"/>
      <c r="B42" s="441"/>
      <c r="C42" s="442"/>
      <c r="D42" s="424" t="s">
        <v>111</v>
      </c>
      <c r="E42" s="425"/>
      <c r="F42" s="425"/>
      <c r="G42" s="425"/>
      <c r="H42" s="426"/>
    </row>
    <row r="43" spans="1:8" s="51" customFormat="1" ht="47.25" customHeight="1" thickBot="1">
      <c r="A43" s="434"/>
      <c r="B43" s="443" t="s">
        <v>64</v>
      </c>
      <c r="C43" s="444"/>
      <c r="D43" s="418" t="s">
        <v>65</v>
      </c>
      <c r="E43" s="419"/>
      <c r="F43" s="419"/>
      <c r="G43" s="419"/>
      <c r="H43" s="420"/>
    </row>
    <row r="44" spans="1:8" s="51" customFormat="1" ht="53.25" customHeight="1" thickBot="1">
      <c r="A44" s="432" t="s">
        <v>66</v>
      </c>
      <c r="B44" s="418" t="s">
        <v>67</v>
      </c>
      <c r="C44" s="446"/>
      <c r="D44" s="418" t="s">
        <v>68</v>
      </c>
      <c r="E44" s="419"/>
      <c r="F44" s="419"/>
      <c r="G44" s="419"/>
      <c r="H44" s="420"/>
    </row>
    <row r="45" spans="1:8" s="51" customFormat="1" ht="35.25" customHeight="1" thickBot="1">
      <c r="A45" s="433"/>
      <c r="B45" s="418" t="s">
        <v>69</v>
      </c>
      <c r="C45" s="446"/>
      <c r="D45" s="418" t="s">
        <v>70</v>
      </c>
      <c r="E45" s="419"/>
      <c r="F45" s="419"/>
      <c r="G45" s="419"/>
      <c r="H45" s="420"/>
    </row>
    <row r="46" spans="1:8" s="51" customFormat="1" ht="37.5" customHeight="1">
      <c r="A46" s="433"/>
      <c r="B46" s="421" t="s">
        <v>71</v>
      </c>
      <c r="C46" s="447"/>
      <c r="D46" s="421" t="s">
        <v>70</v>
      </c>
      <c r="E46" s="422"/>
      <c r="F46" s="422"/>
      <c r="G46" s="422"/>
      <c r="H46" s="423"/>
    </row>
    <row r="47" spans="1:8" s="51" customFormat="1" ht="28.5" customHeight="1" thickBot="1">
      <c r="A47" s="433"/>
      <c r="B47" s="424"/>
      <c r="C47" s="448"/>
      <c r="D47" s="424" t="s">
        <v>72</v>
      </c>
      <c r="E47" s="425"/>
      <c r="F47" s="425"/>
      <c r="G47" s="425"/>
      <c r="H47" s="426"/>
    </row>
    <row r="48" spans="1:8" s="51" customFormat="1" ht="51" customHeight="1" thickBot="1">
      <c r="A48" s="434"/>
      <c r="B48" s="418" t="s">
        <v>73</v>
      </c>
      <c r="C48" s="446"/>
      <c r="D48" s="418" t="s">
        <v>74</v>
      </c>
      <c r="E48" s="419"/>
      <c r="F48" s="419"/>
      <c r="G48" s="419"/>
      <c r="H48" s="420"/>
    </row>
    <row r="49" spans="1:8" s="51" customFormat="1" ht="45.75" customHeight="1" thickBot="1">
      <c r="A49" s="432" t="s">
        <v>58</v>
      </c>
      <c r="B49" s="418" t="s">
        <v>64</v>
      </c>
      <c r="C49" s="446"/>
      <c r="D49" s="418" t="s">
        <v>75</v>
      </c>
      <c r="E49" s="419"/>
      <c r="F49" s="419"/>
      <c r="G49" s="419"/>
      <c r="H49" s="420"/>
    </row>
    <row r="50" spans="1:8" s="51" customFormat="1" ht="12">
      <c r="A50" s="433"/>
      <c r="B50" s="421" t="s">
        <v>76</v>
      </c>
      <c r="C50" s="447"/>
      <c r="D50" s="421" t="s">
        <v>77</v>
      </c>
      <c r="E50" s="422"/>
      <c r="F50" s="422"/>
      <c r="G50" s="422"/>
      <c r="H50" s="423"/>
    </row>
    <row r="51" spans="1:8" s="51" customFormat="1" ht="42" customHeight="1" thickBot="1">
      <c r="A51" s="433"/>
      <c r="B51" s="424"/>
      <c r="C51" s="448"/>
      <c r="D51" s="424" t="s">
        <v>112</v>
      </c>
      <c r="E51" s="425"/>
      <c r="F51" s="425"/>
      <c r="G51" s="425"/>
      <c r="H51" s="426"/>
    </row>
    <row r="52" spans="1:8" s="51" customFormat="1" ht="71.25" customHeight="1" thickBot="1">
      <c r="A52" s="434"/>
      <c r="B52" s="418" t="s">
        <v>78</v>
      </c>
      <c r="C52" s="446"/>
      <c r="D52" s="418" t="s">
        <v>79</v>
      </c>
      <c r="E52" s="419"/>
      <c r="F52" s="419"/>
      <c r="G52" s="419"/>
      <c r="H52" s="420"/>
    </row>
    <row r="53" spans="1:8" s="51" customFormat="1" ht="45" customHeight="1" thickBot="1">
      <c r="A53" s="432" t="s">
        <v>80</v>
      </c>
      <c r="B53" s="418" t="s">
        <v>81</v>
      </c>
      <c r="C53" s="446"/>
      <c r="D53" s="418" t="s">
        <v>82</v>
      </c>
      <c r="E53" s="419"/>
      <c r="F53" s="419"/>
      <c r="G53" s="419"/>
      <c r="H53" s="420"/>
    </row>
    <row r="54" spans="1:8" s="51" customFormat="1" ht="48.75" customHeight="1" thickBot="1">
      <c r="A54" s="434"/>
      <c r="B54" s="418" t="s">
        <v>83</v>
      </c>
      <c r="C54" s="446"/>
      <c r="D54" s="418" t="s">
        <v>113</v>
      </c>
      <c r="E54" s="419"/>
      <c r="F54" s="419"/>
      <c r="G54" s="419"/>
      <c r="H54" s="420"/>
    </row>
    <row r="55" spans="1:8" s="51" customFormat="1" ht="39" customHeight="1" thickBot="1">
      <c r="A55" s="432" t="s">
        <v>84</v>
      </c>
      <c r="B55" s="418" t="s">
        <v>114</v>
      </c>
      <c r="C55" s="446"/>
      <c r="D55" s="418" t="s">
        <v>115</v>
      </c>
      <c r="E55" s="419"/>
      <c r="F55" s="419"/>
      <c r="G55" s="419"/>
      <c r="H55" s="420"/>
    </row>
    <row r="56" spans="1:8" s="51" customFormat="1" ht="39.75" customHeight="1" thickBot="1">
      <c r="A56" s="435"/>
      <c r="B56" s="418" t="s">
        <v>116</v>
      </c>
      <c r="C56" s="446"/>
      <c r="D56" s="418" t="s">
        <v>117</v>
      </c>
      <c r="E56" s="419"/>
      <c r="F56" s="419"/>
      <c r="G56" s="419"/>
      <c r="H56" s="420"/>
    </row>
    <row r="57" spans="1:8" ht="16.2" thickTop="1">
      <c r="A57" s="235"/>
      <c r="B57" s="235"/>
      <c r="C57" s="235"/>
      <c r="D57" s="235"/>
      <c r="E57" s="235"/>
      <c r="F57" s="235"/>
      <c r="G57" s="235"/>
      <c r="H57" s="235"/>
    </row>
    <row r="58" spans="1:8">
      <c r="A58" s="427" t="s">
        <v>121</v>
      </c>
      <c r="B58" s="428"/>
      <c r="C58" s="428"/>
      <c r="D58" s="428"/>
      <c r="E58" s="428"/>
      <c r="F58" s="428"/>
      <c r="G58" s="428"/>
      <c r="H58" s="428"/>
    </row>
    <row r="59" spans="1:8">
      <c r="A59" s="428"/>
      <c r="B59" s="428"/>
      <c r="C59" s="428"/>
      <c r="D59" s="428"/>
      <c r="E59" s="428"/>
      <c r="F59" s="428"/>
      <c r="G59" s="428"/>
      <c r="H59" s="428"/>
    </row>
    <row r="60" spans="1:8">
      <c r="A60" s="428"/>
      <c r="B60" s="428"/>
      <c r="C60" s="428"/>
      <c r="D60" s="428"/>
      <c r="E60" s="428"/>
      <c r="F60" s="428"/>
      <c r="G60" s="428"/>
      <c r="H60" s="428"/>
    </row>
    <row r="61" spans="1:8">
      <c r="A61" s="428"/>
      <c r="B61" s="428"/>
      <c r="C61" s="428"/>
      <c r="D61" s="428"/>
      <c r="E61" s="428"/>
      <c r="F61" s="428"/>
      <c r="G61" s="428"/>
      <c r="H61" s="428"/>
    </row>
    <row r="62" spans="1:8">
      <c r="A62" s="428"/>
      <c r="B62" s="428"/>
      <c r="C62" s="428"/>
      <c r="D62" s="428"/>
      <c r="E62" s="428"/>
      <c r="F62" s="428"/>
      <c r="G62" s="428"/>
      <c r="H62" s="428"/>
    </row>
    <row r="63" spans="1:8">
      <c r="A63" s="51"/>
      <c r="B63" s="51"/>
      <c r="C63" s="51"/>
      <c r="D63" s="51"/>
      <c r="E63" s="51"/>
      <c r="F63" s="51"/>
      <c r="G63" s="51"/>
      <c r="H63" s="51"/>
    </row>
    <row r="64" spans="1:8">
      <c r="A64" s="236" t="s">
        <v>120</v>
      </c>
      <c r="B64" s="235"/>
      <c r="C64" s="235"/>
      <c r="D64" s="237" t="s">
        <v>86</v>
      </c>
      <c r="E64" s="235"/>
      <c r="F64" s="237"/>
      <c r="G64" s="237"/>
      <c r="H64" s="235"/>
    </row>
  </sheetData>
  <mergeCells count="53">
    <mergeCell ref="B56:C56"/>
    <mergeCell ref="A15:A16"/>
    <mergeCell ref="A17:A19"/>
    <mergeCell ref="A20:A22"/>
    <mergeCell ref="A24:A26"/>
    <mergeCell ref="A27:B27"/>
    <mergeCell ref="A30:B30"/>
    <mergeCell ref="A31:B31"/>
    <mergeCell ref="A23:B23"/>
    <mergeCell ref="C20:C22"/>
    <mergeCell ref="A28:A29"/>
    <mergeCell ref="B50:C51"/>
    <mergeCell ref="B52:C52"/>
    <mergeCell ref="B53:C53"/>
    <mergeCell ref="B54:C54"/>
    <mergeCell ref="B55:C55"/>
    <mergeCell ref="B44:C44"/>
    <mergeCell ref="B45:C45"/>
    <mergeCell ref="B46:C47"/>
    <mergeCell ref="B48:C48"/>
    <mergeCell ref="B49:C49"/>
    <mergeCell ref="A11:B11"/>
    <mergeCell ref="A12:B12"/>
    <mergeCell ref="A13:B13"/>
    <mergeCell ref="A1:F1"/>
    <mergeCell ref="A2:F2"/>
    <mergeCell ref="A14:B14"/>
    <mergeCell ref="A41:A43"/>
    <mergeCell ref="B40:C40"/>
    <mergeCell ref="B41:C42"/>
    <mergeCell ref="B43:C43"/>
    <mergeCell ref="A58:H62"/>
    <mergeCell ref="D40:H40"/>
    <mergeCell ref="D41:H41"/>
    <mergeCell ref="D42:H42"/>
    <mergeCell ref="D43:H43"/>
    <mergeCell ref="D47:H47"/>
    <mergeCell ref="D46:H46"/>
    <mergeCell ref="D45:H45"/>
    <mergeCell ref="D44:H44"/>
    <mergeCell ref="A44:A48"/>
    <mergeCell ref="A49:A52"/>
    <mergeCell ref="A53:A54"/>
    <mergeCell ref="A55:A56"/>
    <mergeCell ref="D54:H54"/>
    <mergeCell ref="D55:H55"/>
    <mergeCell ref="D56:H56"/>
    <mergeCell ref="D53:H53"/>
    <mergeCell ref="D48:H48"/>
    <mergeCell ref="D49:H49"/>
    <mergeCell ref="D50:H50"/>
    <mergeCell ref="D51:H51"/>
    <mergeCell ref="D52:H52"/>
  </mergeCells>
  <phoneticPr fontId="40" type="noConversion"/>
  <hyperlinks>
    <hyperlink ref="D64" r:id="rId1"/>
    <hyperlink ref="F3" location="底稿目录!A1" display="M10A"/>
  </hyperlinks>
  <printOptions horizontalCentered="1"/>
  <pageMargins left="0.70866141732283472" right="0.70866141732283472" top="0.74803149606299213" bottom="0.74803149606299213" header="0.31496062992125984" footer="0.31496062992125984"/>
  <pageSetup paperSize="9" scale="54" orientation="portrait" blackAndWhite="1" r:id="rId2"/>
  <headerFooter alignWithMargins="0">
    <oddFooter>&amp;C&amp;P/&amp;N</oddFooter>
  </headerFooter>
  <colBreaks count="1" manualBreakCount="1">
    <brk id="6" max="38" man="1"/>
  </colBreaks>
  <ignoredErrors>
    <ignoredError sqref="A3:B4" unlockedFormula="1"/>
  </ignoredErrors>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P33"/>
  <sheetViews>
    <sheetView view="pageBreakPreview" zoomScaleSheetLayoutView="100" workbookViewId="0">
      <selection sqref="A1:P1"/>
    </sheetView>
  </sheetViews>
  <sheetFormatPr defaultColWidth="9" defaultRowHeight="15.6"/>
  <cols>
    <col min="1" max="2" width="9" style="21"/>
    <col min="3" max="3" width="21.5" style="21" customWidth="1"/>
    <col min="4" max="4" width="11.296875" style="21" customWidth="1"/>
    <col min="5" max="5" width="10.796875" style="21" customWidth="1"/>
    <col min="6" max="6" width="11.296875" style="21" customWidth="1"/>
    <col min="7" max="7" width="12.796875" style="21" customWidth="1"/>
    <col min="8" max="8" width="18.296875" style="21" customWidth="1"/>
    <col min="9" max="13" width="4.69921875" style="21" customWidth="1"/>
    <col min="14" max="14" width="8.69921875" style="21" customWidth="1"/>
    <col min="15" max="15" width="8" style="21" customWidth="1"/>
    <col min="16" max="16" width="19" style="21" customWidth="1"/>
    <col min="17" max="16384" width="9" style="21"/>
  </cols>
  <sheetData>
    <row r="1" spans="1:16" s="23" customFormat="1" ht="19.95" customHeight="1">
      <c r="A1" s="455" t="s">
        <v>24</v>
      </c>
      <c r="B1" s="455"/>
      <c r="C1" s="455"/>
      <c r="D1" s="455"/>
      <c r="E1" s="455"/>
      <c r="F1" s="455"/>
      <c r="G1" s="455"/>
      <c r="H1" s="455"/>
      <c r="I1" s="455"/>
      <c r="J1" s="455"/>
      <c r="K1" s="455"/>
      <c r="L1" s="455"/>
      <c r="M1" s="455"/>
      <c r="N1" s="455"/>
      <c r="O1" s="455"/>
      <c r="P1" s="455"/>
    </row>
    <row r="2" spans="1:16" s="23" customFormat="1" ht="19.95" customHeight="1">
      <c r="A2" s="456" t="s">
        <v>437</v>
      </c>
      <c r="B2" s="456"/>
      <c r="C2" s="456"/>
      <c r="D2" s="456"/>
      <c r="E2" s="456"/>
      <c r="F2" s="456"/>
      <c r="G2" s="456"/>
      <c r="H2" s="456"/>
      <c r="I2" s="456"/>
      <c r="J2" s="456"/>
      <c r="K2" s="456"/>
      <c r="L2" s="456"/>
      <c r="M2" s="456"/>
      <c r="N2" s="456"/>
      <c r="O2" s="456"/>
      <c r="P2" s="456"/>
    </row>
    <row r="3" spans="1:16" s="20" customFormat="1" ht="19.95" customHeight="1">
      <c r="A3" s="20" t="str">
        <f>底稿目录!A2</f>
        <v>被审计单位：</v>
      </c>
      <c r="B3" s="24"/>
      <c r="C3" s="24"/>
      <c r="E3" s="24" t="str">
        <f>底稿目录!A4</f>
        <v>编制人：</v>
      </c>
      <c r="F3" s="24"/>
      <c r="G3" s="24"/>
      <c r="H3" s="238" t="str">
        <f>底稿目录!A5</f>
        <v>编制日期：</v>
      </c>
      <c r="N3" s="273"/>
      <c r="O3" s="273" t="s">
        <v>124</v>
      </c>
      <c r="P3" s="272" t="str">
        <f>底稿目录!F10</f>
        <v>M10-5</v>
      </c>
    </row>
    <row r="4" spans="1:16" s="20" customFormat="1" ht="19.95" customHeight="1">
      <c r="A4" s="20" t="str">
        <f>底稿目录!A3</f>
        <v>截止日：202X年12月31日</v>
      </c>
      <c r="B4" s="24"/>
      <c r="C4" s="24"/>
      <c r="E4" s="238" t="str">
        <f>底稿目录!A6</f>
        <v>复核人：</v>
      </c>
      <c r="F4" s="238"/>
      <c r="G4" s="239"/>
      <c r="H4" s="238" t="str">
        <f>底稿目录!A7</f>
        <v>复核日期：</v>
      </c>
      <c r="N4" s="273"/>
      <c r="O4" s="273" t="s">
        <v>439</v>
      </c>
      <c r="P4" s="96"/>
    </row>
    <row r="5" spans="1:16" s="26" customFormat="1" ht="19.95" customHeight="1">
      <c r="A5" s="25" t="s">
        <v>43</v>
      </c>
      <c r="B5" s="25"/>
      <c r="C5" s="25"/>
      <c r="D5" s="25"/>
      <c r="E5" s="25"/>
      <c r="F5" s="25"/>
      <c r="G5" s="25"/>
      <c r="H5" s="25"/>
      <c r="I5" s="25"/>
      <c r="J5" s="25"/>
      <c r="K5" s="25"/>
      <c r="L5" s="25"/>
      <c r="M5" s="25"/>
      <c r="N5" s="25"/>
      <c r="O5" s="25"/>
      <c r="P5" s="25"/>
    </row>
    <row r="6" spans="1:16" s="26" customFormat="1" ht="19.95" customHeight="1">
      <c r="A6" s="224" t="s">
        <v>382</v>
      </c>
      <c r="B6" s="49"/>
      <c r="C6" s="38"/>
      <c r="D6" s="38"/>
      <c r="E6" s="38"/>
      <c r="F6" s="38"/>
      <c r="G6" s="38"/>
      <c r="H6" s="38"/>
      <c r="I6" s="38"/>
      <c r="J6" s="38"/>
      <c r="K6" s="38"/>
      <c r="L6" s="38"/>
      <c r="M6" s="38"/>
      <c r="N6" s="38"/>
      <c r="O6" s="38"/>
      <c r="P6" s="38"/>
    </row>
    <row r="7" spans="1:16" s="26" customFormat="1" ht="19.95" customHeight="1">
      <c r="A7" s="252" t="s">
        <v>413</v>
      </c>
      <c r="B7" s="27"/>
      <c r="C7" s="27"/>
      <c r="D7" s="28"/>
      <c r="E7" s="29"/>
      <c r="F7" s="29"/>
      <c r="G7" s="29"/>
    </row>
    <row r="8" spans="1:16" s="26" customFormat="1" ht="19.95" customHeight="1">
      <c r="A8" s="241" t="s">
        <v>386</v>
      </c>
      <c r="B8" s="27"/>
      <c r="C8" s="27"/>
      <c r="D8" s="28"/>
      <c r="E8" s="29"/>
      <c r="F8" s="29"/>
      <c r="G8" s="29"/>
    </row>
    <row r="9" spans="1:16" s="20" customFormat="1" ht="19.95" customHeight="1">
      <c r="A9" s="457" t="s">
        <v>414</v>
      </c>
      <c r="B9" s="457"/>
      <c r="C9" s="457"/>
      <c r="D9" s="457"/>
      <c r="E9" s="457"/>
      <c r="F9" s="457"/>
      <c r="G9" s="457"/>
      <c r="H9" s="459" t="s">
        <v>422</v>
      </c>
      <c r="I9" s="461" t="s">
        <v>423</v>
      </c>
      <c r="J9" s="462"/>
      <c r="K9" s="462"/>
      <c r="L9" s="462"/>
      <c r="M9" s="462"/>
      <c r="N9" s="458" t="s">
        <v>424</v>
      </c>
      <c r="O9" s="463" t="s">
        <v>440</v>
      </c>
      <c r="P9" s="454" t="s">
        <v>383</v>
      </c>
    </row>
    <row r="10" spans="1:16" s="20" customFormat="1" ht="19.95" customHeight="1">
      <c r="A10" s="279" t="s">
        <v>415</v>
      </c>
      <c r="B10" s="279" t="s">
        <v>416</v>
      </c>
      <c r="C10" s="279" t="s">
        <v>417</v>
      </c>
      <c r="D10" s="279" t="s">
        <v>418</v>
      </c>
      <c r="E10" s="279" t="s">
        <v>419</v>
      </c>
      <c r="F10" s="280" t="s">
        <v>420</v>
      </c>
      <c r="G10" s="280" t="s">
        <v>421</v>
      </c>
      <c r="H10" s="460"/>
      <c r="I10" s="254">
        <v>1</v>
      </c>
      <c r="J10" s="254">
        <v>2</v>
      </c>
      <c r="K10" s="254">
        <v>3</v>
      </c>
      <c r="L10" s="254">
        <v>4</v>
      </c>
      <c r="M10" s="254">
        <v>5</v>
      </c>
      <c r="N10" s="458"/>
      <c r="O10" s="464"/>
      <c r="P10" s="454"/>
    </row>
    <row r="11" spans="1:16" s="20" customFormat="1" ht="19.95" customHeight="1">
      <c r="A11" s="45"/>
      <c r="B11" s="30"/>
      <c r="C11" s="31"/>
      <c r="D11" s="30"/>
      <c r="E11" s="30"/>
      <c r="F11" s="40"/>
      <c r="G11" s="40"/>
      <c r="H11" s="40"/>
      <c r="I11" s="22"/>
      <c r="J11" s="22"/>
      <c r="K11" s="22"/>
      <c r="L11" s="22"/>
      <c r="M11" s="22"/>
      <c r="N11" s="22"/>
      <c r="O11" s="22"/>
      <c r="P11" s="22"/>
    </row>
    <row r="12" spans="1:16" s="20" customFormat="1" ht="19.95" customHeight="1">
      <c r="A12" s="45"/>
      <c r="B12" s="30"/>
      <c r="C12" s="31"/>
      <c r="D12" s="30"/>
      <c r="E12" s="30"/>
      <c r="F12" s="40"/>
      <c r="G12" s="40"/>
      <c r="H12" s="40"/>
      <c r="I12" s="22"/>
      <c r="J12" s="22"/>
      <c r="K12" s="22"/>
      <c r="L12" s="22"/>
      <c r="M12" s="22"/>
      <c r="N12" s="22"/>
      <c r="O12" s="22"/>
      <c r="P12" s="22"/>
    </row>
    <row r="13" spans="1:16" s="20" customFormat="1" ht="19.95" customHeight="1">
      <c r="A13" s="45"/>
      <c r="B13" s="30"/>
      <c r="C13" s="31"/>
      <c r="D13" s="30"/>
      <c r="E13" s="30"/>
      <c r="F13" s="40"/>
      <c r="G13" s="40"/>
      <c r="H13" s="40"/>
      <c r="I13" s="22"/>
      <c r="J13" s="22"/>
      <c r="K13" s="22"/>
      <c r="L13" s="22"/>
      <c r="M13" s="22"/>
      <c r="N13" s="22"/>
      <c r="O13" s="22"/>
      <c r="P13" s="22"/>
    </row>
    <row r="14" spans="1:16" s="20" customFormat="1" ht="19.95" customHeight="1">
      <c r="A14" s="45"/>
      <c r="B14" s="30"/>
      <c r="C14" s="31"/>
      <c r="D14" s="30"/>
      <c r="E14" s="30"/>
      <c r="F14" s="40"/>
      <c r="G14" s="40"/>
      <c r="H14" s="40"/>
      <c r="I14" s="22"/>
      <c r="J14" s="22"/>
      <c r="K14" s="22"/>
      <c r="L14" s="22"/>
      <c r="M14" s="22"/>
      <c r="N14" s="22"/>
      <c r="O14" s="22"/>
      <c r="P14" s="22"/>
    </row>
    <row r="15" spans="1:16" s="20" customFormat="1" ht="19.95" customHeight="1">
      <c r="A15" s="45"/>
      <c r="B15" s="30"/>
      <c r="C15" s="31"/>
      <c r="D15" s="30"/>
      <c r="E15" s="30"/>
      <c r="F15" s="40"/>
      <c r="G15" s="40"/>
      <c r="H15" s="40"/>
      <c r="I15" s="22"/>
      <c r="J15" s="22"/>
      <c r="K15" s="22"/>
      <c r="L15" s="22"/>
      <c r="M15" s="22"/>
      <c r="N15" s="22"/>
      <c r="O15" s="22"/>
      <c r="P15" s="22"/>
    </row>
    <row r="16" spans="1:16" s="20" customFormat="1" ht="19.95" customHeight="1">
      <c r="A16" s="45"/>
      <c r="B16" s="30"/>
      <c r="C16" s="31"/>
      <c r="D16" s="30"/>
      <c r="E16" s="30"/>
      <c r="F16" s="40"/>
      <c r="G16" s="40"/>
      <c r="H16" s="40"/>
      <c r="I16" s="22"/>
      <c r="J16" s="22"/>
      <c r="K16" s="22"/>
      <c r="L16" s="22"/>
      <c r="M16" s="22"/>
      <c r="N16" s="22"/>
      <c r="O16" s="22"/>
      <c r="P16" s="22"/>
    </row>
    <row r="17" spans="1:16" s="20" customFormat="1" ht="19.95" customHeight="1">
      <c r="A17" s="45"/>
      <c r="B17" s="30"/>
      <c r="C17" s="31"/>
      <c r="D17" s="30"/>
      <c r="E17" s="30"/>
      <c r="F17" s="40"/>
      <c r="G17" s="40"/>
      <c r="H17" s="40"/>
      <c r="I17" s="22"/>
      <c r="J17" s="22"/>
      <c r="K17" s="22"/>
      <c r="L17" s="22"/>
      <c r="M17" s="22"/>
      <c r="N17" s="22"/>
      <c r="O17" s="22"/>
      <c r="P17" s="22"/>
    </row>
    <row r="18" spans="1:16" s="20" customFormat="1" ht="19.95" customHeight="1">
      <c r="A18" s="45"/>
      <c r="B18" s="30"/>
      <c r="C18" s="31"/>
      <c r="D18" s="30"/>
      <c r="E18" s="30"/>
      <c r="F18" s="40"/>
      <c r="G18" s="40"/>
      <c r="H18" s="40"/>
      <c r="I18" s="22"/>
      <c r="J18" s="22"/>
      <c r="K18" s="22"/>
      <c r="L18" s="22"/>
      <c r="M18" s="22"/>
      <c r="N18" s="22"/>
      <c r="O18" s="22"/>
      <c r="P18" s="22"/>
    </row>
    <row r="19" spans="1:16" s="297" customFormat="1" ht="19.95" customHeight="1">
      <c r="A19" s="453" t="s">
        <v>462</v>
      </c>
      <c r="B19" s="453"/>
      <c r="C19" s="453"/>
      <c r="D19" s="295"/>
      <c r="E19" s="295"/>
      <c r="F19" s="296">
        <f>SUM(F11:F18)</f>
        <v>0</v>
      </c>
      <c r="G19" s="296">
        <f>SUM(G11:G18)</f>
        <v>0</v>
      </c>
      <c r="H19" s="296"/>
      <c r="I19" s="254"/>
      <c r="J19" s="254"/>
      <c r="K19" s="254"/>
      <c r="L19" s="254"/>
      <c r="M19" s="254"/>
      <c r="N19" s="254"/>
      <c r="O19" s="254"/>
      <c r="P19" s="254"/>
    </row>
    <row r="20" spans="1:16" s="297" customFormat="1" ht="19.95" customHeight="1">
      <c r="A20" s="453" t="s">
        <v>463</v>
      </c>
      <c r="B20" s="453"/>
      <c r="C20" s="453"/>
      <c r="D20" s="295"/>
      <c r="E20" s="295"/>
      <c r="F20" s="298">
        <f>'明细表M10-2'!R26</f>
        <v>0</v>
      </c>
      <c r="G20" s="296">
        <f>'明细表M10-2'!N26</f>
        <v>0</v>
      </c>
      <c r="H20" s="296"/>
      <c r="I20" s="254"/>
      <c r="J20" s="254"/>
      <c r="K20" s="254"/>
      <c r="L20" s="254"/>
      <c r="M20" s="254"/>
      <c r="N20" s="254"/>
      <c r="O20" s="254"/>
      <c r="P20" s="254"/>
    </row>
    <row r="21" spans="1:16" s="297" customFormat="1" ht="19.95" customHeight="1">
      <c r="A21" s="453" t="s">
        <v>464</v>
      </c>
      <c r="B21" s="453"/>
      <c r="C21" s="453"/>
      <c r="D21" s="295"/>
      <c r="E21" s="295"/>
      <c r="F21" s="299" t="e">
        <f>F19/F20</f>
        <v>#DIV/0!</v>
      </c>
      <c r="G21" s="299" t="e">
        <f>G19/G20</f>
        <v>#DIV/0!</v>
      </c>
      <c r="H21" s="296"/>
      <c r="I21" s="254"/>
      <c r="J21" s="254"/>
      <c r="K21" s="254"/>
      <c r="L21" s="254"/>
      <c r="M21" s="254"/>
      <c r="N21" s="254"/>
      <c r="O21" s="254"/>
      <c r="P21" s="254"/>
    </row>
    <row r="22" spans="1:16" s="20" customFormat="1" ht="19.95" customHeight="1">
      <c r="A22" s="276" t="s">
        <v>384</v>
      </c>
      <c r="B22" s="277"/>
      <c r="C22" s="277"/>
      <c r="D22" s="277"/>
      <c r="E22" s="277"/>
      <c r="F22" s="277"/>
      <c r="G22" s="277"/>
      <c r="H22" s="253"/>
      <c r="I22" s="253"/>
      <c r="J22" s="253"/>
      <c r="K22" s="253"/>
      <c r="L22" s="240"/>
      <c r="M22" s="206"/>
      <c r="N22" s="240"/>
      <c r="O22" s="240"/>
      <c r="P22" s="278"/>
    </row>
    <row r="23" spans="1:16" s="20" customFormat="1" ht="19.95" customHeight="1">
      <c r="L23" s="240"/>
      <c r="M23" s="206"/>
      <c r="N23" s="240"/>
      <c r="O23" s="240"/>
      <c r="P23" s="32"/>
    </row>
    <row r="24" spans="1:16" s="20" customFormat="1" ht="19.95" customHeight="1">
      <c r="M24" s="24"/>
      <c r="N24" s="24"/>
      <c r="O24" s="24"/>
      <c r="P24" s="24"/>
    </row>
    <row r="25" spans="1:16" s="20" customFormat="1" ht="19.95" customHeight="1">
      <c r="A25" s="33" t="s">
        <v>385</v>
      </c>
      <c r="M25" s="24"/>
      <c r="N25" s="24"/>
      <c r="O25" s="24"/>
      <c r="P25" s="24"/>
    </row>
    <row r="26" spans="1:16" s="20" customFormat="1" ht="19.95" customHeight="1">
      <c r="A26" s="32"/>
      <c r="C26" s="24"/>
      <c r="D26" s="24"/>
      <c r="E26" s="24"/>
      <c r="F26" s="24"/>
      <c r="G26" s="24"/>
      <c r="H26" s="24"/>
      <c r="I26" s="24"/>
      <c r="J26" s="24"/>
      <c r="K26" s="24"/>
      <c r="L26" s="24"/>
      <c r="M26" s="24"/>
      <c r="N26" s="24"/>
      <c r="O26" s="24"/>
      <c r="P26" s="24"/>
    </row>
    <row r="27" spans="1:16" s="20" customFormat="1" ht="18" customHeight="1">
      <c r="A27" s="41"/>
    </row>
    <row r="28" spans="1:16" ht="18" customHeight="1">
      <c r="A28" s="34"/>
      <c r="B28" s="34"/>
    </row>
    <row r="29" spans="1:16" ht="18" customHeight="1">
      <c r="A29" s="35"/>
      <c r="B29" s="35"/>
    </row>
    <row r="30" spans="1:16" ht="18" customHeight="1">
      <c r="A30" s="42"/>
      <c r="B30" s="35"/>
    </row>
    <row r="31" spans="1:16" ht="18" customHeight="1">
      <c r="A31" s="36"/>
      <c r="B31" s="35"/>
    </row>
    <row r="32" spans="1:16" ht="18" customHeight="1">
      <c r="A32" s="36"/>
      <c r="B32" s="35"/>
    </row>
    <row r="33" spans="1:2" ht="18" customHeight="1">
      <c r="A33" s="36"/>
      <c r="B33" s="35"/>
    </row>
  </sheetData>
  <mergeCells count="11">
    <mergeCell ref="A19:C19"/>
    <mergeCell ref="A20:C20"/>
    <mergeCell ref="A21:C21"/>
    <mergeCell ref="P9:P10"/>
    <mergeCell ref="A1:P1"/>
    <mergeCell ref="A2:P2"/>
    <mergeCell ref="A9:G9"/>
    <mergeCell ref="N9:N10"/>
    <mergeCell ref="H9:H10"/>
    <mergeCell ref="I9:M9"/>
    <mergeCell ref="O9:O10"/>
  </mergeCells>
  <phoneticPr fontId="15" type="noConversion"/>
  <dataValidations count="1">
    <dataValidation type="list" allowBlank="1" showInputMessage="1" showErrorMessage="1" sqref="I11:M21">
      <formula1>"√,X"</formula1>
    </dataValidation>
  </dataValidations>
  <hyperlinks>
    <hyperlink ref="P3" location="底稿目录!A1" display="M10A"/>
  </hyperlinks>
  <printOptions horizontalCentered="1"/>
  <pageMargins left="0.70866141732283472" right="0.70866141732283472" top="0.74803149606299213" bottom="0.74803149606299213" header="0.31496062992125984" footer="0.31496062992125984"/>
  <pageSetup paperSize="9" scale="70" fitToWidth="0" fitToHeight="0" orientation="landscape" blackAndWhite="1" r:id="rId1"/>
  <headerFooter alignWithMargins="0">
    <oddFooter>&amp;C&amp;P/&amp;N</oddFooter>
  </headerFooter>
  <colBreaks count="1" manualBreakCount="1">
    <brk id="16" max="1048575" man="1"/>
  </colBreaks>
  <ignoredErrors>
    <ignoredError sqref="L3:L4 A3:E4 G3:G4"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B8"/>
  <sheetViews>
    <sheetView workbookViewId="0"/>
  </sheetViews>
  <sheetFormatPr defaultRowHeight="15.6"/>
  <sheetData>
    <row r="1" spans="1:2">
      <c r="A1" t="s">
        <v>7</v>
      </c>
      <c r="B1" t="s">
        <v>8</v>
      </c>
    </row>
    <row r="2" spans="1:2">
      <c r="A2" t="s">
        <v>9</v>
      </c>
      <c r="B2" t="s">
        <v>10</v>
      </c>
    </row>
    <row r="3" spans="1:2">
      <c r="A3" t="s">
        <v>11</v>
      </c>
      <c r="B3" t="s">
        <v>12</v>
      </c>
    </row>
    <row r="4" spans="1:2">
      <c r="A4" t="s">
        <v>13</v>
      </c>
      <c r="B4" t="s">
        <v>14</v>
      </c>
    </row>
    <row r="5" spans="1:2">
      <c r="A5" t="s">
        <v>15</v>
      </c>
      <c r="B5" t="s">
        <v>16</v>
      </c>
    </row>
    <row r="6" spans="1:2">
      <c r="A6" t="s">
        <v>17</v>
      </c>
      <c r="B6" t="s">
        <v>18</v>
      </c>
    </row>
    <row r="7" spans="1:2">
      <c r="A7" t="s">
        <v>19</v>
      </c>
      <c r="B7" t="s">
        <v>20</v>
      </c>
    </row>
    <row r="8" spans="1:2">
      <c r="A8" t="s">
        <v>21</v>
      </c>
      <c r="B8" t="s">
        <v>22</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7</vt:i4>
      </vt:variant>
    </vt:vector>
  </HeadingPairs>
  <TitlesOfParts>
    <vt:vector size="18" baseType="lpstr">
      <vt:lpstr>底稿目录</vt:lpstr>
      <vt:lpstr>其他权益工具实质性程序表 M10A</vt:lpstr>
      <vt:lpstr>其他权益工具实质性程序表 Q10A (修订前)</vt:lpstr>
      <vt:lpstr>审定表M10-1</vt:lpstr>
      <vt:lpstr>附注披露信息核对（上市公司）</vt:lpstr>
      <vt:lpstr>附注披露信息核对（国企）</vt:lpstr>
      <vt:lpstr>明细表M10-2</vt:lpstr>
      <vt:lpstr>调整分录汇总M10-3</vt:lpstr>
      <vt:lpstr>负债与权益区分检查表M10-4</vt:lpstr>
      <vt:lpstr>其他权益工具检查表M10-5</vt:lpstr>
      <vt:lpstr>GT_Custom</vt:lpstr>
      <vt:lpstr>'调整分录汇总M10-3'!Print_Area</vt:lpstr>
      <vt:lpstr>'负债与权益区分检查表M10-4'!Print_Area</vt:lpstr>
      <vt:lpstr>'明细表M10-2'!Print_Area</vt:lpstr>
      <vt:lpstr>'其他权益工具检查表M10-5'!Print_Area</vt:lpstr>
      <vt:lpstr>'其他权益工具实质性程序表 M10A'!Print_Area</vt:lpstr>
      <vt:lpstr>'其他权益工具实质性程序表 Q10A (修订前)'!Print_Area</vt:lpstr>
      <vt:lpstr>'审定表M10-1'!Print_Area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2025-10-23T03:00:47Z</cp:lastPrinted>
  <dcterms:created xsi:type="dcterms:W3CDTF">2007-05-20T08:51:05Z</dcterms:created>
  <dcterms:modified xsi:type="dcterms:W3CDTF">2025-11-05T08:34:40Z</dcterms:modified>
</cp:coreProperties>
</file>