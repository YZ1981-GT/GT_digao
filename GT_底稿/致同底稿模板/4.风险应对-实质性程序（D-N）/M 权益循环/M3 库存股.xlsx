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M 权益循环\"/>
    </mc:Choice>
  </mc:AlternateContent>
  <bookViews>
    <workbookView xWindow="-108" yWindow="-108" windowWidth="23256" windowHeight="12576" tabRatio="886"/>
  </bookViews>
  <sheets>
    <sheet name="底稿目录" sheetId="1" r:id="rId1"/>
    <sheet name=" 库存股实质性程序表 M3A" sheetId="23" r:id="rId2"/>
    <sheet name="审定表M3-1" sheetId="16" r:id="rId3"/>
    <sheet name="附注披露信息（上市公司）" sheetId="19" r:id="rId4"/>
    <sheet name="明细表M3-2" sheetId="13" r:id="rId5"/>
    <sheet name="调整分录汇总M3-3" sheetId="24" r:id="rId6"/>
    <sheet name="外币投资汇率测算表M3-4" sheetId="22" r:id="rId7"/>
    <sheet name="库存股检查表M3-5" sheetId="17" r:id="rId8"/>
    <sheet name="参考－会计规定" sheetId="14" r:id="rId9"/>
    <sheet name="GT_Custom" sheetId="20" state="hidden" r:id="rId10"/>
  </sheets>
  <externalReferences>
    <externalReference r:id="rId11"/>
    <externalReference r:id="rId12"/>
    <externalReference r:id="rId13"/>
  </externalReferences>
  <definedNames>
    <definedName name="_xlnm._FilterDatabase" localSheetId="1" hidden="1">' 库存股实质性程序表 M3A'!$A$15:$I$15</definedName>
    <definedName name="AFV" localSheetId="1" hidden="1">#REF!</definedName>
    <definedName name="AFV" hidden="1">#REF!</definedName>
    <definedName name="AS2DocOpenMode" hidden="1">"AS2DocumentEdit"</definedName>
    <definedName name="bs" hidden="1">{#N/A,#N/A,FALSE,"BBPREP"}</definedName>
    <definedName name="bs_1" hidden="1">{#N/A,#N/A,FALSE,"BBPREP"}</definedName>
    <definedName name="CCD" localSheetId="1" hidden="1">#REF!</definedName>
    <definedName name="CCD" hidden="1">#REF!</definedName>
    <definedName name="CDE" localSheetId="1" hidden="1">#REF!</definedName>
    <definedName name="CDE" hidden="1">#REF!</definedName>
    <definedName name="DEX" localSheetId="1" hidden="1">#REF!</definedName>
    <definedName name="DEX" hidden="1">#REF!</definedName>
    <definedName name="EDC" localSheetId="1" hidden="1">#REF!</definedName>
    <definedName name="EDC" hidden="1">#REF!</definedName>
    <definedName name="FAD" localSheetId="1" hidden="1">[1]Breakdown!#REF!</definedName>
    <definedName name="FAD" hidden="1">[1]Breakdown!#REF!</definedName>
    <definedName name="FASD" localSheetId="1" hidden="1">#REF!</definedName>
    <definedName name="FASD" hidden="1">#REF!</definedName>
    <definedName name="FEDC" localSheetId="1" hidden="1">'[2]2004'!#REF!</definedName>
    <definedName name="FEDC" hidden="1">'[2]2004'!#REF!</definedName>
    <definedName name="_xlnm.Print_Area" localSheetId="1">' 库存股实质性程序表 M3A'!$A$1:$I$23</definedName>
    <definedName name="_xlnm.Print_Area" localSheetId="3">'附注披露信息（上市公司）'!$A$1:$E$18</definedName>
    <definedName name="_xlnm.Print_Area" localSheetId="7">'库存股检查表M3-5'!$A$1:$P$24</definedName>
    <definedName name="_xlnm.Print_Area" localSheetId="4">'明细表M3-2'!$A$1:$S$35</definedName>
    <definedName name="_xlnm.Print_Area" localSheetId="2">'审定表M3-1'!$A$1:$L$31</definedName>
    <definedName name="_xlnm.Print_Area" localSheetId="6">'外币投资汇率测算表M3-4'!$A$1:$G$21</definedName>
    <definedName name="_xlnm.Print_Titles" localSheetId="1">' 库存股实质性程序表 M3A'!$15:$15</definedName>
    <definedName name="RDES" localSheetId="1" hidden="1">#REF!</definedName>
    <definedName name="RDES" hidden="1">#REF!</definedName>
    <definedName name="TextRefCopyRangeCount" hidden="1">136</definedName>
    <definedName name="VFE" localSheetId="1" hidden="1">#REF!</definedName>
    <definedName name="VFE" hidden="1">#REF!</definedName>
    <definedName name="XAP" localSheetId="1" hidden="1">#REF!</definedName>
    <definedName name="XAP" hidden="1">#REF!</definedName>
    <definedName name="XAQ" localSheetId="1" hidden="1">#REF!</definedName>
    <definedName name="XAQ" hidden="1">#REF!</definedName>
    <definedName name="XCD" localSheetId="1" hidden="1">#REF!</definedName>
    <definedName name="XCD" hidden="1">#REF!</definedName>
    <definedName name="XREF_COLUMN_1" localSheetId="1" hidden="1">#REF!</definedName>
    <definedName name="XREF_COLUMN_1" hidden="1">#REF!</definedName>
    <definedName name="XREF_COLUMN_2" localSheetId="1" hidden="1">[1]Breakdown!#REF!</definedName>
    <definedName name="XREF_COLUMN_2" hidden="1">[1]Breakdown!#REF!</definedName>
    <definedName name="XREF_COLUMN_3" localSheetId="1" hidden="1">#REF!</definedName>
    <definedName name="XREF_COLUMN_3" hidden="1">#REF!</definedName>
    <definedName name="XREF_COLUMN_5" localSheetId="1" hidden="1">'[2]2004'!#REF!</definedName>
    <definedName name="XREF_COLUMN_5" hidden="1">'[2]2004'!#REF!</definedName>
    <definedName name="XRefActiveRow" localSheetId="1" hidden="1">#REF!</definedName>
    <definedName name="XRefActiveRow" hidden="1">#REF!</definedName>
    <definedName name="XRefColumnsCount" hidden="1">2</definedName>
    <definedName name="XRefCopy1" localSheetId="1" hidden="1">#REF!</definedName>
    <definedName name="XRefCopy1" hidden="1">#REF!</definedName>
    <definedName name="XRefCopy1Row" localSheetId="1" hidden="1">#REF!</definedName>
    <definedName name="XRefCopy1Row" hidden="1">#REF!</definedName>
    <definedName name="XRefCopy2Row" localSheetId="1" hidden="1">#REF!</definedName>
    <definedName name="XRefCopy2Row" hidden="1">#REF!</definedName>
    <definedName name="XRefCopyRangeCount" hidden="1">2</definedName>
    <definedName name="XRefPaste1" localSheetId="1" hidden="1">#REF!</definedName>
    <definedName name="XRefPaste1" hidden="1">#REF!</definedName>
    <definedName name="XRefPaste1Row" localSheetId="1" hidden="1">#REF!</definedName>
    <definedName name="XRefPaste1Row" hidden="1">#REF!</definedName>
    <definedName name="XRefPaste2" localSheetId="1" hidden="1">#REF!</definedName>
    <definedName name="XRefPaste2" hidden="1">#REF!</definedName>
    <definedName name="XRefPaste2Row" localSheetId="1" hidden="1">#REF!</definedName>
    <definedName name="XRefPaste2Row" hidden="1">#REF!</definedName>
    <definedName name="XRefPaste3" localSheetId="1" hidden="1">#REF!</definedName>
    <definedName name="XRefPaste3" hidden="1">#REF!</definedName>
    <definedName name="XRefPaste3Row" localSheetId="1" hidden="1">#REF!</definedName>
    <definedName name="XRefPaste3Row" hidden="1">#REF!</definedName>
    <definedName name="XRefPasteRangeCount" hidden="1">2</definedName>
    <definedName name="本循环科目" hidden="1">[3]索引!$D$15:$D$76</definedName>
    <definedName name="底稿目录" localSheetId="1" hidden="1">#REF!</definedName>
    <definedName name="底稿目录" hidden="1">#REF!</definedName>
    <definedName name="新目录" localSheetId="1" hidden="1">#REF!</definedName>
    <definedName name="新目录" hidden="1">#REF!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8" i="17" l="1"/>
  <c r="G17" i="17"/>
  <c r="F17" i="17"/>
  <c r="F19" i="17" s="1"/>
  <c r="P3" i="17" l="1"/>
  <c r="G3" i="22"/>
  <c r="J3" i="24"/>
  <c r="S3" i="13"/>
  <c r="L3" i="16"/>
  <c r="I3" i="23"/>
  <c r="C3" i="24" l="1"/>
  <c r="E3" i="24"/>
  <c r="C4" i="24"/>
  <c r="E4" i="24"/>
  <c r="H3" i="17" l="1"/>
  <c r="H4" i="17"/>
  <c r="E4" i="22" l="1"/>
  <c r="K4" i="13"/>
  <c r="C4" i="19"/>
  <c r="H4" i="16"/>
  <c r="E4" i="23"/>
  <c r="E4" i="17"/>
  <c r="C4" i="22"/>
  <c r="D4" i="13"/>
  <c r="B4" i="19"/>
  <c r="C4" i="16"/>
  <c r="C4" i="23"/>
  <c r="E3" i="23" l="1"/>
  <c r="C3" i="23"/>
  <c r="A4" i="23"/>
  <c r="A3" i="23"/>
  <c r="E25" i="13" l="1"/>
  <c r="B25" i="13"/>
  <c r="E11" i="22"/>
  <c r="F16" i="13"/>
  <c r="F17" i="13"/>
  <c r="F18" i="13"/>
  <c r="F19" i="13"/>
  <c r="F20" i="13"/>
  <c r="F21" i="13"/>
  <c r="F22" i="13"/>
  <c r="F23" i="13"/>
  <c r="F24" i="13"/>
  <c r="F15" i="13"/>
  <c r="O15" i="13"/>
  <c r="F25" i="13" l="1"/>
  <c r="E3" i="22"/>
  <c r="C3" i="22"/>
  <c r="A4" i="22"/>
  <c r="A3" i="22"/>
  <c r="B8" i="16" l="1"/>
  <c r="B9" i="16"/>
  <c r="B10" i="16"/>
  <c r="B11" i="16"/>
  <c r="B12" i="16"/>
  <c r="B13" i="16"/>
  <c r="B14" i="16"/>
  <c r="B15" i="16"/>
  <c r="B16" i="16"/>
  <c r="B7" i="16"/>
  <c r="O16" i="13"/>
  <c r="O17" i="13"/>
  <c r="O18" i="13"/>
  <c r="O19" i="13"/>
  <c r="O20" i="13"/>
  <c r="O21" i="13"/>
  <c r="O22" i="13"/>
  <c r="O23" i="13"/>
  <c r="O24" i="13"/>
  <c r="N16" i="13"/>
  <c r="N17" i="13"/>
  <c r="N18" i="13"/>
  <c r="N19" i="13"/>
  <c r="N20" i="13"/>
  <c r="N21" i="13"/>
  <c r="N22" i="13"/>
  <c r="N23" i="13"/>
  <c r="N24" i="13"/>
  <c r="N15" i="13"/>
  <c r="M16" i="13"/>
  <c r="M17" i="13"/>
  <c r="M18" i="13"/>
  <c r="M19" i="13"/>
  <c r="M20" i="13"/>
  <c r="M21" i="13"/>
  <c r="M22" i="13"/>
  <c r="M23" i="13"/>
  <c r="M24" i="13"/>
  <c r="M15" i="13"/>
  <c r="P22" i="13" l="1"/>
  <c r="P18" i="13"/>
  <c r="P15" i="13"/>
  <c r="M25" i="13"/>
  <c r="P21" i="13"/>
  <c r="P17" i="13"/>
  <c r="O25" i="13"/>
  <c r="P24" i="13"/>
  <c r="P20" i="13"/>
  <c r="P16" i="13"/>
  <c r="P23" i="13"/>
  <c r="P19" i="13"/>
  <c r="N25" i="13"/>
  <c r="G18" i="17" s="1"/>
  <c r="G19" i="17" s="1"/>
  <c r="G8" i="16" l="1"/>
  <c r="H8" i="16"/>
  <c r="G9" i="16"/>
  <c r="H9" i="16"/>
  <c r="G10" i="16"/>
  <c r="H10" i="16"/>
  <c r="G11" i="16"/>
  <c r="H11" i="16"/>
  <c r="G12" i="16"/>
  <c r="H12" i="16"/>
  <c r="G13" i="16"/>
  <c r="H13" i="16"/>
  <c r="G14" i="16"/>
  <c r="H14" i="16"/>
  <c r="G15" i="16"/>
  <c r="H15" i="16"/>
  <c r="G16" i="16"/>
  <c r="H16" i="16"/>
  <c r="H7" i="16"/>
  <c r="G7" i="16"/>
  <c r="C8" i="16"/>
  <c r="D8" i="16"/>
  <c r="C9" i="16"/>
  <c r="D9" i="16"/>
  <c r="C10" i="16"/>
  <c r="D10" i="16"/>
  <c r="C11" i="16"/>
  <c r="D11" i="16"/>
  <c r="C12" i="16"/>
  <c r="D12" i="16"/>
  <c r="C13" i="16"/>
  <c r="D13" i="16"/>
  <c r="C14" i="16"/>
  <c r="D14" i="16"/>
  <c r="C15" i="16"/>
  <c r="D15" i="16"/>
  <c r="C16" i="16"/>
  <c r="D16" i="16"/>
  <c r="D7" i="16"/>
  <c r="C7" i="16"/>
  <c r="A8" i="16"/>
  <c r="A9" i="16"/>
  <c r="A10" i="16"/>
  <c r="A11" i="16"/>
  <c r="A12" i="16"/>
  <c r="A13" i="16"/>
  <c r="A14" i="16"/>
  <c r="A15" i="16"/>
  <c r="A16" i="16"/>
  <c r="A7" i="16"/>
  <c r="L25" i="13"/>
  <c r="K25" i="13"/>
  <c r="J25" i="13"/>
  <c r="I25" i="13"/>
  <c r="H25" i="13"/>
  <c r="G25" i="13"/>
  <c r="D25" i="13"/>
  <c r="C25" i="13"/>
  <c r="E16" i="16"/>
  <c r="E14" i="16"/>
  <c r="E11" i="16"/>
  <c r="F11" i="16"/>
  <c r="E10" i="16"/>
  <c r="F10" i="16"/>
  <c r="E9" i="16"/>
  <c r="E7" i="16"/>
  <c r="F16" i="22"/>
  <c r="C16" i="22"/>
  <c r="E15" i="22"/>
  <c r="G15" i="22" s="1"/>
  <c r="E14" i="22"/>
  <c r="G14" i="22" s="1"/>
  <c r="E13" i="22"/>
  <c r="G13" i="22" s="1"/>
  <c r="E12" i="22"/>
  <c r="G12" i="22" s="1"/>
  <c r="G11" i="22"/>
  <c r="E10" i="22"/>
  <c r="E16" i="22" l="1"/>
  <c r="I8" i="16"/>
  <c r="G17" i="16"/>
  <c r="I11" i="16"/>
  <c r="J11" i="16" s="1"/>
  <c r="K11" i="16" s="1"/>
  <c r="I14" i="16"/>
  <c r="J14" i="16" s="1"/>
  <c r="K14" i="16" s="1"/>
  <c r="C17" i="16"/>
  <c r="I12" i="16"/>
  <c r="I13" i="16"/>
  <c r="I15" i="16"/>
  <c r="F16" i="16"/>
  <c r="F15" i="16"/>
  <c r="F14" i="16"/>
  <c r="F13" i="16"/>
  <c r="F12" i="16"/>
  <c r="F9" i="16"/>
  <c r="F8" i="16"/>
  <c r="E15" i="16"/>
  <c r="E13" i="16"/>
  <c r="E12" i="16"/>
  <c r="E8" i="16"/>
  <c r="F7" i="16"/>
  <c r="B17" i="16"/>
  <c r="H17" i="16"/>
  <c r="D17" i="16"/>
  <c r="I10" i="16"/>
  <c r="J10" i="16" s="1"/>
  <c r="K10" i="16" s="1"/>
  <c r="I9" i="16"/>
  <c r="J9" i="16" s="1"/>
  <c r="K9" i="16" s="1"/>
  <c r="I16" i="16"/>
  <c r="J16" i="16" s="1"/>
  <c r="K16" i="16" s="1"/>
  <c r="G10" i="22"/>
  <c r="G16" i="22" s="1"/>
  <c r="J8" i="16" l="1"/>
  <c r="K8" i="16" s="1"/>
  <c r="I7" i="16"/>
  <c r="J7" i="16" s="1"/>
  <c r="K7" i="16" s="1"/>
  <c r="P25" i="13"/>
  <c r="E17" i="16"/>
  <c r="E19" i="16" s="1"/>
  <c r="F17" i="16"/>
  <c r="J13" i="16"/>
  <c r="K13" i="16" s="1"/>
  <c r="J15" i="16"/>
  <c r="K15" i="16" s="1"/>
  <c r="J12" i="16"/>
  <c r="K12" i="16" s="1"/>
  <c r="C3" i="19"/>
  <c r="B3" i="19"/>
  <c r="A4" i="19"/>
  <c r="A3" i="19"/>
  <c r="I17" i="16" l="1"/>
  <c r="E3" i="17"/>
  <c r="A4" i="17"/>
  <c r="A3" i="17"/>
  <c r="K3" i="13"/>
  <c r="D3" i="13"/>
  <c r="A4" i="13"/>
  <c r="A3" i="13"/>
  <c r="H3" i="16"/>
  <c r="C3" i="16"/>
  <c r="A4" i="16"/>
  <c r="A3" i="16"/>
  <c r="J17" i="16" l="1"/>
  <c r="K17" i="16" s="1"/>
  <c r="I19" i="16"/>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comments2.xml><?xml version="1.0" encoding="utf-8"?>
<comments xmlns="http://schemas.openxmlformats.org/spreadsheetml/2006/main">
  <authors>
    <author>1</author>
  </authors>
  <commentList>
    <comment ref="E19" authorId="0" shapeId="0">
      <text>
        <r>
          <rPr>
            <b/>
            <sz val="9"/>
            <color indexed="81"/>
            <rFont val="宋体"/>
            <family val="3"/>
            <charset val="134"/>
          </rPr>
          <t>1:</t>
        </r>
        <r>
          <rPr>
            <sz val="9"/>
            <color indexed="81"/>
            <rFont val="宋体"/>
            <family val="3"/>
            <charset val="134"/>
          </rPr>
          <t xml:space="preserve">
存在差异时显示红色，同时显示数据，不存在差异显示绿色，-</t>
        </r>
      </text>
    </comment>
    <comment ref="I19" authorId="0" shapeId="0">
      <text>
        <r>
          <rPr>
            <b/>
            <sz val="9"/>
            <color indexed="81"/>
            <rFont val="宋体"/>
            <family val="3"/>
            <charset val="134"/>
          </rPr>
          <t>1:</t>
        </r>
        <r>
          <rPr>
            <sz val="9"/>
            <color indexed="81"/>
            <rFont val="宋体"/>
            <family val="3"/>
            <charset val="134"/>
          </rPr>
          <t xml:space="preserve">
存在差异时显示红色，同时显示数据，不存在差异显示绿色，-</t>
        </r>
      </text>
    </comment>
  </commentList>
</comments>
</file>

<file path=xl/sharedStrings.xml><?xml version="1.0" encoding="utf-8"?>
<sst xmlns="http://schemas.openxmlformats.org/spreadsheetml/2006/main" count="321" uniqueCount="287">
  <si>
    <t>索引号：</t>
  </si>
  <si>
    <t>一、本科目核算企业收购、转让或注销的本公司股份金额。</t>
  </si>
  <si>
    <t>二、库存股的主要账务处理。</t>
  </si>
  <si>
    <t>三、本科目期末借方余额，反映企业持有尚未转让或注销的本公司股份金额。</t>
  </si>
  <si>
    <t>库存股审定表</t>
    <phoneticPr fontId="17" type="noConversion"/>
  </si>
  <si>
    <t>库存股明细表</t>
    <phoneticPr fontId="17" type="noConversion"/>
  </si>
  <si>
    <t>本期增加</t>
  </si>
  <si>
    <t>本期减少</t>
  </si>
  <si>
    <t>索引：</t>
    <phoneticPr fontId="17" type="noConversion"/>
  </si>
  <si>
    <t>页次：</t>
    <phoneticPr fontId="17" type="noConversion"/>
  </si>
  <si>
    <r>
      <t>1</t>
    </r>
    <r>
      <rPr>
        <b/>
        <sz val="10"/>
        <rFont val="宋体"/>
        <family val="3"/>
        <charset val="134"/>
      </rPr>
      <t>、审计说明</t>
    </r>
    <r>
      <rPr>
        <sz val="10"/>
        <color indexed="12"/>
        <rFont val="宋体"/>
        <family val="3"/>
        <charset val="134"/>
      </rPr>
      <t/>
    </r>
    <phoneticPr fontId="17" type="noConversion"/>
  </si>
  <si>
    <r>
      <t>（</t>
    </r>
    <r>
      <rPr>
        <sz val="10"/>
        <rFont val="Arial Narrow"/>
        <family val="2"/>
      </rPr>
      <t>1</t>
    </r>
    <r>
      <rPr>
        <sz val="10"/>
        <rFont val="宋体"/>
        <family val="3"/>
        <charset val="134"/>
      </rPr>
      <t>）期末余额较期初余额增加（负数为减少）：</t>
    </r>
    <phoneticPr fontId="17" type="noConversion"/>
  </si>
  <si>
    <r>
      <t>主要原因</t>
    </r>
    <r>
      <rPr>
        <sz val="10"/>
        <color indexed="10"/>
        <rFont val="宋体"/>
        <family val="3"/>
        <charset val="134"/>
      </rPr>
      <t>（比例超过30%的）</t>
    </r>
    <r>
      <rPr>
        <sz val="10"/>
        <rFont val="宋体"/>
        <family val="3"/>
        <charset val="134"/>
      </rPr>
      <t>：</t>
    </r>
    <phoneticPr fontId="17" type="noConversion"/>
  </si>
  <si>
    <r>
      <t>（</t>
    </r>
    <r>
      <rPr>
        <sz val="10"/>
        <rFont val="Arial Narrow"/>
        <family val="2"/>
      </rPr>
      <t>2</t>
    </r>
    <r>
      <rPr>
        <sz val="10"/>
        <rFont val="宋体"/>
        <family val="3"/>
        <charset val="134"/>
      </rPr>
      <t>）情况说明。</t>
    </r>
    <phoneticPr fontId="17" type="noConversion"/>
  </si>
  <si>
    <t>2、审计结论</t>
    <phoneticPr fontId="17" type="noConversion"/>
  </si>
  <si>
    <t xml:space="preserve">
</t>
    <phoneticPr fontId="17" type="noConversion"/>
  </si>
  <si>
    <t>编制说明：</t>
    <phoneticPr fontId="17" type="noConversion"/>
  </si>
  <si>
    <t>（2）因库存股注销而减少的股本；</t>
  </si>
  <si>
    <t>（3）注销的库存股成本高于对应股本成本的，披露依次冲减的资本公积、盈余公积、未分配利润的金额；注销的库存股成本低于对应股本成本的，披露增加的资本公积金额；</t>
  </si>
  <si>
    <t>（4）库存股转让时，转让收入高于库存股成本的，披露增加的资本公积金额；转让收入低于库存股成本的，披露依次冲减的资本公积、盈余公积、未分配利润的金额；</t>
  </si>
  <si>
    <t>（5）因实行股权激励回购本公司股份的，应披露本期回购股份占本公司已发行股份的总比例和累计库存股占已发行股份的总比例。</t>
  </si>
  <si>
    <r>
      <t>（一）企业为减少注册资本而收购本公司股份的，应按实际支付的金额，借记本科目，贷记</t>
    </r>
    <r>
      <rPr>
        <sz val="10"/>
        <rFont val="Times New Roman"/>
        <family val="1"/>
      </rPr>
      <t>“</t>
    </r>
    <r>
      <rPr>
        <sz val="10"/>
        <rFont val="宋体"/>
        <family val="3"/>
        <charset val="134"/>
      </rPr>
      <t>银行存款</t>
    </r>
    <r>
      <rPr>
        <sz val="10"/>
        <rFont val="Times New Roman"/>
        <family val="1"/>
      </rPr>
      <t>”</t>
    </r>
    <r>
      <rPr>
        <sz val="10"/>
        <rFont val="宋体"/>
        <family val="3"/>
        <charset val="134"/>
      </rPr>
      <t>等科目。</t>
    </r>
  </si>
  <si>
    <r>
      <t>（二）为奖励本公司职工而收购本公司股份的，应按实际支付的金额，借记本科目，贷记</t>
    </r>
    <r>
      <rPr>
        <sz val="10"/>
        <rFont val="Times New Roman"/>
        <family val="1"/>
      </rPr>
      <t>“</t>
    </r>
    <r>
      <rPr>
        <sz val="10"/>
        <rFont val="宋体"/>
        <family val="3"/>
        <charset val="134"/>
      </rPr>
      <t>银行存款</t>
    </r>
    <r>
      <rPr>
        <sz val="10"/>
        <rFont val="Times New Roman"/>
        <family val="1"/>
      </rPr>
      <t>”</t>
    </r>
    <r>
      <rPr>
        <sz val="10"/>
        <rFont val="宋体"/>
        <family val="3"/>
        <charset val="134"/>
      </rPr>
      <t>等科目，同时做备查登记。</t>
    </r>
  </si>
  <si>
    <r>
      <t>将收购的股份奖励给本公司职工属于以权益结算的股份支付，如有实际收到的金额，借记</t>
    </r>
    <r>
      <rPr>
        <sz val="10"/>
        <rFont val="Times New Roman"/>
        <family val="1"/>
      </rPr>
      <t>“</t>
    </r>
    <r>
      <rPr>
        <sz val="10"/>
        <rFont val="宋体"/>
        <family val="3"/>
        <charset val="134"/>
      </rPr>
      <t>银行存款</t>
    </r>
    <r>
      <rPr>
        <sz val="10"/>
        <rFont val="Times New Roman"/>
        <family val="1"/>
      </rPr>
      <t>”</t>
    </r>
    <r>
      <rPr>
        <sz val="10"/>
        <rFont val="宋体"/>
        <family val="3"/>
        <charset val="134"/>
      </rPr>
      <t>科目，按根据职工获取奖励股份的实际情况确定的金额，借记</t>
    </r>
    <r>
      <rPr>
        <sz val="10"/>
        <rFont val="Times New Roman"/>
        <family val="1"/>
      </rPr>
      <t>“</t>
    </r>
    <r>
      <rPr>
        <sz val="10"/>
        <rFont val="宋体"/>
        <family val="3"/>
        <charset val="134"/>
      </rPr>
      <t>资本公积</t>
    </r>
    <r>
      <rPr>
        <sz val="10"/>
        <rFont val="Times New Roman"/>
        <family val="1"/>
      </rPr>
      <t>——</t>
    </r>
    <r>
      <rPr>
        <sz val="10"/>
        <rFont val="宋体"/>
        <family val="3"/>
        <charset val="134"/>
      </rPr>
      <t>其他资本公积</t>
    </r>
    <r>
      <rPr>
        <sz val="10"/>
        <rFont val="Times New Roman"/>
        <family val="1"/>
      </rPr>
      <t>”</t>
    </r>
    <r>
      <rPr>
        <sz val="10"/>
        <rFont val="宋体"/>
        <family val="3"/>
        <charset val="134"/>
      </rPr>
      <t>科目，按奖励库存股的账面余额，贷记本科目，按其差额，贷记或借记</t>
    </r>
    <r>
      <rPr>
        <sz val="10"/>
        <rFont val="Times New Roman"/>
        <family val="1"/>
      </rPr>
      <t>“</t>
    </r>
    <r>
      <rPr>
        <sz val="10"/>
        <rFont val="宋体"/>
        <family val="3"/>
        <charset val="134"/>
      </rPr>
      <t>资本公积</t>
    </r>
    <r>
      <rPr>
        <sz val="10"/>
        <rFont val="Times New Roman"/>
        <family val="1"/>
      </rPr>
      <t>——</t>
    </r>
    <r>
      <rPr>
        <sz val="10"/>
        <rFont val="宋体"/>
        <family val="3"/>
        <charset val="134"/>
      </rPr>
      <t>股本溢价</t>
    </r>
    <r>
      <rPr>
        <sz val="10"/>
        <rFont val="Times New Roman"/>
        <family val="1"/>
      </rPr>
      <t>”</t>
    </r>
    <r>
      <rPr>
        <sz val="10"/>
        <rFont val="宋体"/>
        <family val="3"/>
        <charset val="134"/>
      </rPr>
      <t>科目。</t>
    </r>
  </si>
  <si>
    <r>
      <t>（五）注销库存股，应按股票面值和注销股数计算的股票面值总额，借记</t>
    </r>
    <r>
      <rPr>
        <sz val="10"/>
        <rFont val="Times New Roman"/>
        <family val="1"/>
      </rPr>
      <t>“</t>
    </r>
    <r>
      <rPr>
        <sz val="10"/>
        <rFont val="宋体"/>
        <family val="3"/>
        <charset val="134"/>
      </rPr>
      <t>股本</t>
    </r>
    <r>
      <rPr>
        <sz val="10"/>
        <rFont val="Times New Roman"/>
        <family val="1"/>
      </rPr>
      <t>”</t>
    </r>
    <r>
      <rPr>
        <sz val="10"/>
        <rFont val="宋体"/>
        <family val="3"/>
        <charset val="134"/>
      </rPr>
      <t>科目，按注销库存股的账面余额，贷记本科目，按其差额，借记</t>
    </r>
    <r>
      <rPr>
        <sz val="10"/>
        <rFont val="Times New Roman"/>
        <family val="1"/>
      </rPr>
      <t>“</t>
    </r>
    <r>
      <rPr>
        <sz val="10"/>
        <rFont val="宋体"/>
        <family val="3"/>
        <charset val="134"/>
      </rPr>
      <t>资本公积</t>
    </r>
    <r>
      <rPr>
        <sz val="10"/>
        <rFont val="Times New Roman"/>
        <family val="1"/>
      </rPr>
      <t>——</t>
    </r>
    <r>
      <rPr>
        <sz val="10"/>
        <rFont val="宋体"/>
        <family val="3"/>
        <charset val="134"/>
      </rPr>
      <t>股本溢价</t>
    </r>
    <r>
      <rPr>
        <sz val="10"/>
        <rFont val="Times New Roman"/>
        <family val="1"/>
      </rPr>
      <t>”</t>
    </r>
    <r>
      <rPr>
        <sz val="10"/>
        <rFont val="宋体"/>
        <family val="3"/>
        <charset val="134"/>
      </rPr>
      <t>科目，股本溢价不足冲减的，应借记</t>
    </r>
    <r>
      <rPr>
        <sz val="10"/>
        <rFont val="Times New Roman"/>
        <family val="1"/>
      </rPr>
      <t>“</t>
    </r>
    <r>
      <rPr>
        <sz val="10"/>
        <rFont val="宋体"/>
        <family val="3"/>
        <charset val="134"/>
      </rPr>
      <t>盈余公积</t>
    </r>
    <r>
      <rPr>
        <sz val="10"/>
        <rFont val="Times New Roman"/>
        <family val="1"/>
      </rPr>
      <t>”</t>
    </r>
    <r>
      <rPr>
        <sz val="10"/>
        <rFont val="宋体"/>
        <family val="3"/>
        <charset val="134"/>
      </rPr>
      <t>、</t>
    </r>
    <r>
      <rPr>
        <sz val="10"/>
        <rFont val="Times New Roman"/>
        <family val="1"/>
      </rPr>
      <t>“</t>
    </r>
    <r>
      <rPr>
        <sz val="10"/>
        <rFont val="宋体"/>
        <family val="3"/>
        <charset val="134"/>
      </rPr>
      <t>利润分配</t>
    </r>
    <r>
      <rPr>
        <sz val="10"/>
        <rFont val="Times New Roman"/>
        <family val="1"/>
      </rPr>
      <t>——</t>
    </r>
    <r>
      <rPr>
        <sz val="10"/>
        <rFont val="宋体"/>
        <family val="3"/>
        <charset val="134"/>
      </rPr>
      <t>未分配利润</t>
    </r>
    <r>
      <rPr>
        <sz val="10"/>
        <rFont val="Times New Roman"/>
        <family val="1"/>
      </rPr>
      <t>”</t>
    </r>
    <r>
      <rPr>
        <sz val="10"/>
        <rFont val="宋体"/>
        <family val="3"/>
        <charset val="134"/>
      </rPr>
      <t>科目。</t>
    </r>
  </si>
  <si>
    <t>股份有限公司根据《公司法》第143条规定回购股份,应当按照以下要求进行财务处理:</t>
  </si>
  <si>
    <t>库存股</t>
  </si>
  <si>
    <t>说明：</t>
  </si>
  <si>
    <t>C1</t>
  </si>
  <si>
    <t>Custom 1</t>
  </si>
  <si>
    <t>C2</t>
  </si>
  <si>
    <t>Custom 2</t>
  </si>
  <si>
    <t>C3</t>
  </si>
  <si>
    <t>Custom 3</t>
  </si>
  <si>
    <t>C4</t>
  </si>
  <si>
    <t>Custom 4</t>
  </si>
  <si>
    <t>C5</t>
  </si>
  <si>
    <t>Custom 5</t>
  </si>
  <si>
    <t>C6</t>
  </si>
  <si>
    <t>Custom 6</t>
  </si>
  <si>
    <t>C7</t>
  </si>
  <si>
    <t>Custom 7</t>
  </si>
  <si>
    <t>C8</t>
  </si>
  <si>
    <t>Custom 8</t>
  </si>
  <si>
    <t>内容</t>
  </si>
  <si>
    <t>致同会计师事务所</t>
  </si>
  <si>
    <t>页次：</t>
  </si>
  <si>
    <t>4201库存股</t>
  </si>
  <si>
    <t>（四）转让库存股，应按实际收到的金额，借记“银行存款”等科目，按转让库存股的账面余额，贷记本科目，按其差额，贷记“资本公积——股本溢价”科目；为借方差额的，借记“资本公积——股本溢价”科目，股本溢价不足冲减的，应借记“盈余公积”、“利润分配——未分配利润”科目。</t>
  </si>
  <si>
    <t>(一)公司回购的股份在注销或者转让之前,作为库存股管理,回购股份的全部支出转作库存股成本。但与持有本公司股份的其他公司合并而导致的股份回购,参与合并各方在合并前及合并后如均属于同一股东最终控制的,库存股成本按参与合并的其他公司持有本公司股份的相关投资账面价值确认;如不属于同一股东最终控制的,库存股成本按参与合并的其他公司持有本公司股份的相关投资公允价值确认。</t>
  </si>
  <si>
    <t>库存股注销时,按照注销的股份数量减少相应股本,库存股成本高于对应股本的部分,依次冲减资本公积金、盈余公积金、以前年度未分配利润;低于对应股本的部分,增加资本公积金。</t>
  </si>
  <si>
    <t>库存股转让时,转让收入高于库存股成本的部分,增加资本公积金;低于库存股成本的部分,依次冲减资本公积金、盈余公积金、以前年度未分配利润。</t>
  </si>
  <si>
    <t>(二)因实行职工股权激励办法而回购股份的,回购股份不得超过本公司已发行股份总额的百分之五,所需资金应当控制在当期可供投资者分配的利润数额之内。</t>
  </si>
  <si>
    <t>股东大会通过职工股权激励办法之日与股份回购日不在同一年度的,公司应当于通过职工股权激励办法时,将预计的回购支出在当期可供投资者分配的利润中作出预留,对预留的利润不得进行分配。</t>
  </si>
  <si>
    <t>公司回购股份时,应当将回购股份的全部支出转作库存股成本,同时按回购支出数额将可供投资者分配的利润转入资本公积金。</t>
  </si>
  <si>
    <t>(三)库存股不得参与公司利润分配,股份有限公司应当将其作为所有者权益的备抵项目反映。</t>
  </si>
  <si>
    <r>
      <rPr>
        <b/>
        <sz val="10"/>
        <color indexed="8"/>
        <rFont val="宋体"/>
        <family val="3"/>
        <charset val="134"/>
      </rPr>
      <t>一、审计目标</t>
    </r>
    <r>
      <rPr>
        <b/>
        <sz val="10"/>
        <color indexed="8"/>
        <rFont val="Arial Narrow"/>
        <family val="2"/>
      </rPr>
      <t>:</t>
    </r>
    <phoneticPr fontId="20" type="noConversion"/>
  </si>
  <si>
    <r>
      <rPr>
        <b/>
        <sz val="10"/>
        <rFont val="宋体"/>
        <family val="3"/>
        <charset val="134"/>
      </rPr>
      <t>二、审计过程：</t>
    </r>
    <phoneticPr fontId="17" type="noConversion"/>
  </si>
  <si>
    <t>三、审计说明：</t>
    <phoneticPr fontId="17" type="noConversion"/>
  </si>
  <si>
    <t>四、审计结论：</t>
    <phoneticPr fontId="17" type="noConversion"/>
  </si>
  <si>
    <t>库存股附注披露信息（上市公司）</t>
    <phoneticPr fontId="17" type="noConversion"/>
  </si>
  <si>
    <t>外币投资汇率测算表</t>
    <phoneticPr fontId="17" type="noConversion"/>
  </si>
  <si>
    <r>
      <rPr>
        <b/>
        <sz val="10"/>
        <color indexed="8"/>
        <rFont val="宋体"/>
        <family val="3"/>
        <charset val="134"/>
      </rPr>
      <t>一、审计目标</t>
    </r>
    <r>
      <rPr>
        <b/>
        <sz val="10"/>
        <color indexed="8"/>
        <rFont val="Arial Narrow"/>
        <family val="2"/>
      </rPr>
      <t>:</t>
    </r>
    <phoneticPr fontId="20" type="noConversion"/>
  </si>
  <si>
    <t>投资者</t>
    <phoneticPr fontId="17" type="noConversion"/>
  </si>
  <si>
    <t>币种</t>
    <phoneticPr fontId="17" type="noConversion"/>
  </si>
  <si>
    <t>期末投资额</t>
    <phoneticPr fontId="17" type="noConversion"/>
  </si>
  <si>
    <t>原币金额</t>
    <phoneticPr fontId="17" type="noConversion"/>
  </si>
  <si>
    <t>折算汇率</t>
  </si>
  <si>
    <t>折合人民币</t>
  </si>
  <si>
    <t>账面数</t>
    <phoneticPr fontId="17" type="noConversion"/>
  </si>
  <si>
    <t>差额</t>
    <phoneticPr fontId="17" type="noConversion"/>
  </si>
  <si>
    <t>合计</t>
    <phoneticPr fontId="17" type="noConversion"/>
  </si>
  <si>
    <t>三、审计说明：</t>
    <phoneticPr fontId="17" type="noConversion"/>
  </si>
  <si>
    <t>未审数</t>
    <phoneticPr fontId="17" type="noConversion"/>
  </si>
  <si>
    <t>未审数</t>
    <phoneticPr fontId="17" type="noConversion"/>
  </si>
  <si>
    <t>备注</t>
    <phoneticPr fontId="17" type="noConversion"/>
  </si>
  <si>
    <t>期初数</t>
    <phoneticPr fontId="17" type="noConversion"/>
  </si>
  <si>
    <t>本期减少</t>
    <phoneticPr fontId="17" type="noConversion"/>
  </si>
  <si>
    <t>期末数</t>
    <phoneticPr fontId="17" type="noConversion"/>
  </si>
  <si>
    <t>账项调整</t>
    <phoneticPr fontId="17" type="noConversion"/>
  </si>
  <si>
    <t>重分类调整</t>
    <phoneticPr fontId="43" type="noConversion"/>
  </si>
  <si>
    <t>期末数</t>
    <phoneticPr fontId="17" type="noConversion"/>
  </si>
  <si>
    <t>本期审定数与上期
审定数的比较</t>
    <phoneticPr fontId="17" type="noConversion"/>
  </si>
  <si>
    <t>原因分析</t>
    <phoneticPr fontId="43" type="noConversion"/>
  </si>
  <si>
    <t>重分类调整</t>
    <phoneticPr fontId="17" type="noConversion"/>
  </si>
  <si>
    <t>审定数</t>
    <phoneticPr fontId="17" type="noConversion"/>
  </si>
  <si>
    <t>变动率</t>
    <phoneticPr fontId="17" type="noConversion"/>
  </si>
  <si>
    <t>变动额</t>
    <phoneticPr fontId="17" type="noConversion"/>
  </si>
  <si>
    <t>库存股类别</t>
    <phoneticPr fontId="17" type="noConversion"/>
  </si>
  <si>
    <t>奖励员工回购股份</t>
    <phoneticPr fontId="17" type="noConversion"/>
  </si>
  <si>
    <t>对合并、分立决议有异议回购股份</t>
    <phoneticPr fontId="17" type="noConversion"/>
  </si>
  <si>
    <t>注销</t>
    <phoneticPr fontId="17" type="noConversion"/>
  </si>
  <si>
    <t>转让</t>
    <phoneticPr fontId="17" type="noConversion"/>
  </si>
  <si>
    <t>期初数</t>
    <phoneticPr fontId="17" type="noConversion"/>
  </si>
  <si>
    <t>本期增加</t>
    <phoneticPr fontId="43" type="noConversion"/>
  </si>
  <si>
    <t>账项调整</t>
    <phoneticPr fontId="17" type="noConversion"/>
  </si>
  <si>
    <t>重分类调整</t>
    <phoneticPr fontId="43" type="noConversion"/>
  </si>
  <si>
    <r>
      <rPr>
        <b/>
        <sz val="10"/>
        <color indexed="8"/>
        <rFont val="宋体"/>
        <family val="3"/>
        <charset val="134"/>
      </rPr>
      <t>本期增加</t>
    </r>
    <phoneticPr fontId="17" type="noConversion"/>
  </si>
  <si>
    <r>
      <rPr>
        <b/>
        <sz val="10"/>
        <color indexed="8"/>
        <rFont val="宋体"/>
        <family val="3"/>
        <charset val="134"/>
      </rPr>
      <t>本期减少</t>
    </r>
    <phoneticPr fontId="43" type="noConversion"/>
  </si>
  <si>
    <r>
      <rPr>
        <b/>
        <sz val="10"/>
        <color indexed="8"/>
        <rFont val="宋体"/>
        <family val="3"/>
        <charset val="134"/>
      </rPr>
      <t>本期增加</t>
    </r>
    <phoneticPr fontId="17" type="noConversion"/>
  </si>
  <si>
    <r>
      <rPr>
        <b/>
        <sz val="10"/>
        <color indexed="8"/>
        <rFont val="宋体"/>
        <family val="3"/>
        <charset val="134"/>
      </rPr>
      <t>本期减少</t>
    </r>
    <phoneticPr fontId="43" type="noConversion"/>
  </si>
  <si>
    <t>期初数</t>
    <phoneticPr fontId="17" type="noConversion"/>
  </si>
  <si>
    <t>本期增加</t>
    <phoneticPr fontId="17" type="noConversion"/>
  </si>
  <si>
    <t>本期减少</t>
    <phoneticPr fontId="17" type="noConversion"/>
  </si>
  <si>
    <t>期末数</t>
    <phoneticPr fontId="17" type="noConversion"/>
  </si>
  <si>
    <t>相关决议索引号</t>
    <phoneticPr fontId="17" type="noConversion"/>
  </si>
  <si>
    <t>相关会计处理是否正确</t>
    <phoneticPr fontId="17" type="noConversion"/>
  </si>
  <si>
    <t>期初调整</t>
    <phoneticPr fontId="43" type="noConversion"/>
  </si>
  <si>
    <t>账项调整</t>
    <phoneticPr fontId="43" type="noConversion"/>
  </si>
  <si>
    <t>减资回购股份</t>
    <phoneticPr fontId="17" type="noConversion"/>
  </si>
  <si>
    <t>母子公司交叉持股</t>
    <phoneticPr fontId="17" type="noConversion"/>
  </si>
  <si>
    <t>合计</t>
    <phoneticPr fontId="17" type="noConversion"/>
  </si>
  <si>
    <r>
      <t>（三）股东因对股东大会作出的公司合并、分立决议持有异议而要求企业收购本公司股份的，企业应按实际支付的金额，借记本科目，贷记</t>
    </r>
    <r>
      <rPr>
        <sz val="10"/>
        <rFont val="Times New Roman"/>
        <family val="1"/>
      </rPr>
      <t>“</t>
    </r>
    <r>
      <rPr>
        <sz val="10"/>
        <rFont val="宋体"/>
        <family val="3"/>
        <charset val="134"/>
      </rPr>
      <t>银行存款</t>
    </r>
    <r>
      <rPr>
        <sz val="10"/>
        <rFont val="Times New Roman"/>
        <family val="1"/>
      </rPr>
      <t>”</t>
    </r>
    <r>
      <rPr>
        <sz val="10"/>
        <rFont val="宋体"/>
        <family val="3"/>
        <charset val="134"/>
      </rPr>
      <t>等科目。</t>
    </r>
    <phoneticPr fontId="17" type="noConversion"/>
  </si>
  <si>
    <r>
      <rPr>
        <b/>
        <sz val="12"/>
        <rFont val="宋体"/>
        <family val="3"/>
        <charset val="134"/>
      </rPr>
      <t>底稿开列时，可先在以下单元格填写有关内容，以便其他底稿引用有关数据：</t>
    </r>
    <phoneticPr fontId="17" type="noConversion"/>
  </si>
  <si>
    <t>序号</t>
  </si>
  <si>
    <t>索引号</t>
  </si>
  <si>
    <t>备注</t>
  </si>
  <si>
    <r>
      <rPr>
        <b/>
        <sz val="10"/>
        <rFont val="宋体"/>
        <family val="3"/>
        <charset val="134"/>
      </rPr>
      <t>一、测试目标：</t>
    </r>
    <phoneticPr fontId="26" type="noConversion"/>
  </si>
  <si>
    <r>
      <rPr>
        <b/>
        <sz val="10"/>
        <rFont val="宋体"/>
        <family val="3"/>
        <charset val="134"/>
      </rPr>
      <t>四、审计说明：</t>
    </r>
    <phoneticPr fontId="26" type="noConversion"/>
  </si>
  <si>
    <r>
      <rPr>
        <b/>
        <sz val="10"/>
        <rFont val="宋体"/>
        <family val="3"/>
        <charset val="134"/>
      </rPr>
      <t>五、审计结论：</t>
    </r>
    <phoneticPr fontId="17" type="noConversion"/>
  </si>
  <si>
    <r>
      <rPr>
        <sz val="10"/>
        <rFont val="宋体"/>
        <family val="3"/>
        <charset val="134"/>
      </rPr>
      <t>索引号：</t>
    </r>
  </si>
  <si>
    <r>
      <rPr>
        <b/>
        <sz val="10"/>
        <rFont val="宋体"/>
        <family val="3"/>
        <charset val="134"/>
      </rPr>
      <t>一、本账户涉及的科目</t>
    </r>
    <phoneticPr fontId="17" type="noConversion"/>
  </si>
  <si>
    <r>
      <rPr>
        <b/>
        <sz val="10"/>
        <rFont val="宋体"/>
        <family val="3"/>
        <charset val="134"/>
      </rPr>
      <t>财务报表的认定　</t>
    </r>
  </si>
  <si>
    <r>
      <rPr>
        <b/>
        <sz val="10"/>
        <rFont val="宋体"/>
        <family val="3"/>
        <charset val="134"/>
      </rPr>
      <t>三、计划实施的实质性程序</t>
    </r>
    <phoneticPr fontId="17" type="noConversion"/>
  </si>
  <si>
    <r>
      <rPr>
        <b/>
        <sz val="10"/>
        <rFont val="宋体"/>
        <family val="3"/>
        <charset val="134"/>
      </rPr>
      <t>序号</t>
    </r>
    <phoneticPr fontId="17" type="noConversion"/>
  </si>
  <si>
    <r>
      <rPr>
        <b/>
        <sz val="10"/>
        <rFont val="宋体"/>
        <family val="3"/>
        <charset val="134"/>
      </rPr>
      <t>程序分类</t>
    </r>
    <phoneticPr fontId="17" type="noConversion"/>
  </si>
  <si>
    <t xml:space="preserve">库存股实质性程序表 </t>
    <phoneticPr fontId="17" type="noConversion"/>
  </si>
  <si>
    <t>审定表</t>
    <phoneticPr fontId="17" type="noConversion"/>
  </si>
  <si>
    <t>明细表</t>
    <phoneticPr fontId="17" type="noConversion"/>
  </si>
  <si>
    <t>试算平衡表数</t>
    <phoneticPr fontId="17" type="noConversion"/>
  </si>
  <si>
    <t>差异数</t>
    <phoneticPr fontId="17" type="noConversion"/>
  </si>
  <si>
    <t>调整事项说明</t>
    <phoneticPr fontId="17" type="noConversion"/>
  </si>
  <si>
    <t>类别（报表调整/账项调整/其他）</t>
    <phoneticPr fontId="17" type="noConversion"/>
  </si>
  <si>
    <t>科目名称</t>
    <phoneticPr fontId="17" type="noConversion"/>
  </si>
  <si>
    <t>附注项目</t>
    <phoneticPr fontId="17" type="noConversion"/>
  </si>
  <si>
    <t>……</t>
    <phoneticPr fontId="17" type="noConversion"/>
  </si>
  <si>
    <t>借方调整金额</t>
    <phoneticPr fontId="17" type="noConversion"/>
  </si>
  <si>
    <t>贷方调整金额</t>
    <phoneticPr fontId="17" type="noConversion"/>
  </si>
  <si>
    <t>索引</t>
    <phoneticPr fontId="17" type="noConversion"/>
  </si>
  <si>
    <t>库存股调整分录汇总表</t>
    <phoneticPr fontId="17" type="noConversion"/>
  </si>
  <si>
    <t>调整分录汇总</t>
    <phoneticPr fontId="17" type="noConversion"/>
  </si>
  <si>
    <t>项  目</t>
  </si>
  <si>
    <t>合  计</t>
  </si>
  <si>
    <t>（1）库存股变动情况及原因。回购本公司股份的原因及对应的库存股成本确定方法；</t>
  </si>
  <si>
    <t>外币汇率测算表</t>
    <phoneticPr fontId="17" type="noConversion"/>
  </si>
  <si>
    <t>（一）减少公司注册资本；</t>
    <phoneticPr fontId="17" type="noConversion"/>
  </si>
  <si>
    <t>（二）与持有本公司股份的其他公司合并；</t>
    <phoneticPr fontId="17" type="noConversion"/>
  </si>
  <si>
    <t>（三）将股份用于员工持股计划或者股权激励；</t>
    <phoneticPr fontId="17" type="noConversion"/>
  </si>
  <si>
    <t>（四）股东因对股东大会作出的公司合并、分立决议持异议，要求公司收购其股份；</t>
    <phoneticPr fontId="17" type="noConversion"/>
  </si>
  <si>
    <t>（六）上市公司为维护公司价值及股东权益所必需。</t>
    <phoneticPr fontId="17" type="noConversion"/>
  </si>
  <si>
    <t>《公司法》20181026</t>
    <phoneticPr fontId="17" type="noConversion"/>
  </si>
  <si>
    <t>股份总数</t>
    <phoneticPr fontId="17" type="noConversion"/>
  </si>
  <si>
    <t>期初余额</t>
    <phoneticPr fontId="17" type="noConversion"/>
  </si>
  <si>
    <t>期末余额</t>
    <phoneticPr fontId="17" type="noConversion"/>
  </si>
  <si>
    <t>M3A</t>
  </si>
  <si>
    <t>M3-2</t>
  </si>
  <si>
    <t>M3-3</t>
  </si>
  <si>
    <r>
      <t xml:space="preserve">A. </t>
    </r>
    <r>
      <rPr>
        <sz val="10"/>
        <rFont val="宋体"/>
        <family val="3"/>
        <charset val="134"/>
      </rPr>
      <t>资产负债表中记录的实收资本是存在的，且已经记录在恰当的账户中</t>
    </r>
    <phoneticPr fontId="17" type="noConversion"/>
  </si>
  <si>
    <r>
      <t xml:space="preserve">B. </t>
    </r>
    <r>
      <rPr>
        <sz val="10"/>
        <rFont val="宋体"/>
        <family val="3"/>
        <charset val="134"/>
      </rPr>
      <t>所有应记录的实收资本均已记录，所有应当包括在财务报表中的相关披露均已包括</t>
    </r>
    <phoneticPr fontId="17" type="noConversion"/>
  </si>
  <si>
    <r>
      <t xml:space="preserve">C. </t>
    </r>
    <r>
      <rPr>
        <sz val="10"/>
        <rFont val="宋体"/>
        <family val="3"/>
        <charset val="134"/>
      </rPr>
      <t>记录的实收资本由被审计单位拥有或控制</t>
    </r>
    <phoneticPr fontId="17" type="noConversion"/>
  </si>
  <si>
    <t>报表项目</t>
    <phoneticPr fontId="17" type="noConversion"/>
  </si>
  <si>
    <t>附注披露信息(上市公司)</t>
    <phoneticPr fontId="17" type="noConversion"/>
  </si>
  <si>
    <t>M3-5</t>
  </si>
  <si>
    <t>M3-4</t>
  </si>
  <si>
    <t>M3-1</t>
    <phoneticPr fontId="17" type="noConversion"/>
  </si>
  <si>
    <t>无需打印</t>
  </si>
  <si>
    <t>索引号：</t>
    <phoneticPr fontId="17" type="noConversion"/>
  </si>
  <si>
    <t>可参见《审计手册》4.2.6，由被审计单位生成的信息可能是由系统生成的、或手工编制的、或二者兼而有之的方式生成的。例如，由被审计单位生成的信息可能包括：
• 不涉及自定义的、由系统生成的报告（如，固定格式报告）；
• 可能通过人工自定义的、由系统生成的报告，例如，（计算机）查询信息或特别定制的报告；
• 手工编制的信息，例如，汇总信息的电子表格或用以支持分配、计算以及调节的电子表格；
• 其他系统生成或手工编制的信息，例如，由被审计单位编制的客户发票；
• 通过影印、拍摄、扫描或其他方式转换成电子形式的文件记录。</t>
    <phoneticPr fontId="49" type="noConversion"/>
  </si>
  <si>
    <r>
      <rPr>
        <sz val="10"/>
        <color rgb="FF0000FF"/>
        <rFont val="宋体"/>
        <family val="3"/>
        <charset val="134"/>
      </rPr>
      <t xml:space="preserve">由被审计单位生成的信息不包括：
</t>
    </r>
    <r>
      <rPr>
        <sz val="10"/>
        <color rgb="FF0000FF"/>
        <rFont val="Arial Narrow"/>
        <family val="2"/>
      </rPr>
      <t xml:space="preserve">• </t>
    </r>
    <r>
      <rPr>
        <sz val="10"/>
        <color rgb="FF0000FF"/>
        <rFont val="宋体"/>
        <family val="3"/>
        <charset val="134"/>
      </rPr>
      <t xml:space="preserve">总分类账或明细分类账、试算平衡表、或经审计的财务报表；
</t>
    </r>
    <r>
      <rPr>
        <sz val="10"/>
        <color rgb="FF0000FF"/>
        <rFont val="Arial Narrow"/>
        <family val="2"/>
      </rPr>
      <t xml:space="preserve">• </t>
    </r>
    <r>
      <rPr>
        <sz val="10"/>
        <color rgb="FF0000FF"/>
        <rFont val="宋体"/>
        <family val="3"/>
        <charset val="134"/>
      </rPr>
      <t xml:space="preserve">第三方（除了服务机构）的报表或报告，例如，原始银行对账单，或函证的回函；
</t>
    </r>
    <r>
      <rPr>
        <sz val="10"/>
        <color rgb="FF0000FF"/>
        <rFont val="Arial Narrow"/>
        <family val="2"/>
      </rPr>
      <t xml:space="preserve">• </t>
    </r>
    <r>
      <rPr>
        <sz val="10"/>
        <color rgb="FF0000FF"/>
        <rFont val="宋体"/>
        <family val="3"/>
        <charset val="134"/>
      </rPr>
      <t>外部数据（例如，第三方发布的数据，如，定价来源）。</t>
    </r>
    <phoneticPr fontId="49" type="noConversion"/>
  </si>
  <si>
    <r>
      <rPr>
        <sz val="11"/>
        <rFont val="Arial Narrow"/>
        <family val="2"/>
      </rPr>
      <t>A1-1</t>
    </r>
    <r>
      <rPr>
        <sz val="11"/>
        <color rgb="FFFF0000"/>
        <rFont val="Arial Narrow"/>
        <family val="2"/>
      </rPr>
      <t>/A1-15 /A1-16</t>
    </r>
    <phoneticPr fontId="17" type="noConversion"/>
  </si>
  <si>
    <t>截止日：201X年12月31日</t>
  </si>
  <si>
    <t>客户名称：</t>
  </si>
  <si>
    <r>
      <t>1.</t>
    </r>
    <r>
      <rPr>
        <sz val="10"/>
        <rFont val="宋体"/>
        <family val="3"/>
        <charset val="134"/>
      </rPr>
      <t>库存股以恰当的金额包括在财务报表中，与之相关的计价或分摊调整已恰当记录，相关披露已得到恰当计量和描述。</t>
    </r>
    <phoneticPr fontId="17" type="noConversion"/>
  </si>
  <si>
    <r>
      <t>11</t>
    </r>
    <r>
      <rPr>
        <sz val="10"/>
        <color rgb="FF3333FF"/>
        <rFont val="宋体"/>
        <family val="3"/>
        <charset val="134"/>
      </rPr>
      <t>、审计说明可以概述：（</t>
    </r>
    <r>
      <rPr>
        <sz val="10"/>
        <color rgb="FF3333FF"/>
        <rFont val="Arial Narrow"/>
        <family val="2"/>
      </rPr>
      <t>1</t>
    </r>
    <r>
      <rPr>
        <sz val="10"/>
        <color rgb="FF3333FF"/>
        <rFont val="宋体"/>
        <family val="3"/>
        <charset val="134"/>
      </rPr>
      <t>）程序的测试情况、结果；（</t>
    </r>
    <r>
      <rPr>
        <sz val="10"/>
        <color rgb="FF3333FF"/>
        <rFont val="Arial Narrow"/>
        <family val="2"/>
      </rPr>
      <t>2</t>
    </r>
    <r>
      <rPr>
        <sz val="10"/>
        <color rgb="FF3333FF"/>
        <rFont val="宋体"/>
        <family val="3"/>
        <charset val="134"/>
      </rPr>
      <t>）拟调整事项及其调整分录、未调整事项及其影响，审计范围受到限制情况及其影响。</t>
    </r>
    <phoneticPr fontId="17" type="noConversion"/>
  </si>
  <si>
    <t>12、审计结论可参考：A、未见异常。B、除上述重大不符事项应当作为调整事项予以调整外，其余未见异常。C、由于存在以下重大未调整事项(或审计范围受到限制无法获取充分、适当证据），不可确认。</t>
    <phoneticPr fontId="17" type="noConversion"/>
  </si>
  <si>
    <r>
      <rPr>
        <sz val="10"/>
        <color indexed="12"/>
        <rFont val="宋体"/>
        <family val="3"/>
        <charset val="134"/>
      </rPr>
      <t>（</t>
    </r>
    <r>
      <rPr>
        <sz val="10"/>
        <color indexed="12"/>
        <rFont val="Arial Narrow"/>
        <family val="2"/>
      </rPr>
      <t>1</t>
    </r>
    <r>
      <rPr>
        <sz val="10"/>
        <color indexed="12"/>
        <rFont val="宋体"/>
        <family val="3"/>
        <charset val="134"/>
      </rPr>
      <t>）回购本公司股份的原因及对应的库存股成本确定方法；</t>
    </r>
  </si>
  <si>
    <r>
      <rPr>
        <sz val="10"/>
        <color indexed="12"/>
        <rFont val="宋体"/>
        <family val="3"/>
        <charset val="134"/>
      </rPr>
      <t>（</t>
    </r>
    <r>
      <rPr>
        <sz val="10"/>
        <color indexed="12"/>
        <rFont val="Arial Narrow"/>
        <family val="2"/>
      </rPr>
      <t>2</t>
    </r>
    <r>
      <rPr>
        <sz val="10"/>
        <color indexed="12"/>
        <rFont val="宋体"/>
        <family val="3"/>
        <charset val="134"/>
      </rPr>
      <t>）因库存股注销而减少的股本；</t>
    </r>
  </si>
  <si>
    <r>
      <rPr>
        <sz val="10"/>
        <color indexed="12"/>
        <rFont val="宋体"/>
        <family val="3"/>
        <charset val="134"/>
      </rPr>
      <t>（</t>
    </r>
    <r>
      <rPr>
        <sz val="10"/>
        <color indexed="12"/>
        <rFont val="Arial Narrow"/>
        <family val="2"/>
      </rPr>
      <t>3</t>
    </r>
    <r>
      <rPr>
        <sz val="10"/>
        <color indexed="12"/>
        <rFont val="宋体"/>
        <family val="3"/>
        <charset val="134"/>
      </rPr>
      <t>）注销的库存股成本高于对应股本成本的，披露依次冲减的资本公积、盈余公积、未分配利润的金额；注销的库存股成本低于对应股本成本的，披露增加的资本公积金额；</t>
    </r>
  </si>
  <si>
    <r>
      <rPr>
        <sz val="10"/>
        <color indexed="12"/>
        <rFont val="宋体"/>
        <family val="3"/>
        <charset val="134"/>
      </rPr>
      <t>（</t>
    </r>
    <r>
      <rPr>
        <sz val="10"/>
        <color indexed="12"/>
        <rFont val="Arial Narrow"/>
        <family val="2"/>
      </rPr>
      <t>4</t>
    </r>
    <r>
      <rPr>
        <sz val="10"/>
        <color indexed="12"/>
        <rFont val="宋体"/>
        <family val="3"/>
        <charset val="134"/>
      </rPr>
      <t>）库存股转让时，转让收入高于库存股成本的，披露增加的资本公积金额；转让收入低于库存股成本的，披露依次冲减的资本公积、盈余公积、未分配利润的金额；</t>
    </r>
  </si>
  <si>
    <r>
      <rPr>
        <sz val="10"/>
        <color indexed="12"/>
        <rFont val="宋体"/>
        <family val="3"/>
        <charset val="134"/>
      </rPr>
      <t>（</t>
    </r>
    <r>
      <rPr>
        <sz val="10"/>
        <color indexed="12"/>
        <rFont val="Arial Narrow"/>
        <family val="2"/>
      </rPr>
      <t>5</t>
    </r>
    <r>
      <rPr>
        <sz val="10"/>
        <color indexed="12"/>
        <rFont val="宋体"/>
        <family val="3"/>
        <charset val="134"/>
      </rPr>
      <t>）因实行股权激励回购本公司股份的，应披露本期回购股份占本公司已发行股份的总比例和累计库存股占已发行股份的总比例。</t>
    </r>
  </si>
  <si>
    <r>
      <t>1</t>
    </r>
    <r>
      <rPr>
        <sz val="10"/>
        <color indexed="12"/>
        <rFont val="宋体"/>
        <family val="3"/>
        <charset val="134"/>
      </rPr>
      <t>、本科目核算企业收购、转让或注销的本公司股份金额。</t>
    </r>
    <phoneticPr fontId="17" type="noConversion"/>
  </si>
  <si>
    <r>
      <t>2</t>
    </r>
    <r>
      <rPr>
        <sz val="10"/>
        <color indexed="12"/>
        <rFont val="宋体"/>
        <family val="3"/>
        <charset val="134"/>
      </rPr>
      <t>、公司回购的股份在注销或者转让之前</t>
    </r>
    <r>
      <rPr>
        <sz val="10"/>
        <color indexed="12"/>
        <rFont val="Arial Narrow"/>
        <family val="2"/>
      </rPr>
      <t>,</t>
    </r>
    <r>
      <rPr>
        <sz val="10"/>
        <color indexed="12"/>
        <rFont val="宋体"/>
        <family val="3"/>
        <charset val="134"/>
      </rPr>
      <t>作为库存股管理</t>
    </r>
    <r>
      <rPr>
        <sz val="10"/>
        <color indexed="12"/>
        <rFont val="Arial Narrow"/>
        <family val="2"/>
      </rPr>
      <t>,</t>
    </r>
    <r>
      <rPr>
        <sz val="10"/>
        <color indexed="12"/>
        <rFont val="宋体"/>
        <family val="3"/>
        <charset val="134"/>
      </rPr>
      <t>回购股份的全部支出转作库存股成本。</t>
    </r>
    <phoneticPr fontId="17" type="noConversion"/>
  </si>
  <si>
    <r>
      <t>3</t>
    </r>
    <r>
      <rPr>
        <sz val="10"/>
        <color indexed="12"/>
        <rFont val="宋体"/>
        <family val="3"/>
        <charset val="134"/>
      </rPr>
      <t>、库存股注销时</t>
    </r>
    <r>
      <rPr>
        <sz val="10"/>
        <color indexed="12"/>
        <rFont val="Arial Narrow"/>
        <family val="2"/>
      </rPr>
      <t>,</t>
    </r>
    <r>
      <rPr>
        <sz val="10"/>
        <color indexed="12"/>
        <rFont val="宋体"/>
        <family val="3"/>
        <charset val="134"/>
      </rPr>
      <t>按照注销的股份数量减少相应股本</t>
    </r>
    <r>
      <rPr>
        <sz val="10"/>
        <color indexed="12"/>
        <rFont val="Arial Narrow"/>
        <family val="2"/>
      </rPr>
      <t>,</t>
    </r>
    <r>
      <rPr>
        <sz val="10"/>
        <color indexed="12"/>
        <rFont val="宋体"/>
        <family val="3"/>
        <charset val="134"/>
      </rPr>
      <t>库存股成本高于对应股本的部分</t>
    </r>
    <r>
      <rPr>
        <sz val="10"/>
        <color indexed="12"/>
        <rFont val="Arial Narrow"/>
        <family val="2"/>
      </rPr>
      <t>,</t>
    </r>
    <r>
      <rPr>
        <sz val="10"/>
        <color indexed="12"/>
        <rFont val="宋体"/>
        <family val="3"/>
        <charset val="134"/>
      </rPr>
      <t>依次冲减资本公积金、盈余公积金、以前年度未分配利润</t>
    </r>
    <r>
      <rPr>
        <sz val="10"/>
        <color indexed="12"/>
        <rFont val="Arial Narrow"/>
        <family val="2"/>
      </rPr>
      <t>;</t>
    </r>
    <r>
      <rPr>
        <sz val="10"/>
        <color indexed="12"/>
        <rFont val="宋体"/>
        <family val="3"/>
        <charset val="134"/>
      </rPr>
      <t>低于对应股本的部分</t>
    </r>
    <r>
      <rPr>
        <sz val="10"/>
        <color indexed="12"/>
        <rFont val="Arial Narrow"/>
        <family val="2"/>
      </rPr>
      <t>,</t>
    </r>
    <r>
      <rPr>
        <sz val="10"/>
        <color indexed="12"/>
        <rFont val="宋体"/>
        <family val="3"/>
        <charset val="134"/>
      </rPr>
      <t>增加资本公积金。</t>
    </r>
    <phoneticPr fontId="17" type="noConversion"/>
  </si>
  <si>
    <r>
      <t>4</t>
    </r>
    <r>
      <rPr>
        <sz val="10"/>
        <color indexed="12"/>
        <rFont val="宋体"/>
        <family val="3"/>
        <charset val="134"/>
      </rPr>
      <t>、库存股转让时</t>
    </r>
    <r>
      <rPr>
        <sz val="10"/>
        <color indexed="12"/>
        <rFont val="Arial Narrow"/>
        <family val="2"/>
      </rPr>
      <t>,</t>
    </r>
    <r>
      <rPr>
        <sz val="10"/>
        <color indexed="12"/>
        <rFont val="宋体"/>
        <family val="3"/>
        <charset val="134"/>
      </rPr>
      <t>转让收入高于库存股成本的部分</t>
    </r>
    <r>
      <rPr>
        <sz val="10"/>
        <color indexed="12"/>
        <rFont val="Arial Narrow"/>
        <family val="2"/>
      </rPr>
      <t>,</t>
    </r>
    <r>
      <rPr>
        <sz val="10"/>
        <color indexed="12"/>
        <rFont val="宋体"/>
        <family val="3"/>
        <charset val="134"/>
      </rPr>
      <t>增加资本公积金</t>
    </r>
    <r>
      <rPr>
        <sz val="10"/>
        <color indexed="12"/>
        <rFont val="Arial Narrow"/>
        <family val="2"/>
      </rPr>
      <t>;</t>
    </r>
    <r>
      <rPr>
        <sz val="10"/>
        <color indexed="12"/>
        <rFont val="宋体"/>
        <family val="3"/>
        <charset val="134"/>
      </rPr>
      <t>低于库存股成本的部分</t>
    </r>
    <r>
      <rPr>
        <sz val="10"/>
        <color indexed="12"/>
        <rFont val="Arial Narrow"/>
        <family val="2"/>
      </rPr>
      <t>,</t>
    </r>
    <r>
      <rPr>
        <sz val="10"/>
        <color indexed="12"/>
        <rFont val="宋体"/>
        <family val="3"/>
        <charset val="134"/>
      </rPr>
      <t>依次冲减资本公积金、盈余公积金、以前年度未分配利润。</t>
    </r>
    <phoneticPr fontId="17" type="noConversion"/>
  </si>
  <si>
    <r>
      <t>5</t>
    </r>
    <r>
      <rPr>
        <sz val="10"/>
        <color indexed="12"/>
        <rFont val="宋体"/>
        <family val="3"/>
        <charset val="134"/>
      </rPr>
      <t>、因实行职工股权激励办法而回购股份的</t>
    </r>
    <r>
      <rPr>
        <sz val="10"/>
        <color indexed="12"/>
        <rFont val="Arial Narrow"/>
        <family val="2"/>
      </rPr>
      <t>,</t>
    </r>
    <r>
      <rPr>
        <sz val="10"/>
        <color indexed="12"/>
        <rFont val="宋体"/>
        <family val="3"/>
        <charset val="134"/>
      </rPr>
      <t>回购股份不得超过本公司已发行股份总额的百分之五</t>
    </r>
    <r>
      <rPr>
        <sz val="10"/>
        <color indexed="12"/>
        <rFont val="Arial Narrow"/>
        <family val="2"/>
      </rPr>
      <t>,</t>
    </r>
    <r>
      <rPr>
        <sz val="10"/>
        <color indexed="12"/>
        <rFont val="宋体"/>
        <family val="3"/>
        <charset val="134"/>
      </rPr>
      <t>所需资金应当控制在当期可供投资者分配的利润数额之内。</t>
    </r>
    <phoneticPr fontId="17" type="noConversion"/>
  </si>
  <si>
    <r>
      <t>6</t>
    </r>
    <r>
      <rPr>
        <sz val="10"/>
        <color indexed="12"/>
        <rFont val="宋体"/>
        <family val="3"/>
        <charset val="134"/>
      </rPr>
      <t>、库存股不得参与公司利润分配</t>
    </r>
    <r>
      <rPr>
        <sz val="10"/>
        <color indexed="12"/>
        <rFont val="Arial Narrow"/>
        <family val="2"/>
      </rPr>
      <t>,</t>
    </r>
    <r>
      <rPr>
        <sz val="10"/>
        <color indexed="12"/>
        <rFont val="宋体"/>
        <family val="3"/>
        <charset val="134"/>
      </rPr>
      <t>股份有限公司应当将其作为所有者权益的备抵项目反映。</t>
    </r>
    <phoneticPr fontId="17" type="noConversion"/>
  </si>
  <si>
    <r>
      <t>7</t>
    </r>
    <r>
      <rPr>
        <sz val="10"/>
        <color indexed="12"/>
        <rFont val="宋体"/>
        <family val="3"/>
        <charset val="134"/>
      </rPr>
      <t>、公司因减少公司注册资本、将股份奖励给本公司职工的原因收购本公司股份的，应当经股东大会决议。</t>
    </r>
    <phoneticPr fontId="17" type="noConversion"/>
  </si>
  <si>
    <r>
      <t>8</t>
    </r>
    <r>
      <rPr>
        <sz val="10"/>
        <color indexed="12"/>
        <rFont val="宋体"/>
        <family val="3"/>
        <charset val="134"/>
      </rPr>
      <t>、公司收购本公司股份后，属于减少公司注册资本情形的，应当自收购之日起十日内注销；</t>
    </r>
    <phoneticPr fontId="17" type="noConversion"/>
  </si>
  <si>
    <r>
      <t>9</t>
    </r>
    <r>
      <rPr>
        <sz val="10"/>
        <color indexed="12"/>
        <rFont val="宋体"/>
        <family val="3"/>
        <charset val="134"/>
      </rPr>
      <t>、公司因将股份奖励给本公司职工而收购的本公司股份，不得超过本公司已发行股份总额的百分之五；</t>
    </r>
    <phoneticPr fontId="17" type="noConversion"/>
  </si>
  <si>
    <r>
      <rPr>
        <sz val="10"/>
        <color indexed="12"/>
        <rFont val="宋体"/>
        <family val="3"/>
        <charset val="134"/>
      </rPr>
      <t>用于收购的资金应当从公司的税后利润中支出；所收购的股份应当在</t>
    </r>
    <r>
      <rPr>
        <b/>
        <sz val="10"/>
        <color indexed="12"/>
        <rFont val="宋体"/>
        <family val="3"/>
        <charset val="134"/>
      </rPr>
      <t>一年内</t>
    </r>
    <r>
      <rPr>
        <sz val="10"/>
        <color indexed="12"/>
        <rFont val="宋体"/>
        <family val="3"/>
        <charset val="134"/>
      </rPr>
      <t>转让给职工。</t>
    </r>
    <phoneticPr fontId="17" type="noConversion"/>
  </si>
  <si>
    <r>
      <t>10</t>
    </r>
    <r>
      <rPr>
        <sz val="10"/>
        <color indexed="12"/>
        <rFont val="宋体"/>
        <family val="3"/>
        <charset val="134"/>
      </rPr>
      <t>、公司应披露与库存股相关的如下信息：</t>
    </r>
    <phoneticPr fontId="17" type="noConversion"/>
  </si>
  <si>
    <r>
      <rPr>
        <sz val="10"/>
        <rFont val="宋体"/>
        <family val="3"/>
        <charset val="134"/>
      </rPr>
      <t>页</t>
    </r>
    <r>
      <rPr>
        <sz val="10"/>
        <rFont val="Arial Narrow"/>
        <family val="2"/>
      </rPr>
      <t xml:space="preserve">  </t>
    </r>
    <r>
      <rPr>
        <sz val="10"/>
        <rFont val="宋体"/>
        <family val="3"/>
        <charset val="134"/>
      </rPr>
      <t>次：</t>
    </r>
    <phoneticPr fontId="49" type="noConversion"/>
  </si>
  <si>
    <r>
      <rPr>
        <sz val="10"/>
        <color theme="1" tint="0.14999847407452621"/>
        <rFont val="宋体"/>
        <family val="3"/>
        <charset val="134"/>
      </rPr>
      <t>库存股</t>
    </r>
    <phoneticPr fontId="49" type="noConversion"/>
  </si>
  <si>
    <r>
      <rPr>
        <b/>
        <sz val="10"/>
        <rFont val="宋体"/>
        <family val="3"/>
        <charset val="134"/>
      </rPr>
      <t>二、审计目标与认定的对应关系</t>
    </r>
    <phoneticPr fontId="17" type="noConversion"/>
  </si>
  <si>
    <r>
      <rPr>
        <b/>
        <sz val="10"/>
        <rFont val="宋体"/>
        <family val="3"/>
        <charset val="134"/>
      </rPr>
      <t>审计目标</t>
    </r>
    <phoneticPr fontId="17" type="noConversion"/>
  </si>
  <si>
    <r>
      <t xml:space="preserve">D. </t>
    </r>
    <r>
      <rPr>
        <sz val="10"/>
        <rFont val="宋体"/>
        <family val="3"/>
        <charset val="134"/>
      </rPr>
      <t>实收资本以恰当的金额包括在财务报表中，与之相关的计价或分摊调整已恰当记录，相关披露已得到恰当计量和描述</t>
    </r>
    <r>
      <rPr>
        <sz val="10"/>
        <rFont val="Arial Narrow"/>
        <family val="2"/>
      </rPr>
      <t xml:space="preserve"> </t>
    </r>
    <phoneticPr fontId="17" type="noConversion"/>
  </si>
  <si>
    <r>
      <rPr>
        <b/>
        <sz val="10"/>
        <rFont val="宋体"/>
        <family val="3"/>
        <charset val="134"/>
      </rPr>
      <t>财务报表的认定</t>
    </r>
    <phoneticPr fontId="17" type="noConversion"/>
  </si>
  <si>
    <r>
      <rPr>
        <b/>
        <sz val="10"/>
        <rFont val="宋体"/>
        <family val="3"/>
        <charset val="134"/>
      </rPr>
      <t>存在</t>
    </r>
    <phoneticPr fontId="17" type="noConversion"/>
  </si>
  <si>
    <r>
      <rPr>
        <b/>
        <sz val="10"/>
        <rFont val="宋体"/>
        <family val="3"/>
        <charset val="134"/>
      </rPr>
      <t>完整性</t>
    </r>
    <phoneticPr fontId="17" type="noConversion"/>
  </si>
  <si>
    <r>
      <rPr>
        <b/>
        <sz val="10"/>
        <rFont val="宋体"/>
        <family val="3"/>
        <charset val="134"/>
      </rPr>
      <t>权利和
义务</t>
    </r>
    <phoneticPr fontId="17" type="noConversion"/>
  </si>
  <si>
    <r>
      <rPr>
        <b/>
        <sz val="10"/>
        <rFont val="宋体"/>
        <family val="3"/>
        <charset val="134"/>
      </rPr>
      <t>准确性、计价和分摊</t>
    </r>
  </si>
  <si>
    <r>
      <rPr>
        <b/>
        <sz val="10"/>
        <rFont val="宋体"/>
        <family val="3"/>
        <charset val="134"/>
      </rPr>
      <t>列报</t>
    </r>
    <phoneticPr fontId="17" type="noConversion"/>
  </si>
  <si>
    <r>
      <rPr>
        <sz val="10"/>
        <color theme="1"/>
        <rFont val="宋体"/>
        <family val="3"/>
        <charset val="134"/>
      </rPr>
      <t>常规★</t>
    </r>
    <phoneticPr fontId="49" type="noConversion"/>
  </si>
  <si>
    <r>
      <rPr>
        <b/>
        <sz val="10"/>
        <color theme="1"/>
        <rFont val="宋体"/>
        <family val="3"/>
        <charset val="134"/>
      </rPr>
      <t>√</t>
    </r>
    <phoneticPr fontId="17" type="noConversion"/>
  </si>
  <si>
    <r>
      <rPr>
        <sz val="10"/>
        <rFont val="宋体"/>
        <family val="3"/>
        <charset val="134"/>
      </rPr>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r>
  </si>
  <si>
    <r>
      <rPr>
        <sz val="10"/>
        <color theme="1"/>
        <rFont val="宋体"/>
        <family val="3"/>
        <charset val="134"/>
      </rPr>
      <t>备选</t>
    </r>
    <phoneticPr fontId="49" type="noConversion"/>
  </si>
  <si>
    <r>
      <rPr>
        <sz val="10"/>
        <color theme="1"/>
        <rFont val="宋体"/>
        <family val="3"/>
        <charset val="134"/>
      </rPr>
      <t>√</t>
    </r>
    <phoneticPr fontId="17" type="noConversion"/>
  </si>
  <si>
    <r>
      <rPr>
        <sz val="10"/>
        <color theme="1"/>
        <rFont val="宋体"/>
        <family val="3"/>
        <charset val="134"/>
      </rPr>
      <t>备选</t>
    </r>
  </si>
  <si>
    <r>
      <rPr>
        <sz val="10"/>
        <color theme="1"/>
        <rFont val="宋体"/>
        <family val="3"/>
        <charset val="134"/>
      </rPr>
      <t>复核普通股基本每股收益和稀释每股收益计算的准确性，将金额和股数与财务报表核对</t>
    </r>
    <phoneticPr fontId="17" type="noConversion"/>
  </si>
  <si>
    <r>
      <rPr>
        <sz val="10"/>
        <color theme="1"/>
        <rFont val="宋体"/>
        <family val="3"/>
        <charset val="134"/>
      </rPr>
      <t>检查库存股是否已按企业会计准则或其他适用的规定在财务报表中做出恰当列报和披露。</t>
    </r>
    <phoneticPr fontId="17" type="noConversion"/>
  </si>
  <si>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phoneticPr fontId="17" type="noConversion"/>
  </si>
  <si>
    <r>
      <rPr>
        <sz val="10"/>
        <rFont val="宋体"/>
        <family val="3"/>
        <charset val="134"/>
      </rPr>
      <t>获取或编制库存股明细表，并完成以下工作，并编制审定表
（</t>
    </r>
    <r>
      <rPr>
        <sz val="10"/>
        <rFont val="Arial Narrow"/>
        <family val="2"/>
      </rPr>
      <t>1</t>
    </r>
    <r>
      <rPr>
        <sz val="10"/>
        <rFont val="宋体"/>
        <family val="3"/>
        <charset val="134"/>
      </rPr>
      <t>）复核加计是否正确，与总账、明细账合计数核对是否相符，期初余额与上期审定期末余额是否相符；
（</t>
    </r>
    <r>
      <rPr>
        <sz val="10"/>
        <rFont val="Arial Narrow"/>
        <family val="2"/>
      </rPr>
      <t>2</t>
    </r>
    <r>
      <rPr>
        <sz val="10"/>
        <rFont val="宋体"/>
        <family val="3"/>
        <charset val="134"/>
      </rPr>
      <t>）以非记账本位币出资的，检查其折算汇率是否符合规定，折算差额的会计处理是否正确。</t>
    </r>
    <phoneticPr fontId="49" type="noConversion"/>
  </si>
  <si>
    <t>底稿索引号</t>
    <phoneticPr fontId="17" type="noConversion"/>
  </si>
  <si>
    <r>
      <t>对期初余额的审计，取得库存股期初余额明细表复核加计是否正确，与总账、明细账合计数是否相符，取得期初库存股形成的相关决议、文件，检查上期库存股在本期注销情况。</t>
    </r>
    <r>
      <rPr>
        <sz val="10"/>
        <color rgb="FFFF0000"/>
        <rFont val="宋体"/>
        <family val="3"/>
        <charset val="134"/>
      </rPr>
      <t>（适用于首次承接）</t>
    </r>
    <phoneticPr fontId="17" type="noConversion"/>
  </si>
  <si>
    <t>√</t>
    <phoneticPr fontId="17" type="noConversion"/>
  </si>
  <si>
    <t>√</t>
    <phoneticPr fontId="17" type="noConversion"/>
  </si>
  <si>
    <t>√</t>
    <phoneticPr fontId="17" type="noConversion"/>
  </si>
  <si>
    <r>
      <rPr>
        <sz val="10"/>
        <rFont val="宋体"/>
        <family val="3"/>
        <charset val="134"/>
      </rPr>
      <t>对本期库存股发生的增减变动：
（</t>
    </r>
    <r>
      <rPr>
        <sz val="10"/>
        <rFont val="Arial Narrow"/>
        <family val="2"/>
      </rPr>
      <t>1</t>
    </r>
    <r>
      <rPr>
        <sz val="10"/>
        <rFont val="宋体"/>
        <family val="3"/>
        <charset val="134"/>
      </rPr>
      <t>）获取公司回购股份的股东（大）会</t>
    </r>
    <r>
      <rPr>
        <sz val="10"/>
        <rFont val="Arial Narrow"/>
        <family val="2"/>
      </rPr>
      <t>/</t>
    </r>
    <r>
      <rPr>
        <sz val="10"/>
        <rFont val="宋体"/>
        <family val="3"/>
        <charset val="134"/>
      </rPr>
      <t>董事会决议、审批文件等，检查回购股份手续是否完整，是否符合法律规定。</t>
    </r>
    <r>
      <rPr>
        <sz val="10"/>
        <rFont val="Arial Narrow"/>
        <family val="2"/>
      </rPr>
      <t xml:space="preserve">
</t>
    </r>
    <r>
      <rPr>
        <sz val="10"/>
        <rFont val="宋体"/>
        <family val="3"/>
        <charset val="134"/>
      </rPr>
      <t>（</t>
    </r>
    <r>
      <rPr>
        <sz val="10"/>
        <rFont val="Arial Narrow"/>
        <family val="2"/>
      </rPr>
      <t>2</t>
    </r>
    <r>
      <rPr>
        <sz val="10"/>
        <rFont val="宋体"/>
        <family val="3"/>
        <charset val="134"/>
      </rPr>
      <t>）检查回购股份交易的记账凭证和原始凭证，检查会计处理是否正确。
（</t>
    </r>
    <r>
      <rPr>
        <sz val="10"/>
        <rFont val="Arial Narrow"/>
        <family val="2"/>
      </rPr>
      <t>3</t>
    </r>
    <r>
      <rPr>
        <sz val="10"/>
        <rFont val="宋体"/>
        <family val="3"/>
        <charset val="134"/>
      </rPr>
      <t>）检查注销股份的相关流程是否合规、会计处理是否正确。</t>
    </r>
    <phoneticPr fontId="17" type="noConversion"/>
  </si>
  <si>
    <t>√</t>
    <phoneticPr fontId="17" type="noConversion"/>
  </si>
  <si>
    <t>根据评估的舞弊风险等因素增加的审计程序。</t>
    <phoneticPr fontId="17" type="noConversion"/>
  </si>
  <si>
    <t xml:space="preserve">
限制性股票应重分类为其他应付款并以公允价值计量。除了解锁后的限制因素外，限制性股票的公允价值应以普通股市价为基础进行计量。限制性股票的公允价值=授予日流通股的市价（收盘价）-解锁后的限制性因素成本。</t>
    <phoneticPr fontId="17" type="noConversion"/>
  </si>
  <si>
    <t>提示：</t>
    <phoneticPr fontId="17" type="noConversion"/>
  </si>
  <si>
    <t>1.资产负债表中记录的库存股是存在的，且已经记录在恰当的账户中；</t>
    <phoneticPr fontId="17" type="noConversion"/>
  </si>
  <si>
    <t>2.所有应记录的库存股均已记录，所有应当包括在财务报表中的相关披露均已包括；</t>
    <phoneticPr fontId="17" type="noConversion"/>
  </si>
  <si>
    <t>3.库存股以恰当的金额包括在财务报表中，与之相关的计价或分摊调整已恰当记录，相关披露已得到恰当计量和描述 ；</t>
    <phoneticPr fontId="17" type="noConversion"/>
  </si>
  <si>
    <r>
      <t>1.</t>
    </r>
    <r>
      <rPr>
        <sz val="10"/>
        <rFont val="宋体"/>
        <family val="3"/>
        <charset val="134"/>
      </rPr>
      <t>检查股票回购的交易活动。检查的内容包括已发行股票的登记簿、回购的股票、银行对账单、会计账面记录等；</t>
    </r>
    <phoneticPr fontId="17" type="noConversion"/>
  </si>
  <si>
    <r>
      <t>2.</t>
    </r>
    <r>
      <rPr>
        <sz val="10"/>
        <rFont val="宋体"/>
        <family val="3"/>
        <charset val="134"/>
      </rPr>
      <t>以回购股票以及其他法定程序报经批准减资的，检查股东会决议以及相关的法律文件，手续是否办理，检查其是否按注销的股票面值总额和所注销的库存股的账面余额，冲减资本公积，会计处理是否正确；</t>
    </r>
    <phoneticPr fontId="17" type="noConversion"/>
  </si>
  <si>
    <t>三、测试：</t>
    <phoneticPr fontId="26" type="noConversion"/>
  </si>
  <si>
    <t>1.资产负债表中记录的库存股是存在的。</t>
    <phoneticPr fontId="17" type="noConversion"/>
  </si>
  <si>
    <r>
      <t>2.</t>
    </r>
    <r>
      <rPr>
        <sz val="10"/>
        <rFont val="宋体"/>
        <family val="3"/>
        <charset val="134"/>
      </rPr>
      <t>记录的库存股由被审计单位拥有或控制</t>
    </r>
    <phoneticPr fontId="17" type="noConversion"/>
  </si>
  <si>
    <t>2.库存股以恰当的金额包括在财务报表中，与之相关的计价或分摊调整已恰当记录，相关披露已得到恰当计量和描述。</t>
    <phoneticPr fontId="17" type="noConversion"/>
  </si>
  <si>
    <t>合计</t>
    <phoneticPr fontId="17" type="noConversion"/>
  </si>
  <si>
    <t>日期</t>
  </si>
  <si>
    <t>凭证编号</t>
  </si>
  <si>
    <t>对方明细科目</t>
    <phoneticPr fontId="17" type="noConversion"/>
  </si>
  <si>
    <t>记账凭证</t>
    <phoneticPr fontId="17" type="noConversion"/>
  </si>
  <si>
    <t>业务内容</t>
    <phoneticPr fontId="17" type="noConversion"/>
  </si>
  <si>
    <t>对方科目</t>
    <phoneticPr fontId="17" type="noConversion"/>
  </si>
  <si>
    <t>借方金额</t>
    <phoneticPr fontId="17" type="noConversion"/>
  </si>
  <si>
    <t>贷方金额</t>
    <phoneticPr fontId="17" type="noConversion"/>
  </si>
  <si>
    <t>支持性文件</t>
    <phoneticPr fontId="17" type="noConversion"/>
  </si>
  <si>
    <r>
      <rPr>
        <b/>
        <sz val="10"/>
        <rFont val="宋体"/>
        <family val="3"/>
        <charset val="134"/>
      </rPr>
      <t>核对内容</t>
    </r>
  </si>
  <si>
    <t>备注说明</t>
    <phoneticPr fontId="17" type="noConversion"/>
  </si>
  <si>
    <t>准确性、计价和分摊</t>
    <phoneticPr fontId="17" type="noConversion"/>
  </si>
  <si>
    <t>列报</t>
    <phoneticPr fontId="17" type="noConversion"/>
  </si>
  <si>
    <t>库存股实质性程序</t>
    <phoneticPr fontId="17" type="noConversion"/>
  </si>
  <si>
    <t>T1/</t>
    <phoneticPr fontId="49" type="noConversion"/>
  </si>
  <si>
    <t>M3-1
/M3-2
/M3-4</t>
    <phoneticPr fontId="49" type="noConversion"/>
  </si>
  <si>
    <t>M3-5</t>
    <phoneticPr fontId="49" type="noConversion"/>
  </si>
  <si>
    <t>库存股检查表</t>
    <phoneticPr fontId="17" type="noConversion"/>
  </si>
  <si>
    <t>库存股检查表</t>
    <phoneticPr fontId="17" type="noConversion"/>
  </si>
  <si>
    <t>页  次：</t>
    <phoneticPr fontId="17" type="noConversion"/>
  </si>
  <si>
    <t>页  次：</t>
    <phoneticPr fontId="17" type="noConversion"/>
  </si>
  <si>
    <t>是否异常</t>
    <phoneticPr fontId="17" type="noConversion"/>
  </si>
  <si>
    <t>第一百六十二条公司不得收购本公司股份。但是，有下列情形之一的除外：</t>
    <phoneticPr fontId="17" type="noConversion"/>
  </si>
  <si>
    <t>（五）将股份用于转换公司发行的可转换为股票的公司债券；</t>
    <phoneticPr fontId="17" type="noConversion"/>
  </si>
  <si>
    <t>公司因前款第一项、第二项规定的情形收购本公司股份的，应当经股东会决议；公司因前款第三项、第五项、第六项规定的情形收购本公司股份的，可以按照公司章程或者股东会的授权，经三分之二以上董事出席的董事会会议决议。</t>
    <phoneticPr fontId="17" type="noConversion"/>
  </si>
  <si>
    <t>公司依照本条第一款规定收购本公司股份后，属于第一项情形的，应当自收购之日起十日内注销；属于第二项、第四项情形的，应当在六个月内转让或者注销；属于第三项、第五项、第六项情形的，公司合计持有的本公司股份数不得超过本公司已发行股份总数的百分之十，并应当在三年内转让或者注销。</t>
    <phoneticPr fontId="17" type="noConversion"/>
  </si>
  <si>
    <t>上市公司收购本公司股份的，应当依照《中华人民共和国证券法》的规定履行信息披露义务。上市公司因本条第一款第三项、第五项、第六项规定的情形收购本公司股份的，应当通过公开的集中交易方式进行。</t>
    <phoneticPr fontId="17" type="noConversion"/>
  </si>
  <si>
    <t>公司不得接受本公司的股份作为质权的标的。</t>
    <phoneticPr fontId="17" type="noConversion"/>
  </si>
  <si>
    <t>关于《公司法》施行后有关企业财务处理问题的通知20060401</t>
    <phoneticPr fontId="17" type="noConversion"/>
  </si>
  <si>
    <t>IPO/上市/新三板/重组/舞弊应对</t>
    <phoneticPr fontId="49" type="noConversion"/>
  </si>
  <si>
    <r>
      <rPr>
        <sz val="10"/>
        <rFont val="宋体"/>
        <family val="3"/>
        <charset val="134"/>
      </rPr>
      <t>被审计单位：</t>
    </r>
    <r>
      <rPr>
        <sz val="10"/>
        <rFont val="Arial Narrow"/>
        <family val="2"/>
      </rPr>
      <t/>
    </r>
    <phoneticPr fontId="17" type="noConversion"/>
  </si>
  <si>
    <t>编制人：</t>
    <phoneticPr fontId="17" type="noConversion"/>
  </si>
  <si>
    <t>编制日期：</t>
    <phoneticPr fontId="17" type="noConversion"/>
  </si>
  <si>
    <t>复核人：</t>
    <phoneticPr fontId="17" type="noConversion"/>
  </si>
  <si>
    <t>复核日期：</t>
    <phoneticPr fontId="17" type="noConversion"/>
  </si>
  <si>
    <t>完整性</t>
    <phoneticPr fontId="17" type="noConversion"/>
  </si>
  <si>
    <t>存在</t>
    <phoneticPr fontId="17" type="noConversion"/>
  </si>
  <si>
    <t>权利和义务</t>
    <phoneticPr fontId="17" type="noConversion"/>
  </si>
  <si>
    <r>
      <t xml:space="preserve">E. </t>
    </r>
    <r>
      <rPr>
        <sz val="10"/>
        <rFont val="宋体"/>
        <family val="3"/>
        <charset val="134"/>
      </rPr>
      <t>实收资本已被恰当地汇总或分解且表述清楚，相关披露在按照企业会计准则的编制基础下是相关的、可理解的</t>
    </r>
    <phoneticPr fontId="17"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</si>
  <si>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</si>
  <si>
    <t>关于工作底稿与审计程序索引号对应的说明</t>
    <phoneticPr fontId="17" type="noConversion"/>
  </si>
  <si>
    <r>
      <t>1.</t>
    </r>
    <r>
      <rPr>
        <b/>
        <sz val="12"/>
        <rFont val="宋体"/>
        <family val="3"/>
        <charset val="134"/>
      </rPr>
      <t>编制的审计工作底稿应与审计程序对应。</t>
    </r>
    <r>
      <rPr>
        <sz val="12"/>
        <rFont val="宋体"/>
        <family val="3"/>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17" type="noConversion"/>
  </si>
  <si>
    <r>
      <t>2.</t>
    </r>
    <r>
      <rPr>
        <b/>
        <sz val="12"/>
        <rFont val="宋体"/>
        <family val="3"/>
        <charset val="134"/>
      </rPr>
      <t>获取的支持性证据应与审计底稿或程序对应。</t>
    </r>
    <r>
      <rPr>
        <sz val="12"/>
        <rFont val="宋体"/>
        <family val="3"/>
        <charset val="134"/>
      </rPr>
      <t>审计项目组在完成底稿时获取的支持性证据应根据底稿索引号编制下一级按自然顺序排序的索引号（如</t>
    </r>
    <r>
      <rPr>
        <sz val="12"/>
        <rFont val="Arial Narrow"/>
        <family val="2"/>
      </rPr>
      <t>D1-2-1</t>
    </r>
    <r>
      <rPr>
        <sz val="12"/>
        <rFont val="宋体"/>
        <family val="3"/>
        <charset val="134"/>
      </rPr>
      <t>、</t>
    </r>
    <r>
      <rPr>
        <sz val="12"/>
        <rFont val="Arial Narrow"/>
        <family val="2"/>
      </rPr>
      <t>D1-2-2</t>
    </r>
    <r>
      <rPr>
        <sz val="12"/>
        <rFont val="宋体"/>
        <family val="3"/>
        <charset val="134"/>
      </rPr>
      <t>、</t>
    </r>
    <r>
      <rPr>
        <sz val="12"/>
        <rFont val="Arial Narrow"/>
        <family val="2"/>
      </rPr>
      <t>……</t>
    </r>
    <r>
      <rPr>
        <sz val="12"/>
        <rFont val="宋体"/>
        <family val="3"/>
        <charset val="134"/>
      </rPr>
      <t>），并在底稿中说明引用的支持性证据、关联索引号。</t>
    </r>
    <phoneticPr fontId="17" type="noConversion"/>
  </si>
  <si>
    <r>
      <rPr>
        <b/>
        <sz val="12"/>
        <rFont val="Arial Narrow"/>
        <family val="2"/>
      </rPr>
      <t>3.</t>
    </r>
    <r>
      <rPr>
        <b/>
        <sz val="12"/>
        <rFont val="宋体"/>
        <family val="3"/>
        <charset val="134"/>
      </rPr>
      <t>工作底稿索引号的编码规则：</t>
    </r>
    <r>
      <rPr>
        <sz val="12"/>
        <rFont val="宋体"/>
        <family val="3"/>
        <charset val="134"/>
      </rPr>
      <t>实质性程序索引号按循环从</t>
    </r>
    <r>
      <rPr>
        <sz val="12"/>
        <rFont val="Arial Narrow"/>
        <family val="2"/>
      </rPr>
      <t>“D”</t>
    </r>
    <r>
      <rPr>
        <sz val="12"/>
        <rFont val="宋体"/>
        <family val="3"/>
        <charset val="134"/>
      </rPr>
      <t>到</t>
    </r>
    <r>
      <rPr>
        <sz val="12"/>
        <rFont val="Arial Narrow"/>
        <family val="2"/>
      </rPr>
      <t>“N”,</t>
    </r>
    <r>
      <rPr>
        <sz val="12"/>
        <rFont val="宋体"/>
        <family val="3"/>
        <charset val="134"/>
      </rPr>
      <t>循环内账户以顺序号排列，模板中底稿索引号按账户顺序</t>
    </r>
    <r>
      <rPr>
        <sz val="12"/>
        <rFont val="Arial Narrow"/>
        <family val="2"/>
      </rPr>
      <t>+</t>
    </r>
    <r>
      <rPr>
        <sz val="12"/>
        <rFont val="宋体"/>
        <family val="3"/>
        <charset val="134"/>
      </rPr>
      <t>自然数顺序（即模板中索引号按二级自然顺序排列，如</t>
    </r>
    <r>
      <rPr>
        <sz val="12"/>
        <rFont val="Arial Narrow"/>
        <family val="2"/>
      </rPr>
      <t>D1-1</t>
    </r>
    <r>
      <rPr>
        <sz val="12"/>
        <rFont val="宋体"/>
        <family val="3"/>
        <charset val="134"/>
      </rPr>
      <t>、</t>
    </r>
    <r>
      <rPr>
        <sz val="12"/>
        <rFont val="Arial Narrow"/>
        <family val="2"/>
      </rPr>
      <t>D1-2</t>
    </r>
    <r>
      <rPr>
        <sz val="12"/>
        <rFont val="宋体"/>
        <family val="3"/>
        <charset val="134"/>
      </rPr>
      <t>、</t>
    </r>
    <r>
      <rPr>
        <sz val="12"/>
        <rFont val="Arial Narrow"/>
        <family val="2"/>
      </rPr>
      <t>D1-3</t>
    </r>
    <r>
      <rPr>
        <sz val="12"/>
        <rFont val="宋体"/>
        <family val="3"/>
        <charset val="134"/>
      </rPr>
      <t>、</t>
    </r>
    <r>
      <rPr>
        <sz val="12"/>
        <rFont val="Arial Narrow"/>
        <family val="2"/>
      </rPr>
      <t>……D1-N</t>
    </r>
    <r>
      <rPr>
        <sz val="12"/>
        <rFont val="宋体"/>
        <family val="3"/>
        <charset val="134"/>
      </rPr>
      <t>）。</t>
    </r>
    <phoneticPr fontId="17" type="noConversion"/>
  </si>
  <si>
    <t>根据被审计单位实际情况和风险评估情况裁剪、修改或增加审计程序</t>
    <phoneticPr fontId="17" type="noConversion"/>
  </si>
  <si>
    <t>审计程序</t>
    <phoneticPr fontId="49" type="noConversion"/>
  </si>
  <si>
    <r>
      <t>1.</t>
    </r>
    <r>
      <rPr>
        <sz val="10"/>
        <rFont val="宋体"/>
        <family val="3"/>
        <charset val="134"/>
      </rPr>
      <t>回购本公司股份的原因及对应的库存股成本确定方法：</t>
    </r>
    <r>
      <rPr>
        <sz val="10"/>
        <rFont val="Arial Narrow"/>
        <family val="2"/>
      </rPr>
      <t>_____________________</t>
    </r>
    <phoneticPr fontId="17" type="noConversion"/>
  </si>
  <si>
    <r>
      <t>2.</t>
    </r>
    <r>
      <rPr>
        <sz val="10"/>
        <rFont val="宋体"/>
        <family val="3"/>
        <charset val="134"/>
      </rPr>
      <t>因库存股注销而减少的股本：</t>
    </r>
    <r>
      <rPr>
        <sz val="10"/>
        <rFont val="Arial Narrow"/>
        <family val="2"/>
      </rPr>
      <t>___________________</t>
    </r>
    <phoneticPr fontId="17" type="noConversion"/>
  </si>
  <si>
    <r>
      <t>3.</t>
    </r>
    <r>
      <rPr>
        <sz val="10"/>
        <rFont val="宋体"/>
        <family val="3"/>
        <charset val="134"/>
      </rPr>
      <t>本期注销的库存股成本高于对应股本成本</t>
    </r>
    <r>
      <rPr>
        <sz val="10"/>
        <rFont val="Arial Narrow"/>
        <family val="2"/>
      </rPr>
      <t>______________</t>
    </r>
    <r>
      <rPr>
        <sz val="10"/>
        <rFont val="宋体"/>
        <family val="3"/>
        <charset val="134"/>
      </rPr>
      <t>元，依次冲减资本公积</t>
    </r>
    <r>
      <rPr>
        <sz val="10"/>
        <rFont val="Arial Narrow"/>
        <family val="2"/>
      </rPr>
      <t>___________</t>
    </r>
    <r>
      <rPr>
        <sz val="10"/>
        <rFont val="宋体"/>
        <family val="3"/>
        <charset val="134"/>
      </rPr>
      <t>元、盈余公积</t>
    </r>
    <r>
      <rPr>
        <sz val="10"/>
        <rFont val="Arial Narrow"/>
        <family val="2"/>
      </rPr>
      <t>___________</t>
    </r>
    <r>
      <rPr>
        <sz val="10"/>
        <rFont val="宋体"/>
        <family val="3"/>
        <charset val="134"/>
      </rPr>
      <t>元、未分配利润</t>
    </r>
    <r>
      <rPr>
        <sz val="10"/>
        <rFont val="Arial Narrow"/>
        <family val="2"/>
      </rPr>
      <t>___________</t>
    </r>
    <r>
      <rPr>
        <sz val="10"/>
        <rFont val="宋体"/>
        <family val="3"/>
        <charset val="134"/>
      </rPr>
      <t>元。</t>
    </r>
    <phoneticPr fontId="17" type="noConversion"/>
  </si>
  <si>
    <r>
      <t>4.</t>
    </r>
    <r>
      <rPr>
        <sz val="10"/>
        <rFont val="宋体"/>
        <family val="3"/>
        <charset val="134"/>
      </rPr>
      <t>本期注销的库存股成本低于对应股本成本</t>
    </r>
    <r>
      <rPr>
        <sz val="10"/>
        <rFont val="Arial Narrow"/>
        <family val="2"/>
      </rPr>
      <t>______________</t>
    </r>
    <r>
      <rPr>
        <sz val="10"/>
        <rFont val="宋体"/>
        <family val="3"/>
        <charset val="134"/>
      </rPr>
      <t>元，增加资本公积</t>
    </r>
    <r>
      <rPr>
        <sz val="10"/>
        <rFont val="Arial Narrow"/>
        <family val="2"/>
      </rPr>
      <t>_______________</t>
    </r>
    <r>
      <rPr>
        <sz val="10"/>
        <rFont val="宋体"/>
        <family val="3"/>
        <charset val="134"/>
      </rPr>
      <t>元。</t>
    </r>
    <phoneticPr fontId="17" type="noConversion"/>
  </si>
  <si>
    <r>
      <t>5.</t>
    </r>
    <r>
      <rPr>
        <sz val="10"/>
        <rFont val="宋体"/>
        <family val="3"/>
        <charset val="134"/>
      </rPr>
      <t>本期库存股转让时，转让收入高于库存股成本</t>
    </r>
    <r>
      <rPr>
        <sz val="10"/>
        <rFont val="Arial Narrow"/>
        <family val="2"/>
      </rPr>
      <t>__________</t>
    </r>
    <r>
      <rPr>
        <sz val="10"/>
        <rFont val="宋体"/>
        <family val="3"/>
        <charset val="134"/>
      </rPr>
      <t>元，增加资本公积</t>
    </r>
    <r>
      <rPr>
        <sz val="10"/>
        <rFont val="Arial Narrow"/>
        <family val="2"/>
      </rPr>
      <t>_______________</t>
    </r>
    <r>
      <rPr>
        <sz val="10"/>
        <rFont val="宋体"/>
        <family val="3"/>
        <charset val="134"/>
      </rPr>
      <t>元。</t>
    </r>
    <phoneticPr fontId="17" type="noConversion"/>
  </si>
  <si>
    <r>
      <t>6.</t>
    </r>
    <r>
      <rPr>
        <sz val="10"/>
        <rFont val="宋体"/>
        <family val="3"/>
        <charset val="134"/>
      </rPr>
      <t>本期库存股转让时，转让收入低于库存股成本</t>
    </r>
    <r>
      <rPr>
        <sz val="10"/>
        <rFont val="Arial Narrow"/>
        <family val="2"/>
      </rPr>
      <t>__________</t>
    </r>
    <r>
      <rPr>
        <sz val="10"/>
        <rFont val="宋体"/>
        <family val="3"/>
        <charset val="134"/>
      </rPr>
      <t>元，依次冲减资本公积</t>
    </r>
    <r>
      <rPr>
        <sz val="10"/>
        <rFont val="Arial Narrow"/>
        <family val="2"/>
      </rPr>
      <t>___________</t>
    </r>
    <r>
      <rPr>
        <sz val="10"/>
        <rFont val="宋体"/>
        <family val="3"/>
        <charset val="134"/>
      </rPr>
      <t>元、盈余公积</t>
    </r>
    <r>
      <rPr>
        <sz val="10"/>
        <rFont val="Arial Narrow"/>
        <family val="2"/>
      </rPr>
      <t>____________</t>
    </r>
    <r>
      <rPr>
        <sz val="10"/>
        <rFont val="宋体"/>
        <family val="3"/>
        <charset val="134"/>
      </rPr>
      <t>元、未分配利润</t>
    </r>
    <r>
      <rPr>
        <sz val="10"/>
        <rFont val="Arial Narrow"/>
        <family val="2"/>
      </rPr>
      <t>__________</t>
    </r>
    <r>
      <rPr>
        <sz val="10"/>
        <rFont val="宋体"/>
        <family val="3"/>
        <charset val="134"/>
      </rPr>
      <t>元。</t>
    </r>
    <phoneticPr fontId="17" type="noConversion"/>
  </si>
  <si>
    <r>
      <t>7.</t>
    </r>
    <r>
      <rPr>
        <sz val="10"/>
        <rFont val="宋体"/>
        <family val="3"/>
        <charset val="134"/>
      </rPr>
      <t>本期因实行股权激励回购本公司股份，回购股份占本公司已发行股份的总比例为</t>
    </r>
    <r>
      <rPr>
        <sz val="10"/>
        <rFont val="Arial Narrow"/>
        <family val="2"/>
      </rPr>
      <t>___________%</t>
    </r>
    <r>
      <rPr>
        <sz val="10"/>
        <rFont val="宋体"/>
        <family val="3"/>
        <charset val="134"/>
      </rPr>
      <t>，累计库存股占已发行股份的总比例</t>
    </r>
    <r>
      <rPr>
        <sz val="10"/>
        <rFont val="Arial Narrow"/>
        <family val="2"/>
      </rPr>
      <t>________________%</t>
    </r>
    <r>
      <rPr>
        <sz val="10"/>
        <rFont val="宋体"/>
        <family val="3"/>
        <charset val="134"/>
      </rPr>
      <t>。</t>
    </r>
    <phoneticPr fontId="17" type="noConversion"/>
  </si>
  <si>
    <t>本期发生额</t>
    <phoneticPr fontId="17" type="noConversion"/>
  </si>
  <si>
    <t>检查比例</t>
    <phoneticPr fontId="1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</si>
</sst>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2">
    <numFmt numFmtId="41" formatCode="_ * #,##0_ ;_ * \-#,##0_ ;_ * &quot;-&quot;_ ;_ @_ "/>
    <numFmt numFmtId="43" formatCode="_ * #,##0.00_ ;_ * \-#,##0.00_ ;_ * &quot;-&quot;??_ ;_ @_ "/>
    <numFmt numFmtId="176" formatCode="_-* #,##0_-;\-* #,##0_-;_-* &quot;-&quot;_-;_-@_-"/>
    <numFmt numFmtId="177" formatCode="_-* #,##0.00_-;\-* #,##0.00_-;_-* &quot;-&quot;??_-;_-@_-"/>
    <numFmt numFmtId="178" formatCode="_(* #,##0_);_(* \(#,##0\);_(* &quot;-&quot;_);_(@_)"/>
    <numFmt numFmtId="179" formatCode="_(* #,##0.00_);_(* \(#,##0.00\);_(* &quot;-&quot;??_);_(@_)"/>
    <numFmt numFmtId="180" formatCode="&quot;$&quot;#,##0_);\(&quot;$&quot;#,##0\)"/>
    <numFmt numFmtId="181" formatCode="_-&quot;$&quot;* #,##0_-;\-&quot;$&quot;* #,##0_-;_-&quot;$&quot;* &quot;-&quot;_-;_-@_-"/>
    <numFmt numFmtId="182" formatCode="_-&quot;$&quot;* #,##0.00_-;\-&quot;$&quot;* #,##0.00_-;_-&quot;$&quot;* &quot;-&quot;??_-;_-@_-"/>
    <numFmt numFmtId="183" formatCode="&quot;\&quot;#,##0;&quot;\&quot;&quot;\&quot;\-#,##0"/>
    <numFmt numFmtId="184" formatCode="&quot;\&quot;#,##0;[Red]&quot;\&quot;&quot;\&quot;\-#,##0"/>
    <numFmt numFmtId="185" formatCode="&quot;\&quot;#,##0.00;[Red]&quot;\&quot;&quot;\&quot;\-#,##0.00"/>
    <numFmt numFmtId="186" formatCode="_-#,##0.00_-;\(#,##0.00\);_-\ \ &quot;-&quot;_-;_-@_-"/>
    <numFmt numFmtId="187" formatCode="mmm/yyyy;_-\ &quot;N/A&quot;_-;_-\ &quot;-&quot;_-"/>
    <numFmt numFmtId="188" formatCode="mmm/dd/yyyy;_-\ &quot;N/A&quot;_-;_-\ &quot;-&quot;_-"/>
    <numFmt numFmtId="189" formatCode="_-#,##0_-;\(#,##0\);_-\ \ &quot;-&quot;_-;_-@_-"/>
    <numFmt numFmtId="190" formatCode="_-#,##0%_-;\(#,##0%\);_-\ &quot;-&quot;_-"/>
    <numFmt numFmtId="191" formatCode="_-#,###,_-;\(#,###,\);_-\ \ &quot;-&quot;_-;_-@_-"/>
    <numFmt numFmtId="192" formatCode="_-#,###.00,_-;\(#,###.00,\);_-\ \ &quot;-&quot;_-;_-@_-"/>
    <numFmt numFmtId="193" formatCode="_([$€-2]* #,##0.00_);_([$€-2]* \(#,##0.00\);_([$€-2]* &quot;-&quot;??_)"/>
    <numFmt numFmtId="194" formatCode="_-#0&quot;.&quot;0000_-;\(#0&quot;.&quot;0000\);_-\ \ &quot;-&quot;_-;_-@_-"/>
    <numFmt numFmtId="195" formatCode="_-#0&quot;.&quot;0,_-;\(#0&quot;.&quot;0,\);_-\ \ &quot;-&quot;_-;_-@_-"/>
  </numFmts>
  <fonts count="86">
    <font>
      <sz val="12"/>
      <name val="宋体"/>
      <charset val="134"/>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7"/>
      <name val="Helv"/>
      <family val="2"/>
    </font>
    <font>
      <b/>
      <sz val="10"/>
      <name val="MS Sans Serif"/>
      <family val="2"/>
    </font>
    <font>
      <sz val="10"/>
      <name val="Arial"/>
      <family val="2"/>
    </font>
    <font>
      <u/>
      <sz val="7.5"/>
      <color indexed="36"/>
      <name val="Arial"/>
      <family val="2"/>
    </font>
    <font>
      <sz val="8"/>
      <name val="Arial"/>
      <family val="2"/>
    </font>
    <font>
      <u/>
      <sz val="7.5"/>
      <color indexed="12"/>
      <name val="Arial"/>
      <family val="2"/>
    </font>
    <font>
      <sz val="12"/>
      <name val="宋体"/>
      <family val="3"/>
      <charset val="134"/>
    </font>
    <font>
      <sz val="10"/>
      <name val="Courier"/>
      <family val="3"/>
    </font>
    <font>
      <sz val="12"/>
      <name val="Garamond"/>
      <family val="1"/>
    </font>
    <font>
      <sz val="7"/>
      <color indexed="10"/>
      <name val="Helv"/>
      <family val="2"/>
    </font>
    <font>
      <u/>
      <sz val="12"/>
      <color indexed="12"/>
      <name val="宋体"/>
      <family val="3"/>
      <charset val="134"/>
    </font>
    <font>
      <sz val="12"/>
      <name val="楷体"/>
      <family val="3"/>
      <charset val="134"/>
    </font>
    <font>
      <sz val="12"/>
      <name val="楷体_GB2312"/>
      <family val="3"/>
      <charset val="134"/>
    </font>
    <font>
      <sz val="9"/>
      <name val="宋体"/>
      <family val="3"/>
      <charset val="134"/>
    </font>
    <font>
      <sz val="10"/>
      <name val="宋体"/>
      <family val="3"/>
      <charset val="134"/>
    </font>
    <font>
      <b/>
      <sz val="12"/>
      <name val="宋体"/>
      <family val="3"/>
      <charset val="134"/>
    </font>
    <font>
      <sz val="10"/>
      <name val="Times New Roman"/>
      <family val="1"/>
    </font>
    <font>
      <b/>
      <sz val="10"/>
      <name val="宋体"/>
      <family val="3"/>
      <charset val="134"/>
    </font>
    <font>
      <sz val="12"/>
      <name val="Times New Roman"/>
      <family val="1"/>
    </font>
    <font>
      <sz val="10"/>
      <color indexed="12"/>
      <name val="宋体"/>
      <family val="3"/>
      <charset val="134"/>
    </font>
    <font>
      <b/>
      <sz val="10"/>
      <color indexed="12"/>
      <name val="宋体"/>
      <family val="3"/>
      <charset val="134"/>
    </font>
    <font>
      <i/>
      <sz val="10"/>
      <color indexed="12"/>
      <name val="宋体"/>
      <family val="3"/>
      <charset val="134"/>
    </font>
    <font>
      <sz val="18"/>
      <color indexed="48"/>
      <name val="魏碑"/>
      <family val="3"/>
      <charset val="134"/>
    </font>
    <font>
      <u val="singleAccounting"/>
      <vertAlign val="subscript"/>
      <sz val="10"/>
      <name val="Times New Roman"/>
      <family val="1"/>
    </font>
    <font>
      <i/>
      <sz val="9"/>
      <name val="Times New Roman"/>
      <family val="1"/>
    </font>
    <font>
      <b/>
      <sz val="10"/>
      <name val="Arial Narrow"/>
      <family val="2"/>
    </font>
    <font>
      <sz val="12"/>
      <name val="Arial Narrow"/>
      <family val="2"/>
    </font>
    <font>
      <b/>
      <sz val="12"/>
      <name val="Arial Narrow"/>
      <family val="2"/>
    </font>
    <font>
      <sz val="10"/>
      <name val="Arial Narrow"/>
      <family val="2"/>
    </font>
    <font>
      <i/>
      <u/>
      <sz val="10"/>
      <color indexed="12"/>
      <name val="宋体"/>
      <family val="3"/>
      <charset val="134"/>
    </font>
    <font>
      <u/>
      <sz val="10"/>
      <name val="Arial Narrow"/>
      <family val="2"/>
    </font>
    <font>
      <sz val="10"/>
      <color indexed="10"/>
      <name val="宋体"/>
      <family val="3"/>
      <charset val="134"/>
    </font>
    <font>
      <sz val="10"/>
      <color indexed="12"/>
      <name val="Arial Narrow"/>
      <family val="2"/>
    </font>
    <font>
      <b/>
      <sz val="10"/>
      <name val="Times New Roman"/>
      <family val="1"/>
    </font>
    <font>
      <b/>
      <sz val="10"/>
      <color indexed="8"/>
      <name val="Arial Narrow"/>
      <family val="2"/>
    </font>
    <font>
      <b/>
      <sz val="10"/>
      <color indexed="8"/>
      <name val="宋体"/>
      <family val="3"/>
      <charset val="134"/>
    </font>
    <font>
      <b/>
      <u/>
      <sz val="10"/>
      <color indexed="10"/>
      <name val="Arial Narrow"/>
      <family val="2"/>
    </font>
    <font>
      <sz val="11"/>
      <color theme="1"/>
      <name val="宋体"/>
      <family val="3"/>
      <charset val="134"/>
      <scheme val="minor"/>
    </font>
    <font>
      <sz val="9"/>
      <name val="Arial Narrow"/>
      <family val="2"/>
    </font>
    <font>
      <sz val="9"/>
      <name val="宋体"/>
      <family val="3"/>
      <charset val="134"/>
      <scheme val="minor"/>
    </font>
    <font>
      <b/>
      <sz val="9"/>
      <name val="Arial Narrow"/>
      <family val="2"/>
    </font>
    <font>
      <sz val="12"/>
      <color indexed="12"/>
      <name val="Arial Narrow"/>
      <family val="2"/>
    </font>
    <font>
      <sz val="10"/>
      <color indexed="8"/>
      <name val="Arial Narrow"/>
      <family val="2"/>
    </font>
    <font>
      <sz val="10"/>
      <color rgb="FFFF0000"/>
      <name val="宋体"/>
      <family val="3"/>
      <charset val="134"/>
      <scheme val="minor"/>
    </font>
    <font>
      <sz val="10"/>
      <name val="宋体"/>
      <family val="3"/>
      <charset val="134"/>
      <scheme val="minor"/>
    </font>
    <font>
      <sz val="9"/>
      <name val="宋体"/>
      <family val="2"/>
      <charset val="134"/>
      <scheme val="minor"/>
    </font>
    <font>
      <sz val="10.5"/>
      <name val="Arial Narrow"/>
      <family val="2"/>
    </font>
    <font>
      <i/>
      <sz val="10"/>
      <color indexed="12"/>
      <name val="Arial Narrow"/>
      <family val="2"/>
    </font>
    <font>
      <b/>
      <sz val="10"/>
      <color indexed="12"/>
      <name val="Arial Narrow"/>
      <family val="2"/>
    </font>
    <font>
      <sz val="10"/>
      <color theme="1"/>
      <name val="Arial Narrow"/>
      <family val="2"/>
    </font>
    <font>
      <sz val="11"/>
      <color theme="1"/>
      <name val="Arial Narrow"/>
      <family val="2"/>
    </font>
    <font>
      <b/>
      <sz val="14"/>
      <name val="宋体"/>
      <family val="3"/>
      <charset val="134"/>
    </font>
    <font>
      <sz val="10"/>
      <color theme="1" tint="0.14999847407452621"/>
      <name val="宋体"/>
      <family val="3"/>
      <charset val="134"/>
    </font>
    <font>
      <b/>
      <sz val="10"/>
      <color rgb="FFFF0000"/>
      <name val="Arial Narrow"/>
      <family val="2"/>
    </font>
    <font>
      <sz val="10"/>
      <color rgb="FFFF0000"/>
      <name val="Arial Narrow"/>
      <family val="2"/>
    </font>
    <font>
      <b/>
      <sz val="10"/>
      <color theme="0" tint="-0.499984740745262"/>
      <name val="Arial Narrow"/>
      <family val="2"/>
    </font>
    <font>
      <b/>
      <sz val="10"/>
      <color theme="1"/>
      <name val="Arial Narrow"/>
      <family val="2"/>
    </font>
    <font>
      <sz val="10"/>
      <color theme="1"/>
      <name val="宋体"/>
      <family val="3"/>
      <charset val="134"/>
    </font>
    <font>
      <sz val="11"/>
      <name val="Arial Narrow"/>
      <family val="2"/>
    </font>
    <font>
      <b/>
      <sz val="10"/>
      <color theme="1"/>
      <name val="宋体"/>
      <family val="3"/>
      <charset val="134"/>
    </font>
    <font>
      <sz val="10"/>
      <color rgb="FFFF0000"/>
      <name val="宋体"/>
      <family val="3"/>
      <charset val="134"/>
    </font>
    <font>
      <sz val="10"/>
      <color theme="1"/>
      <name val="宋体"/>
      <family val="2"/>
      <charset val="134"/>
    </font>
    <font>
      <b/>
      <sz val="10"/>
      <color indexed="8"/>
      <name val="宋体"/>
      <family val="3"/>
      <charset val="134"/>
      <scheme val="minor"/>
    </font>
    <font>
      <b/>
      <sz val="9"/>
      <color indexed="81"/>
      <name val="宋体"/>
      <family val="3"/>
      <charset val="134"/>
    </font>
    <font>
      <sz val="9"/>
      <color indexed="81"/>
      <name val="宋体"/>
      <family val="3"/>
      <charset val="134"/>
    </font>
    <font>
      <sz val="10"/>
      <color rgb="FF0000FF"/>
      <name val="宋体"/>
      <family val="3"/>
      <charset val="134"/>
    </font>
    <font>
      <sz val="10"/>
      <color indexed="8"/>
      <name val="宋体"/>
      <family val="3"/>
      <charset val="134"/>
    </font>
    <font>
      <i/>
      <u/>
      <sz val="10"/>
      <color indexed="12"/>
      <name val="Arial Narrow"/>
      <family val="2"/>
    </font>
    <font>
      <sz val="12"/>
      <color indexed="12"/>
      <name val="仿宋_GB2312"/>
      <family val="3"/>
      <charset val="134"/>
    </font>
    <font>
      <sz val="12"/>
      <name val="宋体"/>
      <family val="3"/>
      <charset val="134"/>
      <scheme val="minor"/>
    </font>
    <font>
      <b/>
      <sz val="10"/>
      <color rgb="FF000000"/>
      <name val="宋体"/>
      <family val="3"/>
      <charset val="134"/>
      <scheme val="minor"/>
    </font>
    <font>
      <b/>
      <sz val="10"/>
      <name val="宋体"/>
      <family val="3"/>
      <charset val="134"/>
      <scheme val="minor"/>
    </font>
    <font>
      <sz val="10"/>
      <color rgb="FF0000FF"/>
      <name val="宋体"/>
      <family val="3"/>
      <charset val="134"/>
      <scheme val="minor"/>
    </font>
    <font>
      <sz val="11"/>
      <color rgb="FFFF0000"/>
      <name val="Arial Narrow"/>
      <family val="2"/>
    </font>
    <font>
      <b/>
      <sz val="10"/>
      <color rgb="FFFF0000"/>
      <name val="宋体"/>
      <family val="3"/>
      <charset val="134"/>
    </font>
    <font>
      <sz val="10"/>
      <color rgb="FF0000FF"/>
      <name val="Arial Narrow"/>
      <family val="2"/>
    </font>
    <font>
      <b/>
      <sz val="10"/>
      <color rgb="FF0000FF"/>
      <name val="Arial Narrow"/>
      <family val="2"/>
    </font>
    <font>
      <sz val="10"/>
      <color rgb="FF3333FF"/>
      <name val="Arial Narrow"/>
      <family val="2"/>
    </font>
    <font>
      <sz val="10"/>
      <color rgb="FF3333FF"/>
      <name val="宋体"/>
      <family val="3"/>
      <charset val="134"/>
    </font>
    <font>
      <sz val="10"/>
      <color theme="1" tint="0.14999847407452621"/>
      <name val="Arial Narrow"/>
      <family val="2"/>
    </font>
    <font>
      <b/>
      <sz val="10"/>
      <color rgb="FF0000FF"/>
      <name val="宋体"/>
      <family val="3"/>
      <charset val="134"/>
    </font>
    <font>
      <sz val="10"/>
      <color indexed="12"/>
      <name val="宋体"/>
      <family val="3"/>
      <charset val="134"/>
      <scheme val="minor"/>
    </font>
  </fonts>
  <fills count="11">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theme="7" tint="0.79998168889431442"/>
        <bgColor indexed="64"/>
      </patternFill>
    </fill>
    <fill>
      <patternFill patternType="solid">
        <fgColor indexed="9"/>
        <bgColor indexed="64"/>
      </patternFill>
    </fill>
    <fill>
      <patternFill patternType="solid">
        <fgColor theme="0" tint="-0.14999847407452621"/>
        <bgColor indexed="64"/>
      </patternFill>
    </fill>
    <fill>
      <patternFill patternType="solid">
        <fgColor rgb="FF00B050"/>
        <bgColor indexed="64"/>
      </patternFill>
    </fill>
    <fill>
      <patternFill patternType="solid">
        <fgColor rgb="FFE4DFEC"/>
        <bgColor indexed="64"/>
      </patternFill>
    </fill>
    <fill>
      <patternFill patternType="solid">
        <fgColor theme="7" tint="0.79998168889431442"/>
        <bgColor rgb="FFB7DEE8"/>
      </patternFill>
    </fill>
  </fills>
  <borders count="14">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right style="hair">
        <color indexed="64"/>
      </right>
      <top/>
      <bottom style="hair">
        <color indexed="64"/>
      </bottom>
      <diagonal/>
    </border>
    <border>
      <left/>
      <right/>
      <top style="hair">
        <color indexed="64"/>
      </top>
      <bottom/>
      <diagonal/>
    </border>
    <border>
      <left/>
      <right style="hair">
        <color indexed="64"/>
      </right>
      <top style="hair">
        <color indexed="64"/>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style="medium">
        <color indexed="64"/>
      </top>
      <bottom style="medium">
        <color indexed="64"/>
      </bottom>
      <diagonal/>
    </border>
    <border>
      <left/>
      <right/>
      <top/>
      <bottom style="medium">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s>
  <cellStyleXfs count="60">
    <xf numFmtId="0" fontId="0" fillId="0" borderId="0">
      <protection locked="0"/>
    </xf>
    <xf numFmtId="49" fontId="20" fillId="0" borderId="0" applyProtection="0">
      <alignment horizontal="left"/>
    </xf>
    <xf numFmtId="189" fontId="20" fillId="0" borderId="0" applyFill="0" applyBorder="0" applyProtection="0">
      <alignment horizontal="right"/>
    </xf>
    <xf numFmtId="186" fontId="20" fillId="0" borderId="0" applyFill="0" applyBorder="0" applyProtection="0">
      <alignment horizontal="right"/>
    </xf>
    <xf numFmtId="188" fontId="27" fillId="0" borderId="0" applyFill="0" applyBorder="0" applyProtection="0">
      <alignment horizontal="center"/>
    </xf>
    <xf numFmtId="187" fontId="27" fillId="0" borderId="0" applyFill="0" applyBorder="0" applyProtection="0">
      <alignment horizontal="center"/>
    </xf>
    <xf numFmtId="190" fontId="28" fillId="0" borderId="0" applyFill="0" applyBorder="0" applyProtection="0">
      <alignment horizontal="right"/>
    </xf>
    <xf numFmtId="191" fontId="20" fillId="0" borderId="0" applyFill="0" applyBorder="0" applyProtection="0">
      <alignment horizontal="right"/>
    </xf>
    <xf numFmtId="192" fontId="20" fillId="0" borderId="0" applyFill="0" applyBorder="0" applyProtection="0">
      <alignment horizontal="right"/>
    </xf>
    <xf numFmtId="195" fontId="20" fillId="0" borderId="0" applyFill="0" applyBorder="0" applyProtection="0">
      <alignment horizontal="right"/>
    </xf>
    <xf numFmtId="194" fontId="20" fillId="0" borderId="0" applyFill="0" applyBorder="0" applyProtection="0">
      <alignment horizontal="right"/>
    </xf>
    <xf numFmtId="3" fontId="4" fillId="0" borderId="0"/>
    <xf numFmtId="180" fontId="5" fillId="0" borderId="1" applyAlignment="0" applyProtection="0"/>
    <xf numFmtId="176" fontId="6" fillId="0" borderId="0" applyFont="0" applyFill="0" applyBorder="0" applyAlignment="0" applyProtection="0"/>
    <xf numFmtId="177" fontId="6" fillId="0" borderId="0" applyFont="0" applyFill="0" applyBorder="0" applyAlignment="0" applyProtection="0"/>
    <xf numFmtId="181" fontId="6" fillId="0" borderId="0" applyFont="0" applyFill="0" applyBorder="0" applyAlignment="0" applyProtection="0"/>
    <xf numFmtId="182" fontId="6" fillId="0" borderId="0" applyFont="0" applyFill="0" applyBorder="0" applyAlignment="0" applyProtection="0"/>
    <xf numFmtId="41" fontId="6" fillId="0" borderId="0" applyFont="0" applyFill="0" applyBorder="0" applyAlignment="0" applyProtection="0"/>
    <xf numFmtId="43" fontId="6" fillId="0" borderId="0" applyFont="0" applyFill="0" applyBorder="0" applyAlignment="0" applyProtection="0"/>
    <xf numFmtId="193" fontId="20" fillId="0" borderId="0" applyFont="0" applyFill="0" applyBorder="0" applyAlignment="0" applyProtection="0"/>
    <xf numFmtId="0" fontId="7" fillId="0" borderId="0" applyNumberFormat="0" applyFill="0" applyBorder="0" applyAlignment="0" applyProtection="0">
      <alignment vertical="top"/>
      <protection locked="0"/>
    </xf>
    <xf numFmtId="38" fontId="8" fillId="2" borderId="0" applyNumberFormat="0" applyBorder="0" applyAlignment="0" applyProtection="0"/>
    <xf numFmtId="0" fontId="9" fillId="0" borderId="0" applyNumberFormat="0" applyFill="0" applyBorder="0" applyAlignment="0" applyProtection="0">
      <alignment vertical="top"/>
      <protection locked="0"/>
    </xf>
    <xf numFmtId="10" fontId="8" fillId="3" borderId="2" applyNumberFormat="0" applyBorder="0" applyAlignment="0" applyProtection="0"/>
    <xf numFmtId="184" fontId="10" fillId="0" borderId="0" applyFont="0" applyFill="0" applyBorder="0" applyAlignment="0" applyProtection="0"/>
    <xf numFmtId="185" fontId="10" fillId="0" borderId="0" applyFont="0" applyFill="0" applyBorder="0" applyAlignment="0" applyProtection="0"/>
    <xf numFmtId="0" fontId="11" fillId="0" borderId="0"/>
    <xf numFmtId="183" fontId="10" fillId="0" borderId="0"/>
    <xf numFmtId="0" fontId="12" fillId="0" borderId="0"/>
    <xf numFmtId="10" fontId="6" fillId="0" borderId="0" applyFont="0" applyFill="0" applyBorder="0" applyAlignment="0" applyProtection="0"/>
    <xf numFmtId="3" fontId="13" fillId="0" borderId="0"/>
    <xf numFmtId="9" fontId="10" fillId="0" borderId="0" applyFont="0" applyFill="0" applyBorder="0" applyAlignment="0" applyProtection="0"/>
    <xf numFmtId="0" fontId="10" fillId="0" borderId="0">
      <alignment vertical="center"/>
    </xf>
    <xf numFmtId="0" fontId="22" fillId="0" borderId="0"/>
    <xf numFmtId="0" fontId="10" fillId="0" borderId="0"/>
    <xf numFmtId="0" fontId="10" fillId="0" borderId="0" applyFill="0" applyBorder="0"/>
    <xf numFmtId="0" fontId="14" fillId="0" borderId="0" applyNumberFormat="0" applyFill="0" applyBorder="0" applyAlignment="0" applyProtection="0">
      <alignment vertical="top"/>
      <protection locked="0"/>
    </xf>
    <xf numFmtId="0" fontId="15" fillId="0" borderId="0"/>
    <xf numFmtId="178" fontId="10" fillId="0" borderId="0" applyFont="0" applyFill="0" applyBorder="0" applyAlignment="0" applyProtection="0"/>
    <xf numFmtId="179" fontId="10" fillId="0" borderId="0" applyFont="0" applyFill="0" applyBorder="0" applyAlignment="0" applyProtection="0"/>
    <xf numFmtId="41" fontId="16" fillId="0" borderId="0" applyFont="0" applyFill="0" applyBorder="0" applyAlignment="0" applyProtection="0"/>
    <xf numFmtId="43" fontId="16" fillId="0" borderId="0" applyFont="0" applyFill="0" applyBorder="0" applyAlignment="0" applyProtection="0"/>
    <xf numFmtId="43" fontId="10" fillId="0" borderId="0" applyFont="0" applyFill="0" applyBorder="0" applyAlignment="0" applyProtection="0"/>
    <xf numFmtId="0" fontId="10" fillId="0" borderId="0">
      <protection locked="0"/>
    </xf>
    <xf numFmtId="0" fontId="10" fillId="0" borderId="0">
      <alignment vertical="center"/>
    </xf>
    <xf numFmtId="193" fontId="41" fillId="0" borderId="0">
      <alignment vertical="center"/>
    </xf>
    <xf numFmtId="0" fontId="10" fillId="0" borderId="0">
      <alignment vertical="center"/>
    </xf>
    <xf numFmtId="193" fontId="10" fillId="0" borderId="0"/>
    <xf numFmtId="193" fontId="10" fillId="0" borderId="0">
      <alignment vertical="center"/>
    </xf>
    <xf numFmtId="193" fontId="3" fillId="0" borderId="0">
      <alignment vertical="center"/>
    </xf>
    <xf numFmtId="0" fontId="10" fillId="0" borderId="0">
      <protection locked="0"/>
    </xf>
    <xf numFmtId="43" fontId="10" fillId="0" borderId="0" applyFont="0" applyFill="0" applyBorder="0" applyAlignment="0" applyProtection="0"/>
    <xf numFmtId="0" fontId="10" fillId="0" borderId="0">
      <protection locked="0"/>
    </xf>
    <xf numFmtId="193" fontId="10" fillId="0" borderId="0"/>
    <xf numFmtId="0" fontId="14" fillId="0" borderId="0" applyNumberFormat="0" applyFill="0" applyBorder="0" applyAlignment="0" applyProtection="0">
      <alignment vertical="top"/>
      <protection locked="0"/>
    </xf>
    <xf numFmtId="9" fontId="10" fillId="0" borderId="0" applyFont="0" applyFill="0" applyBorder="0" applyAlignment="0" applyProtection="0"/>
    <xf numFmtId="193" fontId="2" fillId="0" borderId="0">
      <alignment vertical="center"/>
    </xf>
    <xf numFmtId="193" fontId="2" fillId="0" borderId="0">
      <alignment vertical="center"/>
    </xf>
    <xf numFmtId="193" fontId="2" fillId="0" borderId="0">
      <alignment vertical="center"/>
    </xf>
    <xf numFmtId="193" fontId="1" fillId="0" borderId="0">
      <alignment vertical="center"/>
    </xf>
  </cellStyleXfs>
  <cellXfs count="301">
    <xf numFmtId="0" fontId="0" fillId="0" borderId="0" xfId="0">
      <protection locked="0"/>
    </xf>
    <xf numFmtId="0" fontId="10" fillId="0" borderId="0" xfId="32" applyAlignment="1">
      <alignment vertical="center" wrapText="1"/>
    </xf>
    <xf numFmtId="0" fontId="0" fillId="0" borderId="0" xfId="0" applyAlignment="1">
      <alignment vertical="center" wrapText="1"/>
      <protection locked="0"/>
    </xf>
    <xf numFmtId="0" fontId="0" fillId="0" borderId="0" xfId="0" applyAlignment="1">
      <alignment horizontal="center" vertical="center" wrapText="1"/>
      <protection locked="0"/>
    </xf>
    <xf numFmtId="43" fontId="30" fillId="0" borderId="0" xfId="35" applyNumberFormat="1" applyFont="1" applyBorder="1" applyAlignment="1">
      <alignment vertical="center"/>
    </xf>
    <xf numFmtId="43" fontId="32" fillId="0" borderId="0" xfId="35" applyNumberFormat="1" applyFont="1" applyBorder="1" applyAlignment="1">
      <alignment vertical="center"/>
    </xf>
    <xf numFmtId="43" fontId="32" fillId="0" borderId="0" xfId="35" applyNumberFormat="1" applyFont="1" applyBorder="1" applyAlignment="1">
      <alignment horizontal="left" vertical="center"/>
    </xf>
    <xf numFmtId="43" fontId="18" fillId="0" borderId="0" xfId="35" applyNumberFormat="1" applyFont="1" applyBorder="1" applyAlignment="1">
      <alignment horizontal="right" vertical="center"/>
    </xf>
    <xf numFmtId="0" fontId="32" fillId="0" borderId="0" xfId="35" applyFont="1" applyBorder="1" applyAlignment="1">
      <alignment horizontal="center" vertical="center"/>
    </xf>
    <xf numFmtId="43" fontId="29" fillId="0" borderId="0" xfId="35" applyNumberFormat="1" applyFont="1" applyBorder="1" applyAlignment="1">
      <alignment vertical="center"/>
    </xf>
    <xf numFmtId="0" fontId="32" fillId="0" borderId="0" xfId="33" applyFont="1" applyAlignment="1">
      <alignment vertical="center"/>
    </xf>
    <xf numFmtId="0" fontId="32" fillId="0" borderId="0" xfId="33" applyFont="1" applyAlignment="1">
      <alignment horizontal="left" vertical="center"/>
    </xf>
    <xf numFmtId="43" fontId="33" fillId="0" borderId="0" xfId="36" applyNumberFormat="1" applyFont="1" applyBorder="1" applyAlignment="1" applyProtection="1">
      <alignment horizontal="center" vertical="center"/>
    </xf>
    <xf numFmtId="0" fontId="32" fillId="0" borderId="0" xfId="0" applyFont="1" applyAlignment="1">
      <alignment vertical="center" wrapText="1"/>
      <protection locked="0"/>
    </xf>
    <xf numFmtId="43" fontId="32" fillId="0" borderId="3" xfId="42" applyFont="1" applyBorder="1" applyAlignment="1">
      <alignment horizontal="right" vertical="center" wrapText="1"/>
    </xf>
    <xf numFmtId="0" fontId="32" fillId="0" borderId="3" xfId="0" applyFont="1" applyBorder="1" applyAlignment="1">
      <alignment vertical="center" wrapText="1"/>
      <protection locked="0"/>
    </xf>
    <xf numFmtId="0" fontId="32" fillId="0" borderId="3" xfId="0" applyFont="1" applyBorder="1" applyAlignment="1">
      <alignment horizontal="center" vertical="center" wrapText="1"/>
      <protection locked="0"/>
    </xf>
    <xf numFmtId="0" fontId="30" fillId="0" borderId="0" xfId="0" applyFont="1" applyAlignment="1">
      <alignment vertical="center" wrapText="1"/>
      <protection locked="0"/>
    </xf>
    <xf numFmtId="0" fontId="18" fillId="0" borderId="0" xfId="0" applyFont="1" applyAlignment="1">
      <alignment vertical="center"/>
      <protection locked="0"/>
    </xf>
    <xf numFmtId="0" fontId="32" fillId="0" borderId="0" xfId="0" applyFont="1" applyAlignment="1">
      <alignment vertical="center"/>
      <protection locked="0"/>
    </xf>
    <xf numFmtId="0" fontId="32" fillId="0" borderId="5" xfId="0" applyFont="1" applyBorder="1" applyAlignment="1">
      <alignment vertical="center"/>
      <protection locked="0"/>
    </xf>
    <xf numFmtId="0" fontId="30" fillId="0" borderId="0" xfId="0" applyFont="1" applyAlignment="1">
      <alignment vertical="center"/>
      <protection locked="0"/>
    </xf>
    <xf numFmtId="0" fontId="32" fillId="0" borderId="3" xfId="0" applyFont="1" applyBorder="1" applyAlignment="1">
      <alignment horizontal="justify" vertical="center" wrapText="1"/>
      <protection locked="0"/>
    </xf>
    <xf numFmtId="43" fontId="32" fillId="0" borderId="3" xfId="42" applyFont="1" applyBorder="1" applyAlignment="1">
      <alignment vertical="center" wrapText="1"/>
    </xf>
    <xf numFmtId="0" fontId="32" fillId="0" borderId="3" xfId="0" applyFont="1" applyBorder="1" applyAlignment="1">
      <alignment horizontal="right" vertical="center" wrapText="1"/>
      <protection locked="0"/>
    </xf>
    <xf numFmtId="43" fontId="29" fillId="0" borderId="0" xfId="42" applyFont="1" applyAlignment="1">
      <alignment vertical="center" wrapText="1"/>
    </xf>
    <xf numFmtId="0" fontId="18" fillId="0" borderId="0" xfId="0" applyFont="1" applyAlignment="1">
      <alignment horizontal="right" vertical="center"/>
      <protection locked="0"/>
    </xf>
    <xf numFmtId="0" fontId="31" fillId="0" borderId="0" xfId="0" applyFont="1" applyAlignment="1">
      <alignment vertical="center"/>
      <protection locked="0"/>
    </xf>
    <xf numFmtId="0" fontId="32" fillId="0" borderId="0" xfId="0" applyFont="1" applyAlignment="1">
      <alignment horizontal="left" vertical="center"/>
      <protection locked="0"/>
    </xf>
    <xf numFmtId="0" fontId="29" fillId="0" borderId="0" xfId="34" applyFont="1" applyAlignment="1">
      <alignment horizontal="left" vertical="center"/>
    </xf>
    <xf numFmtId="0" fontId="32" fillId="0" borderId="0" xfId="34" applyFont="1" applyAlignment="1" applyProtection="1">
      <alignment vertical="center"/>
      <protection locked="0"/>
    </xf>
    <xf numFmtId="0" fontId="36" fillId="0" borderId="0" xfId="34" applyFont="1" applyAlignment="1" applyProtection="1">
      <alignment horizontal="center" vertical="center"/>
      <protection hidden="1"/>
    </xf>
    <xf numFmtId="0" fontId="32" fillId="0" borderId="0" xfId="34" applyFont="1" applyAlignment="1" applyProtection="1">
      <alignment horizontal="left" vertical="center"/>
      <protection hidden="1"/>
    </xf>
    <xf numFmtId="0" fontId="36" fillId="0" borderId="0" xfId="34" applyFont="1" applyAlignment="1" applyProtection="1">
      <alignment horizontal="left" vertical="center"/>
      <protection locked="0"/>
    </xf>
    <xf numFmtId="0" fontId="32" fillId="0" borderId="3" xfId="0" applyFont="1" applyBorder="1" applyAlignment="1">
      <alignment horizontal="left" vertical="center"/>
      <protection locked="0"/>
    </xf>
    <xf numFmtId="43" fontId="32" fillId="0" borderId="3" xfId="0" applyNumberFormat="1" applyFont="1" applyBorder="1" applyAlignment="1">
      <alignment horizontal="left" vertical="center"/>
      <protection locked="0"/>
    </xf>
    <xf numFmtId="0" fontId="32" fillId="0" borderId="3" xfId="0" applyFont="1" applyBorder="1" applyAlignment="1">
      <alignment horizontal="center" vertical="center"/>
      <protection locked="0"/>
    </xf>
    <xf numFmtId="0" fontId="32" fillId="0" borderId="0" xfId="0" applyFont="1" applyAlignment="1">
      <alignment horizontal="center" vertical="center"/>
      <protection locked="0"/>
    </xf>
    <xf numFmtId="0" fontId="29" fillId="0" borderId="0" xfId="0" applyFont="1" applyAlignment="1">
      <alignment vertical="center"/>
      <protection locked="0"/>
    </xf>
    <xf numFmtId="0" fontId="25" fillId="0" borderId="0" xfId="0" applyFont="1" applyAlignment="1">
      <alignment vertical="center"/>
      <protection locked="0"/>
    </xf>
    <xf numFmtId="0" fontId="36" fillId="0" borderId="0" xfId="0" applyFont="1" applyAlignment="1">
      <alignment vertical="center"/>
      <protection locked="0"/>
    </xf>
    <xf numFmtId="0" fontId="36" fillId="0" borderId="0" xfId="0" applyFont="1">
      <protection locked="0"/>
    </xf>
    <xf numFmtId="0" fontId="36" fillId="0" borderId="0" xfId="0" applyFont="1" applyAlignment="1">
      <alignment horizontal="right"/>
      <protection locked="0"/>
    </xf>
    <xf numFmtId="0" fontId="18" fillId="0" borderId="0" xfId="0" applyFont="1" applyAlignment="1">
      <alignment vertical="center" wrapText="1"/>
      <protection locked="0"/>
    </xf>
    <xf numFmtId="0" fontId="18" fillId="0" borderId="0" xfId="0" applyFont="1" applyAlignment="1">
      <alignment horizontal="center" vertical="center" wrapText="1"/>
      <protection locked="0"/>
    </xf>
    <xf numFmtId="0" fontId="25" fillId="0" borderId="0" xfId="0" applyFont="1" applyAlignment="1">
      <alignment vertical="center" wrapText="1"/>
      <protection locked="0"/>
    </xf>
    <xf numFmtId="0" fontId="23" fillId="0" borderId="0" xfId="0" applyFont="1" applyAlignment="1">
      <alignment vertical="center"/>
      <protection locked="0"/>
    </xf>
    <xf numFmtId="0" fontId="21" fillId="0" borderId="0" xfId="0" applyFont="1" applyAlignment="1">
      <alignment horizontal="center" vertical="center" wrapText="1"/>
      <protection locked="0"/>
    </xf>
    <xf numFmtId="0" fontId="37" fillId="0" borderId="0" xfId="0" applyFont="1" applyAlignment="1">
      <alignment horizontal="center" vertical="center" wrapText="1"/>
      <protection locked="0"/>
    </xf>
    <xf numFmtId="0" fontId="18" fillId="0" borderId="0" xfId="0" applyFont="1" applyAlignment="1">
      <alignment horizontal="left" vertical="center" wrapText="1"/>
      <protection locked="0"/>
    </xf>
    <xf numFmtId="0" fontId="38" fillId="0" borderId="0" xfId="43" applyFont="1" applyAlignment="1" applyProtection="1">
      <alignment vertical="center"/>
    </xf>
    <xf numFmtId="0" fontId="40" fillId="0" borderId="0" xfId="43" applyFont="1" applyAlignment="1" applyProtection="1">
      <alignment horizontal="center"/>
    </xf>
    <xf numFmtId="0" fontId="32" fillId="0" borderId="0" xfId="43" applyFont="1" applyAlignment="1">
      <alignment vertical="center"/>
      <protection locked="0"/>
    </xf>
    <xf numFmtId="0" fontId="32" fillId="0" borderId="0" xfId="43" applyFont="1" applyAlignment="1">
      <alignment vertical="center" wrapText="1"/>
      <protection locked="0"/>
    </xf>
    <xf numFmtId="0" fontId="32" fillId="0" borderId="0" xfId="43" applyFont="1" applyAlignment="1">
      <alignment horizontal="right" vertical="center"/>
      <protection locked="0"/>
    </xf>
    <xf numFmtId="0" fontId="32" fillId="0" borderId="0" xfId="43" applyFont="1" applyAlignment="1">
      <alignment horizontal="justify" vertical="center" wrapText="1"/>
      <protection locked="0"/>
    </xf>
    <xf numFmtId="0" fontId="18" fillId="0" borderId="0" xfId="43" applyFont="1" applyAlignment="1" applyProtection="1">
      <alignment vertical="center"/>
    </xf>
    <xf numFmtId="0" fontId="29" fillId="0" borderId="0" xfId="43" applyFont="1" applyAlignment="1" applyProtection="1">
      <alignment horizontal="left" vertical="center"/>
    </xf>
    <xf numFmtId="0" fontId="32" fillId="0" borderId="0" xfId="44" applyFont="1">
      <alignment vertical="center"/>
    </xf>
    <xf numFmtId="0" fontId="21" fillId="5" borderId="3" xfId="0" applyFont="1" applyFill="1" applyBorder="1" applyAlignment="1">
      <alignment horizontal="center" vertical="center" wrapText="1"/>
      <protection locked="0"/>
    </xf>
    <xf numFmtId="43" fontId="21" fillId="5" borderId="3" xfId="42" applyFont="1" applyFill="1" applyBorder="1" applyAlignment="1">
      <alignment horizontal="center" vertical="center" wrapText="1"/>
    </xf>
    <xf numFmtId="0" fontId="21" fillId="0" borderId="5" xfId="0" applyFont="1" applyBorder="1" applyAlignment="1">
      <alignment vertical="center"/>
      <protection locked="0"/>
    </xf>
    <xf numFmtId="0" fontId="21" fillId="0" borderId="0" xfId="0" applyFont="1" applyAlignment="1">
      <alignment vertical="center"/>
      <protection locked="0"/>
    </xf>
    <xf numFmtId="0" fontId="32" fillId="0" borderId="0" xfId="34" applyFont="1" applyAlignment="1">
      <alignment vertical="center"/>
    </xf>
    <xf numFmtId="0" fontId="30" fillId="0" borderId="0" xfId="32" applyFont="1" applyAlignment="1">
      <alignment vertical="center" wrapText="1"/>
    </xf>
    <xf numFmtId="0" fontId="45" fillId="0" borderId="0" xfId="0" applyFont="1" applyAlignment="1">
      <alignment vertical="center" wrapText="1"/>
      <protection locked="0"/>
    </xf>
    <xf numFmtId="193" fontId="21" fillId="5" borderId="3" xfId="45" applyFont="1" applyFill="1" applyBorder="1" applyAlignment="1" applyProtection="1">
      <alignment horizontal="center" vertical="center"/>
      <protection locked="0"/>
    </xf>
    <xf numFmtId="43" fontId="46" fillId="6" borderId="3" xfId="0" applyNumberFormat="1" applyFont="1" applyFill="1" applyBorder="1" applyAlignment="1">
      <alignment horizontal="right" vertical="center"/>
      <protection locked="0"/>
    </xf>
    <xf numFmtId="193" fontId="21" fillId="5" borderId="3" xfId="45" applyFont="1" applyFill="1" applyBorder="1" applyAlignment="1" applyProtection="1">
      <alignment horizontal="center" vertical="center" wrapText="1"/>
      <protection locked="0"/>
    </xf>
    <xf numFmtId="193" fontId="21" fillId="5" borderId="3" xfId="47" applyFont="1" applyFill="1" applyBorder="1" applyAlignment="1" applyProtection="1">
      <alignment horizontal="center" vertical="center"/>
      <protection locked="0"/>
    </xf>
    <xf numFmtId="193" fontId="39" fillId="5" borderId="3" xfId="47" applyFont="1" applyFill="1" applyBorder="1" applyAlignment="1" applyProtection="1">
      <alignment horizontal="center" vertical="center" wrapText="1"/>
      <protection locked="0"/>
    </xf>
    <xf numFmtId="193" fontId="32" fillId="0" borderId="3" xfId="45" applyFont="1" applyBorder="1" applyAlignment="1" applyProtection="1">
      <alignment horizontal="left" vertical="center" wrapText="1"/>
      <protection locked="0"/>
    </xf>
    <xf numFmtId="43" fontId="29" fillId="0" borderId="0" xfId="35" applyNumberFormat="1" applyFont="1" applyBorder="1" applyAlignment="1">
      <alignment horizontal="left" vertical="center"/>
    </xf>
    <xf numFmtId="0" fontId="18" fillId="0" borderId="0" xfId="33" applyFont="1" applyAlignment="1">
      <alignment vertical="center"/>
    </xf>
    <xf numFmtId="0" fontId="18" fillId="0" borderId="0" xfId="33" applyFont="1" applyAlignment="1">
      <alignment horizontal="left" vertical="center"/>
    </xf>
    <xf numFmtId="0" fontId="21" fillId="0" borderId="0" xfId="33" applyFont="1" applyAlignment="1">
      <alignment vertical="center"/>
    </xf>
    <xf numFmtId="0" fontId="23" fillId="0" borderId="0" xfId="33" applyFont="1" applyAlignment="1">
      <alignment vertical="center"/>
    </xf>
    <xf numFmtId="0" fontId="18" fillId="0" borderId="0" xfId="46" applyFont="1" applyAlignment="1">
      <alignment horizontal="left" vertical="center"/>
    </xf>
    <xf numFmtId="0" fontId="38" fillId="0" borderId="2" xfId="0" applyFont="1" applyBorder="1" applyAlignment="1" applyProtection="1">
      <alignment horizontal="center" vertical="center"/>
    </xf>
    <xf numFmtId="0" fontId="46" fillId="0" borderId="2" xfId="0" applyFont="1" applyBorder="1" applyAlignment="1" applyProtection="1">
      <alignment vertical="center"/>
    </xf>
    <xf numFmtId="0" fontId="38" fillId="0" borderId="2" xfId="0" applyFont="1" applyBorder="1" applyAlignment="1" applyProtection="1">
      <alignment vertical="center"/>
    </xf>
    <xf numFmtId="193" fontId="29" fillId="0" borderId="3" xfId="45" applyFont="1" applyBorder="1" applyAlignment="1" applyProtection="1">
      <alignment horizontal="left" vertical="center" wrapText="1"/>
      <protection locked="0"/>
    </xf>
    <xf numFmtId="14" fontId="32" fillId="0" borderId="0" xfId="35" applyNumberFormat="1" applyFont="1" applyBorder="1" applyAlignment="1">
      <alignment vertical="center"/>
    </xf>
    <xf numFmtId="14" fontId="32" fillId="0" borderId="0" xfId="0" applyNumberFormat="1" applyFont="1" applyAlignment="1">
      <alignment vertical="center"/>
      <protection locked="0"/>
    </xf>
    <xf numFmtId="0" fontId="47" fillId="0" borderId="3" xfId="0" applyFont="1" applyBorder="1" applyAlignment="1">
      <alignment horizontal="left" vertical="center" wrapText="1"/>
      <protection locked="0"/>
    </xf>
    <xf numFmtId="14" fontId="30" fillId="0" borderId="0" xfId="0" applyNumberFormat="1" applyFont="1" applyAlignment="1">
      <alignment vertical="center"/>
      <protection locked="0"/>
    </xf>
    <xf numFmtId="14" fontId="32" fillId="0" borderId="0" xfId="0" applyNumberFormat="1" applyFont="1" applyAlignment="1">
      <alignment horizontal="left" vertical="center"/>
      <protection locked="0"/>
    </xf>
    <xf numFmtId="14" fontId="32" fillId="0" borderId="3" xfId="0" applyNumberFormat="1" applyFont="1" applyBorder="1" applyAlignment="1">
      <alignment horizontal="left" vertical="center"/>
      <protection locked="0"/>
    </xf>
    <xf numFmtId="0" fontId="32" fillId="4" borderId="0" xfId="0" applyFont="1" applyFill="1" applyAlignment="1">
      <alignment horizontal="justify" vertical="center" wrapText="1"/>
      <protection locked="0"/>
    </xf>
    <xf numFmtId="0" fontId="50" fillId="0" borderId="0" xfId="0" applyFont="1" applyAlignment="1">
      <alignment horizontal="justify" wrapText="1"/>
      <protection locked="0"/>
    </xf>
    <xf numFmtId="0" fontId="30" fillId="0" borderId="0" xfId="0" applyFont="1" applyAlignment="1">
      <alignment horizontal="center" vertical="center"/>
      <protection locked="0"/>
    </xf>
    <xf numFmtId="0" fontId="30" fillId="0" borderId="0" xfId="0" applyFont="1">
      <protection locked="0"/>
    </xf>
    <xf numFmtId="0" fontId="50" fillId="0" borderId="0" xfId="0" applyFont="1" applyAlignment="1">
      <alignment horizontal="justify" vertical="top" wrapText="1"/>
      <protection locked="0"/>
    </xf>
    <xf numFmtId="0" fontId="31" fillId="0" borderId="0" xfId="0" applyFont="1" applyAlignment="1">
      <alignment horizontal="justify"/>
      <protection locked="0"/>
    </xf>
    <xf numFmtId="0" fontId="31" fillId="0" borderId="0" xfId="32" applyFont="1">
      <alignment vertical="center"/>
    </xf>
    <xf numFmtId="0" fontId="30" fillId="0" borderId="0" xfId="32" applyFont="1">
      <alignment vertical="center"/>
    </xf>
    <xf numFmtId="0" fontId="51" fillId="0" borderId="0" xfId="0" applyFont="1" applyAlignment="1">
      <alignment vertical="center"/>
      <protection locked="0"/>
    </xf>
    <xf numFmtId="0" fontId="52" fillId="0" borderId="0" xfId="0" applyFont="1" applyAlignment="1">
      <alignment horizontal="left"/>
      <protection locked="0"/>
    </xf>
    <xf numFmtId="193" fontId="53" fillId="0" borderId="0" xfId="49" applyFont="1">
      <alignment vertical="center"/>
    </xf>
    <xf numFmtId="193" fontId="54" fillId="0" borderId="0" xfId="49" applyFont="1">
      <alignment vertical="center"/>
    </xf>
    <xf numFmtId="193" fontId="32" fillId="0" borderId="0" xfId="49" applyFont="1" applyProtection="1">
      <alignment vertical="center"/>
      <protection locked="0"/>
    </xf>
    <xf numFmtId="0" fontId="32" fillId="0" borderId="0" xfId="50" applyFont="1" applyAlignment="1">
      <alignment horizontal="left" vertical="center"/>
      <protection locked="0"/>
    </xf>
    <xf numFmtId="193" fontId="32" fillId="0" borderId="0" xfId="49" applyFont="1" applyAlignment="1" applyProtection="1">
      <alignment horizontal="center" vertical="center"/>
      <protection locked="0"/>
    </xf>
    <xf numFmtId="49" fontId="29" fillId="0" borderId="0" xfId="49" applyNumberFormat="1" applyFont="1" applyAlignment="1" applyProtection="1">
      <alignment horizontal="left" vertical="center"/>
      <protection locked="0"/>
    </xf>
    <xf numFmtId="193" fontId="29" fillId="0" borderId="0" xfId="49" applyFont="1" applyAlignment="1" applyProtection="1">
      <alignment horizontal="justify" vertical="center"/>
      <protection locked="0"/>
    </xf>
    <xf numFmtId="193" fontId="57" fillId="0" borderId="0" xfId="49" applyFont="1" applyAlignment="1" applyProtection="1">
      <alignment horizontal="center" vertical="center"/>
      <protection locked="0"/>
    </xf>
    <xf numFmtId="193" fontId="54" fillId="0" borderId="0" xfId="49" applyFont="1" applyAlignment="1">
      <alignment horizontal="center" vertical="center"/>
    </xf>
    <xf numFmtId="193" fontId="59" fillId="7" borderId="0" xfId="49" applyFont="1" applyFill="1" applyAlignment="1" applyProtection="1">
      <alignment horizontal="center" vertical="center"/>
      <protection locked="0"/>
    </xf>
    <xf numFmtId="193" fontId="32" fillId="7" borderId="0" xfId="49" applyFont="1" applyFill="1" applyAlignment="1" applyProtection="1">
      <alignment horizontal="left" vertical="center"/>
      <protection locked="0"/>
    </xf>
    <xf numFmtId="193" fontId="62" fillId="7" borderId="0" xfId="49" applyFont="1" applyFill="1" applyAlignment="1">
      <alignment horizontal="left" vertical="center"/>
    </xf>
    <xf numFmtId="193" fontId="32" fillId="7" borderId="0" xfId="49" applyFont="1" applyFill="1" applyAlignment="1">
      <alignment horizontal="left" vertical="center"/>
    </xf>
    <xf numFmtId="0" fontId="66" fillId="0" borderId="2" xfId="0" applyFont="1" applyBorder="1" applyAlignment="1" applyProtection="1">
      <alignment horizontal="center" vertical="center"/>
    </xf>
    <xf numFmtId="43" fontId="21" fillId="0" borderId="0" xfId="35" applyNumberFormat="1" applyFont="1" applyFill="1" applyBorder="1" applyAlignment="1">
      <alignment vertical="center"/>
    </xf>
    <xf numFmtId="43" fontId="29" fillId="0" borderId="0" xfId="35" applyNumberFormat="1" applyFont="1" applyFill="1" applyBorder="1" applyAlignment="1">
      <alignment vertical="center"/>
    </xf>
    <xf numFmtId="0" fontId="32" fillId="0" borderId="5" xfId="33" applyFont="1" applyBorder="1" applyAlignment="1">
      <alignment vertical="center"/>
    </xf>
    <xf numFmtId="43" fontId="32" fillId="0" borderId="5" xfId="35" applyNumberFormat="1" applyFont="1" applyBorder="1" applyAlignment="1">
      <alignment vertical="center"/>
    </xf>
    <xf numFmtId="43" fontId="29" fillId="8" borderId="0" xfId="35" applyNumberFormat="1" applyFont="1" applyFill="1" applyBorder="1" applyAlignment="1">
      <alignment vertical="center"/>
    </xf>
    <xf numFmtId="0" fontId="39" fillId="5" borderId="3" xfId="52" applyFont="1" applyFill="1" applyBorder="1" applyAlignment="1" applyProtection="1">
      <alignment vertical="center"/>
    </xf>
    <xf numFmtId="193" fontId="21" fillId="5" borderId="3" xfId="53" applyFont="1" applyFill="1" applyBorder="1" applyAlignment="1" applyProtection="1">
      <alignment horizontal="center" vertical="center" wrapText="1"/>
      <protection locked="0"/>
    </xf>
    <xf numFmtId="0" fontId="70" fillId="0" borderId="3" xfId="52" applyFont="1" applyBorder="1" applyAlignment="1" applyProtection="1">
      <alignment vertical="center"/>
    </xf>
    <xf numFmtId="0" fontId="18" fillId="0" borderId="3" xfId="52" applyFont="1" applyBorder="1" applyAlignment="1" applyProtection="1">
      <alignment vertical="center"/>
    </xf>
    <xf numFmtId="0" fontId="64" fillId="0" borderId="3" xfId="52" applyFont="1" applyBorder="1" applyAlignment="1" applyProtection="1">
      <alignment horizontal="left" vertical="center" indent="1"/>
    </xf>
    <xf numFmtId="0" fontId="38" fillId="0" borderId="3" xfId="52" applyFont="1" applyBorder="1" applyAlignment="1" applyProtection="1">
      <alignment horizontal="center" vertical="center"/>
    </xf>
    <xf numFmtId="43" fontId="29" fillId="0" borderId="5" xfId="35" applyNumberFormat="1" applyFont="1" applyBorder="1" applyAlignment="1">
      <alignment horizontal="left" vertical="center"/>
    </xf>
    <xf numFmtId="43" fontId="32" fillId="0" borderId="5" xfId="35" applyNumberFormat="1" applyFont="1" applyBorder="1" applyAlignment="1">
      <alignment horizontal="left" vertical="center"/>
    </xf>
    <xf numFmtId="43" fontId="71" fillId="0" borderId="5" xfId="54" applyNumberFormat="1" applyFont="1" applyBorder="1" applyAlignment="1" applyProtection="1">
      <alignment horizontal="center" vertical="center"/>
    </xf>
    <xf numFmtId="0" fontId="29" fillId="0" borderId="0" xfId="33" applyFont="1" applyAlignment="1">
      <alignment vertical="center"/>
    </xf>
    <xf numFmtId="9" fontId="34" fillId="0" borderId="0" xfId="55" applyFont="1" applyBorder="1" applyAlignment="1">
      <alignment horizontal="left" vertical="center"/>
    </xf>
    <xf numFmtId="10" fontId="34" fillId="0" borderId="0" xfId="55" applyNumberFormat="1" applyFont="1" applyBorder="1" applyAlignment="1">
      <alignment horizontal="left" vertical="center"/>
    </xf>
    <xf numFmtId="0" fontId="10" fillId="0" borderId="0" xfId="52">
      <protection locked="0"/>
    </xf>
    <xf numFmtId="0" fontId="73" fillId="0" borderId="0" xfId="0" applyFont="1" applyAlignment="1">
      <alignment horizontal="justify" vertical="center"/>
      <protection locked="0"/>
    </xf>
    <xf numFmtId="0" fontId="73" fillId="0" borderId="0" xfId="0" applyFont="1" applyAlignment="1">
      <alignment vertical="center"/>
      <protection locked="0"/>
    </xf>
    <xf numFmtId="0" fontId="73" fillId="0" borderId="0" xfId="0" applyFont="1">
      <protection locked="0"/>
    </xf>
    <xf numFmtId="0" fontId="74" fillId="0" borderId="10" xfId="0" applyFont="1" applyBorder="1" applyAlignment="1">
      <alignment horizontal="justify" vertical="center" wrapText="1"/>
      <protection locked="0"/>
    </xf>
    <xf numFmtId="0" fontId="74" fillId="0" borderId="10" xfId="0" applyFont="1" applyBorder="1" applyAlignment="1">
      <alignment horizontal="right" vertical="center" wrapText="1"/>
      <protection locked="0"/>
    </xf>
    <xf numFmtId="0" fontId="75" fillId="0" borderId="10" xfId="0" applyFont="1" applyBorder="1" applyAlignment="1">
      <alignment horizontal="right" vertical="center" wrapText="1"/>
      <protection locked="0"/>
    </xf>
    <xf numFmtId="0" fontId="48" fillId="0" borderId="0" xfId="0" applyFont="1">
      <protection locked="0"/>
    </xf>
    <xf numFmtId="0" fontId="48" fillId="0" borderId="0" xfId="0" applyFont="1" applyAlignment="1">
      <alignment horizontal="justify" vertical="center" wrapText="1"/>
      <protection locked="0"/>
    </xf>
    <xf numFmtId="0" fontId="48" fillId="0" borderId="11" xfId="0" applyFont="1" applyBorder="1" applyAlignment="1">
      <alignment horizontal="justify" vertical="center" wrapText="1"/>
      <protection locked="0"/>
    </xf>
    <xf numFmtId="0" fontId="75" fillId="0" borderId="11" xfId="0" applyFont="1" applyBorder="1" applyAlignment="1">
      <alignment horizontal="justify" vertical="center" wrapText="1"/>
      <protection locked="0"/>
    </xf>
    <xf numFmtId="0" fontId="48" fillId="0" borderId="0" xfId="0" applyFont="1" applyAlignment="1">
      <alignment horizontal="justify" vertical="center"/>
      <protection locked="0"/>
    </xf>
    <xf numFmtId="0" fontId="76" fillId="0" borderId="0" xfId="0" applyFont="1" applyAlignment="1">
      <alignment horizontal="left" vertical="center"/>
      <protection locked="0"/>
    </xf>
    <xf numFmtId="193" fontId="32" fillId="0" borderId="0" xfId="49" applyFont="1" applyAlignment="1" applyProtection="1">
      <alignment horizontal="center" vertical="center" wrapText="1"/>
      <protection locked="0"/>
    </xf>
    <xf numFmtId="193" fontId="53" fillId="0" borderId="3" xfId="57" applyFont="1" applyBorder="1" applyAlignment="1">
      <alignment horizontal="center" vertical="center" wrapText="1"/>
    </xf>
    <xf numFmtId="193" fontId="53" fillId="0" borderId="3" xfId="56" applyFont="1" applyBorder="1" applyAlignment="1">
      <alignment horizontal="center" vertical="center" wrapText="1"/>
    </xf>
    <xf numFmtId="43" fontId="48" fillId="9" borderId="3" xfId="42" applyFont="1" applyFill="1" applyBorder="1" applyAlignment="1">
      <alignment horizontal="left" vertical="center" wrapText="1"/>
    </xf>
    <xf numFmtId="43" fontId="32" fillId="9" borderId="3" xfId="42" applyFont="1" applyFill="1" applyBorder="1" applyAlignment="1">
      <alignment horizontal="right" vertical="center" wrapText="1"/>
    </xf>
    <xf numFmtId="10" fontId="32" fillId="9" borderId="3" xfId="31" applyNumberFormat="1" applyFont="1" applyFill="1" applyBorder="1" applyAlignment="1">
      <alignment horizontal="right" vertical="center" wrapText="1"/>
    </xf>
    <xf numFmtId="43" fontId="48" fillId="9" borderId="3" xfId="42" applyFont="1" applyFill="1" applyBorder="1" applyAlignment="1">
      <alignment horizontal="right" vertical="center" wrapText="1"/>
    </xf>
    <xf numFmtId="43" fontId="21" fillId="9" borderId="3" xfId="42" applyFont="1" applyFill="1" applyBorder="1" applyAlignment="1">
      <alignment horizontal="center" vertical="center" wrapText="1"/>
    </xf>
    <xf numFmtId="43" fontId="29" fillId="9" borderId="3" xfId="42" applyFont="1" applyFill="1" applyBorder="1" applyAlignment="1">
      <alignment horizontal="right" vertical="center" wrapText="1"/>
    </xf>
    <xf numFmtId="10" fontId="29" fillId="9" borderId="3" xfId="31" applyNumberFormat="1" applyFont="1" applyFill="1" applyBorder="1" applyAlignment="1">
      <alignment horizontal="right" vertical="center" wrapText="1"/>
    </xf>
    <xf numFmtId="43" fontId="46" fillId="9" borderId="3" xfId="51" applyFont="1" applyFill="1" applyBorder="1" applyAlignment="1">
      <alignment horizontal="right" vertical="center"/>
    </xf>
    <xf numFmtId="43" fontId="46" fillId="9" borderId="3" xfId="42" applyFont="1" applyFill="1" applyBorder="1" applyAlignment="1">
      <alignment horizontal="right" vertical="center"/>
    </xf>
    <xf numFmtId="43" fontId="44" fillId="9" borderId="3" xfId="45" applyNumberFormat="1" applyFont="1" applyFill="1" applyBorder="1" applyAlignment="1">
      <alignment horizontal="right" vertical="center" shrinkToFit="1"/>
    </xf>
    <xf numFmtId="0" fontId="39" fillId="5" borderId="3" xfId="52" applyFont="1" applyFill="1" applyBorder="1" applyAlignment="1" applyProtection="1">
      <alignment vertical="center" wrapText="1"/>
    </xf>
    <xf numFmtId="43" fontId="42" fillId="9" borderId="3" xfId="45" applyNumberFormat="1" applyFont="1" applyFill="1" applyBorder="1" applyAlignment="1">
      <alignment horizontal="right" vertical="center" shrinkToFit="1"/>
    </xf>
    <xf numFmtId="43" fontId="46" fillId="0" borderId="0" xfId="42" applyFont="1" applyFill="1" applyBorder="1" applyAlignment="1">
      <alignment horizontal="center" vertical="center"/>
    </xf>
    <xf numFmtId="0" fontId="48" fillId="0" borderId="0" xfId="0" applyFont="1" applyAlignment="1">
      <alignment vertical="center"/>
      <protection locked="0"/>
    </xf>
    <xf numFmtId="0" fontId="32" fillId="0" borderId="0" xfId="43" applyFont="1" applyAlignment="1" applyProtection="1">
      <alignment horizontal="left" vertical="center"/>
    </xf>
    <xf numFmtId="43" fontId="48" fillId="0" borderId="0" xfId="35" applyNumberFormat="1" applyFont="1" applyBorder="1" applyAlignment="1">
      <alignment horizontal="left" vertical="center"/>
    </xf>
    <xf numFmtId="193" fontId="79" fillId="7" borderId="0" xfId="56" applyFont="1" applyFill="1" applyAlignment="1" applyProtection="1">
      <alignment horizontal="left" vertical="center" wrapText="1"/>
      <protection locked="0"/>
    </xf>
    <xf numFmtId="193" fontId="80" fillId="0" borderId="0" xfId="56" applyFont="1" applyAlignment="1" applyProtection="1">
      <alignment horizontal="left" vertical="center"/>
      <protection locked="0"/>
    </xf>
    <xf numFmtId="43" fontId="48" fillId="0" borderId="0" xfId="35" applyNumberFormat="1" applyFont="1" applyBorder="1" applyAlignment="1">
      <alignment vertical="center"/>
    </xf>
    <xf numFmtId="0" fontId="32" fillId="0" borderId="0" xfId="0" applyFont="1" applyAlignment="1">
      <alignment horizontal="right" vertical="center" wrapText="1"/>
      <protection locked="0"/>
    </xf>
    <xf numFmtId="0" fontId="32" fillId="0" borderId="11" xfId="0" applyFont="1" applyBorder="1" applyAlignment="1">
      <alignment horizontal="right" vertical="center" wrapText="1"/>
      <protection locked="0"/>
    </xf>
    <xf numFmtId="0" fontId="29" fillId="0" borderId="11" xfId="0" applyFont="1" applyBorder="1" applyAlignment="1">
      <alignment horizontal="right" vertical="center" wrapText="1"/>
      <protection locked="0"/>
    </xf>
    <xf numFmtId="0" fontId="18" fillId="0" borderId="0" xfId="0" applyFont="1" applyAlignment="1">
      <alignment horizontal="left" vertical="center"/>
      <protection locked="0"/>
    </xf>
    <xf numFmtId="0" fontId="48" fillId="0" borderId="3" xfId="0" applyFont="1" applyBorder="1" applyAlignment="1">
      <alignment horizontal="justify" vertical="center" wrapText="1"/>
      <protection locked="0"/>
    </xf>
    <xf numFmtId="0" fontId="48" fillId="0" borderId="3" xfId="0" applyFont="1" applyBorder="1" applyAlignment="1">
      <alignment horizontal="center" vertical="center" wrapText="1"/>
      <protection locked="0"/>
    </xf>
    <xf numFmtId="0" fontId="81" fillId="0" borderId="0" xfId="0" applyFont="1" applyAlignment="1">
      <alignment vertical="top"/>
      <protection locked="0"/>
    </xf>
    <xf numFmtId="193" fontId="83" fillId="0" borderId="0" xfId="49" applyFont="1" applyProtection="1">
      <alignment vertical="center"/>
      <protection locked="0"/>
    </xf>
    <xf numFmtId="49" fontId="29" fillId="0" borderId="0" xfId="56" applyNumberFormat="1" applyFont="1" applyAlignment="1" applyProtection="1">
      <alignment horizontal="left" vertical="center"/>
      <protection locked="0"/>
    </xf>
    <xf numFmtId="193" fontId="29" fillId="5" borderId="3" xfId="56" applyFont="1" applyFill="1" applyBorder="1" applyAlignment="1" applyProtection="1">
      <alignment horizontal="center" vertical="center" wrapText="1"/>
      <protection locked="0"/>
    </xf>
    <xf numFmtId="193" fontId="53" fillId="0" borderId="3" xfId="49" applyFont="1" applyBorder="1" applyAlignment="1">
      <alignment horizontal="center" vertical="center" wrapText="1"/>
    </xf>
    <xf numFmtId="193" fontId="60" fillId="0" borderId="3" xfId="56" applyFont="1" applyBorder="1" applyAlignment="1">
      <alignment horizontal="center" vertical="center" wrapText="1"/>
    </xf>
    <xf numFmtId="0" fontId="53" fillId="0" borderId="3" xfId="57" applyNumberFormat="1" applyFont="1" applyBorder="1" applyAlignment="1">
      <alignment horizontal="center" vertical="center" wrapText="1"/>
    </xf>
    <xf numFmtId="0" fontId="53" fillId="0" borderId="3" xfId="49" applyNumberFormat="1" applyFont="1" applyBorder="1" applyAlignment="1">
      <alignment horizontal="center" vertical="center" wrapText="1"/>
    </xf>
    <xf numFmtId="0" fontId="58" fillId="0" borderId="0" xfId="0" applyFont="1" applyAlignment="1">
      <alignment horizontal="left" vertical="center"/>
      <protection locked="0"/>
    </xf>
    <xf numFmtId="193" fontId="69" fillId="7" borderId="0" xfId="56" applyFont="1" applyFill="1" applyAlignment="1" applyProtection="1">
      <alignment horizontal="left" vertical="center" wrapText="1"/>
      <protection locked="0"/>
    </xf>
    <xf numFmtId="193" fontId="61" fillId="0" borderId="3" xfId="56" applyFont="1" applyBorder="1" applyAlignment="1">
      <alignment horizontal="center" vertical="center" wrapText="1"/>
    </xf>
    <xf numFmtId="193" fontId="63" fillId="0" borderId="3" xfId="56" applyFont="1" applyBorder="1" applyAlignment="1">
      <alignment horizontal="center" vertical="center" wrapText="1"/>
    </xf>
    <xf numFmtId="193" fontId="63" fillId="0" borderId="3" xfId="56" applyFont="1" applyFill="1" applyBorder="1" applyAlignment="1">
      <alignment horizontal="center" vertical="center" wrapText="1"/>
    </xf>
    <xf numFmtId="193" fontId="61" fillId="0" borderId="3" xfId="56" applyFont="1" applyFill="1" applyBorder="1" applyAlignment="1">
      <alignment horizontal="center" vertical="center" wrapText="1"/>
    </xf>
    <xf numFmtId="43" fontId="84" fillId="0" borderId="0" xfId="35" applyNumberFormat="1" applyFont="1" applyBorder="1" applyAlignment="1">
      <alignment horizontal="left" vertical="center"/>
    </xf>
    <xf numFmtId="0" fontId="48" fillId="0" borderId="0" xfId="43" applyFont="1" applyAlignment="1" applyProtection="1">
      <alignment vertical="center"/>
    </xf>
    <xf numFmtId="0" fontId="21" fillId="0" borderId="0" xfId="34" applyFont="1" applyAlignment="1">
      <alignment vertical="center"/>
    </xf>
    <xf numFmtId="0" fontId="18" fillId="0" borderId="0" xfId="34" applyFont="1" applyAlignment="1">
      <alignment vertical="center"/>
    </xf>
    <xf numFmtId="0" fontId="32" fillId="9" borderId="3" xfId="0" applyFont="1" applyFill="1" applyBorder="1" applyAlignment="1">
      <alignment horizontal="left" vertical="center"/>
      <protection locked="0"/>
    </xf>
    <xf numFmtId="43" fontId="32" fillId="9" borderId="3" xfId="42" applyFont="1" applyFill="1" applyBorder="1" applyAlignment="1" applyProtection="1">
      <alignment horizontal="left" vertical="center"/>
      <protection locked="0"/>
    </xf>
    <xf numFmtId="43" fontId="32" fillId="9" borderId="3" xfId="0" applyNumberFormat="1" applyFont="1" applyFill="1" applyBorder="1" applyAlignment="1">
      <alignment horizontal="left" vertical="center"/>
      <protection locked="0"/>
    </xf>
    <xf numFmtId="0" fontId="32" fillId="9" borderId="3" xfId="0" applyFont="1" applyFill="1" applyBorder="1" applyAlignment="1">
      <alignment horizontal="center" vertical="center"/>
      <protection locked="0"/>
    </xf>
    <xf numFmtId="0" fontId="32" fillId="9" borderId="3" xfId="0" applyFont="1" applyFill="1" applyBorder="1" applyAlignment="1">
      <alignment vertical="center" wrapText="1"/>
      <protection locked="0"/>
    </xf>
    <xf numFmtId="0" fontId="32" fillId="0" borderId="0" xfId="0" applyFont="1" applyBorder="1" applyAlignment="1">
      <alignment horizontal="center" vertical="center"/>
      <protection locked="0"/>
    </xf>
    <xf numFmtId="0" fontId="32" fillId="0" borderId="0" xfId="0" applyFont="1" applyBorder="1" applyAlignment="1">
      <alignment vertical="center"/>
      <protection locked="0"/>
    </xf>
    <xf numFmtId="0" fontId="32" fillId="0" borderId="0" xfId="0" applyFont="1" applyBorder="1" applyAlignment="1">
      <alignment horizontal="left" vertical="center"/>
      <protection locked="0"/>
    </xf>
    <xf numFmtId="43" fontId="29" fillId="9" borderId="3" xfId="42" applyFont="1" applyFill="1" applyBorder="1" applyAlignment="1">
      <alignment vertical="center"/>
    </xf>
    <xf numFmtId="0" fontId="29" fillId="5" borderId="3" xfId="0" applyFont="1" applyFill="1" applyBorder="1" applyAlignment="1">
      <alignment horizontal="center" vertical="center"/>
      <protection locked="0"/>
    </xf>
    <xf numFmtId="193" fontId="32" fillId="0" borderId="3" xfId="49" applyFont="1" applyBorder="1" applyAlignment="1">
      <alignment vertical="center" wrapText="1"/>
    </xf>
    <xf numFmtId="193" fontId="53" fillId="0" borderId="3" xfId="49" applyFont="1" applyBorder="1" applyAlignment="1">
      <alignment vertical="center" wrapText="1"/>
    </xf>
    <xf numFmtId="193" fontId="29" fillId="5" borderId="3" xfId="56" applyFont="1" applyFill="1" applyBorder="1" applyAlignment="1" applyProtection="1">
      <alignment horizontal="center" vertical="center"/>
      <protection locked="0"/>
    </xf>
    <xf numFmtId="193" fontId="18" fillId="0" borderId="3" xfId="57" applyFont="1" applyBorder="1" applyAlignment="1">
      <alignment vertical="center" wrapText="1"/>
    </xf>
    <xf numFmtId="193" fontId="32" fillId="0" borderId="3" xfId="57" applyFont="1" applyBorder="1" applyAlignment="1">
      <alignment vertical="center" wrapText="1"/>
    </xf>
    <xf numFmtId="0" fontId="46" fillId="0" borderId="2" xfId="0" applyFont="1" applyBorder="1" applyAlignment="1" applyProtection="1">
      <alignment horizontal="center" vertical="center"/>
    </xf>
    <xf numFmtId="0" fontId="30" fillId="0" borderId="0" xfId="0" applyFont="1" applyAlignment="1">
      <alignment horizontal="center"/>
      <protection locked="0"/>
    </xf>
    <xf numFmtId="0" fontId="65" fillId="0" borderId="3" xfId="49" applyNumberFormat="1" applyFont="1" applyBorder="1" applyAlignment="1">
      <alignment vertical="center" wrapText="1"/>
    </xf>
    <xf numFmtId="0" fontId="53" fillId="0" borderId="3" xfId="57" applyNumberFormat="1" applyFont="1" applyBorder="1" applyAlignment="1">
      <alignment vertical="center" wrapText="1"/>
    </xf>
    <xf numFmtId="0" fontId="32" fillId="0" borderId="3" xfId="49" applyNumberFormat="1" applyFont="1" applyBorder="1" applyAlignment="1" applyProtection="1">
      <alignment horizontal="center" vertical="center"/>
      <protection locked="0"/>
    </xf>
    <xf numFmtId="0" fontId="32" fillId="0" borderId="3" xfId="57" applyNumberFormat="1" applyFont="1" applyBorder="1" applyAlignment="1" applyProtection="1">
      <alignment horizontal="center" vertical="center"/>
      <protection locked="0"/>
    </xf>
    <xf numFmtId="193" fontId="77" fillId="0" borderId="3" xfId="49" applyFont="1" applyBorder="1" applyAlignment="1">
      <alignment horizontal="center" vertical="center" wrapText="1"/>
    </xf>
    <xf numFmtId="193" fontId="32" fillId="0" borderId="3" xfId="49" applyFont="1" applyBorder="1" applyAlignment="1">
      <alignment horizontal="center" vertical="center" wrapText="1"/>
    </xf>
    <xf numFmtId="193" fontId="62" fillId="0" borderId="3" xfId="49" applyFont="1" applyBorder="1" applyAlignment="1">
      <alignment horizontal="center" vertical="center"/>
    </xf>
    <xf numFmtId="0" fontId="85" fillId="0" borderId="2" xfId="36" applyFont="1" applyBorder="1" applyAlignment="1" applyProtection="1">
      <alignment vertical="center"/>
    </xf>
    <xf numFmtId="0" fontId="23" fillId="0" borderId="2" xfId="36" applyFont="1" applyBorder="1" applyAlignment="1" applyProtection="1">
      <alignment vertical="center"/>
    </xf>
    <xf numFmtId="0" fontId="18" fillId="0" borderId="0" xfId="0" applyFont="1" applyAlignment="1">
      <alignment horizontal="center" vertical="center"/>
      <protection locked="0"/>
    </xf>
    <xf numFmtId="0" fontId="36" fillId="0" borderId="0" xfId="36" applyFont="1" applyAlignment="1">
      <alignment horizontal="left" vertical="center"/>
      <protection locked="0"/>
    </xf>
    <xf numFmtId="0" fontId="21" fillId="5" borderId="3" xfId="43" applyFont="1" applyFill="1" applyBorder="1" applyAlignment="1">
      <alignment horizontal="center" vertical="center"/>
      <protection locked="0"/>
    </xf>
    <xf numFmtId="0" fontId="21" fillId="5" borderId="3" xfId="43" applyFont="1" applyFill="1" applyBorder="1" applyAlignment="1">
      <alignment horizontal="center" vertical="center" wrapText="1"/>
      <protection locked="0"/>
    </xf>
    <xf numFmtId="0" fontId="21" fillId="5" borderId="3" xfId="52" applyFont="1" applyFill="1" applyBorder="1" applyAlignment="1" applyProtection="1">
      <alignment horizontal="center" vertical="center"/>
    </xf>
    <xf numFmtId="193" fontId="29" fillId="5" borderId="3" xfId="53" applyFont="1" applyFill="1" applyBorder="1" applyAlignment="1" applyProtection="1">
      <alignment horizontal="center" vertical="center" wrapText="1"/>
      <protection locked="0"/>
    </xf>
    <xf numFmtId="193" fontId="58" fillId="0" borderId="3" xfId="49" applyFont="1" applyBorder="1" applyAlignment="1">
      <alignment horizontal="center" vertical="center" wrapText="1"/>
    </xf>
    <xf numFmtId="0" fontId="18" fillId="4" borderId="0" xfId="0" applyFont="1" applyFill="1" applyAlignment="1">
      <alignment horizontal="justify" vertical="center" wrapText="1"/>
      <protection locked="0"/>
    </xf>
    <xf numFmtId="0" fontId="55" fillId="0" borderId="0" xfId="0" applyFont="1" applyAlignment="1">
      <alignment horizontal="center" vertical="center"/>
      <protection locked="0"/>
    </xf>
    <xf numFmtId="193" fontId="59" fillId="7" borderId="0" xfId="49" applyFont="1" applyFill="1" applyBorder="1" applyAlignment="1" applyProtection="1">
      <alignment horizontal="centerContinuous" vertical="center"/>
      <protection locked="0"/>
    </xf>
    <xf numFmtId="193" fontId="54" fillId="7" borderId="0" xfId="49" applyFont="1" applyFill="1" applyBorder="1" applyAlignment="1">
      <alignment horizontal="centerContinuous" vertical="center"/>
    </xf>
    <xf numFmtId="193" fontId="69" fillId="0" borderId="0" xfId="59" applyFont="1" applyFill="1" applyAlignment="1">
      <alignment horizontal="left" vertical="center"/>
    </xf>
    <xf numFmtId="0" fontId="32" fillId="0" borderId="0" xfId="43" applyFont="1" applyAlignment="1" applyProtection="1">
      <alignment vertical="center"/>
    </xf>
    <xf numFmtId="14" fontId="21" fillId="9" borderId="3" xfId="43" applyNumberFormat="1" applyFont="1" applyFill="1" applyBorder="1" applyAlignment="1">
      <alignment vertical="center"/>
      <protection locked="0"/>
    </xf>
    <xf numFmtId="0" fontId="29" fillId="0" borderId="0" xfId="34" applyFont="1" applyBorder="1" applyAlignment="1">
      <alignment vertical="center"/>
    </xf>
    <xf numFmtId="43" fontId="32" fillId="0" borderId="3" xfId="42" applyFont="1" applyBorder="1" applyAlignment="1" applyProtection="1">
      <alignment horizontal="left" vertical="center"/>
      <protection locked="0"/>
    </xf>
    <xf numFmtId="10" fontId="32" fillId="9" borderId="3" xfId="31" applyNumberFormat="1" applyFont="1" applyFill="1" applyBorder="1" applyAlignment="1" applyProtection="1">
      <alignment horizontal="right" vertical="center"/>
      <protection locked="0"/>
    </xf>
    <xf numFmtId="43" fontId="44" fillId="5" borderId="3" xfId="45" applyNumberFormat="1" applyFont="1" applyFill="1" applyBorder="1" applyAlignment="1">
      <alignment horizontal="right" vertical="center" shrinkToFit="1"/>
    </xf>
    <xf numFmtId="43" fontId="75" fillId="5" borderId="3" xfId="42" applyFont="1" applyFill="1" applyBorder="1" applyAlignment="1">
      <alignment horizontal="justify" vertical="center" wrapText="1"/>
    </xf>
    <xf numFmtId="0" fontId="75" fillId="5" borderId="3" xfId="0" applyFont="1" applyFill="1" applyBorder="1" applyAlignment="1">
      <alignment horizontal="justify" vertical="center" wrapText="1"/>
      <protection locked="0"/>
    </xf>
    <xf numFmtId="43" fontId="75" fillId="5" borderId="3" xfId="42" applyFont="1" applyFill="1" applyBorder="1" applyAlignment="1">
      <alignment horizontal="center" vertical="center" wrapText="1"/>
    </xf>
    <xf numFmtId="0" fontId="29" fillId="5" borderId="0" xfId="0" applyFont="1" applyFill="1" applyAlignment="1">
      <alignment vertical="center" wrapText="1"/>
      <protection locked="0"/>
    </xf>
    <xf numFmtId="0" fontId="31" fillId="0" borderId="0" xfId="0" applyFont="1" applyAlignment="1">
      <alignment horizontal="left" vertical="center" wrapText="1"/>
      <protection locked="0"/>
    </xf>
    <xf numFmtId="0" fontId="30" fillId="0" borderId="0" xfId="0" applyFont="1" applyAlignment="1">
      <alignment horizontal="left" vertical="center" wrapText="1"/>
      <protection locked="0"/>
    </xf>
    <xf numFmtId="193" fontId="18" fillId="0" borderId="3" xfId="56" applyFont="1" applyBorder="1" applyAlignment="1" applyProtection="1">
      <alignment horizontal="center" vertical="center" wrapText="1"/>
      <protection locked="0"/>
    </xf>
    <xf numFmtId="193" fontId="19" fillId="0" borderId="0" xfId="48" applyFont="1" applyAlignment="1">
      <alignment horizontal="center" vertical="center"/>
    </xf>
    <xf numFmtId="193" fontId="55" fillId="0" borderId="0" xfId="48" applyFont="1" applyAlignment="1">
      <alignment horizontal="center" vertical="center"/>
    </xf>
    <xf numFmtId="193" fontId="29" fillId="0" borderId="0" xfId="49" applyFont="1" applyAlignment="1" applyProtection="1">
      <alignment horizontal="left" vertical="center"/>
      <protection locked="0"/>
    </xf>
    <xf numFmtId="193" fontId="21" fillId="5" borderId="3" xfId="56" applyFont="1" applyFill="1" applyBorder="1" applyAlignment="1" applyProtection="1">
      <alignment horizontal="center" vertical="center" wrapText="1"/>
      <protection locked="0"/>
    </xf>
    <xf numFmtId="193" fontId="29" fillId="5" borderId="3" xfId="56" applyFont="1" applyFill="1" applyBorder="1" applyAlignment="1" applyProtection="1">
      <alignment horizontal="center" vertical="center"/>
      <protection locked="0"/>
    </xf>
    <xf numFmtId="193" fontId="29" fillId="5" borderId="3" xfId="49" applyFont="1" applyFill="1" applyBorder="1" applyAlignment="1" applyProtection="1">
      <alignment horizontal="center" vertical="center" wrapText="1"/>
      <protection locked="0"/>
    </xf>
    <xf numFmtId="49" fontId="29" fillId="5" borderId="3" xfId="49" applyNumberFormat="1" applyFont="1" applyFill="1" applyBorder="1" applyAlignment="1" applyProtection="1">
      <alignment horizontal="center" vertical="center"/>
      <protection locked="0"/>
    </xf>
    <xf numFmtId="193" fontId="32" fillId="0" borderId="3" xfId="56" applyFont="1" applyBorder="1" applyAlignment="1" applyProtection="1">
      <alignment horizontal="left" vertical="center" wrapText="1"/>
      <protection locked="0"/>
    </xf>
    <xf numFmtId="193" fontId="29" fillId="5" borderId="3" xfId="56" applyFont="1" applyFill="1" applyBorder="1" applyAlignment="1" applyProtection="1">
      <alignment horizontal="center" vertical="center" wrapText="1"/>
      <protection locked="0"/>
    </xf>
    <xf numFmtId="193" fontId="21" fillId="5" borderId="6" xfId="45" applyFont="1" applyFill="1" applyBorder="1" applyAlignment="1" applyProtection="1">
      <alignment horizontal="center" vertical="center" wrapText="1"/>
      <protection locked="0"/>
    </xf>
    <xf numFmtId="193" fontId="29" fillId="5" borderId="4" xfId="45" applyFont="1" applyFill="1" applyBorder="1" applyAlignment="1" applyProtection="1">
      <alignment horizontal="center" vertical="center" wrapText="1"/>
      <protection locked="0"/>
    </xf>
    <xf numFmtId="43" fontId="19" fillId="0" borderId="0" xfId="35" applyNumberFormat="1" applyFont="1" applyBorder="1" applyAlignment="1">
      <alignment horizontal="center" vertical="center"/>
    </xf>
    <xf numFmtId="43" fontId="55" fillId="0" borderId="0" xfId="35" applyNumberFormat="1" applyFont="1" applyBorder="1" applyAlignment="1">
      <alignment horizontal="center" vertical="center"/>
    </xf>
    <xf numFmtId="193" fontId="21" fillId="5" borderId="3" xfId="45" applyFont="1" applyFill="1" applyBorder="1" applyAlignment="1" applyProtection="1">
      <alignment horizontal="center" vertical="center" wrapText="1"/>
      <protection locked="0"/>
    </xf>
    <xf numFmtId="193" fontId="29" fillId="5" borderId="3" xfId="45" applyFont="1" applyFill="1" applyBorder="1" applyAlignment="1" applyProtection="1">
      <alignment horizontal="center" vertical="center" wrapText="1"/>
      <protection locked="0"/>
    </xf>
    <xf numFmtId="10" fontId="34" fillId="0" borderId="0" xfId="31" applyNumberFormat="1" applyFont="1" applyBorder="1" applyAlignment="1">
      <alignment horizontal="left" vertical="center"/>
    </xf>
    <xf numFmtId="193" fontId="21" fillId="9" borderId="7" xfId="45" applyFont="1" applyFill="1" applyBorder="1" applyAlignment="1" applyProtection="1">
      <alignment horizontal="center" vertical="center" wrapText="1"/>
      <protection locked="0"/>
    </xf>
    <xf numFmtId="193" fontId="29" fillId="9" borderId="8" xfId="45" applyFont="1" applyFill="1" applyBorder="1" applyAlignment="1" applyProtection="1">
      <alignment horizontal="center" vertical="center" wrapText="1"/>
      <protection locked="0"/>
    </xf>
    <xf numFmtId="193" fontId="29" fillId="9" borderId="9" xfId="45" applyFont="1" applyFill="1" applyBorder="1" applyAlignment="1" applyProtection="1">
      <alignment horizontal="center" vertical="center" wrapText="1"/>
      <protection locked="0"/>
    </xf>
    <xf numFmtId="193" fontId="21" fillId="5" borderId="7" xfId="45" applyFont="1" applyFill="1" applyBorder="1" applyAlignment="1" applyProtection="1">
      <alignment horizontal="center" vertical="center" wrapText="1"/>
      <protection locked="0"/>
    </xf>
    <xf numFmtId="193" fontId="29" fillId="5" borderId="8" xfId="45" applyFont="1" applyFill="1" applyBorder="1" applyAlignment="1" applyProtection="1">
      <alignment horizontal="center" vertical="center" wrapText="1"/>
      <protection locked="0"/>
    </xf>
    <xf numFmtId="193" fontId="29" fillId="5" borderId="9" xfId="45" applyFont="1" applyFill="1" applyBorder="1" applyAlignment="1" applyProtection="1">
      <alignment horizontal="center" vertical="center" wrapText="1"/>
      <protection locked="0"/>
    </xf>
    <xf numFmtId="193" fontId="39" fillId="5" borderId="3" xfId="47" applyFont="1" applyFill="1" applyBorder="1" applyAlignment="1" applyProtection="1">
      <alignment horizontal="center" vertical="center" wrapText="1"/>
      <protection locked="0"/>
    </xf>
    <xf numFmtId="193" fontId="21" fillId="5" borderId="3" xfId="47" applyFont="1" applyFill="1" applyBorder="1" applyAlignment="1" applyProtection="1">
      <alignment horizontal="center" vertical="center" wrapText="1"/>
      <protection locked="0"/>
    </xf>
    <xf numFmtId="0" fontId="21" fillId="0" borderId="0" xfId="32" applyFont="1" applyAlignment="1">
      <alignment horizontal="center" vertical="center"/>
    </xf>
    <xf numFmtId="0" fontId="19" fillId="0" borderId="0" xfId="32" applyFont="1" applyAlignment="1">
      <alignment horizontal="center" vertical="center"/>
    </xf>
    <xf numFmtId="0" fontId="19" fillId="0" borderId="0" xfId="32" applyFont="1" applyAlignment="1">
      <alignment horizontal="center" vertical="center" wrapText="1"/>
    </xf>
    <xf numFmtId="0" fontId="55" fillId="0" borderId="0" xfId="32" applyFont="1" applyAlignment="1">
      <alignment horizontal="center" vertical="center" wrapText="1"/>
    </xf>
    <xf numFmtId="0" fontId="21" fillId="5" borderId="3" xfId="0" applyFont="1" applyFill="1" applyBorder="1" applyAlignment="1">
      <alignment horizontal="center" vertical="center" wrapText="1"/>
      <protection locked="0"/>
    </xf>
    <xf numFmtId="193" fontId="75" fillId="5" borderId="12" xfId="45" applyFont="1" applyFill="1" applyBorder="1" applyAlignment="1" applyProtection="1">
      <alignment horizontal="center" vertical="center"/>
      <protection locked="0"/>
    </xf>
    <xf numFmtId="193" fontId="75" fillId="5" borderId="13" xfId="45" applyFont="1" applyFill="1" applyBorder="1" applyAlignment="1" applyProtection="1">
      <alignment horizontal="center" vertical="center"/>
      <protection locked="0"/>
    </xf>
    <xf numFmtId="193" fontId="39" fillId="5" borderId="12" xfId="45" applyFont="1" applyFill="1" applyBorder="1" applyAlignment="1" applyProtection="1">
      <alignment horizontal="center" vertical="center"/>
      <protection locked="0"/>
    </xf>
    <xf numFmtId="193" fontId="39" fillId="5" borderId="13" xfId="45" applyFont="1" applyFill="1" applyBorder="1" applyAlignment="1" applyProtection="1">
      <alignment horizontal="center" vertical="center"/>
      <protection locked="0"/>
    </xf>
    <xf numFmtId="193" fontId="75" fillId="5" borderId="3" xfId="45" applyFont="1" applyFill="1" applyBorder="1" applyAlignment="1" applyProtection="1">
      <alignment horizontal="center" vertical="center"/>
      <protection locked="0"/>
    </xf>
    <xf numFmtId="193" fontId="21" fillId="5" borderId="7" xfId="45" applyFont="1" applyFill="1" applyBorder="1" applyAlignment="1" applyProtection="1">
      <alignment horizontal="center" vertical="center"/>
      <protection locked="0"/>
    </xf>
    <xf numFmtId="193" fontId="21" fillId="5" borderId="8" xfId="45" applyFont="1" applyFill="1" applyBorder="1" applyAlignment="1" applyProtection="1">
      <alignment horizontal="center" vertical="center"/>
      <protection locked="0"/>
    </xf>
    <xf numFmtId="193" fontId="39" fillId="5" borderId="3" xfId="45" applyFont="1" applyFill="1" applyBorder="1" applyAlignment="1" applyProtection="1">
      <alignment horizontal="center" vertical="center"/>
      <protection locked="0"/>
    </xf>
    <xf numFmtId="193" fontId="38" fillId="5" borderId="3" xfId="45" applyFont="1" applyFill="1" applyBorder="1" applyAlignment="1" applyProtection="1">
      <alignment horizontal="center" vertical="center"/>
      <protection locked="0"/>
    </xf>
    <xf numFmtId="193" fontId="39" fillId="5" borderId="7" xfId="45" applyFont="1" applyFill="1" applyBorder="1" applyAlignment="1" applyProtection="1">
      <alignment horizontal="center" vertical="center"/>
      <protection locked="0"/>
    </xf>
    <xf numFmtId="193" fontId="39" fillId="5" borderId="8" xfId="45" applyFont="1" applyFill="1" applyBorder="1" applyAlignment="1" applyProtection="1">
      <alignment horizontal="center" vertical="center"/>
      <protection locked="0"/>
    </xf>
    <xf numFmtId="193" fontId="29" fillId="5" borderId="8" xfId="45" applyFont="1" applyFill="1" applyBorder="1" applyAlignment="1" applyProtection="1">
      <alignment horizontal="center" vertical="center"/>
      <protection locked="0"/>
    </xf>
    <xf numFmtId="193" fontId="29" fillId="5" borderId="9" xfId="45" applyFont="1" applyFill="1" applyBorder="1" applyAlignment="1" applyProtection="1">
      <alignment horizontal="center" vertical="center"/>
      <protection locked="0"/>
    </xf>
    <xf numFmtId="0" fontId="72" fillId="0" borderId="0" xfId="52" applyFont="1" applyAlignment="1">
      <alignment horizontal="left" vertical="center" wrapText="1"/>
      <protection locked="0"/>
    </xf>
    <xf numFmtId="0" fontId="21" fillId="5" borderId="12" xfId="0" applyFont="1" applyFill="1" applyBorder="1" applyAlignment="1">
      <alignment horizontal="center" vertical="center" wrapText="1"/>
      <protection locked="0"/>
    </xf>
    <xf numFmtId="0" fontId="21" fillId="5" borderId="13" xfId="0" applyFont="1" applyFill="1" applyBorder="1" applyAlignment="1">
      <alignment horizontal="center" vertical="center" wrapText="1"/>
      <protection locked="0"/>
    </xf>
    <xf numFmtId="0" fontId="21" fillId="5" borderId="7" xfId="0" applyFont="1" applyFill="1" applyBorder="1" applyAlignment="1">
      <alignment horizontal="center" vertical="center" wrapText="1"/>
      <protection locked="0"/>
    </xf>
    <xf numFmtId="0" fontId="21" fillId="5" borderId="8" xfId="0" applyFont="1" applyFill="1" applyBorder="1" applyAlignment="1">
      <alignment horizontal="center" vertical="center" wrapText="1"/>
      <protection locked="0"/>
    </xf>
    <xf numFmtId="0" fontId="21" fillId="5" borderId="9" xfId="0" applyFont="1" applyFill="1" applyBorder="1" applyAlignment="1">
      <alignment horizontal="center" vertical="center" wrapText="1"/>
      <protection locked="0"/>
    </xf>
    <xf numFmtId="0" fontId="21" fillId="9" borderId="3" xfId="0" applyFont="1" applyFill="1" applyBorder="1" applyAlignment="1">
      <alignment horizontal="center" vertical="center"/>
      <protection locked="0"/>
    </xf>
    <xf numFmtId="14" fontId="21" fillId="9" borderId="3" xfId="43" applyNumberFormat="1" applyFont="1" applyFill="1" applyBorder="1" applyAlignment="1">
      <alignment horizontal="center" vertical="center"/>
      <protection locked="0"/>
    </xf>
    <xf numFmtId="0" fontId="21" fillId="5" borderId="3" xfId="43" applyFont="1" applyFill="1" applyBorder="1" applyAlignment="1">
      <alignment horizontal="center" vertical="center"/>
      <protection locked="0"/>
    </xf>
    <xf numFmtId="0" fontId="21" fillId="10" borderId="3" xfId="43" applyFont="1" applyFill="1" applyBorder="1" applyAlignment="1" applyProtection="1">
      <alignment horizontal="center" vertical="center" wrapText="1"/>
    </xf>
    <xf numFmtId="0" fontId="19" fillId="0" borderId="0" xfId="0" applyFont="1" applyAlignment="1">
      <alignment horizontal="center" vertical="center"/>
      <protection locked="0"/>
    </xf>
    <xf numFmtId="0" fontId="55" fillId="0" borderId="0" xfId="0" applyFont="1" applyAlignment="1">
      <alignment horizontal="center" vertical="center"/>
      <protection locked="0"/>
    </xf>
    <xf numFmtId="0" fontId="21" fillId="5" borderId="3" xfId="52" applyFont="1" applyFill="1" applyBorder="1" applyAlignment="1">
      <alignment horizontal="center" vertical="center"/>
      <protection locked="0"/>
    </xf>
    <xf numFmtId="0" fontId="29" fillId="5" borderId="3" xfId="52" applyFont="1" applyFill="1" applyBorder="1" applyAlignment="1">
      <alignment horizontal="center" vertical="center"/>
      <protection locked="0"/>
    </xf>
    <xf numFmtId="0" fontId="21" fillId="5" borderId="3" xfId="52" applyFont="1" applyFill="1" applyBorder="1" applyAlignment="1">
      <alignment horizontal="center" vertical="center" wrapText="1"/>
      <protection locked="0"/>
    </xf>
    <xf numFmtId="0" fontId="29" fillId="5" borderId="3" xfId="52" applyFont="1" applyFill="1" applyBorder="1" applyAlignment="1">
      <alignment horizontal="center" vertical="center" wrapText="1"/>
      <protection locked="0"/>
    </xf>
    <xf numFmtId="0" fontId="29" fillId="5" borderId="7" xfId="0" applyFont="1" applyFill="1" applyBorder="1" applyAlignment="1">
      <alignment horizontal="center" vertical="center"/>
      <protection locked="0"/>
    </xf>
    <xf numFmtId="0" fontId="29" fillId="5" borderId="8" xfId="0" applyFont="1" applyFill="1" applyBorder="1" applyAlignment="1">
      <alignment horizontal="center" vertical="center"/>
      <protection locked="0"/>
    </xf>
    <xf numFmtId="0" fontId="21" fillId="10" borderId="12" xfId="43" applyFont="1" applyFill="1" applyBorder="1" applyAlignment="1" applyProtection="1">
      <alignment horizontal="center" vertical="center" wrapText="1"/>
    </xf>
    <xf numFmtId="0" fontId="21" fillId="10" borderId="13" xfId="43" applyFont="1" applyFill="1" applyBorder="1" applyAlignment="1" applyProtection="1">
      <alignment horizontal="center" vertical="center" wrapText="1"/>
    </xf>
  </cellXfs>
  <cellStyles count="60">
    <cellStyle name="@_text" xfId="1"/>
    <cellStyle name="{Comma [0]}" xfId="2"/>
    <cellStyle name="{Comma}" xfId="3"/>
    <cellStyle name="{Date}" xfId="4"/>
    <cellStyle name="{Month}" xfId="5"/>
    <cellStyle name="{Percent}" xfId="6"/>
    <cellStyle name="{Thousand [0]}" xfId="7"/>
    <cellStyle name="{Thousand}" xfId="8"/>
    <cellStyle name="{Z'0000(1 dec)}" xfId="9"/>
    <cellStyle name="{Z'0000(4 dec)}" xfId="10"/>
    <cellStyle name="Black" xfId="11"/>
    <cellStyle name="Border" xfId="12"/>
    <cellStyle name="Comma [0]_1995" xfId="13"/>
    <cellStyle name="Comma_1995" xfId="14"/>
    <cellStyle name="Currency [0]_1995" xfId="15"/>
    <cellStyle name="Currency_1995" xfId="16"/>
    <cellStyle name="Dezimal [0]_laroux" xfId="17"/>
    <cellStyle name="Dezimal_laroux" xfId="18"/>
    <cellStyle name="Euro" xfId="19"/>
    <cellStyle name="Followed Hyperlink_AheadBehind.xls Chart 23" xfId="20"/>
    <cellStyle name="Grey" xfId="21"/>
    <cellStyle name="Hyperlink_AheadBehind.xls Chart 23" xfId="22"/>
    <cellStyle name="Input [yellow]" xfId="23"/>
    <cellStyle name="Milliers [0]_laroux" xfId="24"/>
    <cellStyle name="Milliers_laroux" xfId="25"/>
    <cellStyle name="Non défini" xfId="26"/>
    <cellStyle name="Normal - Style1" xfId="27"/>
    <cellStyle name="Normal_22-Jun EUS Forecasts" xfId="28"/>
    <cellStyle name="Percent [2]" xfId="29"/>
    <cellStyle name="Red" xfId="30"/>
    <cellStyle name="百分比" xfId="31" builtinId="5"/>
    <cellStyle name="百分比 2 2" xfId="55"/>
    <cellStyle name="常规" xfId="0" builtinId="0"/>
    <cellStyle name="常规 11 5" xfId="59"/>
    <cellStyle name="常规 2" xfId="43"/>
    <cellStyle name="常规 2 2" xfId="52"/>
    <cellStyle name="常规 3" xfId="47"/>
    <cellStyle name="常规 3 2" xfId="50"/>
    <cellStyle name="常规 4" xfId="45"/>
    <cellStyle name="常规 4 2" xfId="53"/>
    <cellStyle name="常规 5" xfId="46"/>
    <cellStyle name="常规 6" xfId="49"/>
    <cellStyle name="常规 6 2" xfId="57"/>
    <cellStyle name="常规 7" xfId="56"/>
    <cellStyle name="常规 7 2" xfId="58"/>
    <cellStyle name="常规_Book1" xfId="32"/>
    <cellStyle name="常规_Book1 2" xfId="48"/>
    <cellStyle name="常规_c-资产类" xfId="33"/>
    <cellStyle name="常规_进一步审计程序--销售与收款循环" xfId="34"/>
    <cellStyle name="常规_新审定表" xfId="35"/>
    <cellStyle name="常规_制造费用" xfId="44"/>
    <cellStyle name="超链接" xfId="36" builtinId="8"/>
    <cellStyle name="超链接 2" xfId="54"/>
    <cellStyle name="普通_ 外G9(3)" xfId="37"/>
    <cellStyle name="千分位[0]_宁波" xfId="38"/>
    <cellStyle name="千分位_宁波" xfId="39"/>
    <cellStyle name="千位[0]_laroux" xfId="40"/>
    <cellStyle name="千位_laroux" xfId="41"/>
    <cellStyle name="千位分隔" xfId="42" builtinId="3"/>
    <cellStyle name="千位分隔 2 4" xfId="51"/>
  </cellStyles>
  <dxfs count="0"/>
  <tableStyles count="0" defaultTableStyle="TableStyleMedium9" defaultPivotStyle="PivotStyleLight16"/>
  <colors>
    <mruColors>
      <color rgb="FF0000FF"/>
      <color rgb="FFE4DF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选择键"/>
      <sheetName val="&lt;原报&gt;资产负债表"/>
      <sheetName val="W"/>
      <sheetName val="其他应收款－个人借款明细"/>
      <sheetName val="无正式发票的支出"/>
      <sheetName val="E1020"/>
      <sheetName val="UFPrn20080707101342"/>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审计调整"/>
      <sheetName val="生产成本"/>
      <sheetName val="完"/>
      <sheetName val="企业表一"/>
      <sheetName val="M-5C"/>
      <sheetName val="M-5A"/>
      <sheetName val="表头（请先填写）"/>
      <sheetName val="200)年受限统计表"/>
      <sheetName val="35.1租赁明滆"/>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调整分录汇总"/>
      <sheetName val="PTC"/>
      <sheetName val="Stock turnove_x0002_"/>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2006"/>
      <sheetName val="建筑"/>
      <sheetName val="机电"/>
      <sheetName val="装潢"/>
      <sheetName val="在途存货清单及测试"/>
      <sheetName val="Appendix"/>
      <sheetName val="3mon-1Year"/>
      <sheetName val="per mgt"/>
      <sheetName val="above5y"/>
      <sheetName val="1-3MON"/>
      <sheetName val="1year-5year"/>
      <sheetName val="个人借款明细"/>
      <sheetName val="POWER ASSUMPTIONS"/>
      <sheetName val="lookup"/>
      <sheetName val="Unit Information"/>
      <sheetName val="Company Information"/>
      <sheetName val="基础数据"/>
      <sheetName val="原材料余额表"/>
      <sheetName val="21710103"/>
      <sheetName val="2171010501"/>
      <sheetName val="2171010502"/>
      <sheetName val="217102"/>
      <sheetName val="cover"/>
      <sheetName val="Toolbox"/>
      <sheetName val="折旧测试2007"/>
      <sheetName val="剥离前"/>
      <sheetName val="Stock turnove_x005f_x0002_"/>
      <sheetName val="中山低值"/>
      <sheetName val="YS02-02"/>
      <sheetName val="主营业务税金及附加Dy"/>
      <sheetName val="应收账款Dy"/>
      <sheetName val="original"/>
      <sheetName val="C_301"/>
      <sheetName val="C_311"/>
      <sheetName val="C_318"/>
      <sheetName val="Sheet1"/>
      <sheetName val="目錄"/>
      <sheetName val="税金汇总"/>
      <sheetName val="1-6yue"/>
      <sheetName val="Worksheet in 8240 COS breakdown"/>
      <sheetName val="余额表"/>
      <sheetName val="09差异分摊计算表"/>
      <sheetName val="08差异分摊计算表"/>
      <sheetName val="材料差异"/>
      <sheetName val="收入明细－按客户"/>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XL4Poppy"/>
      <sheetName val="凤县折旧测算"/>
      <sheetName val="BALANCE SHEET"/>
      <sheetName val="FA-2"/>
      <sheetName val="7-11销售"/>
      <sheetName val="制造费用"/>
      <sheetName val="关联交易-存款"/>
      <sheetName val="报表科目"/>
      <sheetName val="应收账款贷方余额表"/>
      <sheetName val="应收账款借方余额表"/>
      <sheetName val="应收账款余额表"/>
      <sheetName val="试算"/>
      <sheetName val="附注汇总"/>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账面外销"/>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科目名称表"/>
      <sheetName val="表头信息"/>
      <sheetName val="国内CP2产品收入明细"/>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_x0000__x0000__x0000__x0000__x0000__x0000__x0000__x0000_"/>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 val="明细表2016"/>
      <sheetName val="会计科目表"/>
      <sheetName val="银行存款核对表"/>
      <sheetName val="Top22(GER)"/>
      <sheetName val="Rental PIT"/>
      <sheetName val="Sample test"/>
      <sheetName val="Business tax PIT"/>
      <sheetName val="Professional fee"/>
      <sheetName val="十一、消耗性生物资产G2-2-11"/>
      <sheetName val="管理费用明细表(2001年)"/>
      <sheetName val="出库"/>
      <sheetName val="入库"/>
      <sheetName val="TB资产"/>
      <sheetName val="其他应收款-2019.12.31"/>
      <sheetName val="其他应付款"/>
      <sheetName val="选项清单列表（不归档）"/>
      <sheetName val="UFPrn20050930091710"/>
      <sheetName val="UFPrn20050930204109"/>
      <sheetName val="关联方"/>
      <sheetName val="2021.10"/>
      <sheetName val="B1-1001"/>
      <sheetName val="明细表（账龄）M1-2"/>
      <sheetName val="明细表M9-2"/>
      <sheetName val="AFEMAI"/>
      <sheetName val="Detail Loan Move. &amp; Listing"/>
      <sheetName val="CAUDIT"/>
      <sheetName val="风险分类"/>
      <sheetName val="O101"/>
      <sheetName val="J8-9使用权资产负债确认汇总表2020年1月1日的租赁合同）"/>
      <sheetName val="KEY"/>
      <sheetName val="起"/>
      <sheetName val="末"/>
      <sheetName val="补贴收入明细表"/>
      <sheetName val="以前年度损益调整Dy"/>
      <sheetName val="dongia (2)"/>
      <sheetName val="销售收入"/>
      <sheetName val="代码"/>
      <sheetName val="06汇总"/>
      <sheetName val="主数据(车型)"/>
      <sheetName val="2月修改"/>
      <sheetName val="项目成本明细表"/>
      <sheetName val="收入毛利分析D4-3-1-分析"/>
      <sheetName val="D4-12-1销售退回核查-分析"/>
      <sheetName val="自定义名称"/>
      <sheetName val="Stock_turnove_x00_2"/>
      <sheetName val="抵销科目"/>
      <sheetName val="增值税测算表O1-4 -2019年"/>
      <sheetName val="科目设置"/>
      <sheetName val="产品名称.勿删"/>
      <sheetName val="Collateral"/>
      <sheetName val="Disposition"/>
      <sheetName val="BAS"/>
      <sheetName val="BUDGET"/>
      <sheetName val="Input-Act"/>
      <sheetName val="A股IPO审计程序汇总"/>
      <sheetName val="General"/>
      <sheetName val="待售物业"/>
      <sheetName val="发展中物业"/>
      <sheetName val="发展中物业明细"/>
      <sheetName val="其他存货"/>
      <sheetName val="Valuation of PFS"/>
      <sheetName val="Valuation of PUD"/>
      <sheetName val="Detail test"/>
      <sheetName val="Cut-off"/>
      <sheetName val="Detailed test"/>
      <sheetName val="PUD Breakdown"/>
      <sheetName val="Adjustment on 一期成本"/>
      <sheetName val="Initialize"/>
      <sheetName val="提足折旧"/>
      <sheetName val="G1-3b月度销售分析"/>
      <sheetName val="Setting"/>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O5 Lead-其他应付-Consol"/>
      <sheetName val="G2 Lead"/>
      <sheetName val="O5-4  Lead"/>
      <sheetName val="Bloomberg"/>
      <sheetName val="Summary (Wuhan)"/>
      <sheetName val="其他应收款明细表"/>
      <sheetName val="0_Menu"/>
      <sheetName val="Version"/>
      <sheetName val="Rates"/>
      <sheetName val="Summary_retrieve"/>
      <sheetName val="Malasia"/>
      <sheetName val="存货差异分析表"/>
      <sheetName val="B-3"/>
      <sheetName val="B-4"/>
      <sheetName val="表2&lt;销售出库单&gt;"/>
      <sheetName val="A300"/>
      <sheetName val="6月末SP库存"/>
      <sheetName val="CE"/>
      <sheetName val="IS"/>
      <sheetName val="Customize Your Loan Manager"/>
      <sheetName val="初始设定"/>
      <sheetName val="内销收人"/>
      <sheetName val="校验"/>
      <sheetName val="原报表"/>
      <sheetName val="上年审前调整"/>
      <sheetName val="上年审前试算表"/>
      <sheetName val="本年审前调整"/>
      <sheetName val="本年审前试算表"/>
      <sheetName val="审前报表"/>
      <sheetName val="2006TB"/>
      <sheetName val="银行列表"/>
      <sheetName val="报表11"/>
      <sheetName val="折旧测算表"/>
      <sheetName val="母公司TB"/>
      <sheetName val="Chart of Account"/>
      <sheetName val="清单"/>
      <sheetName val="关联方_物流集团"/>
      <sheetName val="存货_生产成本Dy"/>
      <sheetName val="主营业务成本mx"/>
      <sheetName val="注释补充表1"/>
      <sheetName val="阳光365人员情况表（截至2005.9.30）"/>
      <sheetName val="TAX COM"/>
      <sheetName val="其它业务收入分类"/>
      <sheetName val="B15 重要性计算表"/>
      <sheetName val="集团关联方清单"/>
      <sheetName val="数据有效性"/>
      <sheetName val="conBS"/>
      <sheetName val="conCE"/>
      <sheetName val="conCF"/>
      <sheetName val="conIS"/>
      <sheetName val="N__其他应收款"/>
      <sheetName val="N__应收账款"/>
      <sheetName val="N__营业收入及营业成本"/>
      <sheetName val="源"/>
      <sheetName val="Marco"/>
      <sheetName val="799"/>
      <sheetName val="应收账款明细分类账2019"/>
      <sheetName val="20年销售出库"/>
      <sheetName val="6.6-存货-制造费用明细表"/>
      <sheetName val="核算项目组合表"/>
      <sheetName val="全部预算"/>
      <sheetName val="A3 &amp; U 09-01"/>
      <sheetName val="公司名称一览表"/>
      <sheetName val="UFPrn20210115161842"/>
      <sheetName val="单位往来"/>
      <sheetName val="投资保证金"/>
      <sheetName val="2019—库存商品库龄"/>
      <sheetName val="2018年报表"/>
      <sheetName val="预期信用损失的计量测试D2-14（20201231）"/>
      <sheetName val="鼎信诺字典表"/>
      <sheetName val="现金流量表(未审)"/>
      <sheetName val="偿债力分析"/>
      <sheetName val="应收帐款询证函"/>
      <sheetName val="Final"/>
      <sheetName val="JA#1"/>
      <sheetName val="JA#2&amp;5"/>
      <sheetName val="Stock_turnove_x005f_x005f_x005f_x005f_x005f"/>
      <sheetName val="合并"/>
      <sheetName val="dm"/>
      <sheetName val="清冊"/>
      <sheetName val="12月开票明细"/>
      <sheetName val="Income tax reconciliation"/>
      <sheetName val="账户汇总表_2017年1月至12月_"/>
      <sheetName val="2013.10-2014.9原材料外购入库序时簿"/>
      <sheetName val="未实现毛利及收入成本抵消"/>
      <sheetName val="Dis."/>
      <sheetName val="合并TB-19年"/>
      <sheetName val="采购订单3名"/>
      <sheetName val="审计程序D29"/>
      <sheetName val="合并起点"/>
      <sheetName val="母公司汇总"/>
      <sheetName val="九、开发成本G2-2-9"/>
      <sheetName val="八、开发产品G2-2-8"/>
      <sheetName val="一、原材料明细表G2-2-1"/>
      <sheetName val="二、材料采购、在途物资明细表G2-2-2"/>
      <sheetName val="三、周转材料、低值易耗品，包装物明细表G2-2-3"/>
      <sheetName val="四、自制半成品明细表G2-2-4"/>
      <sheetName val="六、库存商品明细表G2-2-6"/>
      <sheetName val="七、发出商品G2-2-7"/>
      <sheetName val="订"/>
      <sheetName val="2-R1619"/>
      <sheetName val="研发项目"/>
      <sheetName val="资金计划项目说明"/>
      <sheetName val="database"/>
      <sheetName val="원단위"/>
      <sheetName val="类型设置"/>
      <sheetName val="往来"/>
      <sheetName val="分析报告 "/>
      <sheetName val="Master Data"/>
      <sheetName val="detail"/>
      <sheetName val="汇总"/>
      <sheetName val="税后工资测算"/>
      <sheetName val="UFPrn20050405152516"/>
      <sheetName val="Net Sales (Monthly) Projection"/>
      <sheetName val="销售明细-2021"/>
      <sheetName val="存货收发存-2021"/>
      <sheetName val="明细表D4-20"/>
      <sheetName val="原材料&amp;存货跌价 list"/>
      <sheetName val="生产成本list"/>
      <sheetName val="2009.12.31日完工比例"/>
      <sheetName val="2011.12.31完工比例"/>
      <sheetName val="2010.06.30完工比例"/>
      <sheetName val="库存明细2011"/>
      <sheetName val="在途"/>
      <sheetName val="其他业务利润"/>
      <sheetName val="其他材料收入重复"/>
      <sheetName val="其他材料收入账"/>
      <sheetName val="预收"/>
      <sheetName val="F1"/>
      <sheetName val="销售费用"/>
      <sheetName val="截止测试-入库G2-7-1"/>
      <sheetName val="TB试算表_本年"/>
      <sheetName val="院级设计"/>
      <sheetName val="银行存款明细表"/>
      <sheetName val="人员支出"/>
      <sheetName val="农业用地"/>
      <sheetName val="2002年一般预算收入"/>
      <sheetName val="RYRPADTN"/>
      <sheetName val="2019收入成本（未审）"/>
      <sheetName val="2019年6月-2020年5月项目收入成本一览"/>
      <sheetName val="TB-公证天业"/>
      <sheetName val="BKD-氢能"/>
      <sheetName val="2045020001"/>
      <sheetName val="schedule"/>
      <sheetName val="2008 SPL"/>
      <sheetName val="TargetReports"/>
      <sheetName val="KIINAS"/>
      <sheetName val="BW_FAELI"/>
      <sheetName val="（27）实收资本"/>
      <sheetName val="面积指标"/>
      <sheetName val="固定资产2001年折旧"/>
      <sheetName val="所得税凭证抽查"/>
      <sheetName val="W3"/>
      <sheetName val="数字视频并帐"/>
      <sheetName val="P1"/>
      <sheetName val="Listen"/>
      <sheetName val="(6413)销售费用"/>
      <sheetName val="管理"/>
      <sheetName val="主营成本"/>
      <sheetName val="其他应付款 "/>
      <sheetName val="UFPrn20050217103510"/>
      <sheetName val="应付账款"/>
      <sheetName val="6113应收账款"/>
      <sheetName val="Start"/>
      <sheetName val="cov"/>
      <sheetName val="046 Fixed Ass. mov."/>
      <sheetName val="Open"/>
      <sheetName val="获签学生登记表-直客"/>
      <sheetName val="TPM"/>
      <sheetName val="UFPrn20010510092817"/>
      <sheetName val="UFPrn20010510092918"/>
      <sheetName val="设备部房屋"/>
      <sheetName val="表六 "/>
      <sheetName val="A41-2折旧测试"/>
      <sheetName val="披露表（上市）"/>
      <sheetName val="P-7 CF Fed"/>
      <sheetName val="应收-全"/>
      <sheetName val="二月"/>
      <sheetName val="2011调整分录"/>
      <sheetName val="B7-2-1应付账款余额表"/>
      <sheetName val="一级"/>
      <sheetName val="2003本部资产负债试算表"/>
      <sheetName val="2003本部利润及利润分配表试算表"/>
      <sheetName val="tra-vat-lieu"/>
      <sheetName val="威海汉邦"/>
      <sheetName val="dtct cong"/>
      <sheetName val="数据源-勿动"/>
      <sheetName val="BPR"/>
      <sheetName val="2015PPE"/>
      <sheetName val="资产负债表-母"/>
      <sheetName val="Sheet668"/>
      <sheetName val="USD Data input"/>
      <sheetName val="附表2"/>
      <sheetName val="在制"/>
      <sheetName val="22"/>
      <sheetName val="M 67"/>
      <sheetName val="福利费1"/>
      <sheetName val="整理"/>
      <sheetName val="RawData"/>
      <sheetName val="1－5月余额表"/>
      <sheetName val="1－10月余额表"/>
      <sheetName val="数量金额明细账"/>
      <sheetName val="Jumei"/>
      <sheetName val="SW"/>
      <sheetName val="JDMCode"/>
      <sheetName val="PanelInfo"/>
      <sheetName val="2.1 PS估值分析-上市公司"/>
      <sheetName val="3111"/>
      <sheetName val="3113"/>
      <sheetName val="_8013"/>
      <sheetName val="序时帐"/>
      <sheetName val="Common Assumptions"/>
      <sheetName val="4528"/>
      <sheetName val="有效性"/>
      <sheetName val="Bid_Details"/>
      <sheetName val="BW系统 原稿"/>
      <sheetName val="营业费用02"/>
      <sheetName val="Provision list"/>
      <sheetName val="现金流分录汇总"/>
      <sheetName val="递延所得税资产Dy"/>
      <sheetName val="产能统计（2014）"/>
      <sheetName val="审定_资产负债表"/>
      <sheetName val="未审_资产负债表"/>
      <sheetName val="C1"/>
      <sheetName val="科目代码表"/>
      <sheetName val="UFPrn20200514122159"/>
      <sheetName val="accode"/>
      <sheetName val="NBCF"/>
      <sheetName val="2019年6月其他应付款明细表M4-2  "/>
      <sheetName val="关联方应收款"/>
      <sheetName val="长期借款 (2)"/>
      <sheetName val="短期借款"/>
      <sheetName val="存货Dy"/>
      <sheetName val="收入和成本对应表"/>
      <sheetName val="调整分录 "/>
      <sheetName val="营业费用截止"/>
      <sheetName val="2017_6_30记6号"/>
      <sheetName val="1_主营业务收入"/>
      <sheetName val="工程汇总表 2020新收入准则"/>
      <sheetName val="A180-10"/>
      <sheetName val="填制说明"/>
      <sheetName val="科目2015"/>
      <sheetName val="2018"/>
      <sheetName val="应交税费审定表"/>
      <sheetName val="画底稿使用"/>
      <sheetName val="调整后报表"/>
      <sheetName val="D4-3-2"/>
      <sheetName val="AP"/>
      <sheetName val="NPBOC"/>
      <sheetName val="NPIC"/>
      <sheetName val="会企01表"/>
      <sheetName val="会企02表"/>
      <sheetName val="G2-5生产成本审定表"/>
      <sheetName val="款项性质明细"/>
      <sheetName val="审计调整汇总G1-0-1"/>
      <sheetName val="房租物业余额G1-3"/>
      <sheetName val="HL"/>
      <sheetName val="F01-A (2)"/>
      <sheetName val="固定资产、累计折旧、减值准备明细表"/>
      <sheetName val="现金流量1-10月"/>
      <sheetName val="10月"/>
      <sheetName val="2月"/>
      <sheetName val="3月"/>
      <sheetName val="4月"/>
      <sheetName val="7月"/>
      <sheetName val="8月"/>
      <sheetName val="9月"/>
      <sheetName val="敏感参数"/>
      <sheetName val="1 项目情况"/>
      <sheetName val="1 项目利润表(PS)"/>
      <sheetName val="3 损益推导"/>
      <sheetName val="l&gt;y"/>
      <sheetName val="inventories aging"/>
      <sheetName val="原材料 (y.e.)"/>
      <sheetName val="不合格原材料 (y.e.)"/>
      <sheetName val="产成品 (y.e.)"/>
      <sheetName val="Aging"/>
      <sheetName val="产成品"/>
      <sheetName val="不合格原材料"/>
      <sheetName val="委外加工"/>
      <sheetName val="Aging Summary（2005.6）"/>
      <sheetName val="Aging-材料"/>
      <sheetName val="Aging-产品"/>
      <sheetName val="Aging-特别"/>
      <sheetName val="Summary 06.9"/>
      <sheetName val="Inventory Breakdown"/>
      <sheetName val="Tickmark"/>
      <sheetName val="China"/>
      <sheetName val="inventories list by amount"/>
      <sheetName val="Sheet841"/>
      <sheetName val="BKD-库存材料"/>
      <sheetName val="BKD-周转材料"/>
      <sheetName val="存货周转率测试"/>
      <sheetName val="周转材料摊销"/>
      <sheetName val="Purchase Test"/>
      <sheetName val="定义"/>
      <sheetName val="枚举字典"/>
      <sheetName val="mvt"/>
      <sheetName val="支出项目对应现金流项目"/>
      <sheetName val="UFPrn2003其他"/>
      <sheetName val="sales"/>
      <sheetName val="数据源"/>
      <sheetName val="审计工作底稿目录"/>
      <sheetName val="面料"/>
      <sheetName val="辅料"/>
      <sheetName val="燃料"/>
      <sheetName val="预收帐款"/>
      <sheetName val="毛利分析图"/>
      <sheetName val="_"/>
      <sheetName val="控制测试样本量"/>
      <sheetName val="01"/>
      <sheetName val="010"/>
      <sheetName val="011"/>
      <sheetName val="012"/>
      <sheetName val="02"/>
      <sheetName val="05"/>
      <sheetName val="07"/>
      <sheetName val="08"/>
      <sheetName val="09"/>
      <sheetName val="37.租赁明细"/>
      <sheetName val="正式"/>
      <sheetName val="D2-7本期应收结算单查验"/>
      <sheetName val="预算假设-项目状态"/>
      <sheetName val="23"/>
      <sheetName val="资产"/>
      <sheetName val="租赁计算表19"/>
      <sheetName val="租赁计算表30"/>
      <sheetName val="租赁计算表37"/>
      <sheetName val="租赁计算表26"/>
      <sheetName val="租赁计算表42"/>
      <sheetName val="租赁计算表49"/>
      <sheetName val="租赁计算表48"/>
      <sheetName val="租赁计算表47"/>
      <sheetName val="租赁计算表59"/>
      <sheetName val="租赁计算表73"/>
      <sheetName val="租赁计算表76"/>
      <sheetName val="租赁计算表107"/>
      <sheetName val="租赁计算表111"/>
      <sheetName val="租赁计算表120"/>
      <sheetName val="租赁计算表89"/>
      <sheetName val="租赁计算表52"/>
      <sheetName val="租赁计算表69"/>
      <sheetName val="租赁计算表86"/>
      <sheetName val="租赁计算表127"/>
      <sheetName val="租赁计算表132"/>
      <sheetName val="明细汇总表"/>
      <sheetName val="租赁计算表133"/>
      <sheetName val="租赁计算表134"/>
      <sheetName val="租赁计算表135"/>
      <sheetName val="租赁计算表137"/>
      <sheetName val="租赁计算表138"/>
      <sheetName val="租赁计算表100"/>
      <sheetName val="租赁计算表16"/>
      <sheetName val="担保"/>
      <sheetName val="CRITERIA1"/>
      <sheetName val="CRITERIA2"/>
      <sheetName val="1461（12.6）"/>
      <sheetName val="销售毛利润汇总表"/>
      <sheetName val="A子公司"/>
      <sheetName val="98调整分录表"/>
      <sheetName val="FA-06-不看"/>
      <sheetName val="FA-05-不看"/>
      <sheetName val="mapping"/>
      <sheetName val="产品销售毛利表"/>
      <sheetName val="01 Balance Sheet资产负债表"/>
      <sheetName val="PY-pp"/>
      <sheetName val="Sheet761"/>
      <sheetName val="F.T"/>
      <sheetName val="CONSOL"/>
      <sheetName val="待摊费用明细表"/>
      <sheetName val="资产评估结果分类汇总表 (2)"/>
      <sheetName val="调整汇总19"/>
      <sheetName val="调整汇总16"/>
      <sheetName val="调整汇总18"/>
      <sheetName val="调整汇总17"/>
      <sheetName val="母公司调整汇总17"/>
      <sheetName val="项目名称"/>
      <sheetName val="参考1-项目明细"/>
      <sheetName val="期別全体表"/>
      <sheetName val="2017年开发支出余额"/>
      <sheetName val="分析表L1-3-1"/>
      <sheetName val="2004年试算表"/>
      <sheetName val="BKD天津瑞贝"/>
      <sheetName val="BKD瑞奇北京"/>
      <sheetName val="BKD上海华外"/>
      <sheetName val="BKD瑞奇中国"/>
      <sheetName val="DEP PIT-SH"/>
      <sheetName val="DEP PIT -GZ"/>
      <sheetName val="库存商品余额表.dbf"/>
      <sheetName val="销售单价公允性"/>
      <sheetName val="工作底稿扉页"/>
      <sheetName val="Y3-1一般会计制度附注"/>
      <sheetName val="PAF"/>
      <sheetName val="營業成本表"/>
      <sheetName val="94"/>
      <sheetName val="Adm97"/>
      <sheetName val="2005-5"/>
      <sheetName val="TB2005"/>
      <sheetName val="SCH 2 - Highlights_2"/>
      <sheetName val="dentaltable"/>
      <sheetName val="Products"/>
      <sheetName val="Flow"/>
      <sheetName val="G2 存货"/>
      <sheetName val="G5 主营业务成本"/>
      <sheetName val="TB2017"/>
      <sheetName val="TB2018"/>
      <sheetName val="GL2018"/>
      <sheetName val="JE JX "/>
      <sheetName val="JE SH"/>
      <sheetName val="TB2021"/>
      <sheetName val="JE2021"/>
      <sheetName val="Excel版财务报表附注"/>
      <sheetName val="Sheet481"/>
      <sheetName val="20年出库"/>
      <sheetName val="无形资产"/>
      <sheetName val="利润表项目"/>
      <sheetName val="INVDAYS"/>
      <sheetName val="表三甲"/>
      <sheetName val="11-1"/>
      <sheetName val="数据汇总表"/>
      <sheetName val="A2-1试算"/>
      <sheetName val="Sheet929"/>
      <sheetName val="管理费用(集团董事会)"/>
      <sheetName val="收发存汇总表"/>
      <sheetName val="折旧计算表"/>
      <sheetName val="Currency"/>
      <sheetName val="DropDown"/>
      <sheetName val="Non-Statistical Sampling"/>
      <sheetName val="基础条件"/>
      <sheetName val="数据库表"/>
      <sheetName val="销售明细账审计后"/>
      <sheetName val="08现金流量底稿"/>
      <sheetName val="09现金流量底稿"/>
      <sheetName val="Major"/>
      <sheetName val="profit2 (2)"/>
      <sheetName val="351B发出商品明细-不打印"/>
      <sheetName val="351A发出商品测试"/>
      <sheetName val="3402存货导引表"/>
      <sheetName val="3月生产成本凭证"/>
      <sheetName val="能耗计算 OK "/>
      <sheetName val="应付帐款余额表"/>
      <sheetName val="或有事项"/>
      <sheetName val="关联方交易"/>
      <sheetName val="其他综合收益"/>
      <sheetName val="审定表M4"/>
      <sheetName val="FIN48 TP Doc"/>
      <sheetName val="Sheet751"/>
      <sheetName val="银行未达账项明细表"/>
      <sheetName val="资产负债表（新）"/>
      <sheetName val="Sheet910"/>
      <sheetName val="制造费用明细表"/>
      <sheetName val="生产成本检查表"/>
      <sheetName val="销售费用截止测试"/>
      <sheetName val="附注披露信息（上市公司）L1-1"/>
      <sheetName val="Sheet447"/>
      <sheetName val="销项税"/>
      <sheetName val="SCH H"/>
      <sheetName val="Planning"/>
      <sheetName val="Planning Extension"/>
      <sheetName val="Audit Results Ext"/>
      <sheetName val="Audit Results Upper Stratum Ext"/>
      <sheetName val="Population Characteristics"/>
      <sheetName val="Individually Significant Items"/>
      <sheetName val="Projection Extended Sample"/>
      <sheetName val="Projection"/>
      <sheetName val="D2-1 应收账款Leadsheet"/>
      <sheetName val="存货明细表"/>
      <sheetName val="收入检查表（是否全部开票及船舶离港时间1-10）D4-3-1"/>
      <sheetName val="No.305"/>
      <sheetName val="No.404"/>
      <sheetName val="Contents"/>
      <sheetName val="市场比较法"/>
      <sheetName val="基础资料"/>
      <sheetName val="账项调整"/>
      <sheetName val="索引表"/>
      <sheetName val="申报表封面"/>
      <sheetName val="全年折旧"/>
      <sheetName val="固定资产清理"/>
      <sheetName val="Basic_Information"/>
      <sheetName val="FORM14_2"/>
      <sheetName val="新城资金明细"/>
      <sheetName val="申鑫大厦租金明细"/>
      <sheetName val="三林明细"/>
      <sheetName val="东陆明细"/>
      <sheetName val="在建工程"/>
      <sheetName val="函证结果汇总表M1-5"/>
      <sheetName val="集团关联单位"/>
      <sheetName val="个人备用金账龄"/>
      <sheetName val="审定表M1 "/>
      <sheetName val="预期信用损失的计量测试M1-7-1"/>
      <sheetName val="发货单列表"/>
      <sheetName val="Sheet829"/>
      <sheetName val="Sheet703"/>
      <sheetName val="披露表-国企报告"/>
      <sheetName val="披露表-上市公司报告"/>
      <sheetName val="Sheet748"/>
      <sheetName val="投资"/>
      <sheetName val="筹资"/>
      <sheetName val="首页"/>
      <sheetName val="绝对估值"/>
      <sheetName val="销售输入表"/>
      <sheetName val="C101"/>
      <sheetName val="管理费用检查表"/>
      <sheetName val="营业外收入检查情况表"/>
      <sheetName val="营业费用检查表"/>
      <sheetName val="A105010"/>
      <sheetName val="nada"/>
      <sheetName val="dropdowns"/>
      <sheetName val="通用设备折旧复核"/>
      <sheetName val="专用设备折旧复核"/>
      <sheetName val="运输设备折旧复核"/>
      <sheetName val="电子设备折旧复核"/>
      <sheetName val="其他设备折旧"/>
      <sheetName val="Sheet794"/>
      <sheetName val="白玻综合成本"/>
      <sheetName val="综合成本"/>
      <sheetName val="LF"/>
      <sheetName val="MB51"/>
      <sheetName val="Nov,01"/>
      <sheetName val="存货收发存汇总表"/>
      <sheetName val="CE_P"/>
      <sheetName val="ADJ Sum(console)"/>
      <sheetName val="利润中心"/>
      <sheetName val="折旧表"/>
      <sheetName val="固定资产卡片"/>
      <sheetName val="2009投资明细表"/>
      <sheetName val="a"/>
      <sheetName val="L1-1"/>
      <sheetName val="97년"/>
      <sheetName val="LADJ Recon "/>
      <sheetName val="For report Disclosure"/>
      <sheetName val="Turnover days analysis"/>
      <sheetName val="5442(ref)"/>
      <sheetName val="5443(ref)"/>
      <sheetName val="For PACKAGE"/>
      <sheetName val="本部"/>
      <sheetName val="西安"/>
      <sheetName val="重庆"/>
      <sheetName val="成都"/>
      <sheetName val="哈尔滨"/>
      <sheetName val="大连"/>
      <sheetName val="沈阳"/>
      <sheetName val="秦皇岛"/>
      <sheetName val="武汉"/>
      <sheetName val="郑州"/>
      <sheetName val="天津"/>
      <sheetName val="烟台"/>
      <sheetName val="青岛"/>
      <sheetName val="济南"/>
      <sheetName val="南昌"/>
      <sheetName val="合肥"/>
      <sheetName val="嘉兴"/>
      <sheetName val="温州"/>
      <sheetName val="台州"/>
      <sheetName val="宁波"/>
      <sheetName val="杭州"/>
      <sheetName val="扬州"/>
      <sheetName val="南通"/>
      <sheetName val="常州"/>
      <sheetName val="南京"/>
      <sheetName val="张家港"/>
      <sheetName val="江阴"/>
      <sheetName val="无锡"/>
      <sheetName val="昆山"/>
      <sheetName val="苏州"/>
      <sheetName val="嘉定"/>
      <sheetName val="松江"/>
      <sheetName val="长沙"/>
      <sheetName val="福州"/>
      <sheetName val="泉州"/>
      <sheetName val="厦门"/>
      <sheetName val="惠州"/>
      <sheetName val="汕头"/>
      <sheetName val="花都"/>
      <sheetName val="番禺"/>
      <sheetName val="莞城"/>
      <sheetName val="塘厦"/>
      <sheetName val="长安"/>
      <sheetName val="佛山"/>
      <sheetName val="顺德"/>
      <sheetName val="中山"/>
      <sheetName val="龙岗"/>
      <sheetName val="漳州"/>
      <sheetName val="浦东"/>
      <sheetName val="绍兴"/>
      <sheetName val="石家庄"/>
      <sheetName val="存货--12.31"/>
      <sheetName val="存货库龄分析"/>
      <sheetName val="存货跌价2013.1.4"/>
      <sheetName val="6月生产成本"/>
      <sheetName val="3-1-1现金"/>
      <sheetName val="股本Dy"/>
      <sheetName val="应收出口退税mx"/>
      <sheetName val="payroll "/>
      <sheetName val="2003年预付账款明细账"/>
      <sheetName val="其他业务利润Dy"/>
      <sheetName val="营业费用Dy"/>
      <sheetName val="应收票据Dy"/>
      <sheetName val="LinkData"/>
      <sheetName val="30.06.03"/>
      <sheetName val="主营业务收入mx"/>
      <sheetName val="余额表（终稿）"/>
      <sheetName val="5-1-3管沟"/>
      <sheetName val="5-3工程物资"/>
      <sheetName val="5-4-2在建安装"/>
      <sheetName val="5-5固定清理"/>
      <sheetName val="5-6待处理固定损失"/>
      <sheetName val="丁字帐户"/>
      <sheetName val="KLHT"/>
      <sheetName val="每月資料"/>
      <sheetName val="无形资产Dy"/>
      <sheetName val="无形资产减值准备Dy"/>
      <sheetName val="应收补贴款Dy"/>
      <sheetName val="其他流动资产Dy"/>
      <sheetName val="内部往来Dy"/>
      <sheetName val="长期待摊费用Dy"/>
      <sheetName val="管理费用mx"/>
      <sheetName val="存货Cx"/>
      <sheetName val="按客户"/>
      <sheetName val="FLdeleted"/>
      <sheetName val="存货_库存商品Dy"/>
      <sheetName val="应付工资Dy"/>
      <sheetName val="应付福利费Dy"/>
      <sheetName val="预提费用Dy"/>
      <sheetName val="长期股权投资Mx"/>
      <sheetName val="Final sample listing"/>
      <sheetName val="UFPrn20200921194626"/>
      <sheetName val="余额表200606"/>
      <sheetName val="200611"/>
      <sheetName val="200612"/>
      <sheetName val="Segment"/>
      <sheetName val="list of LC"/>
      <sheetName val="冻品入库"/>
      <sheetName val="鸡油车间"/>
      <sheetName val="conWP1"/>
      <sheetName val="外销收入明细表"/>
      <sheetName val="UFPrn20060111164230"/>
      <sheetName val="07年1-9月"/>
      <sheetName val="dep08"/>
      <sheetName val="成本计提模板"/>
      <sheetName val="信用证分银行"/>
      <sheetName val="商承分银行"/>
      <sheetName val="基本情况"/>
      <sheetName val="商保"/>
      <sheetName val="投资收益Mx"/>
      <sheetName val="三分厂04年1-12月销售价 "/>
      <sheetName val="05年1月销售价"/>
      <sheetName val="04年12月销售价"/>
      <sheetName val="大额未达"/>
      <sheetName val="校对"/>
      <sheetName val="抵消信息表"/>
      <sheetName val="以前年度损益调整"/>
      <sheetName val="已审CF"/>
      <sheetName val="Khoan cong truong Tan De"/>
      <sheetName val="成本"/>
      <sheetName val="MG1"/>
      <sheetName val="USCV3"/>
      <sheetName val="879099"/>
      <sheetName val="资产负债表(本部原报)"/>
      <sheetName val="_Profile"/>
      <sheetName val="附件3-1 穿行待补-展升"/>
      <sheetName val="待摊费用Dy"/>
      <sheetName val="固定资产折旧报表"/>
      <sheetName val="在建工程Dy"/>
      <sheetName val="Accounts"/>
      <sheetName val="生产成本Dy"/>
      <sheetName val="ACTINV"/>
      <sheetName val="H增"/>
      <sheetName val="Net Trans Sum"/>
      <sheetName val="A_Gen"/>
      <sheetName val="Sens"/>
      <sheetName val="20071-10月原材料发出计价测试(不打)"/>
      <sheetName val="200712"/>
      <sheetName val="自制半成品1-12计价测试"/>
      <sheetName val="产成品收发存余额表1-12"/>
      <sheetName val="预付账款Mx"/>
      <sheetName val="帐上"/>
      <sheetName val="$TB 1"/>
      <sheetName val="$TB"/>
      <sheetName val="Devices"/>
      <sheetName val="3. Textile"/>
      <sheetName val="7. NN staff turnover report"/>
      <sheetName val="帐套"/>
      <sheetName val="明细"/>
      <sheetName val="生产领料序时簿"/>
      <sheetName val="新的工作表"/>
      <sheetName val="合并试算平衡表"/>
      <sheetName val="综合成本分析01.01-0205"/>
      <sheetName val="武平流水"/>
      <sheetName val="销售收入底稿"/>
      <sheetName val="混料"/>
      <sheetName val="基本信息_百鑫"/>
      <sheetName val="To tied 2001 opening RE"/>
      <sheetName val="T.B."/>
      <sheetName val="Sheet697"/>
      <sheetName val="Sheet912"/>
      <sheetName val="预收分期表"/>
      <sheetName val="预收账款明细表D3-2"/>
      <sheetName val="轨道一厂在产品盘点倒轧表G2-6-5"/>
      <sheetName val="重分类错报表"/>
      <sheetName val="裕华城"/>
      <sheetName val="收入毛利分析D4-21"/>
      <sheetName val="海外客户提单检查"/>
      <sheetName val="U8数据"/>
      <sheetName val="Competition ¥"/>
      <sheetName val="表头及目录"/>
      <sheetName val="B15 重要性计算表(审计前）"/>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盈余公积"/>
      <sheetName val="N__税金及附加"/>
      <sheetName val="N__营业外收入"/>
      <sheetName val="N__营业外支出"/>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Sheet_Serial"/>
      <sheetName val="FA MVT"/>
      <sheetName val="Physical Description"/>
      <sheetName val="DEF"/>
      <sheetName val="社員リスト"/>
      <sheetName val="固定资产借贷方分析J1-3"/>
      <sheetName val="折旧测算表（不含减值）-直线法J1-8-1-页数多，仅打印头尾"/>
      <sheetName val="明细表J1-2"/>
      <sheetName val="累计折旧重新测算（不含减值）J1-8-2-仅打印头尾"/>
      <sheetName val="标准UPPH"/>
      <sheetName val="28"/>
      <sheetName val="14"/>
      <sheetName val="36"/>
      <sheetName val="13"/>
      <sheetName val="16-1"/>
      <sheetName val="16-2"/>
      <sheetName val="16-3"/>
      <sheetName val="Group"/>
      <sheetName val="FK Ma"/>
      <sheetName val="MetaData"/>
      <sheetName val="現金流量"/>
      <sheetName val="固清"/>
      <sheetName val="Wacc"/>
      <sheetName val="5440彙總表"/>
      <sheetName val="PopCache_Sheet1"/>
      <sheetName val="IPO"/>
      <sheetName val="总账"/>
      <sheetName val="yszk200412.dbf"/>
      <sheetName val="U321"/>
      <sheetName val="dd"/>
      <sheetName val="维简费"/>
      <sheetName val="维简费返还"/>
      <sheetName val="Threshold Table"/>
      <sheetName val="Translation FRF"/>
      <sheetName val="凭证汇总"/>
      <sheetName val="Sales by customer- details"/>
      <sheetName val="&lt;FF&gt; Tax Payable"/>
      <sheetName val="基础设置"/>
      <sheetName val="期末应付账款明细表G4-2"/>
      <sheetName val="C - Cash and Bank"/>
      <sheetName val="8-1"/>
      <sheetName val="大额运费分析表G4-4-4"/>
      <sheetName val="科目设定"/>
      <sheetName val="销售发票专用序时簿"/>
      <sheetName val="PRC 15"/>
      <sheetName val="本期调整分录"/>
      <sheetName val="上期调整分录"/>
      <sheetName val="现流本期编制分录"/>
      <sheetName val="现流上期编制分录"/>
      <sheetName val="资产负债表、利润表、现金流量表"/>
      <sheetName val="销售发票序时簿"/>
      <sheetName val="PRC 13"/>
      <sheetName val="May"/>
      <sheetName val="33230"/>
      <sheetName val="hidesheet"/>
      <sheetName val="函证结果汇总表D4-34"/>
      <sheetName val="财企01表_南宁轨道交通集团有限责任公司（集团合并）期末数"/>
      <sheetName val="2021年TB"/>
      <sheetName val="凭证汇总1"/>
      <sheetName val="Cash Flows"/>
      <sheetName val="人事明细"/>
      <sheetName val="半成品slje"/>
      <sheetName val="9-12月"/>
      <sheetName val="附注索引"/>
      <sheetName val="汇总核对表"/>
      <sheetName val="2005余额表"/>
      <sheetName val="委托贷款Dy"/>
      <sheetName val="坏账准备_预付账款Dy"/>
      <sheetName val="基础"/>
      <sheetName val="累计折旧_2"/>
      <sheetName val="Header Data"/>
      <sheetName val="项目编号列表"/>
      <sheetName val="单位"/>
      <sheetName val="L1-1资产负债表"/>
      <sheetName val="Y3-2 06企业会计制度附注"/>
      <sheetName val="Y0-1报告准备表（无需打印）"/>
      <sheetName val="销售费用Dy"/>
      <sheetName val="主数据"/>
      <sheetName val="VM"/>
      <sheetName val="天合与太阳时代的往来余额(天合账面)"/>
      <sheetName val="181231科技&amp;凯博-其他应付"/>
      <sheetName val="2021应收账面数"/>
      <sheetName val="2021工程账面数"/>
      <sheetName val="评估结论"/>
      <sheetName val="FIRE Parameters"/>
      <sheetName val="G2TempSheet"/>
      <sheetName val="损益表"/>
      <sheetName val="_810余额表"/>
      <sheetName val="qtr local"/>
      <sheetName val="A_1"/>
      <sheetName val="备注"/>
      <sheetName val="工程量"/>
      <sheetName val="服务"/>
      <sheetName val="1梁家5-1-1房建"/>
      <sheetName val="1梁家5-1-2构筑"/>
      <sheetName val="p &amp; lx"/>
      <sheetName val="3-9其他应收"/>
      <sheetName val="9-3应付帐款"/>
      <sheetName val="Director"/>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梁家5-1-1房建"/>
      <sheetName val="XLR_NoRangeSheet"/>
      <sheetName val="累计折旧测算表"/>
      <sheetName val="Alternative"/>
      <sheetName val="统计"/>
      <sheetName val="长期股权投资审定表"/>
      <sheetName val="10K4"/>
      <sheetName val="工企资产负债表"/>
      <sheetName val="出租开发产品明细"/>
      <sheetName val="预付款项Dy"/>
      <sheetName val="预收款项Dy"/>
      <sheetName val="Sales for 2001"/>
      <sheetName val="IPQC-9 二次烧结"/>
      <sheetName val="上缴管理费明细"/>
      <sheetName val="frm销售合同-Sub"/>
      <sheetName val="服务部待报废"/>
      <sheetName val="VAS TB"/>
    </sheetNames>
    <sheetDataSet>
      <sheetData sheetId="0"/>
      <sheetData sheetId="1" refreshError="1"/>
      <sheetData sheetId="2"/>
      <sheetData sheetId="3"/>
      <sheetData sheetId="4" refreshError="1"/>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sheetData sheetId="1516" refreshError="1"/>
      <sheetData sheetId="1517" refreshError="1"/>
      <sheetData sheetId="1518"/>
      <sheetData sheetId="1519" refreshError="1"/>
      <sheetData sheetId="1520" refreshError="1"/>
      <sheetData sheetId="1521" refreshError="1"/>
      <sheetData sheetId="1522" refreshError="1"/>
      <sheetData sheetId="1523"/>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sheetData sheetId="1561"/>
      <sheetData sheetId="1562" refreshError="1"/>
      <sheetData sheetId="1563" refreshError="1"/>
      <sheetData sheetId="1564"/>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sheetData sheetId="1764"/>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XL4Popp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Investment Property"/>
      <sheetName val="基本参数"/>
      <sheetName val="W"/>
      <sheetName val="生产成本"/>
      <sheetName val="&lt;原报&gt;资产负债表"/>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35.1租赁明细"/>
      <sheetName val="表头"/>
      <sheetName val="PTC"/>
      <sheetName val="资产负债表"/>
      <sheetName val="YS02-02"/>
      <sheetName val="P12 TB SZ"/>
      <sheetName val="B"/>
      <sheetName val="coding"/>
      <sheetName val="基础数据"/>
      <sheetName val="三兴2"/>
      <sheetName val="Toolbox"/>
      <sheetName val="Appendix"/>
      <sheetName val="PRC BS"/>
      <sheetName val="完"/>
      <sheetName val="인사현황(부서)"/>
      <sheetName val="Cover"/>
      <sheetName val="营业费用测试"/>
      <sheetName val="KKKKKKKK"/>
      <sheetName val="管理费用(集团董事会)"/>
      <sheetName val="C_301"/>
      <sheetName val="C_311"/>
      <sheetName val="C_318"/>
      <sheetName val="Sheet1"/>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数量对比"/>
      <sheetName val="BALANCE SHEET"/>
      <sheetName val="表头（请先填写+核心提示）"/>
      <sheetName val="账面外销"/>
      <sheetName val="应收账款余额表"/>
      <sheetName val="所得税明细表"/>
      <sheetName val="产销存"/>
      <sheetName val="1-6累计销售"/>
      <sheetName val="收入个月"/>
      <sheetName val="累计产销存"/>
      <sheetName val="AGRO-DATA"/>
      <sheetName val="报表科目"/>
      <sheetName val="应收账款贷方余额表"/>
      <sheetName val="应收账款借方余额表"/>
      <sheetName val=""/>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2-1主营业务收入查证表1"/>
      <sheetName val="审计说明"/>
      <sheetName val="FA-2"/>
      <sheetName val="目錄"/>
      <sheetName val="短期投资股票投资.dbf"/>
      <sheetName val="短期投资国债投资.dbf"/>
      <sheetName val="股票投资收益.dbf"/>
      <sheetName val="其他货币海通.dbf"/>
      <sheetName val="其他货币零领路.dbf"/>
      <sheetName val="投资收益债券.dbf"/>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表头信息"/>
      <sheetName val="gvl"/>
      <sheetName val="Title"/>
      <sheetName val="Understand the client"/>
      <sheetName val="Bokslutsprocessen"/>
      <sheetName val="Indata"/>
      <sheetName val="CRA"/>
      <sheetName val="材差5月份结转"/>
      <sheetName val="生产成本6月份结转"/>
      <sheetName val="库存商品项目账"/>
      <sheetName val="Worksheet in 8240 COS breakdown"/>
      <sheetName val="12进销存"/>
      <sheetName val="5月"/>
      <sheetName val="6月"/>
      <sheetName val="上期报表"/>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000__x0000__x0000__x0000_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00__x0000_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 val="明细表2017"/>
      <sheetName val="_x005f_x005f_x005f_x005f_x005f_x005f_x005f_x005f_"/>
      <sheetName val="余额表李"/>
      <sheetName val="科目代码"/>
      <sheetName val="银行存款核对表"/>
      <sheetName val="Sheet1 (11)"/>
      <sheetName val="科目清单"/>
      <sheetName val="固定资产折旧表"/>
      <sheetName val="会计科目表"/>
      <sheetName val="审计标识"/>
      <sheetName val="ｻﾌﾟﾗｲﾔｰﾘｽﾄ"/>
      <sheetName val="Rental PIT"/>
      <sheetName val="Sample test"/>
      <sheetName val="Business tax PIT"/>
      <sheetName val="Professional fee"/>
      <sheetName val="九、开发成本G2-2-9"/>
      <sheetName val="八、开发产品G2-2-8"/>
      <sheetName val="四、自制半成品明细表G2-2-4"/>
      <sheetName val="七、发出商品G2-2-7"/>
      <sheetName val="一、原材料明细表G2-2-1"/>
      <sheetName val="二、材料采购、在途物资明细表G2-2-2"/>
      <sheetName val="三、周转材料、低值易耗品，包装物明细表G2-2-3"/>
      <sheetName val="六、库存商品明细表G2-2-6"/>
      <sheetName val="福利费1"/>
      <sheetName val="营业费用02"/>
      <sheetName val="799"/>
      <sheetName val="存货明细汇总表"/>
      <sheetName val="G2-2存货明细汇总表"/>
      <sheetName val="上年PL审定"/>
      <sheetName val="补贴收入明细表"/>
      <sheetName val="A2-1试算"/>
      <sheetName val="待摊费用明细表"/>
      <sheetName val="长期借款明细表1"/>
      <sheetName val="末"/>
      <sheetName val="截至2004年10月31日存货材料清单"/>
      <sheetName val="TONGKE-HT"/>
      <sheetName val="代码"/>
      <sheetName val="dropdowns"/>
      <sheetName val="_x005f_x005f_"/>
      <sheetName val="MUS"/>
      <sheetName val="报表项目名称"/>
      <sheetName val="move"/>
      <sheetName val="General"/>
      <sheetName val="Planning"/>
      <sheetName val="Individually Significant Items"/>
      <sheetName val="Summary (Quanzhou)"/>
      <sheetName val="Summary (Shenyang standalone) "/>
      <sheetName val="首页"/>
      <sheetName val="参数维护"/>
      <sheetName val="N2720 当期非经常性损益明细表"/>
      <sheetName val="Summary (Wuhan)"/>
      <sheetName val="Setting"/>
      <sheetName val="General "/>
      <sheetName val="Lists"/>
      <sheetName val="Elements"/>
      <sheetName val="30.09.2017"/>
      <sheetName val="SW-TEO"/>
      <sheetName val="Malasia"/>
      <sheetName val="103105"/>
      <sheetName val="HR"/>
      <sheetName val="利润表验证表"/>
      <sheetName val="Prepaid expenses-Wendy"/>
      <sheetName val="TB 1999-2000"/>
      <sheetName val="Sheet4"/>
      <sheetName val="研发项目"/>
      <sheetName val="资金计划项目说明"/>
      <sheetName val="生产入库04"/>
      <sheetName val="현금경비중역"/>
      <sheetName val="TCalc"/>
      <sheetName val="Threshold Cal"/>
      <sheetName val="작성양식"/>
      <sheetName val="_x0000__x005f"/>
      <sheetName val="_x0000__x0000__x0000__x0000___2"/>
      <sheetName val="_x0000__x0000__x0_2"/>
      <sheetName val="重要性水平"/>
      <sheetName val="银行列表"/>
      <sheetName val="收入明细－按客户"/>
      <sheetName val="数量金额总账"/>
      <sheetName val="销售费用Dy"/>
      <sheetName val="J411"/>
      <sheetName val="J412"/>
      <sheetName val="Marco"/>
      <sheetName val="Customize Your Loan Manager"/>
      <sheetName val="Group"/>
      <sheetName val="预收账款明细表D3-2"/>
      <sheetName val="J"/>
      <sheetName val="C - Cash and Bank"/>
      <sheetName val="A300"/>
      <sheetName val="应付股利Dy"/>
      <sheetName val="预提费用Dy"/>
      <sheetName val="2008年1月"/>
      <sheetName val="2007年12月  "/>
      <sheetName val="商保"/>
      <sheetName val="现流表（附表）黄"/>
      <sheetName val="3. Textile"/>
      <sheetName val="6200B-32应付职工薪酬勾稽表T"/>
      <sheetName val="冻品入库"/>
      <sheetName val="鸡油车间"/>
      <sheetName val="应交税金Dy"/>
      <sheetName val="应收出口退税mx"/>
      <sheetName val="其他应交款Dy"/>
      <sheetName val="主营业务收入Dy"/>
      <sheetName val="유통망계획"/>
      <sheetName val="财务费用mx"/>
      <sheetName val="其他应付款Mx"/>
      <sheetName val="营业外支出Mx"/>
      <sheetName val="未分配利润Dy"/>
      <sheetName val="补贴收入Dy"/>
      <sheetName val="坏账准备_应收账款Dy"/>
      <sheetName val="预收账款Dy"/>
      <sheetName val="坏账准备_应收账款Mx"/>
      <sheetName val="Company"/>
      <sheetName val="主营业务税金及附加Dy"/>
      <sheetName val="其他业务利润Dy"/>
      <sheetName val="营业费用Dy"/>
      <sheetName val="应收票据Dy"/>
      <sheetName val="程序表原始数据"/>
      <sheetName val="个所税"/>
      <sheetName val="企业所得税"/>
      <sheetName val="票7)"/>
      <sheetName val="无形资产Dy"/>
      <sheetName val="无形资产减值准备Dy"/>
      <sheetName val="应收补贴款Dy"/>
      <sheetName val="其他流动资产Dy"/>
      <sheetName val="内部往来Dy"/>
      <sheetName val="长期待摊费用Dy"/>
      <sheetName val="管理费用mx"/>
      <sheetName val="6200B-8社保缴交人数核对"/>
      <sheetName val="payroll "/>
      <sheetName val="发生额 (2)"/>
      <sheetName val="主营业务收入mx"/>
      <sheetName val="TB98"/>
      <sheetName val="FA3-5"/>
      <sheetName val="FA3-4"/>
      <sheetName val="TB MAR2004"/>
      <sheetName val="生产成本Dy"/>
      <sheetName val="原报调整分录"/>
      <sheetName val="审计调整分录"/>
      <sheetName val="已审CF"/>
      <sheetName val="基础"/>
      <sheetName val="conWP1"/>
      <sheetName val="20071-10月原材料发出计价测试(不打)"/>
      <sheetName val="投资收益Mx"/>
      <sheetName val="200712"/>
      <sheetName val="注释汇总"/>
      <sheetName val="初始设定"/>
      <sheetName val="报表11"/>
      <sheetName val="其它业务收入分类"/>
      <sheetName val="壓摸穿燈"/>
      <sheetName val="Rate"/>
      <sheetName val="校验"/>
      <sheetName val="原报表"/>
      <sheetName val="上年审前调整"/>
      <sheetName val="上年审前试算表"/>
      <sheetName val="本年审前调整"/>
      <sheetName val="本年审前试算表"/>
      <sheetName val="审前报表"/>
      <sheetName val="B15 重要性计算表"/>
      <sheetName val="N__其他应收款"/>
      <sheetName val="N__应收账款"/>
      <sheetName val="N__营业收入及营业成本"/>
      <sheetName val="附表2关联交易"/>
      <sheetName val="集团关联方清单"/>
      <sheetName val="数据有效性"/>
      <sheetName val="Sheet1 (2)"/>
      <sheetName val="进料加工汇总信息查询"/>
      <sheetName val="Cashbook"/>
      <sheetName val="现调整"/>
      <sheetName val="（附表2）固定资产处理情况表"/>
      <sheetName val="科余表"/>
      <sheetName val="资产负债表利润及利润分配表"/>
      <sheetName val="期初应付帐款明细表G4-2 "/>
      <sheetName val="操作页"/>
      <sheetName val="核算项目组合表"/>
      <sheetName val="科目"/>
      <sheetName val="公司名称一览表"/>
      <sheetName val="其他应付款明细表M4-2 21"/>
      <sheetName val="其他应付款明细表M4-2 20"/>
      <sheetName val="2020年调整分录"/>
      <sheetName val="2019年调整分录 "/>
      <sheetName val="投资性房地产Dy"/>
      <sheetName val="表5_2_3固定资产—电子设备"/>
      <sheetName val="0609"/>
      <sheetName val="发出商品替代"/>
      <sheetName val="2007.11PPR管件单件测算"/>
      <sheetName val="清冊"/>
      <sheetName val="JA"/>
      <sheetName val="坏账准备_预付账款Dy"/>
      <sheetName val="Dis."/>
      <sheetName val="账户汇总表_2017年1月至12月_"/>
      <sheetName val="应收账款明细表"/>
      <sheetName val="Income tax reconciliation"/>
      <sheetName val="销项税"/>
      <sheetName val="十一、消耗性生物资产G2-2-11"/>
      <sheetName val="应付账款 (2)"/>
      <sheetName val="累计1"/>
      <sheetName val="FIRE Parameters"/>
      <sheetName val="应付(单位)关注"/>
      <sheetName val="员工工资"/>
      <sheetName val="Permit"/>
      <sheetName val="瓶差"/>
      <sheetName val="本期毛利"/>
      <sheetName val="余额表数量"/>
      <sheetName val="_Profile"/>
      <sheetName val="无形资产"/>
      <sheetName val="长期待摊费用"/>
      <sheetName val="应交税金"/>
      <sheetName val="BKD-氢能"/>
      <sheetName val="for disclosure"/>
      <sheetName val="Final"/>
      <sheetName val="2008 SPL"/>
      <sheetName val="OB97LST"/>
      <sheetName val="WIP(For Nick)"/>
      <sheetName val="Admin"/>
      <sheetName val="WO CONV"/>
      <sheetName val="ACTINV"/>
      <sheetName val="N3 PBT"/>
      <sheetName val="Listen"/>
      <sheetName val="Breakdown-本部"/>
      <sheetName val="预付账款汇总表"/>
      <sheetName val="审计调整"/>
      <sheetName val="银行存款明细表"/>
      <sheetName val="管理"/>
      <sheetName val="P1"/>
      <sheetName val="Bilanz"/>
      <sheetName val="Personal"/>
      <sheetName val="commentary"/>
      <sheetName val="Cash of Company"/>
      <sheetName val="tax payable"/>
      <sheetName val="209zt"/>
      <sheetName val="115zt"/>
      <sheetName val="11901zt"/>
      <sheetName val="EXP"/>
      <sheetName val="B7-2-1应付账款余额表"/>
      <sheetName val="主营成本"/>
      <sheetName val="Start"/>
      <sheetName val="科目余额表正式"/>
      <sheetName val="2004年度应收账款分析"/>
      <sheetName val="2020年"/>
      <sheetName val="主营业务收入明细帐"/>
      <sheetName val="五矿收入明细帐"/>
      <sheetName val="现金流量表所需提供的资料"/>
      <sheetName val="负债试算表"/>
      <sheetName val="利润及利润分配表试算表"/>
      <sheetName val="资产试算表"/>
      <sheetName val="披露表（上市）"/>
      <sheetName val="Namelist"/>
      <sheetName val="固资明细"/>
      <sheetName val="日照"/>
      <sheetName val="德州"/>
      <sheetName val="滨州"/>
      <sheetName val="淄博"/>
      <sheetName val="大鲁"/>
      <sheetName val="威海"/>
      <sheetName val="山东省互联网传媒集团应收账款（账龄统计）统计数据"/>
      <sheetName val="张淑东"/>
      <sheetName val="Master Data"/>
      <sheetName val="一级"/>
      <sheetName val="办公设备"/>
      <sheetName val="会计分录序时簿_2"/>
      <sheetName val="表1.5"/>
      <sheetName val="Sheet116"/>
      <sheetName val="Sheet140"/>
      <sheetName val="dtct cong"/>
      <sheetName val="Book 1 Summary"/>
      <sheetName val="P&amp;L"/>
      <sheetName val="损益表"/>
      <sheetName val="番禺管理"/>
      <sheetName val="通力管理"/>
      <sheetName val="股份销售费用"/>
      <sheetName val="股份管理"/>
      <sheetName val="安福管理"/>
      <sheetName val="通力销售费用"/>
      <sheetName val="Sheet112"/>
      <sheetName val="Sheet615"/>
      <sheetName val="Sheet616"/>
      <sheetName val="22"/>
      <sheetName val="M 67"/>
      <sheetName val="THEME CODE"/>
      <sheetName val="CR CODE"/>
      <sheetName val="부서CODE"/>
      <sheetName val="系统附加值表"/>
      <sheetName val="设备部房屋"/>
      <sheetName val="definition"/>
      <sheetName val="SW"/>
      <sheetName val="JDMCode"/>
      <sheetName val="PanelInfo"/>
      <sheetName val="00 FG breakdown"/>
      <sheetName val="01 FG breakdown"/>
      <sheetName val="99 FG breakdown"/>
      <sheetName val="电动车间"/>
      <sheetName val="5132"/>
      <sheetName val="会计科目"/>
      <sheetName val="Detail P&amp;L"/>
      <sheetName val="审计程序"/>
      <sheetName val="披露表(上市)-2016"/>
      <sheetName val="替代结果汇总表"/>
      <sheetName val="审定_资产负债表"/>
      <sheetName val="未审_资产负债表"/>
      <sheetName val="CAPEX-KEuro"/>
      <sheetName val="code_note"/>
      <sheetName val="数据模板1"/>
      <sheetName val="1_主营业务收入"/>
      <sheetName val="其他应收"/>
      <sheetName val="应收"/>
      <sheetName val="预付"/>
      <sheetName val="其他非流动资产合并抵消明细"/>
      <sheetName val="其他应收款－个人借款明细"/>
      <sheetName val="2017_6_30记6号"/>
      <sheetName val="07TB"/>
      <sheetName val="AR Breakdown&amp;Aging"/>
      <sheetName val="AP Breakdown &amp; Aging"/>
      <sheetName val="测算表"/>
      <sheetName val="A140-10"/>
      <sheetName val="数据源"/>
      <sheetName val="画底稿使用"/>
      <sheetName val="调整后报表"/>
      <sheetName val="收入成本审定表D4试剂"/>
      <sheetName val="审计说明M4-0"/>
      <sheetName val="库存商品库龄分析G2-3-3"/>
      <sheetName val="固定资产、累计折旧、减值准备明细表"/>
      <sheetName val="现金流量1-10月"/>
      <sheetName val="基础资料（B）"/>
      <sheetName val="Tfc&amp;toll asmptns"/>
      <sheetName val="G1-1-1a AR-85A"/>
      <sheetName val="浙江道之-机器设备"/>
      <sheetName val="Dates"/>
      <sheetName val="Sheet113"/>
      <sheetName val="合并TB-19年"/>
      <sheetName val="固定资产"/>
      <sheetName val="专项应付款Mx"/>
      <sheetName val="应付工资Dy"/>
      <sheetName val="UFPrn20071013211250"/>
      <sheetName val="D4-1营业收入审定表"/>
      <sheetName val="函证汇总表 G4-4-1"/>
      <sheetName val="发货单列表"/>
      <sheetName val="凭证测试（固硫）"/>
      <sheetName val="应收(帐面数)"/>
      <sheetName val="出租开发产品明细"/>
      <sheetName val="Sheet132"/>
      <sheetName val="Sheet555"/>
      <sheetName val="Sheet659"/>
      <sheetName val="Sheet703"/>
      <sheetName val="補充資料-10030 asset list"/>
      <sheetName val="新城资金明细"/>
      <sheetName val="申鑫大厦租金明细"/>
      <sheetName val="三林明细"/>
      <sheetName val="东陆明细"/>
      <sheetName val="D2-7本期应收结算单查验"/>
      <sheetName val="2021明细表D2-2 "/>
      <sheetName val="销售单价公允性"/>
      <sheetName val="预收帐款"/>
      <sheetName val="面积指标"/>
      <sheetName val="酒店"/>
      <sheetName val="P&amp;L Summary Page"/>
      <sheetName val="含量"/>
      <sheetName val="Sheet137"/>
      <sheetName val="Sheet367"/>
      <sheetName val="UFPrn20200415105500"/>
      <sheetName val="ITEM"/>
      <sheetName val="明细表J8-1"/>
      <sheetName val="11、对外开证"/>
      <sheetName val="财务费用"/>
      <sheetName val="投资收益"/>
      <sheetName val="B1-1001"/>
      <sheetName val="资债比较原"/>
      <sheetName val="Dropdown Category"/>
      <sheetName val="98调整分录表"/>
      <sheetName val="大楼分录"/>
      <sheetName val="凤县折旧测算"/>
      <sheetName val="Table"/>
      <sheetName val="产品销售毛利表"/>
      <sheetName val="苏州天山 - 待摊费用余额表明细"/>
      <sheetName val="支出原材料"/>
      <sheetName val="收入原料"/>
      <sheetName val="tax comp"/>
      <sheetName val="PY-pp"/>
      <sheetName val="PRC 15"/>
      <sheetName val="Sheet152"/>
      <sheetName val="Sheet136"/>
      <sheetName val="Word附注"/>
      <sheetName val="递延所得税负债Dy"/>
      <sheetName val="主营业务收入审定表D4"/>
      <sheetName val="明细表D4-2-2(品种）"/>
      <sheetName val="明细表D4-2-3(地区）"/>
      <sheetName val="收入毛利分析D4-3-1"/>
      <sheetName val="月度毛利分析D4-3-2"/>
      <sheetName val="重要产品毛利分析D4-3-3"/>
      <sheetName val="重要指标分析D4-3-4"/>
      <sheetName val="重要客户结构分析D4-3-5"/>
      <sheetName val="重要客户收入情况分析D4-3-6"/>
      <sheetName val="产品价格分析D4-3-7"/>
      <sheetName val="收入确认政策检查D4-4"/>
      <sheetName val="核实被函证单位信息D4-5-2"/>
      <sheetName val="函证过程控制D4-5-3"/>
      <sheetName val="主营业务收入差异调节表检查表D4-5-4"/>
      <sheetName val="回函核对记录D4-5-5"/>
      <sheetName val="替代程序表D4-5-6"/>
      <sheetName val="营业收入完整性测试表D4-7"/>
      <sheetName val="合同形式检查表D4-8-1"/>
      <sheetName val="合同履行检查表D4-8-2"/>
      <sheetName val="明细表D4-2-2(品种）(废)"/>
      <sheetName val="函证结果汇总表D4-5"/>
      <sheetName val="营业收入真实性测试表D4-6"/>
      <sheetName val="绿化养护收入截止测试D4-9"/>
      <sheetName val="识别未披露的关联方D4-10"/>
      <sheetName val="姓名汇总D4-10-1"/>
      <sheetName val="公司高管亲属名单D4-10-2"/>
      <sheetName val="职工花名册D4-10-3"/>
      <sheetName val="经销商负责人名单D4-10-4"/>
      <sheetName val="关联方销售情况及价格公允性检查D4-11"/>
      <sheetName val="D4-12-1销售退回核查"/>
      <sheetName val="D14-12-2销售折扣与折让核查"/>
      <sheetName val="D4-13客户核查清单"/>
      <sheetName val="D4-13-1电话访谈示例"/>
      <sheetName val="D4-13-2互联网查询示例"/>
      <sheetName val="D4-13-3客户走访模板1"/>
      <sheetName val="D4-13-3客户走访模板2"/>
      <sheetName val="针对环保局合同及收款核对检查表D4-16 (原,废)"/>
      <sheetName val="建造合同核查D4-14"/>
      <sheetName val="工程结算检查表(原D4-9-2)D4-15"/>
      <sheetName val="绿化养护_环保局项目检查表D4-16-1"/>
      <sheetName val="绿化养护_其他项目检查表D4-16-2"/>
      <sheetName val="建造合同核查D4-17(未设公式)"/>
      <sheetName val="预计总成本、验工计价检查测试 (2017)0305版"/>
      <sheetName val="预计总成本、验工计价检查测试 (2017)D4-17"/>
      <sheetName val="工程施工抽盘汇总表D4-18"/>
      <sheetName val="绿化养护收入情况检查表D4-15"/>
      <sheetName val="建造合同核查表 "/>
      <sheetName val="预计总成本、结算项目检查测试"/>
      <sheetName val="填写参数"/>
      <sheetName val="Movement "/>
      <sheetName val="存货汇总表10"/>
      <sheetName val="销售毛利润汇总表（原始）"/>
      <sheetName val="制造费用多栏明细账"/>
      <sheetName val="数量金额明细账"/>
      <sheetName val="Capital Spending"/>
      <sheetName val="Sales Analysis"/>
      <sheetName val="1-資本租賃條件試算"/>
      <sheetName val="e13100"/>
      <sheetName val="CNY"/>
      <sheetName val="USD"/>
      <sheetName val="x504明细"/>
      <sheetName val="ACT Cashflow"/>
      <sheetName val="Program Controls"/>
      <sheetName val="BS Heading"/>
      <sheetName val="A104000期间费用明细表"/>
      <sheetName val="Sheet91"/>
      <sheetName val="수리결과"/>
      <sheetName val="减少资产"/>
      <sheetName val="6602"/>
      <sheetName val="2701"/>
      <sheetName val="Sheet98"/>
      <sheetName val="NBCF"/>
      <sheetName val="M Schedules"/>
      <sheetName val="CCTL"/>
      <sheetName val="WIP"/>
      <sheetName val="D2-2-1风险分类"/>
      <sheetName val="Sheet160"/>
      <sheetName val="原材料抽查表"/>
      <sheetName val="试制收入"/>
      <sheetName val="12月销售成本表(原表)"/>
      <sheetName val="6125应付职工薪酬"/>
      <sheetName val="6126-1-2固定资产折旧明细 "/>
      <sheetName val="Sheet523"/>
      <sheetName val="Sheet524"/>
      <sheetName val="报表层次重要性水平"/>
      <sheetName val="所有者权益(股东权益)变动表(未审)"/>
      <sheetName val="订单418"/>
      <sheetName val="I151-40"/>
      <sheetName val="TB-I"/>
      <sheetName val="TB-基"/>
      <sheetName val="税金 "/>
      <sheetName val="产品入库序时簿"/>
      <sheetName val="Sheet6"/>
      <sheetName val="Sheet7"/>
      <sheetName val="Sheet115"/>
      <sheetName val="Sheet438"/>
      <sheetName val="能耗计算 OK "/>
      <sheetName val="Acc1"/>
      <sheetName val="基本情况"/>
      <sheetName val="上市1"/>
      <sheetName val="上市2"/>
      <sheetName val="上市3"/>
      <sheetName val="上市4"/>
      <sheetName val="上市5"/>
      <sheetName val="上市6"/>
      <sheetName val="上市7"/>
      <sheetName val="上市8"/>
      <sheetName val="上市9"/>
      <sheetName val="accode"/>
      <sheetName val="合同检查表"/>
      <sheetName val="银行未达账项明细表"/>
      <sheetName val="银行存款"/>
      <sheetName val="Sheet106"/>
      <sheetName val="合并TB"/>
      <sheetName val="制造费用明细表"/>
      <sheetName val="生产成本检查表"/>
      <sheetName val="销售费用明细表"/>
      <sheetName val="应收票据明细账"/>
      <sheetName val="20应收余额"/>
      <sheetName val="UFPrn20210723144007"/>
      <sheetName val="Audit Results"/>
      <sheetName val="Audit Results Upper Stratum"/>
      <sheetName val="Population Characteristics"/>
      <sheetName val="2002.1-6管理费用"/>
      <sheetName val="G2-5生产成本审定表"/>
      <sheetName val="FIN48 TP Doc"/>
      <sheetName val="No.305"/>
      <sheetName val="No.404"/>
      <sheetName val="Contents"/>
      <sheetName val="市场比较法"/>
      <sheetName val="短期借款汇总表"/>
      <sheetName val="20年销售出库"/>
      <sheetName val="固定资产清理"/>
      <sheetName val="在建工程"/>
      <sheetName val="Sheet134"/>
      <sheetName val="Sheet181"/>
      <sheetName val="Sheet537"/>
      <sheetName val="Sheet145"/>
      <sheetName val="SFS(ACTUAL)"/>
      <sheetName val="Sheet146"/>
      <sheetName val="Sheet157"/>
      <sheetName val="Sheet508"/>
      <sheetName val="Sheet606"/>
      <sheetName val="Sheet607"/>
      <sheetName val="Sheet608"/>
      <sheetName val="New Dept-IX"/>
      <sheetName val="L105"/>
      <sheetName val="R221"/>
      <sheetName val="销售输入表"/>
      <sheetName val="evaluate资金回收"/>
      <sheetName val="To tied 2001 opening RE"/>
      <sheetName val="资产评估结果分类汇总表 (2)"/>
      <sheetName val="2001年运使费相抵"/>
      <sheetName val="RESUMEN"/>
      <sheetName val="通用设备折旧复核"/>
      <sheetName val="专用设备折旧复核"/>
      <sheetName val="运输设备折旧复核"/>
      <sheetName val="电子设备折旧复核"/>
      <sheetName val="其他设备折旧"/>
      <sheetName val="Sheet148"/>
      <sheetName val="管理费用"/>
      <sheetName val="综合成本"/>
      <sheetName val="存货收发存汇总表"/>
      <sheetName val="利润中心"/>
      <sheetName val="profit2 (2)"/>
      <sheetName val="218"/>
      <sheetName val="固定资产卡片"/>
      <sheetName val="科目代码表"/>
      <sheetName val="折旧表"/>
      <sheetName val="0012"/>
      <sheetName val="ADJ Sum(console)"/>
      <sheetName val="L1-1"/>
      <sheetName val="变动"/>
      <sheetName val="QoA"/>
      <sheetName val="QofE"/>
      <sheetName val="QofA"/>
      <sheetName val="2-试算"/>
      <sheetName val="CalcOutPut"/>
      <sheetName val="披露表-上市公司报告"/>
      <sheetName val="CODES"/>
      <sheetName val="在建工程Dy"/>
      <sheetName val="存货Cx"/>
      <sheetName val="M"/>
      <sheetName val="损益表 &lt; P1 &gt; "/>
      <sheetName val="披露表(国企)"/>
      <sheetName val="销售收入底稿"/>
      <sheetName val="FO1"/>
      <sheetName val="应付利息Dy"/>
      <sheetName val="以前年度损益调整"/>
      <sheetName val="Khoan cong truong Tan De"/>
      <sheetName val="5200D-5其他应收款审定明细表1"/>
      <sheetName val="营业费用趋势分析"/>
      <sheetName val="3-11待摊"/>
      <sheetName val="6-1土地"/>
      <sheetName val="Base Info"/>
      <sheetName val="費用"/>
      <sheetName val="資本支出"/>
      <sheetName val="人力"/>
      <sheetName val="編製說明"/>
      <sheetName val="한계원가"/>
      <sheetName val="2020云汉芯城"/>
      <sheetName val="内销收人"/>
      <sheetName val="待摊费用Dy"/>
      <sheetName val="工程项目"/>
      <sheetName val="预付账款Mx"/>
      <sheetName val="预付账款Mx1"/>
      <sheetName val="应付账款Mx1"/>
      <sheetName val="原材料Mx1"/>
      <sheetName val="营业成本Dy"/>
      <sheetName val="A_1"/>
      <sheetName val="累计折旧_2"/>
      <sheetName val="余额表（终稿）"/>
      <sheetName val="2008年"/>
      <sheetName val="生产成本mx"/>
      <sheetName val="qtr local"/>
      <sheetName val="营业费用截止"/>
      <sheetName val="递延收益Dy"/>
      <sheetName val="372D-1 2012年折旧测算"/>
      <sheetName val="Sheet798"/>
      <sheetName val="Sheet545"/>
      <sheetName val="Sheet151"/>
      <sheetName val="May"/>
      <sheetName val="Sheet257"/>
      <sheetName val="Sheet426"/>
      <sheetName val="Sheet593"/>
      <sheetName val="CQFMA"/>
      <sheetName val="Segment"/>
      <sheetName val="list of LC"/>
      <sheetName val="04利息支出"/>
      <sheetName val="利息收入"/>
      <sheetName val="预提工行贷"/>
      <sheetName val="查验底稿"/>
      <sheetName val="Sheet611"/>
      <sheetName val="Sheet832"/>
      <sheetName val="Sheet836"/>
      <sheetName val="56271-2"/>
      <sheetName val="2021年收入汇总"/>
      <sheetName val="U8数据"/>
      <sheetName val="pe"/>
      <sheetName val="28"/>
      <sheetName val="14"/>
      <sheetName val="36"/>
      <sheetName val="13"/>
      <sheetName val="16-1"/>
      <sheetName val="16-2"/>
      <sheetName val="16-3"/>
      <sheetName val="Competition ¥"/>
      <sheetName val="630科目余额表"/>
      <sheetName val="ZA-DY"/>
      <sheetName val="FY02"/>
      <sheetName val="审计差异汇总"/>
      <sheetName val="B15 重要性计算表(审计前）"/>
      <sheetName val="CE_P"/>
      <sheetName val="表头及目录"/>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盈余公积"/>
      <sheetName val="N__税金及附加"/>
      <sheetName val="N__营业外收入"/>
      <sheetName val="N__营业外支出"/>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Variables"/>
      <sheetName val="维护表"/>
      <sheetName val="enums"/>
      <sheetName val="原材料采购价格检查G4-7"/>
      <sheetName val="Basic_Setting"/>
      <sheetName val="A1-4 Failure Impact "/>
      <sheetName val="SMAEU-3"/>
      <sheetName val="FK Ma"/>
      <sheetName val="特殊部门按部门分类"/>
      <sheetName val="技术人员分位值(不含PM&amp;SLS）"/>
      <sheetName val="DEF"/>
      <sheetName val="Sheet166"/>
      <sheetName val="U321"/>
      <sheetName val="現金流量"/>
      <sheetName val="固清"/>
      <sheetName val="PopCache_Sheet1"/>
      <sheetName val="MetaData"/>
      <sheetName val="Threshold Table"/>
      <sheetName val="dd"/>
      <sheetName val="凭证汇总"/>
      <sheetName val="维简费"/>
      <sheetName val="维简费返还"/>
      <sheetName val="韓国"/>
      <sheetName val="yszk200412.dbf"/>
      <sheetName val="5440彙總表"/>
      <sheetName val="IPO"/>
      <sheetName val="Summary Page"/>
      <sheetName val="NR-2006"/>
      <sheetName val="AR-2006"/>
      <sheetName val="NR-2005"/>
      <sheetName val="AR-2005"/>
      <sheetName val="AR-2004"/>
      <sheetName val="Q4"/>
      <sheetName val="Sheet1.1"/>
      <sheetName val="10 销货成本表"/>
      <sheetName val="AATI "/>
      <sheetName val="NECsoic8(bvi)"/>
      <sheetName val="Anpec(bvi)"/>
      <sheetName val="Apec(bvi)"/>
      <sheetName val="ATU"/>
      <sheetName val="FSC"/>
      <sheetName val="IR"/>
      <sheetName val="ITOCHU_Sanyo"/>
      <sheetName val="Melco"/>
      <sheetName val="NECtssop8(bvi)"/>
      <sheetName val="NIKO(bvi)"/>
      <sheetName val="O2Micro"/>
      <sheetName val="PAN JIT"/>
      <sheetName val="Richtek (bvi)"/>
      <sheetName val="Semiwell"/>
      <sheetName val="Supertek"/>
      <sheetName val="3D"/>
      <sheetName val="CF-8&quot;-y2"/>
      <sheetName val="PL-monthly"/>
      <sheetName val="Wacc"/>
      <sheetName val="IC3A"/>
      <sheetName val="'IC4'A"/>
      <sheetName val="'IO7"/>
      <sheetName val="'IO8"/>
      <sheetName val="PL"/>
      <sheetName val="列表选择表"/>
      <sheetName val="JPN Chl"/>
      <sheetName val="科目索引"/>
      <sheetName val="7-1 2008管理费用-办公费"/>
      <sheetName val="7-5 2008年管理费用-试验检验费"/>
      <sheetName val="7-1 2009年管理费用-办公费"/>
      <sheetName val="7-5 2009年管理费用-试验检验费"/>
      <sheetName val="7-1 2010年管理费用-办公费"/>
      <sheetName val="7-5 2010年管理费用-试验检验费"/>
      <sheetName val="财企01表_南宁轨道交通集团有限责任公司（集团合并）期末数"/>
      <sheetName val="销售毛利润表"/>
      <sheetName val="PLGROUPCPY"/>
      <sheetName val="销售发票专用序时簿"/>
      <sheetName val="DEP"/>
      <sheetName val="制造费用"/>
      <sheetName val="11908发生额"/>
      <sheetName val="帐上"/>
      <sheetName val="5500A-4固定资产检查"/>
      <sheetName val="6200B-4应付职工薪酬检查"/>
      <sheetName val="6200B-5应付职工薪酬勾稽检查"/>
      <sheetName val="勿删-各公司按部门汇总工资"/>
      <sheetName val="6200B-6.1应付职工薪酬检查-工资"/>
      <sheetName val="6200B-3应付职工薪酬披露核对表"/>
      <sheetName val="YA-1-1"/>
      <sheetName val="外销收入明细表"/>
      <sheetName val="内部销售明细表"/>
      <sheetName val="actbgtbyM"/>
      <sheetName val="Inputs"/>
      <sheetName val="DR Summary Margin"/>
      <sheetName val="DR Summary Margin - Fcst"/>
      <sheetName val="Prior Week Funnel"/>
      <sheetName val="DR Summary Revenue"/>
      <sheetName val="DR Summary Revenue - Fcst"/>
      <sheetName val="DR Summary Units"/>
      <sheetName val="DR Summary Units - Fcst"/>
      <sheetName val="3-9其他应收"/>
      <sheetName val="9-3应付帐款"/>
      <sheetName val="按客户"/>
      <sheetName val="Prg"/>
      <sheetName val="Profile"/>
      <sheetName val="项目编号列表"/>
      <sheetName val="使用说明"/>
      <sheetName val="Income Stm"/>
      <sheetName val="（27）实收资本"/>
      <sheetName val="5200A-5应收账款函证汇总表"/>
      <sheetName val="2、生产成本月际分析"/>
      <sheetName val="预付账款Mx12"/>
      <sheetName val="NGUON"/>
      <sheetName val="自制半成品1-12计价测试"/>
      <sheetName val="Breakdown G&amp;A"/>
      <sheetName val="Bad debt provison&amp;aging analysi"/>
      <sheetName val="alternative"/>
      <sheetName val="自制半成品 (2)"/>
      <sheetName val="产成品明细"/>
      <sheetName val="主营业务成本 (2)"/>
      <sheetName val="Drop List References"/>
      <sheetName val="Bank"/>
      <sheetName val="工程量计算"/>
      <sheetName val="Expense Summary-M"/>
      <sheetName val="Production"/>
      <sheetName val="上缴管理费明细"/>
      <sheetName val="出库"/>
      <sheetName val="入库"/>
      <sheetName val="3-1-1现金"/>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Notes"/>
      <sheetName val="折旧测算表"/>
      <sheetName val="5-3工程物资"/>
      <sheetName val="5-4-2在建安装"/>
      <sheetName val="5-5固定清理"/>
      <sheetName val="5-6待处理固定损失"/>
      <sheetName val="十价"/>
      <sheetName val="KLHT"/>
      <sheetName val="IC-5保理费用核查"/>
      <sheetName val="10-3-1工作量确认单核查 --OK"/>
      <sheetName val="收入成本大表"/>
      <sheetName val="check是否取回"/>
      <sheetName val="变更前的成本大表"/>
      <sheetName val="2017年表"/>
      <sheetName val="关联方抵消"/>
      <sheetName val="10-3-2回复"/>
      <sheetName val="Basic information"/>
      <sheetName val="Basic_Information"/>
      <sheetName val="FORM14_2"/>
      <sheetName val="L1-1资产负债表"/>
      <sheetName val="工程量"/>
      <sheetName val="工作底稿扉页"/>
      <sheetName val="Y3-1一般会计制度附注"/>
      <sheetName val="Y3-2 06企业会计制度附注"/>
      <sheetName val="Y0-1报告准备表（无需打印）"/>
      <sheetName val="5-1-3管沟"/>
      <sheetName val="梁家5-1-1房建"/>
      <sheetName val="5-4-1在建土建"/>
      <sheetName val="$TB 1"/>
      <sheetName val="$TB"/>
      <sheetName val="建发股份关联方清单"/>
      <sheetName val="评估结论"/>
      <sheetName val="HKBUD"/>
      <sheetName val="I-COA"/>
      <sheetName val="合并范围"/>
      <sheetName val="长期应付款Dy"/>
      <sheetName val="Acct"/>
      <sheetName val="template"/>
      <sheetName val="JP Report"/>
      <sheetName val="1-000-1"/>
      <sheetName val="1-000-3"/>
      <sheetName val="10K4"/>
      <sheetName val="Sheet121"/>
      <sheetName val="Sheet120"/>
    </sheetNames>
    <sheetDataSet>
      <sheetData sheetId="0"/>
      <sheetData sheetId="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sheetData sheetId="1071"/>
      <sheetData sheetId="1072"/>
      <sheetData sheetId="1073" refreshError="1"/>
      <sheetData sheetId="1074" refreshError="1"/>
      <sheetData sheetId="1075" refreshError="1"/>
      <sheetData sheetId="1076" refreshError="1"/>
      <sheetData sheetId="1077" refreshError="1"/>
      <sheetData sheetId="1078" refreshError="1"/>
      <sheetData sheetId="1079"/>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sheetData sheetId="1154"/>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sheetData sheetId="1176"/>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sheetData sheetId="1245" refreshError="1"/>
      <sheetData sheetId="1246" refreshError="1"/>
      <sheetData sheetId="1247" refreshError="1"/>
      <sheetData sheetId="1248" refreshError="1"/>
      <sheetData sheetId="1249"/>
      <sheetData sheetId="1250" refreshError="1"/>
      <sheetData sheetId="1251" refreshError="1"/>
      <sheetData sheetId="1252" refreshError="1"/>
      <sheetData sheetId="1253" refreshError="1"/>
      <sheetData sheetId="1254" refreshError="1"/>
      <sheetData sheetId="1255"/>
      <sheetData sheetId="1256" refreshError="1"/>
      <sheetData sheetId="1257" refreshError="1"/>
      <sheetData sheetId="1258" refreshError="1"/>
      <sheetData sheetId="1259" refreshError="1"/>
      <sheetData sheetId="1260" refreshError="1"/>
      <sheetData sheetId="1261"/>
      <sheetData sheetId="1262"/>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sheetData sheetId="1314"/>
      <sheetData sheetId="1315"/>
      <sheetData sheetId="1316"/>
      <sheetData sheetId="1317" refreshError="1"/>
      <sheetData sheetId="1318"/>
      <sheetData sheetId="1319"/>
      <sheetData sheetId="1320"/>
      <sheetData sheetId="1321"/>
      <sheetData sheetId="1322"/>
      <sheetData sheetId="1323"/>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sheetData sheetId="1385"/>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sheetData sheetId="1398"/>
      <sheetData sheetId="1399"/>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sheetData sheetId="1412"/>
      <sheetData sheetId="1413"/>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sheetData sheetId="170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 val="企业表一"/>
      <sheetName val="M-5C"/>
      <sheetName val="M-5A"/>
      <sheetName val="资产负债表"/>
      <sheetName val="数量金额总账"/>
      <sheetName val="设备部房屋"/>
      <sheetName val="核算项目余额表"/>
      <sheetName val="完"/>
      <sheetName val="W"/>
      <sheetName val="2004"/>
      <sheetName val="B"/>
      <sheetName val="表头"/>
      <sheetName val="PER SALES ORG"/>
      <sheetName val="1月"/>
      <sheetName val="SW-TEO"/>
      <sheetName val="Detailed Testing"/>
      <sheetName val="银行借款询证"/>
      <sheetName val="余额表"/>
      <sheetName val="本期报表"/>
      <sheetName val="breakdown"/>
      <sheetName val="盈余公积 （合并)"/>
      <sheetName val="Toolbox"/>
      <sheetName val="eqpmad2"/>
      <sheetName val="提足折旧"/>
      <sheetName val="DATA"/>
      <sheetName val="委托加工材料"/>
      <sheetName val="材料采购-入库"/>
      <sheetName val="原材料－其他"/>
      <sheetName val="材料成本差异－运费等"/>
      <sheetName val="邻酮定乙酚发出测试"/>
      <sheetName val="管理费用(集团董事会)"/>
      <sheetName val="Sheet1"/>
      <sheetName val="FS"/>
      <sheetName val="gl"/>
      <sheetName val="Adm"/>
      <sheetName val="sell"/>
      <sheetName val="Fin"/>
      <sheetName val="Erection"/>
      <sheetName val="剥离前"/>
      <sheetName val="XL4Poppy"/>
      <sheetName val="08"/>
      <sheetName val="02"/>
      <sheetName val="03"/>
      <sheetName val="04"/>
      <sheetName val="05"/>
      <sheetName val="06"/>
      <sheetName val="07"/>
      <sheetName val="10"/>
      <sheetName val="09"/>
      <sheetName val="UFPrn20031114182129"/>
      <sheetName val="订单418"/>
      <sheetName val="Collateral"/>
      <sheetName val="Disposition"/>
      <sheetName val="Validation"/>
      <sheetName val="35.1租赁明细"/>
      <sheetName val="中山低值"/>
      <sheetName val="分产品销售收入、成本分析表"/>
      <sheetName val="E1020"/>
      <sheetName val="1月固定资产清单"/>
      <sheetName val="关联方—创斯达"/>
      <sheetName val="关联方—东风汽车"/>
      <sheetName val="ZH1-4其他应收款个别认定"/>
      <sheetName val="ZH1-3应收账款个别认定"/>
      <sheetName val="各单位目标指标"/>
      <sheetName val="新城资金明细"/>
      <sheetName val="申鑫大厦租金明细"/>
      <sheetName val="三林明细"/>
      <sheetName val="东陆明细"/>
      <sheetName val="4-货币资金-现金"/>
      <sheetName val="基础信息"/>
      <sheetName val="XREF"/>
      <sheetName val="A430"/>
      <sheetName val="货币资金审定表"/>
      <sheetName val="balance"/>
      <sheetName val="PRC-BS-SZ"/>
      <sheetName val="A1"/>
      <sheetName val="账面外销"/>
      <sheetName val="销售费用Dy"/>
      <sheetName val="细节测试审计抽样"/>
      <sheetName val="YS02-02"/>
      <sheetName val="短期借款Dy"/>
      <sheetName val="采购订单3名"/>
      <sheetName val="P12 TB SZ"/>
      <sheetName val="选择报表"/>
      <sheetName val="CF附注"/>
      <sheetName val="试算平衡表"/>
      <sheetName val="原TB表"/>
      <sheetName val="工资"/>
      <sheetName val="27-7"/>
      <sheetName val="dxnsjtempsheet"/>
      <sheetName val="５８D"/>
      <sheetName val="存货明细表"/>
      <sheetName val="清单12.31"/>
      <sheetName val="短期投资股票投资.dbf"/>
      <sheetName val="短期投资国债投资.dbf"/>
      <sheetName val="股票投资收益.dbf"/>
      <sheetName val="其他货币海通.dbf"/>
      <sheetName val="其他货币零领路.dbf"/>
      <sheetName val="投资收益债券.dbf"/>
      <sheetName val="营业费用测试"/>
      <sheetName val="科目余额表"/>
      <sheetName val="凭证抽查表 "/>
      <sheetName val="资产减值损失审核表"/>
      <sheetName val="坯布"/>
      <sheetName val="材料"/>
      <sheetName val="外销"/>
      <sheetName val="Summary"/>
      <sheetName val="dghn"/>
      <sheetName val="报表项目"/>
      <sheetName val="01"/>
      <sheetName val="010"/>
      <sheetName val="011"/>
      <sheetName val="012"/>
      <sheetName val="表头（请先填写）"/>
      <sheetName val="调整分录汇总表"/>
      <sheetName val="明细表（账龄）D2-2"/>
      <sheetName val="其他应付款科目余额2005.12.31"/>
      <sheetName val="期末应付帐款明细表"/>
      <sheetName val="期初应付帐款明细表"/>
    </sheetNames>
    <sheetDataSet>
      <sheetData sheetId="0">
        <row r="15">
          <cell r="D15" t="str">
            <v>货币资金</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19"/>
  <sheetViews>
    <sheetView tabSelected="1" workbookViewId="0"/>
  </sheetViews>
  <sheetFormatPr defaultColWidth="9" defaultRowHeight="20.100000000000001" customHeight="1"/>
  <cols>
    <col min="1" max="1" width="77.59765625" style="91" customWidth="1"/>
    <col min="2" max="2" width="2" style="91" customWidth="1"/>
    <col min="3" max="3" width="2.09765625" style="91" customWidth="1"/>
    <col min="4" max="4" width="6.09765625" style="91" customWidth="1"/>
    <col min="5" max="5" width="24.5" style="91" customWidth="1"/>
    <col min="6" max="6" width="9.69921875" style="204" customWidth="1"/>
    <col min="7" max="16384" width="9" style="91"/>
  </cols>
  <sheetData>
    <row r="1" spans="1:8" s="21" customFormat="1" ht="20.100000000000001" customHeight="1">
      <c r="A1" s="27" t="s">
        <v>113</v>
      </c>
      <c r="F1" s="90"/>
    </row>
    <row r="2" spans="1:8" ht="20.100000000000001" customHeight="1">
      <c r="A2" s="88" t="s">
        <v>262</v>
      </c>
      <c r="B2" s="89"/>
      <c r="C2" s="89"/>
      <c r="D2" s="90"/>
      <c r="E2" s="90"/>
      <c r="F2" s="90"/>
      <c r="G2" s="89"/>
      <c r="H2" s="89"/>
    </row>
    <row r="3" spans="1:8" ht="20.100000000000001" customHeight="1">
      <c r="A3" s="88" t="s">
        <v>271</v>
      </c>
      <c r="B3" s="89"/>
      <c r="C3" s="89"/>
      <c r="D3" s="78" t="s">
        <v>114</v>
      </c>
      <c r="E3" s="111" t="s">
        <v>44</v>
      </c>
      <c r="F3" s="78" t="s">
        <v>115</v>
      </c>
      <c r="G3" s="78" t="s">
        <v>116</v>
      </c>
      <c r="H3" s="92"/>
    </row>
    <row r="4" spans="1:8" ht="20.100000000000001" customHeight="1">
      <c r="A4" s="221" t="s">
        <v>263</v>
      </c>
      <c r="B4" s="89"/>
      <c r="C4" s="89"/>
      <c r="D4" s="78">
        <v>1</v>
      </c>
      <c r="E4" s="212" t="s">
        <v>126</v>
      </c>
      <c r="F4" s="203" t="s">
        <v>154</v>
      </c>
      <c r="G4" s="80"/>
      <c r="H4" s="92"/>
    </row>
    <row r="5" spans="1:8" ht="20.100000000000001" customHeight="1">
      <c r="A5" s="221" t="s">
        <v>264</v>
      </c>
      <c r="D5" s="78">
        <v>2</v>
      </c>
      <c r="E5" s="213" t="s">
        <v>127</v>
      </c>
      <c r="F5" s="203" t="s">
        <v>164</v>
      </c>
      <c r="G5" s="80"/>
      <c r="H5" s="89"/>
    </row>
    <row r="6" spans="1:8" ht="20.100000000000001" customHeight="1">
      <c r="A6" s="221" t="s">
        <v>265</v>
      </c>
      <c r="D6" s="78">
        <v>3</v>
      </c>
      <c r="E6" s="213" t="s">
        <v>161</v>
      </c>
      <c r="F6" s="203"/>
      <c r="G6" s="79"/>
      <c r="H6" s="158" t="s">
        <v>165</v>
      </c>
    </row>
    <row r="7" spans="1:8" ht="20.100000000000001" customHeight="1">
      <c r="A7" s="221" t="s">
        <v>266</v>
      </c>
      <c r="D7" s="78">
        <v>4</v>
      </c>
      <c r="E7" s="212" t="s">
        <v>128</v>
      </c>
      <c r="F7" s="203" t="s">
        <v>155</v>
      </c>
      <c r="G7" s="80"/>
    </row>
    <row r="8" spans="1:8" ht="20.100000000000001" customHeight="1">
      <c r="A8" s="93"/>
      <c r="D8" s="78">
        <v>5</v>
      </c>
      <c r="E8" s="213" t="s">
        <v>140</v>
      </c>
      <c r="F8" s="203" t="s">
        <v>156</v>
      </c>
      <c r="G8" s="80"/>
    </row>
    <row r="9" spans="1:8" ht="20.100000000000001" customHeight="1">
      <c r="A9" s="222" t="s">
        <v>272</v>
      </c>
      <c r="D9" s="78">
        <v>6</v>
      </c>
      <c r="E9" s="212" t="s">
        <v>144</v>
      </c>
      <c r="F9" s="203" t="s">
        <v>163</v>
      </c>
      <c r="G9" s="80"/>
    </row>
    <row r="10" spans="1:8" ht="20.100000000000001" customHeight="1">
      <c r="A10" s="236" t="s">
        <v>273</v>
      </c>
      <c r="D10" s="78">
        <v>7</v>
      </c>
      <c r="E10" s="213" t="s">
        <v>250</v>
      </c>
      <c r="F10" s="203" t="s">
        <v>162</v>
      </c>
      <c r="G10" s="80"/>
    </row>
    <row r="11" spans="1:8" ht="20.100000000000001" customHeight="1">
      <c r="A11" s="236"/>
    </row>
    <row r="12" spans="1:8" ht="20.100000000000001" customHeight="1">
      <c r="A12" s="236"/>
    </row>
    <row r="13" spans="1:8" ht="20.100000000000001" customHeight="1">
      <c r="A13" s="236"/>
    </row>
    <row r="14" spans="1:8" ht="20.100000000000001" customHeight="1">
      <c r="A14" s="236" t="s">
        <v>274</v>
      </c>
    </row>
    <row r="15" spans="1:8" ht="20.100000000000001" customHeight="1">
      <c r="A15" s="236"/>
    </row>
    <row r="16" spans="1:8" ht="20.100000000000001" customHeight="1">
      <c r="A16" s="236"/>
    </row>
    <row r="17" spans="1:1" ht="35.25" customHeight="1">
      <c r="A17" s="237" t="s">
        <v>275</v>
      </c>
    </row>
    <row r="18" spans="1:1" ht="15.6">
      <c r="A18" s="237"/>
    </row>
    <row r="19" spans="1:1" ht="15.6">
      <c r="A19" s="237"/>
    </row>
  </sheetData>
  <mergeCells count="3">
    <mergeCell ref="A10:A13"/>
    <mergeCell ref="A14:A16"/>
    <mergeCell ref="A17:A19"/>
  </mergeCells>
  <phoneticPr fontId="17" type="noConversion"/>
  <hyperlinks>
    <hyperlink ref="E6" location="'附注披露信息（上市公司）'!A1" display="附注披露信息(上市公司)"/>
    <hyperlink ref="E7" location="'明细表M3-2'!A1" display="明细表"/>
    <hyperlink ref="E9" location="'外币投资汇率测算表M3-4'!A1" display="外币汇率测算表"/>
    <hyperlink ref="E10" location="'库存股检查表M3-5'!A1" display="库存股检查表"/>
    <hyperlink ref="E5" location="'审定表M3-1'!A1" display="审定表"/>
    <hyperlink ref="E4" location="' 库存股实质性程序表 M3A'!A1" display="库存股实质性程序表 "/>
    <hyperlink ref="E8" location="'调整分录汇总M3-3'!A1" display="调整分录汇总"/>
  </hyperlinks>
  <pageMargins left="0.75" right="0.75" top="1" bottom="1" header="0.5" footer="0.5"/>
  <pageSetup paperSize="9" orientation="portrait" horizontalDpi="1200" verticalDpi="1200"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dimension ref="A1:L24"/>
  <sheetViews>
    <sheetView view="pageBreakPreview" zoomScaleNormal="110" zoomScaleSheetLayoutView="100" workbookViewId="0">
      <selection sqref="A1:I1"/>
    </sheetView>
  </sheetViews>
  <sheetFormatPr defaultColWidth="9" defaultRowHeight="13.8"/>
  <cols>
    <col min="1" max="1" width="4.59765625" style="99" customWidth="1"/>
    <col min="2" max="2" width="58.8984375" style="99" customWidth="1"/>
    <col min="3" max="3" width="10.59765625" style="99" customWidth="1"/>
    <col min="4" max="4" width="5.296875" style="106" customWidth="1"/>
    <col min="5" max="5" width="6" style="99" customWidth="1"/>
    <col min="6" max="6" width="6.296875" style="99" customWidth="1"/>
    <col min="7" max="7" width="7.3984375" style="99" customWidth="1"/>
    <col min="8" max="8" width="5.59765625" style="99" customWidth="1"/>
    <col min="9" max="9" width="7.3984375" style="106" customWidth="1"/>
    <col min="10" max="10" width="63.296875" style="98" customWidth="1"/>
    <col min="11" max="11" width="14.69921875" style="98" customWidth="1"/>
    <col min="12" max="16384" width="9" style="99"/>
  </cols>
  <sheetData>
    <row r="1" spans="1:12" ht="19.95" customHeight="1">
      <c r="A1" s="239" t="s">
        <v>45</v>
      </c>
      <c r="B1" s="239"/>
      <c r="C1" s="239"/>
      <c r="D1" s="239"/>
      <c r="E1" s="239"/>
      <c r="F1" s="239"/>
      <c r="G1" s="239"/>
      <c r="H1" s="239"/>
      <c r="I1" s="239"/>
    </row>
    <row r="2" spans="1:12" ht="19.95" customHeight="1">
      <c r="A2" s="240" t="s">
        <v>245</v>
      </c>
      <c r="B2" s="240"/>
      <c r="C2" s="240"/>
      <c r="D2" s="240"/>
      <c r="E2" s="240"/>
      <c r="F2" s="240"/>
      <c r="G2" s="240"/>
      <c r="H2" s="240"/>
      <c r="I2" s="240"/>
    </row>
    <row r="3" spans="1:12" ht="19.95" customHeight="1">
      <c r="A3" s="101" t="str">
        <f>底稿目录!A2</f>
        <v>被审计单位：</v>
      </c>
      <c r="B3" s="101"/>
      <c r="C3" s="101" t="str">
        <f>底稿目录!A4</f>
        <v>编制人：</v>
      </c>
      <c r="D3" s="102"/>
      <c r="E3" s="100" t="str">
        <f>底稿目录!A5</f>
        <v>编制日期：</v>
      </c>
      <c r="G3" s="100"/>
      <c r="H3" s="100" t="s">
        <v>120</v>
      </c>
      <c r="I3" s="215" t="str">
        <f>底稿目录!F4</f>
        <v>M3A</v>
      </c>
    </row>
    <row r="4" spans="1:12" ht="19.95" customHeight="1">
      <c r="A4" s="100" t="str">
        <f>底稿目录!A3</f>
        <v>截止日：202X年12月31日</v>
      </c>
      <c r="B4" s="100"/>
      <c r="C4" s="101" t="str">
        <f>底稿目录!A6</f>
        <v>复核人：</v>
      </c>
      <c r="D4" s="102"/>
      <c r="E4" s="100" t="str">
        <f>底稿目录!A7</f>
        <v>复核日期：</v>
      </c>
      <c r="G4" s="100"/>
      <c r="H4" s="100" t="s">
        <v>191</v>
      </c>
      <c r="I4" s="142"/>
    </row>
    <row r="5" spans="1:12" ht="19.95" customHeight="1">
      <c r="A5" s="241" t="s">
        <v>121</v>
      </c>
      <c r="B5" s="241"/>
      <c r="C5" s="100"/>
      <c r="D5" s="102"/>
      <c r="E5" s="100"/>
      <c r="F5" s="100"/>
      <c r="G5" s="100"/>
      <c r="H5" s="100"/>
      <c r="I5" s="102"/>
    </row>
    <row r="6" spans="1:12" ht="19.95" customHeight="1">
      <c r="A6" s="171" t="s">
        <v>192</v>
      </c>
      <c r="C6" s="100"/>
      <c r="D6" s="102"/>
      <c r="E6" s="100"/>
      <c r="F6" s="100"/>
      <c r="G6" s="100"/>
      <c r="H6" s="100"/>
      <c r="I6" s="102"/>
    </row>
    <row r="7" spans="1:12" ht="19.95" customHeight="1">
      <c r="A7" s="172" t="s">
        <v>193</v>
      </c>
      <c r="B7" s="104"/>
      <c r="C7" s="104"/>
      <c r="D7" s="102"/>
      <c r="E7" s="100"/>
      <c r="F7" s="100"/>
      <c r="G7" s="100"/>
      <c r="H7" s="100"/>
      <c r="I7" s="102"/>
      <c r="J7" s="105"/>
      <c r="K7" s="105"/>
    </row>
    <row r="8" spans="1:12" ht="19.95" customHeight="1">
      <c r="A8" s="247" t="s">
        <v>194</v>
      </c>
      <c r="B8" s="247"/>
      <c r="C8" s="247"/>
      <c r="D8" s="247"/>
      <c r="E8" s="247"/>
      <c r="F8" s="247"/>
      <c r="G8" s="243" t="s">
        <v>122</v>
      </c>
      <c r="H8" s="243"/>
      <c r="I8" s="243"/>
      <c r="J8" s="105"/>
      <c r="K8" s="105"/>
    </row>
    <row r="9" spans="1:12" ht="19.95" customHeight="1">
      <c r="A9" s="246" t="s">
        <v>157</v>
      </c>
      <c r="B9" s="246"/>
      <c r="C9" s="246"/>
      <c r="D9" s="246"/>
      <c r="E9" s="246"/>
      <c r="F9" s="246"/>
      <c r="G9" s="238" t="s">
        <v>268</v>
      </c>
      <c r="H9" s="238"/>
      <c r="I9" s="238"/>
      <c r="J9" s="105"/>
      <c r="K9" s="105"/>
    </row>
    <row r="10" spans="1:12" ht="19.95" customHeight="1">
      <c r="A10" s="246" t="s">
        <v>158</v>
      </c>
      <c r="B10" s="246"/>
      <c r="C10" s="246"/>
      <c r="D10" s="246"/>
      <c r="E10" s="246"/>
      <c r="F10" s="246"/>
      <c r="G10" s="238" t="s">
        <v>267</v>
      </c>
      <c r="H10" s="238"/>
      <c r="I10" s="238"/>
      <c r="J10" s="105"/>
      <c r="K10" s="105"/>
    </row>
    <row r="11" spans="1:12" ht="19.95" customHeight="1">
      <c r="A11" s="246" t="s">
        <v>159</v>
      </c>
      <c r="B11" s="246"/>
      <c r="C11" s="246"/>
      <c r="D11" s="246"/>
      <c r="E11" s="246"/>
      <c r="F11" s="246"/>
      <c r="G11" s="238" t="s">
        <v>269</v>
      </c>
      <c r="H11" s="238"/>
      <c r="I11" s="238"/>
      <c r="J11" s="105"/>
      <c r="K11" s="105"/>
    </row>
    <row r="12" spans="1:12" ht="19.95" customHeight="1">
      <c r="A12" s="246" t="s">
        <v>195</v>
      </c>
      <c r="B12" s="246"/>
      <c r="C12" s="246"/>
      <c r="D12" s="246"/>
      <c r="E12" s="246"/>
      <c r="F12" s="246"/>
      <c r="G12" s="238" t="s">
        <v>243</v>
      </c>
      <c r="H12" s="238"/>
      <c r="I12" s="238"/>
      <c r="J12" s="105"/>
      <c r="K12" s="105"/>
    </row>
    <row r="13" spans="1:12" ht="19.95" customHeight="1">
      <c r="A13" s="246" t="s">
        <v>270</v>
      </c>
      <c r="B13" s="246"/>
      <c r="C13" s="246"/>
      <c r="D13" s="246"/>
      <c r="E13" s="246"/>
      <c r="F13" s="246"/>
      <c r="G13" s="238" t="s">
        <v>244</v>
      </c>
      <c r="H13" s="238"/>
      <c r="I13" s="238"/>
      <c r="J13" s="105"/>
      <c r="K13" s="105"/>
    </row>
    <row r="14" spans="1:12" ht="19.95" customHeight="1">
      <c r="A14" s="103" t="s">
        <v>123</v>
      </c>
      <c r="J14" s="223"/>
      <c r="K14" s="224"/>
      <c r="L14" s="224"/>
    </row>
    <row r="15" spans="1:12" ht="19.2" customHeight="1">
      <c r="A15" s="245" t="s">
        <v>124</v>
      </c>
      <c r="B15" s="242" t="s">
        <v>277</v>
      </c>
      <c r="C15" s="244" t="s">
        <v>125</v>
      </c>
      <c r="D15" s="243" t="s">
        <v>196</v>
      </c>
      <c r="E15" s="243"/>
      <c r="F15" s="243"/>
      <c r="G15" s="243"/>
      <c r="H15" s="243"/>
      <c r="I15" s="242" t="s">
        <v>212</v>
      </c>
      <c r="J15" s="107"/>
      <c r="K15" s="107"/>
      <c r="L15" s="107"/>
    </row>
    <row r="16" spans="1:12" ht="36.6" customHeight="1">
      <c r="A16" s="245"/>
      <c r="B16" s="242"/>
      <c r="C16" s="244"/>
      <c r="D16" s="200" t="s">
        <v>197</v>
      </c>
      <c r="E16" s="200" t="s">
        <v>198</v>
      </c>
      <c r="F16" s="173" t="s">
        <v>199</v>
      </c>
      <c r="G16" s="173" t="s">
        <v>200</v>
      </c>
      <c r="H16" s="173" t="s">
        <v>201</v>
      </c>
      <c r="I16" s="242"/>
      <c r="J16" s="225" t="s">
        <v>276</v>
      </c>
      <c r="K16" s="107"/>
      <c r="L16" s="107"/>
    </row>
    <row r="17" spans="1:12" ht="66" customHeight="1">
      <c r="A17" s="207">
        <v>1</v>
      </c>
      <c r="B17" s="198" t="s">
        <v>211</v>
      </c>
      <c r="C17" s="174" t="s">
        <v>202</v>
      </c>
      <c r="D17" s="180" t="s">
        <v>214</v>
      </c>
      <c r="E17" s="180" t="s">
        <v>214</v>
      </c>
      <c r="F17" s="181"/>
      <c r="G17" s="181" t="s">
        <v>215</v>
      </c>
      <c r="H17" s="144"/>
      <c r="I17" s="210" t="s">
        <v>247</v>
      </c>
      <c r="J17" s="108"/>
      <c r="K17" s="108"/>
      <c r="L17" s="109"/>
    </row>
    <row r="18" spans="1:12" ht="54" customHeight="1">
      <c r="A18" s="208">
        <v>2</v>
      </c>
      <c r="B18" s="202" t="s">
        <v>204</v>
      </c>
      <c r="C18" s="174" t="s">
        <v>202</v>
      </c>
      <c r="D18" s="144"/>
      <c r="E18" s="175" t="s">
        <v>203</v>
      </c>
      <c r="F18" s="144"/>
      <c r="G18" s="180" t="s">
        <v>216</v>
      </c>
      <c r="H18" s="144"/>
      <c r="I18" s="220" t="s">
        <v>246</v>
      </c>
      <c r="J18" s="179" t="s">
        <v>167</v>
      </c>
      <c r="K18" s="110"/>
      <c r="L18" s="109"/>
    </row>
    <row r="19" spans="1:12" ht="49.8" customHeight="1">
      <c r="A19" s="207">
        <v>3</v>
      </c>
      <c r="B19" s="201" t="s">
        <v>213</v>
      </c>
      <c r="C19" s="176" t="s">
        <v>205</v>
      </c>
      <c r="D19" s="182" t="s">
        <v>216</v>
      </c>
      <c r="E19" s="183" t="s">
        <v>216</v>
      </c>
      <c r="F19" s="183" t="s">
        <v>216</v>
      </c>
      <c r="G19" s="183" t="s">
        <v>216</v>
      </c>
      <c r="H19" s="144"/>
      <c r="I19" s="210"/>
      <c r="J19" s="161" t="s">
        <v>168</v>
      </c>
      <c r="K19" s="110"/>
      <c r="L19" s="109"/>
    </row>
    <row r="20" spans="1:12" ht="68.400000000000006" customHeight="1">
      <c r="A20" s="208">
        <v>4</v>
      </c>
      <c r="B20" s="198" t="s">
        <v>217</v>
      </c>
      <c r="C20" s="174" t="s">
        <v>202</v>
      </c>
      <c r="D20" s="181" t="s">
        <v>214</v>
      </c>
      <c r="E20" s="180" t="s">
        <v>218</v>
      </c>
      <c r="F20" s="180" t="s">
        <v>214</v>
      </c>
      <c r="G20" s="175"/>
      <c r="H20" s="144"/>
      <c r="I20" s="210" t="s">
        <v>248</v>
      </c>
      <c r="J20" s="110"/>
      <c r="K20" s="110"/>
      <c r="L20" s="109"/>
    </row>
    <row r="21" spans="1:12" ht="28.5" customHeight="1">
      <c r="A21" s="207">
        <v>5</v>
      </c>
      <c r="B21" s="199" t="s">
        <v>208</v>
      </c>
      <c r="C21" s="143" t="s">
        <v>207</v>
      </c>
      <c r="D21" s="144"/>
      <c r="E21" s="144"/>
      <c r="F21" s="175"/>
      <c r="G21" s="180" t="s">
        <v>214</v>
      </c>
      <c r="H21" s="144"/>
      <c r="I21" s="211"/>
      <c r="J21" s="162"/>
      <c r="K21" s="110"/>
      <c r="L21" s="109"/>
    </row>
    <row r="22" spans="1:12" ht="40.200000000000003" customHeight="1">
      <c r="A22" s="208">
        <v>6</v>
      </c>
      <c r="B22" s="205" t="s">
        <v>219</v>
      </c>
      <c r="C22" s="183" t="s">
        <v>261</v>
      </c>
      <c r="D22" s="144"/>
      <c r="E22" s="144"/>
      <c r="F22" s="175"/>
      <c r="G22" s="175"/>
      <c r="H22" s="144"/>
      <c r="I22" s="211"/>
      <c r="J22" s="162"/>
      <c r="K22" s="110"/>
      <c r="L22" s="109"/>
    </row>
    <row r="23" spans="1:12" ht="28.5" customHeight="1">
      <c r="A23" s="207">
        <v>7</v>
      </c>
      <c r="B23" s="206" t="s">
        <v>209</v>
      </c>
      <c r="C23" s="177" t="s">
        <v>202</v>
      </c>
      <c r="D23" s="144"/>
      <c r="E23" s="144"/>
      <c r="F23" s="175"/>
      <c r="G23" s="175"/>
      <c r="H23" s="144" t="s">
        <v>206</v>
      </c>
      <c r="I23" s="209" t="s">
        <v>169</v>
      </c>
      <c r="J23" s="110"/>
      <c r="K23" s="110"/>
      <c r="L23" s="109"/>
    </row>
    <row r="24" spans="1:12" ht="28.5" customHeight="1"/>
  </sheetData>
  <mergeCells count="20">
    <mergeCell ref="A9:F9"/>
    <mergeCell ref="A10:F10"/>
    <mergeCell ref="A11:F11"/>
    <mergeCell ref="A12:F12"/>
    <mergeCell ref="G13:I13"/>
    <mergeCell ref="A1:I1"/>
    <mergeCell ref="A2:I2"/>
    <mergeCell ref="A5:B5"/>
    <mergeCell ref="I15:I16"/>
    <mergeCell ref="B15:B16"/>
    <mergeCell ref="D15:H15"/>
    <mergeCell ref="C15:C16"/>
    <mergeCell ref="A15:A16"/>
    <mergeCell ref="G8:I8"/>
    <mergeCell ref="G9:I9"/>
    <mergeCell ref="G10:I10"/>
    <mergeCell ref="G11:I11"/>
    <mergeCell ref="G12:I12"/>
    <mergeCell ref="A13:F13"/>
    <mergeCell ref="A8:F8"/>
  </mergeCells>
  <phoneticPr fontId="17" type="noConversion"/>
  <hyperlinks>
    <hyperlink ref="I3" location="底稿目录!A1" display="底稿目录!A1"/>
  </hyperlinks>
  <printOptions horizontalCentered="1"/>
  <pageMargins left="0.70866141732283472" right="0.70866141732283472" top="0.74803149606299213" bottom="0.74803149606299213" header="0.31496062992125984" footer="0.31496062992125984"/>
  <pageSetup paperSize="9" scale="70" fitToHeight="50" orientation="portrait" blackAndWhite="1" r:id="rId1"/>
  <headerFooter alignWithMargins="0">
    <oddFooter>&amp;C&amp;P/&amp;N</oddFooter>
  </headerFooter>
  <ignoredErrors>
    <ignoredError sqref="C3:D4" unlockedFormula="1"/>
  </ignoredError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L33"/>
  <sheetViews>
    <sheetView view="pageBreakPreview" zoomScaleNormal="130" zoomScaleSheetLayoutView="100" workbookViewId="0">
      <selection sqref="A1:L1"/>
    </sheetView>
  </sheetViews>
  <sheetFormatPr defaultColWidth="9" defaultRowHeight="23.25" customHeight="1"/>
  <cols>
    <col min="1" max="1" width="26" style="5" customWidth="1"/>
    <col min="2" max="5" width="10.796875" style="5" customWidth="1"/>
    <col min="6" max="9" width="11.09765625" style="5" customWidth="1"/>
    <col min="10" max="16384" width="9" style="5"/>
  </cols>
  <sheetData>
    <row r="1" spans="1:12" s="4" customFormat="1" ht="19.95" customHeight="1">
      <c r="A1" s="250" t="s">
        <v>45</v>
      </c>
      <c r="B1" s="250"/>
      <c r="C1" s="250"/>
      <c r="D1" s="250"/>
      <c r="E1" s="250"/>
      <c r="F1" s="250"/>
      <c r="G1" s="250"/>
      <c r="H1" s="250"/>
      <c r="I1" s="250"/>
      <c r="J1" s="250"/>
      <c r="K1" s="250"/>
      <c r="L1" s="250"/>
    </row>
    <row r="2" spans="1:12" s="4" customFormat="1" ht="19.95" customHeight="1">
      <c r="A2" s="251" t="s">
        <v>4</v>
      </c>
      <c r="B2" s="251"/>
      <c r="C2" s="251"/>
      <c r="D2" s="251"/>
      <c r="E2" s="251"/>
      <c r="F2" s="251"/>
      <c r="G2" s="251"/>
      <c r="H2" s="251"/>
      <c r="I2" s="251"/>
      <c r="J2" s="251"/>
      <c r="K2" s="251"/>
      <c r="L2" s="251"/>
    </row>
    <row r="3" spans="1:12" ht="19.95" customHeight="1">
      <c r="A3" s="5" t="str">
        <f>底稿目录!A2</f>
        <v>被审计单位：</v>
      </c>
      <c r="C3" s="5" t="str">
        <f>底稿目录!A4</f>
        <v>编制人：</v>
      </c>
      <c r="H3" s="5" t="str">
        <f>底稿目录!A5</f>
        <v>编制日期：</v>
      </c>
      <c r="I3" s="82"/>
      <c r="K3" s="7" t="s">
        <v>8</v>
      </c>
      <c r="L3" s="215" t="str">
        <f>底稿目录!F5</f>
        <v>M3-1</v>
      </c>
    </row>
    <row r="4" spans="1:12" ht="19.95" customHeight="1">
      <c r="A4" s="5" t="str">
        <f>底稿目录!A3</f>
        <v>截止日：202X年12月31日</v>
      </c>
      <c r="C4" s="5" t="str">
        <f>底稿目录!A6</f>
        <v>复核人：</v>
      </c>
      <c r="H4" s="5" t="str">
        <f>底稿目录!A7</f>
        <v>复核日期：</v>
      </c>
      <c r="I4" s="82"/>
      <c r="K4" s="7" t="s">
        <v>9</v>
      </c>
      <c r="L4" s="8"/>
    </row>
    <row r="5" spans="1:12" ht="30.6" customHeight="1">
      <c r="A5" s="252" t="s">
        <v>88</v>
      </c>
      <c r="B5" s="255" t="s">
        <v>76</v>
      </c>
      <c r="C5" s="256"/>
      <c r="D5" s="256"/>
      <c r="E5" s="257"/>
      <c r="F5" s="258" t="s">
        <v>81</v>
      </c>
      <c r="G5" s="259"/>
      <c r="H5" s="259"/>
      <c r="I5" s="260"/>
      <c r="J5" s="261" t="s">
        <v>82</v>
      </c>
      <c r="K5" s="262"/>
      <c r="L5" s="248" t="s">
        <v>83</v>
      </c>
    </row>
    <row r="6" spans="1:12" ht="19.95" customHeight="1">
      <c r="A6" s="253"/>
      <c r="B6" s="68" t="s">
        <v>73</v>
      </c>
      <c r="C6" s="68" t="s">
        <v>79</v>
      </c>
      <c r="D6" s="68" t="s">
        <v>84</v>
      </c>
      <c r="E6" s="68" t="s">
        <v>85</v>
      </c>
      <c r="F6" s="68" t="s">
        <v>73</v>
      </c>
      <c r="G6" s="68" t="s">
        <v>79</v>
      </c>
      <c r="H6" s="68" t="s">
        <v>84</v>
      </c>
      <c r="I6" s="68" t="s">
        <v>85</v>
      </c>
      <c r="J6" s="69" t="s">
        <v>87</v>
      </c>
      <c r="K6" s="70" t="s">
        <v>86</v>
      </c>
      <c r="L6" s="249"/>
    </row>
    <row r="7" spans="1:12" ht="19.95" customHeight="1">
      <c r="A7" s="145" t="str">
        <f>'明细表M3-2'!A15</f>
        <v>减资回购股份</v>
      </c>
      <c r="B7" s="146">
        <f>'明细表M3-2'!B15</f>
        <v>0</v>
      </c>
      <c r="C7" s="146">
        <f>'明细表M3-2'!G15</f>
        <v>0</v>
      </c>
      <c r="D7" s="146">
        <f>'明细表M3-2'!H15</f>
        <v>0</v>
      </c>
      <c r="E7" s="146">
        <f>'明细表M3-2'!M15</f>
        <v>0</v>
      </c>
      <c r="F7" s="146">
        <f>'明细表M3-2'!F15</f>
        <v>0</v>
      </c>
      <c r="G7" s="146">
        <f>'明细表M3-2'!G15+'明细表M3-2'!I15-'明细表M3-2'!J15</f>
        <v>0</v>
      </c>
      <c r="H7" s="146">
        <f>'明细表M3-2'!H15+'明细表M3-2'!K15-'明细表M3-2'!L15</f>
        <v>0</v>
      </c>
      <c r="I7" s="146">
        <f>'明细表M3-2'!P15</f>
        <v>0</v>
      </c>
      <c r="J7" s="146">
        <f t="shared" ref="J7:J17" si="0">I7-E7</f>
        <v>0</v>
      </c>
      <c r="K7" s="147">
        <f t="shared" ref="K7:K17" si="1">IF(AND(E7=0,J7=0),0,IF(AND(E7=0,J7&gt;0),1,J7/E7))</f>
        <v>0</v>
      </c>
      <c r="L7" s="71"/>
    </row>
    <row r="8" spans="1:12" ht="19.95" customHeight="1">
      <c r="A8" s="145" t="str">
        <f>'明细表M3-2'!A16</f>
        <v>奖励员工回购股份</v>
      </c>
      <c r="B8" s="146">
        <f>'明细表M3-2'!B16</f>
        <v>0</v>
      </c>
      <c r="C8" s="146">
        <f>'明细表M3-2'!G16</f>
        <v>0</v>
      </c>
      <c r="D8" s="146">
        <f>'明细表M3-2'!H16</f>
        <v>0</v>
      </c>
      <c r="E8" s="146">
        <f>'明细表M3-2'!M16</f>
        <v>0</v>
      </c>
      <c r="F8" s="146">
        <f>'明细表M3-2'!F16</f>
        <v>0</v>
      </c>
      <c r="G8" s="146">
        <f>'明细表M3-2'!G16+'明细表M3-2'!I16-'明细表M3-2'!J16</f>
        <v>0</v>
      </c>
      <c r="H8" s="146">
        <f>'明细表M3-2'!H16+'明细表M3-2'!K16-'明细表M3-2'!L16</f>
        <v>0</v>
      </c>
      <c r="I8" s="146">
        <f>'明细表M3-2'!P16</f>
        <v>0</v>
      </c>
      <c r="J8" s="146">
        <f t="shared" si="0"/>
        <v>0</v>
      </c>
      <c r="K8" s="147">
        <f t="shared" si="1"/>
        <v>0</v>
      </c>
      <c r="L8" s="71"/>
    </row>
    <row r="9" spans="1:12" ht="25.2" customHeight="1">
      <c r="A9" s="145" t="str">
        <f>'明细表M3-2'!A17</f>
        <v>对合并、分立决议有异议回购股份</v>
      </c>
      <c r="B9" s="146">
        <f>'明细表M3-2'!B17</f>
        <v>0</v>
      </c>
      <c r="C9" s="146">
        <f>'明细表M3-2'!G17</f>
        <v>0</v>
      </c>
      <c r="D9" s="146">
        <f>'明细表M3-2'!H17</f>
        <v>0</v>
      </c>
      <c r="E9" s="146">
        <f>'明细表M3-2'!M17</f>
        <v>0</v>
      </c>
      <c r="F9" s="146">
        <f>'明细表M3-2'!F17</f>
        <v>0</v>
      </c>
      <c r="G9" s="146">
        <f>'明细表M3-2'!G17+'明细表M3-2'!I17-'明细表M3-2'!J17</f>
        <v>0</v>
      </c>
      <c r="H9" s="146">
        <f>'明细表M3-2'!H17+'明细表M3-2'!K17-'明细表M3-2'!L17</f>
        <v>0</v>
      </c>
      <c r="I9" s="146">
        <f>'明细表M3-2'!P17</f>
        <v>0</v>
      </c>
      <c r="J9" s="146">
        <f t="shared" si="0"/>
        <v>0</v>
      </c>
      <c r="K9" s="147">
        <f t="shared" si="1"/>
        <v>0</v>
      </c>
      <c r="L9" s="71"/>
    </row>
    <row r="10" spans="1:12" ht="19.95" customHeight="1">
      <c r="A10" s="145" t="str">
        <f>'明细表M3-2'!A18</f>
        <v>母子公司交叉持股</v>
      </c>
      <c r="B10" s="146">
        <f>'明细表M3-2'!B18</f>
        <v>0</v>
      </c>
      <c r="C10" s="146">
        <f>'明细表M3-2'!G18</f>
        <v>0</v>
      </c>
      <c r="D10" s="146">
        <f>'明细表M3-2'!H18</f>
        <v>0</v>
      </c>
      <c r="E10" s="146">
        <f>'明细表M3-2'!M18</f>
        <v>0</v>
      </c>
      <c r="F10" s="146">
        <f>'明细表M3-2'!F18</f>
        <v>0</v>
      </c>
      <c r="G10" s="146">
        <f>'明细表M3-2'!G18+'明细表M3-2'!I18-'明细表M3-2'!J18</f>
        <v>0</v>
      </c>
      <c r="H10" s="146">
        <f>'明细表M3-2'!H18+'明细表M3-2'!K18-'明细表M3-2'!L18</f>
        <v>0</v>
      </c>
      <c r="I10" s="146">
        <f>'明细表M3-2'!P18</f>
        <v>0</v>
      </c>
      <c r="J10" s="146">
        <f t="shared" si="0"/>
        <v>0</v>
      </c>
      <c r="K10" s="147">
        <f t="shared" si="1"/>
        <v>0</v>
      </c>
      <c r="L10" s="71"/>
    </row>
    <row r="11" spans="1:12" s="9" customFormat="1" ht="19.95" customHeight="1">
      <c r="A11" s="148">
        <f>'明细表M3-2'!A19</f>
        <v>0</v>
      </c>
      <c r="B11" s="146">
        <f>'明细表M3-2'!B19</f>
        <v>0</v>
      </c>
      <c r="C11" s="146">
        <f>'明细表M3-2'!G19</f>
        <v>0</v>
      </c>
      <c r="D11" s="146">
        <f>'明细表M3-2'!H19</f>
        <v>0</v>
      </c>
      <c r="E11" s="146">
        <f>'明细表M3-2'!M19</f>
        <v>0</v>
      </c>
      <c r="F11" s="146">
        <f>'明细表M3-2'!F19</f>
        <v>0</v>
      </c>
      <c r="G11" s="146">
        <f>'明细表M3-2'!G19+'明细表M3-2'!I19-'明细表M3-2'!J19</f>
        <v>0</v>
      </c>
      <c r="H11" s="146">
        <f>'明细表M3-2'!H19+'明细表M3-2'!K19-'明细表M3-2'!L19</f>
        <v>0</v>
      </c>
      <c r="I11" s="146">
        <f>'明细表M3-2'!P19</f>
        <v>0</v>
      </c>
      <c r="J11" s="146">
        <f t="shared" si="0"/>
        <v>0</v>
      </c>
      <c r="K11" s="147">
        <f t="shared" si="1"/>
        <v>0</v>
      </c>
      <c r="L11" s="71"/>
    </row>
    <row r="12" spans="1:12" ht="19.95" customHeight="1">
      <c r="A12" s="148">
        <f>'明细表M3-2'!A20</f>
        <v>0</v>
      </c>
      <c r="B12" s="146">
        <f>'明细表M3-2'!B20</f>
        <v>0</v>
      </c>
      <c r="C12" s="146">
        <f>'明细表M3-2'!G20</f>
        <v>0</v>
      </c>
      <c r="D12" s="146">
        <f>'明细表M3-2'!H20</f>
        <v>0</v>
      </c>
      <c r="E12" s="146">
        <f>'明细表M3-2'!M20</f>
        <v>0</v>
      </c>
      <c r="F12" s="146">
        <f>'明细表M3-2'!F20</f>
        <v>0</v>
      </c>
      <c r="G12" s="146">
        <f>'明细表M3-2'!G20+'明细表M3-2'!I20-'明细表M3-2'!J20</f>
        <v>0</v>
      </c>
      <c r="H12" s="146">
        <f>'明细表M3-2'!H20+'明细表M3-2'!K20-'明细表M3-2'!L20</f>
        <v>0</v>
      </c>
      <c r="I12" s="146">
        <f>'明细表M3-2'!P20</f>
        <v>0</v>
      </c>
      <c r="J12" s="146">
        <f t="shared" si="0"/>
        <v>0</v>
      </c>
      <c r="K12" s="147">
        <f t="shared" si="1"/>
        <v>0</v>
      </c>
      <c r="L12" s="71"/>
    </row>
    <row r="13" spans="1:12" ht="19.95" customHeight="1">
      <c r="A13" s="148">
        <f>'明细表M3-2'!A21</f>
        <v>0</v>
      </c>
      <c r="B13" s="146">
        <f>'明细表M3-2'!B21</f>
        <v>0</v>
      </c>
      <c r="C13" s="146">
        <f>'明细表M3-2'!G21</f>
        <v>0</v>
      </c>
      <c r="D13" s="146">
        <f>'明细表M3-2'!H21</f>
        <v>0</v>
      </c>
      <c r="E13" s="146">
        <f>'明细表M3-2'!M21</f>
        <v>0</v>
      </c>
      <c r="F13" s="146">
        <f>'明细表M3-2'!F21</f>
        <v>0</v>
      </c>
      <c r="G13" s="146">
        <f>'明细表M3-2'!G21+'明细表M3-2'!I21-'明细表M3-2'!J21</f>
        <v>0</v>
      </c>
      <c r="H13" s="146">
        <f>'明细表M3-2'!H21+'明细表M3-2'!K21-'明细表M3-2'!L21</f>
        <v>0</v>
      </c>
      <c r="I13" s="146">
        <f>'明细表M3-2'!P21</f>
        <v>0</v>
      </c>
      <c r="J13" s="146">
        <f t="shared" si="0"/>
        <v>0</v>
      </c>
      <c r="K13" s="147">
        <f t="shared" si="1"/>
        <v>0</v>
      </c>
      <c r="L13" s="71"/>
    </row>
    <row r="14" spans="1:12" ht="19.95" customHeight="1">
      <c r="A14" s="148">
        <f>'明细表M3-2'!A22</f>
        <v>0</v>
      </c>
      <c r="B14" s="146">
        <f>'明细表M3-2'!B22</f>
        <v>0</v>
      </c>
      <c r="C14" s="146">
        <f>'明细表M3-2'!G22</f>
        <v>0</v>
      </c>
      <c r="D14" s="146">
        <f>'明细表M3-2'!H22</f>
        <v>0</v>
      </c>
      <c r="E14" s="146">
        <f>'明细表M3-2'!M22</f>
        <v>0</v>
      </c>
      <c r="F14" s="146">
        <f>'明细表M3-2'!F22</f>
        <v>0</v>
      </c>
      <c r="G14" s="146">
        <f>'明细表M3-2'!G22+'明细表M3-2'!I22-'明细表M3-2'!J22</f>
        <v>0</v>
      </c>
      <c r="H14" s="146">
        <f>'明细表M3-2'!H22+'明细表M3-2'!K22-'明细表M3-2'!L22</f>
        <v>0</v>
      </c>
      <c r="I14" s="146">
        <f>'明细表M3-2'!P22</f>
        <v>0</v>
      </c>
      <c r="J14" s="146">
        <f t="shared" si="0"/>
        <v>0</v>
      </c>
      <c r="K14" s="147">
        <f t="shared" si="1"/>
        <v>0</v>
      </c>
      <c r="L14" s="71"/>
    </row>
    <row r="15" spans="1:12" ht="19.95" customHeight="1">
      <c r="A15" s="148">
        <f>'明细表M3-2'!A23</f>
        <v>0</v>
      </c>
      <c r="B15" s="146">
        <f>'明细表M3-2'!B23</f>
        <v>0</v>
      </c>
      <c r="C15" s="146">
        <f>'明细表M3-2'!G23</f>
        <v>0</v>
      </c>
      <c r="D15" s="146">
        <f>'明细表M3-2'!H23</f>
        <v>0</v>
      </c>
      <c r="E15" s="146">
        <f>'明细表M3-2'!M23</f>
        <v>0</v>
      </c>
      <c r="F15" s="146">
        <f>'明细表M3-2'!F23</f>
        <v>0</v>
      </c>
      <c r="G15" s="146">
        <f>'明细表M3-2'!G23+'明细表M3-2'!I23-'明细表M3-2'!J23</f>
        <v>0</v>
      </c>
      <c r="H15" s="146">
        <f>'明细表M3-2'!H23+'明细表M3-2'!K23-'明细表M3-2'!L23</f>
        <v>0</v>
      </c>
      <c r="I15" s="146">
        <f>'明细表M3-2'!P23</f>
        <v>0</v>
      </c>
      <c r="J15" s="146">
        <f t="shared" si="0"/>
        <v>0</v>
      </c>
      <c r="K15" s="147">
        <f t="shared" si="1"/>
        <v>0</v>
      </c>
      <c r="L15" s="71"/>
    </row>
    <row r="16" spans="1:12" s="9" customFormat="1" ht="19.95" customHeight="1">
      <c r="A16" s="148">
        <f>'明细表M3-2'!A24</f>
        <v>0</v>
      </c>
      <c r="B16" s="146">
        <f>'明细表M3-2'!B24</f>
        <v>0</v>
      </c>
      <c r="C16" s="146">
        <f>'明细表M3-2'!G24</f>
        <v>0</v>
      </c>
      <c r="D16" s="146">
        <f>'明细表M3-2'!H24</f>
        <v>0</v>
      </c>
      <c r="E16" s="146">
        <f>'明细表M3-2'!M24</f>
        <v>0</v>
      </c>
      <c r="F16" s="146">
        <f>'明细表M3-2'!F24</f>
        <v>0</v>
      </c>
      <c r="G16" s="146">
        <f>'明细表M3-2'!G24+'明细表M3-2'!I24-'明细表M3-2'!J24</f>
        <v>0</v>
      </c>
      <c r="H16" s="146">
        <f>'明细表M3-2'!H24+'明细表M3-2'!K24-'明细表M3-2'!L24</f>
        <v>0</v>
      </c>
      <c r="I16" s="146">
        <f>'明细表M3-2'!P24</f>
        <v>0</v>
      </c>
      <c r="J16" s="146">
        <f t="shared" si="0"/>
        <v>0</v>
      </c>
      <c r="K16" s="147">
        <f t="shared" si="1"/>
        <v>0</v>
      </c>
      <c r="L16" s="71"/>
    </row>
    <row r="17" spans="1:12" s="9" customFormat="1" ht="19.95" customHeight="1">
      <c r="A17" s="149" t="s">
        <v>111</v>
      </c>
      <c r="B17" s="150">
        <f>SUM(B7:B16)</f>
        <v>0</v>
      </c>
      <c r="C17" s="150">
        <f t="shared" ref="C17:I17" si="2">SUM(C7:C16)</f>
        <v>0</v>
      </c>
      <c r="D17" s="150">
        <f t="shared" si="2"/>
        <v>0</v>
      </c>
      <c r="E17" s="150">
        <f t="shared" si="2"/>
        <v>0</v>
      </c>
      <c r="F17" s="150">
        <f t="shared" si="2"/>
        <v>0</v>
      </c>
      <c r="G17" s="150">
        <f t="shared" si="2"/>
        <v>0</v>
      </c>
      <c r="H17" s="150">
        <f t="shared" si="2"/>
        <v>0</v>
      </c>
      <c r="I17" s="150">
        <f t="shared" si="2"/>
        <v>0</v>
      </c>
      <c r="J17" s="150">
        <f t="shared" si="0"/>
        <v>0</v>
      </c>
      <c r="K17" s="151">
        <f t="shared" si="1"/>
        <v>0</v>
      </c>
      <c r="L17" s="81"/>
    </row>
    <row r="18" spans="1:12" s="116" customFormat="1" ht="19.95" customHeight="1">
      <c r="A18" s="112" t="s">
        <v>129</v>
      </c>
      <c r="B18" s="113"/>
      <c r="C18" s="113"/>
      <c r="D18" s="113"/>
      <c r="E18" s="152"/>
      <c r="F18" s="113"/>
      <c r="G18" s="113"/>
      <c r="H18" s="113"/>
      <c r="I18" s="152"/>
      <c r="J18" s="115"/>
      <c r="K18" s="114"/>
      <c r="L18" s="114"/>
    </row>
    <row r="19" spans="1:12" s="116" customFormat="1" ht="19.95" customHeight="1">
      <c r="A19" s="112" t="s">
        <v>130</v>
      </c>
      <c r="B19" s="113"/>
      <c r="C19" s="113"/>
      <c r="D19" s="113"/>
      <c r="E19" s="152">
        <f>E17-E18</f>
        <v>0</v>
      </c>
      <c r="F19" s="113"/>
      <c r="G19" s="113"/>
      <c r="H19" s="113"/>
      <c r="I19" s="152">
        <f>I17-I18</f>
        <v>0</v>
      </c>
      <c r="J19" s="115"/>
      <c r="K19" s="114"/>
      <c r="L19" s="114"/>
    </row>
    <row r="20" spans="1:12" ht="19.95" customHeight="1">
      <c r="A20" s="72" t="s">
        <v>10</v>
      </c>
      <c r="B20" s="6"/>
      <c r="C20" s="6"/>
      <c r="D20" s="6"/>
      <c r="E20" s="6"/>
      <c r="F20" s="12"/>
      <c r="G20" s="6"/>
    </row>
    <row r="21" spans="1:12" ht="19.95" customHeight="1">
      <c r="A21" s="73" t="s">
        <v>11</v>
      </c>
      <c r="B21" s="10"/>
      <c r="C21" s="10"/>
      <c r="D21" s="254"/>
      <c r="E21" s="254"/>
      <c r="F21" s="10"/>
      <c r="G21" s="10"/>
    </row>
    <row r="22" spans="1:12" ht="19.95" customHeight="1">
      <c r="A22" s="73" t="s">
        <v>12</v>
      </c>
      <c r="B22" s="10"/>
      <c r="C22" s="10"/>
      <c r="D22" s="10"/>
      <c r="E22" s="10"/>
      <c r="F22" s="10"/>
      <c r="G22" s="10"/>
    </row>
    <row r="23" spans="1:12" ht="19.95" customHeight="1">
      <c r="A23" s="73"/>
      <c r="B23" s="10"/>
      <c r="C23" s="10"/>
      <c r="D23" s="10"/>
      <c r="E23" s="10"/>
      <c r="F23" s="10"/>
      <c r="G23" s="10"/>
    </row>
    <row r="24" spans="1:12" ht="19.95" customHeight="1">
      <c r="A24" s="73"/>
      <c r="B24" s="10"/>
      <c r="C24" s="10"/>
      <c r="D24" s="10"/>
      <c r="E24" s="10"/>
      <c r="F24" s="10"/>
      <c r="G24" s="10"/>
    </row>
    <row r="25" spans="1:12" ht="19.95" customHeight="1">
      <c r="A25" s="74" t="s">
        <v>13</v>
      </c>
      <c r="B25" s="11"/>
      <c r="C25" s="11"/>
      <c r="D25" s="11"/>
      <c r="E25" s="11"/>
      <c r="F25" s="11"/>
      <c r="G25" s="11"/>
    </row>
    <row r="26" spans="1:12" ht="19.95" customHeight="1">
      <c r="A26" s="74"/>
      <c r="B26" s="11"/>
      <c r="C26" s="11"/>
      <c r="D26" s="11"/>
      <c r="E26" s="11"/>
      <c r="F26" s="11"/>
      <c r="G26" s="11"/>
    </row>
    <row r="27" spans="1:12" ht="19.95" customHeight="1">
      <c r="A27" s="73"/>
      <c r="B27" s="10"/>
      <c r="C27" s="10"/>
      <c r="D27" s="10"/>
      <c r="E27" s="10"/>
      <c r="F27" s="10"/>
      <c r="G27" s="10"/>
    </row>
    <row r="28" spans="1:12" ht="19.95" customHeight="1">
      <c r="A28" s="75" t="s">
        <v>14</v>
      </c>
      <c r="B28" s="10"/>
      <c r="C28" s="10"/>
      <c r="D28" s="10"/>
      <c r="E28" s="10"/>
      <c r="F28" s="12"/>
      <c r="G28" s="10"/>
    </row>
    <row r="29" spans="1:12" ht="19.95" customHeight="1">
      <c r="A29" s="75"/>
      <c r="B29" s="10"/>
      <c r="C29" s="10"/>
      <c r="D29" s="10"/>
      <c r="E29" s="10"/>
      <c r="F29" s="10"/>
      <c r="G29" s="10"/>
    </row>
    <row r="30" spans="1:12" ht="19.95" customHeight="1">
      <c r="A30" s="75"/>
      <c r="B30" s="10"/>
      <c r="C30" s="10"/>
      <c r="D30" s="10"/>
      <c r="E30" s="10"/>
      <c r="F30" s="10"/>
      <c r="G30" s="10"/>
    </row>
    <row r="31" spans="1:12" ht="19.95" customHeight="1">
      <c r="A31" s="76" t="s">
        <v>15</v>
      </c>
      <c r="B31" s="10"/>
      <c r="C31" s="10"/>
      <c r="D31" s="10"/>
      <c r="E31" s="10"/>
      <c r="F31" s="10"/>
      <c r="G31" s="10"/>
    </row>
    <row r="32" spans="1:12" ht="23.25" customHeight="1">
      <c r="A32" s="184" t="s">
        <v>221</v>
      </c>
    </row>
    <row r="33" spans="1:1" ht="23.25" customHeight="1">
      <c r="A33" s="46" t="s">
        <v>220</v>
      </c>
    </row>
  </sheetData>
  <mergeCells count="8">
    <mergeCell ref="L5:L6"/>
    <mergeCell ref="A1:L1"/>
    <mergeCell ref="A2:L2"/>
    <mergeCell ref="A5:A6"/>
    <mergeCell ref="D21:E21"/>
    <mergeCell ref="B5:E5"/>
    <mergeCell ref="F5:I5"/>
    <mergeCell ref="J5:K5"/>
  </mergeCells>
  <phoneticPr fontId="17" type="noConversion"/>
  <hyperlinks>
    <hyperlink ref="L3" location="底稿目录!A1" display="底稿目录!A1"/>
  </hyperlinks>
  <printOptions horizontalCentered="1"/>
  <pageMargins left="0.70866141732283472" right="0.70866141732283472" top="0.74803149606299213" bottom="0.74803149606299213" header="0.31496062992125984" footer="0.31496062992125984"/>
  <pageSetup paperSize="9" scale="80" orientation="landscape" blackAndWhite="1" r:id="rId1"/>
  <headerFooter alignWithMargins="0">
    <oddFooter>&amp;C&amp;P/&amp;N</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K18"/>
  <sheetViews>
    <sheetView view="pageBreakPreview" zoomScaleSheetLayoutView="100" workbookViewId="0">
      <selection sqref="A1:D1"/>
    </sheetView>
  </sheetViews>
  <sheetFormatPr defaultColWidth="9" defaultRowHeight="15.6"/>
  <cols>
    <col min="1" max="1" width="26.59765625" customWidth="1"/>
    <col min="2" max="2" width="21.59765625" customWidth="1"/>
    <col min="3" max="3" width="26.59765625" customWidth="1"/>
    <col min="4" max="4" width="24.296875" customWidth="1"/>
    <col min="5" max="5" width="36.3984375" customWidth="1"/>
  </cols>
  <sheetData>
    <row r="1" spans="1:11" s="95" customFormat="1" ht="20.100000000000001" customHeight="1">
      <c r="A1" s="263" t="s">
        <v>45</v>
      </c>
      <c r="B1" s="263"/>
      <c r="C1" s="263"/>
      <c r="D1" s="263"/>
      <c r="E1" s="94"/>
      <c r="F1" s="94"/>
      <c r="G1" s="94"/>
      <c r="H1" s="94"/>
      <c r="I1" s="94"/>
      <c r="J1" s="94"/>
      <c r="K1" s="94"/>
    </row>
    <row r="2" spans="1:11" s="95" customFormat="1" ht="25.05" customHeight="1">
      <c r="A2" s="264" t="s">
        <v>60</v>
      </c>
      <c r="B2" s="264"/>
      <c r="C2" s="264"/>
      <c r="D2" s="264"/>
      <c r="E2" s="264"/>
      <c r="F2" s="264"/>
      <c r="G2" s="264"/>
      <c r="H2" s="264"/>
      <c r="I2" s="264"/>
      <c r="J2" s="264"/>
      <c r="K2" s="264"/>
    </row>
    <row r="3" spans="1:11" s="19" customFormat="1" ht="20.100000000000001" customHeight="1">
      <c r="A3" s="18" t="str">
        <f>底稿目录!A2</f>
        <v>被审计单位：</v>
      </c>
      <c r="B3" s="18" t="str">
        <f>底稿目录!A4</f>
        <v>编制人：</v>
      </c>
      <c r="C3" s="18" t="str">
        <f>底稿目录!A5</f>
        <v>编制日期：</v>
      </c>
      <c r="E3" s="18" t="s">
        <v>166</v>
      </c>
      <c r="I3" s="18"/>
      <c r="J3" s="18"/>
    </row>
    <row r="4" spans="1:11" s="19" customFormat="1" ht="20.100000000000001" customHeight="1">
      <c r="A4" s="19" t="str">
        <f>底稿目录!A3</f>
        <v>截止日：202X年12月31日</v>
      </c>
      <c r="B4" s="18" t="str">
        <f>底稿目录!A6</f>
        <v>复核人：</v>
      </c>
      <c r="C4" s="18" t="str">
        <f>底稿目录!A7</f>
        <v>复核日期：</v>
      </c>
      <c r="E4" s="18" t="s">
        <v>46</v>
      </c>
      <c r="I4" s="18"/>
      <c r="J4" s="18"/>
    </row>
    <row r="5" spans="1:11" s="132" customFormat="1" ht="20.399999999999999" customHeight="1" thickBot="1">
      <c r="A5" s="130" t="s">
        <v>26</v>
      </c>
      <c r="B5" s="18"/>
      <c r="C5" s="18"/>
      <c r="D5" s="131"/>
    </row>
    <row r="6" spans="1:11" s="136" customFormat="1" ht="26.55" customHeight="1" thickBot="1">
      <c r="A6" s="133" t="s">
        <v>141</v>
      </c>
      <c r="B6" s="134" t="s">
        <v>152</v>
      </c>
      <c r="C6" s="135" t="s">
        <v>6</v>
      </c>
      <c r="D6" s="135" t="s">
        <v>7</v>
      </c>
      <c r="E6" s="134" t="s">
        <v>153</v>
      </c>
    </row>
    <row r="7" spans="1:11" s="136" customFormat="1" ht="13.8">
      <c r="A7" s="137" t="s">
        <v>151</v>
      </c>
      <c r="B7" s="164"/>
      <c r="C7" s="164"/>
      <c r="D7" s="164"/>
      <c r="E7" s="164"/>
    </row>
    <row r="8" spans="1:11" s="136" customFormat="1" ht="13.8">
      <c r="A8" s="137" t="s">
        <v>151</v>
      </c>
      <c r="B8" s="164"/>
      <c r="C8" s="164"/>
      <c r="D8" s="164"/>
      <c r="E8" s="164"/>
    </row>
    <row r="9" spans="1:11" s="136" customFormat="1" ht="14.4" thickBot="1">
      <c r="A9" s="138"/>
      <c r="B9" s="165"/>
      <c r="C9" s="165"/>
      <c r="D9" s="165"/>
      <c r="E9" s="165"/>
    </row>
    <row r="10" spans="1:11" s="136" customFormat="1" ht="14.4" thickBot="1">
      <c r="A10" s="139" t="s">
        <v>142</v>
      </c>
      <c r="B10" s="166"/>
      <c r="C10" s="166"/>
      <c r="D10" s="166"/>
      <c r="E10" s="166"/>
    </row>
    <row r="11" spans="1:11" s="136" customFormat="1" ht="12">
      <c r="A11" s="140" t="s">
        <v>27</v>
      </c>
    </row>
    <row r="12" spans="1:11" s="136" customFormat="1" ht="12">
      <c r="A12" s="141" t="s">
        <v>143</v>
      </c>
    </row>
    <row r="13" spans="1:11" s="136" customFormat="1" ht="12">
      <c r="A13" s="141" t="s">
        <v>17</v>
      </c>
    </row>
    <row r="14" spans="1:11" s="136" customFormat="1" ht="12">
      <c r="A14" s="141" t="s">
        <v>18</v>
      </c>
    </row>
    <row r="15" spans="1:11" s="136" customFormat="1" ht="12">
      <c r="A15" s="141" t="s">
        <v>19</v>
      </c>
    </row>
    <row r="16" spans="1:11" s="136" customFormat="1" ht="12">
      <c r="A16" s="141" t="s">
        <v>20</v>
      </c>
    </row>
    <row r="17" s="136" customFormat="1" ht="12"/>
    <row r="18" s="132" customFormat="1"/>
  </sheetData>
  <mergeCells count="3">
    <mergeCell ref="A1:D1"/>
    <mergeCell ref="A2:D2"/>
    <mergeCell ref="E2:K2"/>
  </mergeCells>
  <phoneticPr fontId="17" type="noConversion"/>
  <printOptions horizontalCentered="1"/>
  <pageMargins left="0.70866141732283472" right="0.70866141732283472" top="0.74803149606299213" bottom="0.74803149606299213" header="0.31496062992125984" footer="0.31496062992125984"/>
  <pageSetup paperSize="9" scale="60" orientation="portrait" blackAndWhite="1" r:id="rId1"/>
  <ignoredErrors>
    <ignoredError sqref="A3:C4" unlocked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S59"/>
  <sheetViews>
    <sheetView view="pageBreakPreview" zoomScaleSheetLayoutView="100" workbookViewId="0">
      <selection sqref="A1:S1"/>
    </sheetView>
  </sheetViews>
  <sheetFormatPr defaultColWidth="9" defaultRowHeight="15.6"/>
  <cols>
    <col min="1" max="1" width="25.796875" style="2" customWidth="1"/>
    <col min="2" max="16" width="10.5" style="2" customWidth="1"/>
    <col min="17" max="17" width="10.5" style="3" customWidth="1"/>
    <col min="18" max="19" width="10.5" style="2" customWidth="1"/>
    <col min="20" max="16384" width="9" style="2"/>
  </cols>
  <sheetData>
    <row r="1" spans="1:19" s="1" customFormat="1" ht="19.95" customHeight="1">
      <c r="A1" s="265" t="s">
        <v>45</v>
      </c>
      <c r="B1" s="265"/>
      <c r="C1" s="265"/>
      <c r="D1" s="265"/>
      <c r="E1" s="265"/>
      <c r="F1" s="265"/>
      <c r="G1" s="265"/>
      <c r="H1" s="265"/>
      <c r="I1" s="265"/>
      <c r="J1" s="265"/>
      <c r="K1" s="265"/>
      <c r="L1" s="265"/>
      <c r="M1" s="265"/>
      <c r="N1" s="265"/>
      <c r="O1" s="265"/>
      <c r="P1" s="265"/>
      <c r="Q1" s="265"/>
      <c r="R1" s="265"/>
      <c r="S1" s="265"/>
    </row>
    <row r="2" spans="1:19" s="1" customFormat="1" ht="19.95" customHeight="1">
      <c r="A2" s="266" t="s">
        <v>5</v>
      </c>
      <c r="B2" s="266"/>
      <c r="C2" s="266"/>
      <c r="D2" s="266"/>
      <c r="E2" s="266"/>
      <c r="F2" s="266"/>
      <c r="G2" s="266"/>
      <c r="H2" s="266"/>
      <c r="I2" s="266"/>
      <c r="J2" s="266"/>
      <c r="K2" s="266"/>
      <c r="L2" s="266"/>
      <c r="M2" s="266"/>
      <c r="N2" s="266"/>
      <c r="O2" s="266"/>
      <c r="P2" s="266"/>
      <c r="Q2" s="266"/>
      <c r="R2" s="266"/>
      <c r="S2" s="266"/>
    </row>
    <row r="3" spans="1:19" s="13" customFormat="1" ht="19.95" customHeight="1">
      <c r="A3" s="19" t="str">
        <f>底稿目录!A2</f>
        <v>被审计单位：</v>
      </c>
      <c r="B3" s="19"/>
      <c r="D3" s="19" t="str">
        <f>底稿目录!A4</f>
        <v>编制人：</v>
      </c>
      <c r="E3" s="19"/>
      <c r="F3" s="19"/>
      <c r="H3" s="21"/>
      <c r="I3" s="21"/>
      <c r="K3" s="19" t="str">
        <f>底稿目录!A5</f>
        <v>编制日期：</v>
      </c>
      <c r="L3" s="85"/>
      <c r="M3" s="21"/>
      <c r="N3" s="21"/>
      <c r="O3" s="21"/>
      <c r="R3" s="167" t="s">
        <v>0</v>
      </c>
      <c r="S3" s="215" t="str">
        <f>底稿目录!F7</f>
        <v>M3-2</v>
      </c>
    </row>
    <row r="4" spans="1:19" s="13" customFormat="1" ht="19.95" customHeight="1">
      <c r="A4" s="19" t="str">
        <f>底稿目录!A3</f>
        <v>截止日：202X年12月31日</v>
      </c>
      <c r="B4" s="19"/>
      <c r="D4" s="19" t="str">
        <f>底稿目录!A6</f>
        <v>复核人：</v>
      </c>
      <c r="E4" s="18"/>
      <c r="F4" s="19"/>
      <c r="H4" s="21"/>
      <c r="I4" s="21"/>
      <c r="K4" s="19" t="str">
        <f>底稿目录!A7</f>
        <v>复核日期：</v>
      </c>
      <c r="L4" s="85"/>
      <c r="M4" s="21"/>
      <c r="N4" s="21"/>
      <c r="O4" s="21"/>
      <c r="R4" s="167" t="s">
        <v>46</v>
      </c>
      <c r="S4" s="21"/>
    </row>
    <row r="5" spans="1:19" s="52" customFormat="1" ht="19.95" customHeight="1">
      <c r="A5" s="50" t="s">
        <v>56</v>
      </c>
      <c r="B5" s="51"/>
      <c r="G5" s="54"/>
      <c r="K5" s="54"/>
      <c r="N5" s="55"/>
    </row>
    <row r="6" spans="1:19" s="52" customFormat="1" ht="19.95" customHeight="1">
      <c r="A6" s="185" t="s">
        <v>222</v>
      </c>
      <c r="B6" s="56"/>
      <c r="G6" s="54"/>
      <c r="K6" s="54"/>
      <c r="N6" s="55"/>
    </row>
    <row r="7" spans="1:19" s="52" customFormat="1" ht="19.95" customHeight="1">
      <c r="A7" s="185" t="s">
        <v>223</v>
      </c>
      <c r="B7" s="56"/>
      <c r="G7" s="54"/>
      <c r="K7" s="54"/>
      <c r="N7" s="55"/>
    </row>
    <row r="8" spans="1:19" s="52" customFormat="1" ht="19.95" customHeight="1">
      <c r="A8" s="185" t="s">
        <v>224</v>
      </c>
      <c r="B8" s="56"/>
      <c r="G8" s="54"/>
      <c r="K8" s="54"/>
      <c r="N8" s="55"/>
    </row>
    <row r="9" spans="1:19" s="52" customFormat="1" ht="19.95" customHeight="1">
      <c r="A9" s="57" t="s">
        <v>57</v>
      </c>
      <c r="G9" s="54"/>
      <c r="K9" s="54"/>
      <c r="N9" s="55"/>
    </row>
    <row r="10" spans="1:19" s="52" customFormat="1" ht="19.95" customHeight="1">
      <c r="A10" s="159" t="s">
        <v>225</v>
      </c>
      <c r="B10" s="56"/>
      <c r="G10" s="54"/>
      <c r="K10" s="54"/>
      <c r="N10" s="55"/>
    </row>
    <row r="11" spans="1:19" s="52" customFormat="1" ht="19.95" customHeight="1">
      <c r="A11" s="159" t="s">
        <v>226</v>
      </c>
      <c r="B11" s="56"/>
      <c r="G11" s="54"/>
      <c r="K11" s="54"/>
      <c r="N11" s="55"/>
    </row>
    <row r="12" spans="1:19" s="13" customFormat="1" ht="19.95" customHeight="1">
      <c r="A12" s="267" t="s">
        <v>88</v>
      </c>
      <c r="B12" s="273" t="s">
        <v>74</v>
      </c>
      <c r="C12" s="274"/>
      <c r="D12" s="274"/>
      <c r="E12" s="274"/>
      <c r="F12" s="274"/>
      <c r="G12" s="275" t="s">
        <v>107</v>
      </c>
      <c r="H12" s="275"/>
      <c r="I12" s="275" t="s">
        <v>108</v>
      </c>
      <c r="J12" s="276"/>
      <c r="K12" s="277" t="s">
        <v>80</v>
      </c>
      <c r="L12" s="278"/>
      <c r="M12" s="273" t="s">
        <v>85</v>
      </c>
      <c r="N12" s="279"/>
      <c r="O12" s="279"/>
      <c r="P12" s="280"/>
      <c r="Q12" s="267" t="s">
        <v>105</v>
      </c>
      <c r="R12" s="267" t="s">
        <v>106</v>
      </c>
      <c r="S12" s="267" t="s">
        <v>75</v>
      </c>
    </row>
    <row r="13" spans="1:19" s="13" customFormat="1" ht="19.95" customHeight="1">
      <c r="A13" s="267"/>
      <c r="B13" s="270" t="s">
        <v>93</v>
      </c>
      <c r="C13" s="270" t="s">
        <v>94</v>
      </c>
      <c r="D13" s="272" t="s">
        <v>77</v>
      </c>
      <c r="E13" s="272"/>
      <c r="F13" s="268" t="s">
        <v>78</v>
      </c>
      <c r="G13" s="270" t="s">
        <v>95</v>
      </c>
      <c r="H13" s="270" t="s">
        <v>96</v>
      </c>
      <c r="I13" s="270" t="s">
        <v>97</v>
      </c>
      <c r="J13" s="270" t="s">
        <v>98</v>
      </c>
      <c r="K13" s="270" t="s">
        <v>99</v>
      </c>
      <c r="L13" s="270" t="s">
        <v>100</v>
      </c>
      <c r="M13" s="270" t="s">
        <v>101</v>
      </c>
      <c r="N13" s="270" t="s">
        <v>102</v>
      </c>
      <c r="O13" s="270" t="s">
        <v>103</v>
      </c>
      <c r="P13" s="270" t="s">
        <v>104</v>
      </c>
      <c r="Q13" s="267"/>
      <c r="R13" s="267"/>
      <c r="S13" s="267"/>
    </row>
    <row r="14" spans="1:19" s="13" customFormat="1" ht="19.95" customHeight="1">
      <c r="A14" s="267"/>
      <c r="B14" s="271"/>
      <c r="C14" s="271"/>
      <c r="D14" s="66" t="s">
        <v>92</v>
      </c>
      <c r="E14" s="66" t="s">
        <v>91</v>
      </c>
      <c r="F14" s="269"/>
      <c r="G14" s="271"/>
      <c r="H14" s="271"/>
      <c r="I14" s="271"/>
      <c r="J14" s="271"/>
      <c r="K14" s="271"/>
      <c r="L14" s="271"/>
      <c r="M14" s="271"/>
      <c r="N14" s="271"/>
      <c r="O14" s="271"/>
      <c r="P14" s="271"/>
      <c r="Q14" s="267"/>
      <c r="R14" s="267"/>
      <c r="S14" s="267"/>
    </row>
    <row r="15" spans="1:19" s="13" customFormat="1" ht="19.95" customHeight="1">
      <c r="A15" s="84" t="s">
        <v>109</v>
      </c>
      <c r="B15" s="24"/>
      <c r="C15" s="67"/>
      <c r="D15" s="67"/>
      <c r="E15" s="67"/>
      <c r="F15" s="153">
        <f>B15+C15-D15-E15</f>
        <v>0</v>
      </c>
      <c r="G15" s="67"/>
      <c r="H15" s="67"/>
      <c r="I15" s="67"/>
      <c r="J15" s="67"/>
      <c r="K15" s="67"/>
      <c r="L15" s="67"/>
      <c r="M15" s="153">
        <f>B15+G15+H15</f>
        <v>0</v>
      </c>
      <c r="N15" s="153">
        <f t="shared" ref="N15:N24" si="0">C15+I15+K15</f>
        <v>0</v>
      </c>
      <c r="O15" s="153">
        <f>D15+E15+J15+L15</f>
        <v>0</v>
      </c>
      <c r="P15" s="153">
        <f>M15+N15-O15</f>
        <v>0</v>
      </c>
      <c r="Q15" s="168"/>
      <c r="R15" s="168"/>
      <c r="S15" s="169"/>
    </row>
    <row r="16" spans="1:19" s="13" customFormat="1" ht="19.95" customHeight="1">
      <c r="A16" s="84" t="s">
        <v>89</v>
      </c>
      <c r="B16" s="24"/>
      <c r="C16" s="67"/>
      <c r="D16" s="67"/>
      <c r="E16" s="67"/>
      <c r="F16" s="153">
        <f t="shared" ref="F16:F24" si="1">B16+C16-D16-E16</f>
        <v>0</v>
      </c>
      <c r="G16" s="67"/>
      <c r="H16" s="67"/>
      <c r="I16" s="67"/>
      <c r="J16" s="67"/>
      <c r="K16" s="67"/>
      <c r="L16" s="67"/>
      <c r="M16" s="153">
        <f t="shared" ref="M16:M24" si="2">B16+G16+H16</f>
        <v>0</v>
      </c>
      <c r="N16" s="153">
        <f t="shared" si="0"/>
        <v>0</v>
      </c>
      <c r="O16" s="153">
        <f t="shared" ref="O16:O24" si="3">D16+E16+J16+L16</f>
        <v>0</v>
      </c>
      <c r="P16" s="153">
        <f t="shared" ref="P16:P24" si="4">M16+N16-O16</f>
        <v>0</v>
      </c>
      <c r="Q16" s="168"/>
      <c r="R16" s="168"/>
      <c r="S16" s="169"/>
    </row>
    <row r="17" spans="1:19" s="13" customFormat="1" ht="30.6" customHeight="1">
      <c r="A17" s="84" t="s">
        <v>90</v>
      </c>
      <c r="B17" s="24"/>
      <c r="C17" s="67"/>
      <c r="D17" s="67"/>
      <c r="E17" s="67"/>
      <c r="F17" s="153">
        <f t="shared" si="1"/>
        <v>0</v>
      </c>
      <c r="G17" s="67"/>
      <c r="H17" s="67"/>
      <c r="I17" s="67"/>
      <c r="J17" s="67"/>
      <c r="K17" s="67"/>
      <c r="L17" s="67"/>
      <c r="M17" s="153">
        <f t="shared" si="2"/>
        <v>0</v>
      </c>
      <c r="N17" s="153">
        <f t="shared" si="0"/>
        <v>0</v>
      </c>
      <c r="O17" s="153">
        <f t="shared" si="3"/>
        <v>0</v>
      </c>
      <c r="P17" s="153">
        <f t="shared" si="4"/>
        <v>0</v>
      </c>
      <c r="Q17" s="168"/>
      <c r="R17" s="168"/>
      <c r="S17" s="169"/>
    </row>
    <row r="18" spans="1:19" s="13" customFormat="1" ht="19.95" customHeight="1">
      <c r="A18" s="84" t="s">
        <v>110</v>
      </c>
      <c r="B18" s="24"/>
      <c r="C18" s="67"/>
      <c r="D18" s="67"/>
      <c r="E18" s="67"/>
      <c r="F18" s="153">
        <f t="shared" si="1"/>
        <v>0</v>
      </c>
      <c r="G18" s="67"/>
      <c r="H18" s="67"/>
      <c r="I18" s="67"/>
      <c r="J18" s="67"/>
      <c r="K18" s="67"/>
      <c r="L18" s="67"/>
      <c r="M18" s="153">
        <f t="shared" si="2"/>
        <v>0</v>
      </c>
      <c r="N18" s="153">
        <f t="shared" si="0"/>
        <v>0</v>
      </c>
      <c r="O18" s="153">
        <f t="shared" si="3"/>
        <v>0</v>
      </c>
      <c r="P18" s="153">
        <f t="shared" si="4"/>
        <v>0</v>
      </c>
      <c r="Q18" s="168"/>
      <c r="R18" s="168"/>
      <c r="S18" s="169"/>
    </row>
    <row r="19" spans="1:19" s="13" customFormat="1" ht="19.95" customHeight="1">
      <c r="A19" s="16"/>
      <c r="B19" s="24"/>
      <c r="C19" s="67"/>
      <c r="D19" s="67"/>
      <c r="E19" s="67"/>
      <c r="F19" s="153">
        <f t="shared" si="1"/>
        <v>0</v>
      </c>
      <c r="G19" s="67"/>
      <c r="H19" s="67"/>
      <c r="I19" s="67"/>
      <c r="J19" s="67"/>
      <c r="K19" s="67"/>
      <c r="L19" s="67"/>
      <c r="M19" s="153">
        <f t="shared" si="2"/>
        <v>0</v>
      </c>
      <c r="N19" s="153">
        <f t="shared" si="0"/>
        <v>0</v>
      </c>
      <c r="O19" s="153">
        <f t="shared" si="3"/>
        <v>0</v>
      </c>
      <c r="P19" s="153">
        <f t="shared" si="4"/>
        <v>0</v>
      </c>
      <c r="Q19" s="168"/>
      <c r="R19" s="168"/>
      <c r="S19" s="169"/>
    </row>
    <row r="20" spans="1:19" s="13" customFormat="1" ht="19.95" customHeight="1">
      <c r="A20" s="16"/>
      <c r="B20" s="24"/>
      <c r="C20" s="67"/>
      <c r="D20" s="67"/>
      <c r="E20" s="67"/>
      <c r="F20" s="153">
        <f t="shared" si="1"/>
        <v>0</v>
      </c>
      <c r="G20" s="67"/>
      <c r="H20" s="67"/>
      <c r="I20" s="67"/>
      <c r="J20" s="67"/>
      <c r="K20" s="67"/>
      <c r="L20" s="67"/>
      <c r="M20" s="153">
        <f t="shared" si="2"/>
        <v>0</v>
      </c>
      <c r="N20" s="153">
        <f t="shared" si="0"/>
        <v>0</v>
      </c>
      <c r="O20" s="153">
        <f t="shared" si="3"/>
        <v>0</v>
      </c>
      <c r="P20" s="153">
        <f t="shared" si="4"/>
        <v>0</v>
      </c>
      <c r="Q20" s="168"/>
      <c r="R20" s="168"/>
      <c r="S20" s="169"/>
    </row>
    <row r="21" spans="1:19" s="13" customFormat="1" ht="19.95" customHeight="1">
      <c r="A21" s="16"/>
      <c r="B21" s="24"/>
      <c r="C21" s="67"/>
      <c r="D21" s="67"/>
      <c r="E21" s="67"/>
      <c r="F21" s="153">
        <f t="shared" si="1"/>
        <v>0</v>
      </c>
      <c r="G21" s="67"/>
      <c r="H21" s="67"/>
      <c r="I21" s="67"/>
      <c r="J21" s="67"/>
      <c r="K21" s="67"/>
      <c r="L21" s="67"/>
      <c r="M21" s="153">
        <f t="shared" si="2"/>
        <v>0</v>
      </c>
      <c r="N21" s="153">
        <f t="shared" si="0"/>
        <v>0</v>
      </c>
      <c r="O21" s="153">
        <f t="shared" si="3"/>
        <v>0</v>
      </c>
      <c r="P21" s="153">
        <f t="shared" si="4"/>
        <v>0</v>
      </c>
      <c r="Q21" s="168"/>
      <c r="R21" s="168"/>
      <c r="S21" s="169"/>
    </row>
    <row r="22" spans="1:19" s="13" customFormat="1" ht="19.95" customHeight="1">
      <c r="A22" s="16"/>
      <c r="B22" s="24"/>
      <c r="C22" s="67"/>
      <c r="D22" s="67"/>
      <c r="E22" s="67"/>
      <c r="F22" s="153">
        <f t="shared" si="1"/>
        <v>0</v>
      </c>
      <c r="G22" s="67"/>
      <c r="H22" s="67"/>
      <c r="I22" s="67"/>
      <c r="J22" s="67"/>
      <c r="K22" s="67"/>
      <c r="L22" s="67"/>
      <c r="M22" s="153">
        <f t="shared" si="2"/>
        <v>0</v>
      </c>
      <c r="N22" s="153">
        <f t="shared" si="0"/>
        <v>0</v>
      </c>
      <c r="O22" s="153">
        <f t="shared" si="3"/>
        <v>0</v>
      </c>
      <c r="P22" s="153">
        <f t="shared" si="4"/>
        <v>0</v>
      </c>
      <c r="Q22" s="168"/>
      <c r="R22" s="168"/>
      <c r="S22" s="169"/>
    </row>
    <row r="23" spans="1:19" s="13" customFormat="1" ht="19.95" customHeight="1">
      <c r="A23" s="16"/>
      <c r="B23" s="24"/>
      <c r="C23" s="67"/>
      <c r="D23" s="67"/>
      <c r="E23" s="67"/>
      <c r="F23" s="153">
        <f t="shared" si="1"/>
        <v>0</v>
      </c>
      <c r="G23" s="67"/>
      <c r="H23" s="67"/>
      <c r="I23" s="67"/>
      <c r="J23" s="67"/>
      <c r="K23" s="67"/>
      <c r="L23" s="67"/>
      <c r="M23" s="153">
        <f t="shared" si="2"/>
        <v>0</v>
      </c>
      <c r="N23" s="153">
        <f t="shared" si="0"/>
        <v>0</v>
      </c>
      <c r="O23" s="153">
        <f t="shared" si="3"/>
        <v>0</v>
      </c>
      <c r="P23" s="153">
        <f t="shared" si="4"/>
        <v>0</v>
      </c>
      <c r="Q23" s="168"/>
      <c r="R23" s="168"/>
      <c r="S23" s="169"/>
    </row>
    <row r="24" spans="1:19" s="13" customFormat="1" ht="19.95" customHeight="1">
      <c r="A24" s="16"/>
      <c r="B24" s="24"/>
      <c r="C24" s="67"/>
      <c r="D24" s="67"/>
      <c r="E24" s="67"/>
      <c r="F24" s="153">
        <f t="shared" si="1"/>
        <v>0</v>
      </c>
      <c r="G24" s="67"/>
      <c r="H24" s="67"/>
      <c r="I24" s="67"/>
      <c r="J24" s="67"/>
      <c r="K24" s="67"/>
      <c r="L24" s="67"/>
      <c r="M24" s="153">
        <f t="shared" si="2"/>
        <v>0</v>
      </c>
      <c r="N24" s="153">
        <f t="shared" si="0"/>
        <v>0</v>
      </c>
      <c r="O24" s="153">
        <f t="shared" si="3"/>
        <v>0</v>
      </c>
      <c r="P24" s="153">
        <f t="shared" si="4"/>
        <v>0</v>
      </c>
      <c r="Q24" s="168"/>
      <c r="R24" s="168"/>
      <c r="S24" s="169"/>
    </row>
    <row r="25" spans="1:19" s="235" customFormat="1" ht="19.95" customHeight="1">
      <c r="A25" s="60" t="s">
        <v>71</v>
      </c>
      <c r="B25" s="231">
        <f t="shared" ref="B25:P25" si="5">SUM(B15:B24)</f>
        <v>0</v>
      </c>
      <c r="C25" s="231">
        <f t="shared" si="5"/>
        <v>0</v>
      </c>
      <c r="D25" s="231">
        <f t="shared" si="5"/>
        <v>0</v>
      </c>
      <c r="E25" s="231">
        <f t="shared" si="5"/>
        <v>0</v>
      </c>
      <c r="F25" s="231">
        <f>SUM(F15:F24)</f>
        <v>0</v>
      </c>
      <c r="G25" s="231">
        <f t="shared" si="5"/>
        <v>0</v>
      </c>
      <c r="H25" s="231">
        <f t="shared" si="5"/>
        <v>0</v>
      </c>
      <c r="I25" s="231">
        <f t="shared" si="5"/>
        <v>0</v>
      </c>
      <c r="J25" s="231">
        <f t="shared" si="5"/>
        <v>0</v>
      </c>
      <c r="K25" s="231">
        <f t="shared" si="5"/>
        <v>0</v>
      </c>
      <c r="L25" s="231">
        <f t="shared" si="5"/>
        <v>0</v>
      </c>
      <c r="M25" s="231">
        <f t="shared" si="5"/>
        <v>0</v>
      </c>
      <c r="N25" s="231">
        <f t="shared" si="5"/>
        <v>0</v>
      </c>
      <c r="O25" s="231">
        <f t="shared" si="5"/>
        <v>0</v>
      </c>
      <c r="P25" s="231">
        <f t="shared" si="5"/>
        <v>0</v>
      </c>
      <c r="Q25" s="232"/>
      <c r="R25" s="233"/>
      <c r="S25" s="234"/>
    </row>
    <row r="26" spans="1:19" s="13" customFormat="1" ht="19.95" customHeight="1">
      <c r="A26" s="61" t="s">
        <v>58</v>
      </c>
      <c r="B26" s="19"/>
      <c r="C26" s="19"/>
      <c r="D26" s="19"/>
      <c r="E26" s="19"/>
      <c r="F26" s="19"/>
      <c r="G26" s="20"/>
      <c r="H26" s="20"/>
      <c r="I26" s="20"/>
      <c r="J26" s="20"/>
      <c r="K26" s="20"/>
      <c r="L26" s="20"/>
      <c r="M26" s="20"/>
      <c r="N26" s="20"/>
      <c r="O26" s="20"/>
      <c r="P26" s="20"/>
      <c r="Q26" s="20"/>
    </row>
    <row r="27" spans="1:19" s="17" customFormat="1" ht="19.95" customHeight="1">
      <c r="A27" s="226" t="s">
        <v>278</v>
      </c>
      <c r="B27" s="77"/>
      <c r="C27" s="77"/>
      <c r="D27" s="21"/>
      <c r="E27" s="21"/>
      <c r="F27" s="19"/>
      <c r="G27" s="19"/>
      <c r="H27" s="19"/>
      <c r="I27" s="21"/>
      <c r="J27" s="19"/>
      <c r="K27" s="19"/>
      <c r="L27" s="19"/>
      <c r="M27" s="21"/>
      <c r="N27" s="21"/>
      <c r="O27" s="21"/>
      <c r="P27" s="21"/>
      <c r="Q27" s="21"/>
    </row>
    <row r="28" spans="1:19" s="17" customFormat="1" ht="19.95" customHeight="1">
      <c r="A28" s="226" t="s">
        <v>279</v>
      </c>
      <c r="B28" s="77"/>
      <c r="C28" s="77"/>
      <c r="D28" s="21"/>
      <c r="E28" s="21"/>
      <c r="F28" s="19"/>
      <c r="G28" s="19"/>
      <c r="H28" s="19"/>
      <c r="I28" s="21"/>
      <c r="J28" s="19"/>
      <c r="K28" s="19"/>
      <c r="L28" s="19"/>
      <c r="M28" s="21"/>
      <c r="N28" s="21"/>
      <c r="O28" s="21"/>
      <c r="P28" s="21"/>
      <c r="Q28" s="21"/>
    </row>
    <row r="29" spans="1:19" s="17" customFormat="1" ht="19.95" customHeight="1">
      <c r="A29" s="226" t="s">
        <v>280</v>
      </c>
      <c r="B29" s="77"/>
      <c r="C29" s="77"/>
      <c r="D29" s="21"/>
      <c r="E29" s="21"/>
      <c r="F29" s="19"/>
      <c r="G29" s="19"/>
      <c r="H29" s="19"/>
      <c r="I29" s="21"/>
      <c r="J29" s="19"/>
      <c r="K29" s="19"/>
      <c r="L29" s="19"/>
      <c r="M29" s="21"/>
      <c r="N29" s="21"/>
      <c r="O29" s="21"/>
      <c r="P29" s="21"/>
      <c r="Q29" s="21"/>
    </row>
    <row r="30" spans="1:19" s="17" customFormat="1" ht="19.95" customHeight="1">
      <c r="A30" s="226" t="s">
        <v>281</v>
      </c>
      <c r="B30" s="77"/>
      <c r="C30" s="77"/>
      <c r="D30" s="21"/>
      <c r="E30" s="21"/>
      <c r="F30" s="19"/>
      <c r="G30" s="19"/>
      <c r="H30" s="19"/>
      <c r="I30" s="21"/>
      <c r="J30" s="19"/>
      <c r="K30" s="19"/>
      <c r="L30" s="19"/>
      <c r="M30" s="21"/>
      <c r="N30" s="21"/>
      <c r="O30" s="21"/>
      <c r="P30" s="21"/>
      <c r="Q30" s="21"/>
    </row>
    <row r="31" spans="1:19" s="17" customFormat="1" ht="19.95" customHeight="1">
      <c r="A31" s="226" t="s">
        <v>282</v>
      </c>
      <c r="B31" s="77"/>
      <c r="C31" s="77"/>
      <c r="D31" s="21"/>
      <c r="E31" s="21"/>
      <c r="F31" s="19"/>
      <c r="G31" s="19"/>
      <c r="H31" s="19"/>
      <c r="I31" s="21"/>
      <c r="J31" s="19"/>
      <c r="K31" s="19"/>
      <c r="L31" s="19"/>
      <c r="M31" s="21"/>
      <c r="N31" s="21"/>
      <c r="O31" s="21"/>
      <c r="P31" s="21"/>
      <c r="Q31" s="21"/>
    </row>
    <row r="32" spans="1:19" s="17" customFormat="1" ht="19.95" customHeight="1">
      <c r="A32" s="226" t="s">
        <v>283</v>
      </c>
      <c r="B32" s="77"/>
      <c r="C32" s="77"/>
      <c r="D32" s="21"/>
      <c r="E32" s="21"/>
      <c r="F32" s="19"/>
      <c r="G32" s="19"/>
      <c r="H32" s="19"/>
      <c r="I32" s="21"/>
      <c r="J32" s="19"/>
      <c r="K32" s="19"/>
      <c r="L32" s="19"/>
      <c r="M32" s="21"/>
      <c r="N32" s="21"/>
      <c r="O32" s="21"/>
      <c r="P32" s="21"/>
      <c r="Q32" s="21"/>
    </row>
    <row r="33" spans="1:17" s="17" customFormat="1" ht="19.95" customHeight="1">
      <c r="A33" s="226" t="s">
        <v>284</v>
      </c>
      <c r="B33" s="77"/>
      <c r="C33" s="77"/>
      <c r="D33" s="21"/>
      <c r="E33" s="21"/>
      <c r="F33" s="19"/>
      <c r="G33" s="19"/>
      <c r="H33" s="19"/>
      <c r="I33" s="21"/>
      <c r="J33" s="19"/>
      <c r="K33" s="19"/>
      <c r="L33" s="19"/>
      <c r="M33" s="21"/>
      <c r="N33" s="21"/>
      <c r="O33" s="21"/>
      <c r="P33" s="21"/>
      <c r="Q33" s="21"/>
    </row>
    <row r="34" spans="1:17" s="17" customFormat="1" ht="19.95" customHeight="1">
      <c r="A34" s="62" t="s">
        <v>59</v>
      </c>
      <c r="B34" s="21"/>
      <c r="C34" s="21"/>
      <c r="D34" s="21"/>
      <c r="E34" s="21"/>
      <c r="F34" s="21"/>
      <c r="G34" s="21"/>
      <c r="H34" s="21"/>
      <c r="I34" s="21"/>
      <c r="J34" s="21"/>
      <c r="K34" s="21"/>
      <c r="L34" s="21"/>
      <c r="M34" s="21"/>
      <c r="N34" s="21"/>
      <c r="O34" s="21"/>
      <c r="P34" s="21"/>
      <c r="Q34" s="21"/>
    </row>
    <row r="35" spans="1:17" s="17" customFormat="1" ht="19.95" customHeight="1">
      <c r="A35" s="21"/>
      <c r="B35" s="21"/>
      <c r="C35" s="21"/>
      <c r="D35" s="21"/>
      <c r="E35" s="21"/>
      <c r="F35" s="21"/>
      <c r="G35" s="21"/>
      <c r="H35" s="21"/>
      <c r="I35" s="21"/>
      <c r="J35" s="21"/>
      <c r="K35" s="21"/>
      <c r="L35" s="21"/>
      <c r="M35" s="21"/>
      <c r="N35" s="21"/>
      <c r="O35" s="21"/>
      <c r="P35" s="21"/>
      <c r="Q35" s="21"/>
    </row>
    <row r="36" spans="1:17" s="43" customFormat="1" ht="18" customHeight="1">
      <c r="Q36" s="44"/>
    </row>
    <row r="37" spans="1:17" s="43" customFormat="1" ht="18" customHeight="1">
      <c r="Q37" s="44"/>
    </row>
    <row r="38" spans="1:17" s="43" customFormat="1" ht="18" customHeight="1">
      <c r="A38" s="45" t="s">
        <v>16</v>
      </c>
      <c r="Q38" s="44"/>
    </row>
    <row r="39" spans="1:17" s="43" customFormat="1" ht="13.8">
      <c r="A39" s="40" t="s">
        <v>180</v>
      </c>
      <c r="Q39" s="44"/>
    </row>
    <row r="40" spans="1:17" s="43" customFormat="1" ht="13.8">
      <c r="A40" s="40" t="s">
        <v>181</v>
      </c>
      <c r="Q40" s="44"/>
    </row>
    <row r="41" spans="1:17" s="43" customFormat="1" ht="13.8">
      <c r="A41" s="40" t="s">
        <v>182</v>
      </c>
      <c r="Q41" s="44"/>
    </row>
    <row r="42" spans="1:17">
      <c r="A42" s="40" t="s">
        <v>183</v>
      </c>
    </row>
    <row r="43" spans="1:17">
      <c r="A43" s="40" t="s">
        <v>184</v>
      </c>
    </row>
    <row r="44" spans="1:17">
      <c r="A44" s="40" t="s">
        <v>185</v>
      </c>
    </row>
    <row r="45" spans="1:17">
      <c r="A45" s="40" t="s">
        <v>186</v>
      </c>
    </row>
    <row r="46" spans="1:17">
      <c r="A46" s="40" t="s">
        <v>187</v>
      </c>
    </row>
    <row r="47" spans="1:17">
      <c r="A47" s="40" t="s">
        <v>188</v>
      </c>
    </row>
    <row r="48" spans="1:17">
      <c r="A48" s="40" t="s">
        <v>189</v>
      </c>
    </row>
    <row r="49" spans="1:17" s="43" customFormat="1" ht="14.25" customHeight="1">
      <c r="A49" s="40" t="s">
        <v>190</v>
      </c>
      <c r="Q49" s="44"/>
    </row>
    <row r="50" spans="1:17" s="43" customFormat="1" ht="14.25" customHeight="1">
      <c r="A50" s="40" t="s">
        <v>175</v>
      </c>
      <c r="Q50" s="44"/>
    </row>
    <row r="51" spans="1:17" s="43" customFormat="1" ht="14.25" customHeight="1">
      <c r="A51" s="40" t="s">
        <v>176</v>
      </c>
      <c r="Q51" s="44"/>
    </row>
    <row r="52" spans="1:17" s="43" customFormat="1" ht="14.25" customHeight="1">
      <c r="A52" s="40" t="s">
        <v>177</v>
      </c>
      <c r="Q52" s="44"/>
    </row>
    <row r="53" spans="1:17" s="43" customFormat="1" ht="14.25" customHeight="1">
      <c r="A53" s="40" t="s">
        <v>178</v>
      </c>
      <c r="Q53" s="44"/>
    </row>
    <row r="54" spans="1:17" s="43" customFormat="1" ht="14.25" customHeight="1">
      <c r="A54" s="40" t="s">
        <v>179</v>
      </c>
      <c r="Q54" s="44"/>
    </row>
    <row r="55" spans="1:17" s="43" customFormat="1" ht="13.8">
      <c r="A55" s="170" t="s">
        <v>173</v>
      </c>
      <c r="Q55" s="44"/>
    </row>
    <row r="56" spans="1:17">
      <c r="A56" s="170" t="s">
        <v>174</v>
      </c>
    </row>
    <row r="57" spans="1:17">
      <c r="A57" s="170"/>
    </row>
    <row r="58" spans="1:17">
      <c r="A58" s="159"/>
    </row>
    <row r="59" spans="1:17">
      <c r="A59" s="159"/>
    </row>
  </sheetData>
  <mergeCells count="25">
    <mergeCell ref="N13:N14"/>
    <mergeCell ref="O13:O14"/>
    <mergeCell ref="C13:C14"/>
    <mergeCell ref="P13:P14"/>
    <mergeCell ref="B12:F12"/>
    <mergeCell ref="G12:H12"/>
    <mergeCell ref="I12:J12"/>
    <mergeCell ref="K12:L12"/>
    <mergeCell ref="M12:P12"/>
    <mergeCell ref="A1:S1"/>
    <mergeCell ref="A2:S2"/>
    <mergeCell ref="Q12:Q14"/>
    <mergeCell ref="R12:R14"/>
    <mergeCell ref="S12:S14"/>
    <mergeCell ref="F13:F14"/>
    <mergeCell ref="G13:G14"/>
    <mergeCell ref="H13:H14"/>
    <mergeCell ref="I13:I14"/>
    <mergeCell ref="D13:E13"/>
    <mergeCell ref="B13:B14"/>
    <mergeCell ref="J13:J14"/>
    <mergeCell ref="K13:K14"/>
    <mergeCell ref="L13:L14"/>
    <mergeCell ref="M13:M14"/>
    <mergeCell ref="A12:A14"/>
  </mergeCells>
  <phoneticPr fontId="17" type="noConversion"/>
  <dataValidations count="1">
    <dataValidation type="list" allowBlank="1" showInputMessage="1" showErrorMessage="1" sqref="R15:R25">
      <formula1>"√,X"</formula1>
    </dataValidation>
  </dataValidations>
  <hyperlinks>
    <hyperlink ref="S3" location="底稿目录!A1" display="底稿目录!A1"/>
  </hyperlinks>
  <printOptions horizontalCentered="1"/>
  <pageMargins left="0.70866141732283472" right="0.70866141732283472" top="0.74803149606299213" bottom="0.74803149606299213" header="0.31496062992125984" footer="0.31496062992125984"/>
  <pageSetup paperSize="9" scale="57" orientation="landscape" blackAndWhite="1" r:id="rId1"/>
  <headerFooter>
    <oddFooter>&amp;C&amp;P/&amp;N</oddFooter>
  </headerFooter>
  <ignoredErrors>
    <ignoredError sqref="D3:K4 A3" unlocked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J27"/>
  <sheetViews>
    <sheetView view="pageBreakPreview" zoomScaleNormal="100" zoomScaleSheetLayoutView="100" workbookViewId="0">
      <selection sqref="A1:J1"/>
    </sheetView>
  </sheetViews>
  <sheetFormatPr defaultRowHeight="15.6"/>
  <cols>
    <col min="1" max="1" width="14.09765625" customWidth="1"/>
    <col min="2" max="3" width="14.796875" customWidth="1"/>
    <col min="4" max="4" width="13.3984375" customWidth="1"/>
    <col min="5" max="5" width="13" customWidth="1"/>
    <col min="7" max="7" width="10" customWidth="1"/>
    <col min="8" max="8" width="10.69921875" customWidth="1"/>
    <col min="10" max="10" width="13.59765625" customWidth="1"/>
  </cols>
  <sheetData>
    <row r="1" spans="1:10" ht="19.95" customHeight="1">
      <c r="A1" s="250" t="s">
        <v>45</v>
      </c>
      <c r="B1" s="250"/>
      <c r="C1" s="250"/>
      <c r="D1" s="250"/>
      <c r="E1" s="250"/>
      <c r="F1" s="250"/>
      <c r="G1" s="250"/>
      <c r="H1" s="250"/>
      <c r="I1" s="250"/>
      <c r="J1" s="250"/>
    </row>
    <row r="2" spans="1:10" ht="19.95" customHeight="1">
      <c r="A2" s="251" t="s">
        <v>139</v>
      </c>
      <c r="B2" s="251"/>
      <c r="C2" s="251"/>
      <c r="D2" s="251"/>
      <c r="E2" s="251"/>
      <c r="F2" s="251"/>
      <c r="G2" s="251"/>
      <c r="H2" s="251"/>
      <c r="I2" s="251"/>
      <c r="J2" s="251"/>
    </row>
    <row r="3" spans="1:10" ht="19.95" customHeight="1">
      <c r="A3" s="5" t="s">
        <v>171</v>
      </c>
      <c r="B3" s="5"/>
      <c r="C3" s="5" t="str">
        <f>底稿目录!A4</f>
        <v>编制人：</v>
      </c>
      <c r="E3" s="5" t="str">
        <f>底稿目录!A5</f>
        <v>编制日期：</v>
      </c>
      <c r="F3" s="5"/>
      <c r="H3" s="163"/>
      <c r="I3" s="214" t="s">
        <v>0</v>
      </c>
      <c r="J3" s="215" t="str">
        <f>底稿目录!F8</f>
        <v>M3-3</v>
      </c>
    </row>
    <row r="4" spans="1:10" ht="19.95" customHeight="1">
      <c r="A4" s="5" t="s">
        <v>170</v>
      </c>
      <c r="B4" s="5"/>
      <c r="C4" s="5" t="str">
        <f>底稿目录!A6</f>
        <v>复核人：</v>
      </c>
      <c r="E4" s="5" t="str">
        <f>底稿目录!A7</f>
        <v>复核日期：</v>
      </c>
      <c r="F4" s="5"/>
      <c r="H4" s="5"/>
      <c r="I4" s="214" t="s">
        <v>251</v>
      </c>
      <c r="J4" s="160"/>
    </row>
    <row r="5" spans="1:10" ht="32.4" customHeight="1">
      <c r="A5" s="117" t="s">
        <v>131</v>
      </c>
      <c r="B5" s="155" t="s">
        <v>132</v>
      </c>
      <c r="C5" s="218" t="s">
        <v>160</v>
      </c>
      <c r="D5" s="218" t="s">
        <v>133</v>
      </c>
      <c r="E5" s="118" t="s">
        <v>134</v>
      </c>
      <c r="F5" s="219" t="s">
        <v>135</v>
      </c>
      <c r="G5" s="118" t="s">
        <v>136</v>
      </c>
      <c r="H5" s="118" t="s">
        <v>137</v>
      </c>
      <c r="I5" s="118" t="s">
        <v>138</v>
      </c>
      <c r="J5" s="118" t="s">
        <v>75</v>
      </c>
    </row>
    <row r="6" spans="1:10" ht="19.95" customHeight="1">
      <c r="A6" s="119"/>
      <c r="B6" s="119"/>
      <c r="C6" s="119"/>
      <c r="D6" s="119"/>
      <c r="E6" s="119"/>
      <c r="F6" s="119"/>
      <c r="G6" s="119"/>
      <c r="H6" s="119"/>
      <c r="I6" s="119"/>
      <c r="J6" s="119"/>
    </row>
    <row r="7" spans="1:10" ht="19.95" customHeight="1">
      <c r="A7" s="120"/>
      <c r="B7" s="119"/>
      <c r="C7" s="119"/>
      <c r="D7" s="119"/>
      <c r="E7" s="119"/>
      <c r="F7" s="119"/>
      <c r="G7" s="119"/>
      <c r="H7" s="119"/>
      <c r="I7" s="119"/>
      <c r="J7" s="119"/>
    </row>
    <row r="8" spans="1:10" ht="19.95" customHeight="1">
      <c r="A8" s="121"/>
      <c r="B8" s="119"/>
      <c r="C8" s="119"/>
      <c r="D8" s="119"/>
      <c r="E8" s="119"/>
      <c r="F8" s="119"/>
      <c r="G8" s="119"/>
      <c r="H8" s="119"/>
      <c r="I8" s="119"/>
      <c r="J8" s="119"/>
    </row>
    <row r="9" spans="1:10" ht="19.95" customHeight="1">
      <c r="A9" s="121"/>
      <c r="B9" s="119"/>
      <c r="C9" s="119"/>
      <c r="D9" s="119"/>
      <c r="E9" s="119"/>
      <c r="F9" s="119"/>
      <c r="G9" s="119"/>
      <c r="H9" s="119"/>
      <c r="I9" s="119"/>
      <c r="J9" s="119"/>
    </row>
    <row r="10" spans="1:10" ht="19.95" customHeight="1">
      <c r="A10" s="121"/>
      <c r="B10" s="119"/>
      <c r="C10" s="119"/>
      <c r="D10" s="119"/>
      <c r="E10" s="119"/>
      <c r="F10" s="119"/>
      <c r="G10" s="119"/>
      <c r="H10" s="119"/>
      <c r="I10" s="119"/>
      <c r="J10" s="119"/>
    </row>
    <row r="11" spans="1:10" ht="19.95" customHeight="1">
      <c r="A11" s="122"/>
      <c r="B11" s="119"/>
      <c r="C11" s="119"/>
      <c r="D11" s="119"/>
      <c r="E11" s="119"/>
      <c r="F11" s="119"/>
      <c r="G11" s="119"/>
      <c r="H11" s="119"/>
      <c r="I11" s="119"/>
      <c r="J11" s="119"/>
    </row>
    <row r="12" spans="1:10" ht="19.95" customHeight="1">
      <c r="A12" s="121"/>
      <c r="B12" s="119"/>
      <c r="C12" s="119"/>
      <c r="D12" s="119"/>
      <c r="E12" s="119"/>
      <c r="F12" s="119"/>
      <c r="G12" s="119"/>
      <c r="H12" s="119"/>
      <c r="I12" s="119"/>
      <c r="J12" s="119"/>
    </row>
    <row r="13" spans="1:10" ht="19.95" customHeight="1">
      <c r="A13" s="121"/>
      <c r="B13" s="119"/>
      <c r="C13" s="119"/>
      <c r="D13" s="119"/>
      <c r="E13" s="119"/>
      <c r="F13" s="119"/>
      <c r="G13" s="119"/>
      <c r="H13" s="119"/>
      <c r="I13" s="119"/>
      <c r="J13" s="119"/>
    </row>
    <row r="14" spans="1:10" ht="19.95" customHeight="1">
      <c r="A14" s="121"/>
      <c r="B14" s="119"/>
      <c r="C14" s="119"/>
      <c r="D14" s="119"/>
      <c r="E14" s="119"/>
      <c r="F14" s="119"/>
      <c r="G14" s="119"/>
      <c r="H14" s="119"/>
      <c r="I14" s="119"/>
      <c r="J14" s="119"/>
    </row>
    <row r="15" spans="1:10" ht="19.95" customHeight="1">
      <c r="A15" s="121"/>
      <c r="B15" s="119"/>
      <c r="C15" s="119"/>
      <c r="D15" s="119"/>
      <c r="E15" s="119"/>
      <c r="F15" s="119"/>
      <c r="G15" s="119"/>
      <c r="H15" s="119"/>
      <c r="I15" s="119"/>
      <c r="J15" s="119"/>
    </row>
    <row r="16" spans="1:10" ht="19.95" customHeight="1">
      <c r="A16" s="121"/>
      <c r="B16" s="119"/>
      <c r="C16" s="119"/>
      <c r="D16" s="119"/>
      <c r="E16" s="119"/>
      <c r="F16" s="119"/>
      <c r="G16" s="119"/>
      <c r="H16" s="119"/>
      <c r="I16" s="119"/>
      <c r="J16" s="119"/>
    </row>
    <row r="17" spans="1:10" ht="19.95" customHeight="1">
      <c r="A17" s="121"/>
      <c r="B17" s="119"/>
      <c r="C17" s="119"/>
      <c r="D17" s="119"/>
      <c r="E17" s="119"/>
      <c r="F17" s="119"/>
      <c r="G17" s="119"/>
      <c r="H17" s="119"/>
      <c r="I17" s="119"/>
      <c r="J17" s="119"/>
    </row>
    <row r="18" spans="1:10" ht="19.95" customHeight="1">
      <c r="A18" s="121"/>
      <c r="B18" s="119"/>
      <c r="C18" s="119"/>
      <c r="D18" s="119"/>
      <c r="E18" s="119"/>
      <c r="F18" s="119"/>
      <c r="G18" s="119"/>
      <c r="H18" s="119"/>
      <c r="I18" s="119"/>
      <c r="J18" s="119"/>
    </row>
    <row r="19" spans="1:10" ht="19.95" customHeight="1">
      <c r="A19" s="121"/>
      <c r="B19" s="119"/>
      <c r="C19" s="119"/>
      <c r="D19" s="119"/>
      <c r="E19" s="119"/>
      <c r="F19" s="119"/>
      <c r="G19" s="119"/>
      <c r="H19" s="119"/>
      <c r="I19" s="119"/>
      <c r="J19" s="119"/>
    </row>
    <row r="20" spans="1:10" ht="19.95" customHeight="1">
      <c r="A20" s="121"/>
      <c r="B20" s="119"/>
      <c r="C20" s="119"/>
      <c r="D20" s="119"/>
      <c r="E20" s="119"/>
      <c r="F20" s="119"/>
      <c r="G20" s="119"/>
      <c r="H20" s="119"/>
      <c r="I20" s="119"/>
      <c r="J20" s="119"/>
    </row>
    <row r="21" spans="1:10" ht="19.95" customHeight="1">
      <c r="A21" s="123"/>
      <c r="B21" s="123"/>
      <c r="C21" s="123"/>
      <c r="D21" s="124"/>
      <c r="E21" s="124"/>
      <c r="F21" s="124"/>
      <c r="G21" s="125"/>
      <c r="H21" s="125"/>
      <c r="I21" s="124"/>
      <c r="J21" s="126"/>
    </row>
    <row r="22" spans="1:10" ht="19.95" customHeight="1">
      <c r="A22" s="10"/>
      <c r="B22" s="10"/>
      <c r="C22" s="10"/>
      <c r="D22" s="10"/>
      <c r="E22" s="127"/>
      <c r="F22" s="11"/>
      <c r="G22" s="128"/>
      <c r="H22" s="128"/>
      <c r="I22" s="128"/>
      <c r="J22" s="128"/>
    </row>
    <row r="23" spans="1:10" ht="19.95" customHeight="1">
      <c r="A23" s="129"/>
      <c r="B23" s="129"/>
      <c r="C23" s="129"/>
      <c r="D23" s="129"/>
      <c r="E23" s="129"/>
      <c r="F23" s="129"/>
      <c r="G23" s="129"/>
      <c r="H23" s="129"/>
      <c r="I23" s="129"/>
      <c r="J23" s="129"/>
    </row>
    <row r="24" spans="1:10" ht="19.95" customHeight="1">
      <c r="A24" s="129"/>
      <c r="B24" s="129"/>
      <c r="C24" s="129"/>
      <c r="D24" s="129"/>
      <c r="E24" s="129"/>
      <c r="F24" s="129"/>
      <c r="G24" s="129"/>
      <c r="H24" s="129"/>
      <c r="I24" s="129"/>
      <c r="J24" s="129"/>
    </row>
    <row r="25" spans="1:10" ht="19.95" customHeight="1">
      <c r="A25" s="281"/>
      <c r="B25" s="281"/>
      <c r="C25" s="281"/>
      <c r="D25" s="281"/>
      <c r="E25" s="281"/>
      <c r="F25" s="281"/>
      <c r="G25" s="281"/>
      <c r="H25" s="281"/>
      <c r="I25" s="281"/>
      <c r="J25" s="281"/>
    </row>
    <row r="26" spans="1:10">
      <c r="A26" s="129"/>
      <c r="B26" s="129"/>
      <c r="C26" s="129"/>
      <c r="D26" s="129"/>
      <c r="E26" s="129"/>
      <c r="F26" s="129"/>
      <c r="G26" s="129"/>
      <c r="H26" s="129"/>
      <c r="I26" s="129"/>
      <c r="J26" s="129"/>
    </row>
    <row r="27" spans="1:10">
      <c r="A27" s="129"/>
      <c r="B27" s="129"/>
      <c r="C27" s="129"/>
      <c r="D27" s="129"/>
      <c r="E27" s="129"/>
      <c r="F27" s="129"/>
      <c r="G27" s="129"/>
      <c r="H27" s="129"/>
      <c r="I27" s="129"/>
      <c r="J27" s="129"/>
    </row>
  </sheetData>
  <mergeCells count="3">
    <mergeCell ref="A1:J1"/>
    <mergeCell ref="A2:J2"/>
    <mergeCell ref="A25:J25"/>
  </mergeCells>
  <phoneticPr fontId="17" type="noConversion"/>
  <dataValidations count="1">
    <dataValidation type="list" allowBlank="1" showInputMessage="1" showErrorMessage="1" sqref="B6:C20">
      <formula1>"账项调整,报表调整,其他"</formula1>
    </dataValidation>
  </dataValidations>
  <hyperlinks>
    <hyperlink ref="J3" location="底稿目录!A1" display="底稿目录!A1"/>
  </hyperlinks>
  <pageMargins left="0.70866141732283472" right="0.70866141732283472" top="0.74803149606299213" bottom="0.74803149606299213" header="0.31496062992125984" footer="0.31496062992125984"/>
  <pageSetup paperSize="9" orientation="landscape" blackAndWhite="1" r:id="rId1"/>
  <headerFooter>
    <oddFooter>&amp;C&amp;P/&amp;N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G25"/>
  <sheetViews>
    <sheetView view="pageBreakPreview" zoomScaleNormal="100" zoomScaleSheetLayoutView="100" workbookViewId="0">
      <selection sqref="A1:G1"/>
    </sheetView>
  </sheetViews>
  <sheetFormatPr defaultColWidth="9" defaultRowHeight="15.6"/>
  <cols>
    <col min="1" max="1" width="22.69921875" style="17" customWidth="1"/>
    <col min="2" max="7" width="16.5" style="17" customWidth="1"/>
    <col min="8" max="16384" width="9" style="17"/>
  </cols>
  <sheetData>
    <row r="1" spans="1:7" s="64" customFormat="1" ht="19.95" customHeight="1">
      <c r="A1" s="265" t="s">
        <v>45</v>
      </c>
      <c r="B1" s="265"/>
      <c r="C1" s="265"/>
      <c r="D1" s="265"/>
      <c r="E1" s="265"/>
      <c r="F1" s="265"/>
      <c r="G1" s="265"/>
    </row>
    <row r="2" spans="1:7" s="64" customFormat="1" ht="19.95" customHeight="1">
      <c r="A2" s="266" t="s">
        <v>61</v>
      </c>
      <c r="B2" s="266"/>
      <c r="C2" s="266"/>
      <c r="D2" s="266"/>
      <c r="E2" s="266"/>
      <c r="F2" s="266"/>
      <c r="G2" s="266"/>
    </row>
    <row r="3" spans="1:7" s="13" customFormat="1" ht="19.95" customHeight="1">
      <c r="A3" s="5" t="str">
        <f>底稿目录!A2</f>
        <v>被审计单位：</v>
      </c>
      <c r="C3" s="6" t="str">
        <f>底稿目录!A4</f>
        <v>编制人：</v>
      </c>
      <c r="E3" s="82" t="str">
        <f>底稿目录!A5</f>
        <v>编制日期：</v>
      </c>
      <c r="F3" s="26" t="s">
        <v>0</v>
      </c>
      <c r="G3" s="215" t="str">
        <f>底稿目录!F9</f>
        <v>M3-4</v>
      </c>
    </row>
    <row r="4" spans="1:7" s="13" customFormat="1" ht="19.95" customHeight="1">
      <c r="A4" s="5" t="str">
        <f>底稿目录!A3</f>
        <v>截止日：202X年12月31日</v>
      </c>
      <c r="C4" s="6" t="str">
        <f>底稿目录!A6</f>
        <v>复核人：</v>
      </c>
      <c r="E4" s="82" t="str">
        <f>底稿目录!A7</f>
        <v>复核日期：</v>
      </c>
      <c r="F4" s="26" t="s">
        <v>252</v>
      </c>
      <c r="G4" s="21"/>
    </row>
    <row r="5" spans="1:7" s="52" customFormat="1" ht="19.95" customHeight="1">
      <c r="A5" s="50" t="s">
        <v>62</v>
      </c>
      <c r="B5" s="51"/>
      <c r="F5" s="53"/>
    </row>
    <row r="6" spans="1:7" s="52" customFormat="1" ht="19.95" customHeight="1">
      <c r="A6" s="159" t="s">
        <v>172</v>
      </c>
      <c r="B6" s="56"/>
      <c r="F6" s="53"/>
    </row>
    <row r="7" spans="1:7" s="52" customFormat="1" ht="19.95" customHeight="1">
      <c r="A7" s="57" t="s">
        <v>57</v>
      </c>
      <c r="F7" s="58"/>
    </row>
    <row r="8" spans="1:7" s="13" customFormat="1" ht="19.95" customHeight="1">
      <c r="A8" s="282" t="s">
        <v>63</v>
      </c>
      <c r="B8" s="282" t="s">
        <v>64</v>
      </c>
      <c r="C8" s="284" t="s">
        <v>65</v>
      </c>
      <c r="D8" s="285"/>
      <c r="E8" s="285"/>
      <c r="F8" s="285"/>
      <c r="G8" s="286"/>
    </row>
    <row r="9" spans="1:7" s="13" customFormat="1" ht="19.95" customHeight="1">
      <c r="A9" s="283"/>
      <c r="B9" s="283"/>
      <c r="C9" s="59" t="s">
        <v>66</v>
      </c>
      <c r="D9" s="59" t="s">
        <v>67</v>
      </c>
      <c r="E9" s="59" t="s">
        <v>68</v>
      </c>
      <c r="F9" s="59" t="s">
        <v>69</v>
      </c>
      <c r="G9" s="59" t="s">
        <v>70</v>
      </c>
    </row>
    <row r="10" spans="1:7" s="13" customFormat="1" ht="19.95" customHeight="1">
      <c r="A10" s="22"/>
      <c r="B10" s="23"/>
      <c r="C10" s="23"/>
      <c r="D10" s="24"/>
      <c r="E10" s="156">
        <f>C10*D10</f>
        <v>0</v>
      </c>
      <c r="F10" s="14"/>
      <c r="G10" s="156">
        <f>E10-F10</f>
        <v>0</v>
      </c>
    </row>
    <row r="11" spans="1:7" s="13" customFormat="1" ht="19.95" customHeight="1">
      <c r="A11" s="22"/>
      <c r="B11" s="23"/>
      <c r="C11" s="23"/>
      <c r="D11" s="24"/>
      <c r="E11" s="156">
        <f>C11*D11</f>
        <v>0</v>
      </c>
      <c r="F11" s="14"/>
      <c r="G11" s="156">
        <f t="shared" ref="G11:G15" si="0">E11-F11</f>
        <v>0</v>
      </c>
    </row>
    <row r="12" spans="1:7" s="13" customFormat="1" ht="19.95" customHeight="1">
      <c r="A12" s="22"/>
      <c r="B12" s="23"/>
      <c r="C12" s="23"/>
      <c r="D12" s="24"/>
      <c r="E12" s="156">
        <f t="shared" ref="E12:E15" si="1">C12*D12</f>
        <v>0</v>
      </c>
      <c r="F12" s="14"/>
      <c r="G12" s="156">
        <f t="shared" si="0"/>
        <v>0</v>
      </c>
    </row>
    <row r="13" spans="1:7" s="13" customFormat="1" ht="19.95" customHeight="1">
      <c r="A13" s="22"/>
      <c r="B13" s="23"/>
      <c r="C13" s="23"/>
      <c r="D13" s="24"/>
      <c r="E13" s="156">
        <f t="shared" si="1"/>
        <v>0</v>
      </c>
      <c r="F13" s="14"/>
      <c r="G13" s="156">
        <f t="shared" si="0"/>
        <v>0</v>
      </c>
    </row>
    <row r="14" spans="1:7" s="13" customFormat="1" ht="19.95" customHeight="1">
      <c r="A14" s="22"/>
      <c r="B14" s="23"/>
      <c r="C14" s="23"/>
      <c r="D14" s="24"/>
      <c r="E14" s="156">
        <f t="shared" si="1"/>
        <v>0</v>
      </c>
      <c r="F14" s="14"/>
      <c r="G14" s="156">
        <f t="shared" si="0"/>
        <v>0</v>
      </c>
    </row>
    <row r="15" spans="1:7" s="13" customFormat="1" ht="19.95" customHeight="1">
      <c r="A15" s="22"/>
      <c r="B15" s="23"/>
      <c r="C15" s="23"/>
      <c r="D15" s="24"/>
      <c r="E15" s="156">
        <f t="shared" si="1"/>
        <v>0</v>
      </c>
      <c r="F15" s="14"/>
      <c r="G15" s="156">
        <f t="shared" si="0"/>
        <v>0</v>
      </c>
    </row>
    <row r="16" spans="1:7" s="25" customFormat="1" ht="19.95" customHeight="1">
      <c r="A16" s="149" t="s">
        <v>71</v>
      </c>
      <c r="B16" s="196"/>
      <c r="C16" s="154">
        <f>SUM(C10:C15)</f>
        <v>0</v>
      </c>
      <c r="D16" s="196"/>
      <c r="E16" s="154">
        <f>SUM(E10:E15)</f>
        <v>0</v>
      </c>
      <c r="F16" s="154">
        <f>SUM(F10:F15)</f>
        <v>0</v>
      </c>
      <c r="G16" s="154">
        <f>SUM(G10:G15)</f>
        <v>0</v>
      </c>
    </row>
    <row r="17" spans="1:7" s="13" customFormat="1" ht="19.95" customHeight="1">
      <c r="A17" s="61" t="s">
        <v>72</v>
      </c>
      <c r="B17" s="20"/>
      <c r="C17" s="20"/>
      <c r="D17" s="20"/>
      <c r="E17" s="20"/>
      <c r="F17" s="20"/>
      <c r="G17" s="20"/>
    </row>
    <row r="18" spans="1:7" ht="19.95" customHeight="1">
      <c r="A18" s="18"/>
      <c r="B18" s="19"/>
      <c r="C18" s="19"/>
      <c r="D18" s="19"/>
      <c r="E18" s="21"/>
      <c r="F18" s="21"/>
      <c r="G18" s="21"/>
    </row>
    <row r="19" spans="1:7" ht="19.95" customHeight="1">
      <c r="A19" s="62" t="s">
        <v>59</v>
      </c>
      <c r="B19" s="21"/>
      <c r="C19" s="21"/>
      <c r="D19" s="21"/>
      <c r="E19" s="21"/>
      <c r="F19" s="21"/>
      <c r="G19" s="21"/>
    </row>
    <row r="20" spans="1:7" ht="19.95" customHeight="1">
      <c r="A20" s="21"/>
      <c r="B20" s="21"/>
      <c r="C20" s="21"/>
      <c r="D20" s="21"/>
      <c r="E20" s="21"/>
      <c r="F20" s="21"/>
      <c r="G20" s="21"/>
    </row>
    <row r="21" spans="1:7" ht="19.95" customHeight="1"/>
    <row r="22" spans="1:7">
      <c r="A22" s="39"/>
    </row>
    <row r="23" spans="1:7">
      <c r="A23" s="40"/>
    </row>
    <row r="24" spans="1:7">
      <c r="A24" s="46"/>
    </row>
    <row r="25" spans="1:7">
      <c r="A25" s="65"/>
    </row>
  </sheetData>
  <mergeCells count="5">
    <mergeCell ref="A1:G1"/>
    <mergeCell ref="A2:G2"/>
    <mergeCell ref="A8:A9"/>
    <mergeCell ref="B8:B9"/>
    <mergeCell ref="C8:G8"/>
  </mergeCells>
  <phoneticPr fontId="17" type="noConversion"/>
  <hyperlinks>
    <hyperlink ref="G3" location="底稿目录!A1" display="底稿目录!A1"/>
  </hyperlinks>
  <printOptions horizontalCentered="1"/>
  <pageMargins left="0.70866141732283472" right="0.70866141732283472" top="0.74803149606299213" bottom="0.74803149606299213" header="0.31496062992125984" footer="0.31496062992125984"/>
  <pageSetup paperSize="9" scale="97" orientation="landscape" blackAndWhite="1"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P35"/>
  <sheetViews>
    <sheetView view="pageBreakPreview" zoomScaleSheetLayoutView="100" workbookViewId="0">
      <selection sqref="A1:P1"/>
    </sheetView>
  </sheetViews>
  <sheetFormatPr defaultColWidth="9" defaultRowHeight="15.6"/>
  <cols>
    <col min="1" max="2" width="9" style="21"/>
    <col min="3" max="3" width="17.69921875" style="21" customWidth="1"/>
    <col min="4" max="4" width="9.59765625" style="21" customWidth="1"/>
    <col min="5" max="6" width="11.3984375" style="21" customWidth="1"/>
    <col min="7" max="7" width="12.796875" style="21" customWidth="1"/>
    <col min="8" max="8" width="21.69921875" style="21" customWidth="1"/>
    <col min="9" max="13" width="4.296875" style="21" customWidth="1"/>
    <col min="14" max="14" width="8.5" style="21" customWidth="1"/>
    <col min="15" max="15" width="7.5" style="21" customWidth="1"/>
    <col min="16" max="16" width="9.69921875" style="21" customWidth="1"/>
    <col min="17" max="16384" width="9" style="21"/>
  </cols>
  <sheetData>
    <row r="1" spans="1:16" s="27" customFormat="1" ht="19.95" customHeight="1">
      <c r="A1" s="291" t="s">
        <v>45</v>
      </c>
      <c r="B1" s="291"/>
      <c r="C1" s="291"/>
      <c r="D1" s="291"/>
      <c r="E1" s="291"/>
      <c r="F1" s="291"/>
      <c r="G1" s="291"/>
      <c r="H1" s="291"/>
      <c r="I1" s="291"/>
      <c r="J1" s="291"/>
      <c r="K1" s="291"/>
      <c r="L1" s="291"/>
      <c r="M1" s="291"/>
      <c r="N1" s="291"/>
      <c r="O1" s="291"/>
      <c r="P1" s="291"/>
    </row>
    <row r="2" spans="1:16" s="27" customFormat="1" ht="19.95" customHeight="1">
      <c r="A2" s="292" t="s">
        <v>249</v>
      </c>
      <c r="B2" s="292"/>
      <c r="C2" s="292"/>
      <c r="D2" s="292"/>
      <c r="E2" s="292"/>
      <c r="F2" s="292"/>
      <c r="G2" s="292"/>
      <c r="H2" s="292"/>
      <c r="I2" s="292"/>
      <c r="J2" s="292"/>
      <c r="K2" s="292"/>
      <c r="L2" s="292"/>
      <c r="M2" s="292"/>
      <c r="N2" s="292"/>
      <c r="O2" s="292"/>
      <c r="P2" s="292"/>
    </row>
    <row r="3" spans="1:16" s="19" customFormat="1" ht="19.95" customHeight="1">
      <c r="A3" s="19" t="str">
        <f>底稿目录!A2</f>
        <v>被审计单位：</v>
      </c>
      <c r="B3" s="28"/>
      <c r="C3" s="28"/>
      <c r="E3" s="28" t="str">
        <f>底稿目录!A4</f>
        <v>编制人：</v>
      </c>
      <c r="F3" s="28"/>
      <c r="H3" s="86" t="str">
        <f>底稿目录!A5</f>
        <v>编制日期：</v>
      </c>
      <c r="M3" s="83"/>
      <c r="N3" s="26"/>
      <c r="O3" s="26" t="s">
        <v>0</v>
      </c>
      <c r="P3" s="215" t="str">
        <f>底稿目录!F10</f>
        <v>M3-5</v>
      </c>
    </row>
    <row r="4" spans="1:16" s="19" customFormat="1" ht="19.95" customHeight="1">
      <c r="A4" s="19" t="str">
        <f>底稿目录!A3</f>
        <v>截止日：202X年12月31日</v>
      </c>
      <c r="B4" s="28"/>
      <c r="C4" s="28"/>
      <c r="E4" s="28" t="str">
        <f>底稿目录!A6</f>
        <v>复核人：</v>
      </c>
      <c r="F4" s="28"/>
      <c r="H4" s="86" t="str">
        <f>底稿目录!A7</f>
        <v>复核日期：</v>
      </c>
      <c r="M4" s="83"/>
      <c r="N4" s="26"/>
      <c r="O4" s="26" t="s">
        <v>251</v>
      </c>
      <c r="P4" s="28"/>
    </row>
    <row r="5" spans="1:16" s="30" customFormat="1" ht="19.95" customHeight="1">
      <c r="A5" s="29" t="s">
        <v>117</v>
      </c>
      <c r="B5" s="29"/>
      <c r="C5" s="29"/>
      <c r="D5" s="29"/>
      <c r="E5" s="29"/>
      <c r="F5" s="29"/>
      <c r="G5" s="29"/>
      <c r="H5" s="29"/>
      <c r="I5" s="29"/>
      <c r="J5" s="29"/>
      <c r="K5" s="29"/>
      <c r="L5" s="29"/>
      <c r="M5" s="29"/>
      <c r="N5" s="29"/>
      <c r="O5" s="29"/>
    </row>
    <row r="6" spans="1:16" s="30" customFormat="1" ht="19.95" customHeight="1">
      <c r="A6" s="187" t="s">
        <v>228</v>
      </c>
      <c r="B6" s="56"/>
      <c r="C6" s="63"/>
      <c r="D6" s="63"/>
      <c r="E6" s="63" t="s">
        <v>229</v>
      </c>
      <c r="F6" s="63"/>
      <c r="G6" s="63"/>
      <c r="H6" s="63"/>
      <c r="I6" s="63"/>
      <c r="J6" s="63"/>
      <c r="K6" s="63"/>
      <c r="L6" s="63"/>
      <c r="M6" s="63"/>
      <c r="N6" s="63"/>
      <c r="O6" s="63"/>
    </row>
    <row r="7" spans="1:16" s="30" customFormat="1" ht="19.95" customHeight="1">
      <c r="A7" s="187" t="s">
        <v>230</v>
      </c>
      <c r="B7" s="56"/>
      <c r="C7" s="63"/>
      <c r="D7" s="63"/>
      <c r="E7" s="63"/>
      <c r="F7" s="63"/>
      <c r="G7" s="63"/>
      <c r="H7" s="63"/>
      <c r="I7" s="63"/>
      <c r="J7" s="63"/>
      <c r="K7" s="63"/>
      <c r="L7" s="63"/>
      <c r="M7" s="63"/>
      <c r="N7" s="63"/>
      <c r="O7" s="63"/>
    </row>
    <row r="8" spans="1:16" s="30" customFormat="1" ht="19.95" customHeight="1">
      <c r="A8" s="186" t="s">
        <v>227</v>
      </c>
      <c r="B8" s="31"/>
      <c r="C8" s="31"/>
      <c r="D8" s="32"/>
      <c r="E8" s="33"/>
      <c r="F8" s="33"/>
      <c r="G8" s="33"/>
    </row>
    <row r="9" spans="1:16" s="30" customFormat="1" ht="19.95" customHeight="1">
      <c r="A9" s="178" t="s">
        <v>210</v>
      </c>
      <c r="B9" s="31"/>
      <c r="C9" s="31"/>
      <c r="D9" s="32"/>
      <c r="E9" s="33"/>
      <c r="F9" s="33"/>
      <c r="G9" s="33"/>
    </row>
    <row r="10" spans="1:16" s="19" customFormat="1" ht="19.95" customHeight="1">
      <c r="A10" s="289" t="s">
        <v>235</v>
      </c>
      <c r="B10" s="289"/>
      <c r="C10" s="289"/>
      <c r="D10" s="289"/>
      <c r="E10" s="289"/>
      <c r="F10" s="289"/>
      <c r="G10" s="289"/>
      <c r="H10" s="295" t="s">
        <v>240</v>
      </c>
      <c r="I10" s="297" t="s">
        <v>241</v>
      </c>
      <c r="J10" s="298"/>
      <c r="K10" s="298"/>
      <c r="L10" s="298"/>
      <c r="M10" s="298"/>
      <c r="N10" s="290" t="s">
        <v>115</v>
      </c>
      <c r="O10" s="299" t="s">
        <v>253</v>
      </c>
      <c r="P10" s="293" t="s">
        <v>242</v>
      </c>
    </row>
    <row r="11" spans="1:16" s="19" customFormat="1" ht="19.95" customHeight="1">
      <c r="A11" s="216" t="s">
        <v>232</v>
      </c>
      <c r="B11" s="216" t="s">
        <v>233</v>
      </c>
      <c r="C11" s="216" t="s">
        <v>236</v>
      </c>
      <c r="D11" s="216" t="s">
        <v>237</v>
      </c>
      <c r="E11" s="216" t="s">
        <v>234</v>
      </c>
      <c r="F11" s="217" t="s">
        <v>238</v>
      </c>
      <c r="G11" s="217" t="s">
        <v>239</v>
      </c>
      <c r="H11" s="296"/>
      <c r="I11" s="197">
        <v>1</v>
      </c>
      <c r="J11" s="197">
        <v>2</v>
      </c>
      <c r="K11" s="197">
        <v>3</v>
      </c>
      <c r="L11" s="197">
        <v>4</v>
      </c>
      <c r="M11" s="197">
        <v>5</v>
      </c>
      <c r="N11" s="290"/>
      <c r="O11" s="300"/>
      <c r="P11" s="294"/>
    </row>
    <row r="12" spans="1:16" s="19" customFormat="1" ht="19.95" customHeight="1">
      <c r="A12" s="87"/>
      <c r="B12" s="34"/>
      <c r="C12" s="15"/>
      <c r="D12" s="34"/>
      <c r="E12" s="34"/>
      <c r="F12" s="229"/>
      <c r="G12" s="229"/>
      <c r="H12" s="35"/>
      <c r="I12" s="36"/>
      <c r="J12" s="36"/>
      <c r="K12" s="36"/>
      <c r="L12" s="36"/>
      <c r="M12" s="36"/>
      <c r="N12" s="36"/>
      <c r="O12" s="36"/>
      <c r="P12" s="15"/>
    </row>
    <row r="13" spans="1:16" s="19" customFormat="1" ht="19.95" customHeight="1">
      <c r="A13" s="87"/>
      <c r="B13" s="34"/>
      <c r="C13" s="15"/>
      <c r="D13" s="34"/>
      <c r="E13" s="34"/>
      <c r="F13" s="229"/>
      <c r="G13" s="229"/>
      <c r="H13" s="35"/>
      <c r="I13" s="36"/>
      <c r="J13" s="36"/>
      <c r="K13" s="36"/>
      <c r="L13" s="36"/>
      <c r="M13" s="36"/>
      <c r="N13" s="36"/>
      <c r="O13" s="36"/>
      <c r="P13" s="15"/>
    </row>
    <row r="14" spans="1:16" s="19" customFormat="1" ht="19.95" customHeight="1">
      <c r="A14" s="87"/>
      <c r="B14" s="34"/>
      <c r="C14" s="15"/>
      <c r="D14" s="34"/>
      <c r="E14" s="34"/>
      <c r="F14" s="229"/>
      <c r="G14" s="229"/>
      <c r="H14" s="35"/>
      <c r="I14" s="36"/>
      <c r="J14" s="36"/>
      <c r="K14" s="36"/>
      <c r="L14" s="36"/>
      <c r="M14" s="36"/>
      <c r="N14" s="36"/>
      <c r="O14" s="36"/>
      <c r="P14" s="15"/>
    </row>
    <row r="15" spans="1:16" s="19" customFormat="1" ht="19.95" customHeight="1">
      <c r="A15" s="87"/>
      <c r="B15" s="34"/>
      <c r="C15" s="15"/>
      <c r="D15" s="34"/>
      <c r="E15" s="34"/>
      <c r="F15" s="229"/>
      <c r="G15" s="229"/>
      <c r="H15" s="35"/>
      <c r="I15" s="36"/>
      <c r="J15" s="36"/>
      <c r="K15" s="36"/>
      <c r="L15" s="36"/>
      <c r="M15" s="36"/>
      <c r="N15" s="36"/>
      <c r="O15" s="36"/>
      <c r="P15" s="15"/>
    </row>
    <row r="16" spans="1:16" s="19" customFormat="1" ht="19.95" customHeight="1">
      <c r="A16" s="87"/>
      <c r="B16" s="34"/>
      <c r="C16" s="15"/>
      <c r="D16" s="34"/>
      <c r="E16" s="34"/>
      <c r="F16" s="229"/>
      <c r="G16" s="229"/>
      <c r="H16" s="35"/>
      <c r="I16" s="36"/>
      <c r="J16" s="36"/>
      <c r="K16" s="36"/>
      <c r="L16" s="36"/>
      <c r="M16" s="36"/>
      <c r="N16" s="36"/>
      <c r="O16" s="36"/>
      <c r="P16" s="15"/>
    </row>
    <row r="17" spans="1:16" s="19" customFormat="1" ht="19.95" customHeight="1">
      <c r="A17" s="287" t="s">
        <v>231</v>
      </c>
      <c r="B17" s="287"/>
      <c r="C17" s="287"/>
      <c r="D17" s="188"/>
      <c r="E17" s="188"/>
      <c r="F17" s="189">
        <f>SUM(F12:F16)</f>
        <v>0</v>
      </c>
      <c r="G17" s="189">
        <f>SUM(G12:G16)</f>
        <v>0</v>
      </c>
      <c r="H17" s="190"/>
      <c r="I17" s="190"/>
      <c r="J17" s="189"/>
      <c r="K17" s="190"/>
      <c r="L17" s="190"/>
      <c r="M17" s="191"/>
      <c r="N17" s="191"/>
      <c r="O17" s="191"/>
      <c r="P17" s="192"/>
    </row>
    <row r="18" spans="1:16" s="19" customFormat="1" ht="19.95" customHeight="1">
      <c r="A18" s="287" t="s">
        <v>285</v>
      </c>
      <c r="B18" s="287"/>
      <c r="C18" s="287"/>
      <c r="D18" s="188"/>
      <c r="E18" s="188"/>
      <c r="F18" s="190">
        <f>'明细表M3-2'!O25</f>
        <v>0</v>
      </c>
      <c r="G18" s="189">
        <f>'明细表M3-2'!N25</f>
        <v>0</v>
      </c>
      <c r="H18" s="190"/>
      <c r="I18" s="190"/>
      <c r="J18" s="189"/>
      <c r="K18" s="190"/>
      <c r="L18" s="190"/>
      <c r="M18" s="191"/>
      <c r="N18" s="191"/>
      <c r="O18" s="191"/>
      <c r="P18" s="192"/>
    </row>
    <row r="19" spans="1:16" s="19" customFormat="1" ht="19.95" customHeight="1">
      <c r="A19" s="288" t="s">
        <v>286</v>
      </c>
      <c r="B19" s="288"/>
      <c r="C19" s="288"/>
      <c r="D19" s="227"/>
      <c r="E19" s="188"/>
      <c r="F19" s="230" t="e">
        <f>F17/F18</f>
        <v>#DIV/0!</v>
      </c>
      <c r="G19" s="230" t="e">
        <f>G17/G18</f>
        <v>#DIV/0!</v>
      </c>
      <c r="H19" s="190"/>
      <c r="I19" s="190"/>
      <c r="J19" s="189"/>
      <c r="K19" s="190"/>
      <c r="L19" s="190"/>
      <c r="M19" s="191"/>
      <c r="N19" s="191"/>
      <c r="O19" s="191"/>
      <c r="P19" s="192"/>
    </row>
    <row r="20" spans="1:16" s="19" customFormat="1" ht="19.95" customHeight="1">
      <c r="A20" s="228" t="s">
        <v>118</v>
      </c>
      <c r="B20" s="194"/>
      <c r="C20" s="194"/>
      <c r="D20" s="194"/>
      <c r="E20" s="194"/>
      <c r="F20" s="194"/>
      <c r="G20" s="194"/>
      <c r="H20" s="194"/>
      <c r="I20" s="194"/>
      <c r="J20" s="194"/>
      <c r="K20" s="194"/>
      <c r="L20" s="194"/>
      <c r="M20" s="193"/>
      <c r="N20" s="193"/>
      <c r="O20" s="193"/>
      <c r="P20" s="195"/>
    </row>
    <row r="21" spans="1:16" s="19" customFormat="1" ht="19.95" customHeight="1">
      <c r="K21" s="194"/>
      <c r="L21" s="194"/>
      <c r="M21" s="193"/>
      <c r="N21" s="193"/>
      <c r="O21" s="193"/>
      <c r="P21" s="195"/>
    </row>
    <row r="22" spans="1:16" s="19" customFormat="1" ht="19.95" customHeight="1">
      <c r="M22" s="28"/>
      <c r="N22" s="28"/>
      <c r="O22" s="28"/>
      <c r="P22" s="28"/>
    </row>
    <row r="23" spans="1:16" s="19" customFormat="1" ht="19.95" customHeight="1">
      <c r="A23" s="38" t="s">
        <v>119</v>
      </c>
      <c r="K23" s="157"/>
      <c r="L23" s="157"/>
      <c r="M23" s="28"/>
      <c r="N23" s="28"/>
      <c r="O23" s="28"/>
      <c r="P23" s="28"/>
    </row>
    <row r="24" spans="1:16" s="19" customFormat="1" ht="19.95" customHeight="1">
      <c r="M24" s="28"/>
      <c r="N24" s="28"/>
      <c r="O24" s="28"/>
      <c r="P24" s="28"/>
    </row>
    <row r="25" spans="1:16" s="19" customFormat="1" ht="18" customHeight="1">
      <c r="A25" s="37"/>
      <c r="C25" s="28"/>
      <c r="D25" s="28"/>
      <c r="E25" s="28"/>
      <c r="F25" s="28"/>
      <c r="G25" s="28"/>
      <c r="H25" s="28"/>
      <c r="I25" s="28"/>
      <c r="J25" s="28"/>
      <c r="K25" s="28"/>
      <c r="L25" s="28"/>
      <c r="M25" s="28"/>
      <c r="N25" s="28"/>
      <c r="O25" s="28"/>
      <c r="P25" s="28"/>
    </row>
    <row r="26" spans="1:16" s="19" customFormat="1" ht="18" customHeight="1">
      <c r="A26" s="37"/>
      <c r="C26" s="28"/>
      <c r="D26" s="28"/>
      <c r="E26" s="28"/>
      <c r="F26" s="28"/>
      <c r="G26" s="28"/>
      <c r="H26" s="28"/>
      <c r="I26" s="28"/>
      <c r="J26" s="28"/>
      <c r="K26" s="28"/>
      <c r="L26" s="28"/>
      <c r="M26" s="28"/>
      <c r="N26" s="28"/>
      <c r="O26" s="28"/>
      <c r="P26" s="28"/>
    </row>
    <row r="27" spans="1:16" s="19" customFormat="1" ht="18" customHeight="1">
      <c r="A27" s="96"/>
    </row>
    <row r="28" spans="1:16" ht="18" customHeight="1">
      <c r="A28" s="40"/>
      <c r="B28" s="40"/>
    </row>
    <row r="29" spans="1:16" ht="18" customHeight="1">
      <c r="A29" s="41"/>
      <c r="B29" s="41"/>
    </row>
    <row r="30" spans="1:16" ht="18" customHeight="1">
      <c r="A30" s="97"/>
      <c r="B30" s="41"/>
    </row>
    <row r="31" spans="1:16" ht="18" customHeight="1">
      <c r="A31" s="42"/>
      <c r="B31" s="41"/>
    </row>
    <row r="32" spans="1:16" ht="18" customHeight="1">
      <c r="A32" s="42"/>
      <c r="B32" s="41"/>
    </row>
    <row r="33" spans="1:2" ht="18" customHeight="1">
      <c r="A33" s="42"/>
      <c r="B33" s="41"/>
    </row>
    <row r="35" spans="1:2">
      <c r="A35" s="46"/>
    </row>
  </sheetData>
  <mergeCells count="11">
    <mergeCell ref="A1:P1"/>
    <mergeCell ref="A2:P2"/>
    <mergeCell ref="P10:P11"/>
    <mergeCell ref="H10:H11"/>
    <mergeCell ref="I10:M10"/>
    <mergeCell ref="O10:O11"/>
    <mergeCell ref="A18:C18"/>
    <mergeCell ref="A19:C19"/>
    <mergeCell ref="A17:C17"/>
    <mergeCell ref="A10:G10"/>
    <mergeCell ref="N10:N11"/>
  </mergeCells>
  <phoneticPr fontId="17" type="noConversion"/>
  <dataValidations count="2">
    <dataValidation type="list" allowBlank="1" showInputMessage="1" showErrorMessage="1" sqref="I12:M16">
      <formula1>"√,X"</formula1>
    </dataValidation>
    <dataValidation type="list" allowBlank="1" showInputMessage="1" showErrorMessage="1" sqref="C23">
      <formula1>"A：未见异常，可以确认。,B：经审计调整可以确认。,C：由于存在上述重大未调整事项（或审计范围受到限制无法获取充分、适当证据），不可确认。"</formula1>
    </dataValidation>
  </dataValidations>
  <hyperlinks>
    <hyperlink ref="P3" location="底稿目录!A1" display="底稿目录!A1"/>
  </hyperlinks>
  <pageMargins left="0.70866141732283472" right="0.70866141732283472" top="0.74803149606299213" bottom="0.74803149606299213" header="0.31496062992125984" footer="0.31496062992125984"/>
  <pageSetup paperSize="9" scale="82" orientation="landscape" blackAndWhite="1" r:id="rId1"/>
  <headerFooter>
    <oddFooter>&amp;C&amp;P/&amp;N</oddFooter>
  </headerFooter>
  <ignoredErrors>
    <ignoredError sqref="L3:L4 A3:E4" unlocked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92D050"/>
    <pageSetUpPr fitToPage="1"/>
  </sheetPr>
  <dimension ref="A1:A33"/>
  <sheetViews>
    <sheetView view="pageBreakPreview" zoomScale="120" zoomScaleNormal="130" zoomScaleSheetLayoutView="120" workbookViewId="0">
      <selection activeCell="D8" sqref="D8"/>
    </sheetView>
  </sheetViews>
  <sheetFormatPr defaultColWidth="9" defaultRowHeight="12"/>
  <cols>
    <col min="1" max="1" width="73.69921875" style="43" customWidth="1"/>
    <col min="2" max="16384" width="9" style="43"/>
  </cols>
  <sheetData>
    <row r="1" spans="1:1" ht="20.100000000000001" customHeight="1">
      <c r="A1" s="48" t="s">
        <v>47</v>
      </c>
    </row>
    <row r="2" spans="1:1" ht="20.100000000000001" customHeight="1">
      <c r="A2" s="49" t="s">
        <v>1</v>
      </c>
    </row>
    <row r="3" spans="1:1" ht="20.100000000000001" customHeight="1">
      <c r="A3" s="49" t="s">
        <v>2</v>
      </c>
    </row>
    <row r="4" spans="1:1" ht="29.25" customHeight="1">
      <c r="A4" s="49" t="s">
        <v>21</v>
      </c>
    </row>
    <row r="5" spans="1:1" ht="27" customHeight="1">
      <c r="A5" s="49" t="s">
        <v>22</v>
      </c>
    </row>
    <row r="6" spans="1:1" ht="42.75" customHeight="1">
      <c r="A6" s="49" t="s">
        <v>23</v>
      </c>
    </row>
    <row r="7" spans="1:1" ht="28.5" customHeight="1">
      <c r="A7" s="49" t="s">
        <v>112</v>
      </c>
    </row>
    <row r="8" spans="1:1" ht="53.25" customHeight="1">
      <c r="A8" s="49" t="s">
        <v>48</v>
      </c>
    </row>
    <row r="9" spans="1:1" ht="41.25" customHeight="1">
      <c r="A9" s="49" t="s">
        <v>24</v>
      </c>
    </row>
    <row r="10" spans="1:1" ht="20.100000000000001" customHeight="1">
      <c r="A10" s="49" t="s">
        <v>3</v>
      </c>
    </row>
    <row r="11" spans="1:1" ht="20.100000000000001" customHeight="1"/>
    <row r="12" spans="1:1" ht="20.100000000000001" customHeight="1">
      <c r="A12" s="47" t="s">
        <v>150</v>
      </c>
    </row>
    <row r="13" spans="1:1" ht="20.100000000000001" customHeight="1">
      <c r="A13" s="43" t="s">
        <v>254</v>
      </c>
    </row>
    <row r="14" spans="1:1" ht="20.100000000000001" customHeight="1">
      <c r="A14" s="43" t="s">
        <v>145</v>
      </c>
    </row>
    <row r="15" spans="1:1" ht="20.100000000000001" customHeight="1">
      <c r="A15" s="43" t="s">
        <v>146</v>
      </c>
    </row>
    <row r="16" spans="1:1" ht="20.100000000000001" customHeight="1">
      <c r="A16" s="43" t="s">
        <v>147</v>
      </c>
    </row>
    <row r="17" spans="1:1" ht="20.100000000000001" customHeight="1">
      <c r="A17" s="43" t="s">
        <v>148</v>
      </c>
    </row>
    <row r="18" spans="1:1" ht="20.100000000000001" customHeight="1">
      <c r="A18" s="43" t="s">
        <v>255</v>
      </c>
    </row>
    <row r="19" spans="1:1" ht="20.100000000000001" customHeight="1">
      <c r="A19" s="43" t="s">
        <v>149</v>
      </c>
    </row>
    <row r="20" spans="1:1" ht="45" customHeight="1">
      <c r="A20" s="43" t="s">
        <v>256</v>
      </c>
    </row>
    <row r="21" spans="1:1" ht="55.95" customHeight="1">
      <c r="A21" s="43" t="s">
        <v>257</v>
      </c>
    </row>
    <row r="22" spans="1:1" ht="47.55" customHeight="1">
      <c r="A22" s="43" t="s">
        <v>258</v>
      </c>
    </row>
    <row r="23" spans="1:1" ht="20.100000000000001" customHeight="1">
      <c r="A23" s="43" t="s">
        <v>259</v>
      </c>
    </row>
    <row r="24" spans="1:1" ht="20.100000000000001" customHeight="1"/>
    <row r="25" spans="1:1" ht="20.100000000000001" customHeight="1">
      <c r="A25" s="47" t="s">
        <v>260</v>
      </c>
    </row>
    <row r="26" spans="1:1" ht="20.100000000000001" customHeight="1">
      <c r="A26" s="43" t="s">
        <v>25</v>
      </c>
    </row>
    <row r="27" spans="1:1" ht="69" customHeight="1">
      <c r="A27" s="43" t="s">
        <v>49</v>
      </c>
    </row>
    <row r="28" spans="1:1" ht="30" customHeight="1">
      <c r="A28" s="43" t="s">
        <v>50</v>
      </c>
    </row>
    <row r="29" spans="1:1" ht="29.25" customHeight="1">
      <c r="A29" s="43" t="s">
        <v>51</v>
      </c>
    </row>
    <row r="30" spans="1:1" ht="27" customHeight="1">
      <c r="A30" s="43" t="s">
        <v>52</v>
      </c>
    </row>
    <row r="31" spans="1:1" ht="31.5" customHeight="1">
      <c r="A31" s="43" t="s">
        <v>53</v>
      </c>
    </row>
    <row r="32" spans="1:1" ht="27" customHeight="1">
      <c r="A32" s="43" t="s">
        <v>54</v>
      </c>
    </row>
    <row r="33" spans="1:1" ht="20.100000000000001" customHeight="1">
      <c r="A33" s="43" t="s">
        <v>55</v>
      </c>
    </row>
  </sheetData>
  <phoneticPr fontId="17" type="noConversion"/>
  <pageMargins left="0.70866141732283472" right="0.70866141732283472" top="0.74803149606299213" bottom="0.74803149606299213" header="0.31496062992125984" footer="0.31496062992125984"/>
  <pageSetup paperSize="9" scale="54"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B8"/>
  <sheetViews>
    <sheetView workbookViewId="0"/>
  </sheetViews>
  <sheetFormatPr defaultRowHeight="15.6"/>
  <sheetData>
    <row r="1" spans="1:2">
      <c r="A1" t="s">
        <v>28</v>
      </c>
      <c r="B1" t="s">
        <v>29</v>
      </c>
    </row>
    <row r="2" spans="1:2">
      <c r="A2" t="s">
        <v>30</v>
      </c>
      <c r="B2" t="s">
        <v>31</v>
      </c>
    </row>
    <row r="3" spans="1:2">
      <c r="A3" t="s">
        <v>32</v>
      </c>
      <c r="B3" t="s">
        <v>33</v>
      </c>
    </row>
    <row r="4" spans="1:2">
      <c r="A4" t="s">
        <v>34</v>
      </c>
      <c r="B4" t="s">
        <v>35</v>
      </c>
    </row>
    <row r="5" spans="1:2">
      <c r="A5" t="s">
        <v>36</v>
      </c>
      <c r="B5" t="s">
        <v>37</v>
      </c>
    </row>
    <row r="6" spans="1:2">
      <c r="A6" t="s">
        <v>38</v>
      </c>
      <c r="B6" t="s">
        <v>39</v>
      </c>
    </row>
    <row r="7" spans="1:2">
      <c r="A7" t="s">
        <v>40</v>
      </c>
      <c r="B7" t="s">
        <v>41</v>
      </c>
    </row>
    <row r="8" spans="1:2">
      <c r="A8" t="s">
        <v>42</v>
      </c>
      <c r="B8" t="s">
        <v>43</v>
      </c>
    </row>
  </sheetData>
  <phoneticPr fontId="17"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10</vt:i4>
      </vt:variant>
      <vt:variant>
        <vt:lpstr>命名范围</vt:lpstr>
      </vt:variant>
      <vt:variant>
        <vt:i4>7</vt:i4>
      </vt:variant>
    </vt:vector>
  </HeadingPairs>
  <TitlesOfParts>
    <vt:vector size="17" baseType="lpstr">
      <vt:lpstr>底稿目录</vt:lpstr>
      <vt:lpstr> 库存股实质性程序表 M3A</vt:lpstr>
      <vt:lpstr>审定表M3-1</vt:lpstr>
      <vt:lpstr>附注披露信息（上市公司）</vt:lpstr>
      <vt:lpstr>明细表M3-2</vt:lpstr>
      <vt:lpstr>调整分录汇总M3-3</vt:lpstr>
      <vt:lpstr>外币投资汇率测算表M3-4</vt:lpstr>
      <vt:lpstr>库存股检查表M3-5</vt:lpstr>
      <vt:lpstr>参考－会计规定</vt:lpstr>
      <vt:lpstr>GT_Custom</vt:lpstr>
      <vt:lpstr>' 库存股实质性程序表 M3A'!Print_Area</vt:lpstr>
      <vt:lpstr>'附注披露信息（上市公司）'!Print_Area</vt:lpstr>
      <vt:lpstr>'库存股检查表M3-5'!Print_Area</vt:lpstr>
      <vt:lpstr>'明细表M3-2'!Print_Area</vt:lpstr>
      <vt:lpstr>'审定表M3-1'!Print_Area</vt:lpstr>
      <vt:lpstr>'外币投资汇率测算表M3-4'!Print_Area</vt:lpstr>
      <vt:lpstr>' 库存股实质性程序表 M3A'!Print_Titles</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2025-10-23T01:53:21Z</cp:lastPrinted>
  <dcterms:created xsi:type="dcterms:W3CDTF">2007-05-20T08:51:05Z</dcterms:created>
  <dcterms:modified xsi:type="dcterms:W3CDTF">2025-11-05T08:20:50Z</dcterms:modified>
</cp:coreProperties>
</file>