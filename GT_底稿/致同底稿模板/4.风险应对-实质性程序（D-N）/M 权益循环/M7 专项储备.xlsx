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42"/>
  </bookViews>
  <sheets>
    <sheet name="底稿目录" sheetId="1" r:id="rId1"/>
    <sheet name=" 专项储备实质性程序表 M7A " sheetId="22" r:id="rId2"/>
    <sheet name="审定表M7-1" sheetId="12" r:id="rId3"/>
    <sheet name="附注披露信息（上市公司）" sheetId="18" r:id="rId4"/>
    <sheet name="附注披露信息（国有企业）" sheetId="20" r:id="rId5"/>
    <sheet name="明细表M7-2" sheetId="13" r:id="rId6"/>
    <sheet name="调整分录汇总M7-3" sheetId="23" r:id="rId7"/>
    <sheet name="专项储备计提测试表M7-4" sheetId="17" r:id="rId8"/>
    <sheet name="专项储备支出检查表M7-5" sheetId="21" r:id="rId9"/>
    <sheet name="GT_Custom" sheetId="19" state="hidden" r:id="rId10"/>
  </sheets>
  <externalReferences>
    <externalReference r:id="rId11"/>
    <externalReference r:id="rId12"/>
    <externalReference r:id="rId13"/>
  </externalReferences>
  <definedNames>
    <definedName name="_xlnm._FilterDatabase" localSheetId="1" hidden="1">' 专项储备实质性程序表 M7A '!$A$15:$I$15</definedName>
    <definedName name="AFV" localSheetId="1"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D" localSheetId="1" hidden="1">[1]Breakdown!#REF!</definedName>
    <definedName name="FAD" hidden="1">[1]Breakdown!#REF!</definedName>
    <definedName name="FASD" localSheetId="1" hidden="1">#REF!</definedName>
    <definedName name="FASD" hidden="1">#REF!</definedName>
    <definedName name="FEDC" localSheetId="1" hidden="1">'[2]2004'!#REF!</definedName>
    <definedName name="FEDC" hidden="1">'[2]2004'!#REF!</definedName>
    <definedName name="_xlnm.Print_Area" localSheetId="1">' 专项储备实质性程序表 M7A '!$A$1:$I$22</definedName>
    <definedName name="_xlnm.Print_Area" localSheetId="6">'调整分录汇总M7-3'!$A$1:$J$20</definedName>
    <definedName name="_xlnm.Print_Area" localSheetId="4">'附注披露信息（国有企业）'!$A$1:$F$13</definedName>
    <definedName name="_xlnm.Print_Area" localSheetId="3">'附注披露信息（上市公司）'!$A$1:$G$14</definedName>
    <definedName name="_xlnm.Print_Area" localSheetId="5">'明细表M7-2'!$A$1:$R$22</definedName>
    <definedName name="_xlnm.Print_Area" localSheetId="2">'审定表M7-1'!$A$1:$L$27</definedName>
    <definedName name="_xlnm.Print_Area" localSheetId="7">'专项储备计提测试表M7-4'!$A$1:$S$27</definedName>
    <definedName name="_xlnm.Print_Area" localSheetId="8">'专项储备支出检查表M7-5'!$A$1:$P$36</definedName>
    <definedName name="_xlnm.Print_Titles" localSheetId="1">' 专项储备实质性程序表 M7A '!$15:$15</definedName>
    <definedName name="RDES" localSheetId="1" hidden="1">#REF!</definedName>
    <definedName name="RDES" hidden="1">#REF!</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2" localSheetId="1" hidden="1">[1]Breakdown!#REF!</definedName>
    <definedName name="XREF_COLUMN_2" hidden="1">[1]Breakdown!#REF!</definedName>
    <definedName name="XREF_COLUMN_3" localSheetId="1" hidden="1">#REF!</definedName>
    <definedName name="XREF_COLUMN_3" hidden="1">#REF!</definedName>
    <definedName name="XREF_COLUMN_5" localSheetId="1" hidden="1">'[2]2004'!#REF!</definedName>
    <definedName name="XREF_COLUMN_5" hidden="1">'[2]2004'!#REF!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21" l="1"/>
  <c r="D33" i="21" s="1"/>
  <c r="F20" i="21"/>
  <c r="P3" i="21" l="1"/>
  <c r="S3" i="17"/>
  <c r="J3" i="23"/>
  <c r="R3" i="13"/>
  <c r="I3" i="22"/>
  <c r="M3" i="13" l="1"/>
  <c r="G4" i="23" l="1"/>
  <c r="G3" i="23"/>
  <c r="D4" i="23"/>
  <c r="D3" i="23"/>
  <c r="A4" i="23"/>
  <c r="A3" i="23"/>
  <c r="G4" i="21" l="1"/>
  <c r="G4" i="17"/>
  <c r="M4" i="13"/>
  <c r="D4" i="20"/>
  <c r="D4" i="18"/>
  <c r="G4" i="12"/>
  <c r="E4" i="22"/>
  <c r="D4" i="21"/>
  <c r="D4" i="17"/>
  <c r="H4" i="13"/>
  <c r="B4" i="20"/>
  <c r="B4" i="18"/>
  <c r="D4" i="12"/>
  <c r="C4" i="22"/>
  <c r="E3" i="22" l="1"/>
  <c r="C3" i="22"/>
  <c r="A4" i="22"/>
  <c r="A3" i="22"/>
  <c r="C21" i="17"/>
  <c r="B21" i="17"/>
  <c r="G12" i="17"/>
  <c r="H12" i="17" l="1"/>
  <c r="B8" i="12"/>
  <c r="C8" i="12"/>
  <c r="D8" i="12"/>
  <c r="G8" i="12"/>
  <c r="H8" i="12"/>
  <c r="B9" i="12"/>
  <c r="C9" i="12"/>
  <c r="D9" i="12"/>
  <c r="G9" i="12"/>
  <c r="H9" i="12"/>
  <c r="B10" i="12"/>
  <c r="C10" i="12"/>
  <c r="D10" i="12"/>
  <c r="G10" i="12"/>
  <c r="H10" i="12"/>
  <c r="B11" i="12"/>
  <c r="C11" i="12"/>
  <c r="D11" i="12"/>
  <c r="G11" i="12"/>
  <c r="H11" i="12"/>
  <c r="B12" i="12"/>
  <c r="C12" i="12"/>
  <c r="D12" i="12"/>
  <c r="G12" i="12"/>
  <c r="H12" i="12"/>
  <c r="H7" i="12"/>
  <c r="G7" i="12"/>
  <c r="D7" i="12"/>
  <c r="C7" i="12"/>
  <c r="B7" i="12"/>
  <c r="A4" i="21" l="1"/>
  <c r="G3" i="21"/>
  <c r="D3" i="21"/>
  <c r="A3" i="21"/>
  <c r="C17" i="13"/>
  <c r="D17" i="13"/>
  <c r="F17" i="13"/>
  <c r="G17" i="13"/>
  <c r="H17" i="13"/>
  <c r="I17" i="13"/>
  <c r="J17" i="13"/>
  <c r="K17" i="13"/>
  <c r="N10" i="13" l="1"/>
  <c r="N11" i="13"/>
  <c r="N12" i="13"/>
  <c r="N13" i="13"/>
  <c r="N14" i="13"/>
  <c r="N15" i="13"/>
  <c r="N16" i="13"/>
  <c r="M11" i="13"/>
  <c r="M12" i="13"/>
  <c r="M13" i="13"/>
  <c r="M14" i="13"/>
  <c r="M15" i="13"/>
  <c r="M16" i="13"/>
  <c r="M10" i="13"/>
  <c r="L11" i="13"/>
  <c r="L12" i="13"/>
  <c r="L13" i="13"/>
  <c r="E10" i="12" s="1"/>
  <c r="L14" i="13"/>
  <c r="E11" i="12" s="1"/>
  <c r="L15" i="13"/>
  <c r="E12" i="12" s="1"/>
  <c r="L16" i="13"/>
  <c r="L10" i="13"/>
  <c r="E11" i="13"/>
  <c r="F8" i="12" s="1"/>
  <c r="E12" i="13"/>
  <c r="F9" i="12" s="1"/>
  <c r="E13" i="13"/>
  <c r="F10" i="12" s="1"/>
  <c r="E14" i="13"/>
  <c r="F11" i="12" s="1"/>
  <c r="E15" i="13"/>
  <c r="F12" i="12" s="1"/>
  <c r="E16" i="13"/>
  <c r="E10" i="13"/>
  <c r="O12" i="13" l="1"/>
  <c r="I9" i="12" s="1"/>
  <c r="O16" i="13"/>
  <c r="B8" i="20"/>
  <c r="B8" i="18"/>
  <c r="E8" i="12"/>
  <c r="D9" i="18"/>
  <c r="D9" i="20"/>
  <c r="C7" i="20"/>
  <c r="C7" i="18"/>
  <c r="M17" i="13"/>
  <c r="D8" i="20"/>
  <c r="D8" i="18"/>
  <c r="O10" i="13"/>
  <c r="B7" i="18"/>
  <c r="E7" i="12"/>
  <c r="B7" i="20"/>
  <c r="L17" i="13"/>
  <c r="C9" i="20"/>
  <c r="C9" i="18"/>
  <c r="D7" i="20"/>
  <c r="D7" i="18"/>
  <c r="N17" i="13"/>
  <c r="C33" i="21" s="1"/>
  <c r="E33" i="21" s="1"/>
  <c r="F7" i="12"/>
  <c r="E17" i="13"/>
  <c r="O15" i="13"/>
  <c r="I12" i="12" s="1"/>
  <c r="J12" i="12" s="1"/>
  <c r="K12" i="12" s="1"/>
  <c r="E9" i="12"/>
  <c r="B9" i="20"/>
  <c r="B9" i="18"/>
  <c r="C8" i="18"/>
  <c r="C8" i="20"/>
  <c r="O11" i="13"/>
  <c r="I8" i="12" s="1"/>
  <c r="O13" i="13"/>
  <c r="I10" i="12" s="1"/>
  <c r="J10" i="12" s="1"/>
  <c r="K10" i="12" s="1"/>
  <c r="O14" i="13"/>
  <c r="I11" i="12" s="1"/>
  <c r="J11" i="12" s="1"/>
  <c r="K11" i="12" s="1"/>
  <c r="H13" i="12"/>
  <c r="G13" i="12"/>
  <c r="D13" i="12"/>
  <c r="C13" i="12"/>
  <c r="E7" i="18" l="1"/>
  <c r="D10" i="20"/>
  <c r="J9" i="12"/>
  <c r="K9" i="12" s="1"/>
  <c r="B10" i="20"/>
  <c r="E13" i="12"/>
  <c r="E15" i="12" s="1"/>
  <c r="J8" i="12"/>
  <c r="K8" i="12" s="1"/>
  <c r="E9" i="20"/>
  <c r="I7" i="12"/>
  <c r="O17" i="13"/>
  <c r="E7" i="20"/>
  <c r="C10" i="20"/>
  <c r="E8" i="20"/>
  <c r="B13" i="12"/>
  <c r="F13" i="12"/>
  <c r="E10" i="20" l="1"/>
  <c r="J7" i="12"/>
  <c r="K7" i="12" s="1"/>
  <c r="I13" i="12"/>
  <c r="I15" i="12" s="1"/>
  <c r="J13" i="12" l="1"/>
  <c r="K13" i="12" s="1"/>
  <c r="G20" i="17"/>
  <c r="H20" i="17" s="1"/>
  <c r="G19" i="17"/>
  <c r="H19" i="17" s="1"/>
  <c r="G18" i="17"/>
  <c r="H18" i="17" s="1"/>
  <c r="G17" i="17"/>
  <c r="H17" i="17" s="1"/>
  <c r="G16" i="17"/>
  <c r="H16" i="17" s="1"/>
  <c r="G15" i="17"/>
  <c r="H15" i="17" s="1"/>
  <c r="G14" i="17"/>
  <c r="H14" i="17" s="1"/>
  <c r="G13" i="17"/>
  <c r="B17" i="13"/>
  <c r="C10" i="18"/>
  <c r="D10" i="18"/>
  <c r="B10" i="18"/>
  <c r="E8" i="18"/>
  <c r="E9" i="18"/>
  <c r="A4" i="20"/>
  <c r="D3" i="20"/>
  <c r="B3" i="20"/>
  <c r="A3" i="20"/>
  <c r="A4" i="18"/>
  <c r="H13" i="17" l="1"/>
  <c r="H21" i="17" s="1"/>
  <c r="G21" i="17"/>
  <c r="E10" i="18"/>
  <c r="D3" i="18"/>
  <c r="B3" i="18"/>
  <c r="A3" i="18"/>
  <c r="A4" i="17"/>
  <c r="G3" i="17"/>
  <c r="D3" i="17"/>
  <c r="A3" i="17"/>
  <c r="H3" i="13"/>
  <c r="G3" i="12"/>
  <c r="D3" i="12"/>
  <c r="A4" i="13"/>
  <c r="A3" i="13"/>
  <c r="A4" i="12"/>
  <c r="A3" i="1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5"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5"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<sst xmlns="http://schemas.openxmlformats.org/spreadsheetml/2006/main" count="326" uniqueCount="251">
  <si>
    <t>索引号：</t>
  </si>
  <si>
    <t>底稿开列时，可先在以下单元格填写有关内容，以便其他底稿引用有关数据：</t>
    <phoneticPr fontId="18" type="noConversion"/>
  </si>
  <si>
    <t>安全生产费</t>
  </si>
  <si>
    <t>维简费</t>
  </si>
  <si>
    <t>C1</t>
  </si>
  <si>
    <t>Custom 1</t>
  </si>
  <si>
    <t>C2</t>
  </si>
  <si>
    <t>Custom 2</t>
  </si>
  <si>
    <t>C3</t>
  </si>
  <si>
    <t>Custom 3</t>
  </si>
  <si>
    <t>C4</t>
  </si>
  <si>
    <t>Custom 4</t>
  </si>
  <si>
    <t>C5</t>
  </si>
  <si>
    <t>Custom 5</t>
  </si>
  <si>
    <t>C6</t>
  </si>
  <si>
    <t>Custom 6</t>
  </si>
  <si>
    <t>C7</t>
  </si>
  <si>
    <t>Custom 7</t>
  </si>
  <si>
    <t>C8</t>
  </si>
  <si>
    <t>Custom 8</t>
  </si>
  <si>
    <t>内容</t>
  </si>
  <si>
    <r>
      <rPr>
        <sz val="10"/>
        <rFont val="宋体"/>
        <family val="3"/>
        <charset val="134"/>
      </rPr>
      <t>页次：</t>
    </r>
  </si>
  <si>
    <r>
      <rPr>
        <sz val="10"/>
        <rFont val="宋体"/>
        <family val="3"/>
        <charset val="134"/>
      </rPr>
      <t>索引号：</t>
    </r>
    <phoneticPr fontId="18" type="noConversion"/>
  </si>
  <si>
    <t>致同会计师事务所</t>
    <phoneticPr fontId="18" type="noConversion"/>
  </si>
  <si>
    <r>
      <rPr>
        <b/>
        <sz val="10"/>
        <color indexed="8"/>
        <rFont val="宋体"/>
        <family val="3"/>
        <charset val="134"/>
      </rPr>
      <t>一、审计目标</t>
    </r>
    <r>
      <rPr>
        <b/>
        <sz val="10"/>
        <color indexed="8"/>
        <rFont val="Arial Narrow"/>
        <family val="2"/>
      </rPr>
      <t>:</t>
    </r>
    <phoneticPr fontId="22" type="noConversion"/>
  </si>
  <si>
    <r>
      <rPr>
        <b/>
        <sz val="10"/>
        <rFont val="宋体"/>
        <family val="3"/>
        <charset val="134"/>
      </rPr>
      <t>二、审计过程：</t>
    </r>
    <phoneticPr fontId="18" type="noConversion"/>
  </si>
  <si>
    <t>专项储备附注披露信息（上市公司）</t>
    <phoneticPr fontId="18" type="noConversion"/>
  </si>
  <si>
    <t>专项储备附注披露信息（国有企业）</t>
    <phoneticPr fontId="18" type="noConversion"/>
  </si>
  <si>
    <r>
      <rPr>
        <b/>
        <sz val="10"/>
        <rFont val="宋体"/>
        <family val="3"/>
        <charset val="134"/>
      </rPr>
      <t>项目名称</t>
    </r>
    <phoneticPr fontId="18" type="noConversion"/>
  </si>
  <si>
    <r>
      <t>1</t>
    </r>
    <r>
      <rPr>
        <b/>
        <sz val="10"/>
        <rFont val="宋体"/>
        <family val="3"/>
        <charset val="134"/>
      </rPr>
      <t>、审计说明</t>
    </r>
    <r>
      <rPr>
        <sz val="10"/>
        <color indexed="12"/>
        <rFont val="宋体"/>
        <family val="3"/>
        <charset val="134"/>
      </rPr>
      <t/>
    </r>
    <phoneticPr fontId="18" type="noConversion"/>
  </si>
  <si>
    <t>专项储备支出检查表</t>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</si>
  <si>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</si>
  <si>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</si>
  <si>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</si>
  <si>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明细表</t>
    <phoneticPr fontId="18" type="noConversion"/>
  </si>
  <si>
    <t>专项储备计提测试表</t>
    <phoneticPr fontId="18" type="noConversion"/>
  </si>
  <si>
    <t>本期增加</t>
  </si>
  <si>
    <t>专项储备</t>
  </si>
  <si>
    <t>项  目</t>
  </si>
  <si>
    <t>本期减少</t>
  </si>
  <si>
    <t>合  计</t>
  </si>
  <si>
    <t>期末余额</t>
  </si>
  <si>
    <t>备注</t>
  </si>
  <si>
    <r>
      <rPr>
        <b/>
        <sz val="10"/>
        <rFont val="宋体"/>
        <family val="3"/>
        <charset val="134"/>
      </rPr>
      <t>日期</t>
    </r>
  </si>
  <si>
    <r>
      <rPr>
        <b/>
        <sz val="10"/>
        <rFont val="宋体"/>
        <family val="3"/>
        <charset val="134"/>
      </rPr>
      <t>凭证编号</t>
    </r>
  </si>
  <si>
    <r>
      <rPr>
        <b/>
        <sz val="10"/>
        <rFont val="宋体"/>
        <family val="3"/>
        <charset val="134"/>
      </rPr>
      <t>业务内容</t>
    </r>
    <phoneticPr fontId="18" type="noConversion"/>
  </si>
  <si>
    <r>
      <rPr>
        <b/>
        <sz val="10"/>
        <rFont val="宋体"/>
        <family val="3"/>
        <charset val="134"/>
      </rPr>
      <t>对方科目</t>
    </r>
    <phoneticPr fontId="18" type="noConversion"/>
  </si>
  <si>
    <r>
      <rPr>
        <b/>
        <sz val="10"/>
        <rFont val="宋体"/>
        <family val="3"/>
        <charset val="134"/>
      </rPr>
      <t>借方金额</t>
    </r>
    <phoneticPr fontId="18" type="noConversion"/>
  </si>
  <si>
    <r>
      <rPr>
        <b/>
        <sz val="10"/>
        <rFont val="宋体"/>
        <family val="3"/>
        <charset val="134"/>
      </rPr>
      <t>贷方金额</t>
    </r>
    <phoneticPr fontId="18" type="noConversion"/>
  </si>
  <si>
    <r>
      <rPr>
        <i/>
        <sz val="10"/>
        <color indexed="12"/>
        <rFont val="宋体"/>
        <family val="3"/>
        <charset val="134"/>
      </rPr>
      <t>编制说明：</t>
    </r>
    <phoneticPr fontId="18" type="noConversion"/>
  </si>
  <si>
    <r>
      <rPr>
        <b/>
        <sz val="10"/>
        <rFont val="宋体"/>
        <family val="3"/>
        <charset val="134"/>
      </rPr>
      <t>一、审计目标：</t>
    </r>
    <phoneticPr fontId="27" type="noConversion"/>
  </si>
  <si>
    <r>
      <rPr>
        <b/>
        <sz val="10"/>
        <rFont val="宋体"/>
        <family val="3"/>
        <charset val="134"/>
      </rPr>
      <t>二、审计过程：</t>
    </r>
    <phoneticPr fontId="27" type="noConversion"/>
  </si>
  <si>
    <r>
      <rPr>
        <b/>
        <sz val="10"/>
        <rFont val="宋体"/>
        <family val="3"/>
        <charset val="134"/>
      </rPr>
      <t>三、审计说明：</t>
    </r>
    <phoneticPr fontId="27" type="noConversion"/>
  </si>
  <si>
    <r>
      <rPr>
        <b/>
        <sz val="10"/>
        <rFont val="宋体"/>
        <family val="3"/>
        <charset val="134"/>
      </rPr>
      <t>四、审计结论：</t>
    </r>
    <phoneticPr fontId="18" type="noConversion"/>
  </si>
  <si>
    <r>
      <rPr>
        <sz val="10"/>
        <color indexed="12"/>
        <rFont val="宋体"/>
        <family val="3"/>
        <charset val="134"/>
      </rPr>
      <t>高危行业企业按照国家规定提取的安全生产费，应当计入相关产品的成本或当期损益，同时计入</t>
    </r>
    <r>
      <rPr>
        <sz val="10"/>
        <color indexed="12"/>
        <rFont val="Arial Narrow"/>
        <family val="2"/>
      </rPr>
      <t>“</t>
    </r>
    <r>
      <rPr>
        <sz val="10"/>
        <color indexed="12"/>
        <rFont val="宋体"/>
        <family val="3"/>
        <charset val="134"/>
      </rPr>
      <t>专项储备</t>
    </r>
    <r>
      <rPr>
        <sz val="10"/>
        <color indexed="12"/>
        <rFont val="Arial Narrow"/>
        <family val="2"/>
      </rPr>
      <t>”</t>
    </r>
    <r>
      <rPr>
        <sz val="10"/>
        <color indexed="12"/>
        <rFont val="宋体"/>
        <family val="3"/>
        <charset val="134"/>
      </rPr>
      <t>科目。企业使用提取的安全生产费时，属于费用性支出的，直接冲减专</t>
    </r>
    <phoneticPr fontId="18" type="noConversion"/>
  </si>
  <si>
    <r>
      <rPr>
        <sz val="10"/>
        <color indexed="12"/>
        <rFont val="宋体"/>
        <family val="3"/>
        <charset val="134"/>
      </rPr>
      <t>项储备。企业使用提取的安全生产费形成固定资产的，应当通过</t>
    </r>
    <r>
      <rPr>
        <sz val="10"/>
        <color indexed="12"/>
        <rFont val="Arial Narrow"/>
        <family val="2"/>
      </rPr>
      <t>“</t>
    </r>
    <r>
      <rPr>
        <sz val="10"/>
        <color indexed="12"/>
        <rFont val="宋体"/>
        <family val="3"/>
        <charset val="134"/>
      </rPr>
      <t>在建工程</t>
    </r>
    <r>
      <rPr>
        <sz val="10"/>
        <color indexed="12"/>
        <rFont val="Arial Narrow"/>
        <family val="2"/>
      </rPr>
      <t>”</t>
    </r>
    <r>
      <rPr>
        <sz val="10"/>
        <color indexed="12"/>
        <rFont val="宋体"/>
        <family val="3"/>
        <charset val="134"/>
      </rPr>
      <t>科目归集所发生的支出，待安全项目完工达到预定可使用状态时确认为固定资产；同时，按照形成固定资产</t>
    </r>
    <phoneticPr fontId="18" type="noConversion"/>
  </si>
  <si>
    <r>
      <rPr>
        <sz val="10"/>
        <color indexed="12"/>
        <rFont val="宋体"/>
        <family val="3"/>
        <charset val="134"/>
      </rPr>
      <t>的成本冲减专项储备，并确认相同金额的累计折旧。该固定资产在以后期间不再计提折旧。</t>
    </r>
    <phoneticPr fontId="18" type="noConversion"/>
  </si>
  <si>
    <r>
      <t>“</t>
    </r>
    <r>
      <rPr>
        <sz val="10"/>
        <color indexed="12"/>
        <rFont val="宋体"/>
        <family val="3"/>
        <charset val="134"/>
      </rPr>
      <t>专项储备</t>
    </r>
    <r>
      <rPr>
        <sz val="10"/>
        <color indexed="12"/>
        <rFont val="Arial Narrow"/>
        <family val="2"/>
      </rPr>
      <t>”</t>
    </r>
    <r>
      <rPr>
        <sz val="10"/>
        <color indexed="12"/>
        <rFont val="宋体"/>
        <family val="3"/>
        <charset val="134"/>
      </rPr>
      <t>科目期末余额在资产负债表所有者权益项下</t>
    </r>
    <r>
      <rPr>
        <sz val="10"/>
        <color indexed="12"/>
        <rFont val="Arial Narrow"/>
        <family val="2"/>
      </rPr>
      <t>“</t>
    </r>
    <r>
      <rPr>
        <sz val="10"/>
        <color indexed="12"/>
        <rFont val="宋体"/>
        <family val="3"/>
        <charset val="134"/>
      </rPr>
      <t>减：库存股</t>
    </r>
    <r>
      <rPr>
        <sz val="10"/>
        <color indexed="12"/>
        <rFont val="Arial Narrow"/>
        <family val="2"/>
      </rPr>
      <t>”</t>
    </r>
    <r>
      <rPr>
        <sz val="10"/>
        <color indexed="12"/>
        <rFont val="宋体"/>
        <family val="3"/>
        <charset val="134"/>
      </rPr>
      <t>和</t>
    </r>
    <r>
      <rPr>
        <sz val="10"/>
        <color indexed="12"/>
        <rFont val="Arial Narrow"/>
        <family val="2"/>
      </rPr>
      <t>“</t>
    </r>
    <r>
      <rPr>
        <sz val="10"/>
        <color indexed="12"/>
        <rFont val="宋体"/>
        <family val="3"/>
        <charset val="134"/>
      </rPr>
      <t>盈余公积</t>
    </r>
    <r>
      <rPr>
        <sz val="10"/>
        <color indexed="12"/>
        <rFont val="Arial Narrow"/>
        <family val="2"/>
      </rPr>
      <t>”</t>
    </r>
    <r>
      <rPr>
        <sz val="10"/>
        <color indexed="12"/>
        <rFont val="宋体"/>
        <family val="3"/>
        <charset val="134"/>
      </rPr>
      <t>之间增设</t>
    </r>
    <r>
      <rPr>
        <sz val="10"/>
        <color indexed="12"/>
        <rFont val="Arial Narrow"/>
        <family val="2"/>
      </rPr>
      <t>“</t>
    </r>
    <r>
      <rPr>
        <sz val="10"/>
        <color indexed="12"/>
        <rFont val="宋体"/>
        <family val="3"/>
        <charset val="134"/>
      </rPr>
      <t>专项储备</t>
    </r>
    <r>
      <rPr>
        <sz val="10"/>
        <color indexed="12"/>
        <rFont val="Arial Narrow"/>
        <family val="2"/>
      </rPr>
      <t>”</t>
    </r>
    <r>
      <rPr>
        <sz val="10"/>
        <color indexed="12"/>
        <rFont val="宋体"/>
        <family val="3"/>
        <charset val="134"/>
      </rPr>
      <t>项目反映。企业提取的维简费和其他具有类似性质的费用，比照上述规定处理。企</t>
    </r>
    <phoneticPr fontId="18" type="noConversion"/>
  </si>
  <si>
    <r>
      <rPr>
        <sz val="10"/>
        <color indexed="12"/>
        <rFont val="宋体"/>
        <family val="3"/>
        <charset val="134"/>
      </rPr>
      <t>业未按上述规定进行会计处理的，应当进行追溯调整。</t>
    </r>
    <phoneticPr fontId="18" type="noConversion"/>
  </si>
  <si>
    <r>
      <rPr>
        <b/>
        <sz val="10"/>
        <rFont val="宋体"/>
        <family val="3"/>
        <charset val="134"/>
      </rPr>
      <t>明细项目内容</t>
    </r>
    <phoneticPr fontId="18" type="noConversion"/>
  </si>
  <si>
    <r>
      <rPr>
        <b/>
        <sz val="10"/>
        <rFont val="宋体"/>
        <family val="3"/>
        <charset val="134"/>
      </rPr>
      <t>本期增加额</t>
    </r>
  </si>
  <si>
    <r>
      <rPr>
        <b/>
        <sz val="10"/>
        <rFont val="宋体"/>
        <family val="3"/>
        <charset val="134"/>
      </rPr>
      <t>提取</t>
    </r>
    <phoneticPr fontId="18" type="noConversion"/>
  </si>
  <si>
    <r>
      <rPr>
        <b/>
        <sz val="10"/>
        <rFont val="宋体"/>
        <family val="3"/>
        <charset val="134"/>
      </rPr>
      <t>应计金额</t>
    </r>
    <phoneticPr fontId="18" type="noConversion"/>
  </si>
  <si>
    <r>
      <rPr>
        <b/>
        <sz val="10"/>
        <rFont val="宋体"/>
        <family val="3"/>
        <charset val="134"/>
      </rPr>
      <t>差异</t>
    </r>
    <phoneticPr fontId="18" type="noConversion"/>
  </si>
  <si>
    <r>
      <rPr>
        <b/>
        <sz val="10"/>
        <rFont val="宋体"/>
        <family val="3"/>
        <charset val="134"/>
      </rPr>
      <t>差异原因</t>
    </r>
    <phoneticPr fontId="18" type="noConversion"/>
  </si>
  <si>
    <r>
      <rPr>
        <b/>
        <sz val="10"/>
        <rFont val="宋体"/>
        <family val="3"/>
        <charset val="134"/>
      </rPr>
      <t>相关依据索引号</t>
    </r>
    <phoneticPr fontId="18" type="noConversion"/>
  </si>
  <si>
    <r>
      <rPr>
        <b/>
        <sz val="10"/>
        <rFont val="宋体"/>
        <family val="3"/>
        <charset val="134"/>
      </rPr>
      <t>相关数据来源索引号</t>
    </r>
    <phoneticPr fontId="18" type="noConversion"/>
  </si>
  <si>
    <r>
      <rPr>
        <b/>
        <sz val="10"/>
        <rFont val="宋体"/>
        <family val="3"/>
        <charset val="134"/>
      </rPr>
      <t>计提</t>
    </r>
    <phoneticPr fontId="18" type="noConversion"/>
  </si>
  <si>
    <r>
      <rPr>
        <b/>
        <sz val="10"/>
        <rFont val="宋体"/>
        <family val="3"/>
        <charset val="134"/>
      </rPr>
      <t>其它</t>
    </r>
  </si>
  <si>
    <r>
      <rPr>
        <b/>
        <sz val="10"/>
        <rFont val="宋体"/>
        <family val="3"/>
        <charset val="134"/>
      </rPr>
      <t>标准</t>
    </r>
    <phoneticPr fontId="18" type="noConversion"/>
  </si>
  <si>
    <r>
      <rPr>
        <b/>
        <sz val="10"/>
        <rFont val="宋体"/>
        <family val="3"/>
        <charset val="134"/>
      </rPr>
      <t>基数</t>
    </r>
    <phoneticPr fontId="18" type="noConversion"/>
  </si>
  <si>
    <r>
      <rPr>
        <b/>
        <sz val="10"/>
        <rFont val="宋体"/>
        <family val="3"/>
        <charset val="134"/>
      </rPr>
      <t>比例（注）</t>
    </r>
    <phoneticPr fontId="18" type="noConversion"/>
  </si>
  <si>
    <r>
      <t>1</t>
    </r>
    <r>
      <rPr>
        <sz val="10"/>
        <rFont val="宋体"/>
        <family val="3"/>
        <charset val="134"/>
      </rPr>
      <t>、安全生产费</t>
    </r>
    <phoneticPr fontId="7" type="noConversion"/>
  </si>
  <si>
    <r>
      <t>2</t>
    </r>
    <r>
      <rPr>
        <sz val="10"/>
        <rFont val="宋体"/>
        <family val="3"/>
        <charset val="134"/>
      </rPr>
      <t>、维简费</t>
    </r>
    <r>
      <rPr>
        <sz val="10"/>
        <rFont val="楷体_GB2312"/>
        <family val="3"/>
        <charset val="134"/>
      </rPr>
      <t/>
    </r>
    <phoneticPr fontId="18" type="noConversion"/>
  </si>
  <si>
    <r>
      <t>3</t>
    </r>
    <r>
      <rPr>
        <sz val="10"/>
        <rFont val="宋体"/>
        <family val="3"/>
        <charset val="134"/>
      </rPr>
      <t>、其他</t>
    </r>
    <phoneticPr fontId="18" type="noConversion"/>
  </si>
  <si>
    <r>
      <rPr>
        <b/>
        <sz val="10"/>
        <rFont val="宋体"/>
        <family val="3"/>
        <charset val="134"/>
      </rPr>
      <t>合</t>
    </r>
    <r>
      <rPr>
        <b/>
        <sz val="10"/>
        <rFont val="Arial Narrow"/>
        <family val="2"/>
      </rPr>
      <t xml:space="preserve">   </t>
    </r>
    <r>
      <rPr>
        <b/>
        <sz val="10"/>
        <rFont val="宋体"/>
        <family val="3"/>
        <charset val="134"/>
      </rPr>
      <t>计</t>
    </r>
  </si>
  <si>
    <t>专项储备实质性程序</t>
    <phoneticPr fontId="18" type="noConversion"/>
  </si>
  <si>
    <r>
      <rPr>
        <sz val="10"/>
        <rFont val="宋体"/>
        <family val="3"/>
        <charset val="134"/>
      </rPr>
      <t>索引号：</t>
    </r>
  </si>
  <si>
    <r>
      <rPr>
        <b/>
        <sz val="10"/>
        <rFont val="宋体"/>
        <family val="3"/>
        <charset val="134"/>
      </rPr>
      <t>一、本账户涉及的科目</t>
    </r>
    <phoneticPr fontId="18" type="noConversion"/>
  </si>
  <si>
    <t>专项储备</t>
    <phoneticPr fontId="52" type="noConversion"/>
  </si>
  <si>
    <r>
      <rPr>
        <b/>
        <sz val="10"/>
        <rFont val="宋体"/>
        <family val="3"/>
        <charset val="134"/>
      </rPr>
      <t>财务报表的认定　</t>
    </r>
  </si>
  <si>
    <r>
      <rPr>
        <sz val="10"/>
        <rFont val="宋体"/>
        <family val="3"/>
        <charset val="134"/>
      </rPr>
      <t>存在</t>
    </r>
    <phoneticPr fontId="18" type="noConversion"/>
  </si>
  <si>
    <r>
      <rPr>
        <b/>
        <sz val="10"/>
        <rFont val="宋体"/>
        <family val="3"/>
        <charset val="134"/>
      </rPr>
      <t>三、计划实施的实质性程序</t>
    </r>
    <phoneticPr fontId="18" type="noConversion"/>
  </si>
  <si>
    <r>
      <rPr>
        <b/>
        <sz val="10"/>
        <rFont val="宋体"/>
        <family val="3"/>
        <charset val="134"/>
      </rPr>
      <t>序号</t>
    </r>
    <phoneticPr fontId="18" type="noConversion"/>
  </si>
  <si>
    <r>
      <rPr>
        <b/>
        <sz val="10"/>
        <rFont val="宋体"/>
        <family val="3"/>
        <charset val="134"/>
      </rPr>
      <t>程序分类</t>
    </r>
    <phoneticPr fontId="18" type="noConversion"/>
  </si>
  <si>
    <t>常规★</t>
    <phoneticPr fontId="52" type="noConversion"/>
  </si>
  <si>
    <t>备选</t>
    <phoneticPr fontId="52" type="noConversion"/>
  </si>
  <si>
    <t>……</t>
    <phoneticPr fontId="18" type="noConversion"/>
  </si>
  <si>
    <r>
      <t>其他</t>
    </r>
    <r>
      <rPr>
        <sz val="10"/>
        <color rgb="FF0000FF"/>
        <rFont val="宋体"/>
        <family val="3"/>
        <charset val="134"/>
        <scheme val="minor"/>
      </rPr>
      <t>（请注明）</t>
    </r>
  </si>
  <si>
    <r>
      <t>说明：（</t>
    </r>
    <r>
      <rPr>
        <sz val="10"/>
        <color rgb="FF0000FF"/>
        <rFont val="宋体"/>
        <family val="3"/>
        <charset val="134"/>
        <scheme val="minor"/>
      </rPr>
      <t>对少数股东权益的影响）</t>
    </r>
  </si>
  <si>
    <r>
      <t>说明：</t>
    </r>
    <r>
      <rPr>
        <sz val="10"/>
        <color rgb="FF0000FF"/>
        <rFont val="宋体"/>
        <family val="3"/>
        <charset val="134"/>
        <scheme val="minor"/>
      </rPr>
      <t>专项储备的变动情况、变动原因。</t>
    </r>
  </si>
  <si>
    <t>期初余额</t>
    <phoneticPr fontId="18" type="noConversion"/>
  </si>
  <si>
    <t>期末余额</t>
    <phoneticPr fontId="18" type="noConversion"/>
  </si>
  <si>
    <t>期初余额</t>
    <phoneticPr fontId="18" type="noConversion"/>
  </si>
  <si>
    <t>二、审计目标与认定的对应关系</t>
    <phoneticPr fontId="18" type="noConversion"/>
  </si>
  <si>
    <t>审计目标</t>
    <phoneticPr fontId="18" type="noConversion"/>
  </si>
  <si>
    <t>存在</t>
    <phoneticPr fontId="18" type="noConversion"/>
  </si>
  <si>
    <t>完整性</t>
    <phoneticPr fontId="18" type="noConversion"/>
  </si>
  <si>
    <t>权利和义务</t>
    <phoneticPr fontId="18" type="noConversion"/>
  </si>
  <si>
    <t>列报</t>
    <phoneticPr fontId="18" type="noConversion"/>
  </si>
  <si>
    <t>底稿索引号</t>
    <phoneticPr fontId="18" type="noConversion"/>
  </si>
  <si>
    <t>财务报表的认定</t>
    <phoneticPr fontId="18" type="noConversion"/>
  </si>
  <si>
    <t>准确性、计价和分摊</t>
  </si>
  <si>
    <t>√</t>
    <phoneticPr fontId="1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</si>
  <si>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18" type="noConversion"/>
  </si>
  <si>
    <t>M7-1</t>
    <phoneticPr fontId="52" type="noConversion"/>
  </si>
  <si>
    <t>检查专项储备是否已按企业会计准则或其他适用的规定在财务报表中做出恰当列报和披露。</t>
    <phoneticPr fontId="52" type="noConversion"/>
  </si>
  <si>
    <r>
      <t xml:space="preserve">A. </t>
    </r>
    <r>
      <rPr>
        <sz val="10"/>
        <rFont val="宋体"/>
        <family val="3"/>
        <charset val="134"/>
      </rPr>
      <t>资产负债表中记录的专项储备是存在的，且已经记录在恰当的账户中</t>
    </r>
    <phoneticPr fontId="18" type="noConversion"/>
  </si>
  <si>
    <t>M7-5</t>
    <phoneticPr fontId="52" type="noConversion"/>
  </si>
  <si>
    <t>专项储备实质性程序表</t>
    <phoneticPr fontId="18" type="noConversion"/>
  </si>
  <si>
    <t>M7A</t>
    <phoneticPr fontId="52" type="noConversion"/>
  </si>
  <si>
    <t>审定表</t>
    <phoneticPr fontId="18" type="noConversion"/>
  </si>
  <si>
    <t>附注披露信息(上市公司)</t>
    <phoneticPr fontId="18" type="noConversion"/>
  </si>
  <si>
    <t>附注披露信息(国企)</t>
    <phoneticPr fontId="18" type="noConversion"/>
  </si>
  <si>
    <t>M7-2</t>
    <phoneticPr fontId="52" type="noConversion"/>
  </si>
  <si>
    <t>调整分录汇总</t>
    <phoneticPr fontId="18" type="noConversion"/>
  </si>
  <si>
    <t>M7-3</t>
    <phoneticPr fontId="52" type="noConversion"/>
  </si>
  <si>
    <t>M7-4</t>
    <phoneticPr fontId="52" type="noConversion"/>
  </si>
  <si>
    <t>无需打印</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</si>
  <si>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52"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</si>
  <si>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52" type="noConversion"/>
  </si>
  <si>
    <t>索引号：</t>
    <phoneticPr fontId="18" type="noConversion"/>
  </si>
  <si>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</si>
  <si>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</si>
  <si>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</si>
  <si>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原因分析</t>
    </r>
    <phoneticPr fontId="46"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</si>
  <si>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</si>
  <si>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</si>
  <si>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</si>
  <si>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</si>
  <si>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</si>
  <si>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</si>
  <si>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rPr>
        <sz val="10"/>
        <rFont val="宋体"/>
        <family val="3"/>
        <charset val="134"/>
      </rPr>
      <t>安全生产费</t>
    </r>
  </si>
  <si>
    <r>
      <rPr>
        <sz val="10"/>
        <rFont val="宋体"/>
        <family val="3"/>
        <charset val="134"/>
      </rPr>
      <t>维简费</t>
    </r>
  </si>
  <si>
    <r>
      <rPr>
        <sz val="10"/>
        <rFont val="宋体"/>
        <family val="3"/>
        <charset val="134"/>
      </rPr>
      <t>其他</t>
    </r>
    <phoneticPr fontId="18" type="noConversion"/>
  </si>
  <si>
    <r>
      <rPr>
        <b/>
        <sz val="10"/>
        <rFont val="宋体"/>
        <family val="3"/>
        <charset val="134"/>
      </rPr>
      <t>合计</t>
    </r>
    <phoneticPr fontId="18" type="noConversion"/>
  </si>
  <si>
    <r>
      <rPr>
        <b/>
        <sz val="10"/>
        <rFont val="宋体"/>
        <family val="3"/>
        <charset val="134"/>
      </rPr>
      <t>试算平衡表数</t>
    </r>
    <phoneticPr fontId="18" type="noConversion"/>
  </si>
  <si>
    <r>
      <rPr>
        <b/>
        <sz val="10"/>
        <rFont val="宋体"/>
        <family val="3"/>
        <charset val="134"/>
      </rPr>
      <t>差异数</t>
    </r>
    <phoneticPr fontId="18" type="noConversion"/>
  </si>
  <si>
    <r>
      <rPr>
        <sz val="10"/>
        <rFont val="宋体"/>
        <family val="3"/>
        <charset val="134"/>
      </rPr>
      <t>（</t>
    </r>
    <r>
      <rPr>
        <sz val="10"/>
        <rFont val="Arial Narrow"/>
        <family val="2"/>
      </rPr>
      <t>1</t>
    </r>
    <r>
      <rPr>
        <sz val="10"/>
        <rFont val="宋体"/>
        <family val="3"/>
        <charset val="134"/>
      </rPr>
      <t>）期末余额较期初余额增加（负数为减少）：</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</si>
  <si>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</si>
  <si>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）专项储备变动的原因、依据；</t>
    </r>
    <phoneticPr fontId="18" type="noConversion"/>
  </si>
  <si>
    <r>
      <t>2</t>
    </r>
    <r>
      <rPr>
        <b/>
        <sz val="10"/>
        <rFont val="宋体"/>
        <family val="3"/>
        <charset val="134"/>
      </rPr>
      <t>、审计结论</t>
    </r>
    <phoneticPr fontId="18" type="noConversion"/>
  </si>
  <si>
    <r>
      <t>1.</t>
    </r>
    <r>
      <rPr>
        <sz val="10"/>
        <rFont val="宋体"/>
        <family val="2"/>
        <charset val="134"/>
      </rPr>
      <t>专项储备以恰当的金额包括在财务报表中，与之相关的计价或分摊调整已恰当记录，相关披露已得到恰当计量和描述。</t>
    </r>
    <phoneticPr fontId="18" type="noConversion"/>
  </si>
  <si>
    <r>
      <rPr>
        <b/>
        <sz val="10"/>
        <color indexed="8"/>
        <rFont val="宋体"/>
        <family val="3"/>
        <charset val="134"/>
      </rPr>
      <t>项目</t>
    </r>
  </si>
  <si>
    <r>
      <rPr>
        <b/>
        <sz val="10"/>
        <rFont val="宋体"/>
        <family val="3"/>
        <charset val="134"/>
      </rPr>
      <t>期初调整</t>
    </r>
    <phoneticPr fontId="18" type="noConversion"/>
  </si>
  <si>
    <r>
      <rPr>
        <b/>
        <sz val="10"/>
        <color indexed="8"/>
        <rFont val="宋体"/>
        <family val="3"/>
        <charset val="134"/>
      </rPr>
      <t>文件依据</t>
    </r>
    <phoneticPr fontId="18" type="noConversion"/>
  </si>
  <si>
    <r>
      <rPr>
        <b/>
        <sz val="10"/>
        <color indexed="8"/>
        <rFont val="宋体"/>
        <family val="3"/>
        <charset val="134"/>
      </rPr>
      <t>索引号</t>
    </r>
    <phoneticPr fontId="18" type="noConversion"/>
  </si>
  <si>
    <r>
      <rPr>
        <b/>
        <sz val="10"/>
        <rFont val="宋体"/>
        <family val="3"/>
        <charset val="134"/>
      </rPr>
      <t>备注</t>
    </r>
    <phoneticPr fontId="18" type="noConversion"/>
  </si>
  <si>
    <r>
      <rPr>
        <b/>
        <sz val="10"/>
        <color indexed="8"/>
        <rFont val="宋体"/>
        <family val="3"/>
        <charset val="134"/>
      </rPr>
      <t>期初数</t>
    </r>
    <phoneticPr fontId="18" type="noConversion"/>
  </si>
  <si>
    <r>
      <rPr>
        <b/>
        <sz val="10"/>
        <color indexed="8"/>
        <rFont val="宋体"/>
        <family val="3"/>
        <charset val="134"/>
      </rPr>
      <t>本期增加</t>
    </r>
    <phoneticPr fontId="18" type="noConversion"/>
  </si>
  <si>
    <r>
      <rPr>
        <b/>
        <sz val="10"/>
        <color indexed="8"/>
        <rFont val="宋体"/>
        <family val="3"/>
        <charset val="134"/>
      </rPr>
      <t>本期减少</t>
    </r>
    <phoneticPr fontId="18" type="noConversion"/>
  </si>
  <si>
    <r>
      <rPr>
        <b/>
        <sz val="10"/>
        <color indexed="8"/>
        <rFont val="宋体"/>
        <family val="3"/>
        <charset val="134"/>
      </rPr>
      <t>期末数</t>
    </r>
    <phoneticPr fontId="18" type="noConversion"/>
  </si>
  <si>
    <r>
      <rPr>
        <b/>
        <sz val="10"/>
        <color indexed="8"/>
        <rFont val="宋体"/>
        <family val="3"/>
        <charset val="134"/>
      </rPr>
      <t>账项调整</t>
    </r>
    <phoneticPr fontId="18" type="noConversion"/>
  </si>
  <si>
    <r>
      <rPr>
        <b/>
        <sz val="10"/>
        <color indexed="8"/>
        <rFont val="宋体"/>
        <family val="3"/>
        <charset val="134"/>
      </rPr>
      <t>重分类调整</t>
    </r>
    <phoneticPr fontId="18" type="noConversion"/>
  </si>
  <si>
    <r>
      <rPr>
        <sz val="10"/>
        <color indexed="8"/>
        <rFont val="宋体"/>
        <family val="3"/>
        <charset val="134"/>
      </rPr>
      <t>安全生产费</t>
    </r>
  </si>
  <si>
    <r>
      <rPr>
        <sz val="10"/>
        <color indexed="8"/>
        <rFont val="宋体"/>
        <family val="3"/>
        <charset val="134"/>
      </rPr>
      <t>维简费</t>
    </r>
  </si>
  <si>
    <r>
      <rPr>
        <sz val="10"/>
        <color indexed="8"/>
        <rFont val="宋体"/>
        <family val="3"/>
        <charset val="134"/>
      </rPr>
      <t>其他（</t>
    </r>
    <r>
      <rPr>
        <i/>
        <sz val="10"/>
        <color rgb="FFFF0000"/>
        <rFont val="宋体"/>
        <family val="3"/>
        <charset val="134"/>
      </rPr>
      <t>请注明</t>
    </r>
    <r>
      <rPr>
        <sz val="10"/>
        <color indexed="8"/>
        <rFont val="宋体"/>
        <family val="3"/>
        <charset val="134"/>
      </rPr>
      <t>）</t>
    </r>
    <phoneticPr fontId="18" type="noConversion"/>
  </si>
  <si>
    <r>
      <rPr>
        <b/>
        <sz val="10"/>
        <color indexed="8"/>
        <rFont val="宋体"/>
        <family val="3"/>
        <charset val="134"/>
      </rPr>
      <t>合计</t>
    </r>
  </si>
  <si>
    <r>
      <rPr>
        <b/>
        <sz val="10"/>
        <rFont val="宋体"/>
        <family val="3"/>
        <charset val="134"/>
      </rPr>
      <t>三、审计说明：</t>
    </r>
    <phoneticPr fontId="18" type="noConversion"/>
  </si>
  <si>
    <r>
      <rPr>
        <b/>
        <sz val="10"/>
        <rFont val="宋体"/>
        <family val="3"/>
        <charset val="134"/>
      </rPr>
      <t>借方调整金额</t>
    </r>
    <phoneticPr fontId="18" type="noConversion"/>
  </si>
  <si>
    <r>
      <t>1.</t>
    </r>
    <r>
      <rPr>
        <sz val="10"/>
        <rFont val="宋体"/>
        <family val="3"/>
        <charset val="134"/>
      </rPr>
      <t>审查安全生产费、维简费和其他具有类似性质的费用的计提是否符合有关规定，且提取标准符合下列规定：矿山企业安全费用依据开采的原矿产量按月提取；建筑施工企业以建筑安装工程造价为计提依据；危险品生产企业以本年度实际销售收入为计提依据，采取超额累退方式按照标准逐月提取。</t>
    </r>
    <phoneticPr fontId="18" type="noConversion"/>
  </si>
  <si>
    <r>
      <t>2.</t>
    </r>
    <r>
      <rPr>
        <sz val="10"/>
        <rFont val="宋体"/>
        <family val="3"/>
        <charset val="134"/>
      </rPr>
      <t>审查安全生产费、维简费和其他具有类似性质的费用的计提相关的会计处理是否符合规定；</t>
    </r>
    <phoneticPr fontId="18" type="noConversion"/>
  </si>
  <si>
    <r>
      <rPr>
        <b/>
        <sz val="10"/>
        <rFont val="宋体"/>
        <family val="3"/>
        <charset val="134"/>
      </rPr>
      <t>对应凭证检查情况</t>
    </r>
    <phoneticPr fontId="18" type="noConversion"/>
  </si>
  <si>
    <r>
      <rPr>
        <b/>
        <sz val="10"/>
        <rFont val="宋体"/>
        <family val="3"/>
        <charset val="134"/>
      </rPr>
      <t>备注说明</t>
    </r>
    <phoneticPr fontId="18" type="noConversion"/>
  </si>
  <si>
    <r>
      <t>1.</t>
    </r>
    <r>
      <rPr>
        <sz val="10"/>
        <rFont val="宋体"/>
        <family val="3"/>
        <charset val="134"/>
      </rPr>
      <t>专项储备以恰当的金额包括在财务报表中，与之相关的计价或分摊调整已恰当记录，相关披露已得到恰当计量和描述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8" type="noConversion"/>
  </si>
  <si>
    <r>
      <t>1.</t>
    </r>
    <r>
      <rPr>
        <sz val="10"/>
        <rFont val="宋体"/>
        <family val="3"/>
        <charset val="134"/>
      </rPr>
      <t>审查安全生产费、维简费和其他项目的使用是否符合有关规定，检查会计处理是否正确。</t>
    </r>
    <phoneticPr fontId="18" type="noConversion"/>
  </si>
  <si>
    <r>
      <t>2.</t>
    </r>
    <r>
      <rPr>
        <sz val="10"/>
        <rFont val="宋体"/>
        <family val="3"/>
        <charset val="134"/>
      </rPr>
      <t>如存在重大的非预期差异，与适当客户人员讨论；</t>
    </r>
    <phoneticPr fontId="18" type="noConversion"/>
  </si>
  <si>
    <r>
      <t>3.</t>
    </r>
    <r>
      <rPr>
        <sz val="10"/>
        <rFont val="宋体"/>
        <family val="3"/>
        <charset val="134"/>
      </rPr>
      <t>考虑可信度，并在适当情况下进行证实。</t>
    </r>
    <phoneticPr fontId="18" type="noConversion"/>
  </si>
  <si>
    <r>
      <t>4.</t>
    </r>
    <r>
      <rPr>
        <sz val="10"/>
        <rFont val="宋体"/>
        <family val="3"/>
        <charset val="134"/>
      </rPr>
      <t>确定执行上述程序的结果是否表明需要补充必要的审计程序，如果是，执行适当的应对程序。</t>
    </r>
    <phoneticPr fontId="18" type="noConversion"/>
  </si>
  <si>
    <r>
      <rPr>
        <b/>
        <sz val="10"/>
        <rFont val="宋体"/>
        <family val="3"/>
        <charset val="134"/>
      </rPr>
      <t>资本性支出使用检查；</t>
    </r>
    <phoneticPr fontId="18" type="noConversion"/>
  </si>
  <si>
    <r>
      <rPr>
        <b/>
        <sz val="10"/>
        <rFont val="宋体"/>
        <family val="3"/>
        <charset val="134"/>
      </rPr>
      <t>记账凭证</t>
    </r>
    <phoneticPr fontId="18" type="noConversion"/>
  </si>
  <si>
    <r>
      <rPr>
        <b/>
        <sz val="10"/>
        <rFont val="宋体"/>
        <family val="3"/>
        <charset val="134"/>
      </rPr>
      <t>管理层使用计划索引</t>
    </r>
    <phoneticPr fontId="18" type="noConversion"/>
  </si>
  <si>
    <r>
      <rPr>
        <b/>
        <sz val="10"/>
        <rFont val="宋体"/>
        <family val="3"/>
        <charset val="134"/>
      </rPr>
      <t>借</t>
    </r>
    <r>
      <rPr>
        <b/>
        <sz val="10"/>
        <rFont val="Arial Narrow"/>
        <family val="2"/>
      </rPr>
      <t>/</t>
    </r>
    <r>
      <rPr>
        <b/>
        <sz val="10"/>
        <rFont val="宋体"/>
        <family val="3"/>
        <charset val="134"/>
      </rPr>
      <t>贷方金额</t>
    </r>
    <phoneticPr fontId="18" type="noConversion"/>
  </si>
  <si>
    <r>
      <t>1</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</si>
  <si>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t>2、审计结论可参考：A、未见异常。B、除上述重大不符事项应当作为调整事项予以调整外，其余未见异常。C、由于存在以下重大未调整事项(或审计范围受到限制无法获取充分、适当证据），不可确认。</t>
    <phoneticPr fontId="18" type="noConversion"/>
  </si>
  <si>
    <t>获取或编制专项储备明细表，完成以下工作，并编制审定表
复核加计是否正确，与总账、明细账合计数核对是否相符，期初余额与上期审定期末余额是否相符；</t>
    <phoneticPr fontId="52" type="noConversion"/>
  </si>
  <si>
    <r>
      <t>对于上期盈余公积期末余额，取得盈余公积明细表复核加计是否正确，与总账、明细账合计数是否相符，检查被审计单位专项储备计提政策等文件、前期计提的专项储备在本期使用情况。</t>
    </r>
    <r>
      <rPr>
        <sz val="10"/>
        <color rgb="FFFF0000"/>
        <rFont val="宋体"/>
        <family val="3"/>
        <charset val="134"/>
      </rPr>
      <t>（适用于首次承接）</t>
    </r>
    <phoneticPr fontId="18" type="noConversion"/>
  </si>
  <si>
    <t>对方明细科目</t>
    <phoneticPr fontId="18" type="noConversion"/>
  </si>
  <si>
    <t>对方明细科目</t>
    <phoneticPr fontId="1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</si>
  <si>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</si>
  <si>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t>检查专项储备使用是否符合有关规定，资本性资产与费用性支出分类是否恰当、会计处理是否正确</t>
    <phoneticPr fontId="18" type="noConversion"/>
  </si>
  <si>
    <t>支持性文件</t>
    <phoneticPr fontId="18" type="noConversion"/>
  </si>
  <si>
    <r>
      <rPr>
        <b/>
        <sz val="10"/>
        <rFont val="宋体"/>
        <family val="3"/>
        <charset val="134"/>
      </rPr>
      <t>核对内容</t>
    </r>
  </si>
  <si>
    <t>提示：</t>
    <phoneticPr fontId="18" type="noConversion"/>
  </si>
  <si>
    <t>√</t>
    <phoneticPr fontId="18" type="noConversion"/>
  </si>
  <si>
    <t>√</t>
    <phoneticPr fontId="18" type="noConversion"/>
  </si>
  <si>
    <t>获取安全生产费、维简费和其他具有类似性质费用的计提及标准的相关文件，检查是否已按照相关行业规定计提专项储备，判断其分类为是否恰当、计提金额是否正确、会计处理是否正确。</t>
    <phoneticPr fontId="18" type="noConversion"/>
  </si>
  <si>
    <t>√</t>
    <phoneticPr fontId="18" type="noConversion"/>
  </si>
  <si>
    <t>准确性、计价和分摊</t>
    <phoneticPr fontId="18" type="noConversion"/>
  </si>
  <si>
    <r>
      <t>A1-1</t>
    </r>
    <r>
      <rPr>
        <sz val="10"/>
        <color rgb="FFFF0000"/>
        <rFont val="Arial Narrow"/>
        <family val="2"/>
      </rPr>
      <t>/A1-15 /A1-16</t>
    </r>
    <phoneticPr fontId="52" type="noConversion"/>
  </si>
  <si>
    <t>M7-1
/M7-2</t>
    <phoneticPr fontId="52" type="noConversion"/>
  </si>
  <si>
    <t>T1/</t>
    <phoneticPr fontId="52" type="noConversion"/>
  </si>
  <si>
    <t>M7-4</t>
    <phoneticPr fontId="18" type="noConversion"/>
  </si>
  <si>
    <t>M7-5</t>
    <phoneticPr fontId="18" type="noConversion"/>
  </si>
  <si>
    <t>费用性支出使用检查:</t>
    <phoneticPr fontId="18" type="noConversion"/>
  </si>
  <si>
    <r>
      <rPr>
        <sz val="10"/>
        <rFont val="宋体"/>
        <family val="3"/>
        <charset val="134"/>
      </rPr>
      <t>页</t>
    </r>
    <r>
      <rPr>
        <sz val="10"/>
        <rFont val="Arial Narrow"/>
        <family val="2"/>
      </rPr>
      <t xml:space="preserve">  </t>
    </r>
    <r>
      <rPr>
        <sz val="10"/>
        <rFont val="宋体"/>
        <family val="3"/>
        <charset val="134"/>
      </rPr>
      <t>次：</t>
    </r>
    <phoneticPr fontId="52" type="noConversion"/>
  </si>
  <si>
    <t>致同会计师事务所</t>
  </si>
  <si>
    <t>M7-1</t>
    <phoneticPr fontId="18" type="noConversion"/>
  </si>
  <si>
    <r>
      <rPr>
        <sz val="10"/>
        <rFont val="宋体"/>
        <family val="3"/>
        <charset val="134"/>
      </rPr>
      <t>页</t>
    </r>
    <r>
      <rPr>
        <sz val="10"/>
        <rFont val="Arial Narrow"/>
        <family val="2"/>
      </rPr>
      <t xml:space="preserve">   </t>
    </r>
    <r>
      <rPr>
        <sz val="10"/>
        <rFont val="宋体"/>
        <family val="3"/>
        <charset val="134"/>
      </rPr>
      <t>次：</t>
    </r>
    <phoneticPr fontId="52"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</si>
  <si>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</si>
  <si>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t>专项储备计提测试表</t>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</si>
  <si>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</si>
  <si>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t>专项储备支出检查表</t>
    <phoneticPr fontId="18" type="noConversion"/>
  </si>
  <si>
    <r>
      <rPr>
        <b/>
        <sz val="10"/>
        <rFont val="宋体"/>
        <family val="3"/>
        <charset val="134"/>
      </rPr>
      <t>索引号</t>
    </r>
  </si>
  <si>
    <r>
      <rPr>
        <b/>
        <sz val="10"/>
        <rFont val="宋体"/>
        <family val="3"/>
        <charset val="134"/>
      </rPr>
      <t>借</t>
    </r>
    <r>
      <rPr>
        <b/>
        <sz val="10"/>
        <rFont val="Arial Narrow"/>
        <family val="2"/>
      </rPr>
      <t>/</t>
    </r>
    <r>
      <rPr>
        <b/>
        <sz val="10"/>
        <rFont val="宋体"/>
        <family val="3"/>
        <charset val="134"/>
      </rPr>
      <t>贷方金额</t>
    </r>
    <phoneticPr fontId="18" type="noConversion"/>
  </si>
  <si>
    <r>
      <rPr>
        <b/>
        <sz val="10"/>
        <rFont val="宋体"/>
        <family val="3"/>
        <charset val="134"/>
      </rPr>
      <t>记账凭证</t>
    </r>
    <phoneticPr fontId="18" type="noConversion"/>
  </si>
  <si>
    <r>
      <rPr>
        <b/>
        <sz val="10"/>
        <rFont val="宋体"/>
        <family val="3"/>
        <charset val="134"/>
      </rPr>
      <t>是否属于规定使用范围</t>
    </r>
    <phoneticPr fontId="18" type="noConversion"/>
  </si>
  <si>
    <r>
      <rPr>
        <b/>
        <sz val="10"/>
        <rFont val="宋体"/>
        <family val="3"/>
        <charset val="134"/>
      </rPr>
      <t>对应的固定资产是否已全额计提折旧</t>
    </r>
    <phoneticPr fontId="18" type="noConversion"/>
  </si>
  <si>
    <r>
      <rPr>
        <b/>
        <sz val="10"/>
        <rFont val="宋体"/>
        <family val="3"/>
        <charset val="134"/>
      </rPr>
      <t>业务内容</t>
    </r>
    <phoneticPr fontId="18" type="noConversion"/>
  </si>
  <si>
    <r>
      <rPr>
        <b/>
        <sz val="10"/>
        <rFont val="宋体"/>
        <family val="3"/>
        <charset val="134"/>
      </rPr>
      <t>对方科目</t>
    </r>
    <phoneticPr fontId="18" type="noConversion"/>
  </si>
  <si>
    <r>
      <rPr>
        <b/>
        <sz val="10"/>
        <rFont val="宋体"/>
        <family val="3"/>
        <charset val="134"/>
      </rPr>
      <t>是否属于规定使用范围</t>
    </r>
    <phoneticPr fontId="18" type="noConversion"/>
  </si>
  <si>
    <r>
      <rPr>
        <b/>
        <sz val="10"/>
        <rFont val="宋体"/>
        <family val="3"/>
        <charset val="134"/>
      </rPr>
      <t>管理层使用计划索引</t>
    </r>
    <phoneticPr fontId="18" type="noConversion"/>
  </si>
  <si>
    <r>
      <rPr>
        <b/>
        <sz val="10"/>
        <rFont val="宋体"/>
        <family val="3"/>
        <charset val="134"/>
      </rPr>
      <t>业务内容</t>
    </r>
    <phoneticPr fontId="18" type="noConversion"/>
  </si>
  <si>
    <r>
      <rPr>
        <b/>
        <sz val="10"/>
        <rFont val="宋体"/>
        <family val="3"/>
        <charset val="134"/>
      </rPr>
      <t>对方科目</t>
    </r>
    <phoneticPr fontId="18" type="noConversion"/>
  </si>
  <si>
    <r>
      <rPr>
        <b/>
        <sz val="10"/>
        <rFont val="宋体"/>
        <family val="3"/>
        <charset val="134"/>
      </rPr>
      <t>调整事项说明</t>
    </r>
    <phoneticPr fontId="18"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</si>
  <si>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8" type="noConversion"/>
  </si>
  <si>
    <r>
      <rPr>
        <b/>
        <sz val="10"/>
        <rFont val="宋体"/>
        <family val="3"/>
        <charset val="134"/>
      </rPr>
      <t>报表项目</t>
    </r>
    <phoneticPr fontId="18" type="noConversion"/>
  </si>
  <si>
    <r>
      <rPr>
        <b/>
        <sz val="10"/>
        <rFont val="宋体"/>
        <family val="3"/>
        <charset val="134"/>
      </rPr>
      <t>科目名称</t>
    </r>
    <phoneticPr fontId="18" type="noConversion"/>
  </si>
  <si>
    <r>
      <rPr>
        <b/>
        <sz val="10"/>
        <rFont val="宋体"/>
        <family val="3"/>
        <charset val="134"/>
      </rPr>
      <t>附注项目</t>
    </r>
    <phoneticPr fontId="18" type="noConversion"/>
  </si>
  <si>
    <r>
      <rPr>
        <b/>
        <sz val="10"/>
        <rFont val="宋体"/>
        <family val="3"/>
        <charset val="134"/>
      </rPr>
      <t>贷方调整金额</t>
    </r>
    <phoneticPr fontId="18" type="noConversion"/>
  </si>
  <si>
    <r>
      <rPr>
        <b/>
        <sz val="10"/>
        <rFont val="宋体"/>
        <family val="3"/>
        <charset val="134"/>
      </rPr>
      <t>索引</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</si>
  <si>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</si>
  <si>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</si>
  <si>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</si>
  <si>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</si>
  <si>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</si>
  <si>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t>完整性</t>
    <phoneticPr fontId="18" type="noConversion"/>
  </si>
  <si>
    <t>权利和义务</t>
    <phoneticPr fontId="18" type="noConversion"/>
  </si>
  <si>
    <r>
      <t xml:space="preserve">B. </t>
    </r>
    <r>
      <rPr>
        <sz val="10"/>
        <rFont val="宋体"/>
        <family val="3"/>
        <charset val="134"/>
      </rPr>
      <t>所有应记录的专项储备均已记录，所有应当包括在财务报表中的相关披露均已包括</t>
    </r>
    <phoneticPr fontId="18" type="noConversion"/>
  </si>
  <si>
    <r>
      <t xml:space="preserve">C. </t>
    </r>
    <r>
      <rPr>
        <sz val="10"/>
        <rFont val="宋体"/>
        <family val="3"/>
        <charset val="134"/>
      </rPr>
      <t>记录的专项储备由被审计单位拥有或控制</t>
    </r>
    <phoneticPr fontId="18" type="noConversion"/>
  </si>
  <si>
    <r>
      <t xml:space="preserve">D. </t>
    </r>
    <r>
      <rPr>
        <sz val="10"/>
        <rFont val="宋体"/>
        <family val="3"/>
        <charset val="134"/>
      </rPr>
      <t>专项储备以恰当的金额包括在财务报表中，与之相关的计价或分摊调整已恰当记录，相关披露已得到恰当计量和描述</t>
    </r>
    <r>
      <rPr>
        <sz val="10"/>
        <rFont val="Arial"/>
        <family val="2"/>
      </rPr>
      <t xml:space="preserve"> </t>
    </r>
    <phoneticPr fontId="18" type="noConversion"/>
  </si>
  <si>
    <r>
      <t xml:space="preserve">E. </t>
    </r>
    <r>
      <rPr>
        <sz val="9"/>
        <rFont val="宋体"/>
        <family val="3"/>
        <charset val="134"/>
      </rPr>
      <t>专项储备已被恰当地汇总或分解且表述清楚，相关披露在按照企业会计准则的编制基础下是相关的、可理解的</t>
    </r>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</si>
  <si>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</si>
  <si>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</si>
  <si>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</si>
  <si>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</si>
  <si>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</si>
  <si>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</si>
  <si>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52" type="noConversion"/>
  </si>
  <si>
    <t>专项储备审定表</t>
    <phoneticPr fontId="18" type="noConversion"/>
  </si>
  <si>
    <t>致同会计师事务所</t>
    <phoneticPr fontId="18" type="noConversion"/>
  </si>
  <si>
    <t>专项储备明细表</t>
    <phoneticPr fontId="18" type="noConversion"/>
  </si>
  <si>
    <t>专项储备调整分录汇总表</t>
    <phoneticPr fontId="18" type="noConversion"/>
  </si>
  <si>
    <r>
      <rPr>
        <sz val="10"/>
        <rFont val="宋体"/>
        <family val="3"/>
        <charset val="134"/>
      </rPr>
      <t>专项储备以恰当的金额包括在财务报表中，与之相关的计价或分摊调整已恰当记录，相关披露已得到恰当计量和描述</t>
    </r>
    <r>
      <rPr>
        <sz val="10"/>
        <rFont val="Arial Narrow"/>
        <family val="2"/>
      </rPr>
      <t xml:space="preserve"> </t>
    </r>
    <phoneticPr fontId="18" type="noConversion"/>
  </si>
  <si>
    <t>合计</t>
    <phoneticPr fontId="18" type="noConversion"/>
  </si>
  <si>
    <t>账面金额</t>
    <phoneticPr fontId="18" type="noConversion"/>
  </si>
  <si>
    <t>检查金额</t>
    <phoneticPr fontId="18" type="noConversion"/>
  </si>
  <si>
    <t>检查比例</t>
    <phoneticPr fontId="18" type="noConversion"/>
  </si>
  <si>
    <t>如果检查比例较低应扩大检查样本量或说明原因</t>
    <phoneticPr fontId="18" type="noConversion"/>
  </si>
  <si>
    <t>2.……</t>
    <phoneticPr fontId="18" type="noConversion"/>
  </si>
  <si>
    <r>
      <t>1.</t>
    </r>
    <r>
      <rPr>
        <sz val="10"/>
        <rFont val="宋体"/>
        <family val="3"/>
        <charset val="134"/>
      </rPr>
      <t>本期使用金额检查比例：</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</si>
</sst>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 numFmtId="196" formatCode="#,##0.00_ "/>
  </numFmts>
  <fonts count="84">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0"/>
      <name val="宋体"/>
      <family val="3"/>
      <charset val="134"/>
    </font>
    <font>
      <sz val="10"/>
      <color indexed="12"/>
      <name val="宋体"/>
      <family val="3"/>
      <charset val="134"/>
    </font>
    <font>
      <b/>
      <sz val="10"/>
      <color indexed="8"/>
      <name val="宋体"/>
      <family val="3"/>
      <charset val="134"/>
    </font>
    <font>
      <i/>
      <sz val="10"/>
      <color indexed="12"/>
      <name val="宋体"/>
      <family val="3"/>
      <charset val="134"/>
    </font>
    <font>
      <sz val="18"/>
      <color indexed="48"/>
      <name val="魏碑"/>
      <family val="3"/>
      <charset val="134"/>
    </font>
    <font>
      <sz val="12"/>
      <name val="Arial"/>
      <family val="2"/>
    </font>
    <font>
      <sz val="10.5"/>
      <name val="Arial"/>
      <family val="2"/>
    </font>
    <font>
      <sz val="10.5"/>
      <name val="Times New Roman"/>
      <family val="1"/>
    </font>
    <font>
      <b/>
      <sz val="12"/>
      <name val="Arial"/>
      <family val="2"/>
    </font>
    <font>
      <b/>
      <sz val="12"/>
      <name val="Arial Narrow"/>
      <family val="2"/>
    </font>
    <font>
      <sz val="12"/>
      <name val="Arial Narrow"/>
      <family val="2"/>
    </font>
    <font>
      <sz val="10"/>
      <name val="Arial Narrow"/>
      <family val="2"/>
    </font>
    <font>
      <b/>
      <sz val="10"/>
      <name val="Arial Narrow"/>
      <family val="2"/>
    </font>
    <font>
      <b/>
      <sz val="10"/>
      <color indexed="8"/>
      <name val="Arial Narrow"/>
      <family val="2"/>
    </font>
    <font>
      <sz val="10"/>
      <color indexed="12"/>
      <name val="Arial Narrow"/>
      <family val="2"/>
    </font>
    <font>
      <u val="singleAccounting"/>
      <vertAlign val="subscript"/>
      <sz val="10"/>
      <name val="Times New Roman"/>
      <family val="1"/>
    </font>
    <font>
      <i/>
      <sz val="9"/>
      <name val="Times New Roman"/>
      <family val="1"/>
    </font>
    <font>
      <sz val="10"/>
      <color indexed="8"/>
      <name val="Arial Narrow"/>
      <family val="2"/>
    </font>
    <font>
      <b/>
      <u/>
      <sz val="10"/>
      <color indexed="10"/>
      <name val="Arial Narrow"/>
      <family val="2"/>
    </font>
    <font>
      <sz val="10"/>
      <color indexed="8"/>
      <name val="宋体"/>
      <family val="3"/>
      <charset val="134"/>
    </font>
    <font>
      <sz val="10"/>
      <name val="楷体_GB2312"/>
      <family val="3"/>
      <charset val="134"/>
    </font>
    <font>
      <sz val="12"/>
      <name val="宋体"/>
      <family val="3"/>
      <charset val="134"/>
    </font>
    <font>
      <sz val="11"/>
      <color theme="1"/>
      <name val="宋体"/>
      <family val="3"/>
      <charset val="134"/>
      <scheme val="minor"/>
    </font>
    <font>
      <sz val="9"/>
      <name val="宋体"/>
      <family val="3"/>
      <charset val="134"/>
      <scheme val="minor"/>
    </font>
    <font>
      <sz val="12"/>
      <name val="Times New Roman"/>
      <family val="1"/>
    </font>
    <font>
      <u/>
      <sz val="10"/>
      <name val="Arial Narrow"/>
      <family val="2"/>
    </font>
    <font>
      <sz val="10"/>
      <color indexed="10"/>
      <name val="宋体"/>
      <family val="3"/>
      <charset val="134"/>
    </font>
    <font>
      <i/>
      <sz val="10"/>
      <color rgb="FFFF0000"/>
      <name val="宋体"/>
      <family val="3"/>
      <charset val="134"/>
    </font>
    <font>
      <u/>
      <sz val="10"/>
      <color indexed="12"/>
      <name val="宋体"/>
      <family val="3"/>
      <charset val="134"/>
    </font>
    <font>
      <sz val="9"/>
      <name val="宋体"/>
      <family val="2"/>
      <charset val="134"/>
      <scheme val="minor"/>
    </font>
    <font>
      <sz val="12"/>
      <name val="仿宋_GB2312"/>
      <family val="3"/>
      <charset val="134"/>
    </font>
    <font>
      <i/>
      <sz val="10"/>
      <color indexed="12"/>
      <name val="Arial Narrow"/>
      <family val="2"/>
    </font>
    <font>
      <sz val="10"/>
      <color theme="1"/>
      <name val="Arial Narrow"/>
      <family val="2"/>
    </font>
    <font>
      <sz val="11"/>
      <color theme="1"/>
      <name val="Arial Narrow"/>
      <family val="2"/>
    </font>
    <font>
      <b/>
      <sz val="14"/>
      <name val="宋体"/>
      <family val="3"/>
      <charset val="134"/>
    </font>
    <font>
      <b/>
      <sz val="10"/>
      <name val="Arial"/>
      <family val="2"/>
    </font>
    <font>
      <sz val="10"/>
      <color theme="1" tint="0.14999847407452621"/>
      <name val="宋体"/>
      <family val="3"/>
      <charset val="134"/>
    </font>
    <font>
      <b/>
      <sz val="10"/>
      <color rgb="FFFF0000"/>
      <name val="Arial Narrow"/>
      <family val="2"/>
    </font>
    <font>
      <sz val="10"/>
      <name val="宋体"/>
      <family val="3"/>
      <charset val="134"/>
      <scheme val="minor"/>
    </font>
    <font>
      <sz val="10"/>
      <color rgb="FFFF0000"/>
      <name val="Arial Narrow"/>
      <family val="2"/>
    </font>
    <font>
      <b/>
      <sz val="10"/>
      <color theme="0" tint="-0.499984740745262"/>
      <name val="Arial Narrow"/>
      <family val="2"/>
    </font>
    <font>
      <sz val="10"/>
      <color theme="1"/>
      <name val="宋体"/>
      <family val="3"/>
      <charset val="134"/>
    </font>
    <font>
      <sz val="11"/>
      <name val="Arial Narrow"/>
      <family val="2"/>
    </font>
    <font>
      <b/>
      <sz val="10"/>
      <color theme="1"/>
      <name val="宋体"/>
      <family val="3"/>
      <charset val="134"/>
    </font>
    <font>
      <sz val="10"/>
      <color rgb="FFFF0000"/>
      <name val="宋体"/>
      <family val="3"/>
      <charset val="134"/>
    </font>
    <font>
      <b/>
      <sz val="9"/>
      <color indexed="81"/>
      <name val="宋体"/>
      <family val="3"/>
      <charset val="134"/>
    </font>
    <font>
      <sz val="9"/>
      <color indexed="81"/>
      <name val="宋体"/>
      <family val="3"/>
      <charset val="134"/>
    </font>
    <font>
      <i/>
      <u/>
      <sz val="10"/>
      <color indexed="12"/>
      <name val="Arial Narrow"/>
      <family val="2"/>
    </font>
    <font>
      <b/>
      <sz val="10"/>
      <name val="宋体"/>
      <family val="3"/>
      <charset val="134"/>
      <scheme val="minor"/>
    </font>
    <font>
      <sz val="12"/>
      <name val="宋体"/>
      <family val="3"/>
      <charset val="134"/>
      <scheme val="minor"/>
    </font>
    <font>
      <b/>
      <sz val="10"/>
      <color rgb="FF000000"/>
      <name val="宋体"/>
      <family val="3"/>
      <charset val="134"/>
      <scheme val="minor"/>
    </font>
    <font>
      <sz val="10"/>
      <color rgb="FF000000"/>
      <name val="宋体"/>
      <family val="3"/>
      <charset val="134"/>
      <scheme val="minor"/>
    </font>
    <font>
      <sz val="10"/>
      <color rgb="FF0000FF"/>
      <name val="宋体"/>
      <family val="3"/>
      <charset val="134"/>
      <scheme val="minor"/>
    </font>
    <font>
      <sz val="10"/>
      <name val="宋体"/>
      <family val="2"/>
      <charset val="134"/>
    </font>
    <font>
      <b/>
      <sz val="10"/>
      <color rgb="FFFF0000"/>
      <name val="宋体"/>
      <family val="3"/>
      <charset val="134"/>
    </font>
    <font>
      <sz val="10"/>
      <color rgb="FF0000FF"/>
      <name val="Arial Narrow"/>
      <family val="2"/>
    </font>
    <font>
      <sz val="10"/>
      <color rgb="FF0000FF"/>
      <name val="宋体"/>
      <family val="3"/>
      <charset val="134"/>
    </font>
    <font>
      <sz val="10"/>
      <color indexed="10"/>
      <name val="Arial Narrow"/>
      <family val="2"/>
    </font>
    <font>
      <sz val="10"/>
      <color rgb="FF3333FF"/>
      <name val="Arial Narrow"/>
      <family val="2"/>
    </font>
    <font>
      <sz val="10"/>
      <color rgb="FF3333FF"/>
      <name val="宋体"/>
      <family val="3"/>
      <charset val="134"/>
    </font>
    <font>
      <b/>
      <sz val="10"/>
      <color indexed="12"/>
      <name val="宋体"/>
      <family val="3"/>
      <charset val="134"/>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9"/>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1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s>
  <cellStyleXfs count="61">
    <xf numFmtId="0" fontId="0" fillId="0" borderId="0">
      <protection locked="0"/>
    </xf>
    <xf numFmtId="49" fontId="22" fillId="0" borderId="0" applyProtection="0">
      <alignment horizontal="left"/>
    </xf>
    <xf numFmtId="189" fontId="22" fillId="0" borderId="0" applyFill="0" applyBorder="0" applyProtection="0">
      <alignment horizontal="right"/>
    </xf>
    <xf numFmtId="186" fontId="22" fillId="0" borderId="0" applyFill="0" applyBorder="0" applyProtection="0">
      <alignment horizontal="right"/>
    </xf>
    <xf numFmtId="188" fontId="38" fillId="0" borderId="0" applyFill="0" applyBorder="0" applyProtection="0">
      <alignment horizontal="center"/>
    </xf>
    <xf numFmtId="187" fontId="38" fillId="0" borderId="0" applyFill="0" applyBorder="0" applyProtection="0">
      <alignment horizontal="center"/>
    </xf>
    <xf numFmtId="190" fontId="39" fillId="0" borderId="0" applyFill="0" applyBorder="0" applyProtection="0">
      <alignment horizontal="right"/>
    </xf>
    <xf numFmtId="191" fontId="22" fillId="0" borderId="0" applyFill="0" applyBorder="0" applyProtection="0">
      <alignment horizontal="right"/>
    </xf>
    <xf numFmtId="192" fontId="22" fillId="0" borderId="0" applyFill="0" applyBorder="0" applyProtection="0">
      <alignment horizontal="right"/>
    </xf>
    <xf numFmtId="195" fontId="22" fillId="0" borderId="0" applyFill="0" applyBorder="0" applyProtection="0">
      <alignment horizontal="right"/>
    </xf>
    <xf numFmtId="194" fontId="22"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2"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0" fontId="11" fillId="0" borderId="0">
      <alignment vertical="center"/>
    </xf>
    <xf numFmtId="0" fontId="11" fillId="0" borderId="0">
      <alignment vertical="center"/>
    </xf>
    <xf numFmtId="0" fontId="11" fillId="0" borderId="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0" fontId="11" fillId="0" borderId="0"/>
    <xf numFmtId="9" fontId="44" fillId="0" borderId="0" applyFont="0" applyFill="0" applyBorder="0" applyAlignment="0" applyProtection="0">
      <alignment vertical="center"/>
    </xf>
    <xf numFmtId="193" fontId="45" fillId="0" borderId="0">
      <alignment vertical="center"/>
    </xf>
    <xf numFmtId="193" fontId="11" fillId="0" borderId="0"/>
    <xf numFmtId="0" fontId="11" fillId="0" borderId="0" applyFill="0" applyBorder="0"/>
    <xf numFmtId="0" fontId="47" fillId="0" borderId="0"/>
    <xf numFmtId="0" fontId="11" fillId="0" borderId="0">
      <alignment vertical="center"/>
    </xf>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2" fillId="0" borderId="0">
      <alignment vertical="center"/>
    </xf>
    <xf numFmtId="193" fontId="1" fillId="0" borderId="0">
      <alignment vertical="center"/>
    </xf>
  </cellStyleXfs>
  <cellXfs count="281">
    <xf numFmtId="0" fontId="0" fillId="0" borderId="0" xfId="0">
      <protection locked="0"/>
    </xf>
    <xf numFmtId="0" fontId="21" fillId="0" borderId="0" xfId="0" applyFont="1" applyAlignment="1">
      <alignment horizontal="justify" wrapText="1"/>
      <protection locked="0"/>
    </xf>
    <xf numFmtId="0" fontId="21" fillId="0" borderId="0" xfId="0" applyFont="1" applyAlignment="1">
      <alignment horizontal="justify" vertical="top" wrapText="1"/>
      <protection locked="0"/>
    </xf>
    <xf numFmtId="0" fontId="20" fillId="0" borderId="0" xfId="0" applyFont="1" applyAlignment="1">
      <alignment vertical="center"/>
      <protection locked="0"/>
    </xf>
    <xf numFmtId="0" fontId="0" fillId="0" borderId="0" xfId="0" applyAlignment="1">
      <alignment vertical="center"/>
      <protection locked="0"/>
    </xf>
    <xf numFmtId="0" fontId="28" fillId="0" borderId="0" xfId="0" applyFont="1" applyAlignment="1">
      <alignment vertical="center"/>
      <protection locked="0"/>
    </xf>
    <xf numFmtId="0" fontId="11" fillId="0" borderId="0" xfId="0" applyFont="1" applyAlignment="1">
      <alignment vertical="center"/>
      <protection locked="0"/>
    </xf>
    <xf numFmtId="0" fontId="29" fillId="0" borderId="0" xfId="0" applyFont="1" applyAlignment="1">
      <alignment horizontal="justify" wrapText="1"/>
      <protection locked="0"/>
    </xf>
    <xf numFmtId="0" fontId="11" fillId="0" borderId="0" xfId="0" applyFont="1" applyAlignment="1">
      <alignment horizontal="center" vertical="center"/>
      <protection locked="0"/>
    </xf>
    <xf numFmtId="0" fontId="28" fillId="0" borderId="0" xfId="0" applyFont="1">
      <protection locked="0"/>
    </xf>
    <xf numFmtId="0" fontId="30" fillId="0" borderId="0" xfId="0" applyFont="1" applyAlignment="1">
      <alignment horizontal="justify" wrapText="1"/>
      <protection locked="0"/>
    </xf>
    <xf numFmtId="0" fontId="31" fillId="0" borderId="0" xfId="0" applyFont="1" applyAlignment="1">
      <alignment horizontal="justify"/>
      <protection locked="0"/>
    </xf>
    <xf numFmtId="0" fontId="19" fillId="0" borderId="0" xfId="0" applyFont="1" applyAlignment="1">
      <alignment vertical="center"/>
      <protection locked="0"/>
    </xf>
    <xf numFmtId="0" fontId="33" fillId="0" borderId="0" xfId="32" applyFont="1" applyAlignment="1">
      <alignment vertical="center" wrapText="1"/>
    </xf>
    <xf numFmtId="0" fontId="34" fillId="0" borderId="0" xfId="0" applyFont="1" applyAlignment="1">
      <alignment vertical="center"/>
      <protection locked="0"/>
    </xf>
    <xf numFmtId="0" fontId="34" fillId="0" borderId="0" xfId="0" applyFont="1" applyAlignment="1">
      <alignment vertical="center" wrapText="1"/>
      <protection locked="0"/>
    </xf>
    <xf numFmtId="0" fontId="35" fillId="0" borderId="0" xfId="0" applyFont="1" applyAlignment="1">
      <alignment vertical="center" wrapText="1"/>
      <protection locked="0"/>
    </xf>
    <xf numFmtId="0" fontId="33" fillId="0" borderId="0" xfId="0" applyFont="1" applyAlignment="1">
      <alignment vertical="center" wrapText="1"/>
      <protection locked="0"/>
    </xf>
    <xf numFmtId="0" fontId="32" fillId="0" borderId="0" xfId="32" applyFont="1">
      <alignment vertical="center"/>
    </xf>
    <xf numFmtId="0" fontId="33" fillId="0" borderId="0" xfId="32" applyFont="1">
      <alignment vertical="center"/>
    </xf>
    <xf numFmtId="0" fontId="34" fillId="0" borderId="0" xfId="0" applyFont="1">
      <protection locked="0"/>
    </xf>
    <xf numFmtId="0" fontId="35" fillId="0" borderId="0" xfId="0" applyFont="1">
      <protection locked="0"/>
    </xf>
    <xf numFmtId="0" fontId="33" fillId="0" borderId="0" xfId="0" applyFont="1">
      <protection locked="0"/>
    </xf>
    <xf numFmtId="43" fontId="40" fillId="5" borderId="3" xfId="40" applyFont="1" applyFill="1" applyBorder="1" applyAlignment="1">
      <alignment horizontal="right" vertical="center"/>
    </xf>
    <xf numFmtId="0" fontId="40" fillId="5" borderId="3" xfId="0" applyFont="1" applyFill="1" applyBorder="1" applyAlignment="1">
      <alignment horizontal="center" vertical="center"/>
      <protection locked="0"/>
    </xf>
    <xf numFmtId="0" fontId="34" fillId="0" borderId="3" xfId="0" applyFont="1" applyBorder="1" applyAlignment="1">
      <alignment horizontal="center" vertical="center"/>
      <protection locked="0"/>
    </xf>
    <xf numFmtId="0" fontId="34" fillId="0" borderId="4" xfId="0" applyFont="1" applyBorder="1" applyAlignment="1">
      <alignment vertical="center"/>
      <protection locked="0"/>
    </xf>
    <xf numFmtId="0" fontId="32" fillId="0" borderId="0" xfId="0" applyFont="1" applyAlignment="1">
      <alignment vertical="center"/>
      <protection locked="0"/>
    </xf>
    <xf numFmtId="0" fontId="34" fillId="0" borderId="0" xfId="0" applyFont="1" applyAlignment="1">
      <alignment horizontal="left" vertical="center"/>
      <protection locked="0"/>
    </xf>
    <xf numFmtId="0" fontId="35" fillId="0" borderId="0" xfId="33" applyFont="1" applyAlignment="1">
      <alignment horizontal="left" vertical="center"/>
    </xf>
    <xf numFmtId="0" fontId="34" fillId="0" borderId="0" xfId="33" applyFont="1" applyAlignment="1" applyProtection="1">
      <alignment vertical="center"/>
      <protection locked="0"/>
    </xf>
    <xf numFmtId="0" fontId="37" fillId="0" borderId="0" xfId="33" applyFont="1" applyAlignment="1" applyProtection="1">
      <alignment horizontal="center" vertical="center"/>
      <protection hidden="1"/>
    </xf>
    <xf numFmtId="0" fontId="37" fillId="0" borderId="0" xfId="33" applyFont="1" applyAlignment="1" applyProtection="1">
      <alignment horizontal="left" vertical="center"/>
      <protection locked="0"/>
    </xf>
    <xf numFmtId="0" fontId="34" fillId="0" borderId="0" xfId="0" applyFont="1" applyAlignment="1">
      <alignment horizontal="center" vertical="center"/>
      <protection locked="0"/>
    </xf>
    <xf numFmtId="0" fontId="35" fillId="0" borderId="0" xfId="0" applyFont="1" applyAlignment="1">
      <alignment vertical="center"/>
      <protection locked="0"/>
    </xf>
    <xf numFmtId="0" fontId="37" fillId="0" borderId="0" xfId="0" applyFont="1" applyAlignment="1">
      <alignment vertical="center"/>
      <protection locked="0"/>
    </xf>
    <xf numFmtId="0" fontId="33" fillId="0" borderId="0" xfId="0" applyFont="1" applyAlignment="1">
      <alignment vertical="center"/>
      <protection locked="0"/>
    </xf>
    <xf numFmtId="0" fontId="37" fillId="0" borderId="0" xfId="0" applyFont="1">
      <protection locked="0"/>
    </xf>
    <xf numFmtId="0" fontId="37" fillId="0" borderId="0" xfId="0" applyFont="1" applyAlignment="1">
      <alignment horizontal="right"/>
      <protection locked="0"/>
    </xf>
    <xf numFmtId="0" fontId="34" fillId="0" borderId="0" xfId="33" applyFont="1" applyAlignment="1">
      <alignment vertical="center"/>
    </xf>
    <xf numFmtId="43" fontId="40" fillId="0" borderId="3" xfId="40" applyFont="1" applyFill="1" applyBorder="1" applyAlignment="1">
      <alignment horizontal="right" vertical="center"/>
    </xf>
    <xf numFmtId="0" fontId="40" fillId="0" borderId="3" xfId="0" applyFont="1" applyBorder="1" applyAlignment="1">
      <alignment horizontal="center" vertical="center"/>
      <protection locked="0"/>
    </xf>
    <xf numFmtId="0" fontId="36" fillId="0" borderId="0" xfId="41" applyFont="1" applyAlignment="1" applyProtection="1">
      <alignment vertical="center"/>
    </xf>
    <xf numFmtId="0" fontId="41" fillId="0" borderId="0" xfId="41" applyFont="1" applyAlignment="1" applyProtection="1">
      <alignment horizontal="center"/>
    </xf>
    <xf numFmtId="0" fontId="34" fillId="0" borderId="0" xfId="41" applyFont="1" applyAlignment="1">
      <alignment vertical="center"/>
      <protection locked="0"/>
    </xf>
    <xf numFmtId="0" fontId="34" fillId="0" borderId="0" xfId="41" applyFont="1" applyAlignment="1">
      <alignment vertical="center" wrapText="1"/>
      <protection locked="0"/>
    </xf>
    <xf numFmtId="0" fontId="34" fillId="0" borderId="0" xfId="41" applyFont="1" applyAlignment="1">
      <alignment horizontal="right" vertical="center"/>
      <protection locked="0"/>
    </xf>
    <xf numFmtId="0" fontId="34" fillId="0" borderId="0" xfId="41" applyFont="1" applyAlignment="1">
      <alignment horizontal="justify" vertical="center" wrapText="1"/>
      <protection locked="0"/>
    </xf>
    <xf numFmtId="0" fontId="35" fillId="0" borderId="0" xfId="41" applyFont="1" applyAlignment="1" applyProtection="1">
      <alignment horizontal="left" vertical="center"/>
    </xf>
    <xf numFmtId="0" fontId="34" fillId="0" borderId="0" xfId="42" applyFont="1">
      <alignment vertical="center"/>
    </xf>
    <xf numFmtId="0" fontId="35" fillId="0" borderId="0" xfId="33" applyFont="1" applyAlignment="1" applyProtection="1">
      <alignment vertical="center"/>
      <protection locked="0"/>
    </xf>
    <xf numFmtId="193" fontId="34" fillId="0" borderId="3" xfId="45" applyFont="1" applyBorder="1" applyAlignment="1" applyProtection="1">
      <alignment horizontal="left" vertical="center" wrapText="1"/>
      <protection locked="0"/>
    </xf>
    <xf numFmtId="0" fontId="35" fillId="0" borderId="0" xfId="33" applyFont="1" applyAlignment="1">
      <alignment vertical="center"/>
    </xf>
    <xf numFmtId="43" fontId="34" fillId="0" borderId="0" xfId="47" applyNumberFormat="1" applyFont="1" applyBorder="1" applyAlignment="1">
      <alignment horizontal="left" vertical="center"/>
    </xf>
    <xf numFmtId="0" fontId="34" fillId="0" borderId="0" xfId="48" applyFont="1" applyAlignment="1">
      <alignment vertical="center"/>
    </xf>
    <xf numFmtId="0" fontId="34" fillId="0" borderId="0" xfId="48" applyFont="1" applyAlignment="1">
      <alignment horizontal="left" vertical="center"/>
    </xf>
    <xf numFmtId="0" fontId="34" fillId="0" borderId="0" xfId="49" applyFont="1">
      <alignment vertical="center"/>
    </xf>
    <xf numFmtId="0" fontId="34" fillId="0" borderId="0" xfId="41" applyFont="1" applyAlignment="1" applyProtection="1">
      <alignment vertical="center"/>
    </xf>
    <xf numFmtId="0" fontId="36" fillId="0" borderId="2" xfId="0" applyFont="1" applyBorder="1" applyAlignment="1" applyProtection="1">
      <alignment horizontal="center" vertical="center"/>
    </xf>
    <xf numFmtId="0" fontId="40" fillId="0" borderId="2" xfId="0" applyFont="1" applyBorder="1" applyAlignment="1" applyProtection="1">
      <alignment vertical="center"/>
    </xf>
    <xf numFmtId="0" fontId="51" fillId="0" borderId="2" xfId="34" applyFont="1" applyBorder="1" applyAlignment="1" applyProtection="1">
      <alignment vertical="center"/>
    </xf>
    <xf numFmtId="0" fontId="19" fillId="0" borderId="0" xfId="0" applyFont="1" applyAlignment="1">
      <alignment horizontal="center" vertical="center"/>
      <protection locked="0"/>
    </xf>
    <xf numFmtId="0" fontId="7" fillId="0" borderId="0" xfId="0" applyFont="1">
      <protection locked="0"/>
    </xf>
    <xf numFmtId="193" fontId="35" fillId="0" borderId="3" xfId="45" applyFont="1" applyBorder="1" applyAlignment="1" applyProtection="1">
      <alignment horizontal="left" vertical="center" wrapText="1"/>
      <protection locked="0"/>
    </xf>
    <xf numFmtId="14" fontId="34" fillId="0" borderId="0" xfId="0" applyNumberFormat="1" applyFont="1" applyAlignment="1">
      <alignment vertical="center"/>
      <protection locked="0"/>
    </xf>
    <xf numFmtId="43" fontId="35" fillId="0" borderId="4" xfId="47" applyNumberFormat="1" applyFont="1" applyBorder="1" applyAlignment="1">
      <alignment horizontal="left" vertical="center"/>
    </xf>
    <xf numFmtId="43" fontId="34" fillId="0" borderId="4" xfId="47" applyNumberFormat="1" applyFont="1" applyBorder="1" applyAlignment="1">
      <alignment horizontal="left" vertical="center"/>
    </xf>
    <xf numFmtId="14" fontId="34" fillId="0" borderId="0" xfId="0" applyNumberFormat="1" applyFont="1" applyAlignment="1">
      <alignment horizontal="left" vertical="center"/>
      <protection locked="0"/>
    </xf>
    <xf numFmtId="0" fontId="36" fillId="0" borderId="3" xfId="0" applyFont="1" applyBorder="1" applyAlignment="1">
      <alignment horizontal="center" vertical="center"/>
      <protection locked="0"/>
    </xf>
    <xf numFmtId="0" fontId="35" fillId="0" borderId="4" xfId="0" applyFont="1" applyBorder="1" applyAlignment="1">
      <alignment vertical="center"/>
      <protection locked="0"/>
    </xf>
    <xf numFmtId="0" fontId="54" fillId="0" borderId="0" xfId="0" applyFont="1" applyAlignment="1">
      <alignment vertical="center"/>
      <protection locked="0"/>
    </xf>
    <xf numFmtId="0" fontId="35" fillId="0" borderId="0" xfId="0" applyFont="1" applyAlignment="1" applyProtection="1">
      <alignment horizontal="left" vertical="center"/>
    </xf>
    <xf numFmtId="0" fontId="35" fillId="0" borderId="0" xfId="0" applyFont="1" applyAlignment="1" applyProtection="1">
      <alignment horizontal="center" vertical="center"/>
    </xf>
    <xf numFmtId="9" fontId="35" fillId="0" borderId="0" xfId="44" applyFont="1" applyFill="1" applyBorder="1" applyAlignment="1">
      <alignment horizontal="center" vertical="center"/>
    </xf>
    <xf numFmtId="10" fontId="35" fillId="0" borderId="0" xfId="44" applyNumberFormat="1" applyFont="1" applyFill="1" applyBorder="1" applyAlignment="1">
      <alignment horizontal="center" vertical="center"/>
    </xf>
    <xf numFmtId="0" fontId="35" fillId="6" borderId="3" xfId="0" applyFont="1" applyFill="1" applyBorder="1" applyAlignment="1" applyProtection="1">
      <alignment horizontal="center" vertical="center"/>
    </xf>
    <xf numFmtId="14" fontId="34" fillId="0" borderId="3" xfId="0" applyNumberFormat="1" applyFont="1" applyBorder="1" applyAlignment="1" applyProtection="1">
      <alignment horizontal="center" vertical="center"/>
    </xf>
    <xf numFmtId="0" fontId="34" fillId="0" borderId="3" xfId="0" applyFont="1" applyBorder="1" applyAlignment="1" applyProtection="1">
      <alignment horizontal="center" vertical="center"/>
    </xf>
    <xf numFmtId="0" fontId="34" fillId="0" borderId="3" xfId="0" applyFont="1" applyBorder="1" applyAlignment="1" applyProtection="1">
      <alignment horizontal="left" vertical="center"/>
    </xf>
    <xf numFmtId="196" fontId="34" fillId="0" borderId="3" xfId="0" applyNumberFormat="1" applyFont="1" applyBorder="1" applyAlignment="1" applyProtection="1">
      <alignment horizontal="right" vertical="center"/>
    </xf>
    <xf numFmtId="0" fontId="33" fillId="0" borderId="3" xfId="0" applyFont="1" applyBorder="1" applyProtection="1"/>
    <xf numFmtId="0" fontId="33" fillId="0" borderId="0" xfId="0" applyFont="1" applyProtection="1"/>
    <xf numFmtId="0" fontId="34" fillId="0" borderId="3" xfId="0" applyFont="1" applyBorder="1" applyAlignment="1" applyProtection="1">
      <alignment vertical="center"/>
    </xf>
    <xf numFmtId="0" fontId="33" fillId="0" borderId="3" xfId="43" applyFont="1" applyBorder="1"/>
    <xf numFmtId="14" fontId="34" fillId="5" borderId="3" xfId="0" applyNumberFormat="1" applyFont="1" applyFill="1" applyBorder="1" applyAlignment="1" applyProtection="1">
      <alignment vertical="center"/>
    </xf>
    <xf numFmtId="0" fontId="34" fillId="5" borderId="3" xfId="0" applyFont="1" applyFill="1" applyBorder="1" applyAlignment="1" applyProtection="1">
      <alignment vertical="center"/>
    </xf>
    <xf numFmtId="43" fontId="34" fillId="5" borderId="3" xfId="40" applyFont="1" applyFill="1" applyBorder="1" applyAlignment="1">
      <alignment vertical="center"/>
    </xf>
    <xf numFmtId="43" fontId="36" fillId="0" borderId="3" xfId="40" applyFont="1" applyFill="1" applyBorder="1" applyAlignment="1">
      <alignment horizontal="right" vertical="center"/>
    </xf>
    <xf numFmtId="0" fontId="53" fillId="0" borderId="0" xfId="0" applyFont="1" applyAlignment="1">
      <alignment vertical="center"/>
      <protection locked="0"/>
    </xf>
    <xf numFmtId="193" fontId="55" fillId="0" borderId="0" xfId="51" applyFont="1">
      <alignment vertical="center"/>
    </xf>
    <xf numFmtId="193" fontId="56" fillId="0" borderId="0" xfId="51" applyFont="1">
      <alignment vertical="center"/>
    </xf>
    <xf numFmtId="193" fontId="34" fillId="0" borderId="0" xfId="51" applyFont="1" applyProtection="1">
      <alignment vertical="center"/>
      <protection locked="0"/>
    </xf>
    <xf numFmtId="0" fontId="34" fillId="0" borderId="0" xfId="52" applyFont="1" applyAlignment="1">
      <alignment horizontal="left" vertical="center"/>
      <protection locked="0"/>
    </xf>
    <xf numFmtId="193" fontId="34" fillId="0" borderId="0" xfId="51" applyFont="1" applyAlignment="1" applyProtection="1">
      <alignment horizontal="center" vertical="center"/>
      <protection locked="0"/>
    </xf>
    <xf numFmtId="193" fontId="34" fillId="0" borderId="0" xfId="51" applyFont="1" applyAlignment="1" applyProtection="1">
      <alignment vertical="center" wrapText="1"/>
      <protection locked="0"/>
    </xf>
    <xf numFmtId="193" fontId="59" fillId="0" borderId="0" xfId="51" applyFont="1" applyProtection="1">
      <alignment vertical="center"/>
      <protection locked="0"/>
    </xf>
    <xf numFmtId="49" fontId="35" fillId="0" borderId="0" xfId="51" applyNumberFormat="1" applyFont="1" applyAlignment="1" applyProtection="1">
      <alignment horizontal="left" vertical="center"/>
      <protection locked="0"/>
    </xf>
    <xf numFmtId="193" fontId="35" fillId="0" borderId="0" xfId="51" applyFont="1" applyAlignment="1" applyProtection="1">
      <alignment horizontal="justify" vertical="center"/>
      <protection locked="0"/>
    </xf>
    <xf numFmtId="193" fontId="60" fillId="0" borderId="0" xfId="51" applyFont="1" applyAlignment="1" applyProtection="1">
      <alignment horizontal="center" vertical="center"/>
      <protection locked="0"/>
    </xf>
    <xf numFmtId="193" fontId="56" fillId="0" borderId="0" xfId="51" applyFont="1" applyAlignment="1">
      <alignment horizontal="center" vertical="center"/>
    </xf>
    <xf numFmtId="193" fontId="63" fillId="7" borderId="0" xfId="51" applyFont="1" applyFill="1" applyAlignment="1" applyProtection="1">
      <alignment horizontal="center" vertical="center"/>
      <protection locked="0"/>
    </xf>
    <xf numFmtId="193" fontId="34" fillId="7" borderId="0" xfId="51" applyFont="1" applyFill="1" applyAlignment="1" applyProtection="1">
      <alignment horizontal="left" vertical="center"/>
      <protection locked="0"/>
    </xf>
    <xf numFmtId="193" fontId="65" fillId="7" borderId="0" xfId="51" applyFont="1" applyFill="1" applyAlignment="1">
      <alignment horizontal="left" vertical="center"/>
    </xf>
    <xf numFmtId="193" fontId="34" fillId="7" borderId="0" xfId="51" applyFont="1" applyFill="1" applyAlignment="1">
      <alignment horizontal="left" vertical="center"/>
    </xf>
    <xf numFmtId="193" fontId="64" fillId="0" borderId="3" xfId="51" applyFont="1" applyBorder="1" applyAlignment="1">
      <alignment horizontal="center" vertical="center" wrapText="1"/>
    </xf>
    <xf numFmtId="43" fontId="35" fillId="0" borderId="0" xfId="47" applyNumberFormat="1" applyFont="1" applyFill="1" applyBorder="1" applyAlignment="1">
      <alignment vertical="center"/>
    </xf>
    <xf numFmtId="0" fontId="34" fillId="0" borderId="4" xfId="48" applyFont="1" applyBorder="1" applyAlignment="1">
      <alignment vertical="center"/>
    </xf>
    <xf numFmtId="43" fontId="34" fillId="0" borderId="4" xfId="47" applyNumberFormat="1" applyFont="1" applyBorder="1" applyAlignment="1">
      <alignment vertical="center"/>
    </xf>
    <xf numFmtId="43" fontId="35" fillId="8" borderId="0" xfId="47" applyNumberFormat="1" applyFont="1" applyFill="1" applyBorder="1" applyAlignment="1">
      <alignment vertical="center"/>
    </xf>
    <xf numFmtId="0" fontId="36" fillId="0" borderId="3" xfId="54" applyFont="1" applyBorder="1" applyAlignment="1" applyProtection="1">
      <alignment horizontal="center" vertical="center"/>
    </xf>
    <xf numFmtId="43" fontId="70" fillId="0" borderId="4" xfId="56" applyNumberFormat="1" applyFont="1" applyBorder="1" applyAlignment="1" applyProtection="1">
      <alignment horizontal="center" vertical="center"/>
    </xf>
    <xf numFmtId="0" fontId="35" fillId="0" borderId="0" xfId="48" applyFont="1" applyAlignment="1">
      <alignment vertical="center"/>
    </xf>
    <xf numFmtId="9" fontId="48" fillId="0" borderId="0" xfId="57" applyFont="1" applyBorder="1" applyAlignment="1">
      <alignment horizontal="left" vertical="center"/>
    </xf>
    <xf numFmtId="10" fontId="48" fillId="0" borderId="0" xfId="57" applyNumberFormat="1" applyFont="1" applyBorder="1" applyAlignment="1">
      <alignment horizontal="left" vertical="center"/>
    </xf>
    <xf numFmtId="0" fontId="35" fillId="6" borderId="3" xfId="0" applyFont="1" applyFill="1" applyBorder="1" applyAlignment="1">
      <alignment horizontal="center" vertical="center"/>
      <protection locked="0"/>
    </xf>
    <xf numFmtId="0" fontId="72" fillId="0" borderId="0" xfId="0" applyFont="1" applyAlignment="1">
      <alignment horizontal="left" vertical="center"/>
      <protection locked="0"/>
    </xf>
    <xf numFmtId="0" fontId="61" fillId="0" borderId="0" xfId="0" applyFont="1" applyAlignment="1">
      <alignment horizontal="left" vertical="center"/>
      <protection locked="0"/>
    </xf>
    <xf numFmtId="0" fontId="61" fillId="0" borderId="0" xfId="0" applyFont="1" applyAlignment="1">
      <alignment vertical="center"/>
      <protection locked="0"/>
    </xf>
    <xf numFmtId="0" fontId="71" fillId="0" borderId="10" xfId="0" applyFont="1" applyBorder="1" applyAlignment="1">
      <alignment horizontal="justify" vertical="center" wrapText="1"/>
      <protection locked="0"/>
    </xf>
    <xf numFmtId="0" fontId="73" fillId="0" borderId="10" xfId="0" applyFont="1" applyBorder="1" applyAlignment="1">
      <alignment horizontal="right" vertical="center" wrapText="1"/>
      <protection locked="0"/>
    </xf>
    <xf numFmtId="0" fontId="71" fillId="0" borderId="10" xfId="0" applyFont="1" applyBorder="1" applyAlignment="1">
      <alignment horizontal="right" vertical="center" wrapText="1"/>
      <protection locked="0"/>
    </xf>
    <xf numFmtId="0" fontId="74" fillId="0" borderId="0" xfId="0" applyFont="1" applyAlignment="1">
      <alignment horizontal="justify" vertical="center" wrapText="1"/>
      <protection locked="0"/>
    </xf>
    <xf numFmtId="43" fontId="61" fillId="0" borderId="0" xfId="0" applyNumberFormat="1" applyFont="1" applyAlignment="1">
      <alignment horizontal="right" vertical="center" wrapText="1"/>
      <protection locked="0"/>
    </xf>
    <xf numFmtId="43" fontId="61" fillId="0" borderId="0" xfId="40" applyFont="1" applyFill="1" applyAlignment="1" applyProtection="1">
      <alignment horizontal="right" vertical="center" wrapText="1" shrinkToFit="1"/>
      <protection locked="0"/>
    </xf>
    <xf numFmtId="0" fontId="61" fillId="0" borderId="0" xfId="0" applyFont="1" applyAlignment="1">
      <alignment horizontal="right" vertical="center" wrapText="1"/>
      <protection locked="0"/>
    </xf>
    <xf numFmtId="0" fontId="74" fillId="0" borderId="11" xfId="0" applyFont="1" applyBorder="1" applyAlignment="1">
      <alignment horizontal="justify" vertical="center" wrapText="1"/>
      <protection locked="0"/>
    </xf>
    <xf numFmtId="0" fontId="61" fillId="0" borderId="11" xfId="0" applyFont="1" applyBorder="1" applyAlignment="1">
      <alignment horizontal="right" vertical="center" wrapText="1"/>
      <protection locked="0"/>
    </xf>
    <xf numFmtId="0" fontId="73" fillId="0" borderId="11" xfId="0" applyFont="1" applyBorder="1" applyAlignment="1">
      <alignment horizontal="justify" vertical="center" wrapText="1"/>
      <protection locked="0"/>
    </xf>
    <xf numFmtId="43" fontId="71" fillId="0" borderId="10" xfId="40" applyFont="1" applyFill="1" applyBorder="1" applyAlignment="1" applyProtection="1">
      <alignment horizontal="right" vertical="center" wrapText="1" shrinkToFit="1"/>
      <protection locked="0"/>
    </xf>
    <xf numFmtId="0" fontId="71" fillId="0" borderId="11" xfId="0" applyFont="1" applyBorder="1" applyAlignment="1">
      <alignment horizontal="right" vertical="center" wrapText="1"/>
      <protection locked="0"/>
    </xf>
    <xf numFmtId="0" fontId="72" fillId="0" borderId="0" xfId="0" applyFont="1" applyAlignment="1">
      <alignment horizontal="justify" vertical="center"/>
      <protection locked="0"/>
    </xf>
    <xf numFmtId="49" fontId="23" fillId="0" borderId="0" xfId="58" applyNumberFormat="1" applyFont="1" applyAlignment="1" applyProtection="1">
      <alignment horizontal="left" vertical="center"/>
      <protection locked="0"/>
    </xf>
    <xf numFmtId="193" fontId="23" fillId="6" borderId="3" xfId="58" applyFont="1" applyFill="1" applyBorder="1" applyAlignment="1" applyProtection="1">
      <alignment horizontal="center" vertical="center" wrapText="1"/>
      <protection locked="0"/>
    </xf>
    <xf numFmtId="193" fontId="34" fillId="0" borderId="0" xfId="51" applyFont="1" applyAlignment="1">
      <alignment horizontal="left" vertical="center"/>
    </xf>
    <xf numFmtId="193" fontId="65" fillId="0" borderId="0" xfId="51" applyFont="1" applyAlignment="1">
      <alignment horizontal="left" vertical="center"/>
    </xf>
    <xf numFmtId="193" fontId="64" fillId="0" borderId="3" xfId="58" applyFont="1" applyBorder="1" applyAlignment="1">
      <alignment horizontal="center" vertical="center" wrapText="1"/>
    </xf>
    <xf numFmtId="193" fontId="66" fillId="0" borderId="3" xfId="58" applyFont="1" applyBorder="1" applyAlignment="1">
      <alignment horizontal="center" vertical="center" wrapText="1"/>
    </xf>
    <xf numFmtId="193" fontId="55" fillId="0" borderId="3" xfId="58" applyFont="1" applyBorder="1" applyAlignment="1">
      <alignment horizontal="center" vertical="center" wrapText="1"/>
    </xf>
    <xf numFmtId="0" fontId="64" fillId="0" borderId="3" xfId="49" applyFont="1" applyBorder="1" applyAlignment="1">
      <alignment horizontal="center" vertical="center" wrapText="1"/>
    </xf>
    <xf numFmtId="43" fontId="34" fillId="9" borderId="3" xfId="40" applyFont="1" applyFill="1" applyBorder="1" applyAlignment="1">
      <alignment horizontal="right" vertical="center" wrapText="1"/>
    </xf>
    <xf numFmtId="10" fontId="34" fillId="9" borderId="3" xfId="44" applyNumberFormat="1" applyFont="1" applyFill="1" applyBorder="1" applyAlignment="1">
      <alignment horizontal="right" vertical="center" wrapText="1"/>
    </xf>
    <xf numFmtId="43" fontId="35" fillId="9" borderId="3" xfId="40" applyFont="1" applyFill="1" applyBorder="1" applyAlignment="1">
      <alignment horizontal="right" vertical="center" wrapText="1"/>
    </xf>
    <xf numFmtId="10" fontId="35" fillId="9" borderId="3" xfId="44" applyNumberFormat="1" applyFont="1" applyFill="1" applyBorder="1" applyAlignment="1">
      <alignment horizontal="right" vertical="center" wrapText="1"/>
    </xf>
    <xf numFmtId="43" fontId="40" fillId="9" borderId="3" xfId="53" applyFont="1" applyFill="1" applyBorder="1" applyAlignment="1">
      <alignment horizontal="right" vertical="center"/>
    </xf>
    <xf numFmtId="193" fontId="35" fillId="6" borderId="3" xfId="45" applyFont="1" applyFill="1" applyBorder="1" applyAlignment="1" applyProtection="1">
      <alignment horizontal="center" vertical="center" wrapText="1"/>
      <protection locked="0"/>
    </xf>
    <xf numFmtId="0" fontId="19" fillId="0" borderId="0" xfId="0" applyFont="1">
      <protection locked="0"/>
    </xf>
    <xf numFmtId="193" fontId="78" fillId="7" borderId="0" xfId="58" applyFont="1" applyFill="1" applyAlignment="1" applyProtection="1">
      <alignment horizontal="left" vertical="center" wrapText="1"/>
      <protection locked="0"/>
    </xf>
    <xf numFmtId="0" fontId="19" fillId="0" borderId="0" xfId="0" applyFont="1" applyAlignment="1">
      <alignment horizontal="left" vertical="center"/>
      <protection locked="0"/>
    </xf>
    <xf numFmtId="193" fontId="36" fillId="6" borderId="3" xfId="46" applyFont="1" applyFill="1" applyBorder="1" applyAlignment="1" applyProtection="1">
      <alignment horizontal="center" vertical="center" wrapText="1"/>
      <protection locked="0"/>
    </xf>
    <xf numFmtId="193" fontId="35" fillId="6" borderId="3" xfId="46" applyFont="1" applyFill="1" applyBorder="1" applyAlignment="1" applyProtection="1">
      <alignment horizontal="center" vertical="center"/>
      <protection locked="0"/>
    </xf>
    <xf numFmtId="43" fontId="35" fillId="0" borderId="3" xfId="40" applyFont="1" applyFill="1" applyBorder="1" applyAlignment="1">
      <alignment horizontal="center" vertical="center" wrapText="1"/>
    </xf>
    <xf numFmtId="43" fontId="70" fillId="0" borderId="0" xfId="34" applyNumberFormat="1" applyFont="1" applyBorder="1" applyAlignment="1" applyProtection="1">
      <alignment horizontal="center" vertical="center"/>
    </xf>
    <xf numFmtId="43" fontId="34" fillId="0" borderId="14" xfId="47" applyNumberFormat="1" applyFont="1" applyBorder="1" applyAlignment="1">
      <alignment vertical="center"/>
    </xf>
    <xf numFmtId="43" fontId="35" fillId="0" borderId="0" xfId="47" applyNumberFormat="1" applyFont="1" applyBorder="1" applyAlignment="1">
      <alignment horizontal="left" vertical="center"/>
    </xf>
    <xf numFmtId="43" fontId="35" fillId="0" borderId="15" xfId="47" applyNumberFormat="1" applyFont="1" applyFill="1" applyBorder="1" applyAlignment="1">
      <alignment vertical="center"/>
    </xf>
    <xf numFmtId="0" fontId="34" fillId="0" borderId="0" xfId="41" applyFont="1" applyAlignment="1" applyProtection="1">
      <alignment horizontal="left" vertical="center"/>
    </xf>
    <xf numFmtId="0" fontId="36" fillId="6" borderId="3" xfId="0" applyFont="1" applyFill="1" applyBorder="1" applyAlignment="1">
      <alignment horizontal="center" vertical="center"/>
      <protection locked="0"/>
    </xf>
    <xf numFmtId="0" fontId="40" fillId="0" borderId="3" xfId="0" applyFont="1" applyBorder="1" applyAlignment="1">
      <alignment horizontal="left" vertical="center"/>
      <protection locked="0"/>
    </xf>
    <xf numFmtId="0" fontId="36" fillId="5" borderId="3" xfId="0" applyFont="1" applyFill="1" applyBorder="1" applyAlignment="1">
      <alignment horizontal="center" vertical="center"/>
      <protection locked="0"/>
    </xf>
    <xf numFmtId="0" fontId="35" fillId="0" borderId="3" xfId="0" applyFont="1" applyBorder="1" applyAlignment="1">
      <alignment horizontal="center" vertical="center"/>
      <protection locked="0"/>
    </xf>
    <xf numFmtId="43" fontId="34" fillId="0" borderId="0" xfId="47" applyNumberFormat="1" applyFont="1" applyBorder="1" applyAlignment="1">
      <alignment vertical="center"/>
    </xf>
    <xf numFmtId="193" fontId="35" fillId="6" borderId="3" xfId="55" applyFont="1" applyFill="1" applyBorder="1" applyAlignment="1" applyProtection="1">
      <alignment horizontal="center" vertical="center" wrapText="1"/>
      <protection locked="0"/>
    </xf>
    <xf numFmtId="0" fontId="40" fillId="0" borderId="3" xfId="54" applyFont="1" applyBorder="1" applyAlignment="1" applyProtection="1">
      <alignment vertical="center"/>
    </xf>
    <xf numFmtId="0" fontId="34" fillId="0" borderId="3" xfId="54" applyFont="1" applyBorder="1" applyAlignment="1" applyProtection="1">
      <alignment vertical="center"/>
    </xf>
    <xf numFmtId="0" fontId="62" fillId="0" borderId="3" xfId="54" applyFont="1" applyBorder="1" applyAlignment="1" applyProtection="1">
      <alignment horizontal="left" vertical="center" indent="1"/>
    </xf>
    <xf numFmtId="0" fontId="33" fillId="0" borderId="0" xfId="54" applyFont="1">
      <protection locked="0"/>
    </xf>
    <xf numFmtId="0" fontId="81" fillId="0" borderId="0" xfId="0" applyFont="1" applyAlignment="1">
      <alignment vertical="top"/>
      <protection locked="0"/>
    </xf>
    <xf numFmtId="0" fontId="75" fillId="0" borderId="0" xfId="0" applyFont="1" applyAlignment="1">
      <alignment vertical="top"/>
      <protection locked="0"/>
    </xf>
    <xf numFmtId="0" fontId="62" fillId="0" borderId="0" xfId="0" applyFont="1" applyAlignment="1">
      <alignment horizontal="left" vertical="center"/>
      <protection locked="0"/>
    </xf>
    <xf numFmtId="0" fontId="35" fillId="0" borderId="0" xfId="0" applyFont="1" applyBorder="1" applyAlignment="1">
      <alignment vertical="center"/>
      <protection locked="0"/>
    </xf>
    <xf numFmtId="0" fontId="83" fillId="0" borderId="0" xfId="0" applyFont="1" applyAlignment="1">
      <alignment vertical="center"/>
      <protection locked="0"/>
    </xf>
    <xf numFmtId="193" fontId="66" fillId="0" borderId="3" xfId="58" applyFont="1" applyFill="1" applyBorder="1" applyAlignment="1">
      <alignment horizontal="center" vertical="center" wrapText="1"/>
    </xf>
    <xf numFmtId="193" fontId="64" fillId="0" borderId="3" xfId="58" applyFont="1" applyFill="1" applyBorder="1" applyAlignment="1">
      <alignment horizontal="center" vertical="center" wrapText="1"/>
    </xf>
    <xf numFmtId="193" fontId="67" fillId="7" borderId="0" xfId="51" applyFont="1" applyFill="1" applyAlignment="1">
      <alignment horizontal="left" vertical="center"/>
    </xf>
    <xf numFmtId="0" fontId="19" fillId="0" borderId="3" xfId="49" applyFont="1" applyBorder="1" applyAlignment="1">
      <alignment vertical="center" wrapText="1"/>
    </xf>
    <xf numFmtId="193" fontId="76" fillId="0" borderId="3" xfId="51" applyFont="1" applyBorder="1" applyAlignment="1">
      <alignment vertical="center" wrapText="1"/>
    </xf>
    <xf numFmtId="193" fontId="23" fillId="6" borderId="3" xfId="58" applyFont="1" applyFill="1" applyBorder="1" applyAlignment="1" applyProtection="1">
      <alignment horizontal="center" vertical="center"/>
      <protection locked="0"/>
    </xf>
    <xf numFmtId="193" fontId="19" fillId="0" borderId="3" xfId="51" applyFont="1" applyBorder="1" applyAlignment="1">
      <alignment vertical="center" wrapText="1"/>
    </xf>
    <xf numFmtId="193" fontId="34" fillId="0" borderId="3" xfId="51" applyFont="1" applyBorder="1" applyAlignment="1">
      <alignment horizontal="center" vertical="center" wrapText="1"/>
    </xf>
    <xf numFmtId="193" fontId="34" fillId="0" borderId="3" xfId="51" applyFont="1" applyBorder="1" applyAlignment="1">
      <alignment vertical="center" wrapText="1"/>
    </xf>
    <xf numFmtId="0" fontId="34" fillId="4" borderId="0" xfId="0" applyFont="1" applyFill="1" applyAlignment="1">
      <alignment horizontal="justify" vertical="center" wrapText="1"/>
      <protection locked="0"/>
    </xf>
    <xf numFmtId="193" fontId="34" fillId="0" borderId="3" xfId="58" applyFont="1" applyBorder="1" applyAlignment="1">
      <alignment horizontal="center" vertical="center" wrapText="1"/>
    </xf>
    <xf numFmtId="0" fontId="23" fillId="0" borderId="0" xfId="0" applyFont="1" applyAlignment="1" applyProtection="1">
      <alignment horizontal="left" vertical="center"/>
    </xf>
    <xf numFmtId="0" fontId="34" fillId="0" borderId="3" xfId="51" applyNumberFormat="1" applyFont="1" applyBorder="1" applyAlignment="1" applyProtection="1">
      <alignment horizontal="center" vertical="center"/>
      <protection locked="0"/>
    </xf>
    <xf numFmtId="0" fontId="64" fillId="0" borderId="3" xfId="49" applyFont="1" applyBorder="1" applyAlignment="1">
      <alignment vertical="center" wrapText="1"/>
    </xf>
    <xf numFmtId="0" fontId="40" fillId="0" borderId="2" xfId="0" applyFont="1" applyBorder="1" applyAlignment="1" applyProtection="1">
      <alignment horizontal="center" vertical="center"/>
    </xf>
    <xf numFmtId="0" fontId="11" fillId="0" borderId="0" xfId="0" applyFont="1" applyAlignment="1">
      <alignment horizontal="center"/>
      <protection locked="0"/>
    </xf>
    <xf numFmtId="0" fontId="28" fillId="0" borderId="0" xfId="0" applyFont="1" applyAlignment="1">
      <alignment horizontal="center"/>
      <protection locked="0"/>
    </xf>
    <xf numFmtId="0" fontId="24" fillId="0" borderId="2" xfId="34" applyFont="1" applyBorder="1" applyAlignment="1" applyProtection="1">
      <alignment vertical="center"/>
    </xf>
    <xf numFmtId="193" fontId="37" fillId="0" borderId="0" xfId="34" applyNumberFormat="1" applyFont="1" applyAlignment="1" applyProtection="1">
      <alignment vertical="center" wrapText="1"/>
      <protection locked="0"/>
    </xf>
    <xf numFmtId="193" fontId="34" fillId="0" borderId="0" xfId="51" applyFont="1" applyAlignment="1" applyProtection="1">
      <alignment horizontal="right" vertical="center"/>
      <protection locked="0"/>
    </xf>
    <xf numFmtId="0" fontId="35" fillId="6" borderId="3" xfId="41" applyFont="1" applyFill="1" applyBorder="1" applyAlignment="1">
      <alignment horizontal="center" vertical="center"/>
      <protection locked="0"/>
    </xf>
    <xf numFmtId="0" fontId="23" fillId="6" borderId="3" xfId="41" applyFont="1" applyFill="1" applyBorder="1" applyAlignment="1">
      <alignment horizontal="center" vertical="center"/>
      <protection locked="0"/>
    </xf>
    <xf numFmtId="0" fontId="35" fillId="6" borderId="3" xfId="41" applyFont="1" applyFill="1" applyBorder="1" applyAlignment="1">
      <alignment horizontal="center" vertical="center" wrapText="1"/>
      <protection locked="0"/>
    </xf>
    <xf numFmtId="0" fontId="35" fillId="6" borderId="3" xfId="54" applyFont="1" applyFill="1" applyBorder="1" applyAlignment="1" applyProtection="1">
      <alignment vertical="center"/>
    </xf>
    <xf numFmtId="0" fontId="35" fillId="6" borderId="3" xfId="54" applyFont="1" applyFill="1" applyBorder="1" applyAlignment="1" applyProtection="1">
      <alignment horizontal="center" vertical="center" wrapText="1"/>
    </xf>
    <xf numFmtId="0" fontId="35" fillId="6" borderId="3" xfId="54" applyFont="1" applyFill="1" applyBorder="1" applyAlignment="1" applyProtection="1">
      <alignment horizontal="center" vertical="center"/>
    </xf>
    <xf numFmtId="193" fontId="62" fillId="0" borderId="3" xfId="51" applyFont="1" applyBorder="1" applyAlignment="1">
      <alignment horizontal="center" vertical="center" wrapText="1"/>
    </xf>
    <xf numFmtId="0" fontId="19" fillId="4" borderId="0" xfId="0" applyFont="1" applyFill="1" applyAlignment="1">
      <alignment horizontal="justify" vertical="center" wrapText="1"/>
      <protection locked="0"/>
    </xf>
    <xf numFmtId="0" fontId="35" fillId="9" borderId="3" xfId="0" applyFont="1" applyFill="1" applyBorder="1" applyAlignment="1" applyProtection="1">
      <alignment vertical="center"/>
    </xf>
    <xf numFmtId="14" fontId="35" fillId="9" borderId="3" xfId="0" applyNumberFormat="1" applyFont="1" applyFill="1" applyBorder="1" applyAlignment="1" applyProtection="1">
      <alignment vertical="center"/>
    </xf>
    <xf numFmtId="0" fontId="32" fillId="9" borderId="3" xfId="43" applyFont="1" applyFill="1" applyBorder="1"/>
    <xf numFmtId="0" fontId="35" fillId="9" borderId="0" xfId="33" applyFont="1" applyFill="1" applyAlignment="1" applyProtection="1">
      <alignment vertical="center"/>
      <protection locked="0"/>
    </xf>
    <xf numFmtId="0" fontId="35" fillId="6" borderId="3" xfId="0" applyFont="1" applyFill="1" applyBorder="1" applyAlignment="1" applyProtection="1">
      <alignment horizontal="center" vertical="center"/>
    </xf>
    <xf numFmtId="0" fontId="57" fillId="0" borderId="0" xfId="0" applyFont="1" applyAlignment="1">
      <alignment horizontal="center" vertical="center"/>
      <protection locked="0"/>
    </xf>
    <xf numFmtId="193" fontId="63" fillId="7" borderId="0" xfId="51" applyFont="1" applyFill="1" applyBorder="1" applyAlignment="1" applyProtection="1">
      <alignment horizontal="centerContinuous" vertical="center"/>
      <protection locked="0"/>
    </xf>
    <xf numFmtId="193" fontId="56" fillId="7" borderId="0" xfId="51" applyFont="1" applyFill="1" applyBorder="1" applyAlignment="1">
      <alignment horizontal="centerContinuous" vertical="center"/>
    </xf>
    <xf numFmtId="0" fontId="34" fillId="4" borderId="0" xfId="0" applyFont="1" applyFill="1" applyBorder="1" applyAlignment="1">
      <alignment horizontal="justify" vertical="center" wrapText="1"/>
      <protection locked="0"/>
    </xf>
    <xf numFmtId="193" fontId="79" fillId="0" borderId="0" xfId="60" applyFont="1" applyFill="1" applyAlignment="1">
      <alignment horizontal="left" vertical="center"/>
    </xf>
    <xf numFmtId="14" fontId="23" fillId="6" borderId="3" xfId="0" applyNumberFormat="1" applyFont="1" applyFill="1" applyBorder="1" applyAlignment="1" applyProtection="1">
      <alignment horizontal="center" vertical="center"/>
    </xf>
    <xf numFmtId="0" fontId="35" fillId="6" borderId="3" xfId="0" applyFont="1" applyFill="1" applyBorder="1" applyAlignment="1" applyProtection="1">
      <alignment horizontal="left" vertical="center"/>
    </xf>
    <xf numFmtId="196" fontId="35" fillId="6" borderId="3" xfId="0" applyNumberFormat="1" applyFont="1" applyFill="1" applyBorder="1" applyAlignment="1" applyProtection="1">
      <alignment horizontal="right" vertical="center"/>
    </xf>
    <xf numFmtId="0" fontId="32" fillId="6" borderId="3" xfId="0" applyFont="1" applyFill="1" applyBorder="1" applyProtection="1"/>
    <xf numFmtId="0" fontId="35" fillId="6" borderId="0" xfId="33" applyFont="1" applyFill="1" applyAlignment="1" applyProtection="1">
      <alignment vertical="center"/>
      <protection locked="0"/>
    </xf>
    <xf numFmtId="43" fontId="34" fillId="0" borderId="3" xfId="40" applyFont="1" applyBorder="1" applyAlignment="1" applyProtection="1">
      <alignment horizontal="right" vertical="center"/>
    </xf>
    <xf numFmtId="43" fontId="35" fillId="6" borderId="3" xfId="40" applyFont="1" applyFill="1" applyBorder="1" applyAlignment="1" applyProtection="1">
      <alignment horizontal="right" vertical="center"/>
    </xf>
    <xf numFmtId="0" fontId="32" fillId="6" borderId="0" xfId="0" applyFont="1" applyFill="1" applyProtection="1"/>
    <xf numFmtId="0" fontId="19" fillId="0" borderId="3" xfId="0" applyFont="1" applyBorder="1" applyAlignment="1">
      <alignment horizontal="center" vertical="center"/>
      <protection locked="0"/>
    </xf>
    <xf numFmtId="0" fontId="67" fillId="0" borderId="0" xfId="41" applyFont="1" applyAlignment="1">
      <alignment vertical="center"/>
      <protection locked="0"/>
    </xf>
    <xf numFmtId="0" fontId="35" fillId="0" borderId="0" xfId="41" applyFont="1" applyAlignment="1">
      <alignment vertical="center"/>
      <protection locked="0"/>
    </xf>
    <xf numFmtId="43" fontId="34" fillId="0" borderId="3" xfId="40" applyFont="1" applyBorder="1" applyAlignment="1" applyProtection="1">
      <alignment horizontal="center" vertical="center"/>
      <protection locked="0"/>
    </xf>
    <xf numFmtId="10" fontId="34" fillId="0" borderId="3" xfId="44" applyNumberFormat="1" applyFont="1" applyBorder="1" applyAlignment="1" applyProtection="1">
      <alignment horizontal="center" vertical="center"/>
      <protection locked="0"/>
    </xf>
    <xf numFmtId="0" fontId="62" fillId="0" borderId="0" xfId="41" applyFont="1" applyAlignment="1">
      <alignment vertical="center"/>
      <protection locked="0"/>
    </xf>
    <xf numFmtId="0" fontId="19" fillId="0" borderId="0" xfId="0" applyFont="1" applyBorder="1" applyAlignment="1">
      <alignment horizontal="center" vertical="center"/>
      <protection locked="0"/>
    </xf>
    <xf numFmtId="43" fontId="34" fillId="0" borderId="0" xfId="40" applyFont="1" applyBorder="1" applyAlignment="1" applyProtection="1">
      <alignment horizontal="center" vertical="center"/>
      <protection locked="0"/>
    </xf>
    <xf numFmtId="10" fontId="34" fillId="0" borderId="0" xfId="44" applyNumberFormat="1" applyFont="1" applyBorder="1" applyAlignment="1" applyProtection="1">
      <alignment horizontal="center" vertical="center"/>
      <protection locked="0"/>
    </xf>
    <xf numFmtId="0" fontId="32" fillId="0" borderId="0" xfId="0" applyFont="1" applyAlignment="1">
      <alignment horizontal="left" vertical="center" wrapText="1"/>
      <protection locked="0"/>
    </xf>
    <xf numFmtId="0" fontId="33" fillId="0" borderId="0" xfId="0" applyFont="1" applyAlignment="1">
      <alignment horizontal="left" vertical="center" wrapText="1"/>
      <protection locked="0"/>
    </xf>
    <xf numFmtId="193" fontId="20" fillId="0" borderId="0" xfId="50" applyFont="1" applyAlignment="1">
      <alignment horizontal="center" vertical="center"/>
    </xf>
    <xf numFmtId="193" fontId="57" fillId="0" borderId="0" xfId="50" applyFont="1" applyAlignment="1">
      <alignment horizontal="center" vertical="center"/>
    </xf>
    <xf numFmtId="193" fontId="58" fillId="0" borderId="0" xfId="51" applyFont="1" applyAlignment="1" applyProtection="1">
      <alignment horizontal="left" vertical="center"/>
      <protection locked="0"/>
    </xf>
    <xf numFmtId="193" fontId="23" fillId="6" borderId="3" xfId="58" applyFont="1" applyFill="1" applyBorder="1" applyAlignment="1" applyProtection="1">
      <alignment horizontal="center" vertical="center" wrapText="1"/>
      <protection locked="0"/>
    </xf>
    <xf numFmtId="193" fontId="7" fillId="0" borderId="3" xfId="58" applyFont="1" applyBorder="1" applyAlignment="1" applyProtection="1">
      <alignment horizontal="left" vertical="center" wrapText="1"/>
      <protection locked="0"/>
    </xf>
    <xf numFmtId="193" fontId="23" fillId="6" borderId="3" xfId="51" applyFont="1" applyFill="1" applyBorder="1" applyAlignment="1" applyProtection="1">
      <alignment horizontal="center" vertical="center" wrapText="1"/>
      <protection locked="0"/>
    </xf>
    <xf numFmtId="49" fontId="35" fillId="6" borderId="3" xfId="51" applyNumberFormat="1" applyFont="1" applyFill="1" applyBorder="1" applyAlignment="1" applyProtection="1">
      <alignment horizontal="center" vertical="center"/>
      <protection locked="0"/>
    </xf>
    <xf numFmtId="193" fontId="23" fillId="6" borderId="3" xfId="58" applyFont="1" applyFill="1" applyBorder="1" applyAlignment="1" applyProtection="1">
      <alignment horizontal="center" vertical="center"/>
      <protection locked="0"/>
    </xf>
    <xf numFmtId="193" fontId="35" fillId="6" borderId="3" xfId="51" applyFont="1" applyFill="1" applyBorder="1" applyAlignment="1" applyProtection="1">
      <alignment horizontal="center" vertical="center" wrapText="1"/>
      <protection locked="0"/>
    </xf>
    <xf numFmtId="193" fontId="35" fillId="6" borderId="3" xfId="58" applyFont="1" applyFill="1" applyBorder="1" applyAlignment="1" applyProtection="1">
      <alignment horizontal="center" vertical="center"/>
      <protection locked="0"/>
    </xf>
    <xf numFmtId="193" fontId="34" fillId="0" borderId="3" xfId="58" applyFont="1" applyBorder="1" applyAlignment="1" applyProtection="1">
      <alignment horizontal="center" vertical="center" wrapText="1"/>
      <protection locked="0"/>
    </xf>
    <xf numFmtId="193" fontId="19" fillId="0" borderId="3" xfId="58" applyFont="1" applyBorder="1" applyAlignment="1" applyProtection="1">
      <alignment horizontal="center" vertical="center" wrapText="1"/>
      <protection locked="0"/>
    </xf>
    <xf numFmtId="0" fontId="78" fillId="0" borderId="0" xfId="31" applyFont="1" applyAlignment="1">
      <alignment horizontal="left" vertical="center" wrapText="1"/>
    </xf>
    <xf numFmtId="193" fontId="35" fillId="6" borderId="3" xfId="45" applyFont="1" applyFill="1" applyBorder="1" applyAlignment="1" applyProtection="1">
      <alignment horizontal="center" vertical="center" wrapText="1"/>
      <protection locked="0"/>
    </xf>
    <xf numFmtId="193" fontId="35" fillId="6" borderId="7" xfId="45" applyFont="1" applyFill="1" applyBorder="1" applyAlignment="1" applyProtection="1">
      <alignment horizontal="center" vertical="center" wrapText="1"/>
      <protection locked="0"/>
    </xf>
    <xf numFmtId="193" fontId="35" fillId="6" borderId="8" xfId="45" applyFont="1" applyFill="1" applyBorder="1" applyAlignment="1" applyProtection="1">
      <alignment horizontal="center" vertical="center" wrapText="1"/>
      <protection locked="0"/>
    </xf>
    <xf numFmtId="193" fontId="35" fillId="6" borderId="9" xfId="45" applyFont="1" applyFill="1" applyBorder="1" applyAlignment="1" applyProtection="1">
      <alignment horizontal="center" vertical="center" wrapText="1"/>
      <protection locked="0"/>
    </xf>
    <xf numFmtId="193" fontId="35" fillId="9" borderId="7" xfId="45" applyFont="1" applyFill="1" applyBorder="1" applyAlignment="1" applyProtection="1">
      <alignment horizontal="center" vertical="center" wrapText="1"/>
      <protection locked="0"/>
    </xf>
    <xf numFmtId="193" fontId="35" fillId="9" borderId="8" xfId="45" applyFont="1" applyFill="1" applyBorder="1" applyAlignment="1" applyProtection="1">
      <alignment horizontal="center" vertical="center" wrapText="1"/>
      <protection locked="0"/>
    </xf>
    <xf numFmtId="193" fontId="35" fillId="9" borderId="9" xfId="45" applyFont="1" applyFill="1" applyBorder="1" applyAlignment="1" applyProtection="1">
      <alignment horizontal="center" vertical="center" wrapText="1"/>
      <protection locked="0"/>
    </xf>
    <xf numFmtId="193" fontId="36" fillId="6" borderId="3" xfId="46" applyFont="1" applyFill="1" applyBorder="1" applyAlignment="1" applyProtection="1">
      <alignment horizontal="center" vertical="center" wrapText="1"/>
      <protection locked="0"/>
    </xf>
    <xf numFmtId="193" fontId="35" fillId="6" borderId="3" xfId="46" applyFont="1" applyFill="1" applyBorder="1" applyAlignment="1" applyProtection="1">
      <alignment horizontal="center" vertical="center" wrapText="1"/>
      <protection locked="0"/>
    </xf>
    <xf numFmtId="193" fontId="35" fillId="6" borderId="5" xfId="45" applyFont="1" applyFill="1" applyBorder="1" applyAlignment="1" applyProtection="1">
      <alignment horizontal="center" vertical="center" wrapText="1"/>
      <protection locked="0"/>
    </xf>
    <xf numFmtId="193" fontId="35" fillId="6" borderId="6" xfId="45" applyFont="1" applyFill="1" applyBorder="1" applyAlignment="1" applyProtection="1">
      <alignment horizontal="center" vertical="center" wrapText="1"/>
      <protection locked="0"/>
    </xf>
    <xf numFmtId="0" fontId="20" fillId="0" borderId="0" xfId="32" applyFont="1" applyAlignment="1">
      <alignment horizontal="center" vertical="center" wrapText="1"/>
    </xf>
    <xf numFmtId="0" fontId="57" fillId="0" borderId="0" xfId="32" applyFont="1" applyAlignment="1">
      <alignment horizontal="center" vertical="center" wrapText="1"/>
    </xf>
    <xf numFmtId="10" fontId="48" fillId="0" borderId="0" xfId="44" applyNumberFormat="1" applyFont="1" applyBorder="1" applyAlignment="1">
      <alignment horizontal="left" vertical="center"/>
    </xf>
    <xf numFmtId="0" fontId="20" fillId="0" borderId="0" xfId="32" applyFont="1" applyAlignment="1">
      <alignment horizontal="center" vertical="center"/>
    </xf>
    <xf numFmtId="0" fontId="32" fillId="0" borderId="0" xfId="32" applyFont="1" applyAlignment="1">
      <alignment horizontal="center" vertical="center"/>
    </xf>
    <xf numFmtId="0" fontId="57" fillId="0" borderId="0" xfId="32" applyFont="1" applyAlignment="1">
      <alignment horizontal="center" vertical="center"/>
    </xf>
    <xf numFmtId="0" fontId="35" fillId="6" borderId="3" xfId="41" applyFont="1" applyFill="1" applyBorder="1" applyAlignment="1" applyProtection="1">
      <alignment horizontal="center" vertical="center"/>
    </xf>
    <xf numFmtId="0" fontId="36" fillId="6" borderId="12" xfId="0" applyFont="1" applyFill="1" applyBorder="1" applyAlignment="1">
      <alignment horizontal="center" vertical="center"/>
      <protection locked="0"/>
    </xf>
    <xf numFmtId="0" fontId="36" fillId="6" borderId="13" xfId="0" applyFont="1" applyFill="1" applyBorder="1" applyAlignment="1">
      <alignment horizontal="center" vertical="center"/>
      <protection locked="0"/>
    </xf>
    <xf numFmtId="0" fontId="35" fillId="6" borderId="12" xfId="0" applyFont="1" applyFill="1" applyBorder="1" applyAlignment="1">
      <alignment horizontal="center" vertical="center"/>
      <protection locked="0"/>
    </xf>
    <xf numFmtId="0" fontId="35" fillId="6" borderId="13" xfId="0" applyFont="1" applyFill="1" applyBorder="1" applyAlignment="1">
      <alignment horizontal="center" vertical="center"/>
      <protection locked="0"/>
    </xf>
    <xf numFmtId="43" fontId="20" fillId="0" borderId="0" xfId="47" applyNumberFormat="1" applyFont="1" applyBorder="1" applyAlignment="1">
      <alignment horizontal="center" vertical="center"/>
    </xf>
    <xf numFmtId="43" fontId="57" fillId="0" borderId="0" xfId="47" applyNumberFormat="1" applyFont="1" applyBorder="1" applyAlignment="1">
      <alignment horizontal="center" vertical="center"/>
    </xf>
    <xf numFmtId="0" fontId="35" fillId="6" borderId="3" xfId="0" applyFont="1" applyFill="1" applyBorder="1" applyAlignment="1" applyProtection="1">
      <alignment horizontal="center" vertical="center" wrapText="1"/>
    </xf>
    <xf numFmtId="0" fontId="35" fillId="6" borderId="3" xfId="0" applyFont="1" applyFill="1" applyBorder="1" applyAlignment="1" applyProtection="1">
      <alignment horizontal="center" vertical="center"/>
    </xf>
    <xf numFmtId="0" fontId="20" fillId="0" borderId="0" xfId="0" applyFont="1" applyAlignment="1">
      <alignment horizontal="center" vertical="center"/>
      <protection locked="0"/>
    </xf>
    <xf numFmtId="0" fontId="57" fillId="0" borderId="0" xfId="0" applyFont="1" applyAlignment="1">
      <alignment horizontal="center" vertical="center"/>
      <protection locked="0"/>
    </xf>
    <xf numFmtId="0" fontId="35" fillId="6" borderId="12" xfId="54" applyFont="1" applyFill="1" applyBorder="1" applyAlignment="1">
      <alignment horizontal="center" vertical="center"/>
      <protection locked="0"/>
    </xf>
    <xf numFmtId="0" fontId="35" fillId="6" borderId="13" xfId="54" applyFont="1" applyFill="1" applyBorder="1" applyAlignment="1">
      <alignment horizontal="center" vertical="center"/>
      <protection locked="0"/>
    </xf>
    <xf numFmtId="0" fontId="35" fillId="6" borderId="7" xfId="0" applyFont="1" applyFill="1" applyBorder="1" applyAlignment="1">
      <alignment horizontal="center" vertical="center"/>
      <protection locked="0"/>
    </xf>
    <xf numFmtId="0" fontId="35" fillId="6" borderId="8" xfId="0" applyFont="1" applyFill="1" applyBorder="1" applyAlignment="1">
      <alignment horizontal="center" vertical="center"/>
      <protection locked="0"/>
    </xf>
    <xf numFmtId="0" fontId="35" fillId="6" borderId="9" xfId="0" applyFont="1" applyFill="1" applyBorder="1" applyAlignment="1">
      <alignment horizontal="center" vertical="center"/>
      <protection locked="0"/>
    </xf>
    <xf numFmtId="0" fontId="23" fillId="6" borderId="3" xfId="54" applyFont="1" applyFill="1" applyBorder="1" applyAlignment="1">
      <alignment horizontal="center" vertical="center" wrapText="1"/>
      <protection locked="0"/>
    </xf>
    <xf numFmtId="0" fontId="35" fillId="6" borderId="3" xfId="54" applyFont="1" applyFill="1" applyBorder="1" applyAlignment="1">
      <alignment horizontal="center" vertical="center" wrapText="1"/>
      <protection locked="0"/>
    </xf>
    <xf numFmtId="10" fontId="35" fillId="6" borderId="3" xfId="44" applyNumberFormat="1" applyFont="1" applyFill="1" applyBorder="1" applyAlignment="1">
      <alignment horizontal="center" vertical="center" wrapText="1"/>
    </xf>
    <xf numFmtId="10" fontId="35" fillId="6" borderId="12" xfId="44" applyNumberFormat="1" applyFont="1" applyFill="1" applyBorder="1" applyAlignment="1">
      <alignment horizontal="center" vertical="center" wrapText="1"/>
    </xf>
    <xf numFmtId="10" fontId="35" fillId="6" borderId="13" xfId="44" applyNumberFormat="1" applyFont="1" applyFill="1" applyBorder="1" applyAlignment="1">
      <alignment horizontal="center" vertical="center" wrapText="1"/>
    </xf>
    <xf numFmtId="0" fontId="35" fillId="6" borderId="3" xfId="41" applyFont="1" applyFill="1" applyBorder="1" applyAlignment="1">
      <alignment horizontal="center" vertical="center"/>
      <protection locked="0"/>
    </xf>
    <xf numFmtId="0" fontId="35" fillId="10" borderId="3" xfId="41" applyFont="1" applyFill="1" applyBorder="1" applyAlignment="1" applyProtection="1">
      <alignment horizontal="center" vertical="center" wrapText="1"/>
    </xf>
  </cellXfs>
  <cellStyles count="61">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44" builtinId="5"/>
    <cellStyle name="百分比 2 2" xfId="57"/>
    <cellStyle name="常规" xfId="0" builtinId="0"/>
    <cellStyle name="常规 11 5" xfId="60"/>
    <cellStyle name="常规 2" xfId="41"/>
    <cellStyle name="常规 2 2" xfId="54"/>
    <cellStyle name="常规 3" xfId="46"/>
    <cellStyle name="常规 3 2" xfId="52"/>
    <cellStyle name="常规 4" xfId="45"/>
    <cellStyle name="常规 4 2" xfId="55"/>
    <cellStyle name="常规 5" xfId="49"/>
    <cellStyle name="常规 6" xfId="51"/>
    <cellStyle name="常规 7" xfId="58"/>
    <cellStyle name="常规 7 2" xfId="59"/>
    <cellStyle name="常规_2-1项目审定表－模板" xfId="31"/>
    <cellStyle name="常规_Book1" xfId="32"/>
    <cellStyle name="常规_Book1 2" xfId="50"/>
    <cellStyle name="常规_c-资产类" xfId="48"/>
    <cellStyle name="常规_进一步审计程序--销售与收款循环" xfId="33"/>
    <cellStyle name="常规_立信2007年10月版(资产类)-－丁文娟" xfId="43"/>
    <cellStyle name="常规_新审定表" xfId="47"/>
    <cellStyle name="常规_制造费用" xfId="42"/>
    <cellStyle name="超链接" xfId="34" builtinId="8"/>
    <cellStyle name="超链接 2" xfId="56"/>
    <cellStyle name="普通_ 外G9(3)" xfId="35"/>
    <cellStyle name="千分位[0]_宁波" xfId="36"/>
    <cellStyle name="千分位_宁波" xfId="37"/>
    <cellStyle name="千位[0]_laroux" xfId="38"/>
    <cellStyle name="千位_laroux" xfId="39"/>
    <cellStyle name="千位分隔" xfId="40" builtinId="3"/>
    <cellStyle name="千位分隔 2 4" xfId="53"/>
  </cellStyles>
  <dxfs count="0"/>
  <tableStyles count="0" defaultTableStyle="TableStyleMedium9"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RowHeight="20.100000000000001" customHeight="1"/>
  <cols>
    <col min="1" max="1" width="77.59765625" style="9" customWidth="1"/>
    <col min="2" max="2" width="2" style="9" customWidth="1"/>
    <col min="3" max="3" width="2.09765625" style="9" customWidth="1"/>
    <col min="4" max="4" width="6.09765625" style="9" customWidth="1"/>
    <col min="5" max="5" width="24.296875" style="62" customWidth="1"/>
    <col min="6" max="6" width="8.09765625" style="187" customWidth="1"/>
  </cols>
  <sheetData>
    <row r="1" spans="1:8" s="4" customFormat="1" ht="20.100000000000001" customHeight="1">
      <c r="A1" s="3" t="s">
        <v>1</v>
      </c>
      <c r="B1" s="5"/>
      <c r="C1" s="5"/>
      <c r="D1" s="6"/>
      <c r="E1" s="12"/>
      <c r="F1" s="8"/>
    </row>
    <row r="2" spans="1:8" ht="20.100000000000001" customHeight="1">
      <c r="A2" s="180" t="s">
        <v>221</v>
      </c>
      <c r="B2" s="7"/>
      <c r="C2" s="7"/>
      <c r="D2" s="8"/>
      <c r="E2" s="61"/>
      <c r="F2" s="8"/>
      <c r="G2" s="1"/>
      <c r="H2" s="1"/>
    </row>
    <row r="3" spans="1:8" ht="20.100000000000001" customHeight="1">
      <c r="A3" s="207" t="s">
        <v>232</v>
      </c>
      <c r="B3" s="7"/>
      <c r="C3" s="7"/>
      <c r="D3" s="58" t="s">
        <v>31</v>
      </c>
      <c r="E3" s="58" t="s">
        <v>20</v>
      </c>
      <c r="F3" s="58" t="s">
        <v>32</v>
      </c>
      <c r="G3" s="58" t="s">
        <v>33</v>
      </c>
      <c r="H3" s="2"/>
    </row>
    <row r="4" spans="1:8" ht="20.100000000000001" customHeight="1">
      <c r="A4" s="198" t="s">
        <v>222</v>
      </c>
      <c r="B4" s="7"/>
      <c r="C4" s="7"/>
      <c r="D4" s="58">
        <v>1</v>
      </c>
      <c r="E4" s="188" t="s">
        <v>109</v>
      </c>
      <c r="F4" s="185" t="s">
        <v>110</v>
      </c>
      <c r="G4" s="59"/>
      <c r="H4" s="2"/>
    </row>
    <row r="5" spans="1:8" ht="20.100000000000001" customHeight="1">
      <c r="A5" s="198" t="s">
        <v>223</v>
      </c>
      <c r="D5" s="58">
        <v>2</v>
      </c>
      <c r="E5" s="188" t="s">
        <v>111</v>
      </c>
      <c r="F5" s="185" t="s">
        <v>105</v>
      </c>
      <c r="G5" s="59"/>
      <c r="H5" s="10"/>
    </row>
    <row r="6" spans="1:8" ht="20.100000000000001" customHeight="1">
      <c r="A6" s="198" t="s">
        <v>224</v>
      </c>
      <c r="D6" s="58">
        <v>3</v>
      </c>
      <c r="E6" s="188" t="s">
        <v>112</v>
      </c>
      <c r="F6" s="185"/>
      <c r="G6" s="59"/>
      <c r="H6" s="145" t="s">
        <v>118</v>
      </c>
    </row>
    <row r="7" spans="1:8" ht="20.100000000000001" customHeight="1">
      <c r="A7" s="198" t="s">
        <v>225</v>
      </c>
      <c r="D7" s="58">
        <v>4</v>
      </c>
      <c r="E7" s="188" t="s">
        <v>113</v>
      </c>
      <c r="F7" s="185"/>
      <c r="G7" s="59"/>
      <c r="H7" s="145" t="s">
        <v>118</v>
      </c>
    </row>
    <row r="8" spans="1:8" ht="20.100000000000001" customHeight="1">
      <c r="A8" s="11"/>
      <c r="D8" s="58">
        <v>5</v>
      </c>
      <c r="E8" s="188" t="s">
        <v>34</v>
      </c>
      <c r="F8" s="185" t="s">
        <v>114</v>
      </c>
      <c r="G8" s="59"/>
    </row>
    <row r="9" spans="1:8" ht="20.100000000000001" customHeight="1">
      <c r="A9" s="204" t="s">
        <v>233</v>
      </c>
      <c r="D9" s="58">
        <v>6</v>
      </c>
      <c r="E9" s="188" t="s">
        <v>115</v>
      </c>
      <c r="F9" s="185" t="s">
        <v>116</v>
      </c>
      <c r="G9" s="59"/>
    </row>
    <row r="10" spans="1:8" ht="20.100000000000001" customHeight="1">
      <c r="A10" s="226" t="s">
        <v>234</v>
      </c>
      <c r="D10" s="58">
        <v>7</v>
      </c>
      <c r="E10" s="188" t="s">
        <v>35</v>
      </c>
      <c r="F10" s="185" t="s">
        <v>117</v>
      </c>
      <c r="G10" s="59"/>
    </row>
    <row r="11" spans="1:8" ht="20.100000000000001" customHeight="1">
      <c r="A11" s="226"/>
      <c r="D11" s="58">
        <v>8</v>
      </c>
      <c r="E11" s="188" t="s">
        <v>30</v>
      </c>
      <c r="F11" s="185" t="s">
        <v>108</v>
      </c>
      <c r="G11" s="60"/>
    </row>
    <row r="12" spans="1:8" ht="20.100000000000001" customHeight="1">
      <c r="A12" s="226"/>
      <c r="F12" s="186"/>
    </row>
    <row r="13" spans="1:8" ht="20.100000000000001" customHeight="1">
      <c r="A13" s="226"/>
    </row>
    <row r="14" spans="1:8" ht="20.100000000000001" customHeight="1">
      <c r="A14" s="226" t="s">
        <v>235</v>
      </c>
      <c r="F14" s="186"/>
    </row>
    <row r="15" spans="1:8" ht="20.100000000000001" customHeight="1">
      <c r="A15" s="226"/>
      <c r="F15" s="186"/>
    </row>
    <row r="16" spans="1:8" ht="20.100000000000001" customHeight="1">
      <c r="A16" s="226"/>
    </row>
    <row r="17" spans="1:1" ht="35.25" customHeight="1">
      <c r="A17" s="227" t="s">
        <v>236</v>
      </c>
    </row>
    <row r="18" spans="1:1" ht="15.6">
      <c r="A18" s="227"/>
    </row>
    <row r="19" spans="1:1" ht="20.100000000000001" customHeight="1">
      <c r="A19" s="227"/>
    </row>
  </sheetData>
  <mergeCells count="3">
    <mergeCell ref="A10:A13"/>
    <mergeCell ref="A14:A16"/>
    <mergeCell ref="A17:A19"/>
  </mergeCells>
  <phoneticPr fontId="18" type="noConversion"/>
  <hyperlinks>
    <hyperlink ref="E6" location="'附注披露信息（上市公司）'!A1" display="附注披露信息(上市公司)"/>
    <hyperlink ref="E7" location="'附注披露信息（国有企业）'!A1" display="附注披露信息(国企)"/>
    <hyperlink ref="E8" location="'明细表M7-2'!A1" display="明细表"/>
    <hyperlink ref="E10" location="'专项储备计提测试表M7-4'!A1" display="专项储备计提测试表"/>
    <hyperlink ref="E5" location="'审定表M7-1'!A1" display="审定表"/>
    <hyperlink ref="E11" location="'专项储备支出检查表M7-5'!A1" display="专项储备支出检查表"/>
    <hyperlink ref="E4" location="' 专项储备实质性程序表 M7A '!A1" display="专项储备实质性程序表"/>
    <hyperlink ref="E9" location="'调整分录汇总M7-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L23"/>
  <sheetViews>
    <sheetView view="pageBreakPreview" zoomScaleNormal="110" zoomScaleSheetLayoutView="100" workbookViewId="0">
      <selection sqref="A1:I1"/>
    </sheetView>
  </sheetViews>
  <sheetFormatPr defaultColWidth="9" defaultRowHeight="13.8"/>
  <cols>
    <col min="1" max="1" width="5.5" style="90" customWidth="1"/>
    <col min="2" max="2" width="58.8984375" style="90" customWidth="1"/>
    <col min="3" max="3" width="9.69921875" style="90" customWidth="1"/>
    <col min="4" max="4" width="6" style="99" customWidth="1"/>
    <col min="5" max="5" width="5.59765625" style="90" customWidth="1"/>
    <col min="6" max="6" width="6.296875" style="90" customWidth="1"/>
    <col min="7" max="7" width="7.59765625" style="90" customWidth="1"/>
    <col min="8" max="8" width="6.296875" style="90" customWidth="1"/>
    <col min="9" max="9" width="7.296875" style="90" customWidth="1"/>
    <col min="10" max="10" width="64.3984375" style="89" customWidth="1"/>
    <col min="11" max="11" width="14.69921875" style="89" customWidth="1"/>
    <col min="12" max="16384" width="9" style="90"/>
  </cols>
  <sheetData>
    <row r="1" spans="1:12" ht="19.95" customHeight="1">
      <c r="A1" s="228" t="s">
        <v>196</v>
      </c>
      <c r="B1" s="228"/>
      <c r="C1" s="228"/>
      <c r="D1" s="228"/>
      <c r="E1" s="228"/>
      <c r="F1" s="228"/>
      <c r="G1" s="228"/>
      <c r="H1" s="228"/>
      <c r="I1" s="228"/>
    </row>
    <row r="2" spans="1:12" ht="19.95" customHeight="1">
      <c r="A2" s="229" t="s">
        <v>76</v>
      </c>
      <c r="B2" s="229"/>
      <c r="C2" s="229"/>
      <c r="D2" s="229"/>
      <c r="E2" s="229"/>
      <c r="F2" s="229"/>
      <c r="G2" s="229"/>
      <c r="H2" s="229"/>
      <c r="I2" s="229"/>
    </row>
    <row r="3" spans="1:12" ht="19.95" customHeight="1">
      <c r="A3" s="92" t="str">
        <f>底稿目录!A2</f>
        <v>被审计单位：</v>
      </c>
      <c r="B3" s="92"/>
      <c r="C3" s="92" t="str">
        <f>底稿目录!A4</f>
        <v>编制人：</v>
      </c>
      <c r="E3" s="91" t="str">
        <f>底稿目录!A5</f>
        <v>编制日期：</v>
      </c>
      <c r="G3" s="91"/>
      <c r="H3" s="91" t="s">
        <v>77</v>
      </c>
      <c r="I3" s="189" t="str">
        <f>底稿目录!F4</f>
        <v>M7A</v>
      </c>
    </row>
    <row r="4" spans="1:12" ht="19.95" customHeight="1">
      <c r="A4" s="92" t="str">
        <f>底稿目录!A3</f>
        <v>截止日：202X年12月31日</v>
      </c>
      <c r="B4" s="91"/>
      <c r="C4" s="92" t="str">
        <f>底稿目录!A6</f>
        <v>复核人：</v>
      </c>
      <c r="E4" s="91" t="str">
        <f>底稿目录!A7</f>
        <v>复核日期：</v>
      </c>
      <c r="G4" s="91"/>
      <c r="H4" s="91" t="s">
        <v>195</v>
      </c>
      <c r="I4" s="94"/>
    </row>
    <row r="5" spans="1:12" ht="19.95" customHeight="1">
      <c r="A5" s="230" t="s">
        <v>78</v>
      </c>
      <c r="B5" s="230"/>
      <c r="C5" s="91"/>
      <c r="D5" s="93"/>
      <c r="E5" s="91"/>
      <c r="F5" s="91"/>
      <c r="G5" s="91"/>
      <c r="H5" s="91"/>
      <c r="I5" s="91"/>
    </row>
    <row r="6" spans="1:12" ht="19.95" customHeight="1">
      <c r="A6" s="95" t="s">
        <v>79</v>
      </c>
      <c r="C6" s="91"/>
      <c r="D6" s="93"/>
      <c r="E6" s="91"/>
      <c r="F6" s="91"/>
      <c r="G6" s="91"/>
      <c r="H6" s="91"/>
      <c r="I6" s="91"/>
    </row>
    <row r="7" spans="1:12" ht="19.95" customHeight="1">
      <c r="A7" s="131" t="s">
        <v>94</v>
      </c>
      <c r="B7" s="97"/>
      <c r="C7" s="97"/>
      <c r="D7" s="93"/>
      <c r="E7" s="91"/>
      <c r="F7" s="91"/>
      <c r="G7" s="91"/>
      <c r="H7" s="91"/>
      <c r="I7" s="91"/>
      <c r="J7" s="98"/>
      <c r="K7" s="98"/>
    </row>
    <row r="8" spans="1:12" ht="19.95" customHeight="1">
      <c r="A8" s="231" t="s">
        <v>95</v>
      </c>
      <c r="B8" s="231"/>
      <c r="C8" s="231"/>
      <c r="D8" s="231"/>
      <c r="E8" s="231"/>
      <c r="F8" s="231"/>
      <c r="G8" s="237" t="s">
        <v>80</v>
      </c>
      <c r="H8" s="237"/>
      <c r="I8" s="237"/>
      <c r="J8" s="98"/>
      <c r="K8" s="98"/>
    </row>
    <row r="9" spans="1:12" ht="19.95" customHeight="1">
      <c r="A9" s="232" t="s">
        <v>107</v>
      </c>
      <c r="B9" s="232"/>
      <c r="C9" s="232"/>
      <c r="D9" s="232"/>
      <c r="E9" s="232"/>
      <c r="F9" s="232"/>
      <c r="G9" s="238" t="s">
        <v>81</v>
      </c>
      <c r="H9" s="238"/>
      <c r="I9" s="238"/>
      <c r="J9" s="98"/>
      <c r="K9" s="98"/>
    </row>
    <row r="10" spans="1:12" ht="19.95" customHeight="1">
      <c r="A10" s="232" t="s">
        <v>228</v>
      </c>
      <c r="B10" s="232"/>
      <c r="C10" s="232"/>
      <c r="D10" s="232"/>
      <c r="E10" s="232"/>
      <c r="F10" s="232"/>
      <c r="G10" s="239" t="s">
        <v>226</v>
      </c>
      <c r="H10" s="239"/>
      <c r="I10" s="239"/>
      <c r="J10" s="98"/>
      <c r="K10" s="98"/>
    </row>
    <row r="11" spans="1:12" ht="19.95" customHeight="1">
      <c r="A11" s="232" t="s">
        <v>229</v>
      </c>
      <c r="B11" s="232"/>
      <c r="C11" s="232"/>
      <c r="D11" s="232"/>
      <c r="E11" s="232"/>
      <c r="F11" s="232"/>
      <c r="G11" s="239" t="s">
        <v>227</v>
      </c>
      <c r="H11" s="239"/>
      <c r="I11" s="239"/>
      <c r="J11" s="98"/>
      <c r="K11" s="98"/>
    </row>
    <row r="12" spans="1:12" ht="19.95" customHeight="1">
      <c r="A12" s="232" t="s">
        <v>230</v>
      </c>
      <c r="B12" s="232"/>
      <c r="C12" s="232"/>
      <c r="D12" s="232"/>
      <c r="E12" s="232"/>
      <c r="F12" s="232"/>
      <c r="G12" s="239" t="s">
        <v>188</v>
      </c>
      <c r="H12" s="239"/>
      <c r="I12" s="239"/>
      <c r="J12" s="98"/>
      <c r="K12" s="98"/>
    </row>
    <row r="13" spans="1:12" ht="19.95" customHeight="1">
      <c r="A13" s="232" t="s">
        <v>231</v>
      </c>
      <c r="B13" s="232"/>
      <c r="C13" s="232"/>
      <c r="D13" s="232"/>
      <c r="E13" s="232"/>
      <c r="F13" s="232"/>
      <c r="G13" s="239" t="s">
        <v>99</v>
      </c>
      <c r="H13" s="239"/>
      <c r="I13" s="239"/>
      <c r="J13" s="98"/>
      <c r="K13" s="98"/>
    </row>
    <row r="14" spans="1:12" ht="19.95" customHeight="1">
      <c r="A14" s="96" t="s">
        <v>82</v>
      </c>
      <c r="J14" s="205"/>
      <c r="K14" s="206"/>
      <c r="L14" s="206"/>
    </row>
    <row r="15" spans="1:12" ht="19.95" customHeight="1">
      <c r="A15" s="234" t="s">
        <v>83</v>
      </c>
      <c r="B15" s="231" t="s">
        <v>238</v>
      </c>
      <c r="C15" s="236" t="s">
        <v>84</v>
      </c>
      <c r="D15" s="235" t="s">
        <v>101</v>
      </c>
      <c r="E15" s="235"/>
      <c r="F15" s="235"/>
      <c r="G15" s="235"/>
      <c r="H15" s="235"/>
      <c r="I15" s="233" t="s">
        <v>100</v>
      </c>
      <c r="J15" s="100"/>
      <c r="K15" s="100"/>
      <c r="L15" s="100"/>
    </row>
    <row r="16" spans="1:12" ht="39" customHeight="1">
      <c r="A16" s="234"/>
      <c r="B16" s="231"/>
      <c r="C16" s="236"/>
      <c r="D16" s="176" t="s">
        <v>96</v>
      </c>
      <c r="E16" s="176" t="s">
        <v>97</v>
      </c>
      <c r="F16" s="132" t="s">
        <v>98</v>
      </c>
      <c r="G16" s="132" t="s">
        <v>102</v>
      </c>
      <c r="H16" s="132" t="s">
        <v>99</v>
      </c>
      <c r="I16" s="233"/>
      <c r="J16" s="208" t="s">
        <v>237</v>
      </c>
      <c r="K16" s="101"/>
      <c r="L16" s="102"/>
    </row>
    <row r="17" spans="1:12" ht="41.4" customHeight="1">
      <c r="A17" s="183">
        <v>1</v>
      </c>
      <c r="B17" s="174" t="s">
        <v>175</v>
      </c>
      <c r="C17" s="104" t="s">
        <v>85</v>
      </c>
      <c r="D17" s="135" t="s">
        <v>103</v>
      </c>
      <c r="E17" s="135" t="s">
        <v>103</v>
      </c>
      <c r="F17" s="136"/>
      <c r="G17" s="136" t="s">
        <v>103</v>
      </c>
      <c r="H17" s="179"/>
      <c r="I17" s="178" t="s">
        <v>190</v>
      </c>
      <c r="J17" s="133"/>
      <c r="K17" s="133"/>
      <c r="L17" s="134"/>
    </row>
    <row r="18" spans="1:12" ht="54.6" customHeight="1">
      <c r="A18" s="183">
        <v>2</v>
      </c>
      <c r="B18" s="177" t="s">
        <v>104</v>
      </c>
      <c r="C18" s="104" t="s">
        <v>85</v>
      </c>
      <c r="D18" s="135"/>
      <c r="E18" s="136" t="s">
        <v>103</v>
      </c>
      <c r="F18" s="137"/>
      <c r="G18" s="135" t="s">
        <v>187</v>
      </c>
      <c r="H18" s="137"/>
      <c r="I18" s="197" t="s">
        <v>191</v>
      </c>
      <c r="J18" s="146" t="s">
        <v>119</v>
      </c>
      <c r="K18" s="103"/>
      <c r="L18" s="102"/>
    </row>
    <row r="19" spans="1:12" ht="41.4" customHeight="1">
      <c r="A19" s="183">
        <v>3</v>
      </c>
      <c r="B19" s="174" t="s">
        <v>176</v>
      </c>
      <c r="C19" s="138" t="s">
        <v>86</v>
      </c>
      <c r="D19" s="171" t="s">
        <v>184</v>
      </c>
      <c r="E19" s="172" t="s">
        <v>184</v>
      </c>
      <c r="F19" s="172" t="s">
        <v>184</v>
      </c>
      <c r="G19" s="172" t="s">
        <v>184</v>
      </c>
      <c r="H19" s="179"/>
      <c r="I19" s="178"/>
      <c r="J19" s="146" t="s">
        <v>120</v>
      </c>
      <c r="K19" s="103"/>
      <c r="L19" s="102"/>
    </row>
    <row r="20" spans="1:12" ht="39.6" customHeight="1">
      <c r="A20" s="183">
        <v>4</v>
      </c>
      <c r="B20" s="175" t="s">
        <v>186</v>
      </c>
      <c r="C20" s="104" t="s">
        <v>85</v>
      </c>
      <c r="D20" s="135" t="s">
        <v>103</v>
      </c>
      <c r="E20" s="136" t="s">
        <v>103</v>
      </c>
      <c r="F20" s="171" t="s">
        <v>184</v>
      </c>
      <c r="G20" s="171" t="s">
        <v>184</v>
      </c>
      <c r="H20" s="172" t="s">
        <v>184</v>
      </c>
      <c r="I20" s="178" t="s">
        <v>192</v>
      </c>
      <c r="J20" s="103"/>
      <c r="K20" s="103"/>
      <c r="L20" s="102"/>
    </row>
    <row r="21" spans="1:12" ht="33.6" customHeight="1">
      <c r="A21" s="183">
        <v>5</v>
      </c>
      <c r="B21" s="177" t="s">
        <v>180</v>
      </c>
      <c r="C21" s="104" t="s">
        <v>85</v>
      </c>
      <c r="D21" s="136" t="s">
        <v>185</v>
      </c>
      <c r="E21" s="135"/>
      <c r="F21" s="135" t="s">
        <v>185</v>
      </c>
      <c r="G21" s="135"/>
      <c r="H21" s="179"/>
      <c r="I21" s="178" t="s">
        <v>193</v>
      </c>
      <c r="J21" s="173"/>
      <c r="K21" s="103"/>
      <c r="L21" s="102"/>
    </row>
    <row r="22" spans="1:12" ht="36" customHeight="1">
      <c r="A22" s="183">
        <v>6</v>
      </c>
      <c r="B22" s="184" t="s">
        <v>106</v>
      </c>
      <c r="C22" s="104" t="s">
        <v>85</v>
      </c>
      <c r="D22" s="135"/>
      <c r="E22" s="135"/>
      <c r="F22" s="135"/>
      <c r="G22" s="135"/>
      <c r="H22" s="136" t="s">
        <v>103</v>
      </c>
      <c r="I22" s="181" t="s">
        <v>189</v>
      </c>
      <c r="J22" s="103"/>
      <c r="K22" s="103"/>
      <c r="L22" s="102"/>
    </row>
    <row r="23" spans="1:12" ht="28.5" customHeight="1"/>
  </sheetData>
  <mergeCells count="20">
    <mergeCell ref="A10:F10"/>
    <mergeCell ref="A11:F11"/>
    <mergeCell ref="A12:F12"/>
    <mergeCell ref="A13:F13"/>
    <mergeCell ref="G8:I8"/>
    <mergeCell ref="G9:I9"/>
    <mergeCell ref="G10:I10"/>
    <mergeCell ref="G11:I11"/>
    <mergeCell ref="G12:I12"/>
    <mergeCell ref="G13:I13"/>
    <mergeCell ref="I15:I16"/>
    <mergeCell ref="A15:A16"/>
    <mergeCell ref="D15:H15"/>
    <mergeCell ref="C15:C16"/>
    <mergeCell ref="B15:B16"/>
    <mergeCell ref="A1:I1"/>
    <mergeCell ref="A2:I2"/>
    <mergeCell ref="A5:B5"/>
    <mergeCell ref="A8:F8"/>
    <mergeCell ref="A9:F9"/>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C3:C4"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L41"/>
  <sheetViews>
    <sheetView view="pageBreakPreview" zoomScaleSheetLayoutView="100" workbookViewId="0">
      <selection sqref="A1:L1"/>
    </sheetView>
  </sheetViews>
  <sheetFormatPr defaultColWidth="9" defaultRowHeight="15.6"/>
  <cols>
    <col min="1" max="1" width="17" style="17" customWidth="1"/>
    <col min="2" max="9" width="10.5" style="17" customWidth="1"/>
    <col min="10" max="11" width="9" style="17"/>
    <col min="12" max="12" width="10.796875" style="17" customWidth="1"/>
    <col min="13" max="16384" width="9" style="17"/>
  </cols>
  <sheetData>
    <row r="1" spans="1:12" s="13" customFormat="1" ht="19.95" customHeight="1">
      <c r="A1" s="252" t="s">
        <v>196</v>
      </c>
      <c r="B1" s="252"/>
      <c r="C1" s="252"/>
      <c r="D1" s="252"/>
      <c r="E1" s="252"/>
      <c r="F1" s="252"/>
      <c r="G1" s="252"/>
      <c r="H1" s="252"/>
      <c r="I1" s="252"/>
      <c r="J1" s="252"/>
      <c r="K1" s="252"/>
      <c r="L1" s="252"/>
    </row>
    <row r="2" spans="1:12" s="13" customFormat="1" ht="19.95" customHeight="1">
      <c r="A2" s="253" t="s">
        <v>239</v>
      </c>
      <c r="B2" s="253"/>
      <c r="C2" s="253"/>
      <c r="D2" s="253"/>
      <c r="E2" s="253"/>
      <c r="F2" s="253"/>
      <c r="G2" s="253"/>
      <c r="H2" s="253"/>
      <c r="I2" s="253"/>
      <c r="J2" s="253"/>
      <c r="K2" s="253"/>
      <c r="L2" s="253"/>
    </row>
    <row r="3" spans="1:12" s="15" customFormat="1" ht="19.95" customHeight="1">
      <c r="A3" s="14" t="str">
        <f>底稿目录!A2</f>
        <v>被审计单位：</v>
      </c>
      <c r="B3" s="14"/>
      <c r="C3" s="14"/>
      <c r="D3" s="14" t="str">
        <f>底稿目录!A4</f>
        <v>编制人：</v>
      </c>
      <c r="E3" s="14"/>
      <c r="F3" s="14"/>
      <c r="G3" s="64" t="str">
        <f>底稿目录!A5</f>
        <v>编制日期：</v>
      </c>
      <c r="H3" s="14"/>
      <c r="K3" s="190" t="s">
        <v>77</v>
      </c>
      <c r="L3" s="189" t="s">
        <v>197</v>
      </c>
    </row>
    <row r="4" spans="1:12" s="15" customFormat="1" ht="19.95" customHeight="1">
      <c r="A4" s="14" t="str">
        <f>底稿目录!A3</f>
        <v>截止日：202X年12月31日</v>
      </c>
      <c r="B4" s="14"/>
      <c r="C4" s="14"/>
      <c r="D4" s="14" t="str">
        <f>底稿目录!A6</f>
        <v>复核人：</v>
      </c>
      <c r="E4" s="14"/>
      <c r="F4" s="14"/>
      <c r="G4" s="64" t="str">
        <f>底稿目录!A7</f>
        <v>复核日期：</v>
      </c>
      <c r="H4" s="14"/>
      <c r="K4" s="190" t="s">
        <v>198</v>
      </c>
      <c r="L4" s="14"/>
    </row>
    <row r="5" spans="1:12" s="15" customFormat="1" ht="24" customHeight="1">
      <c r="A5" s="241" t="s">
        <v>28</v>
      </c>
      <c r="B5" s="242" t="s">
        <v>122</v>
      </c>
      <c r="C5" s="243"/>
      <c r="D5" s="243"/>
      <c r="E5" s="244"/>
      <c r="F5" s="245" t="s">
        <v>123</v>
      </c>
      <c r="G5" s="246"/>
      <c r="H5" s="246"/>
      <c r="I5" s="247"/>
      <c r="J5" s="248" t="s">
        <v>124</v>
      </c>
      <c r="K5" s="249"/>
      <c r="L5" s="250" t="s">
        <v>125</v>
      </c>
    </row>
    <row r="6" spans="1:12" s="15" customFormat="1" ht="19.95" customHeight="1">
      <c r="A6" s="241"/>
      <c r="B6" s="144" t="s">
        <v>126</v>
      </c>
      <c r="C6" s="144" t="s">
        <v>127</v>
      </c>
      <c r="D6" s="144" t="s">
        <v>128</v>
      </c>
      <c r="E6" s="144" t="s">
        <v>129</v>
      </c>
      <c r="F6" s="144" t="s">
        <v>126</v>
      </c>
      <c r="G6" s="144" t="s">
        <v>127</v>
      </c>
      <c r="H6" s="144" t="s">
        <v>128</v>
      </c>
      <c r="I6" s="144" t="s">
        <v>129</v>
      </c>
      <c r="J6" s="149" t="s">
        <v>130</v>
      </c>
      <c r="K6" s="148" t="s">
        <v>131</v>
      </c>
      <c r="L6" s="251"/>
    </row>
    <row r="7" spans="1:12" s="15" customFormat="1" ht="19.95" customHeight="1">
      <c r="A7" s="51" t="s">
        <v>132</v>
      </c>
      <c r="B7" s="139">
        <f>'明细表M7-2'!B10</f>
        <v>0</v>
      </c>
      <c r="C7" s="139">
        <f>'明细表M7-2'!F10</f>
        <v>0</v>
      </c>
      <c r="D7" s="139">
        <f>'明细表M7-2'!G10</f>
        <v>0</v>
      </c>
      <c r="E7" s="139">
        <f>'明细表M7-2'!L10</f>
        <v>0</v>
      </c>
      <c r="F7" s="139">
        <f>'明细表M7-2'!E10</f>
        <v>0</v>
      </c>
      <c r="G7" s="139">
        <f>'明细表M7-2'!F10+'明细表M7-2'!H10-'明细表M7-2'!I10</f>
        <v>0</v>
      </c>
      <c r="H7" s="139">
        <f>'明细表M7-2'!G10+'明细表M7-2'!J10-'明细表M7-2'!K10</f>
        <v>0</v>
      </c>
      <c r="I7" s="139">
        <f>'明细表M7-2'!O10</f>
        <v>0</v>
      </c>
      <c r="J7" s="139">
        <f>I7-E7</f>
        <v>0</v>
      </c>
      <c r="K7" s="140">
        <f t="shared" ref="K7:K13" si="0">IF(AND(E7=0,J7=0),0,IF(AND(E7=0,J7&gt;0),1,J7/E7))</f>
        <v>0</v>
      </c>
      <c r="L7" s="51"/>
    </row>
    <row r="8" spans="1:12" s="15" customFormat="1" ht="19.95" customHeight="1">
      <c r="A8" s="51" t="s">
        <v>133</v>
      </c>
      <c r="B8" s="139">
        <f>'明细表M7-2'!B11</f>
        <v>0</v>
      </c>
      <c r="C8" s="139">
        <f>'明细表M7-2'!F11</f>
        <v>0</v>
      </c>
      <c r="D8" s="139">
        <f>'明细表M7-2'!G11</f>
        <v>0</v>
      </c>
      <c r="E8" s="139">
        <f>'明细表M7-2'!L11</f>
        <v>0</v>
      </c>
      <c r="F8" s="139">
        <f>'明细表M7-2'!E11</f>
        <v>0</v>
      </c>
      <c r="G8" s="139">
        <f>'明细表M7-2'!F11+'明细表M7-2'!H11-'明细表M7-2'!I11</f>
        <v>0</v>
      </c>
      <c r="H8" s="139">
        <f>'明细表M7-2'!G11+'明细表M7-2'!J11-'明细表M7-2'!K11</f>
        <v>0</v>
      </c>
      <c r="I8" s="139">
        <f>'明细表M7-2'!O11</f>
        <v>0</v>
      </c>
      <c r="J8" s="139">
        <f>I8-E8</f>
        <v>0</v>
      </c>
      <c r="K8" s="140">
        <f t="shared" si="0"/>
        <v>0</v>
      </c>
      <c r="L8" s="51"/>
    </row>
    <row r="9" spans="1:12" s="15" customFormat="1" ht="19.95" customHeight="1">
      <c r="A9" s="51" t="s">
        <v>134</v>
      </c>
      <c r="B9" s="139">
        <f>'明细表M7-2'!B12</f>
        <v>0</v>
      </c>
      <c r="C9" s="139">
        <f>'明细表M7-2'!F12</f>
        <v>0</v>
      </c>
      <c r="D9" s="139">
        <f>'明细表M7-2'!G12</f>
        <v>0</v>
      </c>
      <c r="E9" s="139">
        <f>'明细表M7-2'!L12</f>
        <v>0</v>
      </c>
      <c r="F9" s="139">
        <f>'明细表M7-2'!E12</f>
        <v>0</v>
      </c>
      <c r="G9" s="139">
        <f>'明细表M7-2'!F12+'明细表M7-2'!H12-'明细表M7-2'!I12</f>
        <v>0</v>
      </c>
      <c r="H9" s="139">
        <f>'明细表M7-2'!G12+'明细表M7-2'!J12-'明细表M7-2'!K12</f>
        <v>0</v>
      </c>
      <c r="I9" s="139">
        <f>'明细表M7-2'!O12</f>
        <v>0</v>
      </c>
      <c r="J9" s="139">
        <f>I9-E9</f>
        <v>0</v>
      </c>
      <c r="K9" s="140">
        <f t="shared" si="0"/>
        <v>0</v>
      </c>
      <c r="L9" s="51"/>
    </row>
    <row r="10" spans="1:12" s="15" customFormat="1" ht="19.95" customHeight="1">
      <c r="A10" s="51"/>
      <c r="B10" s="139">
        <f>'明细表M7-2'!B13</f>
        <v>0</v>
      </c>
      <c r="C10" s="139">
        <f>'明细表M7-2'!F13</f>
        <v>0</v>
      </c>
      <c r="D10" s="139">
        <f>'明细表M7-2'!G13</f>
        <v>0</v>
      </c>
      <c r="E10" s="139">
        <f>'明细表M7-2'!L13</f>
        <v>0</v>
      </c>
      <c r="F10" s="139">
        <f>'明细表M7-2'!E13</f>
        <v>0</v>
      </c>
      <c r="G10" s="139">
        <f>'明细表M7-2'!F13+'明细表M7-2'!H13-'明细表M7-2'!I13</f>
        <v>0</v>
      </c>
      <c r="H10" s="139">
        <f>'明细表M7-2'!G13+'明细表M7-2'!J13-'明细表M7-2'!K13</f>
        <v>0</v>
      </c>
      <c r="I10" s="139">
        <f>'明细表M7-2'!O13</f>
        <v>0</v>
      </c>
      <c r="J10" s="139">
        <f t="shared" ref="J10:J12" si="1">I10-E10</f>
        <v>0</v>
      </c>
      <c r="K10" s="140">
        <f t="shared" si="0"/>
        <v>0</v>
      </c>
      <c r="L10" s="51"/>
    </row>
    <row r="11" spans="1:12" s="15" customFormat="1" ht="19.95" customHeight="1">
      <c r="A11" s="51"/>
      <c r="B11" s="139">
        <f>'明细表M7-2'!B14</f>
        <v>0</v>
      </c>
      <c r="C11" s="139">
        <f>'明细表M7-2'!F14</f>
        <v>0</v>
      </c>
      <c r="D11" s="139">
        <f>'明细表M7-2'!G14</f>
        <v>0</v>
      </c>
      <c r="E11" s="139">
        <f>'明细表M7-2'!L14</f>
        <v>0</v>
      </c>
      <c r="F11" s="139">
        <f>'明细表M7-2'!E14</f>
        <v>0</v>
      </c>
      <c r="G11" s="139">
        <f>'明细表M7-2'!F14+'明细表M7-2'!H14-'明细表M7-2'!I14</f>
        <v>0</v>
      </c>
      <c r="H11" s="139">
        <f>'明细表M7-2'!G14+'明细表M7-2'!J14-'明细表M7-2'!K14</f>
        <v>0</v>
      </c>
      <c r="I11" s="139">
        <f>'明细表M7-2'!O14</f>
        <v>0</v>
      </c>
      <c r="J11" s="139">
        <f t="shared" si="1"/>
        <v>0</v>
      </c>
      <c r="K11" s="140">
        <f t="shared" si="0"/>
        <v>0</v>
      </c>
      <c r="L11" s="51"/>
    </row>
    <row r="12" spans="1:12" s="15" customFormat="1" ht="19.95" customHeight="1">
      <c r="A12" s="51"/>
      <c r="B12" s="139">
        <f>'明细表M7-2'!B15</f>
        <v>0</v>
      </c>
      <c r="C12" s="139">
        <f>'明细表M7-2'!F15</f>
        <v>0</v>
      </c>
      <c r="D12" s="139">
        <f>'明细表M7-2'!G15</f>
        <v>0</v>
      </c>
      <c r="E12" s="139">
        <f>'明细表M7-2'!L15</f>
        <v>0</v>
      </c>
      <c r="F12" s="139">
        <f>'明细表M7-2'!E15</f>
        <v>0</v>
      </c>
      <c r="G12" s="139">
        <f>'明细表M7-2'!F15+'明细表M7-2'!H15-'明细表M7-2'!I15</f>
        <v>0</v>
      </c>
      <c r="H12" s="139">
        <f>'明细表M7-2'!G15+'明细表M7-2'!J15-'明细表M7-2'!K15</f>
        <v>0</v>
      </c>
      <c r="I12" s="139">
        <f>'明细表M7-2'!O15</f>
        <v>0</v>
      </c>
      <c r="J12" s="139">
        <f t="shared" si="1"/>
        <v>0</v>
      </c>
      <c r="K12" s="140">
        <f t="shared" si="0"/>
        <v>0</v>
      </c>
      <c r="L12" s="51"/>
    </row>
    <row r="13" spans="1:12" s="16" customFormat="1" ht="19.95" customHeight="1">
      <c r="A13" s="150" t="s">
        <v>135</v>
      </c>
      <c r="B13" s="141">
        <f>SUM(B7:B12)</f>
        <v>0</v>
      </c>
      <c r="C13" s="141">
        <f t="shared" ref="C13:I13" si="2">SUM(C7:C12)</f>
        <v>0</v>
      </c>
      <c r="D13" s="141">
        <f t="shared" si="2"/>
        <v>0</v>
      </c>
      <c r="E13" s="141">
        <f t="shared" si="2"/>
        <v>0</v>
      </c>
      <c r="F13" s="141">
        <f t="shared" si="2"/>
        <v>0</v>
      </c>
      <c r="G13" s="141">
        <f t="shared" si="2"/>
        <v>0</v>
      </c>
      <c r="H13" s="141">
        <f t="shared" si="2"/>
        <v>0</v>
      </c>
      <c r="I13" s="141">
        <f t="shared" si="2"/>
        <v>0</v>
      </c>
      <c r="J13" s="141">
        <f>I13-E13</f>
        <v>0</v>
      </c>
      <c r="K13" s="142">
        <f t="shared" si="0"/>
        <v>0</v>
      </c>
      <c r="L13" s="63"/>
    </row>
    <row r="14" spans="1:12" s="108" customFormat="1" ht="19.95" customHeight="1">
      <c r="A14" s="105" t="s">
        <v>136</v>
      </c>
      <c r="B14" s="105"/>
      <c r="C14" s="105"/>
      <c r="D14" s="105"/>
      <c r="E14" s="143"/>
      <c r="F14" s="105"/>
      <c r="G14" s="105"/>
      <c r="H14" s="105"/>
      <c r="I14" s="143"/>
      <c r="J14" s="107"/>
      <c r="K14" s="106"/>
      <c r="L14" s="106"/>
    </row>
    <row r="15" spans="1:12" s="108" customFormat="1" ht="19.95" customHeight="1">
      <c r="A15" s="105" t="s">
        <v>137</v>
      </c>
      <c r="B15" s="105"/>
      <c r="C15" s="105"/>
      <c r="D15" s="105"/>
      <c r="E15" s="143">
        <f>E13-E14</f>
        <v>0</v>
      </c>
      <c r="F15" s="105"/>
      <c r="G15" s="105"/>
      <c r="H15" s="154"/>
      <c r="I15" s="143">
        <f>I13-I14</f>
        <v>0</v>
      </c>
      <c r="J15" s="152"/>
      <c r="K15" s="54"/>
      <c r="L15" s="54"/>
    </row>
    <row r="16" spans="1:12" s="15" customFormat="1" ht="19.95" customHeight="1">
      <c r="A16" s="153" t="s">
        <v>29</v>
      </c>
      <c r="B16" s="53"/>
      <c r="C16" s="53"/>
      <c r="D16" s="53"/>
      <c r="E16" s="53"/>
      <c r="F16" s="151"/>
      <c r="G16" s="53"/>
    </row>
    <row r="17" spans="1:9" s="15" customFormat="1" ht="19.95" customHeight="1">
      <c r="A17" s="54" t="s">
        <v>138</v>
      </c>
      <c r="B17" s="54"/>
      <c r="C17" s="54"/>
      <c r="D17" s="254"/>
      <c r="E17" s="254"/>
      <c r="F17" s="54"/>
      <c r="G17" s="54"/>
    </row>
    <row r="18" spans="1:9" s="15" customFormat="1" ht="19.95" customHeight="1">
      <c r="A18" s="54" t="s">
        <v>139</v>
      </c>
      <c r="B18" s="54"/>
      <c r="C18" s="54"/>
      <c r="D18" s="54"/>
      <c r="E18" s="54"/>
      <c r="F18" s="54"/>
      <c r="G18" s="54"/>
    </row>
    <row r="19" spans="1:9" s="15" customFormat="1" ht="19.95" customHeight="1">
      <c r="A19" s="54"/>
      <c r="B19" s="54"/>
      <c r="C19" s="54"/>
      <c r="D19" s="54"/>
      <c r="E19" s="54"/>
      <c r="F19" s="54"/>
      <c r="G19" s="54"/>
    </row>
    <row r="20" spans="1:9" s="15" customFormat="1" ht="19.95" customHeight="1">
      <c r="A20" s="54"/>
      <c r="B20" s="54"/>
      <c r="C20" s="54"/>
      <c r="D20" s="54"/>
      <c r="E20" s="54"/>
      <c r="F20" s="54"/>
      <c r="G20" s="54"/>
    </row>
    <row r="21" spans="1:9" s="15" customFormat="1" ht="19.95" customHeight="1">
      <c r="A21" s="55" t="s">
        <v>140</v>
      </c>
      <c r="B21" s="55"/>
      <c r="C21" s="55"/>
      <c r="D21" s="55"/>
      <c r="E21" s="55"/>
      <c r="F21" s="55"/>
      <c r="G21" s="55"/>
    </row>
    <row r="22" spans="1:9" s="15" customFormat="1" ht="19.95" customHeight="1">
      <c r="A22" s="55"/>
      <c r="B22" s="55"/>
      <c r="C22" s="55"/>
      <c r="D22" s="55"/>
      <c r="E22" s="55"/>
      <c r="F22" s="55"/>
      <c r="G22" s="55"/>
    </row>
    <row r="23" spans="1:9" s="15" customFormat="1" ht="19.95" customHeight="1">
      <c r="A23" s="54"/>
      <c r="B23" s="55"/>
      <c r="C23" s="55"/>
      <c r="D23" s="55"/>
      <c r="E23" s="55"/>
      <c r="F23" s="55"/>
      <c r="G23" s="55"/>
    </row>
    <row r="24" spans="1:9" s="15" customFormat="1" ht="19.95" customHeight="1">
      <c r="A24" s="111" t="s">
        <v>141</v>
      </c>
      <c r="B24" s="55"/>
      <c r="C24" s="55"/>
      <c r="D24" s="55"/>
      <c r="E24" s="55"/>
      <c r="F24" s="55"/>
      <c r="G24" s="55"/>
    </row>
    <row r="25" spans="1:9" s="15" customFormat="1" ht="19.95" customHeight="1">
      <c r="A25" s="111"/>
      <c r="B25" s="54"/>
      <c r="C25" s="54"/>
      <c r="D25" s="54"/>
      <c r="E25" s="54"/>
      <c r="F25" s="54"/>
      <c r="G25" s="54"/>
    </row>
    <row r="26" spans="1:9" s="15" customFormat="1" ht="19.95" customHeight="1"/>
    <row r="27" spans="1:9" s="15" customFormat="1" ht="19.95" customHeight="1"/>
    <row r="28" spans="1:9" s="15" customFormat="1" ht="15" customHeight="1"/>
    <row r="29" spans="1:9" s="15" customFormat="1" ht="31.2" customHeight="1">
      <c r="A29" s="240"/>
      <c r="B29" s="240"/>
      <c r="C29" s="240"/>
      <c r="D29" s="240"/>
      <c r="E29" s="240"/>
      <c r="F29" s="240"/>
      <c r="G29" s="240"/>
      <c r="H29" s="240"/>
      <c r="I29" s="240"/>
    </row>
    <row r="30" spans="1:9" s="15" customFormat="1" ht="84.75" customHeight="1">
      <c r="A30" s="240"/>
      <c r="B30" s="240"/>
      <c r="C30" s="240"/>
      <c r="D30" s="240"/>
      <c r="E30" s="240"/>
      <c r="F30" s="240"/>
      <c r="G30" s="240"/>
      <c r="H30" s="240"/>
      <c r="I30" s="240"/>
    </row>
    <row r="31" spans="1:9" s="15" customFormat="1" ht="38.25" customHeight="1">
      <c r="A31" s="240"/>
      <c r="B31" s="240"/>
      <c r="C31" s="240"/>
      <c r="D31" s="240"/>
      <c r="E31" s="240"/>
      <c r="F31" s="240"/>
      <c r="G31" s="240"/>
      <c r="H31" s="240"/>
      <c r="I31" s="240"/>
    </row>
    <row r="32" spans="1:9" s="15" customFormat="1" ht="52.5" customHeight="1">
      <c r="A32" s="240"/>
      <c r="B32" s="240"/>
      <c r="C32" s="240"/>
      <c r="D32" s="240"/>
      <c r="E32" s="240"/>
      <c r="F32" s="240"/>
      <c r="G32" s="240"/>
      <c r="H32" s="240"/>
      <c r="I32" s="240"/>
    </row>
    <row r="33" s="15" customFormat="1" ht="15" customHeight="1"/>
    <row r="34" s="15" customFormat="1" ht="15" customHeight="1"/>
    <row r="35" s="15" customFormat="1" ht="15" customHeight="1"/>
    <row r="36" s="15" customFormat="1" ht="13.8"/>
    <row r="37" s="15" customFormat="1" ht="13.8"/>
    <row r="38" s="15" customFormat="1" ht="13.8"/>
    <row r="39" s="15" customFormat="1" ht="13.8"/>
    <row r="40" s="15" customFormat="1" ht="13.8"/>
    <row r="41" s="15" customFormat="1" ht="13.8"/>
  </sheetData>
  <mergeCells count="12">
    <mergeCell ref="J5:K5"/>
    <mergeCell ref="L5:L6"/>
    <mergeCell ref="A1:L1"/>
    <mergeCell ref="A2:L2"/>
    <mergeCell ref="D17:E17"/>
    <mergeCell ref="A32:I32"/>
    <mergeCell ref="A29:I29"/>
    <mergeCell ref="A30:I30"/>
    <mergeCell ref="A31:I31"/>
    <mergeCell ref="A5:A6"/>
    <mergeCell ref="B5:E5"/>
    <mergeCell ref="F5:I5"/>
  </mergeCells>
  <phoneticPr fontId="18" type="noConversion"/>
  <dataValidations count="1">
    <dataValidation type="list" allowBlank="1" showInputMessage="1" showErrorMessage="1" sqref="B24">
      <formula1>"A：未见异常，可以确认。,B：经审计调整可以确认。,C：由于存在上述重大未调整事项（或审计范围受到限制无法获取充分、适当证据），不可确认。"</formula1>
    </dataValidation>
  </dataValidations>
  <hyperlinks>
    <hyperlink ref="L3" location="底稿目录!A1" display="M7-1"/>
  </hyperlinks>
  <printOptions horizontalCentered="1"/>
  <pageMargins left="0.70866141732283472" right="0.70866141732283472" top="0.74803149606299213" bottom="0.74803149606299213" header="0.31496062992125984" footer="0.31496062992125984"/>
  <pageSetup paperSize="9" scale="94"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14"/>
  <sheetViews>
    <sheetView view="pageBreakPreview" zoomScaleSheetLayoutView="100" workbookViewId="0">
      <selection sqref="A1:G1"/>
    </sheetView>
  </sheetViews>
  <sheetFormatPr defaultColWidth="9" defaultRowHeight="13.8"/>
  <cols>
    <col min="1" max="1" width="21.796875" style="20" customWidth="1"/>
    <col min="2" max="2" width="9" style="20"/>
    <col min="3" max="3" width="12.09765625" style="20" customWidth="1"/>
    <col min="4" max="4" width="12" style="20" customWidth="1"/>
    <col min="5" max="16384" width="9" style="20"/>
  </cols>
  <sheetData>
    <row r="1" spans="1:7" s="34" customFormat="1" ht="20.100000000000001" customHeight="1">
      <c r="A1" s="255" t="s">
        <v>23</v>
      </c>
      <c r="B1" s="256"/>
      <c r="C1" s="256"/>
      <c r="D1" s="256"/>
      <c r="E1" s="256"/>
      <c r="F1" s="256"/>
      <c r="G1" s="256"/>
    </row>
    <row r="2" spans="1:7" s="34" customFormat="1" ht="25.05" customHeight="1">
      <c r="A2" s="255" t="s">
        <v>26</v>
      </c>
      <c r="B2" s="256"/>
      <c r="C2" s="256"/>
      <c r="D2" s="256"/>
      <c r="E2" s="256"/>
      <c r="F2" s="256"/>
      <c r="G2" s="256"/>
    </row>
    <row r="3" spans="1:7" s="14" customFormat="1" ht="20.100000000000001" customHeight="1">
      <c r="A3" s="14" t="str">
        <f>底稿目录!A2</f>
        <v>被审计单位：</v>
      </c>
      <c r="B3" s="28" t="str">
        <f>底稿目录!A4</f>
        <v>编制人：</v>
      </c>
      <c r="D3" s="28" t="str">
        <f>底稿目录!A5</f>
        <v>编制日期：</v>
      </c>
      <c r="F3" s="28" t="s">
        <v>22</v>
      </c>
    </row>
    <row r="4" spans="1:7" s="14" customFormat="1" ht="20.100000000000001" customHeight="1">
      <c r="A4" s="14" t="str">
        <f>底稿目录!A3</f>
        <v>截止日：202X年12月31日</v>
      </c>
      <c r="B4" s="28" t="str">
        <f>底稿目录!A6</f>
        <v>复核人：</v>
      </c>
      <c r="D4" s="28" t="str">
        <f>底稿目录!A7</f>
        <v>复核日期：</v>
      </c>
      <c r="F4" s="28" t="s">
        <v>21</v>
      </c>
    </row>
    <row r="5" spans="1:7" s="117" customFormat="1" ht="20.100000000000001" customHeight="1" thickBot="1">
      <c r="A5" s="130" t="s">
        <v>37</v>
      </c>
    </row>
    <row r="6" spans="1:7" s="117" customFormat="1" ht="20.100000000000001" customHeight="1" thickBot="1">
      <c r="A6" s="118" t="s">
        <v>38</v>
      </c>
      <c r="B6" s="119" t="s">
        <v>91</v>
      </c>
      <c r="C6" s="120" t="s">
        <v>36</v>
      </c>
      <c r="D6" s="120" t="s">
        <v>39</v>
      </c>
      <c r="E6" s="119" t="s">
        <v>92</v>
      </c>
    </row>
    <row r="7" spans="1:7" s="117" customFormat="1" ht="20.100000000000001" customHeight="1">
      <c r="A7" s="121" t="s">
        <v>2</v>
      </c>
      <c r="B7" s="122">
        <f>'明细表M7-2'!L10</f>
        <v>0</v>
      </c>
      <c r="C7" s="122">
        <f>'明细表M7-2'!M10</f>
        <v>0</v>
      </c>
      <c r="D7" s="122">
        <f>'明细表M7-2'!N10</f>
        <v>0</v>
      </c>
      <c r="E7" s="123">
        <f>B7+C7-D7</f>
        <v>0</v>
      </c>
    </row>
    <row r="8" spans="1:7" s="117" customFormat="1" ht="20.100000000000001" customHeight="1">
      <c r="A8" s="121" t="s">
        <v>3</v>
      </c>
      <c r="B8" s="122">
        <f>'明细表M7-2'!L11</f>
        <v>0</v>
      </c>
      <c r="C8" s="122">
        <f>'明细表M7-2'!M11</f>
        <v>0</v>
      </c>
      <c r="D8" s="122">
        <f>'明细表M7-2'!N11</f>
        <v>0</v>
      </c>
      <c r="E8" s="123">
        <f t="shared" ref="E8:E9" si="0">B8+C8-D8</f>
        <v>0</v>
      </c>
    </row>
    <row r="9" spans="1:7" s="117" customFormat="1" ht="20.100000000000001" customHeight="1" thickBot="1">
      <c r="A9" s="125" t="s">
        <v>88</v>
      </c>
      <c r="B9" s="122">
        <f>'明细表M7-2'!L12</f>
        <v>0</v>
      </c>
      <c r="C9" s="122">
        <f>'明细表M7-2'!M12</f>
        <v>0</v>
      </c>
      <c r="D9" s="122">
        <f>'明细表M7-2'!N12</f>
        <v>0</v>
      </c>
      <c r="E9" s="123">
        <f t="shared" si="0"/>
        <v>0</v>
      </c>
    </row>
    <row r="10" spans="1:7" s="117" customFormat="1" ht="20.100000000000001" customHeight="1" thickBot="1">
      <c r="A10" s="127" t="s">
        <v>40</v>
      </c>
      <c r="B10" s="128">
        <f>SUM(B7:B9)</f>
        <v>0</v>
      </c>
      <c r="C10" s="128">
        <f t="shared" ref="C10:E10" si="1">SUM(C7:C9)</f>
        <v>0</v>
      </c>
      <c r="D10" s="128">
        <f t="shared" si="1"/>
        <v>0</v>
      </c>
      <c r="E10" s="128">
        <f t="shared" si="1"/>
        <v>0</v>
      </c>
    </row>
    <row r="11" spans="1:7" s="117" customFormat="1" ht="36.75" customHeight="1">
      <c r="A11" s="116" t="s">
        <v>90</v>
      </c>
    </row>
    <row r="12" spans="1:7" s="117" customFormat="1" ht="20.100000000000001" customHeight="1"/>
    <row r="13" spans="1:7" s="117" customFormat="1" ht="20.100000000000001" customHeight="1"/>
    <row r="14" spans="1:7" s="117" customFormat="1" ht="20.100000000000001" customHeight="1"/>
  </sheetData>
  <mergeCells count="2">
    <mergeCell ref="A1:G1"/>
    <mergeCell ref="A2:G2"/>
  </mergeCells>
  <phoneticPr fontId="18" type="noConversion"/>
  <pageMargins left="0.70866141732283472" right="0.70866141732283472" top="0.74803149606299213" bottom="0.74803149606299213" header="0.31496062992125984" footer="0.31496062992125984"/>
  <pageSetup paperSize="9"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13"/>
  <sheetViews>
    <sheetView view="pageBreakPreview" zoomScaleSheetLayoutView="100" workbookViewId="0">
      <selection sqref="A1:G1"/>
    </sheetView>
  </sheetViews>
  <sheetFormatPr defaultColWidth="9" defaultRowHeight="13.8"/>
  <cols>
    <col min="1" max="1" width="21.796875" style="20" customWidth="1"/>
    <col min="2" max="2" width="10.59765625" style="20" customWidth="1"/>
    <col min="3" max="3" width="12.09765625" style="20" customWidth="1"/>
    <col min="4" max="4" width="12" style="20" customWidth="1"/>
    <col min="5" max="5" width="10.19921875" style="20" customWidth="1"/>
    <col min="6" max="6" width="11" style="20" customWidth="1"/>
    <col min="7" max="16384" width="9" style="20"/>
  </cols>
  <sheetData>
    <row r="1" spans="1:7" s="34" customFormat="1" ht="20.100000000000001" customHeight="1">
      <c r="A1" s="255" t="s">
        <v>23</v>
      </c>
      <c r="B1" s="256"/>
      <c r="C1" s="256"/>
      <c r="D1" s="256"/>
      <c r="E1" s="256"/>
      <c r="F1" s="256"/>
      <c r="G1" s="256"/>
    </row>
    <row r="2" spans="1:7" s="34" customFormat="1" ht="25.05" customHeight="1">
      <c r="A2" s="255" t="s">
        <v>27</v>
      </c>
      <c r="B2" s="256"/>
      <c r="C2" s="256"/>
      <c r="D2" s="256"/>
      <c r="E2" s="256"/>
      <c r="F2" s="256"/>
      <c r="G2" s="256"/>
    </row>
    <row r="3" spans="1:7" s="14" customFormat="1" ht="20.100000000000001" customHeight="1">
      <c r="A3" s="14" t="str">
        <f>底稿目录!A2</f>
        <v>被审计单位：</v>
      </c>
      <c r="B3" s="28" t="str">
        <f>底稿目录!A4</f>
        <v>编制人：</v>
      </c>
      <c r="D3" s="67" t="str">
        <f>底稿目录!A5</f>
        <v>编制日期：</v>
      </c>
      <c r="E3" s="64"/>
      <c r="F3" s="147" t="s">
        <v>121</v>
      </c>
    </row>
    <row r="4" spans="1:7" s="14" customFormat="1" ht="20.100000000000001" customHeight="1">
      <c r="A4" s="14" t="str">
        <f>底稿目录!A3</f>
        <v>截止日：202X年12月31日</v>
      </c>
      <c r="B4" s="28" t="str">
        <f>底稿目录!A6</f>
        <v>复核人：</v>
      </c>
      <c r="D4" s="67" t="str">
        <f>底稿目录!A7</f>
        <v>复核日期：</v>
      </c>
      <c r="E4" s="64"/>
      <c r="F4" s="28" t="s">
        <v>21</v>
      </c>
    </row>
    <row r="5" spans="1:7" ht="20.100000000000001" customHeight="1" thickBot="1">
      <c r="A5" s="115" t="s">
        <v>37</v>
      </c>
      <c r="B5" s="117"/>
      <c r="C5" s="117"/>
      <c r="D5" s="117"/>
      <c r="E5" s="117"/>
      <c r="F5" s="117"/>
      <c r="G5" s="88"/>
    </row>
    <row r="6" spans="1:7" ht="20.100000000000001" customHeight="1" thickBot="1">
      <c r="A6" s="118" t="s">
        <v>38</v>
      </c>
      <c r="B6" s="119" t="s">
        <v>93</v>
      </c>
      <c r="C6" s="120" t="s">
        <v>36</v>
      </c>
      <c r="D6" s="120" t="s">
        <v>39</v>
      </c>
      <c r="E6" s="119" t="s">
        <v>41</v>
      </c>
      <c r="F6" s="119" t="s">
        <v>42</v>
      </c>
      <c r="G6" s="88"/>
    </row>
    <row r="7" spans="1:7" ht="20.100000000000001" customHeight="1">
      <c r="A7" s="121" t="s">
        <v>2</v>
      </c>
      <c r="B7" s="122">
        <f>'明细表M7-2'!L10</f>
        <v>0</v>
      </c>
      <c r="C7" s="122">
        <f>'明细表M7-2'!M10</f>
        <v>0</v>
      </c>
      <c r="D7" s="122">
        <f>'明细表M7-2'!N10</f>
        <v>0</v>
      </c>
      <c r="E7" s="123">
        <f>B7+C7-D7</f>
        <v>0</v>
      </c>
      <c r="F7" s="124"/>
      <c r="G7" s="88"/>
    </row>
    <row r="8" spans="1:7" ht="20.100000000000001" customHeight="1">
      <c r="A8" s="121" t="s">
        <v>3</v>
      </c>
      <c r="B8" s="122">
        <f>'明细表M7-2'!L11</f>
        <v>0</v>
      </c>
      <c r="C8" s="122">
        <f>'明细表M7-2'!M11</f>
        <v>0</v>
      </c>
      <c r="D8" s="122">
        <f>'明细表M7-2'!N11</f>
        <v>0</v>
      </c>
      <c r="E8" s="123">
        <f t="shared" ref="E8:E9" si="0">B8+C8-D8</f>
        <v>0</v>
      </c>
      <c r="F8" s="124"/>
      <c r="G8" s="88"/>
    </row>
    <row r="9" spans="1:7" ht="20.100000000000001" customHeight="1" thickBot="1">
      <c r="A9" s="125" t="s">
        <v>88</v>
      </c>
      <c r="B9" s="122">
        <f>'明细表M7-2'!L12</f>
        <v>0</v>
      </c>
      <c r="C9" s="122">
        <f>'明细表M7-2'!M12</f>
        <v>0</v>
      </c>
      <c r="D9" s="122">
        <f>'明细表M7-2'!N12</f>
        <v>0</v>
      </c>
      <c r="E9" s="123">
        <f t="shared" si="0"/>
        <v>0</v>
      </c>
      <c r="F9" s="126"/>
      <c r="G9" s="88"/>
    </row>
    <row r="10" spans="1:7" ht="20.100000000000001" customHeight="1" thickBot="1">
      <c r="A10" s="127" t="s">
        <v>40</v>
      </c>
      <c r="B10" s="128">
        <f>SUM(B7:B9)</f>
        <v>0</v>
      </c>
      <c r="C10" s="128">
        <f t="shared" ref="C10:E10" si="1">SUM(C7:C9)</f>
        <v>0</v>
      </c>
      <c r="D10" s="128">
        <f t="shared" si="1"/>
        <v>0</v>
      </c>
      <c r="E10" s="128">
        <f t="shared" si="1"/>
        <v>0</v>
      </c>
      <c r="F10" s="129"/>
      <c r="G10" s="88"/>
    </row>
    <row r="11" spans="1:7" ht="20.100000000000001" customHeight="1">
      <c r="A11" s="116" t="s">
        <v>89</v>
      </c>
      <c r="B11" s="117"/>
      <c r="C11" s="117"/>
      <c r="D11" s="117"/>
      <c r="E11" s="117"/>
      <c r="F11" s="117"/>
      <c r="G11" s="88"/>
    </row>
    <row r="12" spans="1:7" ht="20.100000000000001" customHeight="1">
      <c r="A12" s="117"/>
      <c r="B12" s="117"/>
      <c r="C12" s="117"/>
      <c r="D12" s="117"/>
      <c r="E12" s="117"/>
      <c r="F12" s="117"/>
      <c r="G12" s="88"/>
    </row>
    <row r="13" spans="1:7" ht="20.100000000000001" customHeight="1">
      <c r="A13" s="117"/>
      <c r="B13" s="117"/>
      <c r="C13" s="117"/>
      <c r="D13" s="117"/>
      <c r="E13" s="117"/>
      <c r="F13" s="117"/>
      <c r="G13" s="88"/>
    </row>
  </sheetData>
  <mergeCells count="2">
    <mergeCell ref="A1:G1"/>
    <mergeCell ref="A2:G2"/>
  </mergeCells>
  <phoneticPr fontId="18" type="noConversion"/>
  <pageMargins left="0.70866141732283472" right="0.70866141732283472" top="0.74803149606299213" bottom="0.74803149606299213" header="0.31496062992125984" footer="0.31496062992125984"/>
  <pageSetup paperSize="9"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A29"/>
  <sheetViews>
    <sheetView view="pageBreakPreview" zoomScaleNormal="115" zoomScaleSheetLayoutView="100" workbookViewId="0">
      <selection sqref="A1:R1"/>
    </sheetView>
  </sheetViews>
  <sheetFormatPr defaultColWidth="9" defaultRowHeight="15.6"/>
  <cols>
    <col min="1" max="1" width="13.796875" style="22" customWidth="1"/>
    <col min="2" max="15" width="9.796875" style="22" customWidth="1"/>
    <col min="16" max="16" width="10.09765625" style="22" customWidth="1"/>
    <col min="17" max="17" width="9.5" style="22" customWidth="1"/>
    <col min="18" max="18" width="12.296875" style="22" customWidth="1"/>
    <col min="19" max="19" width="9.09765625" style="22" customWidth="1"/>
    <col min="20" max="20" width="9.5" style="22" customWidth="1"/>
    <col min="21" max="21" width="11" style="22" customWidth="1"/>
    <col min="22" max="22" width="10.59765625" style="22" customWidth="1"/>
    <col min="23" max="16384" width="9" style="22"/>
  </cols>
  <sheetData>
    <row r="1" spans="1:27" s="19" customFormat="1" ht="19.95" customHeight="1">
      <c r="A1" s="255" t="s">
        <v>240</v>
      </c>
      <c r="B1" s="255"/>
      <c r="C1" s="255"/>
      <c r="D1" s="255"/>
      <c r="E1" s="255"/>
      <c r="F1" s="255"/>
      <c r="G1" s="255"/>
      <c r="H1" s="255"/>
      <c r="I1" s="255"/>
      <c r="J1" s="255"/>
      <c r="K1" s="255"/>
      <c r="L1" s="255"/>
      <c r="M1" s="255"/>
      <c r="N1" s="255"/>
      <c r="O1" s="255"/>
      <c r="P1" s="255"/>
      <c r="Q1" s="255"/>
      <c r="R1" s="255"/>
      <c r="S1" s="18"/>
      <c r="T1" s="18"/>
      <c r="U1" s="18"/>
      <c r="V1" s="18"/>
      <c r="W1" s="18"/>
      <c r="X1" s="18"/>
      <c r="Y1" s="18"/>
      <c r="Z1" s="18"/>
      <c r="AA1" s="18"/>
    </row>
    <row r="2" spans="1:27" s="19" customFormat="1" ht="19.95" customHeight="1">
      <c r="A2" s="257" t="s">
        <v>241</v>
      </c>
      <c r="B2" s="257"/>
      <c r="C2" s="257"/>
      <c r="D2" s="257"/>
      <c r="E2" s="257"/>
      <c r="F2" s="257"/>
      <c r="G2" s="257"/>
      <c r="H2" s="257"/>
      <c r="I2" s="257"/>
      <c r="J2" s="257"/>
      <c r="K2" s="257"/>
      <c r="L2" s="257"/>
      <c r="M2" s="257"/>
      <c r="N2" s="257"/>
      <c r="O2" s="257"/>
      <c r="P2" s="257"/>
      <c r="Q2" s="257"/>
      <c r="R2" s="257"/>
      <c r="S2" s="18"/>
      <c r="T2" s="18"/>
      <c r="U2" s="18"/>
      <c r="V2" s="18"/>
      <c r="W2" s="18"/>
      <c r="X2" s="18"/>
      <c r="Y2" s="18"/>
      <c r="Z2" s="18"/>
      <c r="AA2" s="18"/>
    </row>
    <row r="3" spans="1:27" s="14" customFormat="1" ht="19.95" customHeight="1">
      <c r="A3" s="14" t="str">
        <f>底稿目录!A2</f>
        <v>被审计单位：</v>
      </c>
      <c r="H3" s="14" t="str">
        <f>底稿目录!A4</f>
        <v>编制人：</v>
      </c>
      <c r="M3" s="64" t="str">
        <f>底稿目录!A5</f>
        <v>编制日期：</v>
      </c>
      <c r="N3" s="64"/>
      <c r="Q3" s="46" t="s">
        <v>0</v>
      </c>
      <c r="R3" s="189" t="str">
        <f>底稿目录!F8</f>
        <v>M7-2</v>
      </c>
    </row>
    <row r="4" spans="1:27" s="14" customFormat="1" ht="19.95" customHeight="1">
      <c r="A4" s="14" t="str">
        <f>底稿目录!A3</f>
        <v>截止日：202X年12月31日</v>
      </c>
      <c r="H4" s="14" t="str">
        <f>底稿目录!A6</f>
        <v>复核人：</v>
      </c>
      <c r="M4" s="64" t="str">
        <f>底稿目录!A7</f>
        <v>复核日期：</v>
      </c>
      <c r="N4" s="64"/>
      <c r="Q4" s="46" t="s">
        <v>199</v>
      </c>
    </row>
    <row r="5" spans="1:27" s="44" customFormat="1" ht="19.95" customHeight="1">
      <c r="A5" s="42" t="s">
        <v>24</v>
      </c>
      <c r="B5" s="43"/>
      <c r="F5" s="43"/>
      <c r="L5" s="43"/>
      <c r="R5" s="45"/>
      <c r="V5" s="46"/>
      <c r="Y5" s="47"/>
    </row>
    <row r="6" spans="1:27" s="44" customFormat="1" ht="19.95" customHeight="1">
      <c r="A6" s="155" t="s">
        <v>142</v>
      </c>
      <c r="B6" s="57"/>
      <c r="F6" s="57"/>
      <c r="L6" s="57"/>
      <c r="R6" s="45"/>
      <c r="V6" s="46"/>
      <c r="Y6" s="47"/>
    </row>
    <row r="7" spans="1:27" s="44" customFormat="1" ht="19.95" customHeight="1">
      <c r="A7" s="48" t="s">
        <v>25</v>
      </c>
      <c r="R7" s="49"/>
      <c r="V7" s="46"/>
      <c r="Y7" s="47"/>
    </row>
    <row r="8" spans="1:27" s="20" customFormat="1" ht="19.95" customHeight="1">
      <c r="A8" s="259" t="s">
        <v>143</v>
      </c>
      <c r="B8" s="258" t="s">
        <v>126</v>
      </c>
      <c r="C8" s="258"/>
      <c r="D8" s="258"/>
      <c r="E8" s="258"/>
      <c r="F8" s="258" t="s">
        <v>144</v>
      </c>
      <c r="G8" s="258"/>
      <c r="H8" s="258" t="s">
        <v>127</v>
      </c>
      <c r="I8" s="258"/>
      <c r="J8" s="258" t="s">
        <v>128</v>
      </c>
      <c r="K8" s="258"/>
      <c r="L8" s="258" t="s">
        <v>129</v>
      </c>
      <c r="M8" s="258"/>
      <c r="N8" s="258"/>
      <c r="O8" s="258"/>
      <c r="P8" s="259" t="s">
        <v>145</v>
      </c>
      <c r="Q8" s="259" t="s">
        <v>146</v>
      </c>
      <c r="R8" s="261" t="s">
        <v>147</v>
      </c>
    </row>
    <row r="9" spans="1:27" s="20" customFormat="1" ht="19.95" customHeight="1">
      <c r="A9" s="260"/>
      <c r="B9" s="156" t="s">
        <v>148</v>
      </c>
      <c r="C9" s="156" t="s">
        <v>149</v>
      </c>
      <c r="D9" s="156" t="s">
        <v>150</v>
      </c>
      <c r="E9" s="156" t="s">
        <v>151</v>
      </c>
      <c r="F9" s="156" t="s">
        <v>152</v>
      </c>
      <c r="G9" s="156" t="s">
        <v>153</v>
      </c>
      <c r="H9" s="156" t="s">
        <v>149</v>
      </c>
      <c r="I9" s="156" t="s">
        <v>150</v>
      </c>
      <c r="J9" s="156" t="s">
        <v>149</v>
      </c>
      <c r="K9" s="156" t="s">
        <v>150</v>
      </c>
      <c r="L9" s="156" t="s">
        <v>148</v>
      </c>
      <c r="M9" s="156" t="s">
        <v>149</v>
      </c>
      <c r="N9" s="156" t="s">
        <v>150</v>
      </c>
      <c r="O9" s="156" t="s">
        <v>151</v>
      </c>
      <c r="P9" s="260"/>
      <c r="Q9" s="260"/>
      <c r="R9" s="262"/>
    </row>
    <row r="10" spans="1:27" s="20" customFormat="1" ht="19.95" customHeight="1">
      <c r="A10" s="157" t="s">
        <v>154</v>
      </c>
      <c r="B10" s="40"/>
      <c r="C10" s="40"/>
      <c r="D10" s="40"/>
      <c r="E10" s="139">
        <f>B10+C10-D10</f>
        <v>0</v>
      </c>
      <c r="F10" s="40"/>
      <c r="G10" s="40"/>
      <c r="H10" s="40"/>
      <c r="I10" s="40"/>
      <c r="J10" s="40"/>
      <c r="K10" s="40"/>
      <c r="L10" s="139">
        <f>B10+F10+G10</f>
        <v>0</v>
      </c>
      <c r="M10" s="139">
        <f>C10+H10+J10</f>
        <v>0</v>
      </c>
      <c r="N10" s="139">
        <f>D10+I10+K10</f>
        <v>0</v>
      </c>
      <c r="O10" s="139">
        <f>L10+M10-N10</f>
        <v>0</v>
      </c>
      <c r="P10" s="158"/>
      <c r="Q10" s="158"/>
      <c r="R10" s="159"/>
    </row>
    <row r="11" spans="1:27" s="20" customFormat="1" ht="19.95" customHeight="1">
      <c r="A11" s="157" t="s">
        <v>155</v>
      </c>
      <c r="B11" s="40"/>
      <c r="C11" s="40"/>
      <c r="D11" s="40"/>
      <c r="E11" s="139">
        <f t="shared" ref="E11:E16" si="0">B11+C11-D11</f>
        <v>0</v>
      </c>
      <c r="F11" s="40"/>
      <c r="G11" s="40"/>
      <c r="H11" s="40"/>
      <c r="I11" s="40"/>
      <c r="J11" s="40"/>
      <c r="K11" s="40"/>
      <c r="L11" s="139">
        <f t="shared" ref="L11:L16" si="1">B11+F11+G11</f>
        <v>0</v>
      </c>
      <c r="M11" s="139">
        <f t="shared" ref="M11:N16" si="2">C11+H11+J11</f>
        <v>0</v>
      </c>
      <c r="N11" s="139">
        <f t="shared" si="2"/>
        <v>0</v>
      </c>
      <c r="O11" s="139">
        <f t="shared" ref="O11:O16" si="3">L11+M11-N11</f>
        <v>0</v>
      </c>
      <c r="P11" s="41"/>
      <c r="Q11" s="41"/>
      <c r="R11" s="25"/>
    </row>
    <row r="12" spans="1:27" s="20" customFormat="1" ht="19.95" customHeight="1">
      <c r="A12" s="157" t="s">
        <v>156</v>
      </c>
      <c r="B12" s="23"/>
      <c r="C12" s="23"/>
      <c r="D12" s="23"/>
      <c r="E12" s="139">
        <f t="shared" si="0"/>
        <v>0</v>
      </c>
      <c r="F12" s="23"/>
      <c r="G12" s="23"/>
      <c r="H12" s="23"/>
      <c r="I12" s="23"/>
      <c r="J12" s="23"/>
      <c r="K12" s="23"/>
      <c r="L12" s="139">
        <f t="shared" si="1"/>
        <v>0</v>
      </c>
      <c r="M12" s="139">
        <f t="shared" si="2"/>
        <v>0</v>
      </c>
      <c r="N12" s="139">
        <f t="shared" si="2"/>
        <v>0</v>
      </c>
      <c r="O12" s="139">
        <f t="shared" si="3"/>
        <v>0</v>
      </c>
      <c r="P12" s="24"/>
      <c r="Q12" s="24"/>
      <c r="R12" s="25"/>
    </row>
    <row r="13" spans="1:27" s="20" customFormat="1" ht="19.95" customHeight="1">
      <c r="A13" s="68"/>
      <c r="B13" s="23"/>
      <c r="C13" s="23"/>
      <c r="D13" s="23"/>
      <c r="E13" s="139">
        <f t="shared" si="0"/>
        <v>0</v>
      </c>
      <c r="F13" s="23"/>
      <c r="G13" s="23"/>
      <c r="H13" s="23"/>
      <c r="I13" s="23"/>
      <c r="J13" s="23"/>
      <c r="K13" s="23"/>
      <c r="L13" s="139">
        <f t="shared" si="1"/>
        <v>0</v>
      </c>
      <c r="M13" s="139">
        <f t="shared" si="2"/>
        <v>0</v>
      </c>
      <c r="N13" s="139">
        <f t="shared" si="2"/>
        <v>0</v>
      </c>
      <c r="O13" s="139">
        <f t="shared" si="3"/>
        <v>0</v>
      </c>
      <c r="P13" s="24"/>
      <c r="Q13" s="24"/>
      <c r="R13" s="25"/>
    </row>
    <row r="14" spans="1:27" s="20" customFormat="1" ht="19.95" customHeight="1">
      <c r="A14" s="68"/>
      <c r="B14" s="23"/>
      <c r="C14" s="23"/>
      <c r="D14" s="23"/>
      <c r="E14" s="139">
        <f t="shared" si="0"/>
        <v>0</v>
      </c>
      <c r="F14" s="23"/>
      <c r="G14" s="23"/>
      <c r="H14" s="23"/>
      <c r="I14" s="23"/>
      <c r="J14" s="23"/>
      <c r="K14" s="23"/>
      <c r="L14" s="139">
        <f t="shared" si="1"/>
        <v>0</v>
      </c>
      <c r="M14" s="139">
        <f t="shared" si="2"/>
        <v>0</v>
      </c>
      <c r="N14" s="139">
        <f t="shared" si="2"/>
        <v>0</v>
      </c>
      <c r="O14" s="139">
        <f t="shared" si="3"/>
        <v>0</v>
      </c>
      <c r="P14" s="24"/>
      <c r="Q14" s="24"/>
      <c r="R14" s="25"/>
    </row>
    <row r="15" spans="1:27" s="20" customFormat="1" ht="19.95" customHeight="1">
      <c r="A15" s="68"/>
      <c r="B15" s="23"/>
      <c r="C15" s="23"/>
      <c r="D15" s="23"/>
      <c r="E15" s="139">
        <f t="shared" si="0"/>
        <v>0</v>
      </c>
      <c r="F15" s="23"/>
      <c r="G15" s="23"/>
      <c r="H15" s="23"/>
      <c r="I15" s="23"/>
      <c r="J15" s="23"/>
      <c r="K15" s="23"/>
      <c r="L15" s="139">
        <f t="shared" si="1"/>
        <v>0</v>
      </c>
      <c r="M15" s="139">
        <f t="shared" si="2"/>
        <v>0</v>
      </c>
      <c r="N15" s="139">
        <f t="shared" si="2"/>
        <v>0</v>
      </c>
      <c r="O15" s="139">
        <f t="shared" si="3"/>
        <v>0</v>
      </c>
      <c r="P15" s="24"/>
      <c r="Q15" s="24"/>
      <c r="R15" s="25"/>
    </row>
    <row r="16" spans="1:27" s="20" customFormat="1" ht="19.95" customHeight="1">
      <c r="A16" s="68"/>
      <c r="B16" s="23"/>
      <c r="C16" s="23"/>
      <c r="D16" s="23"/>
      <c r="E16" s="139">
        <f t="shared" si="0"/>
        <v>0</v>
      </c>
      <c r="F16" s="23"/>
      <c r="G16" s="23"/>
      <c r="H16" s="23"/>
      <c r="I16" s="23"/>
      <c r="J16" s="23"/>
      <c r="K16" s="23"/>
      <c r="L16" s="139">
        <f t="shared" si="1"/>
        <v>0</v>
      </c>
      <c r="M16" s="139">
        <f t="shared" si="2"/>
        <v>0</v>
      </c>
      <c r="N16" s="139">
        <f t="shared" si="2"/>
        <v>0</v>
      </c>
      <c r="O16" s="139">
        <f t="shared" si="3"/>
        <v>0</v>
      </c>
      <c r="P16" s="24"/>
      <c r="Q16" s="24"/>
      <c r="R16" s="25"/>
    </row>
    <row r="17" spans="1:18" s="21" customFormat="1" ht="19.95" customHeight="1">
      <c r="A17" s="68" t="s">
        <v>157</v>
      </c>
      <c r="B17" s="141">
        <f>SUM(B10:B16)</f>
        <v>0</v>
      </c>
      <c r="C17" s="141">
        <f t="shared" ref="C17:O17" si="4">SUM(C10:C16)</f>
        <v>0</v>
      </c>
      <c r="D17" s="141">
        <f t="shared" si="4"/>
        <v>0</v>
      </c>
      <c r="E17" s="141">
        <f t="shared" si="4"/>
        <v>0</v>
      </c>
      <c r="F17" s="141">
        <f t="shared" si="4"/>
        <v>0</v>
      </c>
      <c r="G17" s="141">
        <f t="shared" si="4"/>
        <v>0</v>
      </c>
      <c r="H17" s="141">
        <f t="shared" si="4"/>
        <v>0</v>
      </c>
      <c r="I17" s="141">
        <f t="shared" si="4"/>
        <v>0</v>
      </c>
      <c r="J17" s="141">
        <f t="shared" si="4"/>
        <v>0</v>
      </c>
      <c r="K17" s="141">
        <f t="shared" si="4"/>
        <v>0</v>
      </c>
      <c r="L17" s="141">
        <f t="shared" si="4"/>
        <v>0</v>
      </c>
      <c r="M17" s="141">
        <f t="shared" si="4"/>
        <v>0</v>
      </c>
      <c r="N17" s="141">
        <f t="shared" si="4"/>
        <v>0</v>
      </c>
      <c r="O17" s="141">
        <f t="shared" si="4"/>
        <v>0</v>
      </c>
      <c r="P17" s="87"/>
      <c r="Q17" s="87"/>
      <c r="R17" s="87"/>
    </row>
    <row r="18" spans="1:18" s="20" customFormat="1" ht="19.95" customHeight="1">
      <c r="A18" s="69" t="s">
        <v>158</v>
      </c>
      <c r="B18" s="26"/>
      <c r="C18" s="26"/>
      <c r="D18" s="26"/>
      <c r="E18" s="26"/>
      <c r="F18" s="26"/>
      <c r="G18" s="26"/>
      <c r="H18" s="26"/>
      <c r="I18" s="26"/>
      <c r="J18" s="26"/>
      <c r="K18" s="26"/>
      <c r="L18" s="26"/>
      <c r="M18" s="26"/>
      <c r="N18" s="26"/>
      <c r="O18" s="26"/>
      <c r="P18" s="26"/>
      <c r="Q18" s="26"/>
      <c r="R18" s="26"/>
    </row>
    <row r="19" spans="1:18" s="20" customFormat="1" ht="19.95" customHeight="1">
      <c r="A19" s="14"/>
      <c r="B19" s="14"/>
      <c r="C19" s="14"/>
      <c r="D19" s="14"/>
      <c r="E19" s="14"/>
      <c r="F19" s="14"/>
      <c r="G19" s="14"/>
      <c r="H19" s="14"/>
      <c r="I19" s="14"/>
      <c r="J19" s="14"/>
      <c r="K19" s="14"/>
      <c r="L19" s="14"/>
      <c r="M19" s="14"/>
      <c r="N19" s="14"/>
      <c r="O19" s="14"/>
      <c r="P19" s="14"/>
      <c r="Q19" s="14"/>
      <c r="R19" s="14"/>
    </row>
    <row r="20" spans="1:18" s="20" customFormat="1" ht="19.95" customHeight="1">
      <c r="A20" s="34" t="s">
        <v>53</v>
      </c>
      <c r="B20" s="14"/>
      <c r="C20" s="14"/>
      <c r="D20" s="14"/>
      <c r="E20" s="14"/>
      <c r="F20" s="14"/>
      <c r="G20" s="14"/>
      <c r="H20" s="14"/>
      <c r="I20" s="14"/>
      <c r="J20" s="14"/>
      <c r="K20" s="14"/>
      <c r="L20" s="14"/>
      <c r="M20" s="14"/>
      <c r="N20" s="14"/>
      <c r="O20" s="14"/>
      <c r="P20" s="14"/>
      <c r="Q20" s="14"/>
      <c r="R20" s="14"/>
    </row>
    <row r="21" spans="1:18" s="20" customFormat="1" ht="19.95" customHeight="1">
      <c r="A21" s="34"/>
      <c r="B21" s="14"/>
      <c r="C21" s="14"/>
      <c r="D21" s="14"/>
      <c r="E21" s="14"/>
      <c r="F21" s="14"/>
      <c r="G21" s="14"/>
      <c r="H21" s="14"/>
      <c r="I21" s="14"/>
      <c r="J21" s="14"/>
      <c r="K21" s="14"/>
      <c r="L21" s="14"/>
      <c r="M21" s="14"/>
      <c r="N21" s="14"/>
      <c r="O21" s="14"/>
      <c r="P21" s="14"/>
      <c r="Q21" s="14"/>
      <c r="R21" s="14"/>
    </row>
    <row r="22" spans="1:18" s="20" customFormat="1" ht="19.95" customHeight="1">
      <c r="A22" s="14"/>
      <c r="B22" s="14"/>
      <c r="C22" s="14"/>
      <c r="D22" s="14"/>
      <c r="E22" s="14"/>
      <c r="F22" s="14"/>
      <c r="G22" s="14"/>
      <c r="H22" s="14"/>
      <c r="I22" s="14"/>
      <c r="J22" s="14"/>
      <c r="K22" s="14"/>
      <c r="L22" s="14"/>
      <c r="M22" s="14"/>
      <c r="N22" s="14"/>
      <c r="O22" s="14"/>
      <c r="P22" s="14"/>
      <c r="Q22" s="14"/>
      <c r="R22" s="14"/>
    </row>
    <row r="23" spans="1:18" s="20" customFormat="1" ht="18" customHeight="1">
      <c r="A23" s="166" t="s">
        <v>173</v>
      </c>
    </row>
    <row r="24" spans="1:18" s="20" customFormat="1" ht="18" customHeight="1">
      <c r="A24" s="167" t="s">
        <v>174</v>
      </c>
    </row>
    <row r="25" spans="1:18" s="20" customFormat="1" ht="15" customHeight="1"/>
    <row r="26" spans="1:18" s="20" customFormat="1" ht="15" customHeight="1"/>
    <row r="27" spans="1:18" s="20" customFormat="1" ht="15" customHeight="1"/>
    <row r="28" spans="1:18" s="20" customFormat="1" ht="15" customHeight="1"/>
    <row r="29" spans="1:18" s="20" customFormat="1" ht="15" customHeight="1"/>
  </sheetData>
  <mergeCells count="11">
    <mergeCell ref="A2:R2"/>
    <mergeCell ref="A1:R1"/>
    <mergeCell ref="B8:E8"/>
    <mergeCell ref="L8:O8"/>
    <mergeCell ref="F8:G8"/>
    <mergeCell ref="H8:I8"/>
    <mergeCell ref="J8:K8"/>
    <mergeCell ref="A8:A9"/>
    <mergeCell ref="P8:P9"/>
    <mergeCell ref="Q8:Q9"/>
    <mergeCell ref="R8:R9"/>
  </mergeCells>
  <phoneticPr fontId="18" type="noConversion"/>
  <hyperlinks>
    <hyperlink ref="R3" location="底稿目录!A1" display="底稿目录!A1"/>
  </hyperlinks>
  <printOptions horizontalCentered="1"/>
  <pageMargins left="0.70866141732283472" right="0.70866141732283472" top="0.74803149606299213" bottom="0.74803149606299213" header="0.31496062992125984" footer="0.31496062992125984"/>
  <pageSetup paperSize="9" scale="65"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5"/>
  <sheetViews>
    <sheetView view="pageBreakPreview" zoomScaleNormal="100" zoomScaleSheetLayoutView="100" workbookViewId="0">
      <selection sqref="A1:J1"/>
    </sheetView>
  </sheetViews>
  <sheetFormatPr defaultRowHeight="15.6"/>
  <cols>
    <col min="1" max="1" width="12" customWidth="1"/>
    <col min="2" max="2" width="16.796875" customWidth="1"/>
    <col min="3" max="3" width="9.8984375" customWidth="1"/>
    <col min="4" max="4" width="13.19921875" customWidth="1"/>
    <col min="5" max="5" width="13.09765625" customWidth="1"/>
    <col min="7" max="7" width="10.19921875" customWidth="1"/>
    <col min="8" max="8" width="10.5" customWidth="1"/>
    <col min="10" max="10" width="13.5" customWidth="1"/>
  </cols>
  <sheetData>
    <row r="1" spans="1:10" ht="19.95" customHeight="1">
      <c r="A1" s="263" t="s">
        <v>196</v>
      </c>
      <c r="B1" s="263"/>
      <c r="C1" s="263"/>
      <c r="D1" s="263"/>
      <c r="E1" s="263"/>
      <c r="F1" s="263"/>
      <c r="G1" s="263"/>
      <c r="H1" s="263"/>
      <c r="I1" s="263"/>
      <c r="J1" s="263"/>
    </row>
    <row r="2" spans="1:10" ht="19.95" customHeight="1">
      <c r="A2" s="264" t="s">
        <v>242</v>
      </c>
      <c r="B2" s="264"/>
      <c r="C2" s="264"/>
      <c r="D2" s="264"/>
      <c r="E2" s="264"/>
      <c r="F2" s="264"/>
      <c r="G2" s="264"/>
      <c r="H2" s="264"/>
      <c r="I2" s="264"/>
      <c r="J2" s="264"/>
    </row>
    <row r="3" spans="1:10" ht="19.95" customHeight="1">
      <c r="A3" s="160" t="str">
        <f>底稿目录!A2</f>
        <v>被审计单位：</v>
      </c>
      <c r="B3" s="160"/>
      <c r="C3" s="160"/>
      <c r="D3" s="160" t="str">
        <f>底稿目录!A4</f>
        <v>编制人：</v>
      </c>
      <c r="E3" s="160"/>
      <c r="F3" s="53"/>
      <c r="G3" s="160" t="str">
        <f>底稿目录!A5</f>
        <v>编制日期：</v>
      </c>
      <c r="H3" s="160"/>
      <c r="I3" s="46" t="s">
        <v>0</v>
      </c>
      <c r="J3" s="189" t="str">
        <f>底稿目录!F9</f>
        <v>M7-3</v>
      </c>
    </row>
    <row r="4" spans="1:10" ht="19.95" customHeight="1">
      <c r="A4" s="160" t="str">
        <f>底稿目录!A3</f>
        <v>截止日：202X年12月31日</v>
      </c>
      <c r="B4" s="160"/>
      <c r="C4" s="160"/>
      <c r="D4" s="160" t="str">
        <f>底稿目录!A6</f>
        <v>复核人：</v>
      </c>
      <c r="E4" s="160"/>
      <c r="F4" s="53"/>
      <c r="G4" s="160" t="str">
        <f>底稿目录!A7</f>
        <v>复核日期：</v>
      </c>
      <c r="H4" s="160"/>
      <c r="I4" s="46" t="s">
        <v>199</v>
      </c>
      <c r="J4" s="14"/>
    </row>
    <row r="5" spans="1:10" ht="32.4" customHeight="1">
      <c r="A5" s="194" t="s">
        <v>214</v>
      </c>
      <c r="B5" s="195" t="s">
        <v>215</v>
      </c>
      <c r="C5" s="196" t="s">
        <v>216</v>
      </c>
      <c r="D5" s="196" t="s">
        <v>217</v>
      </c>
      <c r="E5" s="161" t="s">
        <v>218</v>
      </c>
      <c r="F5" s="161" t="s">
        <v>87</v>
      </c>
      <c r="G5" s="161" t="s">
        <v>159</v>
      </c>
      <c r="H5" s="161" t="s">
        <v>219</v>
      </c>
      <c r="I5" s="161" t="s">
        <v>220</v>
      </c>
      <c r="J5" s="161" t="s">
        <v>147</v>
      </c>
    </row>
    <row r="6" spans="1:10" ht="19.95" customHeight="1">
      <c r="A6" s="162"/>
      <c r="B6" s="162"/>
      <c r="C6" s="162"/>
      <c r="D6" s="162"/>
      <c r="E6" s="162"/>
      <c r="F6" s="162"/>
      <c r="G6" s="162"/>
      <c r="H6" s="162"/>
      <c r="I6" s="162"/>
      <c r="J6" s="162"/>
    </row>
    <row r="7" spans="1:10" ht="19.95" customHeight="1">
      <c r="A7" s="163"/>
      <c r="B7" s="162"/>
      <c r="C7" s="162"/>
      <c r="D7" s="162"/>
      <c r="E7" s="162"/>
      <c r="F7" s="162"/>
      <c r="G7" s="162"/>
      <c r="H7" s="162"/>
      <c r="I7" s="162"/>
      <c r="J7" s="162"/>
    </row>
    <row r="8" spans="1:10" ht="19.95" customHeight="1">
      <c r="A8" s="164"/>
      <c r="B8" s="162"/>
      <c r="C8" s="162"/>
      <c r="D8" s="162"/>
      <c r="E8" s="162"/>
      <c r="F8" s="162"/>
      <c r="G8" s="162"/>
      <c r="H8" s="162"/>
      <c r="I8" s="162"/>
      <c r="J8" s="162"/>
    </row>
    <row r="9" spans="1:10" ht="19.95" customHeight="1">
      <c r="A9" s="164"/>
      <c r="B9" s="162"/>
      <c r="C9" s="162"/>
      <c r="D9" s="162"/>
      <c r="E9" s="162"/>
      <c r="F9" s="162"/>
      <c r="G9" s="162"/>
      <c r="H9" s="162"/>
      <c r="I9" s="162"/>
      <c r="J9" s="162"/>
    </row>
    <row r="10" spans="1:10" ht="19.95" customHeight="1">
      <c r="A10" s="164"/>
      <c r="B10" s="162"/>
      <c r="C10" s="162"/>
      <c r="D10" s="162"/>
      <c r="E10" s="162"/>
      <c r="F10" s="162"/>
      <c r="G10" s="162"/>
      <c r="H10" s="162"/>
      <c r="I10" s="162"/>
      <c r="J10" s="162"/>
    </row>
    <row r="11" spans="1:10" ht="19.95" customHeight="1">
      <c r="A11" s="109"/>
      <c r="B11" s="162"/>
      <c r="C11" s="162"/>
      <c r="D11" s="162"/>
      <c r="E11" s="162"/>
      <c r="F11" s="162"/>
      <c r="G11" s="162"/>
      <c r="H11" s="162"/>
      <c r="I11" s="162"/>
      <c r="J11" s="162"/>
    </row>
    <row r="12" spans="1:10" ht="19.95" customHeight="1">
      <c r="A12" s="164"/>
      <c r="B12" s="162"/>
      <c r="C12" s="162"/>
      <c r="D12" s="162"/>
      <c r="E12" s="162"/>
      <c r="F12" s="162"/>
      <c r="G12" s="162"/>
      <c r="H12" s="162"/>
      <c r="I12" s="162"/>
      <c r="J12" s="162"/>
    </row>
    <row r="13" spans="1:10" ht="19.95" customHeight="1">
      <c r="A13" s="164"/>
      <c r="B13" s="162"/>
      <c r="C13" s="162"/>
      <c r="D13" s="162"/>
      <c r="E13" s="162"/>
      <c r="F13" s="162"/>
      <c r="G13" s="162"/>
      <c r="H13" s="162"/>
      <c r="I13" s="162"/>
      <c r="J13" s="162"/>
    </row>
    <row r="14" spans="1:10" ht="19.95" customHeight="1">
      <c r="A14" s="164"/>
      <c r="B14" s="162"/>
      <c r="C14" s="162"/>
      <c r="D14" s="162"/>
      <c r="E14" s="162"/>
      <c r="F14" s="162"/>
      <c r="G14" s="162"/>
      <c r="H14" s="162"/>
      <c r="I14" s="162"/>
      <c r="J14" s="162"/>
    </row>
    <row r="15" spans="1:10" ht="19.95" customHeight="1">
      <c r="A15" s="164"/>
      <c r="B15" s="162"/>
      <c r="C15" s="162"/>
      <c r="D15" s="162"/>
      <c r="E15" s="162"/>
      <c r="F15" s="162"/>
      <c r="G15" s="162"/>
      <c r="H15" s="162"/>
      <c r="I15" s="162"/>
      <c r="J15" s="162"/>
    </row>
    <row r="16" spans="1:10" ht="19.95" customHeight="1">
      <c r="A16" s="164"/>
      <c r="B16" s="162"/>
      <c r="C16" s="162"/>
      <c r="D16" s="162"/>
      <c r="E16" s="162"/>
      <c r="F16" s="162"/>
      <c r="G16" s="162"/>
      <c r="H16" s="162"/>
      <c r="I16" s="162"/>
      <c r="J16" s="162"/>
    </row>
    <row r="17" spans="1:10" ht="19.95" customHeight="1">
      <c r="A17" s="164"/>
      <c r="B17" s="162"/>
      <c r="C17" s="162"/>
      <c r="D17" s="162"/>
      <c r="E17" s="162"/>
      <c r="F17" s="162"/>
      <c r="G17" s="162"/>
      <c r="H17" s="162"/>
      <c r="I17" s="162"/>
      <c r="J17" s="162"/>
    </row>
    <row r="18" spans="1:10" ht="19.95" customHeight="1">
      <c r="A18" s="164"/>
      <c r="B18" s="162"/>
      <c r="C18" s="162"/>
      <c r="D18" s="162"/>
      <c r="E18" s="162"/>
      <c r="F18" s="162"/>
      <c r="G18" s="162"/>
      <c r="H18" s="162"/>
      <c r="I18" s="162"/>
      <c r="J18" s="162"/>
    </row>
    <row r="19" spans="1:10" ht="19.95" customHeight="1">
      <c r="A19" s="164"/>
      <c r="B19" s="162"/>
      <c r="C19" s="162"/>
      <c r="D19" s="162"/>
      <c r="E19" s="162"/>
      <c r="F19" s="162"/>
      <c r="G19" s="162"/>
      <c r="H19" s="162"/>
      <c r="I19" s="162"/>
      <c r="J19" s="162"/>
    </row>
    <row r="20" spans="1:10" ht="19.95" customHeight="1">
      <c r="A20" s="164"/>
      <c r="B20" s="162"/>
      <c r="C20" s="162"/>
      <c r="D20" s="162"/>
      <c r="E20" s="162"/>
      <c r="F20" s="162"/>
      <c r="G20" s="162"/>
      <c r="H20" s="162"/>
      <c r="I20" s="162"/>
      <c r="J20" s="162"/>
    </row>
    <row r="21" spans="1:10" ht="19.95" customHeight="1">
      <c r="A21" s="65"/>
      <c r="B21" s="65"/>
      <c r="C21" s="65"/>
      <c r="D21" s="66"/>
      <c r="E21" s="66"/>
      <c r="F21" s="66"/>
      <c r="G21" s="110"/>
      <c r="H21" s="110"/>
      <c r="I21" s="66"/>
      <c r="J21" s="111"/>
    </row>
    <row r="22" spans="1:10" ht="19.95" customHeight="1">
      <c r="A22" s="54"/>
      <c r="B22" s="54"/>
      <c r="C22" s="54"/>
      <c r="D22" s="54"/>
      <c r="E22" s="112"/>
      <c r="F22" s="55"/>
      <c r="G22" s="113"/>
      <c r="H22" s="113"/>
      <c r="I22" s="113"/>
      <c r="J22" s="113"/>
    </row>
    <row r="23" spans="1:10" ht="19.95" customHeight="1">
      <c r="A23" s="165"/>
      <c r="B23" s="165"/>
      <c r="C23" s="165"/>
      <c r="D23" s="165"/>
      <c r="E23" s="165"/>
      <c r="F23" s="165"/>
      <c r="G23" s="165"/>
      <c r="H23" s="165"/>
      <c r="I23" s="165"/>
      <c r="J23" s="165"/>
    </row>
    <row r="24" spans="1:10" ht="19.95" customHeight="1">
      <c r="A24" s="165"/>
      <c r="B24" s="165"/>
      <c r="C24" s="165"/>
      <c r="D24" s="165"/>
      <c r="E24" s="165"/>
      <c r="F24" s="165"/>
      <c r="G24" s="165"/>
      <c r="H24" s="165"/>
      <c r="I24" s="165"/>
      <c r="J24" s="165"/>
    </row>
    <row r="25" spans="1:10" ht="19.95" customHeight="1">
      <c r="A25" s="22"/>
      <c r="B25" s="22"/>
      <c r="C25" s="22"/>
      <c r="D25" s="22"/>
      <c r="E25" s="22"/>
      <c r="F25" s="22"/>
      <c r="G25" s="22"/>
      <c r="H25" s="22"/>
      <c r="I25" s="22"/>
      <c r="J25" s="22"/>
    </row>
  </sheetData>
  <mergeCells count="2">
    <mergeCell ref="A1:J1"/>
    <mergeCell ref="A2:J2"/>
  </mergeCells>
  <phoneticPr fontId="18"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S37"/>
  <sheetViews>
    <sheetView view="pageBreakPreview" zoomScaleNormal="115" zoomScaleSheetLayoutView="100" workbookViewId="0">
      <selection sqref="A1:S1"/>
    </sheetView>
  </sheetViews>
  <sheetFormatPr defaultColWidth="9" defaultRowHeight="15.6"/>
  <cols>
    <col min="1" max="1" width="17.296875" style="36" customWidth="1"/>
    <col min="2" max="7" width="13.09765625" style="36" customWidth="1"/>
    <col min="8" max="8" width="11.09765625" style="36" customWidth="1"/>
    <col min="9" max="11" width="13.09765625" style="36" customWidth="1"/>
    <col min="12" max="15" width="9" style="36"/>
    <col min="16" max="16" width="10.5" style="36" customWidth="1"/>
    <col min="17" max="16384" width="9" style="36"/>
  </cols>
  <sheetData>
    <row r="1" spans="1:19" s="27" customFormat="1" ht="19.95" customHeight="1">
      <c r="A1" s="267" t="s">
        <v>196</v>
      </c>
      <c r="B1" s="267"/>
      <c r="C1" s="267"/>
      <c r="D1" s="267"/>
      <c r="E1" s="267"/>
      <c r="F1" s="267"/>
      <c r="G1" s="267"/>
      <c r="H1" s="267"/>
      <c r="I1" s="267"/>
      <c r="J1" s="267"/>
      <c r="K1" s="267"/>
      <c r="L1" s="267"/>
      <c r="M1" s="267"/>
      <c r="N1" s="267"/>
      <c r="O1" s="267"/>
      <c r="P1" s="267"/>
      <c r="Q1" s="267"/>
      <c r="R1" s="267"/>
      <c r="S1" s="267"/>
    </row>
    <row r="2" spans="1:19" s="27" customFormat="1" ht="19.95" customHeight="1">
      <c r="A2" s="268" t="s">
        <v>200</v>
      </c>
      <c r="B2" s="268"/>
      <c r="C2" s="268"/>
      <c r="D2" s="268"/>
      <c r="E2" s="268"/>
      <c r="F2" s="268"/>
      <c r="G2" s="268"/>
      <c r="H2" s="268"/>
      <c r="I2" s="268"/>
      <c r="J2" s="268"/>
      <c r="K2" s="268"/>
      <c r="L2" s="268"/>
      <c r="M2" s="268"/>
      <c r="N2" s="268"/>
      <c r="O2" s="268"/>
      <c r="P2" s="268"/>
      <c r="Q2" s="268"/>
      <c r="R2" s="268"/>
      <c r="S2" s="268"/>
    </row>
    <row r="3" spans="1:19" s="14" customFormat="1" ht="19.95" customHeight="1">
      <c r="A3" s="14" t="str">
        <f>底稿目录!A2</f>
        <v>被审计单位：</v>
      </c>
      <c r="B3" s="28"/>
      <c r="C3" s="28"/>
      <c r="D3" s="28" t="str">
        <f>底稿目录!A4</f>
        <v>编制人：</v>
      </c>
      <c r="G3" s="67" t="str">
        <f>底稿目录!A5</f>
        <v>编制日期：</v>
      </c>
      <c r="H3" s="64"/>
      <c r="R3" s="46" t="s">
        <v>0</v>
      </c>
      <c r="S3" s="189" t="str">
        <f>底稿目录!F10</f>
        <v>M7-4</v>
      </c>
    </row>
    <row r="4" spans="1:19" s="14" customFormat="1" ht="19.95" customHeight="1">
      <c r="A4" s="14" t="str">
        <f>底稿目录!A3</f>
        <v>截止日：202X年12月31日</v>
      </c>
      <c r="B4" s="28"/>
      <c r="C4" s="28"/>
      <c r="D4" s="28" t="str">
        <f>底稿目录!A6</f>
        <v>复核人：</v>
      </c>
      <c r="G4" s="67" t="str">
        <f>底稿目录!A7</f>
        <v>复核日期：</v>
      </c>
      <c r="H4" s="64"/>
      <c r="R4" s="46" t="s">
        <v>199</v>
      </c>
    </row>
    <row r="5" spans="1:19" s="30" customFormat="1" ht="19.95" customHeight="1">
      <c r="A5" s="29" t="s">
        <v>50</v>
      </c>
      <c r="B5" s="29"/>
      <c r="C5" s="29"/>
      <c r="D5" s="29"/>
      <c r="E5" s="29"/>
      <c r="G5" s="29"/>
    </row>
    <row r="6" spans="1:19" s="30" customFormat="1" ht="19.95" customHeight="1">
      <c r="A6" s="155" t="s">
        <v>243</v>
      </c>
      <c r="B6" s="57"/>
      <c r="C6" s="39"/>
      <c r="D6" s="39"/>
      <c r="E6" s="39"/>
      <c r="F6" s="39"/>
    </row>
    <row r="7" spans="1:19" s="30" customFormat="1" ht="19.95" customHeight="1">
      <c r="A7" s="52" t="s">
        <v>51</v>
      </c>
      <c r="B7" s="31"/>
      <c r="C7" s="31"/>
      <c r="D7" s="32"/>
    </row>
    <row r="8" spans="1:19" s="30" customFormat="1" ht="19.95" customHeight="1">
      <c r="A8" s="155" t="s">
        <v>160</v>
      </c>
      <c r="B8" s="57"/>
      <c r="C8" s="31"/>
      <c r="D8" s="32"/>
    </row>
    <row r="9" spans="1:19" s="30" customFormat="1" ht="19.95" customHeight="1">
      <c r="A9" s="155" t="s">
        <v>161</v>
      </c>
      <c r="B9" s="57"/>
      <c r="C9" s="31"/>
      <c r="D9" s="32"/>
    </row>
    <row r="10" spans="1:19" s="30" customFormat="1" ht="19.95" customHeight="1">
      <c r="A10" s="265" t="s">
        <v>59</v>
      </c>
      <c r="B10" s="266" t="s">
        <v>60</v>
      </c>
      <c r="C10" s="266"/>
      <c r="D10" s="266" t="s">
        <v>61</v>
      </c>
      <c r="E10" s="266"/>
      <c r="F10" s="266"/>
      <c r="G10" s="266" t="s">
        <v>62</v>
      </c>
      <c r="H10" s="266" t="s">
        <v>63</v>
      </c>
      <c r="I10" s="266" t="s">
        <v>64</v>
      </c>
      <c r="J10" s="265" t="s">
        <v>65</v>
      </c>
      <c r="K10" s="265" t="s">
        <v>66</v>
      </c>
      <c r="L10" s="271" t="s">
        <v>162</v>
      </c>
      <c r="M10" s="272"/>
      <c r="N10" s="272"/>
      <c r="O10" s="272"/>
      <c r="P10" s="272"/>
      <c r="Q10" s="272"/>
      <c r="R10" s="273"/>
      <c r="S10" s="269" t="s">
        <v>163</v>
      </c>
    </row>
    <row r="11" spans="1:19" s="30" customFormat="1" ht="19.95" customHeight="1">
      <c r="A11" s="265"/>
      <c r="B11" s="75" t="s">
        <v>67</v>
      </c>
      <c r="C11" s="75" t="s">
        <v>68</v>
      </c>
      <c r="D11" s="75" t="s">
        <v>69</v>
      </c>
      <c r="E11" s="75" t="s">
        <v>70</v>
      </c>
      <c r="F11" s="75" t="s">
        <v>71</v>
      </c>
      <c r="G11" s="266"/>
      <c r="H11" s="266"/>
      <c r="I11" s="266"/>
      <c r="J11" s="265"/>
      <c r="K11" s="265"/>
      <c r="L11" s="114" t="s">
        <v>43</v>
      </c>
      <c r="M11" s="114" t="s">
        <v>44</v>
      </c>
      <c r="N11" s="114" t="s">
        <v>45</v>
      </c>
      <c r="O11" s="114" t="s">
        <v>46</v>
      </c>
      <c r="P11" s="192" t="s">
        <v>178</v>
      </c>
      <c r="Q11" s="114" t="s">
        <v>47</v>
      </c>
      <c r="R11" s="114" t="s">
        <v>48</v>
      </c>
      <c r="S11" s="270"/>
    </row>
    <row r="12" spans="1:19" s="30" customFormat="1" ht="19.95" customHeight="1">
      <c r="A12" s="82" t="s">
        <v>72</v>
      </c>
      <c r="B12" s="83"/>
      <c r="C12" s="83"/>
      <c r="D12" s="84"/>
      <c r="E12" s="84"/>
      <c r="F12" s="84"/>
      <c r="G12" s="139">
        <f>E12*F12</f>
        <v>0</v>
      </c>
      <c r="H12" s="139">
        <f>B12-G12</f>
        <v>0</v>
      </c>
      <c r="I12" s="85"/>
      <c r="J12" s="83"/>
      <c r="K12" s="83"/>
      <c r="L12" s="83"/>
      <c r="M12" s="83"/>
      <c r="N12" s="83"/>
      <c r="O12" s="83"/>
      <c r="P12" s="83"/>
      <c r="Q12" s="83"/>
      <c r="R12" s="83"/>
      <c r="S12" s="83"/>
    </row>
    <row r="13" spans="1:19" s="30" customFormat="1" ht="19.95" customHeight="1">
      <c r="A13" s="82"/>
      <c r="B13" s="86"/>
      <c r="C13" s="83"/>
      <c r="D13" s="84"/>
      <c r="E13" s="84"/>
      <c r="F13" s="84"/>
      <c r="G13" s="139">
        <f t="shared" ref="G13:G20" si="0">E13*F13</f>
        <v>0</v>
      </c>
      <c r="H13" s="139">
        <f t="shared" ref="H13:H20" si="1">B13-G13</f>
        <v>0</v>
      </c>
      <c r="I13" s="85"/>
      <c r="J13" s="83"/>
      <c r="K13" s="83"/>
      <c r="L13" s="83"/>
      <c r="M13" s="83"/>
      <c r="N13" s="83"/>
      <c r="O13" s="83"/>
      <c r="P13" s="83"/>
      <c r="Q13" s="83"/>
      <c r="R13" s="83"/>
      <c r="S13" s="83"/>
    </row>
    <row r="14" spans="1:19" s="30" customFormat="1" ht="19.95" customHeight="1">
      <c r="A14" s="82"/>
      <c r="B14" s="86"/>
      <c r="C14" s="83"/>
      <c r="D14" s="84"/>
      <c r="E14" s="84"/>
      <c r="F14" s="84"/>
      <c r="G14" s="139">
        <f t="shared" si="0"/>
        <v>0</v>
      </c>
      <c r="H14" s="139">
        <f t="shared" si="1"/>
        <v>0</v>
      </c>
      <c r="I14" s="85"/>
      <c r="J14" s="83"/>
      <c r="K14" s="83"/>
      <c r="L14" s="83"/>
      <c r="M14" s="83"/>
      <c r="N14" s="83"/>
      <c r="O14" s="83"/>
      <c r="P14" s="83"/>
      <c r="Q14" s="83"/>
      <c r="R14" s="83"/>
      <c r="S14" s="83"/>
    </row>
    <row r="15" spans="1:19" s="30" customFormat="1" ht="19.95" customHeight="1">
      <c r="A15" s="82" t="s">
        <v>73</v>
      </c>
      <c r="B15" s="86"/>
      <c r="C15" s="83"/>
      <c r="D15" s="84"/>
      <c r="E15" s="84"/>
      <c r="F15" s="84"/>
      <c r="G15" s="139">
        <f t="shared" si="0"/>
        <v>0</v>
      </c>
      <c r="H15" s="139">
        <f t="shared" si="1"/>
        <v>0</v>
      </c>
      <c r="I15" s="85"/>
      <c r="J15" s="83"/>
      <c r="K15" s="83"/>
      <c r="L15" s="83"/>
      <c r="M15" s="83"/>
      <c r="N15" s="83"/>
      <c r="O15" s="83"/>
      <c r="P15" s="83"/>
      <c r="Q15" s="83"/>
      <c r="R15" s="83"/>
      <c r="S15" s="83"/>
    </row>
    <row r="16" spans="1:19" s="30" customFormat="1" ht="19.95" customHeight="1">
      <c r="A16" s="82"/>
      <c r="B16" s="86"/>
      <c r="C16" s="83"/>
      <c r="D16" s="84"/>
      <c r="E16" s="84"/>
      <c r="F16" s="84"/>
      <c r="G16" s="139">
        <f t="shared" si="0"/>
        <v>0</v>
      </c>
      <c r="H16" s="139">
        <f t="shared" si="1"/>
        <v>0</v>
      </c>
      <c r="I16" s="85"/>
      <c r="J16" s="83"/>
      <c r="K16" s="83"/>
      <c r="L16" s="83"/>
      <c r="M16" s="83"/>
      <c r="N16" s="83"/>
      <c r="O16" s="83"/>
      <c r="P16" s="83"/>
      <c r="Q16" s="83"/>
      <c r="R16" s="83"/>
      <c r="S16" s="83"/>
    </row>
    <row r="17" spans="1:19" s="30" customFormat="1" ht="19.95" customHeight="1">
      <c r="A17" s="82"/>
      <c r="B17" s="86"/>
      <c r="C17" s="83"/>
      <c r="D17" s="84"/>
      <c r="E17" s="84"/>
      <c r="F17" s="84"/>
      <c r="G17" s="139">
        <f t="shared" si="0"/>
        <v>0</v>
      </c>
      <c r="H17" s="139">
        <f t="shared" si="1"/>
        <v>0</v>
      </c>
      <c r="I17" s="85"/>
      <c r="J17" s="83"/>
      <c r="K17" s="83"/>
      <c r="L17" s="83"/>
      <c r="M17" s="83"/>
      <c r="N17" s="83"/>
      <c r="O17" s="83"/>
      <c r="P17" s="83"/>
      <c r="Q17" s="83"/>
      <c r="R17" s="83"/>
      <c r="S17" s="83"/>
    </row>
    <row r="18" spans="1:19" s="30" customFormat="1" ht="19.95" customHeight="1">
      <c r="A18" s="82" t="s">
        <v>74</v>
      </c>
      <c r="B18" s="86"/>
      <c r="C18" s="83"/>
      <c r="D18" s="84"/>
      <c r="E18" s="84"/>
      <c r="F18" s="84"/>
      <c r="G18" s="139">
        <f t="shared" si="0"/>
        <v>0</v>
      </c>
      <c r="H18" s="139">
        <f t="shared" si="1"/>
        <v>0</v>
      </c>
      <c r="I18" s="85"/>
      <c r="J18" s="83"/>
      <c r="K18" s="83"/>
      <c r="L18" s="83"/>
      <c r="M18" s="83"/>
      <c r="N18" s="83"/>
      <c r="O18" s="83"/>
      <c r="P18" s="83"/>
      <c r="Q18" s="83"/>
      <c r="R18" s="83"/>
      <c r="S18" s="83"/>
    </row>
    <row r="19" spans="1:19" s="30" customFormat="1" ht="19.95" customHeight="1">
      <c r="A19" s="82"/>
      <c r="B19" s="86"/>
      <c r="C19" s="83"/>
      <c r="D19" s="84"/>
      <c r="E19" s="84"/>
      <c r="F19" s="84"/>
      <c r="G19" s="139">
        <f t="shared" si="0"/>
        <v>0</v>
      </c>
      <c r="H19" s="139">
        <f t="shared" si="1"/>
        <v>0</v>
      </c>
      <c r="I19" s="85"/>
      <c r="J19" s="83"/>
      <c r="K19" s="83"/>
      <c r="L19" s="83"/>
      <c r="M19" s="83"/>
      <c r="N19" s="83"/>
      <c r="O19" s="83"/>
      <c r="P19" s="83"/>
      <c r="Q19" s="83"/>
      <c r="R19" s="83"/>
      <c r="S19" s="83"/>
    </row>
    <row r="20" spans="1:19" s="30" customFormat="1" ht="19.95" customHeight="1">
      <c r="A20" s="82"/>
      <c r="B20" s="86"/>
      <c r="C20" s="83"/>
      <c r="D20" s="84"/>
      <c r="E20" s="84"/>
      <c r="F20" s="84"/>
      <c r="G20" s="139">
        <f t="shared" si="0"/>
        <v>0</v>
      </c>
      <c r="H20" s="139">
        <f t="shared" si="1"/>
        <v>0</v>
      </c>
      <c r="I20" s="85"/>
      <c r="J20" s="85"/>
      <c r="K20" s="85"/>
      <c r="L20" s="85"/>
      <c r="M20" s="85"/>
      <c r="N20" s="85"/>
      <c r="O20" s="85"/>
      <c r="P20" s="85"/>
      <c r="Q20" s="85"/>
      <c r="R20" s="85"/>
      <c r="S20" s="85"/>
    </row>
    <row r="21" spans="1:19" s="202" customFormat="1" ht="19.95" customHeight="1">
      <c r="A21" s="199" t="s">
        <v>75</v>
      </c>
      <c r="B21" s="139">
        <f t="shared" ref="B21:C21" si="2">SUM(B12:B20)</f>
        <v>0</v>
      </c>
      <c r="C21" s="139">
        <f t="shared" si="2"/>
        <v>0</v>
      </c>
      <c r="D21" s="200"/>
      <c r="E21" s="200"/>
      <c r="F21" s="200"/>
      <c r="G21" s="139">
        <f>SUM(G12:G20)</f>
        <v>0</v>
      </c>
      <c r="H21" s="139">
        <f>SUM(H12:H20)</f>
        <v>0</v>
      </c>
      <c r="I21" s="199"/>
      <c r="J21" s="201"/>
      <c r="K21" s="201"/>
      <c r="L21" s="201"/>
      <c r="M21" s="201"/>
      <c r="N21" s="201"/>
      <c r="O21" s="201"/>
      <c r="P21" s="201"/>
      <c r="Q21" s="201"/>
      <c r="R21" s="201"/>
      <c r="S21" s="201"/>
    </row>
    <row r="22" spans="1:19" s="14" customFormat="1" ht="19.95" customHeight="1">
      <c r="A22" s="52" t="s">
        <v>52</v>
      </c>
      <c r="F22" s="34"/>
      <c r="G22" s="28"/>
    </row>
    <row r="23" spans="1:19" s="14" customFormat="1" ht="19.95" customHeight="1">
      <c r="F23" s="28"/>
      <c r="G23" s="28"/>
    </row>
    <row r="24" spans="1:19" s="14" customFormat="1" ht="19.95" customHeight="1">
      <c r="F24" s="28"/>
      <c r="G24" s="28"/>
    </row>
    <row r="25" spans="1:19" s="14" customFormat="1" ht="19.95" customHeight="1">
      <c r="A25" s="34" t="s">
        <v>53</v>
      </c>
      <c r="F25" s="28"/>
      <c r="G25" s="28"/>
    </row>
    <row r="26" spans="1:19" s="14" customFormat="1" ht="19.95" customHeight="1">
      <c r="F26" s="28"/>
      <c r="G26" s="28"/>
    </row>
    <row r="27" spans="1:19" s="14" customFormat="1" ht="19.95" customHeight="1">
      <c r="A27" s="33"/>
      <c r="C27" s="28"/>
      <c r="D27" s="28"/>
      <c r="E27" s="28"/>
      <c r="F27" s="28"/>
      <c r="G27" s="28"/>
    </row>
    <row r="28" spans="1:19" s="14" customFormat="1" ht="18" customHeight="1">
      <c r="A28" s="170" t="s">
        <v>183</v>
      </c>
    </row>
    <row r="29" spans="1:19" ht="18" customHeight="1">
      <c r="A29" s="35" t="s">
        <v>54</v>
      </c>
      <c r="B29" s="35"/>
    </row>
    <row r="30" spans="1:19" ht="18" customHeight="1">
      <c r="A30" s="35" t="s">
        <v>55</v>
      </c>
      <c r="B30" s="37"/>
    </row>
    <row r="31" spans="1:19" ht="18" customHeight="1">
      <c r="A31" s="35" t="s">
        <v>56</v>
      </c>
      <c r="B31" s="37"/>
    </row>
    <row r="32" spans="1:19" ht="18" customHeight="1">
      <c r="A32" s="35" t="s">
        <v>57</v>
      </c>
      <c r="B32" s="37"/>
    </row>
    <row r="33" spans="1:2" ht="18" customHeight="1">
      <c r="A33" s="35" t="s">
        <v>58</v>
      </c>
      <c r="B33" s="37"/>
    </row>
    <row r="34" spans="1:2" ht="18" customHeight="1">
      <c r="B34" s="37"/>
    </row>
    <row r="37" spans="1:2">
      <c r="A37" s="38"/>
    </row>
  </sheetData>
  <mergeCells count="12">
    <mergeCell ref="A10:A11"/>
    <mergeCell ref="B10:C10"/>
    <mergeCell ref="D10:F10"/>
    <mergeCell ref="G10:G11"/>
    <mergeCell ref="A1:S1"/>
    <mergeCell ref="A2:S2"/>
    <mergeCell ref="S10:S11"/>
    <mergeCell ref="L10:R10"/>
    <mergeCell ref="H10:H11"/>
    <mergeCell ref="I10:I11"/>
    <mergeCell ref="J10:J11"/>
    <mergeCell ref="K10:K11"/>
  </mergeCells>
  <phoneticPr fontId="18" type="noConversion"/>
  <hyperlinks>
    <hyperlink ref="S3" location="底稿目录!A1" display="底稿目录!A1"/>
  </hyperlinks>
  <printOptions horizontalCentered="1"/>
  <pageMargins left="0.70866141732283472" right="0.70866141732283472" top="0.74803149606299213" bottom="0.74803149606299213" header="0.31496062992125984" footer="0.31496062992125984"/>
  <pageSetup paperSize="9" scale="56" orientation="landscape" blackAndWhite="1" r:id="rId1"/>
  <headerFooter alignWithMargins="0">
    <oddFooter>&amp;C&amp;P/&amp;N</oddFooter>
  </headerFooter>
  <ignoredErrors>
    <ignoredError sqref="A3:G4"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Q42"/>
  <sheetViews>
    <sheetView view="pageBreakPreview" zoomScaleSheetLayoutView="100" workbookViewId="0">
      <selection activeCell="P3" sqref="P3"/>
    </sheetView>
  </sheetViews>
  <sheetFormatPr defaultColWidth="9" defaultRowHeight="15.6"/>
  <cols>
    <col min="1" max="1" width="18" style="36" customWidth="1"/>
    <col min="2" max="6" width="14.296875" style="36" customWidth="1"/>
    <col min="7" max="7" width="18.8984375" style="36" customWidth="1"/>
    <col min="8" max="12" width="4" style="36" customWidth="1"/>
    <col min="13" max="13" width="7.3984375" style="36" customWidth="1"/>
    <col min="14" max="14" width="10.8984375" style="36" customWidth="1"/>
    <col min="15" max="15" width="11" style="36" customWidth="1"/>
    <col min="16" max="16" width="14.296875" style="36" customWidth="1"/>
    <col min="17" max="17" width="11.796875" style="36" customWidth="1"/>
    <col min="18" max="16384" width="9" style="36"/>
  </cols>
  <sheetData>
    <row r="1" spans="1:17" s="27" customFormat="1" ht="19.95" customHeight="1">
      <c r="A1" s="267" t="s">
        <v>196</v>
      </c>
      <c r="B1" s="267"/>
      <c r="C1" s="267"/>
      <c r="D1" s="267"/>
      <c r="E1" s="267"/>
      <c r="F1" s="267"/>
      <c r="G1" s="267"/>
      <c r="H1" s="267"/>
      <c r="I1" s="267"/>
      <c r="J1" s="267"/>
      <c r="K1" s="267"/>
      <c r="L1" s="267"/>
      <c r="M1" s="267"/>
      <c r="N1" s="267"/>
      <c r="O1" s="267"/>
      <c r="P1" s="267"/>
    </row>
    <row r="2" spans="1:17" s="27" customFormat="1" ht="19.95" customHeight="1">
      <c r="A2" s="268" t="s">
        <v>202</v>
      </c>
      <c r="B2" s="268"/>
      <c r="C2" s="268"/>
      <c r="D2" s="268"/>
      <c r="E2" s="268"/>
      <c r="F2" s="268"/>
      <c r="G2" s="268"/>
      <c r="H2" s="268"/>
      <c r="I2" s="268"/>
      <c r="J2" s="268"/>
      <c r="K2" s="268"/>
      <c r="L2" s="268"/>
      <c r="M2" s="268"/>
      <c r="N2" s="268"/>
      <c r="O2" s="268"/>
      <c r="P2" s="268"/>
    </row>
    <row r="3" spans="1:17" s="14" customFormat="1" ht="19.95" customHeight="1">
      <c r="A3" s="14" t="str">
        <f>底稿目录!A2</f>
        <v>被审计单位：</v>
      </c>
      <c r="B3" s="28"/>
      <c r="C3" s="28"/>
      <c r="D3" s="28" t="str">
        <f>底稿目录!A4</f>
        <v>编制人：</v>
      </c>
      <c r="G3" s="67" t="str">
        <f>底稿目录!A5</f>
        <v>编制日期：</v>
      </c>
      <c r="J3" s="64"/>
      <c r="L3" s="64"/>
      <c r="M3" s="64"/>
      <c r="O3" s="46" t="s">
        <v>0</v>
      </c>
      <c r="P3" s="189" t="str">
        <f>底稿目录!F11</f>
        <v>M7-5</v>
      </c>
    </row>
    <row r="4" spans="1:17" s="14" customFormat="1" ht="19.95" customHeight="1">
      <c r="A4" s="14" t="str">
        <f>底稿目录!A3</f>
        <v>截止日：202X年12月31日</v>
      </c>
      <c r="B4" s="28"/>
      <c r="C4" s="28"/>
      <c r="D4" s="28" t="str">
        <f>底稿目录!A6</f>
        <v>复核人：</v>
      </c>
      <c r="G4" s="67" t="str">
        <f>底稿目录!A7</f>
        <v>复核日期：</v>
      </c>
      <c r="J4" s="64"/>
      <c r="L4" s="64"/>
      <c r="M4" s="64"/>
      <c r="O4" s="46" t="s">
        <v>201</v>
      </c>
    </row>
    <row r="5" spans="1:17" s="30" customFormat="1" ht="19.95" customHeight="1">
      <c r="A5" s="29" t="s">
        <v>50</v>
      </c>
      <c r="B5" s="29"/>
      <c r="C5" s="29"/>
      <c r="D5" s="29"/>
      <c r="E5" s="29"/>
      <c r="G5" s="29"/>
      <c r="H5" s="29"/>
      <c r="I5" s="29"/>
    </row>
    <row r="6" spans="1:17" s="30" customFormat="1" ht="19.95" customHeight="1">
      <c r="A6" s="155" t="s">
        <v>164</v>
      </c>
      <c r="B6" s="57"/>
      <c r="C6" s="39"/>
      <c r="D6" s="39"/>
      <c r="E6" s="39"/>
      <c r="F6" s="39"/>
    </row>
    <row r="7" spans="1:17" s="30" customFormat="1" ht="19.95" customHeight="1">
      <c r="A7" s="52" t="s">
        <v>51</v>
      </c>
      <c r="B7" s="31"/>
      <c r="C7" s="31"/>
      <c r="D7" s="32"/>
    </row>
    <row r="8" spans="1:17" s="30" customFormat="1" ht="19.95" customHeight="1">
      <c r="A8" s="57" t="s">
        <v>165</v>
      </c>
      <c r="B8" s="57"/>
      <c r="C8" s="31"/>
      <c r="D8" s="32"/>
      <c r="F8" s="30" t="s">
        <v>166</v>
      </c>
    </row>
    <row r="9" spans="1:17" s="30" customFormat="1" ht="19.95" customHeight="1">
      <c r="A9" s="57" t="s">
        <v>167</v>
      </c>
      <c r="B9" s="56"/>
      <c r="C9" s="31"/>
      <c r="D9" s="32"/>
      <c r="F9" s="30" t="s">
        <v>168</v>
      </c>
    </row>
    <row r="10" spans="1:17" s="30" customFormat="1" ht="19.95" customHeight="1">
      <c r="A10" s="168" t="s">
        <v>179</v>
      </c>
      <c r="B10" s="56"/>
      <c r="C10" s="31"/>
      <c r="D10" s="32"/>
    </row>
    <row r="11" spans="1:17" s="30" customFormat="1" ht="19.95" customHeight="1">
      <c r="A11" s="71" t="s">
        <v>169</v>
      </c>
      <c r="C11" s="72"/>
      <c r="D11" s="72"/>
      <c r="E11" s="72"/>
      <c r="F11" s="72"/>
      <c r="G11" s="72"/>
      <c r="H11" s="72"/>
      <c r="I11" s="72"/>
      <c r="J11" s="73"/>
      <c r="K11" s="73"/>
      <c r="L11" s="73"/>
      <c r="M11" s="73"/>
      <c r="N11" s="72"/>
      <c r="O11" s="74"/>
      <c r="P11" s="72"/>
      <c r="Q11" s="72"/>
    </row>
    <row r="12" spans="1:17" s="30" customFormat="1" ht="19.95" customHeight="1">
      <c r="A12" s="279" t="s">
        <v>205</v>
      </c>
      <c r="B12" s="279"/>
      <c r="C12" s="279"/>
      <c r="D12" s="279"/>
      <c r="E12" s="279"/>
      <c r="F12" s="279"/>
      <c r="G12" s="274" t="s">
        <v>181</v>
      </c>
      <c r="H12" s="271" t="s">
        <v>182</v>
      </c>
      <c r="I12" s="272"/>
      <c r="J12" s="272"/>
      <c r="K12" s="272"/>
      <c r="L12" s="272"/>
      <c r="M12" s="280" t="s">
        <v>203</v>
      </c>
      <c r="N12" s="277" t="s">
        <v>206</v>
      </c>
      <c r="O12" s="277" t="s">
        <v>171</v>
      </c>
      <c r="P12" s="276" t="s">
        <v>207</v>
      </c>
    </row>
    <row r="13" spans="1:17" s="30" customFormat="1" ht="19.95" customHeight="1">
      <c r="A13" s="191" t="s">
        <v>43</v>
      </c>
      <c r="B13" s="191" t="s">
        <v>44</v>
      </c>
      <c r="C13" s="191" t="s">
        <v>208</v>
      </c>
      <c r="D13" s="191" t="s">
        <v>209</v>
      </c>
      <c r="E13" s="192" t="s">
        <v>177</v>
      </c>
      <c r="F13" s="193" t="s">
        <v>172</v>
      </c>
      <c r="G13" s="275"/>
      <c r="H13" s="114">
        <v>1</v>
      </c>
      <c r="I13" s="114">
        <v>2</v>
      </c>
      <c r="J13" s="114">
        <v>3</v>
      </c>
      <c r="K13" s="114">
        <v>4</v>
      </c>
      <c r="L13" s="114">
        <v>5</v>
      </c>
      <c r="M13" s="280"/>
      <c r="N13" s="278"/>
      <c r="O13" s="278"/>
      <c r="P13" s="276"/>
    </row>
    <row r="14" spans="1:17" s="30" customFormat="1" ht="19.95" customHeight="1">
      <c r="A14" s="76"/>
      <c r="B14" s="77"/>
      <c r="C14" s="78"/>
      <c r="D14" s="77"/>
      <c r="E14" s="78"/>
      <c r="F14" s="214"/>
      <c r="G14" s="79"/>
      <c r="H14" s="79"/>
      <c r="I14" s="79"/>
      <c r="J14" s="78"/>
      <c r="K14" s="78"/>
      <c r="L14" s="78"/>
      <c r="M14" s="78"/>
      <c r="N14" s="77"/>
      <c r="O14" s="77"/>
      <c r="P14" s="80"/>
    </row>
    <row r="15" spans="1:17" s="30" customFormat="1" ht="19.95" customHeight="1">
      <c r="A15" s="76"/>
      <c r="B15" s="77"/>
      <c r="C15" s="78"/>
      <c r="D15" s="77"/>
      <c r="E15" s="78"/>
      <c r="F15" s="214"/>
      <c r="G15" s="79"/>
      <c r="H15" s="79"/>
      <c r="I15" s="79"/>
      <c r="J15" s="78"/>
      <c r="K15" s="78"/>
      <c r="L15" s="78"/>
      <c r="M15" s="78"/>
      <c r="N15" s="77"/>
      <c r="O15" s="77"/>
      <c r="P15" s="80"/>
    </row>
    <row r="16" spans="1:17" s="30" customFormat="1" ht="19.95" customHeight="1">
      <c r="A16" s="76"/>
      <c r="B16" s="77"/>
      <c r="C16" s="78"/>
      <c r="D16" s="77"/>
      <c r="E16" s="78"/>
      <c r="F16" s="214"/>
      <c r="G16" s="79"/>
      <c r="H16" s="79"/>
      <c r="I16" s="79"/>
      <c r="J16" s="78"/>
      <c r="K16" s="78"/>
      <c r="L16" s="78"/>
      <c r="M16" s="78"/>
      <c r="N16" s="77"/>
      <c r="O16" s="77"/>
      <c r="P16" s="80"/>
    </row>
    <row r="17" spans="1:17" s="30" customFormat="1" ht="19.95" customHeight="1">
      <c r="A17" s="76"/>
      <c r="B17" s="77"/>
      <c r="C17" s="78"/>
      <c r="D17" s="77"/>
      <c r="E17" s="78"/>
      <c r="F17" s="214"/>
      <c r="G17" s="79"/>
      <c r="H17" s="79"/>
      <c r="I17" s="79"/>
      <c r="J17" s="78"/>
      <c r="K17" s="78"/>
      <c r="L17" s="78"/>
      <c r="M17" s="78"/>
      <c r="N17" s="77"/>
      <c r="O17" s="77"/>
      <c r="P17" s="80"/>
    </row>
    <row r="18" spans="1:17" s="30" customFormat="1" ht="19.95" customHeight="1">
      <c r="A18" s="76"/>
      <c r="B18" s="77"/>
      <c r="C18" s="78"/>
      <c r="D18" s="77"/>
      <c r="E18" s="78"/>
      <c r="F18" s="214"/>
      <c r="G18" s="79"/>
      <c r="H18" s="79"/>
      <c r="I18" s="79"/>
      <c r="J18" s="78"/>
      <c r="K18" s="78"/>
      <c r="L18" s="78"/>
      <c r="M18" s="78"/>
      <c r="N18" s="77"/>
      <c r="O18" s="77"/>
      <c r="P18" s="80"/>
    </row>
    <row r="19" spans="1:17" s="30" customFormat="1" ht="19.95" customHeight="1">
      <c r="A19" s="76"/>
      <c r="B19" s="77"/>
      <c r="C19" s="78"/>
      <c r="D19" s="77"/>
      <c r="E19" s="78"/>
      <c r="F19" s="214"/>
      <c r="G19" s="79"/>
      <c r="H19" s="79"/>
      <c r="I19" s="79"/>
      <c r="J19" s="78"/>
      <c r="K19" s="78"/>
      <c r="L19" s="78"/>
      <c r="M19" s="78"/>
      <c r="N19" s="77"/>
      <c r="O19" s="77"/>
      <c r="P19" s="80"/>
    </row>
    <row r="20" spans="1:17" s="213" customFormat="1" ht="19.95" customHeight="1">
      <c r="A20" s="209" t="s">
        <v>244</v>
      </c>
      <c r="B20" s="203"/>
      <c r="C20" s="210"/>
      <c r="D20" s="203"/>
      <c r="E20" s="210"/>
      <c r="F20" s="215">
        <f>SUM(F14:F19)</f>
        <v>0</v>
      </c>
      <c r="G20" s="211"/>
      <c r="H20" s="211"/>
      <c r="I20" s="211"/>
      <c r="J20" s="210"/>
      <c r="K20" s="210"/>
      <c r="L20" s="210"/>
      <c r="M20" s="210"/>
      <c r="N20" s="203"/>
      <c r="O20" s="203"/>
      <c r="P20" s="212"/>
    </row>
    <row r="21" spans="1:17" s="30" customFormat="1" ht="19.95" customHeight="1">
      <c r="A21" s="182" t="s">
        <v>194</v>
      </c>
      <c r="B21" s="71"/>
      <c r="C21" s="72"/>
      <c r="D21" s="72"/>
      <c r="E21" s="72"/>
      <c r="F21" s="72"/>
      <c r="G21" s="72"/>
      <c r="H21" s="72"/>
      <c r="I21" s="72"/>
      <c r="J21" s="73"/>
      <c r="K21" s="73"/>
      <c r="L21" s="73"/>
      <c r="M21" s="73"/>
      <c r="N21" s="72"/>
      <c r="O21" s="74"/>
      <c r="P21" s="72"/>
      <c r="Q21" s="81"/>
    </row>
    <row r="22" spans="1:17" s="50" customFormat="1" ht="19.95" customHeight="1">
      <c r="A22" s="279" t="s">
        <v>170</v>
      </c>
      <c r="B22" s="279"/>
      <c r="C22" s="279"/>
      <c r="D22" s="279"/>
      <c r="E22" s="279"/>
      <c r="F22" s="279"/>
      <c r="G22" s="274" t="s">
        <v>181</v>
      </c>
      <c r="H22" s="271" t="s">
        <v>182</v>
      </c>
      <c r="I22" s="272"/>
      <c r="J22" s="272"/>
      <c r="K22" s="272"/>
      <c r="L22" s="272"/>
      <c r="M22" s="280" t="s">
        <v>203</v>
      </c>
      <c r="N22" s="276" t="s">
        <v>210</v>
      </c>
      <c r="O22" s="276" t="s">
        <v>211</v>
      </c>
      <c r="Q22" s="81"/>
    </row>
    <row r="23" spans="1:17" s="50" customFormat="1" ht="19.95" customHeight="1">
      <c r="A23" s="191" t="s">
        <v>43</v>
      </c>
      <c r="B23" s="191" t="s">
        <v>44</v>
      </c>
      <c r="C23" s="191" t="s">
        <v>212</v>
      </c>
      <c r="D23" s="191" t="s">
        <v>213</v>
      </c>
      <c r="E23" s="192" t="s">
        <v>177</v>
      </c>
      <c r="F23" s="193" t="s">
        <v>204</v>
      </c>
      <c r="G23" s="275"/>
      <c r="H23" s="114">
        <v>1</v>
      </c>
      <c r="I23" s="114">
        <v>2</v>
      </c>
      <c r="J23" s="114">
        <v>3</v>
      </c>
      <c r="K23" s="114">
        <v>4</v>
      </c>
      <c r="L23" s="114">
        <v>5</v>
      </c>
      <c r="M23" s="280"/>
      <c r="N23" s="276"/>
      <c r="O23" s="276"/>
      <c r="Q23" s="81"/>
    </row>
    <row r="24" spans="1:17" s="50" customFormat="1" ht="19.95" customHeight="1">
      <c r="A24" s="76"/>
      <c r="B24" s="77"/>
      <c r="C24" s="78"/>
      <c r="D24" s="77"/>
      <c r="E24" s="78"/>
      <c r="F24" s="79"/>
      <c r="G24" s="79"/>
      <c r="H24" s="79"/>
      <c r="I24" s="79"/>
      <c r="J24" s="78"/>
      <c r="K24" s="78"/>
      <c r="L24" s="78"/>
      <c r="M24" s="78"/>
      <c r="N24" s="77"/>
      <c r="O24" s="77"/>
      <c r="Q24" s="81"/>
    </row>
    <row r="25" spans="1:17" s="50" customFormat="1" ht="19.95" customHeight="1">
      <c r="A25" s="76"/>
      <c r="B25" s="77"/>
      <c r="C25" s="78"/>
      <c r="D25" s="77"/>
      <c r="E25" s="78"/>
      <c r="F25" s="79"/>
      <c r="G25" s="79"/>
      <c r="H25" s="79"/>
      <c r="I25" s="79"/>
      <c r="J25" s="78"/>
      <c r="K25" s="78"/>
      <c r="L25" s="78"/>
      <c r="M25" s="78"/>
      <c r="N25" s="77"/>
      <c r="O25" s="77"/>
      <c r="Q25" s="81"/>
    </row>
    <row r="26" spans="1:17" s="50" customFormat="1" ht="19.95" customHeight="1">
      <c r="A26" s="76"/>
      <c r="B26" s="77"/>
      <c r="C26" s="78"/>
      <c r="D26" s="77"/>
      <c r="E26" s="78"/>
      <c r="F26" s="79"/>
      <c r="G26" s="79"/>
      <c r="H26" s="79"/>
      <c r="I26" s="79"/>
      <c r="J26" s="78"/>
      <c r="K26" s="78"/>
      <c r="L26" s="78"/>
      <c r="M26" s="78"/>
      <c r="N26" s="77"/>
      <c r="O26" s="77"/>
      <c r="Q26" s="81"/>
    </row>
    <row r="27" spans="1:17" s="50" customFormat="1" ht="19.95" customHeight="1">
      <c r="A27" s="76"/>
      <c r="B27" s="77"/>
      <c r="C27" s="78"/>
      <c r="D27" s="77"/>
      <c r="E27" s="78"/>
      <c r="F27" s="79"/>
      <c r="G27" s="79"/>
      <c r="H27" s="79"/>
      <c r="I27" s="79"/>
      <c r="J27" s="78"/>
      <c r="K27" s="78"/>
      <c r="L27" s="78"/>
      <c r="M27" s="78"/>
      <c r="N27" s="77"/>
      <c r="O27" s="77"/>
      <c r="Q27" s="81"/>
    </row>
    <row r="28" spans="1:17" s="50" customFormat="1" ht="19.95" customHeight="1">
      <c r="A28" s="76"/>
      <c r="B28" s="77"/>
      <c r="C28" s="78"/>
      <c r="D28" s="77"/>
      <c r="E28" s="78"/>
      <c r="F28" s="79"/>
      <c r="G28" s="79"/>
      <c r="H28" s="79"/>
      <c r="I28" s="79"/>
      <c r="J28" s="78"/>
      <c r="K28" s="78"/>
      <c r="L28" s="78"/>
      <c r="M28" s="78"/>
      <c r="N28" s="77"/>
      <c r="O28" s="77"/>
      <c r="Q28" s="81"/>
    </row>
    <row r="29" spans="1:17" s="50" customFormat="1" ht="19.95" customHeight="1">
      <c r="A29" s="76"/>
      <c r="B29" s="77"/>
      <c r="C29" s="78"/>
      <c r="D29" s="77"/>
      <c r="E29" s="78"/>
      <c r="F29" s="79"/>
      <c r="G29" s="79"/>
      <c r="H29" s="79"/>
      <c r="I29" s="79"/>
      <c r="J29" s="78"/>
      <c r="K29" s="78"/>
      <c r="L29" s="78"/>
      <c r="M29" s="78"/>
      <c r="N29" s="77"/>
      <c r="O29" s="77"/>
      <c r="Q29" s="81"/>
    </row>
    <row r="30" spans="1:17" s="213" customFormat="1" ht="19.95" customHeight="1">
      <c r="A30" s="209" t="s">
        <v>244</v>
      </c>
      <c r="B30" s="203"/>
      <c r="C30" s="210"/>
      <c r="D30" s="203"/>
      <c r="E30" s="210"/>
      <c r="F30" s="215">
        <f>SUM(F24:F29)</f>
        <v>0</v>
      </c>
      <c r="G30" s="211"/>
      <c r="H30" s="211"/>
      <c r="I30" s="211"/>
      <c r="J30" s="210"/>
      <c r="K30" s="210"/>
      <c r="L30" s="210"/>
      <c r="M30" s="210"/>
      <c r="N30" s="203"/>
      <c r="O30" s="203"/>
      <c r="Q30" s="216"/>
    </row>
    <row r="31" spans="1:17" s="14" customFormat="1" ht="19.95" customHeight="1">
      <c r="A31" s="52" t="s">
        <v>52</v>
      </c>
      <c r="F31" s="34"/>
      <c r="G31" s="69"/>
      <c r="H31" s="169"/>
      <c r="I31" s="169"/>
      <c r="J31" s="20"/>
      <c r="L31" s="20"/>
    </row>
    <row r="32" spans="1:17" s="14" customFormat="1" ht="19.95" customHeight="1">
      <c r="A32" s="44" t="s">
        <v>250</v>
      </c>
      <c r="C32" s="217" t="s">
        <v>245</v>
      </c>
      <c r="D32" s="217" t="s">
        <v>246</v>
      </c>
      <c r="E32" s="217" t="s">
        <v>247</v>
      </c>
      <c r="F32" s="218" t="s">
        <v>248</v>
      </c>
      <c r="I32" s="169"/>
      <c r="J32" s="20"/>
      <c r="L32" s="20"/>
    </row>
    <row r="33" spans="1:13" s="14" customFormat="1" ht="19.95" customHeight="1">
      <c r="A33" s="219"/>
      <c r="C33" s="220">
        <f>'明细表M7-2'!N17</f>
        <v>0</v>
      </c>
      <c r="D33" s="220">
        <f>F30+F20</f>
        <v>0</v>
      </c>
      <c r="E33" s="221" t="e">
        <f>ROUND(D33/C33,4)</f>
        <v>#DIV/0!</v>
      </c>
      <c r="F33" s="12"/>
      <c r="I33" s="169"/>
      <c r="J33" s="20"/>
      <c r="L33" s="20"/>
    </row>
    <row r="34" spans="1:13" s="14" customFormat="1" ht="19.95" customHeight="1">
      <c r="A34" s="222" t="s">
        <v>249</v>
      </c>
      <c r="B34" s="219"/>
      <c r="C34"/>
      <c r="D34" s="223"/>
      <c r="E34" s="224"/>
      <c r="F34" s="224"/>
      <c r="G34" s="225"/>
      <c r="H34" s="12"/>
      <c r="I34" s="28"/>
      <c r="J34" s="20"/>
      <c r="L34" s="20"/>
    </row>
    <row r="35" spans="1:13" s="14" customFormat="1" ht="19.95" customHeight="1">
      <c r="A35" s="34" t="s">
        <v>53</v>
      </c>
      <c r="F35" s="28"/>
      <c r="G35" s="28"/>
      <c r="H35" s="28"/>
      <c r="I35" s="28"/>
      <c r="J35" s="20"/>
      <c r="L35" s="22"/>
      <c r="M35" s="22"/>
    </row>
    <row r="36" spans="1:13" s="14" customFormat="1" ht="19.95" customHeight="1">
      <c r="A36" s="33"/>
      <c r="C36" s="28"/>
      <c r="D36" s="28"/>
      <c r="E36" s="28"/>
      <c r="F36" s="28"/>
      <c r="G36" s="28"/>
      <c r="H36" s="28"/>
      <c r="I36" s="28"/>
      <c r="J36" s="28"/>
      <c r="K36" s="28"/>
    </row>
    <row r="37" spans="1:13" s="14" customFormat="1" ht="18" customHeight="1">
      <c r="A37" s="70" t="s">
        <v>49</v>
      </c>
    </row>
    <row r="38" spans="1:13" ht="18" customHeight="1">
      <c r="A38" s="35" t="s">
        <v>54</v>
      </c>
      <c r="B38" s="37"/>
    </row>
    <row r="39" spans="1:13" ht="18" customHeight="1">
      <c r="A39" s="35" t="s">
        <v>55</v>
      </c>
      <c r="B39" s="37"/>
    </row>
    <row r="40" spans="1:13" ht="18" customHeight="1">
      <c r="A40" s="35" t="s">
        <v>56</v>
      </c>
      <c r="B40" s="37"/>
    </row>
    <row r="41" spans="1:13" ht="18" customHeight="1">
      <c r="A41" s="35" t="s">
        <v>57</v>
      </c>
      <c r="B41" s="37"/>
    </row>
    <row r="42" spans="1:13" ht="18" customHeight="1">
      <c r="A42" s="35" t="s">
        <v>58</v>
      </c>
      <c r="B42" s="37"/>
    </row>
  </sheetData>
  <mergeCells count="15">
    <mergeCell ref="H12:L12"/>
    <mergeCell ref="G22:G23"/>
    <mergeCell ref="H22:L22"/>
    <mergeCell ref="A1:P1"/>
    <mergeCell ref="A2:P2"/>
    <mergeCell ref="P12:P13"/>
    <mergeCell ref="N22:N23"/>
    <mergeCell ref="O22:O23"/>
    <mergeCell ref="N12:N13"/>
    <mergeCell ref="O12:O13"/>
    <mergeCell ref="A12:F12"/>
    <mergeCell ref="A22:F22"/>
    <mergeCell ref="M12:M13"/>
    <mergeCell ref="M22:M23"/>
    <mergeCell ref="G12:G13"/>
  </mergeCells>
  <phoneticPr fontId="18" type="noConversion"/>
  <dataValidations count="1">
    <dataValidation type="list" allowBlank="1" showInputMessage="1" showErrorMessage="1" sqref="N14:N20 N24:N30">
      <formula1>"√,X"</formula1>
    </dataValidation>
  </dataValidations>
  <hyperlinks>
    <hyperlink ref="P3" location="底稿目录!A1" display="底稿目录!A1"/>
  </hyperlinks>
  <pageMargins left="0.70866141732283472" right="0.70866141732283472" top="0.74803149606299213" bottom="0.74803149606299213" header="0.31496062992125984" footer="0.31496062992125984"/>
  <pageSetup paperSize="9" scale="65" orientation="landscape" blackAndWhite="1" r:id="rId1"/>
  <headerFooter>
    <oddFooter>&amp;C&amp;P/&amp;N</oddFooter>
  </headerFooter>
  <ignoredErrors>
    <ignoredError sqref="A3:E4 J3:J4"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8"/>
  <sheetViews>
    <sheetView workbookViewId="0"/>
  </sheetViews>
  <sheetFormatPr defaultRowHeight="15.6"/>
  <sheetData>
    <row r="1" spans="1:2">
      <c r="A1" t="s">
        <v>4</v>
      </c>
      <c r="B1" t="s">
        <v>5</v>
      </c>
    </row>
    <row r="2" spans="1:2">
      <c r="A2" t="s">
        <v>6</v>
      </c>
      <c r="B2" t="s">
        <v>7</v>
      </c>
    </row>
    <row r="3" spans="1:2">
      <c r="A3" t="s">
        <v>8</v>
      </c>
      <c r="B3" t="s">
        <v>9</v>
      </c>
    </row>
    <row r="4" spans="1:2">
      <c r="A4" t="s">
        <v>10</v>
      </c>
      <c r="B4" t="s">
        <v>11</v>
      </c>
    </row>
    <row r="5" spans="1:2">
      <c r="A5" t="s">
        <v>12</v>
      </c>
      <c r="B5" t="s">
        <v>13</v>
      </c>
    </row>
    <row r="6" spans="1:2">
      <c r="A6" t="s">
        <v>14</v>
      </c>
      <c r="B6" t="s">
        <v>15</v>
      </c>
    </row>
    <row r="7" spans="1:2">
      <c r="A7" t="s">
        <v>16</v>
      </c>
      <c r="B7" t="s">
        <v>17</v>
      </c>
    </row>
    <row r="8" spans="1:2">
      <c r="A8" t="s">
        <v>18</v>
      </c>
      <c r="B8" t="s">
        <v>19</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9</vt:i4>
      </vt:variant>
    </vt:vector>
  </HeadingPairs>
  <TitlesOfParts>
    <vt:vector size="19" baseType="lpstr">
      <vt:lpstr>底稿目录</vt:lpstr>
      <vt:lpstr> 专项储备实质性程序表 M7A </vt:lpstr>
      <vt:lpstr>审定表M7-1</vt:lpstr>
      <vt:lpstr>附注披露信息（上市公司）</vt:lpstr>
      <vt:lpstr>附注披露信息（国有企业）</vt:lpstr>
      <vt:lpstr>明细表M7-2</vt:lpstr>
      <vt:lpstr>调整分录汇总M7-3</vt:lpstr>
      <vt:lpstr>专项储备计提测试表M7-4</vt:lpstr>
      <vt:lpstr>专项储备支出检查表M7-5</vt:lpstr>
      <vt:lpstr>GT_Custom</vt:lpstr>
      <vt:lpstr>' 专项储备实质性程序表 M7A '!Print_Area</vt:lpstr>
      <vt:lpstr>'调整分录汇总M7-3'!Print_Area</vt:lpstr>
      <vt:lpstr>'附注披露信息（国有企业）'!Print_Area</vt:lpstr>
      <vt:lpstr>'附注披露信息（上市公司）'!Print_Area</vt:lpstr>
      <vt:lpstr>'明细表M7-2'!Print_Area</vt:lpstr>
      <vt:lpstr>'审定表M7-1'!Print_Area</vt:lpstr>
      <vt:lpstr>'专项储备计提测试表M7-4'!Print_Area</vt:lpstr>
      <vt:lpstr>'专项储备支出检查表M7-5'!Print_Area</vt:lpstr>
      <vt:lpstr>' 专项储备实质性程序表 M7A '!Print_Titles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2025-10-23T02:38:07Z</cp:lastPrinted>
  <dcterms:created xsi:type="dcterms:W3CDTF">2007-05-20T08:51:05Z</dcterms:created>
  <dcterms:modified xsi:type="dcterms:W3CDTF">2025-11-05T08:28:45Z</dcterms:modified>
</cp:coreProperties>
</file>