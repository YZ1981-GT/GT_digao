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M 权益循环\"/>
    </mc:Choice>
  </mc:AlternateContent>
  <bookViews>
    <workbookView xWindow="-108" yWindow="-108" windowWidth="23256" windowHeight="12576" tabRatio="805"/>
  </bookViews>
  <sheets>
    <sheet name="底稿目录" sheetId="1" r:id="rId1"/>
    <sheet name="未分配利润实质性程序表 M6A " sheetId="21" r:id="rId2"/>
    <sheet name="未分配利润实质性程序表 Q6A  (修订前)" sheetId="23" state="hidden" r:id="rId3"/>
    <sheet name="审定表M6-1" sheetId="15" r:id="rId4"/>
    <sheet name="附注披露信息（上市公司）" sheetId="17" r:id="rId5"/>
    <sheet name="附注披露信息（国有企业）" sheetId="19" r:id="rId6"/>
    <sheet name="明细表M6-2" sheetId="20" r:id="rId7"/>
    <sheet name="调整分录汇总M6-3" sheetId="22" r:id="rId8"/>
    <sheet name="未分配利润检查表M6-4" sheetId="16" r:id="rId9"/>
    <sheet name="GT_Custom" sheetId="18" state="hidden" r:id="rId10"/>
  </sheets>
  <externalReferences>
    <externalReference r:id="rId11"/>
    <externalReference r:id="rId12"/>
    <externalReference r:id="rId13"/>
  </externalReferences>
  <definedNames>
    <definedName name="_xlnm._FilterDatabase" localSheetId="1" hidden="1">'未分配利润实质性程序表 M6A '!$A$15:$I$15</definedName>
    <definedName name="_xlnm._FilterDatabase" localSheetId="2" hidden="1">'未分配利润实质性程序表 Q6A  (修订前)'!$A$16:$J$16</definedName>
    <definedName name="AFV" localSheetId="1" hidden="1">#REF!</definedName>
    <definedName name="AFV" localSheetId="2" hidden="1">#REF!</definedName>
    <definedName name="AFV" hidden="1">#REF!</definedName>
    <definedName name="AS2DocOpenMode" hidden="1">"AS2DocumentEdit"</definedName>
    <definedName name="bs" hidden="1">{#N/A,#N/A,FALSE,"BBPREP"}</definedName>
    <definedName name="bs_1" hidden="1">{#N/A,#N/A,FALSE,"BBPREP"}</definedName>
    <definedName name="CCD" localSheetId="1" hidden="1">#REF!</definedName>
    <definedName name="CCD" localSheetId="2" hidden="1">#REF!</definedName>
    <definedName name="CCD" hidden="1">#REF!</definedName>
    <definedName name="CDE" localSheetId="1" hidden="1">#REF!</definedName>
    <definedName name="CDE" localSheetId="2" hidden="1">#REF!</definedName>
    <definedName name="CDE" hidden="1">#REF!</definedName>
    <definedName name="DEX" localSheetId="1" hidden="1">#REF!</definedName>
    <definedName name="DEX" localSheetId="2" hidden="1">#REF!</definedName>
    <definedName name="DEX" hidden="1">#REF!</definedName>
    <definedName name="EDC" localSheetId="1" hidden="1">#REF!</definedName>
    <definedName name="EDC" localSheetId="2" hidden="1">#REF!</definedName>
    <definedName name="EDC" hidden="1">#REF!</definedName>
    <definedName name="FAD" localSheetId="1" hidden="1">[1]Breakdown!#REF!</definedName>
    <definedName name="FAD" localSheetId="2" hidden="1">[1]Breakdown!#REF!</definedName>
    <definedName name="FAD" hidden="1">[1]Breakdown!#REF!</definedName>
    <definedName name="FASD" localSheetId="1" hidden="1">#REF!</definedName>
    <definedName name="FASD" localSheetId="2" hidden="1">#REF!</definedName>
    <definedName name="FASD" hidden="1">#REF!</definedName>
    <definedName name="FEDC" localSheetId="1" hidden="1">'[2]2004'!#REF!</definedName>
    <definedName name="FEDC" localSheetId="2" hidden="1">'[2]2004'!#REF!</definedName>
    <definedName name="FEDC" hidden="1">'[2]2004'!#REF!</definedName>
    <definedName name="_xlnm.Print_Area" localSheetId="7">'调整分录汇总M6-3'!$A$1:$J$25</definedName>
    <definedName name="_xlnm.Print_Area" localSheetId="4">'附注披露信息（上市公司）'!$A$1:$F$30</definedName>
    <definedName name="_xlnm.Print_Area" localSheetId="6">'明细表M6-2'!$A$1:$K$30</definedName>
    <definedName name="_xlnm.Print_Area" localSheetId="3">'审定表M6-1'!$A$1:$L$25</definedName>
    <definedName name="_xlnm.Print_Area" localSheetId="8">'未分配利润检查表M6-4'!$A$1:$P$23</definedName>
    <definedName name="_xlnm.Print_Area" localSheetId="1">'未分配利润实质性程序表 M6A '!$A$1:$I$23</definedName>
    <definedName name="_xlnm.Print_Area" localSheetId="2">'未分配利润实质性程序表 Q6A  (修订前)'!$A$1:$J$52</definedName>
    <definedName name="_xlnm.Print_Titles" localSheetId="1">'未分配利润实质性程序表 M6A '!$15:$15</definedName>
    <definedName name="_xlnm.Print_Titles" localSheetId="2">'未分配利润实质性程序表 Q6A  (修订前)'!$16:$16</definedName>
    <definedName name="RDES" localSheetId="1" hidden="1">#REF!</definedName>
    <definedName name="RDES" localSheetId="2" hidden="1">#REF!</definedName>
    <definedName name="RDES" hidden="1">#REF!</definedName>
    <definedName name="TextRefCopyRangeCount" hidden="1">136</definedName>
    <definedName name="VFE" localSheetId="1" hidden="1">#REF!</definedName>
    <definedName name="VFE" localSheetId="2" hidden="1">#REF!</definedName>
    <definedName name="VFE" hidden="1">#REF!</definedName>
    <definedName name="XAP" localSheetId="1" hidden="1">#REF!</definedName>
    <definedName name="XAP" localSheetId="2" hidden="1">#REF!</definedName>
    <definedName name="XAP" hidden="1">#REF!</definedName>
    <definedName name="XAQ" localSheetId="1" hidden="1">#REF!</definedName>
    <definedName name="XAQ" localSheetId="2" hidden="1">#REF!</definedName>
    <definedName name="XAQ" hidden="1">#REF!</definedName>
    <definedName name="XCD" localSheetId="1" hidden="1">#REF!</definedName>
    <definedName name="XCD" localSheetId="2" hidden="1">#REF!</definedName>
    <definedName name="XCD" hidden="1">#REF!</definedName>
    <definedName name="XREF_COLUMN_1" localSheetId="1" hidden="1">#REF!</definedName>
    <definedName name="XREF_COLUMN_1" localSheetId="2" hidden="1">#REF!</definedName>
    <definedName name="XREF_COLUMN_1" hidden="1">#REF!</definedName>
    <definedName name="XREF_COLUMN_2" localSheetId="1" hidden="1">[1]Breakdown!#REF!</definedName>
    <definedName name="XREF_COLUMN_2" localSheetId="2" hidden="1">[1]Breakdown!#REF!</definedName>
    <definedName name="XREF_COLUMN_2" hidden="1">[1]Breakdown!#REF!</definedName>
    <definedName name="XREF_COLUMN_3" localSheetId="1" hidden="1">#REF!</definedName>
    <definedName name="XREF_COLUMN_3" localSheetId="2" hidden="1">#REF!</definedName>
    <definedName name="XREF_COLUMN_3" hidden="1">#REF!</definedName>
    <definedName name="XREF_COLUMN_5" localSheetId="1" hidden="1">'[2]2004'!#REF!</definedName>
    <definedName name="XREF_COLUMN_5" localSheetId="2" hidden="1">'[2]2004'!#REF!</definedName>
    <definedName name="XREF_COLUMN_5" hidden="1">'[2]2004'!#REF!</definedName>
    <definedName name="XRefActiveRow" localSheetId="1" hidden="1">#REF!</definedName>
    <definedName name="XRefActiveRow" localSheetId="2" hidden="1">#REF!</definedName>
    <definedName name="XRefActiveRow" hidden="1">#REF!</definedName>
    <definedName name="XRefColumnsCount" hidden="1">2</definedName>
    <definedName name="XRefCopy1" localSheetId="1" hidden="1">#REF!</definedName>
    <definedName name="XRefCopy1" localSheetId="2" hidden="1">#REF!</definedName>
    <definedName name="XRefCopy1" hidden="1">#REF!</definedName>
    <definedName name="XRefCopy1Row" localSheetId="1" hidden="1">#REF!</definedName>
    <definedName name="XRefCopy1Row" localSheetId="2" hidden="1">#REF!</definedName>
    <definedName name="XRefCopy1Row" hidden="1">#REF!</definedName>
    <definedName name="XRefCopy2Row" localSheetId="1" hidden="1">#REF!</definedName>
    <definedName name="XRefCopy2Row" localSheetId="2" hidden="1">#REF!</definedName>
    <definedName name="XRefCopy2Row" hidden="1">#REF!</definedName>
    <definedName name="XRefCopyRangeCount" hidden="1">2</definedName>
    <definedName name="XRefPaste1" localSheetId="1" hidden="1">#REF!</definedName>
    <definedName name="XRefPaste1" localSheetId="2" hidden="1">#REF!</definedName>
    <definedName name="XRefPaste1" hidden="1">#REF!</definedName>
    <definedName name="XRefPaste1Row" localSheetId="1" hidden="1">#REF!</definedName>
    <definedName name="XRefPaste1Row" localSheetId="2" hidden="1">#REF!</definedName>
    <definedName name="XRefPaste1Row" hidden="1">#REF!</definedName>
    <definedName name="XRefPaste2" localSheetId="1" hidden="1">#REF!</definedName>
    <definedName name="XRefPaste2" localSheetId="2" hidden="1">#REF!</definedName>
    <definedName name="XRefPaste2" hidden="1">#REF!</definedName>
    <definedName name="XRefPaste2Row" localSheetId="1" hidden="1">#REF!</definedName>
    <definedName name="XRefPaste2Row" localSheetId="2" hidden="1">#REF!</definedName>
    <definedName name="XRefPaste2Row" hidden="1">#REF!</definedName>
    <definedName name="XRefPaste3" localSheetId="1" hidden="1">#REF!</definedName>
    <definedName name="XRefPaste3" localSheetId="2" hidden="1">#REF!</definedName>
    <definedName name="XRefPaste3" hidden="1">#REF!</definedName>
    <definedName name="XRefPaste3Row" localSheetId="1" hidden="1">#REF!</definedName>
    <definedName name="XRefPaste3Row" localSheetId="2" hidden="1">#REF!</definedName>
    <definedName name="XRefPaste3Row" hidden="1">#REF!</definedName>
    <definedName name="XRefPasteRangeCount" hidden="1">2</definedName>
    <definedName name="本循环科目" hidden="1">[3]索引!$D$15:$D$76</definedName>
    <definedName name="底稿目录" localSheetId="1" hidden="1">#REF!</definedName>
    <definedName name="底稿目录" localSheetId="2" hidden="1">#REF!</definedName>
    <definedName name="底稿目录" hidden="1">#REF!</definedName>
    <definedName name="新目录" localSheetId="1" hidden="1">#REF!</definedName>
    <definedName name="新目录" localSheetId="2" hidden="1">#REF!</definedName>
    <definedName name="新目录" hidden="1">#REF!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16" l="1"/>
  <c r="J3" i="22"/>
  <c r="K3" i="20"/>
  <c r="L3" i="15"/>
  <c r="I3" i="21"/>
  <c r="G3" i="20" l="1"/>
  <c r="C3" i="20"/>
  <c r="A4" i="20"/>
  <c r="F4" i="23"/>
  <c r="C4" i="23"/>
  <c r="A4" i="23"/>
  <c r="F3" i="23"/>
  <c r="C3" i="23"/>
  <c r="A3" i="23"/>
  <c r="H13" i="20"/>
  <c r="F4" i="22" l="1"/>
  <c r="F3" i="22"/>
  <c r="D4" i="22"/>
  <c r="D3" i="22"/>
  <c r="A4" i="22"/>
  <c r="A3" i="22"/>
  <c r="I4" i="16" l="1"/>
  <c r="G4" i="20"/>
  <c r="C4" i="19"/>
  <c r="C4" i="17"/>
  <c r="I4" i="15"/>
  <c r="E4" i="21"/>
  <c r="E4" i="16"/>
  <c r="C4" i="20"/>
  <c r="B4" i="19"/>
  <c r="B4" i="17"/>
  <c r="D4" i="15"/>
  <c r="C4" i="21"/>
  <c r="E3" i="21" l="1"/>
  <c r="C3" i="21"/>
  <c r="A4" i="21"/>
  <c r="A3" i="21"/>
  <c r="B22" i="20"/>
  <c r="B16" i="20"/>
  <c r="E18" i="20"/>
  <c r="B13" i="17" s="1"/>
  <c r="E19" i="20"/>
  <c r="B15" i="17" s="1"/>
  <c r="E20" i="20"/>
  <c r="B17" i="17" s="1"/>
  <c r="E14" i="20"/>
  <c r="B11" i="17" s="1"/>
  <c r="I14" i="20"/>
  <c r="C11" i="17" s="1"/>
  <c r="B17" i="19" l="1"/>
  <c r="B16" i="19"/>
  <c r="J8" i="15"/>
  <c r="K8" i="15" s="1"/>
  <c r="J9" i="15"/>
  <c r="K9" i="15" s="1"/>
  <c r="H22" i="20"/>
  <c r="G22" i="20"/>
  <c r="F22" i="20"/>
  <c r="H16" i="20"/>
  <c r="G16" i="20"/>
  <c r="F16" i="20"/>
  <c r="G13" i="20"/>
  <c r="F13" i="20"/>
  <c r="I11" i="20"/>
  <c r="I12" i="20"/>
  <c r="C8" i="19" s="1"/>
  <c r="I15" i="20"/>
  <c r="C10" i="17" s="1"/>
  <c r="I17" i="20"/>
  <c r="I18" i="20"/>
  <c r="C13" i="17" s="1"/>
  <c r="I19" i="20"/>
  <c r="I20" i="20"/>
  <c r="I21" i="20"/>
  <c r="I23" i="20"/>
  <c r="I24" i="20"/>
  <c r="I10" i="20"/>
  <c r="C13" i="20"/>
  <c r="D13" i="20"/>
  <c r="I13" i="20" l="1"/>
  <c r="C7" i="17"/>
  <c r="C7" i="19"/>
  <c r="H25" i="20"/>
  <c r="H7" i="15" s="1"/>
  <c r="G25" i="20"/>
  <c r="G7" i="15" s="1"/>
  <c r="C16" i="19"/>
  <c r="C15" i="17"/>
  <c r="C8" i="17"/>
  <c r="C9" i="17" s="1"/>
  <c r="C17" i="19"/>
  <c r="C17" i="17"/>
  <c r="C12" i="17"/>
  <c r="C14" i="19"/>
  <c r="F25" i="20"/>
  <c r="F7" i="15" s="1"/>
  <c r="C9" i="19"/>
  <c r="C10" i="19"/>
  <c r="C11" i="19"/>
  <c r="I22" i="20"/>
  <c r="I16" i="20"/>
  <c r="C13" i="19" s="1"/>
  <c r="E24" i="20"/>
  <c r="E23" i="20"/>
  <c r="D22" i="20"/>
  <c r="C22" i="20"/>
  <c r="E21" i="20"/>
  <c r="E17" i="20"/>
  <c r="D16" i="20"/>
  <c r="D25" i="20" s="1"/>
  <c r="C16" i="20"/>
  <c r="C25" i="20" s="1"/>
  <c r="E15" i="20"/>
  <c r="B13" i="20"/>
  <c r="B25" i="20" s="1"/>
  <c r="E12" i="20"/>
  <c r="E11" i="20"/>
  <c r="E10" i="20"/>
  <c r="A3" i="20"/>
  <c r="A4" i="19"/>
  <c r="C3" i="19"/>
  <c r="B3" i="19"/>
  <c r="A3" i="19"/>
  <c r="A4" i="17"/>
  <c r="C3" i="17"/>
  <c r="B3" i="17"/>
  <c r="A3" i="17"/>
  <c r="I3" i="16"/>
  <c r="E3" i="16"/>
  <c r="A4" i="16"/>
  <c r="A3" i="16"/>
  <c r="I3" i="15"/>
  <c r="D3" i="15"/>
  <c r="A4" i="15"/>
  <c r="A3" i="15"/>
  <c r="B8" i="19" l="1"/>
  <c r="B7" i="17"/>
  <c r="B7" i="19"/>
  <c r="I25" i="20"/>
  <c r="I7" i="15" s="1"/>
  <c r="E22" i="20"/>
  <c r="C19" i="17"/>
  <c r="B14" i="19"/>
  <c r="B12" i="17"/>
  <c r="C19" i="19"/>
  <c r="B10" i="19"/>
  <c r="B11" i="19"/>
  <c r="B10" i="17"/>
  <c r="G10" i="15"/>
  <c r="C7" i="15"/>
  <c r="C10" i="15" s="1"/>
  <c r="E13" i="20"/>
  <c r="B9" i="19" s="1"/>
  <c r="B8" i="17"/>
  <c r="H10" i="15"/>
  <c r="D7" i="15"/>
  <c r="D10" i="15" s="1"/>
  <c r="E16" i="20"/>
  <c r="B9" i="17" l="1"/>
  <c r="B19" i="17" s="1"/>
  <c r="E25" i="20"/>
  <c r="E7" i="15" s="1"/>
  <c r="B13" i="19"/>
  <c r="B19" i="19" s="1"/>
  <c r="F10" i="15"/>
  <c r="B7" i="15"/>
  <c r="I10" i="15"/>
  <c r="I12" i="15" s="1"/>
  <c r="J7" i="15" l="1"/>
  <c r="K7" i="15" s="1"/>
  <c r="E10" i="15"/>
  <c r="E12" i="15" s="1"/>
  <c r="B10" i="15"/>
  <c r="J10" i="15" l="1"/>
  <c r="K10" i="15" s="1"/>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1</author>
  </authors>
  <commentList>
    <comment ref="E12" authorId="0" shapeId="0">
      <text>
        <r>
          <rPr>
            <b/>
            <sz val="9"/>
            <color indexed="81"/>
            <rFont val="宋体"/>
            <family val="3"/>
            <charset val="134"/>
          </rPr>
          <t>1:</t>
        </r>
        <r>
          <rPr>
            <sz val="9"/>
            <color indexed="81"/>
            <rFont val="宋体"/>
            <family val="3"/>
            <charset val="134"/>
          </rPr>
          <t xml:space="preserve">
存在差异时显示红色，同时显示数据，不存在差异显示绿色，-</t>
        </r>
      </text>
    </comment>
    <comment ref="I12" authorId="0" shapeId="0">
      <text>
        <r>
          <rPr>
            <b/>
            <sz val="9"/>
            <color indexed="81"/>
            <rFont val="宋体"/>
            <family val="3"/>
            <charset val="134"/>
          </rPr>
          <t>1:</t>
        </r>
        <r>
          <rPr>
            <sz val="9"/>
            <color indexed="81"/>
            <rFont val="宋体"/>
            <family val="3"/>
            <charset val="134"/>
          </rPr>
          <t xml:space="preserve">
存在差异时显示红色，同时显示数据，不存在差异显示绿色，-</t>
        </r>
      </text>
    </comment>
  </commentList>
</comments>
</file>

<file path=xl/sharedStrings.xml><?xml version="1.0" encoding="utf-8"?>
<sst xmlns="http://schemas.openxmlformats.org/spreadsheetml/2006/main" count="500" uniqueCount="327">
  <si>
    <t>索引号：</t>
  </si>
  <si>
    <t>索引号</t>
  </si>
  <si>
    <t>备注</t>
  </si>
  <si>
    <r>
      <t>1</t>
    </r>
    <r>
      <rPr>
        <b/>
        <sz val="10"/>
        <rFont val="宋体"/>
        <family val="3"/>
        <charset val="134"/>
      </rPr>
      <t>、审计说明</t>
    </r>
    <r>
      <rPr>
        <sz val="10"/>
        <color indexed="12"/>
        <rFont val="宋体"/>
        <family val="3"/>
        <charset val="134"/>
      </rPr>
      <t/>
    </r>
    <phoneticPr fontId="18" type="noConversion"/>
  </si>
  <si>
    <t xml:space="preserve">
</t>
    <phoneticPr fontId="18" type="noConversion"/>
  </si>
  <si>
    <r>
      <t>1</t>
    </r>
    <r>
      <rPr>
        <sz val="10"/>
        <rFont val="宋体"/>
        <family val="3"/>
        <charset val="134"/>
      </rPr>
      <t>、盈余公积弥补亏损</t>
    </r>
  </si>
  <si>
    <r>
      <t>2</t>
    </r>
    <r>
      <rPr>
        <sz val="10"/>
        <rFont val="宋体"/>
        <family val="3"/>
        <charset val="134"/>
      </rPr>
      <t>、其他</t>
    </r>
  </si>
  <si>
    <r>
      <t>5</t>
    </r>
    <r>
      <rPr>
        <sz val="10"/>
        <rFont val="宋体"/>
        <family val="3"/>
        <charset val="134"/>
      </rPr>
      <t>、其他</t>
    </r>
    <phoneticPr fontId="18" type="noConversion"/>
  </si>
  <si>
    <t>未分配利润</t>
  </si>
  <si>
    <t>本期发生额</t>
  </si>
  <si>
    <t>上期发生额</t>
  </si>
  <si>
    <t>提取或分配比例</t>
  </si>
  <si>
    <t>--</t>
  </si>
  <si>
    <t>加：本期归属于母公司所有者的净利润</t>
  </si>
  <si>
    <t>减：提取法定盈余公积</t>
  </si>
  <si>
    <t>期末未分配利润</t>
  </si>
  <si>
    <t>其中：子公司当年提取的盈余公积归属于母公司的金额</t>
  </si>
  <si>
    <t>C1</t>
  </si>
  <si>
    <t>Custom 1</t>
  </si>
  <si>
    <t>C2</t>
  </si>
  <si>
    <t>Custom 2</t>
  </si>
  <si>
    <t>C3</t>
  </si>
  <si>
    <t>Custom 3</t>
  </si>
  <si>
    <t>C4</t>
  </si>
  <si>
    <t>Custom 4</t>
  </si>
  <si>
    <t>C5</t>
  </si>
  <si>
    <t>Custom 5</t>
  </si>
  <si>
    <t>C6</t>
  </si>
  <si>
    <t>Custom 6</t>
  </si>
  <si>
    <t>C7</t>
  </si>
  <si>
    <t>Custom 7</t>
  </si>
  <si>
    <t>C8</t>
  </si>
  <si>
    <t>Custom 8</t>
  </si>
  <si>
    <t>内容</t>
  </si>
  <si>
    <t>致同会计师事务所</t>
  </si>
  <si>
    <t>页次：</t>
  </si>
  <si>
    <t>调整本期期初未分配利润明细：</t>
  </si>
  <si>
    <t>本期金额</t>
  </si>
  <si>
    <t>本期年初余额</t>
  </si>
  <si>
    <t>本期增加额</t>
  </si>
  <si>
    <t>其中：本期净利润转入</t>
  </si>
  <si>
    <t>本期减少额</t>
  </si>
  <si>
    <t>其中：本期提取盈余公积数</t>
  </si>
  <si>
    <t>本期期末余额</t>
  </si>
  <si>
    <r>
      <rPr>
        <b/>
        <sz val="10"/>
        <color indexed="8"/>
        <rFont val="宋体"/>
        <family val="3"/>
        <charset val="134"/>
      </rPr>
      <t>一、审计目标</t>
    </r>
    <r>
      <rPr>
        <b/>
        <sz val="10"/>
        <color indexed="8"/>
        <rFont val="Arial Narrow"/>
        <family val="2"/>
      </rPr>
      <t>:</t>
    </r>
    <phoneticPr fontId="21" type="noConversion"/>
  </si>
  <si>
    <t>未分配利润附注披露信息（上市公司）</t>
    <phoneticPr fontId="18" type="noConversion"/>
  </si>
  <si>
    <t>未分配利润附注披露信息（国有企业）</t>
    <phoneticPr fontId="18" type="noConversion"/>
  </si>
  <si>
    <r>
      <rPr>
        <b/>
        <sz val="10"/>
        <rFont val="宋体"/>
        <family val="3"/>
        <charset val="134"/>
      </rPr>
      <t>项目名称</t>
    </r>
    <phoneticPr fontId="18" type="noConversion"/>
  </si>
  <si>
    <t xml:space="preserve">      其他减少</t>
    <phoneticPr fontId="18" type="noConversion"/>
  </si>
  <si>
    <t xml:space="preserve">      本期分配现金股利数</t>
    <phoneticPr fontId="18" type="noConversion"/>
  </si>
  <si>
    <t xml:space="preserve">      转增资本</t>
    <phoneticPr fontId="18" type="noConversion"/>
  </si>
  <si>
    <t xml:space="preserve">      其他调整因素</t>
    <phoneticPr fontId="18" type="noConversion"/>
  </si>
  <si>
    <t xml:space="preserve">    提取任意盈余公积</t>
    <phoneticPr fontId="18" type="noConversion"/>
  </si>
  <si>
    <t xml:space="preserve">    提取一般风险准备</t>
    <phoneticPr fontId="18" type="noConversion"/>
  </si>
  <si>
    <t xml:space="preserve">    应付普通股股利</t>
    <phoneticPr fontId="18" type="noConversion"/>
  </si>
  <si>
    <t xml:space="preserve">    应付其他权益持有者的股利</t>
    <phoneticPr fontId="18" type="noConversion"/>
  </si>
  <si>
    <t xml:space="preserve">    转作股本的普通股股利</t>
    <phoneticPr fontId="18" type="noConversion"/>
  </si>
  <si>
    <t xml:space="preserve">    其他</t>
    <phoneticPr fontId="18" type="noConversion"/>
  </si>
  <si>
    <t>项  目</t>
  </si>
  <si>
    <t>调整前 上期末未分配利润</t>
  </si>
  <si>
    <t>调整 期初未分配利润合计数（调增+，调减-）</t>
  </si>
  <si>
    <t>调整后 期初未分配利润</t>
  </si>
  <si>
    <t>（1）由于《企业会计准则》及其相关新规定进行追溯调整，影响期初未分配利润XX元。</t>
  </si>
  <si>
    <t>（2）由于会计政策变更，影响期初未分配利润XX元。</t>
  </si>
  <si>
    <t>（3）由于重大会计差错更正，影响期初未分配利润XX元。</t>
  </si>
  <si>
    <t>(对于首次公开发行证券的公司，如果发行前的滚存利润经股东大会决议由新老股东共同享有，应明确予以说明。如果发行前的滚存利润经股东大会决议在发行前进行分配并由老股东享有，公司应明确披露应付股利项目中列示的老股东享有的经审计的利润数。)</t>
  </si>
  <si>
    <r>
      <rPr>
        <b/>
        <sz val="10"/>
        <rFont val="宋体"/>
        <family val="3"/>
        <charset val="134"/>
      </rPr>
      <t>内容</t>
    </r>
  </si>
  <si>
    <r>
      <rPr>
        <b/>
        <sz val="10"/>
        <rFont val="宋体"/>
        <family val="3"/>
        <charset val="134"/>
      </rPr>
      <t>本期数</t>
    </r>
    <phoneticPr fontId="18" type="noConversion"/>
  </si>
  <si>
    <r>
      <rPr>
        <b/>
        <sz val="10"/>
        <rFont val="宋体"/>
        <family val="3"/>
        <charset val="134"/>
      </rPr>
      <t>上期数</t>
    </r>
    <phoneticPr fontId="18" type="noConversion"/>
  </si>
  <si>
    <r>
      <rPr>
        <b/>
        <sz val="10"/>
        <rFont val="宋体"/>
        <family val="3"/>
        <charset val="134"/>
      </rPr>
      <t>索引号</t>
    </r>
  </si>
  <si>
    <r>
      <rPr>
        <b/>
        <sz val="10"/>
        <rFont val="宋体"/>
        <family val="3"/>
        <charset val="134"/>
      </rPr>
      <t>备注</t>
    </r>
  </si>
  <si>
    <r>
      <rPr>
        <b/>
        <sz val="10"/>
        <rFont val="宋体"/>
        <family val="3"/>
        <charset val="134"/>
      </rPr>
      <t>未审数</t>
    </r>
    <phoneticPr fontId="18" type="noConversion"/>
  </si>
  <si>
    <r>
      <rPr>
        <b/>
        <sz val="10"/>
        <rFont val="宋体"/>
        <family val="3"/>
        <charset val="134"/>
      </rPr>
      <t>账项调整</t>
    </r>
    <phoneticPr fontId="18" type="noConversion"/>
  </si>
  <si>
    <r>
      <rPr>
        <b/>
        <sz val="10"/>
        <rFont val="宋体"/>
        <family val="3"/>
        <charset val="134"/>
      </rPr>
      <t>重分类调整</t>
    </r>
    <phoneticPr fontId="18" type="noConversion"/>
  </si>
  <si>
    <r>
      <rPr>
        <b/>
        <sz val="10"/>
        <rFont val="宋体"/>
        <family val="3"/>
        <charset val="134"/>
      </rPr>
      <t>审定数</t>
    </r>
    <phoneticPr fontId="18" type="noConversion"/>
  </si>
  <si>
    <r>
      <rPr>
        <b/>
        <sz val="10"/>
        <rFont val="宋体"/>
        <family val="3"/>
        <charset val="134"/>
      </rPr>
      <t>一、上年年末余额</t>
    </r>
  </si>
  <si>
    <r>
      <rPr>
        <sz val="10"/>
        <rFont val="宋体"/>
        <family val="3"/>
        <charset val="134"/>
      </rPr>
      <t>加：会计政策变更</t>
    </r>
    <phoneticPr fontId="18" type="noConversion"/>
  </si>
  <si>
    <r>
      <rPr>
        <sz val="10"/>
        <rFont val="宋体"/>
        <family val="3"/>
        <charset val="134"/>
      </rPr>
      <t>前期差错更正</t>
    </r>
    <phoneticPr fontId="18" type="noConversion"/>
  </si>
  <si>
    <r>
      <rPr>
        <b/>
        <sz val="10"/>
        <rFont val="宋体"/>
        <family val="3"/>
        <charset val="134"/>
      </rPr>
      <t>二、本年年初余额</t>
    </r>
  </si>
  <si>
    <r>
      <rPr>
        <b/>
        <sz val="10"/>
        <rFont val="宋体"/>
        <family val="3"/>
        <charset val="134"/>
      </rPr>
      <t>三、盈余公积补亏</t>
    </r>
    <phoneticPr fontId="18" type="noConversion"/>
  </si>
  <si>
    <r>
      <rPr>
        <b/>
        <sz val="10"/>
        <rFont val="宋体"/>
        <family val="3"/>
        <charset val="134"/>
      </rPr>
      <t>四、本期净利润</t>
    </r>
    <phoneticPr fontId="18" type="noConversion"/>
  </si>
  <si>
    <r>
      <rPr>
        <b/>
        <sz val="10"/>
        <rFont val="宋体"/>
        <family val="3"/>
        <charset val="134"/>
      </rPr>
      <t>五、利润分配</t>
    </r>
    <phoneticPr fontId="18" type="noConversion"/>
  </si>
  <si>
    <r>
      <t>1</t>
    </r>
    <r>
      <rPr>
        <sz val="10"/>
        <rFont val="宋体"/>
        <family val="3"/>
        <charset val="134"/>
      </rPr>
      <t>、提取法定盈余公积</t>
    </r>
    <phoneticPr fontId="18" type="noConversion"/>
  </si>
  <si>
    <r>
      <t>2</t>
    </r>
    <r>
      <rPr>
        <sz val="10"/>
        <rFont val="宋体"/>
        <family val="3"/>
        <charset val="134"/>
      </rPr>
      <t>、提取任意盈余公积</t>
    </r>
    <phoneticPr fontId="18" type="noConversion"/>
  </si>
  <si>
    <r>
      <t>3</t>
    </r>
    <r>
      <rPr>
        <sz val="10"/>
        <rFont val="宋体"/>
        <family val="3"/>
        <charset val="134"/>
      </rPr>
      <t>、应付现金股利</t>
    </r>
    <phoneticPr fontId="18" type="noConversion"/>
  </si>
  <si>
    <r>
      <t>4</t>
    </r>
    <r>
      <rPr>
        <sz val="10"/>
        <rFont val="宋体"/>
        <family val="3"/>
        <charset val="134"/>
      </rPr>
      <t>、转作股本的股利</t>
    </r>
    <phoneticPr fontId="18" type="noConversion"/>
  </si>
  <si>
    <r>
      <rPr>
        <b/>
        <sz val="10"/>
        <rFont val="宋体"/>
        <family val="3"/>
        <charset val="134"/>
      </rPr>
      <t>六、所有者权益内部结转</t>
    </r>
    <phoneticPr fontId="18" type="noConversion"/>
  </si>
  <si>
    <r>
      <rPr>
        <b/>
        <sz val="10"/>
        <rFont val="宋体"/>
        <family val="3"/>
        <charset val="134"/>
      </rPr>
      <t>七、本年年末余额</t>
    </r>
    <phoneticPr fontId="18" type="noConversion"/>
  </si>
  <si>
    <r>
      <rPr>
        <b/>
        <sz val="10"/>
        <rFont val="宋体"/>
        <family val="3"/>
        <charset val="134"/>
      </rPr>
      <t>三、审计说明：</t>
    </r>
    <phoneticPr fontId="18" type="noConversion"/>
  </si>
  <si>
    <r>
      <rPr>
        <b/>
        <sz val="10"/>
        <rFont val="宋体"/>
        <family val="3"/>
        <charset val="134"/>
      </rPr>
      <t>四、审计结论：</t>
    </r>
    <phoneticPr fontId="18" type="noConversion"/>
  </si>
  <si>
    <r>
      <rPr>
        <b/>
        <sz val="10"/>
        <rFont val="宋体"/>
        <family val="3"/>
        <charset val="134"/>
      </rPr>
      <t>一、测试目标：</t>
    </r>
    <phoneticPr fontId="26" type="noConversion"/>
  </si>
  <si>
    <r>
      <rPr>
        <sz val="10"/>
        <rFont val="宋体"/>
        <family val="3"/>
        <charset val="134"/>
      </rPr>
      <t>通过凭证抽查，验证未分配利润业务的存在</t>
    </r>
    <r>
      <rPr>
        <sz val="10"/>
        <rFont val="Arial Narrow"/>
        <family val="2"/>
      </rPr>
      <t>/</t>
    </r>
    <r>
      <rPr>
        <sz val="10"/>
        <rFont val="宋体"/>
        <family val="3"/>
        <charset val="134"/>
      </rPr>
      <t>发生、计价和分摊。</t>
    </r>
    <phoneticPr fontId="18" type="noConversion"/>
  </si>
  <si>
    <r>
      <rPr>
        <b/>
        <sz val="10"/>
        <rFont val="宋体"/>
        <family val="3"/>
        <charset val="134"/>
      </rPr>
      <t>四、审计说明：</t>
    </r>
    <phoneticPr fontId="26" type="noConversion"/>
  </si>
  <si>
    <r>
      <rPr>
        <b/>
        <sz val="10"/>
        <rFont val="宋体"/>
        <family val="3"/>
        <charset val="134"/>
      </rPr>
      <t>五、审计结论：</t>
    </r>
    <phoneticPr fontId="18" type="noConversion"/>
  </si>
  <si>
    <r>
      <rPr>
        <b/>
        <sz val="12"/>
        <rFont val="宋体"/>
        <family val="3"/>
        <charset val="134"/>
      </rPr>
      <t>底稿开列时，可先在以下单元格填写有关内容，以便其他底稿引用有关数据：</t>
    </r>
    <phoneticPr fontId="18" type="noConversion"/>
  </si>
  <si>
    <t>序号</t>
  </si>
  <si>
    <r>
      <rPr>
        <b/>
        <sz val="12"/>
        <rFont val="宋体"/>
        <family val="3"/>
        <charset val="134"/>
      </rPr>
      <t>致同会计师事务所</t>
    </r>
  </si>
  <si>
    <t>未分配利润实质性程序</t>
    <phoneticPr fontId="18" type="noConversion"/>
  </si>
  <si>
    <r>
      <rPr>
        <sz val="10"/>
        <rFont val="宋体"/>
        <family val="3"/>
        <charset val="134"/>
      </rPr>
      <t>索引号：</t>
    </r>
  </si>
  <si>
    <t>QA</t>
    <phoneticPr fontId="18" type="noConversion"/>
  </si>
  <si>
    <t>页  次：</t>
    <phoneticPr fontId="43" type="noConversion"/>
  </si>
  <si>
    <r>
      <rPr>
        <b/>
        <sz val="10"/>
        <rFont val="宋体"/>
        <family val="3"/>
        <charset val="134"/>
      </rPr>
      <t>一、本账户涉及的科目</t>
    </r>
    <phoneticPr fontId="18" type="noConversion"/>
  </si>
  <si>
    <t>未分配利润</t>
    <phoneticPr fontId="43" type="noConversion"/>
  </si>
  <si>
    <r>
      <rPr>
        <b/>
        <sz val="10"/>
        <rFont val="宋体"/>
        <family val="3"/>
        <charset val="134"/>
      </rPr>
      <t>二、重大错报风险需从实质性程序获取的保证程度</t>
    </r>
    <phoneticPr fontId="18" type="noConversion"/>
  </si>
  <si>
    <r>
      <rPr>
        <b/>
        <sz val="10"/>
        <rFont val="宋体"/>
        <family val="3"/>
        <charset val="134"/>
      </rPr>
      <t>审计目标与认定对应关系</t>
    </r>
    <phoneticPr fontId="18" type="noConversion"/>
  </si>
  <si>
    <r>
      <rPr>
        <b/>
        <sz val="10"/>
        <rFont val="宋体"/>
        <family val="3"/>
        <charset val="134"/>
      </rPr>
      <t>财务报表的认定　</t>
    </r>
  </si>
  <si>
    <t>信赖/不信赖/不适用</t>
    <phoneticPr fontId="18" type="noConversion"/>
  </si>
  <si>
    <r>
      <rPr>
        <sz val="10"/>
        <rFont val="宋体"/>
        <family val="3"/>
        <charset val="134"/>
      </rPr>
      <t>索引号</t>
    </r>
  </si>
  <si>
    <r>
      <rPr>
        <sz val="10"/>
        <rFont val="宋体"/>
        <family val="3"/>
        <charset val="134"/>
      </rPr>
      <t>存在</t>
    </r>
    <phoneticPr fontId="18" type="noConversion"/>
  </si>
  <si>
    <r>
      <rPr>
        <sz val="10"/>
        <rFont val="宋体"/>
        <family val="3"/>
        <charset val="134"/>
      </rPr>
      <t>完整性</t>
    </r>
    <phoneticPr fontId="18" type="noConversion"/>
  </si>
  <si>
    <r>
      <rPr>
        <sz val="10"/>
        <rFont val="宋体"/>
        <family val="3"/>
        <charset val="134"/>
      </rPr>
      <t>权利和义务</t>
    </r>
    <phoneticPr fontId="18" type="noConversion"/>
  </si>
  <si>
    <r>
      <rPr>
        <sz val="10"/>
        <rFont val="宋体"/>
        <family val="3"/>
        <charset val="134"/>
      </rPr>
      <t>计价和分摊</t>
    </r>
    <phoneticPr fontId="18" type="noConversion"/>
  </si>
  <si>
    <r>
      <rPr>
        <sz val="10"/>
        <rFont val="宋体"/>
        <family val="3"/>
        <charset val="134"/>
      </rPr>
      <t>列报与披露</t>
    </r>
    <phoneticPr fontId="18" type="noConversion"/>
  </si>
  <si>
    <t>A. 资产负债表中记录的专项储备是存在的。</t>
  </si>
  <si>
    <r>
      <rPr>
        <sz val="10"/>
        <rFont val="宋体"/>
        <family val="3"/>
        <charset val="134"/>
      </rPr>
      <t>√</t>
    </r>
    <phoneticPr fontId="18" type="noConversion"/>
  </si>
  <si>
    <t>B. 所有应记录的专项储备均已记录，专项储备的增减变动符合法律、法规和合同、章程的规定。</t>
  </si>
  <si>
    <t>C. 专项储备以恰当的金额包括在财务报表中。</t>
  </si>
  <si>
    <t>D. 专项储备已按照企业会计准则的规定在财务报表中作出恰当列报和披露。</t>
  </si>
  <si>
    <r>
      <rPr>
        <b/>
        <sz val="10"/>
        <rFont val="宋体"/>
        <family val="3"/>
        <charset val="134"/>
      </rPr>
      <t>三、计划实施的实质性程序</t>
    </r>
    <phoneticPr fontId="18" type="noConversion"/>
  </si>
  <si>
    <r>
      <rPr>
        <b/>
        <sz val="10"/>
        <rFont val="宋体"/>
        <family val="3"/>
        <charset val="134"/>
      </rPr>
      <t>序号</t>
    </r>
    <phoneticPr fontId="18" type="noConversion"/>
  </si>
  <si>
    <t>审计程序</t>
    <phoneticPr fontId="43" type="noConversion"/>
  </si>
  <si>
    <r>
      <rPr>
        <b/>
        <sz val="10"/>
        <rFont val="宋体"/>
        <family val="3"/>
        <charset val="134"/>
      </rPr>
      <t>程序分类</t>
    </r>
    <phoneticPr fontId="18" type="noConversion"/>
  </si>
  <si>
    <r>
      <rPr>
        <b/>
        <sz val="10"/>
        <rFont val="宋体"/>
        <family val="3"/>
        <charset val="134"/>
      </rPr>
      <t>对应的认定</t>
    </r>
    <r>
      <rPr>
        <b/>
        <sz val="10"/>
        <rFont val="Arial Narrow"/>
        <family val="2"/>
      </rPr>
      <t>/</t>
    </r>
    <r>
      <rPr>
        <b/>
        <sz val="10"/>
        <rFont val="宋体"/>
        <family val="3"/>
        <charset val="134"/>
      </rPr>
      <t>风险</t>
    </r>
    <phoneticPr fontId="18" type="noConversion"/>
  </si>
  <si>
    <r>
      <rPr>
        <b/>
        <sz val="10"/>
        <rFont val="宋体"/>
        <family val="3"/>
        <charset val="134"/>
      </rPr>
      <t>执行情况说明
（含底稿索引）</t>
    </r>
    <phoneticPr fontId="18" type="noConversion"/>
  </si>
  <si>
    <t>（一）</t>
    <phoneticPr fontId="43" type="noConversion"/>
  </si>
  <si>
    <r>
      <rPr>
        <b/>
        <sz val="10"/>
        <rFont val="宋体"/>
        <family val="3"/>
        <charset val="134"/>
      </rPr>
      <t>编制审定表</t>
    </r>
    <r>
      <rPr>
        <b/>
        <sz val="10"/>
        <rFont val="Arial Narrow"/>
        <family val="2"/>
      </rPr>
      <t xml:space="preserve"> </t>
    </r>
    <phoneticPr fontId="43" type="noConversion"/>
  </si>
  <si>
    <t>常规★</t>
    <phoneticPr fontId="43" type="noConversion"/>
  </si>
  <si>
    <t>B</t>
    <phoneticPr fontId="43" type="noConversion"/>
  </si>
  <si>
    <t>Q6</t>
    <phoneticPr fontId="43" type="noConversion"/>
  </si>
  <si>
    <t>（二）</t>
    <phoneticPr fontId="43" type="noConversion"/>
  </si>
  <si>
    <t>获取或编制未分配利润、其他综合收益明细表，并完成以下工作：</t>
    <phoneticPr fontId="43" type="noConversion"/>
  </si>
  <si>
    <t>C</t>
    <phoneticPr fontId="43" type="noConversion"/>
  </si>
  <si>
    <t>Q6-1</t>
    <phoneticPr fontId="43" type="noConversion"/>
  </si>
  <si>
    <t>1</t>
    <phoneticPr fontId="43" type="noConversion"/>
  </si>
  <si>
    <r>
      <rPr>
        <b/>
        <sz val="10"/>
        <rFont val="宋体"/>
        <family val="3"/>
        <charset val="134"/>
      </rPr>
      <t>复核加计正确</t>
    </r>
    <r>
      <rPr>
        <b/>
        <sz val="10"/>
        <rFont val="Arial Narrow"/>
        <family val="2"/>
      </rPr>
      <t xml:space="preserve"> </t>
    </r>
    <r>
      <rPr>
        <b/>
        <sz val="10"/>
        <rFont val="宋体"/>
        <family val="3"/>
        <charset val="134"/>
      </rPr>
      <t>。</t>
    </r>
    <phoneticPr fontId="43" type="noConversion"/>
  </si>
  <si>
    <t>C</t>
  </si>
  <si>
    <t>2</t>
    <phoneticPr fontId="43" type="noConversion"/>
  </si>
  <si>
    <r>
      <rPr>
        <b/>
        <sz val="10"/>
        <rFont val="宋体"/>
        <family val="3"/>
        <charset val="134"/>
      </rPr>
      <t>将总金额与总账核对。</t>
    </r>
    <r>
      <rPr>
        <b/>
        <sz val="10"/>
        <rFont val="Arial Narrow"/>
        <family val="2"/>
      </rPr>
      <t xml:space="preserve"> </t>
    </r>
    <phoneticPr fontId="43" type="noConversion"/>
  </si>
  <si>
    <t>3</t>
  </si>
  <si>
    <r>
      <rPr>
        <sz val="10"/>
        <rFont val="宋体"/>
        <family val="3"/>
        <charset val="134"/>
      </rPr>
      <t>确定计算的准确性。</t>
    </r>
    <r>
      <rPr>
        <sz val="10"/>
        <rFont val="Arial Narrow"/>
        <family val="2"/>
      </rPr>
      <t xml:space="preserve"> </t>
    </r>
    <phoneticPr fontId="43" type="noConversion"/>
  </si>
  <si>
    <t>常规</t>
  </si>
  <si>
    <t>4</t>
  </si>
  <si>
    <r>
      <rPr>
        <sz val="10"/>
        <rFont val="宋体"/>
        <family val="3"/>
        <charset val="134"/>
      </rPr>
      <t>将期初额与上年度工作底稿或前期财务报表核对。</t>
    </r>
    <r>
      <rPr>
        <sz val="10"/>
        <rFont val="Arial Narrow"/>
        <family val="2"/>
      </rPr>
      <t xml:space="preserve"> </t>
    </r>
    <phoneticPr fontId="43" type="noConversion"/>
  </si>
  <si>
    <t>5</t>
  </si>
  <si>
    <t>将期末余额与总分类账核对一致。</t>
    <phoneticPr fontId="43" type="noConversion"/>
  </si>
  <si>
    <t>6</t>
  </si>
  <si>
    <t>以非记账本位币出资的，检查其折算汇率是否符合规定，折算差额的会计处理是否正确。</t>
    <phoneticPr fontId="43" type="noConversion"/>
  </si>
  <si>
    <t>（三）</t>
    <phoneticPr fontId="43" type="noConversion"/>
  </si>
  <si>
    <t>在使用被审计单位生成的信息（IPE）时，应当评价该信息对实现审计目的是否足够可靠，包括根据具体情况在必要时实施下列程序：</t>
    <phoneticPr fontId="43" type="noConversion"/>
  </si>
  <si>
    <r>
      <rPr>
        <b/>
        <sz val="10"/>
        <color theme="1"/>
        <rFont val="宋体"/>
        <family val="3"/>
        <charset val="134"/>
      </rPr>
      <t>常规★</t>
    </r>
    <phoneticPr fontId="43" type="noConversion"/>
  </si>
  <si>
    <t>T1</t>
    <phoneticPr fontId="43" type="noConversion"/>
  </si>
  <si>
    <t>1</t>
  </si>
  <si>
    <t>获取有关信息准确性和完整性的审计证据。</t>
    <phoneticPr fontId="43" type="noConversion"/>
  </si>
  <si>
    <t>2</t>
  </si>
  <si>
    <t>评价信息对实现审计目的是否足够准确和详细。</t>
    <phoneticPr fontId="43" type="noConversion"/>
  </si>
  <si>
    <t>（四）</t>
    <phoneticPr fontId="18" type="noConversion"/>
  </si>
  <si>
    <r>
      <rPr>
        <sz val="10"/>
        <color theme="1"/>
        <rFont val="宋体"/>
        <family val="3"/>
        <charset val="134"/>
      </rPr>
      <t>对于上期未分配利润账户的期末余额（</t>
    </r>
    <r>
      <rPr>
        <sz val="10"/>
        <color rgb="FFFF0000"/>
        <rFont val="宋体"/>
        <family val="3"/>
        <charset val="134"/>
      </rPr>
      <t>适用于首次承接时对期初余额的审计</t>
    </r>
    <r>
      <rPr>
        <sz val="10"/>
        <color theme="1"/>
        <rFont val="宋体"/>
        <family val="3"/>
        <charset val="134"/>
      </rPr>
      <t>）：</t>
    </r>
    <phoneticPr fontId="43" type="noConversion"/>
  </si>
  <si>
    <t>备选</t>
    <phoneticPr fontId="43" type="noConversion"/>
  </si>
  <si>
    <t>AB</t>
    <phoneticPr fontId="43" type="noConversion"/>
  </si>
  <si>
    <r>
      <rPr>
        <sz val="10"/>
        <color theme="1"/>
        <rFont val="宋体"/>
        <family val="3"/>
        <charset val="134"/>
      </rPr>
      <t>取得企业成立时的文件、合伙协议等并摘录相关章节。</t>
    </r>
    <r>
      <rPr>
        <sz val="10"/>
        <color theme="1"/>
        <rFont val="Arial"/>
        <family val="2"/>
      </rPr>
      <t/>
    </r>
    <phoneticPr fontId="43" type="noConversion"/>
  </si>
  <si>
    <t>AB</t>
  </si>
  <si>
    <t>向证券结算中介机构并与股票登记簿核对，或向每位合伙人函证以确认股本账户期初金额。</t>
    <phoneticPr fontId="43" type="noConversion"/>
  </si>
  <si>
    <t>（五）</t>
    <phoneticPr fontId="43" type="noConversion"/>
  </si>
  <si>
    <r>
      <rPr>
        <sz val="10"/>
        <color theme="1"/>
        <rFont val="宋体"/>
        <family val="2"/>
        <charset val="134"/>
      </rPr>
      <t>获取董事会</t>
    </r>
    <r>
      <rPr>
        <sz val="10"/>
        <color theme="1"/>
        <rFont val="Arial"/>
        <family val="2"/>
      </rPr>
      <t>/</t>
    </r>
    <r>
      <rPr>
        <sz val="10"/>
        <color theme="1"/>
        <rFont val="宋体"/>
        <family val="2"/>
        <charset val="134"/>
      </rPr>
      <t>股东会会议记录，执行下列审计程序。</t>
    </r>
    <r>
      <rPr>
        <sz val="10"/>
        <color theme="1"/>
        <rFont val="Arial"/>
        <family val="2"/>
      </rPr>
      <t/>
    </r>
    <phoneticPr fontId="43" type="noConversion"/>
  </si>
  <si>
    <t>常规</t>
    <phoneticPr fontId="43" type="noConversion"/>
  </si>
  <si>
    <t>Q6-2</t>
    <phoneticPr fontId="43" type="noConversion"/>
  </si>
  <si>
    <t>确定会议纪要是否包含权益交易。包括：现金股利、股票股利、股票分割；权益回购；已出售的权益性工具。</t>
    <phoneticPr fontId="43" type="noConversion"/>
  </si>
  <si>
    <r>
      <rPr>
        <sz val="10"/>
        <color theme="1"/>
        <rFont val="宋体"/>
        <family val="2"/>
        <charset val="134"/>
      </rPr>
      <t>对于识别出的交易，确认交易是否经过授权并且得到适当会计处理。</t>
    </r>
    <r>
      <rPr>
        <sz val="10"/>
        <color theme="1"/>
        <rFont val="Arial"/>
        <family val="2"/>
      </rPr>
      <t xml:space="preserve"> </t>
    </r>
    <phoneticPr fontId="43" type="noConversion"/>
  </si>
  <si>
    <t>（六）</t>
    <phoneticPr fontId="43" type="noConversion"/>
  </si>
  <si>
    <t>取得未分配利润账户当期交易活动的明细表，检查增减变动的原因，对每一项增加或减少，关注有关交易的性质，检查法律性文件是否齐全，相关的手续是否办理，以及其会计处理是否正确：</t>
    <phoneticPr fontId="43" type="noConversion"/>
  </si>
  <si>
    <r>
      <rPr>
        <b/>
        <sz val="10"/>
        <rFont val="宋体"/>
        <family val="3"/>
        <charset val="134"/>
      </rPr>
      <t>对于每一增减变动，确定交易的是否恰当，会计处理是否正确。</t>
    </r>
    <r>
      <rPr>
        <b/>
        <sz val="10"/>
        <rFont val="Arial Narrow"/>
        <family val="2"/>
      </rPr>
      <t xml:space="preserve"> </t>
    </r>
    <phoneticPr fontId="43" type="noConversion"/>
  </si>
  <si>
    <t>通过查阅上述会议记录，确定每笔交易是否都已通过授权。</t>
    <phoneticPr fontId="43" type="noConversion"/>
  </si>
  <si>
    <t>4</t>
    <phoneticPr fontId="43" type="noConversion"/>
  </si>
  <si>
    <t>针对利润分配的审计程序：</t>
    <phoneticPr fontId="43" type="noConversion"/>
  </si>
  <si>
    <r>
      <rPr>
        <sz val="10"/>
        <rFont val="宋体"/>
        <family val="3"/>
        <charset val="134"/>
      </rPr>
      <t>（</t>
    </r>
    <r>
      <rPr>
        <sz val="10"/>
        <rFont val="Arial Narrow"/>
        <family val="2"/>
      </rPr>
      <t>1</t>
    </r>
    <r>
      <rPr>
        <sz val="10"/>
        <rFont val="宋体"/>
        <family val="3"/>
        <charset val="134"/>
      </rPr>
      <t>）</t>
    </r>
    <phoneticPr fontId="43" type="noConversion"/>
  </si>
  <si>
    <r>
      <rPr>
        <sz val="10"/>
        <rFont val="宋体"/>
        <family val="3"/>
        <charset val="134"/>
      </rPr>
      <t>（</t>
    </r>
    <r>
      <rPr>
        <sz val="10"/>
        <rFont val="Arial Narrow"/>
        <family val="2"/>
      </rPr>
      <t>2）</t>
    </r>
    <r>
      <rPr>
        <sz val="10"/>
        <rFont val="宋体"/>
        <family val="3"/>
        <charset val="134"/>
      </rPr>
      <t/>
    </r>
  </si>
  <si>
    <r>
      <rPr>
        <sz val="10"/>
        <rFont val="宋体"/>
        <family val="3"/>
        <charset val="134"/>
      </rPr>
      <t>（</t>
    </r>
    <r>
      <rPr>
        <sz val="10"/>
        <rFont val="Arial Narrow"/>
        <family val="2"/>
      </rPr>
      <t>3）</t>
    </r>
    <r>
      <rPr>
        <sz val="10"/>
        <rFont val="宋体"/>
        <family val="3"/>
        <charset val="134"/>
      </rPr>
      <t/>
    </r>
  </si>
  <si>
    <r>
      <rPr>
        <sz val="10"/>
        <rFont val="宋体"/>
        <family val="3"/>
        <charset val="134"/>
      </rPr>
      <t>（</t>
    </r>
    <r>
      <rPr>
        <sz val="10"/>
        <rFont val="Arial Narrow"/>
        <family val="2"/>
      </rPr>
      <t>4）</t>
    </r>
    <r>
      <rPr>
        <sz val="10"/>
        <rFont val="宋体"/>
        <family val="3"/>
        <charset val="134"/>
      </rPr>
      <t/>
    </r>
  </si>
  <si>
    <r>
      <rPr>
        <sz val="10"/>
        <rFont val="宋体"/>
        <family val="3"/>
        <charset val="134"/>
      </rPr>
      <t>（</t>
    </r>
    <r>
      <rPr>
        <sz val="10"/>
        <rFont val="Arial Narrow"/>
        <family val="2"/>
      </rPr>
      <t>5）</t>
    </r>
    <r>
      <rPr>
        <sz val="10"/>
        <rFont val="宋体"/>
        <family val="3"/>
        <charset val="134"/>
      </rPr>
      <t/>
    </r>
  </si>
  <si>
    <t>5</t>
    <phoneticPr fontId="43" type="noConversion"/>
  </si>
  <si>
    <t>获取未分配利润账户结转明细，并确认入账是否恰当。</t>
    <phoneticPr fontId="43" type="noConversion"/>
  </si>
  <si>
    <t>（七）</t>
    <phoneticPr fontId="43" type="noConversion"/>
  </si>
  <si>
    <t>复核普通股基本每股收益和稀释每股收益计算的准确性，将金额和股数与财务报表核对</t>
    <phoneticPr fontId="43" type="noConversion"/>
  </si>
  <si>
    <r>
      <t>IPO/</t>
    </r>
    <r>
      <rPr>
        <sz val="10"/>
        <color theme="1"/>
        <rFont val="宋体"/>
        <family val="3"/>
        <charset val="134"/>
      </rPr>
      <t>上市公司</t>
    </r>
    <phoneticPr fontId="43" type="noConversion"/>
  </si>
  <si>
    <t>考虑可能存在的稀释影响，如可换股优先股，如果可以，获取稀释每股收益的计算过程。</t>
    <phoneticPr fontId="43" type="noConversion"/>
  </si>
  <si>
    <r>
      <rPr>
        <sz val="10"/>
        <color theme="1"/>
        <rFont val="宋体"/>
        <family val="3"/>
        <charset val="134"/>
      </rPr>
      <t>确定计算的准确性：</t>
    </r>
    <r>
      <rPr>
        <sz val="10"/>
        <color theme="1"/>
        <rFont val="Arial"/>
        <family val="2"/>
      </rPr>
      <t xml:space="preserve"> </t>
    </r>
    <phoneticPr fontId="43" type="noConversion"/>
  </si>
  <si>
    <r>
      <rPr>
        <sz val="10"/>
        <color theme="1"/>
        <rFont val="宋体"/>
        <family val="3"/>
        <charset val="134"/>
      </rPr>
      <t>流通在外普通股加权平均数</t>
    </r>
    <r>
      <rPr>
        <sz val="10"/>
        <color theme="1"/>
        <rFont val="Arial"/>
        <family val="2"/>
      </rPr>
      <t xml:space="preserve"> </t>
    </r>
    <phoneticPr fontId="43" type="noConversion"/>
  </si>
  <si>
    <r>
      <rPr>
        <sz val="10"/>
        <color theme="1"/>
        <rFont val="宋体"/>
        <family val="3"/>
        <charset val="134"/>
      </rPr>
      <t>流通在外稀释的普通股加权平均数</t>
    </r>
    <r>
      <rPr>
        <sz val="10"/>
        <color theme="1"/>
        <rFont val="Arial"/>
        <family val="2"/>
      </rPr>
      <t xml:space="preserve"> </t>
    </r>
    <phoneticPr fontId="43" type="noConversion"/>
  </si>
  <si>
    <r>
      <rPr>
        <sz val="10"/>
        <color theme="1"/>
        <rFont val="宋体"/>
        <family val="3"/>
        <charset val="134"/>
      </rPr>
      <t>基本每股收益</t>
    </r>
    <r>
      <rPr>
        <sz val="10"/>
        <color theme="1"/>
        <rFont val="Arial"/>
        <family val="2"/>
      </rPr>
      <t xml:space="preserve"> </t>
    </r>
    <phoneticPr fontId="43" type="noConversion"/>
  </si>
  <si>
    <r>
      <rPr>
        <sz val="10"/>
        <color theme="1"/>
        <rFont val="宋体"/>
        <family val="3"/>
        <charset val="134"/>
      </rPr>
      <t>若适用，稀释每股收益</t>
    </r>
    <r>
      <rPr>
        <sz val="10"/>
        <color theme="1"/>
        <rFont val="Arial"/>
        <family val="2"/>
      </rPr>
      <t xml:space="preserve"> </t>
    </r>
    <phoneticPr fontId="43" type="noConversion"/>
  </si>
  <si>
    <t>（八）</t>
    <phoneticPr fontId="43" type="noConversion"/>
  </si>
  <si>
    <r>
      <rPr>
        <b/>
        <sz val="10"/>
        <color theme="1"/>
        <rFont val="宋体"/>
        <family val="3"/>
        <charset val="134"/>
      </rPr>
      <t>确定需在财务报表中单独披露的信息已被记录。</t>
    </r>
    <r>
      <rPr>
        <b/>
        <sz val="10"/>
        <color theme="1"/>
        <rFont val="Arial Narrow"/>
        <family val="2"/>
      </rPr>
      <t xml:space="preserve"> </t>
    </r>
    <phoneticPr fontId="43" type="noConversion"/>
  </si>
  <si>
    <t>E</t>
  </si>
  <si>
    <t>……</t>
    <phoneticPr fontId="18" type="noConversion"/>
  </si>
  <si>
    <t>调整分录汇总</t>
    <phoneticPr fontId="18" type="noConversion"/>
  </si>
  <si>
    <t>上年年末余额</t>
  </si>
  <si>
    <t>期初调整金额</t>
  </si>
  <si>
    <t xml:space="preserve">      本期提取一般风险准备</t>
    <phoneticPr fontId="18" type="noConversion"/>
  </si>
  <si>
    <r>
      <t xml:space="preserve">    其他</t>
    </r>
    <r>
      <rPr>
        <sz val="10"/>
        <color rgb="FF0000FF"/>
        <rFont val="宋体"/>
        <family val="3"/>
        <charset val="134"/>
        <scheme val="minor"/>
      </rPr>
      <t>（例如：盈余公积弥补亏损）</t>
    </r>
    <phoneticPr fontId="18" type="noConversion"/>
  </si>
  <si>
    <r>
      <t>说明：</t>
    </r>
    <r>
      <rPr>
        <sz val="10"/>
        <color rgb="FF0000FF"/>
        <rFont val="宋体"/>
        <family val="3"/>
        <charset val="134"/>
        <scheme val="minor"/>
      </rPr>
      <t>（对期初未分配利润进行调整的，各项调整原因及金额。）</t>
    </r>
  </si>
  <si>
    <r>
      <t>（4）由于同一控制导致的合并范围变更，影响</t>
    </r>
    <r>
      <rPr>
        <sz val="10"/>
        <color rgb="FF000000"/>
        <rFont val="宋体"/>
        <family val="3"/>
        <charset val="134"/>
        <scheme val="minor"/>
      </rPr>
      <t>期</t>
    </r>
    <r>
      <rPr>
        <sz val="10"/>
        <rFont val="宋体"/>
        <family val="3"/>
        <charset val="134"/>
        <scheme val="minor"/>
      </rPr>
      <t>初未分配利润XX元。</t>
    </r>
  </si>
  <si>
    <r>
      <t>（5）其他调整合计影响</t>
    </r>
    <r>
      <rPr>
        <sz val="10"/>
        <color rgb="FF000000"/>
        <rFont val="宋体"/>
        <family val="3"/>
        <charset val="134"/>
        <scheme val="minor"/>
      </rPr>
      <t>期</t>
    </r>
    <r>
      <rPr>
        <sz val="10"/>
        <rFont val="宋体"/>
        <family val="3"/>
        <charset val="134"/>
        <scheme val="minor"/>
      </rPr>
      <t>初未分配利润XX元。</t>
    </r>
  </si>
  <si>
    <r>
      <t>会计政策变更对</t>
    </r>
    <r>
      <rPr>
        <sz val="10"/>
        <color rgb="FF000000"/>
        <rFont val="宋体"/>
        <family val="3"/>
        <charset val="134"/>
        <scheme val="minor"/>
      </rPr>
      <t>期</t>
    </r>
    <r>
      <rPr>
        <sz val="10"/>
        <rFont val="宋体"/>
        <family val="3"/>
        <charset val="134"/>
        <scheme val="minor"/>
      </rPr>
      <t>初未分配利润的影响参见</t>
    </r>
    <r>
      <rPr>
        <sz val="10"/>
        <color rgb="FFFF0000"/>
        <rFont val="宋体"/>
        <family val="3"/>
        <charset val="134"/>
        <scheme val="minor"/>
      </rPr>
      <t>附注二、38</t>
    </r>
    <r>
      <rPr>
        <sz val="10"/>
        <rFont val="宋体"/>
        <family val="3"/>
        <charset val="134"/>
        <scheme val="minor"/>
      </rPr>
      <t>；前期差错更正对</t>
    </r>
    <r>
      <rPr>
        <sz val="10"/>
        <color rgb="FF000000"/>
        <rFont val="宋体"/>
        <family val="3"/>
        <charset val="134"/>
        <scheme val="minor"/>
      </rPr>
      <t>期</t>
    </r>
    <r>
      <rPr>
        <sz val="10"/>
        <rFont val="宋体"/>
        <family val="3"/>
        <charset val="134"/>
        <scheme val="minor"/>
      </rPr>
      <t>初未分配利润的影响参见</t>
    </r>
    <r>
      <rPr>
        <sz val="10"/>
        <color rgb="FFFF0000"/>
        <rFont val="宋体"/>
        <family val="3"/>
        <charset val="134"/>
        <scheme val="minor"/>
      </rPr>
      <t>附注十四、1。</t>
    </r>
  </si>
  <si>
    <r>
      <t>根据[XX文件]及公司章程的规定，本公司可供股东分配利润为按中国会计准则编制的报表数与按国际财务报告准则编制报表数两者孰低的金额。</t>
    </r>
    <r>
      <rPr>
        <sz val="10"/>
        <color rgb="FF0000FF"/>
        <rFont val="宋体"/>
        <family val="3"/>
        <charset val="134"/>
        <scheme val="minor"/>
      </rPr>
      <t>(请列明利润分配依据。)</t>
    </r>
  </si>
  <si>
    <t>上期金额</t>
    <phoneticPr fontId="18" type="noConversion"/>
  </si>
  <si>
    <t>M6-2</t>
  </si>
  <si>
    <r>
      <t xml:space="preserve">A. </t>
    </r>
    <r>
      <rPr>
        <sz val="10"/>
        <rFont val="宋体"/>
        <family val="3"/>
        <charset val="134"/>
      </rPr>
      <t>资产负债表中记录的资本公积是存在的，且已经记录在恰当的账户中</t>
    </r>
    <phoneticPr fontId="18" type="noConversion"/>
  </si>
  <si>
    <t>M6-1</t>
    <phoneticPr fontId="43" type="noConversion"/>
  </si>
  <si>
    <t>M6-4</t>
    <phoneticPr fontId="43" type="noConversion"/>
  </si>
  <si>
    <t>明细表</t>
    <phoneticPr fontId="18" type="noConversion"/>
  </si>
  <si>
    <t>未分配利润实质性程序表</t>
    <phoneticPr fontId="18" type="noConversion"/>
  </si>
  <si>
    <t>M6A</t>
    <phoneticPr fontId="43" type="noConversion"/>
  </si>
  <si>
    <t>审定表</t>
    <phoneticPr fontId="18" type="noConversion"/>
  </si>
  <si>
    <t>附注披露信息(上市公司)</t>
    <phoneticPr fontId="18" type="noConversion"/>
  </si>
  <si>
    <t>附注披露信息(国企)</t>
    <phoneticPr fontId="18" type="noConversion"/>
  </si>
  <si>
    <t>M6-2</t>
    <phoneticPr fontId="43" type="noConversion"/>
  </si>
  <si>
    <t>M6-3</t>
    <phoneticPr fontId="43" type="noConversion"/>
  </si>
  <si>
    <t>无需打印</t>
  </si>
  <si>
    <r>
      <t>A1-1/</t>
    </r>
    <r>
      <rPr>
        <sz val="10"/>
        <color rgb="FFFF0000"/>
        <rFont val="Arial Narrow"/>
        <family val="2"/>
      </rPr>
      <t>A1-15 /A1-16</t>
    </r>
    <phoneticPr fontId="43" type="noConversion"/>
  </si>
  <si>
    <r>
      <rPr>
        <sz val="10"/>
        <color rgb="FF0000FF"/>
        <rFont val="宋体"/>
        <family val="3"/>
        <charset val="134"/>
      </rPr>
      <t>可参见《审计手册》</t>
    </r>
    <r>
      <rPr>
        <sz val="10"/>
        <color rgb="FF0000FF"/>
        <rFont val="Arial Narrow"/>
        <family val="2"/>
      </rPr>
      <t>4.2.6</t>
    </r>
    <r>
      <rPr>
        <sz val="10"/>
        <color rgb="FF0000FF"/>
        <rFont val="宋体"/>
        <family val="3"/>
        <charset val="134"/>
      </rPr>
      <t xml:space="preserve">，由被审计单位生成的信息可能是由系统生成的、或手工编制的、或二者兼而有之的方式生成的。例如，由被审计单位生成的信息可能包括：
</t>
    </r>
    <r>
      <rPr>
        <sz val="10"/>
        <color rgb="FF0000FF"/>
        <rFont val="Arial Narrow"/>
        <family val="2"/>
      </rPr>
      <t xml:space="preserve">• </t>
    </r>
    <r>
      <rPr>
        <sz val="10"/>
        <color rgb="FF0000FF"/>
        <rFont val="宋体"/>
        <family val="3"/>
        <charset val="134"/>
      </rPr>
      <t xml:space="preserve">不涉及自定义的、由系统生成的报告（如，固定格式报告）；
</t>
    </r>
    <r>
      <rPr>
        <sz val="10"/>
        <color rgb="FF0000FF"/>
        <rFont val="Arial Narrow"/>
        <family val="2"/>
      </rPr>
      <t xml:space="preserve">• </t>
    </r>
    <r>
      <rPr>
        <sz val="10"/>
        <color rgb="FF0000FF"/>
        <rFont val="宋体"/>
        <family val="3"/>
        <charset val="134"/>
      </rPr>
      <t xml:space="preserve">可能通过人工自定义的、由系统生成的报告，例如，（计算机）查询信息或特别定制的报告；
</t>
    </r>
    <r>
      <rPr>
        <sz val="10"/>
        <color rgb="FF0000FF"/>
        <rFont val="Arial Narrow"/>
        <family val="2"/>
      </rPr>
      <t xml:space="preserve">• </t>
    </r>
    <r>
      <rPr>
        <sz val="10"/>
        <color rgb="FF0000FF"/>
        <rFont val="宋体"/>
        <family val="3"/>
        <charset val="134"/>
      </rPr>
      <t xml:space="preserve">手工编制的信息，例如，汇总信息的电子表格或用以支持分配、计算以及调节的电子表格；
</t>
    </r>
    <r>
      <rPr>
        <sz val="10"/>
        <color rgb="FF0000FF"/>
        <rFont val="Arial Narrow"/>
        <family val="2"/>
      </rPr>
      <t xml:space="preserve">• </t>
    </r>
    <r>
      <rPr>
        <sz val="10"/>
        <color rgb="FF0000FF"/>
        <rFont val="宋体"/>
        <family val="3"/>
        <charset val="134"/>
      </rPr>
      <t xml:space="preserve">其他系统生成或手工编制的信息，例如，由被审计单位编制的客户发票；
</t>
    </r>
    <r>
      <rPr>
        <sz val="10"/>
        <color rgb="FF0000FF"/>
        <rFont val="Arial Narrow"/>
        <family val="2"/>
      </rPr>
      <t xml:space="preserve">• </t>
    </r>
    <r>
      <rPr>
        <sz val="10"/>
        <color rgb="FF0000FF"/>
        <rFont val="宋体"/>
        <family val="3"/>
        <charset val="134"/>
      </rPr>
      <t>通过影印、拍摄、扫描或其他方式转换成电子形式的文件记录。</t>
    </r>
    <phoneticPr fontId="43" type="noConversion"/>
  </si>
  <si>
    <r>
      <rPr>
        <sz val="10"/>
        <color rgb="FF0000FF"/>
        <rFont val="宋体"/>
        <family val="3"/>
        <charset val="134"/>
      </rPr>
      <t xml:space="preserve">由被审计单位生成的信息不包括：
</t>
    </r>
    <r>
      <rPr>
        <sz val="10"/>
        <color rgb="FF0000FF"/>
        <rFont val="Arial Narrow"/>
        <family val="2"/>
      </rPr>
      <t xml:space="preserve">• </t>
    </r>
    <r>
      <rPr>
        <sz val="10"/>
        <color rgb="FF0000FF"/>
        <rFont val="宋体"/>
        <family val="3"/>
        <charset val="134"/>
      </rPr>
      <t xml:space="preserve">总分类账或明细分类账、试算平衡表、或经审计的财务报表；
</t>
    </r>
    <r>
      <rPr>
        <sz val="10"/>
        <color rgb="FF0000FF"/>
        <rFont val="Arial Narrow"/>
        <family val="2"/>
      </rPr>
      <t xml:space="preserve">• </t>
    </r>
    <r>
      <rPr>
        <sz val="10"/>
        <color rgb="FF0000FF"/>
        <rFont val="宋体"/>
        <family val="3"/>
        <charset val="134"/>
      </rPr>
      <t xml:space="preserve">第三方（除了服务机构）的报表或报告，例如，原始银行对账单，或函证的回函；
</t>
    </r>
    <r>
      <rPr>
        <sz val="10"/>
        <color rgb="FF0000FF"/>
        <rFont val="Arial Narrow"/>
        <family val="2"/>
      </rPr>
      <t xml:space="preserve">• </t>
    </r>
    <r>
      <rPr>
        <sz val="10"/>
        <color rgb="FF0000FF"/>
        <rFont val="宋体"/>
        <family val="3"/>
        <charset val="134"/>
      </rPr>
      <t>外部数据（例如，第三方发布的数据，如，定价来源）。</t>
    </r>
    <phoneticPr fontId="43" type="noConversion"/>
  </si>
  <si>
    <r>
      <rPr>
        <sz val="10"/>
        <rFont val="宋体"/>
        <family val="3"/>
        <charset val="134"/>
      </rPr>
      <t>页</t>
    </r>
    <r>
      <rPr>
        <sz val="10"/>
        <rFont val="Arial Narrow"/>
        <family val="2"/>
      </rPr>
      <t xml:space="preserve">  </t>
    </r>
    <r>
      <rPr>
        <sz val="10"/>
        <rFont val="宋体"/>
        <family val="3"/>
        <charset val="134"/>
      </rPr>
      <t>次：</t>
    </r>
    <phoneticPr fontId="43" type="noConversion"/>
  </si>
  <si>
    <r>
      <rPr>
        <sz val="10"/>
        <color theme="1" tint="0.14999847407452621"/>
        <rFont val="宋体"/>
        <family val="3"/>
        <charset val="134"/>
      </rPr>
      <t>未分配利润</t>
    </r>
    <phoneticPr fontId="43" type="noConversion"/>
  </si>
  <si>
    <r>
      <rPr>
        <b/>
        <sz val="10"/>
        <rFont val="宋体"/>
        <family val="3"/>
        <charset val="134"/>
      </rPr>
      <t>二、审计目标与认定的对应关系</t>
    </r>
    <phoneticPr fontId="18" type="noConversion"/>
  </si>
  <si>
    <r>
      <rPr>
        <b/>
        <sz val="10"/>
        <rFont val="宋体"/>
        <family val="3"/>
        <charset val="134"/>
      </rPr>
      <t>审计目标</t>
    </r>
    <phoneticPr fontId="18" type="noConversion"/>
  </si>
  <si>
    <r>
      <rPr>
        <b/>
        <sz val="10"/>
        <rFont val="宋体"/>
        <family val="3"/>
        <charset val="134"/>
      </rPr>
      <t>财务报表的认定</t>
    </r>
    <phoneticPr fontId="18" type="noConversion"/>
  </si>
  <si>
    <r>
      <rPr>
        <b/>
        <sz val="10"/>
        <rFont val="宋体"/>
        <family val="3"/>
        <charset val="134"/>
      </rPr>
      <t>底稿索引号</t>
    </r>
    <phoneticPr fontId="18" type="noConversion"/>
  </si>
  <si>
    <r>
      <rPr>
        <b/>
        <sz val="10"/>
        <rFont val="宋体"/>
        <family val="3"/>
        <charset val="134"/>
      </rPr>
      <t>存在</t>
    </r>
    <phoneticPr fontId="18" type="noConversion"/>
  </si>
  <si>
    <r>
      <rPr>
        <b/>
        <sz val="10"/>
        <rFont val="宋体"/>
        <family val="3"/>
        <charset val="134"/>
      </rPr>
      <t>完整性</t>
    </r>
    <phoneticPr fontId="18" type="noConversion"/>
  </si>
  <si>
    <r>
      <rPr>
        <b/>
        <sz val="10"/>
        <rFont val="宋体"/>
        <family val="3"/>
        <charset val="134"/>
      </rPr>
      <t>权利和
义务</t>
    </r>
    <phoneticPr fontId="18" type="noConversion"/>
  </si>
  <si>
    <r>
      <rPr>
        <b/>
        <sz val="10"/>
        <rFont val="宋体"/>
        <family val="3"/>
        <charset val="134"/>
      </rPr>
      <t>准确性、计价和分摊</t>
    </r>
  </si>
  <si>
    <r>
      <rPr>
        <b/>
        <sz val="10"/>
        <rFont val="宋体"/>
        <family val="3"/>
        <charset val="134"/>
      </rPr>
      <t>列报</t>
    </r>
    <phoneticPr fontId="18" type="noConversion"/>
  </si>
  <si>
    <r>
      <rPr>
        <sz val="10"/>
        <color theme="1"/>
        <rFont val="宋体"/>
        <family val="3"/>
        <charset val="134"/>
      </rPr>
      <t>常规★</t>
    </r>
    <phoneticPr fontId="43" type="noConversion"/>
  </si>
  <si>
    <r>
      <rPr>
        <sz val="10"/>
        <color theme="1"/>
        <rFont val="宋体"/>
        <family val="3"/>
        <charset val="134"/>
      </rPr>
      <t>√</t>
    </r>
    <phoneticPr fontId="18" type="noConversion"/>
  </si>
  <si>
    <r>
      <rPr>
        <sz val="10"/>
        <rFont val="宋体"/>
        <family val="3"/>
        <charset val="134"/>
      </rPr>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r>
    <phoneticPr fontId="18" type="noConversion"/>
  </si>
  <si>
    <r>
      <rPr>
        <sz val="10"/>
        <color theme="1"/>
        <rFont val="宋体"/>
        <family val="3"/>
        <charset val="134"/>
      </rPr>
      <t>备选</t>
    </r>
    <phoneticPr fontId="43" type="noConversion"/>
  </si>
  <si>
    <r>
      <rPr>
        <sz val="10"/>
        <rFont val="宋体"/>
        <family val="3"/>
        <charset val="134"/>
      </rPr>
      <t>检查未分配利润是否已按企业会计准则或其他适用的规定在财务报表中做出恰当列报和披露。</t>
    </r>
    <phoneticPr fontId="43" type="noConversion"/>
  </si>
  <si>
    <r>
      <rPr>
        <sz val="10"/>
        <color theme="1"/>
        <rFont val="宋体"/>
        <family val="3"/>
        <charset val="134"/>
      </rPr>
      <t>常规★</t>
    </r>
  </si>
  <si>
    <r>
      <rPr>
        <b/>
        <sz val="10"/>
        <color indexed="8"/>
        <rFont val="宋体"/>
        <family val="3"/>
        <charset val="134"/>
      </rPr>
      <t>本期审定数与上期
审定数的比较</t>
    </r>
    <phoneticPr fontId="18" type="noConversion"/>
  </si>
  <si>
    <r>
      <rPr>
        <b/>
        <sz val="10"/>
        <rFont val="宋体"/>
        <family val="3"/>
        <charset val="134"/>
      </rPr>
      <t>原因分析</t>
    </r>
    <phoneticPr fontId="41" type="noConversion"/>
  </si>
  <si>
    <r>
      <rPr>
        <b/>
        <sz val="10"/>
        <rFont val="宋体"/>
        <family val="3"/>
        <charset val="134"/>
      </rPr>
      <t>变动额</t>
    </r>
    <phoneticPr fontId="18" type="noConversion"/>
  </si>
  <si>
    <r>
      <rPr>
        <b/>
        <sz val="10"/>
        <color indexed="8"/>
        <rFont val="宋体"/>
        <family val="3"/>
        <charset val="134"/>
      </rPr>
      <t>变动率</t>
    </r>
    <phoneticPr fontId="18" type="noConversion"/>
  </si>
  <si>
    <r>
      <rPr>
        <sz val="10"/>
        <rFont val="宋体"/>
        <family val="3"/>
        <charset val="134"/>
      </rPr>
      <t>未分配利润</t>
    </r>
    <phoneticPr fontId="18" type="noConversion"/>
  </si>
  <si>
    <r>
      <rPr>
        <b/>
        <sz val="10"/>
        <rFont val="宋体"/>
        <family val="3"/>
        <charset val="134"/>
      </rPr>
      <t>合计</t>
    </r>
    <phoneticPr fontId="18" type="noConversion"/>
  </si>
  <si>
    <r>
      <rPr>
        <b/>
        <sz val="10"/>
        <rFont val="宋体"/>
        <family val="3"/>
        <charset val="134"/>
      </rPr>
      <t>试算平衡表数</t>
    </r>
    <phoneticPr fontId="18" type="noConversion"/>
  </si>
  <si>
    <r>
      <rPr>
        <b/>
        <sz val="10"/>
        <rFont val="宋体"/>
        <family val="3"/>
        <charset val="134"/>
      </rPr>
      <t>差异数</t>
    </r>
    <phoneticPr fontId="18" type="noConversion"/>
  </si>
  <si>
    <r>
      <rPr>
        <sz val="10"/>
        <rFont val="宋体"/>
        <family val="3"/>
        <charset val="134"/>
      </rPr>
      <t>（</t>
    </r>
    <r>
      <rPr>
        <sz val="10"/>
        <rFont val="Arial Narrow"/>
        <family val="2"/>
      </rPr>
      <t>1</t>
    </r>
    <r>
      <rPr>
        <sz val="10"/>
        <rFont val="宋体"/>
        <family val="3"/>
        <charset val="134"/>
      </rPr>
      <t>）期末余额较期初余额增加（负数为减少）：</t>
    </r>
    <phoneticPr fontId="18" type="noConversion"/>
  </si>
  <si>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phoneticPr fontId="18" type="noConversion"/>
  </si>
  <si>
    <r>
      <rPr>
        <sz val="10"/>
        <rFont val="宋体"/>
        <family val="3"/>
        <charset val="134"/>
      </rPr>
      <t>（</t>
    </r>
    <r>
      <rPr>
        <sz val="10"/>
        <rFont val="Arial Narrow"/>
        <family val="2"/>
      </rPr>
      <t>2</t>
    </r>
    <r>
      <rPr>
        <sz val="10"/>
        <rFont val="宋体"/>
        <family val="3"/>
        <charset val="134"/>
      </rPr>
      <t>）利润分配情况及当年利润分配预案情况说明。</t>
    </r>
    <phoneticPr fontId="18" type="noConversion"/>
  </si>
  <si>
    <r>
      <t>2</t>
    </r>
    <r>
      <rPr>
        <b/>
        <sz val="10"/>
        <rFont val="宋体"/>
        <family val="3"/>
        <charset val="134"/>
      </rPr>
      <t>、审计结论</t>
    </r>
    <phoneticPr fontId="18" type="noConversion"/>
  </si>
  <si>
    <r>
      <t>1.</t>
    </r>
    <r>
      <rPr>
        <sz val="10"/>
        <rFont val="宋体"/>
        <family val="3"/>
        <charset val="134"/>
      </rPr>
      <t>资本公积已被恰当地汇总或分解且表述清楚，相关披露在按照企业会计准则的编制基础下是相关的、可理解的。</t>
    </r>
    <phoneticPr fontId="18" type="noConversion"/>
  </si>
  <si>
    <r>
      <rPr>
        <b/>
        <sz val="10"/>
        <rFont val="宋体"/>
        <family val="3"/>
        <charset val="134"/>
      </rPr>
      <t>二、审计过程：</t>
    </r>
    <phoneticPr fontId="18" type="noConversion"/>
  </si>
  <si>
    <r>
      <rPr>
        <b/>
        <sz val="10"/>
        <rFont val="宋体"/>
        <family val="3"/>
        <charset val="134"/>
      </rPr>
      <t>备注说明</t>
    </r>
    <phoneticPr fontId="18" type="noConversion"/>
  </si>
  <si>
    <r>
      <t>1</t>
    </r>
    <r>
      <rPr>
        <sz val="10"/>
        <color rgb="FF3333FF"/>
        <rFont val="宋体"/>
        <family val="3"/>
        <charset val="134"/>
      </rPr>
      <t>、审计说明可以概述：（</t>
    </r>
    <r>
      <rPr>
        <sz val="10"/>
        <color rgb="FF3333FF"/>
        <rFont val="Arial Narrow"/>
        <family val="2"/>
      </rPr>
      <t>1</t>
    </r>
    <r>
      <rPr>
        <sz val="10"/>
        <color rgb="FF3333FF"/>
        <rFont val="宋体"/>
        <family val="3"/>
        <charset val="134"/>
      </rPr>
      <t>）程序的测试情况、结果；（</t>
    </r>
    <r>
      <rPr>
        <sz val="10"/>
        <color rgb="FF3333FF"/>
        <rFont val="Arial Narrow"/>
        <family val="2"/>
      </rPr>
      <t>2</t>
    </r>
    <r>
      <rPr>
        <sz val="10"/>
        <color rgb="FF3333FF"/>
        <rFont val="宋体"/>
        <family val="3"/>
        <charset val="134"/>
      </rPr>
      <t>）拟调整事项及其调整分录、未调整事项及其影响，审计范围受到限制情况及其影响。</t>
    </r>
    <phoneticPr fontId="18" type="noConversion"/>
  </si>
  <si>
    <t>2、审计结论可参考：A、未见异常。B、除上述重大不符事项应当作为调整事项予以调整外，其余未见异常。C、由于存在以下重大未调整事项(或审计范围受到限制无法获取充分、适当证据），不可确认。</t>
    <phoneticPr fontId="18" type="noConversion"/>
  </si>
  <si>
    <t>整合</t>
    <phoneticPr fontId="18" type="noConversion"/>
  </si>
  <si>
    <t>保留</t>
    <phoneticPr fontId="18"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</si>
  <si>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18" type="noConversion"/>
  </si>
  <si>
    <r>
      <t xml:space="preserve">获取或编制实收资本（股本）明细表，完成以下工作，并编制审定表
</t>
    </r>
    <r>
      <rPr>
        <sz val="10"/>
        <rFont val="宋体"/>
        <family val="3"/>
        <charset val="134"/>
      </rPr>
      <t>复核加计是否正确，与总账、明细账合计数核对是否相符，期初余额与上期审定期末余额是否相符；</t>
    </r>
    <phoneticPr fontId="43" type="noConversion"/>
  </si>
  <si>
    <r>
      <rPr>
        <sz val="10"/>
        <rFont val="宋体"/>
        <family val="3"/>
        <charset val="134"/>
      </rPr>
      <t>对于上期资本的期末余额，核对期初未分配利润是否正确，检查上期利润分配相关文件以及在本期支付情况。</t>
    </r>
    <r>
      <rPr>
        <sz val="10"/>
        <color rgb="FFFF0000"/>
        <rFont val="宋体"/>
        <family val="3"/>
        <charset val="134"/>
      </rPr>
      <t>（适用于首次承接）</t>
    </r>
    <phoneticPr fontId="43" type="noConversion"/>
  </si>
  <si>
    <t>修改</t>
    <phoneticPr fontId="18" type="noConversion"/>
  </si>
  <si>
    <t>删除</t>
    <phoneticPr fontId="18" type="noConversion"/>
  </si>
  <si>
    <t>了解本年利润弥补以前年度亏损的情况，确定本期末未弥补亏损金额。</t>
    <phoneticPr fontId="43" type="noConversion"/>
  </si>
  <si>
    <t>审阅公司章程、股东大会和董事会会议纪要中有关股利的规定，了解股利分配标准和发放方式是否符合有关规定并经法定程序批准。</t>
    <phoneticPr fontId="43" type="noConversion"/>
  </si>
  <si>
    <r>
      <rPr>
        <sz val="10"/>
        <color theme="1"/>
        <rFont val="宋体"/>
        <family val="3"/>
        <charset val="134"/>
      </rPr>
      <t>检查董事会会议纪要、股东会（或股东大会）决议、利润分配方案等资料，对照有关规定确认利润分配的合法性。</t>
    </r>
    <r>
      <rPr>
        <sz val="10"/>
        <color theme="1"/>
        <rFont val="Arial Narrow"/>
        <family val="2"/>
      </rPr>
      <t xml:space="preserve"> </t>
    </r>
    <phoneticPr fontId="43" type="noConversion"/>
  </si>
  <si>
    <t>复核应付股利计算和会计处理的正确性。</t>
    <phoneticPr fontId="43" type="noConversion"/>
  </si>
  <si>
    <t>检查现金股利是否按公告规定的时间、金额予以发放，非标准手之零星股东股利是否采用适当方法结算，对无法结算及委托发放而长期未结的股利是否作出适当处理。</t>
    <phoneticPr fontId="43" type="noConversion"/>
  </si>
  <si>
    <t>针对本期利润分配：
（1）了解本年利润弥补以前年度亏损的情况；
（2）审阅公司章程、股东大会和董事会会议纪要中有关股利的规定，了解股利分配标准和发放方式是否符合有关规定并经法定程序批准；
（3）检查董事会会议纪要、股东会（或股东大会）决议、利润分配方案等资料，对照有关规定确认利润分配的合法性；复核应付股利金额和会计处理是否正确；
（4）结合应付股利检查现金股利是否按公告规定的时间、金额予以发放。</t>
    <phoneticPr fontId="43" type="noConversion"/>
  </si>
  <si>
    <t>针对本期利润分配：
（1）了解本年利润弥补以前年度亏损的情况；
（2）检查公司章程、股东大会和董事会会议纪要中有关股利的规定，了解股利分配标准和发放方式是否符合有关规定并经法定程序批准；
（3）检查董事会会议纪要、股东会（或股东大会）决议、利润分配方案等资料，对照有关规定确认利润分配的合法性；复核应付股利金额和会计处理是否正确；
（4）结合应付股利检查现金股利是否按公告规定的时间、金额予以发放。</t>
    <phoneticPr fontId="43" type="noConversion"/>
  </si>
  <si>
    <t>审阅公司章程、股东（大）会、董事会会议记录中相关规定。收集与所有者权益账户变动有关的董股东（大）会决议、事会会议纪要、合同、协议、公司章程及营业执照，公司设立批文、验资报告以及政府主管部门、财政部门批复、资产评估报告等文件资料，并更新永久性档案。</t>
    <phoneticPr fontId="43" type="noConversion"/>
  </si>
  <si>
    <t>如果存在未分配利润弥补以前年度亏损的情况，检查有关公司章程、董事会/股东会决议、政府批准文件等，确认未分配利润弥补的合法性，检查会计处理是否正确。</t>
    <phoneticPr fontId="43" type="noConversion"/>
  </si>
  <si>
    <t>如果存在除净利润转入以外的未分配利润其他变动，结合所获取的文件资料以及其他相关科目的审计，判断其分类为未分配利润是否恰当，确定其会计处理是否正确。</t>
    <phoneticPr fontId="43" type="noConversion"/>
  </si>
  <si>
    <t>√</t>
    <phoneticPr fontId="18" type="noConversion"/>
  </si>
  <si>
    <t>√</t>
    <phoneticPr fontId="18" type="noConversion"/>
  </si>
  <si>
    <t>二、测试：</t>
    <phoneticPr fontId="26" type="noConversion"/>
  </si>
  <si>
    <t>记账凭证</t>
    <phoneticPr fontId="18" type="noConversion"/>
  </si>
  <si>
    <t>日期</t>
  </si>
  <si>
    <t>凭证编号</t>
  </si>
  <si>
    <t>业务内容</t>
    <phoneticPr fontId="18" type="noConversion"/>
  </si>
  <si>
    <t>对方科目</t>
    <phoneticPr fontId="18" type="noConversion"/>
  </si>
  <si>
    <t>对方明细科目</t>
    <phoneticPr fontId="18" type="noConversion"/>
  </si>
  <si>
    <t>借方金额</t>
    <phoneticPr fontId="18" type="noConversion"/>
  </si>
  <si>
    <t>贷方金额</t>
    <phoneticPr fontId="18" type="noConversion"/>
  </si>
  <si>
    <r>
      <rPr>
        <b/>
        <sz val="10"/>
        <rFont val="宋体"/>
        <family val="3"/>
        <charset val="134"/>
      </rPr>
      <t>核对内容</t>
    </r>
  </si>
  <si>
    <t>支持性文件</t>
    <phoneticPr fontId="18" type="noConversion"/>
  </si>
  <si>
    <t>准确性、计价和分摊</t>
    <phoneticPr fontId="18" type="noConversion"/>
  </si>
  <si>
    <t>列报</t>
    <phoneticPr fontId="18" type="noConversion"/>
  </si>
  <si>
    <t>未分配利润实质性程序</t>
    <phoneticPr fontId="18" type="noConversion"/>
  </si>
  <si>
    <t>T1/</t>
    <phoneticPr fontId="43" type="noConversion"/>
  </si>
  <si>
    <t>M6-</t>
    <phoneticPr fontId="43" type="noConversion"/>
  </si>
  <si>
    <t>M6-1
/M6-2</t>
    <phoneticPr fontId="43" type="noConversion"/>
  </si>
  <si>
    <t>M6-2
/M6-4</t>
    <phoneticPr fontId="43" type="noConversion"/>
  </si>
  <si>
    <t>未分配利润检查表</t>
    <phoneticPr fontId="18" type="noConversion"/>
  </si>
  <si>
    <t>未分配利润检查表</t>
    <phoneticPr fontId="18" type="noConversion"/>
  </si>
  <si>
    <r>
      <rPr>
        <sz val="10"/>
        <rFont val="宋体"/>
        <family val="3"/>
        <charset val="134"/>
      </rPr>
      <t>页</t>
    </r>
    <r>
      <rPr>
        <sz val="10"/>
        <rFont val="Arial Narrow"/>
        <family val="2"/>
      </rPr>
      <t xml:space="preserve">   </t>
    </r>
    <r>
      <rPr>
        <sz val="10"/>
        <rFont val="宋体"/>
        <family val="3"/>
        <charset val="134"/>
      </rPr>
      <t>次：</t>
    </r>
    <phoneticPr fontId="43" type="noConversion"/>
  </si>
  <si>
    <t>未分配利润明细表</t>
    <phoneticPr fontId="18" type="noConversion"/>
  </si>
  <si>
    <t>是否异常</t>
    <phoneticPr fontId="18" type="noConversion"/>
  </si>
  <si>
    <r>
      <rPr>
        <b/>
        <sz val="10"/>
        <rFont val="宋体"/>
        <family val="3"/>
        <charset val="134"/>
      </rPr>
      <t>调整事项说明</t>
    </r>
    <phoneticPr fontId="18" type="noConversion"/>
  </si>
  <si>
    <r>
      <rPr>
        <b/>
        <sz val="10"/>
        <rFont val="宋体"/>
        <family val="3"/>
        <charset val="134"/>
      </rPr>
      <t>类别（报表调整</t>
    </r>
    <r>
      <rPr>
        <b/>
        <sz val="10"/>
        <rFont val="Arial Narrow"/>
        <family val="2"/>
      </rPr>
      <t>/</t>
    </r>
    <r>
      <rPr>
        <b/>
        <sz val="10"/>
        <rFont val="宋体"/>
        <family val="3"/>
        <charset val="134"/>
      </rPr>
      <t>账项调整</t>
    </r>
    <r>
      <rPr>
        <b/>
        <sz val="10"/>
        <rFont val="Arial Narrow"/>
        <family val="2"/>
      </rPr>
      <t>/</t>
    </r>
    <r>
      <rPr>
        <b/>
        <sz val="10"/>
        <rFont val="宋体"/>
        <family val="3"/>
        <charset val="134"/>
      </rPr>
      <t>其他）</t>
    </r>
    <phoneticPr fontId="18" type="noConversion"/>
  </si>
  <si>
    <r>
      <rPr>
        <b/>
        <sz val="10"/>
        <rFont val="宋体"/>
        <family val="3"/>
        <charset val="134"/>
      </rPr>
      <t>报表项目</t>
    </r>
    <phoneticPr fontId="18" type="noConversion"/>
  </si>
  <si>
    <r>
      <rPr>
        <b/>
        <sz val="10"/>
        <rFont val="宋体"/>
        <family val="3"/>
        <charset val="134"/>
      </rPr>
      <t>科目名称</t>
    </r>
    <phoneticPr fontId="18" type="noConversion"/>
  </si>
  <si>
    <r>
      <rPr>
        <b/>
        <sz val="10"/>
        <rFont val="宋体"/>
        <family val="3"/>
        <charset val="134"/>
      </rPr>
      <t>附注项目</t>
    </r>
    <phoneticPr fontId="18" type="noConversion"/>
  </si>
  <si>
    <r>
      <rPr>
        <b/>
        <sz val="10"/>
        <rFont val="宋体"/>
        <family val="3"/>
        <charset val="134"/>
      </rPr>
      <t>借方调整金额</t>
    </r>
    <phoneticPr fontId="18" type="noConversion"/>
  </si>
  <si>
    <r>
      <rPr>
        <b/>
        <sz val="10"/>
        <rFont val="宋体"/>
        <family val="3"/>
        <charset val="134"/>
      </rPr>
      <t>贷方调整金额</t>
    </r>
    <phoneticPr fontId="18" type="noConversion"/>
  </si>
  <si>
    <r>
      <rPr>
        <b/>
        <sz val="10"/>
        <rFont val="宋体"/>
        <family val="3"/>
        <charset val="134"/>
      </rPr>
      <t>索引</t>
    </r>
    <phoneticPr fontId="18" type="noConversion"/>
  </si>
  <si>
    <r>
      <rPr>
        <b/>
        <sz val="10"/>
        <rFont val="宋体"/>
        <family val="3"/>
        <charset val="134"/>
      </rPr>
      <t>备注</t>
    </r>
    <phoneticPr fontId="18" type="noConversion"/>
  </si>
  <si>
    <r>
      <rPr>
        <sz val="10"/>
        <rFont val="宋体"/>
        <family val="3"/>
        <charset val="134"/>
      </rPr>
      <t>被审计单位：</t>
    </r>
    <r>
      <rPr>
        <sz val="10"/>
        <rFont val="Arial Narrow"/>
        <family val="2"/>
      </rPr>
      <t/>
    </r>
    <phoneticPr fontId="18" type="noConversion"/>
  </si>
  <si>
    <t>编制人：</t>
    <phoneticPr fontId="18" type="noConversion"/>
  </si>
  <si>
    <t>编制日期：</t>
    <phoneticPr fontId="18" type="noConversion"/>
  </si>
  <si>
    <t>复核人：</t>
    <phoneticPr fontId="18" type="noConversion"/>
  </si>
  <si>
    <t>复核日期：</t>
    <phoneticPr fontId="18" type="noConversion"/>
  </si>
  <si>
    <t>完整性</t>
    <phoneticPr fontId="18" type="noConversion"/>
  </si>
  <si>
    <t>存在</t>
    <phoneticPr fontId="18" type="noConversion"/>
  </si>
  <si>
    <t>权利和义务</t>
    <phoneticPr fontId="18" type="noConversion"/>
  </si>
  <si>
    <r>
      <t xml:space="preserve">B. </t>
    </r>
    <r>
      <rPr>
        <sz val="10"/>
        <rFont val="宋体"/>
        <family val="3"/>
        <charset val="134"/>
      </rPr>
      <t>所有应记录的资本公积均已记录，所有应当包括在财务报表中的相关披露均已包括</t>
    </r>
    <phoneticPr fontId="18" type="noConversion"/>
  </si>
  <si>
    <r>
      <t xml:space="preserve">C. </t>
    </r>
    <r>
      <rPr>
        <sz val="10"/>
        <rFont val="宋体"/>
        <family val="3"/>
        <charset val="134"/>
      </rPr>
      <t>记录的资本公积由被审计单位拥有或控制</t>
    </r>
    <phoneticPr fontId="18" type="noConversion"/>
  </si>
  <si>
    <r>
      <t xml:space="preserve">D. </t>
    </r>
    <r>
      <rPr>
        <sz val="10"/>
        <rFont val="宋体"/>
        <family val="3"/>
        <charset val="134"/>
      </rPr>
      <t>资本公积以恰当的金额包括在财务报表中，与之相关的计价或分摊调整已恰当记录，相关披露已得到恰当计量和描述</t>
    </r>
    <r>
      <rPr>
        <sz val="10"/>
        <rFont val="Arial Narrow"/>
        <family val="2"/>
      </rPr>
      <t xml:space="preserve"> </t>
    </r>
    <phoneticPr fontId="18" type="noConversion"/>
  </si>
  <si>
    <r>
      <t xml:space="preserve">E. </t>
    </r>
    <r>
      <rPr>
        <sz val="10"/>
        <rFont val="宋体"/>
        <family val="3"/>
        <charset val="134"/>
      </rPr>
      <t>资本公积已被恰当地汇总或分解且表述清楚，相关披露在按照企业会计准则的编制基础下是相关的、可理解的</t>
    </r>
    <phoneticPr fontId="18"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</si>
  <si>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18" type="noConversion"/>
  </si>
  <si>
    <t>关于工作底稿与审计程序索引号对应的说明</t>
    <phoneticPr fontId="18"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</si>
  <si>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8"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</si>
  <si>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18"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</si>
  <si>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18" type="noConversion"/>
  </si>
  <si>
    <t>根据被审计单位实际情况和风险评估情况裁剪、修改或增加审计程序</t>
    <phoneticPr fontId="18" type="noConversion"/>
  </si>
  <si>
    <t>审计程序</t>
    <phoneticPr fontId="43" type="noConversion"/>
  </si>
  <si>
    <t>未分配利润审定表</t>
    <phoneticPr fontId="18" type="noConversion"/>
  </si>
  <si>
    <t>未分配利润调整分录汇总表</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</si>
</sst>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2">
    <numFmt numFmtId="41" formatCode="_ * #,##0_ ;_ * \-#,##0_ ;_ * &quot;-&quot;_ ;_ @_ "/>
    <numFmt numFmtId="43" formatCode="_ * #,##0.00_ ;_ * \-#,##0.00_ ;_ * &quot;-&quot;??_ ;_ @_ "/>
    <numFmt numFmtId="176" formatCode="_-* #,##0_-;\-* #,##0_-;_-* &quot;-&quot;_-;_-@_-"/>
    <numFmt numFmtId="177" formatCode="_-* #,##0.00_-;\-* #,##0.00_-;_-* &quot;-&quot;??_-;_-@_-"/>
    <numFmt numFmtId="178" formatCode="_(* #,##0_);_(* \(#,##0\);_(* &quot;-&quot;_);_(@_)"/>
    <numFmt numFmtId="179" formatCode="_(* #,##0.00_);_(* \(#,##0.00\);_(* &quot;-&quot;??_);_(@_)"/>
    <numFmt numFmtId="180" formatCode="&quot;$&quot;#,##0_);\(&quot;$&quot;#,##0\)"/>
    <numFmt numFmtId="181" formatCode="_-&quot;$&quot;* #,##0_-;\-&quot;$&quot;* #,##0_-;_-&quot;$&quot;* &quot;-&quot;_-;_-@_-"/>
    <numFmt numFmtId="182" formatCode="_-&quot;$&quot;* #,##0.00_-;\-&quot;$&quot;* #,##0.00_-;_-&quot;$&quot;* &quot;-&quot;??_-;_-@_-"/>
    <numFmt numFmtId="183" formatCode="&quot;\&quot;#,##0;&quot;\&quot;&quot;\&quot;\-#,##0"/>
    <numFmt numFmtId="184" formatCode="&quot;\&quot;#,##0;[Red]&quot;\&quot;&quot;\&quot;\-#,##0"/>
    <numFmt numFmtId="185" formatCode="&quot;\&quot;#,##0.00;[Red]&quot;\&quot;&quot;\&quot;\-#,##0.00"/>
    <numFmt numFmtId="186" formatCode="_-#,##0.00_-;\(#,##0.00\);_-\ \ &quot;-&quot;_-;_-@_-"/>
    <numFmt numFmtId="187" formatCode="mmm/yyyy;_-\ &quot;N/A&quot;_-;_-\ &quot;-&quot;_-"/>
    <numFmt numFmtId="188" formatCode="mmm/dd/yyyy;_-\ &quot;N/A&quot;_-;_-\ &quot;-&quot;_-"/>
    <numFmt numFmtId="189" formatCode="_-#,##0_-;\(#,##0\);_-\ \ &quot;-&quot;_-;_-@_-"/>
    <numFmt numFmtId="190" formatCode="_-#,##0%_-;\(#,##0%\);_-\ &quot;-&quot;_-"/>
    <numFmt numFmtId="191" formatCode="_-#,###,_-;\(#,###,\);_-\ \ &quot;-&quot;_-;_-@_-"/>
    <numFmt numFmtId="192" formatCode="_-#,###.00,_-;\(#,###.00,\);_-\ \ &quot;-&quot;_-;_-@_-"/>
    <numFmt numFmtId="193" formatCode="_([$€-2]* #,##0.00_);_([$€-2]* \(#,##0.00\);_([$€-2]* &quot;-&quot;??_)"/>
    <numFmt numFmtId="194" formatCode="_-#0&quot;.&quot;0000_-;\(#0&quot;.&quot;0000\);_-\ \ &quot;-&quot;_-;_-@_-"/>
    <numFmt numFmtId="195" formatCode="_-#0&quot;.&quot;0,_-;\(#0&quot;.&quot;0,\);_-\ \ &quot;-&quot;_-;_-@_-"/>
  </numFmts>
  <fonts count="82">
    <font>
      <sz val="12"/>
      <name val="宋体"/>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2"/>
      <name val="宋体"/>
      <family val="3"/>
      <charset val="134"/>
    </font>
    <font>
      <sz val="10"/>
      <name val="Courier"/>
      <family val="3"/>
    </font>
    <font>
      <sz val="12"/>
      <name val="Garamond"/>
      <family val="1"/>
    </font>
    <font>
      <sz val="7"/>
      <color indexed="10"/>
      <name val="Helv"/>
      <family val="2"/>
    </font>
    <font>
      <u/>
      <sz val="12"/>
      <color indexed="12"/>
      <name val="宋体"/>
      <family val="3"/>
      <charset val="134"/>
    </font>
    <font>
      <sz val="12"/>
      <name val="楷体"/>
      <family val="3"/>
      <charset val="134"/>
    </font>
    <font>
      <sz val="12"/>
      <name val="楷体_GB2312"/>
      <family val="3"/>
      <charset val="134"/>
    </font>
    <font>
      <sz val="9"/>
      <name val="宋体"/>
      <family val="3"/>
      <charset val="134"/>
    </font>
    <font>
      <sz val="10"/>
      <name val="宋体"/>
      <family val="3"/>
      <charset val="134"/>
    </font>
    <font>
      <b/>
      <sz val="12"/>
      <name val="宋体"/>
      <family val="3"/>
      <charset val="134"/>
    </font>
    <font>
      <sz val="10"/>
      <name val="Times New Roman"/>
      <family val="1"/>
    </font>
    <font>
      <b/>
      <sz val="10"/>
      <name val="宋体"/>
      <family val="3"/>
      <charset val="134"/>
    </font>
    <font>
      <sz val="10"/>
      <color indexed="10"/>
      <name val="宋体"/>
      <family val="3"/>
      <charset val="134"/>
    </font>
    <font>
      <sz val="12"/>
      <name val="Times New Roman"/>
      <family val="1"/>
    </font>
    <font>
      <sz val="10"/>
      <color indexed="12"/>
      <name val="宋体"/>
      <family val="3"/>
      <charset val="134"/>
    </font>
    <font>
      <sz val="18"/>
      <color indexed="48"/>
      <name val="魏碑"/>
      <family val="3"/>
      <charset val="134"/>
    </font>
    <font>
      <i/>
      <sz val="10"/>
      <color indexed="12"/>
      <name val="宋体"/>
      <family val="3"/>
      <charset val="134"/>
    </font>
    <font>
      <b/>
      <sz val="10"/>
      <color indexed="12"/>
      <name val="宋体"/>
      <family val="3"/>
      <charset val="134"/>
    </font>
    <font>
      <u val="singleAccounting"/>
      <vertAlign val="subscript"/>
      <sz val="10"/>
      <name val="Times New Roman"/>
      <family val="1"/>
    </font>
    <font>
      <i/>
      <sz val="9"/>
      <name val="Times New Roman"/>
      <family val="1"/>
    </font>
    <font>
      <b/>
      <sz val="10"/>
      <name val="Arial Narrow"/>
      <family val="2"/>
    </font>
    <font>
      <sz val="12"/>
      <name val="Arial Narrow"/>
      <family val="2"/>
    </font>
    <font>
      <b/>
      <sz val="12"/>
      <name val="Arial Narrow"/>
      <family val="2"/>
    </font>
    <font>
      <sz val="10"/>
      <name val="Arial Narrow"/>
      <family val="2"/>
    </font>
    <font>
      <u/>
      <sz val="10"/>
      <name val="Arial Narrow"/>
      <family val="2"/>
    </font>
    <font>
      <sz val="10"/>
      <color indexed="12"/>
      <name val="Arial Narrow"/>
      <family val="2"/>
    </font>
    <font>
      <b/>
      <sz val="10"/>
      <color indexed="8"/>
      <name val="Arial Narrow"/>
      <family val="2"/>
    </font>
    <font>
      <b/>
      <sz val="10"/>
      <color indexed="8"/>
      <name val="宋体"/>
      <family val="3"/>
      <charset val="134"/>
    </font>
    <font>
      <b/>
      <u/>
      <sz val="10"/>
      <color indexed="10"/>
      <name val="Arial Narrow"/>
      <family val="2"/>
    </font>
    <font>
      <sz val="11"/>
      <color theme="1"/>
      <name val="宋体"/>
      <family val="3"/>
      <charset val="134"/>
      <scheme val="minor"/>
    </font>
    <font>
      <sz val="9"/>
      <name val="宋体"/>
      <family val="3"/>
      <charset val="134"/>
      <scheme val="minor"/>
    </font>
    <font>
      <sz val="10"/>
      <color indexed="8"/>
      <name val="Arial Narrow"/>
      <family val="2"/>
    </font>
    <font>
      <sz val="9"/>
      <name val="宋体"/>
      <family val="2"/>
      <charset val="134"/>
      <scheme val="minor"/>
    </font>
    <font>
      <i/>
      <sz val="10"/>
      <color indexed="12"/>
      <name val="Arial Narrow"/>
      <family val="2"/>
    </font>
    <font>
      <b/>
      <sz val="10"/>
      <color indexed="12"/>
      <name val="Arial Narrow"/>
      <family val="2"/>
    </font>
    <font>
      <sz val="10.5"/>
      <name val="Arial Narrow"/>
      <family val="2"/>
    </font>
    <font>
      <sz val="10"/>
      <color theme="1"/>
      <name val="Arial Narrow"/>
      <family val="2"/>
    </font>
    <font>
      <sz val="11"/>
      <color theme="1"/>
      <name val="Arial Narrow"/>
      <family val="2"/>
    </font>
    <font>
      <b/>
      <sz val="14"/>
      <name val="宋体"/>
      <family val="3"/>
      <charset val="134"/>
    </font>
    <font>
      <b/>
      <sz val="14"/>
      <name val="Arial Narrow"/>
      <family val="2"/>
    </font>
    <font>
      <b/>
      <sz val="10"/>
      <name val="Arial"/>
      <family val="2"/>
    </font>
    <font>
      <sz val="10"/>
      <color theme="1" tint="0.14999847407452621"/>
      <name val="宋体"/>
      <family val="3"/>
      <charset val="134"/>
    </font>
    <font>
      <b/>
      <sz val="10"/>
      <color rgb="FFFF0000"/>
      <name val="Arial Narrow"/>
      <family val="2"/>
    </font>
    <font>
      <sz val="10"/>
      <name val="宋体"/>
      <family val="3"/>
      <charset val="134"/>
      <scheme val="minor"/>
    </font>
    <font>
      <sz val="10"/>
      <color indexed="10"/>
      <name val="Arial"/>
      <family val="2"/>
    </font>
    <font>
      <sz val="10"/>
      <color rgb="FFFF0000"/>
      <name val="Arial Narrow"/>
      <family val="2"/>
    </font>
    <font>
      <sz val="10"/>
      <color rgb="FF0070C0"/>
      <name val="Arial Narrow"/>
      <family val="2"/>
    </font>
    <font>
      <b/>
      <sz val="10"/>
      <color theme="0" tint="-0.499984740745262"/>
      <name val="Arial Narrow"/>
      <family val="2"/>
    </font>
    <font>
      <b/>
      <sz val="10"/>
      <color theme="1"/>
      <name val="Arial Narrow"/>
      <family val="2"/>
    </font>
    <font>
      <sz val="10"/>
      <color theme="1"/>
      <name val="宋体"/>
      <family val="3"/>
      <charset val="134"/>
    </font>
    <font>
      <sz val="11"/>
      <name val="Arial Narrow"/>
      <family val="2"/>
    </font>
    <font>
      <sz val="10"/>
      <color theme="1"/>
      <name val="Arial"/>
      <family val="2"/>
    </font>
    <font>
      <b/>
      <sz val="10"/>
      <color theme="1"/>
      <name val="宋体"/>
      <family val="3"/>
      <charset val="134"/>
    </font>
    <font>
      <sz val="10"/>
      <color rgb="FFFF0000"/>
      <name val="宋体"/>
      <family val="3"/>
      <charset val="134"/>
    </font>
    <font>
      <sz val="10"/>
      <color theme="1"/>
      <name val="宋体"/>
      <family val="2"/>
      <charset val="134"/>
    </font>
    <font>
      <b/>
      <sz val="9"/>
      <color indexed="81"/>
      <name val="宋体"/>
      <family val="3"/>
      <charset val="134"/>
    </font>
    <font>
      <sz val="9"/>
      <color indexed="81"/>
      <name val="宋体"/>
      <family val="3"/>
      <charset val="134"/>
    </font>
    <font>
      <sz val="10"/>
      <color rgb="FF0000FF"/>
      <name val="宋体"/>
      <family val="3"/>
      <charset val="134"/>
    </font>
    <font>
      <i/>
      <u/>
      <sz val="10"/>
      <color indexed="12"/>
      <name val="Arial Narrow"/>
      <family val="2"/>
    </font>
    <font>
      <sz val="12"/>
      <name val="宋体"/>
      <family val="3"/>
      <charset val="134"/>
      <scheme val="minor"/>
    </font>
    <font>
      <b/>
      <sz val="10"/>
      <color rgb="FF000000"/>
      <name val="宋体"/>
      <family val="3"/>
      <charset val="134"/>
      <scheme val="minor"/>
    </font>
    <font>
      <b/>
      <sz val="10"/>
      <name val="宋体"/>
      <family val="3"/>
      <charset val="134"/>
      <scheme val="minor"/>
    </font>
    <font>
      <sz val="10"/>
      <color rgb="FF000000"/>
      <name val="宋体"/>
      <family val="3"/>
      <charset val="134"/>
      <scheme val="minor"/>
    </font>
    <font>
      <sz val="10"/>
      <color rgb="FF0000FF"/>
      <name val="宋体"/>
      <family val="3"/>
      <charset val="134"/>
      <scheme val="minor"/>
    </font>
    <font>
      <sz val="10"/>
      <color rgb="FFFF0000"/>
      <name val="宋体"/>
      <family val="3"/>
      <charset val="134"/>
      <scheme val="minor"/>
    </font>
    <font>
      <b/>
      <sz val="10"/>
      <color rgb="FFFF0000"/>
      <name val="宋体"/>
      <family val="3"/>
      <charset val="134"/>
    </font>
    <font>
      <sz val="10"/>
      <color rgb="FF0000FF"/>
      <name val="Arial Narrow"/>
      <family val="2"/>
    </font>
    <font>
      <sz val="10"/>
      <color theme="1" tint="0.14999847407452621"/>
      <name val="Arial Narrow"/>
      <family val="2"/>
    </font>
    <font>
      <sz val="10"/>
      <color indexed="10"/>
      <name val="Arial Narrow"/>
      <family val="2"/>
    </font>
    <font>
      <sz val="10"/>
      <color rgb="FF3333FF"/>
      <name val="Arial Narrow"/>
      <family val="2"/>
    </font>
    <font>
      <sz val="10"/>
      <color rgb="FF3333FF"/>
      <name val="宋体"/>
      <family val="3"/>
      <charset val="134"/>
    </font>
  </fonts>
  <fills count="1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rgb="FF00B050"/>
        <bgColor indexed="64"/>
      </patternFill>
    </fill>
    <fill>
      <patternFill patternType="solid">
        <fgColor rgb="FFE4DFEC"/>
        <bgColor indexed="64"/>
      </patternFill>
    </fill>
    <fill>
      <patternFill patternType="solid">
        <fgColor theme="7" tint="0.79998168889431442"/>
        <bgColor rgb="FFB7DEE8"/>
      </patternFill>
    </fill>
  </fills>
  <borders count="15">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style="hair">
        <color indexed="64"/>
      </right>
      <top/>
      <bottom style="hair">
        <color indexed="64"/>
      </bottom>
      <diagonal/>
    </border>
    <border>
      <left/>
      <right/>
      <top style="hair">
        <color indexed="64"/>
      </top>
      <bottom/>
      <diagonal/>
    </border>
    <border>
      <left/>
      <right style="hair">
        <color indexed="64"/>
      </right>
      <top style="hair">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medium">
        <color indexed="64"/>
      </top>
      <bottom style="medium">
        <color indexed="64"/>
      </bottom>
      <diagonal/>
    </border>
    <border>
      <left/>
      <right/>
      <top/>
      <bottom style="medium">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bottom style="thin">
        <color indexed="64"/>
      </bottom>
      <diagonal/>
    </border>
  </borders>
  <cellStyleXfs count="59">
    <xf numFmtId="0" fontId="0" fillId="0" borderId="0">
      <protection locked="0"/>
    </xf>
    <xf numFmtId="49" fontId="21" fillId="0" borderId="0" applyProtection="0">
      <alignment horizontal="left"/>
    </xf>
    <xf numFmtId="189" fontId="21" fillId="0" borderId="0" applyFill="0" applyBorder="0" applyProtection="0">
      <alignment horizontal="right"/>
    </xf>
    <xf numFmtId="186" fontId="21" fillId="0" borderId="0" applyFill="0" applyBorder="0" applyProtection="0">
      <alignment horizontal="right"/>
    </xf>
    <xf numFmtId="188" fontId="29" fillId="0" borderId="0" applyFill="0" applyBorder="0" applyProtection="0">
      <alignment horizontal="center"/>
    </xf>
    <xf numFmtId="187" fontId="29" fillId="0" borderId="0" applyFill="0" applyBorder="0" applyProtection="0">
      <alignment horizontal="center"/>
    </xf>
    <xf numFmtId="190" fontId="30" fillId="0" borderId="0" applyFill="0" applyBorder="0" applyProtection="0">
      <alignment horizontal="right"/>
    </xf>
    <xf numFmtId="191" fontId="21" fillId="0" borderId="0" applyFill="0" applyBorder="0" applyProtection="0">
      <alignment horizontal="right"/>
    </xf>
    <xf numFmtId="192" fontId="21" fillId="0" borderId="0" applyFill="0" applyBorder="0" applyProtection="0">
      <alignment horizontal="right"/>
    </xf>
    <xf numFmtId="195" fontId="21" fillId="0" borderId="0" applyFill="0" applyBorder="0" applyProtection="0">
      <alignment horizontal="right"/>
    </xf>
    <xf numFmtId="194" fontId="21" fillId="0" borderId="0" applyFill="0" applyBorder="0" applyProtection="0">
      <alignment horizontal="right"/>
    </xf>
    <xf numFmtId="3" fontId="5" fillId="0" borderId="0"/>
    <xf numFmtId="180" fontId="6" fillId="0" borderId="1" applyAlignment="0" applyProtection="0"/>
    <xf numFmtId="176" fontId="7" fillId="0" borderId="0" applyFont="0" applyFill="0" applyBorder="0" applyAlignment="0" applyProtection="0"/>
    <xf numFmtId="177" fontId="7" fillId="0" borderId="0" applyFont="0" applyFill="0" applyBorder="0" applyAlignment="0" applyProtection="0"/>
    <xf numFmtId="181" fontId="7" fillId="0" borderId="0" applyFont="0" applyFill="0" applyBorder="0" applyAlignment="0" applyProtection="0"/>
    <xf numFmtId="182" fontId="7"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193" fontId="21" fillId="0" borderId="0" applyFont="0" applyFill="0" applyBorder="0" applyAlignment="0" applyProtection="0"/>
    <xf numFmtId="0" fontId="8" fillId="0" borderId="0" applyNumberFormat="0" applyFill="0" applyBorder="0" applyAlignment="0" applyProtection="0">
      <alignment vertical="top"/>
      <protection locked="0"/>
    </xf>
    <xf numFmtId="38" fontId="9" fillId="2" borderId="0" applyNumberFormat="0" applyBorder="0" applyAlignment="0" applyProtection="0"/>
    <xf numFmtId="0" fontId="10" fillId="0" borderId="0" applyNumberFormat="0" applyFill="0" applyBorder="0" applyAlignment="0" applyProtection="0">
      <alignment vertical="top"/>
      <protection locked="0"/>
    </xf>
    <xf numFmtId="10" fontId="9" fillId="3" borderId="2" applyNumberFormat="0" applyBorder="0" applyAlignment="0" applyProtection="0"/>
    <xf numFmtId="184" fontId="11" fillId="0" borderId="0" applyFont="0" applyFill="0" applyBorder="0" applyAlignment="0" applyProtection="0"/>
    <xf numFmtId="185" fontId="11" fillId="0" borderId="0" applyFont="0" applyFill="0" applyBorder="0" applyAlignment="0" applyProtection="0"/>
    <xf numFmtId="0" fontId="12" fillId="0" borderId="0"/>
    <xf numFmtId="183" fontId="11" fillId="0" borderId="0"/>
    <xf numFmtId="0" fontId="13" fillId="0" borderId="0"/>
    <xf numFmtId="10" fontId="7" fillId="0" borderId="0" applyFont="0" applyFill="0" applyBorder="0" applyAlignment="0" applyProtection="0"/>
    <xf numFmtId="3" fontId="14" fillId="0" borderId="0"/>
    <xf numFmtId="9" fontId="11" fillId="0" borderId="0" applyFont="0" applyFill="0" applyBorder="0" applyAlignment="0" applyProtection="0"/>
    <xf numFmtId="0" fontId="11" fillId="0" borderId="0">
      <alignment vertical="center"/>
    </xf>
    <xf numFmtId="0" fontId="24" fillId="0" borderId="0"/>
    <xf numFmtId="0" fontId="11" fillId="0" borderId="0"/>
    <xf numFmtId="0" fontId="11" fillId="0" borderId="0" applyFill="0" applyBorder="0"/>
    <xf numFmtId="0" fontId="15" fillId="0" borderId="0" applyNumberFormat="0" applyFill="0" applyBorder="0" applyAlignment="0" applyProtection="0">
      <alignment vertical="top"/>
      <protection locked="0"/>
    </xf>
    <xf numFmtId="0" fontId="16" fillId="0" borderId="0"/>
    <xf numFmtId="178" fontId="11" fillId="0" borderId="0" applyFont="0" applyFill="0" applyBorder="0" applyAlignment="0" applyProtection="0"/>
    <xf numFmtId="179" fontId="11" fillId="0" borderId="0" applyFont="0" applyFill="0" applyBorder="0" applyAlignment="0" applyProtection="0"/>
    <xf numFmtId="41" fontId="17" fillId="0" borderId="0" applyFont="0" applyFill="0" applyBorder="0" applyAlignment="0" applyProtection="0"/>
    <xf numFmtId="43" fontId="17" fillId="0" borderId="0" applyFont="0" applyFill="0" applyBorder="0" applyAlignment="0" applyProtection="0"/>
    <xf numFmtId="43" fontId="11" fillId="0" borderId="0" applyFont="0" applyFill="0" applyBorder="0" applyAlignment="0" applyProtection="0"/>
    <xf numFmtId="0" fontId="11" fillId="0" borderId="0">
      <protection locked="0"/>
    </xf>
    <xf numFmtId="0" fontId="11" fillId="0" borderId="0">
      <alignment vertical="center"/>
    </xf>
    <xf numFmtId="193" fontId="40" fillId="0" borderId="0">
      <alignment vertical="center"/>
    </xf>
    <xf numFmtId="193" fontId="11" fillId="0" borderId="0"/>
    <xf numFmtId="193" fontId="11" fillId="0" borderId="0">
      <alignment vertical="center"/>
    </xf>
    <xf numFmtId="193" fontId="4" fillId="0" borderId="0">
      <alignment vertical="center"/>
    </xf>
    <xf numFmtId="0" fontId="11" fillId="0" borderId="0">
      <protection locked="0"/>
    </xf>
    <xf numFmtId="43" fontId="11" fillId="0" borderId="0" applyFont="0" applyFill="0" applyBorder="0" applyAlignment="0" applyProtection="0"/>
    <xf numFmtId="0" fontId="11" fillId="0" borderId="0">
      <protection locked="0"/>
    </xf>
    <xf numFmtId="193" fontId="11" fillId="0" borderId="0"/>
    <xf numFmtId="0" fontId="15" fillId="0" borderId="0" applyNumberFormat="0" applyFill="0" applyBorder="0" applyAlignment="0" applyProtection="0">
      <alignment vertical="top"/>
      <protection locked="0"/>
    </xf>
    <xf numFmtId="9" fontId="11" fillId="0" borderId="0" applyFont="0" applyFill="0" applyBorder="0" applyAlignment="0" applyProtection="0"/>
    <xf numFmtId="193" fontId="3" fillId="0" borderId="0">
      <alignment vertical="center"/>
    </xf>
    <xf numFmtId="193" fontId="3" fillId="0" borderId="0">
      <alignment vertical="center"/>
    </xf>
    <xf numFmtId="193" fontId="2" fillId="0" borderId="0">
      <alignment vertical="center"/>
    </xf>
    <xf numFmtId="193" fontId="1" fillId="0" borderId="0">
      <alignment vertical="center"/>
    </xf>
  </cellStyleXfs>
  <cellXfs count="347">
    <xf numFmtId="0" fontId="0" fillId="0" borderId="0" xfId="0">
      <protection locked="0"/>
    </xf>
    <xf numFmtId="43" fontId="32" fillId="0" borderId="0" xfId="35" applyNumberFormat="1" applyFont="1" applyBorder="1" applyAlignment="1">
      <alignment vertical="center"/>
    </xf>
    <xf numFmtId="43" fontId="34" fillId="0" borderId="0" xfId="35" applyNumberFormat="1" applyFont="1" applyBorder="1" applyAlignment="1">
      <alignment vertical="center"/>
    </xf>
    <xf numFmtId="43" fontId="34" fillId="0" borderId="0" xfId="35" applyNumberFormat="1" applyFont="1" applyBorder="1" applyAlignment="1">
      <alignment horizontal="left" vertical="center"/>
    </xf>
    <xf numFmtId="49" fontId="34" fillId="0" borderId="0" xfId="35" applyNumberFormat="1" applyFont="1" applyBorder="1" applyAlignment="1">
      <alignment vertical="center"/>
    </xf>
    <xf numFmtId="0" fontId="34" fillId="0" borderId="0" xfId="35" applyFont="1" applyBorder="1" applyAlignment="1">
      <alignment horizontal="center" vertical="center"/>
    </xf>
    <xf numFmtId="0" fontId="34" fillId="0" borderId="0" xfId="33" applyFont="1" applyAlignment="1">
      <alignment vertical="center"/>
    </xf>
    <xf numFmtId="0" fontId="34" fillId="0" borderId="0" xfId="33" applyFont="1" applyAlignment="1">
      <alignment horizontal="left" vertical="center"/>
    </xf>
    <xf numFmtId="43" fontId="27" fillId="0" borderId="0" xfId="35" applyNumberFormat="1" applyFont="1" applyBorder="1" applyAlignment="1">
      <alignment vertical="center"/>
    </xf>
    <xf numFmtId="43" fontId="36" fillId="0" borderId="0" xfId="35" applyNumberFormat="1" applyFont="1" applyBorder="1" applyAlignment="1">
      <alignment vertical="center"/>
    </xf>
    <xf numFmtId="43" fontId="25" fillId="0" borderId="0" xfId="35" applyNumberFormat="1" applyFont="1" applyBorder="1" applyAlignment="1">
      <alignment vertical="center"/>
    </xf>
    <xf numFmtId="43" fontId="28" fillId="0" borderId="0" xfId="35" applyNumberFormat="1" applyFont="1" applyBorder="1" applyAlignment="1">
      <alignment vertical="center"/>
    </xf>
    <xf numFmtId="43" fontId="25" fillId="0" borderId="0" xfId="35" applyNumberFormat="1" applyFont="1" applyBorder="1" applyAlignment="1">
      <alignment horizontal="right" vertical="center"/>
    </xf>
    <xf numFmtId="0" fontId="34" fillId="0" borderId="0" xfId="0" applyFont="1" applyAlignment="1">
      <alignment vertical="center"/>
      <protection locked="0"/>
    </xf>
    <xf numFmtId="0" fontId="34" fillId="0" borderId="0" xfId="0" applyFont="1" applyAlignment="1">
      <alignment horizontal="justify" vertical="center" wrapText="1"/>
      <protection locked="0"/>
    </xf>
    <xf numFmtId="0" fontId="34" fillId="0" borderId="3" xfId="0" applyFont="1" applyBorder="1" applyAlignment="1">
      <alignment vertical="center" wrapText="1"/>
      <protection locked="0"/>
    </xf>
    <xf numFmtId="0" fontId="33" fillId="0" borderId="0" xfId="32" applyFont="1">
      <alignment vertical="center"/>
    </xf>
    <xf numFmtId="0" fontId="32" fillId="0" borderId="0" xfId="32" applyFont="1">
      <alignment vertical="center"/>
    </xf>
    <xf numFmtId="43" fontId="34" fillId="0" borderId="3" xfId="42" applyFont="1" applyBorder="1" applyAlignment="1">
      <alignment wrapText="1"/>
    </xf>
    <xf numFmtId="43" fontId="31" fillId="0" borderId="3" xfId="42" applyFont="1" applyBorder="1" applyAlignment="1">
      <alignment wrapText="1"/>
    </xf>
    <xf numFmtId="43" fontId="34" fillId="0" borderId="3" xfId="42" applyFont="1" applyBorder="1" applyAlignment="1">
      <alignment vertical="center"/>
    </xf>
    <xf numFmtId="0" fontId="31" fillId="0" borderId="3" xfId="0" applyFont="1" applyBorder="1" applyAlignment="1">
      <alignment horizontal="center" wrapText="1"/>
      <protection locked="0"/>
    </xf>
    <xf numFmtId="0" fontId="31" fillId="0" borderId="3" xfId="0" applyFont="1" applyBorder="1" applyAlignment="1">
      <alignment horizontal="center" vertical="top" wrapText="1"/>
      <protection locked="0"/>
    </xf>
    <xf numFmtId="0" fontId="34" fillId="0" borderId="0" xfId="0" applyFont="1">
      <protection locked="0"/>
    </xf>
    <xf numFmtId="0" fontId="32" fillId="0" borderId="0" xfId="0" applyFont="1">
      <protection locked="0"/>
    </xf>
    <xf numFmtId="0" fontId="34" fillId="0" borderId="5" xfId="0" applyFont="1" applyBorder="1" applyAlignment="1">
      <alignment vertical="center"/>
      <protection locked="0"/>
    </xf>
    <xf numFmtId="0" fontId="32" fillId="0" borderId="0" xfId="0" applyFont="1" applyAlignment="1">
      <alignment vertical="center"/>
      <protection locked="0"/>
    </xf>
    <xf numFmtId="0" fontId="33" fillId="0" borderId="0" xfId="0" applyFont="1" applyAlignment="1">
      <alignment vertical="center"/>
      <protection locked="0"/>
    </xf>
    <xf numFmtId="0" fontId="34" fillId="0" borderId="0" xfId="0" applyFont="1" applyAlignment="1">
      <alignment horizontal="left" vertical="center"/>
      <protection locked="0"/>
    </xf>
    <xf numFmtId="0" fontId="31" fillId="0" borderId="0" xfId="34" applyFont="1" applyAlignment="1">
      <alignment horizontal="left" vertical="center"/>
    </xf>
    <xf numFmtId="0" fontId="34" fillId="0" borderId="0" xfId="34" applyFont="1" applyAlignment="1" applyProtection="1">
      <alignment vertical="center"/>
      <protection locked="0"/>
    </xf>
    <xf numFmtId="0" fontId="36" fillId="0" borderId="0" xfId="34" applyFont="1" applyAlignment="1" applyProtection="1">
      <alignment horizontal="center" vertical="center"/>
      <protection hidden="1"/>
    </xf>
    <xf numFmtId="0" fontId="34" fillId="0" borderId="0" xfId="34" applyFont="1" applyAlignment="1" applyProtection="1">
      <alignment horizontal="left" vertical="center"/>
      <protection hidden="1"/>
    </xf>
    <xf numFmtId="0" fontId="36" fillId="0" borderId="0" xfId="34" applyFont="1" applyAlignment="1" applyProtection="1">
      <alignment horizontal="left" vertical="center"/>
      <protection locked="0"/>
    </xf>
    <xf numFmtId="0" fontId="34" fillId="0" borderId="3" xfId="0" applyFont="1" applyBorder="1" applyAlignment="1">
      <alignment horizontal="left" vertical="center"/>
      <protection locked="0"/>
    </xf>
    <xf numFmtId="43" fontId="34" fillId="0" borderId="3" xfId="0" applyNumberFormat="1" applyFont="1" applyBorder="1" applyAlignment="1">
      <alignment horizontal="left" vertical="center"/>
      <protection locked="0"/>
    </xf>
    <xf numFmtId="0" fontId="34" fillId="0" borderId="3" xfId="0" applyFont="1" applyBorder="1" applyAlignment="1">
      <alignment horizontal="center" vertical="center"/>
      <protection locked="0"/>
    </xf>
    <xf numFmtId="0" fontId="34" fillId="0" borderId="0" xfId="0" applyFont="1" applyAlignment="1">
      <alignment horizontal="center" vertical="center"/>
      <protection locked="0"/>
    </xf>
    <xf numFmtId="0" fontId="31" fillId="0" borderId="0" xfId="0" applyFont="1" applyAlignment="1">
      <alignment vertical="center"/>
      <protection locked="0"/>
    </xf>
    <xf numFmtId="0" fontId="31" fillId="0" borderId="0" xfId="0" applyFont="1" applyAlignment="1">
      <alignment horizontal="left" vertical="center"/>
      <protection locked="0"/>
    </xf>
    <xf numFmtId="0" fontId="36" fillId="0" borderId="0" xfId="0" applyFont="1" applyAlignment="1">
      <alignment vertical="center"/>
      <protection locked="0"/>
    </xf>
    <xf numFmtId="0" fontId="36" fillId="0" borderId="0" xfId="0" applyFont="1">
      <protection locked="0"/>
    </xf>
    <xf numFmtId="0" fontId="36" fillId="0" borderId="0" xfId="0" applyFont="1" applyAlignment="1">
      <alignment horizontal="right"/>
      <protection locked="0"/>
    </xf>
    <xf numFmtId="0" fontId="37" fillId="0" borderId="0" xfId="43" applyFont="1" applyAlignment="1" applyProtection="1">
      <alignment vertical="center"/>
    </xf>
    <xf numFmtId="0" fontId="39" fillId="0" borderId="0" xfId="43" applyFont="1" applyAlignment="1" applyProtection="1">
      <alignment horizontal="center"/>
    </xf>
    <xf numFmtId="0" fontId="34" fillId="0" borderId="0" xfId="43" applyFont="1" applyAlignment="1">
      <alignment vertical="center"/>
      <protection locked="0"/>
    </xf>
    <xf numFmtId="0" fontId="34" fillId="0" borderId="0" xfId="43" applyFont="1" applyAlignment="1">
      <alignment vertical="center" wrapText="1"/>
      <protection locked="0"/>
    </xf>
    <xf numFmtId="0" fontId="34" fillId="0" borderId="0" xfId="43" applyFont="1" applyAlignment="1">
      <alignment horizontal="right" vertical="center"/>
      <protection locked="0"/>
    </xf>
    <xf numFmtId="0" fontId="34" fillId="0" borderId="0" xfId="43" applyFont="1" applyAlignment="1">
      <alignment horizontal="justify" vertical="center" wrapText="1"/>
      <protection locked="0"/>
    </xf>
    <xf numFmtId="0" fontId="34" fillId="0" borderId="0" xfId="44" applyFont="1">
      <alignment vertical="center"/>
    </xf>
    <xf numFmtId="0" fontId="34" fillId="0" borderId="3" xfId="0" applyFont="1" applyBorder="1" applyAlignment="1">
      <alignment horizontal="left" vertical="center" wrapText="1" indent="1"/>
      <protection locked="0"/>
    </xf>
    <xf numFmtId="193" fontId="34" fillId="0" borderId="3" xfId="45" applyFont="1" applyBorder="1" applyAlignment="1" applyProtection="1">
      <alignment horizontal="left" vertical="center" wrapText="1"/>
      <protection locked="0"/>
    </xf>
    <xf numFmtId="43" fontId="31" fillId="0" borderId="0" xfId="35" applyNumberFormat="1" applyFont="1" applyBorder="1" applyAlignment="1">
      <alignment horizontal="left" vertical="center"/>
    </xf>
    <xf numFmtId="0" fontId="34" fillId="0" borderId="0" xfId="34" applyFont="1" applyAlignment="1">
      <alignment vertical="center"/>
    </xf>
    <xf numFmtId="0" fontId="34" fillId="0" borderId="5" xfId="0" applyFont="1" applyBorder="1" applyAlignment="1">
      <alignment horizontal="left" vertical="center"/>
      <protection locked="0"/>
    </xf>
    <xf numFmtId="0" fontId="34" fillId="0" borderId="0" xfId="43" applyFont="1" applyAlignment="1" applyProtection="1">
      <alignment vertical="center"/>
    </xf>
    <xf numFmtId="0" fontId="37" fillId="0" borderId="2" xfId="0" applyFont="1" applyBorder="1" applyAlignment="1" applyProtection="1">
      <alignment horizontal="center" vertical="center"/>
    </xf>
    <xf numFmtId="0" fontId="42" fillId="0" borderId="2" xfId="0" applyFont="1" applyBorder="1" applyAlignment="1" applyProtection="1">
      <alignment vertical="center"/>
    </xf>
    <xf numFmtId="43" fontId="34" fillId="0" borderId="3" xfId="42" applyFont="1" applyBorder="1" applyAlignment="1">
      <alignment vertical="center" wrapText="1"/>
    </xf>
    <xf numFmtId="0" fontId="31" fillId="0" borderId="0" xfId="0" applyFont="1">
      <protection locked="0"/>
    </xf>
    <xf numFmtId="193" fontId="31" fillId="0" borderId="3" xfId="45" applyFont="1" applyBorder="1" applyAlignment="1" applyProtection="1">
      <alignment horizontal="left" vertical="center" wrapText="1"/>
      <protection locked="0"/>
    </xf>
    <xf numFmtId="43" fontId="31" fillId="0" borderId="0" xfId="35" applyNumberFormat="1" applyFont="1" applyBorder="1" applyAlignment="1">
      <alignment vertical="center"/>
    </xf>
    <xf numFmtId="193" fontId="31" fillId="5" borderId="3" xfId="45" applyFont="1" applyFill="1" applyBorder="1" applyAlignment="1" applyProtection="1">
      <alignment horizontal="center" vertical="center" wrapText="1"/>
      <protection locked="0"/>
    </xf>
    <xf numFmtId="0" fontId="31" fillId="5" borderId="3" xfId="0" applyFont="1" applyFill="1" applyBorder="1" applyAlignment="1">
      <alignment horizontal="center" vertical="center" wrapText="1"/>
      <protection locked="0"/>
    </xf>
    <xf numFmtId="14" fontId="34" fillId="0" borderId="0" xfId="0" applyNumberFormat="1" applyFont="1" applyAlignment="1">
      <alignment vertical="center"/>
      <protection locked="0"/>
    </xf>
    <xf numFmtId="14" fontId="34" fillId="0" borderId="3" xfId="0" applyNumberFormat="1" applyFont="1" applyBorder="1" applyAlignment="1">
      <alignment horizontal="left" vertical="center"/>
      <protection locked="0"/>
    </xf>
    <xf numFmtId="0" fontId="20" fillId="0" borderId="0" xfId="32" applyFont="1">
      <alignment vertical="center"/>
    </xf>
    <xf numFmtId="43" fontId="34" fillId="0" borderId="0" xfId="35" applyNumberFormat="1" applyFont="1" applyFill="1" applyBorder="1" applyAlignment="1">
      <alignment vertical="center"/>
    </xf>
    <xf numFmtId="43" fontId="34" fillId="0" borderId="0" xfId="35" applyNumberFormat="1" applyFont="1" applyFill="1" applyBorder="1" applyAlignment="1">
      <alignment horizontal="left" vertical="center"/>
    </xf>
    <xf numFmtId="14" fontId="34" fillId="0" borderId="0" xfId="35" applyNumberFormat="1" applyFont="1" applyFill="1" applyBorder="1" applyAlignment="1">
      <alignment horizontal="left" vertical="center" indent="2"/>
    </xf>
    <xf numFmtId="0" fontId="19" fillId="0" borderId="0" xfId="0" applyFont="1" applyAlignment="1">
      <alignment vertical="center"/>
      <protection locked="0"/>
    </xf>
    <xf numFmtId="43" fontId="34" fillId="0" borderId="0" xfId="35" applyNumberFormat="1" applyFont="1" applyFill="1" applyBorder="1" applyAlignment="1">
      <alignment horizontal="left" vertical="center" indent="2"/>
    </xf>
    <xf numFmtId="0" fontId="31" fillId="0" borderId="3" xfId="0" applyFont="1" applyBorder="1" applyAlignment="1">
      <alignment horizontal="left" vertical="center" wrapText="1"/>
      <protection locked="0"/>
    </xf>
    <xf numFmtId="0" fontId="34" fillId="0" borderId="3" xfId="0" applyFont="1" applyBorder="1" applyAlignment="1">
      <alignment horizontal="justify" vertical="center" wrapText="1"/>
      <protection locked="0"/>
    </xf>
    <xf numFmtId="0" fontId="31" fillId="0" borderId="3" xfId="0" applyFont="1" applyBorder="1" applyAlignment="1">
      <alignment horizontal="justify" vertical="center" wrapText="1"/>
      <protection locked="0"/>
    </xf>
    <xf numFmtId="0" fontId="34" fillId="0" borderId="0" xfId="34" applyFont="1" applyAlignment="1">
      <alignment horizontal="left" vertical="center" indent="1"/>
    </xf>
    <xf numFmtId="0" fontId="31" fillId="0" borderId="5" xfId="34" applyFont="1" applyBorder="1" applyAlignment="1">
      <alignment vertical="center"/>
    </xf>
    <xf numFmtId="0" fontId="44" fillId="0" borderId="0" xfId="0" applyFont="1" applyAlignment="1">
      <alignment vertical="center"/>
      <protection locked="0"/>
    </xf>
    <xf numFmtId="0" fontId="45" fillId="0" borderId="0" xfId="0" applyFont="1" applyAlignment="1">
      <alignment horizontal="left"/>
      <protection locked="0"/>
    </xf>
    <xf numFmtId="0" fontId="34" fillId="4" borderId="0" xfId="0" applyFont="1" applyFill="1" applyAlignment="1">
      <alignment horizontal="justify" vertical="center" wrapText="1"/>
      <protection locked="0"/>
    </xf>
    <xf numFmtId="0" fontId="46" fillId="0" borderId="0" xfId="0" applyFont="1" applyAlignment="1">
      <alignment horizontal="justify" wrapText="1"/>
      <protection locked="0"/>
    </xf>
    <xf numFmtId="0" fontId="32" fillId="0" borderId="0" xfId="0" applyFont="1" applyAlignment="1">
      <alignment horizontal="center" vertical="center"/>
      <protection locked="0"/>
    </xf>
    <xf numFmtId="0" fontId="46" fillId="0" borderId="0" xfId="0" applyFont="1" applyAlignment="1">
      <alignment horizontal="justify" vertical="top" wrapText="1"/>
      <protection locked="0"/>
    </xf>
    <xf numFmtId="0" fontId="33" fillId="0" borderId="0" xfId="0" applyFont="1" applyAlignment="1">
      <alignment horizontal="justify"/>
      <protection locked="0"/>
    </xf>
    <xf numFmtId="193" fontId="47" fillId="0" borderId="0" xfId="48" applyFont="1">
      <alignment vertical="center"/>
    </xf>
    <xf numFmtId="193" fontId="48" fillId="0" borderId="0" xfId="48" applyFont="1">
      <alignment vertical="center"/>
    </xf>
    <xf numFmtId="193" fontId="34" fillId="0" borderId="0" xfId="48" applyFont="1" applyProtection="1">
      <alignment vertical="center"/>
      <protection locked="0"/>
    </xf>
    <xf numFmtId="0" fontId="34" fillId="0" borderId="0" xfId="49" applyFont="1" applyAlignment="1">
      <alignment horizontal="left" vertical="center"/>
      <protection locked="0"/>
    </xf>
    <xf numFmtId="193" fontId="34" fillId="0" borderId="0" xfId="48" applyFont="1" applyAlignment="1" applyProtection="1">
      <alignment horizontal="center" vertical="center"/>
      <protection locked="0"/>
    </xf>
    <xf numFmtId="193" fontId="34" fillId="0" borderId="0" xfId="48" applyFont="1" applyAlignment="1" applyProtection="1">
      <alignment vertical="center" wrapText="1"/>
      <protection locked="0"/>
    </xf>
    <xf numFmtId="193" fontId="19" fillId="0" borderId="0" xfId="48" applyFont="1" applyProtection="1">
      <alignment vertical="center"/>
      <protection locked="0"/>
    </xf>
    <xf numFmtId="193" fontId="52" fillId="0" borderId="0" xfId="48" applyFont="1" applyProtection="1">
      <alignment vertical="center"/>
      <protection locked="0"/>
    </xf>
    <xf numFmtId="49" fontId="31" fillId="0" borderId="0" xfId="48" applyNumberFormat="1" applyFont="1" applyAlignment="1" applyProtection="1">
      <alignment horizontal="left" vertical="center"/>
      <protection locked="0"/>
    </xf>
    <xf numFmtId="193" fontId="31" fillId="0" borderId="0" xfId="48" applyFont="1" applyAlignment="1" applyProtection="1">
      <alignment horizontal="justify" vertical="center"/>
      <protection locked="0"/>
    </xf>
    <xf numFmtId="193" fontId="53" fillId="0" borderId="0" xfId="48" applyFont="1" applyAlignment="1" applyProtection="1">
      <alignment horizontal="center" vertical="center"/>
      <protection locked="0"/>
    </xf>
    <xf numFmtId="193" fontId="19" fillId="0" borderId="3" xfId="48" applyFont="1" applyBorder="1" applyAlignment="1" applyProtection="1">
      <alignment horizontal="center" vertical="center" wrapText="1"/>
      <protection locked="0"/>
    </xf>
    <xf numFmtId="193" fontId="7" fillId="0" borderId="3" xfId="48" applyFont="1" applyBorder="1" applyAlignment="1" applyProtection="1">
      <alignment horizontal="center" vertical="center" wrapText="1"/>
      <protection locked="0"/>
    </xf>
    <xf numFmtId="193" fontId="55" fillId="0" borderId="3" xfId="48" applyFont="1" applyBorder="1" applyAlignment="1" applyProtection="1">
      <alignment horizontal="center" vertical="center" wrapText="1"/>
      <protection locked="0"/>
    </xf>
    <xf numFmtId="193" fontId="56" fillId="0" borderId="3" xfId="48" applyFont="1" applyBorder="1" applyAlignment="1" applyProtection="1">
      <alignment horizontal="center" vertical="center" wrapText="1"/>
      <protection locked="0"/>
    </xf>
    <xf numFmtId="193" fontId="7" fillId="0" borderId="3" xfId="48" applyFont="1" applyBorder="1" applyAlignment="1" applyProtection="1">
      <alignment horizontal="left" vertical="center" wrapText="1"/>
      <protection locked="0"/>
    </xf>
    <xf numFmtId="193" fontId="34" fillId="0" borderId="0" xfId="48" applyFont="1" applyAlignment="1" applyProtection="1">
      <alignment horizontal="center" vertical="center" wrapText="1"/>
      <protection locked="0"/>
    </xf>
    <xf numFmtId="193" fontId="34" fillId="0" borderId="0" xfId="48" applyFont="1" applyAlignment="1" applyProtection="1">
      <alignment horizontal="left" vertical="center" wrapText="1"/>
      <protection locked="0"/>
    </xf>
    <xf numFmtId="193" fontId="57" fillId="0" borderId="0" xfId="48" applyFont="1" applyAlignment="1" applyProtection="1">
      <alignment horizontal="center" vertical="center" wrapText="1"/>
      <protection locked="0"/>
    </xf>
    <xf numFmtId="193" fontId="48" fillId="0" borderId="0" xfId="48" applyFont="1" applyAlignment="1">
      <alignment horizontal="center" vertical="center"/>
    </xf>
    <xf numFmtId="193" fontId="48" fillId="0" borderId="0" xfId="48" applyFont="1" applyAlignment="1">
      <alignment vertical="center" wrapText="1"/>
    </xf>
    <xf numFmtId="193" fontId="58" fillId="6" borderId="14" xfId="48" applyFont="1" applyFill="1" applyBorder="1" applyAlignment="1" applyProtection="1">
      <alignment horizontal="centerContinuous" vertical="center"/>
      <protection locked="0"/>
    </xf>
    <xf numFmtId="193" fontId="48" fillId="6" borderId="14" xfId="48" applyFont="1" applyFill="1" applyBorder="1" applyAlignment="1">
      <alignment horizontal="centerContinuous" vertical="center"/>
    </xf>
    <xf numFmtId="49" fontId="31" fillId="5" borderId="3" xfId="48" applyNumberFormat="1" applyFont="1" applyFill="1" applyBorder="1" applyAlignment="1" applyProtection="1">
      <alignment horizontal="center" vertical="center"/>
      <protection locked="0"/>
    </xf>
    <xf numFmtId="193" fontId="31" fillId="5" borderId="3" xfId="48" applyFont="1" applyFill="1" applyBorder="1" applyAlignment="1" applyProtection="1">
      <alignment horizontal="center" vertical="center" wrapText="1"/>
      <protection locked="0"/>
    </xf>
    <xf numFmtId="193" fontId="58" fillId="6" borderId="0" xfId="48" applyFont="1" applyFill="1" applyAlignment="1" applyProtection="1">
      <alignment horizontal="center" vertical="center"/>
      <protection locked="0"/>
    </xf>
    <xf numFmtId="49" fontId="22" fillId="5" borderId="7" xfId="48" applyNumberFormat="1" applyFont="1" applyFill="1" applyBorder="1" applyAlignment="1" applyProtection="1">
      <alignment horizontal="center" vertical="center"/>
      <protection locked="0"/>
    </xf>
    <xf numFmtId="193" fontId="60" fillId="5" borderId="3" xfId="48" applyFont="1" applyFill="1" applyBorder="1" applyAlignment="1">
      <alignment horizontal="center" vertical="center" wrapText="1"/>
    </xf>
    <xf numFmtId="193" fontId="34" fillId="6" borderId="0" xfId="48" applyFont="1" applyFill="1" applyAlignment="1" applyProtection="1">
      <alignment horizontal="left" vertical="center"/>
      <protection locked="0"/>
    </xf>
    <xf numFmtId="193" fontId="61" fillId="6" borderId="0" xfId="48" applyFont="1" applyFill="1" applyAlignment="1">
      <alignment horizontal="left" vertical="center"/>
    </xf>
    <xf numFmtId="193" fontId="34" fillId="6" borderId="0" xfId="48" applyFont="1" applyFill="1" applyAlignment="1">
      <alignment horizontal="left" vertical="center"/>
    </xf>
    <xf numFmtId="49" fontId="31" fillId="0" borderId="7" xfId="48" applyNumberFormat="1" applyFont="1" applyBorder="1" applyAlignment="1" applyProtection="1">
      <alignment horizontal="left" vertical="center" indent="1"/>
      <protection locked="0"/>
    </xf>
    <xf numFmtId="193" fontId="60" fillId="0" borderId="3" xfId="48" applyFont="1" applyBorder="1" applyAlignment="1">
      <alignment horizontal="center" vertical="center" wrapText="1"/>
    </xf>
    <xf numFmtId="193" fontId="47" fillId="0" borderId="3" xfId="48" applyFont="1" applyBorder="1" applyAlignment="1">
      <alignment horizontal="center" vertical="center" wrapText="1"/>
    </xf>
    <xf numFmtId="49" fontId="19" fillId="5" borderId="3" xfId="48" applyNumberFormat="1" applyFont="1" applyFill="1" applyBorder="1" applyAlignment="1" applyProtection="1">
      <alignment horizontal="center" vertical="center"/>
      <protection locked="0"/>
    </xf>
    <xf numFmtId="49" fontId="22" fillId="0" borderId="3" xfId="48" applyNumberFormat="1" applyFont="1" applyBorder="1" applyAlignment="1" applyProtection="1">
      <alignment horizontal="center" vertical="center"/>
      <protection locked="0"/>
    </xf>
    <xf numFmtId="49" fontId="19" fillId="5" borderId="7" xfId="48" applyNumberFormat="1" applyFont="1" applyFill="1" applyBorder="1" applyAlignment="1" applyProtection="1">
      <alignment horizontal="center" vertical="center"/>
      <protection locked="0"/>
    </xf>
    <xf numFmtId="0" fontId="60" fillId="5" borderId="3" xfId="48" applyNumberFormat="1" applyFont="1" applyFill="1" applyBorder="1" applyAlignment="1">
      <alignment horizontal="center" vertical="center" wrapText="1"/>
    </xf>
    <xf numFmtId="49" fontId="34" fillId="0" borderId="7" xfId="48" applyNumberFormat="1" applyFont="1" applyBorder="1" applyAlignment="1" applyProtection="1">
      <alignment horizontal="left" vertical="center" indent="1"/>
      <protection locked="0"/>
    </xf>
    <xf numFmtId="0" fontId="60" fillId="0" borderId="3" xfId="48" applyNumberFormat="1" applyFont="1" applyBorder="1" applyAlignment="1">
      <alignment horizontal="center" vertical="center" wrapText="1"/>
    </xf>
    <xf numFmtId="49" fontId="60" fillId="5" borderId="3" xfId="48" applyNumberFormat="1" applyFont="1" applyFill="1" applyBorder="1" applyAlignment="1">
      <alignment horizontal="center" vertical="center"/>
    </xf>
    <xf numFmtId="49" fontId="47" fillId="0" borderId="3" xfId="48" applyNumberFormat="1" applyFont="1" applyBorder="1" applyAlignment="1">
      <alignment horizontal="center" vertical="center"/>
    </xf>
    <xf numFmtId="49" fontId="47" fillId="0" borderId="3" xfId="48" applyNumberFormat="1" applyFont="1" applyBorder="1" applyAlignment="1">
      <alignment horizontal="left" vertical="center" wrapText="1" indent="1"/>
    </xf>
    <xf numFmtId="49" fontId="34" fillId="0" borderId="7" xfId="48" applyNumberFormat="1" applyFont="1" applyBorder="1" applyAlignment="1" applyProtection="1">
      <alignment horizontal="center" vertical="center"/>
      <protection locked="0"/>
    </xf>
    <xf numFmtId="0" fontId="62" fillId="5" borderId="3" xfId="48" applyNumberFormat="1" applyFont="1" applyFill="1" applyBorder="1" applyAlignment="1">
      <alignment horizontal="center" vertical="center" wrapText="1"/>
    </xf>
    <xf numFmtId="0" fontId="62" fillId="0" borderId="3" xfId="48" applyNumberFormat="1" applyFont="1" applyBorder="1" applyAlignment="1">
      <alignment horizontal="center" vertical="center" wrapText="1"/>
    </xf>
    <xf numFmtId="49" fontId="63" fillId="5" borderId="3" xfId="48" applyNumberFormat="1" applyFont="1" applyFill="1" applyBorder="1" applyAlignment="1">
      <alignment horizontal="center" vertical="center"/>
    </xf>
    <xf numFmtId="43" fontId="31" fillId="0" borderId="0" xfId="35" applyNumberFormat="1" applyFont="1" applyFill="1" applyBorder="1" applyAlignment="1">
      <alignment vertical="center"/>
    </xf>
    <xf numFmtId="0" fontId="34" fillId="0" borderId="5" xfId="33" applyFont="1" applyBorder="1" applyAlignment="1">
      <alignment vertical="center"/>
    </xf>
    <xf numFmtId="43" fontId="34" fillId="0" borderId="5" xfId="35" applyNumberFormat="1" applyFont="1" applyBorder="1" applyAlignment="1">
      <alignment vertical="center"/>
    </xf>
    <xf numFmtId="43" fontId="31" fillId="7" borderId="0" xfId="35" applyNumberFormat="1" applyFont="1" applyFill="1" applyBorder="1" applyAlignment="1">
      <alignment vertical="center"/>
    </xf>
    <xf numFmtId="0" fontId="37" fillId="0" borderId="3" xfId="51" applyFont="1" applyBorder="1" applyAlignment="1" applyProtection="1">
      <alignment horizontal="center" vertical="center"/>
    </xf>
    <xf numFmtId="43" fontId="31" fillId="0" borderId="5" xfId="35" applyNumberFormat="1" applyFont="1" applyBorder="1" applyAlignment="1">
      <alignment horizontal="left" vertical="center"/>
    </xf>
    <xf numFmtId="43" fontId="34" fillId="0" borderId="5" xfId="35" applyNumberFormat="1" applyFont="1" applyBorder="1" applyAlignment="1">
      <alignment horizontal="left" vertical="center"/>
    </xf>
    <xf numFmtId="43" fontId="69" fillId="0" borderId="5" xfId="53" applyNumberFormat="1" applyFont="1" applyBorder="1" applyAlignment="1" applyProtection="1">
      <alignment horizontal="center" vertical="center"/>
    </xf>
    <xf numFmtId="0" fontId="31" fillId="0" borderId="0" xfId="33" applyFont="1" applyAlignment="1">
      <alignment vertical="center"/>
    </xf>
    <xf numFmtId="9" fontId="35" fillId="0" borderId="0" xfId="54" applyFont="1" applyBorder="1" applyAlignment="1">
      <alignment horizontal="left" vertical="center"/>
    </xf>
    <xf numFmtId="10" fontId="35" fillId="0" borderId="0" xfId="54" applyNumberFormat="1" applyFont="1" applyBorder="1" applyAlignment="1">
      <alignment horizontal="left" vertical="center"/>
    </xf>
    <xf numFmtId="0" fontId="11" fillId="0" borderId="0" xfId="51">
      <protection locked="0"/>
    </xf>
    <xf numFmtId="0" fontId="70" fillId="0" borderId="0" xfId="0" applyFont="1" applyAlignment="1">
      <alignment horizontal="justify" vertical="center"/>
      <protection locked="0"/>
    </xf>
    <xf numFmtId="0" fontId="70" fillId="0" borderId="0" xfId="0" applyFont="1" applyAlignment="1">
      <alignment horizontal="left" vertical="center"/>
      <protection locked="0"/>
    </xf>
    <xf numFmtId="0" fontId="54" fillId="0" borderId="0" xfId="0" applyFont="1" applyAlignment="1">
      <alignment vertical="center"/>
      <protection locked="0"/>
    </xf>
    <xf numFmtId="0" fontId="54" fillId="0" borderId="0" xfId="0" applyFont="1">
      <protection locked="0"/>
    </xf>
    <xf numFmtId="0" fontId="71" fillId="0" borderId="10" xfId="0" applyFont="1" applyBorder="1" applyAlignment="1">
      <alignment horizontal="justify" vertical="center" wrapText="1"/>
      <protection locked="0"/>
    </xf>
    <xf numFmtId="0" fontId="72" fillId="0" borderId="10" xfId="0" applyFont="1" applyBorder="1" applyAlignment="1">
      <alignment horizontal="right" vertical="center" wrapText="1"/>
      <protection locked="0"/>
    </xf>
    <xf numFmtId="0" fontId="71" fillId="0" borderId="10" xfId="0" applyFont="1" applyBorder="1" applyAlignment="1">
      <alignment horizontal="right" vertical="center" wrapText="1"/>
      <protection locked="0"/>
    </xf>
    <xf numFmtId="0" fontId="73" fillId="0" borderId="0" xfId="0" applyFont="1" applyAlignment="1">
      <alignment horizontal="justify" vertical="center" wrapText="1"/>
      <protection locked="0"/>
    </xf>
    <xf numFmtId="43" fontId="54" fillId="0" borderId="0" xfId="0" applyNumberFormat="1" applyFont="1" applyAlignment="1">
      <alignment horizontal="right" vertical="center" wrapText="1"/>
      <protection locked="0"/>
    </xf>
    <xf numFmtId="43" fontId="73" fillId="0" borderId="0" xfId="0" applyNumberFormat="1" applyFont="1" applyAlignment="1">
      <alignment horizontal="right" vertical="center" wrapText="1"/>
      <protection locked="0"/>
    </xf>
    <xf numFmtId="0" fontId="73" fillId="0" borderId="0" xfId="0" applyFont="1" applyAlignment="1">
      <alignment horizontal="right" vertical="center" wrapText="1"/>
      <protection locked="0"/>
    </xf>
    <xf numFmtId="0" fontId="54" fillId="0" borderId="0" xfId="0" applyFont="1" applyAlignment="1">
      <alignment horizontal="right" vertical="center" wrapText="1"/>
      <protection locked="0"/>
    </xf>
    <xf numFmtId="0" fontId="73" fillId="0" borderId="11" xfId="0" applyFont="1" applyBorder="1" applyAlignment="1">
      <alignment horizontal="justify" vertical="center" wrapText="1"/>
      <protection locked="0"/>
    </xf>
    <xf numFmtId="0" fontId="54" fillId="0" borderId="11" xfId="0" applyFont="1" applyBorder="1" applyAlignment="1">
      <alignment horizontal="right" vertical="center" wrapText="1"/>
      <protection locked="0"/>
    </xf>
    <xf numFmtId="0" fontId="54" fillId="0" borderId="0" xfId="0" applyFont="1" applyAlignment="1">
      <alignment horizontal="left" vertical="center"/>
      <protection locked="0"/>
    </xf>
    <xf numFmtId="0" fontId="75" fillId="0" borderId="0" xfId="0" applyFont="1" applyAlignment="1">
      <alignment horizontal="left" vertical="center"/>
      <protection locked="0"/>
    </xf>
    <xf numFmtId="0" fontId="74" fillId="0" borderId="0" xfId="0" applyFont="1" applyAlignment="1">
      <alignment horizontal="left" vertical="center"/>
      <protection locked="0"/>
    </xf>
    <xf numFmtId="43" fontId="54" fillId="0" borderId="0" xfId="42" applyFont="1" applyFill="1" applyProtection="1">
      <protection locked="0"/>
    </xf>
    <xf numFmtId="0" fontId="54" fillId="0" borderId="0" xfId="0" applyFont="1" applyAlignment="1">
      <alignment horizontal="justify" vertical="center" wrapText="1"/>
      <protection locked="0"/>
    </xf>
    <xf numFmtId="43" fontId="73" fillId="0" borderId="0" xfId="42" applyFont="1" applyFill="1" applyAlignment="1" applyProtection="1">
      <alignment horizontal="right" vertical="center" wrapText="1"/>
      <protection locked="0"/>
    </xf>
    <xf numFmtId="0" fontId="54" fillId="0" borderId="11" xfId="0" applyFont="1" applyBorder="1" applyAlignment="1">
      <alignment horizontal="justify" vertical="center" wrapText="1"/>
      <protection locked="0"/>
    </xf>
    <xf numFmtId="43" fontId="73" fillId="0" borderId="11" xfId="0" applyNumberFormat="1" applyFont="1" applyBorder="1" applyAlignment="1">
      <alignment horizontal="right" vertical="center" wrapText="1"/>
      <protection locked="0"/>
    </xf>
    <xf numFmtId="193" fontId="31" fillId="0" borderId="0" xfId="56" applyFont="1" applyAlignment="1" applyProtection="1">
      <alignment horizontal="justify" vertical="center"/>
      <protection locked="0"/>
    </xf>
    <xf numFmtId="193" fontId="34" fillId="0" borderId="0" xfId="48" applyFont="1" applyAlignment="1">
      <alignment horizontal="left" vertical="center"/>
    </xf>
    <xf numFmtId="193" fontId="61" fillId="0" borderId="0" xfId="48" applyFont="1" applyAlignment="1">
      <alignment horizontal="left" vertical="center"/>
    </xf>
    <xf numFmtId="193" fontId="47" fillId="0" borderId="3" xfId="55" applyFont="1" applyBorder="1" applyAlignment="1">
      <alignment horizontal="center" vertical="center" wrapText="1"/>
    </xf>
    <xf numFmtId="43" fontId="34" fillId="8" borderId="3" xfId="42" applyFont="1" applyFill="1" applyBorder="1" applyAlignment="1">
      <alignment horizontal="right" vertical="center" wrapText="1"/>
    </xf>
    <xf numFmtId="10" fontId="34" fillId="8" borderId="3" xfId="31" applyNumberFormat="1" applyFont="1" applyFill="1" applyBorder="1" applyAlignment="1">
      <alignment horizontal="right" vertical="center" wrapText="1"/>
    </xf>
    <xf numFmtId="43" fontId="31" fillId="8" borderId="3" xfId="42" applyFont="1" applyFill="1" applyBorder="1" applyAlignment="1">
      <alignment horizontal="right" vertical="center" wrapText="1"/>
    </xf>
    <xf numFmtId="10" fontId="31" fillId="8" borderId="3" xfId="31" applyNumberFormat="1" applyFont="1" applyFill="1" applyBorder="1" applyAlignment="1">
      <alignment horizontal="right" vertical="center" wrapText="1"/>
    </xf>
    <xf numFmtId="43" fontId="42" fillId="8" borderId="3" xfId="50" applyFont="1" applyFill="1" applyBorder="1" applyAlignment="1">
      <alignment horizontal="right" vertical="center"/>
    </xf>
    <xf numFmtId="43" fontId="34" fillId="8" borderId="3" xfId="42" applyFont="1" applyFill="1" applyBorder="1" applyAlignment="1">
      <alignment vertical="center"/>
    </xf>
    <xf numFmtId="43" fontId="31" fillId="8" borderId="3" xfId="42" applyFont="1" applyFill="1" applyBorder="1" applyAlignment="1">
      <alignment vertical="center"/>
    </xf>
    <xf numFmtId="43" fontId="42" fillId="0" borderId="0" xfId="42" applyFont="1" applyFill="1" applyBorder="1" applyAlignment="1">
      <alignment horizontal="center" vertical="center"/>
    </xf>
    <xf numFmtId="193" fontId="34" fillId="0" borderId="3" xfId="55" applyFont="1" applyBorder="1" applyAlignment="1">
      <alignment vertical="center" wrapText="1"/>
    </xf>
    <xf numFmtId="193" fontId="77" fillId="6" borderId="0" xfId="55" applyFont="1" applyFill="1" applyAlignment="1" applyProtection="1">
      <alignment horizontal="left" vertical="center" wrapText="1"/>
      <protection locked="0"/>
    </xf>
    <xf numFmtId="0" fontId="34" fillId="0" borderId="0" xfId="43" applyFont="1" applyAlignment="1" applyProtection="1">
      <alignment horizontal="left" vertical="center"/>
    </xf>
    <xf numFmtId="193" fontId="78" fillId="0" borderId="0" xfId="48" applyFont="1" applyProtection="1">
      <alignment vertical="center"/>
      <protection locked="0"/>
    </xf>
    <xf numFmtId="49" fontId="31" fillId="0" borderId="0" xfId="55" applyNumberFormat="1" applyFont="1" applyAlignment="1" applyProtection="1">
      <alignment horizontal="left" vertical="center"/>
      <protection locked="0"/>
    </xf>
    <xf numFmtId="193" fontId="31" fillId="5" borderId="3" xfId="55" applyFont="1" applyFill="1" applyBorder="1" applyAlignment="1" applyProtection="1">
      <alignment horizontal="center" vertical="center" wrapText="1"/>
      <protection locked="0"/>
    </xf>
    <xf numFmtId="0" fontId="47" fillId="0" borderId="3" xfId="48" applyNumberFormat="1" applyFont="1" applyBorder="1" applyAlignment="1">
      <alignment horizontal="center" vertical="center" wrapText="1"/>
    </xf>
    <xf numFmtId="193" fontId="37" fillId="5" borderId="3" xfId="46" applyFont="1" applyFill="1" applyBorder="1" applyAlignment="1" applyProtection="1">
      <alignment horizontal="center" vertical="center" wrapText="1"/>
      <protection locked="0"/>
    </xf>
    <xf numFmtId="193" fontId="31" fillId="5" borderId="3" xfId="46" applyFont="1" applyFill="1" applyBorder="1" applyAlignment="1" applyProtection="1">
      <alignment horizontal="center" vertical="center"/>
      <protection locked="0"/>
    </xf>
    <xf numFmtId="43" fontId="31" fillId="5" borderId="3" xfId="42" applyFont="1" applyFill="1" applyBorder="1" applyAlignment="1">
      <alignment horizontal="center" vertical="center" wrapText="1"/>
    </xf>
    <xf numFmtId="43" fontId="69" fillId="0" borderId="0" xfId="36" applyNumberFormat="1" applyFont="1" applyBorder="1" applyAlignment="1" applyProtection="1">
      <alignment horizontal="center" vertical="center"/>
    </xf>
    <xf numFmtId="0" fontId="36" fillId="0" borderId="0" xfId="33" applyFont="1" applyAlignment="1">
      <alignment vertical="center"/>
    </xf>
    <xf numFmtId="0" fontId="31" fillId="0" borderId="0" xfId="43" applyFont="1" applyAlignment="1" applyProtection="1">
      <alignment horizontal="left" vertical="center"/>
    </xf>
    <xf numFmtId="193" fontId="31" fillId="5" borderId="3" xfId="52" applyFont="1" applyFill="1" applyBorder="1" applyAlignment="1" applyProtection="1">
      <alignment horizontal="center" vertical="center" wrapText="1"/>
      <protection locked="0"/>
    </xf>
    <xf numFmtId="0" fontId="42" fillId="0" borderId="3" xfId="51" applyFont="1" applyBorder="1" applyAlignment="1" applyProtection="1">
      <alignment vertical="center"/>
    </xf>
    <xf numFmtId="0" fontId="34" fillId="0" borderId="3" xfId="51" applyFont="1" applyBorder="1" applyAlignment="1" applyProtection="1">
      <alignment vertical="center"/>
    </xf>
    <xf numFmtId="0" fontId="56" fillId="0" borderId="3" xfId="51" applyFont="1" applyBorder="1" applyAlignment="1" applyProtection="1">
      <alignment horizontal="left" vertical="center" indent="1"/>
    </xf>
    <xf numFmtId="14" fontId="34" fillId="0" borderId="0" xfId="0" applyNumberFormat="1" applyFont="1" applyAlignment="1">
      <alignment horizontal="left" vertical="center"/>
      <protection locked="0"/>
    </xf>
    <xf numFmtId="14" fontId="77" fillId="0" borderId="0" xfId="51" applyNumberFormat="1" applyFont="1" applyAlignment="1">
      <alignment horizontal="left" vertical="center"/>
      <protection locked="0"/>
    </xf>
    <xf numFmtId="0" fontId="31" fillId="0" borderId="0" xfId="43" applyFont="1" applyAlignment="1">
      <alignment vertical="center"/>
      <protection locked="0"/>
    </xf>
    <xf numFmtId="0" fontId="80" fillId="0" borderId="0" xfId="0" applyFont="1" applyAlignment="1">
      <alignment vertical="top"/>
      <protection locked="0"/>
    </xf>
    <xf numFmtId="0" fontId="74" fillId="0" borderId="0" xfId="0" applyFont="1" applyAlignment="1">
      <alignment vertical="top"/>
      <protection locked="0"/>
    </xf>
    <xf numFmtId="193" fontId="19" fillId="8" borderId="0" xfId="57" applyFont="1" applyFill="1" applyAlignment="1">
      <alignment horizontal="center" vertical="center" wrapText="1"/>
    </xf>
    <xf numFmtId="0" fontId="56" fillId="0" borderId="0" xfId="0" applyFont="1" applyAlignment="1">
      <alignment horizontal="left" vertical="center"/>
      <protection locked="0"/>
    </xf>
    <xf numFmtId="193" fontId="34" fillId="0" borderId="3" xfId="56" applyFont="1" applyBorder="1" applyAlignment="1">
      <alignment vertical="center" wrapText="1"/>
    </xf>
    <xf numFmtId="193" fontId="64" fillId="0" borderId="0" xfId="48" applyFont="1" applyAlignment="1">
      <alignment horizontal="left" vertical="center"/>
    </xf>
    <xf numFmtId="193" fontId="60" fillId="0" borderId="3" xfId="55" applyFont="1" applyBorder="1" applyAlignment="1">
      <alignment horizontal="center" vertical="center" wrapText="1"/>
    </xf>
    <xf numFmtId="193" fontId="63" fillId="0" borderId="3" xfId="55" applyFont="1" applyBorder="1" applyAlignment="1">
      <alignment horizontal="center" vertical="center" wrapText="1"/>
    </xf>
    <xf numFmtId="193" fontId="63" fillId="0" borderId="3" xfId="55" applyFont="1" applyFill="1" applyBorder="1" applyAlignment="1">
      <alignment horizontal="center" vertical="center" wrapText="1"/>
    </xf>
    <xf numFmtId="193" fontId="60" fillId="0" borderId="3" xfId="55" applyFont="1" applyFill="1" applyBorder="1" applyAlignment="1">
      <alignment horizontal="center" vertical="center" wrapText="1"/>
    </xf>
    <xf numFmtId="0" fontId="22" fillId="0" borderId="0" xfId="34" applyFont="1" applyAlignment="1">
      <alignment vertical="center"/>
    </xf>
    <xf numFmtId="0" fontId="31" fillId="5" borderId="3" xfId="0" applyFont="1" applyFill="1" applyBorder="1" applyAlignment="1">
      <alignment horizontal="center" vertical="center"/>
      <protection locked="0"/>
    </xf>
    <xf numFmtId="0" fontId="42" fillId="0" borderId="2" xfId="0" applyFont="1" applyBorder="1" applyAlignment="1" applyProtection="1">
      <alignment horizontal="center" vertical="center"/>
    </xf>
    <xf numFmtId="0" fontId="32" fillId="0" borderId="0" xfId="0" applyFont="1" applyAlignment="1">
      <alignment horizontal="center"/>
      <protection locked="0"/>
    </xf>
    <xf numFmtId="0" fontId="19" fillId="0" borderId="0" xfId="0" applyFont="1">
      <protection locked="0"/>
    </xf>
    <xf numFmtId="0" fontId="25" fillId="0" borderId="2" xfId="36" applyFont="1" applyBorder="1" applyAlignment="1" applyProtection="1">
      <alignment vertical="center"/>
    </xf>
    <xf numFmtId="193" fontId="34" fillId="0" borderId="0" xfId="48" applyFont="1" applyAlignment="1" applyProtection="1">
      <alignment horizontal="right" vertical="center"/>
      <protection locked="0"/>
    </xf>
    <xf numFmtId="193" fontId="36" fillId="0" borderId="0" xfId="36" applyNumberFormat="1" applyFont="1" applyAlignment="1" applyProtection="1">
      <alignment vertical="center" wrapText="1"/>
      <protection locked="0"/>
    </xf>
    <xf numFmtId="193" fontId="34" fillId="0" borderId="3" xfId="48" applyFont="1" applyBorder="1" applyAlignment="1">
      <alignment horizontal="center" vertical="center" wrapText="1"/>
    </xf>
    <xf numFmtId="193" fontId="19" fillId="0" borderId="3" xfId="48" applyFont="1" applyBorder="1" applyAlignment="1">
      <alignment vertical="center" wrapText="1"/>
    </xf>
    <xf numFmtId="193" fontId="34" fillId="0" borderId="3" xfId="48" applyFont="1" applyBorder="1" applyAlignment="1">
      <alignment vertical="center" wrapText="1"/>
    </xf>
    <xf numFmtId="0" fontId="22" fillId="5" borderId="3" xfId="43" applyFont="1" applyFill="1" applyBorder="1" applyAlignment="1">
      <alignment horizontal="center" vertical="center"/>
      <protection locked="0"/>
    </xf>
    <xf numFmtId="0" fontId="22" fillId="5" borderId="3" xfId="43" applyFont="1" applyFill="1" applyBorder="1" applyAlignment="1">
      <alignment horizontal="center" vertical="center" wrapText="1"/>
      <protection locked="0"/>
    </xf>
    <xf numFmtId="0" fontId="31" fillId="5" borderId="3" xfId="51" applyFont="1" applyFill="1" applyBorder="1" applyAlignment="1" applyProtection="1">
      <alignment vertical="center"/>
    </xf>
    <xf numFmtId="0" fontId="31" fillId="5" borderId="3" xfId="51" applyFont="1" applyFill="1" applyBorder="1" applyAlignment="1" applyProtection="1">
      <alignment vertical="center" wrapText="1"/>
    </xf>
    <xf numFmtId="0" fontId="31" fillId="5" borderId="3" xfId="51" applyFont="1" applyFill="1" applyBorder="1" applyAlignment="1" applyProtection="1">
      <alignment horizontal="center" vertical="center"/>
    </xf>
    <xf numFmtId="193" fontId="56" fillId="0" borderId="3" xfId="56" applyFont="1" applyBorder="1" applyAlignment="1">
      <alignment horizontal="center" vertical="center" wrapText="1"/>
    </xf>
    <xf numFmtId="193" fontId="31" fillId="5" borderId="3" xfId="55" applyFont="1" applyFill="1" applyBorder="1" applyAlignment="1" applyProtection="1">
      <alignment horizontal="center" vertical="center"/>
      <protection locked="0"/>
    </xf>
    <xf numFmtId="0" fontId="19" fillId="4" borderId="0" xfId="0" applyFont="1" applyFill="1" applyAlignment="1">
      <alignment horizontal="justify" vertical="center" wrapText="1"/>
      <protection locked="0"/>
    </xf>
    <xf numFmtId="193" fontId="58" fillId="6" borderId="0" xfId="48" applyFont="1" applyFill="1" applyBorder="1" applyAlignment="1" applyProtection="1">
      <alignment horizontal="centerContinuous" vertical="center"/>
      <protection locked="0"/>
    </xf>
    <xf numFmtId="193" fontId="48" fillId="6" borderId="0" xfId="48" applyFont="1" applyFill="1" applyBorder="1" applyAlignment="1">
      <alignment horizontal="centerContinuous" vertical="center"/>
    </xf>
    <xf numFmtId="0" fontId="34" fillId="0" borderId="3" xfId="48" applyNumberFormat="1" applyFont="1" applyBorder="1" applyAlignment="1" applyProtection="1">
      <alignment horizontal="center" vertical="center"/>
      <protection locked="0"/>
    </xf>
    <xf numFmtId="193" fontId="34" fillId="0" borderId="3" xfId="56" applyFont="1" applyBorder="1" applyAlignment="1">
      <alignment horizontal="center" vertical="center" wrapText="1"/>
    </xf>
    <xf numFmtId="0" fontId="34" fillId="4" borderId="0" xfId="0" applyFont="1" applyFill="1" applyBorder="1" applyAlignment="1">
      <alignment horizontal="justify" vertical="center" wrapText="1"/>
      <protection locked="0"/>
    </xf>
    <xf numFmtId="0" fontId="49" fillId="0" borderId="0" xfId="0" applyFont="1" applyAlignment="1">
      <alignment horizontal="center" vertical="center"/>
      <protection locked="0"/>
    </xf>
    <xf numFmtId="193" fontId="68" fillId="0" borderId="0" xfId="58" applyFont="1" applyFill="1" applyAlignment="1">
      <alignment horizontal="left" vertical="center"/>
    </xf>
    <xf numFmtId="0" fontId="33" fillId="0" borderId="0" xfId="0" applyFont="1" applyAlignment="1">
      <alignment horizontal="left" vertical="center" wrapText="1"/>
      <protection locked="0"/>
    </xf>
    <xf numFmtId="0" fontId="32" fillId="0" borderId="0" xfId="0" applyFont="1" applyAlignment="1">
      <alignment horizontal="left" vertical="center" wrapText="1"/>
      <protection locked="0"/>
    </xf>
    <xf numFmtId="193" fontId="20" fillId="0" borderId="0" xfId="47" applyFont="1" applyAlignment="1">
      <alignment horizontal="center" vertical="center"/>
    </xf>
    <xf numFmtId="193" fontId="49" fillId="0" borderId="0" xfId="47" applyFont="1" applyAlignment="1">
      <alignment horizontal="center" vertical="center"/>
    </xf>
    <xf numFmtId="193" fontId="31" fillId="0" borderId="0" xfId="48" applyFont="1" applyAlignment="1" applyProtection="1">
      <alignment horizontal="left" vertical="center"/>
      <protection locked="0"/>
    </xf>
    <xf numFmtId="193" fontId="31" fillId="5" borderId="3" xfId="55" applyFont="1" applyFill="1" applyBorder="1" applyAlignment="1" applyProtection="1">
      <alignment horizontal="center" vertical="center"/>
      <protection locked="0"/>
    </xf>
    <xf numFmtId="193" fontId="19" fillId="0" borderId="3" xfId="55" applyFont="1" applyBorder="1" applyAlignment="1" applyProtection="1">
      <alignment horizontal="center" vertical="center" wrapText="1"/>
      <protection locked="0"/>
    </xf>
    <xf numFmtId="193" fontId="31" fillId="5" borderId="3" xfId="55" applyFont="1" applyFill="1" applyBorder="1" applyAlignment="1" applyProtection="1">
      <alignment horizontal="center" vertical="center" wrapText="1"/>
      <protection locked="0"/>
    </xf>
    <xf numFmtId="193" fontId="34" fillId="0" borderId="3" xfId="55" applyFont="1" applyBorder="1" applyAlignment="1" applyProtection="1">
      <alignment horizontal="left" vertical="center" wrapText="1"/>
      <protection locked="0"/>
    </xf>
    <xf numFmtId="193" fontId="31" fillId="5" borderId="3" xfId="48" applyFont="1" applyFill="1" applyBorder="1" applyAlignment="1" applyProtection="1">
      <alignment horizontal="center" vertical="center" wrapText="1"/>
      <protection locked="0"/>
    </xf>
    <xf numFmtId="49" fontId="31" fillId="5" borderId="3" xfId="48" applyNumberFormat="1" applyFont="1" applyFill="1" applyBorder="1" applyAlignment="1" applyProtection="1">
      <alignment horizontal="center" vertical="center"/>
      <protection locked="0"/>
    </xf>
    <xf numFmtId="193" fontId="22" fillId="5" borderId="3" xfId="55" applyFont="1" applyFill="1" applyBorder="1" applyAlignment="1" applyProtection="1">
      <alignment horizontal="center" vertical="center" wrapText="1"/>
      <protection locked="0"/>
    </xf>
    <xf numFmtId="193" fontId="33" fillId="0" borderId="0" xfId="47" applyFont="1" applyAlignment="1">
      <alignment horizontal="center" vertical="center"/>
    </xf>
    <xf numFmtId="193" fontId="50" fillId="0" borderId="0" xfId="47" applyFont="1" applyAlignment="1">
      <alignment horizontal="center" vertical="center"/>
    </xf>
    <xf numFmtId="193" fontId="51" fillId="0" borderId="0" xfId="48" applyFont="1" applyAlignment="1" applyProtection="1">
      <alignment horizontal="left" vertical="center"/>
      <protection locked="0"/>
    </xf>
    <xf numFmtId="193" fontId="51" fillId="0" borderId="3" xfId="48" applyFont="1" applyBorder="1" applyAlignment="1" applyProtection="1">
      <alignment horizontal="left" vertical="center" wrapText="1"/>
      <protection locked="0"/>
    </xf>
    <xf numFmtId="193" fontId="51" fillId="0" borderId="7" xfId="48" applyFont="1" applyBorder="1" applyAlignment="1" applyProtection="1">
      <alignment horizontal="center" vertical="center"/>
      <protection locked="0"/>
    </xf>
    <xf numFmtId="193" fontId="51" fillId="0" borderId="8" xfId="48" applyFont="1" applyBorder="1" applyAlignment="1" applyProtection="1">
      <alignment horizontal="center" vertical="center"/>
      <protection locked="0"/>
    </xf>
    <xf numFmtId="193" fontId="51" fillId="0" borderId="9" xfId="48" applyFont="1" applyBorder="1" applyAlignment="1" applyProtection="1">
      <alignment horizontal="center" vertical="center"/>
      <protection locked="0"/>
    </xf>
    <xf numFmtId="193" fontId="31" fillId="0" borderId="12" xfId="48" applyFont="1" applyBorder="1" applyAlignment="1" applyProtection="1">
      <alignment horizontal="center" vertical="center" wrapText="1"/>
      <protection locked="0"/>
    </xf>
    <xf numFmtId="193" fontId="31" fillId="0" borderId="13" xfId="48" applyFont="1" applyBorder="1" applyAlignment="1" applyProtection="1">
      <alignment horizontal="center" vertical="center" wrapText="1"/>
      <protection locked="0"/>
    </xf>
    <xf numFmtId="193" fontId="31" fillId="5" borderId="3" xfId="48" applyFont="1" applyFill="1" applyBorder="1" applyAlignment="1">
      <alignment vertical="center" wrapText="1"/>
    </xf>
    <xf numFmtId="193" fontId="59" fillId="5" borderId="3" xfId="48" applyFont="1" applyFill="1" applyBorder="1" applyAlignment="1">
      <alignment vertical="center" wrapText="1"/>
    </xf>
    <xf numFmtId="193" fontId="34" fillId="5" borderId="3" xfId="48" applyFont="1" applyFill="1" applyBorder="1" applyAlignment="1">
      <alignment horizontal="left" vertical="center" wrapText="1"/>
    </xf>
    <xf numFmtId="193" fontId="47" fillId="5" borderId="3" xfId="48" applyFont="1" applyFill="1" applyBorder="1" applyAlignment="1">
      <alignment horizontal="left" vertical="center" wrapText="1"/>
    </xf>
    <xf numFmtId="193" fontId="56" fillId="5" borderId="7" xfId="48" applyFont="1" applyFill="1" applyBorder="1" applyAlignment="1">
      <alignment horizontal="center" vertical="center" wrapText="1"/>
    </xf>
    <xf numFmtId="193" fontId="56" fillId="5" borderId="9" xfId="48" applyFont="1" applyFill="1" applyBorder="1" applyAlignment="1">
      <alignment horizontal="center" vertical="center" wrapText="1"/>
    </xf>
    <xf numFmtId="193" fontId="22" fillId="5" borderId="3" xfId="48" applyFont="1" applyFill="1" applyBorder="1" applyAlignment="1">
      <alignment vertical="center" wrapText="1"/>
    </xf>
    <xf numFmtId="193" fontId="34" fillId="5" borderId="3" xfId="48" applyFont="1" applyFill="1" applyBorder="1" applyAlignment="1">
      <alignment horizontal="center" vertical="center" wrapText="1"/>
    </xf>
    <xf numFmtId="193" fontId="54" fillId="0" borderId="3" xfId="48" applyFont="1" applyBorder="1" applyAlignment="1" applyProtection="1">
      <alignment horizontal="left" vertical="center" wrapText="1"/>
      <protection locked="0"/>
    </xf>
    <xf numFmtId="193" fontId="54" fillId="0" borderId="7" xfId="48" applyFont="1" applyBorder="1" applyAlignment="1" applyProtection="1">
      <alignment horizontal="left" vertical="center" wrapText="1"/>
      <protection locked="0"/>
    </xf>
    <xf numFmtId="193" fontId="54" fillId="0" borderId="9" xfId="48" applyFont="1" applyBorder="1" applyAlignment="1" applyProtection="1">
      <alignment horizontal="left" vertical="center" wrapText="1"/>
      <protection locked="0"/>
    </xf>
    <xf numFmtId="193" fontId="22" fillId="5" borderId="3" xfId="48" applyFont="1" applyFill="1" applyBorder="1" applyAlignment="1" applyProtection="1">
      <alignment horizontal="center" vertical="center" wrapText="1"/>
      <protection locked="0"/>
    </xf>
    <xf numFmtId="193" fontId="31" fillId="5" borderId="3" xfId="48" applyFont="1" applyFill="1" applyBorder="1" applyAlignment="1" applyProtection="1">
      <alignment horizontal="center" vertical="center"/>
      <protection locked="0"/>
    </xf>
    <xf numFmtId="193" fontId="34" fillId="0" borderId="3" xfId="48" applyFont="1" applyBorder="1" applyAlignment="1">
      <alignment vertical="center" wrapText="1"/>
    </xf>
    <xf numFmtId="193" fontId="47" fillId="0" borderId="3" xfId="48" applyFont="1" applyBorder="1" applyAlignment="1">
      <alignment vertical="center" wrapText="1"/>
    </xf>
    <xf numFmtId="0" fontId="62" fillId="0" borderId="7" xfId="48" applyNumberFormat="1" applyFont="1" applyBorder="1" applyAlignment="1">
      <alignment horizontal="center" vertical="center" wrapText="1"/>
    </xf>
    <xf numFmtId="0" fontId="62" fillId="0" borderId="8" xfId="48" applyNumberFormat="1" applyFont="1" applyBorder="1" applyAlignment="1">
      <alignment horizontal="center" vertical="center" wrapText="1"/>
    </xf>
    <xf numFmtId="0" fontId="62" fillId="0" borderId="9" xfId="48" applyNumberFormat="1" applyFont="1" applyBorder="1" applyAlignment="1">
      <alignment horizontal="center" vertical="center" wrapText="1"/>
    </xf>
    <xf numFmtId="193" fontId="48" fillId="0" borderId="7" xfId="48" applyFont="1" applyBorder="1" applyAlignment="1">
      <alignment horizontal="center" vertical="center"/>
    </xf>
    <xf numFmtId="193" fontId="48" fillId="0" borderId="9" xfId="48" applyFont="1" applyBorder="1" applyAlignment="1">
      <alignment horizontal="center" vertical="center"/>
    </xf>
    <xf numFmtId="193" fontId="31" fillId="0" borderId="3" xfId="48" applyFont="1" applyBorder="1" applyAlignment="1">
      <alignment vertical="center" wrapText="1"/>
    </xf>
    <xf numFmtId="193" fontId="59" fillId="0" borderId="3" xfId="48" applyFont="1" applyBorder="1" applyAlignment="1">
      <alignment vertical="center" wrapText="1"/>
    </xf>
    <xf numFmtId="193" fontId="34" fillId="0" borderId="3" xfId="48" applyFont="1" applyBorder="1" applyAlignment="1">
      <alignment horizontal="center" vertical="center" wrapText="1"/>
    </xf>
    <xf numFmtId="193" fontId="60" fillId="5" borderId="7" xfId="48" applyFont="1" applyFill="1" applyBorder="1" applyAlignment="1">
      <alignment vertical="center" wrapText="1"/>
    </xf>
    <xf numFmtId="193" fontId="47" fillId="5" borderId="9" xfId="48" applyFont="1" applyFill="1" applyBorder="1" applyAlignment="1">
      <alignment vertical="center" wrapText="1"/>
    </xf>
    <xf numFmtId="193" fontId="47" fillId="5" borderId="7" xfId="48" applyFont="1" applyFill="1" applyBorder="1" applyAlignment="1">
      <alignment horizontal="center" vertical="center" wrapText="1"/>
    </xf>
    <xf numFmtId="193" fontId="47" fillId="5" borderId="8" xfId="48" applyFont="1" applyFill="1" applyBorder="1" applyAlignment="1">
      <alignment horizontal="center" vertical="center" wrapText="1"/>
    </xf>
    <xf numFmtId="193" fontId="47" fillId="5" borderId="9" xfId="48" applyFont="1" applyFill="1" applyBorder="1" applyAlignment="1">
      <alignment horizontal="center" vertical="center" wrapText="1"/>
    </xf>
    <xf numFmtId="193" fontId="60" fillId="0" borderId="7" xfId="48" applyFont="1" applyBorder="1" applyAlignment="1">
      <alignment vertical="center" wrapText="1"/>
    </xf>
    <xf numFmtId="193" fontId="47" fillId="0" borderId="9" xfId="48" applyFont="1" applyBorder="1" applyAlignment="1">
      <alignment vertical="center" wrapText="1"/>
    </xf>
    <xf numFmtId="193" fontId="19" fillId="0" borderId="3" xfId="48" applyFont="1" applyBorder="1" applyAlignment="1">
      <alignment vertical="center" wrapText="1"/>
    </xf>
    <xf numFmtId="193" fontId="22" fillId="0" borderId="3" xfId="48" applyFont="1" applyBorder="1" applyAlignment="1">
      <alignment vertical="center" wrapText="1"/>
    </xf>
    <xf numFmtId="193" fontId="60" fillId="0" borderId="3" xfId="48" applyFont="1" applyBorder="1" applyAlignment="1">
      <alignment vertical="center" wrapText="1"/>
    </xf>
    <xf numFmtId="193" fontId="19" fillId="5" borderId="3" xfId="48" applyFont="1" applyFill="1" applyBorder="1" applyAlignment="1">
      <alignment vertical="center" wrapText="1"/>
    </xf>
    <xf numFmtId="193" fontId="47" fillId="5" borderId="3" xfId="48" applyFont="1" applyFill="1" applyBorder="1" applyAlignment="1">
      <alignment vertical="center" wrapText="1"/>
    </xf>
    <xf numFmtId="0" fontId="62" fillId="0" borderId="3" xfId="48" applyNumberFormat="1" applyFont="1" applyBorder="1" applyAlignment="1">
      <alignment horizontal="left" vertical="center" wrapText="1"/>
    </xf>
    <xf numFmtId="0" fontId="62" fillId="5" borderId="3" xfId="48" applyNumberFormat="1" applyFont="1" applyFill="1" applyBorder="1" applyAlignment="1">
      <alignment horizontal="left" vertical="center" wrapText="1"/>
    </xf>
    <xf numFmtId="0" fontId="62" fillId="5" borderId="3" xfId="48" applyNumberFormat="1" applyFont="1" applyFill="1" applyBorder="1" applyAlignment="1">
      <alignment horizontal="center" vertical="center" wrapText="1"/>
    </xf>
    <xf numFmtId="0" fontId="65" fillId="0" borderId="3" xfId="48" applyNumberFormat="1" applyFont="1" applyBorder="1" applyAlignment="1">
      <alignment horizontal="left" vertical="center" wrapText="1"/>
    </xf>
    <xf numFmtId="0" fontId="62" fillId="0" borderId="3" xfId="48" applyNumberFormat="1" applyFont="1" applyBorder="1" applyAlignment="1">
      <alignment horizontal="center" vertical="center" wrapText="1"/>
    </xf>
    <xf numFmtId="193" fontId="60" fillId="0" borderId="3" xfId="48" applyFont="1" applyBorder="1" applyAlignment="1">
      <alignment horizontal="left" vertical="center" wrapText="1"/>
    </xf>
    <xf numFmtId="193" fontId="47" fillId="0" borderId="3" xfId="48" applyFont="1" applyBorder="1" applyAlignment="1">
      <alignment horizontal="left" vertical="center" wrapText="1"/>
    </xf>
    <xf numFmtId="193" fontId="56" fillId="0" borderId="7" xfId="48" applyFont="1" applyBorder="1" applyAlignment="1">
      <alignment horizontal="center" vertical="center" wrapText="1"/>
    </xf>
    <xf numFmtId="193" fontId="56" fillId="0" borderId="9" xfId="48" applyFont="1" applyBorder="1" applyAlignment="1">
      <alignment horizontal="center" vertical="center" wrapText="1"/>
    </xf>
    <xf numFmtId="193" fontId="56" fillId="5" borderId="7" xfId="48" applyFont="1" applyFill="1" applyBorder="1" applyAlignment="1">
      <alignment horizontal="left" vertical="center" wrapText="1"/>
    </xf>
    <xf numFmtId="193" fontId="56" fillId="5" borderId="9" xfId="48" applyFont="1" applyFill="1" applyBorder="1" applyAlignment="1">
      <alignment horizontal="left" vertical="center" wrapText="1"/>
    </xf>
    <xf numFmtId="0" fontId="60" fillId="0" borderId="3" xfId="48" applyNumberFormat="1" applyFont="1" applyBorder="1" applyAlignment="1">
      <alignment horizontal="left" vertical="center" wrapText="1"/>
    </xf>
    <xf numFmtId="193" fontId="56" fillId="0" borderId="7" xfId="48" applyFont="1" applyBorder="1" applyAlignment="1">
      <alignment horizontal="left" vertical="center" wrapText="1"/>
    </xf>
    <xf numFmtId="193" fontId="56" fillId="0" borderId="9" xfId="48" applyFont="1" applyBorder="1" applyAlignment="1">
      <alignment horizontal="left" vertical="center" wrapText="1"/>
    </xf>
    <xf numFmtId="193" fontId="19" fillId="0" borderId="5" xfId="48" applyFont="1" applyBorder="1" applyAlignment="1">
      <alignment horizontal="left" vertical="center" wrapText="1"/>
    </xf>
    <xf numFmtId="193" fontId="19" fillId="0" borderId="0" xfId="48" applyFont="1" applyBorder="1" applyAlignment="1">
      <alignment horizontal="left" vertical="center" wrapText="1"/>
    </xf>
    <xf numFmtId="193" fontId="34" fillId="0" borderId="5" xfId="56" applyFont="1" applyBorder="1" applyAlignment="1">
      <alignment horizontal="left" vertical="center" wrapText="1"/>
    </xf>
    <xf numFmtId="193" fontId="34" fillId="0" borderId="0" xfId="56" applyFont="1" applyBorder="1" applyAlignment="1">
      <alignment horizontal="left" vertical="center" wrapText="1"/>
    </xf>
    <xf numFmtId="193" fontId="19" fillId="0" borderId="5" xfId="48" applyFont="1" applyBorder="1" applyAlignment="1">
      <alignment horizontal="center" vertical="center" wrapText="1"/>
    </xf>
    <xf numFmtId="193" fontId="19" fillId="0" borderId="0" xfId="48" applyFont="1" applyBorder="1" applyAlignment="1">
      <alignment horizontal="center" vertical="center" wrapText="1"/>
    </xf>
    <xf numFmtId="193" fontId="59" fillId="5" borderId="7" xfId="48" applyFont="1" applyFill="1" applyBorder="1" applyAlignment="1">
      <alignment vertical="center" wrapText="1"/>
    </xf>
    <xf numFmtId="193" fontId="59" fillId="5" borderId="9" xfId="48" applyFont="1" applyFill="1" applyBorder="1" applyAlignment="1">
      <alignment vertical="center" wrapText="1"/>
    </xf>
    <xf numFmtId="193" fontId="48" fillId="5" borderId="7" xfId="48" applyFont="1" applyFill="1" applyBorder="1" applyAlignment="1">
      <alignment horizontal="center" vertical="center"/>
    </xf>
    <xf numFmtId="193" fontId="48" fillId="5" borderId="9" xfId="48" applyFont="1" applyFill="1" applyBorder="1" applyAlignment="1">
      <alignment horizontal="center" vertical="center"/>
    </xf>
    <xf numFmtId="0" fontId="65" fillId="5" borderId="3" xfId="48" applyNumberFormat="1" applyFont="1" applyFill="1" applyBorder="1" applyAlignment="1">
      <alignment horizontal="left" vertical="center" wrapText="1"/>
    </xf>
    <xf numFmtId="10" fontId="35" fillId="0" borderId="0" xfId="31" applyNumberFormat="1" applyFont="1" applyBorder="1" applyAlignment="1">
      <alignment horizontal="left" vertical="center"/>
    </xf>
    <xf numFmtId="193" fontId="31" fillId="5" borderId="3" xfId="45" applyFont="1" applyFill="1" applyBorder="1" applyAlignment="1" applyProtection="1">
      <alignment horizontal="center" vertical="center" wrapText="1"/>
      <protection locked="0"/>
    </xf>
    <xf numFmtId="193" fontId="31" fillId="5" borderId="7" xfId="45" applyFont="1" applyFill="1" applyBorder="1" applyAlignment="1" applyProtection="1">
      <alignment horizontal="center" vertical="center" wrapText="1"/>
      <protection locked="0"/>
    </xf>
    <xf numFmtId="193" fontId="31" fillId="5" borderId="8" xfId="45" applyFont="1" applyFill="1" applyBorder="1" applyAlignment="1" applyProtection="1">
      <alignment horizontal="center" vertical="center" wrapText="1"/>
      <protection locked="0"/>
    </xf>
    <xf numFmtId="193" fontId="31" fillId="5" borderId="9" xfId="45" applyFont="1" applyFill="1" applyBorder="1" applyAlignment="1" applyProtection="1">
      <alignment horizontal="center" vertical="center" wrapText="1"/>
      <protection locked="0"/>
    </xf>
    <xf numFmtId="193" fontId="31" fillId="8" borderId="7" xfId="45" applyFont="1" applyFill="1" applyBorder="1" applyAlignment="1" applyProtection="1">
      <alignment horizontal="center" vertical="center" wrapText="1"/>
      <protection locked="0"/>
    </xf>
    <xf numFmtId="193" fontId="31" fillId="8" borderId="8" xfId="45" applyFont="1" applyFill="1" applyBorder="1" applyAlignment="1" applyProtection="1">
      <alignment horizontal="center" vertical="center" wrapText="1"/>
      <protection locked="0"/>
    </xf>
    <xf numFmtId="193" fontId="31" fillId="8" borderId="9" xfId="45" applyFont="1" applyFill="1" applyBorder="1" applyAlignment="1" applyProtection="1">
      <alignment horizontal="center" vertical="center" wrapText="1"/>
      <protection locked="0"/>
    </xf>
    <xf numFmtId="193" fontId="37" fillId="5" borderId="3" xfId="46" applyFont="1" applyFill="1" applyBorder="1" applyAlignment="1" applyProtection="1">
      <alignment horizontal="center" vertical="center" wrapText="1"/>
      <protection locked="0"/>
    </xf>
    <xf numFmtId="193" fontId="31" fillId="5" borderId="3" xfId="46" applyFont="1" applyFill="1" applyBorder="1" applyAlignment="1" applyProtection="1">
      <alignment horizontal="center" vertical="center" wrapText="1"/>
      <protection locked="0"/>
    </xf>
    <xf numFmtId="193" fontId="31" fillId="5" borderId="6" xfId="45" applyFont="1" applyFill="1" applyBorder="1" applyAlignment="1" applyProtection="1">
      <alignment horizontal="center" vertical="center" wrapText="1"/>
      <protection locked="0"/>
    </xf>
    <xf numFmtId="193" fontId="31" fillId="5" borderId="4" xfId="45" applyFont="1" applyFill="1" applyBorder="1" applyAlignment="1" applyProtection="1">
      <alignment horizontal="center" vertical="center" wrapText="1"/>
      <protection locked="0"/>
    </xf>
    <xf numFmtId="0" fontId="20" fillId="0" borderId="0" xfId="32" applyFont="1" applyAlignment="1">
      <alignment horizontal="center" vertical="center"/>
    </xf>
    <xf numFmtId="0" fontId="31" fillId="5" borderId="12" xfId="0" applyFont="1" applyFill="1" applyBorder="1" applyAlignment="1">
      <alignment horizontal="center" vertical="center" wrapText="1"/>
      <protection locked="0"/>
    </xf>
    <xf numFmtId="0" fontId="31" fillId="5" borderId="13" xfId="0" applyFont="1" applyFill="1" applyBorder="1" applyAlignment="1">
      <alignment horizontal="center" vertical="center" wrapText="1"/>
      <protection locked="0"/>
    </xf>
    <xf numFmtId="0" fontId="31" fillId="5" borderId="7" xfId="0" applyFont="1" applyFill="1" applyBorder="1" applyAlignment="1">
      <alignment horizontal="center" vertical="center" wrapText="1"/>
      <protection locked="0"/>
    </xf>
    <xf numFmtId="0" fontId="31" fillId="5" borderId="8" xfId="0" applyFont="1" applyFill="1" applyBorder="1" applyAlignment="1">
      <alignment horizontal="center" vertical="center" wrapText="1"/>
      <protection locked="0"/>
    </xf>
    <xf numFmtId="0" fontId="31" fillId="5" borderId="9" xfId="0" applyFont="1" applyFill="1" applyBorder="1" applyAlignment="1">
      <alignment horizontal="center" vertical="center" wrapText="1"/>
      <protection locked="0"/>
    </xf>
    <xf numFmtId="0" fontId="31" fillId="9" borderId="3" xfId="43" applyFont="1" applyFill="1" applyBorder="1" applyAlignment="1" applyProtection="1">
      <alignment horizontal="center" vertical="center" wrapText="1"/>
    </xf>
    <xf numFmtId="0" fontId="20" fillId="0" borderId="0" xfId="0" applyFont="1" applyAlignment="1">
      <alignment horizontal="center" vertical="center"/>
      <protection locked="0"/>
    </xf>
    <xf numFmtId="0" fontId="49" fillId="0" borderId="0" xfId="0" applyFont="1" applyFill="1" applyAlignment="1">
      <alignment horizontal="center" vertical="center"/>
      <protection locked="0"/>
    </xf>
    <xf numFmtId="0" fontId="31" fillId="5" borderId="12" xfId="51" applyFont="1" applyFill="1" applyBorder="1" applyAlignment="1">
      <alignment horizontal="center" vertical="center"/>
      <protection locked="0"/>
    </xf>
    <xf numFmtId="0" fontId="31" fillId="5" borderId="13" xfId="51" applyFont="1" applyFill="1" applyBorder="1" applyAlignment="1">
      <alignment horizontal="center" vertical="center"/>
      <protection locked="0"/>
    </xf>
    <xf numFmtId="0" fontId="22" fillId="5" borderId="3" xfId="43" applyFont="1" applyFill="1" applyBorder="1" applyAlignment="1">
      <alignment horizontal="center" vertical="center"/>
      <protection locked="0"/>
    </xf>
    <xf numFmtId="0" fontId="22" fillId="5" borderId="3" xfId="51" applyFont="1" applyFill="1" applyBorder="1" applyAlignment="1">
      <alignment horizontal="center" vertical="center" wrapText="1"/>
      <protection locked="0"/>
    </xf>
    <xf numFmtId="0" fontId="31" fillId="5" borderId="3" xfId="51" applyFont="1" applyFill="1" applyBorder="1" applyAlignment="1">
      <alignment horizontal="center" vertical="center" wrapText="1"/>
      <protection locked="0"/>
    </xf>
    <xf numFmtId="0" fontId="31" fillId="5" borderId="7" xfId="0" applyFont="1" applyFill="1" applyBorder="1" applyAlignment="1">
      <alignment horizontal="center" vertical="center"/>
      <protection locked="0"/>
    </xf>
    <xf numFmtId="0" fontId="31" fillId="5" borderId="8" xfId="0" applyFont="1" applyFill="1" applyBorder="1" applyAlignment="1">
      <alignment horizontal="center" vertical="center"/>
      <protection locked="0"/>
    </xf>
    <xf numFmtId="0" fontId="22" fillId="9" borderId="12" xfId="43" applyFont="1" applyFill="1" applyBorder="1" applyAlignment="1" applyProtection="1">
      <alignment horizontal="center" vertical="center" wrapText="1"/>
    </xf>
    <xf numFmtId="0" fontId="22" fillId="9" borderId="13" xfId="43" applyFont="1" applyFill="1" applyBorder="1" applyAlignment="1" applyProtection="1">
      <alignment horizontal="center" vertical="center" wrapText="1"/>
    </xf>
    <xf numFmtId="43" fontId="20" fillId="0" borderId="0" xfId="35" applyNumberFormat="1" applyFont="1" applyBorder="1" applyAlignment="1">
      <alignment horizontal="center" vertical="center"/>
    </xf>
    <xf numFmtId="43" fontId="49" fillId="0" borderId="0" xfId="35" applyNumberFormat="1" applyFont="1" applyBorder="1" applyAlignment="1">
      <alignment horizontal="center" vertical="center"/>
    </xf>
    <xf numFmtId="0" fontId="49" fillId="0" borderId="0" xfId="32" applyFont="1" applyFill="1" applyAlignment="1">
      <alignment horizontal="center" vertical="center"/>
    </xf>
  </cellXfs>
  <cellStyles count="59">
    <cellStyle name="@_text" xfId="1"/>
    <cellStyle name="{Comma [0]}" xfId="2"/>
    <cellStyle name="{Comma}" xfId="3"/>
    <cellStyle name="{Date}" xfId="4"/>
    <cellStyle name="{Month}" xfId="5"/>
    <cellStyle name="{Percent}" xfId="6"/>
    <cellStyle name="{Thousand [0]}" xfId="7"/>
    <cellStyle name="{Thousand}" xfId="8"/>
    <cellStyle name="{Z'0000(1 dec)}" xfId="9"/>
    <cellStyle name="{Z'0000(4 dec)}" xfId="10"/>
    <cellStyle name="Black" xfId="11"/>
    <cellStyle name="Border" xfId="12"/>
    <cellStyle name="Comma [0]_1995" xfId="13"/>
    <cellStyle name="Comma_1995" xfId="14"/>
    <cellStyle name="Currency [0]_1995" xfId="15"/>
    <cellStyle name="Currency_1995" xfId="16"/>
    <cellStyle name="Dezimal [0]_laroux" xfId="17"/>
    <cellStyle name="Dezimal_laroux" xfId="18"/>
    <cellStyle name="Euro" xfId="19"/>
    <cellStyle name="Followed Hyperlink_AheadBehind.xls Chart 23" xfId="20"/>
    <cellStyle name="Grey" xfId="21"/>
    <cellStyle name="Hyperlink_AheadBehind.xls Chart 23" xfId="22"/>
    <cellStyle name="Input [yellow]" xfId="23"/>
    <cellStyle name="Milliers [0]_laroux" xfId="24"/>
    <cellStyle name="Milliers_laroux" xfId="25"/>
    <cellStyle name="Non défini" xfId="26"/>
    <cellStyle name="Normal - Style1" xfId="27"/>
    <cellStyle name="Normal_22-Jun EUS Forecasts" xfId="28"/>
    <cellStyle name="Percent [2]" xfId="29"/>
    <cellStyle name="Red" xfId="30"/>
    <cellStyle name="百分比" xfId="31" builtinId="5"/>
    <cellStyle name="百分比 2 2" xfId="54"/>
    <cellStyle name="常规" xfId="0" builtinId="0"/>
    <cellStyle name="常规 11 5" xfId="58"/>
    <cellStyle name="常规 2" xfId="43"/>
    <cellStyle name="常规 2 2" xfId="51"/>
    <cellStyle name="常规 3" xfId="46"/>
    <cellStyle name="常规 3 2" xfId="49"/>
    <cellStyle name="常规 4" xfId="45"/>
    <cellStyle name="常规 4 2" xfId="52"/>
    <cellStyle name="常规 5" xfId="48"/>
    <cellStyle name="常规 6" xfId="56"/>
    <cellStyle name="常规 7" xfId="55"/>
    <cellStyle name="常规 7 2" xfId="57"/>
    <cellStyle name="常规_Book1" xfId="32"/>
    <cellStyle name="常规_Book1 2" xfId="47"/>
    <cellStyle name="常规_c-资产类" xfId="33"/>
    <cellStyle name="常规_进一步审计程序--销售与收款循环" xfId="34"/>
    <cellStyle name="常规_新审定表" xfId="35"/>
    <cellStyle name="常规_制造费用" xfId="44"/>
    <cellStyle name="超链接" xfId="36" builtinId="8"/>
    <cellStyle name="超链接 2" xfId="53"/>
    <cellStyle name="普通_ 外G9(3)" xfId="37"/>
    <cellStyle name="千分位[0]_宁波" xfId="38"/>
    <cellStyle name="千分位_宁波" xfId="39"/>
    <cellStyle name="千位[0]_laroux" xfId="40"/>
    <cellStyle name="千位_laroux" xfId="41"/>
    <cellStyle name="千位分隔" xfId="42" builtinId="3"/>
    <cellStyle name="千位分隔 2 4" xfId="50"/>
  </cellStyles>
  <dxfs count="0"/>
  <tableStyles count="0" defaultTableStyle="TableStyleMedium9" defaultPivotStyle="PivotStyleLight16"/>
  <colors>
    <mruColors>
      <color rgb="FFE4DFEC"/>
      <color rgb="FFFFFF99"/>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 val="PTC"/>
      <sheetName val="Stock turnove_x0002_"/>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Appendix"/>
      <sheetName val="3mon-1Year"/>
      <sheetName val="per mgt"/>
      <sheetName val="above5y"/>
      <sheetName val="1-3MON"/>
      <sheetName val="1year-5year"/>
      <sheetName val="个人借款明细"/>
      <sheetName val="POWER ASSUMPTIONS"/>
      <sheetName val="lookup"/>
      <sheetName val="Unit Information"/>
      <sheetName val="Company Information"/>
      <sheetName val="基础数据"/>
      <sheetName val="原材料余额表"/>
      <sheetName val="21710103"/>
      <sheetName val="2171010501"/>
      <sheetName val="2171010502"/>
      <sheetName val="217102"/>
      <sheetName val="cover"/>
      <sheetName val="Toolbox"/>
      <sheetName val="折旧测试2007"/>
      <sheetName val="剥离前"/>
      <sheetName val="Stock turnove_x005f_x0002_"/>
      <sheetName val="中山低值"/>
      <sheetName val="YS02-02"/>
      <sheetName val="主营业务税金及附加Dy"/>
      <sheetName val="应收账款Dy"/>
      <sheetName val="original"/>
      <sheetName val="C_301"/>
      <sheetName val="C_311"/>
      <sheetName val="C_318"/>
      <sheetName val="Sheet1"/>
      <sheetName val="目錄"/>
      <sheetName val="税金汇总"/>
      <sheetName val="1-6yue"/>
      <sheetName val="Worksheet in 8240 COS breakdown"/>
      <sheetName val="余额表"/>
      <sheetName val="09差异分摊计算表"/>
      <sheetName val="08差异分摊计算表"/>
      <sheetName val="材料差异"/>
      <sheetName val="收入明细－按客户"/>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XL4Poppy"/>
      <sheetName val="凤县折旧测算"/>
      <sheetName val="BALANCE SHEET"/>
      <sheetName val="FA-2"/>
      <sheetName val="7-11销售"/>
      <sheetName val="制造费用"/>
      <sheetName val="关联交易-存款"/>
      <sheetName val="报表科目"/>
      <sheetName val="应收账款贷方余额表"/>
      <sheetName val="应收账款借方余额表"/>
      <sheetName val="应收账款余额表"/>
      <sheetName val="试算"/>
      <sheetName val="附注汇总"/>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账面外销"/>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科目名称表"/>
      <sheetName val="表头信息"/>
      <sheetName val="国内CP2产品收入明细"/>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E"/>
      <sheetName val="IS"/>
      <sheetName val="Customize Your Loan Manager"/>
      <sheetName val="初始设定"/>
      <sheetName val="内销收人"/>
      <sheetName val="校验"/>
      <sheetName val="原报表"/>
      <sheetName val="上年审前调整"/>
      <sheetName val="上年审前试算表"/>
      <sheetName val="本年审前调整"/>
      <sheetName val="本年审前试算表"/>
      <sheetName val="审前报表"/>
      <sheetName val="2006TB"/>
      <sheetName val="银行列表"/>
      <sheetName val="报表11"/>
      <sheetName val="折旧测算表"/>
      <sheetName val="母公司TB"/>
      <sheetName val="Chart of Account"/>
      <sheetName val="清单"/>
      <sheetName val="关联方_物流集团"/>
      <sheetName val="存货_生产成本Dy"/>
      <sheetName val="主营业务成本mx"/>
      <sheetName val="注释补充表1"/>
      <sheetName val="阳光365人员情况表（截至2005.9.30）"/>
      <sheetName val="TAX COM"/>
      <sheetName val="其它业务收入分类"/>
      <sheetName val="B15 重要性计算表"/>
      <sheetName val="集团关联方清单"/>
      <sheetName val="数据有效性"/>
      <sheetName val="conBS"/>
      <sheetName val="conCE"/>
      <sheetName val="conCF"/>
      <sheetName val="conIS"/>
      <sheetName val="N__其他应收款"/>
      <sheetName val="N__应收账款"/>
      <sheetName val="N__营业收入及营业成本"/>
      <sheetName val="源"/>
      <sheetName val="Marco"/>
      <sheetName val="799"/>
      <sheetName val="应收账款明细分类账2019"/>
      <sheetName val="20年销售出库"/>
      <sheetName val="6.6-存货-制造费用明细表"/>
      <sheetName val="核算项目组合表"/>
      <sheetName val="全部预算"/>
      <sheetName val="A3 &amp; U 09-01"/>
      <sheetName val="公司名称一览表"/>
      <sheetName val="UFPrn20210115161842"/>
      <sheetName val="单位往来"/>
      <sheetName val="投资保证金"/>
      <sheetName val="2019—库存商品库龄"/>
      <sheetName val="2018年报表"/>
      <sheetName val="预期信用损失的计量测试D2-14（20201231）"/>
      <sheetName val="鼎信诺字典表"/>
      <sheetName val="现金流量表(未审)"/>
      <sheetName val="偿债力分析"/>
      <sheetName val="应收帐款询证函"/>
      <sheetName val="Final"/>
      <sheetName val="JA#1"/>
      <sheetName val="JA#2&amp;5"/>
      <sheetName val="Stock_turnove_x005f_x005f_x005f_x005f_x005f"/>
      <sheetName val="合并"/>
      <sheetName val="dm"/>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订"/>
      <sheetName val="2-R1619"/>
      <sheetName val="研发项目"/>
      <sheetName val="资金计划项目说明"/>
      <sheetName val="database"/>
      <sheetName val="원단위"/>
      <sheetName val="类型设置"/>
      <sheetName val="往来"/>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原材料&amp;存货跌价 list"/>
      <sheetName val="生产成本list"/>
      <sheetName val="2009.12.31日完工比例"/>
      <sheetName val="2011.12.31完工比例"/>
      <sheetName val="2010.06.30完工比例"/>
      <sheetName val="库存明细2011"/>
      <sheetName val="在途"/>
      <sheetName val="其他业务利润"/>
      <sheetName val="其他材料收入重复"/>
      <sheetName val="其他材料收入账"/>
      <sheetName val="预收"/>
      <sheetName val="F1"/>
      <sheetName val="销售费用"/>
      <sheetName val="截止测试-入库G2-7-1"/>
      <sheetName val="TB试算表_本年"/>
      <sheetName val="院级设计"/>
      <sheetName val="银行存款明细表"/>
      <sheetName val="人员支出"/>
      <sheetName val="农业用地"/>
      <sheetName val="2002年一般预算收入"/>
      <sheetName val="RYRPADTN"/>
      <sheetName val="2019收入成本（未审）"/>
      <sheetName val="2019年6月-2020年5月项目收入成本一览"/>
      <sheetName val="TB-公证天业"/>
      <sheetName val="BKD-氢能"/>
      <sheetName val="2045020001"/>
      <sheetName val="schedule"/>
      <sheetName val="2008 SPL"/>
      <sheetName val="TargetReports"/>
      <sheetName val="KIINAS"/>
      <sheetName val="BW_FAELI"/>
      <sheetName val="（27）实收资本"/>
      <sheetName val="面积指标"/>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设备部房屋"/>
      <sheetName val="表六 "/>
      <sheetName val="A41-2折旧测试"/>
      <sheetName val="披露表（上市）"/>
      <sheetName val="P-7 CF Fed"/>
      <sheetName val="应收-全"/>
      <sheetName val="二月"/>
      <sheetName val="2011调整分录"/>
      <sheetName val="B7-2-1应付账款余额表"/>
      <sheetName val="一级"/>
      <sheetName val="2003本部资产负债试算表"/>
      <sheetName val="2003本部利润及利润分配表试算表"/>
      <sheetName val="tra-vat-lieu"/>
      <sheetName val="威海汉邦"/>
      <sheetName val="dtct cong"/>
      <sheetName val="数据源-勿动"/>
      <sheetName val="BPR"/>
      <sheetName val="2015PPE"/>
      <sheetName val="资产负债表-母"/>
      <sheetName val="Sheet668"/>
      <sheetName val="USD Data input"/>
      <sheetName val="附表2"/>
      <sheetName val="在制"/>
      <sheetName val="22"/>
      <sheetName val="M 67"/>
      <sheetName val="福利费1"/>
      <sheetName val="整理"/>
      <sheetName val="RawData"/>
      <sheetName val="1－5月余额表"/>
      <sheetName val="1－10月余额表"/>
      <sheetName val="数量金额明细账"/>
      <sheetName val="Jumei"/>
      <sheetName val="SW"/>
      <sheetName val="JDMCode"/>
      <sheetName val="PanelInfo"/>
      <sheetName val="2.1 PS估值分析-上市公司"/>
      <sheetName val="3111"/>
      <sheetName val="3113"/>
      <sheetName val="_8013"/>
      <sheetName val="序时帐"/>
      <sheetName val="Common Assumptions"/>
      <sheetName val="4528"/>
      <sheetName val="有效性"/>
      <sheetName val="Bid_Details"/>
      <sheetName val="BW系统 原稿"/>
      <sheetName val="营业费用02"/>
      <sheetName val="Provision list"/>
      <sheetName val="现金流分录汇总"/>
      <sheetName val="递延所得税资产Dy"/>
      <sheetName val="产能统计（2014）"/>
      <sheetName val="审定_资产负债表"/>
      <sheetName val="未审_资产负债表"/>
      <sheetName val="C1"/>
      <sheetName val="科目代码表"/>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A180-10"/>
      <sheetName val="填制说明"/>
      <sheetName val="科目2015"/>
      <sheetName val="2018"/>
      <sheetName val="应交税费审定表"/>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F01-A (2)"/>
      <sheetName val="固定资产、累计折旧、减值准备明细表"/>
      <sheetName val="现金流量1-10月"/>
      <sheetName val="10月"/>
      <sheetName val="2月"/>
      <sheetName val="3月"/>
      <sheetName val="4月"/>
      <sheetName val="7月"/>
      <sheetName val="8月"/>
      <sheetName val="9月"/>
      <sheetName val="敏感参数"/>
      <sheetName val="1 项目情况"/>
      <sheetName val="1 项目利润表(PS)"/>
      <sheetName val="3 损益推导"/>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mvt"/>
      <sheetName val="支出项目对应现金流项目"/>
      <sheetName val="UFPrn2003其他"/>
      <sheetName val="sales"/>
      <sheetName val="数据源"/>
      <sheetName val="审计工作底稿目录"/>
      <sheetName val="面料"/>
      <sheetName val="辅料"/>
      <sheetName val="燃料"/>
      <sheetName val="预收帐款"/>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01 Balance Sheet资产负债表"/>
      <sheetName val="PY-pp"/>
      <sheetName val="Sheet761"/>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 val="profit2 (2)"/>
      <sheetName val="351B发出商品明细-不打印"/>
      <sheetName val="351A发出商品测试"/>
      <sheetName val="3402存货导引表"/>
      <sheetName val="3月生产成本凭证"/>
      <sheetName val="能耗计算 OK "/>
      <sheetName val="应付帐款余额表"/>
      <sheetName val="或有事项"/>
      <sheetName val="关联方交易"/>
      <sheetName val="其他综合收益"/>
      <sheetName val="审定表M4"/>
      <sheetName val="FIN48 TP Doc"/>
      <sheetName val="Sheet751"/>
      <sheetName val="银行未达账项明细表"/>
      <sheetName val="资产负债表（新）"/>
      <sheetName val="Sheet910"/>
      <sheetName val="制造费用明细表"/>
      <sheetName val="生产成本检查表"/>
      <sheetName val="销售费用截止测试"/>
      <sheetName val="附注披露信息（上市公司）L1-1"/>
      <sheetName val="Sheet447"/>
      <sheetName val="销项税"/>
      <sheetName val="SCH H"/>
      <sheetName val="Planning"/>
      <sheetName val="Planning Extension"/>
      <sheetName val="Audit Results Ext"/>
      <sheetName val="Audit Results Upper Stratum Ext"/>
      <sheetName val="Population Characteristics"/>
      <sheetName val="Individually Significant Items"/>
      <sheetName val="Projection Extended Sample"/>
      <sheetName val="Projection"/>
      <sheetName val="D2-1 应收账款Leadsheet"/>
      <sheetName val="存货明细表"/>
      <sheetName val="收入检查表（是否全部开票及船舶离港时间1-10）D4-3-1"/>
      <sheetName val="No.305"/>
      <sheetName val="No.404"/>
      <sheetName val="Contents"/>
      <sheetName val="市场比较法"/>
      <sheetName val="基础资料"/>
      <sheetName val="账项调整"/>
      <sheetName val="索引表"/>
      <sheetName val="申报表封面"/>
      <sheetName val="全年折旧"/>
      <sheetName val="固定资产清理"/>
      <sheetName val="Basic_Information"/>
      <sheetName val="FORM14_2"/>
      <sheetName val="新城资金明细"/>
      <sheetName val="申鑫大厦租金明细"/>
      <sheetName val="三林明细"/>
      <sheetName val="东陆明细"/>
      <sheetName val="在建工程"/>
      <sheetName val="函证结果汇总表M1-5"/>
      <sheetName val="集团关联单位"/>
      <sheetName val="个人备用金账龄"/>
      <sheetName val="审定表M1 "/>
      <sheetName val="预期信用损失的计量测试M1-7-1"/>
      <sheetName val="发货单列表"/>
      <sheetName val="Sheet829"/>
      <sheetName val="Sheet703"/>
      <sheetName val="披露表-国企报告"/>
      <sheetName val="披露表-上市公司报告"/>
      <sheetName val="Sheet748"/>
      <sheetName val="投资"/>
      <sheetName val="筹资"/>
      <sheetName val="首页"/>
      <sheetName val="绝对估值"/>
      <sheetName val="销售输入表"/>
      <sheetName val="C101"/>
      <sheetName val="管理费用检查表"/>
      <sheetName val="营业外收入检查情况表"/>
      <sheetName val="营业费用检查表"/>
      <sheetName val="A105010"/>
      <sheetName val="nada"/>
      <sheetName val="dropdowns"/>
      <sheetName val="通用设备折旧复核"/>
      <sheetName val="专用设备折旧复核"/>
      <sheetName val="运输设备折旧复核"/>
      <sheetName val="电子设备折旧复核"/>
      <sheetName val="其他设备折旧"/>
      <sheetName val="Sheet794"/>
      <sheetName val="白玻综合成本"/>
      <sheetName val="综合成本"/>
      <sheetName val="LF"/>
      <sheetName val="MB51"/>
      <sheetName val="Nov,01"/>
      <sheetName val="存货收发存汇总表"/>
      <sheetName val="CE_P"/>
      <sheetName val="ADJ Sum(console)"/>
      <sheetName val="利润中心"/>
      <sheetName val="折旧表"/>
      <sheetName val="固定资产卡片"/>
      <sheetName val="2009投资明细表"/>
      <sheetName val="a"/>
      <sheetName val="L1-1"/>
      <sheetName val="97년"/>
      <sheetName val="LADJ Recon "/>
      <sheetName val="For report Disclosure"/>
      <sheetName val="Turnover days analysis"/>
      <sheetName val="5442(ref)"/>
      <sheetName val="5443(ref)"/>
      <sheetName val="For PACKAGE"/>
      <sheetName val="本部"/>
      <sheetName val="西安"/>
      <sheetName val="重庆"/>
      <sheetName val="成都"/>
      <sheetName val="哈尔滨"/>
      <sheetName val="大连"/>
      <sheetName val="沈阳"/>
      <sheetName val="秦皇岛"/>
      <sheetName val="武汉"/>
      <sheetName val="郑州"/>
      <sheetName val="天津"/>
      <sheetName val="烟台"/>
      <sheetName val="青岛"/>
      <sheetName val="济南"/>
      <sheetName val="南昌"/>
      <sheetName val="合肥"/>
      <sheetName val="嘉兴"/>
      <sheetName val="温州"/>
      <sheetName val="台州"/>
      <sheetName val="宁波"/>
      <sheetName val="杭州"/>
      <sheetName val="扬州"/>
      <sheetName val="南通"/>
      <sheetName val="常州"/>
      <sheetName val="南京"/>
      <sheetName val="张家港"/>
      <sheetName val="江阴"/>
      <sheetName val="无锡"/>
      <sheetName val="昆山"/>
      <sheetName val="苏州"/>
      <sheetName val="嘉定"/>
      <sheetName val="松江"/>
      <sheetName val="长沙"/>
      <sheetName val="福州"/>
      <sheetName val="泉州"/>
      <sheetName val="厦门"/>
      <sheetName val="惠州"/>
      <sheetName val="汕头"/>
      <sheetName val="花都"/>
      <sheetName val="番禺"/>
      <sheetName val="莞城"/>
      <sheetName val="塘厦"/>
      <sheetName val="长安"/>
      <sheetName val="佛山"/>
      <sheetName val="顺德"/>
      <sheetName val="中山"/>
      <sheetName val="龙岗"/>
      <sheetName val="漳州"/>
      <sheetName val="浦东"/>
      <sheetName val="绍兴"/>
      <sheetName val="石家庄"/>
      <sheetName val="存货--12.31"/>
      <sheetName val="存货库龄分析"/>
      <sheetName val="存货跌价2013.1.4"/>
      <sheetName val="6月生产成本"/>
      <sheetName val="3-1-1现金"/>
      <sheetName val="股本Dy"/>
      <sheetName val="应收出口退税mx"/>
      <sheetName val="payroll "/>
      <sheetName val="2003年预付账款明细账"/>
      <sheetName val="其他业务利润Dy"/>
      <sheetName val="营业费用Dy"/>
      <sheetName val="应收票据Dy"/>
      <sheetName val="LinkData"/>
      <sheetName val="30.06.03"/>
      <sheetName val="主营业务收入mx"/>
      <sheetName val="余额表（终稿）"/>
      <sheetName val="5-1-3管沟"/>
      <sheetName val="5-3工程物资"/>
      <sheetName val="5-4-2在建安装"/>
      <sheetName val="5-5固定清理"/>
      <sheetName val="5-6待处理固定损失"/>
      <sheetName val="丁字帐户"/>
      <sheetName val="KLHT"/>
      <sheetName val="每月資料"/>
      <sheetName val="无形资产Dy"/>
      <sheetName val="无形资产减值准备Dy"/>
      <sheetName val="应收补贴款Dy"/>
      <sheetName val="其他流动资产Dy"/>
      <sheetName val="内部往来Dy"/>
      <sheetName val="长期待摊费用Dy"/>
      <sheetName val="管理费用mx"/>
      <sheetName val="存货Cx"/>
      <sheetName val="按客户"/>
      <sheetName val="FLdeleted"/>
      <sheetName val="存货_库存商品Dy"/>
      <sheetName val="应付工资Dy"/>
      <sheetName val="应付福利费Dy"/>
      <sheetName val="预提费用Dy"/>
      <sheetName val="长期股权投资Mx"/>
      <sheetName val="Final sample listing"/>
      <sheetName val="UFPrn20200921194626"/>
      <sheetName val="余额表200606"/>
      <sheetName val="200611"/>
      <sheetName val="200612"/>
      <sheetName val="Segment"/>
      <sheetName val="list of LC"/>
      <sheetName val="冻品入库"/>
      <sheetName val="鸡油车间"/>
      <sheetName val="conWP1"/>
      <sheetName val="外销收入明细表"/>
      <sheetName val="UFPrn20060111164230"/>
      <sheetName val="07年1-9月"/>
      <sheetName val="dep08"/>
      <sheetName val="成本计提模板"/>
      <sheetName val="信用证分银行"/>
      <sheetName val="商承分银行"/>
      <sheetName val="基本情况"/>
      <sheetName val="商保"/>
      <sheetName val="投资收益Mx"/>
      <sheetName val="三分厂04年1-12月销售价 "/>
      <sheetName val="05年1月销售价"/>
      <sheetName val="04年12月销售价"/>
      <sheetName val="大额未达"/>
      <sheetName val="校对"/>
      <sheetName val="抵消信息表"/>
      <sheetName val="以前年度损益调整"/>
      <sheetName val="已审CF"/>
      <sheetName val="Khoan cong truong Tan De"/>
      <sheetName val="成本"/>
      <sheetName val="MG1"/>
      <sheetName val="USCV3"/>
      <sheetName val="879099"/>
      <sheetName val="资产负债表(本部原报)"/>
      <sheetName val="_Profile"/>
      <sheetName val="附件3-1 穿行待补-展升"/>
      <sheetName val="待摊费用Dy"/>
      <sheetName val="固定资产折旧报表"/>
      <sheetName val="在建工程Dy"/>
      <sheetName val="Accounts"/>
      <sheetName val="生产成本Dy"/>
      <sheetName val="ACTINV"/>
      <sheetName val="H增"/>
      <sheetName val="Net Trans Sum"/>
      <sheetName val="A_Gen"/>
      <sheetName val="Sens"/>
      <sheetName val="20071-10月原材料发出计价测试(不打)"/>
      <sheetName val="200712"/>
      <sheetName val="自制半成品1-12计价测试"/>
      <sheetName val="产成品收发存余额表1-12"/>
      <sheetName val="预付账款Mx"/>
      <sheetName val="帐上"/>
      <sheetName val="$TB 1"/>
      <sheetName val="$TB"/>
      <sheetName val="Devices"/>
      <sheetName val="3. Textile"/>
      <sheetName val="7. NN staff turnover report"/>
      <sheetName val="帐套"/>
      <sheetName val="明细"/>
      <sheetName val="生产领料序时簿"/>
      <sheetName val="新的工作表"/>
      <sheetName val="合并试算平衡表"/>
      <sheetName val="综合成本分析01.01-0205"/>
      <sheetName val="武平流水"/>
      <sheetName val="销售收入底稿"/>
      <sheetName val="混料"/>
      <sheetName val="基本信息_百鑫"/>
      <sheetName val="To tied 2001 opening RE"/>
      <sheetName val="T.B."/>
      <sheetName val="Sheet697"/>
      <sheetName val="Sheet912"/>
      <sheetName val="预收分期表"/>
      <sheetName val="预收账款明细表D3-2"/>
      <sheetName val="轨道一厂在产品盘点倒轧表G2-6-5"/>
      <sheetName val="重分类错报表"/>
      <sheetName val="裕华城"/>
      <sheetName val="收入毛利分析D4-21"/>
      <sheetName val="海外客户提单检查"/>
      <sheetName val="U8数据"/>
      <sheetName val="Competition ¥"/>
      <sheetName val="表头及目录"/>
      <sheetName val="B15 重要性计算表(审计前）"/>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盈余公积"/>
      <sheetName val="N__税金及附加"/>
      <sheetName val="N__营业外收入"/>
      <sheetName val="N__营业外支出"/>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Sheet_Serial"/>
      <sheetName val="FA MVT"/>
      <sheetName val="Physical Description"/>
      <sheetName val="DEF"/>
      <sheetName val="社員リスト"/>
      <sheetName val="固定资产借贷方分析J1-3"/>
      <sheetName val="折旧测算表（不含减值）-直线法J1-8-1-页数多，仅打印头尾"/>
      <sheetName val="明细表J1-2"/>
      <sheetName val="累计折旧重新测算（不含减值）J1-8-2-仅打印头尾"/>
      <sheetName val="标准UPPH"/>
      <sheetName val="28"/>
      <sheetName val="14"/>
      <sheetName val="36"/>
      <sheetName val="13"/>
      <sheetName val="16-1"/>
      <sheetName val="16-2"/>
      <sheetName val="16-3"/>
      <sheetName val="Group"/>
      <sheetName val="FK Ma"/>
      <sheetName val="MetaData"/>
      <sheetName val="現金流量"/>
      <sheetName val="固清"/>
      <sheetName val="Wacc"/>
      <sheetName val="5440彙總表"/>
      <sheetName val="PopCache_Sheet1"/>
      <sheetName val="IPO"/>
      <sheetName val="总账"/>
      <sheetName val="yszk200412.dbf"/>
      <sheetName val="U321"/>
      <sheetName val="dd"/>
      <sheetName val="维简费"/>
      <sheetName val="维简费返还"/>
      <sheetName val="Threshold Table"/>
      <sheetName val="Translation FRF"/>
      <sheetName val="凭证汇总"/>
      <sheetName val="Sales by customer- details"/>
      <sheetName val="&lt;FF&gt; Tax Payable"/>
      <sheetName val="基础设置"/>
      <sheetName val="期末应付账款明细表G4-2"/>
      <sheetName val="C - Cash and Bank"/>
      <sheetName val="8-1"/>
      <sheetName val="大额运费分析表G4-4-4"/>
      <sheetName val="科目设定"/>
      <sheetName val="销售发票专用序时簿"/>
      <sheetName val="PRC 15"/>
      <sheetName val="本期调整分录"/>
      <sheetName val="上期调整分录"/>
      <sheetName val="现流本期编制分录"/>
      <sheetName val="现流上期编制分录"/>
      <sheetName val="资产负债表、利润表、现金流量表"/>
      <sheetName val="销售发票序时簿"/>
      <sheetName val="PRC 13"/>
      <sheetName val="May"/>
      <sheetName val="33230"/>
      <sheetName val="hidesheet"/>
      <sheetName val="函证结果汇总表D4-34"/>
      <sheetName val="财企01表_南宁轨道交通集团有限责任公司（集团合并）期末数"/>
      <sheetName val="2021年TB"/>
      <sheetName val="凭证汇总1"/>
      <sheetName val="Cash Flows"/>
      <sheetName val="人事明细"/>
      <sheetName val="半成品slje"/>
      <sheetName val="9-12月"/>
      <sheetName val="附注索引"/>
      <sheetName val="汇总核对表"/>
      <sheetName val="2005余额表"/>
      <sheetName val="委托贷款Dy"/>
      <sheetName val="坏账准备_预付账款Dy"/>
      <sheetName val="基础"/>
      <sheetName val="累计折旧_2"/>
      <sheetName val="Header Data"/>
      <sheetName val="项目编号列表"/>
      <sheetName val="单位"/>
      <sheetName val="L1-1资产负债表"/>
      <sheetName val="Y3-2 06企业会计制度附注"/>
      <sheetName val="Y0-1报告准备表（无需打印）"/>
      <sheetName val="销售费用Dy"/>
      <sheetName val="主数据"/>
      <sheetName val="VM"/>
      <sheetName val="天合与太阳时代的往来余额(天合账面)"/>
      <sheetName val="181231科技&amp;凯博-其他应付"/>
      <sheetName val="2021应收账面数"/>
      <sheetName val="2021工程账面数"/>
      <sheetName val="评估结论"/>
      <sheetName val="FIRE Parameters"/>
      <sheetName val="G2TempSheet"/>
      <sheetName val="损益表"/>
      <sheetName val="_810余额表"/>
      <sheetName val="qtr local"/>
      <sheetName val="A_1"/>
      <sheetName val="备注"/>
      <sheetName val="工程量"/>
      <sheetName val="服务"/>
      <sheetName val="1梁家5-1-1房建"/>
      <sheetName val="1梁家5-1-2构筑"/>
      <sheetName val="p &amp; lx"/>
      <sheetName val="3-9其他应收"/>
      <sheetName val="9-3应付帐款"/>
      <sheetName val="Director"/>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梁家5-1-1房建"/>
      <sheetName val="XLR_NoRangeSheet"/>
      <sheetName val="累计折旧测算表"/>
      <sheetName val="Alternative"/>
      <sheetName val="统计"/>
      <sheetName val="长期股权投资审定表"/>
      <sheetName val="10K4"/>
      <sheetName val="工企资产负债表"/>
      <sheetName val="出租开发产品明细"/>
      <sheetName val="预付款项Dy"/>
      <sheetName val="预收款项Dy"/>
      <sheetName val="Sales for 2001"/>
      <sheetName val="IPQC-9 二次烧结"/>
      <sheetName val="上缴管理费明细"/>
      <sheetName val="frm销售合同-Sub"/>
      <sheetName val="服务部待报废"/>
      <sheetName val="VAS TB"/>
    </sheetNames>
    <sheetDataSet>
      <sheetData sheetId="0"/>
      <sheetData sheetId="1" refreshError="1"/>
      <sheetData sheetId="2"/>
      <sheetData sheetId="3"/>
      <sheetData sheetId="4" refreshError="1"/>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sheetData sheetId="1516" refreshError="1"/>
      <sheetData sheetId="1517" refreshError="1"/>
      <sheetData sheetId="1518"/>
      <sheetData sheetId="1519" refreshError="1"/>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refreshError="1"/>
      <sheetData sheetId="1563" refreshError="1"/>
      <sheetData sheetId="1564"/>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 val="表头"/>
      <sheetName val="PTC"/>
      <sheetName val="资产负债表"/>
      <sheetName val="YS02-02"/>
      <sheetName val="P12 TB SZ"/>
      <sheetName val="B"/>
      <sheetName val="coding"/>
      <sheetName val="基础数据"/>
      <sheetName val="三兴2"/>
      <sheetName val="Toolbox"/>
      <sheetName val="Appendix"/>
      <sheetName val="PRC BS"/>
      <sheetName val="完"/>
      <sheetName val="인사현황(부서)"/>
      <sheetName val="Cover"/>
      <sheetName val="营业费用测试"/>
      <sheetName val="KKKKKKKK"/>
      <sheetName val="管理费用(集团董事会)"/>
      <sheetName val="C_301"/>
      <sheetName val="C_311"/>
      <sheetName val="C_318"/>
      <sheetName val="Sheet1"/>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BALANCE SHEET"/>
      <sheetName val="表头（请先填写+核心提示）"/>
      <sheetName val="账面外销"/>
      <sheetName val="应收账款余额表"/>
      <sheetName val="所得税明细表"/>
      <sheetName val="产销存"/>
      <sheetName val="1-6累计销售"/>
      <sheetName val="收入个月"/>
      <sheetName val="累计产销存"/>
      <sheetName val="AGRO-DATA"/>
      <sheetName val="报表科目"/>
      <sheetName val="应收账款贷方余额表"/>
      <sheetName val="应收账款借方余额表"/>
      <sheetName val=""/>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2-1主营业务收入查证表1"/>
      <sheetName val="审计说明"/>
      <sheetName val="FA-2"/>
      <sheetName val="目錄"/>
      <sheetName val="短期投资股票投资.dbf"/>
      <sheetName val="短期投资国债投资.dbf"/>
      <sheetName val="股票投资收益.dbf"/>
      <sheetName val="其他货币海通.dbf"/>
      <sheetName val="其他货币零领路.dbf"/>
      <sheetName val="投资收益债券.dbf"/>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表头信息"/>
      <sheetName val="gvl"/>
      <sheetName val="Title"/>
      <sheetName val="Understand the client"/>
      <sheetName val="Bokslutsprocessen"/>
      <sheetName val="Indata"/>
      <sheetName val="CRA"/>
      <sheetName val="材差5月份结转"/>
      <sheetName val="生产成本6月份结转"/>
      <sheetName val="库存商品项目账"/>
      <sheetName val="Worksheet in 8240 COS breakdown"/>
      <sheetName val="12进销存"/>
      <sheetName val="5月"/>
      <sheetName val="6月"/>
      <sheetName val="上期报表"/>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Marco"/>
      <sheetName val="Customize Your Loan Manager"/>
      <sheetName val="Group"/>
      <sheetName val="预收账款明细表D3-2"/>
      <sheetName val="J"/>
      <sheetName val="C - Cash and Bank"/>
      <sheetName val="A300"/>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初始设定"/>
      <sheetName val="报表11"/>
      <sheetName val="其它业务收入分类"/>
      <sheetName val="壓摸穿燈"/>
      <sheetName val="Rate"/>
      <sheetName val="校验"/>
      <sheetName val="原报表"/>
      <sheetName val="上年审前调整"/>
      <sheetName val="上年审前试算表"/>
      <sheetName val="本年审前调整"/>
      <sheetName val="本年审前试算表"/>
      <sheetName val="审前报表"/>
      <sheetName val="B15 重要性计算表"/>
      <sheetName val="N__其他应收款"/>
      <sheetName val="N__应收账款"/>
      <sheetName val="N__营业收入及营业成本"/>
      <sheetName val="附表2关联交易"/>
      <sheetName val="集团关联方清单"/>
      <sheetName val="数据有效性"/>
      <sheetName val="Sheet1 (2)"/>
      <sheetName val="进料加工汇总信息查询"/>
      <sheetName val="Cashbook"/>
      <sheetName val="现调整"/>
      <sheetName val="（附表2）固定资产处理情况表"/>
      <sheetName val="科余表"/>
      <sheetName val="资产负债表利润及利润分配表"/>
      <sheetName val="期初应付帐款明细表G4-2 "/>
      <sheetName val="操作页"/>
      <sheetName val="核算项目组合表"/>
      <sheetName val="科目"/>
      <sheetName val="公司名称一览表"/>
      <sheetName val="其他应付款明细表M4-2 21"/>
      <sheetName val="其他应付款明细表M4-2 20"/>
      <sheetName val="2020年调整分录"/>
      <sheetName val="2019年调整分录 "/>
      <sheetName val="投资性房地产Dy"/>
      <sheetName val="表5_2_3固定资产—电子设备"/>
      <sheetName val="0609"/>
      <sheetName val="发出商品替代"/>
      <sheetName val="2007.11PPR管件单件测算"/>
      <sheetName val="清冊"/>
      <sheetName val="JA"/>
      <sheetName val="坏账准备_预付账款Dy"/>
      <sheetName val="Dis."/>
      <sheetName val="账户汇总表_2017年1月至12月_"/>
      <sheetName val="应收账款明细表"/>
      <sheetName val="Income tax reconciliation"/>
      <sheetName val="销项税"/>
      <sheetName val="十一、消耗性生物资产G2-2-11"/>
      <sheetName val="应付账款 (2)"/>
      <sheetName val="累计1"/>
      <sheetName val="FIRE Parameters"/>
      <sheetName val="应付(单位)关注"/>
      <sheetName val="员工工资"/>
      <sheetName val="Permit"/>
      <sheetName val="瓶差"/>
      <sheetName val="本期毛利"/>
      <sheetName val="余额表数量"/>
      <sheetName val="_Profile"/>
      <sheetName val="无形资产"/>
      <sheetName val="长期待摊费用"/>
      <sheetName val="应交税金"/>
      <sheetName val="BKD-氢能"/>
      <sheetName val="for disclosure"/>
      <sheetName val="Final"/>
      <sheetName val="2008 SPL"/>
      <sheetName val="OB97LST"/>
      <sheetName val="WIP(For Nick)"/>
      <sheetName val="Admin"/>
      <sheetName val="WO CONV"/>
      <sheetName val="ACTINV"/>
      <sheetName val="N3 PBT"/>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科目余额表正式"/>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披露表（上市）"/>
      <sheetName val="Namelist"/>
      <sheetName val="固资明细"/>
      <sheetName val="日照"/>
      <sheetName val="德州"/>
      <sheetName val="滨州"/>
      <sheetName val="淄博"/>
      <sheetName val="大鲁"/>
      <sheetName val="威海"/>
      <sheetName val="山东省互联网传媒集团应收账款（账龄统计）统计数据"/>
      <sheetName val="张淑东"/>
      <sheetName val="Master Data"/>
      <sheetName val="一级"/>
      <sheetName val="办公设备"/>
      <sheetName val="会计分录序时簿_2"/>
      <sheetName val="表1.5"/>
      <sheetName val="Sheet116"/>
      <sheetName val="Sheet140"/>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设备部房屋"/>
      <sheetName val="definition"/>
      <sheetName val="SW"/>
      <sheetName val="JDMCode"/>
      <sheetName val="PanelInfo"/>
      <sheetName val="00 FG breakdown"/>
      <sheetName val="01 FG breakdown"/>
      <sheetName val="99 FG breakdown"/>
      <sheetName val="电动车间"/>
      <sheetName val="5132"/>
      <sheetName val="会计科目"/>
      <sheetName val="Detail P&amp;L"/>
      <sheetName val="审计程序"/>
      <sheetName val="披露表(上市)-2016"/>
      <sheetName val="替代结果汇总表"/>
      <sheetName val="审定_资产负债表"/>
      <sheetName val="未审_资产负债表"/>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07TB"/>
      <sheetName val="AR Breakdown&amp;Aging"/>
      <sheetName val="AP Breakdown &amp; Aging"/>
      <sheetName val="测算表"/>
      <sheetName val="A140-10"/>
      <sheetName val="数据源"/>
      <sheetName val="画底稿使用"/>
      <sheetName val="调整后报表"/>
      <sheetName val="收入成本审定表D4试剂"/>
      <sheetName val="审计说明M4-0"/>
      <sheetName val="库存商品库龄分析G2-3-3"/>
      <sheetName val="固定资产、累计折旧、减值准备明细表"/>
      <sheetName val="现金流量1-10月"/>
      <sheetName val="基础资料（B）"/>
      <sheetName val="Tfc&amp;toll asmptns"/>
      <sheetName val="G1-1-1a AR-85A"/>
      <sheetName val="浙江道之-机器设备"/>
      <sheetName val="Dates"/>
      <sheetName val="Sheet113"/>
      <sheetName val="合并TB-19年"/>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 val="能耗计算 OK "/>
      <sheetName val="Acc1"/>
      <sheetName val="基本情况"/>
      <sheetName val="上市1"/>
      <sheetName val="上市2"/>
      <sheetName val="上市3"/>
      <sheetName val="上市4"/>
      <sheetName val="上市5"/>
      <sheetName val="上市6"/>
      <sheetName val="上市7"/>
      <sheetName val="上市8"/>
      <sheetName val="上市9"/>
      <sheetName val="accode"/>
      <sheetName val="合同检查表"/>
      <sheetName val="银行未达账项明细表"/>
      <sheetName val="银行存款"/>
      <sheetName val="Sheet106"/>
      <sheetName val="合并TB"/>
      <sheetName val="制造费用明细表"/>
      <sheetName val="生产成本检查表"/>
      <sheetName val="销售费用明细表"/>
      <sheetName val="应收票据明细账"/>
      <sheetName val="20应收余额"/>
      <sheetName val="UFPrn20210723144007"/>
      <sheetName val="Audit Results"/>
      <sheetName val="Audit Results Upper Stratum"/>
      <sheetName val="Population Characteristics"/>
      <sheetName val="2002.1-6管理费用"/>
      <sheetName val="G2-5生产成本审定表"/>
      <sheetName val="FIN48 TP Doc"/>
      <sheetName val="No.305"/>
      <sheetName val="No.404"/>
      <sheetName val="Contents"/>
      <sheetName val="市场比较法"/>
      <sheetName val="短期借款汇总表"/>
      <sheetName val="20年销售出库"/>
      <sheetName val="固定资产清理"/>
      <sheetName val="在建工程"/>
      <sheetName val="Sheet134"/>
      <sheetName val="Sheet181"/>
      <sheetName val="Sheet537"/>
      <sheetName val="Sheet145"/>
      <sheetName val="SFS(ACTUAL)"/>
      <sheetName val="Sheet146"/>
      <sheetName val="Sheet157"/>
      <sheetName val="Sheet508"/>
      <sheetName val="Sheet606"/>
      <sheetName val="Sheet607"/>
      <sheetName val="Sheet608"/>
      <sheetName val="New Dept-IX"/>
      <sheetName val="L105"/>
      <sheetName val="R221"/>
      <sheetName val="销售输入表"/>
      <sheetName val="evaluate资金回收"/>
      <sheetName val="To tied 2001 opening RE"/>
      <sheetName val="资产评估结果分类汇总表 (2)"/>
      <sheetName val="2001年运使费相抵"/>
      <sheetName val="RESUMEN"/>
      <sheetName val="通用设备折旧复核"/>
      <sheetName val="专用设备折旧复核"/>
      <sheetName val="运输设备折旧复核"/>
      <sheetName val="电子设备折旧复核"/>
      <sheetName val="其他设备折旧"/>
      <sheetName val="Sheet148"/>
      <sheetName val="管理费用"/>
      <sheetName val="综合成本"/>
      <sheetName val="存货收发存汇总表"/>
      <sheetName val="利润中心"/>
      <sheetName val="profit2 (2)"/>
      <sheetName val="218"/>
      <sheetName val="固定资产卡片"/>
      <sheetName val="科目代码表"/>
      <sheetName val="折旧表"/>
      <sheetName val="0012"/>
      <sheetName val="ADJ Sum(console)"/>
      <sheetName val="L1-1"/>
      <sheetName val="变动"/>
      <sheetName val="QoA"/>
      <sheetName val="QofE"/>
      <sheetName val="QofA"/>
      <sheetName val="2-试算"/>
      <sheetName val="CalcOutPut"/>
      <sheetName val="披露表-上市公司报告"/>
      <sheetName val="CODES"/>
      <sheetName val="在建工程Dy"/>
      <sheetName val="存货Cx"/>
      <sheetName val="M"/>
      <sheetName val="损益表 &lt; P1 &gt; "/>
      <sheetName val="披露表(国企)"/>
      <sheetName val="销售收入底稿"/>
      <sheetName val="FO1"/>
      <sheetName val="应付利息Dy"/>
      <sheetName val="以前年度损益调整"/>
      <sheetName val="Khoan cong truong Tan De"/>
      <sheetName val="5200D-5其他应收款审定明细表1"/>
      <sheetName val="营业费用趋势分析"/>
      <sheetName val="3-11待摊"/>
      <sheetName val="6-1土地"/>
      <sheetName val="Base Info"/>
      <sheetName val="費用"/>
      <sheetName val="資本支出"/>
      <sheetName val="人力"/>
      <sheetName val="編製說明"/>
      <sheetName val="한계원가"/>
      <sheetName val="2020云汉芯城"/>
      <sheetName val="内销收人"/>
      <sheetName val="待摊费用Dy"/>
      <sheetName val="工程项目"/>
      <sheetName val="预付账款Mx"/>
      <sheetName val="预付账款Mx1"/>
      <sheetName val="应付账款Mx1"/>
      <sheetName val="原材料Mx1"/>
      <sheetName val="营业成本Dy"/>
      <sheetName val="A_1"/>
      <sheetName val="累计折旧_2"/>
      <sheetName val="余额表（终稿）"/>
      <sheetName val="2008年"/>
      <sheetName val="生产成本mx"/>
      <sheetName val="qtr local"/>
      <sheetName val="营业费用截止"/>
      <sheetName val="递延收益Dy"/>
      <sheetName val="372D-1 2012年折旧测算"/>
      <sheetName val="Sheet798"/>
      <sheetName val="Sheet545"/>
      <sheetName val="Sheet151"/>
      <sheetName val="May"/>
      <sheetName val="Sheet257"/>
      <sheetName val="Sheet426"/>
      <sheetName val="Sheet593"/>
      <sheetName val="CQFMA"/>
      <sheetName val="Segment"/>
      <sheetName val="list of LC"/>
      <sheetName val="04利息支出"/>
      <sheetName val="利息收入"/>
      <sheetName val="预提工行贷"/>
      <sheetName val="查验底稿"/>
      <sheetName val="Sheet611"/>
      <sheetName val="Sheet832"/>
      <sheetName val="Sheet836"/>
      <sheetName val="56271-2"/>
      <sheetName val="2021年收入汇总"/>
      <sheetName val="U8数据"/>
      <sheetName val="pe"/>
      <sheetName val="28"/>
      <sheetName val="14"/>
      <sheetName val="36"/>
      <sheetName val="13"/>
      <sheetName val="16-1"/>
      <sheetName val="16-2"/>
      <sheetName val="16-3"/>
      <sheetName val="Competition ¥"/>
      <sheetName val="630科目余额表"/>
      <sheetName val="ZA-DY"/>
      <sheetName val="FY02"/>
      <sheetName val="审计差异汇总"/>
      <sheetName val="B15 重要性计算表(审计前）"/>
      <sheetName val="CE_P"/>
      <sheetName val="表头及目录"/>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盈余公积"/>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Variables"/>
      <sheetName val="维护表"/>
      <sheetName val="enums"/>
      <sheetName val="原材料采购价格检查G4-7"/>
      <sheetName val="Basic_Setting"/>
      <sheetName val="A1-4 Failure Impact "/>
      <sheetName val="SMAEU-3"/>
      <sheetName val="FK Ma"/>
      <sheetName val="特殊部门按部门分类"/>
      <sheetName val="技术人员分位值(不含PM&amp;SLS）"/>
      <sheetName val="DEF"/>
      <sheetName val="Sheet166"/>
      <sheetName val="U321"/>
      <sheetName val="現金流量"/>
      <sheetName val="固清"/>
      <sheetName val="PopCache_Sheet1"/>
      <sheetName val="MetaData"/>
      <sheetName val="Threshold Table"/>
      <sheetName val="dd"/>
      <sheetName val="凭证汇总"/>
      <sheetName val="维简费"/>
      <sheetName val="维简费返还"/>
      <sheetName val="韓国"/>
      <sheetName val="yszk200412.dbf"/>
      <sheetName val="5440彙總表"/>
      <sheetName val="IPO"/>
      <sheetName val="Summary Page"/>
      <sheetName val="NR-2006"/>
      <sheetName val="AR-2006"/>
      <sheetName val="NR-2005"/>
      <sheetName val="AR-2005"/>
      <sheetName val="AR-2004"/>
      <sheetName val="Q4"/>
      <sheetName val="Sheet1.1"/>
      <sheetName val="10 销货成本表"/>
      <sheetName val="AATI "/>
      <sheetName val="NECsoic8(bvi)"/>
      <sheetName val="Anpec(bvi)"/>
      <sheetName val="Apec(bvi)"/>
      <sheetName val="ATU"/>
      <sheetName val="FSC"/>
      <sheetName val="IR"/>
      <sheetName val="ITOCHU_Sanyo"/>
      <sheetName val="Melco"/>
      <sheetName val="NECtssop8(bvi)"/>
      <sheetName val="NIKO(bvi)"/>
      <sheetName val="O2Micro"/>
      <sheetName val="PAN JIT"/>
      <sheetName val="Richtek (bvi)"/>
      <sheetName val="Semiwell"/>
      <sheetName val="Supertek"/>
      <sheetName val="3D"/>
      <sheetName val="CF-8&quot;-y2"/>
      <sheetName val="PL-monthly"/>
      <sheetName val="Wacc"/>
      <sheetName val="IC3A"/>
      <sheetName val="'IC4'A"/>
      <sheetName val="'IO7"/>
      <sheetName val="'IO8"/>
      <sheetName val="PL"/>
      <sheetName val="列表选择表"/>
      <sheetName val="JPN Chl"/>
      <sheetName val="科目索引"/>
      <sheetName val="7-1 2008管理费用-办公费"/>
      <sheetName val="7-5 2008年管理费用-试验检验费"/>
      <sheetName val="7-1 2009年管理费用-办公费"/>
      <sheetName val="7-5 2009年管理费用-试验检验费"/>
      <sheetName val="7-1 2010年管理费用-办公费"/>
      <sheetName val="7-5 2010年管理费用-试验检验费"/>
      <sheetName val="财企01表_南宁轨道交通集团有限责任公司（集团合并）期末数"/>
      <sheetName val="销售毛利润表"/>
      <sheetName val="PLGROUPCPY"/>
      <sheetName val="销售发票专用序时簿"/>
      <sheetName val="DEP"/>
      <sheetName val="制造费用"/>
      <sheetName val="11908发生额"/>
      <sheetName val="帐上"/>
      <sheetName val="5500A-4固定资产检查"/>
      <sheetName val="6200B-4应付职工薪酬检查"/>
      <sheetName val="6200B-5应付职工薪酬勾稽检查"/>
      <sheetName val="勿删-各公司按部门汇总工资"/>
      <sheetName val="6200B-6.1应付职工薪酬检查-工资"/>
      <sheetName val="6200B-3应付职工薪酬披露核对表"/>
      <sheetName val="YA-1-1"/>
      <sheetName val="外销收入明细表"/>
      <sheetName val="内部销售明细表"/>
      <sheetName val="actbgtbyM"/>
      <sheetName val="Inputs"/>
      <sheetName val="DR Summary Margin"/>
      <sheetName val="DR Summary Margin - Fcst"/>
      <sheetName val="Prior Week Funnel"/>
      <sheetName val="DR Summary Revenue"/>
      <sheetName val="DR Summary Revenue - Fcst"/>
      <sheetName val="DR Summary Units"/>
      <sheetName val="DR Summary Units - Fcst"/>
      <sheetName val="3-9其他应收"/>
      <sheetName val="9-3应付帐款"/>
      <sheetName val="按客户"/>
      <sheetName val="Prg"/>
      <sheetName val="Profile"/>
      <sheetName val="项目编号列表"/>
      <sheetName val="使用说明"/>
      <sheetName val="Income Stm"/>
      <sheetName val="（27）实收资本"/>
      <sheetName val="5200A-5应收账款函证汇总表"/>
      <sheetName val="2、生产成本月际分析"/>
      <sheetName val="预付账款Mx12"/>
      <sheetName val="NGUON"/>
      <sheetName val="自制半成品1-12计价测试"/>
      <sheetName val="Breakdown G&amp;A"/>
      <sheetName val="Bad debt provison&amp;aging analysi"/>
      <sheetName val="alternative"/>
      <sheetName val="自制半成品 (2)"/>
      <sheetName val="产成品明细"/>
      <sheetName val="主营业务成本 (2)"/>
      <sheetName val="Drop List References"/>
      <sheetName val="Bank"/>
      <sheetName val="工程量计算"/>
      <sheetName val="Expense Summary-M"/>
      <sheetName val="Production"/>
      <sheetName val="上缴管理费明细"/>
      <sheetName val="出库"/>
      <sheetName val="入库"/>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Notes"/>
      <sheetName val="折旧测算表"/>
      <sheetName val="5-3工程物资"/>
      <sheetName val="5-4-2在建安装"/>
      <sheetName val="5-5固定清理"/>
      <sheetName val="5-6待处理固定损失"/>
      <sheetName val="十价"/>
      <sheetName val="KLHT"/>
      <sheetName val="IC-5保理费用核查"/>
      <sheetName val="10-3-1工作量确认单核查 --OK"/>
      <sheetName val="收入成本大表"/>
      <sheetName val="check是否取回"/>
      <sheetName val="变更前的成本大表"/>
      <sheetName val="2017年表"/>
      <sheetName val="关联方抵消"/>
      <sheetName val="10-3-2回复"/>
      <sheetName val="Basic information"/>
      <sheetName val="Basic_Information"/>
      <sheetName val="FORM14_2"/>
      <sheetName val="L1-1资产负债表"/>
      <sheetName val="工程量"/>
      <sheetName val="工作底稿扉页"/>
      <sheetName val="Y3-1一般会计制度附注"/>
      <sheetName val="Y3-2 06企业会计制度附注"/>
      <sheetName val="Y0-1报告准备表（无需打印）"/>
      <sheetName val="5-1-3管沟"/>
      <sheetName val="梁家5-1-1房建"/>
      <sheetName val="5-4-1在建土建"/>
      <sheetName val="$TB 1"/>
      <sheetName val="$TB"/>
      <sheetName val="建发股份关联方清单"/>
      <sheetName val="评估结论"/>
      <sheetName val="HKBUD"/>
      <sheetName val="I-COA"/>
      <sheetName val="合并范围"/>
      <sheetName val="长期应付款Dy"/>
      <sheetName val="Acct"/>
      <sheetName val="template"/>
      <sheetName val="JP Report"/>
      <sheetName val="1-000-1"/>
      <sheetName val="1-000-3"/>
      <sheetName val="10K4"/>
      <sheetName val="Sheet121"/>
      <sheetName val="Sheet120"/>
    </sheetNames>
    <sheetDataSet>
      <sheetData sheetId="0"/>
      <sheetData sheetId="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sheetData sheetId="1071"/>
      <sheetData sheetId="1072"/>
      <sheetData sheetId="1073" refreshError="1"/>
      <sheetData sheetId="1074" refreshError="1"/>
      <sheetData sheetId="1075" refreshError="1"/>
      <sheetData sheetId="1076" refreshError="1"/>
      <sheetData sheetId="1077" refreshError="1"/>
      <sheetData sheetId="1078" refreshError="1"/>
      <sheetData sheetId="1079"/>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sheetData sheetId="1154"/>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sheetData sheetId="1245" refreshError="1"/>
      <sheetData sheetId="1246" refreshError="1"/>
      <sheetData sheetId="1247" refreshError="1"/>
      <sheetData sheetId="1248" refreshError="1"/>
      <sheetData sheetId="1249"/>
      <sheetData sheetId="1250" refreshError="1"/>
      <sheetData sheetId="1251" refreshError="1"/>
      <sheetData sheetId="1252" refreshError="1"/>
      <sheetData sheetId="1253" refreshError="1"/>
      <sheetData sheetId="1254" refreshError="1"/>
      <sheetData sheetId="1255"/>
      <sheetData sheetId="1256" refreshError="1"/>
      <sheetData sheetId="1257" refreshError="1"/>
      <sheetData sheetId="1258" refreshError="1"/>
      <sheetData sheetId="1259" refreshError="1"/>
      <sheetData sheetId="1260" refreshError="1"/>
      <sheetData sheetId="126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sheetData sheetId="1314"/>
      <sheetData sheetId="1315"/>
      <sheetData sheetId="1316"/>
      <sheetData sheetId="1317" refreshError="1"/>
      <sheetData sheetId="1318"/>
      <sheetData sheetId="1319"/>
      <sheetData sheetId="1320"/>
      <sheetData sheetId="1321"/>
      <sheetData sheetId="1322"/>
      <sheetData sheetId="1323"/>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sheetData sheetId="1385"/>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sheetData sheetId="1399"/>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sheetData sheetId="1412"/>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sheetData sheetId="170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企业表一"/>
      <sheetName val="M-5C"/>
      <sheetName val="M-5A"/>
      <sheetName val="资产负债表"/>
      <sheetName val="数量金额总账"/>
      <sheetName val="设备部房屋"/>
      <sheetName val="核算项目余额表"/>
      <sheetName val="完"/>
      <sheetName val="W"/>
      <sheetName val="2004"/>
      <sheetName val="B"/>
      <sheetName val="表头"/>
      <sheetName val="PER SALES ORG"/>
      <sheetName val="1月"/>
      <sheetName val="SW-TEO"/>
      <sheetName val="Detailed Testing"/>
      <sheetName val="银行借款询证"/>
      <sheetName val="余额表"/>
      <sheetName val="本期报表"/>
      <sheetName val="breakdown"/>
      <sheetName val="盈余公积 （合并)"/>
      <sheetName val="Toolbox"/>
      <sheetName val="eqpmad2"/>
      <sheetName val="提足折旧"/>
      <sheetName val="DATA"/>
      <sheetName val="委托加工材料"/>
      <sheetName val="材料采购-入库"/>
      <sheetName val="原材料－其他"/>
      <sheetName val="材料成本差异－运费等"/>
      <sheetName val="邻酮定乙酚发出测试"/>
      <sheetName val="管理费用(集团董事会)"/>
      <sheetName val="Sheet1"/>
      <sheetName val="FS"/>
      <sheetName val="gl"/>
      <sheetName val="Adm"/>
      <sheetName val="sell"/>
      <sheetName val="Fin"/>
      <sheetName val="Erection"/>
      <sheetName val="剥离前"/>
      <sheetName val="XL4Poppy"/>
      <sheetName val="08"/>
      <sheetName val="02"/>
      <sheetName val="03"/>
      <sheetName val="04"/>
      <sheetName val="05"/>
      <sheetName val="06"/>
      <sheetName val="07"/>
      <sheetName val="10"/>
      <sheetName val="09"/>
      <sheetName val="UFPrn20031114182129"/>
      <sheetName val="订单418"/>
      <sheetName val="Collateral"/>
      <sheetName val="Disposition"/>
      <sheetName val="Validation"/>
      <sheetName val="35.1租赁明细"/>
      <sheetName val="中山低值"/>
      <sheetName val="分产品销售收入、成本分析表"/>
      <sheetName val="E1020"/>
      <sheetName val="1月固定资产清单"/>
      <sheetName val="关联方—创斯达"/>
      <sheetName val="关联方—东风汽车"/>
      <sheetName val="ZH1-4其他应收款个别认定"/>
      <sheetName val="ZH1-3应收账款个别认定"/>
      <sheetName val="各单位目标指标"/>
      <sheetName val="新城资金明细"/>
      <sheetName val="申鑫大厦租金明细"/>
      <sheetName val="三林明细"/>
      <sheetName val="东陆明细"/>
      <sheetName val="4-货币资金-现金"/>
      <sheetName val="基础信息"/>
      <sheetName val="XREF"/>
      <sheetName val="A430"/>
      <sheetName val="货币资金审定表"/>
      <sheetName val="balance"/>
      <sheetName val="PRC-BS-SZ"/>
      <sheetName val="A1"/>
      <sheetName val="账面外销"/>
      <sheetName val="销售费用Dy"/>
      <sheetName val="细节测试审计抽样"/>
      <sheetName val="YS02-02"/>
      <sheetName val="短期借款Dy"/>
      <sheetName val="采购订单3名"/>
      <sheetName val="P12 TB SZ"/>
      <sheetName val="选择报表"/>
      <sheetName val="CF附注"/>
      <sheetName val="试算平衡表"/>
      <sheetName val="原TB表"/>
      <sheetName val="工资"/>
      <sheetName val="27-7"/>
      <sheetName val="dxnsjtempsheet"/>
      <sheetName val="５８D"/>
      <sheetName val="存货明细表"/>
      <sheetName val="清单12.31"/>
      <sheetName val="短期投资股票投资.dbf"/>
      <sheetName val="短期投资国债投资.dbf"/>
      <sheetName val="股票投资收益.dbf"/>
      <sheetName val="其他货币海通.dbf"/>
      <sheetName val="其他货币零领路.dbf"/>
      <sheetName val="投资收益债券.dbf"/>
      <sheetName val="营业费用测试"/>
      <sheetName val="科目余额表"/>
      <sheetName val="凭证抽查表 "/>
      <sheetName val="资产减值损失审核表"/>
      <sheetName val="坯布"/>
      <sheetName val="材料"/>
      <sheetName val="外销"/>
      <sheetName val="Summary"/>
      <sheetName val="dghn"/>
      <sheetName val="报表项目"/>
      <sheetName val="01"/>
      <sheetName val="010"/>
      <sheetName val="011"/>
      <sheetName val="012"/>
      <sheetName val="表头（请先填写）"/>
      <sheetName val="调整分录汇总表"/>
      <sheetName val="明细表（账龄）D2-2"/>
      <sheetName val="其他应付款科目余额2005.12.31"/>
      <sheetName val="期末应付帐款明细表"/>
      <sheetName val="期初应付帐款明细表"/>
    </sheetNames>
    <sheetDataSet>
      <sheetData sheetId="0">
        <row r="15">
          <cell r="D15" t="str">
            <v>货币资金</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19"/>
  <sheetViews>
    <sheetView tabSelected="1" workbookViewId="0"/>
  </sheetViews>
  <sheetFormatPr defaultColWidth="9" defaultRowHeight="20.100000000000001" customHeight="1"/>
  <cols>
    <col min="1" max="1" width="77.59765625" style="24" customWidth="1"/>
    <col min="2" max="2" width="2" style="24" customWidth="1"/>
    <col min="3" max="3" width="2.09765625" style="24" customWidth="1"/>
    <col min="4" max="4" width="6.09765625" style="24" customWidth="1"/>
    <col min="5" max="5" width="22.69921875" style="24" customWidth="1"/>
    <col min="6" max="6" width="9.69921875" style="210" customWidth="1"/>
    <col min="7" max="16384" width="9" style="24"/>
  </cols>
  <sheetData>
    <row r="1" spans="1:8" s="26" customFormat="1" ht="20.100000000000001" customHeight="1">
      <c r="A1" s="27" t="s">
        <v>94</v>
      </c>
      <c r="F1" s="81"/>
    </row>
    <row r="2" spans="1:8" ht="20.100000000000001" customHeight="1">
      <c r="A2" s="79" t="s">
        <v>306</v>
      </c>
      <c r="B2" s="80"/>
      <c r="C2" s="80"/>
      <c r="D2" s="81"/>
      <c r="E2" s="81"/>
      <c r="F2" s="81"/>
      <c r="G2" s="80"/>
      <c r="H2" s="80"/>
    </row>
    <row r="3" spans="1:8" ht="20.100000000000001" customHeight="1">
      <c r="A3" s="230" t="s">
        <v>318</v>
      </c>
      <c r="B3" s="80"/>
      <c r="C3" s="80"/>
      <c r="D3" s="56" t="s">
        <v>95</v>
      </c>
      <c r="E3" s="56" t="s">
        <v>33</v>
      </c>
      <c r="F3" s="56" t="s">
        <v>1</v>
      </c>
      <c r="G3" s="56" t="s">
        <v>2</v>
      </c>
      <c r="H3" s="82"/>
    </row>
    <row r="4" spans="1:8" ht="20.100000000000001" customHeight="1">
      <c r="A4" s="225" t="s">
        <v>307</v>
      </c>
      <c r="B4" s="80"/>
      <c r="C4" s="80"/>
      <c r="D4" s="56">
        <v>1</v>
      </c>
      <c r="E4" s="212" t="s">
        <v>210</v>
      </c>
      <c r="F4" s="209" t="s">
        <v>211</v>
      </c>
      <c r="G4" s="57"/>
      <c r="H4" s="82"/>
    </row>
    <row r="5" spans="1:8" ht="20.100000000000001" customHeight="1">
      <c r="A5" s="225" t="s">
        <v>308</v>
      </c>
      <c r="D5" s="56">
        <v>2</v>
      </c>
      <c r="E5" s="212" t="s">
        <v>212</v>
      </c>
      <c r="F5" s="209" t="s">
        <v>207</v>
      </c>
      <c r="G5" s="57"/>
      <c r="H5" s="80"/>
    </row>
    <row r="6" spans="1:8" ht="20.100000000000001" customHeight="1">
      <c r="A6" s="225" t="s">
        <v>309</v>
      </c>
      <c r="D6" s="56">
        <v>3</v>
      </c>
      <c r="E6" s="212" t="s">
        <v>213</v>
      </c>
      <c r="F6" s="209"/>
      <c r="G6" s="57"/>
      <c r="H6" s="146" t="s">
        <v>217</v>
      </c>
    </row>
    <row r="7" spans="1:8" ht="20.100000000000001" customHeight="1">
      <c r="A7" s="225" t="s">
        <v>310</v>
      </c>
      <c r="D7" s="56">
        <v>4</v>
      </c>
      <c r="E7" s="212" t="s">
        <v>214</v>
      </c>
      <c r="F7" s="209"/>
      <c r="G7" s="57"/>
      <c r="H7" s="146" t="s">
        <v>217</v>
      </c>
    </row>
    <row r="8" spans="1:8" ht="20.100000000000001" customHeight="1">
      <c r="A8" s="83"/>
      <c r="D8" s="56">
        <v>5</v>
      </c>
      <c r="E8" s="212" t="s">
        <v>209</v>
      </c>
      <c r="F8" s="209" t="s">
        <v>215</v>
      </c>
      <c r="G8" s="57"/>
    </row>
    <row r="9" spans="1:8" ht="20.100000000000001" customHeight="1">
      <c r="A9" s="231" t="s">
        <v>319</v>
      </c>
      <c r="D9" s="56">
        <v>6</v>
      </c>
      <c r="E9" s="212" t="s">
        <v>194</v>
      </c>
      <c r="F9" s="209" t="s">
        <v>216</v>
      </c>
      <c r="G9" s="57"/>
    </row>
    <row r="10" spans="1:8" ht="20.100000000000001" customHeight="1">
      <c r="A10" s="233" t="s">
        <v>320</v>
      </c>
      <c r="D10" s="56">
        <v>7</v>
      </c>
      <c r="E10" s="212" t="s">
        <v>293</v>
      </c>
      <c r="F10" s="209" t="s">
        <v>208</v>
      </c>
      <c r="G10" s="57"/>
    </row>
    <row r="11" spans="1:8" ht="20.100000000000001" customHeight="1">
      <c r="A11" s="233"/>
      <c r="E11" s="211"/>
    </row>
    <row r="12" spans="1:8" ht="20.100000000000001" customHeight="1">
      <c r="A12" s="233"/>
    </row>
    <row r="13" spans="1:8" ht="20.100000000000001" customHeight="1">
      <c r="A13" s="233"/>
    </row>
    <row r="14" spans="1:8" ht="20.100000000000001" customHeight="1">
      <c r="A14" s="233" t="s">
        <v>321</v>
      </c>
    </row>
    <row r="15" spans="1:8" ht="20.100000000000001" customHeight="1">
      <c r="A15" s="233"/>
    </row>
    <row r="16" spans="1:8" ht="20.100000000000001" customHeight="1">
      <c r="A16" s="233"/>
    </row>
    <row r="17" spans="1:1" ht="35.25" customHeight="1">
      <c r="A17" s="234" t="s">
        <v>322</v>
      </c>
    </row>
    <row r="18" spans="1:1" ht="15.6">
      <c r="A18" s="234"/>
    </row>
    <row r="19" spans="1:1" ht="20.100000000000001" customHeight="1">
      <c r="A19" s="234"/>
    </row>
  </sheetData>
  <mergeCells count="3">
    <mergeCell ref="A10:A13"/>
    <mergeCell ref="A14:A16"/>
    <mergeCell ref="A17:A19"/>
  </mergeCells>
  <phoneticPr fontId="43" type="noConversion"/>
  <hyperlinks>
    <hyperlink ref="E6" location="'附注披露信息（上市公司）'!A1" display="附注披露信息(上市公司)"/>
    <hyperlink ref="E7" location="'附注披露信息（国有企业）'!A1" display="附注披露信息(国企)"/>
    <hyperlink ref="E8" location="'明细表M6-2'!A1" display="明细表"/>
    <hyperlink ref="E5" location="'审定表M6-1'!A1" display="审定表"/>
    <hyperlink ref="E10" location="'未分配利润检查表M6-4'!A1" display="未分配利润检查表"/>
    <hyperlink ref="E4" location="'未分配利润实质性程序表 M6A '!A1" display="未分配利润实质性程序表"/>
    <hyperlink ref="E9" location="'调整分录汇总M6-3'!A1" display="调整分录汇总"/>
  </hyperlinks>
  <pageMargins left="0.75" right="0.75" top="1" bottom="1" header="0.5" footer="0.5"/>
  <pageSetup paperSize="9" orientation="portrait"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24"/>
  <sheetViews>
    <sheetView view="pageBreakPreview" zoomScaleNormal="110" zoomScaleSheetLayoutView="100" workbookViewId="0">
      <selection sqref="A1:I1"/>
    </sheetView>
  </sheetViews>
  <sheetFormatPr defaultColWidth="9" defaultRowHeight="13.8"/>
  <cols>
    <col min="1" max="1" width="5" style="85" customWidth="1"/>
    <col min="2" max="2" width="59" style="85" customWidth="1"/>
    <col min="3" max="3" width="10.3984375" style="85" customWidth="1"/>
    <col min="4" max="4" width="5.59765625" style="103" customWidth="1"/>
    <col min="5" max="5" width="6.59765625" style="85" customWidth="1"/>
    <col min="6" max="6" width="7.3984375" style="85" customWidth="1"/>
    <col min="7" max="7" width="7.5" style="85" customWidth="1"/>
    <col min="8" max="8" width="6.19921875" style="85" customWidth="1"/>
    <col min="9" max="9" width="8.59765625" style="85" customWidth="1"/>
    <col min="10" max="10" width="56.796875" style="84" customWidth="1"/>
    <col min="11" max="11" width="14.69921875" style="84" customWidth="1"/>
    <col min="12" max="16384" width="9" style="85"/>
  </cols>
  <sheetData>
    <row r="1" spans="1:12" ht="19.95" customHeight="1">
      <c r="A1" s="235" t="s">
        <v>34</v>
      </c>
      <c r="B1" s="235"/>
      <c r="C1" s="235"/>
      <c r="D1" s="235"/>
      <c r="E1" s="235"/>
      <c r="F1" s="235"/>
      <c r="G1" s="235"/>
      <c r="H1" s="235"/>
      <c r="I1" s="235"/>
    </row>
    <row r="2" spans="1:12" ht="19.95" customHeight="1">
      <c r="A2" s="236" t="s">
        <v>287</v>
      </c>
      <c r="B2" s="236"/>
      <c r="C2" s="236"/>
      <c r="D2" s="236"/>
      <c r="E2" s="236"/>
      <c r="F2" s="236"/>
      <c r="G2" s="236"/>
      <c r="H2" s="236"/>
      <c r="I2" s="236"/>
    </row>
    <row r="3" spans="1:12" ht="19.95" customHeight="1">
      <c r="A3" s="86" t="str">
        <f>底稿目录!A2</f>
        <v>被审计单位：</v>
      </c>
      <c r="B3" s="86"/>
      <c r="C3" s="87" t="str">
        <f>底稿目录!A4</f>
        <v>编制人：</v>
      </c>
      <c r="D3" s="88"/>
      <c r="E3" s="86" t="str">
        <f>底稿目录!A5</f>
        <v>编制日期：</v>
      </c>
      <c r="G3" s="86"/>
      <c r="H3" s="86" t="s">
        <v>98</v>
      </c>
      <c r="I3" s="214" t="str">
        <f>底稿目录!F4</f>
        <v>M6A</v>
      </c>
    </row>
    <row r="4" spans="1:12" ht="19.95" customHeight="1">
      <c r="A4" s="86" t="str">
        <f>底稿目录!A3</f>
        <v>截止日：202X年12月31日</v>
      </c>
      <c r="B4" s="86"/>
      <c r="C4" s="87" t="str">
        <f>底稿目录!A6</f>
        <v>复核人：</v>
      </c>
      <c r="D4" s="88"/>
      <c r="E4" s="86" t="str">
        <f>底稿目录!A7</f>
        <v>复核日期：</v>
      </c>
      <c r="G4" s="86"/>
      <c r="H4" s="86" t="s">
        <v>221</v>
      </c>
      <c r="I4" s="89"/>
    </row>
    <row r="5" spans="1:12" ht="19.95" customHeight="1">
      <c r="A5" s="237" t="s">
        <v>101</v>
      </c>
      <c r="B5" s="237"/>
      <c r="C5" s="86"/>
      <c r="D5" s="88"/>
      <c r="E5" s="86"/>
      <c r="F5" s="86"/>
      <c r="G5" s="86"/>
      <c r="H5" s="86"/>
      <c r="I5" s="86"/>
    </row>
    <row r="6" spans="1:12" ht="19.95" customHeight="1">
      <c r="A6" s="180" t="s">
        <v>222</v>
      </c>
      <c r="C6" s="86"/>
      <c r="D6" s="88"/>
      <c r="E6" s="86"/>
      <c r="F6" s="86"/>
      <c r="G6" s="86"/>
      <c r="H6" s="86"/>
      <c r="I6" s="86"/>
    </row>
    <row r="7" spans="1:12" ht="19.95" customHeight="1">
      <c r="A7" s="181" t="s">
        <v>223</v>
      </c>
      <c r="B7" s="165"/>
      <c r="C7" s="165"/>
      <c r="D7" s="88"/>
      <c r="E7" s="86"/>
      <c r="F7" s="86"/>
      <c r="G7" s="86"/>
      <c r="H7" s="86"/>
      <c r="I7" s="86"/>
      <c r="J7" s="94"/>
      <c r="K7" s="94"/>
    </row>
    <row r="8" spans="1:12" ht="19.95" customHeight="1">
      <c r="A8" s="240" t="s">
        <v>224</v>
      </c>
      <c r="B8" s="240"/>
      <c r="C8" s="240"/>
      <c r="D8" s="240"/>
      <c r="E8" s="240"/>
      <c r="F8" s="240"/>
      <c r="G8" s="238" t="s">
        <v>105</v>
      </c>
      <c r="H8" s="238"/>
      <c r="I8" s="238"/>
      <c r="J8" s="94"/>
      <c r="K8" s="94"/>
    </row>
    <row r="9" spans="1:12" ht="19.95" customHeight="1">
      <c r="A9" s="241" t="s">
        <v>206</v>
      </c>
      <c r="B9" s="241"/>
      <c r="C9" s="241"/>
      <c r="D9" s="241"/>
      <c r="E9" s="241"/>
      <c r="F9" s="241"/>
      <c r="G9" s="239" t="s">
        <v>312</v>
      </c>
      <c r="H9" s="239"/>
      <c r="I9" s="239"/>
      <c r="J9" s="94"/>
      <c r="K9" s="94"/>
    </row>
    <row r="10" spans="1:12" ht="19.95" customHeight="1">
      <c r="A10" s="241" t="s">
        <v>314</v>
      </c>
      <c r="B10" s="241"/>
      <c r="C10" s="241"/>
      <c r="D10" s="241"/>
      <c r="E10" s="241"/>
      <c r="F10" s="241"/>
      <c r="G10" s="239" t="s">
        <v>311</v>
      </c>
      <c r="H10" s="239"/>
      <c r="I10" s="239"/>
      <c r="J10" s="94"/>
      <c r="K10" s="94"/>
    </row>
    <row r="11" spans="1:12" ht="19.95" customHeight="1">
      <c r="A11" s="241" t="s">
        <v>315</v>
      </c>
      <c r="B11" s="241"/>
      <c r="C11" s="241"/>
      <c r="D11" s="241"/>
      <c r="E11" s="241"/>
      <c r="F11" s="241"/>
      <c r="G11" s="239" t="s">
        <v>313</v>
      </c>
      <c r="H11" s="239"/>
      <c r="I11" s="239"/>
      <c r="J11" s="94"/>
      <c r="K11" s="94"/>
    </row>
    <row r="12" spans="1:12" ht="19.95" customHeight="1">
      <c r="A12" s="241" t="s">
        <v>316</v>
      </c>
      <c r="B12" s="241"/>
      <c r="C12" s="241"/>
      <c r="D12" s="241"/>
      <c r="E12" s="241"/>
      <c r="F12" s="241"/>
      <c r="G12" s="239" t="s">
        <v>285</v>
      </c>
      <c r="H12" s="239"/>
      <c r="I12" s="239"/>
      <c r="J12" s="94"/>
      <c r="K12" s="94"/>
    </row>
    <row r="13" spans="1:12" ht="19.95" customHeight="1">
      <c r="A13" s="241" t="s">
        <v>317</v>
      </c>
      <c r="B13" s="241"/>
      <c r="C13" s="241"/>
      <c r="D13" s="241"/>
      <c r="E13" s="241"/>
      <c r="F13" s="241"/>
      <c r="G13" s="239" t="s">
        <v>286</v>
      </c>
      <c r="H13" s="239"/>
      <c r="I13" s="239"/>
      <c r="J13" s="94"/>
      <c r="K13" s="94"/>
    </row>
    <row r="14" spans="1:12" ht="19.95" customHeight="1">
      <c r="A14" s="92" t="s">
        <v>118</v>
      </c>
      <c r="J14" s="226"/>
      <c r="K14" s="227"/>
      <c r="L14" s="227"/>
    </row>
    <row r="15" spans="1:12" ht="28.5" customHeight="1">
      <c r="A15" s="243" t="s">
        <v>119</v>
      </c>
      <c r="B15" s="244" t="s">
        <v>324</v>
      </c>
      <c r="C15" s="242" t="s">
        <v>121</v>
      </c>
      <c r="D15" s="238" t="s">
        <v>225</v>
      </c>
      <c r="E15" s="238"/>
      <c r="F15" s="238"/>
      <c r="G15" s="238"/>
      <c r="H15" s="238"/>
      <c r="I15" s="242" t="s">
        <v>226</v>
      </c>
      <c r="J15" s="109"/>
      <c r="K15" s="109"/>
      <c r="L15" s="109"/>
    </row>
    <row r="16" spans="1:12" ht="38.4" customHeight="1">
      <c r="A16" s="243"/>
      <c r="B16" s="244"/>
      <c r="C16" s="242"/>
      <c r="D16" s="224" t="s">
        <v>227</v>
      </c>
      <c r="E16" s="224" t="s">
        <v>228</v>
      </c>
      <c r="F16" s="182" t="s">
        <v>229</v>
      </c>
      <c r="G16" s="182" t="s">
        <v>230</v>
      </c>
      <c r="H16" s="182" t="s">
        <v>231</v>
      </c>
      <c r="I16" s="242"/>
      <c r="J16" s="232" t="s">
        <v>323</v>
      </c>
      <c r="K16" s="112"/>
      <c r="L16" s="113"/>
    </row>
    <row r="17" spans="1:12" ht="46.2" customHeight="1">
      <c r="A17" s="228">
        <v>1</v>
      </c>
      <c r="B17" s="216" t="s">
        <v>258</v>
      </c>
      <c r="C17" s="117" t="s">
        <v>232</v>
      </c>
      <c r="D17" s="203" t="s">
        <v>272</v>
      </c>
      <c r="E17" s="203" t="s">
        <v>272</v>
      </c>
      <c r="F17" s="204"/>
      <c r="G17" s="204" t="s">
        <v>273</v>
      </c>
      <c r="H17" s="201"/>
      <c r="I17" s="215" t="s">
        <v>290</v>
      </c>
      <c r="J17" s="166"/>
      <c r="K17" s="166"/>
      <c r="L17" s="167"/>
    </row>
    <row r="18" spans="1:12" ht="52.8" customHeight="1">
      <c r="A18" s="228">
        <v>2</v>
      </c>
      <c r="B18" s="201" t="s">
        <v>234</v>
      </c>
      <c r="C18" s="117" t="s">
        <v>232</v>
      </c>
      <c r="D18" s="203"/>
      <c r="E18" s="204" t="s">
        <v>273</v>
      </c>
      <c r="F18" s="168"/>
      <c r="G18" s="203" t="s">
        <v>273</v>
      </c>
      <c r="H18" s="168"/>
      <c r="I18" s="223" t="s">
        <v>288</v>
      </c>
      <c r="J18" s="178" t="s">
        <v>219</v>
      </c>
      <c r="K18" s="166"/>
      <c r="L18" s="167"/>
    </row>
    <row r="19" spans="1:12" ht="44.4" customHeight="1">
      <c r="A19" s="228">
        <v>3</v>
      </c>
      <c r="B19" s="216" t="s">
        <v>259</v>
      </c>
      <c r="C19" s="183" t="s">
        <v>235</v>
      </c>
      <c r="D19" s="205" t="s">
        <v>272</v>
      </c>
      <c r="E19" s="206" t="s">
        <v>272</v>
      </c>
      <c r="F19" s="206" t="s">
        <v>272</v>
      </c>
      <c r="G19" s="206" t="s">
        <v>272</v>
      </c>
      <c r="H19" s="168"/>
      <c r="I19" s="229" t="s">
        <v>289</v>
      </c>
      <c r="J19" s="178" t="s">
        <v>220</v>
      </c>
      <c r="K19" s="166"/>
      <c r="L19" s="167"/>
    </row>
    <row r="20" spans="1:12" ht="102.6" customHeight="1">
      <c r="A20" s="228">
        <v>4</v>
      </c>
      <c r="B20" s="216" t="s">
        <v>268</v>
      </c>
      <c r="C20" s="183" t="s">
        <v>235</v>
      </c>
      <c r="D20" s="204" t="s">
        <v>273</v>
      </c>
      <c r="E20" s="203" t="s">
        <v>273</v>
      </c>
      <c r="F20" s="203" t="s">
        <v>273</v>
      </c>
      <c r="G20" s="168"/>
      <c r="H20" s="201"/>
      <c r="I20" s="215" t="s">
        <v>291</v>
      </c>
      <c r="J20" s="178"/>
      <c r="K20" s="166"/>
      <c r="L20" s="167"/>
    </row>
    <row r="21" spans="1:12" ht="41.4" customHeight="1">
      <c r="A21" s="228">
        <v>5</v>
      </c>
      <c r="B21" s="216" t="s">
        <v>270</v>
      </c>
      <c r="C21" s="117" t="s">
        <v>232</v>
      </c>
      <c r="D21" s="204" t="s">
        <v>273</v>
      </c>
      <c r="E21" s="203" t="s">
        <v>273</v>
      </c>
      <c r="F21" s="203" t="s">
        <v>273</v>
      </c>
      <c r="G21" s="168"/>
      <c r="H21" s="201"/>
      <c r="I21" s="215" t="s">
        <v>205</v>
      </c>
      <c r="J21" s="202"/>
      <c r="K21" s="166"/>
      <c r="L21" s="167"/>
    </row>
    <row r="22" spans="1:12" ht="41.4" customHeight="1">
      <c r="A22" s="228">
        <v>6</v>
      </c>
      <c r="B22" s="216" t="s">
        <v>271</v>
      </c>
      <c r="C22" s="183" t="s">
        <v>235</v>
      </c>
      <c r="D22" s="204" t="s">
        <v>273</v>
      </c>
      <c r="E22" s="203" t="s">
        <v>273</v>
      </c>
      <c r="F22" s="203" t="s">
        <v>273</v>
      </c>
      <c r="G22" s="168"/>
      <c r="H22" s="201"/>
      <c r="I22" s="215" t="s">
        <v>205</v>
      </c>
      <c r="J22" s="202"/>
      <c r="K22" s="166"/>
      <c r="L22" s="167"/>
    </row>
    <row r="23" spans="1:12" ht="39" customHeight="1">
      <c r="A23" s="228">
        <v>7</v>
      </c>
      <c r="B23" s="217" t="s">
        <v>236</v>
      </c>
      <c r="C23" s="117" t="s">
        <v>237</v>
      </c>
      <c r="D23" s="168"/>
      <c r="E23" s="168"/>
      <c r="F23" s="168"/>
      <c r="G23" s="168"/>
      <c r="H23" s="168" t="s">
        <v>233</v>
      </c>
      <c r="I23" s="177" t="s">
        <v>218</v>
      </c>
      <c r="J23" s="166"/>
      <c r="K23" s="166"/>
      <c r="L23" s="167"/>
    </row>
    <row r="24" spans="1:12" ht="28.5" customHeight="1"/>
  </sheetData>
  <mergeCells count="20">
    <mergeCell ref="I15:I16"/>
    <mergeCell ref="C15:C16"/>
    <mergeCell ref="D15:H15"/>
    <mergeCell ref="G10:I10"/>
    <mergeCell ref="G11:I11"/>
    <mergeCell ref="G12:I12"/>
    <mergeCell ref="G13:I13"/>
    <mergeCell ref="A10:F10"/>
    <mergeCell ref="A15:A16"/>
    <mergeCell ref="B15:B16"/>
    <mergeCell ref="A11:F11"/>
    <mergeCell ref="A12:F12"/>
    <mergeCell ref="A13:F13"/>
    <mergeCell ref="A1:I1"/>
    <mergeCell ref="A2:I2"/>
    <mergeCell ref="A5:B5"/>
    <mergeCell ref="G8:I8"/>
    <mergeCell ref="G9:I9"/>
    <mergeCell ref="A8:F8"/>
    <mergeCell ref="A9:F9"/>
  </mergeCells>
  <phoneticPr fontId="43" type="noConversion"/>
  <hyperlinks>
    <hyperlink ref="I3" location="底稿目录!A1" display="底稿目录!A1"/>
  </hyperlinks>
  <printOptions horizontalCentered="1"/>
  <pageMargins left="0.70866141732283472" right="0.70866141732283472" top="0.74803149606299213" bottom="0.74803149606299213" header="0.31496062992125984" footer="0.31496062992125984"/>
  <pageSetup paperSize="9" scale="70" fitToHeight="50" orientation="portrait" blackAndWhite="1" r:id="rId1"/>
  <headerFooter alignWithMargins="0">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M53"/>
  <sheetViews>
    <sheetView view="pageBreakPreview" topLeftCell="A41" zoomScaleNormal="110" zoomScaleSheetLayoutView="100" workbookViewId="0">
      <selection activeCell="L49" sqref="L49"/>
    </sheetView>
  </sheetViews>
  <sheetFormatPr defaultColWidth="9" defaultRowHeight="13.8" outlineLevelRow="1"/>
  <cols>
    <col min="1" max="1" width="7.796875" style="85" customWidth="1"/>
    <col min="2" max="2" width="42.796875" style="85" customWidth="1"/>
    <col min="3" max="3" width="16.59765625" style="85" customWidth="1"/>
    <col min="4" max="4" width="7.796875" style="103" customWidth="1"/>
    <col min="5" max="7" width="7.796875" style="85" customWidth="1"/>
    <col min="8" max="8" width="11.19921875" style="85" customWidth="1"/>
    <col min="9" max="9" width="11" style="85" customWidth="1"/>
    <col min="10" max="10" width="8.19921875" style="104" customWidth="1"/>
    <col min="11" max="11" width="8.09765625" style="84" customWidth="1"/>
    <col min="12" max="12" width="16.8984375" style="84" customWidth="1"/>
    <col min="13" max="16384" width="9" style="85"/>
  </cols>
  <sheetData>
    <row r="1" spans="1:13" ht="15.6">
      <c r="A1" s="245" t="s">
        <v>96</v>
      </c>
      <c r="B1" s="245"/>
      <c r="C1" s="245"/>
      <c r="D1" s="245"/>
      <c r="E1" s="245"/>
      <c r="F1" s="245"/>
      <c r="G1" s="245"/>
      <c r="H1" s="245"/>
      <c r="I1" s="245"/>
      <c r="J1" s="245"/>
    </row>
    <row r="2" spans="1:13" ht="24" customHeight="1">
      <c r="A2" s="236" t="s">
        <v>97</v>
      </c>
      <c r="B2" s="246"/>
      <c r="C2" s="246"/>
      <c r="D2" s="246"/>
      <c r="E2" s="246"/>
      <c r="F2" s="246"/>
      <c r="G2" s="246"/>
      <c r="H2" s="246"/>
      <c r="I2" s="246"/>
      <c r="J2" s="246"/>
    </row>
    <row r="3" spans="1:13" ht="20.25" customHeight="1">
      <c r="A3" s="86" t="str">
        <f>底稿目录!A2</f>
        <v>被审计单位：</v>
      </c>
      <c r="B3" s="86"/>
      <c r="C3" s="87" t="str">
        <f>底稿目录!A4</f>
        <v>编制人：</v>
      </c>
      <c r="D3" s="88"/>
      <c r="F3" s="86" t="str">
        <f>底稿目录!A5</f>
        <v>编制日期：</v>
      </c>
      <c r="G3" s="86"/>
      <c r="H3" s="86"/>
      <c r="I3" s="86" t="s">
        <v>98</v>
      </c>
      <c r="J3" s="89" t="s">
        <v>99</v>
      </c>
    </row>
    <row r="4" spans="1:13" ht="20.25" customHeight="1">
      <c r="A4" s="86" t="str">
        <f>底稿目录!A3</f>
        <v>截止日：202X年12月31日</v>
      </c>
      <c r="B4" s="86"/>
      <c r="C4" s="87" t="str">
        <f>底稿目录!A6</f>
        <v>复核人：</v>
      </c>
      <c r="D4" s="88"/>
      <c r="F4" s="86" t="str">
        <f>底稿目录!A7</f>
        <v>复核日期：</v>
      </c>
      <c r="G4" s="86"/>
      <c r="H4" s="86"/>
      <c r="I4" s="90" t="s">
        <v>100</v>
      </c>
      <c r="J4" s="89"/>
    </row>
    <row r="5" spans="1:13" ht="20.25" customHeight="1">
      <c r="A5" s="247" t="s">
        <v>101</v>
      </c>
      <c r="B5" s="247"/>
      <c r="C5" s="86"/>
      <c r="D5" s="88"/>
      <c r="E5" s="86"/>
      <c r="F5" s="86"/>
      <c r="G5" s="86"/>
      <c r="H5" s="86"/>
      <c r="I5" s="86"/>
      <c r="J5" s="89"/>
    </row>
    <row r="6" spans="1:13" ht="20.25" customHeight="1">
      <c r="A6" s="91" t="s">
        <v>102</v>
      </c>
      <c r="C6" s="86"/>
      <c r="D6" s="88"/>
      <c r="E6" s="86"/>
      <c r="F6" s="86"/>
      <c r="G6" s="86"/>
      <c r="H6" s="86"/>
      <c r="I6" s="86"/>
      <c r="J6" s="89"/>
    </row>
    <row r="7" spans="1:13" ht="20.25" customHeight="1">
      <c r="A7" s="92" t="s">
        <v>103</v>
      </c>
      <c r="B7" s="93"/>
      <c r="C7" s="93"/>
      <c r="D7" s="88"/>
      <c r="E7" s="86"/>
      <c r="F7" s="86"/>
      <c r="G7" s="86"/>
      <c r="H7" s="86"/>
      <c r="I7" s="86"/>
      <c r="J7" s="89"/>
      <c r="K7" s="94"/>
      <c r="L7" s="94"/>
    </row>
    <row r="8" spans="1:13" ht="26.25" customHeight="1">
      <c r="A8" s="248" t="s">
        <v>104</v>
      </c>
      <c r="B8" s="248"/>
      <c r="C8" s="249" t="s">
        <v>105</v>
      </c>
      <c r="D8" s="250"/>
      <c r="E8" s="250"/>
      <c r="F8" s="250"/>
      <c r="G8" s="251"/>
      <c r="H8" s="95" t="s">
        <v>106</v>
      </c>
      <c r="I8" s="96" t="s">
        <v>107</v>
      </c>
      <c r="J8" s="252"/>
      <c r="K8" s="94"/>
      <c r="L8" s="94"/>
    </row>
    <row r="9" spans="1:13" ht="30.75" customHeight="1">
      <c r="A9" s="248"/>
      <c r="B9" s="248"/>
      <c r="C9" s="96" t="s">
        <v>108</v>
      </c>
      <c r="D9" s="96" t="s">
        <v>109</v>
      </c>
      <c r="E9" s="96" t="s">
        <v>110</v>
      </c>
      <c r="F9" s="96" t="s">
        <v>111</v>
      </c>
      <c r="G9" s="96" t="s">
        <v>112</v>
      </c>
      <c r="H9" s="96"/>
      <c r="I9" s="96"/>
      <c r="J9" s="253"/>
      <c r="K9" s="94"/>
      <c r="L9" s="94"/>
    </row>
    <row r="10" spans="1:13" ht="23.25" customHeight="1">
      <c r="A10" s="262" t="s">
        <v>113</v>
      </c>
      <c r="B10" s="262"/>
      <c r="C10" s="96" t="s">
        <v>114</v>
      </c>
      <c r="D10" s="96"/>
      <c r="E10" s="96"/>
      <c r="F10" s="96"/>
      <c r="G10" s="96"/>
      <c r="H10" s="96"/>
      <c r="I10" s="97"/>
      <c r="J10" s="98"/>
      <c r="K10" s="94"/>
      <c r="L10" s="94"/>
    </row>
    <row r="11" spans="1:13" ht="31.5" customHeight="1">
      <c r="A11" s="263" t="s">
        <v>115</v>
      </c>
      <c r="B11" s="264"/>
      <c r="C11" s="99"/>
      <c r="D11" s="96" t="s">
        <v>114</v>
      </c>
      <c r="E11" s="96"/>
      <c r="F11" s="96"/>
      <c r="G11" s="96"/>
      <c r="H11" s="96"/>
      <c r="I11" s="97"/>
      <c r="J11" s="98"/>
      <c r="K11" s="94"/>
      <c r="L11" s="94"/>
    </row>
    <row r="12" spans="1:13" ht="25.5" customHeight="1">
      <c r="A12" s="263" t="s">
        <v>116</v>
      </c>
      <c r="B12" s="264"/>
      <c r="C12" s="99"/>
      <c r="D12" s="96"/>
      <c r="E12" s="96"/>
      <c r="F12" s="96" t="s">
        <v>114</v>
      </c>
      <c r="G12" s="96"/>
      <c r="H12" s="96"/>
      <c r="I12" s="97"/>
      <c r="J12" s="100"/>
      <c r="K12" s="94"/>
      <c r="L12" s="94"/>
    </row>
    <row r="13" spans="1:13" ht="25.5" customHeight="1">
      <c r="A13" s="263" t="s">
        <v>117</v>
      </c>
      <c r="B13" s="264"/>
      <c r="C13" s="99"/>
      <c r="D13" s="96"/>
      <c r="E13" s="96"/>
      <c r="F13" s="96"/>
      <c r="G13" s="96" t="s">
        <v>114</v>
      </c>
      <c r="H13" s="96"/>
      <c r="I13" s="96"/>
      <c r="J13" s="100"/>
      <c r="K13" s="94"/>
      <c r="L13" s="94"/>
    </row>
    <row r="14" spans="1:13" ht="25.5" customHeight="1">
      <c r="A14" s="101"/>
      <c r="B14" s="101"/>
      <c r="C14" s="101"/>
      <c r="D14" s="102"/>
      <c r="E14" s="102"/>
      <c r="F14" s="102"/>
      <c r="G14" s="102"/>
      <c r="H14" s="102"/>
      <c r="I14" s="100"/>
      <c r="J14" s="100"/>
      <c r="K14" s="94"/>
      <c r="L14" s="94"/>
    </row>
    <row r="15" spans="1:13" ht="20.25" customHeight="1">
      <c r="A15" s="92" t="s">
        <v>118</v>
      </c>
      <c r="K15" s="105"/>
      <c r="L15" s="106"/>
      <c r="M15" s="106"/>
    </row>
    <row r="16" spans="1:13" ht="28.5" customHeight="1">
      <c r="A16" s="107" t="s">
        <v>119</v>
      </c>
      <c r="B16" s="265" t="s">
        <v>120</v>
      </c>
      <c r="C16" s="242"/>
      <c r="D16" s="108" t="s">
        <v>121</v>
      </c>
      <c r="E16" s="266" t="s">
        <v>122</v>
      </c>
      <c r="F16" s="266"/>
      <c r="G16" s="266"/>
      <c r="H16" s="266"/>
      <c r="I16" s="242" t="s">
        <v>123</v>
      </c>
      <c r="J16" s="242"/>
      <c r="K16" s="109"/>
      <c r="L16" s="109"/>
      <c r="M16" s="109"/>
    </row>
    <row r="17" spans="1:13" ht="28.5" customHeight="1">
      <c r="A17" s="110" t="s">
        <v>124</v>
      </c>
      <c r="B17" s="254" t="s">
        <v>125</v>
      </c>
      <c r="C17" s="255"/>
      <c r="D17" s="111" t="s">
        <v>126</v>
      </c>
      <c r="E17" s="256" t="s">
        <v>127</v>
      </c>
      <c r="F17" s="257"/>
      <c r="G17" s="257"/>
      <c r="H17" s="257"/>
      <c r="I17" s="258" t="s">
        <v>128</v>
      </c>
      <c r="J17" s="259"/>
      <c r="K17" s="199" t="s">
        <v>255</v>
      </c>
      <c r="L17" s="303" t="s">
        <v>258</v>
      </c>
      <c r="M17" s="303"/>
    </row>
    <row r="18" spans="1:13" ht="43.5" customHeight="1">
      <c r="A18" s="110" t="s">
        <v>129</v>
      </c>
      <c r="B18" s="260" t="s">
        <v>130</v>
      </c>
      <c r="C18" s="255"/>
      <c r="D18" s="111" t="s">
        <v>126</v>
      </c>
      <c r="E18" s="261" t="s">
        <v>131</v>
      </c>
      <c r="F18" s="261"/>
      <c r="G18" s="261"/>
      <c r="H18" s="261"/>
      <c r="I18" s="258" t="s">
        <v>132</v>
      </c>
      <c r="J18" s="259"/>
      <c r="K18" s="199" t="s">
        <v>255</v>
      </c>
      <c r="L18" s="304"/>
      <c r="M18" s="304"/>
    </row>
    <row r="19" spans="1:13" ht="24.75" customHeight="1" outlineLevel="1">
      <c r="A19" s="115" t="s">
        <v>133</v>
      </c>
      <c r="B19" s="274" t="s">
        <v>134</v>
      </c>
      <c r="C19" s="275"/>
      <c r="D19" s="116" t="s">
        <v>126</v>
      </c>
      <c r="E19" s="276" t="s">
        <v>135</v>
      </c>
      <c r="F19" s="276"/>
      <c r="G19" s="276"/>
      <c r="H19" s="276"/>
      <c r="I19" s="272"/>
      <c r="J19" s="273"/>
      <c r="K19" s="199" t="s">
        <v>255</v>
      </c>
      <c r="L19" s="304"/>
      <c r="M19" s="304"/>
    </row>
    <row r="20" spans="1:13" ht="24.75" customHeight="1" outlineLevel="1">
      <c r="A20" s="115" t="s">
        <v>136</v>
      </c>
      <c r="B20" s="274" t="s">
        <v>137</v>
      </c>
      <c r="C20" s="275"/>
      <c r="D20" s="116" t="s">
        <v>126</v>
      </c>
      <c r="E20" s="276" t="s">
        <v>135</v>
      </c>
      <c r="F20" s="276"/>
      <c r="G20" s="276"/>
      <c r="H20" s="276"/>
      <c r="I20" s="272"/>
      <c r="J20" s="273"/>
      <c r="K20" s="199" t="s">
        <v>255</v>
      </c>
      <c r="L20" s="304"/>
      <c r="M20" s="304"/>
    </row>
    <row r="21" spans="1:13" ht="21.75" customHeight="1" outlineLevel="1">
      <c r="A21" s="115" t="s">
        <v>138</v>
      </c>
      <c r="B21" s="267" t="s">
        <v>139</v>
      </c>
      <c r="C21" s="268"/>
      <c r="D21" s="117" t="s">
        <v>140</v>
      </c>
      <c r="E21" s="269" t="s">
        <v>135</v>
      </c>
      <c r="F21" s="270"/>
      <c r="G21" s="270"/>
      <c r="H21" s="271"/>
      <c r="I21" s="272"/>
      <c r="J21" s="273"/>
      <c r="K21" s="199" t="s">
        <v>255</v>
      </c>
      <c r="L21" s="304"/>
      <c r="M21" s="304"/>
    </row>
    <row r="22" spans="1:13" ht="21.75" customHeight="1" outlineLevel="1">
      <c r="A22" s="115" t="s">
        <v>141</v>
      </c>
      <c r="B22" s="267" t="s">
        <v>142</v>
      </c>
      <c r="C22" s="268"/>
      <c r="D22" s="117" t="s">
        <v>140</v>
      </c>
      <c r="E22" s="269" t="s">
        <v>135</v>
      </c>
      <c r="F22" s="270"/>
      <c r="G22" s="270"/>
      <c r="H22" s="271"/>
      <c r="I22" s="272"/>
      <c r="J22" s="273"/>
      <c r="K22" s="199" t="s">
        <v>255</v>
      </c>
      <c r="L22" s="304"/>
      <c r="M22" s="304"/>
    </row>
    <row r="23" spans="1:13" ht="21.75" customHeight="1" outlineLevel="1">
      <c r="A23" s="115" t="s">
        <v>143</v>
      </c>
      <c r="B23" s="284" t="s">
        <v>144</v>
      </c>
      <c r="C23" s="268"/>
      <c r="D23" s="117" t="s">
        <v>140</v>
      </c>
      <c r="E23" s="269" t="s">
        <v>135</v>
      </c>
      <c r="F23" s="270"/>
      <c r="G23" s="270"/>
      <c r="H23" s="271"/>
      <c r="I23" s="272"/>
      <c r="J23" s="273"/>
      <c r="K23" s="199" t="s">
        <v>255</v>
      </c>
      <c r="L23" s="304"/>
      <c r="M23" s="304"/>
    </row>
    <row r="24" spans="1:13" ht="24.75" customHeight="1" outlineLevel="1">
      <c r="A24" s="115" t="s">
        <v>145</v>
      </c>
      <c r="B24" s="285" t="s">
        <v>146</v>
      </c>
      <c r="C24" s="275"/>
      <c r="D24" s="116" t="s">
        <v>126</v>
      </c>
      <c r="E24" s="269" t="s">
        <v>135</v>
      </c>
      <c r="F24" s="270"/>
      <c r="G24" s="270"/>
      <c r="H24" s="271"/>
      <c r="I24" s="272"/>
      <c r="J24" s="273"/>
      <c r="K24" s="199" t="s">
        <v>255</v>
      </c>
      <c r="L24" s="304"/>
      <c r="M24" s="304"/>
    </row>
    <row r="25" spans="1:13" ht="27" customHeight="1">
      <c r="A25" s="118" t="s">
        <v>147</v>
      </c>
      <c r="B25" s="277" t="s">
        <v>148</v>
      </c>
      <c r="C25" s="278"/>
      <c r="D25" s="111" t="s">
        <v>149</v>
      </c>
      <c r="E25" s="279" t="s">
        <v>127</v>
      </c>
      <c r="F25" s="280"/>
      <c r="G25" s="280"/>
      <c r="H25" s="281"/>
      <c r="I25" s="279" t="s">
        <v>150</v>
      </c>
      <c r="J25" s="281"/>
      <c r="K25" s="199" t="s">
        <v>255</v>
      </c>
      <c r="L25" s="305" t="s">
        <v>234</v>
      </c>
      <c r="M25" s="305"/>
    </row>
    <row r="26" spans="1:13" ht="27" customHeight="1" outlineLevel="1">
      <c r="A26" s="119" t="s">
        <v>151</v>
      </c>
      <c r="B26" s="282" t="s">
        <v>152</v>
      </c>
      <c r="C26" s="283"/>
      <c r="D26" s="116"/>
      <c r="E26" s="269"/>
      <c r="F26" s="270"/>
      <c r="G26" s="270"/>
      <c r="H26" s="271"/>
      <c r="I26" s="272"/>
      <c r="J26" s="273"/>
      <c r="K26" s="199" t="s">
        <v>255</v>
      </c>
      <c r="L26" s="306"/>
      <c r="M26" s="306"/>
    </row>
    <row r="27" spans="1:13" ht="27" customHeight="1" outlineLevel="1">
      <c r="A27" s="119" t="s">
        <v>153</v>
      </c>
      <c r="B27" s="282" t="s">
        <v>154</v>
      </c>
      <c r="C27" s="283"/>
      <c r="D27" s="116"/>
      <c r="E27" s="269"/>
      <c r="F27" s="270"/>
      <c r="G27" s="270"/>
      <c r="H27" s="271"/>
      <c r="I27" s="272"/>
      <c r="J27" s="273"/>
      <c r="K27" s="199" t="s">
        <v>255</v>
      </c>
      <c r="L27" s="306"/>
      <c r="M27" s="306"/>
    </row>
    <row r="28" spans="1:13" ht="34.5" customHeight="1">
      <c r="A28" s="120" t="s">
        <v>155</v>
      </c>
      <c r="B28" s="287" t="s">
        <v>156</v>
      </c>
      <c r="C28" s="288"/>
      <c r="D28" s="121" t="s">
        <v>157</v>
      </c>
      <c r="E28" s="261" t="s">
        <v>158</v>
      </c>
      <c r="F28" s="261"/>
      <c r="G28" s="261"/>
      <c r="H28" s="261"/>
      <c r="I28" s="258" t="s">
        <v>132</v>
      </c>
      <c r="J28" s="259"/>
      <c r="K28" s="199" t="s">
        <v>260</v>
      </c>
      <c r="L28" s="307" t="s">
        <v>259</v>
      </c>
      <c r="M28" s="307"/>
    </row>
    <row r="29" spans="1:13" ht="28.5" customHeight="1" outlineLevel="1">
      <c r="A29" s="122" t="s">
        <v>133</v>
      </c>
      <c r="B29" s="268" t="s">
        <v>159</v>
      </c>
      <c r="C29" s="268"/>
      <c r="D29" s="123" t="s">
        <v>157</v>
      </c>
      <c r="E29" s="276" t="s">
        <v>160</v>
      </c>
      <c r="F29" s="276"/>
      <c r="G29" s="276"/>
      <c r="H29" s="276"/>
      <c r="I29" s="272"/>
      <c r="J29" s="273"/>
      <c r="K29" s="199" t="s">
        <v>260</v>
      </c>
      <c r="L29" s="308"/>
      <c r="M29" s="308"/>
    </row>
    <row r="30" spans="1:13" ht="28.5" customHeight="1" outlineLevel="1">
      <c r="A30" s="122" t="s">
        <v>136</v>
      </c>
      <c r="B30" s="286" t="s">
        <v>161</v>
      </c>
      <c r="C30" s="268"/>
      <c r="D30" s="123" t="s">
        <v>157</v>
      </c>
      <c r="E30" s="276" t="s">
        <v>160</v>
      </c>
      <c r="F30" s="276"/>
      <c r="G30" s="276"/>
      <c r="H30" s="276"/>
      <c r="I30" s="272"/>
      <c r="J30" s="273"/>
      <c r="K30" s="199" t="s">
        <v>260</v>
      </c>
      <c r="L30" s="308"/>
      <c r="M30" s="308"/>
    </row>
    <row r="31" spans="1:13" ht="44.25" customHeight="1">
      <c r="A31" s="124" t="s">
        <v>162</v>
      </c>
      <c r="B31" s="290" t="s">
        <v>163</v>
      </c>
      <c r="C31" s="290"/>
      <c r="D31" s="121" t="s">
        <v>164</v>
      </c>
      <c r="E31" s="291" t="s">
        <v>160</v>
      </c>
      <c r="F31" s="291"/>
      <c r="G31" s="291"/>
      <c r="H31" s="291"/>
      <c r="I31" s="258" t="s">
        <v>165</v>
      </c>
      <c r="J31" s="259"/>
      <c r="K31" s="199" t="s">
        <v>261</v>
      </c>
      <c r="L31" s="114"/>
      <c r="M31" s="113"/>
    </row>
    <row r="32" spans="1:13" ht="44.25" customHeight="1" outlineLevel="1">
      <c r="A32" s="125" t="s">
        <v>133</v>
      </c>
      <c r="B32" s="292" t="s">
        <v>166</v>
      </c>
      <c r="C32" s="289"/>
      <c r="D32" s="123" t="s">
        <v>164</v>
      </c>
      <c r="E32" s="293" t="s">
        <v>160</v>
      </c>
      <c r="F32" s="293"/>
      <c r="G32" s="293"/>
      <c r="H32" s="293"/>
      <c r="I32" s="272"/>
      <c r="J32" s="273"/>
      <c r="K32" s="199" t="s">
        <v>261</v>
      </c>
      <c r="L32" s="114"/>
      <c r="M32" s="113"/>
    </row>
    <row r="33" spans="1:13" ht="42.75" customHeight="1" outlineLevel="1">
      <c r="A33" s="125" t="s">
        <v>136</v>
      </c>
      <c r="B33" s="289" t="s">
        <v>167</v>
      </c>
      <c r="C33" s="289"/>
      <c r="D33" s="123" t="s">
        <v>164</v>
      </c>
      <c r="E33" s="269" t="s">
        <v>160</v>
      </c>
      <c r="F33" s="270"/>
      <c r="G33" s="270"/>
      <c r="H33" s="271"/>
      <c r="I33" s="272"/>
      <c r="J33" s="273"/>
      <c r="K33" s="199" t="s">
        <v>261</v>
      </c>
      <c r="L33" s="114"/>
      <c r="M33" s="113"/>
    </row>
    <row r="34" spans="1:13" ht="49.5" customHeight="1">
      <c r="A34" s="110" t="s">
        <v>168</v>
      </c>
      <c r="B34" s="260" t="s">
        <v>169</v>
      </c>
      <c r="C34" s="255"/>
      <c r="D34" s="111" t="s">
        <v>126</v>
      </c>
      <c r="E34" s="261" t="s">
        <v>160</v>
      </c>
      <c r="F34" s="261"/>
      <c r="G34" s="261"/>
      <c r="H34" s="261"/>
      <c r="I34" s="258" t="s">
        <v>165</v>
      </c>
      <c r="J34" s="259"/>
      <c r="K34" s="199" t="s">
        <v>255</v>
      </c>
      <c r="L34" s="307" t="s">
        <v>267</v>
      </c>
      <c r="M34" s="307"/>
    </row>
    <row r="35" spans="1:13" ht="33.75" customHeight="1" outlineLevel="1">
      <c r="A35" s="115" t="s">
        <v>133</v>
      </c>
      <c r="B35" s="274" t="s">
        <v>170</v>
      </c>
      <c r="C35" s="275"/>
      <c r="D35" s="116" t="s">
        <v>126</v>
      </c>
      <c r="E35" s="269" t="s">
        <v>160</v>
      </c>
      <c r="F35" s="270"/>
      <c r="G35" s="270"/>
      <c r="H35" s="271"/>
      <c r="I35" s="272"/>
      <c r="J35" s="273"/>
      <c r="K35" s="199" t="s">
        <v>255</v>
      </c>
      <c r="L35" s="308"/>
      <c r="M35" s="308"/>
    </row>
    <row r="36" spans="1:13" ht="33.75" customHeight="1" outlineLevel="1">
      <c r="A36" s="122" t="s">
        <v>136</v>
      </c>
      <c r="B36" s="284" t="s">
        <v>171</v>
      </c>
      <c r="C36" s="268"/>
      <c r="D36" s="117" t="s">
        <v>140</v>
      </c>
      <c r="E36" s="269" t="s">
        <v>160</v>
      </c>
      <c r="F36" s="270"/>
      <c r="G36" s="270"/>
      <c r="H36" s="271"/>
      <c r="I36" s="272"/>
      <c r="J36" s="273"/>
      <c r="K36" s="199" t="s">
        <v>255</v>
      </c>
      <c r="L36" s="308"/>
      <c r="M36" s="308"/>
    </row>
    <row r="37" spans="1:13" ht="49.5" customHeight="1" outlineLevel="1">
      <c r="A37" s="115" t="s">
        <v>138</v>
      </c>
      <c r="B37" s="285" t="s">
        <v>269</v>
      </c>
      <c r="C37" s="275"/>
      <c r="D37" s="116" t="s">
        <v>126</v>
      </c>
      <c r="E37" s="269" t="s">
        <v>160</v>
      </c>
      <c r="F37" s="270"/>
      <c r="G37" s="270"/>
      <c r="H37" s="271"/>
      <c r="I37" s="272"/>
      <c r="J37" s="273"/>
      <c r="K37" s="199" t="s">
        <v>255</v>
      </c>
      <c r="L37" s="308"/>
      <c r="M37" s="308"/>
    </row>
    <row r="38" spans="1:13" ht="28.5" customHeight="1" outlineLevel="1">
      <c r="A38" s="126" t="s">
        <v>172</v>
      </c>
      <c r="B38" s="294" t="s">
        <v>173</v>
      </c>
      <c r="C38" s="295"/>
      <c r="D38" s="123" t="s">
        <v>164</v>
      </c>
      <c r="E38" s="269" t="s">
        <v>160</v>
      </c>
      <c r="F38" s="270"/>
      <c r="G38" s="270"/>
      <c r="H38" s="271"/>
      <c r="I38" s="296" t="s">
        <v>165</v>
      </c>
      <c r="J38" s="297"/>
      <c r="K38" s="199" t="s">
        <v>255</v>
      </c>
      <c r="L38" s="308"/>
      <c r="M38" s="308"/>
    </row>
    <row r="39" spans="1:13" ht="19.5" customHeight="1" outlineLevel="1">
      <c r="A39" s="127" t="s">
        <v>174</v>
      </c>
      <c r="B39" s="294" t="s">
        <v>262</v>
      </c>
      <c r="C39" s="295"/>
      <c r="D39" s="123" t="s">
        <v>164</v>
      </c>
      <c r="E39" s="269" t="s">
        <v>160</v>
      </c>
      <c r="F39" s="270"/>
      <c r="G39" s="270"/>
      <c r="H39" s="271"/>
      <c r="I39" s="272"/>
      <c r="J39" s="273"/>
      <c r="K39" s="199" t="s">
        <v>255</v>
      </c>
      <c r="L39" s="308"/>
      <c r="M39" s="308"/>
    </row>
    <row r="40" spans="1:13" ht="32.25" customHeight="1" outlineLevel="1">
      <c r="A40" s="127" t="s">
        <v>175</v>
      </c>
      <c r="B40" s="294" t="s">
        <v>263</v>
      </c>
      <c r="C40" s="295"/>
      <c r="D40" s="123" t="s">
        <v>164</v>
      </c>
      <c r="E40" s="269" t="s">
        <v>160</v>
      </c>
      <c r="F40" s="270"/>
      <c r="G40" s="270"/>
      <c r="H40" s="271"/>
      <c r="I40" s="272"/>
      <c r="J40" s="273"/>
      <c r="K40" s="199" t="s">
        <v>255</v>
      </c>
      <c r="L40" s="308"/>
      <c r="M40" s="308"/>
    </row>
    <row r="41" spans="1:13" ht="32.25" customHeight="1" outlineLevel="1">
      <c r="A41" s="127" t="s">
        <v>176</v>
      </c>
      <c r="B41" s="295" t="s">
        <v>264</v>
      </c>
      <c r="C41" s="295"/>
      <c r="D41" s="123" t="s">
        <v>164</v>
      </c>
      <c r="E41" s="269" t="s">
        <v>160</v>
      </c>
      <c r="F41" s="270"/>
      <c r="G41" s="270"/>
      <c r="H41" s="271"/>
      <c r="I41" s="272"/>
      <c r="J41" s="273"/>
      <c r="K41" s="199" t="s">
        <v>255</v>
      </c>
      <c r="L41" s="308"/>
      <c r="M41" s="308"/>
    </row>
    <row r="42" spans="1:13" ht="27" customHeight="1" outlineLevel="1">
      <c r="A42" s="127" t="s">
        <v>177</v>
      </c>
      <c r="B42" s="294" t="s">
        <v>265</v>
      </c>
      <c r="C42" s="295"/>
      <c r="D42" s="123" t="s">
        <v>164</v>
      </c>
      <c r="E42" s="269" t="s">
        <v>160</v>
      </c>
      <c r="F42" s="270"/>
      <c r="G42" s="270"/>
      <c r="H42" s="271"/>
      <c r="I42" s="272"/>
      <c r="J42" s="273"/>
      <c r="K42" s="199" t="s">
        <v>255</v>
      </c>
      <c r="L42" s="308"/>
      <c r="M42" s="308"/>
    </row>
    <row r="43" spans="1:13" ht="41.25" customHeight="1" outlineLevel="1">
      <c r="A43" s="127" t="s">
        <v>178</v>
      </c>
      <c r="B43" s="294" t="s">
        <v>266</v>
      </c>
      <c r="C43" s="295"/>
      <c r="D43" s="123" t="s">
        <v>164</v>
      </c>
      <c r="E43" s="269" t="s">
        <v>160</v>
      </c>
      <c r="F43" s="270"/>
      <c r="G43" s="270"/>
      <c r="H43" s="271"/>
      <c r="I43" s="272"/>
      <c r="J43" s="273"/>
      <c r="K43" s="199" t="s">
        <v>255</v>
      </c>
      <c r="L43" s="308"/>
      <c r="M43" s="308"/>
    </row>
    <row r="44" spans="1:13" ht="33" customHeight="1" outlineLevel="1">
      <c r="A44" s="122" t="s">
        <v>179</v>
      </c>
      <c r="B44" s="286" t="s">
        <v>180</v>
      </c>
      <c r="C44" s="268"/>
      <c r="D44" s="117" t="s">
        <v>140</v>
      </c>
      <c r="E44" s="276" t="s">
        <v>160</v>
      </c>
      <c r="F44" s="276"/>
      <c r="G44" s="276"/>
      <c r="H44" s="276"/>
      <c r="I44" s="272"/>
      <c r="J44" s="273"/>
      <c r="K44" s="199" t="s">
        <v>255</v>
      </c>
      <c r="L44" s="308"/>
      <c r="M44" s="308"/>
    </row>
    <row r="45" spans="1:13" ht="34.5" customHeight="1">
      <c r="A45" s="124" t="s">
        <v>181</v>
      </c>
      <c r="B45" s="313" t="s">
        <v>182</v>
      </c>
      <c r="C45" s="290"/>
      <c r="D45" s="128" t="s">
        <v>183</v>
      </c>
      <c r="E45" s="291" t="s">
        <v>160</v>
      </c>
      <c r="F45" s="291"/>
      <c r="G45" s="291"/>
      <c r="H45" s="291"/>
      <c r="I45" s="298" t="s">
        <v>165</v>
      </c>
      <c r="J45" s="299"/>
      <c r="K45" s="199" t="s">
        <v>261</v>
      </c>
      <c r="L45" s="114"/>
      <c r="M45" s="113"/>
    </row>
    <row r="46" spans="1:13" ht="43.5" customHeight="1" outlineLevel="1">
      <c r="A46" s="125" t="s">
        <v>133</v>
      </c>
      <c r="B46" s="300" t="s">
        <v>184</v>
      </c>
      <c r="C46" s="289"/>
      <c r="D46" s="129" t="s">
        <v>183</v>
      </c>
      <c r="E46" s="293" t="s">
        <v>160</v>
      </c>
      <c r="F46" s="293"/>
      <c r="G46" s="293"/>
      <c r="H46" s="293"/>
      <c r="I46" s="301"/>
      <c r="J46" s="302"/>
      <c r="K46" s="199" t="s">
        <v>261</v>
      </c>
      <c r="L46" s="114"/>
      <c r="M46" s="113"/>
    </row>
    <row r="47" spans="1:13" ht="27" customHeight="1" outlineLevel="1">
      <c r="A47" s="125" t="s">
        <v>136</v>
      </c>
      <c r="B47" s="289" t="s">
        <v>185</v>
      </c>
      <c r="C47" s="289"/>
      <c r="D47" s="129" t="s">
        <v>183</v>
      </c>
      <c r="E47" s="293" t="s">
        <v>160</v>
      </c>
      <c r="F47" s="293"/>
      <c r="G47" s="293"/>
      <c r="H47" s="293"/>
      <c r="I47" s="301"/>
      <c r="J47" s="302"/>
      <c r="K47" s="199" t="s">
        <v>261</v>
      </c>
      <c r="L47" s="114"/>
      <c r="M47" s="113"/>
    </row>
    <row r="48" spans="1:13" ht="27" customHeight="1" outlineLevel="1">
      <c r="A48" s="127" t="s">
        <v>174</v>
      </c>
      <c r="B48" s="289" t="s">
        <v>186</v>
      </c>
      <c r="C48" s="289"/>
      <c r="D48" s="129" t="s">
        <v>183</v>
      </c>
      <c r="E48" s="293" t="s">
        <v>160</v>
      </c>
      <c r="F48" s="293"/>
      <c r="G48" s="293"/>
      <c r="H48" s="293"/>
      <c r="I48" s="301"/>
      <c r="J48" s="302"/>
      <c r="K48" s="199" t="s">
        <v>261</v>
      </c>
      <c r="L48" s="114"/>
      <c r="M48" s="113"/>
    </row>
    <row r="49" spans="1:13" ht="27" customHeight="1" outlineLevel="1">
      <c r="A49" s="127" t="s">
        <v>175</v>
      </c>
      <c r="B49" s="289" t="s">
        <v>187</v>
      </c>
      <c r="C49" s="289"/>
      <c r="D49" s="129" t="s">
        <v>183</v>
      </c>
      <c r="E49" s="293" t="s">
        <v>160</v>
      </c>
      <c r="F49" s="293"/>
      <c r="G49" s="293"/>
      <c r="H49" s="293"/>
      <c r="I49" s="301"/>
      <c r="J49" s="302"/>
      <c r="K49" s="199" t="s">
        <v>261</v>
      </c>
      <c r="L49" s="114"/>
      <c r="M49" s="113"/>
    </row>
    <row r="50" spans="1:13" ht="27" customHeight="1" outlineLevel="1">
      <c r="A50" s="127" t="s">
        <v>176</v>
      </c>
      <c r="B50" s="289" t="s">
        <v>188</v>
      </c>
      <c r="C50" s="289"/>
      <c r="D50" s="129" t="s">
        <v>183</v>
      </c>
      <c r="E50" s="293" t="s">
        <v>160</v>
      </c>
      <c r="F50" s="293"/>
      <c r="G50" s="293"/>
      <c r="H50" s="293"/>
      <c r="I50" s="301"/>
      <c r="J50" s="302"/>
      <c r="K50" s="199" t="s">
        <v>261</v>
      </c>
      <c r="L50" s="114"/>
      <c r="M50" s="113"/>
    </row>
    <row r="51" spans="1:13" ht="27" customHeight="1" outlineLevel="1">
      <c r="A51" s="127" t="s">
        <v>177</v>
      </c>
      <c r="B51" s="289" t="s">
        <v>189</v>
      </c>
      <c r="C51" s="289"/>
      <c r="D51" s="129" t="s">
        <v>183</v>
      </c>
      <c r="E51" s="293" t="s">
        <v>160</v>
      </c>
      <c r="F51" s="293"/>
      <c r="G51" s="293"/>
      <c r="H51" s="293"/>
      <c r="I51" s="301"/>
      <c r="J51" s="302"/>
      <c r="K51" s="199" t="s">
        <v>261</v>
      </c>
      <c r="L51" s="114"/>
      <c r="M51" s="113"/>
    </row>
    <row r="52" spans="1:13" ht="32.25" customHeight="1">
      <c r="A52" s="130" t="s">
        <v>190</v>
      </c>
      <c r="B52" s="309" t="s">
        <v>191</v>
      </c>
      <c r="C52" s="310"/>
      <c r="D52" s="111" t="s">
        <v>126</v>
      </c>
      <c r="E52" s="279" t="s">
        <v>192</v>
      </c>
      <c r="F52" s="280"/>
      <c r="G52" s="280"/>
      <c r="H52" s="281"/>
      <c r="I52" s="311"/>
      <c r="J52" s="312"/>
      <c r="K52" s="199" t="s">
        <v>256</v>
      </c>
    </row>
    <row r="53" spans="1:13" ht="28.5" customHeight="1"/>
  </sheetData>
  <autoFilter ref="A16:J16">
    <filterColumn colId="1" showButton="0"/>
    <filterColumn colId="4" showButton="0"/>
    <filterColumn colId="5" showButton="0"/>
    <filterColumn colId="6" showButton="0"/>
    <filterColumn colId="8" showButton="0"/>
  </autoFilter>
  <mergeCells count="125">
    <mergeCell ref="L17:M24"/>
    <mergeCell ref="L25:M27"/>
    <mergeCell ref="L28:M30"/>
    <mergeCell ref="L34:M44"/>
    <mergeCell ref="B51:C51"/>
    <mergeCell ref="E51:H51"/>
    <mergeCell ref="I51:J51"/>
    <mergeCell ref="B52:C52"/>
    <mergeCell ref="E52:H52"/>
    <mergeCell ref="I52:J52"/>
    <mergeCell ref="B49:C49"/>
    <mergeCell ref="E49:H49"/>
    <mergeCell ref="I49:J49"/>
    <mergeCell ref="B50:C50"/>
    <mergeCell ref="E50:H50"/>
    <mergeCell ref="I50:J50"/>
    <mergeCell ref="B47:C47"/>
    <mergeCell ref="E47:H47"/>
    <mergeCell ref="I47:J47"/>
    <mergeCell ref="B48:C48"/>
    <mergeCell ref="E48:H48"/>
    <mergeCell ref="I48:J48"/>
    <mergeCell ref="B45:C45"/>
    <mergeCell ref="E45:H45"/>
    <mergeCell ref="I45:J45"/>
    <mergeCell ref="B46:C46"/>
    <mergeCell ref="E46:H46"/>
    <mergeCell ref="I46:J46"/>
    <mergeCell ref="B43:C43"/>
    <mergeCell ref="E43:H43"/>
    <mergeCell ref="I43:J43"/>
    <mergeCell ref="B44:C44"/>
    <mergeCell ref="E44:H44"/>
    <mergeCell ref="I44:J44"/>
    <mergeCell ref="B41:C41"/>
    <mergeCell ref="E41:H41"/>
    <mergeCell ref="I41:J41"/>
    <mergeCell ref="B42:C42"/>
    <mergeCell ref="E42:H42"/>
    <mergeCell ref="I42:J42"/>
    <mergeCell ref="B39:C39"/>
    <mergeCell ref="E39:H39"/>
    <mergeCell ref="I39:J39"/>
    <mergeCell ref="B40:C40"/>
    <mergeCell ref="E40:H40"/>
    <mergeCell ref="I40:J40"/>
    <mergeCell ref="B37:C37"/>
    <mergeCell ref="E37:H37"/>
    <mergeCell ref="I37:J37"/>
    <mergeCell ref="B38:C38"/>
    <mergeCell ref="E38:H38"/>
    <mergeCell ref="I38:J38"/>
    <mergeCell ref="B35:C35"/>
    <mergeCell ref="E35:H35"/>
    <mergeCell ref="I35:J35"/>
    <mergeCell ref="B36:C36"/>
    <mergeCell ref="E36:H36"/>
    <mergeCell ref="I36:J36"/>
    <mergeCell ref="B33:C33"/>
    <mergeCell ref="E33:H33"/>
    <mergeCell ref="I33:J33"/>
    <mergeCell ref="B34:C34"/>
    <mergeCell ref="E34:H34"/>
    <mergeCell ref="I34:J34"/>
    <mergeCell ref="B31:C31"/>
    <mergeCell ref="E31:H31"/>
    <mergeCell ref="I31:J31"/>
    <mergeCell ref="B32:C32"/>
    <mergeCell ref="E32:H32"/>
    <mergeCell ref="I32:J32"/>
    <mergeCell ref="B29:C29"/>
    <mergeCell ref="E29:H29"/>
    <mergeCell ref="I29:J29"/>
    <mergeCell ref="B30:C30"/>
    <mergeCell ref="E30:H30"/>
    <mergeCell ref="I30:J30"/>
    <mergeCell ref="B27:C27"/>
    <mergeCell ref="E27:H27"/>
    <mergeCell ref="I27:J27"/>
    <mergeCell ref="B28:C28"/>
    <mergeCell ref="E28:H28"/>
    <mergeCell ref="I28:J28"/>
    <mergeCell ref="B25:C25"/>
    <mergeCell ref="E25:H25"/>
    <mergeCell ref="I25:J25"/>
    <mergeCell ref="B26:C26"/>
    <mergeCell ref="E26:H26"/>
    <mergeCell ref="I26:J26"/>
    <mergeCell ref="B23:C23"/>
    <mergeCell ref="E23:H23"/>
    <mergeCell ref="I23:J23"/>
    <mergeCell ref="B24:C24"/>
    <mergeCell ref="E24:H24"/>
    <mergeCell ref="I24:J24"/>
    <mergeCell ref="B21:C21"/>
    <mergeCell ref="E21:H21"/>
    <mergeCell ref="I21:J21"/>
    <mergeCell ref="B22:C22"/>
    <mergeCell ref="E22:H22"/>
    <mergeCell ref="I22:J22"/>
    <mergeCell ref="B19:C19"/>
    <mergeCell ref="E19:H19"/>
    <mergeCell ref="I19:J19"/>
    <mergeCell ref="B20:C20"/>
    <mergeCell ref="E20:H20"/>
    <mergeCell ref="I20:J20"/>
    <mergeCell ref="B18:C18"/>
    <mergeCell ref="E18:H18"/>
    <mergeCell ref="I18:J18"/>
    <mergeCell ref="A10:B10"/>
    <mergeCell ref="A11:B11"/>
    <mergeCell ref="A12:B12"/>
    <mergeCell ref="A13:B13"/>
    <mergeCell ref="B16:C16"/>
    <mergeCell ref="E16:H16"/>
    <mergeCell ref="A1:J1"/>
    <mergeCell ref="A2:J2"/>
    <mergeCell ref="A5:B5"/>
    <mergeCell ref="A8:B9"/>
    <mergeCell ref="C8:G8"/>
    <mergeCell ref="J8:J9"/>
    <mergeCell ref="I16:J16"/>
    <mergeCell ref="B17:C17"/>
    <mergeCell ref="E17:H17"/>
    <mergeCell ref="I17:J17"/>
  </mergeCells>
  <phoneticPr fontId="18" type="noConversion"/>
  <printOptions horizontalCentered="1"/>
  <pageMargins left="0.47244094488188981" right="0.31496062992125984" top="0.57999999999999996" bottom="0.35" header="0.51181102362204722" footer="0.19685039370078741"/>
  <pageSetup paperSize="9" scale="16" fitToHeight="50" orientation="landscape" blackAndWhite="1" cellComments="atEnd" r:id="rId1"/>
  <headerFooter alignWithMargins="0">
    <oddFooter>&amp;R&amp;10&amp;P/&amp;N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L47"/>
  <sheetViews>
    <sheetView view="pageBreakPreview" zoomScaleNormal="130" zoomScaleSheetLayoutView="100" workbookViewId="0">
      <selection sqref="A1:L1"/>
    </sheetView>
  </sheetViews>
  <sheetFormatPr defaultColWidth="9" defaultRowHeight="23.25" customHeight="1"/>
  <cols>
    <col min="1" max="1" width="17.59765625" style="2" customWidth="1"/>
    <col min="2" max="9" width="10.5" style="2" customWidth="1"/>
    <col min="10" max="16384" width="9" style="2"/>
  </cols>
  <sheetData>
    <row r="1" spans="1:12" s="1" customFormat="1" ht="19.95" customHeight="1">
      <c r="A1" s="344" t="s">
        <v>34</v>
      </c>
      <c r="B1" s="344"/>
      <c r="C1" s="344"/>
      <c r="D1" s="344"/>
      <c r="E1" s="344"/>
      <c r="F1" s="344"/>
      <c r="G1" s="344"/>
      <c r="H1" s="344"/>
      <c r="I1" s="344"/>
      <c r="J1" s="344"/>
      <c r="K1" s="344"/>
      <c r="L1" s="344"/>
    </row>
    <row r="2" spans="1:12" s="1" customFormat="1" ht="19.95" customHeight="1">
      <c r="A2" s="345" t="s">
        <v>325</v>
      </c>
      <c r="B2" s="345"/>
      <c r="C2" s="345"/>
      <c r="D2" s="345"/>
      <c r="E2" s="345"/>
      <c r="F2" s="345"/>
      <c r="G2" s="345"/>
      <c r="H2" s="345"/>
      <c r="I2" s="345"/>
      <c r="J2" s="345"/>
      <c r="K2" s="345"/>
      <c r="L2" s="345"/>
    </row>
    <row r="3" spans="1:12" ht="19.95" customHeight="1">
      <c r="A3" s="2" t="str">
        <f>底稿目录!A2</f>
        <v>被审计单位：</v>
      </c>
      <c r="D3" s="3" t="str">
        <f>底稿目录!A4</f>
        <v>编制人：</v>
      </c>
      <c r="I3" s="2" t="str">
        <f>底稿目录!A5</f>
        <v>编制日期：</v>
      </c>
      <c r="K3" s="213" t="s">
        <v>98</v>
      </c>
      <c r="L3" s="214" t="str">
        <f>底稿目录!F5</f>
        <v>M6-1</v>
      </c>
    </row>
    <row r="4" spans="1:12" ht="19.95" customHeight="1">
      <c r="A4" s="2" t="str">
        <f>底稿目录!A3</f>
        <v>截止日：202X年12月31日</v>
      </c>
      <c r="B4" s="4"/>
      <c r="D4" s="3" t="str">
        <f>底稿目录!A6</f>
        <v>复核人：</v>
      </c>
      <c r="I4" s="2" t="str">
        <f>底稿目录!A7</f>
        <v>复核日期：</v>
      </c>
      <c r="K4" s="213" t="s">
        <v>294</v>
      </c>
      <c r="L4" s="5"/>
    </row>
    <row r="5" spans="1:12" ht="19.95" customHeight="1">
      <c r="A5" s="315" t="s">
        <v>47</v>
      </c>
      <c r="B5" s="316" t="s">
        <v>67</v>
      </c>
      <c r="C5" s="317"/>
      <c r="D5" s="317"/>
      <c r="E5" s="318"/>
      <c r="F5" s="319" t="s">
        <v>68</v>
      </c>
      <c r="G5" s="320"/>
      <c r="H5" s="320"/>
      <c r="I5" s="321"/>
      <c r="J5" s="322" t="s">
        <v>238</v>
      </c>
      <c r="K5" s="323"/>
      <c r="L5" s="324" t="s">
        <v>239</v>
      </c>
    </row>
    <row r="6" spans="1:12" ht="19.95" customHeight="1">
      <c r="A6" s="315"/>
      <c r="B6" s="62" t="s">
        <v>71</v>
      </c>
      <c r="C6" s="62" t="s">
        <v>72</v>
      </c>
      <c r="D6" s="62" t="s">
        <v>73</v>
      </c>
      <c r="E6" s="62" t="s">
        <v>74</v>
      </c>
      <c r="F6" s="62" t="s">
        <v>71</v>
      </c>
      <c r="G6" s="62" t="s">
        <v>72</v>
      </c>
      <c r="H6" s="62" t="s">
        <v>73</v>
      </c>
      <c r="I6" s="62" t="s">
        <v>74</v>
      </c>
      <c r="J6" s="185" t="s">
        <v>240</v>
      </c>
      <c r="K6" s="184" t="s">
        <v>241</v>
      </c>
      <c r="L6" s="325"/>
    </row>
    <row r="7" spans="1:12" ht="19.95" customHeight="1">
      <c r="A7" s="51" t="s">
        <v>242</v>
      </c>
      <c r="B7" s="169">
        <f>'明细表M6-2'!B25</f>
        <v>0</v>
      </c>
      <c r="C7" s="169">
        <f>'明细表M6-2'!C25</f>
        <v>0</v>
      </c>
      <c r="D7" s="169">
        <f>'明细表M6-2'!D25</f>
        <v>0</v>
      </c>
      <c r="E7" s="169">
        <f>'明细表M6-2'!E25</f>
        <v>0</v>
      </c>
      <c r="F7" s="169">
        <f>'明细表M6-2'!F25</f>
        <v>0</v>
      </c>
      <c r="G7" s="169">
        <f>'明细表M6-2'!G25</f>
        <v>0</v>
      </c>
      <c r="H7" s="169">
        <f>'明细表M6-2'!H25</f>
        <v>0</v>
      </c>
      <c r="I7" s="169">
        <f>'明细表M6-2'!I25</f>
        <v>0</v>
      </c>
      <c r="J7" s="169">
        <f>E7-I7</f>
        <v>0</v>
      </c>
      <c r="K7" s="170">
        <f>IF(AND(E7=0,J7=0),0,IF(AND(E7=0,J7&gt;0),1,J7/E7))</f>
        <v>0</v>
      </c>
      <c r="L7" s="51"/>
    </row>
    <row r="8" spans="1:12" ht="19.95" customHeight="1">
      <c r="A8" s="51"/>
      <c r="B8" s="169"/>
      <c r="C8" s="169"/>
      <c r="D8" s="169"/>
      <c r="E8" s="169"/>
      <c r="F8" s="169"/>
      <c r="G8" s="169"/>
      <c r="H8" s="169"/>
      <c r="I8" s="169"/>
      <c r="J8" s="169">
        <f>E8-I8</f>
        <v>0</v>
      </c>
      <c r="K8" s="170">
        <f>IF(AND(E8=0,J8=0),0,IF(AND(E8=0,J8&gt;0),1,J8/E8))</f>
        <v>0</v>
      </c>
      <c r="L8" s="51"/>
    </row>
    <row r="9" spans="1:12" ht="19.95" customHeight="1">
      <c r="A9" s="51"/>
      <c r="B9" s="169"/>
      <c r="C9" s="169"/>
      <c r="D9" s="169"/>
      <c r="E9" s="169"/>
      <c r="F9" s="169"/>
      <c r="G9" s="169"/>
      <c r="H9" s="169"/>
      <c r="I9" s="169"/>
      <c r="J9" s="169">
        <f>E9-I9</f>
        <v>0</v>
      </c>
      <c r="K9" s="170">
        <f>IF(AND(E9=0,J9=0),0,IF(AND(E9=0,J9&gt;0),1,J9/E9))</f>
        <v>0</v>
      </c>
      <c r="L9" s="51"/>
    </row>
    <row r="10" spans="1:12" s="61" customFormat="1" ht="19.95" customHeight="1">
      <c r="A10" s="186" t="s">
        <v>243</v>
      </c>
      <c r="B10" s="171">
        <f>SUM(B7:B9)</f>
        <v>0</v>
      </c>
      <c r="C10" s="171">
        <f t="shared" ref="C10:I10" si="0">SUM(C7:C9)</f>
        <v>0</v>
      </c>
      <c r="D10" s="171">
        <f t="shared" si="0"/>
        <v>0</v>
      </c>
      <c r="E10" s="171">
        <f t="shared" si="0"/>
        <v>0</v>
      </c>
      <c r="F10" s="171">
        <f t="shared" si="0"/>
        <v>0</v>
      </c>
      <c r="G10" s="171">
        <f t="shared" si="0"/>
        <v>0</v>
      </c>
      <c r="H10" s="171">
        <f t="shared" si="0"/>
        <v>0</v>
      </c>
      <c r="I10" s="171">
        <f t="shared" si="0"/>
        <v>0</v>
      </c>
      <c r="J10" s="171">
        <f>E10-I10</f>
        <v>0</v>
      </c>
      <c r="K10" s="172">
        <f>IF(AND(E10=0,J10=0),0,IF(AND(E10=0,J10&gt;0),1,J10/E10))</f>
        <v>0</v>
      </c>
      <c r="L10" s="60"/>
    </row>
    <row r="11" spans="1:12" s="134" customFormat="1" ht="19.95" customHeight="1">
      <c r="A11" s="131" t="s">
        <v>244</v>
      </c>
      <c r="B11" s="131"/>
      <c r="C11" s="131"/>
      <c r="D11" s="131"/>
      <c r="E11" s="173"/>
      <c r="F11" s="131"/>
      <c r="G11" s="131"/>
      <c r="H11" s="131"/>
      <c r="I11" s="173"/>
      <c r="J11" s="133"/>
      <c r="K11" s="132"/>
      <c r="L11" s="132"/>
    </row>
    <row r="12" spans="1:12" s="134" customFormat="1" ht="19.95" customHeight="1">
      <c r="A12" s="131" t="s">
        <v>245</v>
      </c>
      <c r="B12" s="131"/>
      <c r="C12" s="131"/>
      <c r="D12" s="131"/>
      <c r="E12" s="173">
        <f>E10-E11</f>
        <v>0</v>
      </c>
      <c r="F12" s="131"/>
      <c r="G12" s="131"/>
      <c r="H12" s="131"/>
      <c r="I12" s="173">
        <f>I10-I11</f>
        <v>0</v>
      </c>
      <c r="J12" s="133"/>
      <c r="K12" s="132"/>
      <c r="L12" s="132"/>
    </row>
    <row r="13" spans="1:12" ht="19.95" customHeight="1">
      <c r="A13" s="52" t="s">
        <v>3</v>
      </c>
      <c r="B13" s="3"/>
      <c r="C13" s="3"/>
      <c r="D13" s="3"/>
      <c r="E13" s="3"/>
      <c r="F13" s="187"/>
      <c r="G13" s="3"/>
    </row>
    <row r="14" spans="1:12" ht="19.95" customHeight="1">
      <c r="A14" s="6" t="s">
        <v>246</v>
      </c>
      <c r="B14" s="6"/>
      <c r="C14" s="6"/>
      <c r="D14" s="314"/>
      <c r="E14" s="314"/>
      <c r="F14" s="6"/>
      <c r="G14" s="6"/>
    </row>
    <row r="15" spans="1:12" ht="19.95" customHeight="1">
      <c r="A15" s="6" t="s">
        <v>247</v>
      </c>
      <c r="B15" s="6"/>
      <c r="C15" s="6"/>
      <c r="D15" s="6"/>
      <c r="E15" s="6"/>
      <c r="F15" s="6"/>
      <c r="G15" s="6"/>
    </row>
    <row r="16" spans="1:12" ht="19.95" customHeight="1">
      <c r="A16" s="6"/>
      <c r="B16" s="6"/>
      <c r="C16" s="6"/>
      <c r="D16" s="6"/>
      <c r="E16" s="6"/>
      <c r="F16" s="6"/>
      <c r="G16" s="6"/>
    </row>
    <row r="17" spans="1:7" ht="19.95" customHeight="1">
      <c r="A17" s="6"/>
      <c r="B17" s="6"/>
      <c r="C17" s="6"/>
      <c r="D17" s="6"/>
      <c r="E17" s="6"/>
      <c r="F17" s="6"/>
      <c r="G17" s="6"/>
    </row>
    <row r="18" spans="1:7" ht="19.95" customHeight="1">
      <c r="A18" s="7" t="s">
        <v>248</v>
      </c>
      <c r="B18" s="7"/>
      <c r="C18" s="7"/>
      <c r="D18" s="7"/>
      <c r="E18" s="7"/>
      <c r="F18" s="7"/>
      <c r="G18" s="7"/>
    </row>
    <row r="19" spans="1:7" ht="19.95" customHeight="1">
      <c r="A19" s="7"/>
      <c r="B19" s="7"/>
      <c r="C19" s="7"/>
      <c r="D19" s="7"/>
      <c r="E19" s="7"/>
      <c r="F19" s="7"/>
      <c r="G19" s="7"/>
    </row>
    <row r="20" spans="1:7" ht="19.95" customHeight="1">
      <c r="A20" s="6"/>
      <c r="B20" s="6"/>
      <c r="C20" s="6"/>
      <c r="D20" s="6"/>
      <c r="E20" s="6"/>
      <c r="F20" s="6"/>
      <c r="G20" s="6"/>
    </row>
    <row r="21" spans="1:7" ht="19.95" customHeight="1">
      <c r="A21" s="6"/>
      <c r="B21" s="6"/>
      <c r="C21" s="6"/>
      <c r="D21" s="6"/>
      <c r="E21" s="6"/>
      <c r="F21" s="6"/>
      <c r="G21" s="6"/>
    </row>
    <row r="22" spans="1:7" ht="19.95" customHeight="1">
      <c r="A22" s="139" t="s">
        <v>249</v>
      </c>
    </row>
    <row r="23" spans="1:7" ht="19.95" customHeight="1">
      <c r="A23" s="139"/>
      <c r="B23" s="6"/>
      <c r="C23" s="6"/>
      <c r="D23" s="6"/>
      <c r="E23" s="6"/>
      <c r="F23" s="6"/>
      <c r="G23" s="6"/>
    </row>
    <row r="24" spans="1:7" ht="19.95" customHeight="1">
      <c r="A24" s="139"/>
      <c r="B24" s="6"/>
      <c r="C24" s="6"/>
      <c r="D24" s="6"/>
      <c r="E24" s="6"/>
      <c r="F24" s="6"/>
      <c r="G24" s="6"/>
    </row>
    <row r="25" spans="1:7" ht="19.95" customHeight="1">
      <c r="A25" s="188" t="s">
        <v>4</v>
      </c>
      <c r="B25" s="6"/>
      <c r="C25" s="6"/>
      <c r="D25" s="6"/>
      <c r="E25" s="6"/>
      <c r="F25" s="6"/>
      <c r="G25" s="6"/>
    </row>
    <row r="27" spans="1:7" s="9" customFormat="1" ht="18" customHeight="1">
      <c r="A27" s="8"/>
    </row>
    <row r="28" spans="1:7" s="9" customFormat="1" ht="18" customHeight="1"/>
    <row r="29" spans="1:7" s="9" customFormat="1" ht="18" customHeight="1"/>
    <row r="30" spans="1:7" s="9" customFormat="1" ht="18" customHeight="1"/>
    <row r="31" spans="1:7" s="9" customFormat="1" ht="18" customHeight="1"/>
    <row r="32" spans="1:7" s="9" customFormat="1" ht="18" customHeight="1">
      <c r="A32" s="10"/>
    </row>
    <row r="33" spans="1:2" s="9" customFormat="1" ht="18" customHeight="1"/>
    <row r="34" spans="1:2" s="9" customFormat="1" ht="18" customHeight="1">
      <c r="A34" s="11"/>
    </row>
    <row r="35" spans="1:2" s="9" customFormat="1" ht="18" customHeight="1"/>
    <row r="36" spans="1:2" s="9" customFormat="1" ht="18" customHeight="1">
      <c r="A36" s="10"/>
    </row>
    <row r="37" spans="1:2" ht="18" customHeight="1">
      <c r="A37" s="10"/>
    </row>
    <row r="38" spans="1:2" ht="18" customHeight="1">
      <c r="A38" s="10"/>
    </row>
    <row r="39" spans="1:2" ht="18" customHeight="1">
      <c r="A39" s="10"/>
    </row>
    <row r="40" spans="1:2" ht="18" customHeight="1">
      <c r="A40" s="10"/>
    </row>
    <row r="41" spans="1:2" ht="18" customHeight="1">
      <c r="A41" s="9"/>
    </row>
    <row r="42" spans="1:2" ht="18" customHeight="1"/>
    <row r="43" spans="1:2" ht="18" customHeight="1">
      <c r="A43" s="10"/>
    </row>
    <row r="44" spans="1:2" ht="18" customHeight="1">
      <c r="A44" s="11"/>
    </row>
    <row r="45" spans="1:2" ht="18" customHeight="1">
      <c r="A45" s="12"/>
      <c r="B45" s="9"/>
    </row>
    <row r="46" spans="1:2" ht="18" customHeight="1">
      <c r="A46" s="12"/>
      <c r="B46" s="9"/>
    </row>
    <row r="47" spans="1:2" ht="18" customHeight="1">
      <c r="A47" s="12"/>
      <c r="B47" s="9"/>
    </row>
  </sheetData>
  <mergeCells count="8">
    <mergeCell ref="D14:E14"/>
    <mergeCell ref="A5:A6"/>
    <mergeCell ref="A1:L1"/>
    <mergeCell ref="A2:L2"/>
    <mergeCell ref="B5:E5"/>
    <mergeCell ref="F5:I5"/>
    <mergeCell ref="J5:K5"/>
    <mergeCell ref="L5:L6"/>
  </mergeCells>
  <phoneticPr fontId="18" type="noConversion"/>
  <dataValidations count="1">
    <dataValidation type="list" allowBlank="1" showInputMessage="1" showErrorMessage="1" sqref="B22">
      <formula1>"A：未见异常，可以确认。,B：经审计调整可以确认。,C：由于存在上述重大未调整事项（或审计范围受到限制无法获取充分、适当证据），不可确认。"</formula1>
    </dataValidation>
  </dataValidations>
  <hyperlinks>
    <hyperlink ref="L3" location="底稿目录!A1" display="底稿目录!A1"/>
  </hyperlinks>
  <printOptions horizontalCentered="1"/>
  <pageMargins left="0.70866141732283472" right="0.70866141732283472" top="0.74803149606299213" bottom="0.74803149606299213" header="0.31496062992125984" footer="0.31496062992125984"/>
  <pageSetup paperSize="9" scale="90" orientation="landscape" blackAndWhite="1" r:id="rId1"/>
  <headerFooter alignWithMargins="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S30"/>
  <sheetViews>
    <sheetView view="pageBreakPreview" zoomScaleSheetLayoutView="100" workbookViewId="0">
      <selection activeCell="F3" sqref="F3"/>
    </sheetView>
  </sheetViews>
  <sheetFormatPr defaultColWidth="9" defaultRowHeight="15.6"/>
  <cols>
    <col min="1" max="1" width="58.19921875" customWidth="1"/>
    <col min="2" max="2" width="13.69921875" customWidth="1"/>
    <col min="3" max="3" width="14.69921875" customWidth="1"/>
    <col min="4" max="4" width="20.19921875" customWidth="1"/>
    <col min="5" max="5" width="7" customWidth="1"/>
    <col min="6" max="6" width="4.296875" customWidth="1"/>
  </cols>
  <sheetData>
    <row r="1" spans="1:19" s="17" customFormat="1">
      <c r="A1" s="326" t="s">
        <v>34</v>
      </c>
      <c r="B1" s="326"/>
      <c r="C1" s="326"/>
      <c r="D1" s="326"/>
      <c r="E1" s="326"/>
      <c r="F1" s="326"/>
      <c r="G1" s="66"/>
      <c r="H1" s="66"/>
      <c r="I1" s="66"/>
      <c r="J1" s="66"/>
      <c r="K1" s="66"/>
      <c r="L1" s="66"/>
      <c r="M1" s="16"/>
      <c r="N1" s="16"/>
      <c r="O1" s="16"/>
      <c r="P1" s="16"/>
      <c r="Q1" s="16"/>
      <c r="R1" s="16"/>
      <c r="S1" s="16"/>
    </row>
    <row r="2" spans="1:19" s="17" customFormat="1">
      <c r="A2" s="326" t="s">
        <v>45</v>
      </c>
      <c r="B2" s="326"/>
      <c r="C2" s="326"/>
      <c r="D2" s="326"/>
      <c r="E2" s="326"/>
      <c r="F2" s="326"/>
      <c r="G2" s="66"/>
      <c r="H2" s="66"/>
      <c r="I2" s="66"/>
      <c r="J2" s="66"/>
      <c r="K2" s="66"/>
      <c r="L2" s="66"/>
      <c r="M2" s="66"/>
      <c r="N2" s="66"/>
      <c r="O2" s="66"/>
      <c r="P2" s="66"/>
      <c r="Q2" s="66"/>
      <c r="R2" s="66"/>
      <c r="S2" s="66"/>
    </row>
    <row r="3" spans="1:19" s="13" customFormat="1" ht="13.8">
      <c r="A3" s="67" t="str">
        <f>底稿目录!A2</f>
        <v>被审计单位：</v>
      </c>
      <c r="B3" s="68" t="str">
        <f>底稿目录!A4</f>
        <v>编制人：</v>
      </c>
      <c r="C3" s="69" t="str">
        <f>底稿目录!A5</f>
        <v>编制日期：</v>
      </c>
      <c r="D3" s="64"/>
      <c r="E3" s="70" t="s">
        <v>0</v>
      </c>
      <c r="Q3" s="70"/>
      <c r="R3" s="70"/>
    </row>
    <row r="4" spans="1:19" s="13" customFormat="1" ht="13.8">
      <c r="A4" s="67" t="str">
        <f>底稿目录!A3</f>
        <v>截止日：202X年12月31日</v>
      </c>
      <c r="B4" s="68" t="str">
        <f>底稿目录!A6</f>
        <v>复核人：</v>
      </c>
      <c r="C4" s="69" t="str">
        <f>底稿目录!A7</f>
        <v>复核日期：</v>
      </c>
      <c r="D4" s="64"/>
      <c r="E4" s="70" t="s">
        <v>35</v>
      </c>
      <c r="Q4" s="70"/>
      <c r="R4" s="70"/>
    </row>
    <row r="5" spans="1:19" s="146" customFormat="1" ht="16.2" thickBot="1">
      <c r="A5" s="143" t="s">
        <v>8</v>
      </c>
      <c r="B5" s="145"/>
      <c r="C5" s="145"/>
      <c r="D5" s="145"/>
      <c r="E5" s="145"/>
      <c r="F5" s="145"/>
    </row>
    <row r="6" spans="1:19" s="146" customFormat="1" ht="12.6" thickBot="1">
      <c r="A6" s="147" t="s">
        <v>58</v>
      </c>
      <c r="B6" s="148" t="s">
        <v>9</v>
      </c>
      <c r="C6" s="149" t="s">
        <v>10</v>
      </c>
      <c r="D6" s="149" t="s">
        <v>11</v>
      </c>
      <c r="E6" s="145"/>
      <c r="F6" s="145"/>
    </row>
    <row r="7" spans="1:19" s="146" customFormat="1" ht="16.2" customHeight="1">
      <c r="A7" s="150" t="s">
        <v>59</v>
      </c>
      <c r="B7" s="151">
        <f>'明细表M6-2'!E10</f>
        <v>0</v>
      </c>
      <c r="C7" s="152">
        <f>'明细表M6-2'!I10</f>
        <v>0</v>
      </c>
      <c r="D7" s="153" t="s">
        <v>12</v>
      </c>
      <c r="E7" s="145"/>
      <c r="F7" s="145"/>
    </row>
    <row r="8" spans="1:19" s="146" customFormat="1" ht="16.2" customHeight="1">
      <c r="A8" s="150" t="s">
        <v>60</v>
      </c>
      <c r="B8" s="152">
        <f>'明细表M6-2'!E11+'明细表M6-2'!E12</f>
        <v>0</v>
      </c>
      <c r="C8" s="152">
        <f>'明细表M6-2'!I11+'明细表M6-2'!I12</f>
        <v>0</v>
      </c>
      <c r="D8" s="153" t="s">
        <v>12</v>
      </c>
      <c r="E8" s="145"/>
      <c r="F8" s="145"/>
    </row>
    <row r="9" spans="1:19" s="146" customFormat="1" ht="16.2" customHeight="1">
      <c r="A9" s="150" t="s">
        <v>61</v>
      </c>
      <c r="B9" s="152">
        <f>B7+B8</f>
        <v>0</v>
      </c>
      <c r="C9" s="152">
        <f>C7+C8</f>
        <v>0</v>
      </c>
      <c r="D9" s="153"/>
      <c r="E9" s="145"/>
      <c r="F9" s="145"/>
    </row>
    <row r="10" spans="1:19" s="146" customFormat="1" ht="16.2" customHeight="1">
      <c r="A10" s="150" t="s">
        <v>13</v>
      </c>
      <c r="B10" s="152">
        <f>'明细表M6-2'!E15</f>
        <v>0</v>
      </c>
      <c r="C10" s="152">
        <f>'明细表M6-2'!I15</f>
        <v>0</v>
      </c>
      <c r="D10" s="153" t="s">
        <v>12</v>
      </c>
      <c r="E10" s="145"/>
      <c r="F10" s="145"/>
    </row>
    <row r="11" spans="1:19" s="146" customFormat="1" ht="16.2" customHeight="1">
      <c r="A11" s="150" t="s">
        <v>198</v>
      </c>
      <c r="B11" s="152">
        <f>'明细表M6-2'!E14</f>
        <v>0</v>
      </c>
      <c r="C11" s="152">
        <f>'明细表M6-2'!I14</f>
        <v>0</v>
      </c>
      <c r="D11" s="153"/>
      <c r="E11" s="145"/>
      <c r="F11" s="145"/>
    </row>
    <row r="12" spans="1:19" s="146" customFormat="1" ht="16.2" customHeight="1">
      <c r="A12" s="150" t="s">
        <v>14</v>
      </c>
      <c r="B12" s="151">
        <f>'明细表M6-2'!E17</f>
        <v>0</v>
      </c>
      <c r="C12" s="152">
        <f>'明细表M6-2'!I17</f>
        <v>0</v>
      </c>
      <c r="D12" s="153"/>
      <c r="E12" s="145"/>
      <c r="F12" s="145"/>
    </row>
    <row r="13" spans="1:19" s="146" customFormat="1" ht="16.2" customHeight="1">
      <c r="A13" s="150" t="s">
        <v>52</v>
      </c>
      <c r="B13" s="151">
        <f>'明细表M6-2'!E18</f>
        <v>0</v>
      </c>
      <c r="C13" s="151">
        <f>'明细表M6-2'!I18</f>
        <v>0</v>
      </c>
      <c r="D13" s="154"/>
      <c r="E13" s="145"/>
      <c r="F13" s="145"/>
    </row>
    <row r="14" spans="1:19" s="146" customFormat="1" ht="16.2" customHeight="1">
      <c r="A14" s="150" t="s">
        <v>53</v>
      </c>
      <c r="B14" s="154"/>
      <c r="C14" s="154"/>
      <c r="D14" s="154"/>
      <c r="E14" s="145"/>
      <c r="F14" s="145"/>
    </row>
    <row r="15" spans="1:19" s="146" customFormat="1" ht="16.2" customHeight="1">
      <c r="A15" s="150" t="s">
        <v>54</v>
      </c>
      <c r="B15" s="151">
        <f>'明细表M6-2'!E19</f>
        <v>0</v>
      </c>
      <c r="C15" s="151">
        <f>'明细表M6-2'!I19</f>
        <v>0</v>
      </c>
      <c r="D15" s="154"/>
      <c r="E15" s="145"/>
      <c r="F15" s="145"/>
    </row>
    <row r="16" spans="1:19" s="146" customFormat="1" ht="16.2" customHeight="1">
      <c r="A16" s="150" t="s">
        <v>55</v>
      </c>
      <c r="B16" s="154"/>
      <c r="C16" s="154"/>
      <c r="D16" s="154"/>
      <c r="E16" s="145"/>
      <c r="F16" s="145"/>
    </row>
    <row r="17" spans="1:6" s="146" customFormat="1" ht="16.2" customHeight="1">
      <c r="A17" s="150" t="s">
        <v>56</v>
      </c>
      <c r="B17" s="151">
        <f>'明细表M6-2'!E20</f>
        <v>0</v>
      </c>
      <c r="C17" s="151">
        <f>'明细表M6-2'!I20</f>
        <v>0</v>
      </c>
      <c r="D17" s="154"/>
      <c r="E17" s="145"/>
      <c r="F17" s="145"/>
    </row>
    <row r="18" spans="1:6" s="146" customFormat="1" ht="16.2" customHeight="1">
      <c r="A18" s="150" t="s">
        <v>57</v>
      </c>
      <c r="B18" s="151"/>
      <c r="C18" s="154"/>
      <c r="D18" s="154"/>
      <c r="E18" s="145"/>
      <c r="F18" s="145"/>
    </row>
    <row r="19" spans="1:6" s="146" customFormat="1" ht="16.2" customHeight="1">
      <c r="A19" s="150" t="s">
        <v>15</v>
      </c>
      <c r="B19" s="151">
        <f>B9+B10+B11-SUM(B12:B17)</f>
        <v>0</v>
      </c>
      <c r="C19" s="151">
        <f>C9+C10+C11-SUM(C12:C17)</f>
        <v>0</v>
      </c>
      <c r="D19" s="154"/>
      <c r="E19" s="145"/>
      <c r="F19" s="145"/>
    </row>
    <row r="20" spans="1:6" s="146" customFormat="1" ht="16.2" customHeight="1" thickBot="1">
      <c r="A20" s="155" t="s">
        <v>16</v>
      </c>
      <c r="B20" s="156"/>
      <c r="C20" s="156"/>
      <c r="D20" s="156"/>
      <c r="E20" s="145"/>
      <c r="F20" s="145"/>
    </row>
    <row r="21" spans="1:6" s="146" customFormat="1" ht="16.2" customHeight="1">
      <c r="A21" s="157" t="s">
        <v>199</v>
      </c>
      <c r="B21" s="145"/>
      <c r="C21" s="145"/>
      <c r="D21" s="145"/>
      <c r="E21" s="145"/>
      <c r="F21" s="145"/>
    </row>
    <row r="22" spans="1:6" s="146" customFormat="1" ht="16.2" customHeight="1">
      <c r="A22" s="157" t="s">
        <v>36</v>
      </c>
      <c r="B22" s="145"/>
      <c r="C22" s="145"/>
      <c r="D22" s="145"/>
      <c r="E22" s="145"/>
      <c r="F22" s="145"/>
    </row>
    <row r="23" spans="1:6" s="146" customFormat="1" ht="16.2" customHeight="1">
      <c r="A23" s="157" t="s">
        <v>62</v>
      </c>
      <c r="B23" s="145"/>
      <c r="C23" s="145"/>
      <c r="D23" s="145"/>
      <c r="E23" s="145"/>
      <c r="F23" s="145"/>
    </row>
    <row r="24" spans="1:6" s="146" customFormat="1" ht="16.2" customHeight="1">
      <c r="A24" s="157" t="s">
        <v>63</v>
      </c>
      <c r="B24" s="145"/>
      <c r="C24" s="145"/>
      <c r="D24" s="145"/>
      <c r="E24" s="145"/>
      <c r="F24" s="145"/>
    </row>
    <row r="25" spans="1:6" s="146" customFormat="1" ht="16.2" customHeight="1">
      <c r="A25" s="157" t="s">
        <v>64</v>
      </c>
      <c r="B25" s="145"/>
      <c r="C25" s="145"/>
      <c r="D25" s="145"/>
      <c r="E25" s="145"/>
      <c r="F25" s="145"/>
    </row>
    <row r="26" spans="1:6" s="146" customFormat="1" ht="16.2" customHeight="1">
      <c r="A26" s="157" t="s">
        <v>200</v>
      </c>
      <c r="B26" s="145"/>
      <c r="C26" s="145"/>
      <c r="D26" s="145"/>
      <c r="E26" s="145"/>
      <c r="F26" s="145"/>
    </row>
    <row r="27" spans="1:6" s="146" customFormat="1" ht="16.2" customHeight="1">
      <c r="A27" s="157" t="s">
        <v>201</v>
      </c>
      <c r="B27" s="145"/>
      <c r="C27" s="145"/>
      <c r="D27" s="145"/>
      <c r="E27" s="145"/>
      <c r="F27" s="145"/>
    </row>
    <row r="28" spans="1:6" s="146" customFormat="1" ht="16.2" customHeight="1">
      <c r="A28" s="157" t="s">
        <v>202</v>
      </c>
      <c r="B28" s="145"/>
      <c r="C28" s="145"/>
      <c r="D28" s="145"/>
      <c r="E28" s="145"/>
      <c r="F28" s="145"/>
    </row>
    <row r="29" spans="1:6" s="146" customFormat="1" ht="16.2" customHeight="1">
      <c r="A29" s="158" t="s">
        <v>203</v>
      </c>
      <c r="B29" s="145"/>
      <c r="C29" s="145"/>
      <c r="D29" s="145"/>
      <c r="E29" s="145"/>
      <c r="F29" s="145"/>
    </row>
    <row r="30" spans="1:6" s="146" customFormat="1" ht="16.2" customHeight="1">
      <c r="A30" s="159" t="s">
        <v>65</v>
      </c>
      <c r="B30" s="145"/>
      <c r="C30" s="145"/>
      <c r="D30" s="145"/>
      <c r="E30" s="145"/>
      <c r="F30" s="145"/>
    </row>
  </sheetData>
  <mergeCells count="2">
    <mergeCell ref="A1:F1"/>
    <mergeCell ref="A2:F2"/>
  </mergeCells>
  <phoneticPr fontId="18" type="noConversion"/>
  <pageMargins left="0.70866141732283472" right="0.70866141732283472" top="0.74803149606299213" bottom="0.74803149606299213" header="0.31496062992125984" footer="0.31496062992125984"/>
  <pageSetup paperSize="9" scale="69" orientation="portrait" blackAndWhite="1" r:id="rId1"/>
  <colBreaks count="1" manualBreakCount="1">
    <brk id="6"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9"/>
  <sheetViews>
    <sheetView view="pageBreakPreview" zoomScaleSheetLayoutView="100" workbookViewId="0">
      <selection activeCell="G10" sqref="G10"/>
    </sheetView>
  </sheetViews>
  <sheetFormatPr defaultColWidth="9" defaultRowHeight="15.6"/>
  <cols>
    <col min="1" max="1" width="43.69921875" customWidth="1"/>
    <col min="2" max="2" width="13.69921875" customWidth="1"/>
    <col min="3" max="3" width="19.8984375" customWidth="1"/>
    <col min="4" max="4" width="7" customWidth="1"/>
    <col min="5" max="5" width="11.09765625" customWidth="1"/>
  </cols>
  <sheetData>
    <row r="1" spans="1:18" s="17" customFormat="1" ht="20.100000000000001" customHeight="1">
      <c r="A1" s="326" t="s">
        <v>34</v>
      </c>
      <c r="B1" s="326"/>
      <c r="C1" s="326"/>
      <c r="D1" s="326"/>
      <c r="E1" s="326"/>
      <c r="F1" s="66"/>
      <c r="G1" s="66"/>
      <c r="H1" s="66"/>
      <c r="I1" s="66"/>
      <c r="J1" s="66"/>
      <c r="K1" s="66"/>
      <c r="L1" s="16"/>
      <c r="M1" s="16"/>
      <c r="N1" s="16"/>
      <c r="O1" s="16"/>
      <c r="P1" s="16"/>
      <c r="Q1" s="16"/>
      <c r="R1" s="16"/>
    </row>
    <row r="2" spans="1:18" s="17" customFormat="1" ht="25.05" customHeight="1">
      <c r="A2" s="326" t="s">
        <v>46</v>
      </c>
      <c r="B2" s="326"/>
      <c r="C2" s="326"/>
      <c r="D2" s="326"/>
      <c r="E2" s="326"/>
      <c r="F2" s="66"/>
      <c r="G2" s="66"/>
      <c r="H2" s="66"/>
      <c r="I2" s="66"/>
      <c r="J2" s="66"/>
      <c r="K2" s="66"/>
      <c r="L2" s="66"/>
      <c r="M2" s="66"/>
      <c r="N2" s="66"/>
      <c r="O2" s="66"/>
      <c r="P2" s="66"/>
      <c r="Q2" s="66"/>
      <c r="R2" s="66"/>
    </row>
    <row r="3" spans="1:18" s="13" customFormat="1" ht="20.100000000000001" customHeight="1">
      <c r="A3" s="67" t="str">
        <f>底稿目录!A2</f>
        <v>被审计单位：</v>
      </c>
      <c r="B3" s="68" t="str">
        <f>底稿目录!A4</f>
        <v>编制人：</v>
      </c>
      <c r="C3" s="71" t="str">
        <f>底稿目录!A5</f>
        <v>编制日期：</v>
      </c>
      <c r="D3" s="70" t="s">
        <v>0</v>
      </c>
      <c r="P3" s="70"/>
      <c r="Q3" s="70"/>
    </row>
    <row r="4" spans="1:18" s="13" customFormat="1" ht="20.100000000000001" customHeight="1">
      <c r="A4" s="67" t="str">
        <f>底稿目录!A3</f>
        <v>截止日：202X年12月31日</v>
      </c>
      <c r="B4" s="68" t="str">
        <f>底稿目录!A6</f>
        <v>复核人：</v>
      </c>
      <c r="C4" s="71" t="str">
        <f>底稿目录!A7</f>
        <v>复核日期：</v>
      </c>
      <c r="D4" s="70" t="s">
        <v>35</v>
      </c>
      <c r="P4" s="70"/>
      <c r="Q4" s="70"/>
    </row>
    <row r="5" spans="1:18" s="146" customFormat="1" ht="20.100000000000001" customHeight="1" thickBot="1">
      <c r="A5" s="144" t="s">
        <v>8</v>
      </c>
      <c r="B5" s="145"/>
      <c r="C5" s="145"/>
      <c r="D5" s="145"/>
      <c r="E5" s="145"/>
    </row>
    <row r="6" spans="1:18" s="146" customFormat="1" ht="20.100000000000001" customHeight="1" thickBot="1">
      <c r="A6" s="147" t="s">
        <v>58</v>
      </c>
      <c r="B6" s="148" t="s">
        <v>37</v>
      </c>
      <c r="C6" s="148" t="s">
        <v>204</v>
      </c>
      <c r="D6" s="145"/>
      <c r="E6" s="145"/>
    </row>
    <row r="7" spans="1:18" s="146" customFormat="1" ht="20.100000000000001" customHeight="1">
      <c r="A7" s="146" t="s">
        <v>195</v>
      </c>
      <c r="B7" s="160">
        <f>'明细表M6-2'!E10</f>
        <v>0</v>
      </c>
      <c r="C7" s="160">
        <f>'明细表M6-2'!I10</f>
        <v>0</v>
      </c>
      <c r="D7" s="145"/>
      <c r="E7" s="145"/>
    </row>
    <row r="8" spans="1:18" s="146" customFormat="1" ht="20.100000000000001" customHeight="1">
      <c r="A8" s="146" t="s">
        <v>196</v>
      </c>
      <c r="B8" s="160">
        <f>'明细表M6-2'!E12+'明细表M6-2'!E11</f>
        <v>0</v>
      </c>
      <c r="C8" s="160">
        <f>'明细表M6-2'!I12+'明细表M6-2'!I11</f>
        <v>0</v>
      </c>
      <c r="D8" s="145"/>
      <c r="E8" s="145"/>
    </row>
    <row r="9" spans="1:18" s="146" customFormat="1" ht="20.100000000000001" customHeight="1">
      <c r="A9" s="161" t="s">
        <v>38</v>
      </c>
      <c r="B9" s="162">
        <f>'明细表M6-2'!E13</f>
        <v>0</v>
      </c>
      <c r="C9" s="162">
        <f>'明细表M6-2'!I13</f>
        <v>0</v>
      </c>
      <c r="D9" s="145"/>
      <c r="E9" s="145"/>
    </row>
    <row r="10" spans="1:18" s="146" customFormat="1" ht="20.100000000000001" customHeight="1">
      <c r="A10" s="161" t="s">
        <v>39</v>
      </c>
      <c r="B10" s="162">
        <f>'明细表M6-2'!E15+'明细表M6-2'!E14</f>
        <v>0</v>
      </c>
      <c r="C10" s="162">
        <f>'明细表M6-2'!I15+'明细表M6-2'!I14</f>
        <v>0</v>
      </c>
      <c r="D10" s="145"/>
      <c r="E10" s="145"/>
    </row>
    <row r="11" spans="1:18" s="146" customFormat="1" ht="20.100000000000001" customHeight="1">
      <c r="A11" s="161" t="s">
        <v>40</v>
      </c>
      <c r="B11" s="162">
        <f>'明细表M6-2'!E15</f>
        <v>0</v>
      </c>
      <c r="C11" s="162">
        <f>'明细表M6-2'!I15</f>
        <v>0</v>
      </c>
      <c r="D11" s="145"/>
      <c r="E11" s="145"/>
    </row>
    <row r="12" spans="1:18" s="146" customFormat="1" ht="20.100000000000001" customHeight="1">
      <c r="A12" s="161" t="s">
        <v>51</v>
      </c>
      <c r="B12" s="162"/>
      <c r="C12" s="162"/>
      <c r="D12" s="145"/>
      <c r="E12" s="145"/>
    </row>
    <row r="13" spans="1:18" s="146" customFormat="1" ht="20.100000000000001" customHeight="1">
      <c r="A13" s="161" t="s">
        <v>41</v>
      </c>
      <c r="B13" s="162">
        <f>'明细表M6-2'!E16</f>
        <v>0</v>
      </c>
      <c r="C13" s="162">
        <f>'明细表M6-2'!I16</f>
        <v>0</v>
      </c>
      <c r="D13" s="145"/>
      <c r="E13" s="145"/>
    </row>
    <row r="14" spans="1:18" s="146" customFormat="1" ht="20.100000000000001" customHeight="1">
      <c r="A14" s="161" t="s">
        <v>42</v>
      </c>
      <c r="B14" s="162">
        <f>'明细表M6-2'!E17+'明细表M6-2'!E18</f>
        <v>0</v>
      </c>
      <c r="C14" s="162">
        <f>'明细表M6-2'!I17+'明细表M6-2'!I18</f>
        <v>0</v>
      </c>
      <c r="D14" s="145"/>
      <c r="E14" s="145"/>
    </row>
    <row r="15" spans="1:18" s="146" customFormat="1" ht="20.100000000000001" customHeight="1">
      <c r="A15" s="161" t="s">
        <v>197</v>
      </c>
      <c r="B15" s="153"/>
      <c r="C15" s="153"/>
      <c r="D15" s="145"/>
      <c r="E15" s="145"/>
    </row>
    <row r="16" spans="1:18" s="146" customFormat="1" ht="20.100000000000001" customHeight="1">
      <c r="A16" s="161" t="s">
        <v>49</v>
      </c>
      <c r="B16" s="152">
        <f>'明细表M6-2'!E19</f>
        <v>0</v>
      </c>
      <c r="C16" s="152">
        <f>'明细表M6-2'!I19</f>
        <v>0</v>
      </c>
      <c r="D16" s="145"/>
      <c r="E16" s="145"/>
    </row>
    <row r="17" spans="1:5" s="146" customFormat="1" ht="20.100000000000001" customHeight="1">
      <c r="A17" s="161" t="s">
        <v>50</v>
      </c>
      <c r="B17" s="152">
        <f>'明细表M6-2'!E20</f>
        <v>0</v>
      </c>
      <c r="C17" s="152">
        <f>'明细表M6-2'!I20</f>
        <v>0</v>
      </c>
      <c r="D17" s="145"/>
      <c r="E17" s="145"/>
    </row>
    <row r="18" spans="1:5" s="146" customFormat="1" ht="12">
      <c r="A18" s="161" t="s">
        <v>48</v>
      </c>
      <c r="B18" s="153"/>
      <c r="C18" s="153"/>
    </row>
    <row r="19" spans="1:5" s="146" customFormat="1" ht="12.6" thickBot="1">
      <c r="A19" s="163" t="s">
        <v>43</v>
      </c>
      <c r="B19" s="164">
        <f>B9+B10-B13</f>
        <v>0</v>
      </c>
      <c r="C19" s="164">
        <f>C9+C10-C13</f>
        <v>0</v>
      </c>
    </row>
  </sheetData>
  <mergeCells count="2">
    <mergeCell ref="A1:E1"/>
    <mergeCell ref="A2:E2"/>
  </mergeCells>
  <phoneticPr fontId="18" type="noConversion"/>
  <pageMargins left="0.70866141732283472" right="0.70866141732283472" top="0.74803149606299213" bottom="0.74803149606299213" header="0.31496062992125984" footer="0.31496062992125984"/>
  <pageSetup paperSize="9" scale="79" orientation="portrait" blackAndWhite="1"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2"/>
  <sheetViews>
    <sheetView view="pageBreakPreview" zoomScaleSheetLayoutView="100" workbookViewId="0">
      <selection sqref="A1:K1"/>
    </sheetView>
  </sheetViews>
  <sheetFormatPr defaultColWidth="9" defaultRowHeight="15.6"/>
  <cols>
    <col min="1" max="1" width="23.09765625" style="24" customWidth="1"/>
    <col min="2" max="9" width="11" style="24" customWidth="1"/>
    <col min="10" max="10" width="11.19921875" style="24" customWidth="1"/>
    <col min="11" max="11" width="13" style="24" customWidth="1"/>
    <col min="12" max="12" width="12.69921875" style="24" customWidth="1"/>
    <col min="13" max="16384" width="9" style="24"/>
  </cols>
  <sheetData>
    <row r="1" spans="1:19" s="17" customFormat="1" ht="19.95" customHeight="1">
      <c r="A1" s="326" t="s">
        <v>34</v>
      </c>
      <c r="B1" s="326"/>
      <c r="C1" s="326"/>
      <c r="D1" s="326"/>
      <c r="E1" s="326"/>
      <c r="F1" s="326"/>
      <c r="G1" s="326"/>
      <c r="H1" s="326"/>
      <c r="I1" s="326"/>
      <c r="J1" s="326"/>
      <c r="K1" s="326"/>
      <c r="L1" s="16"/>
    </row>
    <row r="2" spans="1:19" s="17" customFormat="1" ht="19.95" customHeight="1">
      <c r="A2" s="346" t="s">
        <v>295</v>
      </c>
      <c r="B2" s="346"/>
      <c r="C2" s="346"/>
      <c r="D2" s="346"/>
      <c r="E2" s="346"/>
      <c r="F2" s="346"/>
      <c r="G2" s="346"/>
      <c r="H2" s="346"/>
      <c r="I2" s="346"/>
      <c r="J2" s="346"/>
      <c r="K2" s="346"/>
      <c r="L2" s="16"/>
    </row>
    <row r="3" spans="1:19" s="13" customFormat="1" ht="19.95" customHeight="1">
      <c r="A3" s="13" t="str">
        <f>底稿目录!A2</f>
        <v>被审计单位：</v>
      </c>
      <c r="C3" s="13" t="str">
        <f>底稿目录!A4</f>
        <v>编制人：</v>
      </c>
      <c r="G3" s="64" t="str">
        <f>底稿目录!A5</f>
        <v>编制日期：</v>
      </c>
      <c r="H3" s="64"/>
      <c r="J3" s="213" t="s">
        <v>98</v>
      </c>
      <c r="K3" s="214" t="str">
        <f>底稿目录!F8</f>
        <v>M6-2</v>
      </c>
    </row>
    <row r="4" spans="1:19" s="13" customFormat="1" ht="19.95" customHeight="1">
      <c r="A4" s="13" t="str">
        <f>底稿目录!A3</f>
        <v>截止日：202X年12月31日</v>
      </c>
      <c r="C4" s="13" t="str">
        <f>底稿目录!A6</f>
        <v>复核人：</v>
      </c>
      <c r="G4" s="64" t="str">
        <f>底稿目录!A7</f>
        <v>复核日期：</v>
      </c>
      <c r="H4" s="64"/>
      <c r="J4" s="213" t="s">
        <v>294</v>
      </c>
    </row>
    <row r="5" spans="1:19" s="45" customFormat="1" ht="19.95" customHeight="1">
      <c r="A5" s="43" t="s">
        <v>44</v>
      </c>
      <c r="B5" s="44"/>
      <c r="L5" s="46"/>
      <c r="P5" s="47"/>
      <c r="S5" s="48"/>
    </row>
    <row r="6" spans="1:19" s="45" customFormat="1" ht="19.95" customHeight="1">
      <c r="A6" s="179" t="s">
        <v>250</v>
      </c>
      <c r="B6" s="55"/>
      <c r="L6" s="46"/>
      <c r="P6" s="47"/>
      <c r="S6" s="48"/>
    </row>
    <row r="7" spans="1:19" s="45" customFormat="1" ht="19.95" customHeight="1">
      <c r="A7" s="189" t="s">
        <v>251</v>
      </c>
      <c r="L7" s="49"/>
      <c r="P7" s="47"/>
      <c r="S7" s="48"/>
    </row>
    <row r="8" spans="1:19" s="13" customFormat="1" ht="19.95" customHeight="1">
      <c r="A8" s="327" t="s">
        <v>66</v>
      </c>
      <c r="B8" s="329" t="s">
        <v>67</v>
      </c>
      <c r="C8" s="330"/>
      <c r="D8" s="330"/>
      <c r="E8" s="331"/>
      <c r="F8" s="329" t="s">
        <v>68</v>
      </c>
      <c r="G8" s="330"/>
      <c r="H8" s="330"/>
      <c r="I8" s="331"/>
      <c r="J8" s="327" t="s">
        <v>69</v>
      </c>
      <c r="K8" s="327" t="s">
        <v>70</v>
      </c>
      <c r="L8" s="14"/>
    </row>
    <row r="9" spans="1:19" s="13" customFormat="1" ht="19.95" customHeight="1">
      <c r="A9" s="328"/>
      <c r="B9" s="63" t="s">
        <v>71</v>
      </c>
      <c r="C9" s="62" t="s">
        <v>72</v>
      </c>
      <c r="D9" s="62" t="s">
        <v>73</v>
      </c>
      <c r="E9" s="63" t="s">
        <v>74</v>
      </c>
      <c r="F9" s="63" t="s">
        <v>71</v>
      </c>
      <c r="G9" s="62" t="s">
        <v>72</v>
      </c>
      <c r="H9" s="62" t="s">
        <v>73</v>
      </c>
      <c r="I9" s="63" t="s">
        <v>74</v>
      </c>
      <c r="J9" s="328"/>
      <c r="K9" s="328"/>
      <c r="L9" s="14"/>
    </row>
    <row r="10" spans="1:19" s="13" customFormat="1" ht="19.95" customHeight="1">
      <c r="A10" s="72" t="s">
        <v>75</v>
      </c>
      <c r="B10" s="18"/>
      <c r="C10" s="19"/>
      <c r="D10" s="19"/>
      <c r="E10" s="174">
        <f>B10+C10+D10</f>
        <v>0</v>
      </c>
      <c r="F10" s="20"/>
      <c r="G10" s="20"/>
      <c r="H10" s="20"/>
      <c r="I10" s="174">
        <f>F10+G10+H10</f>
        <v>0</v>
      </c>
      <c r="J10" s="21"/>
      <c r="K10" s="21"/>
      <c r="L10" s="14"/>
    </row>
    <row r="11" spans="1:19" s="13" customFormat="1" ht="19.95" customHeight="1">
      <c r="A11" s="73" t="s">
        <v>76</v>
      </c>
      <c r="B11" s="18"/>
      <c r="C11" s="19"/>
      <c r="D11" s="19"/>
      <c r="E11" s="174">
        <f t="shared" ref="E11:E24" si="0">B11+C11+D11</f>
        <v>0</v>
      </c>
      <c r="F11" s="20"/>
      <c r="G11" s="20"/>
      <c r="H11" s="20"/>
      <c r="I11" s="174">
        <f t="shared" ref="I11:I25" si="1">F11+G11+H11</f>
        <v>0</v>
      </c>
      <c r="J11" s="21"/>
      <c r="K11" s="21"/>
      <c r="L11" s="14"/>
    </row>
    <row r="12" spans="1:19" s="13" customFormat="1" ht="19.95" customHeight="1">
      <c r="A12" s="50" t="s">
        <v>77</v>
      </c>
      <c r="B12" s="18"/>
      <c r="C12" s="18"/>
      <c r="D12" s="18"/>
      <c r="E12" s="174">
        <f t="shared" si="0"/>
        <v>0</v>
      </c>
      <c r="F12" s="20"/>
      <c r="G12" s="20"/>
      <c r="H12" s="20"/>
      <c r="I12" s="174">
        <f t="shared" si="1"/>
        <v>0</v>
      </c>
      <c r="J12" s="21"/>
      <c r="K12" s="21"/>
      <c r="L12" s="14"/>
    </row>
    <row r="13" spans="1:19" s="13" customFormat="1" ht="19.95" customHeight="1">
      <c r="A13" s="72" t="s">
        <v>78</v>
      </c>
      <c r="B13" s="174">
        <f>B10+B11+B12</f>
        <v>0</v>
      </c>
      <c r="C13" s="174">
        <f t="shared" ref="C13:E13" si="2">C10+C11+C12</f>
        <v>0</v>
      </c>
      <c r="D13" s="174">
        <f t="shared" si="2"/>
        <v>0</v>
      </c>
      <c r="E13" s="174">
        <f t="shared" si="2"/>
        <v>0</v>
      </c>
      <c r="F13" s="174">
        <f>F10+F11+F12</f>
        <v>0</v>
      </c>
      <c r="G13" s="174">
        <f t="shared" ref="G13" si="3">G10+G11+G12</f>
        <v>0</v>
      </c>
      <c r="H13" s="174">
        <f>H10+H11+H12</f>
        <v>0</v>
      </c>
      <c r="I13" s="174">
        <f>F13+G13+H13</f>
        <v>0</v>
      </c>
      <c r="J13" s="21"/>
      <c r="K13" s="21"/>
      <c r="L13" s="14"/>
    </row>
    <row r="14" spans="1:19" s="13" customFormat="1" ht="19.95" customHeight="1">
      <c r="A14" s="72" t="s">
        <v>79</v>
      </c>
      <c r="B14" s="20"/>
      <c r="C14" s="20"/>
      <c r="D14" s="20"/>
      <c r="E14" s="174">
        <f>B14+C14+D14</f>
        <v>0</v>
      </c>
      <c r="F14" s="20"/>
      <c r="G14" s="20"/>
      <c r="H14" s="20"/>
      <c r="I14" s="174">
        <f>F14+G14+H14</f>
        <v>0</v>
      </c>
      <c r="J14" s="21"/>
      <c r="K14" s="21"/>
      <c r="L14" s="14"/>
    </row>
    <row r="15" spans="1:19" s="13" customFormat="1" ht="19.95" customHeight="1">
      <c r="A15" s="72" t="s">
        <v>80</v>
      </c>
      <c r="B15" s="58"/>
      <c r="C15" s="58"/>
      <c r="D15" s="58"/>
      <c r="E15" s="174">
        <f t="shared" si="0"/>
        <v>0</v>
      </c>
      <c r="F15" s="20"/>
      <c r="G15" s="20"/>
      <c r="H15" s="20"/>
      <c r="I15" s="174">
        <f t="shared" si="1"/>
        <v>0</v>
      </c>
      <c r="J15" s="22"/>
      <c r="K15" s="22"/>
      <c r="L15" s="14"/>
    </row>
    <row r="16" spans="1:19" s="13" customFormat="1" ht="19.95" customHeight="1">
      <c r="A16" s="72" t="s">
        <v>81</v>
      </c>
      <c r="B16" s="174">
        <f>SUM(B17:B21)</f>
        <v>0</v>
      </c>
      <c r="C16" s="174">
        <f>SUM(C17:C21)</f>
        <v>0</v>
      </c>
      <c r="D16" s="174">
        <f>SUM(D17:D21)</f>
        <v>0</v>
      </c>
      <c r="E16" s="174">
        <f t="shared" ref="E16" si="4">SUM(E17:E21)</f>
        <v>0</v>
      </c>
      <c r="F16" s="174">
        <f>SUM(F17:F21)</f>
        <v>0</v>
      </c>
      <c r="G16" s="174">
        <f>SUM(G17:G21)</f>
        <v>0</v>
      </c>
      <c r="H16" s="174">
        <f>SUM(H17:H21)</f>
        <v>0</v>
      </c>
      <c r="I16" s="174">
        <f t="shared" si="1"/>
        <v>0</v>
      </c>
      <c r="J16" s="22"/>
      <c r="K16" s="22"/>
      <c r="L16" s="14"/>
    </row>
    <row r="17" spans="1:12" s="13" customFormat="1" ht="19.95" customHeight="1">
      <c r="A17" s="50" t="s">
        <v>82</v>
      </c>
      <c r="B17" s="58"/>
      <c r="C17" s="58"/>
      <c r="D17" s="58"/>
      <c r="E17" s="174">
        <f t="shared" si="0"/>
        <v>0</v>
      </c>
      <c r="F17" s="20"/>
      <c r="G17" s="20"/>
      <c r="H17" s="20"/>
      <c r="I17" s="174">
        <f t="shared" si="1"/>
        <v>0</v>
      </c>
      <c r="J17" s="22"/>
      <c r="K17" s="22"/>
      <c r="L17" s="14"/>
    </row>
    <row r="18" spans="1:12" s="13" customFormat="1" ht="19.95" customHeight="1">
      <c r="A18" s="50" t="s">
        <v>83</v>
      </c>
      <c r="B18" s="58"/>
      <c r="C18" s="58"/>
      <c r="D18" s="58"/>
      <c r="E18" s="174">
        <f t="shared" si="0"/>
        <v>0</v>
      </c>
      <c r="F18" s="20"/>
      <c r="G18" s="20"/>
      <c r="H18" s="20"/>
      <c r="I18" s="174">
        <f t="shared" si="1"/>
        <v>0</v>
      </c>
      <c r="J18" s="22"/>
      <c r="K18" s="22"/>
      <c r="L18" s="14"/>
    </row>
    <row r="19" spans="1:12" s="13" customFormat="1" ht="19.95" customHeight="1">
      <c r="A19" s="50" t="s">
        <v>84</v>
      </c>
      <c r="B19" s="58"/>
      <c r="C19" s="58"/>
      <c r="D19" s="58"/>
      <c r="E19" s="174">
        <f t="shared" si="0"/>
        <v>0</v>
      </c>
      <c r="F19" s="20"/>
      <c r="G19" s="20"/>
      <c r="H19" s="20"/>
      <c r="I19" s="174">
        <f t="shared" si="1"/>
        <v>0</v>
      </c>
      <c r="J19" s="22"/>
      <c r="K19" s="22"/>
      <c r="L19" s="14"/>
    </row>
    <row r="20" spans="1:12" s="13" customFormat="1" ht="19.95" customHeight="1">
      <c r="A20" s="50" t="s">
        <v>85</v>
      </c>
      <c r="B20" s="58"/>
      <c r="C20" s="58"/>
      <c r="D20" s="58"/>
      <c r="E20" s="174">
        <f t="shared" si="0"/>
        <v>0</v>
      </c>
      <c r="F20" s="20"/>
      <c r="G20" s="20"/>
      <c r="H20" s="20"/>
      <c r="I20" s="174">
        <f t="shared" si="1"/>
        <v>0</v>
      </c>
      <c r="J20" s="22"/>
      <c r="K20" s="22"/>
      <c r="L20" s="14"/>
    </row>
    <row r="21" spans="1:12" s="13" customFormat="1" ht="19.95" customHeight="1">
      <c r="A21" s="50" t="s">
        <v>7</v>
      </c>
      <c r="B21" s="58"/>
      <c r="C21" s="58"/>
      <c r="D21" s="58"/>
      <c r="E21" s="174">
        <f t="shared" si="0"/>
        <v>0</v>
      </c>
      <c r="F21" s="20"/>
      <c r="G21" s="20"/>
      <c r="H21" s="20"/>
      <c r="I21" s="174">
        <f t="shared" si="1"/>
        <v>0</v>
      </c>
      <c r="J21" s="22"/>
      <c r="K21" s="22"/>
      <c r="L21" s="14"/>
    </row>
    <row r="22" spans="1:12" s="13" customFormat="1" ht="19.95" customHeight="1">
      <c r="A22" s="74" t="s">
        <v>86</v>
      </c>
      <c r="B22" s="174">
        <f>SUM(B23:B24)</f>
        <v>0</v>
      </c>
      <c r="C22" s="174">
        <f>SUM(C23:C24)</f>
        <v>0</v>
      </c>
      <c r="D22" s="174">
        <f>SUM(D23:D24)</f>
        <v>0</v>
      </c>
      <c r="E22" s="174">
        <f t="shared" ref="E22" si="5">SUM(E23:E24)</f>
        <v>0</v>
      </c>
      <c r="F22" s="174">
        <f>SUM(F23:F24)</f>
        <v>0</v>
      </c>
      <c r="G22" s="174">
        <f>SUM(G23:G24)</f>
        <v>0</v>
      </c>
      <c r="H22" s="174">
        <f>SUM(H23:H24)</f>
        <v>0</v>
      </c>
      <c r="I22" s="174">
        <f t="shared" si="1"/>
        <v>0</v>
      </c>
      <c r="J22" s="22"/>
      <c r="K22" s="22"/>
      <c r="L22" s="14"/>
    </row>
    <row r="23" spans="1:12" s="13" customFormat="1" ht="19.95" customHeight="1">
      <c r="A23" s="50" t="s">
        <v>5</v>
      </c>
      <c r="B23" s="58"/>
      <c r="C23" s="58"/>
      <c r="D23" s="58"/>
      <c r="E23" s="174">
        <f t="shared" si="0"/>
        <v>0</v>
      </c>
      <c r="F23" s="20"/>
      <c r="G23" s="20"/>
      <c r="H23" s="20"/>
      <c r="I23" s="174">
        <f t="shared" si="1"/>
        <v>0</v>
      </c>
      <c r="J23" s="22"/>
      <c r="K23" s="22"/>
      <c r="L23" s="14"/>
    </row>
    <row r="24" spans="1:12" s="23" customFormat="1" ht="19.95" customHeight="1">
      <c r="A24" s="50" t="s">
        <v>6</v>
      </c>
      <c r="B24" s="58"/>
      <c r="C24" s="58"/>
      <c r="D24" s="58"/>
      <c r="E24" s="174">
        <f t="shared" si="0"/>
        <v>0</v>
      </c>
      <c r="F24" s="20"/>
      <c r="G24" s="20"/>
      <c r="H24" s="20"/>
      <c r="I24" s="174">
        <f t="shared" si="1"/>
        <v>0</v>
      </c>
      <c r="J24" s="22"/>
      <c r="K24" s="22"/>
    </row>
    <row r="25" spans="1:12" s="59" customFormat="1" ht="19.95" customHeight="1">
      <c r="A25" s="72" t="s">
        <v>87</v>
      </c>
      <c r="B25" s="175">
        <f>B13+B14+B15-B16</f>
        <v>0</v>
      </c>
      <c r="C25" s="175">
        <f>C13+C14+C15-C16</f>
        <v>0</v>
      </c>
      <c r="D25" s="175">
        <f>D13+D14+D15-D16</f>
        <v>0</v>
      </c>
      <c r="E25" s="175">
        <f t="shared" ref="E25" si="6">E13+E14+E15-E16</f>
        <v>0</v>
      </c>
      <c r="F25" s="175">
        <f>F13+F14+F15-F16</f>
        <v>0</v>
      </c>
      <c r="G25" s="175">
        <f>G13+G14+G15-G16</f>
        <v>0</v>
      </c>
      <c r="H25" s="175">
        <f>H13+H14+H15-H16</f>
        <v>0</v>
      </c>
      <c r="I25" s="175">
        <f t="shared" si="1"/>
        <v>0</v>
      </c>
      <c r="J25" s="22"/>
      <c r="K25" s="22"/>
    </row>
    <row r="26" spans="1:12" s="23" customFormat="1" ht="19.95" customHeight="1">
      <c r="A26" s="38" t="s">
        <v>88</v>
      </c>
      <c r="B26" s="13"/>
      <c r="C26" s="13"/>
      <c r="D26" s="13"/>
      <c r="E26" s="13"/>
      <c r="F26" s="13"/>
      <c r="G26" s="13"/>
      <c r="H26" s="13"/>
      <c r="I26" s="13"/>
      <c r="J26" s="13"/>
      <c r="K26" s="13"/>
    </row>
    <row r="27" spans="1:12" ht="19.95" customHeight="1">
      <c r="A27" s="13"/>
      <c r="B27" s="13"/>
      <c r="C27" s="13"/>
      <c r="D27" s="13"/>
      <c r="E27" s="13"/>
      <c r="F27" s="13"/>
      <c r="G27" s="13"/>
      <c r="H27" s="13"/>
      <c r="I27" s="13"/>
      <c r="J27" s="13"/>
      <c r="K27" s="13"/>
    </row>
    <row r="28" spans="1:12" ht="19.95" customHeight="1">
      <c r="A28" s="13"/>
      <c r="B28" s="13"/>
      <c r="C28" s="13"/>
      <c r="D28" s="13"/>
      <c r="E28" s="13"/>
      <c r="F28" s="13"/>
      <c r="G28" s="13"/>
      <c r="H28" s="13"/>
      <c r="I28" s="13"/>
      <c r="J28" s="13"/>
      <c r="K28" s="13"/>
    </row>
    <row r="29" spans="1:12" ht="19.95" customHeight="1">
      <c r="A29" s="38" t="s">
        <v>89</v>
      </c>
      <c r="B29" s="26"/>
      <c r="C29" s="26"/>
      <c r="D29" s="26"/>
      <c r="E29" s="26"/>
      <c r="F29" s="26"/>
      <c r="G29" s="26"/>
      <c r="H29" s="26"/>
      <c r="I29" s="26"/>
      <c r="J29" s="26"/>
      <c r="K29" s="26"/>
    </row>
    <row r="30" spans="1:12" ht="19.95" customHeight="1">
      <c r="A30" s="13"/>
      <c r="B30" s="26"/>
      <c r="C30" s="26"/>
      <c r="D30" s="26"/>
      <c r="E30" s="26"/>
      <c r="F30" s="26"/>
      <c r="G30" s="26"/>
      <c r="H30" s="26"/>
      <c r="I30" s="26"/>
      <c r="J30" s="26"/>
      <c r="K30" s="26"/>
    </row>
    <row r="31" spans="1:12" ht="18" customHeight="1">
      <c r="A31" s="197" t="s">
        <v>253</v>
      </c>
    </row>
    <row r="32" spans="1:12">
      <c r="A32" s="198" t="s">
        <v>254</v>
      </c>
    </row>
  </sheetData>
  <mergeCells count="7">
    <mergeCell ref="A1:K1"/>
    <mergeCell ref="A2:K2"/>
    <mergeCell ref="A8:A9"/>
    <mergeCell ref="B8:E8"/>
    <mergeCell ref="F8:I8"/>
    <mergeCell ref="J8:J9"/>
    <mergeCell ref="K8:K9"/>
  </mergeCells>
  <phoneticPr fontId="18" type="noConversion"/>
  <hyperlinks>
    <hyperlink ref="K3" location="底稿目录!A1" display="底稿目录!A1"/>
  </hyperlinks>
  <pageMargins left="0.70866141732283472" right="0.70866141732283472" top="0.74803149606299213" bottom="0.74803149606299213" header="0.31496062992125984" footer="0.31496062992125984"/>
  <pageSetup paperSize="9" scale="85"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Views>
    <sheetView view="pageBreakPreview" zoomScaleNormal="100" zoomScaleSheetLayoutView="100" workbookViewId="0">
      <selection sqref="A1:J1"/>
    </sheetView>
  </sheetViews>
  <sheetFormatPr defaultRowHeight="15.6"/>
  <cols>
    <col min="1" max="1" width="18.296875" customWidth="1"/>
    <col min="2" max="2" width="15.59765625" customWidth="1"/>
    <col min="3" max="3" width="13.5" customWidth="1"/>
    <col min="4" max="4" width="14.796875" customWidth="1"/>
    <col min="5" max="5" width="13.19921875" customWidth="1"/>
    <col min="7" max="7" width="10" customWidth="1"/>
    <col min="8" max="8" width="10.296875" customWidth="1"/>
    <col min="10" max="10" width="13.19921875" customWidth="1"/>
  </cols>
  <sheetData>
    <row r="1" spans="1:10" ht="19.95" customHeight="1">
      <c r="A1" s="344" t="s">
        <v>34</v>
      </c>
      <c r="B1" s="344"/>
      <c r="C1" s="344"/>
      <c r="D1" s="344"/>
      <c r="E1" s="344"/>
      <c r="F1" s="344"/>
      <c r="G1" s="344"/>
      <c r="H1" s="344"/>
      <c r="I1" s="344"/>
      <c r="J1" s="344"/>
    </row>
    <row r="2" spans="1:10" ht="19.95" customHeight="1">
      <c r="A2" s="345" t="s">
        <v>326</v>
      </c>
      <c r="B2" s="345"/>
      <c r="C2" s="345"/>
      <c r="D2" s="345"/>
      <c r="E2" s="345"/>
      <c r="F2" s="345"/>
      <c r="G2" s="345"/>
      <c r="H2" s="345"/>
      <c r="I2" s="345"/>
      <c r="J2" s="345"/>
    </row>
    <row r="3" spans="1:10" ht="19.95" customHeight="1">
      <c r="A3" s="2" t="str">
        <f>底稿目录!A2</f>
        <v>被审计单位：</v>
      </c>
      <c r="B3" s="2"/>
      <c r="C3" s="2"/>
      <c r="D3" s="2" t="str">
        <f>底稿目录!A4</f>
        <v>编制人：</v>
      </c>
      <c r="E3" s="2"/>
      <c r="F3" s="2" t="str">
        <f>底稿目录!A5</f>
        <v>编制日期：</v>
      </c>
      <c r="H3" s="2"/>
      <c r="I3" s="213" t="s">
        <v>98</v>
      </c>
      <c r="J3" s="214" t="str">
        <f>底稿目录!F9</f>
        <v>M6-3</v>
      </c>
    </row>
    <row r="4" spans="1:10" ht="19.95" customHeight="1">
      <c r="A4" s="2" t="str">
        <f>底稿目录!A3</f>
        <v>截止日：202X年12月31日</v>
      </c>
      <c r="B4" s="2"/>
      <c r="C4" s="2"/>
      <c r="D4" s="2" t="str">
        <f>底稿目录!A6</f>
        <v>复核人：</v>
      </c>
      <c r="E4" s="2"/>
      <c r="F4" s="2" t="str">
        <f>底稿目录!A7</f>
        <v>复核日期：</v>
      </c>
      <c r="H4" s="2"/>
      <c r="I4" s="213" t="s">
        <v>294</v>
      </c>
      <c r="J4" s="13"/>
    </row>
    <row r="5" spans="1:10" ht="34.799999999999997" customHeight="1">
      <c r="A5" s="220" t="s">
        <v>297</v>
      </c>
      <c r="B5" s="221" t="s">
        <v>298</v>
      </c>
      <c r="C5" s="222" t="s">
        <v>299</v>
      </c>
      <c r="D5" s="222" t="s">
        <v>300</v>
      </c>
      <c r="E5" s="190" t="s">
        <v>301</v>
      </c>
      <c r="F5" s="190" t="s">
        <v>193</v>
      </c>
      <c r="G5" s="190" t="s">
        <v>302</v>
      </c>
      <c r="H5" s="190" t="s">
        <v>303</v>
      </c>
      <c r="I5" s="190" t="s">
        <v>304</v>
      </c>
      <c r="J5" s="190" t="s">
        <v>305</v>
      </c>
    </row>
    <row r="6" spans="1:10" ht="19.95" customHeight="1">
      <c r="A6" s="191"/>
      <c r="B6" s="191"/>
      <c r="C6" s="191"/>
      <c r="D6" s="191"/>
      <c r="E6" s="191"/>
      <c r="F6" s="191"/>
      <c r="G6" s="191"/>
      <c r="H6" s="191"/>
      <c r="I6" s="191"/>
      <c r="J6" s="191"/>
    </row>
    <row r="7" spans="1:10" ht="19.95" customHeight="1">
      <c r="A7" s="192"/>
      <c r="B7" s="191"/>
      <c r="C7" s="191"/>
      <c r="D7" s="191"/>
      <c r="E7" s="191"/>
      <c r="F7" s="191"/>
      <c r="G7" s="191"/>
      <c r="H7" s="191"/>
      <c r="I7" s="191"/>
      <c r="J7" s="191"/>
    </row>
    <row r="8" spans="1:10" ht="19.95" customHeight="1">
      <c r="A8" s="193"/>
      <c r="B8" s="191"/>
      <c r="C8" s="191"/>
      <c r="D8" s="191"/>
      <c r="E8" s="191"/>
      <c r="F8" s="191"/>
      <c r="G8" s="191"/>
      <c r="H8" s="191"/>
      <c r="I8" s="191"/>
      <c r="J8" s="191"/>
    </row>
    <row r="9" spans="1:10" ht="19.95" customHeight="1">
      <c r="A9" s="193"/>
      <c r="B9" s="191"/>
      <c r="C9" s="191"/>
      <c r="D9" s="191"/>
      <c r="E9" s="191"/>
      <c r="F9" s="191"/>
      <c r="G9" s="191"/>
      <c r="H9" s="191"/>
      <c r="I9" s="191"/>
      <c r="J9" s="191"/>
    </row>
    <row r="10" spans="1:10" ht="19.95" customHeight="1">
      <c r="A10" s="193"/>
      <c r="B10" s="191"/>
      <c r="C10" s="191"/>
      <c r="D10" s="191"/>
      <c r="E10" s="191"/>
      <c r="F10" s="191"/>
      <c r="G10" s="191"/>
      <c r="H10" s="191"/>
      <c r="I10" s="191"/>
      <c r="J10" s="191"/>
    </row>
    <row r="11" spans="1:10" ht="19.95" customHeight="1">
      <c r="A11" s="135"/>
      <c r="B11" s="191"/>
      <c r="C11" s="191"/>
      <c r="D11" s="191"/>
      <c r="E11" s="191"/>
      <c r="F11" s="191"/>
      <c r="G11" s="191"/>
      <c r="H11" s="191"/>
      <c r="I11" s="191"/>
      <c r="J11" s="191"/>
    </row>
    <row r="12" spans="1:10" ht="19.95" customHeight="1">
      <c r="A12" s="193"/>
      <c r="B12" s="191"/>
      <c r="C12" s="191"/>
      <c r="D12" s="191"/>
      <c r="E12" s="191"/>
      <c r="F12" s="191"/>
      <c r="G12" s="191"/>
      <c r="H12" s="191"/>
      <c r="I12" s="191"/>
      <c r="J12" s="191"/>
    </row>
    <row r="13" spans="1:10" ht="19.95" customHeight="1">
      <c r="A13" s="193"/>
      <c r="B13" s="191"/>
      <c r="C13" s="191"/>
      <c r="D13" s="191"/>
      <c r="E13" s="191"/>
      <c r="F13" s="191"/>
      <c r="G13" s="191"/>
      <c r="H13" s="191"/>
      <c r="I13" s="191"/>
      <c r="J13" s="191"/>
    </row>
    <row r="14" spans="1:10" ht="19.95" customHeight="1">
      <c r="A14" s="193"/>
      <c r="B14" s="191"/>
      <c r="C14" s="191"/>
      <c r="D14" s="191"/>
      <c r="E14" s="191"/>
      <c r="F14" s="191"/>
      <c r="G14" s="191"/>
      <c r="H14" s="191"/>
      <c r="I14" s="191"/>
      <c r="J14" s="191"/>
    </row>
    <row r="15" spans="1:10" ht="19.95" customHeight="1">
      <c r="A15" s="193"/>
      <c r="B15" s="191"/>
      <c r="C15" s="191"/>
      <c r="D15" s="191"/>
      <c r="E15" s="191"/>
      <c r="F15" s="191"/>
      <c r="G15" s="191"/>
      <c r="H15" s="191"/>
      <c r="I15" s="191"/>
      <c r="J15" s="191"/>
    </row>
    <row r="16" spans="1:10" ht="19.95" customHeight="1">
      <c r="A16" s="193"/>
      <c r="B16" s="191"/>
      <c r="C16" s="191"/>
      <c r="D16" s="191"/>
      <c r="E16" s="191"/>
      <c r="F16" s="191"/>
      <c r="G16" s="191"/>
      <c r="H16" s="191"/>
      <c r="I16" s="191"/>
      <c r="J16" s="191"/>
    </row>
    <row r="17" spans="1:10" ht="19.95" customHeight="1">
      <c r="A17" s="193"/>
      <c r="B17" s="191"/>
      <c r="C17" s="191"/>
      <c r="D17" s="191"/>
      <c r="E17" s="191"/>
      <c r="F17" s="191"/>
      <c r="G17" s="191"/>
      <c r="H17" s="191"/>
      <c r="I17" s="191"/>
      <c r="J17" s="191"/>
    </row>
    <row r="18" spans="1:10" ht="19.95" customHeight="1">
      <c r="A18" s="193"/>
      <c r="B18" s="191"/>
      <c r="C18" s="191"/>
      <c r="D18" s="191"/>
      <c r="E18" s="191"/>
      <c r="F18" s="191"/>
      <c r="G18" s="191"/>
      <c r="H18" s="191"/>
      <c r="I18" s="191"/>
      <c r="J18" s="191"/>
    </row>
    <row r="19" spans="1:10" ht="19.95" customHeight="1">
      <c r="A19" s="193"/>
      <c r="B19" s="191"/>
      <c r="C19" s="191"/>
      <c r="D19" s="191"/>
      <c r="E19" s="191"/>
      <c r="F19" s="191"/>
      <c r="G19" s="191"/>
      <c r="H19" s="191"/>
      <c r="I19" s="191"/>
      <c r="J19" s="191"/>
    </row>
    <row r="20" spans="1:10" ht="19.95" customHeight="1">
      <c r="A20" s="193"/>
      <c r="B20" s="191"/>
      <c r="C20" s="191"/>
      <c r="D20" s="191"/>
      <c r="E20" s="191"/>
      <c r="F20" s="191"/>
      <c r="G20" s="191"/>
      <c r="H20" s="191"/>
      <c r="I20" s="191"/>
      <c r="J20" s="191"/>
    </row>
    <row r="21" spans="1:10" ht="19.95" customHeight="1">
      <c r="A21" s="136"/>
      <c r="B21" s="136"/>
      <c r="C21" s="136"/>
      <c r="D21" s="137"/>
      <c r="E21" s="137"/>
      <c r="F21" s="137"/>
      <c r="G21" s="138"/>
      <c r="H21" s="138"/>
      <c r="I21" s="137"/>
      <c r="J21" s="139"/>
    </row>
    <row r="22" spans="1:10" ht="19.95" customHeight="1">
      <c r="A22" s="6"/>
      <c r="B22" s="6"/>
      <c r="C22" s="6"/>
      <c r="D22" s="6"/>
      <c r="E22" s="140"/>
      <c r="F22" s="7"/>
      <c r="G22" s="141"/>
      <c r="H22" s="141"/>
      <c r="I22" s="141"/>
      <c r="J22" s="141"/>
    </row>
    <row r="23" spans="1:10" ht="19.95" customHeight="1">
      <c r="A23" s="52"/>
      <c r="B23" s="6"/>
      <c r="C23" s="6"/>
      <c r="D23" s="6"/>
      <c r="E23" s="6"/>
      <c r="F23" s="6"/>
      <c r="G23" s="6"/>
      <c r="H23" s="6"/>
      <c r="I23" s="6"/>
      <c r="J23" s="6"/>
    </row>
    <row r="24" spans="1:10" ht="19.95" customHeight="1">
      <c r="A24" s="6"/>
      <c r="B24" s="6"/>
      <c r="C24" s="6"/>
      <c r="D24" s="6"/>
      <c r="E24" s="6"/>
      <c r="F24" s="6"/>
      <c r="G24" s="6"/>
      <c r="H24" s="6"/>
      <c r="I24" s="6"/>
      <c r="J24" s="6"/>
    </row>
    <row r="25" spans="1:10" ht="19.95" customHeight="1">
      <c r="A25" s="7"/>
      <c r="B25" s="7"/>
      <c r="C25" s="7"/>
      <c r="D25" s="6"/>
      <c r="E25" s="6"/>
      <c r="F25" s="6"/>
      <c r="G25" s="6"/>
      <c r="H25" s="6"/>
      <c r="I25" s="6"/>
      <c r="J25" s="6"/>
    </row>
    <row r="26" spans="1:10">
      <c r="A26" s="67"/>
      <c r="B26" s="67"/>
      <c r="C26" s="67"/>
      <c r="D26" s="7"/>
      <c r="E26" s="7"/>
      <c r="F26" s="7"/>
      <c r="G26" s="7"/>
      <c r="H26" s="7"/>
      <c r="I26" s="7"/>
      <c r="J26" s="7"/>
    </row>
    <row r="27" spans="1:10">
      <c r="A27" s="139"/>
      <c r="B27" s="139"/>
      <c r="C27" s="139"/>
      <c r="D27" s="7"/>
      <c r="E27" s="7"/>
      <c r="F27" s="7"/>
      <c r="G27" s="7"/>
      <c r="H27" s="7"/>
      <c r="I27" s="7"/>
      <c r="J27" s="7"/>
    </row>
    <row r="28" spans="1:10">
      <c r="A28" s="139"/>
      <c r="B28" s="139"/>
      <c r="C28" s="139"/>
      <c r="D28" s="6"/>
      <c r="E28" s="6"/>
      <c r="F28" s="6"/>
      <c r="G28" s="6"/>
      <c r="H28" s="6"/>
      <c r="I28" s="6"/>
      <c r="J28" s="6"/>
    </row>
    <row r="29" spans="1:10">
      <c r="A29" s="142"/>
      <c r="B29" s="142"/>
      <c r="C29" s="142"/>
      <c r="D29" s="142"/>
      <c r="E29" s="142"/>
      <c r="F29" s="142"/>
      <c r="G29" s="142"/>
      <c r="H29" s="142"/>
      <c r="I29" s="142"/>
      <c r="J29" s="142"/>
    </row>
    <row r="30" spans="1:10">
      <c r="A30" s="142"/>
      <c r="B30" s="142"/>
      <c r="C30" s="142"/>
      <c r="D30" s="142"/>
      <c r="E30" s="142"/>
      <c r="F30" s="142"/>
      <c r="G30" s="142"/>
      <c r="H30" s="142"/>
      <c r="I30" s="142"/>
      <c r="J30" s="142"/>
    </row>
    <row r="31" spans="1:10">
      <c r="A31" s="142"/>
      <c r="B31" s="142"/>
      <c r="C31" s="142"/>
      <c r="D31" s="142"/>
      <c r="E31" s="142"/>
      <c r="F31" s="142"/>
      <c r="G31" s="142"/>
      <c r="H31" s="142"/>
      <c r="I31" s="142"/>
      <c r="J31" s="142"/>
    </row>
    <row r="32" spans="1:10">
      <c r="A32" s="142"/>
      <c r="B32" s="142"/>
      <c r="C32" s="142"/>
      <c r="D32" s="142"/>
      <c r="E32" s="142"/>
      <c r="F32" s="142"/>
      <c r="G32" s="142"/>
      <c r="H32" s="142"/>
      <c r="I32" s="142"/>
      <c r="J32" s="142"/>
    </row>
  </sheetData>
  <mergeCells count="2">
    <mergeCell ref="A1:J1"/>
    <mergeCell ref="A2:J2"/>
  </mergeCells>
  <phoneticPr fontId="18" type="noConversion"/>
  <dataValidations count="1">
    <dataValidation type="list" allowBlank="1" showInputMessage="1" showErrorMessage="1" sqref="B6:C20">
      <formula1>"账项调整,报表调整,其他"</formula1>
    </dataValidation>
  </dataValidations>
  <hyperlinks>
    <hyperlink ref="J3" location="底稿目录!A1" display="底稿目录!A1"/>
  </hyperlinks>
  <pageMargins left="0.70866141732283472" right="0.70866141732283472" top="0.74803149606299213" bottom="0.74803149606299213" header="0.31496062992125984" footer="0.31496062992125984"/>
  <pageSetup paperSize="9" scale="95" orientation="landscape" blackAndWhite="1"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P32"/>
  <sheetViews>
    <sheetView view="pageBreakPreview" zoomScaleSheetLayoutView="100" workbookViewId="0">
      <selection activeCell="P3" sqref="P3"/>
    </sheetView>
  </sheetViews>
  <sheetFormatPr defaultColWidth="9" defaultRowHeight="15.6"/>
  <cols>
    <col min="1" max="2" width="9" style="26"/>
    <col min="3" max="3" width="21.5" style="26" customWidth="1"/>
    <col min="4" max="6" width="10.8984375" style="26" customWidth="1"/>
    <col min="7" max="7" width="12.5" style="26" customWidth="1"/>
    <col min="8" max="8" width="25.5" style="26" customWidth="1"/>
    <col min="9" max="13" width="4.5" style="26" customWidth="1"/>
    <col min="14" max="15" width="7.59765625" style="26" customWidth="1"/>
    <col min="16" max="16" width="12.69921875" style="26" customWidth="1"/>
    <col min="17" max="16384" width="9" style="26"/>
  </cols>
  <sheetData>
    <row r="1" spans="1:16" s="27" customFormat="1" ht="19.95" customHeight="1">
      <c r="A1" s="333" t="s">
        <v>34</v>
      </c>
      <c r="B1" s="333"/>
      <c r="C1" s="333"/>
      <c r="D1" s="333"/>
      <c r="E1" s="333"/>
      <c r="F1" s="333"/>
      <c r="G1" s="333"/>
      <c r="H1" s="333"/>
      <c r="I1" s="333"/>
      <c r="J1" s="333"/>
      <c r="K1" s="333"/>
      <c r="L1" s="333"/>
      <c r="M1" s="333"/>
      <c r="N1" s="333"/>
      <c r="O1" s="333"/>
      <c r="P1" s="333"/>
    </row>
    <row r="2" spans="1:16" s="27" customFormat="1" ht="19.95" customHeight="1">
      <c r="A2" s="334" t="s">
        <v>292</v>
      </c>
      <c r="B2" s="334"/>
      <c r="C2" s="334"/>
      <c r="D2" s="334"/>
      <c r="E2" s="334"/>
      <c r="F2" s="334"/>
      <c r="G2" s="334"/>
      <c r="H2" s="334"/>
      <c r="I2" s="334"/>
      <c r="J2" s="334"/>
      <c r="K2" s="334"/>
      <c r="L2" s="334"/>
      <c r="M2" s="334"/>
      <c r="N2" s="334"/>
      <c r="O2" s="334"/>
      <c r="P2" s="334"/>
    </row>
    <row r="3" spans="1:16" s="13" customFormat="1" ht="19.95" customHeight="1">
      <c r="A3" s="13" t="str">
        <f>底稿目录!A2</f>
        <v>被审计单位：</v>
      </c>
      <c r="B3" s="28"/>
      <c r="C3" s="28"/>
      <c r="E3" s="28" t="str">
        <f>底稿目录!A4</f>
        <v>编制人：</v>
      </c>
      <c r="F3" s="28"/>
      <c r="G3" s="28"/>
      <c r="I3" s="194" t="str">
        <f>底稿目录!A5</f>
        <v>编制日期：</v>
      </c>
      <c r="N3" s="213"/>
      <c r="O3" s="213" t="s">
        <v>98</v>
      </c>
      <c r="P3" s="214" t="str">
        <f>底稿目录!F10</f>
        <v>M6-4</v>
      </c>
    </row>
    <row r="4" spans="1:16" s="13" customFormat="1" ht="19.95" customHeight="1">
      <c r="A4" s="13" t="str">
        <f>底稿目录!A3</f>
        <v>截止日：202X年12月31日</v>
      </c>
      <c r="B4" s="28"/>
      <c r="C4" s="28"/>
      <c r="E4" s="28" t="str">
        <f>底稿目录!A6</f>
        <v>复核人：</v>
      </c>
      <c r="F4" s="28"/>
      <c r="G4" s="28"/>
      <c r="I4" s="194" t="str">
        <f>底稿目录!A7</f>
        <v>复核日期：</v>
      </c>
      <c r="N4" s="213"/>
      <c r="O4" s="213" t="s">
        <v>294</v>
      </c>
      <c r="P4" s="28"/>
    </row>
    <row r="5" spans="1:16" s="30" customFormat="1" ht="19.95" customHeight="1">
      <c r="A5" s="29" t="s">
        <v>90</v>
      </c>
      <c r="B5" s="29"/>
      <c r="C5" s="29"/>
      <c r="D5" s="29"/>
      <c r="E5" s="29"/>
      <c r="F5" s="29"/>
      <c r="G5" s="29"/>
      <c r="H5" s="29"/>
      <c r="I5" s="29"/>
      <c r="J5" s="29"/>
      <c r="K5" s="29"/>
      <c r="L5" s="29"/>
      <c r="M5" s="29"/>
      <c r="N5" s="29"/>
      <c r="O5" s="29"/>
    </row>
    <row r="6" spans="1:16" s="30" customFormat="1" ht="19.95" customHeight="1">
      <c r="A6" s="75" t="s">
        <v>91</v>
      </c>
      <c r="C6" s="53"/>
      <c r="D6" s="53"/>
      <c r="E6" s="53"/>
      <c r="F6" s="53"/>
      <c r="G6" s="53"/>
      <c r="H6" s="53"/>
      <c r="I6" s="53"/>
      <c r="J6" s="53"/>
      <c r="K6" s="53"/>
      <c r="L6" s="53"/>
      <c r="M6" s="53"/>
      <c r="N6" s="53"/>
      <c r="O6" s="53"/>
    </row>
    <row r="7" spans="1:16" s="30" customFormat="1" ht="19.95" customHeight="1">
      <c r="A7" s="207" t="s">
        <v>274</v>
      </c>
      <c r="B7" s="31"/>
      <c r="C7" s="31"/>
      <c r="D7" s="32"/>
      <c r="E7" s="33"/>
      <c r="F7" s="33"/>
      <c r="G7" s="33"/>
    </row>
    <row r="8" spans="1:16" s="30" customFormat="1" ht="19.95" customHeight="1">
      <c r="A8" s="200" t="s">
        <v>257</v>
      </c>
      <c r="B8" s="31"/>
      <c r="C8" s="31"/>
      <c r="D8" s="32"/>
      <c r="E8" s="33"/>
      <c r="F8" s="33"/>
      <c r="G8" s="33"/>
    </row>
    <row r="9" spans="1:16" s="13" customFormat="1" ht="19.95" customHeight="1">
      <c r="A9" s="337" t="s">
        <v>275</v>
      </c>
      <c r="B9" s="337"/>
      <c r="C9" s="337"/>
      <c r="D9" s="337"/>
      <c r="E9" s="337"/>
      <c r="F9" s="337"/>
      <c r="G9" s="337"/>
      <c r="H9" s="338" t="s">
        <v>284</v>
      </c>
      <c r="I9" s="340" t="s">
        <v>283</v>
      </c>
      <c r="J9" s="341"/>
      <c r="K9" s="341"/>
      <c r="L9" s="341"/>
      <c r="M9" s="341"/>
      <c r="N9" s="332" t="s">
        <v>69</v>
      </c>
      <c r="O9" s="342" t="s">
        <v>296</v>
      </c>
      <c r="P9" s="335" t="s">
        <v>252</v>
      </c>
    </row>
    <row r="10" spans="1:16" s="13" customFormat="1" ht="19.95" customHeight="1">
      <c r="A10" s="218" t="s">
        <v>276</v>
      </c>
      <c r="B10" s="218" t="s">
        <v>277</v>
      </c>
      <c r="C10" s="218" t="s">
        <v>278</v>
      </c>
      <c r="D10" s="218" t="s">
        <v>279</v>
      </c>
      <c r="E10" s="218" t="s">
        <v>280</v>
      </c>
      <c r="F10" s="219" t="s">
        <v>281</v>
      </c>
      <c r="G10" s="219" t="s">
        <v>282</v>
      </c>
      <c r="H10" s="339"/>
      <c r="I10" s="208">
        <v>1</v>
      </c>
      <c r="J10" s="208">
        <v>2</v>
      </c>
      <c r="K10" s="208">
        <v>3</v>
      </c>
      <c r="L10" s="208">
        <v>4</v>
      </c>
      <c r="M10" s="208">
        <v>5</v>
      </c>
      <c r="N10" s="332"/>
      <c r="O10" s="343"/>
      <c r="P10" s="336"/>
    </row>
    <row r="11" spans="1:16" s="13" customFormat="1" ht="19.95" customHeight="1">
      <c r="A11" s="65"/>
      <c r="B11" s="34"/>
      <c r="C11" s="15"/>
      <c r="D11" s="34"/>
      <c r="E11" s="34"/>
      <c r="F11" s="34"/>
      <c r="G11" s="34"/>
      <c r="H11" s="35"/>
      <c r="I11" s="36"/>
      <c r="J11" s="36"/>
      <c r="K11" s="36"/>
      <c r="L11" s="36"/>
      <c r="M11" s="36"/>
      <c r="N11" s="36"/>
      <c r="O11" s="36"/>
      <c r="P11" s="15"/>
    </row>
    <row r="12" spans="1:16" s="13" customFormat="1" ht="19.95" customHeight="1">
      <c r="A12" s="65"/>
      <c r="B12" s="34"/>
      <c r="C12" s="15"/>
      <c r="D12" s="34"/>
      <c r="E12" s="34"/>
      <c r="F12" s="34"/>
      <c r="G12" s="34"/>
      <c r="H12" s="35"/>
      <c r="I12" s="36"/>
      <c r="J12" s="36"/>
      <c r="K12" s="36"/>
      <c r="L12" s="36"/>
      <c r="M12" s="36"/>
      <c r="N12" s="36"/>
      <c r="O12" s="36"/>
      <c r="P12" s="15"/>
    </row>
    <row r="13" spans="1:16" s="13" customFormat="1" ht="19.95" customHeight="1">
      <c r="A13" s="65"/>
      <c r="B13" s="34"/>
      <c r="C13" s="15"/>
      <c r="D13" s="34"/>
      <c r="E13" s="34"/>
      <c r="F13" s="34"/>
      <c r="G13" s="34"/>
      <c r="H13" s="35"/>
      <c r="I13" s="36"/>
      <c r="J13" s="36"/>
      <c r="K13" s="36"/>
      <c r="L13" s="36"/>
      <c r="M13" s="36"/>
      <c r="N13" s="36"/>
      <c r="O13" s="36"/>
      <c r="P13" s="15"/>
    </row>
    <row r="14" spans="1:16" s="13" customFormat="1" ht="19.95" customHeight="1">
      <c r="A14" s="65"/>
      <c r="B14" s="34"/>
      <c r="C14" s="15"/>
      <c r="D14" s="34"/>
      <c r="E14" s="34"/>
      <c r="F14" s="34"/>
      <c r="G14" s="34"/>
      <c r="H14" s="35"/>
      <c r="I14" s="36"/>
      <c r="J14" s="36"/>
      <c r="K14" s="36"/>
      <c r="L14" s="36"/>
      <c r="M14" s="36"/>
      <c r="N14" s="36"/>
      <c r="O14" s="36"/>
      <c r="P14" s="15"/>
    </row>
    <row r="15" spans="1:16" s="13" customFormat="1" ht="19.95" customHeight="1">
      <c r="A15" s="65"/>
      <c r="B15" s="34"/>
      <c r="C15" s="15"/>
      <c r="D15" s="34"/>
      <c r="E15" s="34"/>
      <c r="F15" s="34"/>
      <c r="G15" s="34"/>
      <c r="H15" s="35"/>
      <c r="I15" s="36"/>
      <c r="J15" s="36"/>
      <c r="K15" s="36"/>
      <c r="L15" s="36"/>
      <c r="M15" s="36"/>
      <c r="N15" s="36"/>
      <c r="O15" s="36"/>
      <c r="P15" s="15"/>
    </row>
    <row r="16" spans="1:16" s="13" customFormat="1" ht="19.95" customHeight="1">
      <c r="A16" s="195"/>
      <c r="B16" s="34"/>
      <c r="C16" s="15"/>
      <c r="D16" s="34"/>
      <c r="E16" s="34"/>
      <c r="F16" s="34"/>
      <c r="G16" s="34"/>
      <c r="H16" s="35"/>
      <c r="I16" s="36"/>
      <c r="J16" s="36"/>
      <c r="K16" s="36"/>
      <c r="L16" s="36"/>
      <c r="M16" s="36"/>
      <c r="N16" s="36"/>
      <c r="O16" s="36"/>
      <c r="P16" s="15"/>
    </row>
    <row r="17" spans="1:16" s="13" customFormat="1" ht="19.95" customHeight="1">
      <c r="A17" s="76" t="s">
        <v>92</v>
      </c>
      <c r="B17" s="25"/>
      <c r="C17" s="25"/>
      <c r="D17" s="25"/>
      <c r="E17" s="25"/>
      <c r="F17" s="25"/>
      <c r="G17" s="25"/>
      <c r="K17" s="196"/>
      <c r="L17" s="23"/>
      <c r="M17" s="24"/>
      <c r="N17" s="23"/>
      <c r="O17" s="23"/>
      <c r="P17" s="54"/>
    </row>
    <row r="18" spans="1:16" s="13" customFormat="1" ht="19.95" customHeight="1">
      <c r="H18" s="24"/>
      <c r="I18" s="24"/>
      <c r="J18" s="24"/>
      <c r="K18" s="24"/>
      <c r="L18" s="23"/>
      <c r="M18" s="24"/>
      <c r="N18" s="23"/>
      <c r="O18" s="23"/>
      <c r="P18" s="28"/>
    </row>
    <row r="19" spans="1:16" s="38" customFormat="1" ht="19.95" customHeight="1">
      <c r="H19" s="24"/>
      <c r="I19" s="24"/>
      <c r="J19" s="24"/>
      <c r="K19" s="24"/>
      <c r="L19" s="23"/>
      <c r="M19" s="24"/>
      <c r="N19" s="24"/>
      <c r="O19" s="24"/>
      <c r="P19" s="39"/>
    </row>
    <row r="20" spans="1:16" s="13" customFormat="1" ht="19.95" customHeight="1">
      <c r="M20" s="28"/>
      <c r="N20" s="28"/>
      <c r="O20" s="28"/>
      <c r="P20" s="28"/>
    </row>
    <row r="21" spans="1:16" s="13" customFormat="1" ht="19.95" customHeight="1">
      <c r="M21" s="28"/>
      <c r="N21" s="28"/>
      <c r="O21" s="28"/>
      <c r="P21" s="28"/>
    </row>
    <row r="22" spans="1:16" s="13" customFormat="1" ht="19.95" customHeight="1">
      <c r="A22" s="38" t="s">
        <v>93</v>
      </c>
      <c r="L22" s="176"/>
      <c r="M22" s="28"/>
      <c r="N22" s="28"/>
      <c r="O22" s="28"/>
      <c r="P22" s="28"/>
    </row>
    <row r="23" spans="1:16" s="13" customFormat="1" ht="19.95" customHeight="1">
      <c r="M23" s="28"/>
      <c r="N23" s="28"/>
      <c r="O23" s="28"/>
      <c r="P23" s="28"/>
    </row>
    <row r="24" spans="1:16" s="13" customFormat="1" ht="22.2" customHeight="1">
      <c r="A24" s="37"/>
      <c r="C24" s="28"/>
      <c r="D24" s="28"/>
      <c r="E24" s="28"/>
      <c r="F24" s="28"/>
      <c r="G24" s="28"/>
      <c r="H24" s="28"/>
      <c r="I24" s="28"/>
      <c r="J24" s="28"/>
      <c r="K24" s="28"/>
      <c r="L24" s="28"/>
      <c r="M24" s="28"/>
      <c r="N24" s="28"/>
      <c r="O24" s="28"/>
      <c r="P24" s="28"/>
    </row>
    <row r="25" spans="1:16" s="13" customFormat="1" ht="21" customHeight="1">
      <c r="A25" s="37"/>
      <c r="C25" s="28"/>
      <c r="D25" s="28"/>
      <c r="E25" s="28"/>
      <c r="F25" s="28"/>
      <c r="G25" s="28"/>
      <c r="H25" s="28"/>
      <c r="I25" s="28"/>
      <c r="J25" s="28"/>
      <c r="K25" s="28"/>
      <c r="L25" s="28"/>
      <c r="M25" s="28"/>
      <c r="N25" s="28"/>
      <c r="O25" s="28"/>
      <c r="P25" s="28"/>
    </row>
    <row r="26" spans="1:16" s="13" customFormat="1" ht="18" customHeight="1">
      <c r="A26" s="77"/>
    </row>
    <row r="27" spans="1:16" ht="18" customHeight="1">
      <c r="A27" s="40"/>
      <c r="B27" s="40"/>
    </row>
    <row r="28" spans="1:16" ht="18" customHeight="1">
      <c r="A28" s="41"/>
      <c r="B28" s="41"/>
    </row>
    <row r="29" spans="1:16" ht="18" customHeight="1">
      <c r="A29" s="78"/>
      <c r="B29" s="41"/>
    </row>
    <row r="30" spans="1:16" ht="18" customHeight="1">
      <c r="A30" s="42"/>
      <c r="B30" s="41"/>
    </row>
    <row r="31" spans="1:16" ht="18" customHeight="1">
      <c r="A31" s="42"/>
      <c r="B31" s="41"/>
    </row>
    <row r="32" spans="1:16" ht="18" customHeight="1">
      <c r="A32" s="42"/>
      <c r="B32" s="41"/>
    </row>
  </sheetData>
  <mergeCells count="8">
    <mergeCell ref="N9:N10"/>
    <mergeCell ref="A1:P1"/>
    <mergeCell ref="A2:P2"/>
    <mergeCell ref="P9:P10"/>
    <mergeCell ref="A9:G9"/>
    <mergeCell ref="H9:H10"/>
    <mergeCell ref="I9:M9"/>
    <mergeCell ref="O9:O10"/>
  </mergeCells>
  <phoneticPr fontId="18" type="noConversion"/>
  <dataValidations count="2">
    <dataValidation type="list" allowBlank="1" showInputMessage="1" showErrorMessage="1" sqref="C22">
      <formula1>"A：未见异常，可以确认。,B：经审计调整可以确认。,C：由于存在上述重大未调整事项（或审计范围受到限制无法获取充分、适当证据），不可确认。"</formula1>
    </dataValidation>
    <dataValidation type="list" allowBlank="1" showInputMessage="1" showErrorMessage="1" sqref="I11:M16">
      <formula1>"√,X"</formula1>
    </dataValidation>
  </dataValidations>
  <hyperlinks>
    <hyperlink ref="P3" location="底稿目录!A1" display="底稿目录!A1"/>
  </hyperlinks>
  <printOptions horizontalCentered="1"/>
  <pageMargins left="0.70866141732283472" right="0.70866141732283472" top="0.74803149606299213" bottom="0.74803149606299213" header="0.31496062992125984" footer="0.31496062992125984"/>
  <pageSetup paperSize="9" scale="73" orientation="landscape" blackAndWhite="1" r:id="rId1"/>
  <headerFooter alignWithMargins="0">
    <oddFooter>&amp;C&amp;P/&amp;N</oddFooter>
  </headerFooter>
  <ignoredErrors>
    <ignoredError sqref="G3:H4 A3:E4" unlocked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5.6"/>
  <sheetData>
    <row r="1" spans="1:2">
      <c r="A1" t="s">
        <v>17</v>
      </c>
      <c r="B1" t="s">
        <v>18</v>
      </c>
    </row>
    <row r="2" spans="1:2">
      <c r="A2" t="s">
        <v>19</v>
      </c>
      <c r="B2" t="s">
        <v>20</v>
      </c>
    </row>
    <row r="3" spans="1:2">
      <c r="A3" t="s">
        <v>21</v>
      </c>
      <c r="B3" t="s">
        <v>22</v>
      </c>
    </row>
    <row r="4" spans="1:2">
      <c r="A4" t="s">
        <v>23</v>
      </c>
      <c r="B4" t="s">
        <v>24</v>
      </c>
    </row>
    <row r="5" spans="1:2">
      <c r="A5" t="s">
        <v>25</v>
      </c>
      <c r="B5" t="s">
        <v>26</v>
      </c>
    </row>
    <row r="6" spans="1:2">
      <c r="A6" t="s">
        <v>27</v>
      </c>
      <c r="B6" t="s">
        <v>28</v>
      </c>
    </row>
    <row r="7" spans="1:2">
      <c r="A7" t="s">
        <v>29</v>
      </c>
      <c r="B7" t="s">
        <v>30</v>
      </c>
    </row>
    <row r="8" spans="1:2">
      <c r="A8" t="s">
        <v>31</v>
      </c>
      <c r="B8" t="s">
        <v>32</v>
      </c>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10</vt:i4>
      </vt:variant>
      <vt:variant>
        <vt:lpstr>命名范围</vt:lpstr>
      </vt:variant>
      <vt:variant>
        <vt:i4>9</vt:i4>
      </vt:variant>
    </vt:vector>
  </HeadingPairs>
  <TitlesOfParts>
    <vt:vector size="19" baseType="lpstr">
      <vt:lpstr>底稿目录</vt:lpstr>
      <vt:lpstr>未分配利润实质性程序表 M6A </vt:lpstr>
      <vt:lpstr>未分配利润实质性程序表 Q6A  (修订前)</vt:lpstr>
      <vt:lpstr>审定表M6-1</vt:lpstr>
      <vt:lpstr>附注披露信息（上市公司）</vt:lpstr>
      <vt:lpstr>附注披露信息（国有企业）</vt:lpstr>
      <vt:lpstr>明细表M6-2</vt:lpstr>
      <vt:lpstr>调整分录汇总M6-3</vt:lpstr>
      <vt:lpstr>未分配利润检查表M6-4</vt:lpstr>
      <vt:lpstr>GT_Custom</vt:lpstr>
      <vt:lpstr>'调整分录汇总M6-3'!Print_Area</vt:lpstr>
      <vt:lpstr>'附注披露信息（上市公司）'!Print_Area</vt:lpstr>
      <vt:lpstr>'明细表M6-2'!Print_Area</vt:lpstr>
      <vt:lpstr>'审定表M6-1'!Print_Area</vt:lpstr>
      <vt:lpstr>'未分配利润检查表M6-4'!Print_Area</vt:lpstr>
      <vt:lpstr>'未分配利润实质性程序表 M6A '!Print_Area</vt:lpstr>
      <vt:lpstr>'未分配利润实质性程序表 Q6A  (修订前)'!Print_Area</vt:lpstr>
      <vt:lpstr>'未分配利润实质性程序表 M6A '!Print_Titles</vt:lpstr>
      <vt:lpstr>'未分配利润实质性程序表 Q6A  (修订前)'!Print_Titles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2025-10-23T02:24:45Z</cp:lastPrinted>
  <dcterms:created xsi:type="dcterms:W3CDTF">2007-05-20T08:51:05Z</dcterms:created>
  <dcterms:modified xsi:type="dcterms:W3CDTF">2025-11-05T08:27:12Z</dcterms:modified>
</cp:coreProperties>
</file>