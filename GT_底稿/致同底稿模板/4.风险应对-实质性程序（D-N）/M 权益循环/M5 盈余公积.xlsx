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M 权益循环\"/>
    </mc:Choice>
  </mc:AlternateContent>
  <bookViews>
    <workbookView xWindow="-108" yWindow="-108" windowWidth="23256" windowHeight="12576" tabRatio="840"/>
  </bookViews>
  <sheets>
    <sheet name="底稿目录" sheetId="1" r:id="rId1"/>
    <sheet name="盈余公积实质性程序表 M5A" sheetId="21" r:id="rId2"/>
    <sheet name="审定表M5-1" sheetId="15" r:id="rId3"/>
    <sheet name="附注披露信息（上市公司）" sheetId="17" r:id="rId4"/>
    <sheet name="附注披露信息（国有企业）" sheetId="19" r:id="rId5"/>
    <sheet name="明细表M5-2" sheetId="13" r:id="rId6"/>
    <sheet name="调整分录汇总M5-3" sheetId="22" r:id="rId7"/>
    <sheet name="盈余公积计提检查表M5-4" sheetId="20" r:id="rId8"/>
    <sheet name="盈余公积检查表M5-5" sheetId="16" r:id="rId9"/>
    <sheet name="GT_Custom" sheetId="18" state="hidden" r:id="rId10"/>
  </sheets>
  <externalReferences>
    <externalReference r:id="rId11"/>
    <externalReference r:id="rId12"/>
    <externalReference r:id="rId13"/>
  </externalReferences>
  <definedNames>
    <definedName name="_xlnm._FilterDatabase" localSheetId="1" hidden="1">'盈余公积实质性程序表 M5A'!$A$15:$I$15</definedName>
    <definedName name="AFV" localSheetId="1" hidden="1">#REF!</definedName>
    <definedName name="AFV" hidden="1">#REF!</definedName>
    <definedName name="AS2DocOpenMode" hidden="1">"AS2DocumentEdit"</definedName>
    <definedName name="bs" hidden="1">{#N/A,#N/A,FALSE,"BBPREP"}</definedName>
    <definedName name="bs_1" hidden="1">{#N/A,#N/A,FALSE,"BBPREP"}</definedName>
    <definedName name="CCD" localSheetId="1" hidden="1">#REF!</definedName>
    <definedName name="CCD" hidden="1">#REF!</definedName>
    <definedName name="CDE" localSheetId="1" hidden="1">#REF!</definedName>
    <definedName name="CDE" hidden="1">#REF!</definedName>
    <definedName name="DEX" localSheetId="1" hidden="1">#REF!</definedName>
    <definedName name="DEX" hidden="1">#REF!</definedName>
    <definedName name="EDC" localSheetId="1" hidden="1">#REF!</definedName>
    <definedName name="EDC" hidden="1">#REF!</definedName>
    <definedName name="FAD" localSheetId="1" hidden="1">[1]Breakdown!#REF!</definedName>
    <definedName name="FAD" hidden="1">[1]Breakdown!#REF!</definedName>
    <definedName name="FASD" localSheetId="1" hidden="1">#REF!</definedName>
    <definedName name="FASD" hidden="1">#REF!</definedName>
    <definedName name="FEDC" localSheetId="1" hidden="1">'[2]2004'!#REF!</definedName>
    <definedName name="FEDC" hidden="1">'[2]2004'!#REF!</definedName>
    <definedName name="_xlnm.Print_Area" localSheetId="6">'调整分录汇总M5-3'!$A$1:$J$20</definedName>
    <definedName name="_xlnm.Print_Area" localSheetId="5">'明细表M5-2'!$A$1:$Q$21</definedName>
    <definedName name="_xlnm.Print_Area" localSheetId="2">'审定表M5-1'!$A$1:$L$26</definedName>
    <definedName name="_xlnm.Print_Area" localSheetId="7">'盈余公积计提检查表M5-4'!$A$1:$D$18</definedName>
    <definedName name="_xlnm.Print_Area" localSheetId="8">'盈余公积检查表M5-5'!$A$1:$P$26</definedName>
    <definedName name="_xlnm.Print_Area" localSheetId="1">'盈余公积实质性程序表 M5A'!$A$1:$I$23</definedName>
    <definedName name="_xlnm.Print_Titles" localSheetId="1">'盈余公积实质性程序表 M5A'!$15:$15</definedName>
    <definedName name="RDES" localSheetId="1" hidden="1">#REF!</definedName>
    <definedName name="RDES" hidden="1">#REF!</definedName>
    <definedName name="TextRefCopyRangeCount" hidden="1">136</definedName>
    <definedName name="VFE" localSheetId="1" hidden="1">#REF!</definedName>
    <definedName name="VFE" hidden="1">#REF!</definedName>
    <definedName name="XAP" localSheetId="1" hidden="1">#REF!</definedName>
    <definedName name="XAP" hidden="1">#REF!</definedName>
    <definedName name="XAQ" localSheetId="1" hidden="1">#REF!</definedName>
    <definedName name="XAQ" hidden="1">#REF!</definedName>
    <definedName name="XCD" localSheetId="1" hidden="1">#REF!</definedName>
    <definedName name="XCD" hidden="1">#REF!</definedName>
    <definedName name="XREF_COLUMN_1" localSheetId="1" hidden="1">#REF!</definedName>
    <definedName name="XREF_COLUMN_1" hidden="1">#REF!</definedName>
    <definedName name="XREF_COLUMN_2" localSheetId="1" hidden="1">[1]Breakdown!#REF!</definedName>
    <definedName name="XREF_COLUMN_2" hidden="1">[1]Breakdown!#REF!</definedName>
    <definedName name="XREF_COLUMN_3" localSheetId="1" hidden="1">#REF!</definedName>
    <definedName name="XREF_COLUMN_3" hidden="1">#REF!</definedName>
    <definedName name="XREF_COLUMN_5" localSheetId="1" hidden="1">'[2]2004'!#REF!</definedName>
    <definedName name="XREF_COLUMN_5" hidden="1">'[2]2004'!#REF!</definedName>
    <definedName name="XRefActiveRow" localSheetId="1" hidden="1">#REF!</definedName>
    <definedName name="XRefActiveRow" hidden="1">#REF!</definedName>
    <definedName name="XRefColumnsCount" hidden="1">2</definedName>
    <definedName name="XRefCopy1" localSheetId="1" hidden="1">#REF!</definedName>
    <definedName name="XRefCopy1" hidden="1">#REF!</definedName>
    <definedName name="XRefCopy1Row" localSheetId="1" hidden="1">#REF!</definedName>
    <definedName name="XRefCopy1Row" hidden="1">#REF!</definedName>
    <definedName name="XRefCopy2Row" localSheetId="1" hidden="1">#REF!</definedName>
    <definedName name="XRefCopy2Row" hidden="1">#REF!</definedName>
    <definedName name="XRefCopyRangeCount" hidden="1">2</definedName>
    <definedName name="XRefPaste1" localSheetId="1" hidden="1">#REF!</definedName>
    <definedName name="XRefPaste1" hidden="1">#REF!</definedName>
    <definedName name="XRefPaste1Row" localSheetId="1" hidden="1">#REF!</definedName>
    <definedName name="XRefPaste1Row" hidden="1">#REF!</definedName>
    <definedName name="XRefPaste2" localSheetId="1" hidden="1">#REF!</definedName>
    <definedName name="XRefPaste2" hidden="1">#REF!</definedName>
    <definedName name="XRefPaste2Row" localSheetId="1" hidden="1">#REF!</definedName>
    <definedName name="XRefPaste2Row" hidden="1">#REF!</definedName>
    <definedName name="XRefPaste3" localSheetId="1" hidden="1">#REF!</definedName>
    <definedName name="XRefPaste3" hidden="1">#REF!</definedName>
    <definedName name="XRefPaste3Row" localSheetId="1" hidden="1">#REF!</definedName>
    <definedName name="XRefPaste3Row" hidden="1">#REF!</definedName>
    <definedName name="XRefPasteRangeCount" hidden="1">2</definedName>
    <definedName name="本循环科目" hidden="1">[3]索引!$D$15:$D$76</definedName>
    <definedName name="底稿目录" localSheetId="1" hidden="1">#REF!</definedName>
    <definedName name="底稿目录" hidden="1">#REF!</definedName>
    <definedName name="新目录" localSheetId="1" hidden="1">#REF!</definedName>
    <definedName name="新目录" hidden="1">#REF!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6" l="1"/>
  <c r="F18" i="16"/>
  <c r="P3" i="16" l="1"/>
  <c r="J3" i="22"/>
  <c r="Q3" i="13"/>
  <c r="L3" i="15"/>
  <c r="I3" i="21"/>
  <c r="G4" i="22" l="1"/>
  <c r="G3" i="22"/>
  <c r="D4" i="22"/>
  <c r="D3" i="22"/>
  <c r="A4" i="22"/>
  <c r="A3" i="22"/>
  <c r="H4" i="16" l="1"/>
  <c r="C4" i="20"/>
  <c r="K4" i="13"/>
  <c r="C4" i="19"/>
  <c r="C4" i="17"/>
  <c r="I4" i="15"/>
  <c r="E4" i="21"/>
  <c r="E4" i="16"/>
  <c r="B4" i="20"/>
  <c r="E4" i="13"/>
  <c r="B4" i="19"/>
  <c r="B4" i="17"/>
  <c r="E4" i="15"/>
  <c r="C4" i="21"/>
  <c r="E3" i="21" l="1"/>
  <c r="C3" i="21"/>
  <c r="A4" i="21"/>
  <c r="A3" i="21"/>
  <c r="N12" i="13" l="1"/>
  <c r="A4" i="19" l="1"/>
  <c r="C3" i="19"/>
  <c r="B3" i="19"/>
  <c r="A3" i="19"/>
  <c r="G8" i="15" l="1"/>
  <c r="H8" i="15"/>
  <c r="G9" i="15"/>
  <c r="H9" i="15"/>
  <c r="G10" i="15"/>
  <c r="H10" i="15"/>
  <c r="H7" i="15"/>
  <c r="G7" i="15"/>
  <c r="B8" i="15"/>
  <c r="C8" i="15"/>
  <c r="D8" i="15"/>
  <c r="B9" i="15"/>
  <c r="C9" i="15"/>
  <c r="D9" i="15"/>
  <c r="B10" i="15"/>
  <c r="C10" i="15"/>
  <c r="D10" i="15"/>
  <c r="D7" i="15"/>
  <c r="C7" i="15"/>
  <c r="B7" i="15"/>
  <c r="P13" i="13"/>
  <c r="D8" i="19" s="1"/>
  <c r="P14" i="13"/>
  <c r="D9" i="17" s="1"/>
  <c r="P15" i="13"/>
  <c r="P12" i="13"/>
  <c r="D7" i="19" s="1"/>
  <c r="O13" i="13"/>
  <c r="C8" i="19" s="1"/>
  <c r="O14" i="13"/>
  <c r="O15" i="13"/>
  <c r="O12" i="13"/>
  <c r="C7" i="19" s="1"/>
  <c r="N13" i="13"/>
  <c r="B8" i="17" s="1"/>
  <c r="N14" i="13"/>
  <c r="N15" i="13"/>
  <c r="B10" i="17" s="1"/>
  <c r="B7" i="19"/>
  <c r="G13" i="13"/>
  <c r="F8" i="15" s="1"/>
  <c r="G14" i="13"/>
  <c r="F9" i="15" s="1"/>
  <c r="G15" i="13"/>
  <c r="F10" i="15" s="1"/>
  <c r="G12" i="13"/>
  <c r="F7" i="15" s="1"/>
  <c r="H16" i="13"/>
  <c r="I16" i="13"/>
  <c r="J16" i="13"/>
  <c r="K16" i="13"/>
  <c r="L16" i="13"/>
  <c r="M16" i="13"/>
  <c r="E16" i="13"/>
  <c r="E9" i="15" l="1"/>
  <c r="B9" i="17"/>
  <c r="C9" i="19"/>
  <c r="C9" i="17"/>
  <c r="D10" i="19"/>
  <c r="D10" i="17"/>
  <c r="C10" i="19"/>
  <c r="C10" i="17"/>
  <c r="B9" i="19"/>
  <c r="B8" i="19"/>
  <c r="E8" i="19" s="1"/>
  <c r="E8" i="15"/>
  <c r="D8" i="17"/>
  <c r="B10" i="19"/>
  <c r="Q14" i="13"/>
  <c r="I9" i="15" s="1"/>
  <c r="E10" i="15"/>
  <c r="E7" i="15"/>
  <c r="Q15" i="13"/>
  <c r="I10" i="15" s="1"/>
  <c r="Q13" i="13"/>
  <c r="I8" i="15" s="1"/>
  <c r="B7" i="17"/>
  <c r="C8" i="17"/>
  <c r="G16" i="13"/>
  <c r="D7" i="17"/>
  <c r="O16" i="13"/>
  <c r="G19" i="16" s="1"/>
  <c r="G20" i="16" s="1"/>
  <c r="P16" i="13"/>
  <c r="F19" i="16" s="1"/>
  <c r="F20" i="16" s="1"/>
  <c r="Q12" i="13"/>
  <c r="C7" i="17"/>
  <c r="D9" i="19"/>
  <c r="E7" i="19"/>
  <c r="D11" i="15"/>
  <c r="H11" i="15"/>
  <c r="C11" i="15"/>
  <c r="G11" i="15"/>
  <c r="B11" i="15"/>
  <c r="F11" i="15"/>
  <c r="N16" i="13"/>
  <c r="J9" i="15" l="1"/>
  <c r="K9" i="15" s="1"/>
  <c r="E10" i="17"/>
  <c r="B11" i="17"/>
  <c r="E10" i="19"/>
  <c r="E9" i="17"/>
  <c r="E9" i="19"/>
  <c r="J8" i="15"/>
  <c r="K8" i="15" s="1"/>
  <c r="E8" i="17"/>
  <c r="B11" i="19"/>
  <c r="J10" i="15"/>
  <c r="K10" i="15" s="1"/>
  <c r="D11" i="19"/>
  <c r="E11" i="15"/>
  <c r="E13" i="15" s="1"/>
  <c r="C11" i="19"/>
  <c r="C11" i="17"/>
  <c r="D11" i="17"/>
  <c r="Q16" i="13"/>
  <c r="I7" i="15"/>
  <c r="I11" i="15" s="1"/>
  <c r="I13" i="15" s="1"/>
  <c r="E11" i="19" l="1"/>
  <c r="J11" i="15"/>
  <c r="K11" i="15" s="1"/>
  <c r="J7" i="15"/>
  <c r="K7" i="15" s="1"/>
  <c r="D10" i="20"/>
  <c r="D9" i="20"/>
  <c r="C11" i="20"/>
  <c r="C13" i="20" s="1"/>
  <c r="B11" i="20"/>
  <c r="A4" i="20"/>
  <c r="C3" i="20"/>
  <c r="B3" i="20"/>
  <c r="A3" i="20"/>
  <c r="D11" i="20" l="1"/>
  <c r="D13" i="20" s="1"/>
  <c r="B13" i="20"/>
  <c r="E7" i="17" l="1"/>
  <c r="E11" i="17" s="1"/>
  <c r="A4" i="17"/>
  <c r="C3" i="17"/>
  <c r="B3" i="17"/>
  <c r="A3" i="17"/>
  <c r="H3" i="16" l="1"/>
  <c r="E3" i="16"/>
  <c r="A4" i="16"/>
  <c r="A3" i="16"/>
  <c r="K3" i="13"/>
  <c r="E3" i="13"/>
  <c r="I3" i="15"/>
  <c r="E3" i="15"/>
  <c r="A4" i="15"/>
  <c r="A3" i="15"/>
  <c r="B16" i="13"/>
  <c r="C16" i="13"/>
  <c r="A4" i="13"/>
  <c r="A3" i="13"/>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1</author>
  </authors>
  <commentList>
    <comment ref="E13"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 ref="I13"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List>
</comments>
</file>

<file path=xl/sharedStrings.xml><?xml version="1.0" encoding="utf-8"?>
<sst xmlns="http://schemas.openxmlformats.org/spreadsheetml/2006/main" count="324" uniqueCount="273">
  <si>
    <t>索引号：</t>
  </si>
  <si>
    <t>底稿开列时，可先在以下单元格填写有关内容，以便其他底稿引用有关数据：</t>
    <phoneticPr fontId="18" type="noConversion"/>
  </si>
  <si>
    <t>明细项目</t>
  </si>
  <si>
    <t>其他</t>
  </si>
  <si>
    <t>本期增加</t>
  </si>
  <si>
    <t>本期减少</t>
  </si>
  <si>
    <r>
      <t>1</t>
    </r>
    <r>
      <rPr>
        <b/>
        <sz val="10"/>
        <rFont val="宋体"/>
        <family val="3"/>
        <charset val="134"/>
      </rPr>
      <t>、审计说明</t>
    </r>
    <r>
      <rPr>
        <sz val="10"/>
        <color indexed="12"/>
        <rFont val="宋体"/>
        <family val="3"/>
        <charset val="134"/>
      </rPr>
      <t/>
    </r>
    <phoneticPr fontId="18" type="noConversion"/>
  </si>
  <si>
    <t xml:space="preserve">
</t>
    <phoneticPr fontId="18" type="noConversion"/>
  </si>
  <si>
    <t>法定盈余公积</t>
  </si>
  <si>
    <t>盈余公积明细表</t>
    <phoneticPr fontId="18" type="noConversion"/>
  </si>
  <si>
    <t>法定盈余公积</t>
    <phoneticPr fontId="18" type="noConversion"/>
  </si>
  <si>
    <t>任意盈余公积</t>
    <phoneticPr fontId="18" type="noConversion"/>
  </si>
  <si>
    <r>
      <t>1</t>
    </r>
    <r>
      <rPr>
        <sz val="10"/>
        <color indexed="12"/>
        <rFont val="宋体"/>
        <family val="3"/>
        <charset val="134"/>
      </rPr>
      <t>、本科目核算企业从净利润中提取的盈余公积。</t>
    </r>
    <phoneticPr fontId="18" type="noConversion"/>
  </si>
  <si>
    <t>公司从税后利润中提取法定公积金后，经股东会或者股东大会决议，还可以从税后利润中提取任意公积金。</t>
    <phoneticPr fontId="18" type="noConversion"/>
  </si>
  <si>
    <r>
      <t>4</t>
    </r>
    <r>
      <rPr>
        <sz val="10"/>
        <color indexed="12"/>
        <rFont val="宋体"/>
        <family val="3"/>
        <charset val="134"/>
      </rPr>
      <t>、第一百六十九条　公司的公积金用于弥补公司的亏损、扩大公司生产经营或者转为增加公司资本。</t>
    </r>
    <phoneticPr fontId="18" type="noConversion"/>
  </si>
  <si>
    <r>
      <t>从</t>
    </r>
    <r>
      <rPr>
        <sz val="10"/>
        <color indexed="12"/>
        <rFont val="Arial Narrow"/>
        <family val="2"/>
      </rPr>
      <t>2006</t>
    </r>
    <r>
      <rPr>
        <sz val="10"/>
        <color indexed="12"/>
        <rFont val="宋体"/>
        <family val="3"/>
        <charset val="134"/>
      </rPr>
      <t>年</t>
    </r>
    <r>
      <rPr>
        <sz val="10"/>
        <color indexed="12"/>
        <rFont val="Arial Narrow"/>
        <family val="2"/>
      </rPr>
      <t>1</t>
    </r>
    <r>
      <rPr>
        <sz val="10"/>
        <color indexed="12"/>
        <rFont val="宋体"/>
        <family val="3"/>
        <charset val="134"/>
      </rPr>
      <t>月</t>
    </r>
    <r>
      <rPr>
        <sz val="10"/>
        <color indexed="12"/>
        <rFont val="Arial Narrow"/>
        <family val="2"/>
      </rPr>
      <t>1</t>
    </r>
    <r>
      <rPr>
        <sz val="10"/>
        <color indexed="12"/>
        <rFont val="宋体"/>
        <family val="3"/>
        <charset val="134"/>
      </rPr>
      <t>日起，按照《公司法》组建的企业根据《公司法》第</t>
    </r>
    <r>
      <rPr>
        <sz val="10"/>
        <color indexed="12"/>
        <rFont val="Arial Narrow"/>
        <family val="2"/>
      </rPr>
      <t>167</t>
    </r>
    <r>
      <rPr>
        <sz val="10"/>
        <color indexed="12"/>
        <rFont val="宋体"/>
        <family val="3"/>
        <charset val="134"/>
      </rPr>
      <t>条进行利润分配，不再提取公益金；</t>
    </r>
    <phoneticPr fontId="18" type="noConversion"/>
  </si>
  <si>
    <t>同时，为了保持企业间财务政策的一致性，国有企业以及其他企业一并停止实行公益金制度。</t>
    <phoneticPr fontId="18" type="noConversion"/>
  </si>
  <si>
    <t>企业停止实行公益金制度以后,外商投资企业的职工奖励及福利基金,经董事会确定继续提取的,应当明确用途、使用条件和程序,作为负债管理。</t>
    <phoneticPr fontId="18" type="noConversion"/>
  </si>
  <si>
    <t>盈余公积</t>
  </si>
  <si>
    <t>法定盈余公积金</t>
  </si>
  <si>
    <t>任意盈余公积金</t>
  </si>
  <si>
    <t>利润归还投资</t>
  </si>
  <si>
    <t>C1</t>
  </si>
  <si>
    <t>Custom 1</t>
  </si>
  <si>
    <t>C2</t>
  </si>
  <si>
    <t>Custom 2</t>
  </si>
  <si>
    <t>C3</t>
  </si>
  <si>
    <t>Custom 3</t>
  </si>
  <si>
    <t>C4</t>
  </si>
  <si>
    <t>Custom 4</t>
  </si>
  <si>
    <t>C5</t>
  </si>
  <si>
    <t>Custom 5</t>
  </si>
  <si>
    <t>C6</t>
  </si>
  <si>
    <t>Custom 6</t>
  </si>
  <si>
    <t>C7</t>
  </si>
  <si>
    <t>Custom 7</t>
  </si>
  <si>
    <t>C8</t>
  </si>
  <si>
    <t>Custom 8</t>
  </si>
  <si>
    <t>内容</t>
  </si>
  <si>
    <t>致同会计师事务所</t>
  </si>
  <si>
    <t>页次：</t>
  </si>
  <si>
    <t>合计</t>
  </si>
  <si>
    <t>公司法定公积金累计额为公司注册资本的百分之五十以上的，可以不再提取。</t>
  </si>
  <si>
    <t>法定公积金转为资本时，所留存的该项公积金不得少于转增前公司注册资本的百分之二十五。</t>
  </si>
  <si>
    <t>1、概述：（1）程序的测试情况、结果；</t>
  </si>
  <si>
    <t>（2）拟调整事项及其调整分录、未调整事项及其影响，审计范围受到限制情况及其影响。</t>
  </si>
  <si>
    <t>期末余额</t>
  </si>
  <si>
    <t>（逐项说明盈余公积增加、减少需要原因、依据及金额）</t>
  </si>
  <si>
    <r>
      <rPr>
        <b/>
        <sz val="10"/>
        <color indexed="8"/>
        <rFont val="宋体"/>
        <family val="3"/>
        <charset val="134"/>
      </rPr>
      <t>一、审计目标</t>
    </r>
    <r>
      <rPr>
        <b/>
        <sz val="10"/>
        <color indexed="8"/>
        <rFont val="Arial Narrow"/>
        <family val="2"/>
      </rPr>
      <t>:</t>
    </r>
    <phoneticPr fontId="22" type="noConversion"/>
  </si>
  <si>
    <r>
      <rPr>
        <b/>
        <sz val="10"/>
        <rFont val="宋体"/>
        <family val="3"/>
        <charset val="134"/>
      </rPr>
      <t>二、审计过程：</t>
    </r>
    <phoneticPr fontId="18" type="noConversion"/>
  </si>
  <si>
    <t>三、审计说明：</t>
    <phoneticPr fontId="18" type="noConversion"/>
  </si>
  <si>
    <t>四、审计结论：</t>
    <phoneticPr fontId="18" type="noConversion"/>
  </si>
  <si>
    <t>盈余公积附注披露信息（上市公司）</t>
    <phoneticPr fontId="18" type="noConversion"/>
  </si>
  <si>
    <t>盈余公积附注披露信息（国有企业）</t>
    <phoneticPr fontId="18" type="noConversion"/>
  </si>
  <si>
    <r>
      <rPr>
        <b/>
        <sz val="10"/>
        <rFont val="宋体"/>
        <family val="3"/>
        <charset val="134"/>
      </rPr>
      <t>项目名称</t>
    </r>
    <phoneticPr fontId="18" type="noConversion"/>
  </si>
  <si>
    <t>期初数</t>
    <phoneticPr fontId="18" type="noConversion"/>
  </si>
  <si>
    <t>期末数</t>
    <phoneticPr fontId="18" type="noConversion"/>
  </si>
  <si>
    <t>审定数</t>
    <phoneticPr fontId="18" type="noConversion"/>
  </si>
  <si>
    <t>本期增加</t>
    <phoneticPr fontId="18" type="noConversion"/>
  </si>
  <si>
    <t>本期减少</t>
    <phoneticPr fontId="18" type="noConversion"/>
  </si>
  <si>
    <t>期末数</t>
    <phoneticPr fontId="18" type="noConversion"/>
  </si>
  <si>
    <t>账项调整</t>
    <phoneticPr fontId="18" type="noConversion"/>
  </si>
  <si>
    <t>重分类调整</t>
    <phoneticPr fontId="46" type="noConversion"/>
  </si>
  <si>
    <r>
      <rPr>
        <b/>
        <sz val="10"/>
        <color indexed="8"/>
        <rFont val="宋体"/>
        <family val="3"/>
        <charset val="134"/>
      </rPr>
      <t>本期增加</t>
    </r>
    <phoneticPr fontId="18" type="noConversion"/>
  </si>
  <si>
    <r>
      <rPr>
        <b/>
        <sz val="10"/>
        <color indexed="8"/>
        <rFont val="宋体"/>
        <family val="3"/>
        <charset val="134"/>
      </rPr>
      <t>本期减少</t>
    </r>
    <phoneticPr fontId="18" type="noConversion"/>
  </si>
  <si>
    <t>增加方式</t>
    <phoneticPr fontId="18" type="noConversion"/>
  </si>
  <si>
    <t>金额</t>
    <phoneticPr fontId="18" type="noConversion"/>
  </si>
  <si>
    <t>未审数</t>
    <phoneticPr fontId="18" type="noConversion"/>
  </si>
  <si>
    <t>减少方式</t>
    <phoneticPr fontId="18" type="noConversion"/>
  </si>
  <si>
    <t>期初调整</t>
    <phoneticPr fontId="46" type="noConversion"/>
  </si>
  <si>
    <t>账项调整</t>
    <phoneticPr fontId="46" type="noConversion"/>
  </si>
  <si>
    <t>重分类调整</t>
    <phoneticPr fontId="46" type="noConversion"/>
  </si>
  <si>
    <t>盈余公积计提检查表</t>
    <phoneticPr fontId="18" type="noConversion"/>
  </si>
  <si>
    <t>利润归还投资</t>
    <phoneticPr fontId="18" type="noConversion"/>
  </si>
  <si>
    <t>其他</t>
    <phoneticPr fontId="18" type="noConversion"/>
  </si>
  <si>
    <r>
      <rPr>
        <b/>
        <sz val="10"/>
        <color indexed="8"/>
        <rFont val="宋体"/>
        <family val="3"/>
        <charset val="134"/>
      </rPr>
      <t>序号</t>
    </r>
  </si>
  <si>
    <r>
      <rPr>
        <b/>
        <sz val="10"/>
        <color indexed="8"/>
        <rFont val="宋体"/>
        <family val="3"/>
        <charset val="134"/>
      </rPr>
      <t>索引号</t>
    </r>
  </si>
  <si>
    <r>
      <rPr>
        <b/>
        <sz val="10"/>
        <color indexed="8"/>
        <rFont val="宋体"/>
        <family val="3"/>
        <charset val="134"/>
      </rPr>
      <t>备注</t>
    </r>
  </si>
  <si>
    <t>明细表</t>
    <phoneticPr fontId="18" type="noConversion"/>
  </si>
  <si>
    <r>
      <rPr>
        <sz val="10"/>
        <rFont val="宋体"/>
        <family val="3"/>
        <charset val="134"/>
      </rPr>
      <t>页次：</t>
    </r>
  </si>
  <si>
    <r>
      <rPr>
        <b/>
        <sz val="10"/>
        <rFont val="宋体"/>
        <family val="3"/>
        <charset val="134"/>
      </rPr>
      <t>未审金额</t>
    </r>
    <phoneticPr fontId="18" type="noConversion"/>
  </si>
  <si>
    <r>
      <rPr>
        <b/>
        <sz val="10"/>
        <rFont val="宋体"/>
        <family val="3"/>
        <charset val="134"/>
      </rPr>
      <t>审计调整</t>
    </r>
    <phoneticPr fontId="18" type="noConversion"/>
  </si>
  <si>
    <r>
      <rPr>
        <b/>
        <sz val="10"/>
        <rFont val="宋体"/>
        <family val="3"/>
        <charset val="134"/>
      </rPr>
      <t>审</t>
    </r>
    <r>
      <rPr>
        <b/>
        <sz val="10"/>
        <rFont val="Arial Narrow"/>
        <family val="2"/>
      </rPr>
      <t xml:space="preserve"> </t>
    </r>
    <r>
      <rPr>
        <b/>
        <sz val="10"/>
        <rFont val="宋体"/>
        <family val="3"/>
        <charset val="134"/>
      </rPr>
      <t>定</t>
    </r>
    <phoneticPr fontId="18" type="noConversion"/>
  </si>
  <si>
    <r>
      <rPr>
        <b/>
        <sz val="10"/>
        <rFont val="宋体"/>
        <family val="3"/>
        <charset val="134"/>
      </rPr>
      <t>四、审计结论：</t>
    </r>
    <phoneticPr fontId="18" type="noConversion"/>
  </si>
  <si>
    <r>
      <rPr>
        <i/>
        <sz val="10"/>
        <color indexed="12"/>
        <rFont val="宋体"/>
        <family val="3"/>
        <charset val="134"/>
      </rPr>
      <t>编制说明：</t>
    </r>
    <phoneticPr fontId="18" type="noConversion"/>
  </si>
  <si>
    <r>
      <t>2</t>
    </r>
    <r>
      <rPr>
        <sz val="10"/>
        <color indexed="12"/>
        <rFont val="宋体"/>
        <family val="3"/>
        <charset val="134"/>
      </rPr>
      <t>、本科目应当分别</t>
    </r>
    <r>
      <rPr>
        <sz val="10"/>
        <color indexed="12"/>
        <rFont val="Arial Narrow"/>
        <family val="2"/>
      </rPr>
      <t>“</t>
    </r>
    <r>
      <rPr>
        <sz val="10"/>
        <color indexed="12"/>
        <rFont val="宋体"/>
        <family val="3"/>
        <charset val="134"/>
      </rPr>
      <t>法定盈余公积</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任意盈余公积</t>
    </r>
    <r>
      <rPr>
        <sz val="10"/>
        <color indexed="12"/>
        <rFont val="Arial Narrow"/>
        <family val="2"/>
      </rPr>
      <t>”</t>
    </r>
    <r>
      <rPr>
        <sz val="10"/>
        <color indexed="12"/>
        <rFont val="宋体"/>
        <family val="3"/>
        <charset val="134"/>
      </rPr>
      <t>进行明细核算。外商投资企业还应分别</t>
    </r>
    <r>
      <rPr>
        <sz val="10"/>
        <color indexed="12"/>
        <rFont val="Arial Narrow"/>
        <family val="2"/>
      </rPr>
      <t>“</t>
    </r>
    <r>
      <rPr>
        <sz val="10"/>
        <color indexed="12"/>
        <rFont val="宋体"/>
        <family val="3"/>
        <charset val="134"/>
      </rPr>
      <t>储备基金</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企业发展基金</t>
    </r>
    <r>
      <rPr>
        <sz val="10"/>
        <color indexed="12"/>
        <rFont val="Arial Narrow"/>
        <family val="2"/>
      </rPr>
      <t>”</t>
    </r>
    <r>
      <rPr>
        <sz val="10"/>
        <color indexed="12"/>
        <rFont val="宋体"/>
        <family val="3"/>
        <charset val="134"/>
      </rPr>
      <t>进行明细核算。</t>
    </r>
    <phoneticPr fontId="18" type="noConversion"/>
  </si>
  <si>
    <r>
      <rPr>
        <sz val="10"/>
        <color indexed="12"/>
        <rFont val="宋体"/>
        <family val="3"/>
        <charset val="134"/>
      </rPr>
      <t>中外合作经营在合作期间归还投资者的投资，应在本科目设置</t>
    </r>
    <r>
      <rPr>
        <sz val="10"/>
        <color indexed="12"/>
        <rFont val="Arial Narrow"/>
        <family val="2"/>
      </rPr>
      <t>“</t>
    </r>
    <r>
      <rPr>
        <sz val="10"/>
        <color indexed="12"/>
        <rFont val="宋体"/>
        <family val="3"/>
        <charset val="134"/>
      </rPr>
      <t>利润归还投资</t>
    </r>
    <r>
      <rPr>
        <sz val="10"/>
        <color indexed="12"/>
        <rFont val="Arial Narrow"/>
        <family val="2"/>
      </rPr>
      <t>”</t>
    </r>
    <r>
      <rPr>
        <sz val="10"/>
        <color indexed="12"/>
        <rFont val="宋体"/>
        <family val="3"/>
        <charset val="134"/>
      </rPr>
      <t>明细科目进行核算。</t>
    </r>
    <phoneticPr fontId="18" type="noConversion"/>
  </si>
  <si>
    <r>
      <t>3</t>
    </r>
    <r>
      <rPr>
        <sz val="10"/>
        <color indexed="12"/>
        <rFont val="宋体"/>
        <family val="3"/>
        <charset val="134"/>
      </rPr>
      <t>、《公司法》第一百六十七条　公司分配当年税后利润时，应当提取利润的百分之十列入公司法定公积金。</t>
    </r>
    <phoneticPr fontId="18" type="noConversion"/>
  </si>
  <si>
    <r>
      <rPr>
        <sz val="10"/>
        <color indexed="12"/>
        <rFont val="宋体"/>
        <family val="3"/>
        <charset val="134"/>
      </rPr>
      <t>公司法定公积金累计额为公司注册资本的百分之五十以上的，可以不再提取。</t>
    </r>
  </si>
  <si>
    <r>
      <rPr>
        <sz val="10"/>
        <color indexed="12"/>
        <rFont val="宋体"/>
        <family val="3"/>
        <charset val="134"/>
      </rPr>
      <t>公司从税后利润中提取法定公积金后，经股东会或者股东大会决议，还可以从税后利润中提取任意公积金。</t>
    </r>
    <phoneticPr fontId="18" type="noConversion"/>
  </si>
  <si>
    <r>
      <rPr>
        <sz val="10"/>
        <color indexed="12"/>
        <rFont val="宋体"/>
        <family val="3"/>
        <charset val="134"/>
      </rPr>
      <t>法定公积金转为资本时，所留存的该项公积金不得少于转增前公司注册资本的百分之二十五。</t>
    </r>
  </si>
  <si>
    <r>
      <t>5</t>
    </r>
    <r>
      <rPr>
        <sz val="10"/>
        <color indexed="12"/>
        <rFont val="宋体"/>
        <family val="3"/>
        <charset val="134"/>
      </rPr>
      <t>、关于《公司法》施行后有关企业财务处理问题的通知：</t>
    </r>
    <phoneticPr fontId="18" type="noConversion"/>
  </si>
  <si>
    <r>
      <rPr>
        <sz val="10"/>
        <color indexed="12"/>
        <rFont val="宋体"/>
        <family val="3"/>
        <charset val="134"/>
      </rPr>
      <t>从</t>
    </r>
    <r>
      <rPr>
        <sz val="10"/>
        <color indexed="12"/>
        <rFont val="Arial Narrow"/>
        <family val="2"/>
      </rPr>
      <t>2006</t>
    </r>
    <r>
      <rPr>
        <sz val="10"/>
        <color indexed="12"/>
        <rFont val="宋体"/>
        <family val="3"/>
        <charset val="134"/>
      </rPr>
      <t>年</t>
    </r>
    <r>
      <rPr>
        <sz val="10"/>
        <color indexed="12"/>
        <rFont val="Arial Narrow"/>
        <family val="2"/>
      </rPr>
      <t>1</t>
    </r>
    <r>
      <rPr>
        <sz val="10"/>
        <color indexed="12"/>
        <rFont val="宋体"/>
        <family val="3"/>
        <charset val="134"/>
      </rPr>
      <t>月</t>
    </r>
    <r>
      <rPr>
        <sz val="10"/>
        <color indexed="12"/>
        <rFont val="Arial Narrow"/>
        <family val="2"/>
      </rPr>
      <t>1</t>
    </r>
    <r>
      <rPr>
        <sz val="10"/>
        <color indexed="12"/>
        <rFont val="宋体"/>
        <family val="3"/>
        <charset val="134"/>
      </rPr>
      <t>日起，按照《公司法》组建的企业根据《公司法》第</t>
    </r>
    <r>
      <rPr>
        <sz val="10"/>
        <color indexed="12"/>
        <rFont val="Arial Narrow"/>
        <family val="2"/>
      </rPr>
      <t>167</t>
    </r>
    <r>
      <rPr>
        <sz val="10"/>
        <color indexed="12"/>
        <rFont val="宋体"/>
        <family val="3"/>
        <charset val="134"/>
      </rPr>
      <t>条进行利润分配，不再提取公益金；</t>
    </r>
    <phoneticPr fontId="18" type="noConversion"/>
  </si>
  <si>
    <r>
      <rPr>
        <sz val="10"/>
        <color indexed="12"/>
        <rFont val="宋体"/>
        <family val="3"/>
        <charset val="134"/>
      </rPr>
      <t>同时，为了保持企业间财务政策的一致性，国有企业以及其他企业一并停止实行公益金制度。</t>
    </r>
    <phoneticPr fontId="18" type="noConversion"/>
  </si>
  <si>
    <r>
      <rPr>
        <sz val="10"/>
        <color indexed="12"/>
        <rFont val="宋体"/>
        <family val="3"/>
        <charset val="134"/>
      </rPr>
      <t>企业对</t>
    </r>
    <r>
      <rPr>
        <sz val="10"/>
        <color indexed="12"/>
        <rFont val="Arial Narrow"/>
        <family val="2"/>
      </rPr>
      <t>2005</t>
    </r>
    <r>
      <rPr>
        <sz val="10"/>
        <color indexed="12"/>
        <rFont val="宋体"/>
        <family val="3"/>
        <charset val="134"/>
      </rPr>
      <t>年</t>
    </r>
    <r>
      <rPr>
        <sz val="10"/>
        <color indexed="12"/>
        <rFont val="Arial Narrow"/>
        <family val="2"/>
      </rPr>
      <t>12</t>
    </r>
    <r>
      <rPr>
        <sz val="10"/>
        <color indexed="12"/>
        <rFont val="宋体"/>
        <family val="3"/>
        <charset val="134"/>
      </rPr>
      <t>月</t>
    </r>
    <r>
      <rPr>
        <sz val="10"/>
        <color indexed="12"/>
        <rFont val="Arial Narrow"/>
        <family val="2"/>
      </rPr>
      <t>31</t>
    </r>
    <r>
      <rPr>
        <sz val="10"/>
        <color indexed="12"/>
        <rFont val="宋体"/>
        <family val="3"/>
        <charset val="134"/>
      </rPr>
      <t>日的公益金结余，转作盈余公积金管理使用；公益金赤字，依次以盈余公积金、资本公积金、</t>
    </r>
    <phoneticPr fontId="18" type="noConversion"/>
  </si>
  <si>
    <r>
      <rPr>
        <sz val="10"/>
        <color indexed="12"/>
        <rFont val="宋体"/>
        <family val="3"/>
        <charset val="134"/>
      </rPr>
      <t>以前年度未分配利润弥补，仍有赤字的，结转未分配利润账户，用以后年度实现的税后利润弥补。</t>
    </r>
    <phoneticPr fontId="18" type="noConversion"/>
  </si>
  <si>
    <r>
      <rPr>
        <sz val="10"/>
        <color indexed="12"/>
        <rFont val="宋体"/>
        <family val="3"/>
        <charset val="134"/>
      </rPr>
      <t>企业停止实行公益金制度以后</t>
    </r>
    <r>
      <rPr>
        <sz val="10"/>
        <color indexed="12"/>
        <rFont val="Arial Narrow"/>
        <family val="2"/>
      </rPr>
      <t>,</t>
    </r>
    <r>
      <rPr>
        <sz val="10"/>
        <color indexed="12"/>
        <rFont val="宋体"/>
        <family val="3"/>
        <charset val="134"/>
      </rPr>
      <t>外商投资企业的职工奖励及福利基金</t>
    </r>
    <r>
      <rPr>
        <sz val="10"/>
        <color indexed="12"/>
        <rFont val="Arial Narrow"/>
        <family val="2"/>
      </rPr>
      <t>,</t>
    </r>
    <r>
      <rPr>
        <sz val="10"/>
        <color indexed="12"/>
        <rFont val="宋体"/>
        <family val="3"/>
        <charset val="134"/>
      </rPr>
      <t>经董事会确定继续提取的</t>
    </r>
    <r>
      <rPr>
        <sz val="10"/>
        <color indexed="12"/>
        <rFont val="Arial Narrow"/>
        <family val="2"/>
      </rPr>
      <t>,</t>
    </r>
    <r>
      <rPr>
        <sz val="10"/>
        <color indexed="12"/>
        <rFont val="宋体"/>
        <family val="3"/>
        <charset val="134"/>
      </rPr>
      <t>应当明确用途、使用条件和程序</t>
    </r>
    <r>
      <rPr>
        <sz val="10"/>
        <color indexed="12"/>
        <rFont val="Arial Narrow"/>
        <family val="2"/>
      </rPr>
      <t>,</t>
    </r>
    <r>
      <rPr>
        <sz val="10"/>
        <color indexed="12"/>
        <rFont val="宋体"/>
        <family val="3"/>
        <charset val="134"/>
      </rPr>
      <t>作为负债管理。</t>
    </r>
    <phoneticPr fontId="18" type="noConversion"/>
  </si>
  <si>
    <r>
      <t>6</t>
    </r>
    <r>
      <rPr>
        <sz val="10"/>
        <color indexed="12"/>
        <rFont val="宋体"/>
        <family val="3"/>
        <charset val="134"/>
      </rPr>
      <t>、《外资企业法实施细则》国务院令第</t>
    </r>
    <r>
      <rPr>
        <sz val="10"/>
        <color indexed="12"/>
        <rFont val="Arial Narrow"/>
        <family val="2"/>
      </rPr>
      <t>301</t>
    </r>
    <r>
      <rPr>
        <sz val="10"/>
        <color indexed="12"/>
        <rFont val="宋体"/>
        <family val="3"/>
        <charset val="134"/>
      </rPr>
      <t>号：</t>
    </r>
    <phoneticPr fontId="18" type="noConversion"/>
  </si>
  <si>
    <r>
      <rPr>
        <sz val="10"/>
        <color indexed="12"/>
        <rFont val="宋体"/>
        <family val="3"/>
        <charset val="134"/>
      </rPr>
      <t>第五十八条外资企业依照中国税法规定缴纳所得税后的利润，应当提取储备基金和职工奖励及福利基金。储备基金的提取比例不得低于税后利润的</t>
    </r>
    <r>
      <rPr>
        <sz val="10"/>
        <color indexed="12"/>
        <rFont val="Arial Narrow"/>
        <family val="2"/>
      </rPr>
      <t>10%</t>
    </r>
    <r>
      <rPr>
        <sz val="10"/>
        <color indexed="12"/>
        <rFont val="宋体"/>
        <family val="3"/>
        <charset val="134"/>
      </rPr>
      <t>，</t>
    </r>
  </si>
  <si>
    <r>
      <rPr>
        <sz val="10"/>
        <color indexed="12"/>
        <rFont val="宋体"/>
        <family val="3"/>
        <charset val="134"/>
      </rPr>
      <t>当累计提取金额达到注册资本的</t>
    </r>
    <r>
      <rPr>
        <sz val="10"/>
        <color indexed="12"/>
        <rFont val="Arial Narrow"/>
        <family val="2"/>
      </rPr>
      <t>50%</t>
    </r>
    <r>
      <rPr>
        <sz val="10"/>
        <color indexed="12"/>
        <rFont val="宋体"/>
        <family val="3"/>
        <charset val="134"/>
      </rPr>
      <t>时，可以不再提取。</t>
    </r>
    <phoneticPr fontId="18" type="noConversion"/>
  </si>
  <si>
    <r>
      <rPr>
        <sz val="10"/>
        <color indexed="12"/>
        <rFont val="宋体"/>
        <family val="3"/>
        <charset val="134"/>
      </rPr>
      <t>职工奖励及福利基金的提取比例由外资企业自行确定。</t>
    </r>
    <phoneticPr fontId="18" type="noConversion"/>
  </si>
  <si>
    <r>
      <rPr>
        <b/>
        <sz val="10"/>
        <rFont val="宋体"/>
        <family val="3"/>
        <charset val="134"/>
      </rPr>
      <t>一、测试目标：</t>
    </r>
    <phoneticPr fontId="29" type="noConversion"/>
  </si>
  <si>
    <r>
      <rPr>
        <sz val="10"/>
        <rFont val="宋体"/>
        <family val="3"/>
        <charset val="134"/>
      </rPr>
      <t>通过凭证抽查，验证盈余公积的存在</t>
    </r>
    <r>
      <rPr>
        <sz val="10"/>
        <rFont val="Arial Narrow"/>
        <family val="2"/>
      </rPr>
      <t>/</t>
    </r>
    <r>
      <rPr>
        <sz val="10"/>
        <rFont val="宋体"/>
        <family val="3"/>
        <charset val="134"/>
      </rPr>
      <t>发生、计价和分摊。</t>
    </r>
    <phoneticPr fontId="18" type="noConversion"/>
  </si>
  <si>
    <r>
      <rPr>
        <b/>
        <sz val="10"/>
        <rFont val="宋体"/>
        <family val="3"/>
        <charset val="134"/>
      </rPr>
      <t>四、审计说明：</t>
    </r>
    <phoneticPr fontId="29" type="noConversion"/>
  </si>
  <si>
    <r>
      <rPr>
        <b/>
        <sz val="10"/>
        <rFont val="宋体"/>
        <family val="3"/>
        <charset val="134"/>
      </rPr>
      <t>五、审计结论：</t>
    </r>
    <phoneticPr fontId="18" type="noConversion"/>
  </si>
  <si>
    <r>
      <rPr>
        <b/>
        <sz val="10"/>
        <color indexed="12"/>
        <rFont val="宋体"/>
        <family val="3"/>
        <charset val="134"/>
      </rPr>
      <t>参考结论：</t>
    </r>
    <r>
      <rPr>
        <sz val="12"/>
        <rFont val="Arial Narrow"/>
        <family val="2"/>
      </rPr>
      <t/>
    </r>
    <phoneticPr fontId="18" type="noConversion"/>
  </si>
  <si>
    <r>
      <t>A</t>
    </r>
    <r>
      <rPr>
        <sz val="10"/>
        <color indexed="12"/>
        <rFont val="宋体"/>
        <family val="3"/>
        <charset val="134"/>
      </rPr>
      <t>、</t>
    </r>
    <phoneticPr fontId="18" type="noConversion"/>
  </si>
  <si>
    <r>
      <rPr>
        <sz val="10"/>
        <color indexed="12"/>
        <rFont val="宋体"/>
        <family val="3"/>
        <charset val="134"/>
      </rPr>
      <t>未见异常。</t>
    </r>
    <phoneticPr fontId="18" type="noConversion"/>
  </si>
  <si>
    <r>
      <t>B</t>
    </r>
    <r>
      <rPr>
        <sz val="10"/>
        <color indexed="12"/>
        <rFont val="宋体"/>
        <family val="3"/>
        <charset val="134"/>
      </rPr>
      <t>、</t>
    </r>
    <phoneticPr fontId="18" type="noConversion"/>
  </si>
  <si>
    <r>
      <rPr>
        <sz val="10"/>
        <color indexed="12"/>
        <rFont val="宋体"/>
        <family val="3"/>
        <charset val="134"/>
      </rPr>
      <t>除以下重大不符事项应当作为调整事项予以调整外，其余未见异常。</t>
    </r>
    <phoneticPr fontId="18" type="noConversion"/>
  </si>
  <si>
    <r>
      <t>C</t>
    </r>
    <r>
      <rPr>
        <sz val="10"/>
        <color indexed="12"/>
        <rFont val="宋体"/>
        <family val="3"/>
        <charset val="134"/>
      </rPr>
      <t>、</t>
    </r>
    <phoneticPr fontId="18" type="noConversion"/>
  </si>
  <si>
    <r>
      <rPr>
        <sz val="10"/>
        <color indexed="12"/>
        <rFont val="宋体"/>
        <family val="3"/>
        <charset val="134"/>
      </rPr>
      <t>由于存在以下重大未调整事项（或审计范围受到限制无法获取充分、适当证据），不可确认。</t>
    </r>
    <phoneticPr fontId="18" type="noConversion"/>
  </si>
  <si>
    <r>
      <rPr>
        <sz val="10"/>
        <rFont val="宋体"/>
        <family val="3"/>
        <charset val="134"/>
      </rPr>
      <t>索引号：</t>
    </r>
  </si>
  <si>
    <r>
      <rPr>
        <b/>
        <sz val="10"/>
        <rFont val="宋体"/>
        <family val="3"/>
        <charset val="134"/>
      </rPr>
      <t>一、本账户涉及的科目</t>
    </r>
    <phoneticPr fontId="18" type="noConversion"/>
  </si>
  <si>
    <r>
      <rPr>
        <b/>
        <sz val="10"/>
        <rFont val="宋体"/>
        <family val="3"/>
        <charset val="134"/>
      </rPr>
      <t>财务报表的认定　</t>
    </r>
  </si>
  <si>
    <r>
      <rPr>
        <sz val="10"/>
        <rFont val="宋体"/>
        <family val="3"/>
        <charset val="134"/>
      </rPr>
      <t>存在</t>
    </r>
    <phoneticPr fontId="18" type="noConversion"/>
  </si>
  <si>
    <r>
      <rPr>
        <b/>
        <sz val="10"/>
        <rFont val="宋体"/>
        <family val="3"/>
        <charset val="134"/>
      </rPr>
      <t>三、计划实施的实质性程序</t>
    </r>
    <phoneticPr fontId="18" type="noConversion"/>
  </si>
  <si>
    <r>
      <rPr>
        <b/>
        <sz val="10"/>
        <rFont val="宋体"/>
        <family val="3"/>
        <charset val="134"/>
      </rPr>
      <t>序号</t>
    </r>
    <phoneticPr fontId="18" type="noConversion"/>
  </si>
  <si>
    <r>
      <rPr>
        <b/>
        <sz val="10"/>
        <rFont val="宋体"/>
        <family val="3"/>
        <charset val="134"/>
      </rPr>
      <t>程序分类</t>
    </r>
    <phoneticPr fontId="18" type="noConversion"/>
  </si>
  <si>
    <t>……</t>
    <phoneticPr fontId="18" type="noConversion"/>
  </si>
  <si>
    <t>调整分录汇总</t>
    <phoneticPr fontId="18" type="noConversion"/>
  </si>
  <si>
    <t>项  目</t>
  </si>
  <si>
    <t>合  计</t>
  </si>
  <si>
    <r>
      <t>任意</t>
    </r>
    <r>
      <rPr>
        <sz val="10"/>
        <rFont val="宋体"/>
        <family val="3"/>
        <charset val="134"/>
        <scheme val="minor"/>
      </rPr>
      <t>盈余公积</t>
    </r>
  </si>
  <si>
    <r>
      <t>说明：</t>
    </r>
    <r>
      <rPr>
        <sz val="10"/>
        <color rgb="FF0000FF"/>
        <rFont val="宋体"/>
        <family val="3"/>
        <charset val="134"/>
        <scheme val="minor"/>
      </rPr>
      <t>（盈余公积的变动情况、变动原因。用盈余公积转增股本、弥补亏损、分派股利的，应说明有关决议。）</t>
    </r>
  </si>
  <si>
    <t>期初余额</t>
    <phoneticPr fontId="18" type="noConversion"/>
  </si>
  <si>
    <t>期末余额</t>
    <phoneticPr fontId="18" type="noConversion"/>
  </si>
  <si>
    <t>期初余额</t>
    <phoneticPr fontId="18" type="noConversion"/>
  </si>
  <si>
    <t>M5A</t>
  </si>
  <si>
    <t>M5-2</t>
  </si>
  <si>
    <t>M5-3</t>
  </si>
  <si>
    <t>M5-4</t>
  </si>
  <si>
    <r>
      <t xml:space="preserve">A. </t>
    </r>
    <r>
      <rPr>
        <sz val="10"/>
        <rFont val="宋体"/>
        <family val="3"/>
        <charset val="134"/>
      </rPr>
      <t>资产负债表中记录的资本公积是存在的，且已经记录在恰当的账户中</t>
    </r>
    <phoneticPr fontId="18" type="noConversion"/>
  </si>
  <si>
    <r>
      <t xml:space="preserve">B. </t>
    </r>
    <r>
      <rPr>
        <sz val="10"/>
        <rFont val="宋体"/>
        <family val="3"/>
        <charset val="134"/>
      </rPr>
      <t>所有应记录的资本公积均已记录，所有应当包括在财务报表中的相关披露均已包括</t>
    </r>
    <phoneticPr fontId="18" type="noConversion"/>
  </si>
  <si>
    <t>M5-1</t>
    <phoneticPr fontId="18" type="noConversion"/>
  </si>
  <si>
    <r>
      <rPr>
        <sz val="10"/>
        <rFont val="宋体"/>
        <family val="3"/>
        <charset val="134"/>
      </rPr>
      <t>索引号：</t>
    </r>
    <r>
      <rPr>
        <sz val="10"/>
        <rFont val="Arial Narrow"/>
        <family val="2"/>
      </rPr>
      <t>M5-4</t>
    </r>
    <phoneticPr fontId="18" type="noConversion"/>
  </si>
  <si>
    <t>M5-5</t>
  </si>
  <si>
    <t>盈余公积实质性程序表</t>
    <phoneticPr fontId="18" type="noConversion"/>
  </si>
  <si>
    <t>审定表</t>
    <phoneticPr fontId="18" type="noConversion"/>
  </si>
  <si>
    <t>附注披露信息(上市公司)</t>
    <phoneticPr fontId="18" type="noConversion"/>
  </si>
  <si>
    <t>附注披露信息(国企)</t>
    <phoneticPr fontId="18" type="noConversion"/>
  </si>
  <si>
    <t>M5-1</t>
    <phoneticPr fontId="49" type="noConversion"/>
  </si>
  <si>
    <t>无需打印</t>
  </si>
  <si>
    <r>
      <t>A1-1/</t>
    </r>
    <r>
      <rPr>
        <sz val="10"/>
        <color rgb="FFFF0000"/>
        <rFont val="Arial Narrow"/>
        <family val="2"/>
      </rPr>
      <t>A1-15 /A1-16</t>
    </r>
    <phoneticPr fontId="49" type="noConversion"/>
  </si>
  <si>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phoneticPr fontId="49" type="noConversion"/>
  </si>
  <si>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phoneticPr fontId="49" type="noConversion"/>
  </si>
  <si>
    <r>
      <t>2.</t>
    </r>
    <r>
      <rPr>
        <sz val="10"/>
        <rFont val="宋体"/>
        <family val="3"/>
        <charset val="134"/>
        <scheme val="minor"/>
      </rPr>
      <t>资本公积以恰当的金额包括在财务报表中，与之相关的计价或分摊调整已恰当记录，相关披露已得到恰当计量和描述。</t>
    </r>
    <phoneticPr fontId="18" type="noConversion"/>
  </si>
  <si>
    <r>
      <t>1.</t>
    </r>
    <r>
      <rPr>
        <sz val="10"/>
        <rFont val="宋体"/>
        <family val="3"/>
        <charset val="134"/>
        <scheme val="minor"/>
      </rPr>
      <t>资产负债表中记录的资本公积是存在的。</t>
    </r>
    <phoneticPr fontId="49" type="noConversion"/>
  </si>
  <si>
    <r>
      <rPr>
        <sz val="10"/>
        <rFont val="宋体"/>
        <family val="3"/>
        <charset val="134"/>
      </rPr>
      <t>页</t>
    </r>
    <r>
      <rPr>
        <sz val="10"/>
        <rFont val="Arial Narrow"/>
        <family val="2"/>
      </rPr>
      <t xml:space="preserve">  </t>
    </r>
    <r>
      <rPr>
        <sz val="10"/>
        <rFont val="宋体"/>
        <family val="3"/>
        <charset val="134"/>
      </rPr>
      <t>次：</t>
    </r>
    <phoneticPr fontId="49" type="noConversion"/>
  </si>
  <si>
    <r>
      <rPr>
        <sz val="10"/>
        <color theme="1" tint="0.14999847407452621"/>
        <rFont val="宋体"/>
        <family val="3"/>
        <charset val="134"/>
      </rPr>
      <t>盈余公积</t>
    </r>
    <phoneticPr fontId="49" type="noConversion"/>
  </si>
  <si>
    <r>
      <rPr>
        <b/>
        <sz val="10"/>
        <rFont val="宋体"/>
        <family val="3"/>
        <charset val="134"/>
      </rPr>
      <t>二、审计目标与认定的对应关系</t>
    </r>
    <phoneticPr fontId="18" type="noConversion"/>
  </si>
  <si>
    <r>
      <rPr>
        <b/>
        <sz val="10"/>
        <rFont val="宋体"/>
        <family val="3"/>
        <charset val="134"/>
      </rPr>
      <t>审计目标</t>
    </r>
    <phoneticPr fontId="18" type="noConversion"/>
  </si>
  <si>
    <r>
      <t xml:space="preserve">D. </t>
    </r>
    <r>
      <rPr>
        <sz val="10"/>
        <rFont val="宋体"/>
        <family val="3"/>
        <charset val="134"/>
      </rPr>
      <t>资本公积以恰当的金额包括在财务报表中，与之相关的计价或分摊调整已恰当记录，相关披露已得到恰当计量和描述</t>
    </r>
    <r>
      <rPr>
        <sz val="10"/>
        <rFont val="Arial Narrow"/>
        <family val="2"/>
      </rPr>
      <t xml:space="preserve"> </t>
    </r>
    <phoneticPr fontId="18" type="noConversion"/>
  </si>
  <si>
    <r>
      <rPr>
        <b/>
        <sz val="10"/>
        <rFont val="宋体"/>
        <family val="3"/>
        <charset val="134"/>
      </rPr>
      <t>财务报表的认定</t>
    </r>
    <phoneticPr fontId="18" type="noConversion"/>
  </si>
  <si>
    <r>
      <rPr>
        <b/>
        <sz val="10"/>
        <rFont val="宋体"/>
        <family val="3"/>
        <charset val="134"/>
      </rPr>
      <t>底稿索引号</t>
    </r>
    <phoneticPr fontId="18" type="noConversion"/>
  </si>
  <si>
    <r>
      <rPr>
        <b/>
        <sz val="10"/>
        <rFont val="宋体"/>
        <family val="3"/>
        <charset val="134"/>
      </rPr>
      <t>存在</t>
    </r>
    <phoneticPr fontId="18" type="noConversion"/>
  </si>
  <si>
    <r>
      <rPr>
        <b/>
        <sz val="10"/>
        <rFont val="宋体"/>
        <family val="3"/>
        <charset val="134"/>
      </rPr>
      <t>完整性</t>
    </r>
    <phoneticPr fontId="18" type="noConversion"/>
  </si>
  <si>
    <r>
      <rPr>
        <b/>
        <sz val="10"/>
        <rFont val="宋体"/>
        <family val="3"/>
        <charset val="134"/>
      </rPr>
      <t>权利和
义务</t>
    </r>
    <phoneticPr fontId="18" type="noConversion"/>
  </si>
  <si>
    <r>
      <rPr>
        <b/>
        <sz val="10"/>
        <rFont val="宋体"/>
        <family val="3"/>
        <charset val="134"/>
      </rPr>
      <t>准确性、计价和分摊</t>
    </r>
  </si>
  <si>
    <r>
      <rPr>
        <b/>
        <sz val="10"/>
        <rFont val="宋体"/>
        <family val="3"/>
        <charset val="134"/>
      </rPr>
      <t>列报</t>
    </r>
    <phoneticPr fontId="18" type="noConversion"/>
  </si>
  <si>
    <r>
      <rPr>
        <sz val="10"/>
        <color theme="1"/>
        <rFont val="宋体"/>
        <family val="3"/>
        <charset val="134"/>
      </rPr>
      <t>常规★</t>
    </r>
    <phoneticPr fontId="49" type="noConversion"/>
  </si>
  <si>
    <r>
      <rPr>
        <sz val="10"/>
        <color theme="1"/>
        <rFont val="宋体"/>
        <family val="3"/>
        <charset val="134"/>
      </rPr>
      <t>√</t>
    </r>
    <phoneticPr fontId="18" type="noConversion"/>
  </si>
  <si>
    <r>
      <rPr>
        <sz val="10"/>
        <rFont val="宋体"/>
        <family val="3"/>
        <charset val="134"/>
      </rPr>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r>
    <phoneticPr fontId="18" type="noConversion"/>
  </si>
  <si>
    <r>
      <rPr>
        <sz val="10"/>
        <color theme="1"/>
        <rFont val="宋体"/>
        <family val="3"/>
        <charset val="134"/>
      </rPr>
      <t>备选</t>
    </r>
    <phoneticPr fontId="49" type="noConversion"/>
  </si>
  <si>
    <r>
      <rPr>
        <sz val="10"/>
        <color theme="1"/>
        <rFont val="宋体"/>
        <family val="3"/>
        <charset val="134"/>
      </rPr>
      <t>检查盈余公积是否已按企业会计准则或其他适用的规定在财务报表中做出恰当列报和披露。</t>
    </r>
    <phoneticPr fontId="49" type="noConversion"/>
  </si>
  <si>
    <r>
      <rPr>
        <sz val="10"/>
        <color theme="1"/>
        <rFont val="宋体"/>
        <family val="3"/>
        <charset val="134"/>
      </rPr>
      <t>常规★</t>
    </r>
  </si>
  <si>
    <r>
      <rPr>
        <b/>
        <sz val="10"/>
        <rFont val="宋体"/>
        <family val="3"/>
        <charset val="134"/>
      </rPr>
      <t>期初数</t>
    </r>
    <phoneticPr fontId="18" type="noConversion"/>
  </si>
  <si>
    <r>
      <rPr>
        <b/>
        <sz val="10"/>
        <rFont val="宋体"/>
        <family val="3"/>
        <charset val="134"/>
      </rPr>
      <t>期末数</t>
    </r>
    <phoneticPr fontId="18" type="noConversion"/>
  </si>
  <si>
    <r>
      <rPr>
        <b/>
        <sz val="10"/>
        <color indexed="8"/>
        <rFont val="宋体"/>
        <family val="3"/>
        <charset val="134"/>
      </rPr>
      <t>本期审定数与上期
审定数的比较</t>
    </r>
    <phoneticPr fontId="18" type="noConversion"/>
  </si>
  <si>
    <r>
      <rPr>
        <b/>
        <sz val="10"/>
        <rFont val="宋体"/>
        <family val="3"/>
        <charset val="134"/>
      </rPr>
      <t>原因分析</t>
    </r>
    <phoneticPr fontId="46" type="noConversion"/>
  </si>
  <si>
    <r>
      <rPr>
        <b/>
        <sz val="10"/>
        <rFont val="宋体"/>
        <family val="3"/>
        <charset val="134"/>
      </rPr>
      <t>未审数</t>
    </r>
    <phoneticPr fontId="18" type="noConversion"/>
  </si>
  <si>
    <r>
      <rPr>
        <b/>
        <sz val="10"/>
        <rFont val="宋体"/>
        <family val="3"/>
        <charset val="134"/>
      </rPr>
      <t>账项调整</t>
    </r>
    <phoneticPr fontId="18" type="noConversion"/>
  </si>
  <si>
    <r>
      <rPr>
        <b/>
        <sz val="10"/>
        <rFont val="宋体"/>
        <family val="3"/>
        <charset val="134"/>
      </rPr>
      <t>重分类调整</t>
    </r>
    <phoneticPr fontId="18" type="noConversion"/>
  </si>
  <si>
    <r>
      <rPr>
        <b/>
        <sz val="10"/>
        <rFont val="宋体"/>
        <family val="3"/>
        <charset val="134"/>
      </rPr>
      <t>审定数</t>
    </r>
    <phoneticPr fontId="18" type="noConversion"/>
  </si>
  <si>
    <r>
      <rPr>
        <b/>
        <sz val="10"/>
        <rFont val="宋体"/>
        <family val="3"/>
        <charset val="134"/>
      </rPr>
      <t>变动额</t>
    </r>
    <phoneticPr fontId="18" type="noConversion"/>
  </si>
  <si>
    <r>
      <rPr>
        <b/>
        <sz val="10"/>
        <color indexed="8"/>
        <rFont val="宋体"/>
        <family val="3"/>
        <charset val="134"/>
      </rPr>
      <t>变动率</t>
    </r>
    <phoneticPr fontId="18" type="noConversion"/>
  </si>
  <si>
    <r>
      <rPr>
        <sz val="10"/>
        <rFont val="宋体"/>
        <family val="3"/>
        <charset val="134"/>
      </rPr>
      <t>法定盈余公积</t>
    </r>
  </si>
  <si>
    <r>
      <rPr>
        <sz val="10"/>
        <rFont val="宋体"/>
        <family val="3"/>
        <charset val="134"/>
      </rPr>
      <t>任意盈余公积</t>
    </r>
  </si>
  <si>
    <r>
      <rPr>
        <sz val="10"/>
        <rFont val="宋体"/>
        <family val="3"/>
        <charset val="134"/>
      </rPr>
      <t>利润归还投资</t>
    </r>
  </si>
  <si>
    <r>
      <rPr>
        <sz val="10"/>
        <rFont val="宋体"/>
        <family val="3"/>
        <charset val="134"/>
      </rPr>
      <t>其他</t>
    </r>
  </si>
  <si>
    <r>
      <rPr>
        <b/>
        <sz val="10"/>
        <rFont val="宋体"/>
        <family val="3"/>
        <charset val="134"/>
      </rPr>
      <t>合计</t>
    </r>
    <phoneticPr fontId="18" type="noConversion"/>
  </si>
  <si>
    <r>
      <rPr>
        <b/>
        <sz val="10"/>
        <rFont val="宋体"/>
        <family val="3"/>
        <charset val="134"/>
      </rPr>
      <t>试算平衡表数</t>
    </r>
    <phoneticPr fontId="18" type="noConversion"/>
  </si>
  <si>
    <r>
      <rPr>
        <b/>
        <sz val="10"/>
        <rFont val="宋体"/>
        <family val="3"/>
        <charset val="134"/>
      </rPr>
      <t>差异数</t>
    </r>
    <phoneticPr fontId="18" type="noConversion"/>
  </si>
  <si>
    <r>
      <rPr>
        <sz val="10"/>
        <rFont val="宋体"/>
        <family val="3"/>
        <charset val="134"/>
      </rPr>
      <t>（</t>
    </r>
    <r>
      <rPr>
        <sz val="10"/>
        <rFont val="Arial Narrow"/>
        <family val="2"/>
      </rPr>
      <t>1</t>
    </r>
    <r>
      <rPr>
        <sz val="10"/>
        <rFont val="宋体"/>
        <family val="3"/>
        <charset val="134"/>
      </rPr>
      <t>）期末余额较期初余额增加（负数为减少）：</t>
    </r>
    <phoneticPr fontId="18"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</si>
  <si>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18" type="noConversion"/>
  </si>
  <si>
    <r>
      <rPr>
        <sz val="10"/>
        <rFont val="宋体"/>
        <family val="3"/>
        <charset val="134"/>
      </rPr>
      <t>（</t>
    </r>
    <r>
      <rPr>
        <sz val="10"/>
        <rFont val="Arial Narrow"/>
        <family val="2"/>
      </rPr>
      <t>2</t>
    </r>
    <r>
      <rPr>
        <sz val="10"/>
        <rFont val="宋体"/>
        <family val="3"/>
        <charset val="134"/>
      </rPr>
      <t>）用盈余公积转增股本、弥补亏损、分派股利的情况说明。</t>
    </r>
    <phoneticPr fontId="18" type="noConversion"/>
  </si>
  <si>
    <r>
      <t>2</t>
    </r>
    <r>
      <rPr>
        <b/>
        <sz val="10"/>
        <rFont val="宋体"/>
        <family val="3"/>
        <charset val="134"/>
      </rPr>
      <t>、审计结论</t>
    </r>
    <phoneticPr fontId="18" type="noConversion"/>
  </si>
  <si>
    <r>
      <rPr>
        <b/>
        <sz val="10"/>
        <rFont val="宋体"/>
        <family val="3"/>
        <charset val="134"/>
      </rPr>
      <t>借方调整金额</t>
    </r>
    <phoneticPr fontId="18" type="noConversion"/>
  </si>
  <si>
    <r>
      <t>1.</t>
    </r>
    <r>
      <rPr>
        <sz val="10"/>
        <rFont val="宋体"/>
        <family val="3"/>
        <charset val="134"/>
      </rPr>
      <t>资本公积以恰当的金额包括在财务报表中，与之相关的计价或分摊调整已恰当记录，相关披露已得到恰当计量和描述</t>
    </r>
    <r>
      <rPr>
        <sz val="10"/>
        <rFont val="Arial Narrow"/>
        <family val="2"/>
      </rPr>
      <t xml:space="preserve"> </t>
    </r>
    <r>
      <rPr>
        <sz val="10"/>
        <rFont val="宋体"/>
        <family val="3"/>
        <charset val="134"/>
      </rPr>
      <t>；</t>
    </r>
    <phoneticPr fontId="18" type="noConversion"/>
  </si>
  <si>
    <r>
      <t xml:space="preserve"> </t>
    </r>
    <r>
      <rPr>
        <b/>
        <sz val="10"/>
        <rFont val="宋体"/>
        <family val="3"/>
        <charset val="134"/>
      </rPr>
      <t>项</t>
    </r>
    <r>
      <rPr>
        <b/>
        <sz val="10"/>
        <rFont val="Arial Narrow"/>
        <family val="2"/>
      </rPr>
      <t xml:space="preserve"> </t>
    </r>
    <r>
      <rPr>
        <b/>
        <sz val="10"/>
        <rFont val="宋体"/>
        <family val="3"/>
        <charset val="134"/>
      </rPr>
      <t>目</t>
    </r>
    <r>
      <rPr>
        <b/>
        <sz val="10"/>
        <rFont val="Arial Narrow"/>
        <family val="2"/>
      </rPr>
      <t xml:space="preserve"> </t>
    </r>
    <r>
      <rPr>
        <b/>
        <sz val="10"/>
        <rFont val="宋体"/>
        <family val="3"/>
        <charset val="134"/>
      </rPr>
      <t>内</t>
    </r>
    <r>
      <rPr>
        <b/>
        <sz val="10"/>
        <rFont val="Arial Narrow"/>
        <family val="2"/>
      </rPr>
      <t xml:space="preserve"> </t>
    </r>
    <r>
      <rPr>
        <b/>
        <sz val="10"/>
        <rFont val="宋体"/>
        <family val="3"/>
        <charset val="134"/>
      </rPr>
      <t>容</t>
    </r>
    <phoneticPr fontId="18" type="noConversion"/>
  </si>
  <si>
    <r>
      <rPr>
        <b/>
        <sz val="10"/>
        <rFont val="宋体"/>
        <family val="3"/>
        <charset val="134"/>
      </rPr>
      <t>三、审计说明：</t>
    </r>
    <phoneticPr fontId="18"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</si>
  <si>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18" type="noConversion"/>
  </si>
  <si>
    <t>获取或编制盈余公积明细表，完成以下工作，并编制审定表
复核加计是否正确，与总账、明细账合计数核对是否相符，期初余额与上期审定期末余额是否相符；</t>
    <phoneticPr fontId="49" type="noConversion"/>
  </si>
  <si>
    <t>√</t>
    <phoneticPr fontId="18" type="noConversion"/>
  </si>
  <si>
    <t>√</t>
    <phoneticPr fontId="18" type="noConversion"/>
  </si>
  <si>
    <t>√</t>
    <phoneticPr fontId="18" type="noConversion"/>
  </si>
  <si>
    <r>
      <t>对于上期盈余公积期末余额，取得盈余公积明细表复核加计是否正确，与总账、明细账合计数是否相符，检查被审计单位盈余公积计提政策等文件。</t>
    </r>
    <r>
      <rPr>
        <sz val="10"/>
        <color rgb="FFFF0000"/>
        <rFont val="宋体"/>
        <family val="3"/>
        <charset val="134"/>
      </rPr>
      <t>（适用于首次承接）</t>
    </r>
    <phoneticPr fontId="18" type="noConversion"/>
  </si>
  <si>
    <t>对本期盈余公积发生的增减变动：
（1）检查法定盈余公积和任意盈余公积的计提顺序、计提基数、计提比例是否符合有关规定，判断其分类为盈余公积是否恰当，会计处理是否正确 
（2）检查盈余公积的减少是否符合有关规定，取得董事会会议纪要、股东(大)会决议，检查有关会计处理是否正确</t>
    <phoneticPr fontId="18" type="noConversion"/>
  </si>
  <si>
    <t>针对中外合作经营企业应对利润归还投资的，检查与归还投资变动有关的公司章程、合同、董事会会议纪要、政府部门的批准文件等资料，查明其是否合规、合法，并更新永久性档案，并对已归还投资的发生额逐项审计至原始凭证，检查应用的折算汇率和会计处理是否正确。</t>
    <phoneticPr fontId="18" type="noConversion"/>
  </si>
  <si>
    <t>根据评估的舞弊风险等因素增加的审计程序。</t>
    <phoneticPr fontId="18" type="noConversion"/>
  </si>
  <si>
    <t>√</t>
    <phoneticPr fontId="18" type="noConversion"/>
  </si>
  <si>
    <t>提示：</t>
    <phoneticPr fontId="18" type="noConversion"/>
  </si>
  <si>
    <r>
      <t>2.</t>
    </r>
    <r>
      <rPr>
        <sz val="10"/>
        <color indexed="12"/>
        <rFont val="宋体"/>
        <family val="3"/>
        <charset val="134"/>
      </rPr>
      <t>《公司法》第一百六十七条　公司分配当年税后利润时，应当提取利润的百分之十列入公司法定公积金。</t>
    </r>
    <phoneticPr fontId="18" type="noConversion"/>
  </si>
  <si>
    <r>
      <t>3.</t>
    </r>
    <r>
      <rPr>
        <sz val="10"/>
        <color indexed="12"/>
        <rFont val="宋体"/>
        <family val="3"/>
        <charset val="134"/>
      </rPr>
      <t>第一百六十九条　公司的公积金用于弥补公司的亏损、扩大公司生产经营或者转为增加公司资本。</t>
    </r>
    <phoneticPr fontId="18" type="noConversion"/>
  </si>
  <si>
    <r>
      <t>4.</t>
    </r>
    <r>
      <rPr>
        <sz val="10"/>
        <color indexed="12"/>
        <rFont val="宋体"/>
        <family val="3"/>
        <charset val="134"/>
      </rPr>
      <t>关于《公司法》施行后有关企业财务处理问题的通知：</t>
    </r>
    <phoneticPr fontId="18" type="noConversion"/>
  </si>
  <si>
    <r>
      <t>6.</t>
    </r>
    <r>
      <rPr>
        <sz val="10"/>
        <color rgb="FF3333FF"/>
        <rFont val="宋体"/>
        <family val="3"/>
        <charset val="134"/>
      </rPr>
      <t>审计说明可以概述：（</t>
    </r>
    <r>
      <rPr>
        <sz val="10"/>
        <color rgb="FF3333FF"/>
        <rFont val="Arial Narrow"/>
        <family val="2"/>
      </rPr>
      <t>1</t>
    </r>
    <r>
      <rPr>
        <sz val="10"/>
        <color rgb="FF3333FF"/>
        <rFont val="宋体"/>
        <family val="3"/>
        <charset val="134"/>
      </rPr>
      <t>）程序的测试情况、结果；（</t>
    </r>
    <r>
      <rPr>
        <sz val="10"/>
        <color rgb="FF3333FF"/>
        <rFont val="Arial Narrow"/>
        <family val="2"/>
      </rPr>
      <t>2</t>
    </r>
    <r>
      <rPr>
        <sz val="10"/>
        <color rgb="FF3333FF"/>
        <rFont val="宋体"/>
        <family val="3"/>
        <charset val="134"/>
      </rPr>
      <t>）拟调整事项及其调整分录、未调整事项及其影响，审计范围受到限制情况及其影响。</t>
    </r>
    <phoneticPr fontId="18" type="noConversion"/>
  </si>
  <si>
    <r>
      <t>7.</t>
    </r>
    <r>
      <rPr>
        <sz val="10"/>
        <color rgb="FF0000FF"/>
        <rFont val="宋体"/>
        <family val="3"/>
        <charset val="134"/>
      </rPr>
      <t>审计结论可参考：</t>
    </r>
    <r>
      <rPr>
        <sz val="10"/>
        <color rgb="FF0000FF"/>
        <rFont val="Arial Narrow"/>
        <family val="2"/>
      </rPr>
      <t>A</t>
    </r>
    <r>
      <rPr>
        <sz val="10"/>
        <color rgb="FF0000FF"/>
        <rFont val="宋体"/>
        <family val="3"/>
        <charset val="134"/>
      </rPr>
      <t>、未见异常。</t>
    </r>
    <r>
      <rPr>
        <sz val="10"/>
        <color rgb="FF0000FF"/>
        <rFont val="Arial Narrow"/>
        <family val="2"/>
      </rPr>
      <t>B</t>
    </r>
    <r>
      <rPr>
        <sz val="10"/>
        <color rgb="FF0000FF"/>
        <rFont val="宋体"/>
        <family val="3"/>
        <charset val="134"/>
      </rPr>
      <t>、除上述重大不符事项应当作为调整事项予以调整外，其余未见异常。</t>
    </r>
    <r>
      <rPr>
        <sz val="10"/>
        <color rgb="FF0000FF"/>
        <rFont val="Arial Narrow"/>
        <family val="2"/>
      </rPr>
      <t>C</t>
    </r>
    <r>
      <rPr>
        <sz val="10"/>
        <color rgb="FF0000FF"/>
        <rFont val="宋体"/>
        <family val="3"/>
        <charset val="134"/>
      </rPr>
      <t>、由于存在以下重大未调整事项</t>
    </r>
    <r>
      <rPr>
        <sz val="10"/>
        <color rgb="FF0000FF"/>
        <rFont val="Arial Narrow"/>
        <family val="2"/>
      </rPr>
      <t>(</t>
    </r>
    <r>
      <rPr>
        <sz val="10"/>
        <color rgb="FF0000FF"/>
        <rFont val="宋体"/>
        <family val="3"/>
        <charset val="134"/>
      </rPr>
      <t>或审计范围受到限制无法获取充分、适当证据），不可确认。</t>
    </r>
    <phoneticPr fontId="18" type="noConversion"/>
  </si>
  <si>
    <t>二、测试：</t>
    <phoneticPr fontId="29" type="noConversion"/>
  </si>
  <si>
    <t>记账凭证</t>
    <phoneticPr fontId="18" type="noConversion"/>
  </si>
  <si>
    <t>日期</t>
  </si>
  <si>
    <t>凭证编号</t>
  </si>
  <si>
    <t>业务内容</t>
    <phoneticPr fontId="18" type="noConversion"/>
  </si>
  <si>
    <t>对方科目</t>
    <phoneticPr fontId="18" type="noConversion"/>
  </si>
  <si>
    <t>对方明细科目</t>
    <phoneticPr fontId="18" type="noConversion"/>
  </si>
  <si>
    <t>借方金额</t>
    <phoneticPr fontId="18" type="noConversion"/>
  </si>
  <si>
    <t>贷方金额</t>
    <phoneticPr fontId="18" type="noConversion"/>
  </si>
  <si>
    <t>支持性文件</t>
    <phoneticPr fontId="18" type="noConversion"/>
  </si>
  <si>
    <r>
      <rPr>
        <b/>
        <sz val="10"/>
        <rFont val="宋体"/>
        <family val="3"/>
        <charset val="134"/>
      </rPr>
      <t>核对内容</t>
    </r>
  </si>
  <si>
    <t>索引号</t>
  </si>
  <si>
    <t>备注说明</t>
    <phoneticPr fontId="18" type="noConversion"/>
  </si>
  <si>
    <t>盈余公积实质性程序</t>
    <phoneticPr fontId="18" type="noConversion"/>
  </si>
  <si>
    <t>盈余公积审定表</t>
    <phoneticPr fontId="18" type="noConversion"/>
  </si>
  <si>
    <t>盈余公积检查表</t>
    <phoneticPr fontId="18" type="noConversion"/>
  </si>
  <si>
    <t>索引号：</t>
    <phoneticPr fontId="18" type="noConversion"/>
  </si>
  <si>
    <r>
      <rPr>
        <sz val="10"/>
        <rFont val="宋体"/>
        <family val="3"/>
        <charset val="134"/>
      </rPr>
      <t>页</t>
    </r>
    <r>
      <rPr>
        <sz val="10"/>
        <rFont val="Arial Narrow"/>
        <family val="2"/>
      </rPr>
      <t xml:space="preserve">    </t>
    </r>
    <r>
      <rPr>
        <sz val="10"/>
        <rFont val="宋体"/>
        <family val="3"/>
        <charset val="134"/>
      </rPr>
      <t>次：</t>
    </r>
    <phoneticPr fontId="18" type="noConversion"/>
  </si>
  <si>
    <t>T1/</t>
    <phoneticPr fontId="49" type="noConversion"/>
  </si>
  <si>
    <t>M5-1
/M5-2</t>
    <phoneticPr fontId="18" type="noConversion"/>
  </si>
  <si>
    <t>M5-4
/M5-5</t>
    <phoneticPr fontId="18" type="noConversion"/>
  </si>
  <si>
    <t>盈余公积检查表</t>
    <phoneticPr fontId="18" type="noConversion"/>
  </si>
  <si>
    <t>页  次：</t>
    <phoneticPr fontId="18" type="noConversion"/>
  </si>
  <si>
    <t>盈余公积计提检查表</t>
    <phoneticPr fontId="18" type="noConversion"/>
  </si>
  <si>
    <r>
      <rPr>
        <sz val="10"/>
        <rFont val="宋体"/>
        <family val="3"/>
        <charset val="134"/>
      </rPr>
      <t>页</t>
    </r>
    <r>
      <rPr>
        <sz val="10"/>
        <rFont val="Arial Narrow"/>
        <family val="2"/>
      </rPr>
      <t xml:space="preserve">  </t>
    </r>
    <r>
      <rPr>
        <sz val="10"/>
        <rFont val="宋体"/>
        <family val="3"/>
        <charset val="134"/>
      </rPr>
      <t>次：</t>
    </r>
    <phoneticPr fontId="18" type="noConversion"/>
  </si>
  <si>
    <t>盈余公积调整分录汇总表</t>
    <phoneticPr fontId="18" type="noConversion"/>
  </si>
  <si>
    <t>是否异常</t>
    <phoneticPr fontId="18" type="noConversion"/>
  </si>
  <si>
    <r>
      <rPr>
        <b/>
        <sz val="10"/>
        <rFont val="宋体"/>
        <family val="3"/>
        <charset val="134"/>
      </rPr>
      <t>调整事项说明</t>
    </r>
    <phoneticPr fontId="18" type="noConversion"/>
  </si>
  <si>
    <r>
      <rPr>
        <b/>
        <sz val="10"/>
        <rFont val="宋体"/>
        <family val="3"/>
        <charset val="134"/>
      </rPr>
      <t>类别（报表调整</t>
    </r>
    <r>
      <rPr>
        <b/>
        <sz val="10"/>
        <rFont val="Arial Narrow"/>
        <family val="2"/>
      </rPr>
      <t>/</t>
    </r>
    <r>
      <rPr>
        <b/>
        <sz val="10"/>
        <rFont val="宋体"/>
        <family val="3"/>
        <charset val="134"/>
      </rPr>
      <t>账项调整</t>
    </r>
    <r>
      <rPr>
        <b/>
        <sz val="10"/>
        <rFont val="Arial Narrow"/>
        <family val="2"/>
      </rPr>
      <t>/</t>
    </r>
    <r>
      <rPr>
        <b/>
        <sz val="10"/>
        <rFont val="宋体"/>
        <family val="3"/>
        <charset val="134"/>
      </rPr>
      <t>其他）</t>
    </r>
    <phoneticPr fontId="18" type="noConversion"/>
  </si>
  <si>
    <r>
      <rPr>
        <b/>
        <sz val="10"/>
        <rFont val="宋体"/>
        <family val="3"/>
        <charset val="134"/>
      </rPr>
      <t>报表项目</t>
    </r>
    <phoneticPr fontId="18" type="noConversion"/>
  </si>
  <si>
    <r>
      <rPr>
        <b/>
        <sz val="10"/>
        <rFont val="宋体"/>
        <family val="3"/>
        <charset val="134"/>
      </rPr>
      <t>科目名称</t>
    </r>
    <phoneticPr fontId="18" type="noConversion"/>
  </si>
  <si>
    <r>
      <rPr>
        <b/>
        <sz val="10"/>
        <rFont val="宋体"/>
        <family val="3"/>
        <charset val="134"/>
      </rPr>
      <t>附注项目</t>
    </r>
    <phoneticPr fontId="18" type="noConversion"/>
  </si>
  <si>
    <r>
      <rPr>
        <b/>
        <sz val="10"/>
        <rFont val="宋体"/>
        <family val="3"/>
        <charset val="134"/>
      </rPr>
      <t>贷方调整金额</t>
    </r>
    <phoneticPr fontId="18" type="noConversion"/>
  </si>
  <si>
    <r>
      <rPr>
        <b/>
        <sz val="10"/>
        <rFont val="宋体"/>
        <family val="3"/>
        <charset val="134"/>
      </rPr>
      <t>索引</t>
    </r>
    <phoneticPr fontId="18" type="noConversion"/>
  </si>
  <si>
    <r>
      <rPr>
        <b/>
        <sz val="10"/>
        <rFont val="宋体"/>
        <family val="3"/>
        <charset val="134"/>
      </rPr>
      <t>备注</t>
    </r>
    <phoneticPr fontId="18" type="noConversion"/>
  </si>
  <si>
    <t>IPO/上市/新三板/重组/舞弊应对</t>
    <phoneticPr fontId="49" type="noConversion"/>
  </si>
  <si>
    <t>被审计单位：</t>
    <phoneticPr fontId="18" type="noConversion"/>
  </si>
  <si>
    <t>编制日期：</t>
    <phoneticPr fontId="18" type="noConversion"/>
  </si>
  <si>
    <t>复核人：</t>
    <phoneticPr fontId="18" type="noConversion"/>
  </si>
  <si>
    <t>复核日期：</t>
    <phoneticPr fontId="18" type="noConversion"/>
  </si>
  <si>
    <t>编制人：</t>
    <phoneticPr fontId="18" type="noConversion"/>
  </si>
  <si>
    <t>准确性、计价和分摊</t>
    <phoneticPr fontId="18" type="noConversion"/>
  </si>
  <si>
    <t>列报</t>
    <phoneticPr fontId="18" type="noConversion"/>
  </si>
  <si>
    <t>完整性</t>
    <phoneticPr fontId="18" type="noConversion"/>
  </si>
  <si>
    <t>权利和义务</t>
    <phoneticPr fontId="18" type="noConversion"/>
  </si>
  <si>
    <r>
      <t xml:space="preserve">C. </t>
    </r>
    <r>
      <rPr>
        <sz val="10"/>
        <rFont val="宋体"/>
        <family val="3"/>
        <charset val="134"/>
      </rPr>
      <t>记录的资本公积由被审计单位拥有或控制</t>
    </r>
    <phoneticPr fontId="18" type="noConversion"/>
  </si>
  <si>
    <r>
      <t xml:space="preserve">E. </t>
    </r>
    <r>
      <rPr>
        <sz val="10"/>
        <rFont val="宋体"/>
        <family val="3"/>
        <charset val="134"/>
      </rPr>
      <t>资本公积已被恰当地汇总或分解且表述清楚，相关披露在按照企业会计准则的编制基础下是相关的、可理解的</t>
    </r>
    <phoneticPr fontId="18"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</si>
  <si>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18" type="noConversion"/>
  </si>
  <si>
    <t>关于工作底稿与审计程序索引号对应的说明</t>
    <phoneticPr fontId="18"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</si>
  <si>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8"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</si>
  <si>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8"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</si>
  <si>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8" type="noConversion"/>
  </si>
  <si>
    <t>根据被审计单位实际情况和风险评估情况裁剪、修改或增加审计程序</t>
    <phoneticPr fontId="18" type="noConversion"/>
  </si>
  <si>
    <t>审计程序</t>
    <phoneticPr fontId="49" type="noConversion"/>
  </si>
  <si>
    <t xml:space="preserve">                减：弥补亏损</t>
    <phoneticPr fontId="18" type="noConversion"/>
  </si>
  <si>
    <t>三、本期应提取盈余公积</t>
    <phoneticPr fontId="18" type="noConversion"/>
  </si>
  <si>
    <t>二、弥补亏损后盈余公积计提基数</t>
    <phoneticPr fontId="18" type="noConversion"/>
  </si>
  <si>
    <t>计提比例</t>
    <phoneticPr fontId="18" type="noConversion"/>
  </si>
  <si>
    <t>一、本期净利润：</t>
    <phoneticPr fontId="25" type="noConversion"/>
  </si>
  <si>
    <t>合计</t>
    <phoneticPr fontId="18" type="noConversion"/>
  </si>
  <si>
    <t>本期发生额</t>
    <phoneticPr fontId="18" type="noConversion"/>
  </si>
  <si>
    <t>检查比例</t>
    <phoneticPr fontId="18" type="noConversion"/>
  </si>
  <si>
    <r>
      <t>1.</t>
    </r>
    <r>
      <rPr>
        <sz val="10"/>
        <color indexed="12"/>
        <rFont val="宋体"/>
        <family val="3"/>
        <charset val="134"/>
      </rPr>
      <t>本科目应当分别“法定盈余公积”、“任意盈余公积”进行明细核算。中外合作经营在合作期间归还投资者的投资，应在本科目设置“利润归还投资”明细科目进行核算。</t>
    </r>
    <phoneticPr fontId="18" type="noConversion"/>
  </si>
  <si>
    <t>企业对2005年12月31日的公益金结余，转作盈余公积金管理使用；公益金赤字，依次以盈余公积金、资本公积金、以前年度未分配利润弥补，仍有赤字的，结转未分配利润账户，用以后年度实现的税后利润弥补。</t>
    <phoneticPr fontId="18" type="noConversion"/>
  </si>
  <si>
    <r>
      <t>5.</t>
    </r>
    <r>
      <rPr>
        <sz val="10"/>
        <color indexed="12"/>
        <rFont val="宋体"/>
        <family val="3"/>
        <charset val="134"/>
      </rPr>
      <t>适用《公司法》组织形式、组织结构及其活动准则的外商投资企业，应当根据《公司法》规定提取法定公积金、任意公积金。储备基金结余转为法定公积金管理使用，企业发展基金结余转为任意公积金管理使用。</t>
    </r>
    <phoneticPr fontId="18" type="noConversion"/>
  </si>
  <si>
    <r>
      <rPr>
        <sz val="10"/>
        <color indexed="12"/>
        <rFont val="宋体"/>
        <family val="3"/>
        <charset val="134"/>
      </rPr>
      <t>非公司制外商投资企业参照执行。外商投资企业自</t>
    </r>
    <r>
      <rPr>
        <sz val="10"/>
        <color indexed="12"/>
        <rFont val="Arial Narrow"/>
        <family val="2"/>
      </rPr>
      <t>2025</t>
    </r>
    <r>
      <rPr>
        <sz val="10"/>
        <color indexed="12"/>
        <rFont val="宋体"/>
        <family val="3"/>
        <charset val="134"/>
      </rPr>
      <t>年</t>
    </r>
    <r>
      <rPr>
        <sz val="10"/>
        <color indexed="12"/>
        <rFont val="Arial Narrow"/>
        <family val="2"/>
      </rPr>
      <t>1</t>
    </r>
    <r>
      <rPr>
        <sz val="10"/>
        <color indexed="12"/>
        <rFont val="宋体"/>
        <family val="3"/>
        <charset val="134"/>
      </rPr>
      <t>月</t>
    </r>
    <r>
      <rPr>
        <sz val="10"/>
        <color indexed="12"/>
        <rFont val="Arial Narrow"/>
        <family val="2"/>
      </rPr>
      <t>1</t>
    </r>
    <r>
      <rPr>
        <sz val="10"/>
        <color indexed="12"/>
        <rFont val="宋体"/>
        <family val="3"/>
        <charset val="134"/>
      </rPr>
      <t>日起不再计提储备基金、企业发展基金、职工奖励及福利基金。</t>
    </r>
    <r>
      <rPr>
        <sz val="10"/>
        <color indexed="12"/>
        <rFont val="Arial Narrow"/>
        <family val="2"/>
      </rPr>
      <t>2025</t>
    </r>
    <r>
      <rPr>
        <sz val="10"/>
        <color indexed="12"/>
        <rFont val="宋体"/>
        <family val="3"/>
        <charset val="134"/>
      </rPr>
      <t>年</t>
    </r>
    <r>
      <rPr>
        <sz val="10"/>
        <color indexed="12"/>
        <rFont val="Arial Narrow"/>
        <family val="2"/>
      </rPr>
      <t>1</t>
    </r>
    <r>
      <rPr>
        <sz val="10"/>
        <color indexed="12"/>
        <rFont val="宋体"/>
        <family val="3"/>
        <charset val="134"/>
      </rPr>
      <t>月</t>
    </r>
    <r>
      <rPr>
        <sz val="10"/>
        <color indexed="12"/>
        <rFont val="Arial Narrow"/>
        <family val="2"/>
      </rPr>
      <t>1</t>
    </r>
    <r>
      <rPr>
        <sz val="10"/>
        <color indexed="12"/>
        <rFont val="宋体"/>
        <family val="3"/>
        <charset val="134"/>
      </rPr>
      <t>日后计提的应予冲回。</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</si>
</sst>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3">
    <numFmt numFmtId="42" formatCode="_ &quot;¥&quot;* #,##0_ ;_ &quot;¥&quot;* \-#,##0_ ;_ &quot;¥&quot;* &quot;-&quot;_ ;_ @_ "/>
    <numFmt numFmtId="41" formatCode="_ * #,##0_ ;_ * \-#,##0_ ;_ * &quot;-&quot;_ ;_ @_ "/>
    <numFmt numFmtId="43" formatCode="_ * #,##0.00_ ;_ * \-#,##0.00_ ;_ * &quot;-&quot;??_ ;_ @_ "/>
    <numFmt numFmtId="176" formatCode="_-* #,##0_-;\-* #,##0_-;_-* &quot;-&quot;_-;_-@_-"/>
    <numFmt numFmtId="177" formatCode="_-* #,##0.00_-;\-* #,##0.00_-;_-* &quot;-&quot;??_-;_-@_-"/>
    <numFmt numFmtId="178" formatCode="_(* #,##0_);_(* \(#,##0\);_(* &quot;-&quot;_);_(@_)"/>
    <numFmt numFmtId="179" formatCode="_(* #,##0.00_);_(* \(#,##0.00\);_(* &quot;-&quot;??_);_(@_)"/>
    <numFmt numFmtId="180" formatCode="&quot;$&quot;#,##0_);\(&quot;$&quot;#,##0\)"/>
    <numFmt numFmtId="181" formatCode="_-&quot;$&quot;* #,##0_-;\-&quot;$&quot;* #,##0_-;_-&quot;$&quot;* &quot;-&quot;_-;_-@_-"/>
    <numFmt numFmtId="182" formatCode="_-&quot;$&quot;* #,##0.00_-;\-&quot;$&quot;* #,##0.00_-;_-&quot;$&quot;* &quot;-&quot;??_-;_-@_-"/>
    <numFmt numFmtId="183" formatCode="&quot;\&quot;#,##0;&quot;\&quot;&quot;\&quot;\-#,##0"/>
    <numFmt numFmtId="184" formatCode="&quot;\&quot;#,##0;[Red]&quot;\&quot;&quot;\&quot;\-#,##0"/>
    <numFmt numFmtId="185" formatCode="&quot;\&quot;#,##0.00;[Red]&quot;\&quot;&quot;\&quot;\-#,##0.00"/>
    <numFmt numFmtId="186" formatCode="_-#,##0.00_-;\(#,##0.00\);_-\ \ &quot;-&quot;_-;_-@_-"/>
    <numFmt numFmtId="187" formatCode="mmm/yyyy;_-\ &quot;N/A&quot;_-;_-\ &quot;-&quot;_-"/>
    <numFmt numFmtId="188" formatCode="mmm/dd/yyyy;_-\ &quot;N/A&quot;_-;_-\ &quot;-&quot;_-"/>
    <numFmt numFmtId="189" formatCode="_-#,##0_-;\(#,##0\);_-\ \ &quot;-&quot;_-;_-@_-"/>
    <numFmt numFmtId="190" formatCode="_-#,##0%_-;\(#,##0%\);_-\ &quot;-&quot;_-"/>
    <numFmt numFmtId="191" formatCode="_-#,###,_-;\(#,###,\);_-\ \ &quot;-&quot;_-;_-@_-"/>
    <numFmt numFmtId="192" formatCode="_-#,###.00,_-;\(#,###.00,\);_-\ \ &quot;-&quot;_-;_-@_-"/>
    <numFmt numFmtId="193" formatCode="_([$€-2]* #,##0.00_);_([$€-2]* \(#,##0.00\);_([$€-2]* &quot;-&quot;??_)"/>
    <numFmt numFmtId="194" formatCode="_-#0&quot;.&quot;0000_-;\(#0&quot;.&quot;0000\);_-\ \ &quot;-&quot;_-;_-@_-"/>
    <numFmt numFmtId="195" formatCode="_-#0&quot;.&quot;0,_-;\(#0&quot;.&quot;0,\);_-\ \ &quot;-&quot;_-;_-@_-"/>
  </numFmts>
  <fonts count="80">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12"/>
      <name val="Garamond"/>
      <family val="1"/>
    </font>
    <font>
      <sz val="7"/>
      <color indexed="10"/>
      <name val="Helv"/>
      <family val="2"/>
    </font>
    <font>
      <u/>
      <sz val="12"/>
      <color indexed="12"/>
      <name val="宋体"/>
      <family val="3"/>
      <charset val="134"/>
    </font>
    <font>
      <sz val="12"/>
      <name val="楷体"/>
      <family val="3"/>
      <charset val="134"/>
    </font>
    <font>
      <sz val="12"/>
      <name val="楷体_GB2312"/>
      <family val="3"/>
      <charset val="134"/>
    </font>
    <font>
      <sz val="9"/>
      <name val="宋体"/>
      <family val="3"/>
      <charset val="134"/>
    </font>
    <font>
      <sz val="10"/>
      <name val="宋体"/>
      <family val="3"/>
      <charset val="134"/>
    </font>
    <font>
      <b/>
      <sz val="12"/>
      <name val="宋体"/>
      <family val="3"/>
      <charset val="134"/>
    </font>
    <font>
      <sz val="10.5"/>
      <name val="宋体"/>
      <family val="3"/>
      <charset val="134"/>
    </font>
    <font>
      <sz val="10"/>
      <name val="Times New Roman"/>
      <family val="1"/>
    </font>
    <font>
      <b/>
      <sz val="10"/>
      <name val="宋体"/>
      <family val="3"/>
      <charset val="134"/>
    </font>
    <font>
      <sz val="10"/>
      <color indexed="10"/>
      <name val="宋体"/>
      <family val="3"/>
      <charset val="134"/>
    </font>
    <font>
      <sz val="12"/>
      <name val="Times New Roman"/>
      <family val="1"/>
    </font>
    <font>
      <sz val="10"/>
      <color indexed="12"/>
      <name val="宋体"/>
      <family val="3"/>
      <charset val="134"/>
    </font>
    <font>
      <b/>
      <sz val="10"/>
      <color indexed="12"/>
      <name val="宋体"/>
      <family val="3"/>
      <charset val="134"/>
    </font>
    <font>
      <i/>
      <sz val="10"/>
      <color indexed="12"/>
      <name val="宋体"/>
      <family val="3"/>
      <charset val="134"/>
    </font>
    <font>
      <sz val="18"/>
      <color indexed="48"/>
      <name val="魏碑"/>
      <family val="3"/>
      <charset val="134"/>
    </font>
    <font>
      <sz val="12"/>
      <name val="Arial"/>
      <family val="2"/>
    </font>
    <font>
      <sz val="10.5"/>
      <name val="Arial"/>
      <family val="2"/>
    </font>
    <font>
      <sz val="10.5"/>
      <name val="Times New Roman"/>
      <family val="1"/>
    </font>
    <font>
      <b/>
      <sz val="12"/>
      <name val="Arial"/>
      <family val="2"/>
    </font>
    <font>
      <u val="singleAccounting"/>
      <vertAlign val="subscript"/>
      <sz val="10"/>
      <name val="Times New Roman"/>
      <family val="1"/>
    </font>
    <font>
      <i/>
      <sz val="9"/>
      <name val="Times New Roman"/>
      <family val="1"/>
    </font>
    <font>
      <b/>
      <sz val="10"/>
      <name val="Arial Narrow"/>
      <family val="2"/>
    </font>
    <font>
      <sz val="12"/>
      <name val="Arial Narrow"/>
      <family val="2"/>
    </font>
    <font>
      <b/>
      <sz val="12"/>
      <name val="Arial Narrow"/>
      <family val="2"/>
    </font>
    <font>
      <sz val="10"/>
      <name val="Arial Narrow"/>
      <family val="2"/>
    </font>
    <font>
      <u/>
      <sz val="10"/>
      <name val="Arial Narrow"/>
      <family val="2"/>
    </font>
    <font>
      <sz val="10"/>
      <color indexed="12"/>
      <name val="Arial Narrow"/>
      <family val="2"/>
    </font>
    <font>
      <b/>
      <sz val="10"/>
      <color indexed="8"/>
      <name val="Arial Narrow"/>
      <family val="2"/>
    </font>
    <font>
      <b/>
      <sz val="10"/>
      <color indexed="8"/>
      <name val="宋体"/>
      <family val="3"/>
      <charset val="134"/>
    </font>
    <font>
      <b/>
      <u/>
      <sz val="10"/>
      <color indexed="10"/>
      <name val="Arial Narrow"/>
      <family val="2"/>
    </font>
    <font>
      <sz val="11"/>
      <color theme="1"/>
      <name val="宋体"/>
      <family val="3"/>
      <charset val="134"/>
      <scheme val="minor"/>
    </font>
    <font>
      <sz val="9"/>
      <name val="宋体"/>
      <family val="3"/>
      <charset val="134"/>
      <scheme val="minor"/>
    </font>
    <font>
      <b/>
      <sz val="10"/>
      <color rgb="FFFF0000"/>
      <name val="宋体"/>
      <family val="3"/>
      <charset val="134"/>
    </font>
    <font>
      <sz val="10"/>
      <color indexed="8"/>
      <name val="Arial Narrow"/>
      <family val="2"/>
    </font>
    <font>
      <sz val="9"/>
      <name val="宋体"/>
      <family val="2"/>
      <charset val="134"/>
      <scheme val="minor"/>
    </font>
    <font>
      <i/>
      <sz val="10"/>
      <color indexed="12"/>
      <name val="Arial Narrow"/>
      <family val="2"/>
    </font>
    <font>
      <b/>
      <sz val="10"/>
      <color indexed="12"/>
      <name val="Arial Narrow"/>
      <family val="2"/>
    </font>
    <font>
      <sz val="10"/>
      <color theme="1"/>
      <name val="Arial Narrow"/>
      <family val="2"/>
    </font>
    <font>
      <sz val="11"/>
      <color theme="1"/>
      <name val="Arial Narrow"/>
      <family val="2"/>
    </font>
    <font>
      <b/>
      <sz val="14"/>
      <name val="宋体"/>
      <family val="3"/>
      <charset val="134"/>
    </font>
    <font>
      <sz val="10"/>
      <color theme="1" tint="0.14999847407452621"/>
      <name val="宋体"/>
      <family val="3"/>
      <charset val="134"/>
    </font>
    <font>
      <b/>
      <sz val="10"/>
      <color rgb="FFFF0000"/>
      <name val="Arial Narrow"/>
      <family val="2"/>
    </font>
    <font>
      <sz val="10"/>
      <color rgb="FFFF0000"/>
      <name val="Arial Narrow"/>
      <family val="2"/>
    </font>
    <font>
      <b/>
      <sz val="10"/>
      <color theme="0" tint="-0.499984740745262"/>
      <name val="Arial Narrow"/>
      <family val="2"/>
    </font>
    <font>
      <sz val="10"/>
      <color theme="1"/>
      <name val="宋体"/>
      <family val="3"/>
      <charset val="134"/>
    </font>
    <font>
      <sz val="11"/>
      <name val="Arial Narrow"/>
      <family val="2"/>
    </font>
    <font>
      <b/>
      <sz val="10"/>
      <color theme="1"/>
      <name val="宋体"/>
      <family val="3"/>
      <charset val="134"/>
    </font>
    <font>
      <sz val="10"/>
      <color rgb="FFFF0000"/>
      <name val="宋体"/>
      <family val="3"/>
      <charset val="134"/>
    </font>
    <font>
      <b/>
      <sz val="9"/>
      <color indexed="81"/>
      <name val="宋体"/>
      <family val="3"/>
      <charset val="134"/>
    </font>
    <font>
      <sz val="9"/>
      <color indexed="81"/>
      <name val="宋体"/>
      <family val="3"/>
      <charset val="134"/>
    </font>
    <font>
      <sz val="10"/>
      <color rgb="FF0000FF"/>
      <name val="宋体"/>
      <family val="3"/>
      <charset val="134"/>
    </font>
    <font>
      <i/>
      <u/>
      <sz val="10"/>
      <color indexed="12"/>
      <name val="Arial Narrow"/>
      <family val="2"/>
    </font>
    <font>
      <sz val="12"/>
      <name val="宋体"/>
      <family val="3"/>
      <charset val="134"/>
      <scheme val="minor"/>
    </font>
    <font>
      <b/>
      <sz val="10"/>
      <name val="宋体"/>
      <family val="3"/>
      <charset val="134"/>
      <scheme val="minor"/>
    </font>
    <font>
      <sz val="10"/>
      <name val="宋体"/>
      <family val="3"/>
      <charset val="134"/>
      <scheme val="minor"/>
    </font>
    <font>
      <sz val="10"/>
      <color rgb="FF000000"/>
      <name val="宋体"/>
      <family val="3"/>
      <charset val="134"/>
      <scheme val="minor"/>
    </font>
    <font>
      <sz val="10"/>
      <color rgb="FF0000FF"/>
      <name val="宋体"/>
      <family val="3"/>
      <charset val="134"/>
      <scheme val="minor"/>
    </font>
    <font>
      <b/>
      <sz val="10"/>
      <color rgb="FF000000"/>
      <name val="宋体"/>
      <family val="3"/>
      <charset val="134"/>
      <scheme val="minor"/>
    </font>
    <font>
      <sz val="10"/>
      <color rgb="FF0000FF"/>
      <name val="Arial Narrow"/>
      <family val="2"/>
    </font>
    <font>
      <b/>
      <sz val="10"/>
      <color indexed="8"/>
      <name val="宋体"/>
      <family val="3"/>
      <charset val="134"/>
      <scheme val="minor"/>
    </font>
    <font>
      <b/>
      <sz val="10"/>
      <color rgb="FFFF0000"/>
      <name val="宋体"/>
      <family val="3"/>
      <charset val="134"/>
      <scheme val="minor"/>
    </font>
    <font>
      <sz val="10"/>
      <color theme="1" tint="0.14999847407452621"/>
      <name val="Arial Narrow"/>
      <family val="2"/>
    </font>
    <font>
      <sz val="10"/>
      <color indexed="10"/>
      <name val="Arial Narrow"/>
      <family val="2"/>
    </font>
    <font>
      <sz val="10"/>
      <color rgb="FF3333FF"/>
      <name val="Arial Narrow"/>
      <family val="2"/>
    </font>
    <font>
      <sz val="10"/>
      <color rgb="FF3333FF"/>
      <name val="宋体"/>
      <family val="3"/>
      <charset val="134"/>
    </font>
  </fonts>
  <fills count="1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00B050"/>
        <bgColor indexed="64"/>
      </patternFill>
    </fill>
    <fill>
      <patternFill patternType="solid">
        <fgColor rgb="FFE4DFEC"/>
        <bgColor indexed="64"/>
      </patternFill>
    </fill>
    <fill>
      <patternFill patternType="solid">
        <fgColor theme="7" tint="0.79998168889431442"/>
        <bgColor rgb="FFB7DEE8"/>
      </patternFill>
    </fill>
  </fills>
  <borders count="15">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style="hair">
        <color indexed="64"/>
      </right>
      <top/>
      <bottom style="hair">
        <color indexed="64"/>
      </bottom>
      <diagonal/>
    </border>
    <border>
      <left/>
      <right/>
      <top style="hair">
        <color indexed="64"/>
      </top>
      <bottom/>
      <diagonal/>
    </border>
    <border>
      <left/>
      <right style="hair">
        <color indexed="64"/>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medium">
        <color indexed="64"/>
      </top>
      <bottom style="medium">
        <color indexed="64"/>
      </bottom>
      <diagonal/>
    </border>
    <border>
      <left/>
      <right/>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style="hair">
        <color indexed="64"/>
      </right>
      <top/>
      <bottom/>
      <diagonal/>
    </border>
  </borders>
  <cellStyleXfs count="60">
    <xf numFmtId="0" fontId="0" fillId="0" borderId="0">
      <protection locked="0"/>
    </xf>
    <xf numFmtId="49" fontId="22" fillId="0" borderId="0" applyProtection="0">
      <alignment horizontal="left"/>
    </xf>
    <xf numFmtId="189" fontId="22" fillId="0" borderId="0" applyFill="0" applyBorder="0" applyProtection="0">
      <alignment horizontal="right"/>
    </xf>
    <xf numFmtId="186" fontId="22" fillId="0" borderId="0" applyFill="0" applyBorder="0" applyProtection="0">
      <alignment horizontal="right"/>
    </xf>
    <xf numFmtId="188" fontId="34" fillId="0" borderId="0" applyFill="0" applyBorder="0" applyProtection="0">
      <alignment horizontal="center"/>
    </xf>
    <xf numFmtId="187" fontId="34" fillId="0" borderId="0" applyFill="0" applyBorder="0" applyProtection="0">
      <alignment horizontal="center"/>
    </xf>
    <xf numFmtId="190" fontId="35" fillId="0" borderId="0" applyFill="0" applyBorder="0" applyProtection="0">
      <alignment horizontal="right"/>
    </xf>
    <xf numFmtId="191" fontId="22" fillId="0" borderId="0" applyFill="0" applyBorder="0" applyProtection="0">
      <alignment horizontal="right"/>
    </xf>
    <xf numFmtId="192" fontId="22" fillId="0" borderId="0" applyFill="0" applyBorder="0" applyProtection="0">
      <alignment horizontal="right"/>
    </xf>
    <xf numFmtId="195" fontId="22" fillId="0" borderId="0" applyFill="0" applyBorder="0" applyProtection="0">
      <alignment horizontal="right"/>
    </xf>
    <xf numFmtId="194" fontId="22" fillId="0" borderId="0" applyFill="0" applyBorder="0" applyProtection="0">
      <alignment horizontal="right"/>
    </xf>
    <xf numFmtId="3" fontId="5" fillId="0" borderId="0"/>
    <xf numFmtId="180" fontId="6" fillId="0" borderId="1" applyAlignment="0" applyProtection="0"/>
    <xf numFmtId="176" fontId="7" fillId="0" borderId="0" applyFont="0" applyFill="0" applyBorder="0" applyAlignment="0" applyProtection="0"/>
    <xf numFmtId="177" fontId="7" fillId="0" borderId="0" applyFont="0" applyFill="0" applyBorder="0" applyAlignment="0" applyProtection="0"/>
    <xf numFmtId="181" fontId="7" fillId="0" borderId="0" applyFont="0" applyFill="0" applyBorder="0" applyAlignment="0" applyProtection="0"/>
    <xf numFmtId="182" fontId="7"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3" fontId="22"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2" applyNumberFormat="0" applyBorder="0" applyAlignment="0" applyProtection="0"/>
    <xf numFmtId="184" fontId="11" fillId="0" borderId="0" applyFont="0" applyFill="0" applyBorder="0" applyAlignment="0" applyProtection="0"/>
    <xf numFmtId="185" fontId="11" fillId="0" borderId="0" applyFont="0" applyFill="0" applyBorder="0" applyAlignment="0" applyProtection="0"/>
    <xf numFmtId="0" fontId="12" fillId="0" borderId="0"/>
    <xf numFmtId="183" fontId="11" fillId="0" borderId="0"/>
    <xf numFmtId="0" fontId="13" fillId="0" borderId="0"/>
    <xf numFmtId="10" fontId="7" fillId="0" borderId="0" applyFont="0" applyFill="0" applyBorder="0" applyAlignment="0" applyProtection="0"/>
    <xf numFmtId="3" fontId="14" fillId="0" borderId="0"/>
    <xf numFmtId="9" fontId="11" fillId="0" borderId="0" applyFont="0" applyFill="0" applyBorder="0" applyAlignment="0" applyProtection="0"/>
    <xf numFmtId="0" fontId="11" fillId="0" borderId="0">
      <alignment vertical="center"/>
    </xf>
    <xf numFmtId="0" fontId="25" fillId="0" borderId="0"/>
    <xf numFmtId="0" fontId="11" fillId="0" borderId="0"/>
    <xf numFmtId="0" fontId="11" fillId="0" borderId="0" applyFill="0" applyBorder="0"/>
    <xf numFmtId="0" fontId="15" fillId="0" borderId="0" applyNumberFormat="0" applyFill="0" applyBorder="0" applyAlignment="0" applyProtection="0">
      <alignment vertical="top"/>
      <protection locked="0"/>
    </xf>
    <xf numFmtId="0" fontId="16" fillId="0" borderId="0"/>
    <xf numFmtId="178" fontId="11" fillId="0" borderId="0" applyFont="0" applyFill="0" applyBorder="0" applyAlignment="0" applyProtection="0"/>
    <xf numFmtId="179" fontId="11"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43" fontId="11" fillId="0" borderId="0" applyFont="0" applyFill="0" applyBorder="0" applyAlignment="0" applyProtection="0"/>
    <xf numFmtId="0" fontId="11" fillId="0" borderId="0">
      <protection locked="0"/>
    </xf>
    <xf numFmtId="0" fontId="11" fillId="0" borderId="0">
      <alignment vertical="center"/>
    </xf>
    <xf numFmtId="42" fontId="25" fillId="0" borderId="0" applyFont="0" applyFill="0" applyBorder="0" applyAlignment="0" applyProtection="0"/>
    <xf numFmtId="193" fontId="45" fillId="0" borderId="0">
      <alignment vertical="center"/>
    </xf>
    <xf numFmtId="193" fontId="11" fillId="0" borderId="0"/>
    <xf numFmtId="193" fontId="11" fillId="0" borderId="0">
      <alignment vertical="center"/>
    </xf>
    <xf numFmtId="193" fontId="4" fillId="0" borderId="0">
      <alignment vertical="center"/>
    </xf>
    <xf numFmtId="0" fontId="11" fillId="0" borderId="0">
      <protection locked="0"/>
    </xf>
    <xf numFmtId="43" fontId="11" fillId="0" borderId="0" applyFont="0" applyFill="0" applyBorder="0" applyAlignment="0" applyProtection="0"/>
    <xf numFmtId="0" fontId="11" fillId="0" borderId="0">
      <protection locked="0"/>
    </xf>
    <xf numFmtId="193" fontId="11" fillId="0" borderId="0"/>
    <xf numFmtId="0" fontId="15" fillId="0" borderId="0" applyNumberFormat="0" applyFill="0" applyBorder="0" applyAlignment="0" applyProtection="0">
      <alignment vertical="top"/>
      <protection locked="0"/>
    </xf>
    <xf numFmtId="9" fontId="11" fillId="0" borderId="0" applyFont="0" applyFill="0" applyBorder="0" applyAlignment="0" applyProtection="0"/>
    <xf numFmtId="193" fontId="3" fillId="0" borderId="0">
      <alignment vertical="center"/>
    </xf>
    <xf numFmtId="193" fontId="3" fillId="0" borderId="0">
      <alignment vertical="center"/>
    </xf>
    <xf numFmtId="193" fontId="2" fillId="0" borderId="0">
      <alignment vertical="center"/>
    </xf>
    <xf numFmtId="193" fontId="1" fillId="0" borderId="0">
      <alignment vertical="center"/>
    </xf>
  </cellStyleXfs>
  <cellXfs count="274">
    <xf numFmtId="0" fontId="0" fillId="0" borderId="0" xfId="0">
      <protection locked="0"/>
    </xf>
    <xf numFmtId="0" fontId="21" fillId="0" borderId="0" xfId="0" applyFont="1" applyAlignment="1">
      <alignment horizontal="justify" wrapText="1"/>
      <protection locked="0"/>
    </xf>
    <xf numFmtId="0" fontId="21" fillId="0" borderId="0" xfId="0" applyFont="1" applyAlignment="1">
      <alignment horizontal="justify" vertical="top" wrapText="1"/>
      <protection locked="0"/>
    </xf>
    <xf numFmtId="0" fontId="19" fillId="4" borderId="0" xfId="0" applyFont="1" applyFill="1" applyAlignment="1">
      <alignment horizontal="justify" vertical="center" wrapText="1"/>
      <protection locked="0"/>
    </xf>
    <xf numFmtId="0" fontId="20" fillId="0" borderId="0" xfId="0" applyFont="1" applyAlignment="1">
      <alignment vertical="center"/>
      <protection locked="0"/>
    </xf>
    <xf numFmtId="0" fontId="0" fillId="0" borderId="0" xfId="0" applyAlignment="1">
      <alignment vertical="center"/>
      <protection locked="0"/>
    </xf>
    <xf numFmtId="0" fontId="23" fillId="0" borderId="3" xfId="0" applyFont="1" applyBorder="1" applyAlignment="1">
      <alignment horizontal="center" vertical="center"/>
      <protection locked="0"/>
    </xf>
    <xf numFmtId="0" fontId="19" fillId="0" borderId="3" xfId="0" applyFont="1" applyBorder="1" applyAlignment="1">
      <alignment horizontal="left" vertical="center"/>
      <protection locked="0"/>
    </xf>
    <xf numFmtId="0" fontId="30" fillId="0" borderId="0" xfId="0" applyFont="1" applyAlignment="1">
      <alignment vertical="center"/>
      <protection locked="0"/>
    </xf>
    <xf numFmtId="0" fontId="11" fillId="0" borderId="0" xfId="0" applyFont="1" applyAlignment="1">
      <alignment vertical="center"/>
      <protection locked="0"/>
    </xf>
    <xf numFmtId="0" fontId="31" fillId="0" borderId="0" xfId="0" applyFont="1" applyAlignment="1">
      <alignment horizontal="justify" wrapText="1"/>
      <protection locked="0"/>
    </xf>
    <xf numFmtId="0" fontId="11" fillId="0" borderId="0" xfId="0" applyFont="1" applyAlignment="1">
      <alignment horizontal="center" vertical="center"/>
      <protection locked="0"/>
    </xf>
    <xf numFmtId="0" fontId="30" fillId="0" borderId="0" xfId="0" applyFont="1">
      <protection locked="0"/>
    </xf>
    <xf numFmtId="0" fontId="32" fillId="0" borderId="0" xfId="0" applyFont="1" applyAlignment="1">
      <alignment horizontal="justify" wrapText="1"/>
      <protection locked="0"/>
    </xf>
    <xf numFmtId="0" fontId="33" fillId="0" borderId="0" xfId="0" applyFont="1" applyAlignment="1">
      <alignment horizontal="justify"/>
      <protection locked="0"/>
    </xf>
    <xf numFmtId="0" fontId="11" fillId="0" borderId="0" xfId="0" applyFont="1" applyAlignment="1">
      <alignment horizontal="left"/>
      <protection locked="0"/>
    </xf>
    <xf numFmtId="0" fontId="19" fillId="0" borderId="0" xfId="0" applyFont="1" applyAlignment="1">
      <alignment vertical="center"/>
      <protection locked="0"/>
    </xf>
    <xf numFmtId="0" fontId="19" fillId="0" borderId="0" xfId="0" applyFont="1" applyAlignment="1">
      <alignment horizontal="right" vertical="center"/>
      <protection locked="0"/>
    </xf>
    <xf numFmtId="43" fontId="37" fillId="0" borderId="0" xfId="35" applyNumberFormat="1" applyFont="1" applyBorder="1" applyAlignment="1">
      <alignment vertical="center"/>
    </xf>
    <xf numFmtId="43" fontId="39" fillId="0" borderId="0" xfId="35" applyNumberFormat="1" applyFont="1" applyBorder="1" applyAlignment="1">
      <alignment vertical="center"/>
    </xf>
    <xf numFmtId="43" fontId="39" fillId="0" borderId="0" xfId="35" applyNumberFormat="1" applyFont="1" applyBorder="1" applyAlignment="1">
      <alignment horizontal="left" vertical="center"/>
    </xf>
    <xf numFmtId="43" fontId="39" fillId="0" borderId="0" xfId="35" applyNumberFormat="1" applyFont="1" applyBorder="1" applyAlignment="1">
      <alignment horizontal="left" vertical="center" indent="2"/>
    </xf>
    <xf numFmtId="49" fontId="39" fillId="0" borderId="0" xfId="35" applyNumberFormat="1" applyFont="1" applyBorder="1" applyAlignment="1">
      <alignment vertical="center"/>
    </xf>
    <xf numFmtId="0" fontId="39" fillId="0" borderId="0" xfId="35" applyFont="1" applyBorder="1" applyAlignment="1">
      <alignment horizontal="center" vertical="center"/>
    </xf>
    <xf numFmtId="0" fontId="39" fillId="0" borderId="0" xfId="33" applyFont="1" applyAlignment="1">
      <alignment vertical="center"/>
    </xf>
    <xf numFmtId="0" fontId="39" fillId="0" borderId="0" xfId="33" applyFont="1" applyAlignment="1">
      <alignment horizontal="left" vertical="center"/>
    </xf>
    <xf numFmtId="43" fontId="28" fillId="0" borderId="0" xfId="35" applyNumberFormat="1" applyFont="1" applyBorder="1" applyAlignment="1">
      <alignment vertical="center"/>
    </xf>
    <xf numFmtId="43" fontId="41" fillId="0" borderId="0" xfId="35" applyNumberFormat="1" applyFont="1" applyBorder="1" applyAlignment="1">
      <alignment vertical="center"/>
    </xf>
    <xf numFmtId="43" fontId="26" fillId="0" borderId="0" xfId="35" applyNumberFormat="1" applyFont="1" applyBorder="1" applyAlignment="1">
      <alignment vertical="center"/>
    </xf>
    <xf numFmtId="43" fontId="27" fillId="0" borderId="0" xfId="35" applyNumberFormat="1" applyFont="1" applyBorder="1" applyAlignment="1">
      <alignment vertical="center"/>
    </xf>
    <xf numFmtId="43" fontId="26" fillId="0" borderId="0" xfId="35" applyNumberFormat="1" applyFont="1" applyBorder="1" applyAlignment="1">
      <alignment horizontal="right" vertical="center"/>
    </xf>
    <xf numFmtId="0" fontId="39" fillId="0" borderId="3" xfId="0" applyFont="1" applyBorder="1" applyAlignment="1">
      <alignment vertical="center" wrapText="1"/>
      <protection locked="0"/>
    </xf>
    <xf numFmtId="0" fontId="39" fillId="0" borderId="0" xfId="0" applyFont="1" applyAlignment="1">
      <alignment vertical="center"/>
      <protection locked="0"/>
    </xf>
    <xf numFmtId="0" fontId="37" fillId="0" borderId="0" xfId="32" applyFont="1">
      <alignment vertical="center"/>
    </xf>
    <xf numFmtId="0" fontId="37" fillId="0" borderId="0" xfId="0" applyFont="1">
      <protection locked="0"/>
    </xf>
    <xf numFmtId="0" fontId="39" fillId="0" borderId="0" xfId="0" applyFont="1">
      <protection locked="0"/>
    </xf>
    <xf numFmtId="0" fontId="36" fillId="0" borderId="0" xfId="0" applyFont="1">
      <protection locked="0"/>
    </xf>
    <xf numFmtId="43" fontId="39" fillId="0" borderId="3" xfId="42" applyFont="1" applyBorder="1" applyAlignment="1">
      <alignment horizontal="right" vertical="center"/>
    </xf>
    <xf numFmtId="0" fontId="39" fillId="0" borderId="3" xfId="0" applyFont="1" applyBorder="1" applyAlignment="1">
      <alignment horizontal="center" vertical="center"/>
      <protection locked="0"/>
    </xf>
    <xf numFmtId="0" fontId="39" fillId="0" borderId="5" xfId="0" applyFont="1" applyBorder="1" applyAlignment="1">
      <alignment vertical="center"/>
      <protection locked="0"/>
    </xf>
    <xf numFmtId="0" fontId="38" fillId="0" borderId="0" xfId="0" applyFont="1" applyAlignment="1">
      <alignment vertical="center"/>
      <protection locked="0"/>
    </xf>
    <xf numFmtId="0" fontId="39" fillId="0" borderId="0" xfId="0" applyFont="1" applyAlignment="1">
      <alignment horizontal="left" vertical="center"/>
      <protection locked="0"/>
    </xf>
    <xf numFmtId="0" fontId="36" fillId="0" borderId="0" xfId="34" applyFont="1" applyAlignment="1">
      <alignment horizontal="left" vertical="center"/>
    </xf>
    <xf numFmtId="0" fontId="39" fillId="0" borderId="0" xfId="34" applyFont="1" applyAlignment="1" applyProtection="1">
      <alignment vertical="center"/>
      <protection locked="0"/>
    </xf>
    <xf numFmtId="0" fontId="41" fillId="0" borderId="0" xfId="34" applyFont="1" applyAlignment="1" applyProtection="1">
      <alignment horizontal="center" vertical="center"/>
      <protection hidden="1"/>
    </xf>
    <xf numFmtId="0" fontId="39" fillId="0" borderId="0" xfId="34" applyFont="1" applyAlignment="1" applyProtection="1">
      <alignment horizontal="left" vertical="center"/>
      <protection hidden="1"/>
    </xf>
    <xf numFmtId="0" fontId="41" fillId="0" borderId="0" xfId="34" applyFont="1" applyAlignment="1" applyProtection="1">
      <alignment horizontal="left" vertical="center"/>
      <protection locked="0"/>
    </xf>
    <xf numFmtId="0" fontId="39" fillId="0" borderId="3" xfId="0" applyFont="1" applyBorder="1" applyAlignment="1">
      <alignment horizontal="left" vertical="center"/>
      <protection locked="0"/>
    </xf>
    <xf numFmtId="43" fontId="39" fillId="0" borderId="3" xfId="0" applyNumberFormat="1" applyFont="1" applyBorder="1" applyAlignment="1">
      <alignment horizontal="left" vertical="center"/>
      <protection locked="0"/>
    </xf>
    <xf numFmtId="0" fontId="39" fillId="0" borderId="0" xfId="0" applyFont="1" applyAlignment="1">
      <alignment horizontal="center" vertical="center"/>
      <protection locked="0"/>
    </xf>
    <xf numFmtId="0" fontId="36" fillId="0" borderId="0" xfId="0" applyFont="1" applyAlignment="1">
      <alignment vertical="center"/>
      <protection locked="0"/>
    </xf>
    <xf numFmtId="0" fontId="36" fillId="0" borderId="0" xfId="0" applyFont="1" applyAlignment="1">
      <alignment horizontal="left" vertical="center"/>
      <protection locked="0"/>
    </xf>
    <xf numFmtId="0" fontId="41" fillId="0" borderId="0" xfId="0" applyFont="1" applyAlignment="1">
      <alignment vertical="center"/>
      <protection locked="0"/>
    </xf>
    <xf numFmtId="0" fontId="37" fillId="0" borderId="0" xfId="0" applyFont="1" applyAlignment="1">
      <alignment vertical="center"/>
      <protection locked="0"/>
    </xf>
    <xf numFmtId="0" fontId="41" fillId="0" borderId="0" xfId="0" applyFont="1">
      <protection locked="0"/>
    </xf>
    <xf numFmtId="0" fontId="41" fillId="0" borderId="0" xfId="0" applyFont="1" applyAlignment="1">
      <alignment horizontal="right"/>
      <protection locked="0"/>
    </xf>
    <xf numFmtId="0" fontId="26" fillId="0" borderId="0" xfId="0" applyFont="1">
      <protection locked="0"/>
    </xf>
    <xf numFmtId="0" fontId="38" fillId="0" borderId="0" xfId="32" applyFont="1">
      <alignment vertical="center"/>
    </xf>
    <xf numFmtId="0" fontId="20" fillId="0" borderId="0" xfId="32" applyFont="1">
      <alignment vertical="center"/>
    </xf>
    <xf numFmtId="0" fontId="42" fillId="0" borderId="0" xfId="43" applyFont="1" applyAlignment="1" applyProtection="1">
      <alignment vertical="center"/>
    </xf>
    <xf numFmtId="0" fontId="44" fillId="0" borderId="0" xfId="43" applyFont="1" applyAlignment="1" applyProtection="1">
      <alignment horizontal="center"/>
    </xf>
    <xf numFmtId="0" fontId="39" fillId="0" borderId="0" xfId="43" applyFont="1" applyAlignment="1">
      <alignment vertical="center"/>
      <protection locked="0"/>
    </xf>
    <xf numFmtId="0" fontId="39" fillId="0" borderId="0" xfId="43" applyFont="1" applyAlignment="1">
      <alignment vertical="center" wrapText="1"/>
      <protection locked="0"/>
    </xf>
    <xf numFmtId="0" fontId="39" fillId="0" borderId="0" xfId="43" applyFont="1" applyAlignment="1">
      <alignment horizontal="right" vertical="center"/>
      <protection locked="0"/>
    </xf>
    <xf numFmtId="0" fontId="39" fillId="0" borderId="0" xfId="43" applyFont="1" applyAlignment="1">
      <alignment horizontal="justify" vertical="center" wrapText="1"/>
      <protection locked="0"/>
    </xf>
    <xf numFmtId="0" fontId="19" fillId="0" borderId="0" xfId="43" applyFont="1" applyAlignment="1" applyProtection="1">
      <alignment vertical="center"/>
    </xf>
    <xf numFmtId="0" fontId="36" fillId="0" borderId="0" xfId="43" applyFont="1" applyAlignment="1" applyProtection="1">
      <alignment horizontal="left" vertical="center"/>
    </xf>
    <xf numFmtId="0" fontId="39" fillId="0" borderId="0" xfId="44" applyFont="1">
      <alignment vertical="center"/>
    </xf>
    <xf numFmtId="193" fontId="39" fillId="0" borderId="3" xfId="46" applyFont="1" applyBorder="1" applyAlignment="1" applyProtection="1">
      <alignment horizontal="left" vertical="center" wrapText="1"/>
      <protection locked="0"/>
    </xf>
    <xf numFmtId="43" fontId="36" fillId="0" borderId="0" xfId="35" applyNumberFormat="1" applyFont="1" applyBorder="1" applyAlignment="1">
      <alignment horizontal="left" vertical="center"/>
    </xf>
    <xf numFmtId="0" fontId="23" fillId="0" borderId="5" xfId="0" applyFont="1" applyBorder="1" applyAlignment="1">
      <alignment vertical="center"/>
      <protection locked="0"/>
    </xf>
    <xf numFmtId="0" fontId="23" fillId="0" borderId="0" xfId="0" applyFont="1" applyAlignment="1">
      <alignment vertical="center"/>
      <protection locked="0"/>
    </xf>
    <xf numFmtId="0" fontId="39" fillId="0" borderId="5" xfId="0" applyFont="1" applyBorder="1">
      <protection locked="0"/>
    </xf>
    <xf numFmtId="0" fontId="39" fillId="0" borderId="0" xfId="34" applyFont="1" applyAlignment="1">
      <alignment vertical="center"/>
    </xf>
    <xf numFmtId="0" fontId="36" fillId="0" borderId="0" xfId="34" applyFont="1" applyAlignment="1">
      <alignment vertical="center"/>
    </xf>
    <xf numFmtId="0" fontId="39" fillId="0" borderId="0" xfId="43" applyFont="1" applyAlignment="1" applyProtection="1">
      <alignment vertical="center"/>
    </xf>
    <xf numFmtId="0" fontId="42" fillId="0" borderId="2" xfId="0" applyFont="1" applyBorder="1" applyAlignment="1" applyProtection="1">
      <alignment horizontal="center" vertical="center"/>
    </xf>
    <xf numFmtId="0" fontId="48" fillId="0" borderId="2" xfId="0" applyFont="1" applyBorder="1" applyAlignment="1" applyProtection="1">
      <alignment vertical="center"/>
    </xf>
    <xf numFmtId="0" fontId="7" fillId="0" borderId="0" xfId="0" applyFont="1">
      <protection locked="0"/>
    </xf>
    <xf numFmtId="193" fontId="36" fillId="0" borderId="3" xfId="46" applyFont="1" applyBorder="1" applyAlignment="1" applyProtection="1">
      <alignment horizontal="left" vertical="center" wrapText="1"/>
      <protection locked="0"/>
    </xf>
    <xf numFmtId="43" fontId="36" fillId="0" borderId="0" xfId="35" applyNumberFormat="1" applyFont="1" applyBorder="1" applyAlignment="1">
      <alignment vertical="center"/>
    </xf>
    <xf numFmtId="193" fontId="36" fillId="5" borderId="3" xfId="46" applyFont="1" applyFill="1" applyBorder="1" applyAlignment="1" applyProtection="1">
      <alignment horizontal="center" vertical="center"/>
      <protection locked="0"/>
    </xf>
    <xf numFmtId="14" fontId="39" fillId="0" borderId="0" xfId="35" applyNumberFormat="1" applyFont="1" applyBorder="1" applyAlignment="1">
      <alignment vertical="center"/>
    </xf>
    <xf numFmtId="14" fontId="39" fillId="0" borderId="0" xfId="0" applyNumberFormat="1" applyFont="1" applyAlignment="1">
      <alignment vertical="center"/>
      <protection locked="0"/>
    </xf>
    <xf numFmtId="14" fontId="39" fillId="0" borderId="3" xfId="0" applyNumberFormat="1" applyFont="1" applyBorder="1" applyAlignment="1">
      <alignment horizontal="left" vertical="center"/>
      <protection locked="0"/>
    </xf>
    <xf numFmtId="14" fontId="39" fillId="0" borderId="0" xfId="0" applyNumberFormat="1" applyFont="1" applyAlignment="1">
      <alignment horizontal="left" vertical="center"/>
      <protection locked="0"/>
    </xf>
    <xf numFmtId="4" fontId="39" fillId="0" borderId="3" xfId="45" applyNumberFormat="1" applyFont="1" applyBorder="1" applyAlignment="1">
      <alignment vertical="center"/>
    </xf>
    <xf numFmtId="9" fontId="39" fillId="0" borderId="3" xfId="45" applyNumberFormat="1" applyFont="1" applyBorder="1" applyAlignment="1">
      <alignment horizontal="center" vertical="center"/>
    </xf>
    <xf numFmtId="0" fontId="50" fillId="0" borderId="0" xfId="0" applyFont="1">
      <protection locked="0"/>
    </xf>
    <xf numFmtId="0" fontId="39" fillId="0" borderId="0" xfId="34" applyFont="1" applyAlignment="1">
      <alignment horizontal="left" vertical="center" indent="1"/>
    </xf>
    <xf numFmtId="0" fontId="50" fillId="0" borderId="0" xfId="0" applyFont="1" applyAlignment="1">
      <alignment vertical="center"/>
      <protection locked="0"/>
    </xf>
    <xf numFmtId="0" fontId="51" fillId="0" borderId="0" xfId="0" applyFont="1" applyAlignment="1">
      <alignment horizontal="left"/>
      <protection locked="0"/>
    </xf>
    <xf numFmtId="193" fontId="52" fillId="0" borderId="0" xfId="49" applyFont="1">
      <alignment vertical="center"/>
    </xf>
    <xf numFmtId="193" fontId="53" fillId="0" borderId="0" xfId="49" applyFont="1">
      <alignment vertical="center"/>
    </xf>
    <xf numFmtId="193" fontId="39" fillId="0" borderId="0" xfId="49" applyFont="1" applyProtection="1">
      <alignment vertical="center"/>
      <protection locked="0"/>
    </xf>
    <xf numFmtId="0" fontId="39" fillId="0" borderId="0" xfId="50" applyFont="1" applyAlignment="1">
      <alignment horizontal="left" vertical="center"/>
      <protection locked="0"/>
    </xf>
    <xf numFmtId="193" fontId="39" fillId="0" borderId="0" xfId="49" applyFont="1" applyAlignment="1" applyProtection="1">
      <alignment horizontal="center" vertical="center"/>
      <protection locked="0"/>
    </xf>
    <xf numFmtId="193" fontId="39" fillId="0" borderId="0" xfId="49" applyFont="1" applyAlignment="1" applyProtection="1">
      <alignment vertical="center" wrapText="1"/>
      <protection locked="0"/>
    </xf>
    <xf numFmtId="49" fontId="36" fillId="0" borderId="0" xfId="49" applyNumberFormat="1" applyFont="1" applyAlignment="1" applyProtection="1">
      <alignment horizontal="left" vertical="center"/>
      <protection locked="0"/>
    </xf>
    <xf numFmtId="193" fontId="56" fillId="0" borderId="0" xfId="49" applyFont="1" applyAlignment="1" applyProtection="1">
      <alignment horizontal="center" vertical="center"/>
      <protection locked="0"/>
    </xf>
    <xf numFmtId="193" fontId="53" fillId="0" borderId="0" xfId="49" applyFont="1" applyAlignment="1">
      <alignment horizontal="center" vertical="center"/>
    </xf>
    <xf numFmtId="193" fontId="58" fillId="6" borderId="0" xfId="49" applyFont="1" applyFill="1" applyAlignment="1" applyProtection="1">
      <alignment horizontal="center" vertical="center"/>
      <protection locked="0"/>
    </xf>
    <xf numFmtId="193" fontId="60" fillId="6" borderId="0" xfId="49" applyFont="1" applyFill="1" applyAlignment="1">
      <alignment horizontal="left" vertical="center"/>
    </xf>
    <xf numFmtId="193" fontId="39" fillId="6" borderId="0" xfId="49" applyFont="1" applyFill="1" applyAlignment="1">
      <alignment horizontal="left" vertical="center"/>
    </xf>
    <xf numFmtId="193" fontId="52" fillId="0" borderId="3" xfId="49" applyFont="1" applyBorder="1" applyAlignment="1">
      <alignment horizontal="center" vertical="center" wrapText="1"/>
    </xf>
    <xf numFmtId="43" fontId="36" fillId="0" borderId="0" xfId="35" applyNumberFormat="1" applyFont="1" applyFill="1" applyBorder="1" applyAlignment="1">
      <alignment vertical="center"/>
    </xf>
    <xf numFmtId="0" fontId="39" fillId="0" borderId="5" xfId="33" applyFont="1" applyBorder="1" applyAlignment="1">
      <alignment vertical="center"/>
    </xf>
    <xf numFmtId="43" fontId="39" fillId="0" borderId="5" xfId="35" applyNumberFormat="1" applyFont="1" applyBorder="1" applyAlignment="1">
      <alignment vertical="center"/>
    </xf>
    <xf numFmtId="43" fontId="36" fillId="7" borderId="0" xfId="35" applyNumberFormat="1" applyFont="1" applyFill="1" applyBorder="1" applyAlignment="1">
      <alignment vertical="center"/>
    </xf>
    <xf numFmtId="0" fontId="42" fillId="0" borderId="3" xfId="52" applyFont="1" applyBorder="1" applyAlignment="1" applyProtection="1">
      <alignment horizontal="center" vertical="center"/>
    </xf>
    <xf numFmtId="0" fontId="36" fillId="0" borderId="0" xfId="33" applyFont="1" applyAlignment="1">
      <alignment vertical="center"/>
    </xf>
    <xf numFmtId="0" fontId="11" fillId="0" borderId="0" xfId="52">
      <protection locked="0"/>
    </xf>
    <xf numFmtId="0" fontId="67" fillId="0" borderId="0" xfId="0" applyFont="1" applyAlignment="1">
      <alignment horizontal="left" vertical="center"/>
      <protection locked="0"/>
    </xf>
    <xf numFmtId="0" fontId="67" fillId="0" borderId="0" xfId="0" applyFont="1" applyAlignment="1">
      <alignment vertical="center"/>
      <protection locked="0"/>
    </xf>
    <xf numFmtId="0" fontId="67" fillId="0" borderId="0" xfId="0" applyFont="1">
      <protection locked="0"/>
    </xf>
    <xf numFmtId="0" fontId="68" fillId="0" borderId="10" xfId="0" applyFont="1" applyBorder="1" applyAlignment="1">
      <alignment horizontal="justify" vertical="center" wrapText="1"/>
      <protection locked="0"/>
    </xf>
    <xf numFmtId="0" fontId="68" fillId="0" borderId="10" xfId="0" applyFont="1" applyBorder="1" applyAlignment="1">
      <alignment horizontal="right" vertical="center" wrapText="1"/>
      <protection locked="0"/>
    </xf>
    <xf numFmtId="0" fontId="69" fillId="0" borderId="0" xfId="0" applyFont="1">
      <protection locked="0"/>
    </xf>
    <xf numFmtId="0" fontId="69" fillId="0" borderId="0" xfId="0" applyFont="1" applyAlignment="1">
      <alignment horizontal="justify" vertical="center" wrapText="1"/>
      <protection locked="0"/>
    </xf>
    <xf numFmtId="43" fontId="69" fillId="0" borderId="0" xfId="0" applyNumberFormat="1" applyFont="1" applyAlignment="1">
      <alignment horizontal="right" vertical="center" wrapText="1"/>
      <protection locked="0"/>
    </xf>
    <xf numFmtId="43" fontId="70" fillId="0" borderId="0" xfId="42" applyFont="1" applyFill="1" applyAlignment="1" applyProtection="1">
      <alignment horizontal="right" vertical="center" wrapText="1" shrinkToFit="1"/>
      <protection locked="0"/>
    </xf>
    <xf numFmtId="0" fontId="69" fillId="0" borderId="11" xfId="0" applyFont="1" applyBorder="1" applyAlignment="1">
      <alignment horizontal="justify" vertical="center" wrapText="1"/>
      <protection locked="0"/>
    </xf>
    <xf numFmtId="0" fontId="68" fillId="0" borderId="11" xfId="0" applyFont="1" applyBorder="1" applyAlignment="1">
      <alignment horizontal="justify" vertical="center" wrapText="1"/>
      <protection locked="0"/>
    </xf>
    <xf numFmtId="43" fontId="68" fillId="0" borderId="10" xfId="42" applyFont="1" applyFill="1" applyBorder="1" applyAlignment="1" applyProtection="1">
      <alignment horizontal="right" vertical="center" wrapText="1" shrinkToFit="1"/>
      <protection locked="0"/>
    </xf>
    <xf numFmtId="0" fontId="71" fillId="0" borderId="0" xfId="0" applyFont="1" applyAlignment="1">
      <alignment horizontal="left" vertical="center"/>
      <protection locked="0"/>
    </xf>
    <xf numFmtId="0" fontId="69" fillId="0" borderId="0" xfId="0" applyFont="1" applyAlignment="1">
      <alignment vertical="center"/>
      <protection locked="0"/>
    </xf>
    <xf numFmtId="0" fontId="67" fillId="0" borderId="0" xfId="0" applyFont="1" applyAlignment="1">
      <alignment horizontal="justify" vertical="center"/>
      <protection locked="0"/>
    </xf>
    <xf numFmtId="0" fontId="72" fillId="0" borderId="10" xfId="0" applyFont="1" applyBorder="1" applyAlignment="1">
      <alignment horizontal="right" vertical="center" wrapText="1"/>
      <protection locked="0"/>
    </xf>
    <xf numFmtId="0" fontId="70" fillId="0" borderId="0" xfId="0" applyFont="1" applyAlignment="1">
      <alignment horizontal="justify" vertical="center" wrapText="1"/>
      <protection locked="0"/>
    </xf>
    <xf numFmtId="0" fontId="72" fillId="0" borderId="10" xfId="0" applyFont="1" applyBorder="1" applyAlignment="1">
      <alignment horizontal="justify" vertical="center" wrapText="1"/>
      <protection locked="0"/>
    </xf>
    <xf numFmtId="0" fontId="69" fillId="0" borderId="0" xfId="0" applyFont="1" applyAlignment="1">
      <alignment horizontal="left" vertical="center"/>
      <protection locked="0"/>
    </xf>
    <xf numFmtId="193" fontId="36" fillId="0" borderId="0" xfId="57" applyFont="1" applyAlignment="1" applyProtection="1">
      <alignment horizontal="justify" vertical="center"/>
      <protection locked="0"/>
    </xf>
    <xf numFmtId="193" fontId="52" fillId="0" borderId="3" xfId="56" applyFont="1" applyBorder="1" applyAlignment="1">
      <alignment horizontal="center" vertical="center" wrapText="1"/>
    </xf>
    <xf numFmtId="43" fontId="39" fillId="8" borderId="3" xfId="42" applyFont="1" applyFill="1" applyBorder="1" applyAlignment="1">
      <alignment horizontal="right" vertical="center" wrapText="1"/>
    </xf>
    <xf numFmtId="10" fontId="39" fillId="8" borderId="3" xfId="31" applyNumberFormat="1" applyFont="1" applyFill="1" applyBorder="1" applyAlignment="1">
      <alignment horizontal="right" vertical="center" wrapText="1"/>
    </xf>
    <xf numFmtId="43" fontId="36" fillId="8" borderId="3" xfId="42" applyFont="1" applyFill="1" applyBorder="1" applyAlignment="1">
      <alignment horizontal="right" vertical="center" wrapText="1"/>
    </xf>
    <xf numFmtId="10" fontId="36" fillId="8" borderId="3" xfId="31" applyNumberFormat="1" applyFont="1" applyFill="1" applyBorder="1" applyAlignment="1">
      <alignment horizontal="right" vertical="center" wrapText="1"/>
    </xf>
    <xf numFmtId="43" fontId="48" fillId="8" borderId="3" xfId="51" applyFont="1" applyFill="1" applyBorder="1" applyAlignment="1">
      <alignment horizontal="right" vertical="center"/>
    </xf>
    <xf numFmtId="43" fontId="39" fillId="8" borderId="3" xfId="42" applyFont="1" applyFill="1" applyBorder="1" applyAlignment="1">
      <alignment vertical="center" shrinkToFit="1"/>
    </xf>
    <xf numFmtId="43" fontId="36" fillId="8" borderId="3" xfId="42" applyFont="1" applyFill="1" applyBorder="1" applyAlignment="1">
      <alignment vertical="center" shrinkToFit="1"/>
    </xf>
    <xf numFmtId="43" fontId="48" fillId="0" borderId="0" xfId="42" applyFont="1" applyFill="1" applyBorder="1" applyAlignment="1">
      <alignment horizontal="center" vertical="center"/>
    </xf>
    <xf numFmtId="193" fontId="36" fillId="5" borderId="3" xfId="46" applyFont="1" applyFill="1" applyBorder="1" applyAlignment="1" applyProtection="1">
      <alignment horizontal="center" vertical="center" wrapText="1"/>
      <protection locked="0"/>
    </xf>
    <xf numFmtId="0" fontId="19" fillId="0" borderId="0" xfId="0" applyFont="1">
      <protection locked="0"/>
    </xf>
    <xf numFmtId="193" fontId="73" fillId="6" borderId="0" xfId="56" applyFont="1" applyFill="1" applyAlignment="1" applyProtection="1">
      <alignment horizontal="left" vertical="center" wrapText="1"/>
      <protection locked="0"/>
    </xf>
    <xf numFmtId="0" fontId="39" fillId="0" borderId="0" xfId="43" applyFont="1" applyAlignment="1" applyProtection="1">
      <alignment horizontal="left" vertical="center"/>
    </xf>
    <xf numFmtId="193" fontId="68" fillId="5" borderId="3" xfId="46" applyFont="1" applyFill="1" applyBorder="1" applyAlignment="1" applyProtection="1">
      <alignment horizontal="center" vertical="center"/>
      <protection locked="0"/>
    </xf>
    <xf numFmtId="0" fontId="75" fillId="5" borderId="3" xfId="0" applyFont="1" applyFill="1" applyBorder="1" applyAlignment="1">
      <alignment horizontal="center" vertical="center" wrapText="1"/>
      <protection locked="0"/>
    </xf>
    <xf numFmtId="193" fontId="76" fillId="0" borderId="0" xfId="49" applyFont="1" applyProtection="1">
      <alignment vertical="center"/>
      <protection locked="0"/>
    </xf>
    <xf numFmtId="49" fontId="36" fillId="0" borderId="0" xfId="56" applyNumberFormat="1" applyFont="1" applyAlignment="1" applyProtection="1">
      <alignment horizontal="left" vertical="center"/>
      <protection locked="0"/>
    </xf>
    <xf numFmtId="193" fontId="36" fillId="5" borderId="3" xfId="56" applyFont="1" applyFill="1" applyBorder="1" applyAlignment="1" applyProtection="1">
      <alignment horizontal="center" vertical="center" wrapText="1"/>
      <protection locked="0"/>
    </xf>
    <xf numFmtId="0" fontId="52" fillId="0" borderId="3" xfId="49" applyNumberFormat="1" applyFont="1" applyBorder="1" applyAlignment="1">
      <alignment horizontal="center" vertical="center" wrapText="1"/>
    </xf>
    <xf numFmtId="193" fontId="42" fillId="5" borderId="3" xfId="47" applyFont="1" applyFill="1" applyBorder="1" applyAlignment="1" applyProtection="1">
      <alignment horizontal="center" vertical="center" wrapText="1"/>
      <protection locked="0"/>
    </xf>
    <xf numFmtId="193" fontId="36" fillId="5" borderId="3" xfId="47" applyFont="1" applyFill="1" applyBorder="1" applyAlignment="1" applyProtection="1">
      <alignment horizontal="center" vertical="center"/>
      <protection locked="0"/>
    </xf>
    <xf numFmtId="43" fontId="36" fillId="5" borderId="3" xfId="42" applyFont="1" applyFill="1" applyBorder="1" applyAlignment="1">
      <alignment horizontal="center" vertical="center" wrapText="1"/>
    </xf>
    <xf numFmtId="43" fontId="66" fillId="0" borderId="0" xfId="36" applyNumberFormat="1" applyFont="1" applyBorder="1" applyAlignment="1" applyProtection="1">
      <alignment horizontal="center" vertical="center"/>
    </xf>
    <xf numFmtId="0" fontId="41" fillId="0" borderId="0" xfId="33" applyFont="1" applyAlignment="1">
      <alignment vertical="center"/>
    </xf>
    <xf numFmtId="193" fontId="36" fillId="5" borderId="3" xfId="53" applyFont="1" applyFill="1" applyBorder="1" applyAlignment="1" applyProtection="1">
      <alignment horizontal="center" vertical="center" wrapText="1"/>
      <protection locked="0"/>
    </xf>
    <xf numFmtId="0" fontId="48" fillId="0" borderId="3" xfId="52" applyFont="1" applyBorder="1" applyAlignment="1" applyProtection="1">
      <alignment vertical="center"/>
    </xf>
    <xf numFmtId="0" fontId="39" fillId="0" borderId="3" xfId="52" applyFont="1" applyBorder="1" applyAlignment="1" applyProtection="1">
      <alignment vertical="center"/>
    </xf>
    <xf numFmtId="0" fontId="57" fillId="0" borderId="3" xfId="52" applyFont="1" applyBorder="1" applyAlignment="1" applyProtection="1">
      <alignment horizontal="left" vertical="center" indent="1"/>
    </xf>
    <xf numFmtId="0" fontId="36" fillId="0" borderId="0" xfId="43" applyFont="1" applyAlignment="1">
      <alignment vertical="center"/>
      <protection locked="0"/>
    </xf>
    <xf numFmtId="0" fontId="78" fillId="0" borderId="0" xfId="0" applyFont="1" applyAlignment="1">
      <alignment vertical="top"/>
      <protection locked="0"/>
    </xf>
    <xf numFmtId="0" fontId="57" fillId="0" borderId="0" xfId="0" applyFont="1" applyAlignment="1">
      <alignment horizontal="left" vertical="center"/>
      <protection locked="0"/>
    </xf>
    <xf numFmtId="193" fontId="59" fillId="0" borderId="3" xfId="56" applyFont="1" applyBorder="1" applyAlignment="1">
      <alignment horizontal="center" vertical="center" wrapText="1"/>
    </xf>
    <xf numFmtId="193" fontId="61" fillId="0" borderId="3" xfId="56" applyFont="1" applyBorder="1" applyAlignment="1">
      <alignment horizontal="center" vertical="center" wrapText="1"/>
    </xf>
    <xf numFmtId="193" fontId="59" fillId="0" borderId="3" xfId="56" applyFont="1" applyFill="1" applyBorder="1" applyAlignment="1">
      <alignment horizontal="center" vertical="center" wrapText="1"/>
    </xf>
    <xf numFmtId="193" fontId="61" fillId="0" borderId="3" xfId="56" applyFont="1" applyFill="1" applyBorder="1" applyAlignment="1">
      <alignment horizontal="center" vertical="center" wrapText="1"/>
    </xf>
    <xf numFmtId="0" fontId="27" fillId="0" borderId="0" xfId="0" applyFont="1">
      <protection locked="0"/>
    </xf>
    <xf numFmtId="0" fontId="73" fillId="0" borderId="0" xfId="0" applyFont="1" applyAlignment="1">
      <alignment vertical="top"/>
      <protection locked="0"/>
    </xf>
    <xf numFmtId="0" fontId="23" fillId="0" borderId="0" xfId="34" applyFont="1" applyAlignment="1">
      <alignment vertical="center"/>
    </xf>
    <xf numFmtId="0" fontId="36" fillId="5" borderId="3" xfId="0" applyFont="1" applyFill="1" applyBorder="1" applyAlignment="1">
      <alignment horizontal="center" vertical="center"/>
      <protection locked="0"/>
    </xf>
    <xf numFmtId="193" fontId="36" fillId="5" borderId="3" xfId="56" applyFont="1" applyFill="1" applyBorder="1" applyAlignment="1" applyProtection="1">
      <alignment horizontal="center" vertical="center"/>
      <protection locked="0"/>
    </xf>
    <xf numFmtId="193" fontId="39" fillId="0" borderId="3" xfId="57" applyFont="1" applyBorder="1" applyAlignment="1">
      <alignment vertical="center" wrapText="1"/>
    </xf>
    <xf numFmtId="193" fontId="19" fillId="0" borderId="3" xfId="49" applyFont="1" applyBorder="1" applyAlignment="1">
      <alignment vertical="center" wrapText="1"/>
    </xf>
    <xf numFmtId="193" fontId="52" fillId="0" borderId="3" xfId="49" applyFont="1" applyBorder="1" applyAlignment="1">
      <alignment vertical="center" wrapText="1"/>
    </xf>
    <xf numFmtId="193" fontId="19" fillId="0" borderId="3" xfId="57" applyFont="1" applyBorder="1" applyAlignment="1">
      <alignment vertical="center" wrapText="1"/>
    </xf>
    <xf numFmtId="193" fontId="39" fillId="0" borderId="3" xfId="49" applyFont="1" applyBorder="1" applyAlignment="1">
      <alignment horizontal="center" vertical="center" wrapText="1"/>
    </xf>
    <xf numFmtId="0" fontId="48" fillId="0" borderId="2" xfId="0" applyFont="1" applyBorder="1" applyAlignment="1" applyProtection="1">
      <alignment horizontal="center" vertical="center"/>
    </xf>
    <xf numFmtId="0" fontId="11" fillId="0" borderId="0" xfId="0" applyFont="1" applyAlignment="1">
      <alignment horizontal="center"/>
      <protection locked="0"/>
    </xf>
    <xf numFmtId="0" fontId="30" fillId="0" borderId="0" xfId="0" applyFont="1" applyAlignment="1">
      <alignment horizontal="center"/>
      <protection locked="0"/>
    </xf>
    <xf numFmtId="193" fontId="39" fillId="0" borderId="3" xfId="56" applyFont="1" applyBorder="1" applyAlignment="1">
      <alignment horizontal="center" vertical="center" wrapText="1"/>
    </xf>
    <xf numFmtId="0" fontId="39" fillId="0" borderId="3" xfId="49" applyNumberFormat="1" applyFont="1" applyBorder="1" applyAlignment="1" applyProtection="1">
      <alignment horizontal="center" vertical="center"/>
      <protection locked="0"/>
    </xf>
    <xf numFmtId="193" fontId="53" fillId="0" borderId="3" xfId="49" applyFont="1" applyBorder="1" applyAlignment="1">
      <alignment horizontal="center" vertical="center"/>
    </xf>
    <xf numFmtId="193" fontId="53" fillId="0" borderId="3" xfId="49" applyFont="1" applyBorder="1" applyAlignment="1">
      <alignment horizontal="center" vertical="center" wrapText="1"/>
    </xf>
    <xf numFmtId="0" fontId="26" fillId="0" borderId="2" xfId="36" applyFont="1" applyBorder="1" applyAlignment="1" applyProtection="1">
      <alignment vertical="center"/>
    </xf>
    <xf numFmtId="193" fontId="41" fillId="0" borderId="0" xfId="36" applyNumberFormat="1" applyFont="1" applyAlignment="1" applyProtection="1">
      <alignment vertical="center" wrapText="1"/>
      <protection locked="0"/>
    </xf>
    <xf numFmtId="14" fontId="19" fillId="0" borderId="0" xfId="0" applyNumberFormat="1" applyFont="1" applyAlignment="1">
      <alignment horizontal="right" vertical="center"/>
      <protection locked="0"/>
    </xf>
    <xf numFmtId="0" fontId="39" fillId="0" borderId="0" xfId="0" applyFont="1" applyAlignment="1">
      <alignment horizontal="right" vertical="center"/>
      <protection locked="0"/>
    </xf>
    <xf numFmtId="0" fontId="23" fillId="5" borderId="3" xfId="43" applyFont="1" applyFill="1" applyBorder="1" applyAlignment="1">
      <alignment horizontal="center" vertical="center"/>
      <protection locked="0"/>
    </xf>
    <xf numFmtId="0" fontId="23" fillId="5" borderId="3" xfId="43" applyFont="1" applyFill="1" applyBorder="1" applyAlignment="1">
      <alignment horizontal="center" vertical="center" wrapText="1"/>
      <protection locked="0"/>
    </xf>
    <xf numFmtId="0" fontId="36" fillId="5" borderId="3" xfId="52" applyFont="1" applyFill="1" applyBorder="1" applyAlignment="1" applyProtection="1">
      <alignment vertical="center"/>
    </xf>
    <xf numFmtId="0" fontId="36" fillId="5" borderId="3" xfId="52" applyFont="1" applyFill="1" applyBorder="1" applyAlignment="1" applyProtection="1">
      <alignment vertical="center" wrapText="1"/>
    </xf>
    <xf numFmtId="0" fontId="36" fillId="5" borderId="3" xfId="52" applyFont="1" applyFill="1" applyBorder="1" applyAlignment="1" applyProtection="1">
      <alignment horizontal="center" vertical="center"/>
    </xf>
    <xf numFmtId="193" fontId="57" fillId="0" borderId="3" xfId="57" applyFont="1" applyBorder="1" applyAlignment="1">
      <alignment horizontal="center" vertical="center" wrapText="1"/>
    </xf>
    <xf numFmtId="0" fontId="54" fillId="0" borderId="0" xfId="0" applyFont="1" applyAlignment="1">
      <alignment horizontal="center" vertical="center"/>
      <protection locked="0"/>
    </xf>
    <xf numFmtId="0" fontId="39" fillId="4" borderId="0" xfId="0" applyFont="1" applyFill="1" applyBorder="1" applyAlignment="1">
      <alignment horizontal="justify" vertical="center" wrapText="1"/>
      <protection locked="0"/>
    </xf>
    <xf numFmtId="193" fontId="65" fillId="0" borderId="0" xfId="59" applyFont="1" applyFill="1" applyAlignment="1">
      <alignment horizontal="left" vertical="center"/>
    </xf>
    <xf numFmtId="193" fontId="58" fillId="6" borderId="0" xfId="49" applyFont="1" applyFill="1" applyBorder="1" applyAlignment="1" applyProtection="1">
      <alignment horizontal="centerContinuous" vertical="center"/>
      <protection locked="0"/>
    </xf>
    <xf numFmtId="193" fontId="53" fillId="6" borderId="0" xfId="49" applyFont="1" applyFill="1" applyBorder="1" applyAlignment="1">
      <alignment horizontal="centerContinuous" vertical="center"/>
    </xf>
    <xf numFmtId="42" fontId="19" fillId="0" borderId="3" xfId="45" applyFont="1" applyBorder="1" applyAlignment="1">
      <alignment vertical="center"/>
    </xf>
    <xf numFmtId="0" fontId="39" fillId="5" borderId="3" xfId="0" applyFont="1" applyFill="1" applyBorder="1" applyAlignment="1">
      <alignment horizontal="left" vertical="center"/>
      <protection locked="0"/>
    </xf>
    <xf numFmtId="43" fontId="39" fillId="5" borderId="3" xfId="0" applyNumberFormat="1" applyFont="1" applyFill="1" applyBorder="1" applyAlignment="1">
      <alignment horizontal="left" vertical="center"/>
      <protection locked="0"/>
    </xf>
    <xf numFmtId="0" fontId="39" fillId="5" borderId="3" xfId="0" applyFont="1" applyFill="1" applyBorder="1" applyAlignment="1">
      <alignment horizontal="center" vertical="center"/>
      <protection locked="0"/>
    </xf>
    <xf numFmtId="0" fontId="39" fillId="5" borderId="0" xfId="0" applyFont="1" applyFill="1" applyAlignment="1">
      <alignment vertical="center"/>
      <protection locked="0"/>
    </xf>
    <xf numFmtId="14" fontId="23" fillId="5" borderId="3" xfId="43" applyNumberFormat="1" applyFont="1" applyFill="1" applyBorder="1" applyAlignment="1">
      <alignment vertical="center"/>
      <protection locked="0"/>
    </xf>
    <xf numFmtId="43" fontId="39" fillId="0" borderId="3" xfId="42" applyFont="1" applyBorder="1" applyAlignment="1" applyProtection="1">
      <alignment horizontal="left" vertical="center"/>
      <protection locked="0"/>
    </xf>
    <xf numFmtId="43" fontId="36" fillId="5" borderId="3" xfId="42" applyFont="1" applyFill="1" applyBorder="1" applyAlignment="1" applyProtection="1">
      <alignment horizontal="left" vertical="center"/>
      <protection locked="0"/>
    </xf>
    <xf numFmtId="43" fontId="36" fillId="5" borderId="3" xfId="0" applyNumberFormat="1" applyFont="1" applyFill="1" applyBorder="1" applyAlignment="1">
      <alignment horizontal="left" vertical="center"/>
      <protection locked="0"/>
    </xf>
    <xf numFmtId="10" fontId="36" fillId="5" borderId="3" xfId="31" applyNumberFormat="1" applyFont="1" applyFill="1" applyBorder="1" applyAlignment="1" applyProtection="1">
      <alignment horizontal="right" vertical="center"/>
      <protection locked="0"/>
    </xf>
    <xf numFmtId="0" fontId="38" fillId="0" borderId="0" xfId="0" applyFont="1" applyAlignment="1">
      <alignment horizontal="left" vertical="center" wrapText="1"/>
      <protection locked="0"/>
    </xf>
    <xf numFmtId="0" fontId="37" fillId="0" borderId="0" xfId="0" applyFont="1" applyAlignment="1">
      <alignment horizontal="left" vertical="center" wrapText="1"/>
      <protection locked="0"/>
    </xf>
    <xf numFmtId="193" fontId="20" fillId="0" borderId="0" xfId="48" applyFont="1" applyAlignment="1">
      <alignment horizontal="center" vertical="center"/>
    </xf>
    <xf numFmtId="193" fontId="54" fillId="0" borderId="0" xfId="48" applyFont="1" applyAlignment="1">
      <alignment horizontal="center" vertical="center"/>
    </xf>
    <xf numFmtId="193" fontId="36" fillId="0" borderId="0" xfId="49" applyFont="1" applyAlignment="1" applyProtection="1">
      <alignment horizontal="left" vertical="center"/>
      <protection locked="0"/>
    </xf>
    <xf numFmtId="49" fontId="36" fillId="5" borderId="3" xfId="49" applyNumberFormat="1" applyFont="1" applyFill="1" applyBorder="1" applyAlignment="1" applyProtection="1">
      <alignment horizontal="center" vertical="center"/>
      <protection locked="0"/>
    </xf>
    <xf numFmtId="193" fontId="36" fillId="5" borderId="3" xfId="49" applyFont="1" applyFill="1" applyBorder="1" applyAlignment="1" applyProtection="1">
      <alignment horizontal="center" vertical="center" wrapText="1"/>
      <protection locked="0"/>
    </xf>
    <xf numFmtId="193" fontId="23" fillId="5" borderId="3" xfId="56" applyFont="1" applyFill="1" applyBorder="1" applyAlignment="1" applyProtection="1">
      <alignment horizontal="center" vertical="center" wrapText="1"/>
      <protection locked="0"/>
    </xf>
    <xf numFmtId="193" fontId="36" fillId="5" borderId="3" xfId="56" applyFont="1" applyFill="1" applyBorder="1" applyAlignment="1" applyProtection="1">
      <alignment horizontal="center" vertical="center"/>
      <protection locked="0"/>
    </xf>
    <xf numFmtId="193" fontId="39" fillId="0" borderId="3" xfId="56" applyFont="1" applyBorder="1" applyAlignment="1" applyProtection="1">
      <alignment horizontal="center" vertical="center" wrapText="1"/>
      <protection locked="0"/>
    </xf>
    <xf numFmtId="193" fontId="19" fillId="0" borderId="3" xfId="56" applyFont="1" applyBorder="1" applyAlignment="1" applyProtection="1">
      <alignment horizontal="center" vertical="center" wrapText="1"/>
      <protection locked="0"/>
    </xf>
    <xf numFmtId="193" fontId="39" fillId="0" borderId="3" xfId="56" applyFont="1" applyBorder="1" applyAlignment="1" applyProtection="1">
      <alignment horizontal="left" vertical="center" wrapText="1"/>
      <protection locked="0"/>
    </xf>
    <xf numFmtId="193" fontId="36" fillId="5" borderId="3" xfId="56" applyFont="1" applyFill="1" applyBorder="1" applyAlignment="1" applyProtection="1">
      <alignment horizontal="center" vertical="center" wrapText="1"/>
      <protection locked="0"/>
    </xf>
    <xf numFmtId="10" fontId="40" fillId="0" borderId="0" xfId="31" applyNumberFormat="1" applyFont="1" applyBorder="1" applyAlignment="1">
      <alignment horizontal="left" vertical="center"/>
    </xf>
    <xf numFmtId="193" fontId="42" fillId="5" borderId="3" xfId="47" applyFont="1" applyFill="1" applyBorder="1" applyAlignment="1" applyProtection="1">
      <alignment horizontal="center" vertical="center" wrapText="1"/>
      <protection locked="0"/>
    </xf>
    <xf numFmtId="193" fontId="36" fillId="5" borderId="3" xfId="47" applyFont="1" applyFill="1" applyBorder="1" applyAlignment="1" applyProtection="1">
      <alignment horizontal="center" vertical="center" wrapText="1"/>
      <protection locked="0"/>
    </xf>
    <xf numFmtId="193" fontId="36" fillId="5" borderId="6" xfId="46" applyFont="1" applyFill="1" applyBorder="1" applyAlignment="1" applyProtection="1">
      <alignment horizontal="center" vertical="center" wrapText="1"/>
      <protection locked="0"/>
    </xf>
    <xf numFmtId="193" fontId="36" fillId="5" borderId="4" xfId="46" applyFont="1" applyFill="1" applyBorder="1" applyAlignment="1" applyProtection="1">
      <alignment horizontal="center" vertical="center" wrapText="1"/>
      <protection locked="0"/>
    </xf>
    <xf numFmtId="43" fontId="20" fillId="0" borderId="0" xfId="35" applyNumberFormat="1" applyFont="1" applyBorder="1" applyAlignment="1">
      <alignment horizontal="center" vertical="center"/>
    </xf>
    <xf numFmtId="43" fontId="54" fillId="0" borderId="0" xfId="35" applyNumberFormat="1" applyFont="1" applyBorder="1" applyAlignment="1">
      <alignment horizontal="center" vertical="center"/>
    </xf>
    <xf numFmtId="193" fontId="36" fillId="5" borderId="3" xfId="46" applyFont="1" applyFill="1" applyBorder="1" applyAlignment="1" applyProtection="1">
      <alignment horizontal="center" vertical="center" wrapText="1"/>
      <protection locked="0"/>
    </xf>
    <xf numFmtId="193" fontId="36" fillId="5" borderId="7" xfId="46" applyFont="1" applyFill="1" applyBorder="1" applyAlignment="1" applyProtection="1">
      <alignment horizontal="center" vertical="center" wrapText="1"/>
      <protection locked="0"/>
    </xf>
    <xf numFmtId="193" fontId="36" fillId="5" borderId="8" xfId="46" applyFont="1" applyFill="1" applyBorder="1" applyAlignment="1" applyProtection="1">
      <alignment horizontal="center" vertical="center" wrapText="1"/>
      <protection locked="0"/>
    </xf>
    <xf numFmtId="193" fontId="36" fillId="5" borderId="9" xfId="46" applyFont="1" applyFill="1" applyBorder="1" applyAlignment="1" applyProtection="1">
      <alignment horizontal="center" vertical="center" wrapText="1"/>
      <protection locked="0"/>
    </xf>
    <xf numFmtId="193" fontId="36" fillId="8" borderId="7" xfId="46" applyFont="1" applyFill="1" applyBorder="1" applyAlignment="1" applyProtection="1">
      <alignment horizontal="center" vertical="center" wrapText="1"/>
      <protection locked="0"/>
    </xf>
    <xf numFmtId="193" fontId="36" fillId="8" borderId="8" xfId="46" applyFont="1" applyFill="1" applyBorder="1" applyAlignment="1" applyProtection="1">
      <alignment horizontal="center" vertical="center" wrapText="1"/>
      <protection locked="0"/>
    </xf>
    <xf numFmtId="193" fontId="36" fillId="8" borderId="9" xfId="46" applyFont="1" applyFill="1" applyBorder="1" applyAlignment="1" applyProtection="1">
      <alignment horizontal="center" vertical="center" wrapText="1"/>
      <protection locked="0"/>
    </xf>
    <xf numFmtId="0" fontId="20" fillId="0" borderId="0" xfId="32" applyFont="1" applyAlignment="1">
      <alignment horizontal="center" vertical="center"/>
    </xf>
    <xf numFmtId="193" fontId="74" fillId="5" borderId="3" xfId="46" applyFont="1" applyFill="1" applyBorder="1" applyAlignment="1" applyProtection="1">
      <alignment horizontal="center" vertical="center"/>
      <protection locked="0"/>
    </xf>
    <xf numFmtId="0" fontId="54" fillId="0" borderId="0" xfId="32" applyFont="1" applyAlignment="1">
      <alignment horizontal="center" vertical="center"/>
    </xf>
    <xf numFmtId="193" fontId="43" fillId="5" borderId="7" xfId="46" applyFont="1" applyFill="1" applyBorder="1" applyAlignment="1" applyProtection="1">
      <alignment horizontal="center" vertical="center"/>
      <protection locked="0"/>
    </xf>
    <xf numFmtId="193" fontId="43" fillId="5" borderId="8" xfId="46" applyFont="1" applyFill="1" applyBorder="1" applyAlignment="1" applyProtection="1">
      <alignment horizontal="center" vertical="center"/>
      <protection locked="0"/>
    </xf>
    <xf numFmtId="193" fontId="23" fillId="5" borderId="7" xfId="46" applyFont="1" applyFill="1" applyBorder="1" applyAlignment="1" applyProtection="1">
      <alignment horizontal="center" vertical="center"/>
      <protection locked="0"/>
    </xf>
    <xf numFmtId="193" fontId="36" fillId="5" borderId="8" xfId="46" applyFont="1" applyFill="1" applyBorder="1" applyAlignment="1" applyProtection="1">
      <alignment horizontal="center" vertical="center"/>
      <protection locked="0"/>
    </xf>
    <xf numFmtId="193" fontId="36" fillId="5" borderId="9" xfId="46" applyFont="1" applyFill="1" applyBorder="1" applyAlignment="1" applyProtection="1">
      <alignment horizontal="center" vertical="center"/>
      <protection locked="0"/>
    </xf>
    <xf numFmtId="193" fontId="68" fillId="5" borderId="3" xfId="46" applyFont="1" applyFill="1" applyBorder="1" applyAlignment="1" applyProtection="1">
      <alignment horizontal="center" vertical="center"/>
      <protection locked="0"/>
    </xf>
    <xf numFmtId="193" fontId="43" fillId="5" borderId="12" xfId="46" applyFont="1" applyFill="1" applyBorder="1" applyAlignment="1" applyProtection="1">
      <alignment horizontal="center" vertical="center"/>
      <protection locked="0"/>
    </xf>
    <xf numFmtId="193" fontId="43" fillId="5" borderId="13" xfId="46" applyFont="1" applyFill="1" applyBorder="1" applyAlignment="1" applyProtection="1">
      <alignment horizontal="center" vertical="center"/>
      <protection locked="0"/>
    </xf>
    <xf numFmtId="193" fontId="42" fillId="5" borderId="12" xfId="46" applyFont="1" applyFill="1" applyBorder="1" applyAlignment="1" applyProtection="1">
      <alignment horizontal="center" vertical="center"/>
      <protection locked="0"/>
    </xf>
    <xf numFmtId="193" fontId="42" fillId="5" borderId="13" xfId="46" applyFont="1" applyFill="1" applyBorder="1" applyAlignment="1" applyProtection="1">
      <alignment horizontal="center" vertical="center"/>
      <protection locked="0"/>
    </xf>
    <xf numFmtId="193" fontId="42" fillId="5" borderId="3" xfId="46" applyFont="1" applyFill="1" applyBorder="1" applyAlignment="1" applyProtection="1">
      <alignment horizontal="center" vertical="center"/>
      <protection locked="0"/>
    </xf>
    <xf numFmtId="193" fontId="23" fillId="5" borderId="12" xfId="46" applyFont="1" applyFill="1" applyBorder="1" applyAlignment="1" applyProtection="1">
      <alignment horizontal="center" vertical="center" wrapText="1"/>
      <protection locked="0"/>
    </xf>
    <xf numFmtId="193" fontId="23" fillId="5" borderId="14" xfId="46" applyFont="1" applyFill="1" applyBorder="1" applyAlignment="1" applyProtection="1">
      <alignment horizontal="center" vertical="center" wrapText="1"/>
      <protection locked="0"/>
    </xf>
    <xf numFmtId="193" fontId="23" fillId="5" borderId="13" xfId="46" applyFont="1" applyFill="1" applyBorder="1" applyAlignment="1" applyProtection="1">
      <alignment horizontal="center" vertical="center" wrapText="1"/>
      <protection locked="0"/>
    </xf>
    <xf numFmtId="193" fontId="23" fillId="5" borderId="8" xfId="46" applyFont="1" applyFill="1" applyBorder="1" applyAlignment="1" applyProtection="1">
      <alignment horizontal="center" vertical="center"/>
      <protection locked="0"/>
    </xf>
    <xf numFmtId="193" fontId="43" fillId="5" borderId="3" xfId="46" applyFont="1" applyFill="1" applyBorder="1" applyAlignment="1" applyProtection="1">
      <alignment horizontal="center" vertical="center"/>
      <protection locked="0"/>
    </xf>
    <xf numFmtId="193" fontId="68" fillId="5" borderId="12" xfId="46" applyFont="1" applyFill="1" applyBorder="1" applyAlignment="1" applyProtection="1">
      <alignment horizontal="center" vertical="center"/>
      <protection locked="0"/>
    </xf>
    <xf numFmtId="193" fontId="68" fillId="5" borderId="13" xfId="46" applyFont="1" applyFill="1" applyBorder="1" applyAlignment="1" applyProtection="1">
      <alignment horizontal="center" vertical="center"/>
      <protection locked="0"/>
    </xf>
    <xf numFmtId="193" fontId="23" fillId="5" borderId="12" xfId="46" applyFont="1" applyFill="1" applyBorder="1" applyAlignment="1" applyProtection="1">
      <alignment horizontal="center" vertical="center"/>
      <protection locked="0"/>
    </xf>
    <xf numFmtId="193" fontId="36" fillId="5" borderId="13" xfId="46" applyFont="1" applyFill="1" applyBorder="1" applyAlignment="1" applyProtection="1">
      <alignment horizontal="center" vertical="center"/>
      <protection locked="0"/>
    </xf>
    <xf numFmtId="14" fontId="23" fillId="5" borderId="7" xfId="43" applyNumberFormat="1" applyFont="1" applyFill="1" applyBorder="1" applyAlignment="1">
      <alignment horizontal="center" vertical="center"/>
      <protection locked="0"/>
    </xf>
    <xf numFmtId="14" fontId="23" fillId="5" borderId="8" xfId="43" applyNumberFormat="1" applyFont="1" applyFill="1" applyBorder="1" applyAlignment="1">
      <alignment horizontal="center" vertical="center"/>
      <protection locked="0"/>
    </xf>
    <xf numFmtId="14" fontId="23" fillId="5" borderId="9" xfId="43" applyNumberFormat="1" applyFont="1" applyFill="1" applyBorder="1" applyAlignment="1">
      <alignment horizontal="center" vertical="center"/>
      <protection locked="0"/>
    </xf>
    <xf numFmtId="0" fontId="20" fillId="0" borderId="0" xfId="0" applyFont="1" applyAlignment="1">
      <alignment horizontal="center" vertical="center"/>
      <protection locked="0"/>
    </xf>
    <xf numFmtId="0" fontId="23" fillId="9" borderId="12" xfId="43" applyFont="1" applyFill="1" applyBorder="1" applyAlignment="1" applyProtection="1">
      <alignment horizontal="center" vertical="center" wrapText="1"/>
    </xf>
    <xf numFmtId="0" fontId="23" fillId="9" borderId="13" xfId="43" applyFont="1" applyFill="1" applyBorder="1" applyAlignment="1" applyProtection="1">
      <alignment horizontal="center" vertical="center" wrapText="1"/>
    </xf>
    <xf numFmtId="0" fontId="23" fillId="9" borderId="3" xfId="43" applyFont="1" applyFill="1" applyBorder="1" applyAlignment="1" applyProtection="1">
      <alignment horizontal="center" vertical="center" wrapText="1"/>
    </xf>
    <xf numFmtId="0" fontId="23" fillId="5" borderId="3" xfId="52" applyFont="1" applyFill="1" applyBorder="1" applyAlignment="1">
      <alignment horizontal="center" vertical="center"/>
      <protection locked="0"/>
    </xf>
    <xf numFmtId="0" fontId="36" fillId="5" borderId="3" xfId="52" applyFont="1" applyFill="1" applyBorder="1" applyAlignment="1">
      <alignment horizontal="center" vertical="center"/>
      <protection locked="0"/>
    </xf>
    <xf numFmtId="0" fontId="54" fillId="0" borderId="0" xfId="0" applyFont="1" applyAlignment="1">
      <alignment horizontal="center" vertical="center"/>
      <protection locked="0"/>
    </xf>
    <xf numFmtId="0" fontId="23" fillId="5" borderId="3" xfId="43" applyFont="1" applyFill="1" applyBorder="1" applyAlignment="1">
      <alignment horizontal="center" vertical="center"/>
      <protection locked="0"/>
    </xf>
    <xf numFmtId="0" fontId="23" fillId="5" borderId="3" xfId="52" applyFont="1" applyFill="1" applyBorder="1" applyAlignment="1">
      <alignment horizontal="center" vertical="center" wrapText="1"/>
      <protection locked="0"/>
    </xf>
    <xf numFmtId="0" fontId="36" fillId="5" borderId="3" xfId="52" applyFont="1" applyFill="1" applyBorder="1" applyAlignment="1">
      <alignment horizontal="center" vertical="center" wrapText="1"/>
      <protection locked="0"/>
    </xf>
    <xf numFmtId="0" fontId="36" fillId="5" borderId="7" xfId="0" applyFont="1" applyFill="1" applyBorder="1" applyAlignment="1">
      <alignment horizontal="center" vertical="center"/>
      <protection locked="0"/>
    </xf>
    <xf numFmtId="0" fontId="36" fillId="5" borderId="8" xfId="0" applyFont="1" applyFill="1" applyBorder="1" applyAlignment="1">
      <alignment horizontal="center" vertical="center"/>
      <protection locked="0"/>
    </xf>
  </cellXfs>
  <cellStyles count="60">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Black" xfId="11"/>
    <cellStyle name="Border" xfId="12"/>
    <cellStyle name="Comma [0]_1995" xfId="13"/>
    <cellStyle name="Comma_1995" xfId="14"/>
    <cellStyle name="Currency [0]_1995" xfId="15"/>
    <cellStyle name="Currency_1995" xfId="16"/>
    <cellStyle name="Dezimal [0]_laroux" xfId="17"/>
    <cellStyle name="Dezimal_laroux" xfId="18"/>
    <cellStyle name="Euro" xfId="19"/>
    <cellStyle name="Followed Hyperlink_AheadBehind.xls Chart 23" xfId="20"/>
    <cellStyle name="Grey" xfId="21"/>
    <cellStyle name="Hyperlink_AheadBehind.xls Chart 23" xfId="22"/>
    <cellStyle name="Input [yellow]" xfId="23"/>
    <cellStyle name="Milliers [0]_laroux" xfId="24"/>
    <cellStyle name="Milliers_laroux" xfId="25"/>
    <cellStyle name="Non défini" xfId="26"/>
    <cellStyle name="Normal - Style1" xfId="27"/>
    <cellStyle name="Normal_22-Jun EUS Forecasts" xfId="28"/>
    <cellStyle name="Percent [2]" xfId="29"/>
    <cellStyle name="Red" xfId="30"/>
    <cellStyle name="百分比" xfId="31" builtinId="5"/>
    <cellStyle name="百分比 2 2" xfId="55"/>
    <cellStyle name="常规" xfId="0" builtinId="0"/>
    <cellStyle name="常规 11 5" xfId="59"/>
    <cellStyle name="常规 2" xfId="43"/>
    <cellStyle name="常规 2 2" xfId="52"/>
    <cellStyle name="常规 3" xfId="47"/>
    <cellStyle name="常规 3 2" xfId="50"/>
    <cellStyle name="常规 4" xfId="46"/>
    <cellStyle name="常规 4 2" xfId="53"/>
    <cellStyle name="常规 5" xfId="49"/>
    <cellStyle name="常规 6" xfId="57"/>
    <cellStyle name="常规 7" xfId="56"/>
    <cellStyle name="常规 7 2" xfId="58"/>
    <cellStyle name="常规_Book1" xfId="32"/>
    <cellStyle name="常规_Book1 2" xfId="48"/>
    <cellStyle name="常规_c-资产类" xfId="33"/>
    <cellStyle name="常规_进一步审计程序--销售与收款循环" xfId="34"/>
    <cellStyle name="常规_新审定表" xfId="35"/>
    <cellStyle name="常规_制造费用" xfId="44"/>
    <cellStyle name="超链接" xfId="36" builtinId="8"/>
    <cellStyle name="超链接 2" xfId="54"/>
    <cellStyle name="货币[0]_Sheet5" xfId="45"/>
    <cellStyle name="普通_ 外G9(3)" xfId="37"/>
    <cellStyle name="千分位[0]_宁波" xfId="38"/>
    <cellStyle name="千分位_宁波" xfId="39"/>
    <cellStyle name="千位[0]_laroux" xfId="40"/>
    <cellStyle name="千位_laroux" xfId="41"/>
    <cellStyle name="千位分隔" xfId="42" builtinId="3"/>
    <cellStyle name="千位分隔 2 4" xfId="51"/>
  </cellStyles>
  <dxfs count="0"/>
  <tableStyles count="0" defaultTableStyle="TableStyleMedium9" defaultPivotStyle="PivotStyleLight16"/>
  <colors>
    <mruColors>
      <color rgb="FFE4DFE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PTC"/>
      <sheetName val="Stock turnove_x0002_"/>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折旧测试2007"/>
      <sheetName val="剥离前"/>
      <sheetName val="Stock turnove_x005f_x0002_"/>
      <sheetName val="中山低值"/>
      <sheetName val="YS02-02"/>
      <sheetName val="主营业务税金及附加Dy"/>
      <sheetName val="应收账款Dy"/>
      <sheetName val="original"/>
      <sheetName val="C_301"/>
      <sheetName val="C_311"/>
      <sheetName val="C_318"/>
      <sheetName val="Sheet1"/>
      <sheetName val="目錄"/>
      <sheetName val="税金汇总"/>
      <sheetName val="1-6yue"/>
      <sheetName val="Worksheet in 8240 COS breakdown"/>
      <sheetName val="余额表"/>
      <sheetName val="09差异分摊计算表"/>
      <sheetName val="08差异分摊计算表"/>
      <sheetName val="材料差异"/>
      <sheetName val="收入明细－按客户"/>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XL4Poppy"/>
      <sheetName val="凤县折旧测算"/>
      <sheetName val="BALANCE SHEET"/>
      <sheetName val="FA-2"/>
      <sheetName val="7-11销售"/>
      <sheetName val="制造费用"/>
      <sheetName val="关联交易-存款"/>
      <sheetName val="报表科目"/>
      <sheetName val="应收账款贷方余额表"/>
      <sheetName val="应收账款借方余额表"/>
      <sheetName val="应收账款余额表"/>
      <sheetName val="试算"/>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E"/>
      <sheetName val="IS"/>
      <sheetName val="Customize Your Loan Manager"/>
      <sheetName val="初始设定"/>
      <sheetName val="内销收人"/>
      <sheetName val="校验"/>
      <sheetName val="原报表"/>
      <sheetName val="上年审前调整"/>
      <sheetName val="上年审前试算表"/>
      <sheetName val="本年审前调整"/>
      <sheetName val="本年审前试算表"/>
      <sheetName val="审前报表"/>
      <sheetName val="2006TB"/>
      <sheetName val="银行列表"/>
      <sheetName val="报表11"/>
      <sheetName val="折旧测算表"/>
      <sheetName val="母公司TB"/>
      <sheetName val="Chart of Account"/>
      <sheetName val="清单"/>
      <sheetName val="关联方_物流集团"/>
      <sheetName val="存货_生产成本Dy"/>
      <sheetName val="主营业务成本mx"/>
      <sheetName val="注释补充表1"/>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799"/>
      <sheetName val="应收账款明细分类账2019"/>
      <sheetName val="20年销售出库"/>
      <sheetName val="6.6-存货-制造费用明细表"/>
      <sheetName val="核算项目组合表"/>
      <sheetName val="全部预算"/>
      <sheetName val="A3 &amp; U 09-01"/>
      <sheetName val="公司名称一览表"/>
      <sheetName val="UFPrn20210115161842"/>
      <sheetName val="单位往来"/>
      <sheetName val="投资保证金"/>
      <sheetName val="2019—库存商品库龄"/>
      <sheetName val="2018年报表"/>
      <sheetName val="预期信用损失的计量测试D2-14（20201231）"/>
      <sheetName val="鼎信诺字典表"/>
      <sheetName val="现金流量表(未审)"/>
      <sheetName val="偿债力分析"/>
      <sheetName val="应收帐款询证函"/>
      <sheetName val="Final"/>
      <sheetName val="JA#1"/>
      <sheetName val="JA#2&amp;5"/>
      <sheetName val="Stock_turnove_x005f_x005f_x005f_x005f_x005f"/>
      <sheetName val="合并"/>
      <sheetName val="dm"/>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订"/>
      <sheetName val="2-R1619"/>
      <sheetName val="研发项目"/>
      <sheetName val="资金计划项目说明"/>
      <sheetName val="database"/>
      <sheetName val="원단위"/>
      <sheetName val="类型设置"/>
      <sheetName val="往来"/>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原材料&amp;存货跌价 list"/>
      <sheetName val="生产成本list"/>
      <sheetName val="2009.12.31日完工比例"/>
      <sheetName val="2011.12.31完工比例"/>
      <sheetName val="2010.06.30完工比例"/>
      <sheetName val="库存明细2011"/>
      <sheetName val="在途"/>
      <sheetName val="其他业务利润"/>
      <sheetName val="其他材料收入重复"/>
      <sheetName val="其他材料收入账"/>
      <sheetName val="预收"/>
      <sheetName val="F1"/>
      <sheetName val="销售费用"/>
      <sheetName val="截止测试-入库G2-7-1"/>
      <sheetName val="TB试算表_本年"/>
      <sheetName val="院级设计"/>
      <sheetName val="银行存款明细表"/>
      <sheetName val="人员支出"/>
      <sheetName val="农业用地"/>
      <sheetName val="2002年一般预算收入"/>
      <sheetName val="RYRPADTN"/>
      <sheetName val="2019收入成本（未审）"/>
      <sheetName val="2019年6月-2020年5月项目收入成本一览"/>
      <sheetName val="TB-公证天业"/>
      <sheetName val="BKD-氢能"/>
      <sheetName val="2045020001"/>
      <sheetName val="schedule"/>
      <sheetName val="2008 SPL"/>
      <sheetName val="TargetReports"/>
      <sheetName val="KIINAS"/>
      <sheetName val="BW_FAELI"/>
      <sheetName val="（27）实收资本"/>
      <sheetName val="面积指标"/>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设备部房屋"/>
      <sheetName val="表六 "/>
      <sheetName val="A41-2折旧测试"/>
      <sheetName val="披露表（上市）"/>
      <sheetName val="P-7 CF Fed"/>
      <sheetName val="应收-全"/>
      <sheetName val="二月"/>
      <sheetName val="2011调整分录"/>
      <sheetName val="B7-2-1应付账款余额表"/>
      <sheetName val="一级"/>
      <sheetName val="2003本部资产负债试算表"/>
      <sheetName val="2003本部利润及利润分配表试算表"/>
      <sheetName val="tra-vat-lieu"/>
      <sheetName val="威海汉邦"/>
      <sheetName val="dtct cong"/>
      <sheetName val="数据源-勿动"/>
      <sheetName val="BPR"/>
      <sheetName val="2015PPE"/>
      <sheetName val="资产负债表-母"/>
      <sheetName val="Sheet668"/>
      <sheetName val="USD Data input"/>
      <sheetName val="附表2"/>
      <sheetName val="在制"/>
      <sheetName val="22"/>
      <sheetName val="M 67"/>
      <sheetName val="福利费1"/>
      <sheetName val="整理"/>
      <sheetName val="RawData"/>
      <sheetName val="1－5月余额表"/>
      <sheetName val="1－10月余额表"/>
      <sheetName val="数量金额明细账"/>
      <sheetName val="Jumei"/>
      <sheetName val="SW"/>
      <sheetName val="JDMCode"/>
      <sheetName val="PanelInfo"/>
      <sheetName val="2.1 PS估值分析-上市公司"/>
      <sheetName val="3111"/>
      <sheetName val="3113"/>
      <sheetName val="_8013"/>
      <sheetName val="序时帐"/>
      <sheetName val="Common Assumptions"/>
      <sheetName val="4528"/>
      <sheetName val="有效性"/>
      <sheetName val="Bid_Details"/>
      <sheetName val="BW系统 原稿"/>
      <sheetName val="营业费用02"/>
      <sheetName val="Provision list"/>
      <sheetName val="现金流分录汇总"/>
      <sheetName val="递延所得税资产Dy"/>
      <sheetName val="产能统计（2014）"/>
      <sheetName val="审定_资产负债表"/>
      <sheetName val="未审_资产负债表"/>
      <sheetName val="C1"/>
      <sheetName val="科目代码表"/>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A180-10"/>
      <sheetName val="填制说明"/>
      <sheetName val="科目2015"/>
      <sheetName val="2018"/>
      <sheetName val="应交税费审定表"/>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F01-A (2)"/>
      <sheetName val="固定资产、累计折旧、减值准备明细表"/>
      <sheetName val="现金流量1-10月"/>
      <sheetName val="10月"/>
      <sheetName val="2月"/>
      <sheetName val="3月"/>
      <sheetName val="4月"/>
      <sheetName val="7月"/>
      <sheetName val="8月"/>
      <sheetName val="9月"/>
      <sheetName val="敏感参数"/>
      <sheetName val="1 项目情况"/>
      <sheetName val="1 项目利润表(PS)"/>
      <sheetName val="3 损益推导"/>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mvt"/>
      <sheetName val="支出项目对应现金流项目"/>
      <sheetName val="UFPrn2003其他"/>
      <sheetName val="sales"/>
      <sheetName val="数据源"/>
      <sheetName val="审计工作底稿目录"/>
      <sheetName val="面料"/>
      <sheetName val="辅料"/>
      <sheetName val="燃料"/>
      <sheetName val="预收帐款"/>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01 Balance Sheet资产负债表"/>
      <sheetName val="PY-pp"/>
      <sheetName val="Sheet761"/>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profit2 (2)"/>
      <sheetName val="351B发出商品明细-不打印"/>
      <sheetName val="351A发出商品测试"/>
      <sheetName val="3402存货导引表"/>
      <sheetName val="3月生产成本凭证"/>
      <sheetName val="能耗计算 OK "/>
      <sheetName val="应付帐款余额表"/>
      <sheetName val="或有事项"/>
      <sheetName val="关联方交易"/>
      <sheetName val="其他综合收益"/>
      <sheetName val="审定表M4"/>
      <sheetName val="FIN48 TP Doc"/>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frm销售合同-Sub"/>
      <sheetName val="服务部待报废"/>
      <sheetName val="VAS TB"/>
    </sheetNames>
    <sheetDataSet>
      <sheetData sheetId="0"/>
      <sheetData sheetId="1" refreshError="1"/>
      <sheetData sheetId="2"/>
      <sheetData sheetId="3"/>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表头"/>
      <sheetName val="PTC"/>
      <sheetName val="资产负债表"/>
      <sheetName val="YS02-02"/>
      <sheetName val="P12 TB SZ"/>
      <sheetName val="B"/>
      <sheetName val="coding"/>
      <sheetName val="基础数据"/>
      <sheetName val="三兴2"/>
      <sheetName val="Toolbox"/>
      <sheetName val="Appendix"/>
      <sheetName val="PRC BS"/>
      <sheetName val="完"/>
      <sheetName val="인사현황(부서)"/>
      <sheetName val="Cover"/>
      <sheetName val="营业费用测试"/>
      <sheetName val="KKKKKKKK"/>
      <sheetName val="管理费用(集团董事会)"/>
      <sheetName val="C_301"/>
      <sheetName val="C_311"/>
      <sheetName val="C_318"/>
      <sheetName val="Sheet1"/>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Marco"/>
      <sheetName val="Customize Your Loan Manager"/>
      <sheetName val="Group"/>
      <sheetName val="预收账款明细表D3-2"/>
      <sheetName val="J"/>
      <sheetName val="C - Cash and Bank"/>
      <sheetName val="A300"/>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初始设定"/>
      <sheetName val="报表11"/>
      <sheetName val="其它业务收入分类"/>
      <sheetName val="壓摸穿燈"/>
      <sheetName val="Rate"/>
      <sheetName val="校验"/>
      <sheetName val="原报表"/>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Cashbook"/>
      <sheetName val="现调整"/>
      <sheetName val="（附表2）固定资产处理情况表"/>
      <sheetName val="科余表"/>
      <sheetName val="资产负债表利润及利润分配表"/>
      <sheetName val="期初应付帐款明细表G4-2 "/>
      <sheetName val="操作页"/>
      <sheetName val="核算项目组合表"/>
      <sheetName val="科目"/>
      <sheetName val="公司名称一览表"/>
      <sheetName val="其他应付款明细表M4-2 21"/>
      <sheetName val="其他应付款明细表M4-2 20"/>
      <sheetName val="2020年调整分录"/>
      <sheetName val="2019年调整分录 "/>
      <sheetName val="投资性房地产Dy"/>
      <sheetName val="表5_2_3固定资产—电子设备"/>
      <sheetName val="0609"/>
      <sheetName val="发出商品替代"/>
      <sheetName val="2007.11PPR管件单件测算"/>
      <sheetName val="清冊"/>
      <sheetName val="JA"/>
      <sheetName val="坏账准备_预付账款Dy"/>
      <sheetName val="Dis."/>
      <sheetName val="账户汇总表_2017年1月至12月_"/>
      <sheetName val="应收账款明细表"/>
      <sheetName val="Income tax reconciliation"/>
      <sheetName val="销项税"/>
      <sheetName val="十一、消耗性生物资产G2-2-11"/>
      <sheetName val="应付账款 (2)"/>
      <sheetName val="累计1"/>
      <sheetName val="FIRE Parameters"/>
      <sheetName val="应付(单位)关注"/>
      <sheetName val="员工工资"/>
      <sheetName val="Permit"/>
      <sheetName val="瓶差"/>
      <sheetName val="本期毛利"/>
      <sheetName val="余额表数量"/>
      <sheetName val="_Profile"/>
      <sheetName val="无形资产"/>
      <sheetName val="长期待摊费用"/>
      <sheetName val="应交税金"/>
      <sheetName val="BKD-氢能"/>
      <sheetName val="for disclosure"/>
      <sheetName val="Final"/>
      <sheetName val="2008 SPL"/>
      <sheetName val="OB97LST"/>
      <sheetName val="WIP(For Nick)"/>
      <sheetName val="Admin"/>
      <sheetName val="WO CONV"/>
      <sheetName val="ACTINV"/>
      <sheetName val="N3 PBT"/>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科目余额表正式"/>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披露表（上市）"/>
      <sheetName val="Namelist"/>
      <sheetName val="固资明细"/>
      <sheetName val="日照"/>
      <sheetName val="德州"/>
      <sheetName val="滨州"/>
      <sheetName val="淄博"/>
      <sheetName val="大鲁"/>
      <sheetName val="威海"/>
      <sheetName val="山东省互联网传媒集团应收账款（账龄统计）统计数据"/>
      <sheetName val="张淑东"/>
      <sheetName val="Master Data"/>
      <sheetName val="一级"/>
      <sheetName val="办公设备"/>
      <sheetName val="会计分录序时簿_2"/>
      <sheetName val="表1.5"/>
      <sheetName val="Sheet116"/>
      <sheetName val="Sheet140"/>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设备部房屋"/>
      <sheetName val="definition"/>
      <sheetName val="SW"/>
      <sheetName val="JDMCode"/>
      <sheetName val="PanelInfo"/>
      <sheetName val="00 FG breakdown"/>
      <sheetName val="01 FG breakdown"/>
      <sheetName val="99 FG breakdown"/>
      <sheetName val="电动车间"/>
      <sheetName val="5132"/>
      <sheetName val="会计科目"/>
      <sheetName val="Detail P&amp;L"/>
      <sheetName val="审计程序"/>
      <sheetName val="披露表(上市)-2016"/>
      <sheetName val="替代结果汇总表"/>
      <sheetName val="审定_资产负债表"/>
      <sheetName val="未审_资产负债表"/>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07TB"/>
      <sheetName val="AR Breakdown&amp;Aging"/>
      <sheetName val="AP Breakdown &amp; Aging"/>
      <sheetName val="测算表"/>
      <sheetName val="A140-10"/>
      <sheetName val="数据源"/>
      <sheetName val="画底稿使用"/>
      <sheetName val="调整后报表"/>
      <sheetName val="收入成本审定表D4试剂"/>
      <sheetName val="审计说明M4-0"/>
      <sheetName val="库存商品库龄分析G2-3-3"/>
      <sheetName val="固定资产、累计折旧、减值准备明细表"/>
      <sheetName val="现金流量1-10月"/>
      <sheetName val="基础资料（B）"/>
      <sheetName val="Tfc&amp;toll asmptns"/>
      <sheetName val="G1-1-1a AR-85A"/>
      <sheetName val="浙江道之-机器设备"/>
      <sheetName val="Dates"/>
      <sheetName val="Sheet113"/>
      <sheetName val="合并TB-19年"/>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能耗计算 OK "/>
      <sheetName val="Acc1"/>
      <sheetName val="基本情况"/>
      <sheetName val="上市1"/>
      <sheetName val="上市2"/>
      <sheetName val="上市3"/>
      <sheetName val="上市4"/>
      <sheetName val="上市5"/>
      <sheetName val="上市6"/>
      <sheetName val="上市7"/>
      <sheetName val="上市8"/>
      <sheetName val="上市9"/>
      <sheetName val="accode"/>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 val="Sheet120"/>
    </sheetNames>
    <sheetDataSet>
      <sheetData sheetId="0"/>
      <sheetData sheetId="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sheetData sheetId="1071"/>
      <sheetData sheetId="1072"/>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sheetData sheetId="1245" refreshError="1"/>
      <sheetData sheetId="1246" refreshError="1"/>
      <sheetData sheetId="1247" refreshError="1"/>
      <sheetData sheetId="1248" refreshError="1"/>
      <sheetData sheetId="1249"/>
      <sheetData sheetId="1250" refreshError="1"/>
      <sheetData sheetId="1251" refreshError="1"/>
      <sheetData sheetId="1252" refreshError="1"/>
      <sheetData sheetId="1253" refreshError="1"/>
      <sheetData sheetId="1254" refreshError="1"/>
      <sheetData sheetId="1255"/>
      <sheetData sheetId="1256" refreshError="1"/>
      <sheetData sheetId="1257" refreshError="1"/>
      <sheetData sheetId="1258" refreshError="1"/>
      <sheetData sheetId="1259" refreshError="1"/>
      <sheetData sheetId="1260" refreshError="1"/>
      <sheetData sheetId="126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sheetData sheetId="1315"/>
      <sheetData sheetId="1316"/>
      <sheetData sheetId="1317" refreshError="1"/>
      <sheetData sheetId="1318"/>
      <sheetData sheetId="1319"/>
      <sheetData sheetId="1320"/>
      <sheetData sheetId="1321"/>
      <sheetData sheetId="1322"/>
      <sheetData sheetId="1323"/>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sheetData sheetId="1412"/>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sheetData sheetId="170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企业表一"/>
      <sheetName val="M-5C"/>
      <sheetName val="M-5A"/>
      <sheetName val="资产负债表"/>
      <sheetName val="数量金额总账"/>
      <sheetName val="设备部房屋"/>
      <sheetName val="核算项目余额表"/>
      <sheetName val="完"/>
      <sheetName val="W"/>
      <sheetName val="2004"/>
      <sheetName val="B"/>
      <sheetName val="表头"/>
      <sheetName val="PER SALES ORG"/>
      <sheetName val="1月"/>
      <sheetName val="SW-TEO"/>
      <sheetName val="Detailed Testing"/>
      <sheetName val="银行借款询证"/>
      <sheetName val="余额表"/>
      <sheetName val="本期报表"/>
      <sheetName val="breakdown"/>
      <sheetName val="盈余公积 （合并)"/>
      <sheetName val="Toolbox"/>
      <sheetName val="eqpmad2"/>
      <sheetName val="提足折旧"/>
      <sheetName val="DATA"/>
      <sheetName val="委托加工材料"/>
      <sheetName val="材料采购-入库"/>
      <sheetName val="原材料－其他"/>
      <sheetName val="材料成本差异－运费等"/>
      <sheetName val="邻酮定乙酚发出测试"/>
      <sheetName val="管理费用(集团董事会)"/>
      <sheetName val="Sheet1"/>
      <sheetName val="FS"/>
      <sheetName val="gl"/>
      <sheetName val="Adm"/>
      <sheetName val="sell"/>
      <sheetName val="Fin"/>
      <sheetName val="Erection"/>
      <sheetName val="剥离前"/>
      <sheetName val="XL4Poppy"/>
      <sheetName val="08"/>
      <sheetName val="02"/>
      <sheetName val="03"/>
      <sheetName val="04"/>
      <sheetName val="05"/>
      <sheetName val="06"/>
      <sheetName val="07"/>
      <sheetName val="10"/>
      <sheetName val="09"/>
      <sheetName val="UFPrn20031114182129"/>
      <sheetName val="订单418"/>
      <sheetName val="Collateral"/>
      <sheetName val="Disposition"/>
      <sheetName val="Validation"/>
      <sheetName val="35.1租赁明细"/>
      <sheetName val="中山低值"/>
      <sheetName val="分产品销售收入、成本分析表"/>
      <sheetName val="E1020"/>
      <sheetName val="1月固定资产清单"/>
      <sheetName val="关联方—创斯达"/>
      <sheetName val="关联方—东风汽车"/>
      <sheetName val="ZH1-4其他应收款个别认定"/>
      <sheetName val="ZH1-3应收账款个别认定"/>
      <sheetName val="各单位目标指标"/>
      <sheetName val="新城资金明细"/>
      <sheetName val="申鑫大厦租金明细"/>
      <sheetName val="三林明细"/>
      <sheetName val="东陆明细"/>
      <sheetName val="4-货币资金-现金"/>
      <sheetName val="基础信息"/>
      <sheetName val="XREF"/>
      <sheetName val="A430"/>
      <sheetName val="货币资金审定表"/>
      <sheetName val="balance"/>
      <sheetName val="PRC-BS-SZ"/>
      <sheetName val="A1"/>
      <sheetName val="账面外销"/>
      <sheetName val="销售费用Dy"/>
      <sheetName val="细节测试审计抽样"/>
      <sheetName val="YS02-02"/>
      <sheetName val="短期借款Dy"/>
      <sheetName val="采购订单3名"/>
      <sheetName val="P12 TB SZ"/>
      <sheetName val="选择报表"/>
      <sheetName val="CF附注"/>
      <sheetName val="试算平衡表"/>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科目余额表"/>
      <sheetName val="凭证抽查表 "/>
      <sheetName val="资产减值损失审核表"/>
      <sheetName val="坯布"/>
      <sheetName val="材料"/>
      <sheetName val="外销"/>
      <sheetName val="Summary"/>
      <sheetName val="dghn"/>
      <sheetName val="报表项目"/>
      <sheetName val="01"/>
      <sheetName val="010"/>
      <sheetName val="011"/>
      <sheetName val="012"/>
      <sheetName val="表头（请先填写）"/>
      <sheetName val="调整分录汇总表"/>
      <sheetName val="明细表（账龄）D2-2"/>
      <sheetName val="其他应付款科目余额2005.12.31"/>
      <sheetName val="期末应付帐款明细表"/>
      <sheetName val="期初应付帐款明细表"/>
    </sheetNames>
    <sheetDataSet>
      <sheetData sheetId="0">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0"/>
  <sheetViews>
    <sheetView tabSelected="1" workbookViewId="0"/>
  </sheetViews>
  <sheetFormatPr defaultRowHeight="20.100000000000001" customHeight="1"/>
  <cols>
    <col min="1" max="1" width="77.59765625" style="12" customWidth="1"/>
    <col min="2" max="2" width="2" style="12" customWidth="1"/>
    <col min="3" max="3" width="2.09765625" style="12" customWidth="1"/>
    <col min="4" max="4" width="6.09765625" style="12" customWidth="1"/>
    <col min="5" max="5" width="22.8984375" style="12" customWidth="1"/>
    <col min="6" max="6" width="9.59765625" style="179" customWidth="1"/>
  </cols>
  <sheetData>
    <row r="1" spans="1:8" s="5" customFormat="1" ht="20.100000000000001" customHeight="1">
      <c r="A1" s="4" t="s">
        <v>1</v>
      </c>
      <c r="B1" s="8"/>
      <c r="C1" s="8"/>
      <c r="D1" s="9"/>
      <c r="E1" s="9"/>
      <c r="F1" s="11"/>
    </row>
    <row r="2" spans="1:8" ht="20.100000000000001" customHeight="1">
      <c r="A2" s="3" t="s">
        <v>243</v>
      </c>
      <c r="B2" s="10"/>
      <c r="C2" s="10"/>
      <c r="D2" s="11"/>
      <c r="E2" s="11"/>
      <c r="F2" s="11"/>
      <c r="G2" s="1"/>
      <c r="H2" s="1"/>
    </row>
    <row r="3" spans="1:8" ht="20.100000000000001" customHeight="1">
      <c r="A3" s="195" t="s">
        <v>254</v>
      </c>
      <c r="B3" s="10"/>
      <c r="C3" s="10"/>
      <c r="D3" s="76" t="s">
        <v>75</v>
      </c>
      <c r="E3" s="76" t="s">
        <v>38</v>
      </c>
      <c r="F3" s="76" t="s">
        <v>76</v>
      </c>
      <c r="G3" s="76" t="s">
        <v>77</v>
      </c>
      <c r="H3" s="2"/>
    </row>
    <row r="4" spans="1:8" ht="20.100000000000001" customHeight="1">
      <c r="A4" s="3" t="s">
        <v>247</v>
      </c>
      <c r="B4" s="10"/>
      <c r="C4" s="10"/>
      <c r="D4" s="76">
        <v>1</v>
      </c>
      <c r="E4" s="184" t="s">
        <v>137</v>
      </c>
      <c r="F4" s="177" t="s">
        <v>128</v>
      </c>
      <c r="G4" s="77"/>
      <c r="H4" s="2"/>
    </row>
    <row r="5" spans="1:8" ht="20.100000000000001" customHeight="1">
      <c r="A5" s="3" t="s">
        <v>244</v>
      </c>
      <c r="D5" s="76">
        <v>2</v>
      </c>
      <c r="E5" s="184" t="s">
        <v>138</v>
      </c>
      <c r="F5" s="177" t="s">
        <v>141</v>
      </c>
      <c r="G5" s="77"/>
      <c r="H5" s="13"/>
    </row>
    <row r="6" spans="1:8" ht="20.100000000000001" customHeight="1">
      <c r="A6" s="3" t="s">
        <v>245</v>
      </c>
      <c r="D6" s="76">
        <v>3</v>
      </c>
      <c r="E6" s="184" t="s">
        <v>139</v>
      </c>
      <c r="F6" s="177"/>
      <c r="G6" s="77"/>
      <c r="H6" s="142" t="s">
        <v>142</v>
      </c>
    </row>
    <row r="7" spans="1:8" ht="20.100000000000001" customHeight="1">
      <c r="A7" s="3" t="s">
        <v>246</v>
      </c>
      <c r="D7" s="76">
        <v>4</v>
      </c>
      <c r="E7" s="184" t="s">
        <v>140</v>
      </c>
      <c r="F7" s="177"/>
      <c r="G7" s="77"/>
      <c r="H7" s="142" t="s">
        <v>142</v>
      </c>
    </row>
    <row r="8" spans="1:8" ht="20.100000000000001" customHeight="1">
      <c r="A8" s="14"/>
      <c r="D8" s="76">
        <v>5</v>
      </c>
      <c r="E8" s="184" t="s">
        <v>78</v>
      </c>
      <c r="F8" s="177" t="s">
        <v>129</v>
      </c>
      <c r="G8" s="77"/>
    </row>
    <row r="9" spans="1:8" ht="20.100000000000001" customHeight="1">
      <c r="A9" s="194" t="s">
        <v>255</v>
      </c>
      <c r="D9" s="76">
        <v>6</v>
      </c>
      <c r="E9" s="184" t="s">
        <v>120</v>
      </c>
      <c r="F9" s="177" t="s">
        <v>130</v>
      </c>
      <c r="G9" s="77"/>
    </row>
    <row r="10" spans="1:8" ht="20.100000000000001" customHeight="1">
      <c r="A10" s="209" t="s">
        <v>256</v>
      </c>
      <c r="D10" s="76">
        <v>7</v>
      </c>
      <c r="E10" s="184" t="s">
        <v>72</v>
      </c>
      <c r="F10" s="177" t="s">
        <v>131</v>
      </c>
      <c r="G10" s="77"/>
    </row>
    <row r="11" spans="1:8" ht="20.100000000000001" customHeight="1">
      <c r="A11" s="209"/>
      <c r="D11" s="76">
        <v>8</v>
      </c>
      <c r="E11" s="184" t="s">
        <v>228</v>
      </c>
      <c r="F11" s="177" t="s">
        <v>136</v>
      </c>
      <c r="G11" s="77"/>
    </row>
    <row r="12" spans="1:8" ht="20.100000000000001" customHeight="1">
      <c r="A12" s="209"/>
      <c r="E12" s="78"/>
      <c r="F12" s="178"/>
    </row>
    <row r="13" spans="1:8" ht="20.100000000000001" customHeight="1">
      <c r="A13" s="209"/>
      <c r="F13" s="178"/>
    </row>
    <row r="14" spans="1:8" ht="20.100000000000001" customHeight="1">
      <c r="A14" s="209" t="s">
        <v>257</v>
      </c>
    </row>
    <row r="15" spans="1:8" ht="20.100000000000001" customHeight="1">
      <c r="A15" s="209"/>
      <c r="F15" s="178"/>
    </row>
    <row r="16" spans="1:8" ht="20.100000000000001" customHeight="1">
      <c r="A16" s="209"/>
      <c r="F16" s="178"/>
    </row>
    <row r="17" spans="1:1" ht="20.100000000000001" customHeight="1">
      <c r="A17" s="210" t="s">
        <v>258</v>
      </c>
    </row>
    <row r="18" spans="1:1" ht="35.25" customHeight="1">
      <c r="A18" s="210"/>
    </row>
    <row r="19" spans="1:1" ht="15.6">
      <c r="A19" s="210"/>
    </row>
    <row r="20" spans="1:1" ht="20.100000000000001" customHeight="1">
      <c r="A20" s="15"/>
    </row>
  </sheetData>
  <mergeCells count="3">
    <mergeCell ref="A10:A13"/>
    <mergeCell ref="A14:A16"/>
    <mergeCell ref="A17:A19"/>
  </mergeCells>
  <phoneticPr fontId="49" type="noConversion"/>
  <hyperlinks>
    <hyperlink ref="E6" location="'附注披露信息（上市公司）'!A1" display="附注披露信息(上市公司)"/>
    <hyperlink ref="E7" location="'附注披露信息（国有企业）'!A1" display="附注披露信息(国企)"/>
    <hyperlink ref="E8" location="'明细表M5-2'!A1" display="明细表"/>
    <hyperlink ref="E10" location="'盈余公积计提检查表M5-4'!A1" display="盈余公积计提检查表"/>
    <hyperlink ref="E11" location="'针对性测试M5-5'!A1" display="针对性测试表"/>
    <hyperlink ref="E5" location="'审定表M5-1'!A1" display="审定表"/>
    <hyperlink ref="E4" location="'盈余公积实质性程序表 M5A'!A1" display="盈余公积实质性程序表"/>
    <hyperlink ref="E9" location="'调整分录汇总M5-3'!A1" display="调整分录汇总"/>
  </hyperlink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24"/>
  <sheetViews>
    <sheetView view="pageBreakPreview" zoomScaleNormal="110" zoomScaleSheetLayoutView="100" workbookViewId="0">
      <selection sqref="A1:I1"/>
    </sheetView>
  </sheetViews>
  <sheetFormatPr defaultColWidth="9" defaultRowHeight="13.8"/>
  <cols>
    <col min="1" max="1" width="5.3984375" style="93" customWidth="1"/>
    <col min="2" max="2" width="58.69921875" style="93" customWidth="1"/>
    <col min="3" max="3" width="10.8984375" style="93" customWidth="1"/>
    <col min="4" max="4" width="5.19921875" style="100" customWidth="1"/>
    <col min="5" max="5" width="6.09765625" style="93" customWidth="1"/>
    <col min="6" max="6" width="7.19921875" style="93" customWidth="1"/>
    <col min="7" max="7" width="7.59765625" style="93" customWidth="1"/>
    <col min="8" max="8" width="5.8984375" style="93" customWidth="1"/>
    <col min="9" max="9" width="6.796875" style="93" customWidth="1"/>
    <col min="10" max="10" width="65.69921875" style="92" customWidth="1"/>
    <col min="11" max="11" width="14.69921875" style="92" customWidth="1"/>
    <col min="12" max="16384" width="9" style="93"/>
  </cols>
  <sheetData>
    <row r="1" spans="1:12" ht="19.95" customHeight="1">
      <c r="A1" s="211" t="s">
        <v>39</v>
      </c>
      <c r="B1" s="211"/>
      <c r="C1" s="211"/>
      <c r="D1" s="211"/>
      <c r="E1" s="211"/>
      <c r="F1" s="211"/>
      <c r="G1" s="211"/>
      <c r="H1" s="211"/>
      <c r="I1" s="211"/>
    </row>
    <row r="2" spans="1:12" ht="19.95" customHeight="1">
      <c r="A2" s="212" t="s">
        <v>220</v>
      </c>
      <c r="B2" s="212"/>
      <c r="C2" s="212"/>
      <c r="D2" s="212"/>
      <c r="E2" s="212"/>
      <c r="F2" s="212"/>
      <c r="G2" s="212"/>
      <c r="H2" s="212"/>
      <c r="I2" s="212"/>
    </row>
    <row r="3" spans="1:12" ht="19.95" customHeight="1">
      <c r="A3" s="94" t="str">
        <f>底稿目录!A2</f>
        <v>被审计单位：</v>
      </c>
      <c r="B3" s="94"/>
      <c r="C3" s="95" t="str">
        <f>底稿目录!A4</f>
        <v>编制人：</v>
      </c>
      <c r="E3" s="94" t="str">
        <f>底稿目录!A5</f>
        <v>编制日期：</v>
      </c>
      <c r="G3" s="94"/>
      <c r="H3" s="94" t="s">
        <v>112</v>
      </c>
      <c r="I3" s="185" t="str">
        <f>底稿目录!F4</f>
        <v>M5A</v>
      </c>
    </row>
    <row r="4" spans="1:12" ht="19.95" customHeight="1">
      <c r="A4" s="94" t="str">
        <f>底稿目录!A3</f>
        <v>截止日：202X年12月31日</v>
      </c>
      <c r="B4" s="94"/>
      <c r="C4" s="95" t="str">
        <f>底稿目录!A6</f>
        <v>复核人：</v>
      </c>
      <c r="E4" s="94" t="str">
        <f>底稿目录!A7</f>
        <v>复核日期：</v>
      </c>
      <c r="G4" s="94"/>
      <c r="H4" s="94" t="s">
        <v>148</v>
      </c>
      <c r="I4" s="97"/>
    </row>
    <row r="5" spans="1:12" ht="19.95" customHeight="1">
      <c r="A5" s="213" t="s">
        <v>113</v>
      </c>
      <c r="B5" s="213"/>
      <c r="C5" s="94"/>
      <c r="D5" s="96"/>
      <c r="E5" s="94"/>
      <c r="F5" s="94"/>
      <c r="G5" s="94"/>
      <c r="H5" s="94"/>
      <c r="I5" s="94"/>
    </row>
    <row r="6" spans="1:12" ht="19.95" customHeight="1">
      <c r="A6" s="147" t="s">
        <v>149</v>
      </c>
      <c r="C6" s="94"/>
      <c r="D6" s="96"/>
      <c r="E6" s="94"/>
      <c r="F6" s="94"/>
      <c r="G6" s="94"/>
      <c r="H6" s="94"/>
      <c r="I6" s="94"/>
    </row>
    <row r="7" spans="1:12" ht="19.95" customHeight="1">
      <c r="A7" s="148" t="s">
        <v>150</v>
      </c>
      <c r="B7" s="131"/>
      <c r="C7" s="131"/>
      <c r="D7" s="96"/>
      <c r="E7" s="94"/>
      <c r="F7" s="94"/>
      <c r="G7" s="94"/>
      <c r="H7" s="94"/>
      <c r="I7" s="94"/>
      <c r="J7" s="99"/>
      <c r="K7" s="99"/>
    </row>
    <row r="8" spans="1:12" ht="19.95" customHeight="1">
      <c r="A8" s="221" t="s">
        <v>151</v>
      </c>
      <c r="B8" s="221"/>
      <c r="C8" s="221"/>
      <c r="D8" s="221"/>
      <c r="E8" s="221"/>
      <c r="F8" s="221"/>
      <c r="G8" s="217" t="s">
        <v>114</v>
      </c>
      <c r="H8" s="217"/>
      <c r="I8" s="217"/>
      <c r="J8" s="99"/>
      <c r="K8" s="99"/>
    </row>
    <row r="9" spans="1:12" ht="19.95" customHeight="1">
      <c r="A9" s="220" t="s">
        <v>132</v>
      </c>
      <c r="B9" s="220"/>
      <c r="C9" s="220"/>
      <c r="D9" s="220"/>
      <c r="E9" s="220"/>
      <c r="F9" s="220"/>
      <c r="G9" s="218" t="s">
        <v>115</v>
      </c>
      <c r="H9" s="218"/>
      <c r="I9" s="218"/>
      <c r="J9" s="99"/>
      <c r="K9" s="99"/>
    </row>
    <row r="10" spans="1:12" ht="19.95" customHeight="1">
      <c r="A10" s="220" t="s">
        <v>133</v>
      </c>
      <c r="B10" s="220"/>
      <c r="C10" s="220"/>
      <c r="D10" s="220"/>
      <c r="E10" s="220"/>
      <c r="F10" s="220"/>
      <c r="G10" s="219" t="s">
        <v>250</v>
      </c>
      <c r="H10" s="219"/>
      <c r="I10" s="219"/>
      <c r="J10" s="99"/>
      <c r="K10" s="99"/>
    </row>
    <row r="11" spans="1:12" ht="19.95" customHeight="1">
      <c r="A11" s="220" t="s">
        <v>252</v>
      </c>
      <c r="B11" s="220"/>
      <c r="C11" s="220"/>
      <c r="D11" s="220"/>
      <c r="E11" s="220"/>
      <c r="F11" s="220"/>
      <c r="G11" s="219" t="s">
        <v>251</v>
      </c>
      <c r="H11" s="219"/>
      <c r="I11" s="219"/>
      <c r="J11" s="99"/>
      <c r="K11" s="99"/>
    </row>
    <row r="12" spans="1:12" ht="19.95" customHeight="1">
      <c r="A12" s="220" t="s">
        <v>152</v>
      </c>
      <c r="B12" s="220"/>
      <c r="C12" s="220"/>
      <c r="D12" s="220"/>
      <c r="E12" s="220"/>
      <c r="F12" s="220"/>
      <c r="G12" s="219" t="s">
        <v>248</v>
      </c>
      <c r="H12" s="219"/>
      <c r="I12" s="219"/>
      <c r="J12" s="99"/>
      <c r="K12" s="99"/>
    </row>
    <row r="13" spans="1:12" ht="19.95" customHeight="1">
      <c r="A13" s="220" t="s">
        <v>253</v>
      </c>
      <c r="B13" s="220"/>
      <c r="C13" s="220"/>
      <c r="D13" s="220"/>
      <c r="E13" s="220"/>
      <c r="F13" s="220"/>
      <c r="G13" s="219" t="s">
        <v>249</v>
      </c>
      <c r="H13" s="219"/>
      <c r="I13" s="219"/>
      <c r="J13" s="99"/>
      <c r="K13" s="99"/>
    </row>
    <row r="14" spans="1:12" ht="20.25" customHeight="1">
      <c r="A14" s="98" t="s">
        <v>116</v>
      </c>
      <c r="J14" s="197"/>
      <c r="K14" s="198"/>
      <c r="L14" s="198"/>
    </row>
    <row r="15" spans="1:12" ht="23.4" customHeight="1">
      <c r="A15" s="214" t="s">
        <v>117</v>
      </c>
      <c r="B15" s="216" t="s">
        <v>260</v>
      </c>
      <c r="C15" s="215" t="s">
        <v>118</v>
      </c>
      <c r="D15" s="217" t="s">
        <v>153</v>
      </c>
      <c r="E15" s="217"/>
      <c r="F15" s="217"/>
      <c r="G15" s="217"/>
      <c r="H15" s="217"/>
      <c r="I15" s="215" t="s">
        <v>154</v>
      </c>
      <c r="J15" s="101"/>
      <c r="K15" s="101"/>
      <c r="L15" s="101"/>
    </row>
    <row r="16" spans="1:12" ht="36.6" customHeight="1">
      <c r="A16" s="214"/>
      <c r="B16" s="216"/>
      <c r="C16" s="215"/>
      <c r="D16" s="171" t="s">
        <v>155</v>
      </c>
      <c r="E16" s="171" t="s">
        <v>156</v>
      </c>
      <c r="F16" s="149" t="s">
        <v>157</v>
      </c>
      <c r="G16" s="149" t="s">
        <v>158</v>
      </c>
      <c r="H16" s="149" t="s">
        <v>159</v>
      </c>
      <c r="I16" s="215"/>
      <c r="J16" s="196" t="s">
        <v>259</v>
      </c>
      <c r="K16" s="101"/>
      <c r="L16" s="101"/>
    </row>
    <row r="17" spans="1:12" ht="43.2" customHeight="1">
      <c r="A17" s="181">
        <v>1</v>
      </c>
      <c r="B17" s="173" t="s">
        <v>192</v>
      </c>
      <c r="C17" s="104" t="s">
        <v>160</v>
      </c>
      <c r="D17" s="163" t="s">
        <v>194</v>
      </c>
      <c r="E17" s="163" t="s">
        <v>193</v>
      </c>
      <c r="F17" s="164"/>
      <c r="G17" s="164" t="s">
        <v>195</v>
      </c>
      <c r="H17" s="172"/>
      <c r="I17" s="176" t="s">
        <v>226</v>
      </c>
      <c r="J17" s="103"/>
      <c r="K17" s="103"/>
      <c r="L17" s="102"/>
    </row>
    <row r="18" spans="1:12" ht="57.6" customHeight="1">
      <c r="A18" s="181">
        <v>2</v>
      </c>
      <c r="B18" s="172" t="s">
        <v>162</v>
      </c>
      <c r="C18" s="104" t="s">
        <v>160</v>
      </c>
      <c r="D18" s="163"/>
      <c r="E18" s="164" t="s">
        <v>193</v>
      </c>
      <c r="F18" s="132"/>
      <c r="G18" s="163" t="s">
        <v>194</v>
      </c>
      <c r="H18" s="132"/>
      <c r="I18" s="193" t="s">
        <v>225</v>
      </c>
      <c r="J18" s="143" t="s">
        <v>144</v>
      </c>
      <c r="K18" s="103"/>
      <c r="L18" s="102"/>
    </row>
    <row r="19" spans="1:12" ht="40.200000000000003" customHeight="1">
      <c r="A19" s="181">
        <v>3</v>
      </c>
      <c r="B19" s="173" t="s">
        <v>196</v>
      </c>
      <c r="C19" s="150" t="s">
        <v>163</v>
      </c>
      <c r="D19" s="166" t="s">
        <v>200</v>
      </c>
      <c r="E19" s="165" t="s">
        <v>193</v>
      </c>
      <c r="F19" s="165" t="s">
        <v>193</v>
      </c>
      <c r="G19" s="165" t="s">
        <v>200</v>
      </c>
      <c r="H19" s="132"/>
      <c r="I19" s="182"/>
      <c r="J19" s="143" t="s">
        <v>145</v>
      </c>
      <c r="K19" s="103"/>
      <c r="L19" s="102"/>
    </row>
    <row r="20" spans="1:12" ht="68.400000000000006" customHeight="1">
      <c r="A20" s="181">
        <v>4</v>
      </c>
      <c r="B20" s="175" t="s">
        <v>197</v>
      </c>
      <c r="C20" s="104" t="s">
        <v>160</v>
      </c>
      <c r="D20" s="164" t="s">
        <v>194</v>
      </c>
      <c r="E20" s="163" t="s">
        <v>194</v>
      </c>
      <c r="F20" s="163" t="s">
        <v>195</v>
      </c>
      <c r="G20" s="132"/>
      <c r="H20" s="132"/>
      <c r="I20" s="183" t="s">
        <v>227</v>
      </c>
      <c r="J20" s="143"/>
      <c r="K20" s="103"/>
      <c r="L20" s="102"/>
    </row>
    <row r="21" spans="1:12" ht="54" customHeight="1">
      <c r="A21" s="181">
        <v>5</v>
      </c>
      <c r="B21" s="173" t="s">
        <v>198</v>
      </c>
      <c r="C21" s="150" t="s">
        <v>163</v>
      </c>
      <c r="D21" s="164" t="s">
        <v>194</v>
      </c>
      <c r="E21" s="163" t="s">
        <v>194</v>
      </c>
      <c r="F21" s="163" t="s">
        <v>195</v>
      </c>
      <c r="G21" s="132"/>
      <c r="H21" s="132"/>
      <c r="I21" s="182"/>
      <c r="J21" s="143"/>
      <c r="K21" s="103"/>
      <c r="L21" s="102"/>
    </row>
    <row r="22" spans="1:12" ht="45.6" customHeight="1">
      <c r="A22" s="181">
        <v>6</v>
      </c>
      <c r="B22" s="175" t="s">
        <v>199</v>
      </c>
      <c r="C22" s="165" t="s">
        <v>242</v>
      </c>
      <c r="D22" s="132" t="s">
        <v>161</v>
      </c>
      <c r="E22" s="132" t="s">
        <v>161</v>
      </c>
      <c r="F22" s="132"/>
      <c r="G22" s="132"/>
      <c r="H22" s="132"/>
      <c r="I22" s="182"/>
      <c r="J22" s="103"/>
      <c r="K22" s="103"/>
      <c r="L22" s="102"/>
    </row>
    <row r="23" spans="1:12" ht="28.5" customHeight="1">
      <c r="A23" s="181">
        <v>7</v>
      </c>
      <c r="B23" s="174" t="s">
        <v>164</v>
      </c>
      <c r="C23" s="150" t="s">
        <v>165</v>
      </c>
      <c r="D23" s="132"/>
      <c r="E23" s="132"/>
      <c r="F23" s="132"/>
      <c r="G23" s="132"/>
      <c r="H23" s="132" t="s">
        <v>161</v>
      </c>
      <c r="I23" s="180" t="s">
        <v>143</v>
      </c>
      <c r="J23" s="103"/>
      <c r="K23" s="103"/>
      <c r="L23" s="102"/>
    </row>
    <row r="24" spans="1:12" ht="28.5" customHeight="1"/>
  </sheetData>
  <mergeCells count="20">
    <mergeCell ref="A10:F10"/>
    <mergeCell ref="A11:F11"/>
    <mergeCell ref="A12:F12"/>
    <mergeCell ref="G13:I13"/>
    <mergeCell ref="A1:I1"/>
    <mergeCell ref="A2:I2"/>
    <mergeCell ref="A5:B5"/>
    <mergeCell ref="A15:A16"/>
    <mergeCell ref="C15:C16"/>
    <mergeCell ref="B15:B16"/>
    <mergeCell ref="D15:H15"/>
    <mergeCell ref="I15:I16"/>
    <mergeCell ref="G8:I8"/>
    <mergeCell ref="G9:I9"/>
    <mergeCell ref="G10:I10"/>
    <mergeCell ref="G11:I11"/>
    <mergeCell ref="G12:I12"/>
    <mergeCell ref="A13:F13"/>
    <mergeCell ref="A8:F8"/>
    <mergeCell ref="A9:F9"/>
  </mergeCells>
  <phoneticPr fontId="18" type="noConversion"/>
  <hyperlinks>
    <hyperlink ref="I3" location="底稿目录!A1" display="底稿目录!A1"/>
  </hyperlinks>
  <printOptions horizontalCentered="1"/>
  <pageMargins left="0.70866141732283472" right="0.70866141732283472" top="0.74803149606299213" bottom="0.74803149606299213" header="0.31496062992125984" footer="0.31496062992125984"/>
  <pageSetup paperSize="9" scale="70" fitToHeight="50" orientation="portrait" blackAndWhite="1" r:id="rId1"/>
  <headerFooter alignWithMargins="0">
    <oddFooter>&amp;C&amp;P/&amp;N</oddFooter>
  </headerFooter>
  <ignoredErrors>
    <ignoredError sqref="A3:C4" unlockedFormula="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L48"/>
  <sheetViews>
    <sheetView view="pageBreakPreview" zoomScaleNormal="130" zoomScaleSheetLayoutView="100" workbookViewId="0">
      <selection sqref="A1:L1"/>
    </sheetView>
  </sheetViews>
  <sheetFormatPr defaultColWidth="9" defaultRowHeight="23.25" customHeight="1"/>
  <cols>
    <col min="1" max="1" width="15.19921875" style="19" customWidth="1"/>
    <col min="2" max="6" width="10.796875" style="19" customWidth="1"/>
    <col min="7" max="7" width="12.09765625" style="19" customWidth="1"/>
    <col min="8" max="9" width="10.796875" style="19" customWidth="1"/>
    <col min="10" max="16384" width="9" style="19"/>
  </cols>
  <sheetData>
    <row r="1" spans="1:12" s="18" customFormat="1" ht="19.95" customHeight="1">
      <c r="A1" s="227" t="s">
        <v>39</v>
      </c>
      <c r="B1" s="227"/>
      <c r="C1" s="227"/>
      <c r="D1" s="227"/>
      <c r="E1" s="227"/>
      <c r="F1" s="227"/>
      <c r="G1" s="227"/>
      <c r="H1" s="227"/>
      <c r="I1" s="227"/>
      <c r="J1" s="227"/>
      <c r="K1" s="227"/>
      <c r="L1" s="227"/>
    </row>
    <row r="2" spans="1:12" s="18" customFormat="1" ht="19.95" customHeight="1">
      <c r="A2" s="228" t="s">
        <v>221</v>
      </c>
      <c r="B2" s="228"/>
      <c r="C2" s="228"/>
      <c r="D2" s="228"/>
      <c r="E2" s="228"/>
      <c r="F2" s="228"/>
      <c r="G2" s="228"/>
      <c r="H2" s="228"/>
      <c r="I2" s="228"/>
      <c r="J2" s="228"/>
      <c r="K2" s="228"/>
      <c r="L2" s="228"/>
    </row>
    <row r="3" spans="1:12" ht="19.95" customHeight="1">
      <c r="A3" s="19" t="str">
        <f>底稿目录!A2</f>
        <v>被审计单位：</v>
      </c>
      <c r="E3" s="20" t="str">
        <f>底稿目录!A4</f>
        <v>编制人：</v>
      </c>
      <c r="I3" s="82" t="str">
        <f>底稿目录!A5</f>
        <v>编制日期：</v>
      </c>
      <c r="K3" s="94" t="s">
        <v>112</v>
      </c>
      <c r="L3" s="185" t="str">
        <f>底稿目录!F5</f>
        <v>M5-1</v>
      </c>
    </row>
    <row r="4" spans="1:12" ht="19.95" customHeight="1">
      <c r="A4" s="19" t="str">
        <f>底稿目录!A3</f>
        <v>截止日：202X年12月31日</v>
      </c>
      <c r="B4" s="22"/>
      <c r="E4" s="20" t="str">
        <f>底稿目录!A6</f>
        <v>复核人：</v>
      </c>
      <c r="I4" s="82" t="str">
        <f>底稿目录!A7</f>
        <v>复核日期：</v>
      </c>
      <c r="K4" s="94" t="s">
        <v>148</v>
      </c>
      <c r="L4" s="23"/>
    </row>
    <row r="5" spans="1:12" ht="27" customHeight="1">
      <c r="A5" s="229" t="s">
        <v>54</v>
      </c>
      <c r="B5" s="230" t="s">
        <v>166</v>
      </c>
      <c r="C5" s="231"/>
      <c r="D5" s="231"/>
      <c r="E5" s="232"/>
      <c r="F5" s="233" t="s">
        <v>167</v>
      </c>
      <c r="G5" s="234"/>
      <c r="H5" s="234"/>
      <c r="I5" s="235"/>
      <c r="J5" s="223" t="s">
        <v>168</v>
      </c>
      <c r="K5" s="224"/>
      <c r="L5" s="225" t="s">
        <v>169</v>
      </c>
    </row>
    <row r="6" spans="1:12" ht="19.95" customHeight="1">
      <c r="A6" s="229"/>
      <c r="B6" s="141" t="s">
        <v>170</v>
      </c>
      <c r="C6" s="141" t="s">
        <v>171</v>
      </c>
      <c r="D6" s="141" t="s">
        <v>172</v>
      </c>
      <c r="E6" s="141" t="s">
        <v>173</v>
      </c>
      <c r="F6" s="141" t="s">
        <v>170</v>
      </c>
      <c r="G6" s="141" t="s">
        <v>171</v>
      </c>
      <c r="H6" s="141" t="s">
        <v>172</v>
      </c>
      <c r="I6" s="141" t="s">
        <v>173</v>
      </c>
      <c r="J6" s="152" t="s">
        <v>174</v>
      </c>
      <c r="K6" s="151" t="s">
        <v>175</v>
      </c>
      <c r="L6" s="226"/>
    </row>
    <row r="7" spans="1:12" ht="19.95" customHeight="1">
      <c r="A7" s="68" t="s">
        <v>176</v>
      </c>
      <c r="B7" s="133">
        <f>'明细表M5-2'!B12</f>
        <v>0</v>
      </c>
      <c r="C7" s="133">
        <f>'明细表M5-2'!H12</f>
        <v>0</v>
      </c>
      <c r="D7" s="133">
        <f>'明细表M5-2'!I12</f>
        <v>0</v>
      </c>
      <c r="E7" s="133">
        <f>'明细表M5-2'!N12</f>
        <v>0</v>
      </c>
      <c r="F7" s="133">
        <f>'明细表M5-2'!G12</f>
        <v>0</v>
      </c>
      <c r="G7" s="133">
        <f>'明细表M5-2'!H12+'明细表M5-2'!J12-'明细表M5-2'!K12</f>
        <v>0</v>
      </c>
      <c r="H7" s="133">
        <f>'明细表M5-2'!I12+'明细表M5-2'!L12-'明细表M5-2'!M12</f>
        <v>0</v>
      </c>
      <c r="I7" s="133">
        <f>'明细表M5-2'!Q12</f>
        <v>0</v>
      </c>
      <c r="J7" s="133">
        <f t="shared" ref="J7:J11" si="0">I7-E7</f>
        <v>0</v>
      </c>
      <c r="K7" s="134">
        <f t="shared" ref="K7:K11" si="1">IF(AND(B7=0,J7=0),0,IF(AND(B7=0,J7&gt;0),1,J7/B7))</f>
        <v>0</v>
      </c>
      <c r="L7" s="68"/>
    </row>
    <row r="8" spans="1:12" ht="19.95" customHeight="1">
      <c r="A8" s="68" t="s">
        <v>177</v>
      </c>
      <c r="B8" s="133">
        <f>'明细表M5-2'!B13</f>
        <v>0</v>
      </c>
      <c r="C8" s="133">
        <f>'明细表M5-2'!H13</f>
        <v>0</v>
      </c>
      <c r="D8" s="133">
        <f>'明细表M5-2'!I13</f>
        <v>0</v>
      </c>
      <c r="E8" s="133">
        <f>'明细表M5-2'!N13</f>
        <v>0</v>
      </c>
      <c r="F8" s="133">
        <f>'明细表M5-2'!G13</f>
        <v>0</v>
      </c>
      <c r="G8" s="133">
        <f>'明细表M5-2'!H13+'明细表M5-2'!J13-'明细表M5-2'!K13</f>
        <v>0</v>
      </c>
      <c r="H8" s="133">
        <f>'明细表M5-2'!I13+'明细表M5-2'!L13-'明细表M5-2'!M13</f>
        <v>0</v>
      </c>
      <c r="I8" s="133">
        <f>'明细表M5-2'!Q13</f>
        <v>0</v>
      </c>
      <c r="J8" s="133">
        <f t="shared" si="0"/>
        <v>0</v>
      </c>
      <c r="K8" s="134">
        <f t="shared" si="1"/>
        <v>0</v>
      </c>
      <c r="L8" s="68"/>
    </row>
    <row r="9" spans="1:12" ht="19.95" customHeight="1">
      <c r="A9" s="68" t="s">
        <v>178</v>
      </c>
      <c r="B9" s="133">
        <f>'明细表M5-2'!B14</f>
        <v>0</v>
      </c>
      <c r="C9" s="133">
        <f>'明细表M5-2'!H14</f>
        <v>0</v>
      </c>
      <c r="D9" s="133">
        <f>'明细表M5-2'!I14</f>
        <v>0</v>
      </c>
      <c r="E9" s="133">
        <f>'明细表M5-2'!N14</f>
        <v>0</v>
      </c>
      <c r="F9" s="133">
        <f>'明细表M5-2'!G14</f>
        <v>0</v>
      </c>
      <c r="G9" s="133">
        <f>'明细表M5-2'!H14+'明细表M5-2'!J14-'明细表M5-2'!K14</f>
        <v>0</v>
      </c>
      <c r="H9" s="133">
        <f>'明细表M5-2'!I14+'明细表M5-2'!L14-'明细表M5-2'!M14</f>
        <v>0</v>
      </c>
      <c r="I9" s="133">
        <f>'明细表M5-2'!Q14</f>
        <v>0</v>
      </c>
      <c r="J9" s="133">
        <f t="shared" si="0"/>
        <v>0</v>
      </c>
      <c r="K9" s="134">
        <f t="shared" si="1"/>
        <v>0</v>
      </c>
      <c r="L9" s="68"/>
    </row>
    <row r="10" spans="1:12" ht="19.95" customHeight="1">
      <c r="A10" s="68" t="s">
        <v>179</v>
      </c>
      <c r="B10" s="133">
        <f>'明细表M5-2'!B15</f>
        <v>0</v>
      </c>
      <c r="C10" s="133">
        <f>'明细表M5-2'!H15</f>
        <v>0</v>
      </c>
      <c r="D10" s="133">
        <f>'明细表M5-2'!I15</f>
        <v>0</v>
      </c>
      <c r="E10" s="133">
        <f>'明细表M5-2'!N15</f>
        <v>0</v>
      </c>
      <c r="F10" s="133">
        <f>'明细表M5-2'!G15</f>
        <v>0</v>
      </c>
      <c r="G10" s="133">
        <f>'明细表M5-2'!H15+'明细表M5-2'!J15-'明细表M5-2'!K15</f>
        <v>0</v>
      </c>
      <c r="H10" s="133">
        <f>'明细表M5-2'!I15+'明细表M5-2'!L15-'明细表M5-2'!M15</f>
        <v>0</v>
      </c>
      <c r="I10" s="133">
        <f>'明细表M5-2'!Q15</f>
        <v>0</v>
      </c>
      <c r="J10" s="133">
        <f t="shared" si="0"/>
        <v>0</v>
      </c>
      <c r="K10" s="134">
        <f t="shared" si="1"/>
        <v>0</v>
      </c>
      <c r="L10" s="68"/>
    </row>
    <row r="11" spans="1:12" s="80" customFormat="1" ht="19.95" customHeight="1">
      <c r="A11" s="153" t="s">
        <v>180</v>
      </c>
      <c r="B11" s="135">
        <f>SUM(B7:B10)</f>
        <v>0</v>
      </c>
      <c r="C11" s="135">
        <f t="shared" ref="C11:I11" si="2">SUM(C7:C10)</f>
        <v>0</v>
      </c>
      <c r="D11" s="135">
        <f t="shared" si="2"/>
        <v>0</v>
      </c>
      <c r="E11" s="135">
        <f t="shared" si="2"/>
        <v>0</v>
      </c>
      <c r="F11" s="135">
        <f t="shared" si="2"/>
        <v>0</v>
      </c>
      <c r="G11" s="135">
        <f t="shared" si="2"/>
        <v>0</v>
      </c>
      <c r="H11" s="135">
        <f t="shared" si="2"/>
        <v>0</v>
      </c>
      <c r="I11" s="135">
        <f t="shared" si="2"/>
        <v>0</v>
      </c>
      <c r="J11" s="135">
        <f t="shared" si="0"/>
        <v>0</v>
      </c>
      <c r="K11" s="136">
        <f t="shared" si="1"/>
        <v>0</v>
      </c>
      <c r="L11" s="79"/>
    </row>
    <row r="12" spans="1:12" s="108" customFormat="1" ht="19.95" customHeight="1">
      <c r="A12" s="105" t="s">
        <v>181</v>
      </c>
      <c r="B12" s="105"/>
      <c r="C12" s="105"/>
      <c r="D12" s="105"/>
      <c r="E12" s="137"/>
      <c r="F12" s="105"/>
      <c r="G12" s="105"/>
      <c r="H12" s="105"/>
      <c r="I12" s="137"/>
      <c r="J12" s="107"/>
      <c r="K12" s="106"/>
      <c r="L12" s="106"/>
    </row>
    <row r="13" spans="1:12" s="108" customFormat="1" ht="19.95" customHeight="1">
      <c r="A13" s="105" t="s">
        <v>182</v>
      </c>
      <c r="B13" s="105"/>
      <c r="C13" s="105"/>
      <c r="D13" s="105"/>
      <c r="E13" s="137">
        <f>E11-E12</f>
        <v>0</v>
      </c>
      <c r="F13" s="105"/>
      <c r="G13" s="105"/>
      <c r="H13" s="105"/>
      <c r="I13" s="137">
        <f>I11-I12</f>
        <v>0</v>
      </c>
      <c r="J13" s="107"/>
      <c r="K13" s="106"/>
      <c r="L13" s="106"/>
    </row>
    <row r="14" spans="1:12" ht="19.95" customHeight="1">
      <c r="A14" s="69" t="s">
        <v>6</v>
      </c>
      <c r="B14" s="20"/>
      <c r="C14" s="20"/>
      <c r="D14" s="20"/>
      <c r="E14" s="20"/>
      <c r="F14" s="154"/>
      <c r="G14" s="20"/>
    </row>
    <row r="15" spans="1:12" ht="19.95" customHeight="1">
      <c r="A15" s="24" t="s">
        <v>183</v>
      </c>
      <c r="B15" s="24"/>
      <c r="C15" s="24"/>
      <c r="D15" s="222"/>
      <c r="E15" s="222"/>
      <c r="F15" s="24"/>
      <c r="G15" s="24"/>
    </row>
    <row r="16" spans="1:12" ht="19.95" customHeight="1">
      <c r="A16" s="24" t="s">
        <v>184</v>
      </c>
      <c r="B16" s="24"/>
      <c r="C16" s="24"/>
      <c r="D16" s="24"/>
      <c r="E16" s="24"/>
      <c r="F16" s="24"/>
      <c r="G16" s="24"/>
    </row>
    <row r="17" spans="1:7" ht="19.95" customHeight="1">
      <c r="A17" s="24"/>
      <c r="B17" s="24"/>
      <c r="C17" s="24"/>
      <c r="D17" s="24"/>
      <c r="E17" s="24"/>
      <c r="F17" s="24"/>
      <c r="G17" s="24"/>
    </row>
    <row r="18" spans="1:7" ht="19.95" customHeight="1">
      <c r="A18" s="24"/>
      <c r="B18" s="24"/>
      <c r="C18" s="24"/>
      <c r="D18" s="24"/>
      <c r="E18" s="24"/>
      <c r="F18" s="24"/>
      <c r="G18" s="24"/>
    </row>
    <row r="19" spans="1:7" ht="19.95" customHeight="1">
      <c r="A19" s="25" t="s">
        <v>185</v>
      </c>
      <c r="B19" s="25"/>
      <c r="C19" s="25"/>
      <c r="D19" s="25"/>
      <c r="E19" s="25"/>
      <c r="F19" s="25"/>
      <c r="G19" s="25"/>
    </row>
    <row r="20" spans="1:7" ht="19.95" customHeight="1">
      <c r="A20" s="25"/>
      <c r="B20" s="25"/>
      <c r="C20" s="25"/>
      <c r="D20" s="25"/>
      <c r="E20" s="25"/>
      <c r="F20" s="25"/>
      <c r="G20" s="25"/>
    </row>
    <row r="21" spans="1:7" ht="19.95" customHeight="1">
      <c r="A21" s="24"/>
      <c r="B21" s="24"/>
      <c r="C21" s="24"/>
      <c r="D21" s="24"/>
      <c r="E21" s="24"/>
      <c r="F21" s="24"/>
      <c r="G21" s="24"/>
    </row>
    <row r="22" spans="1:7" ht="19.95" customHeight="1">
      <c r="A22" s="24"/>
      <c r="B22" s="24"/>
      <c r="C22" s="24"/>
      <c r="D22" s="24"/>
      <c r="E22" s="24"/>
      <c r="F22" s="24"/>
      <c r="G22" s="24"/>
    </row>
    <row r="23" spans="1:7" ht="19.95" customHeight="1">
      <c r="A23" s="110" t="s">
        <v>186</v>
      </c>
      <c r="B23" s="24"/>
      <c r="C23" s="24"/>
      <c r="D23" s="24"/>
      <c r="E23" s="24"/>
      <c r="F23" s="24"/>
      <c r="G23" s="24"/>
    </row>
    <row r="24" spans="1:7" ht="19.95" customHeight="1">
      <c r="A24" s="110"/>
      <c r="B24" s="24"/>
      <c r="C24" s="24"/>
      <c r="D24" s="24"/>
      <c r="E24" s="24"/>
      <c r="F24" s="24"/>
      <c r="G24" s="24"/>
    </row>
    <row r="25" spans="1:7" ht="19.95" customHeight="1">
      <c r="A25" s="110"/>
      <c r="B25" s="24"/>
      <c r="C25" s="24"/>
      <c r="D25" s="24"/>
      <c r="E25" s="24"/>
      <c r="F25" s="24"/>
      <c r="G25" s="24"/>
    </row>
    <row r="26" spans="1:7" ht="19.95" customHeight="1">
      <c r="A26" s="155" t="s">
        <v>7</v>
      </c>
      <c r="B26" s="24"/>
      <c r="C26" s="24"/>
      <c r="D26" s="24"/>
      <c r="E26" s="24"/>
      <c r="F26" s="24"/>
      <c r="G26" s="24"/>
    </row>
    <row r="28" spans="1:7" s="27" customFormat="1" ht="18" customHeight="1">
      <c r="A28" s="26"/>
    </row>
    <row r="29" spans="1:7" s="27" customFormat="1" ht="18" customHeight="1"/>
    <row r="30" spans="1:7" s="27" customFormat="1" ht="18" customHeight="1"/>
    <row r="31" spans="1:7" s="27" customFormat="1" ht="18" customHeight="1"/>
    <row r="32" spans="1:7" s="27" customFormat="1" ht="18" customHeight="1"/>
    <row r="33" spans="1:2" s="27" customFormat="1" ht="18" customHeight="1">
      <c r="A33" s="28"/>
    </row>
    <row r="34" spans="1:2" s="27" customFormat="1" ht="18" customHeight="1"/>
    <row r="35" spans="1:2" s="27" customFormat="1" ht="18" customHeight="1">
      <c r="A35" s="29"/>
    </row>
    <row r="36" spans="1:2" s="27" customFormat="1" ht="18" customHeight="1"/>
    <row r="37" spans="1:2" s="27" customFormat="1" ht="18" customHeight="1">
      <c r="A37" s="28"/>
    </row>
    <row r="38" spans="1:2" ht="18" customHeight="1">
      <c r="A38" s="28"/>
    </row>
    <row r="39" spans="1:2" ht="18" customHeight="1">
      <c r="A39" s="28"/>
    </row>
    <row r="40" spans="1:2" ht="18" customHeight="1">
      <c r="A40" s="28"/>
    </row>
    <row r="41" spans="1:2" ht="18" customHeight="1">
      <c r="A41" s="28"/>
    </row>
    <row r="42" spans="1:2" ht="18" customHeight="1">
      <c r="A42" s="27"/>
    </row>
    <row r="43" spans="1:2" ht="18" customHeight="1"/>
    <row r="44" spans="1:2" ht="18" customHeight="1">
      <c r="A44" s="28"/>
    </row>
    <row r="45" spans="1:2" ht="18" customHeight="1">
      <c r="A45" s="29"/>
    </row>
    <row r="46" spans="1:2" ht="18" customHeight="1">
      <c r="A46" s="30"/>
      <c r="B46" s="27"/>
    </row>
    <row r="47" spans="1:2" ht="18" customHeight="1">
      <c r="A47" s="30"/>
      <c r="B47" s="27"/>
    </row>
    <row r="48" spans="1:2" ht="18" customHeight="1">
      <c r="A48" s="30"/>
      <c r="B48" s="27"/>
    </row>
  </sheetData>
  <mergeCells count="8">
    <mergeCell ref="D15:E15"/>
    <mergeCell ref="J5:K5"/>
    <mergeCell ref="L5:L6"/>
    <mergeCell ref="A1:L1"/>
    <mergeCell ref="A2:L2"/>
    <mergeCell ref="A5:A6"/>
    <mergeCell ref="B5:E5"/>
    <mergeCell ref="F5:I5"/>
  </mergeCells>
  <phoneticPr fontId="18" type="noConversion"/>
  <dataValidations count="1">
    <dataValidation type="list" allowBlank="1" showInputMessage="1" showErrorMessage="1" sqref="B23">
      <formula1>"A：未见异常，可以确认。,B：经审计调整可以确认。,C：由于存在上述重大未调整事项（或审计范围受到限制无法获取充分、适当证据），不可确认。"</formula1>
    </dataValidation>
  </dataValidations>
  <hyperlinks>
    <hyperlink ref="L3" location="底稿目录!A1" display="底稿目录!A1"/>
  </hyperlinks>
  <printOptions horizontalCentered="1"/>
  <pageMargins left="0.70866141732283472" right="0.70866141732283472" top="0.74803149606299213" bottom="0.74803149606299213" header="0.31496062992125984" footer="0.31496062992125984"/>
  <pageSetup paperSize="9" scale="84" orientation="landscape" blackAndWhite="1" r:id="rId1"/>
  <headerFooter alignWithMargins="0">
    <oddFooter>&amp;C&amp;P/&amp;N</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P12"/>
  <sheetViews>
    <sheetView view="pageBreakPreview" zoomScaleSheetLayoutView="100" workbookViewId="0">
      <selection activeCell="A9" sqref="A9:XFD10"/>
    </sheetView>
  </sheetViews>
  <sheetFormatPr defaultRowHeight="15.6"/>
  <cols>
    <col min="1" max="1" width="26.59765625" customWidth="1"/>
    <col min="2" max="5" width="25.796875" customWidth="1"/>
  </cols>
  <sheetData>
    <row r="1" spans="1:16" s="33" customFormat="1" ht="20.100000000000001" customHeight="1">
      <c r="A1" s="236" t="s">
        <v>39</v>
      </c>
      <c r="B1" s="236"/>
      <c r="C1" s="236"/>
      <c r="D1" s="236"/>
      <c r="E1" s="236"/>
      <c r="F1" s="58"/>
      <c r="G1" s="58"/>
      <c r="H1" s="58"/>
      <c r="I1" s="58"/>
      <c r="J1" s="57"/>
      <c r="K1" s="57"/>
      <c r="L1" s="57"/>
      <c r="M1" s="57"/>
      <c r="N1" s="57"/>
      <c r="O1" s="57"/>
      <c r="P1" s="57"/>
    </row>
    <row r="2" spans="1:16" s="33" customFormat="1" ht="25.05" customHeight="1">
      <c r="A2" s="236" t="s">
        <v>52</v>
      </c>
      <c r="B2" s="236"/>
      <c r="C2" s="236"/>
      <c r="D2" s="236"/>
      <c r="E2" s="236"/>
      <c r="F2" s="58"/>
      <c r="G2" s="58"/>
      <c r="H2" s="58"/>
      <c r="I2" s="58"/>
      <c r="J2" s="58"/>
      <c r="K2" s="58"/>
      <c r="L2" s="58"/>
      <c r="M2" s="58"/>
      <c r="N2" s="58"/>
      <c r="O2" s="58"/>
      <c r="P2" s="58"/>
    </row>
    <row r="3" spans="1:16" s="32" customFormat="1" ht="20.100000000000001" customHeight="1">
      <c r="A3" s="19" t="str">
        <f>底稿目录!A2</f>
        <v>被审计单位：</v>
      </c>
      <c r="B3" s="20" t="str">
        <f>底稿目录!A4</f>
        <v>编制人：</v>
      </c>
      <c r="C3" s="21" t="str">
        <f>底稿目录!A5</f>
        <v>编制日期：</v>
      </c>
      <c r="D3" s="16" t="s">
        <v>0</v>
      </c>
      <c r="E3" s="32" t="s">
        <v>134</v>
      </c>
      <c r="N3" s="16"/>
      <c r="O3" s="16"/>
    </row>
    <row r="4" spans="1:16" s="32" customFormat="1" ht="20.100000000000001" customHeight="1">
      <c r="A4" s="19" t="str">
        <f>底稿目录!A3</f>
        <v>截止日：202X年12月31日</v>
      </c>
      <c r="B4" s="20" t="str">
        <f>底稿目录!A6</f>
        <v>复核人：</v>
      </c>
      <c r="C4" s="21" t="str">
        <f>底稿目录!A7</f>
        <v>复核日期：</v>
      </c>
      <c r="D4" s="16" t="s">
        <v>40</v>
      </c>
      <c r="N4" s="16"/>
      <c r="O4" s="16"/>
    </row>
    <row r="5" spans="1:16" ht="20.100000000000001" customHeight="1" thickBot="1">
      <c r="A5" s="126" t="s">
        <v>18</v>
      </c>
      <c r="B5" s="125"/>
      <c r="C5" s="125"/>
      <c r="D5" s="125"/>
      <c r="E5" s="125"/>
    </row>
    <row r="6" spans="1:16" ht="20.100000000000001" customHeight="1" thickBot="1">
      <c r="A6" s="115" t="s">
        <v>121</v>
      </c>
      <c r="B6" s="127" t="s">
        <v>125</v>
      </c>
      <c r="C6" s="116" t="s">
        <v>4</v>
      </c>
      <c r="D6" s="116" t="s">
        <v>5</v>
      </c>
      <c r="E6" s="127" t="s">
        <v>126</v>
      </c>
    </row>
    <row r="7" spans="1:16" ht="20.100000000000001" customHeight="1">
      <c r="A7" s="118" t="s">
        <v>8</v>
      </c>
      <c r="B7" s="119">
        <f>'明细表M5-2'!N12</f>
        <v>0</v>
      </c>
      <c r="C7" s="119">
        <f>'明细表M5-2'!O12</f>
        <v>0</v>
      </c>
      <c r="D7" s="119">
        <f>'明细表M5-2'!P12</f>
        <v>0</v>
      </c>
      <c r="E7" s="120">
        <f>B7+C7-D7</f>
        <v>0</v>
      </c>
    </row>
    <row r="8" spans="1:16" ht="20.100000000000001" customHeight="1">
      <c r="A8" s="128" t="s">
        <v>123</v>
      </c>
      <c r="B8" s="119">
        <f>'明细表M5-2'!N13</f>
        <v>0</v>
      </c>
      <c r="C8" s="119">
        <f>'明细表M5-2'!O13</f>
        <v>0</v>
      </c>
      <c r="D8" s="119">
        <f>'明细表M5-2'!P13</f>
        <v>0</v>
      </c>
      <c r="E8" s="120">
        <f t="shared" ref="E8:E10" si="0">B8+C8-D8</f>
        <v>0</v>
      </c>
    </row>
    <row r="9" spans="1:16" ht="20.100000000000001" customHeight="1">
      <c r="A9" s="118" t="s">
        <v>21</v>
      </c>
      <c r="B9" s="119">
        <f>'明细表M5-2'!N14</f>
        <v>0</v>
      </c>
      <c r="C9" s="119">
        <f>'明细表M5-2'!O14</f>
        <v>0</v>
      </c>
      <c r="D9" s="119">
        <f>'明细表M5-2'!P14</f>
        <v>0</v>
      </c>
      <c r="E9" s="120">
        <f t="shared" si="0"/>
        <v>0</v>
      </c>
    </row>
    <row r="10" spans="1:16" ht="20.100000000000001" customHeight="1" thickBot="1">
      <c r="A10" s="121" t="s">
        <v>3</v>
      </c>
      <c r="B10" s="119">
        <f>'明细表M5-2'!N15</f>
        <v>0</v>
      </c>
      <c r="C10" s="119">
        <f>'明细表M5-2'!O15</f>
        <v>0</v>
      </c>
      <c r="D10" s="119">
        <f>'明细表M5-2'!P15</f>
        <v>0</v>
      </c>
      <c r="E10" s="120">
        <f t="shared" si="0"/>
        <v>0</v>
      </c>
    </row>
    <row r="11" spans="1:16" ht="20.100000000000001" customHeight="1" thickBot="1">
      <c r="A11" s="129" t="s">
        <v>122</v>
      </c>
      <c r="B11" s="123">
        <f>SUM(B7:B10)</f>
        <v>0</v>
      </c>
      <c r="C11" s="123">
        <f t="shared" ref="C11:E11" si="1">SUM(C7:C10)</f>
        <v>0</v>
      </c>
      <c r="D11" s="123">
        <f t="shared" si="1"/>
        <v>0</v>
      </c>
      <c r="E11" s="123">
        <f t="shared" si="1"/>
        <v>0</v>
      </c>
    </row>
    <row r="12" spans="1:16">
      <c r="A12" s="130" t="s">
        <v>124</v>
      </c>
      <c r="B12" s="125"/>
      <c r="C12" s="125"/>
      <c r="D12" s="125"/>
      <c r="E12" s="125"/>
    </row>
  </sheetData>
  <mergeCells count="2">
    <mergeCell ref="A1:E1"/>
    <mergeCell ref="A2:E2"/>
  </mergeCells>
  <phoneticPr fontId="18" type="noConversion"/>
  <printOptions horizontalCentered="1"/>
  <pageMargins left="0.70866141732283472" right="0.70866141732283472" top="0.74803149606299213" bottom="0.74803149606299213" header="0.31496062992125984" footer="0.31496062992125984"/>
  <pageSetup paperSize="9" scale="94" orientation="landscape" blackAndWhite="1"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
  <sheetViews>
    <sheetView view="pageBreakPreview" zoomScaleSheetLayoutView="100" workbookViewId="0">
      <selection activeCell="C20" sqref="C20"/>
    </sheetView>
  </sheetViews>
  <sheetFormatPr defaultRowHeight="15.6"/>
  <cols>
    <col min="1" max="1" width="26.59765625" customWidth="1"/>
    <col min="2" max="5" width="24.19921875" customWidth="1"/>
  </cols>
  <sheetData>
    <row r="1" spans="1:16" s="33" customFormat="1" ht="20.100000000000001" customHeight="1">
      <c r="A1" s="236" t="s">
        <v>39</v>
      </c>
      <c r="B1" s="236"/>
      <c r="C1" s="236"/>
      <c r="D1" s="236"/>
      <c r="E1" s="236"/>
      <c r="F1" s="58"/>
      <c r="G1" s="58"/>
      <c r="H1" s="58"/>
      <c r="I1" s="58"/>
      <c r="J1" s="57"/>
      <c r="K1" s="57"/>
      <c r="L1" s="57"/>
      <c r="M1" s="57"/>
      <c r="N1" s="57"/>
      <c r="O1" s="57"/>
      <c r="P1" s="57"/>
    </row>
    <row r="2" spans="1:16" s="33" customFormat="1" ht="25.05" customHeight="1">
      <c r="A2" s="236" t="s">
        <v>53</v>
      </c>
      <c r="B2" s="236"/>
      <c r="C2" s="236"/>
      <c r="D2" s="236"/>
      <c r="E2" s="236"/>
      <c r="F2" s="58"/>
      <c r="G2" s="58"/>
      <c r="H2" s="58"/>
      <c r="I2" s="58"/>
      <c r="J2" s="58"/>
      <c r="K2" s="58"/>
      <c r="L2" s="58"/>
      <c r="M2" s="58"/>
      <c r="N2" s="58"/>
      <c r="O2" s="58"/>
      <c r="P2" s="58"/>
    </row>
    <row r="3" spans="1:16" s="32" customFormat="1" ht="20.100000000000001" customHeight="1">
      <c r="A3" s="19" t="str">
        <f>底稿目录!A2</f>
        <v>被审计单位：</v>
      </c>
      <c r="B3" s="20" t="str">
        <f>底稿目录!A4</f>
        <v>编制人：</v>
      </c>
      <c r="C3" s="21" t="str">
        <f>底稿目录!A5</f>
        <v>编制日期：</v>
      </c>
      <c r="D3" s="17" t="s">
        <v>0</v>
      </c>
      <c r="E3" s="32" t="s">
        <v>134</v>
      </c>
      <c r="N3" s="16"/>
      <c r="O3" s="16"/>
    </row>
    <row r="4" spans="1:16" s="32" customFormat="1" ht="20.100000000000001" customHeight="1">
      <c r="A4" s="19" t="str">
        <f>底稿目录!A3</f>
        <v>截止日：202X年12月31日</v>
      </c>
      <c r="B4" s="20" t="str">
        <f>底稿目录!A6</f>
        <v>复核人：</v>
      </c>
      <c r="C4" s="21" t="str">
        <f>底稿目录!A7</f>
        <v>复核日期：</v>
      </c>
      <c r="D4" s="17" t="s">
        <v>40</v>
      </c>
      <c r="N4" s="16"/>
      <c r="O4" s="16"/>
    </row>
    <row r="5" spans="1:16" s="114" customFormat="1" ht="20.100000000000001" customHeight="1" thickBot="1">
      <c r="A5" s="112" t="s">
        <v>18</v>
      </c>
      <c r="B5" s="113"/>
      <c r="C5" s="113"/>
      <c r="D5" s="113"/>
      <c r="E5" s="113"/>
    </row>
    <row r="6" spans="1:16" s="117" customFormat="1" ht="20.100000000000001" customHeight="1" thickBot="1">
      <c r="A6" s="115" t="s">
        <v>121</v>
      </c>
      <c r="B6" s="116" t="s">
        <v>127</v>
      </c>
      <c r="C6" s="116" t="s">
        <v>4</v>
      </c>
      <c r="D6" s="116" t="s">
        <v>5</v>
      </c>
      <c r="E6" s="116" t="s">
        <v>46</v>
      </c>
    </row>
    <row r="7" spans="1:16" s="117" customFormat="1" ht="20.100000000000001" customHeight="1">
      <c r="A7" s="118" t="s">
        <v>19</v>
      </c>
      <c r="B7" s="119">
        <f>'明细表M5-2'!N12</f>
        <v>0</v>
      </c>
      <c r="C7" s="119">
        <f>'明细表M5-2'!O12</f>
        <v>0</v>
      </c>
      <c r="D7" s="119">
        <f>'明细表M5-2'!P12</f>
        <v>0</v>
      </c>
      <c r="E7" s="120">
        <f>B7+C7-D7</f>
        <v>0</v>
      </c>
    </row>
    <row r="8" spans="1:16" s="117" customFormat="1" ht="20.100000000000001" customHeight="1">
      <c r="A8" s="118" t="s">
        <v>20</v>
      </c>
      <c r="B8" s="119">
        <f>'明细表M5-2'!N13</f>
        <v>0</v>
      </c>
      <c r="C8" s="119">
        <f>'明细表M5-2'!O13</f>
        <v>0</v>
      </c>
      <c r="D8" s="119">
        <f>'明细表M5-2'!P13</f>
        <v>0</v>
      </c>
      <c r="E8" s="120">
        <f t="shared" ref="E8:E10" si="0">B8+C8-D8</f>
        <v>0</v>
      </c>
    </row>
    <row r="9" spans="1:16" s="117" customFormat="1" ht="20.100000000000001" customHeight="1">
      <c r="A9" s="118" t="s">
        <v>21</v>
      </c>
      <c r="B9" s="119">
        <f>'明细表M5-2'!N14</f>
        <v>0</v>
      </c>
      <c r="C9" s="119">
        <f>'明细表M5-2'!O14</f>
        <v>0</v>
      </c>
      <c r="D9" s="119">
        <f>'明细表M5-2'!P14</f>
        <v>0</v>
      </c>
      <c r="E9" s="120">
        <f>B9+C9-D9</f>
        <v>0</v>
      </c>
    </row>
    <row r="10" spans="1:16" s="117" customFormat="1" ht="20.100000000000001" customHeight="1" thickBot="1">
      <c r="A10" s="121" t="s">
        <v>3</v>
      </c>
      <c r="B10" s="119">
        <f>'明细表M5-2'!N15</f>
        <v>0</v>
      </c>
      <c r="C10" s="119">
        <f>'明细表M5-2'!O15</f>
        <v>0</v>
      </c>
      <c r="D10" s="119">
        <f>'明细表M5-2'!P15</f>
        <v>0</v>
      </c>
      <c r="E10" s="120">
        <f t="shared" si="0"/>
        <v>0</v>
      </c>
    </row>
    <row r="11" spans="1:16" s="117" customFormat="1" ht="20.100000000000001" customHeight="1" thickBot="1">
      <c r="A11" s="122" t="s">
        <v>122</v>
      </c>
      <c r="B11" s="123">
        <f>SUM(B7:B10)</f>
        <v>0</v>
      </c>
      <c r="C11" s="123">
        <f t="shared" ref="C11:E11" si="1">SUM(C7:C10)</f>
        <v>0</v>
      </c>
      <c r="D11" s="123">
        <f t="shared" si="1"/>
        <v>0</v>
      </c>
      <c r="E11" s="123">
        <f t="shared" si="1"/>
        <v>0</v>
      </c>
    </row>
    <row r="12" spans="1:16" s="117" customFormat="1" ht="20.100000000000001" customHeight="1">
      <c r="A12" s="124" t="s">
        <v>47</v>
      </c>
      <c r="B12" s="125"/>
      <c r="C12" s="125"/>
      <c r="D12" s="125"/>
      <c r="E12" s="125"/>
    </row>
  </sheetData>
  <mergeCells count="2">
    <mergeCell ref="A1:E1"/>
    <mergeCell ref="A2:E2"/>
  </mergeCells>
  <phoneticPr fontId="18" type="noConversion"/>
  <pageMargins left="0.70866141732283472" right="0.70866141732283472" top="0.74803149606299213" bottom="0.74803149606299213" header="0.31496062992125984" footer="0.31496062992125984"/>
  <pageSetup paperSize="9" scale="98" orientation="landscape" blackAndWhite="1"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Q38"/>
  <sheetViews>
    <sheetView view="pageBreakPreview" zoomScaleNormal="115" zoomScaleSheetLayoutView="100" workbookViewId="0">
      <selection sqref="A1:Q1"/>
    </sheetView>
  </sheetViews>
  <sheetFormatPr defaultColWidth="9" defaultRowHeight="15.6"/>
  <cols>
    <col min="1" max="1" width="16.59765625" style="34" customWidth="1"/>
    <col min="2" max="2" width="10" style="34" customWidth="1"/>
    <col min="3" max="3" width="9.19921875" style="34" customWidth="1"/>
    <col min="4" max="5" width="9" style="34"/>
    <col min="6" max="6" width="9.19921875" style="34" customWidth="1"/>
    <col min="7" max="7" width="8.59765625" style="34" customWidth="1"/>
    <col min="8" max="10" width="9" style="34"/>
    <col min="11" max="11" width="10.5" style="34" customWidth="1"/>
    <col min="12" max="16384" width="9" style="34"/>
  </cols>
  <sheetData>
    <row r="1" spans="1:17" s="33" customFormat="1" ht="20.100000000000001" customHeight="1">
      <c r="A1" s="236" t="s">
        <v>39</v>
      </c>
      <c r="B1" s="236"/>
      <c r="C1" s="236"/>
      <c r="D1" s="236"/>
      <c r="E1" s="236"/>
      <c r="F1" s="236"/>
      <c r="G1" s="236"/>
      <c r="H1" s="236"/>
      <c r="I1" s="236"/>
      <c r="J1" s="236"/>
      <c r="K1" s="236"/>
      <c r="L1" s="236"/>
      <c r="M1" s="236"/>
      <c r="N1" s="236"/>
      <c r="O1" s="236"/>
      <c r="P1" s="236"/>
      <c r="Q1" s="236"/>
    </row>
    <row r="2" spans="1:17" s="33" customFormat="1" ht="25.05" customHeight="1">
      <c r="A2" s="238" t="s">
        <v>9</v>
      </c>
      <c r="B2" s="238"/>
      <c r="C2" s="238"/>
      <c r="D2" s="238"/>
      <c r="E2" s="238"/>
      <c r="F2" s="238"/>
      <c r="G2" s="238"/>
      <c r="H2" s="238"/>
      <c r="I2" s="238"/>
      <c r="J2" s="238"/>
      <c r="K2" s="238"/>
      <c r="L2" s="238"/>
      <c r="M2" s="238"/>
      <c r="N2" s="238"/>
      <c r="O2" s="238"/>
      <c r="P2" s="238"/>
      <c r="Q2" s="238"/>
    </row>
    <row r="3" spans="1:17" s="32" customFormat="1" ht="20.100000000000001" customHeight="1">
      <c r="A3" s="32" t="str">
        <f>底稿目录!A2</f>
        <v>被审计单位：</v>
      </c>
      <c r="E3" s="32" t="str">
        <f>底稿目录!A4</f>
        <v>编制人：</v>
      </c>
      <c r="I3" s="187"/>
      <c r="K3" s="83" t="str">
        <f>底稿目录!A5</f>
        <v>编制日期：</v>
      </c>
      <c r="L3" s="83"/>
      <c r="P3" s="83" t="s">
        <v>112</v>
      </c>
      <c r="Q3" s="185" t="str">
        <f>底稿目录!F8</f>
        <v>M5-2</v>
      </c>
    </row>
    <row r="4" spans="1:17" s="32" customFormat="1" ht="20.100000000000001" customHeight="1">
      <c r="A4" s="32" t="str">
        <f>底稿目录!A3</f>
        <v>截止日：202X年12月31日</v>
      </c>
      <c r="E4" s="32" t="str">
        <f>底稿目录!A6</f>
        <v>复核人：</v>
      </c>
      <c r="I4" s="187"/>
      <c r="K4" s="83" t="str">
        <f>底稿目录!A7</f>
        <v>复核日期：</v>
      </c>
      <c r="L4" s="83"/>
      <c r="P4" s="83" t="s">
        <v>231</v>
      </c>
    </row>
    <row r="5" spans="1:17" s="61" customFormat="1" ht="20.100000000000001" customHeight="1">
      <c r="A5" s="59" t="s">
        <v>48</v>
      </c>
      <c r="G5" s="62"/>
      <c r="J5" s="63"/>
      <c r="M5" s="64"/>
    </row>
    <row r="6" spans="1:17" s="61" customFormat="1" ht="20.100000000000001" customHeight="1">
      <c r="A6" s="144" t="s">
        <v>147</v>
      </c>
      <c r="B6" s="65"/>
      <c r="G6" s="62"/>
      <c r="J6" s="63"/>
      <c r="M6" s="64"/>
    </row>
    <row r="7" spans="1:17" s="61" customFormat="1" ht="20.100000000000001" customHeight="1">
      <c r="A7" s="144" t="s">
        <v>146</v>
      </c>
      <c r="B7" s="65"/>
      <c r="G7" s="62"/>
      <c r="J7" s="63"/>
      <c r="M7" s="64"/>
    </row>
    <row r="8" spans="1:17" s="61" customFormat="1" ht="20.100000000000001" customHeight="1">
      <c r="A8" s="66" t="s">
        <v>49</v>
      </c>
      <c r="G8" s="67"/>
      <c r="J8" s="63"/>
      <c r="M8" s="64"/>
    </row>
    <row r="9" spans="1:17" ht="20.100000000000001" customHeight="1">
      <c r="A9" s="250" t="s">
        <v>2</v>
      </c>
      <c r="B9" s="253" t="s">
        <v>67</v>
      </c>
      <c r="C9" s="253"/>
      <c r="D9" s="253"/>
      <c r="E9" s="253"/>
      <c r="F9" s="253"/>
      <c r="G9" s="253"/>
      <c r="H9" s="254" t="s">
        <v>69</v>
      </c>
      <c r="I9" s="254"/>
      <c r="J9" s="254" t="s">
        <v>70</v>
      </c>
      <c r="K9" s="249"/>
      <c r="L9" s="239" t="s">
        <v>71</v>
      </c>
      <c r="M9" s="240"/>
      <c r="N9" s="241" t="s">
        <v>57</v>
      </c>
      <c r="O9" s="242"/>
      <c r="P9" s="242"/>
      <c r="Q9" s="243"/>
    </row>
    <row r="10" spans="1:17" ht="20.100000000000001" customHeight="1">
      <c r="A10" s="251"/>
      <c r="B10" s="257" t="s">
        <v>55</v>
      </c>
      <c r="C10" s="244" t="s">
        <v>58</v>
      </c>
      <c r="D10" s="244"/>
      <c r="E10" s="244" t="s">
        <v>59</v>
      </c>
      <c r="F10" s="244"/>
      <c r="G10" s="255" t="s">
        <v>60</v>
      </c>
      <c r="H10" s="245" t="s">
        <v>61</v>
      </c>
      <c r="I10" s="245" t="s">
        <v>62</v>
      </c>
      <c r="J10" s="247" t="s">
        <v>63</v>
      </c>
      <c r="K10" s="247" t="s">
        <v>64</v>
      </c>
      <c r="L10" s="249" t="s">
        <v>63</v>
      </c>
      <c r="M10" s="249" t="s">
        <v>64</v>
      </c>
      <c r="N10" s="237" t="s">
        <v>55</v>
      </c>
      <c r="O10" s="237" t="s">
        <v>58</v>
      </c>
      <c r="P10" s="237" t="s">
        <v>59</v>
      </c>
      <c r="Q10" s="237" t="s">
        <v>56</v>
      </c>
    </row>
    <row r="11" spans="1:17" ht="20.100000000000001" customHeight="1">
      <c r="A11" s="252"/>
      <c r="B11" s="258"/>
      <c r="C11" s="145" t="s">
        <v>66</v>
      </c>
      <c r="D11" s="146" t="s">
        <v>65</v>
      </c>
      <c r="E11" s="145" t="s">
        <v>66</v>
      </c>
      <c r="F11" s="146" t="s">
        <v>68</v>
      </c>
      <c r="G11" s="256"/>
      <c r="H11" s="246"/>
      <c r="I11" s="246"/>
      <c r="J11" s="248"/>
      <c r="K11" s="248"/>
      <c r="L11" s="249"/>
      <c r="M11" s="249"/>
      <c r="N11" s="237"/>
      <c r="O11" s="237"/>
      <c r="P11" s="237"/>
      <c r="Q11" s="237"/>
    </row>
    <row r="12" spans="1:17" s="35" customFormat="1" ht="20.100000000000001" customHeight="1">
      <c r="A12" s="7" t="s">
        <v>10</v>
      </c>
      <c r="B12" s="37"/>
      <c r="C12" s="37"/>
      <c r="D12" s="37"/>
      <c r="E12" s="37"/>
      <c r="F12" s="37"/>
      <c r="G12" s="138">
        <f>B12+C12-E12</f>
        <v>0</v>
      </c>
      <c r="H12" s="37"/>
      <c r="I12" s="37"/>
      <c r="J12" s="37"/>
      <c r="K12" s="37"/>
      <c r="L12" s="37"/>
      <c r="M12" s="37"/>
      <c r="N12" s="138">
        <f>B12+H12+I12</f>
        <v>0</v>
      </c>
      <c r="O12" s="138">
        <f>C12+J12+L12</f>
        <v>0</v>
      </c>
      <c r="P12" s="138">
        <f>E12+K12+M12</f>
        <v>0</v>
      </c>
      <c r="Q12" s="138">
        <f>N12+O12-P12</f>
        <v>0</v>
      </c>
    </row>
    <row r="13" spans="1:17" s="35" customFormat="1" ht="20.100000000000001" customHeight="1">
      <c r="A13" s="7" t="s">
        <v>11</v>
      </c>
      <c r="B13" s="37"/>
      <c r="C13" s="37"/>
      <c r="D13" s="37"/>
      <c r="E13" s="37"/>
      <c r="F13" s="37"/>
      <c r="G13" s="138">
        <f t="shared" ref="G13:G15" si="0">B13+C13-E13</f>
        <v>0</v>
      </c>
      <c r="H13" s="37"/>
      <c r="I13" s="37"/>
      <c r="J13" s="37"/>
      <c r="K13" s="37"/>
      <c r="L13" s="37"/>
      <c r="M13" s="37"/>
      <c r="N13" s="138">
        <f t="shared" ref="N13:N15" si="1">B13+H13+I13</f>
        <v>0</v>
      </c>
      <c r="O13" s="138">
        <f t="shared" ref="O13:O15" si="2">C13+J13+L13</f>
        <v>0</v>
      </c>
      <c r="P13" s="138">
        <f t="shared" ref="P13:P15" si="3">E13+K13+M13</f>
        <v>0</v>
      </c>
      <c r="Q13" s="138">
        <f t="shared" ref="Q13:Q15" si="4">N13+O13-P13</f>
        <v>0</v>
      </c>
    </row>
    <row r="14" spans="1:17" s="35" customFormat="1" ht="20.100000000000001" customHeight="1">
      <c r="A14" s="7" t="s">
        <v>73</v>
      </c>
      <c r="B14" s="37"/>
      <c r="C14" s="37"/>
      <c r="D14" s="37"/>
      <c r="E14" s="37"/>
      <c r="F14" s="37"/>
      <c r="G14" s="138">
        <f t="shared" si="0"/>
        <v>0</v>
      </c>
      <c r="H14" s="37"/>
      <c r="I14" s="37"/>
      <c r="J14" s="37"/>
      <c r="K14" s="37"/>
      <c r="L14" s="37"/>
      <c r="M14" s="37"/>
      <c r="N14" s="138">
        <f t="shared" si="1"/>
        <v>0</v>
      </c>
      <c r="O14" s="138">
        <f t="shared" si="2"/>
        <v>0</v>
      </c>
      <c r="P14" s="138">
        <f t="shared" si="3"/>
        <v>0</v>
      </c>
      <c r="Q14" s="138">
        <f t="shared" si="4"/>
        <v>0</v>
      </c>
    </row>
    <row r="15" spans="1:17" s="35" customFormat="1" ht="20.100000000000001" customHeight="1">
      <c r="A15" s="7" t="s">
        <v>74</v>
      </c>
      <c r="B15" s="37"/>
      <c r="C15" s="37"/>
      <c r="D15" s="37"/>
      <c r="E15" s="37"/>
      <c r="F15" s="37"/>
      <c r="G15" s="138">
        <f t="shared" si="0"/>
        <v>0</v>
      </c>
      <c r="H15" s="37"/>
      <c r="I15" s="37"/>
      <c r="J15" s="37"/>
      <c r="K15" s="37"/>
      <c r="L15" s="37"/>
      <c r="M15" s="37"/>
      <c r="N15" s="138">
        <f t="shared" si="1"/>
        <v>0</v>
      </c>
      <c r="O15" s="138">
        <f t="shared" si="2"/>
        <v>0</v>
      </c>
      <c r="P15" s="138">
        <f t="shared" si="3"/>
        <v>0</v>
      </c>
      <c r="Q15" s="138">
        <f t="shared" si="4"/>
        <v>0</v>
      </c>
    </row>
    <row r="16" spans="1:17" s="36" customFormat="1" ht="20.100000000000001" customHeight="1">
      <c r="A16" s="6" t="s">
        <v>41</v>
      </c>
      <c r="B16" s="139">
        <f t="shared" ref="B16:Q16" si="5">SUM(B12:B15)</f>
        <v>0</v>
      </c>
      <c r="C16" s="139">
        <f t="shared" si="5"/>
        <v>0</v>
      </c>
      <c r="D16" s="139"/>
      <c r="E16" s="139">
        <f t="shared" si="5"/>
        <v>0</v>
      </c>
      <c r="F16" s="139"/>
      <c r="G16" s="139">
        <f t="shared" si="5"/>
        <v>0</v>
      </c>
      <c r="H16" s="139">
        <f t="shared" si="5"/>
        <v>0</v>
      </c>
      <c r="I16" s="139">
        <f t="shared" si="5"/>
        <v>0</v>
      </c>
      <c r="J16" s="139">
        <f t="shared" si="5"/>
        <v>0</v>
      </c>
      <c r="K16" s="139">
        <f t="shared" si="5"/>
        <v>0</v>
      </c>
      <c r="L16" s="139">
        <f t="shared" si="5"/>
        <v>0</v>
      </c>
      <c r="M16" s="139">
        <f t="shared" si="5"/>
        <v>0</v>
      </c>
      <c r="N16" s="139">
        <f t="shared" si="5"/>
        <v>0</v>
      </c>
      <c r="O16" s="139">
        <f t="shared" si="5"/>
        <v>0</v>
      </c>
      <c r="P16" s="139">
        <f t="shared" si="5"/>
        <v>0</v>
      </c>
      <c r="Q16" s="139">
        <f t="shared" si="5"/>
        <v>0</v>
      </c>
    </row>
    <row r="17" spans="1:17" s="35" customFormat="1" ht="20.100000000000001" customHeight="1">
      <c r="A17" s="70" t="s">
        <v>50</v>
      </c>
      <c r="B17" s="39"/>
      <c r="C17" s="39"/>
      <c r="D17" s="39"/>
      <c r="E17" s="39"/>
      <c r="F17" s="39"/>
      <c r="G17" s="39"/>
      <c r="H17" s="39"/>
      <c r="I17" s="39"/>
      <c r="J17" s="39"/>
      <c r="K17" s="39"/>
      <c r="L17" s="72"/>
      <c r="M17" s="72"/>
      <c r="N17" s="72"/>
      <c r="O17" s="72"/>
      <c r="P17" s="72"/>
      <c r="Q17" s="72"/>
    </row>
    <row r="18" spans="1:17" s="35" customFormat="1" ht="20.100000000000001" customHeight="1">
      <c r="A18" s="50"/>
      <c r="B18" s="32"/>
      <c r="C18" s="32"/>
      <c r="D18" s="32"/>
      <c r="E18" s="32"/>
      <c r="F18" s="32"/>
      <c r="G18" s="32"/>
      <c r="H18" s="32"/>
      <c r="I18" s="32"/>
      <c r="J18" s="32"/>
      <c r="K18" s="32"/>
    </row>
    <row r="19" spans="1:17" s="35" customFormat="1" ht="20.100000000000001" customHeight="1">
      <c r="A19" s="71" t="s">
        <v>51</v>
      </c>
      <c r="B19" s="32"/>
      <c r="C19" s="32"/>
      <c r="D19" s="32"/>
      <c r="E19" s="32"/>
      <c r="F19" s="32"/>
      <c r="G19" s="32"/>
      <c r="H19" s="32"/>
      <c r="I19" s="32"/>
      <c r="J19" s="32"/>
      <c r="K19" s="32"/>
    </row>
    <row r="20" spans="1:17" s="35" customFormat="1" ht="20.100000000000001" customHeight="1">
      <c r="A20" s="32"/>
      <c r="B20" s="32"/>
      <c r="C20" s="32"/>
      <c r="D20" s="32"/>
      <c r="E20" s="32"/>
      <c r="F20" s="32"/>
      <c r="G20" s="32"/>
      <c r="H20" s="32"/>
      <c r="I20" s="32"/>
      <c r="J20" s="32"/>
      <c r="K20" s="32"/>
    </row>
    <row r="21" spans="1:17" s="35" customFormat="1" ht="20.100000000000001" customHeight="1">
      <c r="A21" s="32"/>
      <c r="B21" s="32"/>
      <c r="C21" s="32"/>
      <c r="D21" s="32"/>
      <c r="E21" s="32"/>
      <c r="F21" s="32"/>
      <c r="G21" s="32"/>
      <c r="H21" s="32"/>
      <c r="I21" s="32"/>
      <c r="J21" s="32"/>
      <c r="K21" s="32"/>
    </row>
    <row r="22" spans="1:17" s="35" customFormat="1" ht="14.1" customHeight="1"/>
    <row r="23" spans="1:17" s="35" customFormat="1" ht="14.1" customHeight="1">
      <c r="A23" s="167" t="s">
        <v>201</v>
      </c>
    </row>
    <row r="24" spans="1:17">
      <c r="A24" s="54" t="s">
        <v>269</v>
      </c>
    </row>
    <row r="25" spans="1:17">
      <c r="A25" s="54" t="s">
        <v>202</v>
      </c>
    </row>
    <row r="26" spans="1:17">
      <c r="A26" s="56" t="s">
        <v>42</v>
      </c>
    </row>
    <row r="27" spans="1:17">
      <c r="A27" s="56" t="s">
        <v>13</v>
      </c>
    </row>
    <row r="28" spans="1:17">
      <c r="A28" s="54" t="s">
        <v>203</v>
      </c>
    </row>
    <row r="29" spans="1:17">
      <c r="A29" s="56" t="s">
        <v>43</v>
      </c>
    </row>
    <row r="30" spans="1:17">
      <c r="A30" s="54" t="s">
        <v>204</v>
      </c>
    </row>
    <row r="31" spans="1:17">
      <c r="A31" s="56" t="s">
        <v>15</v>
      </c>
    </row>
    <row r="32" spans="1:17">
      <c r="A32" s="56" t="s">
        <v>16</v>
      </c>
    </row>
    <row r="33" spans="1:11">
      <c r="A33" s="56" t="s">
        <v>270</v>
      </c>
    </row>
    <row r="34" spans="1:11">
      <c r="A34" s="56" t="s">
        <v>17</v>
      </c>
    </row>
    <row r="35" spans="1:11">
      <c r="A35" s="54" t="s">
        <v>271</v>
      </c>
    </row>
    <row r="36" spans="1:11">
      <c r="A36" s="54" t="s">
        <v>272</v>
      </c>
    </row>
    <row r="37" spans="1:11" s="35" customFormat="1" ht="15.6" customHeight="1">
      <c r="A37" s="161" t="s">
        <v>205</v>
      </c>
      <c r="B37" s="32"/>
      <c r="C37" s="32"/>
      <c r="D37" s="32"/>
      <c r="E37" s="32"/>
      <c r="F37" s="32"/>
      <c r="G37" s="32"/>
      <c r="H37" s="32"/>
      <c r="I37" s="32"/>
      <c r="J37" s="32"/>
      <c r="K37" s="32"/>
    </row>
    <row r="38" spans="1:11" s="35" customFormat="1" ht="14.1" customHeight="1">
      <c r="A38" s="168" t="s">
        <v>206</v>
      </c>
      <c r="B38" s="32"/>
      <c r="C38" s="32"/>
      <c r="D38" s="32"/>
      <c r="E38" s="32"/>
      <c r="F38" s="32"/>
      <c r="G38" s="32"/>
      <c r="H38" s="32"/>
      <c r="I38" s="32"/>
      <c r="J38" s="32"/>
      <c r="K38" s="32"/>
    </row>
  </sheetData>
  <dataConsolidate/>
  <mergeCells count="22">
    <mergeCell ref="B9:G9"/>
    <mergeCell ref="H9:I9"/>
    <mergeCell ref="J9:K9"/>
    <mergeCell ref="G10:G11"/>
    <mergeCell ref="B10:B11"/>
    <mergeCell ref="E10:F10"/>
    <mergeCell ref="N10:N11"/>
    <mergeCell ref="Q10:Q11"/>
    <mergeCell ref="A1:Q1"/>
    <mergeCell ref="A2:Q2"/>
    <mergeCell ref="L9:M9"/>
    <mergeCell ref="N9:Q9"/>
    <mergeCell ref="C10:D10"/>
    <mergeCell ref="H10:H11"/>
    <mergeCell ref="I10:I11"/>
    <mergeCell ref="J10:J11"/>
    <mergeCell ref="K10:K11"/>
    <mergeCell ref="L10:L11"/>
    <mergeCell ref="M10:M11"/>
    <mergeCell ref="O10:O11"/>
    <mergeCell ref="P10:P11"/>
    <mergeCell ref="A9:A11"/>
  </mergeCells>
  <phoneticPr fontId="18" type="noConversion"/>
  <dataValidations count="2">
    <dataValidation type="list" allowBlank="1" showInputMessage="1" showErrorMessage="1" prompt="若要修改“增加方式”的选项，可以单击“数据-数据验证-设置-验证条件：允许”选择“序列”方式，在“来源”处修改选择。" sqref="D12:D15">
      <formula1>"利润提取,公益金转入,其他"</formula1>
    </dataValidation>
    <dataValidation type="list" allowBlank="1" showInputMessage="1" showErrorMessage="1" prompt="若要修改“减少方式”的选项，可以单击“数据-数据验证-设置-验证条件：允许”选择“序列”方式，在“来源”处修改选择。" sqref="F12:F15">
      <formula1>"转增股本,弥补亏损,分配股利,其他"</formula1>
    </dataValidation>
  </dataValidations>
  <hyperlinks>
    <hyperlink ref="Q3" location="底稿目录!A1" display="底稿目录!A1"/>
  </hyperlinks>
  <printOptions horizontalCentered="1"/>
  <pageMargins left="0.70866141732283472" right="0.70866141732283472" top="0.74803149606299213" bottom="0.74803149606299213" header="0.31496062992125984" footer="0.31496062992125984"/>
  <pageSetup paperSize="9" scale="75" orientation="landscape" blackAndWhite="1" r:id="rId1"/>
  <headerFooter alignWithMargins="0">
    <oddFooter>&amp;C&amp;P/&amp;N</oddFooter>
  </headerFooter>
  <ignoredErrors>
    <ignoredError sqref="A3:K4"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view="pageBreakPreview" zoomScaleNormal="100" zoomScaleSheetLayoutView="100" workbookViewId="0">
      <selection sqref="A1:J1"/>
    </sheetView>
  </sheetViews>
  <sheetFormatPr defaultRowHeight="15.6"/>
  <cols>
    <col min="1" max="1" width="19.796875" customWidth="1"/>
    <col min="2" max="2" width="14.59765625" customWidth="1"/>
    <col min="3" max="3" width="9.3984375" customWidth="1"/>
    <col min="4" max="4" width="14" customWidth="1"/>
    <col min="5" max="5" width="14.09765625" customWidth="1"/>
    <col min="7" max="7" width="10.296875" customWidth="1"/>
    <col min="8" max="8" width="10.69921875" customWidth="1"/>
    <col min="9" max="9" width="9.5" customWidth="1"/>
    <col min="10" max="10" width="11" customWidth="1"/>
  </cols>
  <sheetData>
    <row r="1" spans="1:10" ht="19.95" customHeight="1">
      <c r="A1" s="227" t="s">
        <v>39</v>
      </c>
      <c r="B1" s="227"/>
      <c r="C1" s="227"/>
      <c r="D1" s="227"/>
      <c r="E1" s="227"/>
      <c r="F1" s="227"/>
      <c r="G1" s="227"/>
      <c r="H1" s="227"/>
      <c r="I1" s="227"/>
      <c r="J1" s="227"/>
    </row>
    <row r="2" spans="1:10" ht="19.95" customHeight="1">
      <c r="A2" s="228" t="s">
        <v>232</v>
      </c>
      <c r="B2" s="228"/>
      <c r="C2" s="228"/>
      <c r="D2" s="228"/>
      <c r="E2" s="228"/>
      <c r="F2" s="228"/>
      <c r="G2" s="228"/>
      <c r="H2" s="228"/>
      <c r="I2" s="228"/>
      <c r="J2" s="228"/>
    </row>
    <row r="3" spans="1:10" ht="19.95" customHeight="1">
      <c r="A3" s="19" t="str">
        <f>底稿目录!A2</f>
        <v>被审计单位：</v>
      </c>
      <c r="B3" s="19"/>
      <c r="C3" s="19"/>
      <c r="D3" s="19" t="str">
        <f>底稿目录!A4</f>
        <v>编制人：</v>
      </c>
      <c r="E3" s="19"/>
      <c r="F3" s="20"/>
      <c r="G3" s="19" t="str">
        <f>底稿目录!A5</f>
        <v>编制日期：</v>
      </c>
      <c r="H3" s="19"/>
      <c r="I3" s="186" t="s">
        <v>0</v>
      </c>
      <c r="J3" s="185" t="str">
        <f>底稿目录!F9</f>
        <v>M5-3</v>
      </c>
    </row>
    <row r="4" spans="1:10" ht="19.95" customHeight="1">
      <c r="A4" s="19" t="str">
        <f>底稿目录!A3</f>
        <v>截止日：202X年12月31日</v>
      </c>
      <c r="B4" s="19"/>
      <c r="C4" s="19"/>
      <c r="D4" s="19" t="str">
        <f>底稿目录!A6</f>
        <v>复核人：</v>
      </c>
      <c r="E4" s="19"/>
      <c r="F4" s="20"/>
      <c r="G4" s="19" t="str">
        <f>底稿目录!A7</f>
        <v>复核日期：</v>
      </c>
      <c r="H4" s="19"/>
      <c r="I4" s="186" t="s">
        <v>229</v>
      </c>
      <c r="J4" s="19"/>
    </row>
    <row r="5" spans="1:10" ht="31.2" customHeight="1">
      <c r="A5" s="190" t="s">
        <v>234</v>
      </c>
      <c r="B5" s="191" t="s">
        <v>235</v>
      </c>
      <c r="C5" s="192" t="s">
        <v>236</v>
      </c>
      <c r="D5" s="192" t="s">
        <v>237</v>
      </c>
      <c r="E5" s="156" t="s">
        <v>238</v>
      </c>
      <c r="F5" s="156" t="s">
        <v>119</v>
      </c>
      <c r="G5" s="156" t="s">
        <v>187</v>
      </c>
      <c r="H5" s="156" t="s">
        <v>239</v>
      </c>
      <c r="I5" s="156" t="s">
        <v>240</v>
      </c>
      <c r="J5" s="156" t="s">
        <v>241</v>
      </c>
    </row>
    <row r="6" spans="1:10" ht="19.95" customHeight="1">
      <c r="A6" s="157"/>
      <c r="B6" s="157"/>
      <c r="C6" s="157"/>
      <c r="D6" s="157"/>
      <c r="E6" s="157"/>
      <c r="F6" s="157"/>
      <c r="G6" s="157"/>
      <c r="H6" s="157"/>
      <c r="I6" s="157"/>
      <c r="J6" s="157"/>
    </row>
    <row r="7" spans="1:10" ht="19.95" customHeight="1">
      <c r="A7" s="158"/>
      <c r="B7" s="157"/>
      <c r="C7" s="157"/>
      <c r="D7" s="157"/>
      <c r="E7" s="157"/>
      <c r="F7" s="157"/>
      <c r="G7" s="157"/>
      <c r="H7" s="157"/>
      <c r="I7" s="157"/>
      <c r="J7" s="157"/>
    </row>
    <row r="8" spans="1:10" ht="19.95" customHeight="1">
      <c r="A8" s="159"/>
      <c r="B8" s="157"/>
      <c r="C8" s="157"/>
      <c r="D8" s="157"/>
      <c r="E8" s="157"/>
      <c r="F8" s="157"/>
      <c r="G8" s="157"/>
      <c r="H8" s="157"/>
      <c r="I8" s="157"/>
      <c r="J8" s="157"/>
    </row>
    <row r="9" spans="1:10" ht="19.95" customHeight="1">
      <c r="A9" s="159"/>
      <c r="B9" s="157"/>
      <c r="C9" s="157"/>
      <c r="D9" s="157"/>
      <c r="E9" s="157"/>
      <c r="F9" s="157"/>
      <c r="G9" s="157"/>
      <c r="H9" s="157"/>
      <c r="I9" s="157"/>
      <c r="J9" s="157"/>
    </row>
    <row r="10" spans="1:10" ht="19.95" customHeight="1">
      <c r="A10" s="159"/>
      <c r="B10" s="157"/>
      <c r="C10" s="157"/>
      <c r="D10" s="157"/>
      <c r="E10" s="157"/>
      <c r="F10" s="157"/>
      <c r="G10" s="157"/>
      <c r="H10" s="157"/>
      <c r="I10" s="157"/>
      <c r="J10" s="157"/>
    </row>
    <row r="11" spans="1:10" ht="19.95" customHeight="1">
      <c r="A11" s="109"/>
      <c r="B11" s="157"/>
      <c r="C11" s="157"/>
      <c r="D11" s="157"/>
      <c r="E11" s="157"/>
      <c r="F11" s="157"/>
      <c r="G11" s="157"/>
      <c r="H11" s="157"/>
      <c r="I11" s="157"/>
      <c r="J11" s="157"/>
    </row>
    <row r="12" spans="1:10" ht="19.95" customHeight="1">
      <c r="A12" s="159"/>
      <c r="B12" s="157"/>
      <c r="C12" s="157"/>
      <c r="D12" s="157"/>
      <c r="E12" s="157"/>
      <c r="F12" s="157"/>
      <c r="G12" s="157"/>
      <c r="H12" s="157"/>
      <c r="I12" s="157"/>
      <c r="J12" s="157"/>
    </row>
    <row r="13" spans="1:10" ht="19.95" customHeight="1">
      <c r="A13" s="159"/>
      <c r="B13" s="157"/>
      <c r="C13" s="157"/>
      <c r="D13" s="157"/>
      <c r="E13" s="157"/>
      <c r="F13" s="157"/>
      <c r="G13" s="157"/>
      <c r="H13" s="157"/>
      <c r="I13" s="157"/>
      <c r="J13" s="157"/>
    </row>
    <row r="14" spans="1:10" ht="19.95" customHeight="1">
      <c r="A14" s="159"/>
      <c r="B14" s="157"/>
      <c r="C14" s="157"/>
      <c r="D14" s="157"/>
      <c r="E14" s="157"/>
      <c r="F14" s="157"/>
      <c r="G14" s="157"/>
      <c r="H14" s="157"/>
      <c r="I14" s="157"/>
      <c r="J14" s="157"/>
    </row>
    <row r="15" spans="1:10" ht="19.95" customHeight="1">
      <c r="A15" s="159"/>
      <c r="B15" s="157"/>
      <c r="C15" s="157"/>
      <c r="D15" s="157"/>
      <c r="E15" s="157"/>
      <c r="F15" s="157"/>
      <c r="G15" s="157"/>
      <c r="H15" s="157"/>
      <c r="I15" s="157"/>
      <c r="J15" s="157"/>
    </row>
    <row r="16" spans="1:10" ht="19.95" customHeight="1">
      <c r="A16" s="159"/>
      <c r="B16" s="157"/>
      <c r="C16" s="157"/>
      <c r="D16" s="157"/>
      <c r="E16" s="157"/>
      <c r="F16" s="157"/>
      <c r="G16" s="157"/>
      <c r="H16" s="157"/>
      <c r="I16" s="157"/>
      <c r="J16" s="157"/>
    </row>
    <row r="17" spans="1:10" ht="19.95" customHeight="1">
      <c r="A17" s="159"/>
      <c r="B17" s="157"/>
      <c r="C17" s="157"/>
      <c r="D17" s="157"/>
      <c r="E17" s="157"/>
      <c r="F17" s="157"/>
      <c r="G17" s="157"/>
      <c r="H17" s="157"/>
      <c r="I17" s="157"/>
      <c r="J17" s="157"/>
    </row>
    <row r="18" spans="1:10" ht="19.95" customHeight="1">
      <c r="A18" s="159"/>
      <c r="B18" s="157"/>
      <c r="C18" s="157"/>
      <c r="D18" s="157"/>
      <c r="E18" s="157"/>
      <c r="F18" s="157"/>
      <c r="G18" s="157"/>
      <c r="H18" s="157"/>
      <c r="I18" s="157"/>
      <c r="J18" s="157"/>
    </row>
    <row r="19" spans="1:10" ht="19.95" customHeight="1">
      <c r="A19" s="159"/>
      <c r="B19" s="157"/>
      <c r="C19" s="157"/>
      <c r="D19" s="157"/>
      <c r="E19" s="157"/>
      <c r="F19" s="157"/>
      <c r="G19" s="157"/>
      <c r="H19" s="157"/>
      <c r="I19" s="157"/>
      <c r="J19" s="157"/>
    </row>
    <row r="20" spans="1:10" ht="19.95" customHeight="1">
      <c r="A20" s="159"/>
      <c r="B20" s="157"/>
      <c r="C20" s="157"/>
      <c r="D20" s="157"/>
      <c r="E20" s="157"/>
      <c r="F20" s="157"/>
      <c r="G20" s="157"/>
      <c r="H20" s="157"/>
      <c r="I20" s="157"/>
      <c r="J20" s="157"/>
    </row>
    <row r="21" spans="1:10">
      <c r="A21" s="111"/>
      <c r="B21" s="111"/>
      <c r="C21" s="111"/>
      <c r="D21" s="111"/>
      <c r="E21" s="111"/>
      <c r="F21" s="111"/>
      <c r="G21" s="111"/>
      <c r="H21" s="111"/>
      <c r="I21" s="111"/>
      <c r="J21" s="111"/>
    </row>
    <row r="22" spans="1:10">
      <c r="A22" s="111"/>
      <c r="B22" s="111"/>
      <c r="C22" s="111"/>
      <c r="D22" s="111"/>
      <c r="E22" s="111"/>
      <c r="F22" s="111"/>
      <c r="G22" s="111"/>
      <c r="H22" s="111"/>
      <c r="I22" s="111"/>
      <c r="J22" s="111"/>
    </row>
    <row r="23" spans="1:10">
      <c r="A23" s="111"/>
      <c r="B23" s="111"/>
      <c r="C23" s="111"/>
      <c r="D23" s="111"/>
      <c r="E23" s="111"/>
      <c r="F23" s="111"/>
      <c r="G23" s="111"/>
      <c r="H23" s="111"/>
      <c r="I23" s="111"/>
      <c r="J23" s="111"/>
    </row>
    <row r="24" spans="1:10">
      <c r="A24" s="111"/>
      <c r="B24" s="111"/>
      <c r="C24" s="111"/>
      <c r="D24" s="111"/>
      <c r="E24" s="111"/>
      <c r="F24" s="111"/>
      <c r="G24" s="111"/>
      <c r="H24" s="111"/>
      <c r="I24" s="111"/>
      <c r="J24" s="111"/>
    </row>
  </sheetData>
  <mergeCells count="2">
    <mergeCell ref="A1:J1"/>
    <mergeCell ref="A2:J2"/>
  </mergeCells>
  <phoneticPr fontId="18" type="noConversion"/>
  <dataValidations count="1">
    <dataValidation type="list" allowBlank="1" showInputMessage="1" showErrorMessage="1" sqref="B6:B20">
      <formula1>"账项调整,报表调整,其他"</formula1>
    </dataValidation>
  </dataValidations>
  <hyperlinks>
    <hyperlink ref="J3" location="底稿目录!A1" display="底稿目录!A1"/>
  </hyperlinks>
  <pageMargins left="0.70866141732283472" right="0.70866141732283472" top="0.74803149606299213" bottom="0.74803149606299213" header="0.31496062992125984" footer="0.31496062992125984"/>
  <pageSetup paperSize="9"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2"/>
  <sheetViews>
    <sheetView view="pageBreakPreview" zoomScaleSheetLayoutView="100" workbookViewId="0">
      <selection sqref="A1:D1"/>
    </sheetView>
  </sheetViews>
  <sheetFormatPr defaultColWidth="9" defaultRowHeight="15.6"/>
  <cols>
    <col min="1" max="1" width="38.19921875" style="34" customWidth="1"/>
    <col min="2" max="4" width="21.796875" style="34" customWidth="1"/>
    <col min="5" max="5" width="8.59765625" style="34" customWidth="1"/>
    <col min="6" max="6" width="8.796875" style="34" customWidth="1"/>
    <col min="7" max="16384" width="9" style="34"/>
  </cols>
  <sheetData>
    <row r="1" spans="1:9" s="33" customFormat="1" ht="19.95" customHeight="1">
      <c r="A1" s="236" t="s">
        <v>39</v>
      </c>
      <c r="B1" s="236"/>
      <c r="C1" s="236"/>
      <c r="D1" s="236"/>
      <c r="E1" s="57"/>
      <c r="F1" s="57"/>
      <c r="G1" s="57"/>
    </row>
    <row r="2" spans="1:9" s="33" customFormat="1" ht="19.95" customHeight="1">
      <c r="A2" s="238" t="s">
        <v>230</v>
      </c>
      <c r="B2" s="238"/>
      <c r="C2" s="238"/>
      <c r="D2" s="238"/>
      <c r="E2" s="57"/>
      <c r="F2" s="57"/>
      <c r="G2" s="57"/>
    </row>
    <row r="3" spans="1:9" s="32" customFormat="1" ht="19.95" customHeight="1">
      <c r="A3" s="32" t="str">
        <f>底稿目录!A2</f>
        <v>被审计单位：</v>
      </c>
      <c r="B3" s="32" t="str">
        <f>底稿目录!A4</f>
        <v>编制人：</v>
      </c>
      <c r="C3" s="83" t="str">
        <f>底稿目录!A5</f>
        <v>编制日期：</v>
      </c>
      <c r="D3" s="41" t="s">
        <v>135</v>
      </c>
    </row>
    <row r="4" spans="1:9" s="32" customFormat="1" ht="19.95" customHeight="1">
      <c r="A4" s="32" t="str">
        <f>底稿目录!A3</f>
        <v>截止日：202X年12月31日</v>
      </c>
      <c r="B4" s="32" t="str">
        <f>底稿目录!A6</f>
        <v>复核人：</v>
      </c>
      <c r="C4" s="83" t="str">
        <f>底稿目录!A7</f>
        <v>复核日期：</v>
      </c>
      <c r="D4" s="41" t="s">
        <v>79</v>
      </c>
    </row>
    <row r="5" spans="1:9" s="61" customFormat="1" ht="19.95" customHeight="1">
      <c r="A5" s="59" t="s">
        <v>48</v>
      </c>
      <c r="B5" s="60"/>
      <c r="E5" s="62"/>
      <c r="I5" s="64"/>
    </row>
    <row r="6" spans="1:9" s="61" customFormat="1" ht="19.95" customHeight="1">
      <c r="A6" s="144" t="s">
        <v>188</v>
      </c>
      <c r="B6" s="75"/>
      <c r="E6" s="62"/>
      <c r="I6" s="64"/>
    </row>
    <row r="7" spans="1:9" s="61" customFormat="1" ht="19.95" customHeight="1">
      <c r="A7" s="66" t="s">
        <v>49</v>
      </c>
      <c r="E7" s="67"/>
      <c r="I7" s="64"/>
    </row>
    <row r="8" spans="1:9" ht="19.95" customHeight="1">
      <c r="A8" s="81" t="s">
        <v>189</v>
      </c>
      <c r="B8" s="81" t="s">
        <v>80</v>
      </c>
      <c r="C8" s="81" t="s">
        <v>81</v>
      </c>
      <c r="D8" s="81" t="s">
        <v>82</v>
      </c>
    </row>
    <row r="9" spans="1:9" s="35" customFormat="1" ht="19.95" customHeight="1">
      <c r="A9" s="199" t="s">
        <v>265</v>
      </c>
      <c r="B9" s="86"/>
      <c r="C9" s="86"/>
      <c r="D9" s="138">
        <f>B9+C9</f>
        <v>0</v>
      </c>
    </row>
    <row r="10" spans="1:9" s="35" customFormat="1" ht="19.95" customHeight="1">
      <c r="A10" s="199" t="s">
        <v>261</v>
      </c>
      <c r="B10" s="86"/>
      <c r="C10" s="86"/>
      <c r="D10" s="138">
        <f t="shared" ref="D10:D11" si="0">B10+C10</f>
        <v>0</v>
      </c>
    </row>
    <row r="11" spans="1:9" s="35" customFormat="1" ht="19.95" customHeight="1">
      <c r="A11" s="199" t="s">
        <v>263</v>
      </c>
      <c r="B11" s="138">
        <f>B9-B10</f>
        <v>0</v>
      </c>
      <c r="C11" s="138">
        <f>C9-C10</f>
        <v>0</v>
      </c>
      <c r="D11" s="138">
        <f t="shared" si="0"/>
        <v>0</v>
      </c>
    </row>
    <row r="12" spans="1:9" s="35" customFormat="1" ht="19.95" customHeight="1">
      <c r="A12" s="199" t="s">
        <v>264</v>
      </c>
      <c r="B12" s="87">
        <v>0.1</v>
      </c>
      <c r="C12" s="86"/>
      <c r="D12" s="87">
        <v>0.1</v>
      </c>
    </row>
    <row r="13" spans="1:9" s="35" customFormat="1" ht="19.95" customHeight="1">
      <c r="A13" s="199" t="s">
        <v>262</v>
      </c>
      <c r="B13" s="138">
        <f>B11*B12</f>
        <v>0</v>
      </c>
      <c r="C13" s="138">
        <f>C11*C12</f>
        <v>0</v>
      </c>
      <c r="D13" s="138">
        <f>D11*D12</f>
        <v>0</v>
      </c>
    </row>
    <row r="14" spans="1:9" s="35" customFormat="1" ht="19.95" customHeight="1">
      <c r="A14" s="50" t="s">
        <v>190</v>
      </c>
      <c r="B14" s="32"/>
      <c r="C14" s="32"/>
      <c r="D14" s="32"/>
      <c r="E14" s="32"/>
      <c r="F14" s="32"/>
      <c r="G14" s="32"/>
    </row>
    <row r="15" spans="1:9" s="35" customFormat="1" ht="19.95" customHeight="1">
      <c r="A15" s="50"/>
      <c r="B15" s="32"/>
      <c r="C15" s="32"/>
      <c r="D15" s="32"/>
      <c r="E15" s="32"/>
      <c r="F15" s="32"/>
      <c r="G15" s="32"/>
    </row>
    <row r="16" spans="1:9" s="35" customFormat="1" ht="19.95" customHeight="1">
      <c r="A16" s="50" t="s">
        <v>83</v>
      </c>
      <c r="B16" s="32"/>
      <c r="C16" s="32"/>
      <c r="D16" s="32"/>
      <c r="E16" s="32"/>
      <c r="F16" s="32"/>
      <c r="G16" s="32"/>
    </row>
    <row r="17" spans="1:7" s="35" customFormat="1" ht="19.95" customHeight="1">
      <c r="A17" s="32"/>
      <c r="B17" s="32"/>
      <c r="C17" s="32"/>
      <c r="D17" s="32"/>
      <c r="E17" s="32"/>
      <c r="F17" s="32"/>
      <c r="G17" s="32"/>
    </row>
    <row r="18" spans="1:7" s="35" customFormat="1" ht="19.95" customHeight="1">
      <c r="A18" s="32"/>
      <c r="B18" s="32"/>
      <c r="C18" s="32"/>
      <c r="D18" s="32"/>
      <c r="E18" s="32"/>
      <c r="F18" s="32"/>
      <c r="G18" s="32"/>
    </row>
    <row r="19" spans="1:7" s="35" customFormat="1" ht="14.1" customHeight="1">
      <c r="A19" s="32"/>
      <c r="B19" s="32"/>
      <c r="C19" s="32"/>
      <c r="D19" s="32"/>
      <c r="E19" s="32"/>
      <c r="F19" s="32"/>
      <c r="G19" s="32"/>
    </row>
    <row r="20" spans="1:7" s="35" customFormat="1" ht="14.1" customHeight="1"/>
    <row r="21" spans="1:7" s="35" customFormat="1" ht="14.1" customHeight="1">
      <c r="A21" s="88" t="s">
        <v>84</v>
      </c>
    </row>
    <row r="22" spans="1:7" s="35" customFormat="1" ht="14.1" customHeight="1">
      <c r="A22" s="54" t="s">
        <v>12</v>
      </c>
    </row>
    <row r="23" spans="1:7">
      <c r="A23" s="54" t="s">
        <v>85</v>
      </c>
    </row>
    <row r="24" spans="1:7">
      <c r="A24" s="54" t="s">
        <v>86</v>
      </c>
    </row>
    <row r="25" spans="1:7">
      <c r="A25" s="54"/>
    </row>
    <row r="26" spans="1:7">
      <c r="A26" s="54" t="s">
        <v>87</v>
      </c>
    </row>
    <row r="27" spans="1:7">
      <c r="A27" s="54" t="s">
        <v>88</v>
      </c>
    </row>
    <row r="28" spans="1:7">
      <c r="A28" s="54" t="s">
        <v>89</v>
      </c>
    </row>
    <row r="29" spans="1:7">
      <c r="A29" s="54" t="s">
        <v>14</v>
      </c>
    </row>
    <row r="30" spans="1:7">
      <c r="A30" s="54" t="s">
        <v>90</v>
      </c>
    </row>
    <row r="31" spans="1:7">
      <c r="A31" s="54"/>
    </row>
    <row r="32" spans="1:7">
      <c r="A32" s="54" t="s">
        <v>91</v>
      </c>
    </row>
    <row r="33" spans="1:1">
      <c r="A33" s="54" t="s">
        <v>92</v>
      </c>
    </row>
    <row r="34" spans="1:1">
      <c r="A34" s="54" t="s">
        <v>93</v>
      </c>
    </row>
    <row r="35" spans="1:1">
      <c r="A35" s="54" t="s">
        <v>94</v>
      </c>
    </row>
    <row r="36" spans="1:1">
      <c r="A36" s="54" t="s">
        <v>95</v>
      </c>
    </row>
    <row r="37" spans="1:1">
      <c r="A37" s="54" t="s">
        <v>96</v>
      </c>
    </row>
    <row r="38" spans="1:1">
      <c r="A38" s="54"/>
    </row>
    <row r="39" spans="1:1">
      <c r="A39" s="54" t="s">
        <v>97</v>
      </c>
    </row>
    <row r="40" spans="1:1">
      <c r="A40" s="54" t="s">
        <v>98</v>
      </c>
    </row>
    <row r="41" spans="1:1">
      <c r="A41" s="54" t="s">
        <v>99</v>
      </c>
    </row>
    <row r="42" spans="1:1">
      <c r="A42" s="54" t="s">
        <v>100</v>
      </c>
    </row>
  </sheetData>
  <mergeCells count="2">
    <mergeCell ref="A1:D1"/>
    <mergeCell ref="A2:D2"/>
  </mergeCells>
  <phoneticPr fontId="18" type="noConversion"/>
  <printOptions horizontalCentered="1"/>
  <pageMargins left="0.70866141732283472" right="0.70866141732283472" top="0.74803149606299213" bottom="0.74803149606299213" header="0.31496062992125984" footer="0.31496062992125984"/>
  <pageSetup paperSize="9" orientation="landscape"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Q35"/>
  <sheetViews>
    <sheetView view="pageBreakPreview" zoomScaleSheetLayoutView="100" workbookViewId="0">
      <selection activeCell="P3" sqref="P3"/>
    </sheetView>
  </sheetViews>
  <sheetFormatPr defaultColWidth="9" defaultRowHeight="15.6"/>
  <cols>
    <col min="1" max="2" width="9" style="53"/>
    <col min="3" max="3" width="21.5" style="53" customWidth="1"/>
    <col min="4" max="4" width="9.59765625" style="53" customWidth="1"/>
    <col min="5" max="5" width="13.09765625" style="53" customWidth="1"/>
    <col min="6" max="6" width="11.796875" style="53" customWidth="1"/>
    <col min="7" max="7" width="13.5" style="53" customWidth="1"/>
    <col min="8" max="8" width="22.8984375" style="53" customWidth="1"/>
    <col min="9" max="13" width="4.5" style="53" customWidth="1"/>
    <col min="14" max="14" width="10.5" style="53" customWidth="1"/>
    <col min="15" max="15" width="7.19921875" style="53" customWidth="1"/>
    <col min="16" max="16" width="16.296875" style="53" customWidth="1"/>
    <col min="17" max="17" width="27.296875" style="53" customWidth="1"/>
    <col min="18" max="16384" width="9" style="53"/>
  </cols>
  <sheetData>
    <row r="1" spans="1:17" s="40" customFormat="1" ht="19.95" customHeight="1">
      <c r="A1" s="262" t="s">
        <v>39</v>
      </c>
      <c r="B1" s="262"/>
      <c r="C1" s="262"/>
      <c r="D1" s="262"/>
      <c r="E1" s="262"/>
      <c r="F1" s="262"/>
      <c r="G1" s="262"/>
      <c r="H1" s="262"/>
      <c r="I1" s="262"/>
      <c r="J1" s="262"/>
      <c r="K1" s="262"/>
      <c r="L1" s="262"/>
      <c r="M1" s="262"/>
      <c r="N1" s="262"/>
      <c r="O1" s="262"/>
      <c r="P1" s="262"/>
      <c r="Q1" s="50"/>
    </row>
    <row r="2" spans="1:17" s="40" customFormat="1" ht="19.95" customHeight="1">
      <c r="A2" s="268" t="s">
        <v>222</v>
      </c>
      <c r="B2" s="268"/>
      <c r="C2" s="268"/>
      <c r="D2" s="268"/>
      <c r="E2" s="268"/>
      <c r="F2" s="268"/>
      <c r="G2" s="268"/>
      <c r="H2" s="268"/>
      <c r="I2" s="268"/>
      <c r="J2" s="268"/>
      <c r="K2" s="268"/>
      <c r="L2" s="268"/>
      <c r="M2" s="268"/>
      <c r="N2" s="268"/>
      <c r="O2" s="268"/>
      <c r="P2" s="268"/>
    </row>
    <row r="3" spans="1:17" s="32" customFormat="1" ht="19.95" customHeight="1">
      <c r="A3" s="32" t="str">
        <f>底稿目录!A2</f>
        <v>被审计单位：</v>
      </c>
      <c r="B3" s="41"/>
      <c r="C3" s="41"/>
      <c r="E3" s="41" t="str">
        <f>底稿目录!A4</f>
        <v>编制人：</v>
      </c>
      <c r="F3" s="41"/>
      <c r="G3" s="41"/>
      <c r="H3" s="85" t="str">
        <f>底稿目录!A5</f>
        <v>编制日期：</v>
      </c>
      <c r="I3" s="85"/>
      <c r="J3" s="85"/>
      <c r="K3" s="85"/>
      <c r="N3" s="16"/>
      <c r="O3" s="16" t="s">
        <v>223</v>
      </c>
      <c r="P3" s="185" t="str">
        <f>底稿目录!F11</f>
        <v>M5-5</v>
      </c>
    </row>
    <row r="4" spans="1:17" s="32" customFormat="1" ht="19.95" customHeight="1">
      <c r="A4" s="32" t="str">
        <f>底稿目录!A3</f>
        <v>截止日：202X年12月31日</v>
      </c>
      <c r="B4" s="41"/>
      <c r="C4" s="41"/>
      <c r="E4" s="41" t="str">
        <f>底稿目录!A6</f>
        <v>复核人：</v>
      </c>
      <c r="F4" s="41"/>
      <c r="G4" s="41"/>
      <c r="H4" s="85" t="str">
        <f>底稿目录!A7</f>
        <v>复核日期：</v>
      </c>
      <c r="I4" s="85"/>
      <c r="J4" s="85"/>
      <c r="K4" s="85"/>
      <c r="O4" s="32" t="s">
        <v>224</v>
      </c>
    </row>
    <row r="5" spans="1:17" s="43" customFormat="1" ht="19.95" customHeight="1">
      <c r="A5" s="42" t="s">
        <v>101</v>
      </c>
      <c r="B5" s="42"/>
      <c r="C5" s="42"/>
      <c r="D5" s="42"/>
      <c r="E5" s="42"/>
      <c r="F5" s="42"/>
      <c r="G5" s="42"/>
      <c r="H5" s="42"/>
      <c r="I5" s="42"/>
      <c r="J5" s="42"/>
      <c r="K5" s="42"/>
      <c r="L5" s="42"/>
      <c r="M5" s="42"/>
      <c r="N5" s="42"/>
      <c r="O5" s="42"/>
      <c r="P5" s="42"/>
    </row>
    <row r="6" spans="1:17" s="43" customFormat="1" ht="19.95" customHeight="1">
      <c r="A6" s="89" t="s">
        <v>102</v>
      </c>
      <c r="C6" s="73"/>
      <c r="D6" s="73"/>
      <c r="E6" s="73"/>
      <c r="F6" s="73"/>
      <c r="G6" s="73"/>
      <c r="H6" s="73"/>
      <c r="I6" s="73"/>
      <c r="J6" s="73"/>
      <c r="K6" s="73"/>
      <c r="L6" s="73"/>
      <c r="M6" s="73"/>
      <c r="N6" s="73"/>
      <c r="O6" s="73"/>
      <c r="P6" s="73"/>
    </row>
    <row r="7" spans="1:17" s="43" customFormat="1" ht="19.95" customHeight="1">
      <c r="A7" s="169" t="s">
        <v>207</v>
      </c>
      <c r="B7" s="44"/>
      <c r="C7" s="44"/>
      <c r="D7" s="45"/>
      <c r="E7" s="46"/>
      <c r="F7" s="46"/>
      <c r="G7" s="46"/>
    </row>
    <row r="8" spans="1:17" s="43" customFormat="1" ht="19.95" customHeight="1">
      <c r="A8" s="162" t="s">
        <v>191</v>
      </c>
      <c r="B8" s="44"/>
      <c r="C8" s="44"/>
      <c r="D8" s="45"/>
      <c r="E8" s="46"/>
      <c r="F8" s="46"/>
      <c r="G8" s="46"/>
    </row>
    <row r="9" spans="1:17" s="32" customFormat="1" ht="19.95" customHeight="1">
      <c r="A9" s="269" t="s">
        <v>208</v>
      </c>
      <c r="B9" s="269"/>
      <c r="C9" s="269"/>
      <c r="D9" s="269"/>
      <c r="E9" s="269"/>
      <c r="F9" s="269"/>
      <c r="G9" s="269"/>
      <c r="H9" s="270" t="s">
        <v>216</v>
      </c>
      <c r="I9" s="272" t="s">
        <v>217</v>
      </c>
      <c r="J9" s="273"/>
      <c r="K9" s="273"/>
      <c r="L9" s="273"/>
      <c r="M9" s="273"/>
      <c r="N9" s="265" t="s">
        <v>218</v>
      </c>
      <c r="O9" s="263" t="s">
        <v>233</v>
      </c>
      <c r="P9" s="266" t="s">
        <v>219</v>
      </c>
    </row>
    <row r="10" spans="1:17" s="32" customFormat="1" ht="19.95" customHeight="1">
      <c r="A10" s="188" t="s">
        <v>209</v>
      </c>
      <c r="B10" s="188" t="s">
        <v>210</v>
      </c>
      <c r="C10" s="188" t="s">
        <v>211</v>
      </c>
      <c r="D10" s="188" t="s">
        <v>212</v>
      </c>
      <c r="E10" s="188" t="s">
        <v>213</v>
      </c>
      <c r="F10" s="189" t="s">
        <v>214</v>
      </c>
      <c r="G10" s="189" t="s">
        <v>215</v>
      </c>
      <c r="H10" s="271"/>
      <c r="I10" s="170">
        <v>1</v>
      </c>
      <c r="J10" s="170">
        <v>2</v>
      </c>
      <c r="K10" s="170">
        <v>3</v>
      </c>
      <c r="L10" s="170">
        <v>4</v>
      </c>
      <c r="M10" s="170">
        <v>5</v>
      </c>
      <c r="N10" s="265"/>
      <c r="O10" s="264"/>
      <c r="P10" s="267"/>
    </row>
    <row r="11" spans="1:17" s="32" customFormat="1" ht="19.95" customHeight="1">
      <c r="A11" s="84"/>
      <c r="B11" s="47"/>
      <c r="C11" s="31"/>
      <c r="D11" s="47"/>
      <c r="E11" s="47"/>
      <c r="F11" s="205"/>
      <c r="G11" s="205"/>
      <c r="H11" s="48"/>
      <c r="I11" s="38"/>
      <c r="J11" s="38"/>
      <c r="K11" s="38"/>
      <c r="L11" s="38"/>
      <c r="M11" s="38"/>
      <c r="N11" s="38"/>
      <c r="O11" s="38"/>
      <c r="P11" s="38"/>
    </row>
    <row r="12" spans="1:17" s="32" customFormat="1" ht="19.95" customHeight="1">
      <c r="A12" s="84"/>
      <c r="B12" s="47"/>
      <c r="C12" s="31"/>
      <c r="D12" s="47"/>
      <c r="E12" s="47"/>
      <c r="F12" s="205"/>
      <c r="G12" s="205"/>
      <c r="H12" s="48"/>
      <c r="I12" s="38"/>
      <c r="J12" s="38"/>
      <c r="K12" s="38"/>
      <c r="L12" s="38"/>
      <c r="M12" s="38"/>
      <c r="N12" s="38"/>
      <c r="O12" s="38"/>
      <c r="P12" s="38"/>
    </row>
    <row r="13" spans="1:17" s="32" customFormat="1" ht="19.95" customHeight="1">
      <c r="A13" s="84"/>
      <c r="B13" s="47"/>
      <c r="C13" s="31"/>
      <c r="D13" s="47"/>
      <c r="E13" s="47"/>
      <c r="F13" s="205"/>
      <c r="G13" s="205"/>
      <c r="H13" s="48"/>
      <c r="I13" s="38"/>
      <c r="J13" s="38"/>
      <c r="K13" s="38"/>
      <c r="L13" s="38"/>
      <c r="M13" s="38"/>
      <c r="N13" s="38"/>
      <c r="O13" s="38"/>
      <c r="P13" s="38"/>
    </row>
    <row r="14" spans="1:17" s="32" customFormat="1" ht="19.95" customHeight="1">
      <c r="A14" s="84"/>
      <c r="B14" s="47"/>
      <c r="C14" s="31"/>
      <c r="D14" s="47"/>
      <c r="E14" s="47"/>
      <c r="F14" s="205"/>
      <c r="G14" s="205"/>
      <c r="H14" s="48"/>
      <c r="I14" s="38"/>
      <c r="J14" s="38"/>
      <c r="K14" s="38"/>
      <c r="L14" s="38"/>
      <c r="M14" s="38"/>
      <c r="N14" s="38"/>
      <c r="O14" s="38"/>
      <c r="P14" s="38"/>
    </row>
    <row r="15" spans="1:17" s="32" customFormat="1" ht="19.95" customHeight="1">
      <c r="A15" s="84"/>
      <c r="B15" s="47"/>
      <c r="C15" s="31"/>
      <c r="D15" s="47"/>
      <c r="E15" s="47"/>
      <c r="F15" s="205"/>
      <c r="G15" s="205"/>
      <c r="H15" s="48"/>
      <c r="I15" s="38"/>
      <c r="J15" s="38"/>
      <c r="K15" s="38"/>
      <c r="L15" s="38"/>
      <c r="M15" s="38"/>
      <c r="N15" s="38"/>
      <c r="O15" s="38"/>
      <c r="P15" s="38"/>
    </row>
    <row r="16" spans="1:17" s="32" customFormat="1" ht="19.95" customHeight="1">
      <c r="A16" s="84"/>
      <c r="B16" s="47"/>
      <c r="C16" s="31"/>
      <c r="D16" s="47"/>
      <c r="E16" s="47"/>
      <c r="F16" s="205"/>
      <c r="G16" s="205"/>
      <c r="H16" s="48"/>
      <c r="I16" s="38"/>
      <c r="J16" s="38"/>
      <c r="K16" s="38"/>
      <c r="L16" s="38"/>
      <c r="M16" s="38"/>
      <c r="N16" s="38"/>
      <c r="O16" s="38"/>
      <c r="P16" s="38"/>
    </row>
    <row r="17" spans="1:17" s="32" customFormat="1" ht="19.95" customHeight="1">
      <c r="A17" s="84"/>
      <c r="B17" s="47"/>
      <c r="C17" s="31"/>
      <c r="D17" s="47"/>
      <c r="E17" s="47"/>
      <c r="F17" s="205"/>
      <c r="G17" s="205"/>
      <c r="H17" s="48"/>
      <c r="I17" s="38"/>
      <c r="J17" s="38"/>
      <c r="K17" s="38"/>
      <c r="L17" s="38"/>
      <c r="M17" s="38"/>
      <c r="N17" s="38"/>
      <c r="O17" s="38"/>
      <c r="P17" s="38"/>
    </row>
    <row r="18" spans="1:17" s="203" customFormat="1" ht="19.95" customHeight="1">
      <c r="A18" s="259" t="s">
        <v>266</v>
      </c>
      <c r="B18" s="260"/>
      <c r="C18" s="261"/>
      <c r="D18" s="204"/>
      <c r="E18" s="200"/>
      <c r="F18" s="206">
        <f>SUM(F11:F17)</f>
        <v>0</v>
      </c>
      <c r="G18" s="206">
        <f>SUM(G11:G17)</f>
        <v>0</v>
      </c>
      <c r="H18" s="201"/>
      <c r="I18" s="202"/>
      <c r="J18" s="202"/>
      <c r="K18" s="202"/>
      <c r="L18" s="202"/>
      <c r="M18" s="202"/>
      <c r="N18" s="202"/>
      <c r="O18" s="202"/>
      <c r="P18" s="202"/>
    </row>
    <row r="19" spans="1:17" s="203" customFormat="1" ht="19.95" customHeight="1">
      <c r="A19" s="259" t="s">
        <v>267</v>
      </c>
      <c r="B19" s="260"/>
      <c r="C19" s="261"/>
      <c r="D19" s="204"/>
      <c r="E19" s="200"/>
      <c r="F19" s="207">
        <f>'明细表M5-2'!P16</f>
        <v>0</v>
      </c>
      <c r="G19" s="207">
        <f>'明细表M5-2'!O16</f>
        <v>0</v>
      </c>
      <c r="H19" s="201"/>
      <c r="I19" s="202"/>
      <c r="J19" s="202"/>
      <c r="K19" s="202"/>
      <c r="L19" s="202"/>
      <c r="M19" s="202"/>
      <c r="N19" s="202"/>
      <c r="O19" s="202"/>
      <c r="P19" s="202"/>
    </row>
    <row r="20" spans="1:17" s="203" customFormat="1" ht="19.95" customHeight="1">
      <c r="A20" s="259" t="s">
        <v>268</v>
      </c>
      <c r="B20" s="260"/>
      <c r="C20" s="261"/>
      <c r="D20" s="204"/>
      <c r="E20" s="200"/>
      <c r="F20" s="208" t="e">
        <f>F18/F19</f>
        <v>#DIV/0!</v>
      </c>
      <c r="G20" s="208" t="e">
        <f>G18/G19</f>
        <v>#DIV/0!</v>
      </c>
      <c r="H20" s="201"/>
      <c r="I20" s="202"/>
      <c r="J20" s="202"/>
      <c r="K20" s="202"/>
      <c r="L20" s="202"/>
      <c r="M20" s="202"/>
      <c r="N20" s="202"/>
      <c r="O20" s="202"/>
      <c r="P20" s="202"/>
    </row>
    <row r="21" spans="1:17" s="32" customFormat="1" ht="19.95" customHeight="1">
      <c r="A21" s="74" t="s">
        <v>103</v>
      </c>
      <c r="K21" s="160"/>
      <c r="L21" s="35"/>
      <c r="M21" s="34"/>
      <c r="N21" s="35"/>
      <c r="O21" s="35"/>
      <c r="Q21" s="41"/>
    </row>
    <row r="22" spans="1:17" s="32" customFormat="1" ht="19.95" customHeight="1">
      <c r="K22" s="34"/>
      <c r="L22" s="35"/>
      <c r="M22" s="34"/>
      <c r="N22" s="35"/>
      <c r="O22" s="35"/>
      <c r="Q22" s="41"/>
    </row>
    <row r="23" spans="1:17" s="50" customFormat="1" ht="19.95" customHeight="1">
      <c r="K23" s="34"/>
      <c r="L23" s="35"/>
      <c r="M23" s="34"/>
      <c r="N23" s="34"/>
      <c r="O23" s="34"/>
      <c r="Q23" s="51"/>
    </row>
    <row r="24" spans="1:17" s="32" customFormat="1" ht="19.95" customHeight="1">
      <c r="M24" s="41"/>
      <c r="N24" s="41"/>
      <c r="O24" s="41"/>
      <c r="P24" s="41"/>
      <c r="Q24" s="41"/>
    </row>
    <row r="25" spans="1:17" s="32" customFormat="1" ht="19.95" customHeight="1">
      <c r="A25" s="50" t="s">
        <v>104</v>
      </c>
      <c r="C25" s="50"/>
      <c r="D25" s="50"/>
      <c r="E25" s="50"/>
      <c r="F25" s="50"/>
      <c r="G25" s="50"/>
      <c r="H25" s="50"/>
      <c r="I25" s="50"/>
      <c r="J25" s="50"/>
      <c r="L25" s="140"/>
      <c r="M25" s="41"/>
      <c r="N25" s="41"/>
      <c r="O25" s="41"/>
      <c r="P25" s="41"/>
      <c r="Q25" s="41"/>
    </row>
    <row r="26" spans="1:17" s="32" customFormat="1" ht="19.95" customHeight="1">
      <c r="M26" s="41"/>
      <c r="N26" s="41"/>
      <c r="O26" s="41"/>
      <c r="P26" s="41"/>
      <c r="Q26" s="41"/>
    </row>
    <row r="27" spans="1:17" s="32" customFormat="1" ht="18" customHeight="1">
      <c r="A27" s="49"/>
      <c r="C27" s="41"/>
      <c r="D27" s="41"/>
      <c r="E27" s="41"/>
      <c r="F27" s="41"/>
      <c r="G27" s="41"/>
      <c r="H27" s="41"/>
      <c r="I27" s="41"/>
      <c r="J27" s="41"/>
      <c r="K27" s="41"/>
      <c r="L27" s="41"/>
      <c r="M27" s="41"/>
      <c r="N27" s="41"/>
      <c r="O27" s="41"/>
      <c r="P27" s="41"/>
      <c r="Q27" s="41"/>
    </row>
    <row r="28" spans="1:17" s="32" customFormat="1" ht="18" customHeight="1">
      <c r="A28" s="49"/>
      <c r="C28" s="41"/>
      <c r="D28" s="41"/>
      <c r="E28" s="41"/>
      <c r="F28" s="41"/>
      <c r="G28" s="41"/>
      <c r="H28" s="41"/>
      <c r="I28" s="41"/>
      <c r="J28" s="41"/>
      <c r="K28" s="41"/>
      <c r="L28" s="41"/>
      <c r="M28" s="41"/>
      <c r="N28" s="41"/>
      <c r="O28" s="41"/>
      <c r="P28" s="41"/>
      <c r="Q28" s="41"/>
    </row>
    <row r="29" spans="1:17" s="32" customFormat="1" ht="18" customHeight="1">
      <c r="A29" s="90" t="s">
        <v>84</v>
      </c>
    </row>
    <row r="30" spans="1:17" ht="18" customHeight="1">
      <c r="A30" s="52" t="s">
        <v>44</v>
      </c>
      <c r="B30" s="52"/>
    </row>
    <row r="31" spans="1:17" ht="18" customHeight="1">
      <c r="A31" s="54" t="s">
        <v>45</v>
      </c>
      <c r="B31" s="54"/>
    </row>
    <row r="32" spans="1:17" ht="18" customHeight="1">
      <c r="A32" s="91" t="s">
        <v>105</v>
      </c>
      <c r="B32" s="54"/>
    </row>
    <row r="33" spans="1:2" ht="18" customHeight="1">
      <c r="A33" s="55" t="s">
        <v>106</v>
      </c>
      <c r="B33" s="54" t="s">
        <v>107</v>
      </c>
    </row>
    <row r="34" spans="1:2" ht="18" customHeight="1">
      <c r="A34" s="55" t="s">
        <v>108</v>
      </c>
      <c r="B34" s="54" t="s">
        <v>109</v>
      </c>
    </row>
    <row r="35" spans="1:2" ht="18" customHeight="1">
      <c r="A35" s="55" t="s">
        <v>110</v>
      </c>
      <c r="B35" s="54" t="s">
        <v>111</v>
      </c>
    </row>
  </sheetData>
  <mergeCells count="11">
    <mergeCell ref="A18:C18"/>
    <mergeCell ref="A19:C19"/>
    <mergeCell ref="A20:C20"/>
    <mergeCell ref="A1:P1"/>
    <mergeCell ref="O9:O10"/>
    <mergeCell ref="N9:N10"/>
    <mergeCell ref="P9:P10"/>
    <mergeCell ref="A2:P2"/>
    <mergeCell ref="A9:G9"/>
    <mergeCell ref="H9:H10"/>
    <mergeCell ref="I9:M9"/>
  </mergeCells>
  <phoneticPr fontId="18" type="noConversion"/>
  <dataValidations count="2">
    <dataValidation type="list" allowBlank="1" showInputMessage="1" showErrorMessage="1" sqref="I11:M20">
      <formula1>"√,X"</formula1>
    </dataValidation>
    <dataValidation type="list" allowBlank="1" showInputMessage="1" showErrorMessage="1" sqref="C25">
      <formula1>"A：未见异常，可以确认。,B：经审计调整可以确认。,C：由于存在上述重大未调整事项（或审计范围受到限制无法获取充分、适当证据），不可确认。"</formula1>
    </dataValidation>
  </dataValidations>
  <hyperlinks>
    <hyperlink ref="P3" location="底稿目录!A1" display="底稿目录!A1"/>
  </hyperlinks>
  <printOptions horizontalCentered="1"/>
  <pageMargins left="0.70866141732283472" right="0.70866141732283472" top="0.74803149606299213" bottom="0.74803149606299213" header="0.31496062992125984" footer="0.31496062992125984"/>
  <pageSetup paperSize="9" scale="65" orientation="landscape" blackAndWhite="1" r:id="rId1"/>
  <headerFooter alignWithMargins="0">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6"/>
  <sheetData>
    <row r="1" spans="1:2">
      <c r="A1" t="s">
        <v>22</v>
      </c>
      <c r="B1" t="s">
        <v>23</v>
      </c>
    </row>
    <row r="2" spans="1:2">
      <c r="A2" t="s">
        <v>24</v>
      </c>
      <c r="B2" t="s">
        <v>25</v>
      </c>
    </row>
    <row r="3" spans="1:2">
      <c r="A3" t="s">
        <v>26</v>
      </c>
      <c r="B3" t="s">
        <v>27</v>
      </c>
    </row>
    <row r="4" spans="1:2">
      <c r="A4" t="s">
        <v>28</v>
      </c>
      <c r="B4" t="s">
        <v>29</v>
      </c>
    </row>
    <row r="5" spans="1:2">
      <c r="A5" t="s">
        <v>30</v>
      </c>
      <c r="B5" t="s">
        <v>31</v>
      </c>
    </row>
    <row r="6" spans="1:2">
      <c r="A6" t="s">
        <v>32</v>
      </c>
      <c r="B6" t="s">
        <v>33</v>
      </c>
    </row>
    <row r="7" spans="1:2">
      <c r="A7" t="s">
        <v>34</v>
      </c>
      <c r="B7" t="s">
        <v>35</v>
      </c>
    </row>
    <row r="8" spans="1:2">
      <c r="A8" t="s">
        <v>36</v>
      </c>
      <c r="B8" t="s">
        <v>37</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10</vt:i4>
      </vt:variant>
      <vt:variant>
        <vt:lpstr>命名范围</vt:lpstr>
      </vt:variant>
      <vt:variant>
        <vt:i4>7</vt:i4>
      </vt:variant>
    </vt:vector>
  </HeadingPairs>
  <TitlesOfParts>
    <vt:vector size="17" baseType="lpstr">
      <vt:lpstr>底稿目录</vt:lpstr>
      <vt:lpstr>盈余公积实质性程序表 M5A</vt:lpstr>
      <vt:lpstr>审定表M5-1</vt:lpstr>
      <vt:lpstr>附注披露信息（上市公司）</vt:lpstr>
      <vt:lpstr>附注披露信息（国有企业）</vt:lpstr>
      <vt:lpstr>明细表M5-2</vt:lpstr>
      <vt:lpstr>调整分录汇总M5-3</vt:lpstr>
      <vt:lpstr>盈余公积计提检查表M5-4</vt:lpstr>
      <vt:lpstr>盈余公积检查表M5-5</vt:lpstr>
      <vt:lpstr>GT_Custom</vt:lpstr>
      <vt:lpstr>'调整分录汇总M5-3'!Print_Area</vt:lpstr>
      <vt:lpstr>'明细表M5-2'!Print_Area</vt:lpstr>
      <vt:lpstr>'审定表M5-1'!Print_Area</vt:lpstr>
      <vt:lpstr>'盈余公积计提检查表M5-4'!Print_Area</vt:lpstr>
      <vt:lpstr>'盈余公积检查表M5-5'!Print_Area</vt:lpstr>
      <vt:lpstr>'盈余公积实质性程序表 M5A'!Print_Area</vt:lpstr>
      <vt:lpstr>'盈余公积实质性程序表 M5A'!Print_Titles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2025-10-23T02:14:24Z</cp:lastPrinted>
  <dcterms:created xsi:type="dcterms:W3CDTF">2007-05-20T08:51:05Z</dcterms:created>
  <dcterms:modified xsi:type="dcterms:W3CDTF">2025-11-05T08:25:10Z</dcterms:modified>
</cp:coreProperties>
</file>