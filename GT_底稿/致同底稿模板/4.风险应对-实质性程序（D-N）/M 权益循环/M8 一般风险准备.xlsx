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5.底稿模板\2025年底稿修订\1.已修订底稿\2025年底稿模板-10.31\M 权益循环\"/>
    </mc:Choice>
  </mc:AlternateContent>
  <bookViews>
    <workbookView xWindow="-108" yWindow="-108" windowWidth="23256" windowHeight="12576" tabRatio="832"/>
  </bookViews>
  <sheets>
    <sheet name="底稿目录" sheetId="1" r:id="rId1"/>
    <sheet name="一般风险准备实质性程序表 M8A " sheetId="21" r:id="rId2"/>
    <sheet name="一般风险准备实质性程序表 Q8A  (修订前)" sheetId="23" state="hidden" r:id="rId3"/>
    <sheet name="审定表M8-1" sheetId="12" r:id="rId4"/>
    <sheet name="附注披露信息（上市公司）" sheetId="18" r:id="rId5"/>
    <sheet name="附注披露信息（国有企业）" sheetId="20" r:id="rId6"/>
    <sheet name="明细表M8-2" sheetId="13" r:id="rId7"/>
    <sheet name="调整分录汇总M8-3" sheetId="22" r:id="rId8"/>
    <sheet name="一般风险准备测试表M8-4" sheetId="17" r:id="rId9"/>
    <sheet name="针对性测试M8-5-删除" sheetId="16" state="hidden" r:id="rId10"/>
    <sheet name="GT_Custom" sheetId="19" state="hidden" r:id="rId11"/>
  </sheets>
  <externalReferences>
    <externalReference r:id="rId12"/>
    <externalReference r:id="rId13"/>
    <externalReference r:id="rId14"/>
  </externalReferences>
  <definedNames>
    <definedName name="_xlnm._FilterDatabase" localSheetId="1" hidden="1">'一般风险准备实质性程序表 M8A '!$A$15:$I$15</definedName>
    <definedName name="_xlnm._FilterDatabase" localSheetId="2" hidden="1">'一般风险准备实质性程序表 Q8A  (修订前)'!$A$16:$J$16</definedName>
    <definedName name="AFV" localSheetId="1" hidden="1">#REF!</definedName>
    <definedName name="AFV" localSheetId="2" hidden="1">#REF!</definedName>
    <definedName name="AFV" hidden="1">#REF!</definedName>
    <definedName name="AS2DocOpenMode" hidden="1">"AS2DocumentEdit"</definedName>
    <definedName name="bs" hidden="1">{#N/A,#N/A,FALSE,"BBPREP"}</definedName>
    <definedName name="bs_1" hidden="1">{#N/A,#N/A,FALSE,"BBPREP"}</definedName>
    <definedName name="CCD" localSheetId="1" hidden="1">#REF!</definedName>
    <definedName name="CCD" localSheetId="2" hidden="1">#REF!</definedName>
    <definedName name="CCD" hidden="1">#REF!</definedName>
    <definedName name="CDE" localSheetId="1" hidden="1">#REF!</definedName>
    <definedName name="CDE" localSheetId="2" hidden="1">#REF!</definedName>
    <definedName name="CDE" hidden="1">#REF!</definedName>
    <definedName name="DEX" localSheetId="1" hidden="1">#REF!</definedName>
    <definedName name="DEX" localSheetId="2" hidden="1">#REF!</definedName>
    <definedName name="DEX" hidden="1">#REF!</definedName>
    <definedName name="EDC" localSheetId="1" hidden="1">#REF!</definedName>
    <definedName name="EDC" localSheetId="2" hidden="1">#REF!</definedName>
    <definedName name="EDC" hidden="1">#REF!</definedName>
    <definedName name="FAD" localSheetId="1" hidden="1">[1]Breakdown!#REF!</definedName>
    <definedName name="FAD" localSheetId="2" hidden="1">[1]Breakdown!#REF!</definedName>
    <definedName name="FAD" hidden="1">[1]Breakdown!#REF!</definedName>
    <definedName name="FASD" localSheetId="1" hidden="1">#REF!</definedName>
    <definedName name="FASD" localSheetId="2" hidden="1">#REF!</definedName>
    <definedName name="FASD" hidden="1">#REF!</definedName>
    <definedName name="FEDC" localSheetId="1" hidden="1">'[2]2004'!#REF!</definedName>
    <definedName name="FEDC" localSheetId="2" hidden="1">'[2]2004'!#REF!</definedName>
    <definedName name="FEDC" hidden="1">'[2]2004'!#REF!</definedName>
    <definedName name="_xlnm.Print_Area" localSheetId="7">'调整分录汇总M8-3'!$A$1:$J$23</definedName>
    <definedName name="_xlnm.Print_Area" localSheetId="4">'附注披露信息（上市公司）'!$A$1:$G$11</definedName>
    <definedName name="_xlnm.Print_Area" localSheetId="6">'明细表M8-2'!$A$1:$R$22</definedName>
    <definedName name="_xlnm.Print_Area" localSheetId="3">'审定表M8-1'!$A$1:$L$25</definedName>
    <definedName name="_xlnm.Print_Area" localSheetId="8">'一般风险准备测试表M8-4'!$A$1:$K$27</definedName>
    <definedName name="_xlnm.Print_Area" localSheetId="1">'一般风险准备实质性程序表 M8A '!$A$1:$I$21</definedName>
    <definedName name="_xlnm.Print_Area" localSheetId="2">'一般风险准备实质性程序表 Q8A  (修订前)'!$A$1:$J$39</definedName>
    <definedName name="_xlnm.Print_Area" localSheetId="9">'针对性测试M8-5-删除'!$A$1:$L$32</definedName>
    <definedName name="_xlnm.Print_Titles" localSheetId="1">'一般风险准备实质性程序表 M8A '!$15:$15</definedName>
    <definedName name="_xlnm.Print_Titles" localSheetId="2">'一般风险准备实质性程序表 Q8A  (修订前)'!$16:$16</definedName>
    <definedName name="RDES" localSheetId="1" hidden="1">#REF!</definedName>
    <definedName name="RDES" localSheetId="2" hidden="1">#REF!</definedName>
    <definedName name="RDES" hidden="1">#REF!</definedName>
    <definedName name="TextRefCopyRangeCount" hidden="1">136</definedName>
    <definedName name="VFE" localSheetId="1" hidden="1">#REF!</definedName>
    <definedName name="VFE" localSheetId="2" hidden="1">#REF!</definedName>
    <definedName name="VFE" hidden="1">#REF!</definedName>
    <definedName name="XAP" localSheetId="1" hidden="1">#REF!</definedName>
    <definedName name="XAP" localSheetId="2" hidden="1">#REF!</definedName>
    <definedName name="XAP" hidden="1">#REF!</definedName>
    <definedName name="XAQ" localSheetId="1" hidden="1">#REF!</definedName>
    <definedName name="XAQ" localSheetId="2" hidden="1">#REF!</definedName>
    <definedName name="XAQ" hidden="1">#REF!</definedName>
    <definedName name="XCD" localSheetId="1" hidden="1">#REF!</definedName>
    <definedName name="XCD" localSheetId="2" hidden="1">#REF!</definedName>
    <definedName name="XCD" hidden="1">#REF!</definedName>
    <definedName name="XREF_COLUMN_1" localSheetId="1" hidden="1">#REF!</definedName>
    <definedName name="XREF_COLUMN_1" localSheetId="2" hidden="1">#REF!</definedName>
    <definedName name="XREF_COLUMN_1" hidden="1">#REF!</definedName>
    <definedName name="XREF_COLUMN_2" localSheetId="1" hidden="1">[1]Breakdown!#REF!</definedName>
    <definedName name="XREF_COLUMN_2" localSheetId="2" hidden="1">[1]Breakdown!#REF!</definedName>
    <definedName name="XREF_COLUMN_2" hidden="1">[1]Breakdown!#REF!</definedName>
    <definedName name="XREF_COLUMN_3" localSheetId="1" hidden="1">#REF!</definedName>
    <definedName name="XREF_COLUMN_3" localSheetId="2" hidden="1">#REF!</definedName>
    <definedName name="XREF_COLUMN_3" hidden="1">#REF!</definedName>
    <definedName name="XREF_COLUMN_5" localSheetId="1" hidden="1">'[2]2004'!#REF!</definedName>
    <definedName name="XREF_COLUMN_5" localSheetId="2" hidden="1">'[2]2004'!#REF!</definedName>
    <definedName name="XREF_COLUMN_5" hidden="1">'[2]2004'!#REF!</definedName>
    <definedName name="XRefActiveRow" localSheetId="1" hidden="1">#REF!</definedName>
    <definedName name="XRefActiveRow" localSheetId="2" hidden="1">#REF!</definedName>
    <definedName name="XRefActiveRow" hidden="1">#REF!</definedName>
    <definedName name="XRefColumnsCount" hidden="1">2</definedName>
    <definedName name="XRefCopy1" localSheetId="1" hidden="1">#REF!</definedName>
    <definedName name="XRefCopy1" localSheetId="2" hidden="1">#REF!</definedName>
    <definedName name="XRefCopy1" hidden="1">#REF!</definedName>
    <definedName name="XRefCopy1Row" localSheetId="1" hidden="1">#REF!</definedName>
    <definedName name="XRefCopy1Row" localSheetId="2" hidden="1">#REF!</definedName>
    <definedName name="XRefCopy1Row" hidden="1">#REF!</definedName>
    <definedName name="XRefCopy2Row" localSheetId="1" hidden="1">#REF!</definedName>
    <definedName name="XRefCopy2Row" localSheetId="2" hidden="1">#REF!</definedName>
    <definedName name="XRefCopy2Row" hidden="1">#REF!</definedName>
    <definedName name="XRefCopyRangeCount" hidden="1">2</definedName>
    <definedName name="XRefPaste1" localSheetId="1" hidden="1">#REF!</definedName>
    <definedName name="XRefPaste1" localSheetId="2" hidden="1">#REF!</definedName>
    <definedName name="XRefPaste1" hidden="1">#REF!</definedName>
    <definedName name="XRefPaste1Row" localSheetId="1" hidden="1">#REF!</definedName>
    <definedName name="XRefPaste1Row" localSheetId="2" hidden="1">#REF!</definedName>
    <definedName name="XRefPaste1Row" hidden="1">#REF!</definedName>
    <definedName name="XRefPaste2" localSheetId="1" hidden="1">#REF!</definedName>
    <definedName name="XRefPaste2" localSheetId="2" hidden="1">#REF!</definedName>
    <definedName name="XRefPaste2" hidden="1">#REF!</definedName>
    <definedName name="XRefPaste2Row" localSheetId="1" hidden="1">#REF!</definedName>
    <definedName name="XRefPaste2Row" localSheetId="2" hidden="1">#REF!</definedName>
    <definedName name="XRefPaste2Row" hidden="1">#REF!</definedName>
    <definedName name="XRefPaste3" localSheetId="1" hidden="1">#REF!</definedName>
    <definedName name="XRefPaste3" localSheetId="2" hidden="1">#REF!</definedName>
    <definedName name="XRefPaste3" hidden="1">#REF!</definedName>
    <definedName name="XRefPaste3Row" localSheetId="1" hidden="1">#REF!</definedName>
    <definedName name="XRefPaste3Row" localSheetId="2" hidden="1">#REF!</definedName>
    <definedName name="XRefPaste3Row" hidden="1">#REF!</definedName>
    <definedName name="XRefPasteRangeCount" hidden="1">2</definedName>
    <definedName name="本循环科目" hidden="1">[3]索引!$D$15:$D$76</definedName>
    <definedName name="底稿目录" localSheetId="1" hidden="1">#REF!</definedName>
    <definedName name="底稿目录" localSheetId="2" hidden="1">#REF!</definedName>
    <definedName name="底稿目录" hidden="1">#REF!</definedName>
    <definedName name="新目录" localSheetId="1" hidden="1">#REF!</definedName>
    <definedName name="新目录" localSheetId="2"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7" l="1"/>
  <c r="J3" i="22"/>
  <c r="R3" i="13"/>
  <c r="L3" i="12"/>
  <c r="I3" i="21"/>
  <c r="A4" i="13" l="1"/>
  <c r="A3" i="13"/>
  <c r="A4" i="17"/>
  <c r="G3" i="17"/>
  <c r="D3" i="17"/>
  <c r="A3" i="17"/>
  <c r="K3" i="13"/>
  <c r="E3" i="13"/>
  <c r="F4" i="23"/>
  <c r="C4" i="23"/>
  <c r="A4" i="23"/>
  <c r="F3" i="23"/>
  <c r="C3" i="23"/>
  <c r="A3" i="23"/>
  <c r="F4" i="22"/>
  <c r="F3" i="22"/>
  <c r="D4" i="22"/>
  <c r="D3" i="22"/>
  <c r="A4" i="22"/>
  <c r="A3" i="22"/>
  <c r="H4" i="16" l="1"/>
  <c r="G4" i="17"/>
  <c r="K4" i="13"/>
  <c r="E4" i="20"/>
  <c r="E4" i="18"/>
  <c r="G4" i="12"/>
  <c r="E4" i="21"/>
  <c r="E4" i="16"/>
  <c r="D4" i="17"/>
  <c r="E4" i="13"/>
  <c r="C4" i="20"/>
  <c r="C4" i="18"/>
  <c r="D4" i="12"/>
  <c r="C4" i="21"/>
  <c r="E3" i="21" l="1"/>
  <c r="C3" i="21"/>
  <c r="A4" i="21"/>
  <c r="A3" i="21"/>
  <c r="E8" i="18"/>
  <c r="E9" i="18"/>
  <c r="E9" i="20"/>
  <c r="E8" i="20"/>
  <c r="C19" i="17" l="1"/>
  <c r="B19" i="17"/>
  <c r="G10" i="17"/>
  <c r="H10" i="17" l="1"/>
  <c r="B8" i="12"/>
  <c r="C8" i="12"/>
  <c r="D8" i="12"/>
  <c r="G8" i="12"/>
  <c r="H8" i="12"/>
  <c r="B9" i="12"/>
  <c r="C9" i="12"/>
  <c r="D9" i="12"/>
  <c r="G9" i="12"/>
  <c r="H9" i="12"/>
  <c r="B10" i="12"/>
  <c r="C10" i="12"/>
  <c r="D10" i="12"/>
  <c r="G10" i="12"/>
  <c r="H10" i="12"/>
  <c r="B11" i="12"/>
  <c r="C11" i="12"/>
  <c r="D11" i="12"/>
  <c r="G11" i="12"/>
  <c r="H11" i="12"/>
  <c r="B12" i="12"/>
  <c r="C12" i="12"/>
  <c r="D12" i="12"/>
  <c r="G12" i="12"/>
  <c r="H12" i="12"/>
  <c r="H7" i="12"/>
  <c r="G7" i="12"/>
  <c r="D7" i="12"/>
  <c r="C7" i="12"/>
  <c r="B7" i="12"/>
  <c r="A8" i="12"/>
  <c r="A9" i="12"/>
  <c r="A10" i="12"/>
  <c r="A11" i="12"/>
  <c r="A7" i="12"/>
  <c r="K17" i="13"/>
  <c r="J17" i="13"/>
  <c r="I17" i="13"/>
  <c r="H17" i="13"/>
  <c r="G17" i="13"/>
  <c r="F17" i="13"/>
  <c r="D17" i="13"/>
  <c r="C17" i="13"/>
  <c r="B17" i="13"/>
  <c r="N16" i="13"/>
  <c r="M16" i="13"/>
  <c r="L16" i="13"/>
  <c r="E16" i="13"/>
  <c r="N15" i="13"/>
  <c r="M15" i="13"/>
  <c r="L15" i="13"/>
  <c r="E12" i="12" s="1"/>
  <c r="E15" i="13"/>
  <c r="F12" i="12" s="1"/>
  <c r="N14" i="13"/>
  <c r="M14" i="13"/>
  <c r="L14" i="13"/>
  <c r="E11" i="12" s="1"/>
  <c r="E14" i="13"/>
  <c r="F11" i="12" s="1"/>
  <c r="N13" i="13"/>
  <c r="M13" i="13"/>
  <c r="L13" i="13"/>
  <c r="E10" i="12" s="1"/>
  <c r="E13" i="13"/>
  <c r="F10" i="12" s="1"/>
  <c r="N12" i="13"/>
  <c r="M12" i="13"/>
  <c r="L12" i="13"/>
  <c r="E9" i="12" s="1"/>
  <c r="E12" i="13"/>
  <c r="F9" i="12" s="1"/>
  <c r="N11" i="13"/>
  <c r="M11" i="13"/>
  <c r="L11" i="13"/>
  <c r="E8" i="12" s="1"/>
  <c r="E11" i="13"/>
  <c r="F8" i="12" s="1"/>
  <c r="N10" i="13"/>
  <c r="D7" i="18" s="1"/>
  <c r="M10" i="13"/>
  <c r="C7" i="18" s="1"/>
  <c r="L10" i="13"/>
  <c r="E10" i="13"/>
  <c r="F7" i="12" s="1"/>
  <c r="O12" i="13" l="1"/>
  <c r="I9" i="12" s="1"/>
  <c r="J9" i="12" s="1"/>
  <c r="K9" i="12" s="1"/>
  <c r="O15" i="13"/>
  <c r="I12" i="12" s="1"/>
  <c r="J12" i="12" s="1"/>
  <c r="K12" i="12" s="1"/>
  <c r="O11" i="13"/>
  <c r="I8" i="12" s="1"/>
  <c r="B13" i="12"/>
  <c r="C7" i="20"/>
  <c r="O10" i="13"/>
  <c r="I7" i="12" s="1"/>
  <c r="D7" i="20"/>
  <c r="B7" i="20"/>
  <c r="E7" i="12"/>
  <c r="B7" i="18"/>
  <c r="E7" i="18" s="1"/>
  <c r="F13" i="12"/>
  <c r="D13" i="12"/>
  <c r="H13" i="12"/>
  <c r="C13" i="12"/>
  <c r="G13" i="12"/>
  <c r="E17" i="13"/>
  <c r="O16" i="13"/>
  <c r="N17" i="13"/>
  <c r="M17" i="13"/>
  <c r="O13" i="13"/>
  <c r="I10" i="12" s="1"/>
  <c r="J10" i="12" s="1"/>
  <c r="K10" i="12" s="1"/>
  <c r="O14" i="13"/>
  <c r="I11" i="12" s="1"/>
  <c r="J11" i="12" s="1"/>
  <c r="K11" i="12" s="1"/>
  <c r="L17" i="13"/>
  <c r="G18" i="17"/>
  <c r="H18" i="17" s="1"/>
  <c r="G17" i="17"/>
  <c r="H17" i="17" s="1"/>
  <c r="G16" i="17"/>
  <c r="H16" i="17" s="1"/>
  <c r="G15" i="17"/>
  <c r="H15" i="17" s="1"/>
  <c r="G14" i="17"/>
  <c r="H14" i="17" s="1"/>
  <c r="G13" i="17"/>
  <c r="H13" i="17" s="1"/>
  <c r="G12" i="17"/>
  <c r="H12" i="17" s="1"/>
  <c r="G11" i="17"/>
  <c r="H11" i="17" l="1"/>
  <c r="H19" i="17" s="1"/>
  <c r="G19" i="17"/>
  <c r="I13" i="12"/>
  <c r="I15" i="12" s="1"/>
  <c r="E13" i="12"/>
  <c r="E15" i="12" s="1"/>
  <c r="J8" i="12"/>
  <c r="K8" i="12" s="1"/>
  <c r="E7" i="20"/>
  <c r="O17" i="13"/>
  <c r="J7" i="12"/>
  <c r="K7" i="12" s="1"/>
  <c r="J13" i="12" l="1"/>
  <c r="K13" i="12" s="1"/>
  <c r="D10" i="20"/>
  <c r="C10" i="20"/>
  <c r="B10" i="20"/>
  <c r="C10" i="18"/>
  <c r="D10" i="18"/>
  <c r="B10" i="18"/>
  <c r="E10" i="18"/>
  <c r="A4" i="20"/>
  <c r="E3" i="20"/>
  <c r="C3" i="20"/>
  <c r="A3" i="20"/>
  <c r="A4" i="18"/>
  <c r="E3" i="18"/>
  <c r="C3" i="18"/>
  <c r="A3" i="18"/>
  <c r="H3" i="16"/>
  <c r="E3" i="16"/>
  <c r="A4" i="16"/>
  <c r="A3" i="16"/>
  <c r="G3" i="12"/>
  <c r="D3" i="12"/>
  <c r="A4" i="12"/>
  <c r="A3" i="12"/>
  <c r="E10" i="20" l="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15"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15"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sharedStrings.xml><?xml version="1.0" encoding="utf-8"?>
<sst xmlns="http://schemas.openxmlformats.org/spreadsheetml/2006/main" count="423" uniqueCount="290">
  <si>
    <t>底稿开列时，可先在以下单元格填写有关内容，以便其他底稿引用有关数据：</t>
    <phoneticPr fontId="18" type="noConversion"/>
  </si>
  <si>
    <t>本期增加</t>
  </si>
  <si>
    <t>本期减少</t>
  </si>
  <si>
    <t>说明：</t>
  </si>
  <si>
    <t>一般风险准备</t>
  </si>
  <si>
    <t>C1</t>
  </si>
  <si>
    <t>Custom 1</t>
  </si>
  <si>
    <t>C2</t>
  </si>
  <si>
    <t>Custom 2</t>
  </si>
  <si>
    <t>C3</t>
  </si>
  <si>
    <t>Custom 3</t>
  </si>
  <si>
    <t>C4</t>
  </si>
  <si>
    <t>Custom 4</t>
  </si>
  <si>
    <t>C5</t>
  </si>
  <si>
    <t>Custom 5</t>
  </si>
  <si>
    <t>C6</t>
  </si>
  <si>
    <t>Custom 6</t>
  </si>
  <si>
    <t>C7</t>
  </si>
  <si>
    <t>Custom 7</t>
  </si>
  <si>
    <t>C8</t>
  </si>
  <si>
    <t>Custom 8</t>
  </si>
  <si>
    <t>内容</t>
  </si>
  <si>
    <t>页次：</t>
  </si>
  <si>
    <t>合计</t>
  </si>
  <si>
    <t>致同会计师事务所</t>
  </si>
  <si>
    <t>项目</t>
  </si>
  <si>
    <r>
      <rPr>
        <b/>
        <sz val="10"/>
        <color indexed="8"/>
        <rFont val="宋体"/>
        <family val="3"/>
        <charset val="134"/>
      </rPr>
      <t>一、审计目标</t>
    </r>
    <r>
      <rPr>
        <b/>
        <sz val="10"/>
        <color indexed="8"/>
        <rFont val="Arial Narrow"/>
        <family val="2"/>
      </rPr>
      <t>:</t>
    </r>
    <phoneticPr fontId="22" type="noConversion"/>
  </si>
  <si>
    <r>
      <rPr>
        <b/>
        <sz val="10"/>
        <rFont val="宋体"/>
        <family val="3"/>
        <charset val="134"/>
      </rPr>
      <t>二、审计过程：</t>
    </r>
    <phoneticPr fontId="18" type="noConversion"/>
  </si>
  <si>
    <t>一般风险准备附注披露信息（上市公司）</t>
    <phoneticPr fontId="18" type="noConversion"/>
  </si>
  <si>
    <t>一般风险准备附注披露信息（国有企业）</t>
    <phoneticPr fontId="18" type="noConversion"/>
  </si>
  <si>
    <r>
      <rPr>
        <b/>
        <sz val="10"/>
        <rFont val="宋体"/>
        <family val="3"/>
        <charset val="134"/>
      </rPr>
      <t>项目名称</t>
    </r>
    <phoneticPr fontId="18" type="noConversion"/>
  </si>
  <si>
    <r>
      <t>1</t>
    </r>
    <r>
      <rPr>
        <b/>
        <sz val="10"/>
        <rFont val="宋体"/>
        <family val="3"/>
        <charset val="134"/>
      </rPr>
      <t>、审计说明</t>
    </r>
    <r>
      <rPr>
        <sz val="10"/>
        <color indexed="12"/>
        <rFont val="宋体"/>
        <family val="3"/>
        <charset val="134"/>
      </rPr>
      <t/>
    </r>
    <phoneticPr fontId="18" type="noConversion"/>
  </si>
  <si>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</si>
  <si>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</si>
  <si>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</si>
  <si>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t>附注披露信息(上市公司)</t>
    <phoneticPr fontId="53" type="noConversion"/>
  </si>
  <si>
    <t>附注披露信息(国企)</t>
    <phoneticPr fontId="53" type="noConversion"/>
  </si>
  <si>
    <r>
      <rPr>
        <b/>
        <sz val="12"/>
        <rFont val="宋体"/>
        <family val="3"/>
        <charset val="134"/>
      </rPr>
      <t>致同会计师事务所</t>
    </r>
  </si>
  <si>
    <t>一般风险准备实质性程序</t>
    <phoneticPr fontId="18" type="noConversion"/>
  </si>
  <si>
    <r>
      <rPr>
        <sz val="10"/>
        <rFont val="宋体"/>
        <family val="3"/>
        <charset val="134"/>
      </rPr>
      <t>索引号：</t>
    </r>
  </si>
  <si>
    <t>QA</t>
    <phoneticPr fontId="18" type="noConversion"/>
  </si>
  <si>
    <t>页  次：</t>
    <phoneticPr fontId="53" type="noConversion"/>
  </si>
  <si>
    <r>
      <rPr>
        <b/>
        <sz val="10"/>
        <rFont val="宋体"/>
        <family val="3"/>
        <charset val="134"/>
      </rPr>
      <t>一、本账户涉及的科目</t>
    </r>
    <phoneticPr fontId="18" type="noConversion"/>
  </si>
  <si>
    <t>一般风险准备</t>
    <phoneticPr fontId="53" type="noConversion"/>
  </si>
  <si>
    <r>
      <rPr>
        <b/>
        <sz val="10"/>
        <rFont val="宋体"/>
        <family val="3"/>
        <charset val="134"/>
      </rPr>
      <t>二、重大错报风险需从实质性程序获取的保证程度</t>
    </r>
    <phoneticPr fontId="18" type="noConversion"/>
  </si>
  <si>
    <r>
      <rPr>
        <b/>
        <sz val="10"/>
        <rFont val="宋体"/>
        <family val="3"/>
        <charset val="134"/>
      </rPr>
      <t>审计目标与认定对应关系</t>
    </r>
    <phoneticPr fontId="18" type="noConversion"/>
  </si>
  <si>
    <r>
      <rPr>
        <b/>
        <sz val="10"/>
        <rFont val="宋体"/>
        <family val="3"/>
        <charset val="134"/>
      </rPr>
      <t>财务报表的认定　</t>
    </r>
  </si>
  <si>
    <t>信赖/不信赖/不适用</t>
    <phoneticPr fontId="18" type="noConversion"/>
  </si>
  <si>
    <r>
      <rPr>
        <sz val="10"/>
        <rFont val="宋体"/>
        <family val="3"/>
        <charset val="134"/>
      </rPr>
      <t>索引号</t>
    </r>
  </si>
  <si>
    <r>
      <rPr>
        <sz val="10"/>
        <rFont val="宋体"/>
        <family val="3"/>
        <charset val="134"/>
      </rPr>
      <t>存在</t>
    </r>
    <phoneticPr fontId="18" type="noConversion"/>
  </si>
  <si>
    <r>
      <rPr>
        <sz val="10"/>
        <rFont val="宋体"/>
        <family val="3"/>
        <charset val="134"/>
      </rPr>
      <t>完整性</t>
    </r>
    <phoneticPr fontId="18" type="noConversion"/>
  </si>
  <si>
    <r>
      <rPr>
        <sz val="10"/>
        <rFont val="宋体"/>
        <family val="3"/>
        <charset val="134"/>
      </rPr>
      <t>权利和义务</t>
    </r>
    <phoneticPr fontId="18" type="noConversion"/>
  </si>
  <si>
    <r>
      <rPr>
        <sz val="10"/>
        <rFont val="宋体"/>
        <family val="3"/>
        <charset val="134"/>
      </rPr>
      <t>计价和分摊</t>
    </r>
    <phoneticPr fontId="18" type="noConversion"/>
  </si>
  <si>
    <r>
      <rPr>
        <sz val="10"/>
        <rFont val="宋体"/>
        <family val="3"/>
        <charset val="134"/>
      </rPr>
      <t>列报与披露</t>
    </r>
    <phoneticPr fontId="18" type="noConversion"/>
  </si>
  <si>
    <t>A. 资产负债表中记录的一般风险准备是存在的。</t>
  </si>
  <si>
    <r>
      <rPr>
        <sz val="10"/>
        <rFont val="宋体"/>
        <family val="3"/>
        <charset val="134"/>
      </rPr>
      <t>√</t>
    </r>
    <phoneticPr fontId="18" type="noConversion"/>
  </si>
  <si>
    <t>B. 所有应记录的一般风险准备均已记录，一般风险准备的增减变动符合法律、法规和合同、章程的规定。</t>
  </si>
  <si>
    <t>C. 一般风险准备以恰当的金额包括在财务报表中。</t>
  </si>
  <si>
    <t>D. 一般风险准备已按照企业会计准则的规定在财务报表中作出恰当列报和披露。</t>
  </si>
  <si>
    <r>
      <rPr>
        <b/>
        <sz val="10"/>
        <rFont val="宋体"/>
        <family val="3"/>
        <charset val="134"/>
      </rPr>
      <t>三、计划实施的实质性程序</t>
    </r>
    <phoneticPr fontId="18" type="noConversion"/>
  </si>
  <si>
    <r>
      <rPr>
        <b/>
        <sz val="10"/>
        <rFont val="宋体"/>
        <family val="3"/>
        <charset val="134"/>
      </rPr>
      <t>序号</t>
    </r>
    <phoneticPr fontId="18" type="noConversion"/>
  </si>
  <si>
    <t>审计程序</t>
    <phoneticPr fontId="53" type="noConversion"/>
  </si>
  <si>
    <r>
      <rPr>
        <b/>
        <sz val="10"/>
        <rFont val="宋体"/>
        <family val="3"/>
        <charset val="134"/>
      </rPr>
      <t>程序分类</t>
    </r>
    <phoneticPr fontId="18" type="noConversion"/>
  </si>
  <si>
    <r>
      <rPr>
        <b/>
        <sz val="10"/>
        <rFont val="宋体"/>
        <family val="3"/>
        <charset val="134"/>
      </rPr>
      <t>对应的认定</t>
    </r>
    <r>
      <rPr>
        <b/>
        <sz val="10"/>
        <rFont val="Arial Narrow"/>
        <family val="2"/>
      </rPr>
      <t>/</t>
    </r>
    <r>
      <rPr>
        <b/>
        <sz val="10"/>
        <rFont val="宋体"/>
        <family val="3"/>
        <charset val="134"/>
      </rPr>
      <t>风险</t>
    </r>
    <phoneticPr fontId="18" type="noConversion"/>
  </si>
  <si>
    <r>
      <rPr>
        <b/>
        <sz val="10"/>
        <rFont val="宋体"/>
        <family val="3"/>
        <charset val="134"/>
      </rPr>
      <t>执行情况说明
（含底稿索引）</t>
    </r>
    <phoneticPr fontId="18" type="noConversion"/>
  </si>
  <si>
    <t>（一）</t>
    <phoneticPr fontId="53" type="noConversion"/>
  </si>
  <si>
    <r>
      <rPr>
        <b/>
        <sz val="10"/>
        <rFont val="宋体"/>
        <family val="3"/>
        <charset val="134"/>
      </rPr>
      <t>编制审定表</t>
    </r>
    <r>
      <rPr>
        <b/>
        <sz val="10"/>
        <rFont val="Arial Narrow"/>
        <family val="2"/>
      </rPr>
      <t xml:space="preserve"> </t>
    </r>
    <phoneticPr fontId="53" type="noConversion"/>
  </si>
  <si>
    <t>常规★</t>
    <phoneticPr fontId="53" type="noConversion"/>
  </si>
  <si>
    <t>B</t>
    <phoneticPr fontId="53" type="noConversion"/>
  </si>
  <si>
    <t>Q8</t>
    <phoneticPr fontId="53" type="noConversion"/>
  </si>
  <si>
    <t>（二）</t>
    <phoneticPr fontId="53" type="noConversion"/>
  </si>
  <si>
    <t>获取或编制一般风险准备明细表，并完成以下工作：</t>
    <phoneticPr fontId="53" type="noConversion"/>
  </si>
  <si>
    <t>C</t>
    <phoneticPr fontId="53" type="noConversion"/>
  </si>
  <si>
    <t>Q8-1</t>
    <phoneticPr fontId="53" type="noConversion"/>
  </si>
  <si>
    <t>1</t>
    <phoneticPr fontId="53" type="noConversion"/>
  </si>
  <si>
    <r>
      <rPr>
        <b/>
        <sz val="10"/>
        <rFont val="宋体"/>
        <family val="3"/>
        <charset val="134"/>
      </rPr>
      <t>复核加计正确</t>
    </r>
    <r>
      <rPr>
        <b/>
        <sz val="10"/>
        <rFont val="Arial Narrow"/>
        <family val="2"/>
      </rPr>
      <t xml:space="preserve"> </t>
    </r>
    <r>
      <rPr>
        <b/>
        <sz val="10"/>
        <rFont val="宋体"/>
        <family val="3"/>
        <charset val="134"/>
      </rPr>
      <t>。</t>
    </r>
    <phoneticPr fontId="53" type="noConversion"/>
  </si>
  <si>
    <t>C</t>
  </si>
  <si>
    <t>2</t>
    <phoneticPr fontId="53" type="noConversion"/>
  </si>
  <si>
    <r>
      <rPr>
        <b/>
        <sz val="10"/>
        <rFont val="宋体"/>
        <family val="3"/>
        <charset val="134"/>
      </rPr>
      <t>将总金额与总账核对。</t>
    </r>
    <r>
      <rPr>
        <b/>
        <sz val="10"/>
        <rFont val="Arial Narrow"/>
        <family val="2"/>
      </rPr>
      <t xml:space="preserve"> </t>
    </r>
    <phoneticPr fontId="53" type="noConversion"/>
  </si>
  <si>
    <t>3</t>
  </si>
  <si>
    <r>
      <rPr>
        <sz val="10"/>
        <rFont val="宋体"/>
        <family val="3"/>
        <charset val="134"/>
      </rPr>
      <t>确定计算的准确性。</t>
    </r>
    <r>
      <rPr>
        <sz val="10"/>
        <rFont val="Arial Narrow"/>
        <family val="2"/>
      </rPr>
      <t xml:space="preserve"> </t>
    </r>
    <phoneticPr fontId="53" type="noConversion"/>
  </si>
  <si>
    <t>常规</t>
  </si>
  <si>
    <t>4</t>
  </si>
  <si>
    <r>
      <rPr>
        <sz val="10"/>
        <rFont val="宋体"/>
        <family val="3"/>
        <charset val="134"/>
      </rPr>
      <t>将期初额与上年度工作底稿或前期财务报表核对。</t>
    </r>
    <r>
      <rPr>
        <sz val="10"/>
        <rFont val="Arial Narrow"/>
        <family val="2"/>
      </rPr>
      <t xml:space="preserve"> </t>
    </r>
    <phoneticPr fontId="53" type="noConversion"/>
  </si>
  <si>
    <t>5</t>
  </si>
  <si>
    <t>将期末余额与总分类账核对一致。</t>
    <phoneticPr fontId="53" type="noConversion"/>
  </si>
  <si>
    <t>6</t>
  </si>
  <si>
    <t>以非记账本位币出资的，检查其折算汇率是否符合规定，折算差额的会计处理是否正确。</t>
    <phoneticPr fontId="53" type="noConversion"/>
  </si>
  <si>
    <t>（三）</t>
    <phoneticPr fontId="53" type="noConversion"/>
  </si>
  <si>
    <t>在使用被审计单位生成的信息（IPE）时，应当评价该信息对实现审计目的是否足够可靠，包括根据具体情况在必要时实施下列程序：</t>
    <phoneticPr fontId="53" type="noConversion"/>
  </si>
  <si>
    <r>
      <rPr>
        <b/>
        <sz val="10"/>
        <color theme="1"/>
        <rFont val="宋体"/>
        <family val="3"/>
        <charset val="134"/>
      </rPr>
      <t>常规★</t>
    </r>
    <phoneticPr fontId="53" type="noConversion"/>
  </si>
  <si>
    <t>T1</t>
    <phoneticPr fontId="53" type="noConversion"/>
  </si>
  <si>
    <t>1</t>
  </si>
  <si>
    <t>获取有关信息准确性和完整性的审计证据。</t>
    <phoneticPr fontId="53" type="noConversion"/>
  </si>
  <si>
    <t>2</t>
  </si>
  <si>
    <t>评价信息对实现审计目的是否足够准确和详细。</t>
    <phoneticPr fontId="53" type="noConversion"/>
  </si>
  <si>
    <t>（四）</t>
    <phoneticPr fontId="18" type="noConversion"/>
  </si>
  <si>
    <r>
      <rPr>
        <sz val="10"/>
        <color theme="1"/>
        <rFont val="宋体"/>
        <family val="3"/>
        <charset val="134"/>
      </rPr>
      <t>对于上期一般风险准备账户的期末余额（</t>
    </r>
    <r>
      <rPr>
        <sz val="10"/>
        <color rgb="FFFF0000"/>
        <rFont val="宋体"/>
        <family val="3"/>
        <charset val="134"/>
      </rPr>
      <t>适用于首次承接时对期初余额的审计</t>
    </r>
    <r>
      <rPr>
        <sz val="10"/>
        <color theme="1"/>
        <rFont val="宋体"/>
        <family val="3"/>
        <charset val="134"/>
      </rPr>
      <t>）：</t>
    </r>
    <phoneticPr fontId="53" type="noConversion"/>
  </si>
  <si>
    <t>备选</t>
    <phoneticPr fontId="53" type="noConversion"/>
  </si>
  <si>
    <t>AB</t>
    <phoneticPr fontId="53" type="noConversion"/>
  </si>
  <si>
    <r>
      <rPr>
        <sz val="10"/>
        <color theme="1"/>
        <rFont val="宋体"/>
        <family val="3"/>
        <charset val="134"/>
      </rPr>
      <t>取得企业成立时的文件、合伙协议等并摘录相关章节。</t>
    </r>
    <r>
      <rPr>
        <sz val="10"/>
        <color theme="1"/>
        <rFont val="Arial"/>
        <family val="2"/>
      </rPr>
      <t/>
    </r>
    <phoneticPr fontId="53" type="noConversion"/>
  </si>
  <si>
    <t>AB</t>
  </si>
  <si>
    <t>向证券结算中介机构并与股票登记簿核对，或向每位合伙人函证以确认股本账户期初金额。</t>
    <phoneticPr fontId="53" type="noConversion"/>
  </si>
  <si>
    <t>（五）</t>
    <phoneticPr fontId="53" type="noConversion"/>
  </si>
  <si>
    <r>
      <rPr>
        <sz val="10"/>
        <color theme="1"/>
        <rFont val="宋体"/>
        <family val="2"/>
        <charset val="134"/>
      </rPr>
      <t>获取董事会</t>
    </r>
    <r>
      <rPr>
        <sz val="10"/>
        <color theme="1"/>
        <rFont val="Arial"/>
        <family val="2"/>
      </rPr>
      <t>/</t>
    </r>
    <r>
      <rPr>
        <sz val="10"/>
        <color theme="1"/>
        <rFont val="宋体"/>
        <family val="2"/>
        <charset val="134"/>
      </rPr>
      <t>股东会会议记录，执行下列审计程序。</t>
    </r>
    <r>
      <rPr>
        <sz val="10"/>
        <color theme="1"/>
        <rFont val="Arial"/>
        <family val="2"/>
      </rPr>
      <t/>
    </r>
    <phoneticPr fontId="53" type="noConversion"/>
  </si>
  <si>
    <t>常规</t>
    <phoneticPr fontId="53" type="noConversion"/>
  </si>
  <si>
    <t>Q8-2</t>
    <phoneticPr fontId="53" type="noConversion"/>
  </si>
  <si>
    <t>确定会议纪要是否包含权益交易。包括：现金股利、股票股利、股票分割；权益回购；已出售的权益性工具。</t>
    <phoneticPr fontId="53" type="noConversion"/>
  </si>
  <si>
    <r>
      <rPr>
        <sz val="10"/>
        <color theme="1"/>
        <rFont val="宋体"/>
        <family val="2"/>
        <charset val="134"/>
      </rPr>
      <t>对于识别出的交易，确认交易是否经过授权并且得到适当会计处理。</t>
    </r>
    <r>
      <rPr>
        <sz val="10"/>
        <color theme="1"/>
        <rFont val="Arial"/>
        <family val="2"/>
      </rPr>
      <t xml:space="preserve"> </t>
    </r>
    <phoneticPr fontId="53" type="noConversion"/>
  </si>
  <si>
    <t>（六）</t>
    <phoneticPr fontId="53" type="noConversion"/>
  </si>
  <si>
    <t>取得一般风险准备账户当期交易活动的明细表，检查增减变动的原因，对每一项增加或减少，关注有关交易的性质，检查法律性文件是否齐全，相关的手续是否办理，以及其会计处理是否正确：</t>
    <phoneticPr fontId="53" type="noConversion"/>
  </si>
  <si>
    <r>
      <rPr>
        <b/>
        <sz val="10"/>
        <rFont val="宋体"/>
        <family val="3"/>
        <charset val="134"/>
      </rPr>
      <t>对于每一增减变动，确定交易的是否恰当，会计处理是否正确。</t>
    </r>
    <r>
      <rPr>
        <b/>
        <sz val="10"/>
        <rFont val="Arial Narrow"/>
        <family val="2"/>
      </rPr>
      <t xml:space="preserve"> </t>
    </r>
    <phoneticPr fontId="53" type="noConversion"/>
  </si>
  <si>
    <t>通过查阅上述会议记录，确定每笔交易是否都已通过授权。</t>
    <phoneticPr fontId="53" type="noConversion"/>
  </si>
  <si>
    <t>审阅公司章程、股东（大）会、董事会会议记录中相关规定。收集与所有者权益账户变动有关的董股东（大）会决议、事会会议纪要、合同、协议、公司章程及营业执照，公司设立批文、验资报告以及政府主管部门、财政部门批复、资产评估报告等文件资料，并更新永久性档案。</t>
    <phoneticPr fontId="53" type="noConversion"/>
  </si>
  <si>
    <t>4</t>
    <phoneticPr fontId="53" type="noConversion"/>
  </si>
  <si>
    <t>获取所有者权益账户结转明细，并确认入账是否恰当。</t>
    <phoneticPr fontId="53" type="noConversion"/>
  </si>
  <si>
    <t>（七）</t>
    <phoneticPr fontId="53" type="noConversion"/>
  </si>
  <si>
    <r>
      <rPr>
        <b/>
        <sz val="10"/>
        <color theme="1"/>
        <rFont val="宋体"/>
        <family val="3"/>
        <charset val="134"/>
      </rPr>
      <t>确定需在财务报表中单独披露的信息已被记录。</t>
    </r>
    <r>
      <rPr>
        <b/>
        <sz val="10"/>
        <color theme="1"/>
        <rFont val="Arial Narrow"/>
        <family val="2"/>
      </rPr>
      <t xml:space="preserve"> </t>
    </r>
    <phoneticPr fontId="53" type="noConversion"/>
  </si>
  <si>
    <t>E</t>
  </si>
  <si>
    <t>审定表</t>
    <phoneticPr fontId="53" type="noConversion"/>
  </si>
  <si>
    <t>一般风险准备实质性程序表</t>
    <phoneticPr fontId="53" type="noConversion"/>
  </si>
  <si>
    <r>
      <rPr>
        <b/>
        <sz val="10"/>
        <rFont val="宋体"/>
        <family val="3"/>
        <charset val="134"/>
      </rPr>
      <t>致同会计师事务所</t>
    </r>
  </si>
  <si>
    <t>……</t>
    <phoneticPr fontId="18" type="noConversion"/>
  </si>
  <si>
    <t>期初余额</t>
    <phoneticPr fontId="18" type="noConversion"/>
  </si>
  <si>
    <t>期末余额</t>
    <phoneticPr fontId="18" type="noConversion"/>
  </si>
  <si>
    <t>期初余额</t>
    <phoneticPr fontId="18" type="noConversion"/>
  </si>
  <si>
    <t>期末余额</t>
    <phoneticPr fontId="18" type="noConversion"/>
  </si>
  <si>
    <t>二、审计目标与认定的对应关系</t>
    <phoneticPr fontId="18" type="noConversion"/>
  </si>
  <si>
    <t>审计目标</t>
    <phoneticPr fontId="18" type="noConversion"/>
  </si>
  <si>
    <t>存在</t>
    <phoneticPr fontId="18" type="noConversion"/>
  </si>
  <si>
    <t>完整性</t>
    <phoneticPr fontId="18" type="noConversion"/>
  </si>
  <si>
    <t>权利和义务</t>
    <phoneticPr fontId="18" type="noConversion"/>
  </si>
  <si>
    <t>列报</t>
    <phoneticPr fontId="18" type="noConversion"/>
  </si>
  <si>
    <t>底稿索引号</t>
    <phoneticPr fontId="18" type="noConversion"/>
  </si>
  <si>
    <t>财务报表的认定</t>
    <phoneticPr fontId="18" type="noConversion"/>
  </si>
  <si>
    <t>准确性、计价和分摊</t>
  </si>
  <si>
    <t>√</t>
    <phoneticPr fontId="18" type="noConversion"/>
  </si>
  <si>
    <t>常规★</t>
  </si>
  <si>
    <t>检查一般风险准备是否已按企业会计准则或其他适用的规定在财务报表中做出恰当列报和披露。</t>
    <phoneticPr fontId="53" type="noConversion"/>
  </si>
  <si>
    <r>
      <t xml:space="preserve">A. </t>
    </r>
    <r>
      <rPr>
        <sz val="10"/>
        <rFont val="宋体"/>
        <family val="3"/>
        <charset val="134"/>
      </rPr>
      <t>资产负债表中记录的一般风险准备是存在的，且已经记录在恰当的账户中</t>
    </r>
    <phoneticPr fontId="18" type="noConversion"/>
  </si>
  <si>
    <r>
      <t xml:space="preserve">C. </t>
    </r>
    <r>
      <rPr>
        <sz val="10"/>
        <rFont val="宋体"/>
        <family val="3"/>
        <charset val="134"/>
      </rPr>
      <t>记录的一般风险准备由被审计单位拥有或控制</t>
    </r>
    <phoneticPr fontId="18" type="noConversion"/>
  </si>
  <si>
    <r>
      <t xml:space="preserve">D. </t>
    </r>
    <r>
      <rPr>
        <sz val="10"/>
        <rFont val="宋体"/>
        <family val="3"/>
        <charset val="134"/>
      </rPr>
      <t>一般风险准备以恰当的金额包括在财务报表中，与之相关的计价或分摊调整已恰当记录，相关披露已得到恰当计量和描述</t>
    </r>
    <r>
      <rPr>
        <sz val="10"/>
        <rFont val="Arial"/>
        <family val="2"/>
      </rPr>
      <t xml:space="preserve"> </t>
    </r>
    <phoneticPr fontId="18" type="noConversion"/>
  </si>
  <si>
    <t>M8A</t>
    <phoneticPr fontId="53" type="noConversion"/>
  </si>
  <si>
    <t>M8-1</t>
    <phoneticPr fontId="53" type="noConversion"/>
  </si>
  <si>
    <t>明细表</t>
    <phoneticPr fontId="53" type="noConversion"/>
  </si>
  <si>
    <t>M8-2</t>
    <phoneticPr fontId="53" type="noConversion"/>
  </si>
  <si>
    <t>调整分录汇总</t>
    <phoneticPr fontId="53" type="noConversion"/>
  </si>
  <si>
    <t>M8-3</t>
    <phoneticPr fontId="53" type="noConversion"/>
  </si>
  <si>
    <t>一般风险准备测试表</t>
    <phoneticPr fontId="53" type="noConversion"/>
  </si>
  <si>
    <t>M8-4</t>
    <phoneticPr fontId="53" type="noConversion"/>
  </si>
  <si>
    <t>无需打印</t>
  </si>
  <si>
    <r>
      <t>A1-1/</t>
    </r>
    <r>
      <rPr>
        <sz val="10"/>
        <color rgb="FFFF0000"/>
        <rFont val="Arial Narrow"/>
        <family val="2"/>
      </rPr>
      <t>A1-15 /A1-16</t>
    </r>
    <phoneticPr fontId="53"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</si>
  <si>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53"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</si>
  <si>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53" type="noConversion"/>
  </si>
  <si>
    <t>索引号：</t>
    <phoneticPr fontId="18" type="noConversion"/>
  </si>
  <si>
    <t>整合</t>
    <phoneticPr fontId="18" type="noConversion"/>
  </si>
  <si>
    <t>保留</t>
    <phoneticPr fontId="18" type="noConversion"/>
  </si>
  <si>
    <r>
      <rPr>
        <sz val="10"/>
        <rFont val="宋体"/>
        <family val="3"/>
        <charset val="134"/>
      </rPr>
      <t>页次：</t>
    </r>
  </si>
  <si>
    <r>
      <rPr>
        <b/>
        <sz val="10"/>
        <rFont val="宋体"/>
        <family val="3"/>
        <charset val="134"/>
      </rPr>
      <t>期初数</t>
    </r>
    <phoneticPr fontId="18" type="noConversion"/>
  </si>
  <si>
    <r>
      <rPr>
        <b/>
        <sz val="10"/>
        <rFont val="宋体"/>
        <family val="3"/>
        <charset val="134"/>
      </rPr>
      <t>期末数</t>
    </r>
    <phoneticPr fontId="18" type="noConversion"/>
  </si>
  <si>
    <r>
      <rPr>
        <b/>
        <sz val="10"/>
        <color indexed="8"/>
        <rFont val="宋体"/>
        <family val="3"/>
        <charset val="134"/>
      </rPr>
      <t>本期审定数与上期
审定数的比较</t>
    </r>
    <phoneticPr fontId="18" type="noConversion"/>
  </si>
  <si>
    <r>
      <rPr>
        <b/>
        <sz val="10"/>
        <rFont val="宋体"/>
        <family val="3"/>
        <charset val="134"/>
      </rPr>
      <t>原因分析</t>
    </r>
    <phoneticPr fontId="48" type="noConversion"/>
  </si>
  <si>
    <r>
      <rPr>
        <b/>
        <sz val="10"/>
        <rFont val="宋体"/>
        <family val="3"/>
        <charset val="134"/>
      </rPr>
      <t>未审数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</si>
  <si>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</si>
  <si>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</si>
  <si>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</si>
  <si>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r>
      <rPr>
        <b/>
        <sz val="10"/>
        <rFont val="宋体"/>
        <family val="3"/>
        <charset val="134"/>
      </rPr>
      <t>变动额</t>
    </r>
    <phoneticPr fontId="18" type="noConversion"/>
  </si>
  <si>
    <r>
      <rPr>
        <b/>
        <sz val="10"/>
        <color indexed="8"/>
        <rFont val="宋体"/>
        <family val="3"/>
        <charset val="134"/>
      </rPr>
      <t>变动率</t>
    </r>
    <phoneticPr fontId="18" type="noConversion"/>
  </si>
  <si>
    <r>
      <rPr>
        <b/>
        <sz val="10"/>
        <rFont val="宋体"/>
        <family val="3"/>
        <charset val="134"/>
      </rPr>
      <t>合计</t>
    </r>
    <phoneticPr fontId="18" type="noConversion"/>
  </si>
  <si>
    <r>
      <rPr>
        <b/>
        <sz val="10"/>
        <rFont val="宋体"/>
        <family val="3"/>
        <charset val="134"/>
      </rPr>
      <t>试算平衡表数</t>
    </r>
    <phoneticPr fontId="18" type="noConversion"/>
  </si>
  <si>
    <r>
      <rPr>
        <b/>
        <sz val="10"/>
        <rFont val="宋体"/>
        <family val="3"/>
        <charset val="134"/>
      </rPr>
      <t>差异数</t>
    </r>
    <phoneticPr fontId="18" type="noConversion"/>
  </si>
  <si>
    <r>
      <rPr>
        <sz val="10"/>
        <rFont val="宋体"/>
        <family val="3"/>
        <charset val="134"/>
      </rPr>
      <t>（</t>
    </r>
    <r>
      <rPr>
        <sz val="10"/>
        <rFont val="Arial Narrow"/>
        <family val="2"/>
      </rPr>
      <t>1</t>
    </r>
    <r>
      <rPr>
        <sz val="10"/>
        <rFont val="宋体"/>
        <family val="3"/>
        <charset val="134"/>
      </rPr>
      <t>）期末余额较期初余额增加（负数为减少）：</t>
    </r>
    <phoneticPr fontId="1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</si>
  <si>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8" type="noConversion"/>
  </si>
  <si>
    <r>
      <rPr>
        <sz val="10"/>
        <rFont val="宋体"/>
        <family val="3"/>
        <charset val="134"/>
      </rPr>
      <t>（</t>
    </r>
    <r>
      <rPr>
        <sz val="10"/>
        <rFont val="Arial Narrow"/>
        <family val="2"/>
      </rPr>
      <t>2</t>
    </r>
    <r>
      <rPr>
        <sz val="10"/>
        <rFont val="宋体"/>
        <family val="3"/>
        <charset val="134"/>
      </rPr>
      <t>）一般风险准备变动的原因、依据。</t>
    </r>
    <phoneticPr fontId="18" type="noConversion"/>
  </si>
  <si>
    <r>
      <t>2</t>
    </r>
    <r>
      <rPr>
        <b/>
        <sz val="10"/>
        <rFont val="宋体"/>
        <family val="3"/>
        <charset val="134"/>
      </rPr>
      <t>、审计结论</t>
    </r>
    <phoneticPr fontId="18" type="noConversion"/>
  </si>
  <si>
    <r>
      <t>1.</t>
    </r>
    <r>
      <rPr>
        <sz val="10"/>
        <rFont val="宋体"/>
        <family val="3"/>
        <charset val="134"/>
      </rPr>
      <t>一般风险准备以恰当的金额包括在财务报表中，与之相关的计价或分摊调整已恰当记录，相关披露已得到恰当计量和描述。</t>
    </r>
    <phoneticPr fontId="18" type="noConversion"/>
  </si>
  <si>
    <r>
      <rPr>
        <b/>
        <sz val="10"/>
        <color indexed="8"/>
        <rFont val="宋体"/>
        <family val="3"/>
        <charset val="134"/>
      </rPr>
      <t>项目</t>
    </r>
  </si>
  <si>
    <r>
      <rPr>
        <b/>
        <sz val="10"/>
        <rFont val="宋体"/>
        <family val="3"/>
        <charset val="134"/>
      </rPr>
      <t>期初调整</t>
    </r>
    <phoneticPr fontId="18" type="noConversion"/>
  </si>
  <si>
    <r>
      <rPr>
        <b/>
        <sz val="10"/>
        <color indexed="8"/>
        <rFont val="宋体"/>
        <family val="3"/>
        <charset val="134"/>
      </rPr>
      <t>文件依据</t>
    </r>
    <phoneticPr fontId="18" type="noConversion"/>
  </si>
  <si>
    <r>
      <rPr>
        <b/>
        <sz val="10"/>
        <color indexed="8"/>
        <rFont val="宋体"/>
        <family val="3"/>
        <charset val="134"/>
      </rPr>
      <t>期初数</t>
    </r>
    <phoneticPr fontId="18" type="noConversion"/>
  </si>
  <si>
    <r>
      <rPr>
        <b/>
        <sz val="10"/>
        <color indexed="8"/>
        <rFont val="宋体"/>
        <family val="3"/>
        <charset val="134"/>
      </rPr>
      <t>本期增加</t>
    </r>
    <phoneticPr fontId="18" type="noConversion"/>
  </si>
  <si>
    <r>
      <rPr>
        <b/>
        <sz val="10"/>
        <color indexed="8"/>
        <rFont val="宋体"/>
        <family val="3"/>
        <charset val="134"/>
      </rPr>
      <t>本期减少</t>
    </r>
    <phoneticPr fontId="18" type="noConversion"/>
  </si>
  <si>
    <r>
      <rPr>
        <b/>
        <sz val="10"/>
        <color indexed="8"/>
        <rFont val="宋体"/>
        <family val="3"/>
        <charset val="134"/>
      </rPr>
      <t>期末数</t>
    </r>
    <phoneticPr fontId="18" type="noConversion"/>
  </si>
  <si>
    <r>
      <rPr>
        <b/>
        <sz val="10"/>
        <color indexed="8"/>
        <rFont val="宋体"/>
        <family val="3"/>
        <charset val="134"/>
      </rPr>
      <t>账项调整</t>
    </r>
    <phoneticPr fontId="18" type="noConversion"/>
  </si>
  <si>
    <r>
      <rPr>
        <b/>
        <sz val="10"/>
        <color indexed="8"/>
        <rFont val="宋体"/>
        <family val="3"/>
        <charset val="134"/>
      </rPr>
      <t>重分类调整</t>
    </r>
    <phoneticPr fontId="18" type="noConversion"/>
  </si>
  <si>
    <r>
      <rPr>
        <b/>
        <sz val="10"/>
        <color indexed="8"/>
        <rFont val="宋体"/>
        <family val="3"/>
        <charset val="134"/>
      </rPr>
      <t>索引号</t>
    </r>
    <phoneticPr fontId="18" type="noConversion"/>
  </si>
  <si>
    <r>
      <rPr>
        <b/>
        <sz val="10"/>
        <rFont val="宋体"/>
        <family val="3"/>
        <charset val="134"/>
      </rPr>
      <t>备注</t>
    </r>
    <phoneticPr fontId="18" type="noConversion"/>
  </si>
  <si>
    <r>
      <rPr>
        <sz val="10"/>
        <color indexed="8"/>
        <rFont val="宋体"/>
        <family val="3"/>
        <charset val="134"/>
      </rPr>
      <t>一般风险准备</t>
    </r>
    <phoneticPr fontId="18" type="noConversion"/>
  </si>
  <si>
    <r>
      <rPr>
        <b/>
        <sz val="10"/>
        <color indexed="8"/>
        <rFont val="宋体"/>
        <family val="3"/>
        <charset val="134"/>
      </rPr>
      <t>合计</t>
    </r>
  </si>
  <si>
    <r>
      <rPr>
        <b/>
        <sz val="10"/>
        <rFont val="宋体"/>
        <family val="3"/>
        <charset val="134"/>
      </rPr>
      <t>三、审计说明：</t>
    </r>
    <phoneticPr fontId="18" type="noConversion"/>
  </si>
  <si>
    <r>
      <rPr>
        <b/>
        <sz val="10"/>
        <rFont val="宋体"/>
        <family val="3"/>
        <charset val="134"/>
      </rPr>
      <t>四、审计结论：</t>
    </r>
    <phoneticPr fontId="18" type="noConversion"/>
  </si>
  <si>
    <r>
      <rPr>
        <b/>
        <sz val="10"/>
        <rFont val="宋体"/>
        <family val="3"/>
        <charset val="134"/>
      </rPr>
      <t>一、审计目标：</t>
    </r>
    <phoneticPr fontId="28" type="noConversion"/>
  </si>
  <si>
    <r>
      <rPr>
        <b/>
        <sz val="10"/>
        <rFont val="宋体"/>
        <family val="3"/>
        <charset val="134"/>
      </rPr>
      <t>二、审计过程：</t>
    </r>
    <phoneticPr fontId="28" type="noConversion"/>
  </si>
  <si>
    <r>
      <rPr>
        <b/>
        <sz val="10"/>
        <rFont val="宋体"/>
        <family val="3"/>
        <charset val="134"/>
      </rPr>
      <t>项目</t>
    </r>
    <phoneticPr fontId="18" type="noConversion"/>
  </si>
  <si>
    <r>
      <rPr>
        <b/>
        <sz val="10"/>
        <rFont val="宋体"/>
        <family val="3"/>
        <charset val="134"/>
      </rPr>
      <t>本期增加额</t>
    </r>
  </si>
  <si>
    <r>
      <rPr>
        <b/>
        <sz val="10"/>
        <rFont val="宋体"/>
        <family val="3"/>
        <charset val="134"/>
      </rPr>
      <t>提取</t>
    </r>
    <phoneticPr fontId="18" type="noConversion"/>
  </si>
  <si>
    <r>
      <rPr>
        <b/>
        <sz val="10"/>
        <rFont val="宋体"/>
        <family val="3"/>
        <charset val="134"/>
      </rPr>
      <t>应计金额</t>
    </r>
    <phoneticPr fontId="18" type="noConversion"/>
  </si>
  <si>
    <r>
      <rPr>
        <b/>
        <sz val="10"/>
        <rFont val="宋体"/>
        <family val="3"/>
        <charset val="134"/>
      </rPr>
      <t>差异</t>
    </r>
    <phoneticPr fontId="18" type="noConversion"/>
  </si>
  <si>
    <r>
      <rPr>
        <b/>
        <sz val="10"/>
        <rFont val="宋体"/>
        <family val="3"/>
        <charset val="134"/>
      </rPr>
      <t>差异原因</t>
    </r>
    <phoneticPr fontId="18" type="noConversion"/>
  </si>
  <si>
    <r>
      <rPr>
        <b/>
        <sz val="10"/>
        <rFont val="宋体"/>
        <family val="3"/>
        <charset val="134"/>
      </rPr>
      <t>相关依据索引号</t>
    </r>
    <phoneticPr fontId="18" type="noConversion"/>
  </si>
  <si>
    <r>
      <rPr>
        <b/>
        <sz val="10"/>
        <rFont val="宋体"/>
        <family val="3"/>
        <charset val="134"/>
      </rPr>
      <t>相关数据来源索引号</t>
    </r>
    <phoneticPr fontId="18" type="noConversion"/>
  </si>
  <si>
    <r>
      <rPr>
        <b/>
        <sz val="10"/>
        <rFont val="宋体"/>
        <family val="3"/>
        <charset val="134"/>
      </rPr>
      <t>计提</t>
    </r>
    <phoneticPr fontId="18" type="noConversion"/>
  </si>
  <si>
    <r>
      <rPr>
        <b/>
        <sz val="10"/>
        <rFont val="宋体"/>
        <family val="3"/>
        <charset val="134"/>
      </rPr>
      <t>其它</t>
    </r>
  </si>
  <si>
    <r>
      <rPr>
        <b/>
        <sz val="10"/>
        <rFont val="宋体"/>
        <family val="3"/>
        <charset val="134"/>
      </rPr>
      <t>标准</t>
    </r>
    <phoneticPr fontId="18" type="noConversion"/>
  </si>
  <si>
    <r>
      <rPr>
        <b/>
        <sz val="10"/>
        <rFont val="宋体"/>
        <family val="3"/>
        <charset val="134"/>
      </rPr>
      <t>基数</t>
    </r>
    <phoneticPr fontId="18" type="noConversion"/>
  </si>
  <si>
    <r>
      <rPr>
        <b/>
        <sz val="10"/>
        <rFont val="宋体"/>
        <family val="3"/>
        <charset val="134"/>
      </rPr>
      <t>比例（注）</t>
    </r>
    <phoneticPr fontId="18" type="noConversion"/>
  </si>
  <si>
    <r>
      <rPr>
        <b/>
        <sz val="10"/>
        <rFont val="宋体"/>
        <family val="3"/>
        <charset val="134"/>
      </rPr>
      <t>合</t>
    </r>
    <r>
      <rPr>
        <b/>
        <sz val="10"/>
        <rFont val="Arial Narrow"/>
        <family val="2"/>
      </rPr>
      <t xml:space="preserve">   </t>
    </r>
    <r>
      <rPr>
        <b/>
        <sz val="10"/>
        <rFont val="宋体"/>
        <family val="3"/>
        <charset val="134"/>
      </rPr>
      <t>计</t>
    </r>
  </si>
  <si>
    <r>
      <rPr>
        <b/>
        <sz val="10"/>
        <rFont val="宋体"/>
        <family val="3"/>
        <charset val="134"/>
      </rPr>
      <t>三、审计说明：</t>
    </r>
    <phoneticPr fontId="28" type="noConversion"/>
  </si>
  <si>
    <r>
      <rPr>
        <b/>
        <sz val="12"/>
        <rFont val="宋体"/>
        <family val="3"/>
        <charset val="134"/>
      </rPr>
      <t>针对性测试</t>
    </r>
  </si>
  <si>
    <r>
      <rPr>
        <sz val="10"/>
        <rFont val="宋体"/>
        <family val="3"/>
        <charset val="134"/>
      </rPr>
      <t>索引号：</t>
    </r>
    <r>
      <rPr>
        <sz val="10"/>
        <rFont val="Arial Narrow"/>
        <family val="2"/>
      </rPr>
      <t>M8-5</t>
    </r>
    <phoneticPr fontId="18" type="noConversion"/>
  </si>
  <si>
    <r>
      <rPr>
        <b/>
        <sz val="10"/>
        <rFont val="宋体"/>
        <family val="3"/>
        <charset val="134"/>
      </rPr>
      <t>一、测试目标：</t>
    </r>
    <phoneticPr fontId="28" type="noConversion"/>
  </si>
  <si>
    <r>
      <t>1.</t>
    </r>
    <r>
      <rPr>
        <sz val="10"/>
        <rFont val="宋体"/>
        <family val="3"/>
        <charset val="134"/>
      </rPr>
      <t>通过选取一般风险准备的样本进行测试检查，验证一般风险准备项目的存在</t>
    </r>
    <r>
      <rPr>
        <sz val="10"/>
        <rFont val="Arial Narrow"/>
        <family val="2"/>
      </rPr>
      <t>/</t>
    </r>
    <r>
      <rPr>
        <sz val="10"/>
        <rFont val="宋体"/>
        <family val="3"/>
        <charset val="134"/>
      </rPr>
      <t>发生、计价和分摊。</t>
    </r>
    <phoneticPr fontId="18" type="noConversion"/>
  </si>
  <si>
    <r>
      <rPr>
        <b/>
        <sz val="10"/>
        <rFont val="宋体"/>
        <family val="3"/>
        <charset val="134"/>
      </rPr>
      <t>二、样本选取标准与规模：</t>
    </r>
    <phoneticPr fontId="28" type="noConversion"/>
  </si>
  <si>
    <r>
      <rPr>
        <sz val="10"/>
        <rFont val="宋体"/>
        <family val="3"/>
        <charset val="134"/>
      </rPr>
      <t>测试总体：</t>
    </r>
    <phoneticPr fontId="18" type="noConversion"/>
  </si>
  <si>
    <r>
      <rPr>
        <sz val="10"/>
        <color rgb="FF0000FF"/>
        <rFont val="宋体"/>
        <family val="3"/>
        <charset val="134"/>
      </rPr>
      <t>如盈余公积借方发生额所有凭证共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18" type="noConversion"/>
  </si>
  <si>
    <r>
      <rPr>
        <sz val="10"/>
        <rFont val="宋体"/>
        <family val="3"/>
        <charset val="134"/>
      </rPr>
      <t>特定样本：</t>
    </r>
    <phoneticPr fontId="18"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</si>
  <si>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8" type="noConversion"/>
  </si>
  <si>
    <r>
      <rPr>
        <sz val="10"/>
        <rFont val="宋体"/>
        <family val="3"/>
        <charset val="134"/>
      </rPr>
      <t>抽样总体：</t>
    </r>
    <phoneticPr fontId="18"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</si>
  <si>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18" type="noConversion"/>
  </si>
  <si>
    <r>
      <rPr>
        <sz val="10"/>
        <rFont val="宋体"/>
        <family val="3"/>
        <charset val="134"/>
      </rPr>
      <t>确定的抽样样本量：</t>
    </r>
    <phoneticPr fontId="18"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</si>
  <si>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8"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</si>
  <si>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18" type="noConversion"/>
  </si>
  <si>
    <r>
      <rPr>
        <sz val="10"/>
        <rFont val="宋体"/>
        <family val="3"/>
        <charset val="134"/>
      </rPr>
      <t>抽样方法：</t>
    </r>
    <phoneticPr fontId="18" type="noConversion"/>
  </si>
  <si>
    <r>
      <rPr>
        <sz val="10"/>
        <color rgb="FF0000FF"/>
        <rFont val="宋体"/>
        <family val="3"/>
        <charset val="134"/>
      </rPr>
      <t>随机选样</t>
    </r>
    <r>
      <rPr>
        <sz val="10"/>
        <color rgb="FF0000FF"/>
        <rFont val="Arial Narrow"/>
        <family val="2"/>
      </rPr>
      <t>/</t>
    </r>
    <r>
      <rPr>
        <sz val="10"/>
        <color rgb="FF0000FF"/>
        <rFont val="宋体"/>
        <family val="3"/>
        <charset val="134"/>
      </rPr>
      <t>系统选样</t>
    </r>
    <r>
      <rPr>
        <sz val="10"/>
        <color rgb="FF0000FF"/>
        <rFont val="Arial Narrow"/>
        <family val="2"/>
      </rPr>
      <t>/</t>
    </r>
    <r>
      <rPr>
        <sz val="10"/>
        <color rgb="FF0000FF"/>
        <rFont val="宋体"/>
        <family val="3"/>
        <charset val="134"/>
      </rPr>
      <t>货币单元抽样</t>
    </r>
    <r>
      <rPr>
        <sz val="10"/>
        <color rgb="FF0000FF"/>
        <rFont val="Arial Narrow"/>
        <family val="2"/>
      </rPr>
      <t>/</t>
    </r>
    <r>
      <rPr>
        <sz val="10"/>
        <color rgb="FF0000FF"/>
        <rFont val="宋体"/>
        <family val="3"/>
        <charset val="134"/>
      </rPr>
      <t>随意选样</t>
    </r>
    <phoneticPr fontId="18" type="noConversion"/>
  </si>
  <si>
    <r>
      <rPr>
        <sz val="10"/>
        <rFont val="宋体"/>
        <family val="3"/>
        <charset val="134"/>
      </rPr>
      <t>抽样过程：</t>
    </r>
    <phoneticPr fontId="18"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</si>
  <si>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8" type="noConversion"/>
  </si>
  <si>
    <r>
      <rPr>
        <b/>
        <sz val="10"/>
        <rFont val="宋体"/>
        <family val="3"/>
        <charset val="134"/>
      </rPr>
      <t>三、测试：</t>
    </r>
    <phoneticPr fontId="28" type="noConversion"/>
  </si>
  <si>
    <r>
      <rPr>
        <b/>
        <sz val="10"/>
        <rFont val="宋体"/>
        <family val="3"/>
        <charset val="134"/>
      </rPr>
      <t>记账凭证</t>
    </r>
    <phoneticPr fontId="18" type="noConversion"/>
  </si>
  <si>
    <r>
      <rPr>
        <b/>
        <sz val="10"/>
        <color rgb="FF000000"/>
        <rFont val="宋体"/>
        <family val="3"/>
        <charset val="134"/>
      </rPr>
      <t>董事会</t>
    </r>
    <r>
      <rPr>
        <b/>
        <sz val="10"/>
        <color rgb="FF000000"/>
        <rFont val="Arial Narrow"/>
        <family val="2"/>
      </rPr>
      <t>/</t>
    </r>
    <r>
      <rPr>
        <b/>
        <sz val="10"/>
        <color rgb="FF000000"/>
        <rFont val="宋体"/>
        <family val="3"/>
        <charset val="134"/>
      </rPr>
      <t>股东会会议纪要</t>
    </r>
    <phoneticPr fontId="18" type="noConversion"/>
  </si>
  <si>
    <r>
      <rPr>
        <b/>
        <sz val="10"/>
        <color rgb="FFFF0000"/>
        <rFont val="宋体"/>
        <family val="3"/>
        <charset val="134"/>
      </rPr>
      <t>索引号</t>
    </r>
  </si>
  <si>
    <r>
      <rPr>
        <b/>
        <sz val="10"/>
        <rFont val="宋体"/>
        <family val="3"/>
        <charset val="134"/>
      </rPr>
      <t>备注说明</t>
    </r>
    <phoneticPr fontId="18" type="noConversion"/>
  </si>
  <si>
    <r>
      <rPr>
        <b/>
        <sz val="10"/>
        <rFont val="宋体"/>
        <family val="3"/>
        <charset val="134"/>
      </rPr>
      <t>日期</t>
    </r>
  </si>
  <si>
    <r>
      <rPr>
        <b/>
        <sz val="10"/>
        <rFont val="宋体"/>
        <family val="3"/>
        <charset val="134"/>
      </rPr>
      <t>凭证编号</t>
    </r>
  </si>
  <si>
    <r>
      <rPr>
        <b/>
        <sz val="10"/>
        <rFont val="宋体"/>
        <family val="3"/>
        <charset val="134"/>
      </rPr>
      <t>业务内容</t>
    </r>
    <phoneticPr fontId="18" type="noConversion"/>
  </si>
  <si>
    <r>
      <rPr>
        <b/>
        <sz val="10"/>
        <rFont val="宋体"/>
        <family val="3"/>
        <charset val="134"/>
      </rPr>
      <t>对方科目</t>
    </r>
    <phoneticPr fontId="18" type="noConversion"/>
  </si>
  <si>
    <r>
      <rPr>
        <b/>
        <sz val="10"/>
        <rFont val="宋体"/>
        <family val="3"/>
        <charset val="134"/>
      </rPr>
      <t>明细科目</t>
    </r>
  </si>
  <si>
    <r>
      <rPr>
        <b/>
        <sz val="10"/>
        <rFont val="宋体"/>
        <family val="3"/>
        <charset val="134"/>
      </rPr>
      <t>借</t>
    </r>
    <r>
      <rPr>
        <b/>
        <sz val="10"/>
        <rFont val="Arial Narrow"/>
        <family val="2"/>
      </rPr>
      <t>/</t>
    </r>
    <r>
      <rPr>
        <b/>
        <sz val="10"/>
        <rFont val="宋体"/>
        <family val="3"/>
        <charset val="134"/>
      </rPr>
      <t>贷方金额</t>
    </r>
    <phoneticPr fontId="18" type="noConversion"/>
  </si>
  <si>
    <r>
      <rPr>
        <b/>
        <sz val="10"/>
        <rFont val="宋体"/>
        <family val="3"/>
        <charset val="134"/>
      </rPr>
      <t>日期</t>
    </r>
    <phoneticPr fontId="18" type="noConversion"/>
  </si>
  <si>
    <r>
      <rPr>
        <b/>
        <sz val="10"/>
        <rFont val="宋体"/>
        <family val="3"/>
        <charset val="134"/>
      </rPr>
      <t>会议编号</t>
    </r>
    <phoneticPr fontId="18" type="noConversion"/>
  </si>
  <si>
    <r>
      <rPr>
        <b/>
        <sz val="10"/>
        <rFont val="宋体"/>
        <family val="3"/>
        <charset val="134"/>
      </rPr>
      <t>一般风险准备计提方案</t>
    </r>
    <phoneticPr fontId="18" type="noConversion"/>
  </si>
  <si>
    <r>
      <rPr>
        <sz val="10"/>
        <color rgb="FF0000FF"/>
        <rFont val="宋体"/>
        <family val="3"/>
        <charset val="134"/>
      </rPr>
      <t>【注：</t>
    </r>
    <r>
      <rPr>
        <sz val="10"/>
        <color rgb="FF0000FF"/>
        <rFont val="Arial Narrow"/>
        <family val="2"/>
      </rPr>
      <t>“</t>
    </r>
    <r>
      <rPr>
        <sz val="10"/>
        <color rgb="FF0000FF"/>
        <rFont val="宋体"/>
        <family val="3"/>
        <charset val="134"/>
      </rPr>
      <t>备注说明</t>
    </r>
    <r>
      <rPr>
        <sz val="10"/>
        <color rgb="FF0000FF"/>
        <rFont val="Arial Narrow"/>
        <family val="2"/>
      </rPr>
      <t>”</t>
    </r>
    <r>
      <rPr>
        <sz val="10"/>
        <color rgb="FF0000FF"/>
        <rFont val="宋体"/>
        <family val="3"/>
        <charset val="134"/>
      </rPr>
      <t>栏主要填写有必要做出进一步说明，且其他字段和审计证据中未记录的内容；由项目组根据需要选择是否需要填写。】</t>
    </r>
    <phoneticPr fontId="18" type="noConversion"/>
  </si>
  <si>
    <r>
      <rPr>
        <b/>
        <sz val="10"/>
        <rFont val="宋体"/>
        <family val="3"/>
        <charset val="134"/>
      </rPr>
      <t>四、审计说明：</t>
    </r>
    <phoneticPr fontId="28" type="noConversion"/>
  </si>
  <si>
    <r>
      <rPr>
        <b/>
        <sz val="10"/>
        <rFont val="宋体"/>
        <family val="3"/>
        <charset val="134"/>
      </rPr>
      <t>五、审计结论：</t>
    </r>
    <phoneticPr fontId="18" type="noConversion"/>
  </si>
  <si>
    <r>
      <t>1</t>
    </r>
    <r>
      <rPr>
        <sz val="10"/>
        <color rgb="FF3333FF"/>
        <rFont val="宋体"/>
        <family val="3"/>
        <charset val="134"/>
      </rPr>
      <t>、审计说明可以概述：（</t>
    </r>
    <r>
      <rPr>
        <sz val="10"/>
        <color rgb="FF3333FF"/>
        <rFont val="Arial Narrow"/>
        <family val="2"/>
      </rPr>
      <t>1</t>
    </r>
    <r>
      <rPr>
        <sz val="10"/>
        <color rgb="FF3333FF"/>
        <rFont val="宋体"/>
        <family val="3"/>
        <charset val="134"/>
      </rPr>
      <t>）程序的测试情况、结果；（</t>
    </r>
    <r>
      <rPr>
        <sz val="10"/>
        <color rgb="FF3333FF"/>
        <rFont val="Arial Narrow"/>
        <family val="2"/>
      </rPr>
      <t>2</t>
    </r>
    <r>
      <rPr>
        <sz val="10"/>
        <color rgb="FF3333FF"/>
        <rFont val="宋体"/>
        <family val="3"/>
        <charset val="134"/>
      </rPr>
      <t>）拟调整事项及其调整分录、未调整事项及其影响，审计范围受到限制情况及其影响。</t>
    </r>
    <phoneticPr fontId="18" type="noConversion"/>
  </si>
  <si>
    <t>2、审计结论可参考：A、未见异常。B、除上述重大不符事项应当作为调整事项予以调整外，其余未见异常。C、由于存在以下重大未调整事项(或审计范围受到限制无法获取充分、适当证据），不可确认。</t>
    <phoneticPr fontId="18"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</si>
  <si>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8" type="noConversion"/>
  </si>
  <si>
    <t>获取或编制专项储备明细表，完成以下工作，并编制审定表
复核加计是否正确，与总账、明细账合计数核对是否相符，期初余额与上期审定期末余额是否相符；</t>
    <phoneticPr fontId="53" type="noConversion"/>
  </si>
  <si>
    <t>常规★</t>
    <phoneticPr fontId="53"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</si>
  <si>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18" type="noConversion"/>
  </si>
  <si>
    <t>获取一般风险储备的计提及标准的相关文件，检查是否已按照相关行业规定计提一般风险储备，判断其分类为是否恰当、计提金额是否正确、会计处理是否正确。</t>
    <phoneticPr fontId="18" type="noConversion"/>
  </si>
  <si>
    <r>
      <t>对于上期一般风险储备末余额，取得一般风险储备明细表复核加计是否正确，与总账、明细账合计数是否相符，检查被审计单位一般风险储备计提政策等文件。</t>
    </r>
    <r>
      <rPr>
        <sz val="10"/>
        <color rgb="FFFF0000"/>
        <rFont val="宋体"/>
        <family val="3"/>
        <charset val="134"/>
      </rPr>
      <t>（适用于首次承接）</t>
    </r>
    <phoneticPr fontId="18" type="noConversion"/>
  </si>
  <si>
    <t>√</t>
    <phoneticPr fontId="18" type="noConversion"/>
  </si>
  <si>
    <t>√</t>
    <phoneticPr fontId="18" type="noConversion"/>
  </si>
  <si>
    <t>删除</t>
    <phoneticPr fontId="18" type="noConversion"/>
  </si>
  <si>
    <t>修改</t>
    <phoneticPr fontId="18" type="noConversion"/>
  </si>
  <si>
    <t>M8-1
/M8-2</t>
    <phoneticPr fontId="18" type="noConversion"/>
  </si>
  <si>
    <t>T1/</t>
    <phoneticPr fontId="53" type="noConversion"/>
  </si>
  <si>
    <t>M8-4</t>
    <phoneticPr fontId="18" type="noConversion"/>
  </si>
  <si>
    <t>一般风险准备审定表</t>
  </si>
  <si>
    <t>一般风险准备测试表</t>
    <phoneticPr fontId="18" type="noConversion"/>
  </si>
  <si>
    <r>
      <rPr>
        <b/>
        <sz val="10"/>
        <rFont val="宋体"/>
        <family val="3"/>
        <charset val="134"/>
      </rPr>
      <t>附注项目</t>
    </r>
    <phoneticPr fontId="18" type="noConversion"/>
  </si>
  <si>
    <r>
      <rPr>
        <b/>
        <sz val="10"/>
        <rFont val="宋体"/>
        <family val="3"/>
        <charset val="134"/>
      </rPr>
      <t>备注</t>
    </r>
    <phoneticPr fontId="18" type="noConversion"/>
  </si>
  <si>
    <r>
      <rPr>
        <b/>
        <sz val="10"/>
        <rFont val="宋体"/>
        <family val="3"/>
        <charset val="134"/>
      </rPr>
      <t>调整事项说明</t>
    </r>
    <phoneticPr fontId="18" type="noConversion"/>
  </si>
  <si>
    <r>
      <rPr>
        <b/>
        <sz val="10"/>
        <rFont val="宋体"/>
        <family val="3"/>
        <charset val="134"/>
      </rPr>
      <t>类别（报表调整</t>
    </r>
    <r>
      <rPr>
        <b/>
        <sz val="10"/>
        <rFont val="Arial Narrow"/>
        <family val="2"/>
      </rPr>
      <t>/</t>
    </r>
    <r>
      <rPr>
        <b/>
        <sz val="10"/>
        <rFont val="宋体"/>
        <family val="3"/>
        <charset val="134"/>
      </rPr>
      <t>账项调整</t>
    </r>
    <r>
      <rPr>
        <b/>
        <sz val="10"/>
        <rFont val="Arial Narrow"/>
        <family val="2"/>
      </rPr>
      <t>/</t>
    </r>
    <r>
      <rPr>
        <b/>
        <sz val="10"/>
        <rFont val="宋体"/>
        <family val="3"/>
        <charset val="134"/>
      </rPr>
      <t>其他）</t>
    </r>
    <phoneticPr fontId="18" type="noConversion"/>
  </si>
  <si>
    <r>
      <rPr>
        <b/>
        <sz val="10"/>
        <rFont val="宋体"/>
        <family val="3"/>
        <charset val="134"/>
      </rPr>
      <t>报表项目</t>
    </r>
    <phoneticPr fontId="18" type="noConversion"/>
  </si>
  <si>
    <r>
      <rPr>
        <b/>
        <sz val="10"/>
        <rFont val="宋体"/>
        <family val="3"/>
        <charset val="134"/>
      </rPr>
      <t>科目名称</t>
    </r>
    <phoneticPr fontId="18" type="noConversion"/>
  </si>
  <si>
    <r>
      <rPr>
        <b/>
        <sz val="10"/>
        <rFont val="宋体"/>
        <family val="3"/>
        <charset val="134"/>
      </rPr>
      <t>借方调整金额</t>
    </r>
    <phoneticPr fontId="18" type="noConversion"/>
  </si>
  <si>
    <r>
      <rPr>
        <b/>
        <sz val="10"/>
        <rFont val="宋体"/>
        <family val="3"/>
        <charset val="134"/>
      </rPr>
      <t>贷方调整金额</t>
    </r>
    <phoneticPr fontId="18" type="noConversion"/>
  </si>
  <si>
    <r>
      <rPr>
        <b/>
        <sz val="10"/>
        <rFont val="宋体"/>
        <family val="3"/>
        <charset val="134"/>
      </rPr>
      <t>索引</t>
    </r>
    <phoneticPr fontId="18" type="noConversion"/>
  </si>
  <si>
    <r>
      <rPr>
        <sz val="10"/>
        <rFont val="宋体"/>
        <family val="3"/>
        <charset val="134"/>
      </rPr>
      <t>被审计单位：</t>
    </r>
    <r>
      <rPr>
        <sz val="10"/>
        <rFont val="Arial Narrow"/>
        <family val="2"/>
      </rPr>
      <t/>
    </r>
    <phoneticPr fontId="18" type="noConversion"/>
  </si>
  <si>
    <t>编制人：</t>
    <phoneticPr fontId="18" type="noConversion"/>
  </si>
  <si>
    <t>编制日期：</t>
    <phoneticPr fontId="18" type="noConversion"/>
  </si>
  <si>
    <t>复核人：</t>
    <phoneticPr fontId="18" type="noConversion"/>
  </si>
  <si>
    <t>复核日期：</t>
    <phoneticPr fontId="18" type="noConversion"/>
  </si>
  <si>
    <t>准确性、计价和分摊</t>
    <phoneticPr fontId="18" type="noConversion"/>
  </si>
  <si>
    <t>存在</t>
    <phoneticPr fontId="18" type="noConversion"/>
  </si>
  <si>
    <t>完整性</t>
    <phoneticPr fontId="18" type="noConversion"/>
  </si>
  <si>
    <t>权利和义务</t>
    <phoneticPr fontId="18" type="noConversion"/>
  </si>
  <si>
    <r>
      <t xml:space="preserve">B. </t>
    </r>
    <r>
      <rPr>
        <sz val="10"/>
        <rFont val="宋体"/>
        <family val="3"/>
        <charset val="134"/>
      </rPr>
      <t>所有应记录的一般风险准备均已记录，所有应当包括在财务报表中的相关披露均已包括</t>
    </r>
    <phoneticPr fontId="18" type="noConversion"/>
  </si>
  <si>
    <r>
      <t xml:space="preserve">E. </t>
    </r>
    <r>
      <rPr>
        <sz val="10"/>
        <rFont val="宋体"/>
        <family val="3"/>
        <charset val="134"/>
      </rPr>
      <t>一般风险准备已被恰当地汇总或分解且表述清楚，相关披露在按照企业会计准则的编制基础下是相关的、可理解的</t>
    </r>
    <phoneticPr fontId="1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</si>
  <si>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</si>
  <si>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</si>
  <si>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</si>
  <si>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</si>
  <si>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</si>
  <si>
    <t>根据被审计单位实际情况和风险评估情况裁剪、修改或增加审计程序</t>
    <phoneticPr fontId="18" type="noConversion"/>
  </si>
  <si>
    <t>审计程序</t>
    <phoneticPr fontId="53" type="noConversion"/>
  </si>
  <si>
    <t>一般风险准备调整分录汇总表</t>
    <phoneticPr fontId="18" type="noConversion"/>
  </si>
  <si>
    <t>致同会计师事务所</t>
    <phoneticPr fontId="18" type="noConversion"/>
  </si>
  <si>
    <t>一般风险准备明细表</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</si>
</sst>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s>
  <fonts count="88">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5"/>
      <name val="宋体"/>
      <family val="3"/>
      <charset val="134"/>
    </font>
    <font>
      <sz val="10"/>
      <name val="Times New Roman"/>
      <family val="1"/>
    </font>
    <font>
      <b/>
      <sz val="10"/>
      <name val="宋体"/>
      <family val="3"/>
      <charset val="134"/>
    </font>
    <font>
      <sz val="10"/>
      <color indexed="12"/>
      <name val="宋体"/>
      <family val="3"/>
      <charset val="134"/>
    </font>
    <font>
      <b/>
      <sz val="10"/>
      <color indexed="8"/>
      <name val="宋体"/>
      <family val="3"/>
      <charset val="134"/>
    </font>
    <font>
      <b/>
      <sz val="10"/>
      <color indexed="12"/>
      <name val="宋体"/>
      <family val="3"/>
      <charset val="134"/>
    </font>
    <font>
      <i/>
      <sz val="10"/>
      <color indexed="12"/>
      <name val="宋体"/>
      <family val="3"/>
      <charset val="134"/>
    </font>
    <font>
      <sz val="18"/>
      <color indexed="48"/>
      <name val="魏碑"/>
      <family val="3"/>
      <charset val="134"/>
    </font>
    <font>
      <sz val="12"/>
      <name val="Arial"/>
      <family val="2"/>
    </font>
    <font>
      <sz val="10.5"/>
      <name val="Arial"/>
      <family val="2"/>
    </font>
    <font>
      <sz val="10.5"/>
      <name val="Times New Roman"/>
      <family val="1"/>
    </font>
    <font>
      <b/>
      <sz val="12"/>
      <name val="Arial"/>
      <family val="2"/>
    </font>
    <font>
      <b/>
      <sz val="12"/>
      <name val="Arial Narrow"/>
      <family val="2"/>
    </font>
    <font>
      <sz val="12"/>
      <name val="Arial Narrow"/>
      <family val="2"/>
    </font>
    <font>
      <sz val="10"/>
      <name val="Arial Narrow"/>
      <family val="2"/>
    </font>
    <font>
      <b/>
      <sz val="10"/>
      <name val="Arial Narrow"/>
      <family val="2"/>
    </font>
    <font>
      <b/>
      <sz val="10"/>
      <color indexed="8"/>
      <name val="Arial Narrow"/>
      <family val="2"/>
    </font>
    <font>
      <sz val="10"/>
      <color indexed="12"/>
      <name val="Arial Narrow"/>
      <family val="2"/>
    </font>
    <font>
      <u val="singleAccounting"/>
      <vertAlign val="subscript"/>
      <sz val="10"/>
      <name val="Times New Roman"/>
      <family val="1"/>
    </font>
    <font>
      <i/>
      <sz val="9"/>
      <name val="Times New Roman"/>
      <family val="1"/>
    </font>
    <font>
      <sz val="10"/>
      <color indexed="8"/>
      <name val="Arial Narrow"/>
      <family val="2"/>
    </font>
    <font>
      <b/>
      <u/>
      <sz val="10"/>
      <color indexed="10"/>
      <name val="Arial Narrow"/>
      <family val="2"/>
    </font>
    <font>
      <sz val="10"/>
      <color indexed="8"/>
      <name val="宋体"/>
      <family val="3"/>
      <charset val="134"/>
    </font>
    <font>
      <b/>
      <sz val="10"/>
      <name val="宋体"/>
      <family val="3"/>
      <charset val="134"/>
      <scheme val="minor"/>
    </font>
    <font>
      <sz val="10"/>
      <name val="宋体"/>
      <family val="3"/>
      <charset val="134"/>
      <scheme val="minor"/>
    </font>
    <font>
      <sz val="12"/>
      <name val="宋体"/>
      <family val="3"/>
      <charset val="134"/>
      <scheme val="minor"/>
    </font>
    <font>
      <sz val="12"/>
      <name val="宋体"/>
      <family val="3"/>
      <charset val="134"/>
    </font>
    <font>
      <sz val="9"/>
      <name val="宋体"/>
      <family val="3"/>
      <charset val="134"/>
      <scheme val="minor"/>
    </font>
    <font>
      <sz val="11"/>
      <color theme="1"/>
      <name val="宋体"/>
      <family val="3"/>
      <charset val="134"/>
      <scheme val="minor"/>
    </font>
    <font>
      <sz val="12"/>
      <name val="Times New Roman"/>
      <family val="1"/>
    </font>
    <font>
      <u/>
      <sz val="10"/>
      <name val="Arial Narrow"/>
      <family val="2"/>
    </font>
    <font>
      <sz val="10"/>
      <color indexed="10"/>
      <name val="宋体"/>
      <family val="3"/>
      <charset val="134"/>
    </font>
    <font>
      <sz val="9"/>
      <name val="宋体"/>
      <family val="2"/>
      <charset val="134"/>
      <scheme val="minor"/>
    </font>
    <font>
      <sz val="10"/>
      <color theme="1"/>
      <name val="Arial Narrow"/>
      <family val="2"/>
    </font>
    <font>
      <sz val="11"/>
      <color theme="1"/>
      <name val="Arial Narrow"/>
      <family val="2"/>
    </font>
    <font>
      <b/>
      <sz val="14"/>
      <name val="宋体"/>
      <family val="3"/>
      <charset val="134"/>
    </font>
    <font>
      <b/>
      <sz val="14"/>
      <name val="Arial Narrow"/>
      <family val="2"/>
    </font>
    <font>
      <b/>
      <sz val="10"/>
      <name val="Arial"/>
      <family val="2"/>
    </font>
    <font>
      <sz val="10"/>
      <color theme="1" tint="0.14999847407452621"/>
      <name val="宋体"/>
      <family val="3"/>
      <charset val="134"/>
    </font>
    <font>
      <b/>
      <sz val="10"/>
      <color rgb="FFFF0000"/>
      <name val="Arial Narrow"/>
      <family val="2"/>
    </font>
    <font>
      <sz val="10"/>
      <color indexed="10"/>
      <name val="Arial"/>
      <family val="2"/>
    </font>
    <font>
      <sz val="10"/>
      <color rgb="FFFF0000"/>
      <name val="Arial Narrow"/>
      <family val="2"/>
    </font>
    <font>
      <sz val="10"/>
      <color rgb="FF0070C0"/>
      <name val="Arial Narrow"/>
      <family val="2"/>
    </font>
    <font>
      <b/>
      <sz val="10"/>
      <color theme="0" tint="-0.499984740745262"/>
      <name val="Arial Narrow"/>
      <family val="2"/>
    </font>
    <font>
      <b/>
      <sz val="10"/>
      <color theme="1"/>
      <name val="Arial Narrow"/>
      <family val="2"/>
    </font>
    <font>
      <sz val="10"/>
      <color theme="1"/>
      <name val="宋体"/>
      <family val="3"/>
      <charset val="134"/>
    </font>
    <font>
      <sz val="11"/>
      <name val="Arial Narrow"/>
      <family val="2"/>
    </font>
    <font>
      <sz val="10"/>
      <color theme="1"/>
      <name val="Arial"/>
      <family val="2"/>
    </font>
    <font>
      <b/>
      <sz val="10"/>
      <color theme="1"/>
      <name val="宋体"/>
      <family val="3"/>
      <charset val="134"/>
    </font>
    <font>
      <sz val="10"/>
      <color rgb="FFFF0000"/>
      <name val="宋体"/>
      <family val="3"/>
      <charset val="134"/>
    </font>
    <font>
      <sz val="10"/>
      <color theme="1"/>
      <name val="宋体"/>
      <family val="2"/>
      <charset val="134"/>
    </font>
    <font>
      <b/>
      <sz val="9"/>
      <color indexed="81"/>
      <name val="宋体"/>
      <family val="3"/>
      <charset val="134"/>
    </font>
    <font>
      <sz val="9"/>
      <color indexed="81"/>
      <name val="宋体"/>
      <family val="3"/>
      <charset val="134"/>
    </font>
    <font>
      <sz val="10"/>
      <color rgb="FF0000FF"/>
      <name val="宋体"/>
      <family val="3"/>
      <charset val="134"/>
    </font>
    <font>
      <i/>
      <u/>
      <sz val="10"/>
      <color indexed="12"/>
      <name val="Arial Narrow"/>
      <family val="2"/>
    </font>
    <font>
      <b/>
      <sz val="10"/>
      <color rgb="FF000000"/>
      <name val="宋体"/>
      <family val="3"/>
      <charset val="134"/>
      <scheme val="minor"/>
    </font>
    <font>
      <sz val="10"/>
      <color rgb="FF000000"/>
      <name val="宋体"/>
      <family val="3"/>
      <charset val="134"/>
      <scheme val="minor"/>
    </font>
    <font>
      <sz val="10"/>
      <name val="宋体"/>
      <family val="2"/>
      <charset val="134"/>
    </font>
    <font>
      <b/>
      <sz val="10"/>
      <name val="Arial Narrow"/>
      <family val="3"/>
      <charset val="134"/>
    </font>
    <font>
      <b/>
      <sz val="10"/>
      <color rgb="FFFF0000"/>
      <name val="宋体"/>
      <family val="3"/>
      <charset val="134"/>
    </font>
    <font>
      <b/>
      <sz val="10"/>
      <color rgb="FF000000"/>
      <name val="宋体"/>
      <family val="3"/>
      <charset val="134"/>
    </font>
    <font>
      <sz val="10"/>
      <color rgb="FF0000FF"/>
      <name val="Arial Narrow"/>
      <family val="2"/>
    </font>
    <font>
      <sz val="10"/>
      <color indexed="10"/>
      <name val="Arial Narrow"/>
      <family val="2"/>
    </font>
    <font>
      <sz val="10"/>
      <color rgb="FF0000FF"/>
      <name val="宋体"/>
      <family val="3"/>
      <charset val="134"/>
      <scheme val="minor"/>
    </font>
    <font>
      <b/>
      <sz val="10"/>
      <color rgb="FF000000"/>
      <name val="Arial Narrow"/>
      <family val="2"/>
    </font>
    <font>
      <sz val="10"/>
      <color rgb="FF3333FF"/>
      <name val="Arial Narrow"/>
      <family val="2"/>
    </font>
    <font>
      <sz val="10"/>
      <color rgb="FF3333FF"/>
      <name val="宋体"/>
      <family val="3"/>
      <charset val="134"/>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9"/>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00B050"/>
        <bgColor indexed="64"/>
      </patternFill>
    </fill>
    <fill>
      <patternFill patternType="solid">
        <fgColor rgb="FFE4DFEC"/>
        <bgColor indexed="64"/>
      </patternFill>
    </fill>
    <fill>
      <patternFill patternType="solid">
        <fgColor rgb="FFE4DFEC"/>
        <bgColor rgb="FFB7DEE8"/>
      </patternFill>
    </fill>
  </fills>
  <borders count="1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bottom style="thin">
        <color indexed="64"/>
      </bottom>
      <diagonal/>
    </border>
    <border>
      <left style="hair">
        <color indexed="64"/>
      </left>
      <right/>
      <top/>
      <bottom/>
      <diagonal/>
    </border>
  </borders>
  <cellStyleXfs count="60">
    <xf numFmtId="0" fontId="0" fillId="0" borderId="0">
      <protection locked="0"/>
    </xf>
    <xf numFmtId="49" fontId="22" fillId="0" borderId="0" applyProtection="0">
      <alignment horizontal="left"/>
    </xf>
    <xf numFmtId="189" fontId="22" fillId="0" borderId="0" applyFill="0" applyBorder="0" applyProtection="0">
      <alignment horizontal="right"/>
    </xf>
    <xf numFmtId="186" fontId="22" fillId="0" borderId="0" applyFill="0" applyBorder="0" applyProtection="0">
      <alignment horizontal="right"/>
    </xf>
    <xf numFmtId="188" fontId="39" fillId="0" borderId="0" applyFill="0" applyBorder="0" applyProtection="0">
      <alignment horizontal="center"/>
    </xf>
    <xf numFmtId="187" fontId="39" fillId="0" borderId="0" applyFill="0" applyBorder="0" applyProtection="0">
      <alignment horizontal="center"/>
    </xf>
    <xf numFmtId="190" fontId="40" fillId="0" borderId="0" applyFill="0" applyBorder="0" applyProtection="0">
      <alignment horizontal="right"/>
    </xf>
    <xf numFmtId="191" fontId="22" fillId="0" borderId="0" applyFill="0" applyBorder="0" applyProtection="0">
      <alignment horizontal="right"/>
    </xf>
    <xf numFmtId="192" fontId="22" fillId="0" borderId="0" applyFill="0" applyBorder="0" applyProtection="0">
      <alignment horizontal="right"/>
    </xf>
    <xf numFmtId="195" fontId="22" fillId="0" borderId="0" applyFill="0" applyBorder="0" applyProtection="0">
      <alignment horizontal="right"/>
    </xf>
    <xf numFmtId="194" fontId="22" fillId="0" borderId="0" applyFill="0" applyBorder="0" applyProtection="0">
      <alignment horizontal="right"/>
    </xf>
    <xf numFmtId="3" fontId="5" fillId="0" borderId="0"/>
    <xf numFmtId="180" fontId="6" fillId="0" borderId="1" applyAlignment="0" applyProtection="0"/>
    <xf numFmtId="176" fontId="7" fillId="0" borderId="0" applyFont="0" applyFill="0" applyBorder="0" applyAlignment="0" applyProtection="0"/>
    <xf numFmtId="177" fontId="7"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3" fontId="22"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2" applyNumberFormat="0" applyBorder="0" applyAlignment="0" applyProtection="0"/>
    <xf numFmtId="184" fontId="11" fillId="0" borderId="0" applyFont="0" applyFill="0" applyBorder="0" applyAlignment="0" applyProtection="0"/>
    <xf numFmtId="185" fontId="11" fillId="0" borderId="0" applyFont="0" applyFill="0" applyBorder="0" applyAlignment="0" applyProtection="0"/>
    <xf numFmtId="0" fontId="12" fillId="0" borderId="0"/>
    <xf numFmtId="183" fontId="11" fillId="0" borderId="0"/>
    <xf numFmtId="0" fontId="13" fillId="0" borderId="0"/>
    <xf numFmtId="10" fontId="7" fillId="0" borderId="0" applyFont="0" applyFill="0" applyBorder="0" applyAlignment="0" applyProtection="0"/>
    <xf numFmtId="3" fontId="14" fillId="0" borderId="0"/>
    <xf numFmtId="0" fontId="11" fillId="0" borderId="0">
      <alignment vertical="center"/>
    </xf>
    <xf numFmtId="0" fontId="11" fillId="0" borderId="0"/>
    <xf numFmtId="0" fontId="15" fillId="0" borderId="0" applyNumberFormat="0" applyFill="0" applyBorder="0" applyAlignment="0" applyProtection="0">
      <alignment vertical="top"/>
      <protection locked="0"/>
    </xf>
    <xf numFmtId="0" fontId="16" fillId="0" borderId="0"/>
    <xf numFmtId="178" fontId="11" fillId="0" borderId="0" applyFont="0" applyFill="0" applyBorder="0" applyAlignment="0" applyProtection="0"/>
    <xf numFmtId="179" fontId="1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1" fillId="0" borderId="0" applyFont="0" applyFill="0" applyBorder="0" applyAlignment="0" applyProtection="0"/>
    <xf numFmtId="0" fontId="11" fillId="0" borderId="0">
      <protection locked="0"/>
    </xf>
    <xf numFmtId="0" fontId="11" fillId="0" borderId="0">
      <alignment vertical="center"/>
    </xf>
    <xf numFmtId="0" fontId="11" fillId="0" borderId="0"/>
    <xf numFmtId="9" fontId="47" fillId="0" borderId="0" applyFont="0" applyFill="0" applyBorder="0" applyAlignment="0" applyProtection="0">
      <alignment vertical="center"/>
    </xf>
    <xf numFmtId="0" fontId="11" fillId="0" borderId="0">
      <alignment vertical="center"/>
    </xf>
    <xf numFmtId="193" fontId="49" fillId="0" borderId="0">
      <alignment vertical="center"/>
    </xf>
    <xf numFmtId="193" fontId="11" fillId="0" borderId="0"/>
    <xf numFmtId="0" fontId="11" fillId="0" borderId="0" applyFill="0" applyBorder="0"/>
    <xf numFmtId="0" fontId="50" fillId="0" borderId="0"/>
    <xf numFmtId="193" fontId="11" fillId="0" borderId="0">
      <alignment vertical="center"/>
    </xf>
    <xf numFmtId="193" fontId="4" fillId="0" borderId="0">
      <alignment vertical="center"/>
    </xf>
    <xf numFmtId="0" fontId="11" fillId="0" borderId="0">
      <protection locked="0"/>
    </xf>
    <xf numFmtId="43" fontId="11" fillId="0" borderId="0" applyFont="0" applyFill="0" applyBorder="0" applyAlignment="0" applyProtection="0"/>
    <xf numFmtId="0" fontId="11" fillId="0" borderId="0">
      <protection locked="0"/>
    </xf>
    <xf numFmtId="193" fontId="11" fillId="0" borderId="0"/>
    <xf numFmtId="0" fontId="15" fillId="0" borderId="0" applyNumberFormat="0" applyFill="0" applyBorder="0" applyAlignment="0" applyProtection="0">
      <alignment vertical="top"/>
      <protection locked="0"/>
    </xf>
    <xf numFmtId="9" fontId="11" fillId="0" borderId="0" applyFont="0" applyFill="0" applyBorder="0" applyAlignment="0" applyProtection="0"/>
    <xf numFmtId="193" fontId="3" fillId="0" borderId="0">
      <alignment vertical="center"/>
    </xf>
    <xf numFmtId="193" fontId="2" fillId="0" borderId="0">
      <alignment vertical="center"/>
    </xf>
    <xf numFmtId="193" fontId="1" fillId="0" borderId="0">
      <alignment vertical="center"/>
    </xf>
  </cellStyleXfs>
  <cellXfs count="338">
    <xf numFmtId="0" fontId="0" fillId="0" borderId="0" xfId="0">
      <protection locked="0"/>
    </xf>
    <xf numFmtId="0" fontId="21" fillId="0" borderId="0" xfId="0" applyFont="1" applyAlignment="1">
      <alignment horizontal="justify" wrapText="1"/>
      <protection locked="0"/>
    </xf>
    <xf numFmtId="0" fontId="21" fillId="0" borderId="0" xfId="0" applyFont="1" applyAlignment="1">
      <alignment horizontal="justify" vertical="top" wrapText="1"/>
      <protection locked="0"/>
    </xf>
    <xf numFmtId="0" fontId="20" fillId="0" borderId="0" xfId="0" applyFont="1" applyAlignment="1">
      <alignment vertical="center"/>
      <protection locked="0"/>
    </xf>
    <xf numFmtId="0" fontId="0" fillId="0" borderId="0" xfId="0" applyAlignment="1">
      <alignment vertical="center"/>
      <protection locked="0"/>
    </xf>
    <xf numFmtId="0" fontId="29" fillId="0" borderId="0" xfId="0" applyFont="1" applyAlignment="1">
      <alignment vertical="center"/>
      <protection locked="0"/>
    </xf>
    <xf numFmtId="0" fontId="11" fillId="0" borderId="0" xfId="0" applyFont="1" applyAlignment="1">
      <alignment vertical="center"/>
      <protection locked="0"/>
    </xf>
    <xf numFmtId="0" fontId="30" fillId="0" borderId="0" xfId="0" applyFont="1" applyAlignment="1">
      <alignment horizontal="justify" wrapText="1"/>
      <protection locked="0"/>
    </xf>
    <xf numFmtId="0" fontId="11" fillId="0" borderId="0" xfId="0" applyFont="1" applyAlignment="1">
      <alignment horizontal="center" vertical="center"/>
      <protection locked="0"/>
    </xf>
    <xf numFmtId="0" fontId="29" fillId="0" borderId="0" xfId="0" applyFont="1">
      <protection locked="0"/>
    </xf>
    <xf numFmtId="0" fontId="31" fillId="0" borderId="0" xfId="0" applyFont="1" applyAlignment="1">
      <alignment horizontal="justify" wrapText="1"/>
      <protection locked="0"/>
    </xf>
    <xf numFmtId="0" fontId="32" fillId="0" borderId="0" xfId="0" applyFont="1" applyAlignment="1">
      <alignment horizontal="justify"/>
      <protection locked="0"/>
    </xf>
    <xf numFmtId="0" fontId="11" fillId="0" borderId="0" xfId="0" applyFont="1" applyAlignment="1">
      <alignment horizontal="left"/>
      <protection locked="0"/>
    </xf>
    <xf numFmtId="0" fontId="34" fillId="0" borderId="0" xfId="31" applyFont="1" applyAlignment="1">
      <alignment vertical="center" wrapText="1"/>
    </xf>
    <xf numFmtId="0" fontId="35" fillId="0" borderId="0" xfId="0" applyFont="1" applyAlignment="1">
      <alignment vertical="center"/>
      <protection locked="0"/>
    </xf>
    <xf numFmtId="0" fontId="35" fillId="0" borderId="0" xfId="0" applyFont="1" applyAlignment="1">
      <alignment vertical="center" wrapText="1"/>
      <protection locked="0"/>
    </xf>
    <xf numFmtId="0" fontId="36" fillId="0" borderId="0" xfId="0" applyFont="1" applyAlignment="1">
      <alignment vertical="center" wrapText="1"/>
      <protection locked="0"/>
    </xf>
    <xf numFmtId="0" fontId="34" fillId="0" borderId="0" xfId="0" applyFont="1" applyAlignment="1">
      <alignment vertical="center" wrapText="1"/>
      <protection locked="0"/>
    </xf>
    <xf numFmtId="0" fontId="34" fillId="0" borderId="0" xfId="31" applyFont="1">
      <alignment vertical="center"/>
    </xf>
    <xf numFmtId="0" fontId="35" fillId="0" borderId="0" xfId="0" applyFont="1">
      <protection locked="0"/>
    </xf>
    <xf numFmtId="0" fontId="36" fillId="0" borderId="0" xfId="0" applyFont="1">
      <protection locked="0"/>
    </xf>
    <xf numFmtId="0" fontId="34" fillId="0" borderId="0" xfId="0" applyFont="1">
      <protection locked="0"/>
    </xf>
    <xf numFmtId="43" fontId="41" fillId="5" borderId="3" xfId="39" applyFont="1" applyFill="1" applyBorder="1" applyAlignment="1">
      <alignment horizontal="right" vertical="center"/>
    </xf>
    <xf numFmtId="0" fontId="41" fillId="5" borderId="3" xfId="0" applyFont="1" applyFill="1" applyBorder="1" applyAlignment="1">
      <alignment horizontal="center" vertical="center"/>
      <protection locked="0"/>
    </xf>
    <xf numFmtId="0" fontId="35" fillId="0" borderId="3" xfId="0" applyFont="1" applyBorder="1" applyAlignment="1">
      <alignment horizontal="center" vertical="center"/>
      <protection locked="0"/>
    </xf>
    <xf numFmtId="0" fontId="35" fillId="0" borderId="4" xfId="0" applyFont="1" applyBorder="1" applyAlignment="1">
      <alignment vertical="center"/>
      <protection locked="0"/>
    </xf>
    <xf numFmtId="0" fontId="33" fillId="0" borderId="0" xfId="0" applyFont="1" applyAlignment="1">
      <alignment vertical="center"/>
      <protection locked="0"/>
    </xf>
    <xf numFmtId="0" fontId="35" fillId="0" borderId="0" xfId="0" applyFont="1" applyAlignment="1">
      <alignment horizontal="left" vertical="center"/>
      <protection locked="0"/>
    </xf>
    <xf numFmtId="0" fontId="19" fillId="0" borderId="0" xfId="0" applyFont="1" applyAlignment="1">
      <alignment horizontal="left" vertical="center"/>
      <protection locked="0"/>
    </xf>
    <xf numFmtId="0" fontId="36" fillId="0" borderId="0" xfId="32" applyFont="1" applyAlignment="1">
      <alignment horizontal="left" vertical="center"/>
    </xf>
    <xf numFmtId="0" fontId="35" fillId="0" borderId="0" xfId="32" applyFont="1" applyAlignment="1" applyProtection="1">
      <alignment vertical="center"/>
      <protection locked="0"/>
    </xf>
    <xf numFmtId="0" fontId="35" fillId="0" borderId="5" xfId="32" applyFont="1" applyBorder="1" applyAlignment="1" applyProtection="1">
      <alignment vertical="center"/>
      <protection locked="0"/>
    </xf>
    <xf numFmtId="0" fontId="38" fillId="0" borderId="0" xfId="32" applyFont="1" applyAlignment="1" applyProtection="1">
      <alignment horizontal="center" vertical="center"/>
      <protection hidden="1"/>
    </xf>
    <xf numFmtId="0" fontId="38" fillId="0" borderId="0" xfId="32" applyFont="1" applyAlignment="1" applyProtection="1">
      <alignment horizontal="left" vertical="center"/>
      <protection locked="0"/>
    </xf>
    <xf numFmtId="0" fontId="35" fillId="0" borderId="3" xfId="0" applyFont="1" applyBorder="1" applyAlignment="1">
      <alignment horizontal="left" vertical="center"/>
      <protection locked="0"/>
    </xf>
    <xf numFmtId="0" fontId="35" fillId="0" borderId="3" xfId="0" applyFont="1" applyBorder="1" applyAlignment="1">
      <alignment vertical="center" wrapText="1"/>
      <protection locked="0"/>
    </xf>
    <xf numFmtId="43" fontId="35" fillId="0" borderId="3" xfId="0" applyNumberFormat="1" applyFont="1" applyBorder="1" applyAlignment="1">
      <alignment horizontal="left" vertical="center"/>
      <protection locked="0"/>
    </xf>
    <xf numFmtId="0" fontId="35" fillId="0" borderId="4" xfId="0" applyFont="1" applyBorder="1" applyAlignment="1">
      <alignment horizontal="center" vertical="center"/>
      <protection locked="0"/>
    </xf>
    <xf numFmtId="0" fontId="35" fillId="0" borderId="0" xfId="0" applyFont="1" applyAlignment="1">
      <alignment horizontal="center" vertical="center"/>
      <protection locked="0"/>
    </xf>
    <xf numFmtId="0" fontId="36" fillId="0" borderId="0" xfId="0" applyFont="1" applyAlignment="1">
      <alignment vertical="center"/>
      <protection locked="0"/>
    </xf>
    <xf numFmtId="0" fontId="36" fillId="0" borderId="0" xfId="0" applyFont="1" applyAlignment="1">
      <alignment horizontal="left" vertical="center"/>
      <protection locked="0"/>
    </xf>
    <xf numFmtId="0" fontId="27" fillId="0" borderId="0" xfId="0" applyFont="1" applyAlignment="1">
      <alignment vertical="center"/>
      <protection locked="0"/>
    </xf>
    <xf numFmtId="0" fontId="38" fillId="0" borderId="0" xfId="0" applyFont="1" applyAlignment="1">
      <alignment vertical="center"/>
      <protection locked="0"/>
    </xf>
    <xf numFmtId="0" fontId="34" fillId="0" borderId="0" xfId="0" applyFont="1" applyAlignment="1">
      <alignment vertical="center"/>
      <protection locked="0"/>
    </xf>
    <xf numFmtId="0" fontId="38" fillId="0" borderId="0" xfId="0" applyFont="1">
      <protection locked="0"/>
    </xf>
    <xf numFmtId="0" fontId="26" fillId="0" borderId="0" xfId="0" applyFont="1" applyAlignment="1">
      <alignment horizontal="left"/>
      <protection locked="0"/>
    </xf>
    <xf numFmtId="0" fontId="38" fillId="0" borderId="0" xfId="0" applyFont="1" applyAlignment="1">
      <alignment horizontal="right"/>
      <protection locked="0"/>
    </xf>
    <xf numFmtId="0" fontId="24" fillId="0" borderId="0" xfId="0" applyFont="1">
      <protection locked="0"/>
    </xf>
    <xf numFmtId="0" fontId="35" fillId="0" borderId="0" xfId="32" applyFont="1" applyAlignment="1">
      <alignment vertical="center"/>
    </xf>
    <xf numFmtId="0" fontId="37" fillId="0" borderId="0" xfId="40" applyFont="1" applyAlignment="1" applyProtection="1">
      <alignment vertical="center"/>
    </xf>
    <xf numFmtId="0" fontId="42" fillId="0" borderId="0" xfId="40" applyFont="1" applyAlignment="1" applyProtection="1">
      <alignment horizontal="center"/>
    </xf>
    <xf numFmtId="0" fontId="35" fillId="0" borderId="0" xfId="40" applyFont="1" applyAlignment="1">
      <alignment vertical="center"/>
      <protection locked="0"/>
    </xf>
    <xf numFmtId="0" fontId="35" fillId="0" borderId="0" xfId="40" applyFont="1" applyAlignment="1">
      <alignment vertical="center" wrapText="1"/>
      <protection locked="0"/>
    </xf>
    <xf numFmtId="0" fontId="35" fillId="0" borderId="0" xfId="40" applyFont="1" applyAlignment="1">
      <alignment horizontal="right" vertical="center"/>
      <protection locked="0"/>
    </xf>
    <xf numFmtId="0" fontId="35" fillId="0" borderId="0" xfId="40" applyFont="1" applyAlignment="1">
      <alignment horizontal="justify" vertical="center" wrapText="1"/>
      <protection locked="0"/>
    </xf>
    <xf numFmtId="0" fontId="36" fillId="0" borderId="0" xfId="40" applyFont="1" applyAlignment="1" applyProtection="1">
      <alignment horizontal="left" vertical="center"/>
    </xf>
    <xf numFmtId="0" fontId="35" fillId="0" borderId="0" xfId="41" applyFont="1">
      <alignment vertical="center"/>
    </xf>
    <xf numFmtId="43" fontId="41" fillId="0" borderId="3" xfId="39" applyFont="1" applyFill="1" applyBorder="1" applyAlignment="1">
      <alignment horizontal="right" vertical="center"/>
    </xf>
    <xf numFmtId="0" fontId="41" fillId="0" borderId="3" xfId="0" applyFont="1" applyBorder="1" applyAlignment="1">
      <alignment horizontal="center" vertical="center"/>
      <protection locked="0"/>
    </xf>
    <xf numFmtId="0" fontId="35" fillId="6" borderId="3" xfId="40" applyFont="1" applyFill="1" applyBorder="1" applyAlignment="1">
      <alignment vertical="center"/>
      <protection locked="0"/>
    </xf>
    <xf numFmtId="0" fontId="35" fillId="6" borderId="3" xfId="41" applyFont="1" applyFill="1" applyBorder="1">
      <alignment vertical="center"/>
    </xf>
    <xf numFmtId="0" fontId="35" fillId="0" borderId="4" xfId="0" applyFont="1" applyBorder="1">
      <protection locked="0"/>
    </xf>
    <xf numFmtId="193" fontId="35" fillId="0" borderId="3" xfId="45" applyFont="1" applyBorder="1" applyAlignment="1" applyProtection="1">
      <alignment horizontal="left" vertical="center" wrapText="1"/>
      <protection locked="0"/>
    </xf>
    <xf numFmtId="43" fontId="36" fillId="0" borderId="0" xfId="47" applyNumberFormat="1" applyFont="1" applyBorder="1" applyAlignment="1">
      <alignment horizontal="left" vertical="center"/>
    </xf>
    <xf numFmtId="43" fontId="35" fillId="0" borderId="0" xfId="47" applyNumberFormat="1" applyFont="1" applyBorder="1" applyAlignment="1">
      <alignment horizontal="left" vertical="center"/>
    </xf>
    <xf numFmtId="43" fontId="35" fillId="0" borderId="0" xfId="47" applyNumberFormat="1" applyFont="1" applyBorder="1" applyAlignment="1">
      <alignment vertical="center"/>
    </xf>
    <xf numFmtId="0" fontId="35" fillId="0" borderId="0" xfId="48" applyFont="1" applyAlignment="1">
      <alignment vertical="center"/>
    </xf>
    <xf numFmtId="0" fontId="35" fillId="0" borderId="0" xfId="48" applyFont="1" applyAlignment="1">
      <alignment horizontal="left" vertical="center"/>
    </xf>
    <xf numFmtId="0" fontId="37" fillId="0" borderId="2" xfId="0" applyFont="1" applyBorder="1" applyAlignment="1" applyProtection="1">
      <alignment horizontal="center" vertical="center"/>
    </xf>
    <xf numFmtId="0" fontId="41" fillId="0" borderId="2" xfId="0" applyFont="1" applyBorder="1" applyAlignment="1" applyProtection="1">
      <alignment vertical="center"/>
    </xf>
    <xf numFmtId="0" fontId="38" fillId="0" borderId="5" xfId="32" applyFont="1" applyBorder="1" applyAlignment="1" applyProtection="1">
      <alignment horizontal="center" vertical="center"/>
      <protection hidden="1"/>
    </xf>
    <xf numFmtId="0" fontId="35" fillId="0" borderId="5" xfId="32" applyFont="1" applyBorder="1" applyAlignment="1" applyProtection="1">
      <alignment horizontal="left" vertical="center"/>
      <protection hidden="1"/>
    </xf>
    <xf numFmtId="0" fontId="38" fillId="0" borderId="5" xfId="32" applyFont="1" applyBorder="1" applyAlignment="1" applyProtection="1">
      <alignment horizontal="left" vertical="center"/>
      <protection locked="0"/>
    </xf>
    <xf numFmtId="193" fontId="36" fillId="0" borderId="3" xfId="45" applyFont="1" applyBorder="1" applyAlignment="1" applyProtection="1">
      <alignment horizontal="left" vertical="center" wrapText="1"/>
      <protection locked="0"/>
    </xf>
    <xf numFmtId="14" fontId="35" fillId="0" borderId="0" xfId="0" applyNumberFormat="1" applyFont="1" applyAlignment="1">
      <alignment vertical="center"/>
      <protection locked="0"/>
    </xf>
    <xf numFmtId="14" fontId="35" fillId="0" borderId="0" xfId="0" applyNumberFormat="1" applyFont="1" applyAlignment="1">
      <alignment horizontal="left" vertical="center"/>
      <protection locked="0"/>
    </xf>
    <xf numFmtId="14" fontId="19" fillId="0" borderId="0" xfId="0" applyNumberFormat="1" applyFont="1" applyAlignment="1">
      <alignment horizontal="left" vertical="center"/>
      <protection locked="0"/>
    </xf>
    <xf numFmtId="0" fontId="37" fillId="0" borderId="3" xfId="0" applyFont="1" applyBorder="1" applyAlignment="1">
      <alignment horizontal="center" vertical="center"/>
      <protection locked="0"/>
    </xf>
    <xf numFmtId="14" fontId="35" fillId="0" borderId="3" xfId="0" applyNumberFormat="1" applyFont="1" applyBorder="1" applyAlignment="1">
      <alignment horizontal="left" vertical="center"/>
      <protection locked="0"/>
    </xf>
    <xf numFmtId="43" fontId="37" fillId="0" borderId="3" xfId="39" applyFont="1" applyFill="1" applyBorder="1" applyAlignment="1">
      <alignment horizontal="right" vertical="center"/>
    </xf>
    <xf numFmtId="193" fontId="54" fillId="0" borderId="0" xfId="50" applyFont="1">
      <alignment vertical="center"/>
    </xf>
    <xf numFmtId="193" fontId="55" fillId="0" borderId="0" xfId="50" applyFont="1">
      <alignment vertical="center"/>
    </xf>
    <xf numFmtId="193" fontId="35" fillId="0" borderId="0" xfId="50" applyFont="1" applyProtection="1">
      <alignment vertical="center"/>
      <protection locked="0"/>
    </xf>
    <xf numFmtId="0" fontId="35" fillId="0" borderId="0" xfId="51" applyFont="1" applyAlignment="1">
      <alignment horizontal="left" vertical="center"/>
      <protection locked="0"/>
    </xf>
    <xf numFmtId="193" fontId="35" fillId="0" borderId="0" xfId="50" applyFont="1" applyAlignment="1" applyProtection="1">
      <alignment horizontal="center" vertical="center"/>
      <protection locked="0"/>
    </xf>
    <xf numFmtId="193" fontId="35" fillId="0" borderId="0" xfId="50" applyFont="1" applyAlignment="1" applyProtection="1">
      <alignment vertical="center" wrapText="1"/>
      <protection locked="0"/>
    </xf>
    <xf numFmtId="193" fontId="19" fillId="0" borderId="0" xfId="50" applyFont="1" applyProtection="1">
      <alignment vertical="center"/>
      <protection locked="0"/>
    </xf>
    <xf numFmtId="193" fontId="59" fillId="0" borderId="0" xfId="50" applyFont="1" applyProtection="1">
      <alignment vertical="center"/>
      <protection locked="0"/>
    </xf>
    <xf numFmtId="49" fontId="36" fillId="0" borderId="0" xfId="50" applyNumberFormat="1" applyFont="1" applyAlignment="1" applyProtection="1">
      <alignment horizontal="left" vertical="center"/>
      <protection locked="0"/>
    </xf>
    <xf numFmtId="193" fontId="36" fillId="0" borderId="0" xfId="50" applyFont="1" applyAlignment="1" applyProtection="1">
      <alignment horizontal="justify" vertical="center"/>
      <protection locked="0"/>
    </xf>
    <xf numFmtId="193" fontId="60" fillId="0" borderId="0" xfId="50" applyFont="1" applyAlignment="1" applyProtection="1">
      <alignment horizontal="center" vertical="center"/>
      <protection locked="0"/>
    </xf>
    <xf numFmtId="193" fontId="19" fillId="0" borderId="3" xfId="50" applyFont="1" applyBorder="1" applyAlignment="1" applyProtection="1">
      <alignment horizontal="center" vertical="center" wrapText="1"/>
      <protection locked="0"/>
    </xf>
    <xf numFmtId="193" fontId="7" fillId="0" borderId="3" xfId="50" applyFont="1" applyBorder="1" applyAlignment="1" applyProtection="1">
      <alignment horizontal="center" vertical="center" wrapText="1"/>
      <protection locked="0"/>
    </xf>
    <xf numFmtId="193" fontId="61" fillId="0" borderId="3" xfId="50" applyFont="1" applyBorder="1" applyAlignment="1" applyProtection="1">
      <alignment horizontal="center" vertical="center" wrapText="1"/>
      <protection locked="0"/>
    </xf>
    <xf numFmtId="193" fontId="62" fillId="0" borderId="3" xfId="50" applyFont="1" applyBorder="1" applyAlignment="1" applyProtection="1">
      <alignment horizontal="center" vertical="center" wrapText="1"/>
      <protection locked="0"/>
    </xf>
    <xf numFmtId="193" fontId="7" fillId="0" borderId="3" xfId="50" applyFont="1" applyBorder="1" applyAlignment="1" applyProtection="1">
      <alignment horizontal="left" vertical="center" wrapText="1"/>
      <protection locked="0"/>
    </xf>
    <xf numFmtId="193" fontId="35" fillId="0" borderId="0" xfId="50" applyFont="1" applyAlignment="1" applyProtection="1">
      <alignment horizontal="center" vertical="center" wrapText="1"/>
      <protection locked="0"/>
    </xf>
    <xf numFmtId="193" fontId="35" fillId="0" borderId="0" xfId="50" applyFont="1" applyAlignment="1" applyProtection="1">
      <alignment horizontal="left" vertical="center" wrapText="1"/>
      <protection locked="0"/>
    </xf>
    <xf numFmtId="193" fontId="63" fillId="0" borderId="0" xfId="50" applyFont="1" applyAlignment="1" applyProtection="1">
      <alignment horizontal="center" vertical="center" wrapText="1"/>
      <protection locked="0"/>
    </xf>
    <xf numFmtId="193" fontId="55" fillId="0" borderId="0" xfId="50" applyFont="1" applyAlignment="1">
      <alignment horizontal="center" vertical="center"/>
    </xf>
    <xf numFmtId="193" fontId="55" fillId="0" borderId="0" xfId="50" applyFont="1" applyAlignment="1">
      <alignment vertical="center" wrapText="1"/>
    </xf>
    <xf numFmtId="193" fontId="64" fillId="7" borderId="13" xfId="50" applyFont="1" applyFill="1" applyBorder="1" applyAlignment="1" applyProtection="1">
      <alignment horizontal="centerContinuous" vertical="center"/>
      <protection locked="0"/>
    </xf>
    <xf numFmtId="193" fontId="55" fillId="7" borderId="13" xfId="50" applyFont="1" applyFill="1" applyBorder="1" applyAlignment="1">
      <alignment horizontal="centerContinuous" vertical="center"/>
    </xf>
    <xf numFmtId="49" fontId="36" fillId="6" borderId="3" xfId="50" applyNumberFormat="1" applyFont="1" applyFill="1" applyBorder="1" applyAlignment="1" applyProtection="1">
      <alignment horizontal="center" vertical="center"/>
      <protection locked="0"/>
    </xf>
    <xf numFmtId="193" fontId="36" fillId="6" borderId="3" xfId="50" applyFont="1" applyFill="1" applyBorder="1" applyAlignment="1" applyProtection="1">
      <alignment horizontal="center" vertical="center" wrapText="1"/>
      <protection locked="0"/>
    </xf>
    <xf numFmtId="193" fontId="64" fillId="7" borderId="0" xfId="50" applyFont="1" applyFill="1" applyAlignment="1" applyProtection="1">
      <alignment horizontal="center" vertical="center"/>
      <protection locked="0"/>
    </xf>
    <xf numFmtId="49" fontId="23" fillId="6" borderId="6" xfId="50" applyNumberFormat="1" applyFont="1" applyFill="1" applyBorder="1" applyAlignment="1" applyProtection="1">
      <alignment horizontal="center" vertical="center"/>
      <protection locked="0"/>
    </xf>
    <xf numFmtId="193" fontId="66" fillId="6" borderId="3" xfId="50" applyFont="1" applyFill="1" applyBorder="1" applyAlignment="1">
      <alignment horizontal="center" vertical="center" wrapText="1"/>
    </xf>
    <xf numFmtId="193" fontId="35" fillId="7" borderId="0" xfId="50" applyFont="1" applyFill="1" applyAlignment="1" applyProtection="1">
      <alignment horizontal="left" vertical="center"/>
      <protection locked="0"/>
    </xf>
    <xf numFmtId="193" fontId="67" fillId="7" borderId="0" xfId="50" applyFont="1" applyFill="1" applyAlignment="1">
      <alignment horizontal="left" vertical="center"/>
    </xf>
    <xf numFmtId="193" fontId="35" fillId="7" borderId="0" xfId="50" applyFont="1" applyFill="1" applyAlignment="1">
      <alignment horizontal="left" vertical="center"/>
    </xf>
    <xf numFmtId="49" fontId="36" fillId="0" borderId="6" xfId="50" applyNumberFormat="1" applyFont="1" applyBorder="1" applyAlignment="1" applyProtection="1">
      <alignment horizontal="center" vertical="center"/>
      <protection locked="0"/>
    </xf>
    <xf numFmtId="193" fontId="66" fillId="0" borderId="3" xfId="50" applyFont="1" applyBorder="1" applyAlignment="1">
      <alignment horizontal="center" vertical="center" wrapText="1"/>
    </xf>
    <xf numFmtId="193" fontId="54" fillId="0" borderId="3" xfId="50" applyFont="1" applyBorder="1" applyAlignment="1">
      <alignment horizontal="center" vertical="center" wrapText="1"/>
    </xf>
    <xf numFmtId="49" fontId="19" fillId="6" borderId="3" xfId="50" applyNumberFormat="1" applyFont="1" applyFill="1" applyBorder="1" applyAlignment="1" applyProtection="1">
      <alignment horizontal="center" vertical="center"/>
      <protection locked="0"/>
    </xf>
    <xf numFmtId="49" fontId="23" fillId="0" borderId="3" xfId="50" applyNumberFormat="1" applyFont="1" applyBorder="1" applyAlignment="1" applyProtection="1">
      <alignment horizontal="center" vertical="center"/>
      <protection locked="0"/>
    </xf>
    <xf numFmtId="49" fontId="19" fillId="6" borderId="6" xfId="50" applyNumberFormat="1" applyFont="1" applyFill="1" applyBorder="1" applyAlignment="1" applyProtection="1">
      <alignment horizontal="center" vertical="center"/>
      <protection locked="0"/>
    </xf>
    <xf numFmtId="0" fontId="66" fillId="6" borderId="3" xfId="50" applyNumberFormat="1" applyFont="1" applyFill="1" applyBorder="1" applyAlignment="1">
      <alignment horizontal="center" vertical="center" wrapText="1"/>
    </xf>
    <xf numFmtId="49" fontId="35" fillId="0" borderId="6" xfId="50" applyNumberFormat="1" applyFont="1" applyBorder="1" applyAlignment="1" applyProtection="1">
      <alignment horizontal="center" vertical="center"/>
      <protection locked="0"/>
    </xf>
    <xf numFmtId="0" fontId="66" fillId="0" borderId="3" xfId="50" applyNumberFormat="1" applyFont="1" applyBorder="1" applyAlignment="1">
      <alignment horizontal="center" vertical="center" wrapText="1"/>
    </xf>
    <xf numFmtId="49" fontId="66" fillId="6" borderId="3" xfId="50" applyNumberFormat="1" applyFont="1" applyFill="1" applyBorder="1" applyAlignment="1">
      <alignment horizontal="center" vertical="center"/>
    </xf>
    <xf numFmtId="49" fontId="54" fillId="0" borderId="3" xfId="50" applyNumberFormat="1" applyFont="1" applyBorder="1" applyAlignment="1">
      <alignment horizontal="center" vertical="center"/>
    </xf>
    <xf numFmtId="49" fontId="69" fillId="6" borderId="3" xfId="50" applyNumberFormat="1" applyFont="1" applyFill="1" applyBorder="1" applyAlignment="1">
      <alignment horizontal="center" vertical="center"/>
    </xf>
    <xf numFmtId="43" fontId="36" fillId="0" borderId="0" xfId="47" applyNumberFormat="1" applyFont="1" applyFill="1" applyBorder="1" applyAlignment="1">
      <alignment vertical="center"/>
    </xf>
    <xf numFmtId="0" fontId="35" fillId="0" borderId="4" xfId="48" applyFont="1" applyBorder="1" applyAlignment="1">
      <alignment vertical="center"/>
    </xf>
    <xf numFmtId="43" fontId="35" fillId="0" borderId="4" xfId="47" applyNumberFormat="1" applyFont="1" applyBorder="1" applyAlignment="1">
      <alignment vertical="center"/>
    </xf>
    <xf numFmtId="43" fontId="36" fillId="8" borderId="0" xfId="47" applyNumberFormat="1" applyFont="1" applyFill="1" applyBorder="1" applyAlignment="1">
      <alignment vertical="center"/>
    </xf>
    <xf numFmtId="0" fontId="37" fillId="0" borderId="3" xfId="53" applyFont="1" applyBorder="1" applyAlignment="1" applyProtection="1">
      <alignment horizontal="center" vertical="center"/>
    </xf>
    <xf numFmtId="43" fontId="36" fillId="0" borderId="4" xfId="47" applyNumberFormat="1" applyFont="1" applyBorder="1" applyAlignment="1">
      <alignment horizontal="left" vertical="center"/>
    </xf>
    <xf numFmtId="43" fontId="35" fillId="0" borderId="4" xfId="47" applyNumberFormat="1" applyFont="1" applyBorder="1" applyAlignment="1">
      <alignment horizontal="left" vertical="center"/>
    </xf>
    <xf numFmtId="43" fontId="75" fillId="0" borderId="4" xfId="55" applyNumberFormat="1" applyFont="1" applyBorder="1" applyAlignment="1" applyProtection="1">
      <alignment horizontal="center" vertical="center"/>
    </xf>
    <xf numFmtId="0" fontId="36" fillId="0" borderId="0" xfId="48" applyFont="1" applyAlignment="1">
      <alignment vertical="center"/>
    </xf>
    <xf numFmtId="9" fontId="51" fillId="0" borderId="0" xfId="56" applyFont="1" applyBorder="1" applyAlignment="1">
      <alignment horizontal="left" vertical="center"/>
    </xf>
    <xf numFmtId="10" fontId="51" fillId="0" borderId="0" xfId="56" applyNumberFormat="1" applyFont="1" applyBorder="1" applyAlignment="1">
      <alignment horizontal="left" vertical="center"/>
    </xf>
    <xf numFmtId="0" fontId="11" fillId="0" borderId="0" xfId="53">
      <protection locked="0"/>
    </xf>
    <xf numFmtId="0" fontId="46" fillId="0" borderId="0" xfId="0" applyFont="1" applyAlignment="1">
      <alignment horizontal="justify" vertical="center"/>
      <protection locked="0"/>
    </xf>
    <xf numFmtId="0" fontId="45" fillId="0" borderId="0" xfId="0" applyFont="1" applyAlignment="1">
      <alignment horizontal="justify" vertical="center"/>
      <protection locked="0"/>
    </xf>
    <xf numFmtId="0" fontId="45" fillId="0" borderId="0" xfId="0" applyFont="1" applyAlignment="1">
      <alignment vertical="center"/>
      <protection locked="0"/>
    </xf>
    <xf numFmtId="0" fontId="44" fillId="0" borderId="9" xfId="0" applyFont="1" applyBorder="1" applyAlignment="1">
      <alignment horizontal="justify" vertical="center" wrapText="1"/>
      <protection locked="0"/>
    </xf>
    <xf numFmtId="0" fontId="76" fillId="0" borderId="9" xfId="0" applyFont="1" applyBorder="1" applyAlignment="1">
      <alignment horizontal="right" vertical="center" wrapText="1"/>
      <protection locked="0"/>
    </xf>
    <xf numFmtId="0" fontId="44" fillId="0" borderId="9" xfId="0" applyFont="1" applyBorder="1" applyAlignment="1">
      <alignment horizontal="right" vertical="center" wrapText="1"/>
      <protection locked="0"/>
    </xf>
    <xf numFmtId="0" fontId="77" fillId="0" borderId="0" xfId="0" applyFont="1" applyAlignment="1">
      <alignment horizontal="justify" vertical="center" wrapText="1"/>
      <protection locked="0"/>
    </xf>
    <xf numFmtId="43" fontId="45" fillId="0" borderId="0" xfId="0" applyNumberFormat="1" applyFont="1" applyAlignment="1">
      <alignment horizontal="right" vertical="center" wrapText="1"/>
      <protection locked="0"/>
    </xf>
    <xf numFmtId="43" fontId="45" fillId="0" borderId="0" xfId="39" applyFont="1" applyAlignment="1" applyProtection="1">
      <alignment horizontal="right" vertical="center" wrapText="1" shrinkToFit="1"/>
      <protection locked="0"/>
    </xf>
    <xf numFmtId="0" fontId="45" fillId="0" borderId="0" xfId="0" applyFont="1" applyAlignment="1">
      <alignment horizontal="right" vertical="center" wrapText="1"/>
      <protection locked="0"/>
    </xf>
    <xf numFmtId="0" fontId="77" fillId="0" borderId="10" xfId="0" applyFont="1" applyBorder="1" applyAlignment="1">
      <alignment horizontal="justify" vertical="center" wrapText="1"/>
      <protection locked="0"/>
    </xf>
    <xf numFmtId="0" fontId="45" fillId="0" borderId="10" xfId="0" applyFont="1" applyBorder="1" applyAlignment="1">
      <alignment horizontal="right" vertical="center" wrapText="1"/>
      <protection locked="0"/>
    </xf>
    <xf numFmtId="0" fontId="76" fillId="0" borderId="10" xfId="0" applyFont="1" applyBorder="1" applyAlignment="1">
      <alignment horizontal="justify" vertical="center" wrapText="1"/>
      <protection locked="0"/>
    </xf>
    <xf numFmtId="43" fontId="44" fillId="0" borderId="10" xfId="39" applyFont="1" applyBorder="1" applyAlignment="1" applyProtection="1">
      <alignment horizontal="right" vertical="center" wrapText="1" shrinkToFit="1"/>
      <protection locked="0"/>
    </xf>
    <xf numFmtId="43" fontId="44" fillId="0" borderId="9" xfId="39" applyFont="1" applyBorder="1" applyAlignment="1" applyProtection="1">
      <alignment horizontal="right" vertical="center" wrapText="1" shrinkToFit="1"/>
      <protection locked="0"/>
    </xf>
    <xf numFmtId="49" fontId="23" fillId="0" borderId="0" xfId="57" applyNumberFormat="1" applyFont="1" applyAlignment="1" applyProtection="1">
      <alignment horizontal="left" vertical="center"/>
      <protection locked="0"/>
    </xf>
    <xf numFmtId="193" fontId="66" fillId="0" borderId="3" xfId="57" applyFont="1" applyBorder="1" applyAlignment="1">
      <alignment horizontal="center" vertical="center" wrapText="1"/>
    </xf>
    <xf numFmtId="193" fontId="69" fillId="0" borderId="3" xfId="57" applyFont="1" applyBorder="1" applyAlignment="1">
      <alignment horizontal="center" vertical="center" wrapText="1"/>
    </xf>
    <xf numFmtId="193" fontId="54" fillId="0" borderId="3" xfId="57" applyFont="1" applyBorder="1" applyAlignment="1">
      <alignment horizontal="center" vertical="center" wrapText="1"/>
    </xf>
    <xf numFmtId="0" fontId="66" fillId="0" borderId="3" xfId="44" applyFont="1" applyBorder="1" applyAlignment="1">
      <alignment horizontal="center" vertical="center" wrapText="1"/>
    </xf>
    <xf numFmtId="43" fontId="35" fillId="9" borderId="3" xfId="39" applyFont="1" applyFill="1" applyBorder="1" applyAlignment="1">
      <alignment horizontal="right" vertical="center" wrapText="1"/>
    </xf>
    <xf numFmtId="10" fontId="35" fillId="9" borderId="3" xfId="43" applyNumberFormat="1" applyFont="1" applyFill="1" applyBorder="1" applyAlignment="1">
      <alignment horizontal="right" vertical="center" wrapText="1"/>
    </xf>
    <xf numFmtId="43" fontId="36" fillId="9" borderId="3" xfId="39" applyFont="1" applyFill="1" applyBorder="1" applyAlignment="1">
      <alignment horizontal="right" vertical="center" wrapText="1"/>
    </xf>
    <xf numFmtId="10" fontId="36" fillId="9" borderId="3" xfId="43" applyNumberFormat="1" applyFont="1" applyFill="1" applyBorder="1" applyAlignment="1">
      <alignment horizontal="right" vertical="center" wrapText="1"/>
    </xf>
    <xf numFmtId="43" fontId="41" fillId="9" borderId="3" xfId="52" applyFont="1" applyFill="1" applyBorder="1" applyAlignment="1">
      <alignment horizontal="right" vertical="center"/>
    </xf>
    <xf numFmtId="43" fontId="41" fillId="0" borderId="0" xfId="39" applyFont="1" applyFill="1" applyBorder="1" applyAlignment="1">
      <alignment horizontal="center" vertical="center"/>
    </xf>
    <xf numFmtId="193" fontId="36" fillId="6" borderId="3" xfId="45" applyFont="1" applyFill="1" applyBorder="1" applyAlignment="1" applyProtection="1">
      <alignment horizontal="center" vertical="center" wrapText="1"/>
      <protection locked="0"/>
    </xf>
    <xf numFmtId="0" fontId="19" fillId="0" borderId="0" xfId="0" applyFont="1">
      <protection locked="0"/>
    </xf>
    <xf numFmtId="193" fontId="35" fillId="0" borderId="3" xfId="57" applyFont="1" applyBorder="1" applyAlignment="1">
      <alignment vertical="center" wrapText="1"/>
    </xf>
    <xf numFmtId="193" fontId="82" fillId="7" borderId="0" xfId="57" applyFont="1" applyFill="1" applyAlignment="1" applyProtection="1">
      <alignment horizontal="left" vertical="center" wrapText="1"/>
      <protection locked="0"/>
    </xf>
    <xf numFmtId="0" fontId="45" fillId="0" borderId="0" xfId="0" applyFont="1" applyAlignment="1">
      <alignment horizontal="left" vertical="center"/>
      <protection locked="0"/>
    </xf>
    <xf numFmtId="14" fontId="45" fillId="0" borderId="0" xfId="0" applyNumberFormat="1" applyFont="1" applyAlignment="1">
      <alignment horizontal="left" vertical="center"/>
      <protection locked="0"/>
    </xf>
    <xf numFmtId="0" fontId="35" fillId="0" borderId="0" xfId="40" applyFont="1" applyAlignment="1" applyProtection="1">
      <alignment horizontal="left" vertical="center"/>
    </xf>
    <xf numFmtId="193" fontId="19" fillId="9" borderId="0" xfId="58" applyFont="1" applyFill="1" applyAlignment="1">
      <alignment horizontal="center" vertical="center" wrapText="1"/>
    </xf>
    <xf numFmtId="193" fontId="37" fillId="6" borderId="3" xfId="46" applyFont="1" applyFill="1" applyBorder="1" applyAlignment="1" applyProtection="1">
      <alignment horizontal="center" vertical="center" wrapText="1"/>
      <protection locked="0"/>
    </xf>
    <xf numFmtId="193" fontId="36" fillId="6" borderId="3" xfId="46" applyFont="1" applyFill="1" applyBorder="1" applyAlignment="1" applyProtection="1">
      <alignment horizontal="center" vertical="center"/>
      <protection locked="0"/>
    </xf>
    <xf numFmtId="43" fontId="35" fillId="0" borderId="3" xfId="39" applyFont="1" applyFill="1" applyBorder="1" applyAlignment="1" applyProtection="1">
      <alignment horizontal="left" vertical="center" wrapText="1" shrinkToFit="1"/>
      <protection locked="0"/>
    </xf>
    <xf numFmtId="43" fontId="36" fillId="0" borderId="3" xfId="39" applyFont="1" applyFill="1" applyBorder="1" applyAlignment="1">
      <alignment horizontal="center" vertical="center" wrapText="1"/>
    </xf>
    <xf numFmtId="43" fontId="75" fillId="0" borderId="0" xfId="33" applyNumberFormat="1" applyFont="1" applyBorder="1" applyAlignment="1" applyProtection="1">
      <alignment horizontal="center" vertical="center"/>
    </xf>
    <xf numFmtId="43" fontId="35" fillId="0" borderId="14" xfId="47" applyNumberFormat="1" applyFont="1" applyBorder="1" applyAlignment="1">
      <alignment vertical="center"/>
    </xf>
    <xf numFmtId="0" fontId="35" fillId="0" borderId="0" xfId="40" applyFont="1" applyAlignment="1" applyProtection="1">
      <alignment vertical="center"/>
    </xf>
    <xf numFmtId="0" fontId="37" fillId="6" borderId="3" xfId="0" applyFont="1" applyFill="1" applyBorder="1" applyAlignment="1">
      <alignment horizontal="center" vertical="center"/>
      <protection locked="0"/>
    </xf>
    <xf numFmtId="0" fontId="36" fillId="6" borderId="3" xfId="0" applyFont="1" applyFill="1" applyBorder="1" applyAlignment="1">
      <alignment horizontal="center" vertical="center"/>
      <protection locked="0"/>
    </xf>
    <xf numFmtId="0" fontId="41" fillId="0" borderId="3" xfId="0" applyFont="1" applyBorder="1" applyAlignment="1">
      <alignment horizontal="left" vertical="center"/>
      <protection locked="0"/>
    </xf>
    <xf numFmtId="0" fontId="37" fillId="5" borderId="3" xfId="0" applyFont="1" applyFill="1" applyBorder="1" applyAlignment="1">
      <alignment horizontal="center" vertical="center"/>
      <protection locked="0"/>
    </xf>
    <xf numFmtId="0" fontId="36" fillId="0" borderId="3" xfId="0" applyFont="1" applyBorder="1" applyAlignment="1">
      <alignment horizontal="center" vertical="center"/>
      <protection locked="0"/>
    </xf>
    <xf numFmtId="0" fontId="36" fillId="0" borderId="4" xfId="0" applyFont="1" applyBorder="1" applyAlignment="1">
      <alignment vertical="center"/>
      <protection locked="0"/>
    </xf>
    <xf numFmtId="193" fontId="36" fillId="6" borderId="3" xfId="54" applyFont="1" applyFill="1" applyBorder="1" applyAlignment="1" applyProtection="1">
      <alignment horizontal="center" vertical="center" wrapText="1"/>
      <protection locked="0"/>
    </xf>
    <xf numFmtId="0" fontId="41" fillId="0" borderId="3" xfId="53" applyFont="1" applyBorder="1" applyAlignment="1" applyProtection="1">
      <alignment vertical="center"/>
    </xf>
    <xf numFmtId="0" fontId="35" fillId="0" borderId="3" xfId="53" applyFont="1" applyBorder="1" applyAlignment="1" applyProtection="1">
      <alignment vertical="center"/>
    </xf>
    <xf numFmtId="0" fontId="62" fillId="0" borderId="3" xfId="53" applyFont="1" applyBorder="1" applyAlignment="1" applyProtection="1">
      <alignment horizontal="left" vertical="center" indent="1"/>
    </xf>
    <xf numFmtId="0" fontId="34" fillId="0" borderId="0" xfId="53" applyFont="1">
      <protection locked="0"/>
    </xf>
    <xf numFmtId="0" fontId="36" fillId="0" borderId="0" xfId="32" applyFont="1" applyAlignment="1">
      <alignment vertical="center"/>
    </xf>
    <xf numFmtId="0" fontId="36" fillId="6" borderId="3" xfId="0" applyFont="1" applyFill="1" applyBorder="1" applyAlignment="1" applyProtection="1">
      <alignment horizontal="center" vertical="center"/>
    </xf>
    <xf numFmtId="0" fontId="34" fillId="0" borderId="3" xfId="42" applyFont="1" applyBorder="1"/>
    <xf numFmtId="14" fontId="35" fillId="5" borderId="3" xfId="0" applyNumberFormat="1" applyFont="1" applyFill="1" applyBorder="1" applyAlignment="1" applyProtection="1">
      <alignment vertical="center"/>
    </xf>
    <xf numFmtId="0" fontId="35" fillId="5" borderId="3" xfId="0" applyFont="1" applyFill="1" applyBorder="1" applyAlignment="1" applyProtection="1">
      <alignment vertical="center"/>
    </xf>
    <xf numFmtId="0" fontId="35" fillId="0" borderId="3" xfId="0" applyFont="1" applyBorder="1" applyAlignment="1" applyProtection="1">
      <alignment vertical="center"/>
    </xf>
    <xf numFmtId="43" fontId="35" fillId="5" borderId="3" xfId="39" applyFont="1" applyFill="1" applyBorder="1" applyAlignment="1">
      <alignment vertical="center"/>
    </xf>
    <xf numFmtId="0" fontId="35" fillId="0" borderId="0" xfId="32" applyFont="1" applyAlignment="1">
      <alignment horizontal="left" vertical="center"/>
    </xf>
    <xf numFmtId="0" fontId="82" fillId="0" borderId="0" xfId="32" applyFont="1" applyAlignment="1">
      <alignment horizontal="left" vertical="center"/>
    </xf>
    <xf numFmtId="0" fontId="36" fillId="0" borderId="5" xfId="32" applyFont="1" applyBorder="1" applyAlignment="1">
      <alignment vertical="center"/>
    </xf>
    <xf numFmtId="0" fontId="36" fillId="6" borderId="3" xfId="40" applyFont="1" applyFill="1" applyBorder="1" applyAlignment="1">
      <alignment horizontal="center" vertical="center"/>
      <protection locked="0"/>
    </xf>
    <xf numFmtId="0" fontId="36" fillId="10" borderId="3" xfId="40" applyFont="1" applyFill="1" applyBorder="1" applyAlignment="1" applyProtection="1">
      <alignment horizontal="center" vertical="center" wrapText="1"/>
    </xf>
    <xf numFmtId="0" fontId="36" fillId="6" borderId="3" xfId="40" applyFont="1" applyFill="1" applyBorder="1" applyAlignment="1">
      <alignment horizontal="center" vertical="center" wrapText="1"/>
      <protection locked="0"/>
    </xf>
    <xf numFmtId="0" fontId="36" fillId="10" borderId="3" xfId="40" applyFont="1" applyFill="1" applyBorder="1" applyAlignment="1" applyProtection="1">
      <alignment horizontal="center" vertical="center"/>
    </xf>
    <xf numFmtId="14" fontId="82" fillId="0" borderId="0" xfId="53" applyNumberFormat="1" applyFont="1" applyAlignment="1">
      <alignment horizontal="left" vertical="center"/>
      <protection locked="0"/>
    </xf>
    <xf numFmtId="0" fontId="36" fillId="0" borderId="4" xfId="32" applyFont="1" applyBorder="1" applyAlignment="1">
      <alignment vertical="center"/>
    </xf>
    <xf numFmtId="0" fontId="36" fillId="0" borderId="0" xfId="40" applyFont="1" applyAlignment="1">
      <alignment vertical="center"/>
      <protection locked="0"/>
    </xf>
    <xf numFmtId="0" fontId="84" fillId="0" borderId="0" xfId="0" applyFont="1" applyAlignment="1">
      <alignment vertical="top"/>
      <protection locked="0"/>
    </xf>
    <xf numFmtId="0" fontId="86" fillId="0" borderId="0" xfId="0" applyFont="1" applyAlignment="1">
      <alignment vertical="top"/>
      <protection locked="0"/>
    </xf>
    <xf numFmtId="0" fontId="62" fillId="0" borderId="0" xfId="0" applyFont="1" applyAlignment="1">
      <alignment horizontal="left" vertical="center"/>
      <protection locked="0"/>
    </xf>
    <xf numFmtId="193" fontId="69" fillId="0" borderId="3" xfId="57" applyFont="1" applyFill="1" applyBorder="1" applyAlignment="1">
      <alignment horizontal="center" vertical="center" wrapText="1"/>
    </xf>
    <xf numFmtId="193" fontId="66" fillId="0" borderId="3" xfId="57" applyFont="1" applyFill="1" applyBorder="1" applyAlignment="1">
      <alignment horizontal="center" vertical="center" wrapText="1"/>
    </xf>
    <xf numFmtId="193" fontId="78" fillId="0" borderId="3" xfId="50" applyFont="1" applyBorder="1" applyAlignment="1">
      <alignment vertical="center" wrapText="1"/>
    </xf>
    <xf numFmtId="0" fontId="19" fillId="0" borderId="3" xfId="44" applyFont="1" applyBorder="1" applyAlignment="1">
      <alignment vertical="center" wrapText="1"/>
    </xf>
    <xf numFmtId="193" fontId="23" fillId="6" borderId="3" xfId="57" applyFont="1" applyFill="1" applyBorder="1" applyAlignment="1" applyProtection="1">
      <alignment horizontal="center" vertical="center"/>
      <protection locked="0"/>
    </xf>
    <xf numFmtId="0" fontId="36" fillId="6" borderId="3" xfId="0" applyFont="1" applyFill="1" applyBorder="1" applyAlignment="1" applyProtection="1">
      <alignment horizontal="center" vertical="center"/>
    </xf>
    <xf numFmtId="0" fontId="35" fillId="4" borderId="0" xfId="0" applyFont="1" applyFill="1" applyAlignment="1">
      <alignment horizontal="justify" vertical="center" wrapText="1"/>
      <protection locked="0"/>
    </xf>
    <xf numFmtId="0" fontId="36" fillId="6" borderId="3" xfId="0" applyFont="1" applyFill="1" applyBorder="1" applyAlignment="1" applyProtection="1">
      <alignment vertical="center"/>
    </xf>
    <xf numFmtId="43" fontId="35" fillId="6" borderId="3" xfId="39" applyFont="1" applyFill="1" applyBorder="1" applyAlignment="1">
      <alignment horizontal="right" vertical="center" wrapText="1"/>
    </xf>
    <xf numFmtId="14" fontId="36" fillId="6" borderId="3" xfId="0" applyNumberFormat="1" applyFont="1" applyFill="1" applyBorder="1" applyAlignment="1" applyProtection="1">
      <alignment vertical="center"/>
    </xf>
    <xf numFmtId="0" fontId="33" fillId="6" borderId="3" xfId="42" applyFont="1" applyFill="1" applyBorder="1"/>
    <xf numFmtId="0" fontId="24" fillId="0" borderId="2" xfId="33" applyFont="1" applyBorder="1" applyAlignment="1" applyProtection="1">
      <alignment vertical="center"/>
    </xf>
    <xf numFmtId="0" fontId="41" fillId="0" borderId="2" xfId="0" applyFont="1" applyBorder="1" applyAlignment="1" applyProtection="1">
      <alignment horizontal="center" vertical="center"/>
    </xf>
    <xf numFmtId="0" fontId="11" fillId="0" borderId="0" xfId="0" applyFont="1" applyAlignment="1">
      <alignment horizontal="center"/>
      <protection locked="0"/>
    </xf>
    <xf numFmtId="0" fontId="29" fillId="0" borderId="0" xfId="0" applyFont="1" applyAlignment="1">
      <alignment horizontal="center"/>
      <protection locked="0"/>
    </xf>
    <xf numFmtId="193" fontId="38" fillId="0" borderId="0" xfId="33" applyNumberFormat="1" applyFont="1" applyAlignment="1" applyProtection="1">
      <alignment vertical="center" wrapText="1"/>
      <protection locked="0"/>
    </xf>
    <xf numFmtId="193" fontId="35" fillId="0" borderId="0" xfId="50" applyFont="1" applyAlignment="1" applyProtection="1">
      <alignment horizontal="right" vertical="center"/>
      <protection locked="0"/>
    </xf>
    <xf numFmtId="193" fontId="19" fillId="0" borderId="0" xfId="50" applyFont="1" applyAlignment="1" applyProtection="1">
      <alignment horizontal="right" vertical="center"/>
      <protection locked="0"/>
    </xf>
    <xf numFmtId="0" fontId="36" fillId="6" borderId="3" xfId="53" applyFont="1" applyFill="1" applyBorder="1" applyAlignment="1" applyProtection="1">
      <alignment vertical="center"/>
    </xf>
    <xf numFmtId="0" fontId="36" fillId="6" borderId="3" xfId="53" applyFont="1" applyFill="1" applyBorder="1" applyAlignment="1" applyProtection="1">
      <alignment vertical="center" wrapText="1"/>
    </xf>
    <xf numFmtId="0" fontId="36" fillId="6" borderId="3" xfId="53" applyFont="1" applyFill="1" applyBorder="1" applyAlignment="1" applyProtection="1">
      <alignment horizontal="center" vertical="center"/>
    </xf>
    <xf numFmtId="193" fontId="62" fillId="0" borderId="3" xfId="50" applyFont="1" applyBorder="1" applyAlignment="1">
      <alignment horizontal="center" vertical="center" wrapText="1"/>
    </xf>
    <xf numFmtId="0" fontId="19" fillId="4" borderId="0" xfId="0" applyFont="1" applyFill="1" applyAlignment="1">
      <alignment horizontal="justify" vertical="center" wrapText="1"/>
      <protection locked="0"/>
    </xf>
    <xf numFmtId="193" fontId="35" fillId="0" borderId="3" xfId="50" applyFont="1" applyBorder="1" applyAlignment="1">
      <alignment horizontal="center" vertical="center" wrapText="1"/>
    </xf>
    <xf numFmtId="193" fontId="35" fillId="0" borderId="3" xfId="50" applyFont="1" applyBorder="1" applyAlignment="1">
      <alignment vertical="center" wrapText="1"/>
    </xf>
    <xf numFmtId="193" fontId="19" fillId="0" borderId="3" xfId="50" applyFont="1" applyBorder="1" applyAlignment="1">
      <alignment vertical="center" wrapText="1"/>
    </xf>
    <xf numFmtId="0" fontId="56" fillId="0" borderId="0" xfId="0" applyFont="1" applyAlignment="1">
      <alignment horizontal="center" vertical="center"/>
      <protection locked="0"/>
    </xf>
    <xf numFmtId="193" fontId="23" fillId="6" borderId="3" xfId="57" applyFont="1" applyFill="1" applyBorder="1" applyAlignment="1" applyProtection="1">
      <alignment horizontal="center" vertical="center" wrapText="1"/>
      <protection locked="0"/>
    </xf>
    <xf numFmtId="0" fontId="35" fillId="4" borderId="0" xfId="0" applyFont="1" applyFill="1" applyBorder="1" applyAlignment="1">
      <alignment horizontal="justify" vertical="center" wrapText="1"/>
      <protection locked="0"/>
    </xf>
    <xf numFmtId="193" fontId="64" fillId="7" borderId="0" xfId="50" applyFont="1" applyFill="1" applyBorder="1" applyAlignment="1" applyProtection="1">
      <alignment horizontal="centerContinuous" vertical="center"/>
      <protection locked="0"/>
    </xf>
    <xf numFmtId="193" fontId="55" fillId="7" borderId="0" xfId="50" applyFont="1" applyFill="1" applyBorder="1" applyAlignment="1">
      <alignment horizontal="centerContinuous" vertical="center"/>
    </xf>
    <xf numFmtId="193" fontId="74" fillId="0" borderId="0" xfId="59" applyFont="1" applyFill="1" applyAlignment="1">
      <alignment horizontal="left" vertical="center"/>
    </xf>
    <xf numFmtId="0" fontId="35" fillId="0" borderId="3" xfId="50" applyNumberFormat="1" applyFont="1" applyBorder="1" applyAlignment="1" applyProtection="1">
      <alignment horizontal="center" vertical="center"/>
      <protection locked="0"/>
    </xf>
    <xf numFmtId="193" fontId="67" fillId="0" borderId="3" xfId="50" applyFont="1" applyBorder="1" applyAlignment="1">
      <alignment horizontal="center" vertical="center"/>
    </xf>
    <xf numFmtId="0" fontId="66" fillId="0" borderId="3" xfId="44" applyFont="1" applyBorder="1" applyAlignment="1">
      <alignment vertical="center" wrapText="1"/>
    </xf>
    <xf numFmtId="0" fontId="33" fillId="0" borderId="0" xfId="0" applyFont="1" applyAlignment="1">
      <alignment horizontal="left" vertical="center" wrapText="1"/>
      <protection locked="0"/>
    </xf>
    <xf numFmtId="0" fontId="34" fillId="0" borderId="0" xfId="0" applyFont="1" applyAlignment="1">
      <alignment horizontal="left" vertical="center" wrapText="1"/>
      <protection locked="0"/>
    </xf>
    <xf numFmtId="193" fontId="33" fillId="0" borderId="0" xfId="49" applyFont="1" applyAlignment="1">
      <alignment horizontal="center" vertical="center"/>
    </xf>
    <xf numFmtId="193" fontId="56" fillId="0" borderId="0" xfId="49" applyFont="1" applyAlignment="1">
      <alignment horizontal="center" vertical="center"/>
    </xf>
    <xf numFmtId="193" fontId="57" fillId="0" borderId="0" xfId="49" applyFont="1" applyAlignment="1">
      <alignment horizontal="center" vertical="center"/>
    </xf>
    <xf numFmtId="193" fontId="58" fillId="0" borderId="0" xfId="50" applyFont="1" applyAlignment="1" applyProtection="1">
      <alignment horizontal="left" vertical="center"/>
      <protection locked="0"/>
    </xf>
    <xf numFmtId="193" fontId="23" fillId="6" borderId="3" xfId="57" applyFont="1" applyFill="1" applyBorder="1" applyAlignment="1" applyProtection="1">
      <alignment horizontal="center" vertical="center" wrapText="1"/>
      <protection locked="0"/>
    </xf>
    <xf numFmtId="193" fontId="7" fillId="0" borderId="3" xfId="57" applyFont="1" applyBorder="1" applyAlignment="1" applyProtection="1">
      <alignment horizontal="left" vertical="center" wrapText="1"/>
      <protection locked="0"/>
    </xf>
    <xf numFmtId="49" fontId="36" fillId="6" borderId="3" xfId="50" applyNumberFormat="1" applyFont="1" applyFill="1" applyBorder="1" applyAlignment="1" applyProtection="1">
      <alignment horizontal="center" vertical="center"/>
      <protection locked="0"/>
    </xf>
    <xf numFmtId="193" fontId="36" fillId="6" borderId="3" xfId="50" applyFont="1" applyFill="1" applyBorder="1" applyAlignment="1" applyProtection="1">
      <alignment horizontal="center" vertical="center" wrapText="1"/>
      <protection locked="0"/>
    </xf>
    <xf numFmtId="193" fontId="23" fillId="6" borderId="3" xfId="57" applyFont="1" applyFill="1" applyBorder="1" applyAlignment="1" applyProtection="1">
      <alignment horizontal="center" vertical="center"/>
      <protection locked="0"/>
    </xf>
    <xf numFmtId="193" fontId="23" fillId="6" borderId="3" xfId="50" applyFont="1" applyFill="1" applyBorder="1" applyAlignment="1" applyProtection="1">
      <alignment horizontal="center" vertical="center" wrapText="1"/>
      <protection locked="0"/>
    </xf>
    <xf numFmtId="193" fontId="19" fillId="0" borderId="3" xfId="57" applyFont="1" applyBorder="1" applyAlignment="1" applyProtection="1">
      <alignment horizontal="center" vertical="center" wrapText="1"/>
      <protection locked="0"/>
    </xf>
    <xf numFmtId="193" fontId="36" fillId="6" borderId="3" xfId="57" applyFont="1" applyFill="1" applyBorder="1" applyAlignment="1" applyProtection="1">
      <alignment horizontal="center" vertical="center"/>
      <protection locked="0"/>
    </xf>
    <xf numFmtId="193" fontId="58" fillId="0" borderId="3" xfId="50" applyFont="1" applyBorder="1" applyAlignment="1" applyProtection="1">
      <alignment horizontal="left" vertical="center" wrapText="1"/>
      <protection locked="0"/>
    </xf>
    <xf numFmtId="193" fontId="58" fillId="0" borderId="6" xfId="50" applyFont="1" applyBorder="1" applyAlignment="1" applyProtection="1">
      <alignment horizontal="center" vertical="center"/>
      <protection locked="0"/>
    </xf>
    <xf numFmtId="193" fontId="58" fillId="0" borderId="7" xfId="50" applyFont="1" applyBorder="1" applyAlignment="1" applyProtection="1">
      <alignment horizontal="center" vertical="center"/>
      <protection locked="0"/>
    </xf>
    <xf numFmtId="193" fontId="58" fillId="0" borderId="8" xfId="50" applyFont="1" applyBorder="1" applyAlignment="1" applyProtection="1">
      <alignment horizontal="center" vertical="center"/>
      <protection locked="0"/>
    </xf>
    <xf numFmtId="193" fontId="36" fillId="0" borderId="11" xfId="50" applyFont="1" applyBorder="1" applyAlignment="1" applyProtection="1">
      <alignment horizontal="center" vertical="center" wrapText="1"/>
      <protection locked="0"/>
    </xf>
    <xf numFmtId="193" fontId="36" fillId="0" borderId="12" xfId="50" applyFont="1" applyBorder="1" applyAlignment="1" applyProtection="1">
      <alignment horizontal="center" vertical="center" wrapText="1"/>
      <protection locked="0"/>
    </xf>
    <xf numFmtId="193" fontId="45" fillId="0" borderId="3" xfId="50" applyFont="1" applyBorder="1" applyAlignment="1" applyProtection="1">
      <alignment horizontal="left" vertical="center" wrapText="1"/>
      <protection locked="0"/>
    </xf>
    <xf numFmtId="193" fontId="45" fillId="0" borderId="6" xfId="50" applyFont="1" applyBorder="1" applyAlignment="1" applyProtection="1">
      <alignment horizontal="left" vertical="center" wrapText="1"/>
      <protection locked="0"/>
    </xf>
    <xf numFmtId="193" fontId="45" fillId="0" borderId="8" xfId="50" applyFont="1" applyBorder="1" applyAlignment="1" applyProtection="1">
      <alignment horizontal="left" vertical="center" wrapText="1"/>
      <protection locked="0"/>
    </xf>
    <xf numFmtId="193" fontId="36" fillId="6" borderId="3" xfId="50" applyFont="1" applyFill="1" applyBorder="1" applyAlignment="1">
      <alignment vertical="center" wrapText="1"/>
    </xf>
    <xf numFmtId="193" fontId="65" fillId="6" borderId="3" xfId="50" applyFont="1" applyFill="1" applyBorder="1" applyAlignment="1">
      <alignment vertical="center" wrapText="1"/>
    </xf>
    <xf numFmtId="193" fontId="35" fillId="6" borderId="3" xfId="50" applyFont="1" applyFill="1" applyBorder="1" applyAlignment="1">
      <alignment horizontal="left" vertical="center" wrapText="1"/>
    </xf>
    <xf numFmtId="193" fontId="54" fillId="6" borderId="3" xfId="50" applyFont="1" applyFill="1" applyBorder="1" applyAlignment="1">
      <alignment horizontal="left" vertical="center" wrapText="1"/>
    </xf>
    <xf numFmtId="193" fontId="62" fillId="6" borderId="6" xfId="50" applyFont="1" applyFill="1" applyBorder="1" applyAlignment="1">
      <alignment horizontal="center" vertical="center" wrapText="1"/>
    </xf>
    <xf numFmtId="193" fontId="62" fillId="6" borderId="8" xfId="50" applyFont="1" applyFill="1" applyBorder="1" applyAlignment="1">
      <alignment horizontal="center" vertical="center" wrapText="1"/>
    </xf>
    <xf numFmtId="193" fontId="23" fillId="6" borderId="3" xfId="50" applyFont="1" applyFill="1" applyBorder="1" applyAlignment="1">
      <alignment vertical="center" wrapText="1"/>
    </xf>
    <xf numFmtId="193" fontId="35" fillId="6" borderId="3" xfId="50" applyFont="1" applyFill="1" applyBorder="1" applyAlignment="1">
      <alignment horizontal="center" vertical="center" wrapText="1"/>
    </xf>
    <xf numFmtId="193" fontId="36" fillId="6" borderId="3" xfId="50" applyFont="1" applyFill="1" applyBorder="1" applyAlignment="1" applyProtection="1">
      <alignment horizontal="center" vertical="center"/>
      <protection locked="0"/>
    </xf>
    <xf numFmtId="193" fontId="36" fillId="0" borderId="3" xfId="50" applyFont="1" applyBorder="1" applyAlignment="1">
      <alignment vertical="center" wrapText="1"/>
    </xf>
    <xf numFmtId="193" fontId="65" fillId="0" borderId="3" xfId="50" applyFont="1" applyBorder="1" applyAlignment="1">
      <alignment vertical="center" wrapText="1"/>
    </xf>
    <xf numFmtId="193" fontId="35" fillId="0" borderId="3" xfId="50" applyFont="1" applyBorder="1" applyAlignment="1">
      <alignment horizontal="center" vertical="center" wrapText="1"/>
    </xf>
    <xf numFmtId="193" fontId="55" fillId="0" borderId="6" xfId="50" applyFont="1" applyBorder="1" applyAlignment="1">
      <alignment horizontal="center" vertical="center"/>
    </xf>
    <xf numFmtId="193" fontId="55" fillId="0" borderId="8" xfId="50" applyFont="1" applyBorder="1" applyAlignment="1">
      <alignment horizontal="center" vertical="center"/>
    </xf>
    <xf numFmtId="193" fontId="35" fillId="0" borderId="3" xfId="50" applyFont="1" applyBorder="1" applyAlignment="1">
      <alignment vertical="center" wrapText="1"/>
    </xf>
    <xf numFmtId="193" fontId="54" fillId="0" borderId="3" xfId="50" applyFont="1" applyBorder="1" applyAlignment="1">
      <alignment vertical="center" wrapText="1"/>
    </xf>
    <xf numFmtId="0" fontId="68" fillId="0" borderId="6" xfId="50" applyNumberFormat="1" applyFont="1" applyBorder="1" applyAlignment="1">
      <alignment horizontal="center" vertical="center" wrapText="1"/>
    </xf>
    <xf numFmtId="0" fontId="68" fillId="0" borderId="7" xfId="50" applyNumberFormat="1" applyFont="1" applyBorder="1" applyAlignment="1">
      <alignment horizontal="center" vertical="center" wrapText="1"/>
    </xf>
    <xf numFmtId="0" fontId="68" fillId="0" borderId="8" xfId="50" applyNumberFormat="1" applyFont="1" applyBorder="1" applyAlignment="1">
      <alignment horizontal="center" vertical="center" wrapText="1"/>
    </xf>
    <xf numFmtId="193" fontId="19" fillId="0" borderId="3" xfId="50" applyFont="1" applyBorder="1" applyAlignment="1">
      <alignment vertical="center" wrapText="1"/>
    </xf>
    <xf numFmtId="193" fontId="23" fillId="0" borderId="3" xfId="50" applyFont="1" applyBorder="1" applyAlignment="1">
      <alignment vertical="center" wrapText="1"/>
    </xf>
    <xf numFmtId="193" fontId="66" fillId="6" borderId="6" xfId="50" applyFont="1" applyFill="1" applyBorder="1" applyAlignment="1">
      <alignment vertical="center" wrapText="1"/>
    </xf>
    <xf numFmtId="193" fontId="54" fillId="6" borderId="8" xfId="50" applyFont="1" applyFill="1" applyBorder="1" applyAlignment="1">
      <alignment vertical="center" wrapText="1"/>
    </xf>
    <xf numFmtId="193" fontId="54" fillId="6" borderId="6" xfId="50" applyFont="1" applyFill="1" applyBorder="1" applyAlignment="1">
      <alignment horizontal="center" vertical="center" wrapText="1"/>
    </xf>
    <xf numFmtId="193" fontId="54" fillId="6" borderId="7" xfId="50" applyFont="1" applyFill="1" applyBorder="1" applyAlignment="1">
      <alignment horizontal="center" vertical="center" wrapText="1"/>
    </xf>
    <xf numFmtId="193" fontId="54" fillId="6" borderId="8" xfId="50" applyFont="1" applyFill="1" applyBorder="1" applyAlignment="1">
      <alignment horizontal="center" vertical="center" wrapText="1"/>
    </xf>
    <xf numFmtId="193" fontId="66" fillId="0" borderId="6" xfId="50" applyFont="1" applyBorder="1" applyAlignment="1">
      <alignment vertical="center" wrapText="1"/>
    </xf>
    <xf numFmtId="193" fontId="54" fillId="0" borderId="8" xfId="50" applyFont="1" applyBorder="1" applyAlignment="1">
      <alignment vertical="center" wrapText="1"/>
    </xf>
    <xf numFmtId="193" fontId="19" fillId="6" borderId="3" xfId="50" applyFont="1" applyFill="1" applyBorder="1" applyAlignment="1">
      <alignment vertical="center" wrapText="1"/>
    </xf>
    <xf numFmtId="193" fontId="54" fillId="6" borderId="3" xfId="50" applyFont="1" applyFill="1" applyBorder="1" applyAlignment="1">
      <alignment vertical="center" wrapText="1"/>
    </xf>
    <xf numFmtId="193" fontId="66" fillId="0" borderId="3" xfId="50" applyFont="1" applyBorder="1" applyAlignment="1">
      <alignment vertical="center" wrapText="1"/>
    </xf>
    <xf numFmtId="0" fontId="68" fillId="6" borderId="3" xfId="50" applyNumberFormat="1" applyFont="1" applyFill="1" applyBorder="1" applyAlignment="1">
      <alignment horizontal="left" vertical="center" wrapText="1"/>
    </xf>
    <xf numFmtId="0" fontId="68" fillId="6" borderId="3" xfId="50" applyNumberFormat="1" applyFont="1" applyFill="1" applyBorder="1" applyAlignment="1">
      <alignment horizontal="center" vertical="center" wrapText="1"/>
    </xf>
    <xf numFmtId="0" fontId="71" fillId="0" borderId="3" xfId="50" applyNumberFormat="1" applyFont="1" applyBorder="1" applyAlignment="1">
      <alignment horizontal="left" vertical="center" wrapText="1"/>
    </xf>
    <xf numFmtId="0" fontId="68" fillId="0" borderId="3" xfId="50" applyNumberFormat="1" applyFont="1" applyBorder="1" applyAlignment="1">
      <alignment horizontal="left" vertical="center" wrapText="1"/>
    </xf>
    <xf numFmtId="0" fontId="68" fillId="0" borderId="3" xfId="50" applyNumberFormat="1" applyFont="1" applyBorder="1" applyAlignment="1">
      <alignment horizontal="center" vertical="center" wrapText="1"/>
    </xf>
    <xf numFmtId="193" fontId="78" fillId="0" borderId="4" xfId="50" applyFont="1" applyBorder="1" applyAlignment="1">
      <alignment horizontal="left" vertical="center" wrapText="1"/>
    </xf>
    <xf numFmtId="193" fontId="78" fillId="0" borderId="0" xfId="50" applyFont="1" applyBorder="1" applyAlignment="1">
      <alignment horizontal="left" vertical="center" wrapText="1"/>
    </xf>
    <xf numFmtId="0" fontId="19" fillId="0" borderId="4" xfId="44" applyFont="1" applyBorder="1" applyAlignment="1">
      <alignment horizontal="left" vertical="center" wrapText="1"/>
    </xf>
    <xf numFmtId="0" fontId="19" fillId="0" borderId="0" xfId="44" applyFont="1" applyBorder="1" applyAlignment="1">
      <alignment horizontal="left" vertical="center" wrapText="1"/>
    </xf>
    <xf numFmtId="193" fontId="19" fillId="0" borderId="4" xfId="50" applyFont="1" applyBorder="1" applyAlignment="1">
      <alignment horizontal="left" vertical="center" wrapText="1"/>
    </xf>
    <xf numFmtId="193" fontId="19" fillId="0" borderId="0" xfId="50" applyFont="1" applyBorder="1" applyAlignment="1">
      <alignment horizontal="left" vertical="center" wrapText="1"/>
    </xf>
    <xf numFmtId="193" fontId="65" fillId="6" borderId="6" xfId="50" applyFont="1" applyFill="1" applyBorder="1" applyAlignment="1">
      <alignment vertical="center" wrapText="1"/>
    </xf>
    <xf numFmtId="193" fontId="65" fillId="6" borderId="8" xfId="50" applyFont="1" applyFill="1" applyBorder="1" applyAlignment="1">
      <alignment vertical="center" wrapText="1"/>
    </xf>
    <xf numFmtId="193" fontId="55" fillId="6" borderId="6" xfId="50" applyFont="1" applyFill="1" applyBorder="1" applyAlignment="1">
      <alignment horizontal="center" vertical="center"/>
    </xf>
    <xf numFmtId="193" fontId="55" fillId="6" borderId="8" xfId="50" applyFont="1" applyFill="1" applyBorder="1" applyAlignment="1">
      <alignment horizontal="center" vertical="center"/>
    </xf>
    <xf numFmtId="193" fontId="79" fillId="0" borderId="3" xfId="50" applyFont="1" applyBorder="1" applyAlignment="1">
      <alignment vertical="center" wrapText="1"/>
    </xf>
    <xf numFmtId="10" fontId="51" fillId="0" borderId="0" xfId="43" applyNumberFormat="1" applyFont="1" applyBorder="1" applyAlignment="1">
      <alignment horizontal="left" vertical="center"/>
    </xf>
    <xf numFmtId="193" fontId="37" fillId="6" borderId="3" xfId="46" applyFont="1" applyFill="1" applyBorder="1" applyAlignment="1" applyProtection="1">
      <alignment horizontal="center" vertical="center" wrapText="1"/>
      <protection locked="0"/>
    </xf>
    <xf numFmtId="193" fontId="36" fillId="6" borderId="3" xfId="46" applyFont="1" applyFill="1" applyBorder="1" applyAlignment="1" applyProtection="1">
      <alignment horizontal="center" vertical="center" wrapText="1"/>
      <protection locked="0"/>
    </xf>
    <xf numFmtId="193" fontId="36" fillId="6" borderId="3" xfId="45" applyFont="1" applyFill="1" applyBorder="1" applyAlignment="1" applyProtection="1">
      <alignment horizontal="center" vertical="center" wrapText="1"/>
      <protection locked="0"/>
    </xf>
    <xf numFmtId="0" fontId="20" fillId="0" borderId="0" xfId="31" applyFont="1" applyAlignment="1">
      <alignment horizontal="center" vertical="center" wrapText="1"/>
    </xf>
    <xf numFmtId="0" fontId="56" fillId="0" borderId="0" xfId="31" applyFont="1" applyAlignment="1">
      <alignment horizontal="center" vertical="center" wrapText="1"/>
    </xf>
    <xf numFmtId="193" fontId="36" fillId="9" borderId="3" xfId="45" applyFont="1" applyFill="1" applyBorder="1" applyAlignment="1" applyProtection="1">
      <alignment horizontal="center" vertical="center" wrapText="1"/>
      <protection locked="0"/>
    </xf>
    <xf numFmtId="0" fontId="20" fillId="0" borderId="0" xfId="0" applyFont="1" applyAlignment="1">
      <alignment horizontal="center" vertical="center"/>
      <protection locked="0"/>
    </xf>
    <xf numFmtId="0" fontId="36" fillId="6" borderId="3" xfId="40" applyFont="1" applyFill="1" applyBorder="1" applyAlignment="1" applyProtection="1">
      <alignment horizontal="center" vertical="center"/>
    </xf>
    <xf numFmtId="0" fontId="20" fillId="0" borderId="0" xfId="31" applyFont="1" applyAlignment="1">
      <alignment horizontal="center" vertical="center"/>
    </xf>
    <xf numFmtId="0" fontId="56" fillId="0" borderId="0" xfId="31" applyFont="1" applyAlignment="1">
      <alignment horizontal="center" vertical="center"/>
    </xf>
    <xf numFmtId="0" fontId="37" fillId="6" borderId="11" xfId="0" applyFont="1" applyFill="1" applyBorder="1" applyAlignment="1">
      <alignment horizontal="center" vertical="center"/>
      <protection locked="0"/>
    </xf>
    <xf numFmtId="0" fontId="37" fillId="6" borderId="12" xfId="0" applyFont="1" applyFill="1" applyBorder="1" applyAlignment="1">
      <alignment horizontal="center" vertical="center"/>
      <protection locked="0"/>
    </xf>
    <xf numFmtId="43" fontId="20" fillId="0" borderId="0" xfId="47" applyNumberFormat="1" applyFont="1" applyBorder="1" applyAlignment="1">
      <alignment horizontal="center" vertical="center"/>
    </xf>
    <xf numFmtId="43" fontId="56" fillId="0" borderId="0" xfId="47" applyNumberFormat="1" applyFont="1" applyBorder="1" applyAlignment="1">
      <alignment horizontal="center" vertical="center"/>
    </xf>
    <xf numFmtId="0" fontId="56" fillId="0" borderId="0" xfId="0" applyFont="1" applyAlignment="1">
      <alignment horizontal="center" vertical="center"/>
      <protection locked="0"/>
    </xf>
    <xf numFmtId="0" fontId="36" fillId="6" borderId="3" xfId="0" applyFont="1" applyFill="1" applyBorder="1" applyAlignment="1" applyProtection="1">
      <alignment horizontal="center" vertical="center" wrapText="1"/>
    </xf>
    <xf numFmtId="0" fontId="36" fillId="6" borderId="3" xfId="0" applyFont="1" applyFill="1" applyBorder="1" applyAlignment="1" applyProtection="1">
      <alignment horizontal="center" vertical="center"/>
    </xf>
    <xf numFmtId="0" fontId="60" fillId="10" borderId="3" xfId="40" applyFont="1" applyFill="1" applyBorder="1" applyAlignment="1" applyProtection="1">
      <alignment horizontal="center" vertical="center" wrapText="1"/>
    </xf>
    <xf numFmtId="0" fontId="36" fillId="10" borderId="3" xfId="40" applyFont="1" applyFill="1" applyBorder="1" applyAlignment="1" applyProtection="1">
      <alignment horizontal="center" vertical="center" wrapText="1"/>
    </xf>
    <xf numFmtId="0" fontId="36" fillId="0" borderId="0" xfId="0" applyFont="1" applyAlignment="1">
      <alignment horizontal="center" vertical="center"/>
      <protection locked="0"/>
    </xf>
    <xf numFmtId="0" fontId="33" fillId="0" borderId="0" xfId="0" applyFont="1" applyAlignment="1">
      <alignment horizontal="center" vertical="center"/>
      <protection locked="0"/>
    </xf>
    <xf numFmtId="0" fontId="36" fillId="6" borderId="3" xfId="40" applyFont="1" applyFill="1" applyBorder="1" applyAlignment="1">
      <alignment horizontal="center" vertical="center"/>
      <protection locked="0"/>
    </xf>
    <xf numFmtId="0" fontId="85" fillId="10" borderId="6" xfId="40" applyFont="1" applyFill="1" applyBorder="1" applyAlignment="1" applyProtection="1">
      <alignment horizontal="center" vertical="center" wrapText="1"/>
    </xf>
    <xf numFmtId="0" fontId="85" fillId="10" borderId="7" xfId="40" applyFont="1" applyFill="1" applyBorder="1" applyAlignment="1" applyProtection="1">
      <alignment horizontal="center" vertical="center" wrapText="1"/>
    </xf>
    <xf numFmtId="0" fontId="85" fillId="10" borderId="8" xfId="40" applyFont="1" applyFill="1" applyBorder="1" applyAlignment="1" applyProtection="1">
      <alignment horizontal="center" vertical="center" wrapText="1"/>
    </xf>
  </cellXfs>
  <cellStyles count="60">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43" builtinId="5"/>
    <cellStyle name="百分比 2 2" xfId="56"/>
    <cellStyle name="常规" xfId="0" builtinId="0"/>
    <cellStyle name="常规 11 5" xfId="59"/>
    <cellStyle name="常规 2" xfId="40"/>
    <cellStyle name="常规 2 2" xfId="53"/>
    <cellStyle name="常规 3" xfId="46"/>
    <cellStyle name="常规 3 2" xfId="51"/>
    <cellStyle name="常规 4" xfId="45"/>
    <cellStyle name="常规 4 2" xfId="54"/>
    <cellStyle name="常规 5" xfId="44"/>
    <cellStyle name="常规 6" xfId="50"/>
    <cellStyle name="常规 7" xfId="57"/>
    <cellStyle name="常规 7 2" xfId="58"/>
    <cellStyle name="常规_Book1" xfId="31"/>
    <cellStyle name="常规_Book1 2" xfId="49"/>
    <cellStyle name="常规_c-资产类" xfId="48"/>
    <cellStyle name="常规_进一步审计程序--销售与收款循环" xfId="32"/>
    <cellStyle name="常规_立信2007年10月版(资产类)-－丁文娟" xfId="42"/>
    <cellStyle name="常规_新审定表" xfId="47"/>
    <cellStyle name="常规_制造费用" xfId="41"/>
    <cellStyle name="超链接" xfId="33" builtinId="8"/>
    <cellStyle name="超链接 2" xfId="55"/>
    <cellStyle name="普通_ 外G9(3)" xfId="34"/>
    <cellStyle name="千分位[0]_宁波" xfId="35"/>
    <cellStyle name="千分位_宁波" xfId="36"/>
    <cellStyle name="千位[0]_laroux" xfId="37"/>
    <cellStyle name="千位_laroux" xfId="38"/>
    <cellStyle name="千位分隔" xfId="39" builtinId="3"/>
    <cellStyle name="千位分隔 2 4" xfId="52"/>
  </cellStyles>
  <dxfs count="0"/>
  <tableStyles count="0" defaultTableStyle="TableStyleMedium9" defaultPivotStyle="PivotStyleLight16"/>
  <colors>
    <mruColors>
      <color rgb="FF0000FF"/>
      <color rgb="FF3333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E"/>
      <sheetName val="IS"/>
      <sheetName val="Customize Your Loan Manager"/>
      <sheetName val="初始设定"/>
      <sheetName val="内销收人"/>
      <sheetName val="校验"/>
      <sheetName val="原报表"/>
      <sheetName val="上年审前调整"/>
      <sheetName val="上年审前试算表"/>
      <sheetName val="本年审前调整"/>
      <sheetName val="本年审前试算表"/>
      <sheetName val="审前报表"/>
      <sheetName val="2006TB"/>
      <sheetName val="银行列表"/>
      <sheetName val="报表11"/>
      <sheetName val="折旧测算表"/>
      <sheetName val="母公司TB"/>
      <sheetName val="Chart of Account"/>
      <sheetName val="清单"/>
      <sheetName val="关联方_物流集团"/>
      <sheetName val="存货_生产成本Dy"/>
      <sheetName val="主营业务成本mx"/>
      <sheetName val="注释补充表1"/>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799"/>
      <sheetName val="应收账款明细分类账2019"/>
      <sheetName val="20年销售出库"/>
      <sheetName val="6.6-存货-制造费用明细表"/>
      <sheetName val="核算项目组合表"/>
      <sheetName val="全部预算"/>
      <sheetName val="A3 &amp; U 09-01"/>
      <sheetName val="公司名称一览表"/>
      <sheetName val="UFPrn20210115161842"/>
      <sheetName val="单位往来"/>
      <sheetName val="投资保证金"/>
      <sheetName val="2019—库存商品库龄"/>
      <sheetName val="2018年报表"/>
      <sheetName val="预期信用损失的计量测试D2-14（20201231）"/>
      <sheetName val="鼎信诺字典表"/>
      <sheetName val="现金流量表(未审)"/>
      <sheetName val="偿债力分析"/>
      <sheetName val="应收帐款询证函"/>
      <sheetName val="Final"/>
      <sheetName val="JA#1"/>
      <sheetName val="JA#2&amp;5"/>
      <sheetName val="Stock_turnove_x005f_x005f_x005f_x005f_x005f"/>
      <sheetName val="合并"/>
      <sheetName val="dm"/>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订"/>
      <sheetName val="2-R1619"/>
      <sheetName val="研发项目"/>
      <sheetName val="资金计划项目说明"/>
      <sheetName val="database"/>
      <sheetName val="원단위"/>
      <sheetName val="类型设置"/>
      <sheetName val="往来"/>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原材料&amp;存货跌价 list"/>
      <sheetName val="生产成本list"/>
      <sheetName val="2009.12.31日完工比例"/>
      <sheetName val="2011.12.31完工比例"/>
      <sheetName val="2010.06.30完工比例"/>
      <sheetName val="库存明细2011"/>
      <sheetName val="在途"/>
      <sheetName val="其他业务利润"/>
      <sheetName val="其他材料收入重复"/>
      <sheetName val="其他材料收入账"/>
      <sheetName val="预收"/>
      <sheetName val="F1"/>
      <sheetName val="销售费用"/>
      <sheetName val="截止测试-入库G2-7-1"/>
      <sheetName val="TB试算表_本年"/>
      <sheetName val="院级设计"/>
      <sheetName val="银行存款明细表"/>
      <sheetName val="人员支出"/>
      <sheetName val="农业用地"/>
      <sheetName val="2002年一般预算收入"/>
      <sheetName val="RYRPADTN"/>
      <sheetName val="2019收入成本（未审）"/>
      <sheetName val="2019年6月-2020年5月项目收入成本一览"/>
      <sheetName val="TB-公证天业"/>
      <sheetName val="BKD-氢能"/>
      <sheetName val="2045020001"/>
      <sheetName val="schedule"/>
      <sheetName val="2008 SPL"/>
      <sheetName val="TargetReports"/>
      <sheetName val="KIINAS"/>
      <sheetName val="BW_FAELI"/>
      <sheetName val="（27）实收资本"/>
      <sheetName val="面积指标"/>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设备部房屋"/>
      <sheetName val="表六 "/>
      <sheetName val="A41-2折旧测试"/>
      <sheetName val="披露表（上市）"/>
      <sheetName val="P-7 CF Fed"/>
      <sheetName val="应收-全"/>
      <sheetName val="二月"/>
      <sheetName val="2011调整分录"/>
      <sheetName val="B7-2-1应付账款余额表"/>
      <sheetName val="一级"/>
      <sheetName val="2003本部资产负债试算表"/>
      <sheetName val="2003本部利润及利润分配表试算表"/>
      <sheetName val="tra-vat-lieu"/>
      <sheetName val="威海汉邦"/>
      <sheetName val="dtct cong"/>
      <sheetName val="数据源-勿动"/>
      <sheetName val="BPR"/>
      <sheetName val="2015PPE"/>
      <sheetName val="资产负债表-母"/>
      <sheetName val="Sheet668"/>
      <sheetName val="USD Data input"/>
      <sheetName val="附表2"/>
      <sheetName val="在制"/>
      <sheetName val="22"/>
      <sheetName val="M 67"/>
      <sheetName val="福利费1"/>
      <sheetName val="整理"/>
      <sheetName val="RawData"/>
      <sheetName val="1－5月余额表"/>
      <sheetName val="1－10月余额表"/>
      <sheetName val="数量金额明细账"/>
      <sheetName val="Jumei"/>
      <sheetName val="SW"/>
      <sheetName val="JDMCode"/>
      <sheetName val="PanelInfo"/>
      <sheetName val="2.1 PS估值分析-上市公司"/>
      <sheetName val="3111"/>
      <sheetName val="3113"/>
      <sheetName val="_8013"/>
      <sheetName val="序时帐"/>
      <sheetName val="Common Assumptions"/>
      <sheetName val="4528"/>
      <sheetName val="有效性"/>
      <sheetName val="Bid_Details"/>
      <sheetName val="BW系统 原稿"/>
      <sheetName val="营业费用02"/>
      <sheetName val="Provision list"/>
      <sheetName val="现金流分录汇总"/>
      <sheetName val="递延所得税资产Dy"/>
      <sheetName val="产能统计（2014）"/>
      <sheetName val="审定_资产负债表"/>
      <sheetName val="未审_资产负债表"/>
      <sheetName val="C1"/>
      <sheetName val="科目代码表"/>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A180-10"/>
      <sheetName val="填制说明"/>
      <sheetName val="科目2015"/>
      <sheetName val="2018"/>
      <sheetName val="应交税费审定表"/>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F01-A (2)"/>
      <sheetName val="固定资产、累计折旧、减值准备明细表"/>
      <sheetName val="现金流量1-10月"/>
      <sheetName val="10月"/>
      <sheetName val="2月"/>
      <sheetName val="3月"/>
      <sheetName val="4月"/>
      <sheetName val="7月"/>
      <sheetName val="8月"/>
      <sheetName val="9月"/>
      <sheetName val="敏感参数"/>
      <sheetName val="1 项目情况"/>
      <sheetName val="1 项目利润表(PS)"/>
      <sheetName val="3 损益推导"/>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mvt"/>
      <sheetName val="支出项目对应现金流项目"/>
      <sheetName val="UFPrn2003其他"/>
      <sheetName val="sales"/>
      <sheetName val="数据源"/>
      <sheetName val="审计工作底稿目录"/>
      <sheetName val="面料"/>
      <sheetName val="辅料"/>
      <sheetName val="燃料"/>
      <sheetName val="预收帐款"/>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01 Balance Sheet资产负债表"/>
      <sheetName val="PY-pp"/>
      <sheetName val="Sheet761"/>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profit2 (2)"/>
      <sheetName val="351B发出商品明细-不打印"/>
      <sheetName val="351A发出商品测试"/>
      <sheetName val="3402存货导引表"/>
      <sheetName val="3月生产成本凭证"/>
      <sheetName val="能耗计算 OK "/>
      <sheetName val="应付帐款余额表"/>
      <sheetName val="或有事项"/>
      <sheetName val="关联方交易"/>
      <sheetName val="其他综合收益"/>
      <sheetName val="审定表M4"/>
      <sheetName val="FIN48 TP Doc"/>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frm销售合同-Sub"/>
      <sheetName val="服务部待报废"/>
      <sheetName val="VAS TB"/>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Marco"/>
      <sheetName val="Customize Your Loan Manager"/>
      <sheetName val="Group"/>
      <sheetName val="预收账款明细表D3-2"/>
      <sheetName val="J"/>
      <sheetName val="C - Cash and Bank"/>
      <sheetName val="A300"/>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初始设定"/>
      <sheetName val="报表11"/>
      <sheetName val="其它业务收入分类"/>
      <sheetName val="壓摸穿燈"/>
      <sheetName val="Rate"/>
      <sheetName val="校验"/>
      <sheetName val="原报表"/>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Cashbook"/>
      <sheetName val="现调整"/>
      <sheetName val="（附表2）固定资产处理情况表"/>
      <sheetName val="科余表"/>
      <sheetName val="资产负债表利润及利润分配表"/>
      <sheetName val="期初应付帐款明细表G4-2 "/>
      <sheetName val="操作页"/>
      <sheetName val="核算项目组合表"/>
      <sheetName val="科目"/>
      <sheetName val="公司名称一览表"/>
      <sheetName val="其他应付款明细表M4-2 21"/>
      <sheetName val="其他应付款明细表M4-2 20"/>
      <sheetName val="2020年调整分录"/>
      <sheetName val="2019年调整分录 "/>
      <sheetName val="投资性房地产Dy"/>
      <sheetName val="表5_2_3固定资产—电子设备"/>
      <sheetName val="0609"/>
      <sheetName val="发出商品替代"/>
      <sheetName val="2007.11PPR管件单件测算"/>
      <sheetName val="清冊"/>
      <sheetName val="JA"/>
      <sheetName val="坏账准备_预付账款Dy"/>
      <sheetName val="Dis."/>
      <sheetName val="账户汇总表_2017年1月至12月_"/>
      <sheetName val="应收账款明细表"/>
      <sheetName val="Income tax reconciliation"/>
      <sheetName val="销项税"/>
      <sheetName val="十一、消耗性生物资产G2-2-11"/>
      <sheetName val="应付账款 (2)"/>
      <sheetName val="累计1"/>
      <sheetName val="FIRE Parameters"/>
      <sheetName val="应付(单位)关注"/>
      <sheetName val="员工工资"/>
      <sheetName val="Permit"/>
      <sheetName val="瓶差"/>
      <sheetName val="本期毛利"/>
      <sheetName val="余额表数量"/>
      <sheetName val="_Profile"/>
      <sheetName val="无形资产"/>
      <sheetName val="长期待摊费用"/>
      <sheetName val="应交税金"/>
      <sheetName val="BKD-氢能"/>
      <sheetName val="for disclosure"/>
      <sheetName val="Final"/>
      <sheetName val="2008 SPL"/>
      <sheetName val="OB97LST"/>
      <sheetName val="WIP(For Nick)"/>
      <sheetName val="Admin"/>
      <sheetName val="WO CONV"/>
      <sheetName val="ACTINV"/>
      <sheetName val="N3 PBT"/>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科目余额表正式"/>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披露表（上市）"/>
      <sheetName val="Namelist"/>
      <sheetName val="固资明细"/>
      <sheetName val="日照"/>
      <sheetName val="德州"/>
      <sheetName val="滨州"/>
      <sheetName val="淄博"/>
      <sheetName val="大鲁"/>
      <sheetName val="威海"/>
      <sheetName val="山东省互联网传媒集团应收账款（账龄统计）统计数据"/>
      <sheetName val="张淑东"/>
      <sheetName val="Master Data"/>
      <sheetName val="一级"/>
      <sheetName val="办公设备"/>
      <sheetName val="会计分录序时簿_2"/>
      <sheetName val="表1.5"/>
      <sheetName val="Sheet116"/>
      <sheetName val="Sheet140"/>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设备部房屋"/>
      <sheetName val="definition"/>
      <sheetName val="SW"/>
      <sheetName val="JDMCode"/>
      <sheetName val="PanelInfo"/>
      <sheetName val="00 FG breakdown"/>
      <sheetName val="01 FG breakdown"/>
      <sheetName val="99 FG breakdown"/>
      <sheetName val="电动车间"/>
      <sheetName val="5132"/>
      <sheetName val="会计科目"/>
      <sheetName val="Detail P&amp;L"/>
      <sheetName val="审计程序"/>
      <sheetName val="披露表(上市)-2016"/>
      <sheetName val="替代结果汇总表"/>
      <sheetName val="审定_资产负债表"/>
      <sheetName val="未审_资产负债表"/>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07TB"/>
      <sheetName val="AR Breakdown&amp;Aging"/>
      <sheetName val="AP Breakdown &amp; Aging"/>
      <sheetName val="测算表"/>
      <sheetName val="A140-10"/>
      <sheetName val="数据源"/>
      <sheetName val="画底稿使用"/>
      <sheetName val="调整后报表"/>
      <sheetName val="收入成本审定表D4试剂"/>
      <sheetName val="审计说明M4-0"/>
      <sheetName val="库存商品库龄分析G2-3-3"/>
      <sheetName val="固定资产、累计折旧、减值准备明细表"/>
      <sheetName val="现金流量1-10月"/>
      <sheetName val="基础资料（B）"/>
      <sheetName val="Tfc&amp;toll asmptns"/>
      <sheetName val="G1-1-1a AR-85A"/>
      <sheetName val="浙江道之-机器设备"/>
      <sheetName val="Dates"/>
      <sheetName val="Sheet113"/>
      <sheetName val="合并TB-19年"/>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能耗计算 OK "/>
      <sheetName val="Acc1"/>
      <sheetName val="基本情况"/>
      <sheetName val="上市1"/>
      <sheetName val="上市2"/>
      <sheetName val="上市3"/>
      <sheetName val="上市4"/>
      <sheetName val="上市5"/>
      <sheetName val="上市6"/>
      <sheetName val="上市7"/>
      <sheetName val="上市8"/>
      <sheetName val="上市9"/>
      <sheetName val="accode"/>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 val="Sheet120"/>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sheetData sheetId="1315"/>
      <sheetData sheetId="1316"/>
      <sheetData sheetId="1317" refreshError="1"/>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tabSelected="1" zoomScale="96" zoomScaleNormal="96" workbookViewId="0"/>
  </sheetViews>
  <sheetFormatPr defaultRowHeight="20.100000000000001" customHeight="1"/>
  <cols>
    <col min="1" max="1" width="77.59765625" style="9" customWidth="1"/>
    <col min="2" max="2" width="2" style="9" customWidth="1"/>
    <col min="3" max="3" width="2.09765625" style="9" customWidth="1"/>
    <col min="4" max="4" width="6.09765625" style="9" customWidth="1"/>
    <col min="5" max="5" width="22.796875" style="9" customWidth="1"/>
    <col min="6" max="6" width="10.19921875" style="221" customWidth="1"/>
    <col min="8" max="8" width="10.3984375" customWidth="1"/>
  </cols>
  <sheetData>
    <row r="1" spans="1:8" s="4" customFormat="1" ht="20.100000000000001" customHeight="1">
      <c r="A1" s="3" t="s">
        <v>0</v>
      </c>
      <c r="B1" s="5"/>
      <c r="C1" s="5"/>
      <c r="D1" s="6"/>
      <c r="E1" s="6"/>
      <c r="F1" s="8"/>
    </row>
    <row r="2" spans="1:8" ht="20.100000000000001" customHeight="1">
      <c r="A2" s="213" t="s">
        <v>269</v>
      </c>
      <c r="B2" s="7"/>
      <c r="C2" s="7"/>
      <c r="D2" s="8"/>
      <c r="E2" s="8"/>
      <c r="F2" s="8"/>
      <c r="G2" s="1"/>
      <c r="H2" s="1"/>
    </row>
    <row r="3" spans="1:8" ht="20.100000000000001" customHeight="1">
      <c r="A3" s="235" t="s">
        <v>280</v>
      </c>
      <c r="B3" s="7"/>
      <c r="C3" s="7"/>
      <c r="D3" s="68" t="s">
        <v>32</v>
      </c>
      <c r="E3" s="68" t="s">
        <v>21</v>
      </c>
      <c r="F3" s="68" t="s">
        <v>33</v>
      </c>
      <c r="G3" s="68" t="s">
        <v>34</v>
      </c>
      <c r="H3" s="2"/>
    </row>
    <row r="4" spans="1:8" ht="20.100000000000001" customHeight="1">
      <c r="A4" s="229" t="s">
        <v>270</v>
      </c>
      <c r="B4" s="7"/>
      <c r="C4" s="7"/>
      <c r="D4" s="68">
        <v>1</v>
      </c>
      <c r="E4" s="218" t="s">
        <v>120</v>
      </c>
      <c r="F4" s="219" t="s">
        <v>142</v>
      </c>
      <c r="G4" s="68"/>
      <c r="H4" s="2"/>
    </row>
    <row r="5" spans="1:8" ht="20.100000000000001" customHeight="1">
      <c r="A5" s="229" t="s">
        <v>271</v>
      </c>
      <c r="D5" s="68">
        <v>2</v>
      </c>
      <c r="E5" s="218" t="s">
        <v>119</v>
      </c>
      <c r="F5" s="219" t="s">
        <v>143</v>
      </c>
      <c r="G5" s="68"/>
      <c r="H5" s="10"/>
    </row>
    <row r="6" spans="1:8" ht="20.100000000000001" customHeight="1">
      <c r="A6" s="229" t="s">
        <v>272</v>
      </c>
      <c r="D6" s="68">
        <v>3</v>
      </c>
      <c r="E6" s="218" t="s">
        <v>35</v>
      </c>
      <c r="F6" s="219"/>
      <c r="G6" s="68"/>
      <c r="H6" s="162" t="s">
        <v>150</v>
      </c>
    </row>
    <row r="7" spans="1:8" ht="20.100000000000001" customHeight="1">
      <c r="A7" s="229" t="s">
        <v>273</v>
      </c>
      <c r="D7" s="68">
        <v>3</v>
      </c>
      <c r="E7" s="218" t="s">
        <v>36</v>
      </c>
      <c r="F7" s="219"/>
      <c r="G7" s="69"/>
      <c r="H7" s="162" t="s">
        <v>150</v>
      </c>
    </row>
    <row r="8" spans="1:8" ht="20.100000000000001" customHeight="1">
      <c r="A8" s="11"/>
      <c r="D8" s="68">
        <v>4</v>
      </c>
      <c r="E8" s="218" t="s">
        <v>144</v>
      </c>
      <c r="F8" s="219" t="s">
        <v>145</v>
      </c>
      <c r="G8" s="69"/>
    </row>
    <row r="9" spans="1:8" ht="20.100000000000001" customHeight="1">
      <c r="A9" s="233" t="s">
        <v>281</v>
      </c>
      <c r="D9" s="68">
        <v>5</v>
      </c>
      <c r="E9" s="218" t="s">
        <v>146</v>
      </c>
      <c r="F9" s="219" t="s">
        <v>147</v>
      </c>
      <c r="G9" s="69"/>
    </row>
    <row r="10" spans="1:8" ht="20.100000000000001" customHeight="1">
      <c r="A10" s="242" t="s">
        <v>282</v>
      </c>
      <c r="D10" s="68">
        <v>6</v>
      </c>
      <c r="E10" s="218" t="s">
        <v>148</v>
      </c>
      <c r="F10" s="219" t="s">
        <v>149</v>
      </c>
      <c r="G10" s="69"/>
    </row>
    <row r="11" spans="1:8" ht="20.100000000000001" customHeight="1">
      <c r="A11" s="242"/>
      <c r="E11" s="162"/>
      <c r="F11" s="220"/>
    </row>
    <row r="12" spans="1:8" ht="20.100000000000001" customHeight="1">
      <c r="A12" s="242"/>
      <c r="F12" s="220"/>
    </row>
    <row r="13" spans="1:8" ht="20.100000000000001" customHeight="1">
      <c r="A13" s="242"/>
      <c r="F13" s="220"/>
    </row>
    <row r="14" spans="1:8" ht="20.100000000000001" customHeight="1">
      <c r="A14" s="242" t="s">
        <v>283</v>
      </c>
    </row>
    <row r="15" spans="1:8" ht="20.100000000000001" customHeight="1">
      <c r="A15" s="242"/>
      <c r="F15" s="220"/>
    </row>
    <row r="16" spans="1:8" ht="20.100000000000001" customHeight="1">
      <c r="A16" s="242"/>
      <c r="F16" s="220"/>
    </row>
    <row r="17" spans="1:1" ht="20.100000000000001" customHeight="1">
      <c r="A17" s="243" t="s">
        <v>284</v>
      </c>
    </row>
    <row r="18" spans="1:1" ht="35.25" customHeight="1">
      <c r="A18" s="243"/>
    </row>
    <row r="19" spans="1:1" ht="15.6">
      <c r="A19" s="243"/>
    </row>
    <row r="20" spans="1:1" ht="20.100000000000001" customHeight="1">
      <c r="A20" s="12"/>
    </row>
  </sheetData>
  <mergeCells count="3">
    <mergeCell ref="A10:A13"/>
    <mergeCell ref="A14:A16"/>
    <mergeCell ref="A17:A19"/>
  </mergeCells>
  <phoneticPr fontId="53" type="noConversion"/>
  <hyperlinks>
    <hyperlink ref="E6" location="'附注披露信息（上市公司）'!A1" display="附注披露信息(上市公司)"/>
    <hyperlink ref="E7" location="'附注披露信息（国有企业）'!A1" display="附注披露信息(国企)"/>
    <hyperlink ref="E8" location="'明细表M8-2'!A1" display="明细表"/>
    <hyperlink ref="E10" location="'一般风险准备测试表M8-4'!A1" display="一般风险准备测试表"/>
    <hyperlink ref="E5" location="'审定表M8-1'!A1" display="审定表"/>
    <hyperlink ref="E4" location="'一般风险准备实质性程序表 M8A '!A1" display="一般风险准备实质性程序表"/>
    <hyperlink ref="E9" location="'调整分录汇总M8-3'!A1" display="调整分录汇总"/>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2"/>
  <sheetViews>
    <sheetView view="pageBreakPreview" zoomScaleNormal="110" zoomScaleSheetLayoutView="100" workbookViewId="0">
      <selection sqref="A1:I1"/>
    </sheetView>
  </sheetViews>
  <sheetFormatPr defaultColWidth="9" defaultRowHeight="13.8"/>
  <cols>
    <col min="1" max="1" width="4.5" style="81" customWidth="1"/>
    <col min="2" max="2" width="63.19921875" style="81" customWidth="1"/>
    <col min="3" max="3" width="9.09765625" style="81" customWidth="1"/>
    <col min="4" max="4" width="6.09765625" style="99" customWidth="1"/>
    <col min="5" max="6" width="6.69921875" style="81" customWidth="1"/>
    <col min="7" max="7" width="6.8984375" style="81" customWidth="1"/>
    <col min="8" max="8" width="5.296875" style="81" customWidth="1"/>
    <col min="9" max="9" width="7.296875" style="81" customWidth="1"/>
    <col min="10" max="10" width="55.296875" style="80" customWidth="1"/>
    <col min="11" max="11" width="14.69921875" style="80" customWidth="1"/>
    <col min="12" max="16384" width="9" style="81"/>
  </cols>
  <sheetData>
    <row r="1" spans="1:12" ht="19.95" customHeight="1">
      <c r="A1" s="244" t="s">
        <v>37</v>
      </c>
      <c r="B1" s="244"/>
      <c r="C1" s="244"/>
      <c r="D1" s="244"/>
      <c r="E1" s="244"/>
      <c r="F1" s="244"/>
      <c r="G1" s="244"/>
      <c r="H1" s="244"/>
      <c r="I1" s="244"/>
    </row>
    <row r="2" spans="1:12" ht="19.95" customHeight="1">
      <c r="A2" s="245" t="s">
        <v>38</v>
      </c>
      <c r="B2" s="246"/>
      <c r="C2" s="246"/>
      <c r="D2" s="246"/>
      <c r="E2" s="246"/>
      <c r="F2" s="246"/>
      <c r="G2" s="246"/>
      <c r="H2" s="246"/>
      <c r="I2" s="246"/>
    </row>
    <row r="3" spans="1:12" ht="19.95" customHeight="1">
      <c r="A3" s="82" t="str">
        <f>底稿目录!A2</f>
        <v>被审计单位：</v>
      </c>
      <c r="B3" s="82"/>
      <c r="C3" s="83" t="str">
        <f>底稿目录!A4</f>
        <v>编制人：</v>
      </c>
      <c r="E3" s="82" t="str">
        <f>底稿目录!A5</f>
        <v>编制日期：</v>
      </c>
      <c r="G3" s="82"/>
      <c r="H3" s="82" t="s">
        <v>39</v>
      </c>
      <c r="I3" s="222" t="str">
        <f>底稿目录!F4</f>
        <v>M8A</v>
      </c>
    </row>
    <row r="4" spans="1:12" ht="19.95" customHeight="1">
      <c r="A4" s="82" t="str">
        <f>底稿目录!A3</f>
        <v>截止日：202X年12月31日</v>
      </c>
      <c r="B4" s="82"/>
      <c r="C4" s="83" t="str">
        <f>底稿目录!A6</f>
        <v>复核人：</v>
      </c>
      <c r="E4" s="82" t="str">
        <f>底稿目录!A7</f>
        <v>复核日期：</v>
      </c>
      <c r="G4" s="82"/>
      <c r="H4" s="86" t="s">
        <v>41</v>
      </c>
      <c r="I4" s="85"/>
    </row>
    <row r="5" spans="1:12" ht="19.95" customHeight="1">
      <c r="A5" s="247" t="s">
        <v>42</v>
      </c>
      <c r="B5" s="247"/>
      <c r="C5" s="82"/>
      <c r="D5" s="84"/>
      <c r="E5" s="82"/>
      <c r="F5" s="82"/>
      <c r="G5" s="82"/>
      <c r="H5" s="82"/>
      <c r="I5" s="82"/>
    </row>
    <row r="6" spans="1:12" ht="19.95" customHeight="1">
      <c r="A6" s="87" t="s">
        <v>43</v>
      </c>
      <c r="C6" s="82"/>
      <c r="D6" s="84"/>
      <c r="E6" s="82"/>
      <c r="F6" s="82"/>
      <c r="G6" s="82"/>
      <c r="H6" s="82"/>
      <c r="I6" s="82"/>
    </row>
    <row r="7" spans="1:12" ht="19.95" customHeight="1">
      <c r="A7" s="150" t="s">
        <v>127</v>
      </c>
      <c r="B7" s="89"/>
      <c r="C7" s="89"/>
      <c r="D7" s="84"/>
      <c r="E7" s="82"/>
      <c r="F7" s="82"/>
      <c r="G7" s="82"/>
      <c r="H7" s="82"/>
      <c r="I7" s="82"/>
      <c r="J7" s="90"/>
      <c r="K7" s="90"/>
    </row>
    <row r="8" spans="1:12" ht="19.95" customHeight="1">
      <c r="A8" s="248" t="s">
        <v>128</v>
      </c>
      <c r="B8" s="248"/>
      <c r="C8" s="248"/>
      <c r="D8" s="248"/>
      <c r="E8" s="248"/>
      <c r="F8" s="248"/>
      <c r="G8" s="255" t="s">
        <v>46</v>
      </c>
      <c r="H8" s="255"/>
      <c r="I8" s="255"/>
      <c r="J8" s="90"/>
      <c r="K8" s="90"/>
    </row>
    <row r="9" spans="1:12" ht="19.95" customHeight="1">
      <c r="A9" s="249" t="s">
        <v>139</v>
      </c>
      <c r="B9" s="249"/>
      <c r="C9" s="249"/>
      <c r="D9" s="249"/>
      <c r="E9" s="249"/>
      <c r="F9" s="249"/>
      <c r="G9" s="254" t="s">
        <v>275</v>
      </c>
      <c r="H9" s="254"/>
      <c r="I9" s="254"/>
      <c r="J9" s="90"/>
      <c r="K9" s="90"/>
    </row>
    <row r="10" spans="1:12" ht="19.95" customHeight="1">
      <c r="A10" s="249" t="s">
        <v>278</v>
      </c>
      <c r="B10" s="249"/>
      <c r="C10" s="249"/>
      <c r="D10" s="249"/>
      <c r="E10" s="249"/>
      <c r="F10" s="249"/>
      <c r="G10" s="254" t="s">
        <v>276</v>
      </c>
      <c r="H10" s="254"/>
      <c r="I10" s="254"/>
      <c r="J10" s="90"/>
      <c r="K10" s="90"/>
    </row>
    <row r="11" spans="1:12" ht="19.95" customHeight="1">
      <c r="A11" s="249" t="s">
        <v>140</v>
      </c>
      <c r="B11" s="249"/>
      <c r="C11" s="249"/>
      <c r="D11" s="249"/>
      <c r="E11" s="249"/>
      <c r="F11" s="249"/>
      <c r="G11" s="254" t="s">
        <v>277</v>
      </c>
      <c r="H11" s="254"/>
      <c r="I11" s="254"/>
      <c r="J11" s="90"/>
      <c r="K11" s="90"/>
    </row>
    <row r="12" spans="1:12" ht="19.95" customHeight="1">
      <c r="A12" s="249" t="s">
        <v>141</v>
      </c>
      <c r="B12" s="249"/>
      <c r="C12" s="249"/>
      <c r="D12" s="249"/>
      <c r="E12" s="249"/>
      <c r="F12" s="249"/>
      <c r="G12" s="254" t="s">
        <v>274</v>
      </c>
      <c r="H12" s="254"/>
      <c r="I12" s="254"/>
      <c r="J12" s="90"/>
      <c r="K12" s="90"/>
    </row>
    <row r="13" spans="1:12" ht="19.95" customHeight="1">
      <c r="A13" s="249" t="s">
        <v>279</v>
      </c>
      <c r="B13" s="249"/>
      <c r="C13" s="249"/>
      <c r="D13" s="249"/>
      <c r="E13" s="249"/>
      <c r="F13" s="249"/>
      <c r="G13" s="254" t="s">
        <v>132</v>
      </c>
      <c r="H13" s="254"/>
      <c r="I13" s="254"/>
      <c r="J13" s="90"/>
      <c r="K13" s="90"/>
    </row>
    <row r="14" spans="1:12" ht="19.95" customHeight="1">
      <c r="A14" s="88" t="s">
        <v>59</v>
      </c>
      <c r="J14" s="236"/>
      <c r="K14" s="237"/>
      <c r="L14" s="237"/>
    </row>
    <row r="15" spans="1:12" ht="19.95" customHeight="1">
      <c r="A15" s="250" t="s">
        <v>60</v>
      </c>
      <c r="B15" s="248" t="s">
        <v>286</v>
      </c>
      <c r="C15" s="251" t="s">
        <v>62</v>
      </c>
      <c r="D15" s="252" t="s">
        <v>134</v>
      </c>
      <c r="E15" s="252"/>
      <c r="F15" s="252"/>
      <c r="G15" s="252"/>
      <c r="H15" s="252"/>
      <c r="I15" s="253" t="s">
        <v>133</v>
      </c>
      <c r="J15" s="105"/>
      <c r="K15" s="105"/>
      <c r="L15" s="105"/>
    </row>
    <row r="16" spans="1:12" ht="35.4" customHeight="1">
      <c r="A16" s="250"/>
      <c r="B16" s="248"/>
      <c r="C16" s="251"/>
      <c r="D16" s="211" t="s">
        <v>129</v>
      </c>
      <c r="E16" s="211" t="s">
        <v>130</v>
      </c>
      <c r="F16" s="234" t="s">
        <v>131</v>
      </c>
      <c r="G16" s="234" t="s">
        <v>135</v>
      </c>
      <c r="H16" s="234" t="s">
        <v>132</v>
      </c>
      <c r="I16" s="253"/>
      <c r="J16" s="238" t="s">
        <v>285</v>
      </c>
      <c r="K16" s="108"/>
      <c r="L16" s="109"/>
    </row>
    <row r="17" spans="1:12" ht="40.799999999999997" customHeight="1">
      <c r="A17" s="239">
        <v>1</v>
      </c>
      <c r="B17" s="210" t="s">
        <v>246</v>
      </c>
      <c r="C17" s="112" t="s">
        <v>247</v>
      </c>
      <c r="D17" s="151" t="s">
        <v>251</v>
      </c>
      <c r="E17" s="151" t="s">
        <v>251</v>
      </c>
      <c r="F17" s="152"/>
      <c r="G17" s="152" t="s">
        <v>251</v>
      </c>
      <c r="H17" s="231"/>
      <c r="I17" s="230" t="s">
        <v>255</v>
      </c>
      <c r="J17" s="110"/>
      <c r="K17" s="110"/>
      <c r="L17" s="109"/>
    </row>
    <row r="18" spans="1:12" ht="63" customHeight="1">
      <c r="A18" s="239">
        <v>2</v>
      </c>
      <c r="B18" s="232" t="s">
        <v>248</v>
      </c>
      <c r="C18" s="112" t="s">
        <v>247</v>
      </c>
      <c r="D18" s="151"/>
      <c r="E18" s="152" t="s">
        <v>136</v>
      </c>
      <c r="F18" s="153"/>
      <c r="G18" s="151" t="s">
        <v>136</v>
      </c>
      <c r="H18" s="153"/>
      <c r="I18" s="228" t="s">
        <v>256</v>
      </c>
      <c r="J18" s="164" t="s">
        <v>152</v>
      </c>
      <c r="K18" s="110"/>
      <c r="L18" s="109"/>
    </row>
    <row r="19" spans="1:12" ht="43.8" customHeight="1">
      <c r="A19" s="239">
        <v>3</v>
      </c>
      <c r="B19" s="210" t="s">
        <v>250</v>
      </c>
      <c r="C19" s="119" t="s">
        <v>98</v>
      </c>
      <c r="D19" s="207" t="s">
        <v>136</v>
      </c>
      <c r="E19" s="208" t="s">
        <v>136</v>
      </c>
      <c r="F19" s="208" t="s">
        <v>136</v>
      </c>
      <c r="G19" s="208" t="s">
        <v>136</v>
      </c>
      <c r="H19" s="153"/>
      <c r="I19" s="240"/>
      <c r="J19" s="164" t="s">
        <v>153</v>
      </c>
      <c r="K19" s="110"/>
      <c r="L19" s="109"/>
    </row>
    <row r="20" spans="1:12" ht="42" customHeight="1">
      <c r="A20" s="239">
        <v>4</v>
      </c>
      <c r="B20" s="209" t="s">
        <v>249</v>
      </c>
      <c r="C20" s="112" t="s">
        <v>247</v>
      </c>
      <c r="D20" s="151" t="s">
        <v>136</v>
      </c>
      <c r="E20" s="152" t="s">
        <v>136</v>
      </c>
      <c r="F20" s="207" t="s">
        <v>136</v>
      </c>
      <c r="G20" s="207" t="s">
        <v>252</v>
      </c>
      <c r="H20" s="208" t="s">
        <v>136</v>
      </c>
      <c r="I20" s="240" t="s">
        <v>257</v>
      </c>
      <c r="J20" s="110"/>
      <c r="K20" s="110"/>
      <c r="L20" s="109"/>
    </row>
    <row r="21" spans="1:12" ht="30" customHeight="1">
      <c r="A21" s="239">
        <v>5</v>
      </c>
      <c r="B21" s="241" t="s">
        <v>138</v>
      </c>
      <c r="C21" s="154" t="s">
        <v>137</v>
      </c>
      <c r="D21" s="151"/>
      <c r="E21" s="151"/>
      <c r="F21" s="153"/>
      <c r="G21" s="151"/>
      <c r="H21" s="151" t="s">
        <v>136</v>
      </c>
      <c r="I21" s="163" t="s">
        <v>151</v>
      </c>
      <c r="J21" s="110"/>
      <c r="K21" s="110"/>
      <c r="L21" s="109"/>
    </row>
    <row r="22" spans="1:12" ht="28.5" customHeight="1"/>
  </sheetData>
  <mergeCells count="20">
    <mergeCell ref="G13:I13"/>
    <mergeCell ref="A10:F10"/>
    <mergeCell ref="A11:F11"/>
    <mergeCell ref="A12:F12"/>
    <mergeCell ref="A13:F13"/>
    <mergeCell ref="G10:I10"/>
    <mergeCell ref="G11:I11"/>
    <mergeCell ref="G12:I12"/>
    <mergeCell ref="A15:A16"/>
    <mergeCell ref="B15:B16"/>
    <mergeCell ref="C15:C16"/>
    <mergeCell ref="D15:H15"/>
    <mergeCell ref="I15:I16"/>
    <mergeCell ref="A1:I1"/>
    <mergeCell ref="A2:I2"/>
    <mergeCell ref="A5:B5"/>
    <mergeCell ref="A8:F8"/>
    <mergeCell ref="A9:F9"/>
    <mergeCell ref="G8:I8"/>
    <mergeCell ref="G9:I9"/>
  </mergeCells>
  <phoneticPr fontId="18"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M40"/>
  <sheetViews>
    <sheetView view="pageBreakPreview" topLeftCell="A30" zoomScaleNormal="110" zoomScaleSheetLayoutView="100" workbookViewId="0">
      <selection activeCell="B37" sqref="B37:C37"/>
    </sheetView>
  </sheetViews>
  <sheetFormatPr defaultColWidth="9" defaultRowHeight="13.8" outlineLevelRow="1"/>
  <cols>
    <col min="1" max="1" width="7.796875" style="81" customWidth="1"/>
    <col min="2" max="2" width="42.796875" style="81" customWidth="1"/>
    <col min="3" max="3" width="16.59765625" style="81" customWidth="1"/>
    <col min="4" max="4" width="5.19921875" style="99" customWidth="1"/>
    <col min="5" max="5" width="5.59765625" style="81" customWidth="1"/>
    <col min="6" max="6" width="5.69921875" style="81" customWidth="1"/>
    <col min="7" max="7" width="4.296875" style="81" customWidth="1"/>
    <col min="8" max="8" width="11.19921875" style="81" customWidth="1"/>
    <col min="9" max="9" width="11" style="81" customWidth="1"/>
    <col min="10" max="10" width="8.19921875" style="100" customWidth="1"/>
    <col min="11" max="11" width="13.5" style="80" customWidth="1"/>
    <col min="12" max="12" width="32.59765625" style="80" customWidth="1"/>
    <col min="13" max="16384" width="9" style="81"/>
  </cols>
  <sheetData>
    <row r="1" spans="1:13" ht="15.6">
      <c r="A1" s="244" t="s">
        <v>37</v>
      </c>
      <c r="B1" s="244"/>
      <c r="C1" s="244"/>
      <c r="D1" s="244"/>
      <c r="E1" s="244"/>
      <c r="F1" s="244"/>
      <c r="G1" s="244"/>
      <c r="H1" s="244"/>
      <c r="I1" s="244"/>
      <c r="J1" s="244"/>
    </row>
    <row r="2" spans="1:13" ht="24" customHeight="1">
      <c r="A2" s="245" t="s">
        <v>38</v>
      </c>
      <c r="B2" s="246"/>
      <c r="C2" s="246"/>
      <c r="D2" s="246"/>
      <c r="E2" s="246"/>
      <c r="F2" s="246"/>
      <c r="G2" s="246"/>
      <c r="H2" s="246"/>
      <c r="I2" s="246"/>
      <c r="J2" s="246"/>
    </row>
    <row r="3" spans="1:13" ht="20.25" customHeight="1">
      <c r="A3" s="82" t="str">
        <f>底稿目录!A2</f>
        <v>被审计单位：</v>
      </c>
      <c r="B3" s="82"/>
      <c r="C3" s="83" t="str">
        <f>底稿目录!A4</f>
        <v>编制人：</v>
      </c>
      <c r="D3" s="84"/>
      <c r="F3" s="82" t="str">
        <f>底稿目录!A5</f>
        <v>编制日期：</v>
      </c>
      <c r="G3" s="82"/>
      <c r="H3" s="82"/>
      <c r="I3" s="82" t="s">
        <v>39</v>
      </c>
      <c r="J3" s="85" t="s">
        <v>40</v>
      </c>
    </row>
    <row r="4" spans="1:13" ht="20.25" customHeight="1">
      <c r="A4" s="82" t="str">
        <f>底稿目录!A3</f>
        <v>截止日：202X年12月31日</v>
      </c>
      <c r="B4" s="82"/>
      <c r="C4" s="83" t="str">
        <f>底稿目录!A6</f>
        <v>复核人：</v>
      </c>
      <c r="D4" s="84"/>
      <c r="F4" s="82" t="str">
        <f>底稿目录!A7</f>
        <v>复核日期：</v>
      </c>
      <c r="G4" s="82"/>
      <c r="H4" s="82"/>
      <c r="I4" s="86" t="s">
        <v>41</v>
      </c>
      <c r="J4" s="85"/>
    </row>
    <row r="5" spans="1:13" ht="20.25" customHeight="1">
      <c r="A5" s="247" t="s">
        <v>42</v>
      </c>
      <c r="B5" s="247"/>
      <c r="C5" s="82"/>
      <c r="D5" s="84"/>
      <c r="E5" s="82"/>
      <c r="F5" s="82"/>
      <c r="G5" s="82"/>
      <c r="H5" s="82"/>
      <c r="I5" s="82"/>
      <c r="J5" s="85"/>
    </row>
    <row r="6" spans="1:13" ht="20.25" customHeight="1">
      <c r="A6" s="87" t="s">
        <v>43</v>
      </c>
      <c r="C6" s="82"/>
      <c r="D6" s="84"/>
      <c r="E6" s="82"/>
      <c r="F6" s="82"/>
      <c r="G6" s="82"/>
      <c r="H6" s="82"/>
      <c r="I6" s="82"/>
      <c r="J6" s="85"/>
    </row>
    <row r="7" spans="1:13" ht="20.25" customHeight="1">
      <c r="A7" s="88" t="s">
        <v>44</v>
      </c>
      <c r="B7" s="89"/>
      <c r="C7" s="89"/>
      <c r="D7" s="84"/>
      <c r="E7" s="82"/>
      <c r="F7" s="82"/>
      <c r="G7" s="82"/>
      <c r="H7" s="82"/>
      <c r="I7" s="82"/>
      <c r="J7" s="85"/>
      <c r="K7" s="90"/>
      <c r="L7" s="90"/>
    </row>
    <row r="8" spans="1:13" ht="26.25" customHeight="1">
      <c r="A8" s="256" t="s">
        <v>45</v>
      </c>
      <c r="B8" s="256"/>
      <c r="C8" s="257" t="s">
        <v>46</v>
      </c>
      <c r="D8" s="258"/>
      <c r="E8" s="258"/>
      <c r="F8" s="258"/>
      <c r="G8" s="259"/>
      <c r="H8" s="91" t="s">
        <v>47</v>
      </c>
      <c r="I8" s="92" t="s">
        <v>48</v>
      </c>
      <c r="J8" s="260"/>
      <c r="K8" s="90"/>
      <c r="L8" s="90"/>
    </row>
    <row r="9" spans="1:13" ht="30.75" customHeight="1">
      <c r="A9" s="256"/>
      <c r="B9" s="256"/>
      <c r="C9" s="92" t="s">
        <v>49</v>
      </c>
      <c r="D9" s="92" t="s">
        <v>50</v>
      </c>
      <c r="E9" s="92" t="s">
        <v>51</v>
      </c>
      <c r="F9" s="92" t="s">
        <v>52</v>
      </c>
      <c r="G9" s="92" t="s">
        <v>53</v>
      </c>
      <c r="H9" s="92"/>
      <c r="I9" s="92"/>
      <c r="J9" s="261"/>
      <c r="K9" s="90"/>
      <c r="L9" s="90"/>
    </row>
    <row r="10" spans="1:13" ht="23.25" customHeight="1">
      <c r="A10" s="262" t="s">
        <v>54</v>
      </c>
      <c r="B10" s="262"/>
      <c r="C10" s="92" t="s">
        <v>55</v>
      </c>
      <c r="D10" s="92"/>
      <c r="E10" s="92"/>
      <c r="F10" s="92"/>
      <c r="G10" s="92"/>
      <c r="H10" s="92"/>
      <c r="I10" s="93"/>
      <c r="J10" s="94"/>
      <c r="K10" s="90"/>
      <c r="L10" s="90"/>
    </row>
    <row r="11" spans="1:13" ht="31.5" customHeight="1">
      <c r="A11" s="263" t="s">
        <v>56</v>
      </c>
      <c r="B11" s="264"/>
      <c r="C11" s="95"/>
      <c r="D11" s="92" t="s">
        <v>55</v>
      </c>
      <c r="E11" s="92"/>
      <c r="F11" s="92"/>
      <c r="G11" s="92"/>
      <c r="H11" s="92"/>
      <c r="I11" s="93"/>
      <c r="J11" s="94"/>
      <c r="K11" s="90"/>
      <c r="L11" s="90"/>
    </row>
    <row r="12" spans="1:13" ht="25.5" customHeight="1">
      <c r="A12" s="263" t="s">
        <v>57</v>
      </c>
      <c r="B12" s="264"/>
      <c r="C12" s="95"/>
      <c r="D12" s="92"/>
      <c r="E12" s="92"/>
      <c r="F12" s="92" t="s">
        <v>55</v>
      </c>
      <c r="G12" s="92"/>
      <c r="H12" s="92"/>
      <c r="I12" s="93"/>
      <c r="J12" s="96"/>
      <c r="K12" s="90"/>
      <c r="L12" s="90"/>
    </row>
    <row r="13" spans="1:13" ht="25.5" customHeight="1">
      <c r="A13" s="263" t="s">
        <v>58</v>
      </c>
      <c r="B13" s="264"/>
      <c r="C13" s="95"/>
      <c r="D13" s="92"/>
      <c r="E13" s="92"/>
      <c r="F13" s="92"/>
      <c r="G13" s="92" t="s">
        <v>55</v>
      </c>
      <c r="H13" s="92"/>
      <c r="I13" s="92"/>
      <c r="J13" s="96"/>
      <c r="K13" s="90"/>
      <c r="L13" s="90"/>
    </row>
    <row r="14" spans="1:13" ht="25.5" customHeight="1">
      <c r="A14" s="97"/>
      <c r="B14" s="97"/>
      <c r="C14" s="97"/>
      <c r="D14" s="98"/>
      <c r="E14" s="98"/>
      <c r="F14" s="98"/>
      <c r="G14" s="98"/>
      <c r="H14" s="98"/>
      <c r="I14" s="96"/>
      <c r="J14" s="96"/>
      <c r="K14" s="90"/>
      <c r="L14" s="90"/>
    </row>
    <row r="15" spans="1:13" ht="20.25" customHeight="1">
      <c r="A15" s="88" t="s">
        <v>59</v>
      </c>
      <c r="K15" s="101"/>
      <c r="L15" s="102"/>
      <c r="M15" s="102"/>
    </row>
    <row r="16" spans="1:13" ht="28.5" customHeight="1">
      <c r="A16" s="103" t="s">
        <v>60</v>
      </c>
      <c r="B16" s="253" t="s">
        <v>61</v>
      </c>
      <c r="C16" s="251"/>
      <c r="D16" s="104" t="s">
        <v>62</v>
      </c>
      <c r="E16" s="273" t="s">
        <v>63</v>
      </c>
      <c r="F16" s="273"/>
      <c r="G16" s="273"/>
      <c r="H16" s="273"/>
      <c r="I16" s="251" t="s">
        <v>64</v>
      </c>
      <c r="J16" s="251"/>
      <c r="K16" s="105"/>
      <c r="L16" s="105"/>
      <c r="M16" s="105"/>
    </row>
    <row r="17" spans="1:13" ht="28.5" customHeight="1">
      <c r="A17" s="106" t="s">
        <v>65</v>
      </c>
      <c r="B17" s="265" t="s">
        <v>66</v>
      </c>
      <c r="C17" s="266"/>
      <c r="D17" s="107" t="s">
        <v>67</v>
      </c>
      <c r="E17" s="267" t="s">
        <v>68</v>
      </c>
      <c r="F17" s="268"/>
      <c r="G17" s="268"/>
      <c r="H17" s="268"/>
      <c r="I17" s="269" t="s">
        <v>69</v>
      </c>
      <c r="J17" s="270"/>
      <c r="K17" s="168" t="s">
        <v>155</v>
      </c>
      <c r="L17" s="303" t="s">
        <v>246</v>
      </c>
      <c r="M17" s="303"/>
    </row>
    <row r="18" spans="1:13" ht="43.5" customHeight="1">
      <c r="A18" s="106" t="s">
        <v>70</v>
      </c>
      <c r="B18" s="271" t="s">
        <v>71</v>
      </c>
      <c r="C18" s="266"/>
      <c r="D18" s="107" t="s">
        <v>67</v>
      </c>
      <c r="E18" s="272" t="s">
        <v>72</v>
      </c>
      <c r="F18" s="272"/>
      <c r="G18" s="272"/>
      <c r="H18" s="272"/>
      <c r="I18" s="269" t="s">
        <v>73</v>
      </c>
      <c r="J18" s="270"/>
      <c r="K18" s="168" t="s">
        <v>155</v>
      </c>
      <c r="L18" s="304"/>
      <c r="M18" s="304"/>
    </row>
    <row r="19" spans="1:13" ht="24.75" customHeight="1" outlineLevel="1">
      <c r="A19" s="111" t="s">
        <v>74</v>
      </c>
      <c r="B19" s="274" t="s">
        <v>75</v>
      </c>
      <c r="C19" s="275"/>
      <c r="D19" s="112" t="s">
        <v>67</v>
      </c>
      <c r="E19" s="276" t="s">
        <v>76</v>
      </c>
      <c r="F19" s="276"/>
      <c r="G19" s="276"/>
      <c r="H19" s="276"/>
      <c r="I19" s="277"/>
      <c r="J19" s="278"/>
      <c r="K19" s="168" t="s">
        <v>155</v>
      </c>
      <c r="L19" s="304"/>
      <c r="M19" s="304"/>
    </row>
    <row r="20" spans="1:13" ht="24.75" customHeight="1" outlineLevel="1">
      <c r="A20" s="111" t="s">
        <v>77</v>
      </c>
      <c r="B20" s="274" t="s">
        <v>78</v>
      </c>
      <c r="C20" s="275"/>
      <c r="D20" s="112" t="s">
        <v>67</v>
      </c>
      <c r="E20" s="276" t="s">
        <v>76</v>
      </c>
      <c r="F20" s="276"/>
      <c r="G20" s="276"/>
      <c r="H20" s="276"/>
      <c r="I20" s="277"/>
      <c r="J20" s="278"/>
      <c r="K20" s="168" t="s">
        <v>155</v>
      </c>
      <c r="L20" s="304"/>
      <c r="M20" s="304"/>
    </row>
    <row r="21" spans="1:13" ht="21.75" customHeight="1" outlineLevel="1">
      <c r="A21" s="111" t="s">
        <v>79</v>
      </c>
      <c r="B21" s="279" t="s">
        <v>80</v>
      </c>
      <c r="C21" s="280"/>
      <c r="D21" s="113" t="s">
        <v>81</v>
      </c>
      <c r="E21" s="281" t="s">
        <v>76</v>
      </c>
      <c r="F21" s="282"/>
      <c r="G21" s="282"/>
      <c r="H21" s="283"/>
      <c r="I21" s="277"/>
      <c r="J21" s="278"/>
      <c r="K21" s="168" t="s">
        <v>155</v>
      </c>
      <c r="L21" s="304"/>
      <c r="M21" s="304"/>
    </row>
    <row r="22" spans="1:13" ht="21.75" customHeight="1" outlineLevel="1">
      <c r="A22" s="111" t="s">
        <v>82</v>
      </c>
      <c r="B22" s="279" t="s">
        <v>83</v>
      </c>
      <c r="C22" s="280"/>
      <c r="D22" s="113" t="s">
        <v>81</v>
      </c>
      <c r="E22" s="281" t="s">
        <v>76</v>
      </c>
      <c r="F22" s="282"/>
      <c r="G22" s="282"/>
      <c r="H22" s="283"/>
      <c r="I22" s="277"/>
      <c r="J22" s="278"/>
      <c r="K22" s="168" t="s">
        <v>155</v>
      </c>
      <c r="L22" s="304"/>
      <c r="M22" s="304"/>
    </row>
    <row r="23" spans="1:13" ht="21.75" customHeight="1" outlineLevel="1">
      <c r="A23" s="111" t="s">
        <v>84</v>
      </c>
      <c r="B23" s="284" t="s">
        <v>85</v>
      </c>
      <c r="C23" s="280"/>
      <c r="D23" s="113" t="s">
        <v>81</v>
      </c>
      <c r="E23" s="281" t="s">
        <v>76</v>
      </c>
      <c r="F23" s="282"/>
      <c r="G23" s="282"/>
      <c r="H23" s="283"/>
      <c r="I23" s="277"/>
      <c r="J23" s="278"/>
      <c r="K23" s="168" t="s">
        <v>155</v>
      </c>
      <c r="L23" s="304"/>
      <c r="M23" s="304"/>
    </row>
    <row r="24" spans="1:13" ht="21.75" customHeight="1" outlineLevel="1">
      <c r="A24" s="111" t="s">
        <v>86</v>
      </c>
      <c r="B24" s="285" t="s">
        <v>87</v>
      </c>
      <c r="C24" s="275"/>
      <c r="D24" s="112" t="s">
        <v>67</v>
      </c>
      <c r="E24" s="281" t="s">
        <v>76</v>
      </c>
      <c r="F24" s="282"/>
      <c r="G24" s="282"/>
      <c r="H24" s="283"/>
      <c r="I24" s="277"/>
      <c r="J24" s="278"/>
      <c r="K24" s="168" t="s">
        <v>155</v>
      </c>
      <c r="L24" s="304"/>
      <c r="M24" s="304"/>
    </row>
    <row r="25" spans="1:13" ht="27" customHeight="1">
      <c r="A25" s="114" t="s">
        <v>88</v>
      </c>
      <c r="B25" s="286" t="s">
        <v>89</v>
      </c>
      <c r="C25" s="287"/>
      <c r="D25" s="107" t="s">
        <v>90</v>
      </c>
      <c r="E25" s="288" t="s">
        <v>68</v>
      </c>
      <c r="F25" s="289"/>
      <c r="G25" s="289"/>
      <c r="H25" s="290"/>
      <c r="I25" s="288" t="s">
        <v>91</v>
      </c>
      <c r="J25" s="290"/>
      <c r="K25" s="168" t="s">
        <v>156</v>
      </c>
      <c r="L25" s="305" t="s">
        <v>248</v>
      </c>
      <c r="M25" s="305"/>
    </row>
    <row r="26" spans="1:13" ht="27" customHeight="1" outlineLevel="1">
      <c r="A26" s="115" t="s">
        <v>92</v>
      </c>
      <c r="B26" s="291" t="s">
        <v>93</v>
      </c>
      <c r="C26" s="292"/>
      <c r="D26" s="112"/>
      <c r="E26" s="281"/>
      <c r="F26" s="282"/>
      <c r="G26" s="282"/>
      <c r="H26" s="283"/>
      <c r="I26" s="277"/>
      <c r="J26" s="278"/>
      <c r="K26" s="168" t="s">
        <v>156</v>
      </c>
      <c r="L26" s="306"/>
      <c r="M26" s="306"/>
    </row>
    <row r="27" spans="1:13" ht="27" customHeight="1" outlineLevel="1">
      <c r="A27" s="115" t="s">
        <v>94</v>
      </c>
      <c r="B27" s="291" t="s">
        <v>95</v>
      </c>
      <c r="C27" s="292"/>
      <c r="D27" s="112"/>
      <c r="E27" s="281"/>
      <c r="F27" s="282"/>
      <c r="G27" s="282"/>
      <c r="H27" s="283"/>
      <c r="I27" s="277"/>
      <c r="J27" s="278"/>
      <c r="K27" s="168" t="s">
        <v>156</v>
      </c>
      <c r="L27" s="306"/>
      <c r="M27" s="306"/>
    </row>
    <row r="28" spans="1:13" ht="34.5" customHeight="1">
      <c r="A28" s="116" t="s">
        <v>96</v>
      </c>
      <c r="B28" s="293" t="s">
        <v>97</v>
      </c>
      <c r="C28" s="294"/>
      <c r="D28" s="117" t="s">
        <v>98</v>
      </c>
      <c r="E28" s="272" t="s">
        <v>99</v>
      </c>
      <c r="F28" s="272"/>
      <c r="G28" s="272"/>
      <c r="H28" s="272"/>
      <c r="I28" s="269" t="s">
        <v>73</v>
      </c>
      <c r="J28" s="270"/>
      <c r="K28" s="168" t="s">
        <v>156</v>
      </c>
      <c r="L28" s="303" t="s">
        <v>250</v>
      </c>
      <c r="M28" s="303"/>
    </row>
    <row r="29" spans="1:13" ht="28.5" customHeight="1" outlineLevel="1">
      <c r="A29" s="118" t="s">
        <v>74</v>
      </c>
      <c r="B29" s="280" t="s">
        <v>100</v>
      </c>
      <c r="C29" s="280"/>
      <c r="D29" s="119" t="s">
        <v>98</v>
      </c>
      <c r="E29" s="276" t="s">
        <v>101</v>
      </c>
      <c r="F29" s="276"/>
      <c r="G29" s="276"/>
      <c r="H29" s="276"/>
      <c r="I29" s="277"/>
      <c r="J29" s="278"/>
      <c r="K29" s="168" t="s">
        <v>156</v>
      </c>
      <c r="L29" s="304"/>
      <c r="M29" s="304"/>
    </row>
    <row r="30" spans="1:13" ht="28.5" customHeight="1" outlineLevel="1">
      <c r="A30" s="118" t="s">
        <v>77</v>
      </c>
      <c r="B30" s="295" t="s">
        <v>102</v>
      </c>
      <c r="C30" s="280"/>
      <c r="D30" s="119" t="s">
        <v>98</v>
      </c>
      <c r="E30" s="276" t="s">
        <v>101</v>
      </c>
      <c r="F30" s="276"/>
      <c r="G30" s="276"/>
      <c r="H30" s="276"/>
      <c r="I30" s="277"/>
      <c r="J30" s="278"/>
      <c r="K30" s="168" t="s">
        <v>156</v>
      </c>
      <c r="L30" s="304"/>
      <c r="M30" s="304"/>
    </row>
    <row r="31" spans="1:13" ht="44.25" customHeight="1">
      <c r="A31" s="120" t="s">
        <v>103</v>
      </c>
      <c r="B31" s="296" t="s">
        <v>104</v>
      </c>
      <c r="C31" s="296"/>
      <c r="D31" s="117" t="s">
        <v>105</v>
      </c>
      <c r="E31" s="297" t="s">
        <v>101</v>
      </c>
      <c r="F31" s="297"/>
      <c r="G31" s="297"/>
      <c r="H31" s="297"/>
      <c r="I31" s="269" t="s">
        <v>106</v>
      </c>
      <c r="J31" s="270"/>
      <c r="K31" s="168" t="s">
        <v>253</v>
      </c>
      <c r="L31" s="110"/>
      <c r="M31" s="109"/>
    </row>
    <row r="32" spans="1:13" ht="44.25" customHeight="1" outlineLevel="1">
      <c r="A32" s="121" t="s">
        <v>74</v>
      </c>
      <c r="B32" s="298" t="s">
        <v>107</v>
      </c>
      <c r="C32" s="299"/>
      <c r="D32" s="119" t="s">
        <v>105</v>
      </c>
      <c r="E32" s="300" t="s">
        <v>101</v>
      </c>
      <c r="F32" s="300"/>
      <c r="G32" s="300"/>
      <c r="H32" s="300"/>
      <c r="I32" s="277"/>
      <c r="J32" s="278"/>
      <c r="K32" s="168" t="s">
        <v>253</v>
      </c>
      <c r="L32" s="110"/>
      <c r="M32" s="109"/>
    </row>
    <row r="33" spans="1:13" ht="42.75" customHeight="1" outlineLevel="1">
      <c r="A33" s="121" t="s">
        <v>77</v>
      </c>
      <c r="B33" s="299" t="s">
        <v>108</v>
      </c>
      <c r="C33" s="299"/>
      <c r="D33" s="119" t="s">
        <v>105</v>
      </c>
      <c r="E33" s="281" t="s">
        <v>101</v>
      </c>
      <c r="F33" s="282"/>
      <c r="G33" s="282"/>
      <c r="H33" s="283"/>
      <c r="I33" s="277"/>
      <c r="J33" s="278"/>
      <c r="K33" s="168" t="s">
        <v>253</v>
      </c>
      <c r="L33" s="110"/>
      <c r="M33" s="109"/>
    </row>
    <row r="34" spans="1:13" ht="49.5" customHeight="1">
      <c r="A34" s="106" t="s">
        <v>109</v>
      </c>
      <c r="B34" s="271" t="s">
        <v>110</v>
      </c>
      <c r="C34" s="266"/>
      <c r="D34" s="107" t="s">
        <v>67</v>
      </c>
      <c r="E34" s="272" t="s">
        <v>101</v>
      </c>
      <c r="F34" s="272"/>
      <c r="G34" s="272"/>
      <c r="H34" s="272"/>
      <c r="I34" s="269" t="s">
        <v>106</v>
      </c>
      <c r="J34" s="270"/>
      <c r="K34" s="168" t="s">
        <v>254</v>
      </c>
      <c r="L34" s="301" t="s">
        <v>249</v>
      </c>
      <c r="M34" s="301"/>
    </row>
    <row r="35" spans="1:13" ht="33.75" customHeight="1" outlineLevel="1">
      <c r="A35" s="111" t="s">
        <v>74</v>
      </c>
      <c r="B35" s="311" t="s">
        <v>111</v>
      </c>
      <c r="C35" s="275"/>
      <c r="D35" s="112" t="s">
        <v>67</v>
      </c>
      <c r="E35" s="281" t="s">
        <v>101</v>
      </c>
      <c r="F35" s="282"/>
      <c r="G35" s="282"/>
      <c r="H35" s="283"/>
      <c r="I35" s="277"/>
      <c r="J35" s="278"/>
      <c r="K35" s="168" t="s">
        <v>254</v>
      </c>
      <c r="L35" s="302"/>
      <c r="M35" s="302"/>
    </row>
    <row r="36" spans="1:13" ht="33.75" customHeight="1" outlineLevel="1">
      <c r="A36" s="118" t="s">
        <v>77</v>
      </c>
      <c r="B36" s="284" t="s">
        <v>112</v>
      </c>
      <c r="C36" s="280"/>
      <c r="D36" s="113" t="s">
        <v>81</v>
      </c>
      <c r="E36" s="281" t="s">
        <v>101</v>
      </c>
      <c r="F36" s="282"/>
      <c r="G36" s="282"/>
      <c r="H36" s="283"/>
      <c r="I36" s="277"/>
      <c r="J36" s="278"/>
      <c r="K36" s="168" t="s">
        <v>254</v>
      </c>
      <c r="L36" s="302"/>
      <c r="M36" s="302"/>
    </row>
    <row r="37" spans="1:13" ht="43.5" customHeight="1" outlineLevel="1">
      <c r="A37" s="111" t="s">
        <v>79</v>
      </c>
      <c r="B37" s="285" t="s">
        <v>113</v>
      </c>
      <c r="C37" s="275"/>
      <c r="D37" s="112" t="s">
        <v>67</v>
      </c>
      <c r="E37" s="281" t="s">
        <v>101</v>
      </c>
      <c r="F37" s="282"/>
      <c r="G37" s="282"/>
      <c r="H37" s="283"/>
      <c r="I37" s="277"/>
      <c r="J37" s="278"/>
      <c r="K37" s="168" t="s">
        <v>254</v>
      </c>
      <c r="L37" s="302"/>
      <c r="M37" s="302"/>
    </row>
    <row r="38" spans="1:13" ht="33" customHeight="1" outlineLevel="1">
      <c r="A38" s="118" t="s">
        <v>114</v>
      </c>
      <c r="B38" s="295" t="s">
        <v>115</v>
      </c>
      <c r="C38" s="280"/>
      <c r="D38" s="113" t="s">
        <v>81</v>
      </c>
      <c r="E38" s="276" t="s">
        <v>101</v>
      </c>
      <c r="F38" s="276"/>
      <c r="G38" s="276"/>
      <c r="H38" s="276"/>
      <c r="I38" s="277"/>
      <c r="J38" s="278"/>
      <c r="K38" s="168" t="s">
        <v>254</v>
      </c>
      <c r="L38" s="302"/>
      <c r="M38" s="302"/>
    </row>
    <row r="39" spans="1:13" ht="32.25" customHeight="1">
      <c r="A39" s="122" t="s">
        <v>116</v>
      </c>
      <c r="B39" s="307" t="s">
        <v>117</v>
      </c>
      <c r="C39" s="308"/>
      <c r="D39" s="107" t="s">
        <v>67</v>
      </c>
      <c r="E39" s="288" t="s">
        <v>118</v>
      </c>
      <c r="F39" s="289"/>
      <c r="G39" s="289"/>
      <c r="H39" s="290"/>
      <c r="I39" s="309"/>
      <c r="J39" s="310"/>
      <c r="K39" s="168" t="s">
        <v>156</v>
      </c>
    </row>
    <row r="40" spans="1:13" ht="28.5" customHeight="1"/>
  </sheetData>
  <autoFilter ref="A16:J16">
    <filterColumn colId="1" showButton="0"/>
    <filterColumn colId="4" showButton="0"/>
    <filterColumn colId="5" showButton="0"/>
    <filterColumn colId="6" showButton="0"/>
    <filterColumn colId="8" showButton="0"/>
  </autoFilter>
  <mergeCells count="86">
    <mergeCell ref="L34:M38"/>
    <mergeCell ref="L17:M24"/>
    <mergeCell ref="L25:M27"/>
    <mergeCell ref="L28:M30"/>
    <mergeCell ref="B39:C39"/>
    <mergeCell ref="E39:H39"/>
    <mergeCell ref="I39:J39"/>
    <mergeCell ref="B37:C37"/>
    <mergeCell ref="E37:H37"/>
    <mergeCell ref="I37:J37"/>
    <mergeCell ref="B38:C38"/>
    <mergeCell ref="E38:H38"/>
    <mergeCell ref="I38:J38"/>
    <mergeCell ref="B35:C35"/>
    <mergeCell ref="E35:H35"/>
    <mergeCell ref="I35:J35"/>
    <mergeCell ref="B36:C36"/>
    <mergeCell ref="E36:H36"/>
    <mergeCell ref="I36:J36"/>
    <mergeCell ref="B33:C33"/>
    <mergeCell ref="E33:H33"/>
    <mergeCell ref="I33:J33"/>
    <mergeCell ref="B34:C34"/>
    <mergeCell ref="E34:H34"/>
    <mergeCell ref="I34:J34"/>
    <mergeCell ref="B31:C31"/>
    <mergeCell ref="E31:H31"/>
    <mergeCell ref="I31:J31"/>
    <mergeCell ref="B32:C32"/>
    <mergeCell ref="E32:H32"/>
    <mergeCell ref="I32:J32"/>
    <mergeCell ref="B29:C29"/>
    <mergeCell ref="E29:H29"/>
    <mergeCell ref="I29:J29"/>
    <mergeCell ref="B30:C30"/>
    <mergeCell ref="E30:H30"/>
    <mergeCell ref="I30:J30"/>
    <mergeCell ref="B27:C27"/>
    <mergeCell ref="E27:H27"/>
    <mergeCell ref="I27:J27"/>
    <mergeCell ref="B28:C28"/>
    <mergeCell ref="E28:H28"/>
    <mergeCell ref="I28:J28"/>
    <mergeCell ref="B25:C25"/>
    <mergeCell ref="E25:H25"/>
    <mergeCell ref="I25:J25"/>
    <mergeCell ref="B26:C26"/>
    <mergeCell ref="E26:H26"/>
    <mergeCell ref="I26:J26"/>
    <mergeCell ref="B23:C23"/>
    <mergeCell ref="E23:H23"/>
    <mergeCell ref="I23:J23"/>
    <mergeCell ref="B24:C24"/>
    <mergeCell ref="E24:H24"/>
    <mergeCell ref="I24:J24"/>
    <mergeCell ref="B21:C21"/>
    <mergeCell ref="E21:H21"/>
    <mergeCell ref="I21:J21"/>
    <mergeCell ref="B22:C22"/>
    <mergeCell ref="E22:H22"/>
    <mergeCell ref="I22:J22"/>
    <mergeCell ref="B19:C19"/>
    <mergeCell ref="E19:H19"/>
    <mergeCell ref="I19:J19"/>
    <mergeCell ref="B20:C20"/>
    <mergeCell ref="E20:H20"/>
    <mergeCell ref="I20:J20"/>
    <mergeCell ref="I16:J16"/>
    <mergeCell ref="B17:C17"/>
    <mergeCell ref="E17:H17"/>
    <mergeCell ref="I17:J17"/>
    <mergeCell ref="B18:C18"/>
    <mergeCell ref="E18:H18"/>
    <mergeCell ref="I18:J18"/>
    <mergeCell ref="E16:H16"/>
    <mergeCell ref="A10:B10"/>
    <mergeCell ref="A11:B11"/>
    <mergeCell ref="A12:B12"/>
    <mergeCell ref="A13:B13"/>
    <mergeCell ref="B16:C16"/>
    <mergeCell ref="A1:J1"/>
    <mergeCell ref="A2:J2"/>
    <mergeCell ref="A5:B5"/>
    <mergeCell ref="A8:B9"/>
    <mergeCell ref="C8:G8"/>
    <mergeCell ref="J8:J9"/>
  </mergeCells>
  <phoneticPr fontId="18" type="noConversion"/>
  <printOptions horizontalCentered="1"/>
  <pageMargins left="0.47244094488188981" right="0.31496062992125984" top="0.57999999999999996" bottom="0.35" header="0.51181102362204722" footer="0.19685039370078741"/>
  <pageSetup paperSize="9" scale="16" fitToHeight="50" orientation="landscape" blackAndWhite="1" cellComments="atEnd" r:id="rId1"/>
  <headerFooter alignWithMargins="0">
    <oddFooter>&amp;R&amp;10&amp;P/&amp;N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25"/>
  <sheetViews>
    <sheetView view="pageBreakPreview" zoomScaleSheetLayoutView="100" workbookViewId="0">
      <selection sqref="A1:L1"/>
    </sheetView>
  </sheetViews>
  <sheetFormatPr defaultColWidth="9" defaultRowHeight="15.6"/>
  <cols>
    <col min="1" max="1" width="17" style="17" customWidth="1"/>
    <col min="2" max="9" width="11.09765625" style="17" customWidth="1"/>
    <col min="10" max="10" width="9" style="17"/>
    <col min="11" max="11" width="10.59765625" style="17" customWidth="1"/>
    <col min="12" max="12" width="10.796875" style="17" customWidth="1"/>
    <col min="13" max="16384" width="9" style="17"/>
  </cols>
  <sheetData>
    <row r="1" spans="1:12" s="13" customFormat="1" ht="19.95" customHeight="1">
      <c r="A1" s="316" t="s">
        <v>24</v>
      </c>
      <c r="B1" s="316"/>
      <c r="C1" s="316"/>
      <c r="D1" s="316"/>
      <c r="E1" s="316"/>
      <c r="F1" s="316"/>
      <c r="G1" s="316"/>
      <c r="H1" s="316"/>
      <c r="I1" s="316"/>
      <c r="J1" s="316"/>
      <c r="K1" s="316"/>
      <c r="L1" s="316"/>
    </row>
    <row r="2" spans="1:12" s="13" customFormat="1" ht="19.95" customHeight="1">
      <c r="A2" s="317" t="s">
        <v>258</v>
      </c>
      <c r="B2" s="317"/>
      <c r="C2" s="317"/>
      <c r="D2" s="317"/>
      <c r="E2" s="317"/>
      <c r="F2" s="317"/>
      <c r="G2" s="317"/>
      <c r="H2" s="317"/>
      <c r="I2" s="317"/>
      <c r="J2" s="317"/>
      <c r="K2" s="317"/>
      <c r="L2" s="317"/>
    </row>
    <row r="3" spans="1:12" s="15" customFormat="1" ht="19.95" customHeight="1">
      <c r="A3" s="14" t="str">
        <f>底稿目录!A2</f>
        <v>被审计单位：</v>
      </c>
      <c r="B3" s="14"/>
      <c r="C3" s="14"/>
      <c r="D3" s="14" t="str">
        <f>底稿目录!A4</f>
        <v>编制人：</v>
      </c>
      <c r="E3" s="14"/>
      <c r="F3" s="14"/>
      <c r="G3" s="74" t="str">
        <f>底稿目录!A5</f>
        <v>编制日期：</v>
      </c>
      <c r="H3" s="74"/>
      <c r="K3" s="223" t="s">
        <v>39</v>
      </c>
      <c r="L3" s="222" t="str">
        <f>底稿目录!F5</f>
        <v>M8-1</v>
      </c>
    </row>
    <row r="4" spans="1:12" s="15" customFormat="1" ht="19.95" customHeight="1">
      <c r="A4" s="14" t="str">
        <f>底稿目录!A3</f>
        <v>截止日：202X年12月31日</v>
      </c>
      <c r="B4" s="14"/>
      <c r="C4" s="14"/>
      <c r="D4" s="14" t="str">
        <f>底稿目录!A6</f>
        <v>复核人：</v>
      </c>
      <c r="E4" s="14"/>
      <c r="F4" s="14"/>
      <c r="G4" s="74" t="str">
        <f>底稿目录!A7</f>
        <v>复核日期：</v>
      </c>
      <c r="H4" s="74"/>
      <c r="K4" s="224" t="s">
        <v>41</v>
      </c>
      <c r="L4" s="85"/>
    </row>
    <row r="5" spans="1:12" s="15" customFormat="1" ht="25.8" customHeight="1">
      <c r="A5" s="315" t="s">
        <v>30</v>
      </c>
      <c r="B5" s="315" t="s">
        <v>158</v>
      </c>
      <c r="C5" s="315"/>
      <c r="D5" s="315"/>
      <c r="E5" s="315"/>
      <c r="F5" s="318" t="s">
        <v>159</v>
      </c>
      <c r="G5" s="318"/>
      <c r="H5" s="318"/>
      <c r="I5" s="318"/>
      <c r="J5" s="313" t="s">
        <v>160</v>
      </c>
      <c r="K5" s="314"/>
      <c r="L5" s="315" t="s">
        <v>161</v>
      </c>
    </row>
    <row r="6" spans="1:12" s="15" customFormat="1" ht="19.95" customHeight="1">
      <c r="A6" s="315"/>
      <c r="B6" s="161" t="s">
        <v>162</v>
      </c>
      <c r="C6" s="161" t="s">
        <v>163</v>
      </c>
      <c r="D6" s="161" t="s">
        <v>164</v>
      </c>
      <c r="E6" s="161" t="s">
        <v>165</v>
      </c>
      <c r="F6" s="161" t="s">
        <v>162</v>
      </c>
      <c r="G6" s="161" t="s">
        <v>163</v>
      </c>
      <c r="H6" s="161" t="s">
        <v>164</v>
      </c>
      <c r="I6" s="161" t="s">
        <v>165</v>
      </c>
      <c r="J6" s="170" t="s">
        <v>166</v>
      </c>
      <c r="K6" s="169" t="s">
        <v>167</v>
      </c>
      <c r="L6" s="315"/>
    </row>
    <row r="7" spans="1:12" s="15" customFormat="1" ht="19.95" customHeight="1">
      <c r="A7" s="62" t="str">
        <f>'明细表M8-2'!A10</f>
        <v>一般风险准备</v>
      </c>
      <c r="B7" s="155">
        <f>'明细表M8-2'!B10</f>
        <v>0</v>
      </c>
      <c r="C7" s="155">
        <f>'明细表M8-2'!F10</f>
        <v>0</v>
      </c>
      <c r="D7" s="155">
        <f>'明细表M8-2'!G10</f>
        <v>0</v>
      </c>
      <c r="E7" s="155">
        <f>'明细表M8-2'!L10</f>
        <v>0</v>
      </c>
      <c r="F7" s="155">
        <f>'明细表M8-2'!E10</f>
        <v>0</v>
      </c>
      <c r="G7" s="155">
        <f>'明细表M8-2'!F10+'明细表M8-2'!H10-'明细表M8-2'!I10</f>
        <v>0</v>
      </c>
      <c r="H7" s="155">
        <f>'明细表M8-2'!G10+'明细表M8-2'!J10-'明细表M8-2'!K10</f>
        <v>0</v>
      </c>
      <c r="I7" s="155">
        <f>'明细表M8-2'!O10</f>
        <v>0</v>
      </c>
      <c r="J7" s="155">
        <f t="shared" ref="J7:J13" si="0">I7-E7</f>
        <v>0</v>
      </c>
      <c r="K7" s="156">
        <f t="shared" ref="K7:K13" si="1">IF(AND(E7=0,J7=0),0,IF(AND(E7=0,J7&gt;0),1,J7/E7))</f>
        <v>0</v>
      </c>
      <c r="L7" s="62"/>
    </row>
    <row r="8" spans="1:12" s="15" customFormat="1" ht="19.95" customHeight="1">
      <c r="A8" s="171">
        <f>'明细表M8-2'!A11</f>
        <v>0</v>
      </c>
      <c r="B8" s="155">
        <f>'明细表M8-2'!B11</f>
        <v>0</v>
      </c>
      <c r="C8" s="155">
        <f>'明细表M8-2'!F11</f>
        <v>0</v>
      </c>
      <c r="D8" s="155">
        <f>'明细表M8-2'!G11</f>
        <v>0</v>
      </c>
      <c r="E8" s="155">
        <f>'明细表M8-2'!L11</f>
        <v>0</v>
      </c>
      <c r="F8" s="155">
        <f>'明细表M8-2'!E11</f>
        <v>0</v>
      </c>
      <c r="G8" s="155">
        <f>'明细表M8-2'!F11+'明细表M8-2'!H11-'明细表M8-2'!I11</f>
        <v>0</v>
      </c>
      <c r="H8" s="155">
        <f>'明细表M8-2'!G11+'明细表M8-2'!J11-'明细表M8-2'!K11</f>
        <v>0</v>
      </c>
      <c r="I8" s="155">
        <f>'明细表M8-2'!O11</f>
        <v>0</v>
      </c>
      <c r="J8" s="155">
        <f t="shared" si="0"/>
        <v>0</v>
      </c>
      <c r="K8" s="156">
        <f t="shared" si="1"/>
        <v>0</v>
      </c>
      <c r="L8" s="35"/>
    </row>
    <row r="9" spans="1:12" s="15" customFormat="1" ht="19.95" customHeight="1">
      <c r="A9" s="171">
        <f>'明细表M8-2'!A12</f>
        <v>0</v>
      </c>
      <c r="B9" s="155">
        <f>'明细表M8-2'!B12</f>
        <v>0</v>
      </c>
      <c r="C9" s="155">
        <f>'明细表M8-2'!F12</f>
        <v>0</v>
      </c>
      <c r="D9" s="155">
        <f>'明细表M8-2'!G12</f>
        <v>0</v>
      </c>
      <c r="E9" s="155">
        <f>'明细表M8-2'!L12</f>
        <v>0</v>
      </c>
      <c r="F9" s="155">
        <f>'明细表M8-2'!E12</f>
        <v>0</v>
      </c>
      <c r="G9" s="155">
        <f>'明细表M8-2'!F12+'明细表M8-2'!H12-'明细表M8-2'!I12</f>
        <v>0</v>
      </c>
      <c r="H9" s="155">
        <f>'明细表M8-2'!G12+'明细表M8-2'!J12-'明细表M8-2'!K12</f>
        <v>0</v>
      </c>
      <c r="I9" s="155">
        <f>'明细表M8-2'!O12</f>
        <v>0</v>
      </c>
      <c r="J9" s="155">
        <f t="shared" si="0"/>
        <v>0</v>
      </c>
      <c r="K9" s="156">
        <f t="shared" si="1"/>
        <v>0</v>
      </c>
      <c r="L9" s="62"/>
    </row>
    <row r="10" spans="1:12" s="15" customFormat="1" ht="19.95" customHeight="1">
      <c r="A10" s="171">
        <f>'明细表M8-2'!A13</f>
        <v>0</v>
      </c>
      <c r="B10" s="155">
        <f>'明细表M8-2'!B13</f>
        <v>0</v>
      </c>
      <c r="C10" s="155">
        <f>'明细表M8-2'!F13</f>
        <v>0</v>
      </c>
      <c r="D10" s="155">
        <f>'明细表M8-2'!G13</f>
        <v>0</v>
      </c>
      <c r="E10" s="155">
        <f>'明细表M8-2'!L13</f>
        <v>0</v>
      </c>
      <c r="F10" s="155">
        <f>'明细表M8-2'!E13</f>
        <v>0</v>
      </c>
      <c r="G10" s="155">
        <f>'明细表M8-2'!F13+'明细表M8-2'!H13-'明细表M8-2'!I13</f>
        <v>0</v>
      </c>
      <c r="H10" s="155">
        <f>'明细表M8-2'!G13+'明细表M8-2'!J13-'明细表M8-2'!K13</f>
        <v>0</v>
      </c>
      <c r="I10" s="155">
        <f>'明细表M8-2'!O13</f>
        <v>0</v>
      </c>
      <c r="J10" s="155">
        <f t="shared" si="0"/>
        <v>0</v>
      </c>
      <c r="K10" s="156">
        <f t="shared" si="1"/>
        <v>0</v>
      </c>
      <c r="L10" s="62"/>
    </row>
    <row r="11" spans="1:12" s="15" customFormat="1" ht="19.95" customHeight="1">
      <c r="A11" s="171">
        <f>'明细表M8-2'!A14</f>
        <v>0</v>
      </c>
      <c r="B11" s="155">
        <f>'明细表M8-2'!B14</f>
        <v>0</v>
      </c>
      <c r="C11" s="155">
        <f>'明细表M8-2'!F14</f>
        <v>0</v>
      </c>
      <c r="D11" s="155">
        <f>'明细表M8-2'!G14</f>
        <v>0</v>
      </c>
      <c r="E11" s="155">
        <f>'明细表M8-2'!L14</f>
        <v>0</v>
      </c>
      <c r="F11" s="155">
        <f>'明细表M8-2'!E14</f>
        <v>0</v>
      </c>
      <c r="G11" s="155">
        <f>'明细表M8-2'!F14+'明细表M8-2'!H14-'明细表M8-2'!I14</f>
        <v>0</v>
      </c>
      <c r="H11" s="155">
        <f>'明细表M8-2'!G14+'明细表M8-2'!J14-'明细表M8-2'!K14</f>
        <v>0</v>
      </c>
      <c r="I11" s="155">
        <f>'明细表M8-2'!O14</f>
        <v>0</v>
      </c>
      <c r="J11" s="155">
        <f t="shared" si="0"/>
        <v>0</v>
      </c>
      <c r="K11" s="156">
        <f t="shared" si="1"/>
        <v>0</v>
      </c>
      <c r="L11" s="62"/>
    </row>
    <row r="12" spans="1:12" s="15" customFormat="1" ht="19.95" customHeight="1">
      <c r="A12" s="62"/>
      <c r="B12" s="155">
        <f>'明细表M8-2'!B15</f>
        <v>0</v>
      </c>
      <c r="C12" s="155">
        <f>'明细表M8-2'!F15</f>
        <v>0</v>
      </c>
      <c r="D12" s="155">
        <f>'明细表M8-2'!G15</f>
        <v>0</v>
      </c>
      <c r="E12" s="155">
        <f>'明细表M8-2'!L15</f>
        <v>0</v>
      </c>
      <c r="F12" s="155">
        <f>'明细表M8-2'!E15</f>
        <v>0</v>
      </c>
      <c r="G12" s="155">
        <f>'明细表M8-2'!F15+'明细表M8-2'!H15-'明细表M8-2'!I15</f>
        <v>0</v>
      </c>
      <c r="H12" s="155">
        <f>'明细表M8-2'!G15+'明细表M8-2'!J15-'明细表M8-2'!K15</f>
        <v>0</v>
      </c>
      <c r="I12" s="155">
        <f>'明细表M8-2'!O15</f>
        <v>0</v>
      </c>
      <c r="J12" s="155">
        <f t="shared" si="0"/>
        <v>0</v>
      </c>
      <c r="K12" s="156">
        <f t="shared" si="1"/>
        <v>0</v>
      </c>
      <c r="L12" s="62"/>
    </row>
    <row r="13" spans="1:12" s="16" customFormat="1" ht="19.95" customHeight="1">
      <c r="A13" s="172" t="s">
        <v>168</v>
      </c>
      <c r="B13" s="157">
        <f>SUM(B7:B12)</f>
        <v>0</v>
      </c>
      <c r="C13" s="157">
        <f t="shared" ref="C13:I13" si="2">SUM(C7:C12)</f>
        <v>0</v>
      </c>
      <c r="D13" s="157">
        <f t="shared" si="2"/>
        <v>0</v>
      </c>
      <c r="E13" s="157">
        <f t="shared" si="2"/>
        <v>0</v>
      </c>
      <c r="F13" s="157">
        <f t="shared" si="2"/>
        <v>0</v>
      </c>
      <c r="G13" s="157">
        <f t="shared" si="2"/>
        <v>0</v>
      </c>
      <c r="H13" s="157">
        <f t="shared" si="2"/>
        <v>0</v>
      </c>
      <c r="I13" s="157">
        <f t="shared" si="2"/>
        <v>0</v>
      </c>
      <c r="J13" s="157">
        <f t="shared" si="0"/>
        <v>0</v>
      </c>
      <c r="K13" s="158">
        <f t="shared" si="1"/>
        <v>0</v>
      </c>
      <c r="L13" s="73"/>
    </row>
    <row r="14" spans="1:12" s="126" customFormat="1" ht="19.95" customHeight="1">
      <c r="A14" s="123" t="s">
        <v>169</v>
      </c>
      <c r="B14" s="123"/>
      <c r="C14" s="123"/>
      <c r="D14" s="123"/>
      <c r="E14" s="159"/>
      <c r="F14" s="123"/>
      <c r="G14" s="123"/>
      <c r="H14" s="123"/>
      <c r="I14" s="159"/>
      <c r="J14" s="125"/>
      <c r="K14" s="124"/>
      <c r="L14" s="124"/>
    </row>
    <row r="15" spans="1:12" s="126" customFormat="1" ht="19.95" customHeight="1">
      <c r="A15" s="123" t="s">
        <v>170</v>
      </c>
      <c r="B15" s="123"/>
      <c r="C15" s="123"/>
      <c r="D15" s="123"/>
      <c r="E15" s="159">
        <f>E13-E14</f>
        <v>0</v>
      </c>
      <c r="F15" s="123"/>
      <c r="G15" s="123"/>
      <c r="H15" s="123"/>
      <c r="I15" s="159">
        <f>I13-I14</f>
        <v>0</v>
      </c>
      <c r="J15" s="174"/>
      <c r="K15" s="66"/>
      <c r="L15" s="66"/>
    </row>
    <row r="16" spans="1:12" s="65" customFormat="1" ht="19.95" customHeight="1">
      <c r="A16" s="63" t="s">
        <v>31</v>
      </c>
      <c r="B16" s="64"/>
      <c r="C16" s="64"/>
      <c r="D16" s="64"/>
      <c r="E16" s="64"/>
      <c r="F16" s="173"/>
      <c r="G16" s="64"/>
    </row>
    <row r="17" spans="1:7" s="65" customFormat="1" ht="19.95" customHeight="1">
      <c r="A17" s="66" t="s">
        <v>171</v>
      </c>
      <c r="B17" s="66"/>
      <c r="C17" s="66"/>
      <c r="D17" s="312"/>
      <c r="E17" s="312"/>
      <c r="F17" s="66"/>
      <c r="G17" s="66"/>
    </row>
    <row r="18" spans="1:7" s="65" customFormat="1" ht="19.95" customHeight="1">
      <c r="A18" s="66" t="s">
        <v>172</v>
      </c>
      <c r="B18" s="66"/>
      <c r="C18" s="66"/>
      <c r="D18" s="66"/>
      <c r="E18" s="66"/>
      <c r="F18" s="66"/>
      <c r="G18" s="66"/>
    </row>
    <row r="19" spans="1:7" s="65" customFormat="1" ht="19.95" customHeight="1">
      <c r="A19" s="66"/>
      <c r="B19" s="66"/>
      <c r="C19" s="66"/>
      <c r="D19" s="66"/>
      <c r="E19" s="66"/>
      <c r="F19" s="66"/>
      <c r="G19" s="66"/>
    </row>
    <row r="20" spans="1:7" s="65" customFormat="1" ht="19.95" customHeight="1">
      <c r="A20" s="66"/>
      <c r="B20" s="66"/>
      <c r="C20" s="66"/>
      <c r="D20" s="66"/>
      <c r="E20" s="66"/>
      <c r="F20" s="66"/>
      <c r="G20" s="66"/>
    </row>
    <row r="21" spans="1:7" s="65" customFormat="1" ht="19.95" customHeight="1">
      <c r="A21" s="67" t="s">
        <v>173</v>
      </c>
      <c r="B21" s="67"/>
      <c r="C21" s="67"/>
      <c r="D21" s="67"/>
      <c r="E21" s="67"/>
      <c r="F21" s="67"/>
      <c r="G21" s="67"/>
    </row>
    <row r="22" spans="1:7" s="65" customFormat="1" ht="19.95" customHeight="1">
      <c r="A22" s="67"/>
      <c r="B22" s="67"/>
      <c r="C22" s="67"/>
      <c r="D22" s="67"/>
      <c r="E22" s="67"/>
      <c r="F22" s="67"/>
      <c r="G22" s="67"/>
    </row>
    <row r="23" spans="1:7" s="65" customFormat="1" ht="19.95" customHeight="1">
      <c r="A23" s="66"/>
      <c r="B23" s="66"/>
      <c r="C23" s="66"/>
      <c r="D23" s="66"/>
      <c r="E23" s="66"/>
      <c r="F23" s="66"/>
      <c r="G23" s="66"/>
    </row>
    <row r="24" spans="1:7" s="65" customFormat="1" ht="19.95" customHeight="1">
      <c r="A24" s="131" t="s">
        <v>174</v>
      </c>
      <c r="B24" s="66"/>
      <c r="C24" s="66"/>
      <c r="D24" s="66"/>
      <c r="E24" s="66"/>
      <c r="F24" s="173"/>
      <c r="G24" s="66"/>
    </row>
    <row r="25" spans="1:7" s="65" customFormat="1" ht="19.95" customHeight="1">
      <c r="A25" s="131"/>
      <c r="B25" s="66"/>
      <c r="C25" s="66"/>
      <c r="D25" s="66"/>
      <c r="E25" s="66"/>
      <c r="F25" s="66"/>
      <c r="G25" s="66"/>
    </row>
  </sheetData>
  <mergeCells count="8">
    <mergeCell ref="D17:E17"/>
    <mergeCell ref="J5:K5"/>
    <mergeCell ref="L5:L6"/>
    <mergeCell ref="A1:L1"/>
    <mergeCell ref="A2:L2"/>
    <mergeCell ref="B5:E5"/>
    <mergeCell ref="F5:I5"/>
    <mergeCell ref="A5:A6"/>
  </mergeCells>
  <phoneticPr fontId="18" type="noConversion"/>
  <hyperlinks>
    <hyperlink ref="L3" location="底稿目录!A1" display="底稿目录!A1"/>
  </hyperlinks>
  <printOptions horizontalCentered="1"/>
  <pageMargins left="0.70866141732283472" right="0.70866141732283472" top="0.74803149606299213" bottom="0.74803149606299213" header="0.31496062992125984" footer="0.31496062992125984"/>
  <pageSetup paperSize="9" scale="90" orientation="landscape" blackAndWhite="1" r:id="rId1"/>
  <headerFooter alignWithMargins="0">
    <oddFooter>&amp;C&amp;P/&amp;N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
  <sheetViews>
    <sheetView view="pageBreakPreview" zoomScaleSheetLayoutView="100" workbookViewId="0">
      <selection activeCell="D10" sqref="D10"/>
    </sheetView>
  </sheetViews>
  <sheetFormatPr defaultRowHeight="15.6"/>
  <cols>
    <col min="1" max="1" width="21.796875" customWidth="1"/>
    <col min="3" max="3" width="12.09765625" customWidth="1"/>
    <col min="4" max="4" width="12" customWidth="1"/>
    <col min="7" max="7" width="13.69921875" customWidth="1"/>
    <col min="8" max="8" width="7.69921875" customWidth="1"/>
  </cols>
  <sheetData>
    <row r="1" spans="1:14" s="26" customFormat="1" ht="20.100000000000001" customHeight="1">
      <c r="A1" s="319" t="s">
        <v>24</v>
      </c>
      <c r="B1" s="319"/>
      <c r="C1" s="319"/>
      <c r="D1" s="319"/>
      <c r="E1" s="319"/>
      <c r="F1" s="319"/>
      <c r="G1" s="319"/>
      <c r="H1" s="39"/>
      <c r="I1" s="39"/>
      <c r="J1" s="39"/>
      <c r="K1" s="39"/>
      <c r="L1" s="39"/>
      <c r="M1" s="39"/>
      <c r="N1" s="39"/>
    </row>
    <row r="2" spans="1:14" s="26" customFormat="1" ht="25.05" customHeight="1">
      <c r="A2" s="319" t="s">
        <v>28</v>
      </c>
      <c r="B2" s="319"/>
      <c r="C2" s="319"/>
      <c r="D2" s="319"/>
      <c r="E2" s="319"/>
      <c r="F2" s="319"/>
      <c r="G2" s="319"/>
    </row>
    <row r="3" spans="1:14" s="14" customFormat="1" ht="20.100000000000001" customHeight="1">
      <c r="A3" s="137" t="str">
        <f>底稿目录!A2</f>
        <v>被审计单位：</v>
      </c>
      <c r="B3" s="165"/>
      <c r="C3" s="165" t="str">
        <f>底稿目录!A4</f>
        <v>编制人：</v>
      </c>
      <c r="D3" s="137"/>
      <c r="E3" s="166" t="str">
        <f>底稿目录!A5</f>
        <v>编制日期：</v>
      </c>
      <c r="F3" s="74"/>
      <c r="G3" s="28" t="s">
        <v>154</v>
      </c>
    </row>
    <row r="4" spans="1:14" s="14" customFormat="1" ht="20.100000000000001" customHeight="1">
      <c r="A4" s="14" t="str">
        <f>底稿目录!A3</f>
        <v>截止日：202X年12月31日</v>
      </c>
      <c r="B4" s="27"/>
      <c r="C4" s="28" t="str">
        <f>底稿目录!A6</f>
        <v>复核人：</v>
      </c>
      <c r="E4" s="76" t="str">
        <f>底稿目录!A7</f>
        <v>复核日期：</v>
      </c>
      <c r="F4" s="74"/>
      <c r="G4" s="28" t="s">
        <v>22</v>
      </c>
    </row>
    <row r="5" spans="1:14" ht="20.100000000000001" customHeight="1" thickBot="1">
      <c r="A5" s="136" t="s">
        <v>4</v>
      </c>
      <c r="B5" s="137"/>
      <c r="C5" s="137"/>
      <c r="D5" s="137"/>
      <c r="E5" s="137"/>
      <c r="F5" s="137"/>
      <c r="G5" s="4"/>
    </row>
    <row r="6" spans="1:14" ht="20.100000000000001" customHeight="1" thickBot="1">
      <c r="A6" s="138" t="s">
        <v>25</v>
      </c>
      <c r="B6" s="139" t="s">
        <v>123</v>
      </c>
      <c r="C6" s="140" t="s">
        <v>1</v>
      </c>
      <c r="D6" s="140" t="s">
        <v>2</v>
      </c>
      <c r="E6" s="139" t="s">
        <v>124</v>
      </c>
      <c r="F6" s="137"/>
      <c r="G6" s="4"/>
    </row>
    <row r="7" spans="1:14" ht="20.100000000000001" customHeight="1">
      <c r="A7" s="141"/>
      <c r="B7" s="142">
        <f>'明细表M8-2'!L10</f>
        <v>0</v>
      </c>
      <c r="C7" s="142">
        <f>'明细表M8-2'!M10</f>
        <v>0</v>
      </c>
      <c r="D7" s="142">
        <f>'明细表M8-2'!N10</f>
        <v>0</v>
      </c>
      <c r="E7" s="143">
        <f>B7+C7-D7</f>
        <v>0</v>
      </c>
      <c r="F7" s="137"/>
      <c r="G7" s="4"/>
    </row>
    <row r="8" spans="1:14" ht="20.100000000000001" customHeight="1">
      <c r="A8" s="141"/>
      <c r="B8" s="144"/>
      <c r="C8" s="144"/>
      <c r="D8" s="144"/>
      <c r="E8" s="143">
        <f t="shared" ref="E8:E9" si="0">B8+C8-D8</f>
        <v>0</v>
      </c>
      <c r="F8" s="137"/>
      <c r="G8" s="4"/>
    </row>
    <row r="9" spans="1:14" ht="20.100000000000001" customHeight="1" thickBot="1">
      <c r="A9" s="145"/>
      <c r="B9" s="146"/>
      <c r="C9" s="146"/>
      <c r="D9" s="146"/>
      <c r="E9" s="143">
        <f t="shared" si="0"/>
        <v>0</v>
      </c>
      <c r="F9" s="137"/>
      <c r="G9" s="4"/>
    </row>
    <row r="10" spans="1:14" ht="20.100000000000001" customHeight="1" thickBot="1">
      <c r="A10" s="147" t="s">
        <v>23</v>
      </c>
      <c r="B10" s="148">
        <f>SUM(B7:B9)</f>
        <v>0</v>
      </c>
      <c r="C10" s="148">
        <f t="shared" ref="C10:E10" si="1">SUM(C7:C9)</f>
        <v>0</v>
      </c>
      <c r="D10" s="148">
        <f t="shared" si="1"/>
        <v>0</v>
      </c>
      <c r="E10" s="149">
        <f t="shared" si="1"/>
        <v>0</v>
      </c>
      <c r="F10" s="137"/>
      <c r="G10" s="4"/>
    </row>
    <row r="11" spans="1:14" ht="20.100000000000001" customHeight="1">
      <c r="A11" s="136" t="s">
        <v>3</v>
      </c>
      <c r="B11" s="137"/>
      <c r="C11" s="137"/>
      <c r="D11" s="137"/>
      <c r="E11" s="137"/>
      <c r="F11" s="137"/>
      <c r="G11" s="4"/>
    </row>
  </sheetData>
  <mergeCells count="2">
    <mergeCell ref="A1:G1"/>
    <mergeCell ref="A2:G2"/>
  </mergeCells>
  <phoneticPr fontId="18" type="noConversion"/>
  <printOptions horizontalCentered="1"/>
  <pageMargins left="0.70866141732283472" right="0.70866141732283472" top="0.74803149606299213" bottom="0.74803149606299213" header="0.31496062992125984" footer="0.31496062992125984"/>
  <pageSetup paperSize="9" scale="95" orientation="portrait" blackAndWhite="1" r:id="rId1"/>
  <ignoredErrors>
    <ignoredError sqref="C3:E3 C4:E4 A3 B7 E7:E10 B10:D10"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view="pageBreakPreview" zoomScaleSheetLayoutView="100" workbookViewId="0">
      <selection activeCell="L10" sqref="L10"/>
    </sheetView>
  </sheetViews>
  <sheetFormatPr defaultRowHeight="15.6"/>
  <cols>
    <col min="1" max="1" width="21.796875" customWidth="1"/>
    <col min="3" max="3" width="12.09765625" customWidth="1"/>
    <col min="4" max="4" width="12" customWidth="1"/>
    <col min="7" max="7" width="13.69921875" customWidth="1"/>
    <col min="8" max="8" width="7.69921875" customWidth="1"/>
  </cols>
  <sheetData>
    <row r="1" spans="1:14" s="26" customFormat="1" ht="20.100000000000001" customHeight="1">
      <c r="A1" s="319" t="s">
        <v>24</v>
      </c>
      <c r="B1" s="319"/>
      <c r="C1" s="319"/>
      <c r="D1" s="319"/>
      <c r="E1" s="319"/>
      <c r="F1" s="319"/>
      <c r="G1" s="319"/>
      <c r="H1" s="39"/>
      <c r="I1" s="39"/>
      <c r="J1" s="39"/>
      <c r="K1" s="39"/>
      <c r="L1" s="39"/>
      <c r="M1" s="39"/>
      <c r="N1" s="39"/>
    </row>
    <row r="2" spans="1:14" s="26" customFormat="1" ht="25.05" customHeight="1">
      <c r="A2" s="319" t="s">
        <v>29</v>
      </c>
      <c r="B2" s="319"/>
      <c r="C2" s="319"/>
      <c r="D2" s="319"/>
      <c r="E2" s="319"/>
      <c r="F2" s="319"/>
      <c r="G2" s="319"/>
    </row>
    <row r="3" spans="1:14" s="14" customFormat="1" ht="20.100000000000001" customHeight="1">
      <c r="A3" s="14" t="str">
        <f>底稿目录!A2</f>
        <v>被审计单位：</v>
      </c>
      <c r="B3" s="27"/>
      <c r="C3" s="27" t="str">
        <f>底稿目录!A4</f>
        <v>编制人：</v>
      </c>
      <c r="E3" s="75" t="str">
        <f>底稿目录!A5</f>
        <v>编制日期：</v>
      </c>
      <c r="F3" s="74"/>
      <c r="G3" s="28" t="s">
        <v>154</v>
      </c>
    </row>
    <row r="4" spans="1:14" s="14" customFormat="1" ht="20.100000000000001" customHeight="1">
      <c r="A4" s="14" t="str">
        <f>底稿目录!A3</f>
        <v>截止日：202X年12月31日</v>
      </c>
      <c r="B4" s="27"/>
      <c r="C4" s="28" t="str">
        <f>底稿目录!A6</f>
        <v>复核人：</v>
      </c>
      <c r="E4" s="76" t="str">
        <f>底稿目录!A7</f>
        <v>复核日期：</v>
      </c>
      <c r="F4" s="74"/>
      <c r="G4" s="28" t="s">
        <v>22</v>
      </c>
    </row>
    <row r="5" spans="1:14" s="4" customFormat="1" ht="20.100000000000001" customHeight="1" thickBot="1">
      <c r="A5" s="135" t="s">
        <v>4</v>
      </c>
      <c r="B5" s="137"/>
      <c r="C5" s="137"/>
      <c r="D5" s="137"/>
      <c r="E5" s="137"/>
    </row>
    <row r="6" spans="1:14" s="4" customFormat="1" ht="20.100000000000001" customHeight="1" thickBot="1">
      <c r="A6" s="138" t="s">
        <v>25</v>
      </c>
      <c r="B6" s="139" t="s">
        <v>125</v>
      </c>
      <c r="C6" s="140" t="s">
        <v>1</v>
      </c>
      <c r="D6" s="140" t="s">
        <v>2</v>
      </c>
      <c r="E6" s="139" t="s">
        <v>126</v>
      </c>
    </row>
    <row r="7" spans="1:14" s="4" customFormat="1" ht="20.100000000000001" customHeight="1">
      <c r="A7" s="141"/>
      <c r="B7" s="142">
        <f>'明细表M8-2'!L10</f>
        <v>0</v>
      </c>
      <c r="C7" s="142">
        <f>'明细表M8-2'!M10</f>
        <v>0</v>
      </c>
      <c r="D7" s="142">
        <f>'明细表M8-2'!N10</f>
        <v>0</v>
      </c>
      <c r="E7" s="143">
        <f>B7+C7-D7</f>
        <v>0</v>
      </c>
    </row>
    <row r="8" spans="1:14" s="4" customFormat="1" ht="20.100000000000001" customHeight="1">
      <c r="A8" s="141"/>
      <c r="B8" s="144"/>
      <c r="C8" s="144"/>
      <c r="D8" s="144"/>
      <c r="E8" s="143">
        <f>B8+C8-D8</f>
        <v>0</v>
      </c>
    </row>
    <row r="9" spans="1:14" s="4" customFormat="1" ht="20.100000000000001" customHeight="1" thickBot="1">
      <c r="A9" s="145"/>
      <c r="B9" s="146"/>
      <c r="C9" s="146"/>
      <c r="D9" s="146"/>
      <c r="E9" s="143">
        <f>B9+C9-D9</f>
        <v>0</v>
      </c>
    </row>
    <row r="10" spans="1:14" s="4" customFormat="1" ht="20.100000000000001" customHeight="1" thickBot="1">
      <c r="A10" s="147" t="s">
        <v>23</v>
      </c>
      <c r="B10" s="148">
        <f>SUM(B7:B9)</f>
        <v>0</v>
      </c>
      <c r="C10" s="148">
        <f t="shared" ref="C10:E10" si="0">SUM(C7:C9)</f>
        <v>0</v>
      </c>
      <c r="D10" s="148">
        <f t="shared" si="0"/>
        <v>0</v>
      </c>
      <c r="E10" s="149">
        <f t="shared" si="0"/>
        <v>0</v>
      </c>
    </row>
    <row r="11" spans="1:14" s="4" customFormat="1" ht="20.100000000000001" customHeight="1">
      <c r="A11" s="136" t="s">
        <v>3</v>
      </c>
      <c r="B11" s="137"/>
      <c r="C11" s="137"/>
      <c r="D11" s="137"/>
      <c r="E11" s="137"/>
    </row>
  </sheetData>
  <mergeCells count="2">
    <mergeCell ref="A1:G1"/>
    <mergeCell ref="A2:G2"/>
  </mergeCells>
  <phoneticPr fontId="18" type="noConversion"/>
  <pageMargins left="0.70866141732283472" right="0.70866141732283472" top="0.74803149606299213" bottom="0.74803149606299213" header="0.31496062992125984" footer="0.31496062992125984"/>
  <pageSetup paperSize="9" scale="94" orientation="portrait" blackAndWhite="1" r:id="rId1"/>
  <ignoredErrors>
    <ignoredError sqref="A3:E4 B7:E10"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9"/>
  <sheetViews>
    <sheetView view="pageBreakPreview" zoomScaleNormal="115" zoomScaleSheetLayoutView="100" workbookViewId="0">
      <selection sqref="A1:R1"/>
    </sheetView>
  </sheetViews>
  <sheetFormatPr defaultColWidth="9" defaultRowHeight="15.6"/>
  <cols>
    <col min="1" max="1" width="15.19921875" style="21" customWidth="1"/>
    <col min="2" max="5" width="8.296875" style="21" customWidth="1"/>
    <col min="6" max="7" width="10.09765625" style="21" customWidth="1"/>
    <col min="8" max="15" width="8.296875" style="21" customWidth="1"/>
    <col min="16" max="16384" width="9" style="21"/>
  </cols>
  <sheetData>
    <row r="1" spans="1:18" s="18" customFormat="1" ht="19.95" customHeight="1">
      <c r="A1" s="321" t="s">
        <v>288</v>
      </c>
      <c r="B1" s="321"/>
      <c r="C1" s="321"/>
      <c r="D1" s="321"/>
      <c r="E1" s="321"/>
      <c r="F1" s="321"/>
      <c r="G1" s="321"/>
      <c r="H1" s="321"/>
      <c r="I1" s="321"/>
      <c r="J1" s="321"/>
      <c r="K1" s="321"/>
      <c r="L1" s="321"/>
      <c r="M1" s="321"/>
      <c r="N1" s="321"/>
      <c r="O1" s="321"/>
      <c r="P1" s="321"/>
      <c r="Q1" s="321"/>
      <c r="R1" s="321"/>
    </row>
    <row r="2" spans="1:18" s="18" customFormat="1" ht="19.95" customHeight="1">
      <c r="A2" s="322" t="s">
        <v>289</v>
      </c>
      <c r="B2" s="322"/>
      <c r="C2" s="322"/>
      <c r="D2" s="322"/>
      <c r="E2" s="322"/>
      <c r="F2" s="322"/>
      <c r="G2" s="322"/>
      <c r="H2" s="322"/>
      <c r="I2" s="322"/>
      <c r="J2" s="322"/>
      <c r="K2" s="322"/>
      <c r="L2" s="322"/>
      <c r="M2" s="322"/>
      <c r="N2" s="322"/>
      <c r="O2" s="322"/>
      <c r="P2" s="322"/>
      <c r="Q2" s="322"/>
      <c r="R2" s="322"/>
    </row>
    <row r="3" spans="1:18" s="14" customFormat="1" ht="19.95" customHeight="1">
      <c r="A3" s="14" t="str">
        <f>底稿目录!A2</f>
        <v>被审计单位：</v>
      </c>
      <c r="E3" s="51" t="str">
        <f>底稿目录!A4</f>
        <v>编制人：</v>
      </c>
      <c r="F3" s="51"/>
      <c r="G3" s="51"/>
      <c r="H3" s="51"/>
      <c r="I3" s="51"/>
      <c r="J3" s="51"/>
      <c r="K3" s="51" t="str">
        <f>底稿目录!A5</f>
        <v>编制日期：</v>
      </c>
      <c r="L3" s="74"/>
      <c r="Q3" s="223" t="s">
        <v>39</v>
      </c>
      <c r="R3" s="222" t="str">
        <f>底稿目录!F8</f>
        <v>M8-2</v>
      </c>
    </row>
    <row r="4" spans="1:18" s="14" customFormat="1" ht="19.95" customHeight="1">
      <c r="A4" s="14" t="str">
        <f>底稿目录!A3</f>
        <v>截止日：202X年12月31日</v>
      </c>
      <c r="E4" s="51" t="str">
        <f>底稿目录!A6</f>
        <v>复核人：</v>
      </c>
      <c r="F4" s="51"/>
      <c r="G4" s="51"/>
      <c r="H4" s="51"/>
      <c r="I4" s="51"/>
      <c r="J4" s="51"/>
      <c r="K4" s="51" t="str">
        <f>底稿目录!A7</f>
        <v>复核日期：</v>
      </c>
      <c r="L4" s="74"/>
      <c r="Q4" s="224" t="s">
        <v>41</v>
      </c>
      <c r="R4" s="85"/>
    </row>
    <row r="5" spans="1:18" s="51" customFormat="1" ht="19.95" customHeight="1">
      <c r="A5" s="49" t="s">
        <v>26</v>
      </c>
      <c r="B5" s="50"/>
      <c r="H5" s="52"/>
      <c r="L5" s="53"/>
      <c r="O5" s="54"/>
    </row>
    <row r="6" spans="1:18" s="51" customFormat="1" ht="19.95" customHeight="1">
      <c r="A6" s="167" t="s">
        <v>175</v>
      </c>
      <c r="B6" s="175"/>
      <c r="H6" s="52"/>
      <c r="L6" s="53"/>
      <c r="O6" s="54"/>
    </row>
    <row r="7" spans="1:18" s="51" customFormat="1" ht="19.95" customHeight="1">
      <c r="A7" s="55" t="s">
        <v>27</v>
      </c>
      <c r="H7" s="56"/>
      <c r="L7" s="53"/>
      <c r="O7" s="54"/>
    </row>
    <row r="8" spans="1:18" s="19" customFormat="1" ht="19.95" customHeight="1">
      <c r="A8" s="323" t="s">
        <v>176</v>
      </c>
      <c r="B8" s="320" t="s">
        <v>162</v>
      </c>
      <c r="C8" s="320"/>
      <c r="D8" s="320"/>
      <c r="E8" s="320"/>
      <c r="F8" s="320" t="s">
        <v>177</v>
      </c>
      <c r="G8" s="320"/>
      <c r="H8" s="320" t="s">
        <v>163</v>
      </c>
      <c r="I8" s="320"/>
      <c r="J8" s="320" t="s">
        <v>164</v>
      </c>
      <c r="K8" s="320"/>
      <c r="L8" s="320" t="s">
        <v>165</v>
      </c>
      <c r="M8" s="320"/>
      <c r="N8" s="320"/>
      <c r="O8" s="320"/>
      <c r="P8" s="323" t="s">
        <v>178</v>
      </c>
      <c r="Q8" s="59"/>
      <c r="R8" s="60"/>
    </row>
    <row r="9" spans="1:18" s="19" customFormat="1" ht="19.95" customHeight="1">
      <c r="A9" s="324"/>
      <c r="B9" s="176" t="s">
        <v>179</v>
      </c>
      <c r="C9" s="176" t="s">
        <v>180</v>
      </c>
      <c r="D9" s="176" t="s">
        <v>181</v>
      </c>
      <c r="E9" s="176" t="s">
        <v>182</v>
      </c>
      <c r="F9" s="176" t="s">
        <v>183</v>
      </c>
      <c r="G9" s="176" t="s">
        <v>184</v>
      </c>
      <c r="H9" s="176" t="s">
        <v>180</v>
      </c>
      <c r="I9" s="176" t="s">
        <v>181</v>
      </c>
      <c r="J9" s="176" t="s">
        <v>180</v>
      </c>
      <c r="K9" s="176" t="s">
        <v>181</v>
      </c>
      <c r="L9" s="176" t="s">
        <v>179</v>
      </c>
      <c r="M9" s="176" t="s">
        <v>180</v>
      </c>
      <c r="N9" s="176" t="s">
        <v>181</v>
      </c>
      <c r="O9" s="176" t="s">
        <v>182</v>
      </c>
      <c r="P9" s="324"/>
      <c r="Q9" s="176" t="s">
        <v>185</v>
      </c>
      <c r="R9" s="177" t="s">
        <v>186</v>
      </c>
    </row>
    <row r="10" spans="1:18" s="19" customFormat="1" ht="19.95" customHeight="1">
      <c r="A10" s="178" t="s">
        <v>187</v>
      </c>
      <c r="B10" s="57"/>
      <c r="C10" s="57"/>
      <c r="D10" s="57"/>
      <c r="E10" s="155">
        <f>B10+C10-D10</f>
        <v>0</v>
      </c>
      <c r="F10" s="57"/>
      <c r="G10" s="57"/>
      <c r="H10" s="57"/>
      <c r="I10" s="57"/>
      <c r="J10" s="57"/>
      <c r="K10" s="57"/>
      <c r="L10" s="155">
        <f>B10+F10+G10</f>
        <v>0</v>
      </c>
      <c r="M10" s="155">
        <f>C10+H10+J10</f>
        <v>0</v>
      </c>
      <c r="N10" s="155">
        <f>D10+I10+K10</f>
        <v>0</v>
      </c>
      <c r="O10" s="155">
        <f>L10+M10-N10</f>
        <v>0</v>
      </c>
      <c r="P10" s="179"/>
      <c r="Q10" s="179"/>
      <c r="R10" s="180"/>
    </row>
    <row r="11" spans="1:18" s="19" customFormat="1" ht="19.95" customHeight="1">
      <c r="A11" s="178"/>
      <c r="B11" s="57"/>
      <c r="C11" s="57"/>
      <c r="D11" s="57"/>
      <c r="E11" s="155">
        <f t="shared" ref="E11:E16" si="0">B11+C11-D11</f>
        <v>0</v>
      </c>
      <c r="F11" s="57"/>
      <c r="G11" s="57"/>
      <c r="H11" s="57"/>
      <c r="I11" s="57"/>
      <c r="J11" s="57"/>
      <c r="K11" s="57"/>
      <c r="L11" s="155">
        <f t="shared" ref="L11:L16" si="1">B11+F11+G11</f>
        <v>0</v>
      </c>
      <c r="M11" s="155">
        <f t="shared" ref="M11:N16" si="2">C11+H11+J11</f>
        <v>0</v>
      </c>
      <c r="N11" s="155">
        <f t="shared" si="2"/>
        <v>0</v>
      </c>
      <c r="O11" s="155">
        <f t="shared" ref="O11:O16" si="3">L11+M11-N11</f>
        <v>0</v>
      </c>
      <c r="P11" s="58"/>
      <c r="Q11" s="58"/>
      <c r="R11" s="24"/>
    </row>
    <row r="12" spans="1:18" s="19" customFormat="1" ht="19.95" customHeight="1">
      <c r="A12" s="178"/>
      <c r="B12" s="22"/>
      <c r="C12" s="22"/>
      <c r="D12" s="22"/>
      <c r="E12" s="155">
        <f t="shared" si="0"/>
        <v>0</v>
      </c>
      <c r="F12" s="22"/>
      <c r="G12" s="22"/>
      <c r="H12" s="22"/>
      <c r="I12" s="22"/>
      <c r="J12" s="22"/>
      <c r="K12" s="22"/>
      <c r="L12" s="155">
        <f t="shared" si="1"/>
        <v>0</v>
      </c>
      <c r="M12" s="155">
        <f t="shared" si="2"/>
        <v>0</v>
      </c>
      <c r="N12" s="155">
        <f t="shared" si="2"/>
        <v>0</v>
      </c>
      <c r="O12" s="155">
        <f t="shared" si="3"/>
        <v>0</v>
      </c>
      <c r="P12" s="23"/>
      <c r="Q12" s="23"/>
      <c r="R12" s="24"/>
    </row>
    <row r="13" spans="1:18" s="19" customFormat="1" ht="19.95" customHeight="1">
      <c r="A13" s="77"/>
      <c r="B13" s="22"/>
      <c r="C13" s="22"/>
      <c r="D13" s="22"/>
      <c r="E13" s="155">
        <f t="shared" si="0"/>
        <v>0</v>
      </c>
      <c r="F13" s="22"/>
      <c r="G13" s="22"/>
      <c r="H13" s="22"/>
      <c r="I13" s="22"/>
      <c r="J13" s="22"/>
      <c r="K13" s="22"/>
      <c r="L13" s="155">
        <f t="shared" si="1"/>
        <v>0</v>
      </c>
      <c r="M13" s="155">
        <f t="shared" si="2"/>
        <v>0</v>
      </c>
      <c r="N13" s="155">
        <f t="shared" si="2"/>
        <v>0</v>
      </c>
      <c r="O13" s="155">
        <f t="shared" si="3"/>
        <v>0</v>
      </c>
      <c r="P13" s="23"/>
      <c r="Q13" s="23"/>
      <c r="R13" s="24"/>
    </row>
    <row r="14" spans="1:18" s="19" customFormat="1" ht="19.95" customHeight="1">
      <c r="A14" s="77"/>
      <c r="B14" s="22"/>
      <c r="C14" s="22"/>
      <c r="D14" s="22"/>
      <c r="E14" s="155">
        <f t="shared" si="0"/>
        <v>0</v>
      </c>
      <c r="F14" s="22"/>
      <c r="G14" s="22"/>
      <c r="H14" s="22"/>
      <c r="I14" s="22"/>
      <c r="J14" s="22"/>
      <c r="K14" s="22"/>
      <c r="L14" s="155">
        <f t="shared" si="1"/>
        <v>0</v>
      </c>
      <c r="M14" s="155">
        <f t="shared" si="2"/>
        <v>0</v>
      </c>
      <c r="N14" s="155">
        <f t="shared" si="2"/>
        <v>0</v>
      </c>
      <c r="O14" s="155">
        <f t="shared" si="3"/>
        <v>0</v>
      </c>
      <c r="P14" s="23"/>
      <c r="Q14" s="23"/>
      <c r="R14" s="24"/>
    </row>
    <row r="15" spans="1:18" s="19" customFormat="1" ht="19.95" customHeight="1">
      <c r="A15" s="77"/>
      <c r="B15" s="22"/>
      <c r="C15" s="22"/>
      <c r="D15" s="22"/>
      <c r="E15" s="155">
        <f t="shared" si="0"/>
        <v>0</v>
      </c>
      <c r="F15" s="22"/>
      <c r="G15" s="22"/>
      <c r="H15" s="22"/>
      <c r="I15" s="22"/>
      <c r="J15" s="22"/>
      <c r="K15" s="22"/>
      <c r="L15" s="155">
        <f t="shared" si="1"/>
        <v>0</v>
      </c>
      <c r="M15" s="155">
        <f t="shared" si="2"/>
        <v>0</v>
      </c>
      <c r="N15" s="155">
        <f t="shared" si="2"/>
        <v>0</v>
      </c>
      <c r="O15" s="155">
        <f t="shared" si="3"/>
        <v>0</v>
      </c>
      <c r="P15" s="23"/>
      <c r="Q15" s="23"/>
      <c r="R15" s="24"/>
    </row>
    <row r="16" spans="1:18" s="19" customFormat="1" ht="19.95" customHeight="1">
      <c r="A16" s="77"/>
      <c r="B16" s="22"/>
      <c r="C16" s="22"/>
      <c r="D16" s="22"/>
      <c r="E16" s="155">
        <f t="shared" si="0"/>
        <v>0</v>
      </c>
      <c r="F16" s="22"/>
      <c r="G16" s="22"/>
      <c r="H16" s="22"/>
      <c r="I16" s="22"/>
      <c r="J16" s="22"/>
      <c r="K16" s="22"/>
      <c r="L16" s="155">
        <f t="shared" si="1"/>
        <v>0</v>
      </c>
      <c r="M16" s="155">
        <f t="shared" si="2"/>
        <v>0</v>
      </c>
      <c r="N16" s="155">
        <f t="shared" si="2"/>
        <v>0</v>
      </c>
      <c r="O16" s="155">
        <f t="shared" si="3"/>
        <v>0</v>
      </c>
      <c r="P16" s="23"/>
      <c r="Q16" s="23"/>
      <c r="R16" s="24"/>
    </row>
    <row r="17" spans="1:18" s="20" customFormat="1" ht="19.95" customHeight="1">
      <c r="A17" s="77" t="s">
        <v>188</v>
      </c>
      <c r="B17" s="157">
        <f>SUM(B10:B16)</f>
        <v>0</v>
      </c>
      <c r="C17" s="157">
        <f t="shared" ref="C17:O17" si="4">SUM(C10:C16)</f>
        <v>0</v>
      </c>
      <c r="D17" s="157">
        <f t="shared" si="4"/>
        <v>0</v>
      </c>
      <c r="E17" s="157">
        <f t="shared" si="4"/>
        <v>0</v>
      </c>
      <c r="F17" s="157">
        <f t="shared" si="4"/>
        <v>0</v>
      </c>
      <c r="G17" s="157">
        <f t="shared" si="4"/>
        <v>0</v>
      </c>
      <c r="H17" s="157">
        <f t="shared" si="4"/>
        <v>0</v>
      </c>
      <c r="I17" s="157">
        <f t="shared" si="4"/>
        <v>0</v>
      </c>
      <c r="J17" s="157">
        <f t="shared" si="4"/>
        <v>0</v>
      </c>
      <c r="K17" s="157">
        <f t="shared" si="4"/>
        <v>0</v>
      </c>
      <c r="L17" s="157">
        <f t="shared" si="4"/>
        <v>0</v>
      </c>
      <c r="M17" s="157">
        <f t="shared" si="4"/>
        <v>0</v>
      </c>
      <c r="N17" s="157">
        <f t="shared" si="4"/>
        <v>0</v>
      </c>
      <c r="O17" s="157">
        <f t="shared" si="4"/>
        <v>0</v>
      </c>
      <c r="P17" s="79"/>
      <c r="Q17" s="79"/>
      <c r="R17" s="79"/>
    </row>
    <row r="18" spans="1:18" s="19" customFormat="1" ht="19.95" customHeight="1">
      <c r="A18" s="181" t="s">
        <v>189</v>
      </c>
      <c r="B18" s="25"/>
      <c r="C18" s="25"/>
      <c r="D18" s="25"/>
      <c r="E18" s="25"/>
      <c r="F18" s="25"/>
      <c r="G18" s="25"/>
      <c r="H18" s="25"/>
      <c r="I18" s="61"/>
      <c r="J18" s="61"/>
      <c r="K18" s="61"/>
      <c r="L18" s="61"/>
      <c r="M18" s="61"/>
      <c r="N18" s="61"/>
      <c r="O18" s="61"/>
      <c r="P18" s="61"/>
      <c r="Q18" s="61"/>
      <c r="R18" s="61"/>
    </row>
    <row r="19" spans="1:18" s="19" customFormat="1" ht="19.95" customHeight="1">
      <c r="A19" s="14"/>
      <c r="B19" s="14"/>
      <c r="C19" s="14"/>
      <c r="D19" s="14"/>
      <c r="E19" s="14"/>
      <c r="F19" s="14"/>
      <c r="G19" s="14"/>
      <c r="H19" s="14"/>
    </row>
    <row r="20" spans="1:18" s="19" customFormat="1" ht="19.95" customHeight="1">
      <c r="A20" s="39" t="s">
        <v>190</v>
      </c>
      <c r="B20" s="14"/>
      <c r="C20" s="14"/>
      <c r="D20" s="14"/>
      <c r="E20" s="14"/>
      <c r="F20" s="14"/>
      <c r="G20" s="14"/>
      <c r="H20" s="14"/>
    </row>
    <row r="21" spans="1:18" s="19" customFormat="1" ht="19.95" customHeight="1">
      <c r="A21" s="39"/>
      <c r="B21" s="14"/>
      <c r="C21" s="14"/>
      <c r="D21" s="14"/>
      <c r="E21" s="14"/>
      <c r="F21" s="14"/>
      <c r="G21" s="14"/>
      <c r="H21" s="14"/>
    </row>
    <row r="22" spans="1:18" s="19" customFormat="1" ht="19.95" customHeight="1">
      <c r="A22" s="14"/>
      <c r="B22" s="14"/>
      <c r="C22" s="14"/>
      <c r="D22" s="14"/>
      <c r="E22" s="14"/>
      <c r="F22" s="14"/>
      <c r="G22" s="14"/>
      <c r="H22" s="14"/>
    </row>
    <row r="23" spans="1:18" s="19" customFormat="1" ht="18" customHeight="1">
      <c r="A23" s="205" t="s">
        <v>243</v>
      </c>
    </row>
    <row r="24" spans="1:18" s="19" customFormat="1" ht="18" customHeight="1">
      <c r="A24" s="204" t="s">
        <v>244</v>
      </c>
    </row>
    <row r="25" spans="1:18" s="19" customFormat="1" ht="15" customHeight="1"/>
    <row r="26" spans="1:18" s="19" customFormat="1" ht="15" customHeight="1"/>
    <row r="27" spans="1:18" s="19" customFormat="1" ht="15" customHeight="1"/>
    <row r="28" spans="1:18" s="19" customFormat="1" ht="15" customHeight="1"/>
    <row r="29" spans="1:18" s="19" customFormat="1" ht="15" customHeight="1"/>
  </sheetData>
  <mergeCells count="9">
    <mergeCell ref="J8:K8"/>
    <mergeCell ref="L8:O8"/>
    <mergeCell ref="A1:R1"/>
    <mergeCell ref="A2:R2"/>
    <mergeCell ref="A8:A9"/>
    <mergeCell ref="P8:P9"/>
    <mergeCell ref="B8:E8"/>
    <mergeCell ref="F8:G8"/>
    <mergeCell ref="H8:I8"/>
  </mergeCells>
  <phoneticPr fontId="18" type="noConversion"/>
  <hyperlinks>
    <hyperlink ref="R3" location="底稿目录!A1" display="底稿目录!A1"/>
  </hyperlinks>
  <printOptions horizontalCentered="1"/>
  <pageMargins left="0.70866141732283472" right="0.70866141732283472" top="0.74803149606299213" bottom="0.74803149606299213" header="0.31496062992125984" footer="0.31496062992125984"/>
  <pageSetup paperSize="9" scale="76" orientation="landscape" blackAndWhite="1" r:id="rId1"/>
  <headerFooter alignWithMargins="0">
    <oddFooter>&amp;C&amp;P/&amp;N</oddFooter>
  </headerFooter>
  <rowBreaks count="1" manualBreakCount="1">
    <brk id="19" max="17" man="1"/>
  </rowBreaks>
  <ignoredErrors>
    <ignoredError sqref="K4 E4"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view="pageBreakPreview" zoomScaleNormal="100" zoomScaleSheetLayoutView="100" workbookViewId="0">
      <selection sqref="A1:J1"/>
    </sheetView>
  </sheetViews>
  <sheetFormatPr defaultRowHeight="15.6"/>
  <cols>
    <col min="1" max="1" width="15.59765625" customWidth="1"/>
    <col min="2" max="2" width="14.3984375" customWidth="1"/>
    <col min="3" max="3" width="11.19921875" customWidth="1"/>
    <col min="4" max="4" width="13.69921875" customWidth="1"/>
    <col min="5" max="5" width="13.09765625" customWidth="1"/>
    <col min="7" max="7" width="11.5" customWidth="1"/>
    <col min="8" max="8" width="10.796875" customWidth="1"/>
    <col min="10" max="10" width="14.59765625" customWidth="1"/>
  </cols>
  <sheetData>
    <row r="1" spans="1:10" ht="19.95" customHeight="1">
      <c r="A1" s="325" t="s">
        <v>24</v>
      </c>
      <c r="B1" s="325"/>
      <c r="C1" s="325"/>
      <c r="D1" s="325"/>
      <c r="E1" s="325"/>
      <c r="F1" s="325"/>
      <c r="G1" s="325"/>
      <c r="H1" s="325"/>
      <c r="I1" s="325"/>
      <c r="J1" s="325"/>
    </row>
    <row r="2" spans="1:10" ht="19.95" customHeight="1">
      <c r="A2" s="326" t="s">
        <v>287</v>
      </c>
      <c r="B2" s="326"/>
      <c r="C2" s="326"/>
      <c r="D2" s="326"/>
      <c r="E2" s="326"/>
      <c r="F2" s="326"/>
      <c r="G2" s="326"/>
      <c r="H2" s="326"/>
      <c r="I2" s="326"/>
      <c r="J2" s="326"/>
    </row>
    <row r="3" spans="1:10" ht="19.95" customHeight="1">
      <c r="A3" s="64" t="str">
        <f>底稿目录!A2</f>
        <v>被审计单位：</v>
      </c>
      <c r="B3" s="65"/>
      <c r="C3" s="65"/>
      <c r="D3" s="65" t="str">
        <f>底稿目录!A4</f>
        <v>编制人：</v>
      </c>
      <c r="E3" s="65"/>
      <c r="F3" s="65" t="str">
        <f>底稿目录!A5</f>
        <v>编制日期：</v>
      </c>
      <c r="H3" s="65"/>
      <c r="I3" s="223" t="s">
        <v>39</v>
      </c>
      <c r="J3" s="222" t="str">
        <f>底稿目录!F9</f>
        <v>M8-3</v>
      </c>
    </row>
    <row r="4" spans="1:10" ht="19.95" customHeight="1">
      <c r="A4" s="65" t="str">
        <f>底稿目录!A3</f>
        <v>截止日：202X年12月31日</v>
      </c>
      <c r="B4" s="65"/>
      <c r="C4" s="65"/>
      <c r="D4" s="65" t="str">
        <f>底稿目录!A6</f>
        <v>复核人：</v>
      </c>
      <c r="E4" s="65"/>
      <c r="F4" s="65" t="str">
        <f>底稿目录!A7</f>
        <v>复核日期：</v>
      </c>
      <c r="H4" s="65"/>
      <c r="I4" s="224" t="s">
        <v>41</v>
      </c>
      <c r="J4" s="85"/>
    </row>
    <row r="5" spans="1:10" ht="28.8" customHeight="1">
      <c r="A5" s="225" t="s">
        <v>262</v>
      </c>
      <c r="B5" s="226" t="s">
        <v>263</v>
      </c>
      <c r="C5" s="227" t="s">
        <v>264</v>
      </c>
      <c r="D5" s="227" t="s">
        <v>265</v>
      </c>
      <c r="E5" s="182" t="s">
        <v>260</v>
      </c>
      <c r="F5" s="182" t="s">
        <v>122</v>
      </c>
      <c r="G5" s="182" t="s">
        <v>266</v>
      </c>
      <c r="H5" s="182" t="s">
        <v>267</v>
      </c>
      <c r="I5" s="182" t="s">
        <v>268</v>
      </c>
      <c r="J5" s="182" t="s">
        <v>261</v>
      </c>
    </row>
    <row r="6" spans="1:10" ht="19.95" customHeight="1">
      <c r="A6" s="183"/>
      <c r="B6" s="183"/>
      <c r="C6" s="183"/>
      <c r="D6" s="183"/>
      <c r="E6" s="183"/>
      <c r="F6" s="183"/>
      <c r="G6" s="183"/>
      <c r="H6" s="183"/>
      <c r="I6" s="183"/>
      <c r="J6" s="183"/>
    </row>
    <row r="7" spans="1:10" ht="19.95" customHeight="1">
      <c r="A7" s="184"/>
      <c r="B7" s="183"/>
      <c r="C7" s="183"/>
      <c r="D7" s="183"/>
      <c r="E7" s="183"/>
      <c r="F7" s="183"/>
      <c r="G7" s="183"/>
      <c r="H7" s="183"/>
      <c r="I7" s="183"/>
      <c r="J7" s="183"/>
    </row>
    <row r="8" spans="1:10" ht="19.95" customHeight="1">
      <c r="A8" s="185"/>
      <c r="B8" s="183"/>
      <c r="C8" s="183"/>
      <c r="D8" s="183"/>
      <c r="E8" s="183"/>
      <c r="F8" s="183"/>
      <c r="G8" s="183"/>
      <c r="H8" s="183"/>
      <c r="I8" s="183"/>
      <c r="J8" s="183"/>
    </row>
    <row r="9" spans="1:10" ht="19.95" customHeight="1">
      <c r="A9" s="185"/>
      <c r="B9" s="183"/>
      <c r="C9" s="183"/>
      <c r="D9" s="183"/>
      <c r="E9" s="183"/>
      <c r="F9" s="183"/>
      <c r="G9" s="183"/>
      <c r="H9" s="183"/>
      <c r="I9" s="183"/>
      <c r="J9" s="183"/>
    </row>
    <row r="10" spans="1:10" ht="19.95" customHeight="1">
      <c r="A10" s="185"/>
      <c r="B10" s="183"/>
      <c r="C10" s="183"/>
      <c r="D10" s="183"/>
      <c r="E10" s="183"/>
      <c r="F10" s="183"/>
      <c r="G10" s="183"/>
      <c r="H10" s="183"/>
      <c r="I10" s="183"/>
      <c r="J10" s="183"/>
    </row>
    <row r="11" spans="1:10" ht="19.95" customHeight="1">
      <c r="A11" s="127"/>
      <c r="B11" s="183"/>
      <c r="C11" s="183"/>
      <c r="D11" s="183"/>
      <c r="E11" s="183"/>
      <c r="F11" s="183"/>
      <c r="G11" s="183"/>
      <c r="H11" s="183"/>
      <c r="I11" s="183"/>
      <c r="J11" s="183"/>
    </row>
    <row r="12" spans="1:10" ht="19.95" customHeight="1">
      <c r="A12" s="185"/>
      <c r="B12" s="183"/>
      <c r="C12" s="183"/>
      <c r="D12" s="183"/>
      <c r="E12" s="183"/>
      <c r="F12" s="183"/>
      <c r="G12" s="183"/>
      <c r="H12" s="183"/>
      <c r="I12" s="183"/>
      <c r="J12" s="183"/>
    </row>
    <row r="13" spans="1:10" ht="19.95" customHeight="1">
      <c r="A13" s="185"/>
      <c r="B13" s="183"/>
      <c r="C13" s="183"/>
      <c r="D13" s="183"/>
      <c r="E13" s="183"/>
      <c r="F13" s="183"/>
      <c r="G13" s="183"/>
      <c r="H13" s="183"/>
      <c r="I13" s="183"/>
      <c r="J13" s="183"/>
    </row>
    <row r="14" spans="1:10" ht="19.95" customHeight="1">
      <c r="A14" s="185"/>
      <c r="B14" s="183"/>
      <c r="C14" s="183"/>
      <c r="D14" s="183"/>
      <c r="E14" s="183"/>
      <c r="F14" s="183"/>
      <c r="G14" s="183"/>
      <c r="H14" s="183"/>
      <c r="I14" s="183"/>
      <c r="J14" s="183"/>
    </row>
    <row r="15" spans="1:10" ht="19.95" customHeight="1">
      <c r="A15" s="185"/>
      <c r="B15" s="183"/>
      <c r="C15" s="183"/>
      <c r="D15" s="183"/>
      <c r="E15" s="183"/>
      <c r="F15" s="183"/>
      <c r="G15" s="183"/>
      <c r="H15" s="183"/>
      <c r="I15" s="183"/>
      <c r="J15" s="183"/>
    </row>
    <row r="16" spans="1:10" ht="19.95" customHeight="1">
      <c r="A16" s="185"/>
      <c r="B16" s="183"/>
      <c r="C16" s="183"/>
      <c r="D16" s="183"/>
      <c r="E16" s="183"/>
      <c r="F16" s="183"/>
      <c r="G16" s="183"/>
      <c r="H16" s="183"/>
      <c r="I16" s="183"/>
      <c r="J16" s="183"/>
    </row>
    <row r="17" spans="1:10" ht="19.95" customHeight="1">
      <c r="A17" s="185"/>
      <c r="B17" s="183"/>
      <c r="C17" s="183"/>
      <c r="D17" s="183"/>
      <c r="E17" s="183"/>
      <c r="F17" s="183"/>
      <c r="G17" s="183"/>
      <c r="H17" s="183"/>
      <c r="I17" s="183"/>
      <c r="J17" s="183"/>
    </row>
    <row r="18" spans="1:10" ht="19.95" customHeight="1">
      <c r="A18" s="185"/>
      <c r="B18" s="183"/>
      <c r="C18" s="183"/>
      <c r="D18" s="183"/>
      <c r="E18" s="183"/>
      <c r="F18" s="183"/>
      <c r="G18" s="183"/>
      <c r="H18" s="183"/>
      <c r="I18" s="183"/>
      <c r="J18" s="183"/>
    </row>
    <row r="19" spans="1:10" ht="19.95" customHeight="1">
      <c r="A19" s="185"/>
      <c r="B19" s="183"/>
      <c r="C19" s="183"/>
      <c r="D19" s="183"/>
      <c r="E19" s="183"/>
      <c r="F19" s="183"/>
      <c r="G19" s="183"/>
      <c r="H19" s="183"/>
      <c r="I19" s="183"/>
      <c r="J19" s="183"/>
    </row>
    <row r="20" spans="1:10" ht="19.95" customHeight="1">
      <c r="A20" s="185"/>
      <c r="B20" s="183"/>
      <c r="C20" s="183"/>
      <c r="D20" s="183"/>
      <c r="E20" s="183"/>
      <c r="F20" s="183"/>
      <c r="G20" s="183"/>
      <c r="H20" s="183"/>
      <c r="I20" s="183"/>
      <c r="J20" s="183"/>
    </row>
    <row r="21" spans="1:10" ht="19.95" customHeight="1">
      <c r="A21" s="128"/>
      <c r="B21" s="128"/>
      <c r="C21" s="128"/>
      <c r="D21" s="129"/>
      <c r="E21" s="129"/>
      <c r="F21" s="129"/>
      <c r="G21" s="130"/>
      <c r="H21" s="130"/>
      <c r="I21" s="129"/>
      <c r="J21" s="131"/>
    </row>
    <row r="22" spans="1:10" ht="19.95" customHeight="1">
      <c r="A22" s="66"/>
      <c r="B22" s="66"/>
      <c r="C22" s="66"/>
      <c r="D22" s="66"/>
      <c r="E22" s="132"/>
      <c r="F22" s="67"/>
      <c r="G22" s="133"/>
      <c r="H22" s="133"/>
      <c r="I22" s="133"/>
      <c r="J22" s="133"/>
    </row>
    <row r="23" spans="1:10" ht="19.95" customHeight="1">
      <c r="A23" s="186"/>
      <c r="B23" s="186"/>
      <c r="C23" s="186"/>
      <c r="D23" s="186"/>
      <c r="E23" s="186"/>
      <c r="F23" s="186"/>
      <c r="G23" s="186"/>
      <c r="H23" s="186"/>
      <c r="I23" s="186"/>
      <c r="J23" s="186"/>
    </row>
    <row r="24" spans="1:10">
      <c r="A24" s="134"/>
      <c r="B24" s="134"/>
      <c r="C24" s="134"/>
      <c r="D24" s="134"/>
      <c r="E24" s="134"/>
      <c r="F24" s="134"/>
      <c r="G24" s="134"/>
      <c r="H24" s="134"/>
      <c r="I24" s="134"/>
      <c r="J24" s="134"/>
    </row>
  </sheetData>
  <mergeCells count="2">
    <mergeCell ref="A1:J1"/>
    <mergeCell ref="A2:J2"/>
  </mergeCells>
  <phoneticPr fontId="18" type="noConversion"/>
  <dataValidations count="1">
    <dataValidation type="list" allowBlank="1" showInputMessage="1" showErrorMessage="1" sqref="B6:C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0"/>
  <sheetViews>
    <sheetView view="pageBreakPreview" zoomScaleNormal="115" zoomScaleSheetLayoutView="100" workbookViewId="0">
      <selection activeCell="K3" sqref="K3"/>
    </sheetView>
  </sheetViews>
  <sheetFormatPr defaultColWidth="9" defaultRowHeight="15.6"/>
  <cols>
    <col min="1" max="1" width="14.796875" style="43" customWidth="1"/>
    <col min="2" max="3" width="12.796875" style="43" customWidth="1"/>
    <col min="4" max="4" width="9.59765625" style="43" customWidth="1"/>
    <col min="5" max="5" width="9.796875" style="43" customWidth="1"/>
    <col min="6" max="6" width="15.296875" style="43" customWidth="1"/>
    <col min="7" max="7" width="15.09765625" style="43" customWidth="1"/>
    <col min="8" max="8" width="15.19921875" style="43" customWidth="1"/>
    <col min="9" max="10" width="9" style="43"/>
    <col min="11" max="11" width="11.69921875" style="43" customWidth="1"/>
    <col min="12" max="16384" width="9" style="43"/>
  </cols>
  <sheetData>
    <row r="1" spans="1:11" s="26" customFormat="1" ht="19.95" customHeight="1">
      <c r="A1" s="319" t="s">
        <v>24</v>
      </c>
      <c r="B1" s="319"/>
      <c r="C1" s="319"/>
      <c r="D1" s="319"/>
      <c r="E1" s="319"/>
      <c r="F1" s="319"/>
      <c r="G1" s="319"/>
      <c r="H1" s="319"/>
      <c r="I1" s="319"/>
      <c r="J1" s="319"/>
      <c r="K1" s="319"/>
    </row>
    <row r="2" spans="1:11" s="26" customFormat="1" ht="19.95" customHeight="1">
      <c r="A2" s="327" t="s">
        <v>259</v>
      </c>
      <c r="B2" s="327"/>
      <c r="C2" s="327"/>
      <c r="D2" s="327"/>
      <c r="E2" s="327"/>
      <c r="F2" s="327"/>
      <c r="G2" s="327"/>
      <c r="H2" s="327"/>
      <c r="I2" s="327"/>
      <c r="J2" s="327"/>
      <c r="K2" s="327"/>
    </row>
    <row r="3" spans="1:11" s="14" customFormat="1" ht="19.95" customHeight="1">
      <c r="A3" s="14" t="str">
        <f>底稿目录!A2</f>
        <v>被审计单位：</v>
      </c>
      <c r="B3" s="27"/>
      <c r="C3" s="27"/>
      <c r="D3" s="27" t="str">
        <f>底稿目录!A4</f>
        <v>编制人：</v>
      </c>
      <c r="G3" s="75" t="str">
        <f>底稿目录!A5</f>
        <v>编制日期：</v>
      </c>
      <c r="H3" s="74"/>
      <c r="J3" s="223" t="s">
        <v>39</v>
      </c>
      <c r="K3" s="222" t="str">
        <f>底稿目录!F10</f>
        <v>M8-4</v>
      </c>
    </row>
    <row r="4" spans="1:11" s="14" customFormat="1" ht="19.95" customHeight="1">
      <c r="A4" s="14" t="str">
        <f>底稿目录!A3</f>
        <v>截止日：202X年12月31日</v>
      </c>
      <c r="B4" s="27"/>
      <c r="C4" s="27"/>
      <c r="D4" s="27" t="str">
        <f>底稿目录!A6</f>
        <v>复核人：</v>
      </c>
      <c r="G4" s="75" t="str">
        <f>底稿目录!A7</f>
        <v>复核日期：</v>
      </c>
      <c r="H4" s="74"/>
      <c r="J4" s="224" t="s">
        <v>41</v>
      </c>
      <c r="K4" s="85"/>
    </row>
    <row r="5" spans="1:11" s="30" customFormat="1" ht="19.95" customHeight="1">
      <c r="A5" s="29" t="s">
        <v>191</v>
      </c>
      <c r="B5" s="29"/>
      <c r="C5" s="29"/>
      <c r="D5" s="29"/>
      <c r="E5" s="29"/>
      <c r="G5" s="29"/>
    </row>
    <row r="6" spans="1:11" s="30" customFormat="1" ht="19.95" customHeight="1">
      <c r="A6" s="167" t="s">
        <v>175</v>
      </c>
      <c r="B6" s="175"/>
      <c r="C6" s="48"/>
      <c r="D6" s="48"/>
      <c r="E6" s="48"/>
      <c r="F6" s="48"/>
    </row>
    <row r="7" spans="1:11" s="30" customFormat="1" ht="19.95" customHeight="1">
      <c r="A7" s="187" t="s">
        <v>192</v>
      </c>
      <c r="B7" s="32"/>
      <c r="C7" s="32"/>
      <c r="D7" s="33"/>
    </row>
    <row r="8" spans="1:11" s="30" customFormat="1" ht="19.95" customHeight="1">
      <c r="A8" s="328" t="s">
        <v>193</v>
      </c>
      <c r="B8" s="329" t="s">
        <v>194</v>
      </c>
      <c r="C8" s="329"/>
      <c r="D8" s="329" t="s">
        <v>195</v>
      </c>
      <c r="E8" s="329"/>
      <c r="F8" s="329"/>
      <c r="G8" s="329" t="s">
        <v>196</v>
      </c>
      <c r="H8" s="329" t="s">
        <v>197</v>
      </c>
      <c r="I8" s="329" t="s">
        <v>198</v>
      </c>
      <c r="J8" s="328" t="s">
        <v>199</v>
      </c>
      <c r="K8" s="328" t="s">
        <v>200</v>
      </c>
    </row>
    <row r="9" spans="1:11" s="30" customFormat="1" ht="19.95" customHeight="1">
      <c r="A9" s="328"/>
      <c r="B9" s="188" t="s">
        <v>201</v>
      </c>
      <c r="C9" s="188" t="s">
        <v>202</v>
      </c>
      <c r="D9" s="188" t="s">
        <v>203</v>
      </c>
      <c r="E9" s="188" t="s">
        <v>204</v>
      </c>
      <c r="F9" s="188" t="s">
        <v>205</v>
      </c>
      <c r="G9" s="329"/>
      <c r="H9" s="329"/>
      <c r="I9" s="329"/>
      <c r="J9" s="328"/>
      <c r="K9" s="328"/>
    </row>
    <row r="10" spans="1:11" s="30" customFormat="1" ht="19.95" customHeight="1">
      <c r="A10" s="178" t="s">
        <v>187</v>
      </c>
      <c r="B10" s="189"/>
      <c r="C10" s="189"/>
      <c r="D10" s="190"/>
      <c r="E10" s="190"/>
      <c r="F10" s="190"/>
      <c r="G10" s="155">
        <f>E10*F10</f>
        <v>0</v>
      </c>
      <c r="H10" s="155">
        <f>B10-G10</f>
        <v>0</v>
      </c>
      <c r="I10" s="191"/>
      <c r="J10" s="189"/>
      <c r="K10" s="189"/>
    </row>
    <row r="11" spans="1:11" s="30" customFormat="1" ht="19.95" customHeight="1">
      <c r="A11" s="192"/>
      <c r="B11" s="193"/>
      <c r="C11" s="189"/>
      <c r="D11" s="190"/>
      <c r="E11" s="190"/>
      <c r="F11" s="190"/>
      <c r="G11" s="155">
        <f t="shared" ref="G11:G18" si="0">E11*F11</f>
        <v>0</v>
      </c>
      <c r="H11" s="155">
        <f t="shared" ref="H11:H18" si="1">B11-G11</f>
        <v>0</v>
      </c>
      <c r="I11" s="191"/>
      <c r="J11" s="189"/>
      <c r="K11" s="189"/>
    </row>
    <row r="12" spans="1:11" s="30" customFormat="1" ht="19.95" customHeight="1">
      <c r="A12" s="192"/>
      <c r="B12" s="193"/>
      <c r="C12" s="189"/>
      <c r="D12" s="190"/>
      <c r="E12" s="190"/>
      <c r="F12" s="190"/>
      <c r="G12" s="155">
        <f t="shared" si="0"/>
        <v>0</v>
      </c>
      <c r="H12" s="155">
        <f t="shared" si="1"/>
        <v>0</v>
      </c>
      <c r="I12" s="191"/>
      <c r="J12" s="189"/>
      <c r="K12" s="189"/>
    </row>
    <row r="13" spans="1:11" s="30" customFormat="1" ht="19.95" customHeight="1">
      <c r="A13" s="192"/>
      <c r="B13" s="193"/>
      <c r="C13" s="189"/>
      <c r="D13" s="190"/>
      <c r="E13" s="190"/>
      <c r="F13" s="190"/>
      <c r="G13" s="155">
        <f t="shared" si="0"/>
        <v>0</v>
      </c>
      <c r="H13" s="155">
        <f t="shared" si="1"/>
        <v>0</v>
      </c>
      <c r="I13" s="191"/>
      <c r="J13" s="189"/>
      <c r="K13" s="189"/>
    </row>
    <row r="14" spans="1:11" s="30" customFormat="1" ht="19.95" customHeight="1">
      <c r="A14" s="192"/>
      <c r="B14" s="193"/>
      <c r="C14" s="189"/>
      <c r="D14" s="190"/>
      <c r="E14" s="190"/>
      <c r="F14" s="190"/>
      <c r="G14" s="155">
        <f t="shared" si="0"/>
        <v>0</v>
      </c>
      <c r="H14" s="155">
        <f t="shared" si="1"/>
        <v>0</v>
      </c>
      <c r="I14" s="191"/>
      <c r="J14" s="189"/>
      <c r="K14" s="189"/>
    </row>
    <row r="15" spans="1:11" s="14" customFormat="1" ht="19.95" customHeight="1">
      <c r="A15" s="192"/>
      <c r="B15" s="193"/>
      <c r="C15" s="189"/>
      <c r="D15" s="190"/>
      <c r="E15" s="190"/>
      <c r="F15" s="190"/>
      <c r="G15" s="155">
        <f t="shared" si="0"/>
        <v>0</v>
      </c>
      <c r="H15" s="155">
        <f t="shared" si="1"/>
        <v>0</v>
      </c>
      <c r="I15" s="191"/>
      <c r="J15" s="189"/>
      <c r="K15" s="189"/>
    </row>
    <row r="16" spans="1:11" s="14" customFormat="1" ht="19.95" customHeight="1">
      <c r="A16" s="192"/>
      <c r="B16" s="193"/>
      <c r="C16" s="189"/>
      <c r="D16" s="190"/>
      <c r="E16" s="190"/>
      <c r="F16" s="190"/>
      <c r="G16" s="155">
        <f t="shared" si="0"/>
        <v>0</v>
      </c>
      <c r="H16" s="155">
        <f t="shared" si="1"/>
        <v>0</v>
      </c>
      <c r="I16" s="191"/>
      <c r="J16" s="189"/>
      <c r="K16" s="189"/>
    </row>
    <row r="17" spans="1:11" s="39" customFormat="1" ht="19.95" customHeight="1">
      <c r="A17" s="192"/>
      <c r="B17" s="193"/>
      <c r="C17" s="189"/>
      <c r="D17" s="190"/>
      <c r="E17" s="190"/>
      <c r="F17" s="190"/>
      <c r="G17" s="155">
        <f t="shared" si="0"/>
        <v>0</v>
      </c>
      <c r="H17" s="155">
        <f t="shared" si="1"/>
        <v>0</v>
      </c>
      <c r="I17" s="191"/>
      <c r="J17" s="189"/>
      <c r="K17" s="189"/>
    </row>
    <row r="18" spans="1:11" s="14" customFormat="1" ht="19.95" customHeight="1">
      <c r="A18" s="192"/>
      <c r="B18" s="193"/>
      <c r="C18" s="189"/>
      <c r="D18" s="190"/>
      <c r="E18" s="190"/>
      <c r="F18" s="190"/>
      <c r="G18" s="155">
        <f t="shared" si="0"/>
        <v>0</v>
      </c>
      <c r="H18" s="155">
        <f t="shared" si="1"/>
        <v>0</v>
      </c>
      <c r="I18" s="191"/>
      <c r="J18" s="189"/>
      <c r="K18" s="189"/>
    </row>
    <row r="19" spans="1:11" s="14" customFormat="1" ht="19.95" customHeight="1">
      <c r="A19" s="212" t="s">
        <v>206</v>
      </c>
      <c r="B19" s="215">
        <f>SUM(B10:B18)</f>
        <v>0</v>
      </c>
      <c r="C19" s="215">
        <f>SUM(C10:C18)</f>
        <v>0</v>
      </c>
      <c r="D19" s="216"/>
      <c r="E19" s="216"/>
      <c r="F19" s="216"/>
      <c r="G19" s="215">
        <f>SUM(G10:G18)</f>
        <v>0</v>
      </c>
      <c r="H19" s="215">
        <f>SUM(H10:H18)</f>
        <v>0</v>
      </c>
      <c r="I19" s="214"/>
      <c r="J19" s="217"/>
      <c r="K19" s="217"/>
    </row>
    <row r="20" spans="1:11" s="14" customFormat="1" ht="19.95" customHeight="1">
      <c r="A20" s="187" t="s">
        <v>207</v>
      </c>
      <c r="F20" s="39"/>
      <c r="G20" s="27"/>
    </row>
    <row r="21" spans="1:11" s="14" customFormat="1" ht="19.95" customHeight="1">
      <c r="F21" s="27"/>
      <c r="G21" s="27"/>
    </row>
    <row r="22" spans="1:11" s="14" customFormat="1" ht="19.95" customHeight="1">
      <c r="A22" s="39"/>
      <c r="B22" s="39"/>
      <c r="C22" s="39"/>
      <c r="D22" s="39"/>
      <c r="E22" s="39"/>
      <c r="F22" s="27"/>
      <c r="G22" s="40"/>
      <c r="H22" s="39"/>
      <c r="I22" s="39"/>
      <c r="J22" s="39"/>
      <c r="K22" s="39"/>
    </row>
    <row r="23" spans="1:11" s="14" customFormat="1" ht="19.95" customHeight="1">
      <c r="F23" s="27"/>
      <c r="G23" s="27"/>
    </row>
    <row r="24" spans="1:11" s="14" customFormat="1" ht="19.95" customHeight="1">
      <c r="F24" s="27"/>
      <c r="G24" s="27"/>
    </row>
    <row r="25" spans="1:11" ht="19.95" customHeight="1">
      <c r="A25" s="39" t="s">
        <v>190</v>
      </c>
      <c r="B25" s="14"/>
      <c r="C25" s="14"/>
      <c r="D25" s="14"/>
      <c r="E25" s="14"/>
      <c r="F25" s="27"/>
      <c r="G25" s="27"/>
      <c r="H25" s="14"/>
      <c r="I25" s="14"/>
      <c r="J25" s="14"/>
      <c r="K25" s="14"/>
    </row>
    <row r="26" spans="1:11" ht="19.95" customHeight="1">
      <c r="A26" s="14"/>
      <c r="B26" s="14"/>
      <c r="C26" s="14"/>
      <c r="D26" s="14"/>
      <c r="E26" s="14"/>
      <c r="F26" s="27"/>
      <c r="G26" s="27"/>
      <c r="H26" s="14"/>
      <c r="I26" s="14"/>
      <c r="J26" s="14"/>
      <c r="K26" s="14"/>
    </row>
    <row r="27" spans="1:11" ht="19.95" customHeight="1">
      <c r="A27" s="38"/>
      <c r="B27" s="14"/>
      <c r="C27" s="27"/>
      <c r="D27" s="27"/>
      <c r="E27" s="27"/>
      <c r="F27" s="27"/>
      <c r="G27" s="27"/>
      <c r="H27" s="14"/>
      <c r="I27" s="14"/>
      <c r="J27" s="14"/>
      <c r="K27" s="14"/>
    </row>
    <row r="28" spans="1:11" ht="18" customHeight="1">
      <c r="A28" s="46"/>
      <c r="B28" s="47"/>
    </row>
    <row r="29" spans="1:11" ht="18" customHeight="1">
      <c r="A29" s="46"/>
      <c r="B29" s="47"/>
    </row>
    <row r="30" spans="1:11" ht="18" customHeight="1">
      <c r="A30" s="46"/>
      <c r="B30" s="47"/>
    </row>
  </sheetData>
  <mergeCells count="10">
    <mergeCell ref="A1:K1"/>
    <mergeCell ref="A2:K2"/>
    <mergeCell ref="A8:A9"/>
    <mergeCell ref="B8:C8"/>
    <mergeCell ref="D8:F8"/>
    <mergeCell ref="G8:G9"/>
    <mergeCell ref="H8:H9"/>
    <mergeCell ref="I8:I9"/>
    <mergeCell ref="J8:J9"/>
    <mergeCell ref="K8:K9"/>
  </mergeCells>
  <phoneticPr fontId="18" type="noConversion"/>
  <hyperlinks>
    <hyperlink ref="K3" location="底稿目录!A1" display="底稿目录!A1"/>
  </hyperlinks>
  <printOptions horizontalCentered="1"/>
  <pageMargins left="0.70866141732283472" right="0.70866141732283472" top="0.74803149606299213" bottom="0.74803149606299213" header="0.31496062992125984" footer="0.31496062992125984"/>
  <pageSetup paperSize="9" scale="91" orientation="landscape" blackAndWhite="1" r:id="rId1"/>
  <headerFooter alignWithMargins="0">
    <oddFooter>&amp;C&amp;P/&amp;N</oddFooter>
  </headerFooter>
  <rowBreaks count="1" manualBreakCount="1">
    <brk id="16" max="10"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41"/>
  <sheetViews>
    <sheetView view="pageBreakPreview" zoomScaleSheetLayoutView="100" workbookViewId="0">
      <selection activeCell="I22" sqref="I22"/>
    </sheetView>
  </sheetViews>
  <sheetFormatPr defaultColWidth="9" defaultRowHeight="15.6"/>
  <cols>
    <col min="1" max="2" width="9" style="43"/>
    <col min="3" max="3" width="21.5" style="43" customWidth="1"/>
    <col min="4" max="5" width="10.69921875" style="43" customWidth="1"/>
    <col min="6" max="6" width="13.59765625" style="43" customWidth="1"/>
    <col min="7" max="7" width="15.296875" style="43" customWidth="1"/>
    <col min="8" max="8" width="12.19921875" style="43" customWidth="1"/>
    <col min="9" max="9" width="23.69921875" style="43" customWidth="1"/>
    <col min="10" max="10" width="9.19921875" style="43" customWidth="1"/>
    <col min="11" max="11" width="14.3984375" style="43" customWidth="1"/>
    <col min="12" max="12" width="19.8984375" style="43" customWidth="1"/>
    <col min="13" max="16384" width="9" style="43"/>
  </cols>
  <sheetData>
    <row r="1" spans="1:12" s="26" customFormat="1" ht="19.95" customHeight="1">
      <c r="A1" s="332" t="s">
        <v>121</v>
      </c>
      <c r="B1" s="332"/>
      <c r="C1" s="332"/>
      <c r="D1" s="332"/>
      <c r="E1" s="332"/>
      <c r="F1" s="332"/>
      <c r="G1" s="332"/>
      <c r="H1" s="332"/>
      <c r="I1" s="332"/>
      <c r="J1" s="332"/>
      <c r="K1" s="332"/>
      <c r="L1" s="332"/>
    </row>
    <row r="2" spans="1:12" s="26" customFormat="1" ht="19.95" customHeight="1">
      <c r="A2" s="333" t="s">
        <v>208</v>
      </c>
      <c r="B2" s="333"/>
      <c r="C2" s="333"/>
      <c r="D2" s="333"/>
      <c r="E2" s="333"/>
      <c r="F2" s="333"/>
      <c r="G2" s="333"/>
      <c r="H2" s="333"/>
      <c r="I2" s="333"/>
      <c r="J2" s="333"/>
      <c r="K2" s="333"/>
      <c r="L2" s="333"/>
    </row>
    <row r="3" spans="1:12" s="14" customFormat="1" ht="19.95" customHeight="1">
      <c r="A3" s="14" t="str">
        <f>底稿目录!A2</f>
        <v>被审计单位：</v>
      </c>
      <c r="B3" s="27"/>
      <c r="C3" s="27"/>
      <c r="E3" s="27" t="str">
        <f>底稿目录!A4</f>
        <v>编制人：</v>
      </c>
      <c r="F3" s="27"/>
      <c r="H3" s="75" t="str">
        <f>底稿目录!A5</f>
        <v>编制日期：</v>
      </c>
      <c r="J3" s="74"/>
      <c r="K3" s="74"/>
      <c r="L3" s="27" t="s">
        <v>209</v>
      </c>
    </row>
    <row r="4" spans="1:12" s="14" customFormat="1" ht="19.95" customHeight="1">
      <c r="A4" s="14" t="str">
        <f>底稿目录!A3</f>
        <v>截止日：202X年12月31日</v>
      </c>
      <c r="B4" s="27"/>
      <c r="C4" s="27"/>
      <c r="E4" s="27" t="str">
        <f>底稿目录!A6</f>
        <v>复核人：</v>
      </c>
      <c r="F4" s="27"/>
      <c r="H4" s="75" t="str">
        <f>底稿目录!A7</f>
        <v>复核日期：</v>
      </c>
      <c r="J4" s="74"/>
      <c r="K4" s="74"/>
      <c r="L4" s="27" t="s">
        <v>157</v>
      </c>
    </row>
    <row r="5" spans="1:12" s="30" customFormat="1" ht="19.95" customHeight="1">
      <c r="A5" s="29" t="s">
        <v>210</v>
      </c>
      <c r="B5" s="29"/>
      <c r="C5" s="29"/>
      <c r="D5" s="29"/>
      <c r="E5" s="29"/>
      <c r="F5" s="29"/>
      <c r="G5" s="29"/>
      <c r="H5" s="29"/>
      <c r="I5" s="29"/>
      <c r="J5" s="29"/>
      <c r="K5" s="29"/>
      <c r="L5" s="29"/>
    </row>
    <row r="6" spans="1:12" s="30" customFormat="1" ht="19.95" customHeight="1">
      <c r="A6" s="48" t="s">
        <v>211</v>
      </c>
      <c r="B6" s="48"/>
      <c r="C6" s="48"/>
      <c r="D6" s="48"/>
      <c r="E6" s="48"/>
      <c r="F6" s="48"/>
      <c r="G6" s="48"/>
      <c r="H6" s="48"/>
      <c r="I6" s="48"/>
      <c r="J6" s="48"/>
      <c r="K6" s="48"/>
      <c r="L6" s="48"/>
    </row>
    <row r="7" spans="1:12" s="30" customFormat="1" ht="19.95" customHeight="1">
      <c r="A7" s="29" t="s">
        <v>212</v>
      </c>
      <c r="B7" s="29"/>
      <c r="C7" s="29"/>
      <c r="D7" s="29"/>
      <c r="E7" s="29"/>
      <c r="F7" s="29"/>
      <c r="G7" s="29"/>
      <c r="H7" s="29"/>
      <c r="I7" s="29"/>
      <c r="J7" s="29"/>
      <c r="K7" s="29"/>
      <c r="L7" s="29"/>
    </row>
    <row r="8" spans="1:12" s="30" customFormat="1" ht="19.95" customHeight="1">
      <c r="A8" s="194" t="s">
        <v>213</v>
      </c>
      <c r="B8" s="195" t="s">
        <v>214</v>
      </c>
      <c r="C8" s="21"/>
      <c r="D8" s="21"/>
      <c r="E8" s="194"/>
      <c r="F8" s="195"/>
      <c r="G8" s="194" t="s">
        <v>215</v>
      </c>
      <c r="H8" s="195" t="s">
        <v>216</v>
      </c>
      <c r="I8" s="29"/>
      <c r="J8" s="29"/>
      <c r="K8" s="29"/>
      <c r="L8" s="29"/>
    </row>
    <row r="9" spans="1:12" s="30" customFormat="1" ht="19.95" customHeight="1">
      <c r="A9" s="194" t="s">
        <v>217</v>
      </c>
      <c r="B9" s="195" t="s">
        <v>218</v>
      </c>
      <c r="C9" s="21"/>
      <c r="D9" s="21"/>
      <c r="E9" s="194"/>
      <c r="F9" s="195"/>
      <c r="G9" s="194" t="s">
        <v>219</v>
      </c>
      <c r="H9" s="195" t="s">
        <v>220</v>
      </c>
      <c r="I9" s="195" t="s">
        <v>221</v>
      </c>
      <c r="J9" s="29"/>
      <c r="K9" s="29"/>
      <c r="L9" s="29"/>
    </row>
    <row r="10" spans="1:12" s="30" customFormat="1" ht="19.95" customHeight="1">
      <c r="A10" s="194" t="s">
        <v>222</v>
      </c>
      <c r="B10" s="195" t="s">
        <v>223</v>
      </c>
      <c r="D10" s="21"/>
      <c r="E10" s="194"/>
      <c r="F10" s="195"/>
      <c r="G10" s="194" t="s">
        <v>224</v>
      </c>
      <c r="H10" s="195" t="s">
        <v>225</v>
      </c>
      <c r="I10" s="21"/>
      <c r="J10" s="29"/>
      <c r="K10" s="29"/>
      <c r="L10" s="29"/>
    </row>
    <row r="11" spans="1:12" s="30" customFormat="1" ht="19.95" customHeight="1">
      <c r="A11" s="196" t="s">
        <v>226</v>
      </c>
      <c r="B11" s="70"/>
      <c r="C11" s="70"/>
      <c r="D11" s="71"/>
      <c r="E11" s="72"/>
      <c r="F11" s="72"/>
      <c r="G11" s="31"/>
      <c r="H11" s="31"/>
      <c r="I11" s="31"/>
      <c r="J11" s="31"/>
      <c r="K11" s="31"/>
      <c r="L11" s="31"/>
    </row>
    <row r="12" spans="1:12" s="30" customFormat="1" ht="19.95" customHeight="1">
      <c r="A12" s="206" t="s">
        <v>245</v>
      </c>
      <c r="B12" s="70"/>
      <c r="C12" s="70"/>
      <c r="D12" s="71"/>
      <c r="E12" s="72"/>
      <c r="F12" s="72"/>
      <c r="G12" s="31"/>
      <c r="H12" s="31"/>
      <c r="I12" s="31"/>
      <c r="J12" s="31"/>
      <c r="K12" s="31"/>
      <c r="L12" s="31"/>
    </row>
    <row r="13" spans="1:12" s="14" customFormat="1" ht="19.95" customHeight="1">
      <c r="A13" s="334" t="s">
        <v>227</v>
      </c>
      <c r="B13" s="334"/>
      <c r="C13" s="334"/>
      <c r="D13" s="334"/>
      <c r="E13" s="334"/>
      <c r="F13" s="334"/>
      <c r="G13" s="335" t="s">
        <v>228</v>
      </c>
      <c r="H13" s="336"/>
      <c r="I13" s="337"/>
      <c r="J13" s="330" t="s">
        <v>122</v>
      </c>
      <c r="K13" s="330" t="s">
        <v>229</v>
      </c>
      <c r="L13" s="331" t="s">
        <v>230</v>
      </c>
    </row>
    <row r="14" spans="1:12" s="14" customFormat="1" ht="19.95" customHeight="1">
      <c r="A14" s="197" t="s">
        <v>231</v>
      </c>
      <c r="B14" s="197" t="s">
        <v>232</v>
      </c>
      <c r="C14" s="197" t="s">
        <v>233</v>
      </c>
      <c r="D14" s="197" t="s">
        <v>234</v>
      </c>
      <c r="E14" s="197" t="s">
        <v>235</v>
      </c>
      <c r="F14" s="199" t="s">
        <v>236</v>
      </c>
      <c r="G14" s="200" t="s">
        <v>237</v>
      </c>
      <c r="H14" s="200" t="s">
        <v>238</v>
      </c>
      <c r="I14" s="198" t="s">
        <v>239</v>
      </c>
      <c r="J14" s="330"/>
      <c r="K14" s="330"/>
      <c r="L14" s="331"/>
    </row>
    <row r="15" spans="1:12" s="14" customFormat="1" ht="19.95" customHeight="1">
      <c r="A15" s="78"/>
      <c r="B15" s="34"/>
      <c r="C15" s="35"/>
      <c r="D15" s="34"/>
      <c r="E15" s="34"/>
      <c r="F15" s="34"/>
      <c r="G15" s="36"/>
      <c r="H15" s="36"/>
      <c r="I15" s="24"/>
      <c r="J15" s="36"/>
      <c r="K15" s="36"/>
      <c r="L15" s="36"/>
    </row>
    <row r="16" spans="1:12" s="14" customFormat="1" ht="19.95" customHeight="1">
      <c r="A16" s="78"/>
      <c r="B16" s="34"/>
      <c r="C16" s="35"/>
      <c r="D16" s="34"/>
      <c r="E16" s="34"/>
      <c r="F16" s="34"/>
      <c r="G16" s="36"/>
      <c r="H16" s="36"/>
      <c r="I16" s="24"/>
      <c r="J16" s="36"/>
      <c r="K16" s="36"/>
      <c r="L16" s="36"/>
    </row>
    <row r="17" spans="1:12" s="14" customFormat="1" ht="19.95" customHeight="1">
      <c r="A17" s="78"/>
      <c r="B17" s="34"/>
      <c r="C17" s="35"/>
      <c r="D17" s="34"/>
      <c r="E17" s="34"/>
      <c r="F17" s="34"/>
      <c r="G17" s="36"/>
      <c r="H17" s="36"/>
      <c r="I17" s="24"/>
      <c r="J17" s="36"/>
      <c r="K17" s="36"/>
      <c r="L17" s="36"/>
    </row>
    <row r="18" spans="1:12" s="14" customFormat="1" ht="19.95" customHeight="1">
      <c r="A18" s="78"/>
      <c r="B18" s="34"/>
      <c r="C18" s="35"/>
      <c r="D18" s="34"/>
      <c r="E18" s="34"/>
      <c r="F18" s="34"/>
      <c r="G18" s="36"/>
      <c r="H18" s="36"/>
      <c r="I18" s="24"/>
      <c r="J18" s="36"/>
      <c r="K18" s="36"/>
      <c r="L18" s="36"/>
    </row>
    <row r="19" spans="1:12" s="14" customFormat="1" ht="19.95" customHeight="1">
      <c r="A19" s="78"/>
      <c r="B19" s="34"/>
      <c r="C19" s="35"/>
      <c r="D19" s="34"/>
      <c r="E19" s="34"/>
      <c r="F19" s="34"/>
      <c r="G19" s="36"/>
      <c r="H19" s="36"/>
      <c r="I19" s="24"/>
      <c r="J19" s="36"/>
      <c r="K19" s="36"/>
      <c r="L19" s="36"/>
    </row>
    <row r="20" spans="1:12" s="14" customFormat="1" ht="19.95" customHeight="1">
      <c r="A20" s="78"/>
      <c r="B20" s="34"/>
      <c r="C20" s="35"/>
      <c r="D20" s="34"/>
      <c r="E20" s="34"/>
      <c r="F20" s="34"/>
      <c r="G20" s="36"/>
      <c r="H20" s="36"/>
      <c r="I20" s="24"/>
      <c r="J20" s="36"/>
      <c r="K20" s="36"/>
      <c r="L20" s="36"/>
    </row>
    <row r="21" spans="1:12" s="14" customFormat="1" ht="19.95" customHeight="1">
      <c r="A21" s="78"/>
      <c r="B21" s="34"/>
      <c r="C21" s="35"/>
      <c r="D21" s="34"/>
      <c r="E21" s="34"/>
      <c r="F21" s="34"/>
      <c r="G21" s="36"/>
      <c r="H21" s="36"/>
      <c r="I21" s="24"/>
      <c r="J21" s="36"/>
      <c r="K21" s="36"/>
      <c r="L21" s="36"/>
    </row>
    <row r="22" spans="1:12" s="14" customFormat="1" ht="19.95" customHeight="1">
      <c r="A22" s="78"/>
      <c r="B22" s="34"/>
      <c r="C22" s="35"/>
      <c r="D22" s="34"/>
      <c r="E22" s="34"/>
      <c r="F22" s="34"/>
      <c r="G22" s="36"/>
      <c r="H22" s="36"/>
      <c r="I22" s="24"/>
      <c r="J22" s="36"/>
      <c r="K22" s="36"/>
      <c r="L22" s="36"/>
    </row>
    <row r="23" spans="1:12" s="14" customFormat="1" ht="19.95" customHeight="1">
      <c r="A23" s="78"/>
      <c r="B23" s="34"/>
      <c r="C23" s="35"/>
      <c r="D23" s="34"/>
      <c r="E23" s="34"/>
      <c r="F23" s="34"/>
      <c r="G23" s="36"/>
      <c r="H23" s="36"/>
      <c r="I23" s="24"/>
      <c r="J23" s="36"/>
      <c r="K23" s="36"/>
      <c r="L23" s="36"/>
    </row>
    <row r="24" spans="1:12" s="14" customFormat="1" ht="19.95" customHeight="1">
      <c r="A24" s="201"/>
      <c r="B24" s="34"/>
      <c r="C24" s="35"/>
      <c r="D24" s="34"/>
      <c r="E24" s="34"/>
      <c r="F24" s="34"/>
      <c r="G24" s="36"/>
      <c r="H24" s="36"/>
      <c r="I24" s="24"/>
      <c r="J24" s="36"/>
      <c r="K24" s="36"/>
      <c r="L24" s="36"/>
    </row>
    <row r="25" spans="1:12" s="14" customFormat="1" ht="19.95" customHeight="1">
      <c r="A25" s="201" t="s">
        <v>240</v>
      </c>
      <c r="B25" s="34"/>
      <c r="C25" s="35"/>
      <c r="D25" s="34"/>
      <c r="E25" s="34"/>
      <c r="F25" s="34"/>
      <c r="G25" s="36"/>
      <c r="H25" s="36"/>
      <c r="I25" s="24"/>
      <c r="J25" s="36"/>
      <c r="K25" s="36"/>
      <c r="L25" s="36"/>
    </row>
    <row r="26" spans="1:12" s="14" customFormat="1" ht="19.95" customHeight="1">
      <c r="A26" s="202" t="s">
        <v>241</v>
      </c>
      <c r="B26" s="25"/>
      <c r="C26" s="25"/>
      <c r="D26" s="25"/>
      <c r="E26" s="25"/>
      <c r="F26" s="25"/>
      <c r="G26" s="25"/>
      <c r="H26" s="203"/>
      <c r="I26" s="19"/>
      <c r="J26" s="21"/>
      <c r="K26" s="19"/>
      <c r="L26" s="37"/>
    </row>
    <row r="27" spans="1:12" s="14" customFormat="1" ht="19.95" customHeight="1">
      <c r="I27" s="19"/>
      <c r="J27" s="21"/>
      <c r="K27" s="19"/>
      <c r="L27" s="38"/>
    </row>
    <row r="28" spans="1:12" s="39" customFormat="1" ht="19.95" customHeight="1">
      <c r="I28" s="19"/>
      <c r="J28" s="21"/>
      <c r="K28" s="21"/>
      <c r="L28" s="40"/>
    </row>
    <row r="29" spans="1:12" s="14" customFormat="1" ht="19.95" customHeight="1">
      <c r="I29" s="27"/>
      <c r="J29" s="27"/>
      <c r="K29" s="27"/>
      <c r="L29" s="27"/>
    </row>
    <row r="30" spans="1:12" s="14" customFormat="1" ht="19.95" customHeight="1">
      <c r="I30" s="27"/>
      <c r="J30" s="27"/>
      <c r="K30" s="27"/>
      <c r="L30" s="27"/>
    </row>
    <row r="31" spans="1:12" s="14" customFormat="1" ht="19.95" customHeight="1">
      <c r="A31" s="39" t="s">
        <v>242</v>
      </c>
      <c r="H31" s="160"/>
      <c r="I31" s="27"/>
      <c r="J31" s="27"/>
      <c r="K31" s="27"/>
      <c r="L31" s="27"/>
    </row>
    <row r="32" spans="1:12" s="14" customFormat="1" ht="19.95" customHeight="1">
      <c r="I32" s="27"/>
      <c r="J32" s="27"/>
      <c r="K32" s="27"/>
      <c r="L32" s="27"/>
    </row>
    <row r="33" spans="1:12" s="14" customFormat="1" ht="18" customHeight="1">
      <c r="A33" s="38"/>
      <c r="C33" s="27"/>
      <c r="D33" s="27"/>
      <c r="E33" s="27"/>
      <c r="F33" s="27"/>
      <c r="G33" s="27"/>
      <c r="H33" s="27"/>
      <c r="I33" s="27"/>
      <c r="J33" s="27"/>
      <c r="K33" s="27"/>
      <c r="L33" s="27"/>
    </row>
    <row r="34" spans="1:12" s="14" customFormat="1" ht="18" customHeight="1">
      <c r="A34" s="38"/>
      <c r="C34" s="27"/>
      <c r="D34" s="27"/>
      <c r="E34" s="27"/>
      <c r="F34" s="27"/>
      <c r="G34" s="27"/>
      <c r="H34" s="27"/>
      <c r="I34" s="27"/>
      <c r="J34" s="27"/>
      <c r="K34" s="27"/>
      <c r="L34" s="27"/>
    </row>
    <row r="35" spans="1:12" s="14" customFormat="1" ht="18" customHeight="1">
      <c r="A35" s="41"/>
    </row>
    <row r="36" spans="1:12" ht="18" customHeight="1">
      <c r="A36" s="42"/>
      <c r="B36" s="42"/>
    </row>
    <row r="37" spans="1:12" ht="18" customHeight="1">
      <c r="A37" s="44"/>
      <c r="B37" s="44"/>
    </row>
    <row r="38" spans="1:12" ht="18" customHeight="1">
      <c r="A38" s="45"/>
      <c r="B38" s="44"/>
    </row>
    <row r="39" spans="1:12" ht="18" customHeight="1">
      <c r="A39" s="46"/>
      <c r="B39" s="47"/>
    </row>
    <row r="40" spans="1:12" ht="18" customHeight="1">
      <c r="A40" s="46"/>
      <c r="B40" s="47"/>
    </row>
    <row r="41" spans="1:12" ht="18" customHeight="1">
      <c r="A41" s="46"/>
      <c r="B41" s="47"/>
    </row>
  </sheetData>
  <mergeCells count="7">
    <mergeCell ref="K13:K14"/>
    <mergeCell ref="L13:L14"/>
    <mergeCell ref="A1:L1"/>
    <mergeCell ref="A2:L2"/>
    <mergeCell ref="A13:F13"/>
    <mergeCell ref="G13:I13"/>
    <mergeCell ref="J13:J14"/>
  </mergeCells>
  <phoneticPr fontId="18" type="noConversion"/>
  <dataValidations count="2">
    <dataValidation type="list" allowBlank="1" showInputMessage="1" showErrorMessage="1" sqref="I15:I25">
      <formula1>"√,X"</formula1>
    </dataValidation>
    <dataValidation type="list" allowBlank="1" showInputMessage="1" showErrorMessage="1" sqref="C31">
      <formula1>"A：未见异常，可以确认。,B：经审计调整可以确认。,C：由于存在上述重大未调整事项（或审计范围受到限制无法获取充分、适当证据），不可确认。"</formula1>
    </dataValidation>
  </dataValidations>
  <printOptions horizontalCentered="1"/>
  <pageMargins left="0.70866141732283472" right="0.70866141732283472" top="0.74803149606299213" bottom="0.74803149606299213" header="0.31496062992125984" footer="0.31496062992125984"/>
  <pageSetup paperSize="9" scale="72" orientation="landscape" blackAndWhite="1" r:id="rId1"/>
  <headerFooter alignWithMargins="0">
    <oddFooter>&amp;C&amp;P/&amp;N</oddFooter>
  </headerFooter>
  <ignoredErrors>
    <ignoredError sqref="A3:H4"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5</v>
      </c>
      <c r="B1" t="s">
        <v>6</v>
      </c>
    </row>
    <row r="2" spans="1:2">
      <c r="A2" t="s">
        <v>7</v>
      </c>
      <c r="B2" t="s">
        <v>8</v>
      </c>
    </row>
    <row r="3" spans="1:2">
      <c r="A3" t="s">
        <v>9</v>
      </c>
      <c r="B3" t="s">
        <v>10</v>
      </c>
    </row>
    <row r="4" spans="1:2">
      <c r="A4" t="s">
        <v>11</v>
      </c>
      <c r="B4" t="s">
        <v>12</v>
      </c>
    </row>
    <row r="5" spans="1:2">
      <c r="A5" t="s">
        <v>13</v>
      </c>
      <c r="B5" t="s">
        <v>14</v>
      </c>
    </row>
    <row r="6" spans="1:2">
      <c r="A6" t="s">
        <v>15</v>
      </c>
      <c r="B6" t="s">
        <v>16</v>
      </c>
    </row>
    <row r="7" spans="1:2">
      <c r="A7" t="s">
        <v>17</v>
      </c>
      <c r="B7" t="s">
        <v>18</v>
      </c>
    </row>
    <row r="8" spans="1:2">
      <c r="A8" t="s">
        <v>19</v>
      </c>
      <c r="B8" t="s">
        <v>20</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10</vt:i4>
      </vt:variant>
    </vt:vector>
  </HeadingPairs>
  <TitlesOfParts>
    <vt:vector size="21" baseType="lpstr">
      <vt:lpstr>底稿目录</vt:lpstr>
      <vt:lpstr>一般风险准备实质性程序表 M8A </vt:lpstr>
      <vt:lpstr>一般风险准备实质性程序表 Q8A  (修订前)</vt:lpstr>
      <vt:lpstr>审定表M8-1</vt:lpstr>
      <vt:lpstr>附注披露信息（上市公司）</vt:lpstr>
      <vt:lpstr>附注披露信息（国有企业）</vt:lpstr>
      <vt:lpstr>明细表M8-2</vt:lpstr>
      <vt:lpstr>调整分录汇总M8-3</vt:lpstr>
      <vt:lpstr>一般风险准备测试表M8-4</vt:lpstr>
      <vt:lpstr>针对性测试M8-5-删除</vt:lpstr>
      <vt:lpstr>GT_Custom</vt:lpstr>
      <vt:lpstr>'调整分录汇总M8-3'!Print_Area</vt:lpstr>
      <vt:lpstr>'附注披露信息（上市公司）'!Print_Area</vt:lpstr>
      <vt:lpstr>'明细表M8-2'!Print_Area</vt:lpstr>
      <vt:lpstr>'审定表M8-1'!Print_Area</vt:lpstr>
      <vt:lpstr>'一般风险准备测试表M8-4'!Print_Area</vt:lpstr>
      <vt:lpstr>'一般风险准备实质性程序表 M8A '!Print_Area</vt:lpstr>
      <vt:lpstr>'一般风险准备实质性程序表 Q8A  (修订前)'!Print_Area</vt:lpstr>
      <vt:lpstr>'针对性测试M8-5-删除'!Print_Area</vt:lpstr>
      <vt:lpstr>'一般风险准备实质性程序表 M8A '!Print_Titles</vt:lpstr>
      <vt:lpstr>'一般风险准备实质性程序表 Q8A  (修订前)'!Print_Titles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2025-10-23T02:46:49Z</cp:lastPrinted>
  <dcterms:created xsi:type="dcterms:W3CDTF">2007-05-20T08:51:05Z</dcterms:created>
  <dcterms:modified xsi:type="dcterms:W3CDTF">2025-11-05T08:30:00Z</dcterms:modified>
</cp:coreProperties>
</file>