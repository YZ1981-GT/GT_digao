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882"/>
  </bookViews>
  <sheets>
    <sheet name="底稿目录" sheetId="1" r:id="rId1"/>
    <sheet name="应付股利实质性程序表M1" sheetId="25" r:id="rId2"/>
    <sheet name="审定表M1-1" sheetId="21" r:id="rId3"/>
    <sheet name="附注披露信息（上市公司）" sheetId="17" r:id="rId4"/>
    <sheet name="附注披露信息（国有企业）" sheetId="19" r:id="rId5"/>
    <sheet name="明细表M1-2" sheetId="13" r:id="rId6"/>
    <sheet name="调整分录汇总M1-3" sheetId="24" r:id="rId7"/>
    <sheet name="外币汇率测算表M1-4" sheetId="22" r:id="rId8"/>
    <sheet name="应付股利（利润）测算表M1-5" sheetId="20" r:id="rId9"/>
    <sheet name="应付股利（利润）检查表M1-6" sheetId="16" r:id="rId10"/>
    <sheet name="GT_Custom" sheetId="18"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_xlnm._FilterDatabase" localSheetId="1" hidden="1">应付股利实质性程序表M1!$A$15:$I$15</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6">'调整分录汇总M1-3'!$A$1:$J$23</definedName>
    <definedName name="_xlnm.Print_Area" localSheetId="4">'附注披露信息（国有企业）'!$A$1:$D$16</definedName>
    <definedName name="_xlnm.Print_Area" localSheetId="5">'明细表M1-2'!$A$1:$U$34</definedName>
    <definedName name="_xlnm.Print_Area" localSheetId="2">'审定表M1-1'!$A$1:$L$30</definedName>
    <definedName name="_xlnm.Print_Area" localSheetId="7">'外币汇率测算表M1-4'!$A$1:$G$20</definedName>
    <definedName name="_xlnm.Print_Area" localSheetId="8">'应付股利（利润）测算表M1-5'!$A$1:$H$23</definedName>
    <definedName name="_xlnm.Print_Area" localSheetId="9">'应付股利（利润）检查表M1-6'!$A$1:$P$27</definedName>
    <definedName name="_xlnm.Print_Area" localSheetId="1">应付股利实质性程序表M1!$A$1:$I$24</definedName>
    <definedName name="_xlnm.Print_Titles" localSheetId="1">应付股利实质性程序表M1!$15:$15</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编制">[6]表头!$B$3</definedName>
    <definedName name="存货93期初">[7]企业表一!$C$7</definedName>
    <definedName name="存货93期末">[7]企业表一!$D$7</definedName>
    <definedName name="存货94期初">[7]企业表一!$E$7</definedName>
    <definedName name="存货94期末">[7]企业表一!$F$7</definedName>
    <definedName name="存货95期初">[7]企业表一!$G$7</definedName>
    <definedName name="存货95期末">[7]企业表一!$H$7</definedName>
    <definedName name="底稿目录" hidden="1">#REF!</definedName>
    <definedName name="负债合计93期末">[7]企业表一!$D$17</definedName>
    <definedName name="负债合计94期末">[7]企业表一!$F$17</definedName>
    <definedName name="负债合计95期末">[7]企业表一!$H$17</definedName>
    <definedName name="复核">[6]表头!$B$4</definedName>
    <definedName name="截止">[6]表头!$B$2</definedName>
    <definedName name="净_利_润93">'[7]M-5C'!$B$24</definedName>
    <definedName name="净_利_润94">'[7]M-5C'!$D$24</definedName>
    <definedName name="净_利_润95">'[7]M-5C'!$F$24</definedName>
    <definedName name="净资产合计93期初">[7]企业表一!$C$20</definedName>
    <definedName name="净资产合计93期末">[7]企业表一!$D$20</definedName>
    <definedName name="净资产合计94期初">[7]企业表一!$E$20</definedName>
    <definedName name="净资产合计94期末">[7]企业表一!$F$20</definedName>
    <definedName name="净资产合计95期初">[7]企业表一!$G$20</definedName>
    <definedName name="净资产合计95期末">[7]企业表一!$H$20</definedName>
    <definedName name="客户">[6]表头!$B$1</definedName>
    <definedName name="利_润_总_额93">'[7]M-5A'!$B$10</definedName>
    <definedName name="利_润_总_额94">'[7]M-5A'!$C$10</definedName>
    <definedName name="利_润_总_额95">'[7]M-5A'!$D$10</definedName>
    <definedName name="流_动_资_产93">'[7]M-5A'!$B$15</definedName>
    <definedName name="流_动_资_产94">'[7]M-5A'!$C$15</definedName>
    <definedName name="流_动_资_产95">'[7]M-5A'!$D$15</definedName>
    <definedName name="流动负债93期末">[7]企业表一!$D$15</definedName>
    <definedName name="流动负债94期末">[7]企业表一!$F$15</definedName>
    <definedName name="流动负债95期末">[7]企业表一!$H$15</definedName>
    <definedName name="日期1">[6]表头!$B$5</definedName>
    <definedName name="日期2">[6]表头!$B$6</definedName>
    <definedName name="事实上">[8]B!#REF!</definedName>
    <definedName name="速_动_资_产93">'[7]M-5A'!$B$14</definedName>
    <definedName name="速_动_资_产94">'[7]M-5A'!$C$14</definedName>
    <definedName name="速_动_资_产95">'[7]M-5A'!$D$14</definedName>
    <definedName name="新目录" hidden="1">#REF!</definedName>
    <definedName name="应收帐款93期初">[7]企业表一!$C$6</definedName>
    <definedName name="应收帐款93期末">[7]企业表一!$D$6</definedName>
    <definedName name="应收帐款94期初">[7]企业表一!$E$6</definedName>
    <definedName name="应收帐款94期末">[7]企业表一!$F$6</definedName>
    <definedName name="应收帐款95期初">[7]企业表一!$G$6</definedName>
    <definedName name="应收帐款95期末">[7]企业表一!$H$6</definedName>
    <definedName name="资产合计93期初">[7]企业表一!$C$14</definedName>
    <definedName name="资产合计93期末">[7]企业表一!$D$14</definedName>
    <definedName name="资产合计94期初">[7]企业表一!$E$14</definedName>
    <definedName name="资产合计94期末">[7]企业表一!$F$14</definedName>
    <definedName name="资产合计95期初">[7]企业表一!$G$14</definedName>
    <definedName name="资产合计95期末">[7]企业表一!$H$14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16" l="1"/>
  <c r="F23" i="16"/>
  <c r="E24" i="16"/>
  <c r="E23" i="16"/>
  <c r="G24" i="16" l="1"/>
  <c r="G23" i="16"/>
  <c r="P3" i="16"/>
  <c r="H3" i="20"/>
  <c r="G3" i="22"/>
  <c r="J3" i="24"/>
  <c r="U3" i="13"/>
  <c r="L3" i="21"/>
  <c r="E4" i="21"/>
  <c r="E3" i="21"/>
  <c r="A4" i="21"/>
  <c r="A3" i="21"/>
  <c r="I3" i="25"/>
  <c r="A3" i="25"/>
  <c r="F20" i="16" l="1"/>
  <c r="E10" i="22" l="1"/>
  <c r="O14" i="13"/>
  <c r="N14" i="13"/>
  <c r="D12" i="21" l="1"/>
  <c r="E12" i="21"/>
  <c r="F12" i="21"/>
  <c r="G12" i="21"/>
  <c r="H12" i="21"/>
  <c r="I12" i="21"/>
  <c r="J12" i="21" s="1"/>
  <c r="K12" i="21" s="1"/>
  <c r="C12" i="21"/>
  <c r="B12" i="21"/>
  <c r="A4" i="13"/>
  <c r="G20" i="16"/>
  <c r="C3" i="24"/>
  <c r="E4" i="25" l="1"/>
  <c r="C4" i="25"/>
  <c r="A4" i="25"/>
  <c r="E3" i="25"/>
  <c r="C3" i="25"/>
  <c r="B20" i="17" l="1"/>
  <c r="C9" i="17" l="1"/>
  <c r="A26" i="13" l="1"/>
  <c r="E26" i="13" s="1"/>
  <c r="A27" i="13"/>
  <c r="H27" i="13" s="1"/>
  <c r="C9" i="21" s="1"/>
  <c r="A28" i="13"/>
  <c r="E28" i="13" s="1"/>
  <c r="A29" i="13"/>
  <c r="A25" i="13"/>
  <c r="E23" i="13"/>
  <c r="F23" i="13"/>
  <c r="H23" i="13"/>
  <c r="I23" i="13"/>
  <c r="J23" i="13"/>
  <c r="K23" i="13"/>
  <c r="L23" i="13"/>
  <c r="M23" i="13"/>
  <c r="D23" i="13"/>
  <c r="A12" i="21"/>
  <c r="A8" i="21"/>
  <c r="A9" i="21"/>
  <c r="A10" i="21"/>
  <c r="A11" i="21"/>
  <c r="A7" i="21"/>
  <c r="E29" i="13" l="1"/>
  <c r="D29" i="13"/>
  <c r="B11" i="21" s="1"/>
  <c r="L29" i="13"/>
  <c r="K29" i="13"/>
  <c r="H29" i="13"/>
  <c r="C11" i="21" s="1"/>
  <c r="J29" i="13"/>
  <c r="I29" i="13"/>
  <c r="D11" i="21" s="1"/>
  <c r="F29" i="13"/>
  <c r="D25" i="13"/>
  <c r="B7" i="21" s="1"/>
  <c r="M25" i="13"/>
  <c r="M29" i="13"/>
  <c r="L28" i="13"/>
  <c r="K28" i="13"/>
  <c r="J28" i="13"/>
  <c r="I28" i="13"/>
  <c r="D10" i="21" s="1"/>
  <c r="H28" i="13"/>
  <c r="C10" i="21" s="1"/>
  <c r="D28" i="13"/>
  <c r="B10" i="21" s="1"/>
  <c r="F28" i="13"/>
  <c r="M28" i="13"/>
  <c r="F27" i="13"/>
  <c r="M27" i="13"/>
  <c r="L27" i="13"/>
  <c r="D27" i="13"/>
  <c r="B9" i="21" s="1"/>
  <c r="K27" i="13"/>
  <c r="E27" i="13"/>
  <c r="J27" i="13"/>
  <c r="I27" i="13"/>
  <c r="D9" i="21" s="1"/>
  <c r="L26" i="13"/>
  <c r="K26" i="13"/>
  <c r="J26" i="13"/>
  <c r="I26" i="13"/>
  <c r="D8" i="21" s="1"/>
  <c r="D26" i="13"/>
  <c r="B8" i="21" s="1"/>
  <c r="H26" i="13"/>
  <c r="C8" i="21" s="1"/>
  <c r="F26" i="13"/>
  <c r="M26" i="13"/>
  <c r="L25" i="13"/>
  <c r="F25" i="13"/>
  <c r="K25" i="13"/>
  <c r="E25" i="13"/>
  <c r="J25" i="13"/>
  <c r="H25" i="13"/>
  <c r="C7" i="21" s="1"/>
  <c r="I25" i="13"/>
  <c r="D7" i="21" s="1"/>
  <c r="G7" i="21" l="1"/>
  <c r="H11" i="21"/>
  <c r="H7" i="21"/>
  <c r="G11" i="21"/>
  <c r="G8" i="21"/>
  <c r="G10" i="21"/>
  <c r="G9" i="21"/>
  <c r="H8" i="21"/>
  <c r="D13" i="21"/>
  <c r="B13" i="21"/>
  <c r="H10" i="21"/>
  <c r="H9" i="21"/>
  <c r="C13" i="21"/>
  <c r="F4" i="24"/>
  <c r="F3" i="24"/>
  <c r="C4" i="24"/>
  <c r="A4" i="24"/>
  <c r="A3" i="24"/>
  <c r="G13" i="21" l="1"/>
  <c r="H13" i="21"/>
  <c r="H4" i="16"/>
  <c r="F4" i="20"/>
  <c r="E4" i="22"/>
  <c r="N4" i="13"/>
  <c r="C4" i="19"/>
  <c r="D4" i="17"/>
  <c r="H4" i="21"/>
  <c r="E4" i="16"/>
  <c r="C4" i="20"/>
  <c r="C4" i="22"/>
  <c r="G4" i="13"/>
  <c r="B4" i="19"/>
  <c r="B4" i="17"/>
  <c r="P14" i="13" l="1"/>
  <c r="H3" i="21" l="1"/>
  <c r="D3" i="17"/>
  <c r="C3" i="19"/>
  <c r="E3" i="22" l="1"/>
  <c r="C3" i="22"/>
  <c r="A4" i="22"/>
  <c r="A3" i="22"/>
  <c r="F16" i="22" l="1"/>
  <c r="C16" i="22"/>
  <c r="E15" i="22"/>
  <c r="G15" i="22" s="1"/>
  <c r="E14" i="22"/>
  <c r="G14" i="22" s="1"/>
  <c r="E13" i="22"/>
  <c r="G13" i="22" s="1"/>
  <c r="E12" i="22"/>
  <c r="G12" i="22" s="1"/>
  <c r="E11" i="22"/>
  <c r="G11" i="22" s="1"/>
  <c r="E16" i="22" l="1"/>
  <c r="G10" i="22"/>
  <c r="G16" i="22" s="1"/>
  <c r="P22" i="13"/>
  <c r="O22" i="13"/>
  <c r="N22" i="13"/>
  <c r="P21" i="13"/>
  <c r="O21" i="13"/>
  <c r="N21" i="13"/>
  <c r="P20" i="13"/>
  <c r="O20" i="13"/>
  <c r="N20" i="13"/>
  <c r="P19" i="13"/>
  <c r="O19" i="13"/>
  <c r="N19" i="13"/>
  <c r="N15" i="13"/>
  <c r="O15" i="13"/>
  <c r="P15" i="13"/>
  <c r="N16" i="13"/>
  <c r="O16" i="13"/>
  <c r="P16" i="13"/>
  <c r="N17" i="13"/>
  <c r="O17" i="13"/>
  <c r="P17" i="13"/>
  <c r="N18" i="13"/>
  <c r="O18" i="13"/>
  <c r="P18" i="13"/>
  <c r="G14" i="13"/>
  <c r="G15" i="13"/>
  <c r="G16" i="13"/>
  <c r="G17" i="13"/>
  <c r="G18" i="13"/>
  <c r="G19" i="13"/>
  <c r="G20" i="13"/>
  <c r="G21" i="13"/>
  <c r="G22" i="13"/>
  <c r="N26" i="13" l="1"/>
  <c r="E8" i="21" s="1"/>
  <c r="N27" i="13"/>
  <c r="E9" i="21" s="1"/>
  <c r="N29" i="13"/>
  <c r="E11" i="21" s="1"/>
  <c r="N25" i="13"/>
  <c r="E7" i="21" s="1"/>
  <c r="N28" i="13"/>
  <c r="E10" i="21" s="1"/>
  <c r="G29" i="13"/>
  <c r="F11" i="21" s="1"/>
  <c r="G25" i="13"/>
  <c r="F7" i="21" s="1"/>
  <c r="G28" i="13"/>
  <c r="F10" i="21" s="1"/>
  <c r="G27" i="13"/>
  <c r="F9" i="21" s="1"/>
  <c r="G26" i="13"/>
  <c r="F8" i="21" s="1"/>
  <c r="P27" i="13"/>
  <c r="P29" i="13"/>
  <c r="P28" i="13"/>
  <c r="P25" i="13"/>
  <c r="P26" i="13"/>
  <c r="O23" i="13"/>
  <c r="O27" i="13"/>
  <c r="O29" i="13"/>
  <c r="O28" i="13"/>
  <c r="O26" i="13"/>
  <c r="O25" i="13"/>
  <c r="N23" i="13"/>
  <c r="P23" i="13"/>
  <c r="G23" i="13"/>
  <c r="Q14" i="13"/>
  <c r="Q21" i="13"/>
  <c r="Q18" i="13"/>
  <c r="Q17" i="13"/>
  <c r="Q15" i="13"/>
  <c r="Q20" i="13"/>
  <c r="Q22" i="13"/>
  <c r="Q19" i="13"/>
  <c r="Q16" i="13"/>
  <c r="A13" i="21"/>
  <c r="F13" i="21" l="1"/>
  <c r="Q27" i="13"/>
  <c r="I9" i="21" s="1"/>
  <c r="J9" i="21" s="1"/>
  <c r="K9" i="21" s="1"/>
  <c r="Q29" i="13"/>
  <c r="I11" i="21" s="1"/>
  <c r="J11" i="21" s="1"/>
  <c r="K11" i="21" s="1"/>
  <c r="Q25" i="13"/>
  <c r="I7" i="21" s="1"/>
  <c r="J7" i="21" s="1"/>
  <c r="Q28" i="13"/>
  <c r="I10" i="21" s="1"/>
  <c r="J10" i="21" s="1"/>
  <c r="K10" i="21" s="1"/>
  <c r="Q26" i="13"/>
  <c r="I8" i="21" s="1"/>
  <c r="C9" i="19"/>
  <c r="C8" i="17"/>
  <c r="C14" i="17" s="1"/>
  <c r="E13" i="21"/>
  <c r="C10" i="19"/>
  <c r="Q23" i="13"/>
  <c r="B10" i="19" l="1"/>
  <c r="C12" i="19"/>
  <c r="B8" i="17"/>
  <c r="B9" i="19"/>
  <c r="I13" i="21"/>
  <c r="J8" i="21"/>
  <c r="K8" i="21" s="1"/>
  <c r="K7" i="21"/>
  <c r="B12" i="19" l="1"/>
  <c r="J13" i="21"/>
  <c r="C23" i="21"/>
  <c r="C25" i="21" s="1"/>
  <c r="C27" i="21" s="1"/>
  <c r="E15" i="21"/>
  <c r="D11" i="20"/>
  <c r="F11" i="20" s="1"/>
  <c r="D12" i="20"/>
  <c r="F12" i="20" s="1"/>
  <c r="D13" i="20"/>
  <c r="F13" i="20" s="1"/>
  <c r="D14" i="20"/>
  <c r="F14" i="20" s="1"/>
  <c r="D15" i="20"/>
  <c r="F15" i="20" s="1"/>
  <c r="D16" i="20"/>
  <c r="F16" i="20" s="1"/>
  <c r="D17" i="20"/>
  <c r="F17" i="20" s="1"/>
  <c r="D10" i="20"/>
  <c r="F10" i="20" s="1"/>
  <c r="C18" i="20"/>
  <c r="B18" i="20"/>
  <c r="A4" i="20"/>
  <c r="F3" i="20"/>
  <c r="C3" i="20"/>
  <c r="A3" i="20"/>
  <c r="B9" i="17" l="1"/>
  <c r="B14" i="17" s="1"/>
  <c r="F18" i="20"/>
  <c r="D18" i="20"/>
  <c r="E18" i="20"/>
  <c r="I15" i="21" l="1"/>
  <c r="A4" i="19"/>
  <c r="B3" i="19"/>
  <c r="A3" i="19"/>
  <c r="A4" i="17"/>
  <c r="A3" i="17"/>
  <c r="B3" i="17"/>
  <c r="H3" i="16"/>
  <c r="E3" i="16"/>
  <c r="A4" i="16"/>
  <c r="A3" i="16"/>
  <c r="N3" i="13"/>
  <c r="G3" i="13"/>
  <c r="A3" i="13"/>
  <c r="K13" i="21" l="1"/>
  <c r="B23" i="21"/>
  <c r="B25" i="21" s="1"/>
  <c r="B27" i="21"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5"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5"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3.xml><?xml version="1.0" encoding="utf-8"?>
<comments xmlns="http://schemas.openxmlformats.org/spreadsheetml/2006/main">
  <authors>
    <author>Windows 用户</author>
  </authors>
  <commentList>
    <comment ref="B12" authorId="0" shapeId="0">
      <text>
        <r>
          <rPr>
            <b/>
            <sz val="9"/>
            <color indexed="81"/>
            <rFont val="宋体"/>
            <family val="3"/>
            <charset val="134"/>
          </rPr>
          <t>Windows 用户:</t>
        </r>
        <r>
          <rPr>
            <sz val="9"/>
            <color indexed="81"/>
            <rFont val="宋体"/>
            <family val="3"/>
            <charset val="134"/>
          </rPr>
          <t xml:space="preserve">
可填写股东公司的唯一识别编码，如被审计单位财务或业务系统中的公司编码</t>
        </r>
      </text>
    </comment>
  </commentList>
</comments>
</file>

<file path=xl/sharedStrings.xml><?xml version="1.0" encoding="utf-8"?>
<sst xmlns="http://schemas.openxmlformats.org/spreadsheetml/2006/main" count="343" uniqueCount="283">
  <si>
    <t>索引号：</t>
  </si>
  <si>
    <t>未审数</t>
    <phoneticPr fontId="17" type="noConversion"/>
  </si>
  <si>
    <t>审定数</t>
    <phoneticPr fontId="17" type="noConversion"/>
  </si>
  <si>
    <t>底稿开列时，可先在以下单元格填写有关内容，以便其他底稿引用有关数据：</t>
    <phoneticPr fontId="17" type="noConversion"/>
  </si>
  <si>
    <t>账项调整</t>
    <phoneticPr fontId="17" type="noConversion"/>
  </si>
  <si>
    <r>
      <t>1</t>
    </r>
    <r>
      <rPr>
        <b/>
        <sz val="10"/>
        <rFont val="宋体"/>
        <family val="3"/>
        <charset val="134"/>
      </rPr>
      <t>、审计说明</t>
    </r>
    <r>
      <rPr>
        <sz val="10"/>
        <color indexed="12"/>
        <rFont val="宋体"/>
        <family val="3"/>
        <charset val="134"/>
      </rPr>
      <t/>
    </r>
    <phoneticPr fontId="17" type="noConversion"/>
  </si>
  <si>
    <t>应付股利</t>
  </si>
  <si>
    <t>股东名称</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</si>
  <si>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</si>
  <si>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</si>
  <si>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</si>
  <si>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</si>
  <si>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</si>
  <si>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</si>
  <si>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</si>
  <si>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</si>
  <si>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</si>
  <si>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</si>
  <si>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</si>
  <si>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</si>
  <si>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</si>
  <si>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</si>
  <si>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</si>
  <si>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</si>
  <si>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</si>
  <si>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</si>
  <si>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</si>
  <si>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合计</t>
  </si>
  <si>
    <t>应付股利金额</t>
  </si>
  <si>
    <t>未支付原因</t>
  </si>
  <si>
    <t>可无限量添加行</t>
  </si>
  <si>
    <t>期末余额</t>
  </si>
  <si>
    <r>
      <rPr>
        <b/>
        <sz val="10"/>
        <color indexed="8"/>
        <rFont val="宋体"/>
        <family val="3"/>
        <charset val="134"/>
      </rPr>
      <t>一、审计目标</t>
    </r>
    <r>
      <rPr>
        <b/>
        <sz val="10"/>
        <color indexed="8"/>
        <rFont val="Arial Narrow"/>
        <family val="2"/>
      </rPr>
      <t>:</t>
    </r>
    <phoneticPr fontId="21" type="noConversion"/>
  </si>
  <si>
    <r>
      <rPr>
        <b/>
        <sz val="10"/>
        <rFont val="宋体"/>
        <family val="3"/>
        <charset val="134"/>
      </rPr>
      <t>二、审计过程：</t>
    </r>
    <phoneticPr fontId="17" type="noConversion"/>
  </si>
  <si>
    <t>三、审计说明：</t>
    <phoneticPr fontId="17" type="noConversion"/>
  </si>
  <si>
    <t>四、审计结论：</t>
    <phoneticPr fontId="17" type="noConversion"/>
  </si>
  <si>
    <t>股东名称</t>
    <phoneticPr fontId="17" type="noConversion"/>
  </si>
  <si>
    <t>应付股利（利润）附注披露信息（国有企业）</t>
    <phoneticPr fontId="17" type="noConversion"/>
  </si>
  <si>
    <t>应付股利（利润）附注披露信息（上市公司）</t>
    <phoneticPr fontId="17" type="noConversion"/>
  </si>
  <si>
    <t>期初数</t>
    <phoneticPr fontId="17" type="noConversion"/>
  </si>
  <si>
    <t>期末数</t>
    <phoneticPr fontId="17" type="noConversion"/>
  </si>
  <si>
    <t>备注</t>
    <phoneticPr fontId="17" type="noConversion"/>
  </si>
  <si>
    <r>
      <rPr>
        <sz val="10"/>
        <rFont val="宋体"/>
        <family val="3"/>
        <charset val="134"/>
      </rPr>
      <t>索引号：</t>
    </r>
  </si>
  <si>
    <r>
      <rPr>
        <b/>
        <sz val="10"/>
        <rFont val="宋体"/>
        <family val="3"/>
        <charset val="134"/>
      </rPr>
      <t>项目名称</t>
    </r>
    <phoneticPr fontId="17" type="noConversion"/>
  </si>
  <si>
    <t>币种</t>
    <phoneticPr fontId="17" type="noConversion"/>
  </si>
  <si>
    <t>原币金额</t>
    <phoneticPr fontId="17" type="noConversion"/>
  </si>
  <si>
    <t>折算汇率</t>
  </si>
  <si>
    <t>折合人民币</t>
  </si>
  <si>
    <t>账面数</t>
    <phoneticPr fontId="17" type="noConversion"/>
  </si>
  <si>
    <t>差额</t>
    <phoneticPr fontId="17" type="noConversion"/>
  </si>
  <si>
    <t>合计</t>
    <phoneticPr fontId="17" type="noConversion"/>
  </si>
  <si>
    <t>股本名称</t>
    <phoneticPr fontId="17" type="noConversion"/>
  </si>
  <si>
    <t>期末应付股利（利润）金额</t>
    <phoneticPr fontId="17" type="noConversion"/>
  </si>
  <si>
    <t>外币汇率测算表</t>
    <phoneticPr fontId="17"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</si>
  <si>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</si>
  <si>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</si>
  <si>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</si>
  <si>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t>附注披露信息(上市公司)</t>
    <phoneticPr fontId="49" type="noConversion"/>
  </si>
  <si>
    <t>附注披露信息(国企)</t>
    <phoneticPr fontId="49" type="noConversion"/>
  </si>
  <si>
    <t>普通股股利</t>
    <phoneticPr fontId="17" type="noConversion"/>
  </si>
  <si>
    <r>
      <rPr>
        <b/>
        <sz val="10"/>
        <rFont val="宋体"/>
        <family val="3"/>
        <charset val="134"/>
      </rPr>
      <t>致同会计师事务所</t>
    </r>
  </si>
  <si>
    <r>
      <rPr>
        <b/>
        <sz val="10"/>
        <color indexed="8"/>
        <rFont val="宋体"/>
        <family val="3"/>
        <charset val="134"/>
      </rPr>
      <t>一、审计目标</t>
    </r>
    <r>
      <rPr>
        <b/>
        <sz val="10"/>
        <color indexed="8"/>
        <rFont val="Arial Narrow"/>
        <family val="2"/>
      </rPr>
      <t>:</t>
    </r>
    <phoneticPr fontId="21" type="noConversion"/>
  </si>
  <si>
    <t>二、审计过程：</t>
    <phoneticPr fontId="17" type="noConversion"/>
  </si>
  <si>
    <r>
      <rPr>
        <b/>
        <sz val="10"/>
        <rFont val="宋体"/>
        <family val="3"/>
        <charset val="134"/>
      </rPr>
      <t>未审数</t>
    </r>
    <phoneticPr fontId="17" type="noConversion"/>
  </si>
  <si>
    <r>
      <rPr>
        <b/>
        <sz val="10"/>
        <rFont val="宋体"/>
        <family val="3"/>
        <charset val="134"/>
      </rPr>
      <t>审定数</t>
    </r>
    <phoneticPr fontId="17" type="noConversion"/>
  </si>
  <si>
    <t>本期增加</t>
    <phoneticPr fontId="17" type="noConversion"/>
  </si>
  <si>
    <t>本期减少</t>
    <phoneticPr fontId="17" type="noConversion"/>
  </si>
  <si>
    <r>
      <rPr>
        <b/>
        <sz val="10"/>
        <color indexed="8"/>
        <rFont val="宋体"/>
        <family val="3"/>
        <charset val="134"/>
      </rPr>
      <t>合计</t>
    </r>
  </si>
  <si>
    <r>
      <rPr>
        <b/>
        <sz val="10"/>
        <rFont val="宋体"/>
        <family val="3"/>
        <charset val="134"/>
      </rPr>
      <t>三、审计说明：</t>
    </r>
    <phoneticPr fontId="17" type="noConversion"/>
  </si>
  <si>
    <r>
      <rPr>
        <b/>
        <sz val="10"/>
        <rFont val="宋体"/>
        <family val="3"/>
        <charset val="134"/>
      </rPr>
      <t>四、审计结论：</t>
    </r>
    <phoneticPr fontId="17" type="noConversion"/>
  </si>
  <si>
    <r>
      <rPr>
        <i/>
        <sz val="10"/>
        <color indexed="12"/>
        <rFont val="宋体"/>
        <family val="3"/>
        <charset val="134"/>
      </rPr>
      <t>编制说明：</t>
    </r>
    <phoneticPr fontId="17" type="noConversion"/>
  </si>
  <si>
    <r>
      <t>1</t>
    </r>
    <r>
      <rPr>
        <sz val="10"/>
        <color indexed="12"/>
        <rFont val="宋体"/>
        <family val="3"/>
        <charset val="134"/>
      </rPr>
      <t>、企业根据股东大会或类似机构审议批准的利润分配方案，按应支付的现金股利或利润，借记</t>
    </r>
    <r>
      <rPr>
        <sz val="10"/>
        <color indexed="12"/>
        <rFont val="Arial Narrow"/>
        <family val="2"/>
      </rPr>
      <t>“</t>
    </r>
    <r>
      <rPr>
        <sz val="10"/>
        <color indexed="12"/>
        <rFont val="宋体"/>
        <family val="3"/>
        <charset val="134"/>
      </rPr>
      <t>利润分配</t>
    </r>
    <r>
      <rPr>
        <sz val="10"/>
        <color indexed="12"/>
        <rFont val="Arial Narrow"/>
        <family val="2"/>
      </rPr>
      <t>”</t>
    </r>
    <r>
      <rPr>
        <sz val="10"/>
        <color indexed="12"/>
        <rFont val="宋体"/>
        <family val="3"/>
        <charset val="134"/>
      </rPr>
      <t>科目，贷记本科目。</t>
    </r>
    <phoneticPr fontId="17" type="noConversion"/>
  </si>
  <si>
    <r>
      <rPr>
        <b/>
        <sz val="10"/>
        <color indexed="8"/>
        <rFont val="宋体"/>
        <family val="3"/>
        <charset val="134"/>
      </rPr>
      <t>股东名称</t>
    </r>
    <phoneticPr fontId="17" type="noConversion"/>
  </si>
  <si>
    <r>
      <rPr>
        <b/>
        <sz val="10"/>
        <color indexed="8"/>
        <rFont val="宋体"/>
        <family val="3"/>
        <charset val="134"/>
      </rPr>
      <t>股东会决议分配基数</t>
    </r>
    <phoneticPr fontId="17" type="noConversion"/>
  </si>
  <si>
    <r>
      <rPr>
        <b/>
        <sz val="10"/>
        <color indexed="8"/>
        <rFont val="宋体"/>
        <family val="3"/>
        <charset val="134"/>
      </rPr>
      <t>分配比例</t>
    </r>
    <phoneticPr fontId="17" type="noConversion"/>
  </si>
  <si>
    <r>
      <rPr>
        <b/>
        <sz val="10"/>
        <color indexed="8"/>
        <rFont val="宋体"/>
        <family val="3"/>
        <charset val="134"/>
      </rPr>
      <t>分配额</t>
    </r>
    <phoneticPr fontId="17" type="noConversion"/>
  </si>
  <si>
    <r>
      <rPr>
        <b/>
        <sz val="10"/>
        <color indexed="8"/>
        <rFont val="宋体"/>
        <family val="3"/>
        <charset val="134"/>
      </rPr>
      <t>实际分配额</t>
    </r>
    <phoneticPr fontId="17" type="noConversion"/>
  </si>
  <si>
    <r>
      <rPr>
        <b/>
        <sz val="10"/>
        <color indexed="8"/>
        <rFont val="宋体"/>
        <family val="3"/>
        <charset val="134"/>
      </rPr>
      <t>差异</t>
    </r>
    <phoneticPr fontId="17" type="noConversion"/>
  </si>
  <si>
    <r>
      <rPr>
        <b/>
        <sz val="10"/>
        <color indexed="8"/>
        <rFont val="宋体"/>
        <family val="3"/>
        <charset val="134"/>
      </rPr>
      <t>差异原因</t>
    </r>
    <phoneticPr fontId="17" type="noConversion"/>
  </si>
  <si>
    <r>
      <rPr>
        <b/>
        <sz val="10"/>
        <rFont val="宋体"/>
        <family val="3"/>
        <charset val="134"/>
      </rPr>
      <t>备注</t>
    </r>
    <phoneticPr fontId="17" type="noConversion"/>
  </si>
  <si>
    <r>
      <rPr>
        <b/>
        <sz val="10"/>
        <rFont val="宋体"/>
        <family val="3"/>
        <charset val="134"/>
      </rPr>
      <t>一、测试目标：</t>
    </r>
    <phoneticPr fontId="27" type="noConversion"/>
  </si>
  <si>
    <r>
      <rPr>
        <sz val="10"/>
        <rFont val="宋体"/>
        <family val="3"/>
        <charset val="134"/>
      </rPr>
      <t>（</t>
    </r>
    <r>
      <rPr>
        <sz val="10"/>
        <rFont val="Arial Narrow"/>
        <family val="2"/>
      </rPr>
      <t>3</t>
    </r>
    <r>
      <rPr>
        <sz val="10"/>
        <rFont val="宋体"/>
        <family val="3"/>
        <charset val="134"/>
      </rPr>
      <t>）与经审计的财务报表核对</t>
    </r>
    <phoneticPr fontId="21" type="noConversion"/>
  </si>
  <si>
    <r>
      <rPr>
        <b/>
        <sz val="10"/>
        <rFont val="宋体"/>
        <family val="3"/>
        <charset val="134"/>
      </rPr>
      <t>财务报表的认定　</t>
    </r>
  </si>
  <si>
    <r>
      <rPr>
        <sz val="10"/>
        <rFont val="宋体"/>
        <family val="3"/>
        <charset val="134"/>
      </rPr>
      <t>存在</t>
    </r>
    <phoneticPr fontId="17" type="noConversion"/>
  </si>
  <si>
    <r>
      <rPr>
        <b/>
        <sz val="10"/>
        <rFont val="宋体"/>
        <family val="3"/>
        <charset val="134"/>
      </rPr>
      <t>序号</t>
    </r>
    <phoneticPr fontId="17" type="noConversion"/>
  </si>
  <si>
    <r>
      <rPr>
        <b/>
        <sz val="10"/>
        <rFont val="宋体"/>
        <family val="3"/>
        <charset val="134"/>
      </rPr>
      <t>程序分类</t>
    </r>
    <phoneticPr fontId="17" type="noConversion"/>
  </si>
  <si>
    <t>应付股利实质性程序表</t>
    <phoneticPr fontId="49" type="noConversion"/>
  </si>
  <si>
    <t>审定表</t>
    <phoneticPr fontId="49" type="noConversion"/>
  </si>
  <si>
    <t>调整事项说明</t>
    <phoneticPr fontId="17" type="noConversion"/>
  </si>
  <si>
    <t>类别（报表调整/账项调整/其他）</t>
    <phoneticPr fontId="17" type="noConversion"/>
  </si>
  <si>
    <t>科目名称</t>
    <phoneticPr fontId="17" type="noConversion"/>
  </si>
  <si>
    <t>附注项目</t>
    <phoneticPr fontId="17" type="noConversion"/>
  </si>
  <si>
    <t>……</t>
    <phoneticPr fontId="17" type="noConversion"/>
  </si>
  <si>
    <t>借方调整金额</t>
    <phoneticPr fontId="17" type="noConversion"/>
  </si>
  <si>
    <t>贷方调整金额</t>
    <phoneticPr fontId="17" type="noConversion"/>
  </si>
  <si>
    <t>索引</t>
    <phoneticPr fontId="17" type="noConversion"/>
  </si>
  <si>
    <t>【注：本底稿适用于调整分录较多、较复杂的项目，且仅列示与本报表项目相关的审计调整。项目组可根据项目实际情况选择是否使用该底稿。】</t>
    <phoneticPr fontId="17" type="noConversion"/>
  </si>
  <si>
    <t>明细表</t>
    <phoneticPr fontId="49" type="noConversion"/>
  </si>
  <si>
    <t>调整分录汇总</t>
    <phoneticPr fontId="49" type="noConversion"/>
  </si>
  <si>
    <t>股东类型</t>
    <phoneticPr fontId="17" type="noConversion"/>
  </si>
  <si>
    <t>项目类型（以下内容请根据实际情况修改）：</t>
    <phoneticPr fontId="17" type="noConversion"/>
  </si>
  <si>
    <t>其中：</t>
    <phoneticPr fontId="45" type="noConversion"/>
  </si>
  <si>
    <t>普通股股利</t>
    <phoneticPr fontId="17" type="noConversion"/>
  </si>
  <si>
    <t>划分为权益工具的优先股股利</t>
    <phoneticPr fontId="17" type="noConversion"/>
  </si>
  <si>
    <t>划分为权益工具的永续债股利</t>
    <phoneticPr fontId="17" type="noConversion"/>
  </si>
  <si>
    <t>…</t>
    <phoneticPr fontId="17" type="noConversion"/>
  </si>
  <si>
    <t>项  目</t>
  </si>
  <si>
    <t>期初余额</t>
  </si>
  <si>
    <t>普通股股利</t>
  </si>
  <si>
    <t>划分为权益工具的优先股\永续债股利</t>
  </si>
  <si>
    <t>其他</t>
  </si>
  <si>
    <t>合  计</t>
  </si>
  <si>
    <t>注：包括重要的超过1 年未支付的应付股利，应披露未支付原因。</t>
  </si>
  <si>
    <t>【其他应付款、应付股利与应付利息的合计数披露详见M4-1】</t>
    <phoneticPr fontId="17" type="noConversion"/>
  </si>
  <si>
    <t>划分为权益工具的优先股\永续债股利</t>
    <phoneticPr fontId="17" type="noConversion"/>
  </si>
  <si>
    <t xml:space="preserve">  其中：工具1</t>
  </si>
  <si>
    <t xml:space="preserve">        工具2</t>
  </si>
  <si>
    <t>重要的超过1年未支付的应付股利：</t>
    <phoneticPr fontId="17" type="noConversion"/>
  </si>
  <si>
    <r>
      <t>项目</t>
    </r>
    <r>
      <rPr>
        <b/>
        <sz val="10"/>
        <color rgb="FF0000FF"/>
        <rFont val="宋体"/>
        <family val="3"/>
        <charset val="134"/>
        <scheme val="minor"/>
      </rPr>
      <t>（或股东名称）</t>
    </r>
  </si>
  <si>
    <t>外币汇率测算表</t>
    <phoneticPr fontId="49" type="noConversion"/>
  </si>
  <si>
    <t>期末余额</t>
    <phoneticPr fontId="17" type="noConversion"/>
  </si>
  <si>
    <t>上年年末余额</t>
    <phoneticPr fontId="17" type="noConversion"/>
  </si>
  <si>
    <t xml:space="preserve">M1A </t>
  </si>
  <si>
    <t>M1-2</t>
  </si>
  <si>
    <t>M1-3</t>
  </si>
  <si>
    <t>M1-4</t>
  </si>
  <si>
    <t>M1-1</t>
    <phoneticPr fontId="17" type="noConversion"/>
  </si>
  <si>
    <t>索引号：M1-1</t>
    <phoneticPr fontId="17" type="noConversion"/>
  </si>
  <si>
    <r>
      <t xml:space="preserve">A. </t>
    </r>
    <r>
      <rPr>
        <sz val="10"/>
        <rFont val="宋体"/>
        <family val="3"/>
        <charset val="134"/>
      </rPr>
      <t>资产负债表中记录的应付股利（利润）是存在的，且已经记录在恰当的账户中</t>
    </r>
    <phoneticPr fontId="17" type="noConversion"/>
  </si>
  <si>
    <t>报表项目</t>
    <phoneticPr fontId="17" type="noConversion"/>
  </si>
  <si>
    <t>一、审计目标:</t>
    <phoneticPr fontId="21" type="noConversion"/>
  </si>
  <si>
    <t>应付股利（利润）调整分录汇总表</t>
    <phoneticPr fontId="17" type="noConversion"/>
  </si>
  <si>
    <t>应付股利（利润）测算表</t>
    <phoneticPr fontId="17" type="noConversion"/>
  </si>
  <si>
    <r>
      <t>1.</t>
    </r>
    <r>
      <rPr>
        <sz val="10"/>
        <rFont val="宋体"/>
        <family val="3"/>
        <charset val="134"/>
      </rPr>
      <t>资产负债表中记录的应付股利（利润）是存在的，且已经记录在恰当的账户中；</t>
    </r>
    <phoneticPr fontId="17" type="noConversion"/>
  </si>
  <si>
    <r>
      <t>2.</t>
    </r>
    <r>
      <rPr>
        <sz val="10"/>
        <rFont val="宋体"/>
        <family val="3"/>
        <charset val="134"/>
      </rPr>
      <t>应付股利（利润）以恰当的金额包括在财务报表中，与之相关的计价或分摊调整已恰当记录，相关披露已得到恰当计量和描述</t>
    </r>
    <r>
      <rPr>
        <sz val="10"/>
        <rFont val="Arial Narrow"/>
        <family val="2"/>
      </rPr>
      <t xml:space="preserve"> </t>
    </r>
    <phoneticPr fontId="17" type="noConversion"/>
  </si>
  <si>
    <t>日期</t>
  </si>
  <si>
    <t>凭证编号</t>
  </si>
  <si>
    <t>借方金额</t>
    <phoneticPr fontId="17" type="noConversion"/>
  </si>
  <si>
    <t>贷方金额</t>
    <phoneticPr fontId="17" type="noConversion"/>
  </si>
  <si>
    <t>M1-5</t>
  </si>
  <si>
    <t>M1-6</t>
  </si>
  <si>
    <t>无需打印</t>
  </si>
  <si>
    <r>
      <t>A1-1</t>
    </r>
    <r>
      <rPr>
        <sz val="11"/>
        <color rgb="FFFF0000"/>
        <rFont val="Arial Narrow"/>
        <family val="2"/>
      </rPr>
      <t>/A1-15 /A1-16</t>
    </r>
    <phoneticPr fontId="17"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</si>
  <si>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9" type="noConversion"/>
  </si>
  <si>
    <r>
      <rPr>
        <b/>
        <sz val="12"/>
        <rFont val="宋体"/>
        <family val="3"/>
        <charset val="134"/>
      </rPr>
      <t>应付股利（利润）审定表</t>
    </r>
    <phoneticPr fontId="17" type="noConversion"/>
  </si>
  <si>
    <r>
      <rPr>
        <b/>
        <sz val="10"/>
        <rFont val="宋体"/>
        <family val="3"/>
        <charset val="134"/>
      </rPr>
      <t>期初数</t>
    </r>
    <phoneticPr fontId="17" type="noConversion"/>
  </si>
  <si>
    <r>
      <rPr>
        <b/>
        <sz val="10"/>
        <rFont val="宋体"/>
        <family val="3"/>
        <charset val="134"/>
      </rPr>
      <t>期末数</t>
    </r>
    <phoneticPr fontId="17" type="noConversion"/>
  </si>
  <si>
    <r>
      <rPr>
        <b/>
        <sz val="10"/>
        <color indexed="8"/>
        <rFont val="宋体"/>
        <family val="3"/>
        <charset val="134"/>
      </rPr>
      <t>本期审定数与上期
审定数的比较</t>
    </r>
    <phoneticPr fontId="17" type="noConversion"/>
  </si>
  <si>
    <r>
      <rPr>
        <b/>
        <sz val="10"/>
        <rFont val="宋体"/>
        <family val="3"/>
        <charset val="134"/>
      </rPr>
      <t>原因分析</t>
    </r>
    <phoneticPr fontId="45" type="noConversion"/>
  </si>
  <si>
    <r>
      <rPr>
        <b/>
        <sz val="10"/>
        <rFont val="宋体"/>
        <family val="3"/>
        <charset val="134"/>
      </rPr>
      <t>账项调整</t>
    </r>
    <phoneticPr fontId="17" type="noConversion"/>
  </si>
  <si>
    <r>
      <rPr>
        <b/>
        <sz val="10"/>
        <rFont val="宋体"/>
        <family val="3"/>
        <charset val="134"/>
      </rPr>
      <t>重分类调整</t>
    </r>
    <phoneticPr fontId="17" type="noConversion"/>
  </si>
  <si>
    <r>
      <rPr>
        <b/>
        <sz val="10"/>
        <rFont val="宋体"/>
        <family val="3"/>
        <charset val="134"/>
      </rPr>
      <t>变动额</t>
    </r>
    <phoneticPr fontId="17" type="noConversion"/>
  </si>
  <si>
    <r>
      <rPr>
        <b/>
        <sz val="10"/>
        <color indexed="8"/>
        <rFont val="宋体"/>
        <family val="3"/>
        <charset val="134"/>
      </rPr>
      <t>变动率</t>
    </r>
    <phoneticPr fontId="17" type="noConversion"/>
  </si>
  <si>
    <r>
      <rPr>
        <b/>
        <sz val="10"/>
        <rFont val="宋体"/>
        <family val="3"/>
        <charset val="134"/>
      </rPr>
      <t>试算平衡表数</t>
    </r>
    <phoneticPr fontId="17" type="noConversion"/>
  </si>
  <si>
    <r>
      <rPr>
        <b/>
        <sz val="10"/>
        <rFont val="宋体"/>
        <family val="3"/>
        <charset val="134"/>
      </rPr>
      <t>差异数</t>
    </r>
    <phoneticPr fontId="17" type="noConversion"/>
  </si>
  <si>
    <r>
      <rPr>
        <sz val="10"/>
        <rFont val="宋体"/>
        <family val="3"/>
        <charset val="134"/>
      </rPr>
      <t>（</t>
    </r>
    <r>
      <rPr>
        <sz val="10"/>
        <rFont val="Arial Narrow"/>
        <family val="2"/>
      </rPr>
      <t>1</t>
    </r>
    <r>
      <rPr>
        <sz val="10"/>
        <rFont val="宋体"/>
        <family val="3"/>
        <charset val="134"/>
      </rPr>
      <t>）应付股利（利润）期末余额较期初余额增加（负数为减少）：</t>
    </r>
    <phoneticPr fontId="17"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</si>
  <si>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7" type="noConversion"/>
  </si>
  <si>
    <r>
      <rPr>
        <sz val="10"/>
        <rFont val="宋体"/>
        <family val="3"/>
        <charset val="134"/>
      </rPr>
      <t>（</t>
    </r>
    <r>
      <rPr>
        <sz val="10"/>
        <rFont val="Arial Narrow"/>
        <family val="2"/>
      </rPr>
      <t>2</t>
    </r>
    <r>
      <rPr>
        <sz val="10"/>
        <rFont val="宋体"/>
        <family val="3"/>
        <charset val="134"/>
      </rPr>
      <t>）欠付股利的原因说明。</t>
    </r>
    <phoneticPr fontId="17" type="noConversion"/>
  </si>
  <si>
    <r>
      <rPr>
        <sz val="10"/>
        <rFont val="宋体"/>
        <family val="3"/>
        <charset val="134"/>
      </rPr>
      <t>期末数</t>
    </r>
    <phoneticPr fontId="21" type="noConversion"/>
  </si>
  <si>
    <r>
      <rPr>
        <sz val="10"/>
        <rFont val="宋体"/>
        <family val="3"/>
        <charset val="134"/>
      </rPr>
      <t>期初数</t>
    </r>
    <phoneticPr fontId="21" type="noConversion"/>
  </si>
  <si>
    <r>
      <rPr>
        <sz val="10"/>
        <rFont val="宋体"/>
        <family val="3"/>
        <charset val="134"/>
      </rPr>
      <t>索引号</t>
    </r>
    <phoneticPr fontId="21" type="noConversion"/>
  </si>
  <si>
    <r>
      <rPr>
        <sz val="10"/>
        <rFont val="宋体"/>
        <family val="3"/>
        <charset val="134"/>
      </rPr>
      <t>应付利息审定数</t>
    </r>
    <phoneticPr fontId="21" type="noConversion"/>
  </si>
  <si>
    <r>
      <rPr>
        <sz val="10"/>
        <rFont val="宋体"/>
        <family val="3"/>
        <charset val="134"/>
      </rPr>
      <t>应付股利审定数</t>
    </r>
    <phoneticPr fontId="49" type="noConversion"/>
  </si>
  <si>
    <r>
      <rPr>
        <sz val="10"/>
        <rFont val="宋体"/>
        <family val="3"/>
        <charset val="134"/>
      </rPr>
      <t>其他应付款审定数</t>
    </r>
    <phoneticPr fontId="21" type="noConversion"/>
  </si>
  <si>
    <r>
      <rPr>
        <sz val="10"/>
        <rFont val="宋体"/>
        <family val="3"/>
        <charset val="134"/>
      </rPr>
      <t>其他应付款合计数</t>
    </r>
    <phoneticPr fontId="21" type="noConversion"/>
  </si>
  <si>
    <r>
      <rPr>
        <sz val="10"/>
        <rFont val="宋体"/>
        <family val="3"/>
        <charset val="134"/>
      </rPr>
      <t>报表数</t>
    </r>
    <phoneticPr fontId="21" type="noConversion"/>
  </si>
  <si>
    <r>
      <rPr>
        <sz val="10"/>
        <rFont val="宋体"/>
        <family val="3"/>
        <charset val="134"/>
      </rPr>
      <t>差异</t>
    </r>
    <phoneticPr fontId="21" type="noConversion"/>
  </si>
  <si>
    <r>
      <t>2</t>
    </r>
    <r>
      <rPr>
        <b/>
        <sz val="10"/>
        <rFont val="宋体"/>
        <family val="3"/>
        <charset val="134"/>
      </rPr>
      <t>、审计结论</t>
    </r>
    <phoneticPr fontId="17" type="noConversion"/>
  </si>
  <si>
    <r>
      <t>5</t>
    </r>
    <r>
      <rPr>
        <sz val="10"/>
        <color indexed="12"/>
        <rFont val="宋体"/>
        <family val="3"/>
        <charset val="134"/>
      </rPr>
      <t>、说明基于获取的审计证据，在有关认定方面，是否发现重大错报或存在重大异常。</t>
    </r>
    <phoneticPr fontId="17" type="noConversion"/>
  </si>
  <si>
    <r>
      <rPr>
        <b/>
        <sz val="10"/>
        <color indexed="12"/>
        <rFont val="宋体"/>
        <family val="3"/>
        <charset val="134"/>
      </rPr>
      <t>参考结论：</t>
    </r>
    <phoneticPr fontId="17" type="noConversion"/>
  </si>
  <si>
    <r>
      <t>A</t>
    </r>
    <r>
      <rPr>
        <sz val="10"/>
        <color indexed="12"/>
        <rFont val="宋体"/>
        <family val="3"/>
        <charset val="134"/>
      </rPr>
      <t>、</t>
    </r>
  </si>
  <si>
    <r>
      <rPr>
        <sz val="10"/>
        <color indexed="12"/>
        <rFont val="宋体"/>
        <family val="3"/>
        <charset val="134"/>
      </rPr>
      <t>未见异常，可以确认。</t>
    </r>
    <phoneticPr fontId="17" type="noConversion"/>
  </si>
  <si>
    <r>
      <t>B</t>
    </r>
    <r>
      <rPr>
        <sz val="10"/>
        <color indexed="12"/>
        <rFont val="宋体"/>
        <family val="3"/>
        <charset val="134"/>
      </rPr>
      <t>、</t>
    </r>
  </si>
  <si>
    <r>
      <rPr>
        <sz val="10"/>
        <color indexed="12"/>
        <rFont val="宋体"/>
        <family val="3"/>
        <charset val="134"/>
      </rPr>
      <t>经审计调整后可确认。</t>
    </r>
    <phoneticPr fontId="17" type="noConversion"/>
  </si>
  <si>
    <r>
      <t>C</t>
    </r>
    <r>
      <rPr>
        <sz val="10"/>
        <color indexed="12"/>
        <rFont val="宋体"/>
        <family val="3"/>
        <charset val="134"/>
      </rPr>
      <t>、</t>
    </r>
  </si>
  <si>
    <r>
      <rPr>
        <sz val="10"/>
        <color indexed="12"/>
        <rFont val="宋体"/>
        <family val="3"/>
        <charset val="134"/>
      </rPr>
      <t>由于存在上述重大未调整事项（或审计范围受到限制无法获取充分、适当证据），不可确认。</t>
    </r>
    <phoneticPr fontId="17" type="noConversion"/>
  </si>
  <si>
    <t>期初调整</t>
    <phoneticPr fontId="45" type="noConversion"/>
  </si>
  <si>
    <t>账项调整</t>
    <phoneticPr fontId="45" type="noConversion"/>
  </si>
  <si>
    <t>重分类调整</t>
    <phoneticPr fontId="45" type="noConversion"/>
  </si>
  <si>
    <t>期末账龄</t>
    <phoneticPr fontId="17" type="noConversion"/>
  </si>
  <si>
    <t>超过1年未支付的原因</t>
    <phoneticPr fontId="17" type="noConversion"/>
  </si>
  <si>
    <t>相关文件索引号</t>
    <phoneticPr fontId="17" type="noConversion"/>
  </si>
  <si>
    <r>
      <rPr>
        <b/>
        <sz val="12"/>
        <rFont val="宋体"/>
        <family val="3"/>
        <charset val="134"/>
      </rPr>
      <t>应付股利（利润）明细表</t>
    </r>
    <phoneticPr fontId="17" type="noConversion"/>
  </si>
  <si>
    <t xml:space="preserve">1.应付股利（利润）以恰当的金额包括在财务报表中，与之相关的计价或分摊调整已恰当记录，相关披露已得到恰当计量和描述 </t>
    <phoneticPr fontId="17" type="noConversion"/>
  </si>
  <si>
    <r>
      <t>2</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7" type="noConversion"/>
  </si>
  <si>
    <r>
      <t>3</t>
    </r>
    <r>
      <rPr>
        <sz val="10"/>
        <color rgb="FF0000FF"/>
        <rFont val="宋体"/>
        <family val="3"/>
        <charset val="134"/>
      </rPr>
      <t>、审计结论可参考：</t>
    </r>
    <r>
      <rPr>
        <sz val="10"/>
        <color rgb="FF0000FF"/>
        <rFont val="Arial Narrow"/>
        <family val="2"/>
      </rPr>
      <t>A</t>
    </r>
    <r>
      <rPr>
        <sz val="10"/>
        <color rgb="FF0000FF"/>
        <rFont val="宋体"/>
        <family val="3"/>
        <charset val="134"/>
      </rPr>
      <t>、未见异常。</t>
    </r>
    <r>
      <rPr>
        <sz val="10"/>
        <color rgb="FF0000FF"/>
        <rFont val="Arial Narrow"/>
        <family val="2"/>
      </rPr>
      <t>B</t>
    </r>
    <r>
      <rPr>
        <sz val="10"/>
        <color rgb="FF0000FF"/>
        <rFont val="宋体"/>
        <family val="3"/>
        <charset val="134"/>
      </rPr>
      <t>、除上述重大不符事项应当作为调整事项予以调整外，其余未见异常。</t>
    </r>
    <r>
      <rPr>
        <sz val="10"/>
        <color rgb="FF0000FF"/>
        <rFont val="Arial Narrow"/>
        <family val="2"/>
      </rPr>
      <t>C</t>
    </r>
    <r>
      <rPr>
        <sz val="10"/>
        <color rgb="FF0000FF"/>
        <rFont val="宋体"/>
        <family val="3"/>
        <charset val="134"/>
      </rPr>
      <t>、由于存在以下重大未调整事项</t>
    </r>
    <r>
      <rPr>
        <sz val="10"/>
        <color rgb="FF0000FF"/>
        <rFont val="Arial Narrow"/>
        <family val="2"/>
      </rPr>
      <t>(</t>
    </r>
    <r>
      <rPr>
        <sz val="10"/>
        <color rgb="FF0000FF"/>
        <rFont val="宋体"/>
        <family val="3"/>
        <charset val="134"/>
      </rPr>
      <t>或审计范围受到限制无法获取充分、适当证据），不可确认。</t>
    </r>
    <phoneticPr fontId="17" type="noConversion"/>
  </si>
  <si>
    <r>
      <rPr>
        <sz val="10"/>
        <rFont val="宋体"/>
        <family val="3"/>
        <charset val="134"/>
      </rPr>
      <t>页</t>
    </r>
    <r>
      <rPr>
        <sz val="10"/>
        <rFont val="Arial Narrow"/>
        <family val="2"/>
      </rPr>
      <t xml:space="preserve">  </t>
    </r>
    <r>
      <rPr>
        <sz val="10"/>
        <rFont val="宋体"/>
        <family val="3"/>
        <charset val="134"/>
      </rPr>
      <t>次：</t>
    </r>
    <phoneticPr fontId="49" type="noConversion"/>
  </si>
  <si>
    <r>
      <rPr>
        <b/>
        <sz val="10"/>
        <rFont val="宋体"/>
        <family val="3"/>
        <charset val="134"/>
      </rPr>
      <t>一、本账户涉及的科目</t>
    </r>
    <phoneticPr fontId="49" type="noConversion"/>
  </si>
  <si>
    <r>
      <rPr>
        <sz val="10"/>
        <color theme="1" tint="0.14999847407452621"/>
        <rFont val="宋体"/>
        <family val="3"/>
        <charset val="134"/>
      </rPr>
      <t>应付股利</t>
    </r>
    <phoneticPr fontId="49" type="noConversion"/>
  </si>
  <si>
    <r>
      <rPr>
        <b/>
        <sz val="10"/>
        <rFont val="宋体"/>
        <family val="3"/>
        <charset val="134"/>
      </rPr>
      <t>二、审计目标与认定的对应关系</t>
    </r>
    <phoneticPr fontId="17" type="noConversion"/>
  </si>
  <si>
    <r>
      <rPr>
        <b/>
        <sz val="10"/>
        <rFont val="宋体"/>
        <family val="3"/>
        <charset val="134"/>
      </rPr>
      <t>审计目标</t>
    </r>
    <phoneticPr fontId="17" type="noConversion"/>
  </si>
  <si>
    <r>
      <rPr>
        <b/>
        <sz val="10"/>
        <rFont val="宋体"/>
        <family val="3"/>
        <charset val="134"/>
      </rPr>
      <t>三、审计目标与审计程序的对应关系</t>
    </r>
    <phoneticPr fontId="17" type="noConversion"/>
  </si>
  <si>
    <r>
      <rPr>
        <b/>
        <sz val="10"/>
        <rFont val="宋体"/>
        <family val="3"/>
        <charset val="134"/>
      </rPr>
      <t>财务报表的认定</t>
    </r>
    <phoneticPr fontId="17" type="noConversion"/>
  </si>
  <si>
    <r>
      <rPr>
        <b/>
        <sz val="10"/>
        <rFont val="宋体"/>
        <family val="3"/>
        <charset val="134"/>
      </rPr>
      <t>底稿索引号</t>
    </r>
    <phoneticPr fontId="17" type="noConversion"/>
  </si>
  <si>
    <r>
      <rPr>
        <b/>
        <sz val="10"/>
        <rFont val="宋体"/>
        <family val="3"/>
        <charset val="134"/>
      </rPr>
      <t>存在</t>
    </r>
    <phoneticPr fontId="17" type="noConversion"/>
  </si>
  <si>
    <r>
      <rPr>
        <b/>
        <sz val="10"/>
        <rFont val="宋体"/>
        <family val="3"/>
        <charset val="134"/>
      </rPr>
      <t>完整性</t>
    </r>
    <phoneticPr fontId="17" type="noConversion"/>
  </si>
  <si>
    <r>
      <rPr>
        <b/>
        <sz val="10"/>
        <rFont val="宋体"/>
        <family val="3"/>
        <charset val="134"/>
      </rPr>
      <t>权利和
义务</t>
    </r>
    <phoneticPr fontId="17" type="noConversion"/>
  </si>
  <si>
    <r>
      <rPr>
        <sz val="10"/>
        <color theme="1"/>
        <rFont val="宋体"/>
        <family val="3"/>
        <charset val="134"/>
      </rPr>
      <t>常规★</t>
    </r>
    <phoneticPr fontId="49" type="noConversion"/>
  </si>
  <si>
    <r>
      <rPr>
        <sz val="10"/>
        <color theme="1"/>
        <rFont val="宋体"/>
        <family val="3"/>
        <charset val="134"/>
      </rPr>
      <t>√</t>
    </r>
    <phoneticPr fontId="17" type="noConversion"/>
  </si>
  <si>
    <r>
      <rPr>
        <b/>
        <sz val="10"/>
        <color theme="1"/>
        <rFont val="宋体"/>
        <family val="3"/>
        <charset val="134"/>
      </rPr>
      <t>√</t>
    </r>
    <phoneticPr fontId="17" type="noConversion"/>
  </si>
  <si>
    <r>
      <rPr>
        <sz val="10"/>
        <color theme="1"/>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</si>
  <si>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sz val="10"/>
        <color theme="1"/>
        <rFont val="宋体"/>
        <family val="3"/>
        <charset val="134"/>
      </rPr>
      <t>备选</t>
    </r>
    <phoneticPr fontId="49" type="noConversion"/>
  </si>
  <si>
    <r>
      <rPr>
        <sz val="10"/>
        <color theme="1"/>
        <rFont val="宋体"/>
        <family val="3"/>
        <charset val="134"/>
      </rPr>
      <t>对本期发生的应付股利（利润）的增减变动，检查支持性文件，确定会计处理是否正确。</t>
    </r>
    <phoneticPr fontId="17" type="noConversion"/>
  </si>
  <si>
    <r>
      <rPr>
        <sz val="10"/>
        <color theme="1"/>
        <rFont val="宋体"/>
        <family val="3"/>
        <charset val="134"/>
      </rPr>
      <t>常规★</t>
    </r>
  </si>
  <si>
    <t>公司代码</t>
    <phoneticPr fontId="17"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</si>
  <si>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7"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</si>
  <si>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9" type="noConversion"/>
  </si>
  <si>
    <t>√</t>
    <phoneticPr fontId="17" type="noConversion"/>
  </si>
  <si>
    <t>√</t>
    <phoneticPr fontId="17" type="noConversion"/>
  </si>
  <si>
    <t>检查应付股利是否已按企业会计准则或其他适用的规定在财务报表中做出恰当列报和披露。</t>
    <phoneticPr fontId="17" type="noConversion"/>
  </si>
  <si>
    <t>根据评估的舞弊风险等因素增加的审计程序。</t>
    <phoneticPr fontId="17" type="noConversion"/>
  </si>
  <si>
    <t>实施函证程序：
（1）以积极方式对应付股利账款进行函证，设计询证函、发函前核实被函证单位信息；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49" type="noConversion"/>
  </si>
  <si>
    <t>提示：</t>
    <phoneticPr fontId="17" type="noConversion"/>
  </si>
  <si>
    <r>
      <t>1.</t>
    </r>
    <r>
      <rPr>
        <sz val="10"/>
        <color indexed="12"/>
        <rFont val="宋体"/>
        <family val="3"/>
        <charset val="134"/>
      </rPr>
      <t>董事会或类似机构通过的利润分配方案中拟分配的现金股利或利润，不做账务处理，但应在附注中披露。</t>
    </r>
    <phoneticPr fontId="17" type="noConversion"/>
  </si>
  <si>
    <t>1.资产负债表中记录的应付股利（利润）是存在的，且已经记录在恰当的账户中；</t>
    <phoneticPr fontId="17" type="noConversion"/>
  </si>
  <si>
    <r>
      <t xml:space="preserve">B. </t>
    </r>
    <r>
      <rPr>
        <sz val="10"/>
        <rFont val="宋体"/>
        <family val="3"/>
        <charset val="134"/>
      </rPr>
      <t>所有应记录的应付股利（利润）均已记录，所有应当包括在财务报表中的相关披露均已包括</t>
    </r>
    <phoneticPr fontId="17" type="noConversion"/>
  </si>
  <si>
    <t>2.所有应记录的应付股利（利润）均已记录，所有应当包括在财务报表中的相关披露均已包括；</t>
    <phoneticPr fontId="17" type="noConversion"/>
  </si>
  <si>
    <t>3.应付股利（利润）以恰当的金额包括在财务报表中，与之相关的计价或分摊调整已恰当记录，相关披露已得到恰当计量和描述 ；</t>
    <phoneticPr fontId="17" type="noConversion"/>
  </si>
  <si>
    <t>1.审阅股东会、董事会会议记录中相关规定。收集与应付股利（利润）账户变动有关的董股东（大）会决议、事会会议纪要、协议等文件资料。</t>
    <phoneticPr fontId="17" type="noConversion"/>
  </si>
  <si>
    <t>2.检查应付股利的计提是否根据董事会或股东会(或股东大会)决定的利润分配方案，从税后可供分配利润中计算确定，如果存在未支付的股利关注未及时付出的原因。</t>
    <phoneticPr fontId="17" type="noConversion"/>
  </si>
  <si>
    <t>对方科目</t>
    <phoneticPr fontId="17" type="noConversion"/>
  </si>
  <si>
    <r>
      <rPr>
        <b/>
        <sz val="10"/>
        <color theme="1"/>
        <rFont val="宋体"/>
        <family val="3"/>
        <charset val="134"/>
      </rPr>
      <t>√</t>
    </r>
    <phoneticPr fontId="17" type="noConversion"/>
  </si>
  <si>
    <t>二、测试：</t>
    <phoneticPr fontId="27" type="noConversion"/>
  </si>
  <si>
    <t>三、审计说明：</t>
    <phoneticPr fontId="27" type="noConversion"/>
  </si>
  <si>
    <r>
      <rPr>
        <sz val="10"/>
        <color theme="1"/>
        <rFont val="宋体"/>
        <family val="3"/>
        <charset val="134"/>
      </rPr>
      <t>获取或编制应付股（利润）利明细表，完成以下工作，并编制审定表
（</t>
    </r>
    <r>
      <rPr>
        <sz val="10"/>
        <color theme="1"/>
        <rFont val="Arial Narrow"/>
        <family val="2"/>
      </rPr>
      <t>1</t>
    </r>
    <r>
      <rPr>
        <sz val="10"/>
        <color theme="1"/>
        <rFont val="宋体"/>
        <family val="3"/>
        <charset val="134"/>
      </rPr>
      <t>）复核加计是否正确，与总账、明细账合计数核对是否相符，期初余额与上期审定期末余额是否相符；
（</t>
    </r>
    <r>
      <rPr>
        <sz val="10"/>
        <color theme="1"/>
        <rFont val="Arial Narrow"/>
        <family val="2"/>
      </rPr>
      <t>4</t>
    </r>
    <r>
      <rPr>
        <sz val="10"/>
        <color theme="1"/>
        <rFont val="宋体"/>
        <family val="3"/>
        <charset val="134"/>
      </rPr>
      <t>）非记账本位币的，检查其折算汇率是否正确，会计处理是否正确。</t>
    </r>
    <phoneticPr fontId="49" type="noConversion"/>
  </si>
  <si>
    <r>
      <rPr>
        <sz val="10"/>
        <rFont val="宋体"/>
        <family val="3"/>
        <charset val="134"/>
      </rPr>
      <t>对期初余额的审计，取得应付股利（利润）期初余额明细表复核加计是否正确，与总账、明细账合计数是否相符，检查上期应付股利相关董事会/股东会决议文件、本期支付情况等。</t>
    </r>
    <r>
      <rPr>
        <sz val="10"/>
        <color rgb="FFFF0000"/>
        <rFont val="宋体"/>
        <family val="3"/>
        <charset val="134"/>
      </rPr>
      <t>（适用于首次承接）</t>
    </r>
    <phoneticPr fontId="49" type="noConversion"/>
  </si>
  <si>
    <t>记账凭证</t>
    <phoneticPr fontId="17" type="noConversion"/>
  </si>
  <si>
    <t>业务内容</t>
    <phoneticPr fontId="17" type="noConversion"/>
  </si>
  <si>
    <t>对方明细科目</t>
    <phoneticPr fontId="17" type="noConversion"/>
  </si>
  <si>
    <t>支持性文件</t>
    <phoneticPr fontId="17" type="noConversion"/>
  </si>
  <si>
    <r>
      <rPr>
        <b/>
        <sz val="10"/>
        <rFont val="宋体"/>
        <family val="3"/>
        <charset val="134"/>
      </rPr>
      <t>核对内容</t>
    </r>
  </si>
  <si>
    <t>索引号</t>
  </si>
  <si>
    <t>备注说明</t>
    <phoneticPr fontId="17" type="noConversion"/>
  </si>
  <si>
    <t>应付股利（利润）实质性程序</t>
    <phoneticPr fontId="17" type="noConversion"/>
  </si>
  <si>
    <t>准确性、计价和分摊</t>
    <phoneticPr fontId="17" type="noConversion"/>
  </si>
  <si>
    <t>列报</t>
    <phoneticPr fontId="17" type="noConversion"/>
  </si>
  <si>
    <t>M1-</t>
    <phoneticPr fontId="17" type="noConversion"/>
  </si>
  <si>
    <t>M1-1
/M1-2
/M1-4</t>
    <phoneticPr fontId="49" type="noConversion"/>
  </si>
  <si>
    <t>审阅公司章程、股东会(或股东大会)和董事会会议纪要中有关股利的规定，是否包括：现金股利、股票股利、股票分割；权益回购；已出售的权益性工具。了解股利分配标准和发放方式是否符合有关规定并经法定程序批准、金额是否正确。</t>
    <phoneticPr fontId="49" type="noConversion"/>
  </si>
  <si>
    <t>M1-5</t>
    <phoneticPr fontId="17" type="noConversion"/>
  </si>
  <si>
    <t>M1-6</t>
    <phoneticPr fontId="17" type="noConversion"/>
  </si>
  <si>
    <t>应付股利（利润）检查表</t>
    <phoneticPr fontId="17" type="noConversion"/>
  </si>
  <si>
    <t>应付股利（利润）测算表</t>
    <phoneticPr fontId="49" type="noConversion"/>
  </si>
  <si>
    <t>应付股利（利润）检查表</t>
    <phoneticPr fontId="49" type="noConversion"/>
  </si>
  <si>
    <t>页  次：</t>
    <phoneticPr fontId="17" type="noConversion"/>
  </si>
  <si>
    <r>
      <rPr>
        <sz val="10"/>
        <rFont val="宋体"/>
        <family val="3"/>
        <charset val="134"/>
      </rPr>
      <t>索引号：</t>
    </r>
    <phoneticPr fontId="17" type="noConversion"/>
  </si>
  <si>
    <r>
      <rPr>
        <sz val="10"/>
        <rFont val="宋体"/>
        <family val="3"/>
        <charset val="134"/>
      </rPr>
      <t>页</t>
    </r>
    <r>
      <rPr>
        <sz val="10"/>
        <rFont val="Arial Narrow"/>
        <family val="2"/>
      </rPr>
      <t xml:space="preserve">  </t>
    </r>
    <r>
      <rPr>
        <sz val="10"/>
        <rFont val="宋体"/>
        <family val="3"/>
        <charset val="134"/>
      </rPr>
      <t>次：</t>
    </r>
    <phoneticPr fontId="17" type="noConversion"/>
  </si>
  <si>
    <r>
      <rPr>
        <sz val="10"/>
        <color indexed="8"/>
        <rFont val="宋体"/>
        <family val="3"/>
        <charset val="134"/>
      </rPr>
      <t>页</t>
    </r>
    <r>
      <rPr>
        <sz val="10"/>
        <color indexed="8"/>
        <rFont val="Arial Narrow"/>
        <family val="2"/>
      </rPr>
      <t xml:space="preserve">  </t>
    </r>
    <r>
      <rPr>
        <sz val="10"/>
        <color indexed="8"/>
        <rFont val="宋体"/>
        <family val="3"/>
        <charset val="134"/>
      </rPr>
      <t>次：</t>
    </r>
    <phoneticPr fontId="17" type="noConversion"/>
  </si>
  <si>
    <r>
      <rPr>
        <sz val="10"/>
        <rFont val="宋体"/>
        <family val="3"/>
        <charset val="134"/>
      </rPr>
      <t>索引号：</t>
    </r>
    <phoneticPr fontId="17" type="noConversion"/>
  </si>
  <si>
    <r>
      <rPr>
        <sz val="10"/>
        <rFont val="宋体"/>
        <family val="3"/>
        <charset val="134"/>
      </rPr>
      <t>页</t>
    </r>
    <r>
      <rPr>
        <sz val="10"/>
        <rFont val="Arial Narrow"/>
        <family val="2"/>
      </rPr>
      <t xml:space="preserve">  </t>
    </r>
    <r>
      <rPr>
        <sz val="10"/>
        <rFont val="宋体"/>
        <family val="3"/>
        <charset val="134"/>
      </rPr>
      <t>次：</t>
    </r>
    <phoneticPr fontId="17" type="noConversion"/>
  </si>
  <si>
    <t>索引号：</t>
    <phoneticPr fontId="17" type="noConversion"/>
  </si>
  <si>
    <r>
      <rPr>
        <sz val="10"/>
        <rFont val="宋体"/>
        <family val="3"/>
        <charset val="134"/>
      </rPr>
      <t>页</t>
    </r>
    <r>
      <rPr>
        <sz val="10"/>
        <rFont val="Arial Narrow"/>
        <family val="2"/>
      </rPr>
      <t xml:space="preserve">  </t>
    </r>
    <r>
      <rPr>
        <sz val="10"/>
        <rFont val="宋体"/>
        <family val="3"/>
        <charset val="134"/>
      </rPr>
      <t>次：</t>
    </r>
    <phoneticPr fontId="17" type="noConversion"/>
  </si>
  <si>
    <r>
      <t>检查应付股利（利润）的计提是否根据董事会或股东会</t>
    </r>
    <r>
      <rPr>
        <sz val="10"/>
        <rFont val="Arial Narrow"/>
        <family val="2"/>
      </rPr>
      <t>(</t>
    </r>
    <r>
      <rPr>
        <sz val="10"/>
        <rFont val="宋体"/>
        <family val="3"/>
        <charset val="134"/>
      </rPr>
      <t>或股东大会</t>
    </r>
    <r>
      <rPr>
        <sz val="10"/>
        <rFont val="Arial Narrow"/>
        <family val="2"/>
      </rPr>
      <t>)</t>
    </r>
    <r>
      <rPr>
        <sz val="10"/>
        <rFont val="宋体"/>
        <family val="3"/>
        <charset val="134"/>
      </rPr>
      <t>决定的利润分配方案，从税后可供分配利润中计算确定。</t>
    </r>
    <phoneticPr fontId="17" type="noConversion"/>
  </si>
  <si>
    <t>索引号：</t>
    <phoneticPr fontId="17" type="noConversion"/>
  </si>
  <si>
    <t>T1/</t>
    <phoneticPr fontId="49" type="noConversion"/>
  </si>
  <si>
    <t>是否异常</t>
    <phoneticPr fontId="17" type="noConversion"/>
  </si>
  <si>
    <t>被审计单位：</t>
    <phoneticPr fontId="17" type="noConversion"/>
  </si>
  <si>
    <t>编制人：</t>
    <phoneticPr fontId="17" type="noConversion"/>
  </si>
  <si>
    <t>编制日期：</t>
    <phoneticPr fontId="17" type="noConversion"/>
  </si>
  <si>
    <t>复核人：</t>
    <phoneticPr fontId="17" type="noConversion"/>
  </si>
  <si>
    <t>复核日期：</t>
    <phoneticPr fontId="17" type="noConversion"/>
  </si>
  <si>
    <t>IPO/上市/新三板/重组/舞弊应对</t>
    <phoneticPr fontId="49" type="noConversion"/>
  </si>
  <si>
    <t>完整性</t>
    <phoneticPr fontId="17" type="noConversion"/>
  </si>
  <si>
    <t>权利和义务</t>
    <phoneticPr fontId="17" type="noConversion"/>
  </si>
  <si>
    <r>
      <t xml:space="preserve">C. </t>
    </r>
    <r>
      <rPr>
        <sz val="10"/>
        <rFont val="宋体"/>
        <family val="3"/>
        <charset val="134"/>
      </rPr>
      <t>记录的应付股利（利润）是被审计单位应当履行的偿还义务</t>
    </r>
    <phoneticPr fontId="17" type="noConversion"/>
  </si>
  <si>
    <r>
      <t xml:space="preserve">D. </t>
    </r>
    <r>
      <rPr>
        <sz val="10"/>
        <rFont val="宋体"/>
        <family val="3"/>
        <charset val="134"/>
      </rPr>
      <t>应付股利（利润）以恰当的金额包括在财务报表中，与之相关的计价或分摊调整已恰当记录，相关披露已得到恰当计量和描述</t>
    </r>
    <r>
      <rPr>
        <sz val="10"/>
        <rFont val="Arial Narrow"/>
        <family val="2"/>
      </rPr>
      <t xml:space="preserve"> </t>
    </r>
    <phoneticPr fontId="17" type="noConversion"/>
  </si>
  <si>
    <r>
      <t xml:space="preserve">E. </t>
    </r>
    <r>
      <rPr>
        <sz val="10"/>
        <rFont val="宋体"/>
        <family val="3"/>
        <charset val="134"/>
      </rPr>
      <t>应付股利（利润）已被恰当地汇总或分解且表述清楚，相关披露在按照企业会计准则的编制基础下是相关的、可理解的</t>
    </r>
    <phoneticPr fontId="17" type="noConversion"/>
  </si>
  <si>
    <t>截止日：202X年12月31日</t>
  </si>
  <si>
    <t>关于工作底稿与审计程序索引号对应的说明</t>
    <phoneticPr fontId="17"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</si>
  <si>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7"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</si>
  <si>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7"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</si>
  <si>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7" type="noConversion"/>
  </si>
  <si>
    <t>根据被审计单位实际情况和风险评估情况裁剪、修改或增加审计程序</t>
    <phoneticPr fontId="17" type="noConversion"/>
  </si>
  <si>
    <t>审计程序</t>
    <phoneticPr fontId="49" type="noConversion"/>
  </si>
  <si>
    <r>
      <t>1.</t>
    </r>
    <r>
      <rPr>
        <sz val="10"/>
        <rFont val="宋体"/>
        <family val="3"/>
        <charset val="134"/>
      </rPr>
      <t>本期发生额、期末余额检查比例：</t>
    </r>
    <phoneticPr fontId="17" type="noConversion"/>
  </si>
  <si>
    <t>账面金额</t>
    <phoneticPr fontId="17" type="noConversion"/>
  </si>
  <si>
    <t>方向</t>
    <phoneticPr fontId="17" type="noConversion"/>
  </si>
  <si>
    <t>检查金额</t>
    <phoneticPr fontId="17" type="noConversion"/>
  </si>
  <si>
    <t>检查比例</t>
    <phoneticPr fontId="17" type="noConversion"/>
  </si>
  <si>
    <t>如果检查比例较低应扩大检查样本量或说明原因</t>
    <phoneticPr fontId="17" type="noConversion"/>
  </si>
  <si>
    <t>本期借方</t>
    <phoneticPr fontId="17" type="noConversion"/>
  </si>
  <si>
    <t>本期贷方</t>
    <phoneticPr fontId="17" type="noConversion"/>
  </si>
  <si>
    <t>2.……</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</si>
</sst>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9">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b/>
      <sz val="10"/>
      <name val="宋体"/>
      <family val="3"/>
      <charset val="134"/>
    </font>
    <font>
      <sz val="10"/>
      <color indexed="10"/>
      <name val="宋体"/>
      <family val="3"/>
      <charset val="134"/>
    </font>
    <font>
      <sz val="12"/>
      <name val="Times New Roman"/>
      <family val="1"/>
    </font>
    <font>
      <sz val="10"/>
      <color indexed="12"/>
      <name val="宋体"/>
      <family val="3"/>
      <charset val="134"/>
    </font>
    <font>
      <b/>
      <sz val="10"/>
      <color indexed="8"/>
      <name val="宋体"/>
      <family val="3"/>
      <charset val="134"/>
    </font>
    <font>
      <sz val="18"/>
      <color indexed="48"/>
      <name val="魏碑"/>
      <family val="3"/>
      <charset val="134"/>
    </font>
    <font>
      <i/>
      <sz val="10"/>
      <color indexed="12"/>
      <name val="宋体"/>
      <family val="3"/>
      <charset val="134"/>
    </font>
    <font>
      <b/>
      <sz val="10"/>
      <color indexed="12"/>
      <name val="宋体"/>
      <family val="3"/>
      <charset val="134"/>
    </font>
    <font>
      <sz val="12"/>
      <name val="Arial"/>
      <family val="2"/>
    </font>
    <font>
      <sz val="10.5"/>
      <name val="Arial"/>
      <family val="2"/>
    </font>
    <font>
      <sz val="10.5"/>
      <name val="Times New Roman"/>
      <family val="1"/>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u/>
      <sz val="10"/>
      <name val="Arial Narrow"/>
      <family val="2"/>
    </font>
    <font>
      <sz val="10"/>
      <color indexed="12"/>
      <name val="Arial Narrow"/>
      <family val="2"/>
    </font>
    <font>
      <sz val="10"/>
      <color indexed="8"/>
      <name val="Arial Narrow"/>
      <family val="2"/>
    </font>
    <font>
      <b/>
      <sz val="10"/>
      <color indexed="8"/>
      <name val="Arial Narrow"/>
      <family val="2"/>
    </font>
    <font>
      <b/>
      <u/>
      <sz val="10"/>
      <color indexed="10"/>
      <name val="Arial Narrow"/>
      <family val="2"/>
    </font>
    <font>
      <sz val="11"/>
      <color theme="1"/>
      <name val="宋体"/>
      <family val="3"/>
      <charset val="134"/>
      <scheme val="minor"/>
    </font>
    <font>
      <sz val="9"/>
      <name val="宋体"/>
      <family val="3"/>
      <charset val="134"/>
      <scheme val="minor"/>
    </font>
    <font>
      <sz val="9"/>
      <name val="Arial Narrow"/>
      <family val="2"/>
    </font>
    <font>
      <b/>
      <sz val="9"/>
      <name val="Arial Narrow"/>
      <family val="2"/>
    </font>
    <font>
      <sz val="12"/>
      <color indexed="12"/>
      <name val="Arial Narrow"/>
      <family val="2"/>
    </font>
    <font>
      <sz val="9"/>
      <name val="宋体"/>
      <family val="2"/>
      <charset val="134"/>
      <scheme val="minor"/>
    </font>
    <font>
      <i/>
      <sz val="10"/>
      <color indexed="12"/>
      <name val="Arial Narrow"/>
      <family val="2"/>
    </font>
    <font>
      <b/>
      <sz val="10"/>
      <color indexed="12"/>
      <name val="Arial Narrow"/>
      <family val="2"/>
    </font>
    <font>
      <sz val="10"/>
      <color theme="1"/>
      <name val="Arial Narrow"/>
      <family val="2"/>
    </font>
    <font>
      <sz val="11"/>
      <color theme="1"/>
      <name val="Arial Narrow"/>
      <family val="2"/>
    </font>
    <font>
      <b/>
      <sz val="14"/>
      <name val="宋体"/>
      <family val="3"/>
      <charset val="134"/>
    </font>
    <font>
      <b/>
      <sz val="14"/>
      <name val="Arial Narrow"/>
      <family val="2"/>
    </font>
    <font>
      <sz val="10"/>
      <color theme="1" tint="0.14999847407452621"/>
      <name val="宋体"/>
      <family val="3"/>
      <charset val="134"/>
    </font>
    <font>
      <b/>
      <sz val="10"/>
      <color rgb="FFFF0000"/>
      <name val="Arial Narrow"/>
      <family val="2"/>
    </font>
    <font>
      <sz val="10"/>
      <color rgb="FFFF0000"/>
      <name val="Arial Narrow"/>
      <family val="2"/>
    </font>
    <font>
      <b/>
      <sz val="10"/>
      <color theme="1"/>
      <name val="Arial Narrow"/>
      <family val="2"/>
    </font>
    <font>
      <sz val="10"/>
      <color theme="1"/>
      <name val="宋体"/>
      <family val="3"/>
      <charset val="134"/>
    </font>
    <font>
      <sz val="11"/>
      <name val="Arial Narrow"/>
      <family val="2"/>
    </font>
    <font>
      <b/>
      <sz val="10"/>
      <color theme="1"/>
      <name val="宋体"/>
      <family val="3"/>
      <charset val="134"/>
    </font>
    <font>
      <sz val="10"/>
      <color rgb="FFFF0000"/>
      <name val="宋体"/>
      <family val="3"/>
      <charset val="134"/>
    </font>
    <font>
      <b/>
      <sz val="9"/>
      <color indexed="81"/>
      <name val="宋体"/>
      <family val="3"/>
      <charset val="134"/>
    </font>
    <font>
      <sz val="9"/>
      <color indexed="81"/>
      <name val="宋体"/>
      <family val="3"/>
      <charset val="134"/>
    </font>
    <font>
      <sz val="10"/>
      <color rgb="FF0000FF"/>
      <name val="宋体"/>
      <family val="3"/>
      <charset val="134"/>
    </font>
    <font>
      <sz val="10"/>
      <color indexed="8"/>
      <name val="宋体"/>
      <family val="3"/>
      <charset val="134"/>
    </font>
    <font>
      <i/>
      <u/>
      <sz val="10"/>
      <color indexed="12"/>
      <name val="Arial Narrow"/>
      <family val="2"/>
    </font>
    <font>
      <sz val="12"/>
      <color indexed="12"/>
      <name val="仿宋_GB2312"/>
      <family val="3"/>
      <charset val="134"/>
    </font>
    <font>
      <b/>
      <sz val="10"/>
      <color rgb="FF000000"/>
      <name val="宋体"/>
      <family val="3"/>
      <charset val="134"/>
    </font>
    <font>
      <sz val="10"/>
      <color rgb="FF000000"/>
      <name val="宋体"/>
      <family val="2"/>
      <charset val="134"/>
    </font>
    <font>
      <sz val="12"/>
      <name val="宋体"/>
      <family val="3"/>
      <charset val="134"/>
      <scheme val="minor"/>
    </font>
    <font>
      <sz val="10"/>
      <name val="宋体"/>
      <family val="3"/>
      <charset val="134"/>
      <scheme val="minor"/>
    </font>
    <font>
      <b/>
      <sz val="10"/>
      <color rgb="FF0000FF"/>
      <name val="宋体"/>
      <family val="3"/>
      <charset val="134"/>
      <scheme val="minor"/>
    </font>
    <font>
      <b/>
      <sz val="10"/>
      <name val="宋体"/>
      <family val="3"/>
      <charset val="134"/>
      <scheme val="minor"/>
    </font>
    <font>
      <b/>
      <sz val="10"/>
      <color rgb="FF000000"/>
      <name val="宋体"/>
      <family val="3"/>
      <charset val="134"/>
      <scheme val="minor"/>
    </font>
    <font>
      <sz val="10"/>
      <color rgb="FF000000"/>
      <name val="宋体"/>
      <family val="3"/>
      <charset val="134"/>
      <scheme val="minor"/>
    </font>
    <font>
      <sz val="10"/>
      <color rgb="FF0000FF"/>
      <name val="宋体"/>
      <family val="3"/>
      <charset val="134"/>
      <scheme val="minor"/>
    </font>
    <font>
      <b/>
      <sz val="10"/>
      <color rgb="FFFF0000"/>
      <name val="宋体"/>
      <family val="3"/>
      <charset val="134"/>
    </font>
    <font>
      <b/>
      <sz val="10"/>
      <color indexed="8"/>
      <name val="宋体"/>
      <family val="3"/>
      <charset val="134"/>
      <scheme val="minor"/>
    </font>
    <font>
      <sz val="11"/>
      <color rgb="FFFF0000"/>
      <name val="Arial Narrow"/>
      <family val="2"/>
    </font>
    <font>
      <sz val="10"/>
      <color rgb="FF0000FF"/>
      <name val="Arial Narrow"/>
      <family val="2"/>
    </font>
    <font>
      <sz val="10"/>
      <color indexed="8"/>
      <name val="宋体"/>
      <family val="3"/>
      <charset val="134"/>
      <scheme val="minor"/>
    </font>
    <font>
      <sz val="10"/>
      <color indexed="10"/>
      <name val="Arial Narrow"/>
      <family val="2"/>
    </font>
    <font>
      <sz val="10"/>
      <color rgb="FF3333FF"/>
      <name val="Arial Narrow"/>
      <family val="2"/>
    </font>
    <font>
      <sz val="10"/>
      <color rgb="FF3333FF"/>
      <name val="宋体"/>
      <family val="3"/>
      <charset val="134"/>
    </font>
    <font>
      <sz val="10"/>
      <color theme="1" tint="0.14999847407452621"/>
      <name val="Arial Narrow"/>
      <family val="2"/>
    </font>
    <font>
      <sz val="12"/>
      <color indexed="12"/>
      <name val="宋体"/>
      <family val="3"/>
      <charset val="134"/>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9"/>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00B050"/>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E4DFEC"/>
        <bgColor indexed="64"/>
      </patternFill>
    </fill>
    <fill>
      <patternFill patternType="solid">
        <fgColor theme="7" tint="0.79998168889431442"/>
        <bgColor rgb="FFB7DEE8"/>
      </patternFill>
    </fill>
  </fills>
  <borders count="17">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top/>
      <bottom style="hair">
        <color indexed="64"/>
      </bottom>
      <diagonal/>
    </border>
  </borders>
  <cellStyleXfs count="61">
    <xf numFmtId="0" fontId="0" fillId="0" borderId="0">
      <protection locked="0"/>
    </xf>
    <xf numFmtId="49" fontId="21" fillId="0" borderId="0" applyProtection="0">
      <alignment horizontal="left"/>
    </xf>
    <xf numFmtId="189" fontId="21" fillId="0" borderId="0" applyFill="0" applyBorder="0" applyProtection="0">
      <alignment horizontal="right"/>
    </xf>
    <xf numFmtId="186" fontId="21" fillId="0" borderId="0" applyFill="0" applyBorder="0" applyProtection="0">
      <alignment horizontal="right"/>
    </xf>
    <xf numFmtId="188" fontId="33" fillId="0" borderId="0" applyFill="0" applyBorder="0" applyProtection="0">
      <alignment horizontal="center"/>
    </xf>
    <xf numFmtId="187" fontId="33" fillId="0" borderId="0" applyFill="0" applyBorder="0" applyProtection="0">
      <alignment horizontal="center"/>
    </xf>
    <xf numFmtId="190" fontId="34" fillId="0" borderId="0" applyFill="0" applyBorder="0" applyProtection="0">
      <alignment horizontal="right"/>
    </xf>
    <xf numFmtId="191" fontId="21" fillId="0" borderId="0" applyFill="0" applyBorder="0" applyProtection="0">
      <alignment horizontal="right"/>
    </xf>
    <xf numFmtId="192" fontId="21" fillId="0" borderId="0" applyFill="0" applyBorder="0" applyProtection="0">
      <alignment horizontal="right"/>
    </xf>
    <xf numFmtId="195" fontId="21" fillId="0" borderId="0" applyFill="0" applyBorder="0" applyProtection="0">
      <alignment horizontal="right"/>
    </xf>
    <xf numFmtId="194" fontId="21" fillId="0" borderId="0" applyFill="0" applyBorder="0" applyProtection="0">
      <alignment horizontal="right"/>
    </xf>
    <xf numFmtId="3" fontId="4" fillId="0" borderId="0"/>
    <xf numFmtId="180" fontId="5" fillId="0" borderId="1" applyAlignment="0" applyProtection="0"/>
    <xf numFmtId="176" fontId="6" fillId="0" borderId="0" applyFont="0" applyFill="0" applyBorder="0" applyAlignment="0" applyProtection="0"/>
    <xf numFmtId="177"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193" fontId="21" fillId="0" borderId="0" applyFont="0" applyFill="0" applyBorder="0" applyAlignment="0" applyProtection="0"/>
    <xf numFmtId="0" fontId="7" fillId="0" borderId="0" applyNumberFormat="0" applyFill="0" applyBorder="0" applyAlignment="0" applyProtection="0">
      <alignment vertical="top"/>
      <protection locked="0"/>
    </xf>
    <xf numFmtId="38" fontId="8" fillId="2" borderId="0" applyNumberFormat="0" applyBorder="0" applyAlignment="0" applyProtection="0"/>
    <xf numFmtId="0" fontId="9" fillId="0" borderId="0" applyNumberFormat="0" applyFill="0" applyBorder="0" applyAlignment="0" applyProtection="0">
      <alignment vertical="top"/>
      <protection locked="0"/>
    </xf>
    <xf numFmtId="10" fontId="8" fillId="3" borderId="2" applyNumberFormat="0" applyBorder="0" applyAlignment="0" applyProtection="0"/>
    <xf numFmtId="184" fontId="10" fillId="0" borderId="0" applyFont="0" applyFill="0" applyBorder="0" applyAlignment="0" applyProtection="0"/>
    <xf numFmtId="185" fontId="10" fillId="0" borderId="0" applyFont="0" applyFill="0" applyBorder="0" applyAlignment="0" applyProtection="0"/>
    <xf numFmtId="0" fontId="11" fillId="0" borderId="0"/>
    <xf numFmtId="183" fontId="10" fillId="0" borderId="0"/>
    <xf numFmtId="0" fontId="12" fillId="0" borderId="0"/>
    <xf numFmtId="10" fontId="6" fillId="0" borderId="0" applyFont="0" applyFill="0" applyBorder="0" applyAlignment="0" applyProtection="0"/>
    <xf numFmtId="3" fontId="13" fillId="0" borderId="0"/>
    <xf numFmtId="9" fontId="10" fillId="0" borderId="0" applyFont="0" applyFill="0" applyBorder="0" applyAlignment="0" applyProtection="0"/>
    <xf numFmtId="0" fontId="10" fillId="0" borderId="0">
      <alignment vertical="center"/>
    </xf>
    <xf numFmtId="0" fontId="24" fillId="0" borderId="0"/>
    <xf numFmtId="0" fontId="10" fillId="0" borderId="0"/>
    <xf numFmtId="0" fontId="10" fillId="0" borderId="0" applyFill="0" applyBorder="0"/>
    <xf numFmtId="0" fontId="14" fillId="0" borderId="0" applyNumberFormat="0" applyFill="0" applyBorder="0" applyAlignment="0" applyProtection="0">
      <alignment vertical="top"/>
      <protection locked="0"/>
    </xf>
    <xf numFmtId="0" fontId="15" fillId="0" borderId="0"/>
    <xf numFmtId="178" fontId="10" fillId="0" borderId="0" applyFont="0" applyFill="0" applyBorder="0" applyAlignment="0" applyProtection="0"/>
    <xf numFmtId="179" fontId="10"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43" fontId="10" fillId="0" borderId="0" applyFont="0" applyFill="0" applyBorder="0" applyAlignment="0" applyProtection="0"/>
    <xf numFmtId="0" fontId="10" fillId="0" borderId="0">
      <protection locked="0"/>
    </xf>
    <xf numFmtId="0" fontId="10" fillId="0" borderId="0">
      <alignment vertical="center"/>
    </xf>
    <xf numFmtId="193" fontId="44" fillId="0" borderId="0">
      <alignment vertical="center"/>
    </xf>
    <xf numFmtId="193" fontId="10" fillId="0" borderId="0"/>
    <xf numFmtId="0" fontId="10" fillId="0" borderId="0">
      <alignment vertical="center"/>
    </xf>
    <xf numFmtId="193" fontId="10" fillId="0" borderId="0">
      <alignment vertical="center"/>
    </xf>
    <xf numFmtId="193" fontId="3" fillId="0" borderId="0">
      <alignment vertical="center"/>
    </xf>
    <xf numFmtId="0" fontId="10" fillId="0" borderId="0">
      <protection locked="0"/>
    </xf>
    <xf numFmtId="43" fontId="10" fillId="0" borderId="0" applyFont="0" applyFill="0" applyBorder="0" applyAlignment="0" applyProtection="0"/>
    <xf numFmtId="0" fontId="10" fillId="0" borderId="0">
      <protection locked="0"/>
    </xf>
    <xf numFmtId="193" fontId="10" fillId="0" borderId="0"/>
    <xf numFmtId="0" fontId="14" fillId="0" borderId="0" applyNumberFormat="0" applyFill="0" applyBorder="0" applyAlignment="0" applyProtection="0">
      <alignment vertical="top"/>
      <protection locked="0"/>
    </xf>
    <xf numFmtId="9" fontId="10" fillId="0" borderId="0" applyFont="0" applyFill="0" applyBorder="0" applyAlignment="0" applyProtection="0"/>
    <xf numFmtId="193" fontId="2" fillId="0" borderId="0">
      <alignment vertical="center"/>
    </xf>
    <xf numFmtId="193" fontId="2" fillId="0" borderId="0">
      <alignment vertical="center"/>
    </xf>
    <xf numFmtId="43" fontId="10" fillId="0" borderId="0" applyFont="0" applyFill="0" applyBorder="0" applyAlignment="0" applyProtection="0">
      <alignment vertical="center"/>
    </xf>
    <xf numFmtId="9" fontId="10" fillId="0" borderId="0" applyFont="0" applyFill="0" applyBorder="0" applyAlignment="0" applyProtection="0">
      <alignment vertical="center"/>
    </xf>
    <xf numFmtId="193" fontId="1" fillId="0" borderId="0">
      <alignment vertical="center"/>
    </xf>
  </cellStyleXfs>
  <cellXfs count="335">
    <xf numFmtId="0" fontId="0" fillId="0" borderId="0" xfId="0">
      <protection locked="0"/>
    </xf>
    <xf numFmtId="0" fontId="20" fillId="0" borderId="0" xfId="0" applyFont="1" applyAlignment="1">
      <alignment horizontal="justify" wrapText="1"/>
      <protection locked="0"/>
    </xf>
    <xf numFmtId="0" fontId="20" fillId="0" borderId="0" xfId="0" applyFont="1" applyAlignment="1">
      <alignment horizontal="justify" vertical="top" wrapText="1"/>
      <protection locked="0"/>
    </xf>
    <xf numFmtId="0" fontId="18" fillId="4" borderId="0" xfId="0" applyFont="1" applyFill="1" applyAlignment="1">
      <alignment horizontal="justify" vertical="center" wrapText="1"/>
      <protection locked="0"/>
    </xf>
    <xf numFmtId="0" fontId="19" fillId="0" borderId="0" xfId="0" applyFont="1" applyAlignment="1">
      <alignment vertical="center"/>
      <protection locked="0"/>
    </xf>
    <xf numFmtId="0" fontId="0" fillId="0" borderId="0" xfId="0" applyAlignment="1">
      <alignment vertical="center"/>
      <protection locked="0"/>
    </xf>
    <xf numFmtId="0" fontId="30" fillId="0" borderId="0" xfId="0" applyFont="1" applyAlignment="1">
      <alignment vertical="center"/>
      <protection locked="0"/>
    </xf>
    <xf numFmtId="0" fontId="10" fillId="0" borderId="0" xfId="0" applyFont="1" applyAlignment="1">
      <alignment vertical="center"/>
      <protection locked="0"/>
    </xf>
    <xf numFmtId="0" fontId="31" fillId="0" borderId="0" xfId="0" applyFont="1" applyAlignment="1">
      <alignment horizontal="justify" wrapText="1"/>
      <protection locked="0"/>
    </xf>
    <xf numFmtId="0" fontId="10" fillId="0" borderId="0" xfId="0" applyFont="1" applyAlignment="1">
      <alignment horizontal="center" vertical="center"/>
      <protection locked="0"/>
    </xf>
    <xf numFmtId="0" fontId="30" fillId="0" borderId="0" xfId="0" applyFont="1">
      <protection locked="0"/>
    </xf>
    <xf numFmtId="0" fontId="32" fillId="0" borderId="0" xfId="0" applyFont="1" applyAlignment="1">
      <alignment horizontal="justify" wrapText="1"/>
      <protection locked="0"/>
    </xf>
    <xf numFmtId="0" fontId="18" fillId="0" borderId="0" xfId="0" applyFont="1" applyAlignment="1">
      <alignment vertical="center"/>
      <protection locked="0"/>
    </xf>
    <xf numFmtId="43" fontId="36" fillId="0" borderId="0" xfId="35" applyNumberFormat="1" applyFont="1" applyBorder="1" applyAlignment="1">
      <alignment vertical="center"/>
    </xf>
    <xf numFmtId="43" fontId="38" fillId="0" borderId="0" xfId="35" applyNumberFormat="1" applyFont="1" applyBorder="1" applyAlignment="1">
      <alignment vertical="center"/>
    </xf>
    <xf numFmtId="43" fontId="38" fillId="0" borderId="0" xfId="35" applyNumberFormat="1" applyFont="1" applyBorder="1" applyAlignment="1">
      <alignment horizontal="left" vertical="center"/>
    </xf>
    <xf numFmtId="43" fontId="35" fillId="0" borderId="0" xfId="35" applyNumberFormat="1" applyFont="1" applyBorder="1" applyAlignment="1">
      <alignment vertical="center"/>
    </xf>
    <xf numFmtId="0" fontId="38" fillId="0" borderId="0" xfId="33" applyFont="1" applyAlignment="1">
      <alignment vertical="center"/>
    </xf>
    <xf numFmtId="0" fontId="38" fillId="0" borderId="0" xfId="33" applyFont="1" applyAlignment="1">
      <alignment horizontal="left" vertical="center"/>
    </xf>
    <xf numFmtId="43" fontId="40" fillId="0" borderId="0" xfId="35" applyNumberFormat="1" applyFont="1" applyBorder="1" applyAlignment="1">
      <alignment vertical="center"/>
    </xf>
    <xf numFmtId="0" fontId="37" fillId="0" borderId="0" xfId="32" applyFont="1">
      <alignment vertical="center"/>
    </xf>
    <xf numFmtId="0" fontId="36" fillId="0" borderId="0" xfId="32" applyFont="1">
      <alignment vertical="center"/>
    </xf>
    <xf numFmtId="0" fontId="38" fillId="0" borderId="0" xfId="0" applyFont="1" applyAlignment="1">
      <alignment vertical="center"/>
      <protection locked="0"/>
    </xf>
    <xf numFmtId="0" fontId="38" fillId="0" borderId="0" xfId="0" applyFont="1">
      <protection locked="0"/>
    </xf>
    <xf numFmtId="0" fontId="35" fillId="0" borderId="0" xfId="0" applyFont="1">
      <protection locked="0"/>
    </xf>
    <xf numFmtId="0" fontId="36" fillId="0" borderId="0" xfId="0" applyFont="1">
      <protection locked="0"/>
    </xf>
    <xf numFmtId="43" fontId="41" fillId="5" borderId="3" xfId="0" applyNumberFormat="1" applyFont="1" applyFill="1" applyBorder="1" applyAlignment="1">
      <alignment horizontal="right" vertical="center"/>
      <protection locked="0"/>
    </xf>
    <xf numFmtId="43" fontId="38" fillId="0" borderId="3" xfId="42" applyFont="1" applyBorder="1" applyAlignment="1">
      <alignment vertical="center"/>
    </xf>
    <xf numFmtId="43" fontId="35" fillId="0" borderId="3" xfId="42" applyFont="1" applyBorder="1" applyAlignment="1">
      <alignment vertical="center"/>
    </xf>
    <xf numFmtId="0" fontId="38" fillId="0" borderId="5" xfId="0" applyFont="1" applyBorder="1">
      <protection locked="0"/>
    </xf>
    <xf numFmtId="0" fontId="38" fillId="0" borderId="3" xfId="0" applyFont="1" applyBorder="1" applyAlignment="1">
      <alignment horizontal="center" vertical="center"/>
      <protection locked="0"/>
    </xf>
    <xf numFmtId="0" fontId="37" fillId="0" borderId="0" xfId="0" applyFont="1" applyAlignment="1">
      <alignment vertical="center"/>
      <protection locked="0"/>
    </xf>
    <xf numFmtId="0" fontId="38" fillId="0" borderId="0" xfId="0" applyFont="1" applyAlignment="1">
      <alignment horizontal="left" vertical="center"/>
      <protection locked="0"/>
    </xf>
    <xf numFmtId="0" fontId="35" fillId="0" borderId="0" xfId="34" applyFont="1" applyAlignment="1">
      <alignment horizontal="left" vertical="center"/>
    </xf>
    <xf numFmtId="0" fontId="38" fillId="0" borderId="0" xfId="34" applyFont="1" applyAlignment="1" applyProtection="1">
      <alignment vertical="center"/>
      <protection locked="0"/>
    </xf>
    <xf numFmtId="0" fontId="40" fillId="0" borderId="0" xfId="34" applyFont="1" applyAlignment="1" applyProtection="1">
      <alignment horizontal="center" vertical="center"/>
      <protection hidden="1"/>
    </xf>
    <xf numFmtId="0" fontId="38" fillId="0" borderId="0" xfId="34" applyFont="1" applyAlignment="1" applyProtection="1">
      <alignment horizontal="left" vertical="center"/>
      <protection hidden="1"/>
    </xf>
    <xf numFmtId="0" fontId="40" fillId="0" borderId="0" xfId="34" applyFont="1" applyAlignment="1" applyProtection="1">
      <alignment horizontal="left" vertical="center"/>
      <protection locked="0"/>
    </xf>
    <xf numFmtId="0" fontId="38" fillId="0" borderId="5" xfId="0" applyFont="1" applyBorder="1" applyAlignment="1">
      <alignment vertical="center"/>
      <protection locked="0"/>
    </xf>
    <xf numFmtId="0" fontId="38" fillId="0" borderId="0" xfId="0" applyFont="1" applyAlignment="1">
      <alignment horizontal="center" vertical="center"/>
      <protection locked="0"/>
    </xf>
    <xf numFmtId="0" fontId="35" fillId="0" borderId="0" xfId="0" applyFont="1" applyAlignment="1">
      <alignment vertical="center"/>
      <protection locked="0"/>
    </xf>
    <xf numFmtId="0" fontId="28" fillId="0" borderId="0" xfId="0" applyFont="1" applyAlignment="1">
      <alignment vertical="center"/>
      <protection locked="0"/>
    </xf>
    <xf numFmtId="0" fontId="40" fillId="0" borderId="0" xfId="0" applyFont="1" applyAlignment="1">
      <alignment vertical="center"/>
      <protection locked="0"/>
    </xf>
    <xf numFmtId="0" fontId="36" fillId="0" borderId="0" xfId="0" applyFont="1" applyAlignment="1">
      <alignment vertical="center"/>
      <protection locked="0"/>
    </xf>
    <xf numFmtId="0" fontId="40" fillId="0" borderId="0" xfId="0" applyFont="1">
      <protection locked="0"/>
    </xf>
    <xf numFmtId="0" fontId="40" fillId="0" borderId="0" xfId="0" applyFont="1" applyAlignment="1">
      <alignment horizontal="right"/>
      <protection locked="0"/>
    </xf>
    <xf numFmtId="0" fontId="30" fillId="0" borderId="12" xfId="0" applyFont="1" applyBorder="1" applyAlignment="1">
      <alignment horizontal="center" wrapText="1"/>
      <protection locked="0"/>
    </xf>
    <xf numFmtId="0" fontId="14" fillId="0" borderId="12" xfId="36" applyBorder="1" applyAlignment="1">
      <protection locked="0"/>
    </xf>
    <xf numFmtId="0" fontId="19" fillId="0" borderId="0" xfId="32" applyFont="1">
      <alignment vertical="center"/>
    </xf>
    <xf numFmtId="0" fontId="42" fillId="0" borderId="0" xfId="43" applyFont="1" applyAlignment="1" applyProtection="1">
      <alignment vertical="center"/>
    </xf>
    <xf numFmtId="0" fontId="43" fillId="0" borderId="0" xfId="43" applyFont="1" applyAlignment="1" applyProtection="1">
      <alignment horizontal="center"/>
    </xf>
    <xf numFmtId="0" fontId="38" fillId="0" borderId="0" xfId="43" applyFont="1" applyAlignment="1">
      <alignment vertical="center"/>
      <protection locked="0"/>
    </xf>
    <xf numFmtId="0" fontId="38" fillId="0" borderId="0" xfId="43" applyFont="1" applyAlignment="1">
      <alignment vertical="center" wrapText="1"/>
      <protection locked="0"/>
    </xf>
    <xf numFmtId="0" fontId="38" fillId="0" borderId="0" xfId="43" applyFont="1" applyAlignment="1">
      <alignment horizontal="right" vertical="center"/>
      <protection locked="0"/>
    </xf>
    <xf numFmtId="0" fontId="38" fillId="0" borderId="0" xfId="43" applyFont="1" applyAlignment="1">
      <alignment horizontal="justify" vertical="center" wrapText="1"/>
      <protection locked="0"/>
    </xf>
    <xf numFmtId="0" fontId="18" fillId="0" borderId="0" xfId="43" applyFont="1" applyAlignment="1" applyProtection="1">
      <alignment vertical="center"/>
    </xf>
    <xf numFmtId="0" fontId="35" fillId="0" borderId="0" xfId="43" applyFont="1" applyAlignment="1" applyProtection="1">
      <alignment horizontal="left" vertical="center"/>
    </xf>
    <xf numFmtId="0" fontId="38" fillId="0" borderId="0" xfId="44" applyFont="1">
      <alignment vertical="center"/>
    </xf>
    <xf numFmtId="0" fontId="18" fillId="0" borderId="0" xfId="0" applyFont="1" applyAlignment="1">
      <alignment horizontal="right" vertical="center"/>
      <protection locked="0"/>
    </xf>
    <xf numFmtId="0" fontId="35" fillId="0" borderId="0" xfId="0" applyFont="1" applyAlignment="1">
      <alignment horizontal="center"/>
      <protection locked="0"/>
    </xf>
    <xf numFmtId="0" fontId="22" fillId="0" borderId="0" xfId="0" applyFont="1" applyAlignment="1">
      <alignment vertical="center"/>
      <protection locked="0"/>
    </xf>
    <xf numFmtId="0" fontId="38" fillId="0" borderId="0" xfId="34" applyFont="1" applyAlignment="1">
      <alignment vertical="center"/>
    </xf>
    <xf numFmtId="0" fontId="22" fillId="0" borderId="5" xfId="0" applyFont="1" applyBorder="1" applyAlignment="1">
      <alignment vertical="center"/>
      <protection locked="0"/>
    </xf>
    <xf numFmtId="193" fontId="38" fillId="0" borderId="0" xfId="45" applyFont="1" applyProtection="1">
      <alignment vertical="center"/>
      <protection locked="0"/>
    </xf>
    <xf numFmtId="193" fontId="41" fillId="0" borderId="0" xfId="45" applyFont="1">
      <alignment vertical="center"/>
    </xf>
    <xf numFmtId="193" fontId="38" fillId="0" borderId="0" xfId="45" applyFont="1" applyAlignment="1" applyProtection="1">
      <alignment horizontal="right" vertical="center"/>
      <protection locked="0"/>
    </xf>
    <xf numFmtId="193" fontId="38" fillId="0" borderId="3" xfId="45" applyFont="1" applyBorder="1" applyAlignment="1" applyProtection="1">
      <alignment horizontal="left" vertical="center" wrapText="1"/>
      <protection locked="0"/>
    </xf>
    <xf numFmtId="193" fontId="42" fillId="6" borderId="3" xfId="45" applyFont="1" applyFill="1" applyBorder="1" applyAlignment="1" applyProtection="1">
      <alignment horizontal="center" vertical="center" wrapText="1"/>
      <protection locked="0"/>
    </xf>
    <xf numFmtId="43" fontId="35" fillId="0" borderId="0" xfId="35" applyNumberFormat="1" applyFont="1" applyBorder="1" applyAlignment="1">
      <alignment horizontal="left" vertical="center"/>
    </xf>
    <xf numFmtId="9" fontId="39" fillId="0" borderId="0" xfId="31" applyFont="1" applyBorder="1" applyAlignment="1">
      <alignment horizontal="left" vertical="center"/>
    </xf>
    <xf numFmtId="10" fontId="39" fillId="0" borderId="0" xfId="31" applyNumberFormat="1" applyFont="1" applyBorder="1" applyAlignment="1">
      <alignment horizontal="left" vertical="center"/>
    </xf>
    <xf numFmtId="0" fontId="22" fillId="6" borderId="3" xfId="0" applyFont="1" applyFill="1" applyBorder="1" applyAlignment="1">
      <alignment horizontal="center" vertical="center" wrapText="1"/>
      <protection locked="0"/>
    </xf>
    <xf numFmtId="0" fontId="38" fillId="0" borderId="0" xfId="43" applyFont="1" applyAlignment="1" applyProtection="1">
      <alignment vertical="center"/>
    </xf>
    <xf numFmtId="0" fontId="36" fillId="0" borderId="0" xfId="32" applyFont="1" applyAlignment="1">
      <alignment vertical="center" wrapText="1"/>
    </xf>
    <xf numFmtId="0" fontId="38" fillId="0" borderId="0" xfId="0" applyFont="1" applyAlignment="1">
      <alignment vertical="center" wrapText="1"/>
      <protection locked="0"/>
    </xf>
    <xf numFmtId="43" fontId="38" fillId="0" borderId="3" xfId="42" applyFont="1" applyBorder="1" applyAlignment="1">
      <alignment vertical="center" wrapText="1"/>
    </xf>
    <xf numFmtId="0" fontId="38" fillId="0" borderId="3" xfId="0" applyFont="1" applyBorder="1" applyAlignment="1">
      <alignment horizontal="right" vertical="center" wrapText="1"/>
      <protection locked="0"/>
    </xf>
    <xf numFmtId="43" fontId="38" fillId="0" borderId="3" xfId="42" applyFont="1" applyBorder="1" applyAlignment="1">
      <alignment horizontal="right" vertical="center" wrapText="1"/>
    </xf>
    <xf numFmtId="43" fontId="22" fillId="6" borderId="3" xfId="42" applyFont="1" applyFill="1" applyBorder="1" applyAlignment="1">
      <alignment horizontal="center" vertical="center" wrapText="1"/>
    </xf>
    <xf numFmtId="0" fontId="36" fillId="0" borderId="0" xfId="0" applyFont="1" applyAlignment="1">
      <alignment vertical="center" wrapText="1"/>
      <protection locked="0"/>
    </xf>
    <xf numFmtId="0" fontId="25" fillId="0" borderId="0" xfId="0" applyFont="1" applyAlignment="1">
      <alignment vertical="center"/>
      <protection locked="0"/>
    </xf>
    <xf numFmtId="0" fontId="48" fillId="0" borderId="0" xfId="0" applyFont="1" applyAlignment="1">
      <alignment vertical="center" wrapText="1"/>
      <protection locked="0"/>
    </xf>
    <xf numFmtId="0" fontId="42" fillId="0" borderId="2" xfId="0" applyFont="1" applyBorder="1" applyAlignment="1" applyProtection="1">
      <alignment horizontal="center" vertical="center"/>
    </xf>
    <xf numFmtId="0" fontId="42" fillId="0" borderId="2" xfId="0" applyFont="1" applyBorder="1" applyAlignment="1" applyProtection="1">
      <alignment vertical="center"/>
    </xf>
    <xf numFmtId="0" fontId="41" fillId="0" borderId="2" xfId="0" applyFont="1" applyBorder="1" applyAlignment="1" applyProtection="1">
      <alignment vertical="center"/>
    </xf>
    <xf numFmtId="193" fontId="35" fillId="0" borderId="3" xfId="45" applyFont="1" applyBorder="1" applyAlignment="1" applyProtection="1">
      <alignment horizontal="left" vertical="center" wrapText="1"/>
      <protection locked="0"/>
    </xf>
    <xf numFmtId="9" fontId="41" fillId="5" borderId="3" xfId="0" applyNumberFormat="1" applyFont="1" applyFill="1" applyBorder="1" applyAlignment="1">
      <alignment horizontal="right" vertical="center"/>
      <protection locked="0"/>
    </xf>
    <xf numFmtId="14" fontId="18" fillId="0" borderId="0" xfId="0" applyNumberFormat="1" applyFont="1" applyAlignment="1">
      <alignment vertical="center"/>
      <protection locked="0"/>
    </xf>
    <xf numFmtId="0" fontId="41" fillId="0" borderId="3" xfId="0" applyFont="1" applyBorder="1" applyAlignment="1">
      <alignment horizontal="left" vertical="center"/>
      <protection locked="0"/>
    </xf>
    <xf numFmtId="14" fontId="38" fillId="0" borderId="0" xfId="0" applyNumberFormat="1" applyFont="1" applyAlignment="1">
      <alignment vertical="center"/>
      <protection locked="0"/>
    </xf>
    <xf numFmtId="0" fontId="38" fillId="0" borderId="3" xfId="0" applyFont="1" applyBorder="1" applyAlignment="1">
      <alignment horizontal="justify" vertical="center" wrapText="1"/>
      <protection locked="0"/>
    </xf>
    <xf numFmtId="14" fontId="38" fillId="0" borderId="0" xfId="0" applyNumberFormat="1" applyFont="1" applyAlignment="1">
      <alignment horizontal="left" vertical="center"/>
      <protection locked="0"/>
    </xf>
    <xf numFmtId="0" fontId="35" fillId="6" borderId="3" xfId="0" applyFont="1" applyFill="1" applyBorder="1" applyAlignment="1">
      <alignment horizontal="center" vertical="center"/>
      <protection locked="0"/>
    </xf>
    <xf numFmtId="0" fontId="42" fillId="6" borderId="3" xfId="0" applyFont="1" applyFill="1" applyBorder="1" applyAlignment="1">
      <alignment horizontal="center" vertical="center"/>
      <protection locked="0"/>
    </xf>
    <xf numFmtId="0" fontId="35" fillId="0" borderId="5" xfId="0" applyFont="1" applyBorder="1">
      <protection locked="0"/>
    </xf>
    <xf numFmtId="0" fontId="50" fillId="0" borderId="0" xfId="0" applyFont="1">
      <protection locked="0"/>
    </xf>
    <xf numFmtId="0" fontId="35" fillId="0" borderId="5" xfId="0" applyFont="1" applyBorder="1" applyAlignment="1">
      <alignment vertical="center"/>
      <protection locked="0"/>
    </xf>
    <xf numFmtId="0" fontId="50" fillId="0" borderId="0" xfId="0" applyFont="1" applyAlignment="1">
      <alignment vertical="center"/>
      <protection locked="0"/>
    </xf>
    <xf numFmtId="0" fontId="51" fillId="0" borderId="0" xfId="0" applyFont="1" applyAlignment="1">
      <alignment horizontal="left"/>
      <protection locked="0"/>
    </xf>
    <xf numFmtId="0" fontId="38" fillId="0" borderId="2" xfId="33" applyFont="1" applyBorder="1" applyAlignment="1">
      <alignment vertical="center"/>
    </xf>
    <xf numFmtId="0" fontId="38" fillId="0" borderId="2" xfId="33" applyFont="1" applyBorder="1" applyAlignment="1">
      <alignment horizontal="center" vertical="center"/>
    </xf>
    <xf numFmtId="0" fontId="38" fillId="0" borderId="0" xfId="33" applyFont="1" applyAlignment="1">
      <alignment horizontal="center" vertical="center"/>
    </xf>
    <xf numFmtId="43" fontId="38" fillId="0" borderId="2" xfId="33" applyNumberFormat="1" applyFont="1" applyBorder="1" applyAlignment="1">
      <alignment vertical="center"/>
    </xf>
    <xf numFmtId="193" fontId="52" fillId="0" borderId="0" xfId="49" applyFont="1">
      <alignment vertical="center"/>
    </xf>
    <xf numFmtId="193" fontId="53" fillId="0" borderId="0" xfId="49" applyFont="1">
      <alignment vertical="center"/>
    </xf>
    <xf numFmtId="193" fontId="38" fillId="0" borderId="0" xfId="49" applyFont="1" applyProtection="1">
      <alignment vertical="center"/>
      <protection locked="0"/>
    </xf>
    <xf numFmtId="0" fontId="38" fillId="0" borderId="0" xfId="50" applyFont="1" applyAlignment="1">
      <alignment horizontal="left" vertical="center"/>
      <protection locked="0"/>
    </xf>
    <xf numFmtId="193" fontId="38" fillId="0" borderId="0" xfId="49" applyFont="1" applyAlignment="1" applyProtection="1">
      <alignment horizontal="center" vertical="center"/>
      <protection locked="0"/>
    </xf>
    <xf numFmtId="193" fontId="38" fillId="0" borderId="0" xfId="49" applyFont="1" applyAlignment="1" applyProtection="1">
      <alignment vertical="center" wrapText="1"/>
      <protection locked="0"/>
    </xf>
    <xf numFmtId="193" fontId="35" fillId="0" borderId="0" xfId="49" applyFont="1" applyAlignment="1" applyProtection="1">
      <alignment horizontal="justify" vertical="center"/>
      <protection locked="0"/>
    </xf>
    <xf numFmtId="193" fontId="57" fillId="0" borderId="0" xfId="49" applyFont="1" applyAlignment="1" applyProtection="1">
      <alignment horizontal="center" vertical="center"/>
      <protection locked="0"/>
    </xf>
    <xf numFmtId="193" fontId="53" fillId="0" borderId="0" xfId="49" applyFont="1" applyAlignment="1">
      <alignment horizontal="center" vertical="center"/>
    </xf>
    <xf numFmtId="193" fontId="38" fillId="7" borderId="0" xfId="49" applyFont="1" applyFill="1" applyAlignment="1" applyProtection="1">
      <alignment horizontal="left" vertical="center"/>
      <protection locked="0"/>
    </xf>
    <xf numFmtId="193" fontId="61" fillId="7" borderId="0" xfId="49" applyFont="1" applyFill="1" applyAlignment="1">
      <alignment horizontal="left" vertical="center"/>
    </xf>
    <xf numFmtId="193" fontId="38" fillId="7" borderId="0" xfId="49" applyFont="1" applyFill="1" applyAlignment="1">
      <alignment horizontal="left" vertical="center"/>
    </xf>
    <xf numFmtId="43" fontId="35" fillId="0" borderId="0" xfId="35" applyNumberFormat="1" applyFont="1" applyFill="1" applyBorder="1" applyAlignment="1">
      <alignment vertical="center"/>
    </xf>
    <xf numFmtId="0" fontId="38" fillId="0" borderId="5" xfId="33" applyFont="1" applyBorder="1" applyAlignment="1">
      <alignment vertical="center"/>
    </xf>
    <xf numFmtId="43" fontId="35" fillId="8" borderId="0" xfId="35" applyNumberFormat="1" applyFont="1" applyFill="1" applyBorder="1" applyAlignment="1">
      <alignment vertical="center"/>
    </xf>
    <xf numFmtId="193" fontId="22" fillId="6" borderId="3" xfId="53" applyFont="1" applyFill="1" applyBorder="1" applyAlignment="1" applyProtection="1">
      <alignment horizontal="center" vertical="center" wrapText="1"/>
      <protection locked="0"/>
    </xf>
    <xf numFmtId="0" fontId="67" fillId="0" borderId="3" xfId="52" applyFont="1" applyBorder="1" applyAlignment="1" applyProtection="1">
      <alignment vertical="center"/>
    </xf>
    <xf numFmtId="0" fontId="18" fillId="0" borderId="3" xfId="52" applyFont="1" applyBorder="1" applyAlignment="1" applyProtection="1">
      <alignment vertical="center"/>
    </xf>
    <xf numFmtId="0" fontId="63" fillId="0" borderId="3" xfId="52" applyFont="1" applyBorder="1" applyAlignment="1" applyProtection="1">
      <alignment horizontal="left" vertical="center" indent="1"/>
    </xf>
    <xf numFmtId="0" fontId="42" fillId="0" borderId="3" xfId="52" applyFont="1" applyBorder="1" applyAlignment="1" applyProtection="1">
      <alignment horizontal="center" vertical="center"/>
    </xf>
    <xf numFmtId="43" fontId="35" fillId="0" borderId="5" xfId="35" applyNumberFormat="1" applyFont="1" applyBorder="1" applyAlignment="1">
      <alignment horizontal="left" vertical="center"/>
    </xf>
    <xf numFmtId="43" fontId="38" fillId="0" borderId="5" xfId="35" applyNumberFormat="1" applyFont="1" applyBorder="1" applyAlignment="1">
      <alignment horizontal="left" vertical="center"/>
    </xf>
    <xf numFmtId="43" fontId="68" fillId="0" borderId="5" xfId="54" applyNumberFormat="1" applyFont="1" applyBorder="1" applyAlignment="1" applyProtection="1">
      <alignment horizontal="center" vertical="center"/>
    </xf>
    <xf numFmtId="0" fontId="35" fillId="0" borderId="0" xfId="33" applyFont="1" applyAlignment="1">
      <alignment vertical="center"/>
    </xf>
    <xf numFmtId="9" fontId="39" fillId="0" borderId="0" xfId="55" applyFont="1" applyBorder="1" applyAlignment="1">
      <alignment horizontal="left" vertical="center"/>
    </xf>
    <xf numFmtId="10" fontId="39" fillId="0" borderId="0" xfId="55" applyNumberFormat="1" applyFont="1" applyBorder="1" applyAlignment="1">
      <alignment horizontal="left" vertical="center"/>
    </xf>
    <xf numFmtId="0" fontId="10" fillId="0" borderId="0" xfId="52">
      <protection locked="0"/>
    </xf>
    <xf numFmtId="0" fontId="70" fillId="9" borderId="0" xfId="0" applyFont="1" applyFill="1" applyAlignment="1" applyProtection="1">
      <alignment vertical="center"/>
    </xf>
    <xf numFmtId="0" fontId="71" fillId="10" borderId="0" xfId="0" applyFont="1" applyFill="1" applyAlignment="1" applyProtection="1">
      <alignment vertical="center"/>
    </xf>
    <xf numFmtId="0" fontId="42" fillId="0" borderId="0" xfId="0" applyFont="1" applyAlignment="1" applyProtection="1">
      <alignment horizontal="center" vertical="center"/>
    </xf>
    <xf numFmtId="0" fontId="72" fillId="0" borderId="0" xfId="0" applyFont="1" applyAlignment="1">
      <alignment horizontal="justify"/>
      <protection locked="0"/>
    </xf>
    <xf numFmtId="0" fontId="73" fillId="0" borderId="0" xfId="0" applyFont="1" applyAlignment="1">
      <alignment horizontal="justify"/>
      <protection locked="0"/>
    </xf>
    <xf numFmtId="0" fontId="73" fillId="0" borderId="0" xfId="0" applyFont="1">
      <protection locked="0"/>
    </xf>
    <xf numFmtId="0" fontId="74" fillId="0" borderId="0" xfId="0" applyFont="1" applyAlignment="1">
      <alignment vertical="center"/>
      <protection locked="0"/>
    </xf>
    <xf numFmtId="0" fontId="75" fillId="0" borderId="10" xfId="0" applyFont="1" applyBorder="1" applyAlignment="1">
      <alignment horizontal="justify" vertical="center" wrapText="1"/>
      <protection locked="0"/>
    </xf>
    <xf numFmtId="0" fontId="76" fillId="0" borderId="10" xfId="0" applyFont="1" applyBorder="1" applyAlignment="1">
      <alignment horizontal="right" vertical="center" wrapText="1"/>
      <protection locked="0"/>
    </xf>
    <xf numFmtId="0" fontId="77" fillId="0" borderId="0" xfId="0" applyFont="1" applyAlignment="1">
      <alignment horizontal="justify" vertical="center" wrapText="1"/>
      <protection locked="0"/>
    </xf>
    <xf numFmtId="43" fontId="73" fillId="0" borderId="0" xfId="0" applyNumberFormat="1" applyFont="1" applyAlignment="1">
      <alignment horizontal="right" vertical="center" wrapText="1"/>
      <protection locked="0"/>
    </xf>
    <xf numFmtId="0" fontId="76" fillId="0" borderId="10" xfId="0" applyFont="1" applyBorder="1" applyAlignment="1">
      <alignment horizontal="justify" vertical="center" wrapText="1"/>
      <protection locked="0"/>
    </xf>
    <xf numFmtId="43" fontId="75" fillId="0" borderId="10" xfId="42" applyFont="1" applyBorder="1" applyAlignment="1" applyProtection="1">
      <alignment horizontal="right" vertical="center" wrapText="1" shrinkToFit="1"/>
      <protection locked="0"/>
    </xf>
    <xf numFmtId="0" fontId="75" fillId="0" borderId="10" xfId="0" applyFont="1" applyBorder="1" applyAlignment="1">
      <alignment horizontal="center" wrapText="1"/>
      <protection locked="0"/>
    </xf>
    <xf numFmtId="0" fontId="78" fillId="0" borderId="0" xfId="0" applyFont="1" applyAlignment="1">
      <alignment horizontal="justify" wrapText="1"/>
      <protection locked="0"/>
    </xf>
    <xf numFmtId="0" fontId="73" fillId="0" borderId="0" xfId="0" applyFont="1" applyAlignment="1">
      <alignment horizontal="center" wrapText="1"/>
      <protection locked="0"/>
    </xf>
    <xf numFmtId="0" fontId="73" fillId="0" borderId="11" xfId="0" applyFont="1" applyBorder="1" applyAlignment="1">
      <alignment horizontal="justify" wrapText="1"/>
      <protection locked="0"/>
    </xf>
    <xf numFmtId="0" fontId="73" fillId="0" borderId="11" xfId="0" applyFont="1" applyBorder="1" applyAlignment="1">
      <alignment horizontal="center" wrapText="1"/>
      <protection locked="0"/>
    </xf>
    <xf numFmtId="0" fontId="75" fillId="0" borderId="11" xfId="0" applyFont="1" applyBorder="1" applyAlignment="1">
      <alignment horizontal="justify" wrapText="1"/>
      <protection locked="0"/>
    </xf>
    <xf numFmtId="43" fontId="75" fillId="0" borderId="11" xfId="42" applyFont="1" applyBorder="1" applyAlignment="1" applyProtection="1">
      <alignment horizontal="right" wrapText="1" shrinkToFit="1"/>
      <protection locked="0"/>
    </xf>
    <xf numFmtId="0" fontId="73" fillId="0" borderId="0" xfId="0" applyFont="1" applyAlignment="1">
      <alignment vertical="center"/>
      <protection locked="0"/>
    </xf>
    <xf numFmtId="43" fontId="75" fillId="0" borderId="10" xfId="0" applyNumberFormat="1" applyFont="1" applyBorder="1" applyAlignment="1" applyProtection="1">
      <alignment horizontal="justify" vertical="center" wrapText="1"/>
    </xf>
    <xf numFmtId="43" fontId="75" fillId="0" borderId="10" xfId="0" applyNumberFormat="1" applyFont="1" applyBorder="1" applyAlignment="1" applyProtection="1">
      <alignment horizontal="right" vertical="center" wrapText="1"/>
    </xf>
    <xf numFmtId="43" fontId="76" fillId="0" borderId="10" xfId="0" applyNumberFormat="1" applyFont="1" applyBorder="1" applyAlignment="1" applyProtection="1">
      <alignment horizontal="right" vertical="center" wrapText="1"/>
    </xf>
    <xf numFmtId="43" fontId="73" fillId="0" borderId="0" xfId="0" applyNumberFormat="1" applyFont="1" applyAlignment="1" applyProtection="1">
      <alignment horizontal="justify" vertical="center" wrapText="1"/>
    </xf>
    <xf numFmtId="43" fontId="73" fillId="0" borderId="0" xfId="0" applyNumberFormat="1" applyFont="1" applyAlignment="1" applyProtection="1">
      <alignment horizontal="right" vertical="center" wrapText="1"/>
    </xf>
    <xf numFmtId="43" fontId="73" fillId="0" borderId="11" xfId="0" applyNumberFormat="1" applyFont="1" applyBorder="1" applyAlignment="1" applyProtection="1">
      <alignment horizontal="justify" vertical="center" wrapText="1"/>
    </xf>
    <xf numFmtId="43" fontId="73" fillId="0" borderId="11" xfId="0" applyNumberFormat="1" applyFont="1" applyBorder="1" applyAlignment="1" applyProtection="1">
      <alignment horizontal="right" vertical="center" wrapText="1"/>
    </xf>
    <xf numFmtId="43" fontId="75" fillId="0" borderId="11" xfId="0" applyNumberFormat="1" applyFont="1" applyBorder="1" applyAlignment="1" applyProtection="1">
      <alignment horizontal="justify" vertical="center" wrapText="1"/>
    </xf>
    <xf numFmtId="43" fontId="75" fillId="0" borderId="11" xfId="0" applyNumberFormat="1" applyFont="1" applyBorder="1" applyAlignment="1" applyProtection="1">
      <alignment horizontal="right" vertical="center" wrapText="1"/>
    </xf>
    <xf numFmtId="43" fontId="78" fillId="0" borderId="0" xfId="0" applyNumberFormat="1" applyFont="1" applyAlignment="1" applyProtection="1">
      <alignment vertical="center"/>
    </xf>
    <xf numFmtId="43" fontId="73" fillId="0" borderId="0" xfId="0" applyNumberFormat="1" applyFont="1" applyAlignment="1" applyProtection="1">
      <alignment vertical="center"/>
    </xf>
    <xf numFmtId="0" fontId="72" fillId="0" borderId="0" xfId="0" applyFont="1" applyAlignment="1">
      <alignment horizontal="left" vertical="center"/>
      <protection locked="0"/>
    </xf>
    <xf numFmtId="193" fontId="52" fillId="0" borderId="3" xfId="56" applyFont="1" applyBorder="1" applyAlignment="1">
      <alignment horizontal="center" vertical="center" wrapText="1"/>
    </xf>
    <xf numFmtId="43" fontId="41" fillId="0" borderId="3" xfId="42" applyFont="1" applyFill="1" applyBorder="1" applyAlignment="1" applyProtection="1">
      <alignment vertical="center" wrapText="1" shrinkToFit="1"/>
      <protection locked="0"/>
    </xf>
    <xf numFmtId="43" fontId="41" fillId="6" borderId="3" xfId="51" applyFont="1" applyFill="1" applyBorder="1" applyAlignment="1">
      <alignment horizontal="right" vertical="center"/>
    </xf>
    <xf numFmtId="43" fontId="42" fillId="6" borderId="3" xfId="51" applyFont="1" applyFill="1" applyBorder="1" applyAlignment="1">
      <alignment horizontal="right" vertical="center"/>
    </xf>
    <xf numFmtId="43" fontId="41" fillId="6" borderId="2" xfId="51" applyFont="1" applyFill="1" applyBorder="1" applyAlignment="1">
      <alignment horizontal="right" vertical="center"/>
    </xf>
    <xf numFmtId="43" fontId="41" fillId="11" borderId="2" xfId="51" applyFont="1" applyFill="1" applyBorder="1" applyAlignment="1">
      <alignment horizontal="right" vertical="center"/>
    </xf>
    <xf numFmtId="43" fontId="41" fillId="11" borderId="3" xfId="42" applyFont="1" applyFill="1" applyBorder="1" applyAlignment="1">
      <alignment horizontal="right" vertical="center"/>
    </xf>
    <xf numFmtId="43" fontId="42" fillId="11" borderId="3" xfId="42" applyFont="1" applyFill="1" applyBorder="1" applyAlignment="1">
      <alignment horizontal="right" vertical="center"/>
    </xf>
    <xf numFmtId="43" fontId="46" fillId="11" borderId="3" xfId="45" applyNumberFormat="1" applyFont="1" applyFill="1" applyBorder="1" applyAlignment="1">
      <alignment horizontal="right" vertical="center" shrinkToFit="1"/>
    </xf>
    <xf numFmtId="0" fontId="18" fillId="0" borderId="3" xfId="0" applyFont="1" applyBorder="1">
      <protection locked="0"/>
    </xf>
    <xf numFmtId="43" fontId="38" fillId="0" borderId="3" xfId="58" applyFont="1" applyBorder="1" applyAlignment="1" applyProtection="1">
      <protection locked="0"/>
    </xf>
    <xf numFmtId="0" fontId="22" fillId="6" borderId="3" xfId="0" applyFont="1" applyFill="1" applyBorder="1" applyAlignment="1">
      <alignment horizontal="center"/>
      <protection locked="0"/>
    </xf>
    <xf numFmtId="0" fontId="18" fillId="6" borderId="3" xfId="0" applyFont="1" applyFill="1" applyBorder="1">
      <protection locked="0"/>
    </xf>
    <xf numFmtId="43" fontId="38" fillId="6" borderId="3" xfId="58" applyFont="1" applyFill="1" applyBorder="1" applyAlignment="1" applyProtection="1">
      <protection locked="0"/>
    </xf>
    <xf numFmtId="0" fontId="38" fillId="0" borderId="3" xfId="56" applyNumberFormat="1" applyFont="1" applyBorder="1" applyAlignment="1" applyProtection="1">
      <alignment horizontal="center" vertical="center"/>
      <protection locked="0"/>
    </xf>
    <xf numFmtId="193" fontId="35" fillId="6" borderId="3" xfId="45" applyFont="1" applyFill="1" applyBorder="1" applyAlignment="1" applyProtection="1">
      <alignment horizontal="center" vertical="center" wrapText="1"/>
      <protection locked="0"/>
    </xf>
    <xf numFmtId="193" fontId="42" fillId="6" borderId="3" xfId="46" applyFont="1" applyFill="1" applyBorder="1" applyAlignment="1" applyProtection="1">
      <alignment horizontal="center" vertical="center" wrapText="1"/>
      <protection locked="0"/>
    </xf>
    <xf numFmtId="193" fontId="35" fillId="6" borderId="3" xfId="46" applyFont="1" applyFill="1" applyBorder="1" applyAlignment="1" applyProtection="1">
      <alignment horizontal="center" vertical="center"/>
      <protection locked="0"/>
    </xf>
    <xf numFmtId="43" fontId="68" fillId="0" borderId="0" xfId="36" applyNumberFormat="1" applyFont="1" applyBorder="1" applyAlignment="1" applyProtection="1">
      <alignment horizontal="center" vertical="center"/>
    </xf>
    <xf numFmtId="43" fontId="51" fillId="0" borderId="0" xfId="35" applyNumberFormat="1" applyFont="1" applyBorder="1" applyAlignment="1">
      <alignment vertical="center"/>
    </xf>
    <xf numFmtId="43" fontId="40" fillId="0" borderId="0" xfId="35" applyNumberFormat="1" applyFont="1" applyBorder="1" applyAlignment="1">
      <alignment horizontal="right" vertical="center"/>
    </xf>
    <xf numFmtId="0" fontId="80" fillId="0" borderId="0" xfId="43" applyFont="1" applyAlignment="1" applyProtection="1">
      <alignment vertical="center"/>
    </xf>
    <xf numFmtId="0" fontId="73" fillId="0" borderId="0" xfId="43" applyFont="1" applyAlignment="1" applyProtection="1">
      <alignment vertical="center"/>
    </xf>
    <xf numFmtId="0" fontId="75" fillId="0" borderId="0" xfId="43" applyFont="1" applyAlignment="1" applyProtection="1">
      <alignment horizontal="left" vertical="center"/>
    </xf>
    <xf numFmtId="193" fontId="80" fillId="6" borderId="3" xfId="45" applyFont="1" applyFill="1" applyBorder="1" applyAlignment="1" applyProtection="1">
      <alignment horizontal="center" vertical="center"/>
      <protection locked="0"/>
    </xf>
    <xf numFmtId="193" fontId="80" fillId="6" borderId="7" xfId="45" applyFont="1" applyFill="1" applyBorder="1" applyAlignment="1" applyProtection="1">
      <alignment horizontal="center" vertical="center"/>
      <protection locked="0"/>
    </xf>
    <xf numFmtId="193" fontId="75" fillId="6" borderId="3" xfId="45" applyFont="1" applyFill="1" applyBorder="1" applyAlignment="1" applyProtection="1">
      <alignment horizontal="center" vertical="center"/>
      <protection locked="0"/>
    </xf>
    <xf numFmtId="0" fontId="80" fillId="6" borderId="3" xfId="0" applyFont="1" applyFill="1" applyBorder="1" applyAlignment="1">
      <alignment horizontal="center" vertical="center"/>
      <protection locked="0"/>
    </xf>
    <xf numFmtId="0" fontId="76" fillId="6" borderId="0" xfId="0" applyFont="1" applyFill="1" applyAlignment="1" applyProtection="1">
      <alignment horizontal="left" vertical="center"/>
    </xf>
    <xf numFmtId="0" fontId="75" fillId="0" borderId="0" xfId="0" applyFont="1" applyAlignment="1">
      <alignment vertical="center"/>
      <protection locked="0"/>
    </xf>
    <xf numFmtId="0" fontId="18" fillId="0" borderId="0" xfId="0" applyFont="1" applyAlignment="1">
      <alignment horizontal="left" vertical="center"/>
      <protection locked="0"/>
    </xf>
    <xf numFmtId="0" fontId="75" fillId="0" borderId="0" xfId="0" applyFont="1">
      <protection locked="0"/>
    </xf>
    <xf numFmtId="0" fontId="85" fillId="0" borderId="0" xfId="0" applyFont="1" applyAlignment="1">
      <alignment vertical="top"/>
      <protection locked="0"/>
    </xf>
    <xf numFmtId="0" fontId="82" fillId="0" borderId="0" xfId="0" applyFont="1" applyAlignment="1">
      <alignment vertical="top"/>
      <protection locked="0"/>
    </xf>
    <xf numFmtId="193" fontId="35" fillId="0" borderId="0" xfId="49" applyFont="1" applyProtection="1">
      <alignment vertical="center"/>
      <protection locked="0"/>
    </xf>
    <xf numFmtId="193" fontId="87" fillId="0" borderId="0" xfId="49" applyFont="1" applyProtection="1">
      <alignment vertical="center"/>
      <protection locked="0"/>
    </xf>
    <xf numFmtId="49" fontId="35" fillId="0" borderId="0" xfId="56" applyNumberFormat="1" applyFont="1" applyAlignment="1" applyProtection="1">
      <alignment horizontal="left" vertical="center"/>
      <protection locked="0"/>
    </xf>
    <xf numFmtId="193" fontId="59" fillId="0" borderId="3" xfId="56" applyFont="1" applyBorder="1" applyAlignment="1">
      <alignment horizontal="center" vertical="center" wrapText="1"/>
    </xf>
    <xf numFmtId="193" fontId="82" fillId="7" borderId="0" xfId="56" applyFont="1" applyFill="1" applyAlignment="1" applyProtection="1">
      <alignment horizontal="left" vertical="top" wrapText="1"/>
      <protection locked="0"/>
    </xf>
    <xf numFmtId="193" fontId="82" fillId="7" borderId="0" xfId="56" applyFont="1" applyFill="1" applyAlignment="1" applyProtection="1">
      <alignment horizontal="left" vertical="center" wrapText="1"/>
      <protection locked="0"/>
    </xf>
    <xf numFmtId="0" fontId="52" fillId="0" borderId="3" xfId="49" applyNumberFormat="1" applyFont="1" applyBorder="1" applyAlignment="1">
      <alignment horizontal="center" vertical="center" wrapText="1"/>
    </xf>
    <xf numFmtId="0" fontId="58" fillId="0" borderId="0" xfId="0" applyFont="1" applyAlignment="1">
      <alignment horizontal="left" vertical="center"/>
      <protection locked="0"/>
    </xf>
    <xf numFmtId="193" fontId="62" fillId="0" borderId="3" xfId="56" applyFont="1" applyFill="1" applyBorder="1" applyAlignment="1">
      <alignment horizontal="center" vertical="center" wrapText="1"/>
    </xf>
    <xf numFmtId="193" fontId="60" fillId="0" borderId="3" xfId="56" applyFont="1" applyFill="1" applyBorder="1" applyAlignment="1">
      <alignment horizontal="center" vertical="center" wrapText="1"/>
    </xf>
    <xf numFmtId="43" fontId="29" fillId="0" borderId="0" xfId="35" applyNumberFormat="1" applyFont="1" applyBorder="1" applyAlignment="1">
      <alignment vertical="center"/>
    </xf>
    <xf numFmtId="0" fontId="67" fillId="0" borderId="3" xfId="0" applyFont="1" applyBorder="1" applyAlignment="1">
      <alignment horizontal="left" vertical="center"/>
      <protection locked="0"/>
    </xf>
    <xf numFmtId="0" fontId="29" fillId="0" borderId="0" xfId="0" applyFont="1">
      <protection locked="0"/>
    </xf>
    <xf numFmtId="43" fontId="18" fillId="0" borderId="3" xfId="42" applyFont="1" applyBorder="1" applyAlignment="1">
      <alignment vertical="center"/>
    </xf>
    <xf numFmtId="0" fontId="18" fillId="0" borderId="3" xfId="0" applyFont="1" applyBorder="1" applyAlignment="1">
      <alignment horizontal="center" vertical="center"/>
      <protection locked="0"/>
    </xf>
    <xf numFmtId="0" fontId="38" fillId="0" borderId="3" xfId="42" applyNumberFormat="1" applyFont="1" applyBorder="1" applyAlignment="1">
      <alignment horizontal="center" vertical="center"/>
    </xf>
    <xf numFmtId="0" fontId="35" fillId="0" borderId="3" xfId="42" applyNumberFormat="1" applyFont="1" applyBorder="1" applyAlignment="1">
      <alignment horizontal="center" vertical="center"/>
    </xf>
    <xf numFmtId="0" fontId="38" fillId="0" borderId="0" xfId="0" applyFont="1" applyBorder="1" applyAlignment="1">
      <alignment horizontal="left" vertical="center"/>
      <protection locked="0"/>
    </xf>
    <xf numFmtId="0" fontId="22" fillId="0" borderId="0" xfId="34" applyFont="1" applyAlignment="1">
      <alignment vertical="center"/>
    </xf>
    <xf numFmtId="0" fontId="22" fillId="0" borderId="5" xfId="34" applyFont="1" applyBorder="1" applyAlignment="1">
      <alignment vertical="center"/>
    </xf>
    <xf numFmtId="193" fontId="60" fillId="0" borderId="3" xfId="56" applyFont="1" applyBorder="1" applyAlignment="1">
      <alignment vertical="center" wrapText="1"/>
    </xf>
    <xf numFmtId="193" fontId="52" fillId="0" borderId="3" xfId="56" applyFont="1" applyBorder="1" applyAlignment="1">
      <alignment vertical="center" wrapText="1"/>
    </xf>
    <xf numFmtId="193" fontId="35" fillId="6" borderId="3" xfId="56" applyFont="1" applyFill="1" applyBorder="1" applyAlignment="1" applyProtection="1">
      <alignment horizontal="center" vertical="center" wrapText="1"/>
      <protection locked="0"/>
    </xf>
    <xf numFmtId="193" fontId="35" fillId="6" borderId="3" xfId="56" applyFont="1" applyFill="1" applyBorder="1" applyAlignment="1" applyProtection="1">
      <alignment horizontal="center" vertical="center"/>
      <protection locked="0"/>
    </xf>
    <xf numFmtId="193" fontId="38" fillId="0" borderId="3" xfId="49" applyFont="1" applyBorder="1" applyAlignment="1">
      <alignment horizontal="center" vertical="center" wrapText="1"/>
    </xf>
    <xf numFmtId="0" fontId="10" fillId="0" borderId="0" xfId="0" applyFont="1" applyAlignment="1">
      <alignment horizontal="center" wrapText="1"/>
      <protection locked="0"/>
    </xf>
    <xf numFmtId="0" fontId="41" fillId="0" borderId="2" xfId="0" applyFont="1" applyBorder="1" applyAlignment="1" applyProtection="1">
      <alignment horizontal="center" vertical="center"/>
    </xf>
    <xf numFmtId="0" fontId="10" fillId="0" borderId="0" xfId="0" applyFont="1" applyAlignment="1">
      <alignment horizontal="center"/>
      <protection locked="0"/>
    </xf>
    <xf numFmtId="0" fontId="30" fillId="0" borderId="0" xfId="0" applyFont="1" applyAlignment="1">
      <alignment horizontal="center"/>
      <protection locked="0"/>
    </xf>
    <xf numFmtId="0" fontId="52" fillId="0" borderId="3" xfId="49" applyNumberFormat="1" applyFont="1" applyBorder="1" applyAlignment="1">
      <alignment vertical="center" wrapText="1"/>
    </xf>
    <xf numFmtId="0" fontId="60" fillId="0" borderId="3" xfId="49" applyNumberFormat="1" applyFont="1" applyBorder="1" applyAlignment="1">
      <alignment vertical="center" wrapText="1"/>
    </xf>
    <xf numFmtId="193" fontId="22" fillId="6" borderId="3" xfId="56" applyFont="1" applyFill="1" applyBorder="1" applyAlignment="1" applyProtection="1">
      <alignment horizontal="center" vertical="center" wrapText="1"/>
      <protection locked="0"/>
    </xf>
    <xf numFmtId="193" fontId="53" fillId="0" borderId="3" xfId="49" applyFont="1" applyBorder="1" applyAlignment="1">
      <alignment horizontal="center" vertical="center"/>
    </xf>
    <xf numFmtId="193" fontId="53" fillId="0" borderId="3" xfId="49" applyFont="1" applyBorder="1" applyAlignment="1">
      <alignment horizontal="center" vertical="center" wrapText="1"/>
    </xf>
    <xf numFmtId="0" fontId="38" fillId="0" borderId="0" xfId="0" applyFont="1" applyBorder="1">
      <protection locked="0"/>
    </xf>
    <xf numFmtId="0" fontId="38" fillId="0" borderId="3" xfId="0" applyFont="1" applyBorder="1">
      <protection locked="0"/>
    </xf>
    <xf numFmtId="0" fontId="88" fillId="0" borderId="2" xfId="36" applyFont="1" applyBorder="1" applyAlignment="1" applyProtection="1">
      <alignment vertical="center"/>
    </xf>
    <xf numFmtId="193" fontId="38" fillId="0" borderId="0" xfId="45" applyFont="1" applyAlignment="1" applyProtection="1">
      <alignment vertical="center" wrapText="1"/>
      <protection locked="0"/>
    </xf>
    <xf numFmtId="14" fontId="38" fillId="0" borderId="0" xfId="35" applyNumberFormat="1" applyFont="1" applyBorder="1" applyAlignment="1">
      <alignment vertical="center"/>
    </xf>
    <xf numFmtId="0" fontId="38" fillId="0" borderId="0" xfId="0" applyFont="1" applyAlignment="1">
      <alignment horizontal="right" vertical="center"/>
      <protection locked="0"/>
    </xf>
    <xf numFmtId="14" fontId="18" fillId="0" borderId="0" xfId="0" applyNumberFormat="1" applyFont="1" applyAlignment="1">
      <alignment horizontal="right" vertical="center"/>
      <protection locked="0"/>
    </xf>
    <xf numFmtId="0" fontId="40" fillId="0" borderId="0" xfId="36" applyFont="1" applyAlignment="1">
      <alignment vertical="center"/>
      <protection locked="0"/>
    </xf>
    <xf numFmtId="0" fontId="35" fillId="0" borderId="0" xfId="0" applyFont="1" applyAlignment="1">
      <alignment horizontal="center" vertical="center"/>
      <protection locked="0"/>
    </xf>
    <xf numFmtId="0" fontId="37" fillId="0" borderId="0" xfId="0" applyFont="1" applyAlignment="1">
      <alignment horizontal="center" vertical="center"/>
      <protection locked="0"/>
    </xf>
    <xf numFmtId="0" fontId="22" fillId="6" borderId="3" xfId="52" applyFont="1" applyFill="1" applyBorder="1" applyAlignment="1" applyProtection="1">
      <alignment vertical="center"/>
    </xf>
    <xf numFmtId="0" fontId="22" fillId="6" borderId="3" xfId="52" applyFont="1" applyFill="1" applyBorder="1" applyAlignment="1" applyProtection="1">
      <alignment vertical="center" wrapText="1"/>
    </xf>
    <xf numFmtId="0" fontId="22" fillId="6" borderId="3" xfId="52" applyFont="1" applyFill="1" applyBorder="1" applyAlignment="1" applyProtection="1">
      <alignment horizontal="center" vertical="center"/>
    </xf>
    <xf numFmtId="193" fontId="35" fillId="6" borderId="3" xfId="53" applyFont="1" applyFill="1" applyBorder="1" applyAlignment="1" applyProtection="1">
      <alignment horizontal="center" vertical="center" wrapText="1"/>
      <protection locked="0"/>
    </xf>
    <xf numFmtId="0" fontId="22" fillId="6" borderId="3" xfId="43" applyFont="1" applyFill="1" applyBorder="1" applyAlignment="1">
      <alignment horizontal="center" vertical="center"/>
      <protection locked="0"/>
    </xf>
    <xf numFmtId="0" fontId="22" fillId="6" borderId="3" xfId="43" applyFont="1" applyFill="1" applyBorder="1" applyAlignment="1">
      <alignment horizontal="center" vertical="center" wrapText="1"/>
      <protection locked="0"/>
    </xf>
    <xf numFmtId="0" fontId="18" fillId="0" borderId="0" xfId="34" applyFont="1" applyBorder="1" applyAlignment="1">
      <alignment vertical="center"/>
    </xf>
    <xf numFmtId="193" fontId="58" fillId="0" borderId="3" xfId="49" applyFont="1" applyBorder="1" applyAlignment="1">
      <alignment horizontal="center" vertical="center" wrapText="1"/>
    </xf>
    <xf numFmtId="0" fontId="54" fillId="0" borderId="0" xfId="0" applyFont="1" applyAlignment="1">
      <alignment horizontal="center" vertical="center"/>
      <protection locked="0"/>
    </xf>
    <xf numFmtId="193" fontId="66" fillId="0" borderId="0" xfId="60" applyFont="1" applyFill="1" applyAlignment="1">
      <alignment horizontal="left" vertical="center"/>
    </xf>
    <xf numFmtId="0" fontId="38" fillId="0" borderId="0" xfId="33" applyFont="1" applyBorder="1" applyAlignment="1">
      <alignment vertical="center"/>
    </xf>
    <xf numFmtId="43" fontId="38" fillId="0" borderId="15" xfId="35" applyNumberFormat="1" applyFont="1" applyBorder="1" applyAlignment="1">
      <alignment vertical="center"/>
    </xf>
    <xf numFmtId="43" fontId="35" fillId="6" borderId="3" xfId="42" applyFont="1" applyFill="1" applyBorder="1" applyAlignment="1">
      <alignment vertical="center"/>
    </xf>
    <xf numFmtId="43" fontId="47" fillId="6" borderId="3" xfId="45" applyNumberFormat="1" applyFont="1" applyFill="1" applyBorder="1" applyAlignment="1">
      <alignment horizontal="right" vertical="center" shrinkToFit="1"/>
    </xf>
    <xf numFmtId="43" fontId="35" fillId="6" borderId="0" xfId="42" applyFont="1" applyFill="1" applyAlignment="1">
      <alignment vertical="center" wrapText="1"/>
    </xf>
    <xf numFmtId="43" fontId="41" fillId="6" borderId="3" xfId="42" applyFont="1" applyFill="1" applyBorder="1" applyAlignment="1">
      <alignment horizontal="right" vertical="center"/>
    </xf>
    <xf numFmtId="0" fontId="38" fillId="6" borderId="3" xfId="0" applyFont="1" applyFill="1" applyBorder="1" applyAlignment="1">
      <alignment horizontal="center" vertical="center"/>
      <protection locked="0"/>
    </xf>
    <xf numFmtId="0" fontId="35" fillId="6" borderId="0" xfId="0" applyFont="1" applyFill="1">
      <protection locked="0"/>
    </xf>
    <xf numFmtId="0" fontId="38" fillId="0" borderId="0" xfId="0" applyFont="1" applyBorder="1" applyAlignment="1">
      <alignment vertical="center"/>
      <protection locked="0"/>
    </xf>
    <xf numFmtId="0" fontId="35" fillId="0" borderId="0" xfId="0" applyFont="1" applyBorder="1" applyAlignment="1">
      <alignment vertical="center"/>
      <protection locked="0"/>
    </xf>
    <xf numFmtId="0" fontId="63" fillId="0" borderId="0" xfId="43" applyFont="1" applyAlignment="1">
      <alignment vertical="center"/>
      <protection locked="0"/>
    </xf>
    <xf numFmtId="0" fontId="35" fillId="0" borderId="0" xfId="43" applyFont="1" applyAlignment="1">
      <alignment vertical="center"/>
      <protection locked="0"/>
    </xf>
    <xf numFmtId="43" fontId="38" fillId="0" borderId="3" xfId="58" applyFont="1" applyBorder="1" applyAlignment="1" applyProtection="1">
      <alignment horizontal="center" vertical="center"/>
      <protection locked="0"/>
    </xf>
    <xf numFmtId="10" fontId="38" fillId="0" borderId="3" xfId="59" applyNumberFormat="1" applyFont="1" applyBorder="1" applyAlignment="1" applyProtection="1">
      <alignment horizontal="center" vertical="center"/>
      <protection locked="0"/>
    </xf>
    <xf numFmtId="0" fontId="58" fillId="0" borderId="0" xfId="43" applyFont="1" applyAlignment="1">
      <alignment vertical="center"/>
      <protection locked="0"/>
    </xf>
    <xf numFmtId="0" fontId="18" fillId="0" borderId="0" xfId="0" applyFont="1" applyBorder="1" applyAlignment="1">
      <alignment horizontal="center" vertical="center"/>
      <protection locked="0"/>
    </xf>
    <xf numFmtId="43" fontId="38" fillId="0" borderId="0" xfId="58" applyFont="1" applyBorder="1" applyAlignment="1" applyProtection="1">
      <alignment horizontal="center" vertical="center"/>
      <protection locked="0"/>
    </xf>
    <xf numFmtId="10" fontId="38" fillId="0" borderId="0" xfId="59" applyNumberFormat="1" applyFont="1" applyBorder="1" applyAlignment="1" applyProtection="1">
      <alignment horizontal="center" vertical="center"/>
      <protection locked="0"/>
    </xf>
    <xf numFmtId="0" fontId="37" fillId="0" borderId="0" xfId="0" applyFont="1" applyAlignment="1">
      <alignment horizontal="left" vertical="center" wrapText="1"/>
      <protection locked="0"/>
    </xf>
    <xf numFmtId="0" fontId="36" fillId="0" borderId="0" xfId="0" applyFont="1" applyAlignment="1">
      <alignment horizontal="left" vertical="center" wrapText="1"/>
      <protection locked="0"/>
    </xf>
    <xf numFmtId="193" fontId="35" fillId="6" borderId="3" xfId="56" applyFont="1" applyFill="1" applyBorder="1" applyAlignment="1" applyProtection="1">
      <alignment horizontal="center" vertical="center" wrapText="1"/>
      <protection locked="0"/>
    </xf>
    <xf numFmtId="49" fontId="35" fillId="6" borderId="3" xfId="56" applyNumberFormat="1" applyFont="1" applyFill="1" applyBorder="1" applyAlignment="1" applyProtection="1">
      <alignment horizontal="center" vertical="center"/>
      <protection locked="0"/>
    </xf>
    <xf numFmtId="193" fontId="35" fillId="0" borderId="16" xfId="56" applyFont="1" applyBorder="1" applyAlignment="1" applyProtection="1">
      <alignment horizontal="left" vertical="center" wrapText="1"/>
      <protection locked="0"/>
    </xf>
    <xf numFmtId="193" fontId="22" fillId="6" borderId="3" xfId="56" applyFont="1" applyFill="1" applyBorder="1" applyAlignment="1" applyProtection="1">
      <alignment horizontal="center" vertical="center" wrapText="1"/>
      <protection locked="0"/>
    </xf>
    <xf numFmtId="193" fontId="35" fillId="6" borderId="3" xfId="56" applyFont="1" applyFill="1" applyBorder="1" applyAlignment="1" applyProtection="1">
      <alignment horizontal="center" vertical="center"/>
      <protection locked="0"/>
    </xf>
    <xf numFmtId="193" fontId="19" fillId="0" borderId="0" xfId="48" applyFont="1" applyAlignment="1">
      <alignment horizontal="center" vertical="center"/>
    </xf>
    <xf numFmtId="193" fontId="54" fillId="0" borderId="0" xfId="48" applyFont="1" applyAlignment="1">
      <alignment horizontal="center" vertical="center"/>
    </xf>
    <xf numFmtId="193" fontId="38" fillId="0" borderId="3" xfId="56" applyFont="1" applyBorder="1" applyAlignment="1" applyProtection="1">
      <alignment horizontal="center" vertical="center" wrapText="1"/>
      <protection locked="0"/>
    </xf>
    <xf numFmtId="193" fontId="18" fillId="0" borderId="3" xfId="56" applyFont="1" applyBorder="1" applyAlignment="1" applyProtection="1">
      <alignment horizontal="center" vertical="center" wrapText="1"/>
      <protection locked="0"/>
    </xf>
    <xf numFmtId="193" fontId="38" fillId="0" borderId="3" xfId="57" applyFont="1" applyBorder="1" applyAlignment="1" applyProtection="1">
      <alignment horizontal="left" vertical="center" wrapText="1"/>
      <protection locked="0"/>
    </xf>
    <xf numFmtId="193" fontId="35" fillId="6" borderId="6" xfId="45" applyFont="1" applyFill="1" applyBorder="1" applyAlignment="1" applyProtection="1">
      <alignment horizontal="center" vertical="center" wrapText="1"/>
      <protection locked="0"/>
    </xf>
    <xf numFmtId="193" fontId="35" fillId="6" borderId="4" xfId="45" applyFont="1" applyFill="1" applyBorder="1" applyAlignment="1" applyProtection="1">
      <alignment horizontal="center" vertical="center" wrapText="1"/>
      <protection locked="0"/>
    </xf>
    <xf numFmtId="0" fontId="35" fillId="0" borderId="0" xfId="32" applyFont="1" applyAlignment="1">
      <alignment horizontal="center" vertical="center" wrapText="1"/>
    </xf>
    <xf numFmtId="0" fontId="37" fillId="0" borderId="0" xfId="32" applyFont="1" applyAlignment="1">
      <alignment horizontal="center" vertical="center" wrapText="1"/>
    </xf>
    <xf numFmtId="193" fontId="35" fillId="6" borderId="3" xfId="45" applyFont="1" applyFill="1" applyBorder="1" applyAlignment="1" applyProtection="1">
      <alignment horizontal="center" vertical="center" wrapText="1"/>
      <protection locked="0"/>
    </xf>
    <xf numFmtId="193" fontId="35" fillId="6" borderId="7" xfId="45" applyFont="1" applyFill="1" applyBorder="1" applyAlignment="1" applyProtection="1">
      <alignment horizontal="center" vertical="center" wrapText="1"/>
      <protection locked="0"/>
    </xf>
    <xf numFmtId="193" fontId="35" fillId="6" borderId="8" xfId="45" applyFont="1" applyFill="1" applyBorder="1" applyAlignment="1" applyProtection="1">
      <alignment horizontal="center" vertical="center" wrapText="1"/>
      <protection locked="0"/>
    </xf>
    <xf numFmtId="193" fontId="35" fillId="6" borderId="9" xfId="45" applyFont="1" applyFill="1" applyBorder="1" applyAlignment="1" applyProtection="1">
      <alignment horizontal="center" vertical="center" wrapText="1"/>
      <protection locked="0"/>
    </xf>
    <xf numFmtId="193" fontId="42" fillId="6" borderId="3" xfId="46" applyFont="1" applyFill="1" applyBorder="1" applyAlignment="1" applyProtection="1">
      <alignment horizontal="center" vertical="center" wrapText="1"/>
      <protection locked="0"/>
    </xf>
    <xf numFmtId="193" fontId="35" fillId="6" borderId="3" xfId="46" applyFont="1" applyFill="1" applyBorder="1" applyAlignment="1" applyProtection="1">
      <alignment horizontal="center" vertical="center" wrapText="1"/>
      <protection locked="0"/>
    </xf>
    <xf numFmtId="0" fontId="19" fillId="0" borderId="0" xfId="32" applyFont="1" applyAlignment="1">
      <alignment horizontal="center" vertical="center"/>
    </xf>
    <xf numFmtId="0" fontId="37" fillId="0" borderId="0" xfId="32" applyFont="1" applyAlignment="1">
      <alignment horizontal="center" vertical="center"/>
    </xf>
    <xf numFmtId="0" fontId="35" fillId="0" borderId="0" xfId="32" applyFont="1" applyAlignment="1">
      <alignment horizontal="center" vertical="center"/>
    </xf>
    <xf numFmtId="193" fontId="75" fillId="6" borderId="13" xfId="45" applyFont="1" applyFill="1" applyBorder="1" applyAlignment="1" applyProtection="1">
      <alignment horizontal="center" vertical="center"/>
      <protection locked="0"/>
    </xf>
    <xf numFmtId="193" fontId="75" fillId="6" borderId="14" xfId="45" applyFont="1" applyFill="1" applyBorder="1" applyAlignment="1" applyProtection="1">
      <alignment horizontal="center" vertical="center"/>
      <protection locked="0"/>
    </xf>
    <xf numFmtId="193" fontId="75" fillId="6" borderId="7" xfId="45" applyFont="1" applyFill="1" applyBorder="1" applyAlignment="1" applyProtection="1">
      <alignment horizontal="center" vertical="center"/>
      <protection locked="0"/>
    </xf>
    <xf numFmtId="193" fontId="75" fillId="6" borderId="8" xfId="45" applyFont="1" applyFill="1" applyBorder="1" applyAlignment="1" applyProtection="1">
      <alignment horizontal="center" vertical="center"/>
      <protection locked="0"/>
    </xf>
    <xf numFmtId="193" fontId="75" fillId="6" borderId="9" xfId="45" applyFont="1" applyFill="1" applyBorder="1" applyAlignment="1" applyProtection="1">
      <alignment horizontal="center" vertical="center"/>
      <protection locked="0"/>
    </xf>
    <xf numFmtId="193" fontId="80" fillId="6" borderId="3" xfId="45" applyFont="1" applyFill="1" applyBorder="1" applyAlignment="1" applyProtection="1">
      <alignment horizontal="center" vertical="center"/>
      <protection locked="0"/>
    </xf>
    <xf numFmtId="193" fontId="80" fillId="6" borderId="7" xfId="45" applyFont="1" applyFill="1" applyBorder="1" applyAlignment="1" applyProtection="1">
      <alignment horizontal="center" vertical="center"/>
      <protection locked="0"/>
    </xf>
    <xf numFmtId="193" fontId="80" fillId="6" borderId="8" xfId="45" applyFont="1" applyFill="1" applyBorder="1" applyAlignment="1" applyProtection="1">
      <alignment horizontal="center" vertical="center"/>
      <protection locked="0"/>
    </xf>
    <xf numFmtId="193" fontId="75" fillId="6" borderId="13" xfId="45" applyFont="1" applyFill="1" applyBorder="1" applyAlignment="1" applyProtection="1">
      <alignment horizontal="center" vertical="center" wrapText="1"/>
      <protection locked="0"/>
    </xf>
    <xf numFmtId="193" fontId="75" fillId="6" borderId="14" xfId="45" applyFont="1" applyFill="1" applyBorder="1" applyAlignment="1" applyProtection="1">
      <alignment horizontal="center" vertical="center" wrapText="1"/>
      <protection locked="0"/>
    </xf>
    <xf numFmtId="0" fontId="22" fillId="6" borderId="3" xfId="0" applyFont="1" applyFill="1" applyBorder="1" applyAlignment="1">
      <alignment horizontal="center" vertical="center" wrapText="1"/>
      <protection locked="0"/>
    </xf>
    <xf numFmtId="0" fontId="35" fillId="6" borderId="3" xfId="0" applyFont="1" applyFill="1" applyBorder="1" applyAlignment="1">
      <alignment horizontal="center" vertical="center" wrapText="1"/>
      <protection locked="0"/>
    </xf>
    <xf numFmtId="0" fontId="83" fillId="6" borderId="3" xfId="0" applyFont="1" applyFill="1" applyBorder="1" applyAlignment="1" applyProtection="1">
      <alignment horizontal="left" vertical="center"/>
    </xf>
    <xf numFmtId="0" fontId="41" fillId="6" borderId="3" xfId="0" applyFont="1" applyFill="1" applyBorder="1" applyAlignment="1" applyProtection="1">
      <alignment horizontal="left" vertical="center"/>
    </xf>
    <xf numFmtId="43" fontId="41" fillId="6" borderId="3" xfId="42" applyFont="1" applyFill="1" applyBorder="1" applyAlignment="1" applyProtection="1">
      <alignment horizontal="left" vertical="center"/>
    </xf>
    <xf numFmtId="43" fontId="19" fillId="0" borderId="0" xfId="35" applyNumberFormat="1" applyFont="1" applyBorder="1" applyAlignment="1">
      <alignment horizontal="center" vertical="center"/>
    </xf>
    <xf numFmtId="43" fontId="54" fillId="0" borderId="0" xfId="35" applyNumberFormat="1" applyFont="1" applyBorder="1" applyAlignment="1">
      <alignment horizontal="center" vertical="center"/>
    </xf>
    <xf numFmtId="0" fontId="69" fillId="0" borderId="0" xfId="52" applyFont="1" applyAlignment="1">
      <alignment horizontal="left" vertical="center" wrapText="1"/>
      <protection locked="0"/>
    </xf>
    <xf numFmtId="0" fontId="36" fillId="0" borderId="0" xfId="52" applyFont="1" applyAlignment="1">
      <alignment horizontal="left" vertical="center" wrapText="1"/>
      <protection locked="0"/>
    </xf>
    <xf numFmtId="0" fontId="19" fillId="0" borderId="0" xfId="32" applyFont="1" applyAlignment="1">
      <alignment horizontal="center" vertical="center" wrapText="1"/>
    </xf>
    <xf numFmtId="0" fontId="54" fillId="0" borderId="0" xfId="32" applyFont="1" applyAlignment="1">
      <alignment horizontal="center" vertical="center" wrapText="1"/>
    </xf>
    <xf numFmtId="0" fontId="55" fillId="0" borderId="0" xfId="32" applyFont="1" applyAlignment="1">
      <alignment horizontal="center" vertical="center" wrapText="1"/>
    </xf>
    <xf numFmtId="0" fontId="22" fillId="6" borderId="13" xfId="0" applyFont="1" applyFill="1" applyBorder="1" applyAlignment="1">
      <alignment horizontal="center" vertical="center" wrapText="1"/>
      <protection locked="0"/>
    </xf>
    <xf numFmtId="0" fontId="22" fillId="6" borderId="14" xfId="0" applyFont="1" applyFill="1" applyBorder="1" applyAlignment="1">
      <alignment horizontal="center" vertical="center" wrapText="1"/>
      <protection locked="0"/>
    </xf>
    <xf numFmtId="0" fontId="22" fillId="6" borderId="7" xfId="0" applyFont="1" applyFill="1" applyBorder="1" applyAlignment="1">
      <alignment horizontal="center" vertical="center" wrapText="1"/>
      <protection locked="0"/>
    </xf>
    <xf numFmtId="0" fontId="22" fillId="6" borderId="8" xfId="0" applyFont="1" applyFill="1" applyBorder="1" applyAlignment="1">
      <alignment horizontal="center" vertical="center" wrapText="1"/>
      <protection locked="0"/>
    </xf>
    <xf numFmtId="0" fontId="22" fillId="6" borderId="9" xfId="0" applyFont="1" applyFill="1" applyBorder="1" applyAlignment="1">
      <alignment horizontal="center" vertical="center" wrapText="1"/>
      <protection locked="0"/>
    </xf>
    <xf numFmtId="0" fontId="54" fillId="0" borderId="0" xfId="32" applyFont="1" applyAlignment="1">
      <alignment horizontal="center" vertical="center"/>
    </xf>
    <xf numFmtId="0" fontId="22" fillId="6" borderId="3" xfId="52" applyFont="1" applyFill="1" applyBorder="1" applyAlignment="1">
      <alignment horizontal="center" vertical="center"/>
      <protection locked="0"/>
    </xf>
    <xf numFmtId="0" fontId="35" fillId="6" borderId="3" xfId="52" applyFont="1" applyFill="1" applyBorder="1" applyAlignment="1">
      <alignment horizontal="center" vertical="center"/>
      <protection locked="0"/>
    </xf>
    <xf numFmtId="0" fontId="22" fillId="6" borderId="3" xfId="52" applyFont="1" applyFill="1" applyBorder="1" applyAlignment="1">
      <alignment horizontal="center" vertical="center" wrapText="1"/>
      <protection locked="0"/>
    </xf>
    <xf numFmtId="0" fontId="35" fillId="6" borderId="3" xfId="52" applyFont="1" applyFill="1" applyBorder="1" applyAlignment="1">
      <alignment horizontal="center" vertical="center" wrapText="1"/>
      <protection locked="0"/>
    </xf>
    <xf numFmtId="0" fontId="35" fillId="6" borderId="7" xfId="0" applyFont="1" applyFill="1" applyBorder="1" applyAlignment="1">
      <alignment horizontal="center" vertical="center"/>
      <protection locked="0"/>
    </xf>
    <xf numFmtId="0" fontId="35" fillId="6" borderId="8" xfId="0" applyFont="1" applyFill="1" applyBorder="1" applyAlignment="1">
      <alignment horizontal="center" vertical="center"/>
      <protection locked="0"/>
    </xf>
    <xf numFmtId="0" fontId="35" fillId="0" borderId="0" xfId="0" applyFont="1" applyAlignment="1">
      <alignment horizontal="center" vertical="center"/>
      <protection locked="0"/>
    </xf>
    <xf numFmtId="0" fontId="19" fillId="0" borderId="0" xfId="0" applyFont="1" applyAlignment="1">
      <alignment horizontal="center" vertical="center"/>
      <protection locked="0"/>
    </xf>
    <xf numFmtId="0" fontId="37" fillId="0" borderId="0" xfId="0" applyFont="1" applyAlignment="1">
      <alignment horizontal="center" vertical="center"/>
      <protection locked="0"/>
    </xf>
    <xf numFmtId="0" fontId="22" fillId="12" borderId="3" xfId="43" applyFont="1" applyFill="1" applyBorder="1" applyAlignment="1" applyProtection="1">
      <alignment horizontal="center" vertical="center" wrapText="1"/>
    </xf>
    <xf numFmtId="0" fontId="22" fillId="6" borderId="3" xfId="43" applyFont="1" applyFill="1" applyBorder="1" applyAlignment="1">
      <alignment horizontal="center" vertical="center"/>
      <protection locked="0"/>
    </xf>
    <xf numFmtId="0" fontId="22" fillId="12" borderId="13" xfId="43" applyFont="1" applyFill="1" applyBorder="1" applyAlignment="1" applyProtection="1">
      <alignment horizontal="center" vertical="center" wrapText="1"/>
    </xf>
    <xf numFmtId="0" fontId="22" fillId="12" borderId="14" xfId="43" applyFont="1" applyFill="1" applyBorder="1" applyAlignment="1" applyProtection="1">
      <alignment horizontal="center" vertical="center" wrapText="1"/>
    </xf>
  </cellXfs>
  <cellStyles count="61">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xfId="59"/>
    <cellStyle name="百分比 2 2" xfId="55"/>
    <cellStyle name="常规" xfId="0" builtinId="0"/>
    <cellStyle name="常规 11 5" xfId="60"/>
    <cellStyle name="常规 2" xfId="43"/>
    <cellStyle name="常规 2 2" xfId="52"/>
    <cellStyle name="常规 3" xfId="46"/>
    <cellStyle name="常规 3 2" xfId="50"/>
    <cellStyle name="常规 4" xfId="45"/>
    <cellStyle name="常规 4 2" xfId="53"/>
    <cellStyle name="常规 5" xfId="47"/>
    <cellStyle name="常规 6" xfId="49"/>
    <cellStyle name="常规 7" xfId="56"/>
    <cellStyle name="常规 7 2" xfId="57"/>
    <cellStyle name="常规_Book1" xfId="32"/>
    <cellStyle name="常规_Book1 2" xfId="48"/>
    <cellStyle name="常规_c-资产类" xfId="33"/>
    <cellStyle name="常规_进一步审计程序--销售与收款循环" xfId="34"/>
    <cellStyle name="常规_新审定表" xfId="35"/>
    <cellStyle name="常规_制造费用" xfId="44"/>
    <cellStyle name="超链接" xfId="36" builtinId="8"/>
    <cellStyle name="超链接 2" xfId="54"/>
    <cellStyle name="普通_ 外G9(3)" xfId="37"/>
    <cellStyle name="千分位[0]_宁波" xfId="38"/>
    <cellStyle name="千分位_宁波" xfId="39"/>
    <cellStyle name="千位[0]_laroux" xfId="40"/>
    <cellStyle name="千位_laroux" xfId="41"/>
    <cellStyle name="千位分隔" xfId="42" builtinId="3"/>
    <cellStyle name="千位分隔 2" xfId="58"/>
    <cellStyle name="千位分隔 2 4" xfId="51"/>
  </cellStyles>
  <dxfs count="0"/>
  <tableStyles count="0" defaultTableStyle="TableStyleMedium9" defaultPivotStyle="PivotStyleLight16"/>
  <colors>
    <mruColors>
      <color rgb="FFFF0000"/>
      <color rgb="FFE4DFE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4037;&#20316;\10&#24180;&#24037;&#20316;\&#27468;&#21326;\&#40718;&#35270;\&#21152;&#24037;&#36134;-&#40718;&#3527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ow r="24">
          <cell r="B24">
            <v>0</v>
          </cell>
        </row>
      </sheetData>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6">
          <cell r="C6">
            <v>13428470678.063999</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 val="营业外收支明细"/>
      <sheetName val="XL4Poppy"/>
      <sheetName val="a8附-1510000000"/>
      <sheetName val="客户余额表"/>
      <sheetName val="明细表E6-2"/>
      <sheetName val="产销存"/>
      <sheetName val="1-6累计销售"/>
      <sheetName val="收入个月"/>
      <sheetName val="Sheet2 (3)"/>
      <sheetName val="客户基本概况表"/>
      <sheetName val="银行借款询证"/>
      <sheetName val="E1020"/>
      <sheetName val="设备部房屋"/>
      <sheetName val="detail"/>
      <sheetName val="MAP_HKG"/>
      <sheetName val="MAP_KSC"/>
      <sheetName val="MAP_PEK"/>
      <sheetName val="MAP_SSH"/>
      <sheetName val="REG_HKG"/>
      <sheetName val="REG_KSC"/>
      <sheetName val="REG_PEK"/>
      <sheetName val="REG_SSH"/>
      <sheetName val="存货赌价准备"/>
      <sheetName val="其乖帔乘款"/>
      <sheetName val="頄謡负债"/>
      <sheetName val="物资公司"/>
      <sheetName val="负债完成横向"/>
      <sheetName val="资产完成横向"/>
      <sheetName val="序时帐"/>
      <sheetName val="期后回款"/>
      <sheetName val="10月回款"/>
      <sheetName val="10月销售"/>
      <sheetName val="Part_Datum"/>
      <sheetName val="loan database"/>
      <sheetName val="科目余额表"/>
      <sheetName val="炼钢"/>
      <sheetName val="余额表"/>
      <sheetName val="存货分析表G2-4"/>
      <sheetName val="科目名称表"/>
      <sheetName val="原报调整分录"/>
      <sheetName val="审计调整分录"/>
      <sheetName val="٥Ā应"/>
      <sheetName val="erp测算"/>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Tickmarks"/>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GA"/>
      <sheetName val="AR"/>
      <sheetName val="销售"/>
      <sheetName val="Expense summary"/>
      <sheetName val="2008.10.27-31日实际出库明细"/>
      <sheetName val="Sales ADJ 2008.1-10"/>
      <sheetName val="利润表"/>
      <sheetName val="表头（请先填写）"/>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邯矿"/>
      <sheetName val="合并表"/>
      <sheetName val="金化"/>
      <sheetName val="通达"/>
      <sheetName val="KKKKKKKK"/>
      <sheetName val="2012年营业收入审定表"/>
      <sheetName val="2012年主营业务收入毛利分析"/>
      <sheetName val="2011年主营业务收入毛利分析"/>
      <sheetName val="总部调整"/>
      <sheetName val="汇总抵消"/>
      <sheetName val="SI"/>
      <sheetName val="newcost"/>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明细表G4-2-1"/>
      <sheetName val="D2-2-4明细表（审定数账龄）"/>
      <sheetName val="索引"/>
      <sheetName val="B"/>
      <sheetName val="2004"/>
      <sheetName val="企业表一"/>
      <sheetName val="M-5A"/>
      <sheetName val="1月固定资产清单"/>
      <sheetName val="应付账款函证"/>
      <sheetName val="其他应付款函证"/>
      <sheetName val="其他应收款函证"/>
      <sheetName val="邻酮定乙酚发出测试"/>
      <sheetName val="资产负债表"/>
      <sheetName val="M-5C"/>
      <sheetName val="累计1"/>
      <sheetName val="标本-资产"/>
      <sheetName val="表头（请先填写）"/>
      <sheetName val="审定表G4"/>
      <sheetName val="附注披露信息(上市公司)G4-1"/>
      <sheetName val="附注披露信息(国企)G4-1"/>
      <sheetName val="Sheet3"/>
      <sheetName val="明细表G4-2-2"/>
      <sheetName val="样本选取评价表（非统计抽样）G4-3X-1"/>
      <sheetName val="样本选取评价表 (统计抽样)G4-3X-2"/>
      <sheetName val="函证结果汇总表G4-4"/>
      <sheetName val="发函记录表G4-4-1"/>
      <sheetName val="函证差异调节表检查表G4-4-2"/>
      <sheetName val="替代程序表G4-5"/>
      <sheetName val="应付账款核对表G4-6"/>
      <sheetName val="凭证抽查底稿G4-7"/>
      <sheetName val="本福特测试抽查底稿G4-8"/>
      <sheetName val="GT_Custom"/>
      <sheetName val="暂估明细"/>
      <sheetName val="暂估-按单位"/>
      <sheetName val="IDEA"/>
      <sheetName val="期初明细表(账龄)"/>
      <sheetName val="坯布"/>
      <sheetName val="完"/>
      <sheetName val="审定表G1 (5年)"/>
      <sheetName val="审定表G1（3年）"/>
      <sheetName val="附注披露信息(上市公司)G1-1"/>
      <sheetName val="附注披露信息(国企)G1-1"/>
      <sheetName val="明细表G1-2-1"/>
      <sheetName val="明细表G1-2-2"/>
      <sheetName val="待摊费用核查表G1-7-1"/>
      <sheetName val="出租（2012年）"/>
      <sheetName val="租赁（2012年）"/>
      <sheetName val="房租"/>
      <sheetName val="预付账款1A"/>
      <sheetName val="各月变动分析表G1-3"/>
      <sheetName val="样本选取评价表（非统计抽样）G1-4X-1"/>
      <sheetName val="样本选取评价表 (统计抽样)G1-4X-2"/>
      <sheetName val="函证结果汇总表G1-5"/>
      <sheetName val="发函记录表G1-5-1"/>
      <sheetName val="替代程序表G1-6"/>
      <sheetName val="抽凭测试G1-7"/>
      <sheetName val="坏账测算G1-8"/>
      <sheetName val="坏账准备会计政策G1-8-1"/>
      <sheetName val="货币资金审定表F1"/>
      <sheetName val="附注披露信息(上市公司)F1-1"/>
      <sheetName val="附注披露信息(国企)F1-1"/>
      <sheetName val="现金明细表F1-2-1"/>
      <sheetName val="银行存款明细表F1-2-2"/>
      <sheetName val="其他币资金余额明细表F1-2-3"/>
      <sheetName val="现金交易分析F1-3-1-2"/>
      <sheetName val="银行存款分析表F1-3-2"/>
      <sheetName val="银行核查表F1-9-1"/>
      <sheetName val="货币资金函证结果汇总表F1-5-1"/>
      <sheetName val="函证设计表F1-5-1-1"/>
      <sheetName val="货币资金发函记录表F1-5-2"/>
      <sheetName val="核实被函证单位信息F1-5-3"/>
      <sheetName val="函证过程控制F1-5-4"/>
      <sheetName val="银行存款余额调节表F1-7"/>
      <sheetName val="库存现金盘点表（本币）F1-8-1-1"/>
      <sheetName val="库存现金盘点表（外币）F1-8-1-2"/>
      <sheetName val="银行存单盘点表F1-8-2"/>
      <sheetName val="贷款卡信息查询记录F1-9"/>
      <sheetName val="跨行转账业务明细表F1-10"/>
      <sheetName val="现金收入检查表F1-11-1-1"/>
      <sheetName val="现金支出检查表F1-11-1-2"/>
      <sheetName val="银行存款收入检查情况表F1-11-2-1"/>
      <sheetName val="银行存款支出检查情况表F1-11-2-2"/>
      <sheetName val="其他货币资金收入检查情况表F1-11-3-1"/>
      <sheetName val="其他货币资金支出检查情况表F1-11-3-2"/>
      <sheetName val="现金截止测试F1-12-1"/>
      <sheetName val="银行存款收支截止测试表F1-12-2"/>
      <sheetName val="其他货币资金截止测试表F1-12-3"/>
      <sheetName val="受限货币资金明细表F1-13"/>
      <sheetName val="未更正错报汇总表A23-5"/>
      <sheetName val="目录"/>
      <sheetName val="现金流量审计程序H1"/>
      <sheetName val="列示于现金流量表的现金及现金等价物H2"/>
      <sheetName val="现金流量核查H3-1"/>
      <sheetName val="现金流量核查H3-2-1"/>
      <sheetName val="其他应收、其他应付"/>
      <sheetName val="费用"/>
      <sheetName val="现金流量核查H3-2-2"/>
      <sheetName val="明细表E5-2"/>
      <sheetName val="ZH1-4其他应收款个别认定"/>
      <sheetName val="ZH1-3应收账款个别认定"/>
      <sheetName val="审定表 G2-1（15年）"/>
      <sheetName val="附注披露信息（上市公司）G2-1"/>
      <sheetName val="Sheet1"/>
      <sheetName val="Sheet2"/>
      <sheetName val="审定表 G2-1(16年）"/>
      <sheetName val="原材料明细 G2-2（16年）"/>
      <sheetName val="原材料明细 G2-2（15年）"/>
      <sheetName val="原材料明细 G2-2（14年）"/>
      <sheetName val="原材料明细表G2-2"/>
      <sheetName val="原材料借贷方分析 G2-3（14-16）"/>
      <sheetName val="供应商排名 G2-3-1"/>
      <sheetName val="关联采购明细-集团物资部"/>
      <sheetName val="关联方交易明细 G2-3-2"/>
      <sheetName val="差异明细"/>
      <sheetName val="盘点小结G2-4"/>
      <sheetName val="截止测试2014-入库G2-6-1"/>
      <sheetName val="截止测试2015-入库G2-6-1 "/>
      <sheetName val="截止测试2014-出库G2-6-2"/>
      <sheetName val="截止测试2015-出库G2-6-2 "/>
      <sheetName val="入库检查表 G2-7"/>
      <sheetName val="盘点倒轧表G2-6-5"/>
      <sheetName val="采购入库测试-日照港进出口16"/>
      <sheetName val="采购入库测试-日照港进出口G2-7-1"/>
      <sheetName val="采购入库测试-中燃船舶G2-7-2"/>
      <sheetName val="港机"/>
      <sheetName val="采购入库测试-港机"/>
      <sheetName val="截止测试-入库"/>
      <sheetName val="截止测试-出库"/>
      <sheetName val="企业自盘盘点表双向核对表 G2-5（14年） "/>
      <sheetName val="企业自盘盘点表双向核对表 G2-5（15年）"/>
      <sheetName val="原材料检查表"/>
      <sheetName val="采购入库测试-中燃船舶16G2-7-2"/>
      <sheetName val="明细表 G4-1（16年）"/>
      <sheetName val="明细表16G4-1（16年）"/>
      <sheetName val="发函"/>
      <sheetName val="函证清单G"/>
      <sheetName val="发函记录表 G4-3"/>
      <sheetName val="长期挂账应付账款检查表16G4-3"/>
      <sheetName val="明细表 G4-1（15年）"/>
      <sheetName val="明细表 G4-1（14年）"/>
      <sheetName val="账龄总体合理性复核分析16G4-2"/>
      <sheetName val="明细表（按性质分析） G4-2-2（16年）"/>
      <sheetName val="明细表（按性质分析） G4-2-2（15年）"/>
      <sheetName val="明细表（按性质分析） G4-2-2（14年）"/>
      <sheetName val="函证清单G4-4-1"/>
      <sheetName val="大额应付账款检查表16G4-3-1"/>
      <sheetName val="函证结果汇总表 G4-4-2"/>
      <sheetName val="贷方分析G4-5"/>
      <sheetName val="贷方分析6"/>
      <sheetName val="贷方分析2015"/>
      <sheetName val="贷方分析2014"/>
      <sheetName val="大额付款检查表16"/>
      <sheetName val="大额付款检查表15"/>
      <sheetName val="账龄总体合理性复核分析16G4-2-1"/>
      <sheetName val="函证清单G4-3-1"/>
      <sheetName val="函证结果汇总表 G4-3-2"/>
      <sheetName val="函证清单G4-3"/>
      <sheetName val="函证结果汇总表 G4-4"/>
      <sheetName val="明细表（按性质分析） G4-2（14年）"/>
      <sheetName val="明细表（按性质分析） G4-2（15年）"/>
      <sheetName val="中山低值"/>
      <sheetName val="流资汇总"/>
      <sheetName val="摊销测算 K4-3 "/>
      <sheetName val="YS02-02"/>
      <sheetName val="6月"/>
      <sheetName val="存货审定表G2"/>
      <sheetName val="存货明细表G2-1-1"/>
      <sheetName val="存货两期结构比G2-1-2"/>
      <sheetName val="原材料明细表G2-2-1"/>
      <sheetName val="原材料出入库分析G2-2-2"/>
      <sheetName val="主要原材料计价测试表G2-2-3"/>
      <sheetName val="原材料结转分析表G2-2-4"/>
      <sheetName val="库存商品明细表G2-3-1"/>
      <sheetName val="库存商品计价测试G2-3-2"/>
      <sheetName val="库存商品结转测试表G2-3-3"/>
      <sheetName val="吨酒量耗测算表G2-3-4"/>
      <sheetName val="低值易耗品明细表G2-4"/>
      <sheetName val="包装物明细表G2-5-1"/>
      <sheetName val="包装物结转测试表G2-5-2"/>
      <sheetName val="制造费用明细表G2-6-1"/>
      <sheetName val="制造费用车间明细表G2-6-2"/>
      <sheetName val="制造费用（各车间）项目明细表G2-6-3"/>
      <sheetName val="制造费用（各车间）各月明细表G2-6-4"/>
      <sheetName val="单位制造费用比较分析表G2-6-5"/>
      <sheetName val="制造费用分配表G2-6-6"/>
      <sheetName val="基本生产成本明细表G2-7-1"/>
      <sheetName val="基本生产成本—啤酒液借方发生额G2-7-2"/>
      <sheetName val="啤酒液生产月报表G2-7-3"/>
      <sheetName val="啤酒液单位成本(耗用）分析G2-7-4"/>
      <sheetName val="啤酒液单位成本（生产）分析G2-7-5"/>
      <sheetName val="辅助生产成本余额表G2-8-1"/>
      <sheetName val="存货盘点倒扎表G3-1"/>
      <sheetName val="原材料G5-1"/>
      <sheetName val="包装物G5-2"/>
      <sheetName val="截止性测试G2-9"/>
      <sheetName val="成本倒扎表G4-1"/>
      <sheetName val="original"/>
      <sheetName val="新的工作表_1"/>
      <sheetName val="基础信息"/>
      <sheetName val="收入和成本对应表"/>
      <sheetName val="MY"/>
      <sheetName val="审定表D3"/>
      <sheetName val="明细表D3-2-1"/>
      <sheetName val="辅助余额表 (2)"/>
      <sheetName val="明细表D3-2-1 (2)"/>
      <sheetName val="辅助余额表"/>
      <sheetName val="明细表D3-2-2"/>
      <sheetName val="细节测试D3-6"/>
      <sheetName val="附注披露信息（国企公司）G2-1"/>
      <sheetName val="成本核算程序G2-2"/>
      <sheetName val="明细表(见附件）G2-3"/>
      <sheetName val="存货分析表G2-4"/>
      <sheetName val="库存商品全年变动分析表G2-4-1"/>
      <sheetName val="库存商品各月库存—单价分析表G2-4-2"/>
      <sheetName val="库存商品各月产量变动分析表G2-4-3"/>
      <sheetName val="存货产量—产能 库存—容量分析表G2-4-4"/>
      <sheetName val="直接人工分析表G2-4-5"/>
      <sheetName val="关联采购分析表G2-4-6"/>
      <sheetName val="监盘程序G2-5"/>
      <sheetName val="盘点计划问卷G2-6"/>
      <sheetName val="样本选取评价表（非统计抽样）G2-7"/>
      <sheetName val="样本选取评价表 (统计抽样)G1-7X"/>
      <sheetName val="盘点表G2-8-1"/>
      <sheetName val="盘点小结G2-8-2"/>
      <sheetName val="盘点倒轧表G2-9"/>
      <sheetName val="双向核对表G2-10"/>
      <sheetName val="函证结果汇总表G2-11"/>
      <sheetName val="发函记录表G2-11-1"/>
      <sheetName val="函证差异调节表检查表G2-11-2"/>
      <sheetName val="截止测试-入库G2-12-1"/>
      <sheetName val="截止测试-出库G2-12-2"/>
      <sheetName val="计价方法测试表G2-13-1"/>
      <sheetName val="计价方法测试表G2-13-2"/>
      <sheetName val="计价方法测试表G2-13-3"/>
      <sheetName val="生产成本明细表G2-14-1"/>
      <sheetName val="制造费用明细表G2-14-2"/>
      <sheetName val="成本计算单测试表G2-15"/>
      <sheetName val="凭证核对内容"/>
      <sheetName val="往来函证"/>
      <sheetName val="函证汇总表"/>
      <sheetName val="函证邮封数据源"/>
      <sheetName val="函证邮封"/>
      <sheetName val="审计报告使用"/>
      <sheetName val="库存现金盘点表F1-2-2-1（人民币）"/>
      <sheetName val="库存现金盘点表F1-2-2-2（美元）"/>
      <sheetName val="库存现金盘点表F1-2-2-3（日元）"/>
      <sheetName val="库存现金盘点表F1-2-2-4（欧元）"/>
      <sheetName val="现金收入检查表F1-2-3"/>
      <sheetName val="现金支出检查表F1-2-4"/>
      <sheetName val="现金截止测试F1-2-5"/>
      <sheetName val="银行存款明细表F1-3-1"/>
      <sheetName val="银行存款分析表F1-3-1-1"/>
      <sheetName val="银行存单盘点表F1-3-2"/>
      <sheetName val="银行存款余额调节表F1-3-3-1"/>
      <sheetName val="银行存款余额调节表F1-3-3-2"/>
      <sheetName val="银行存款余额调节表F1-3-3-3"/>
      <sheetName val="跨行转账业务明细表F1-3-4"/>
      <sheetName val="货币资金函证结果汇总表F1-3-5"/>
      <sheetName val="货币资金发函记录表F1-3-5-1"/>
      <sheetName val="贷款卡信息查询记录F1-3-6"/>
      <sheetName val="受限货币资金明细表F1-3-6-1"/>
      <sheetName val="银行存款收入检查情况表F1-3-7"/>
      <sheetName val="银行存款支出检查情况表F1-3-8"/>
      <sheetName val="银行存款收支截止测试表F1-3-9"/>
      <sheetName val="其他币资金余额明细表F1-4-1"/>
      <sheetName val="其他货币资金收入检查情况表F1-4-2"/>
      <sheetName val="其他货币资金支出检查情况表F1-4-3"/>
      <sheetName val="其他货币资金截止测试表F1-4-4"/>
      <sheetName val="鸿晟项目台账"/>
      <sheetName val="隐藏页"/>
      <sheetName val="替代程序表D4-5-6"/>
      <sheetName val="报表项目"/>
      <sheetName val="货币资金审定表"/>
      <sheetName val="4-货币资金-现金"/>
      <sheetName val="无形资产Dy"/>
      <sheetName val="短期借款Dy"/>
      <sheetName val="工时统计"/>
      <sheetName val="应付帐款余额表"/>
      <sheetName val="或有事项"/>
      <sheetName val="关联方交易"/>
      <sheetName val="其他综合收益"/>
      <sheetName val="封面"/>
      <sheetName val="目錄"/>
      <sheetName val="W"/>
      <sheetName val="库存商品余额表.dbf"/>
      <sheetName val="明细表"/>
      <sheetName val="3728累计折旧测算表1"/>
      <sheetName val="sell"/>
      <sheetName val="fin"/>
      <sheetName val="科目余额表"/>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Economic evaluation - FY98 base"/>
      <sheetName val="财务成本"/>
      <sheetName val="UFPrn20031114182129"/>
      <sheetName val="Breakdown"/>
      <sheetName val="营业费用截止"/>
      <sheetName val="Title"/>
      <sheetName val="成品"/>
      <sheetName val="存货明细表"/>
      <sheetName val="计价测试参数表"/>
      <sheetName val="AR"/>
      <sheetName val="固定资产"/>
      <sheetName val="other lia"/>
      <sheetName val="prepayment"/>
      <sheetName val="related co"/>
      <sheetName val="adm"/>
      <sheetName val="sel"/>
      <sheetName val="E1020"/>
      <sheetName val="FS"/>
      <sheetName val="gl"/>
      <sheetName val="函证汇总表 G4-4-1"/>
      <sheetName val="Asset balance"/>
      <sheetName val="Asset full l ist"/>
      <sheetName val="材料"/>
      <sheetName val="外销"/>
      <sheetName val="科目表"/>
      <sheetName val="A6"/>
      <sheetName val="PER SALES ORG"/>
      <sheetName val="附注披露信息(上市公司)D3-1"/>
      <sheetName val="附注披露信息(国企)D3-1"/>
      <sheetName val="预收账款明细表D3-2"/>
      <sheetName val="预收账款明细表（银湖国际）D3-2-1"/>
      <sheetName val="长期挂账预收账款检查表D3-3"/>
      <sheetName val="函证结果汇总表D3-4"/>
      <sheetName val="核实被函证客户信息D3-4-2"/>
      <sheetName val="函证过程控制D3-4-3"/>
      <sheetName val="回函核对记录D3-4-4"/>
      <sheetName val="函证差异调节表检查表D3-4-5"/>
      <sheetName val="预收账款明细表（福星城D6）D3-2-2"/>
      <sheetName val="银湖城二期（8-15#）住宅"/>
      <sheetName val="银湖城一期（1-7#）住宅"/>
      <sheetName val="银湖城一期（1-7#）商铺"/>
      <sheetName val="银湖城二期（8-15#）商铺"/>
      <sheetName val="替代程序表D3-4-6"/>
      <sheetName val="审定表M4"/>
      <sheetName val="附注披露信息(上市公司)M4-1"/>
      <sheetName val="附注披露信息(国企)M4-1"/>
      <sheetName val="其他应付款明细表M4-2"/>
      <sheetName val="面积差台账"/>
      <sheetName val="账龄总体合理性复核分析M4-3"/>
      <sheetName val="长期挂账的其他应付款检查表M4-4"/>
      <sheetName val="函证结果汇总表M4-5"/>
      <sheetName val="核实被函证单位信息M4-5-2"/>
      <sheetName val="函证过程控制M4-5-3"/>
      <sheetName val="回函核对记录M4-5-4"/>
      <sheetName val="函证差异调节表检查表M4-5-5"/>
      <sheetName val="替代程序表M4-5-6"/>
      <sheetName val="大额其他应付款检查表M4-6"/>
      <sheetName val="审定表D1"/>
      <sheetName val="附注披露信息（上市公司）D1-1"/>
      <sheetName val="附注披露信息（国企）D1-1"/>
      <sheetName val="明细表D1-2"/>
      <sheetName val="应收票据备查簿核对D1-3"/>
      <sheetName val="应收票据盘点D1-4"/>
      <sheetName val="应收票据贴现、票据已背书未到期明细表D1-5"/>
      <sheetName val="应收票据贴息检查表D1-5-1"/>
      <sheetName val="主营业务收入审定表D4"/>
      <sheetName val="明细表D4-2(品种）"/>
      <sheetName val="收入毛利分析D4-3-1"/>
      <sheetName val="月度毛利分析D4-3-2"/>
      <sheetName val="重要产品毛利分析D4-3-3"/>
      <sheetName val="重要指标分析D4-3-4"/>
      <sheetName val="明细表-分客户"/>
      <sheetName val="重要客户结构分析D4-3-5"/>
      <sheetName val="重要客户收入情况分析D4-3-6"/>
      <sheetName val="产品价格分析D4-3-7"/>
      <sheetName val="收入替代程序"/>
      <sheetName val="收入确认政策检查D4-4"/>
      <sheetName val="函证结果汇总表D4-5"/>
      <sheetName val="核实被函证单位信息D4-5-2"/>
      <sheetName val="函证过程控制D4-5-3"/>
      <sheetName val="回函核对记录D4-5-4"/>
      <sheetName val="主营业务收入差异调节表检查表D4-5-5"/>
      <sheetName val="营业收入真实性测试表D4-6"/>
      <sheetName val="营业收入完整性测试表D4-7"/>
      <sheetName val="合同形式检查表D4-8-1"/>
      <sheetName val="合同履行检查表D4-8-2"/>
      <sheetName val="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D4-14建造合同核查"/>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 val="G110"/>
      <sheetName val="Validation"/>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户名"/>
      <sheetName val="SW-TEO"/>
      <sheetName val="抵销表"/>
      <sheetName val="基础表"/>
      <sheetName val="披露表(上市)"/>
      <sheetName val="役"/>
      <sheetName val="其他应付款科目余额2005.12.31"/>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工程项目完工表"/>
      <sheetName val="管理费用Dy"/>
      <sheetName val="销售费用Dy"/>
      <sheetName val="营业收入Dy"/>
      <sheetName val="D02A"/>
      <sheetName val="27-7"/>
      <sheetName val="_x001f_0-BS ؁"/>
      <sheetName val="KKKKKKKK"/>
      <sheetName val="param"/>
      <sheetName val="Traduction"/>
      <sheetName val="存货_生产成本Dy"/>
      <sheetName val="BS P&amp;L-SAP standard form"/>
      <sheetName val="XBase"/>
      <sheetName val="客户基本概况表"/>
      <sheetName val="待转业务收入-按客户"/>
      <sheetName val="待收账款"/>
      <sheetName val="收入和成本对应表"/>
      <sheetName val="TB表"/>
      <sheetName val="营业成本Dy"/>
      <sheetName val="其他应收款Dy"/>
      <sheetName val="广州库"/>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00_¨/_x0016__x0000_†Ý_x0013__x0000_†Ý"/>
      <sheetName val="_x0001__x0000_¨/_x0016__x0000_†Ý_x0013__x0000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__x005f_x0007____¨__x005f_x0016______Ý_x00"/>
      <sheetName val="________x005f_x0007____®à_x005f_x0013______"/>
      <sheetName val="__x005f_x0001____¨__x005f_x0016______Ý_x00"/>
      <sheetName val="Financ. Overview"/>
      <sheetName val="Toolbox"/>
      <sheetName val="选择项"/>
      <sheetName val="构筑物5-1-2"/>
      <sheetName val="A8-4"/>
      <sheetName val="收入分析"/>
      <sheetName val="PBC"/>
      <sheetName val="订单"/>
      <sheetName val="101"/>
      <sheetName val="应收账龄BS.01"/>
      <sheetName val="财务成本"/>
      <sheetName val="橡胶林资产收益现值法评估明细表(1984)"/>
      <sheetName val="Z01 资产负债表(企财01表)"/>
      <sheetName val="Z02 利润表(企财02表)"/>
      <sheetName val="Z03 现金流量表(企财03表)"/>
      <sheetName val="细分明细"/>
      <sheetName val="长期借款Dy"/>
      <sheetName val="持有至到期投资Dy"/>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224120 城建税"/>
      <sheetName val="224121 教育费附加"/>
      <sheetName val="Disposition"/>
      <sheetName val="数字视频并帐"/>
      <sheetName val="表0-汇总表"/>
      <sheetName val="应收账款Cx"/>
      <sheetName val="应交增值税进、销项税金测算表"/>
      <sheetName val="存货跌价准备Dy"/>
      <sheetName val="库存商品Dy"/>
      <sheetName val="生产成本Dy"/>
      <sheetName val="主营业务成本Dy"/>
      <sheetName val="储藏室"/>
      <sheetName val="12月余额表"/>
      <sheetName val="marco"/>
      <sheetName val="ARP"/>
      <sheetName val="?*???$_x0004_????R??R"/>
      <sheetName val="???????_x0007_???z??????"/>
      <sheetName val="同业存放Ⱦ_x005f_x005f_x005f_x005f_x005f_x005f_x005f_x0000_"/>
      <sheetName val="长_x005f_x005f_x005f_x005f_x005f_x005f_x005f_x0013_"/>
      <sheetName val="长_x005f_x005f_x005f_x005f_x005f_x005f_x005f_x0013_"/>
      <sheetName val="_x005f_x005f_x005f_x005f_x005f_x005f_x005f_x0000___x005"/>
      <sheetName val="_____ª¥$_x005f_x005f_x005f_x0004_____RÝ_x00"/>
      <sheetName val="________x005f_x005f_x005f_x0007____zà_x005f"/>
      <sheetName val="无形资产-2_x005f_x005f_x005f_x0010_03"/>
    </sheetNames>
    <sheetDataSet>
      <sheetData sheetId="0">
        <row r="6">
          <cell r="C6">
            <v>0</v>
          </cell>
        </row>
      </sheetData>
      <sheetData sheetId="1">
        <row r="10">
          <cell r="B10">
            <v>0</v>
          </cell>
        </row>
      </sheetData>
      <sheetData sheetId="2">
        <row r="10">
          <cell r="B10">
            <v>0</v>
          </cell>
        </row>
      </sheetData>
      <sheetData sheetId="3"/>
      <sheetData sheetId="4"/>
      <sheetData sheetId="5"/>
      <sheetData sheetId="6">
        <row r="6">
          <cell r="C6">
            <v>0</v>
          </cell>
        </row>
      </sheetData>
      <sheetData sheetId="7"/>
      <sheetData sheetId="8">
        <row r="10">
          <cell r="B10">
            <v>0</v>
          </cell>
        </row>
      </sheetData>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row r="24">
          <cell r="B24">
            <v>0</v>
          </cell>
        </row>
      </sheetData>
      <sheetData sheetId="13">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sheetData sheetId="790" refreshError="1"/>
      <sheetData sheetId="791" refreshError="1"/>
      <sheetData sheetId="792" refreshError="1"/>
      <sheetData sheetId="793" refreshError="1"/>
      <sheetData sheetId="794"/>
      <sheetData sheetId="795"/>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润表项目"/>
      <sheetName val="W"/>
      <sheetName val="基本情况表"/>
      <sheetName val="2010年试算平衡表"/>
      <sheetName val="本年试算平衡表"/>
      <sheetName val="资产负债表原报 (2)"/>
      <sheetName val="账上导出数（包括暂估）"/>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固定资产"/>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项目索引"/>
      <sheetName val="其他应收单位款余额"/>
      <sheetName val="长期应付款导引表"/>
      <sheetName val="1.4余额表"/>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_x0000__x0000_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0__x0000__x000a__分析表.XLS_G9-1_x0000__x0000_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sheetData sheetId="257" refreshError="1"/>
      <sheetData sheetId="258" refreshError="1"/>
      <sheetData sheetId="259" refreshError="1"/>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sheetData sheetId="373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sheetData sheetId="4006"/>
      <sheetData sheetId="4007"/>
      <sheetData sheetId="4008"/>
      <sheetData sheetId="4009"/>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sheetData sheetId="418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sheetData sheetId="4672" refreshError="1"/>
      <sheetData sheetId="4673" refreshError="1"/>
      <sheetData sheetId="4674" refreshError="1"/>
      <sheetData sheetId="4675" refreshError="1"/>
      <sheetData sheetId="4676"/>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4"/>
  <sheetViews>
    <sheetView tabSelected="1" workbookViewId="0"/>
  </sheetViews>
  <sheetFormatPr defaultRowHeight="20.100000000000001" customHeight="1"/>
  <cols>
    <col min="1" max="1" width="77.59765625" style="10" customWidth="1"/>
    <col min="2" max="2" width="2" style="10" customWidth="1"/>
    <col min="3" max="3" width="2.09765625" style="10" customWidth="1"/>
    <col min="4" max="4" width="6.09765625" style="10" customWidth="1"/>
    <col min="5" max="5" width="27.796875" style="10" customWidth="1"/>
    <col min="6" max="6" width="7.69921875" style="225" customWidth="1"/>
  </cols>
  <sheetData>
    <row r="1" spans="1:8" s="5" customFormat="1" ht="20.100000000000001" customHeight="1">
      <c r="A1" s="4" t="s">
        <v>3</v>
      </c>
      <c r="B1" s="6"/>
      <c r="C1" s="6"/>
      <c r="D1" s="7"/>
      <c r="E1" s="7"/>
      <c r="F1" s="9"/>
    </row>
    <row r="2" spans="1:8" ht="20.100000000000001" customHeight="1">
      <c r="A2" s="3" t="s">
        <v>256</v>
      </c>
      <c r="B2" s="8"/>
      <c r="C2" s="8"/>
      <c r="D2" s="9"/>
      <c r="E2" s="9"/>
      <c r="F2" s="9"/>
      <c r="G2" s="1"/>
      <c r="H2" s="1"/>
    </row>
    <row r="3" spans="1:8" ht="20.100000000000001" customHeight="1">
      <c r="A3" s="3" t="s">
        <v>267</v>
      </c>
      <c r="B3" s="8"/>
      <c r="C3" s="8"/>
      <c r="D3" s="46"/>
      <c r="E3" s="47"/>
      <c r="F3" s="222"/>
      <c r="G3" s="1"/>
      <c r="H3" s="2"/>
    </row>
    <row r="4" spans="1:8" ht="20.100000000000001" customHeight="1">
      <c r="A4" s="3" t="s">
        <v>257</v>
      </c>
      <c r="D4" s="82" t="s">
        <v>54</v>
      </c>
      <c r="E4" s="82" t="s">
        <v>24</v>
      </c>
      <c r="F4" s="82" t="s">
        <v>55</v>
      </c>
      <c r="G4" s="82" t="s">
        <v>56</v>
      </c>
      <c r="H4" s="11"/>
    </row>
    <row r="5" spans="1:8" ht="20.100000000000001" customHeight="1">
      <c r="A5" s="3" t="s">
        <v>258</v>
      </c>
      <c r="D5" s="82">
        <v>1</v>
      </c>
      <c r="E5" s="233" t="s">
        <v>86</v>
      </c>
      <c r="F5" s="223" t="s">
        <v>122</v>
      </c>
      <c r="G5" s="82"/>
      <c r="H5" s="11"/>
    </row>
    <row r="6" spans="1:8" ht="20.100000000000001" customHeight="1">
      <c r="A6" s="3" t="s">
        <v>259</v>
      </c>
      <c r="D6" s="82">
        <v>2</v>
      </c>
      <c r="E6" s="233" t="s">
        <v>87</v>
      </c>
      <c r="F6" s="223" t="s">
        <v>126</v>
      </c>
      <c r="G6" s="83"/>
    </row>
    <row r="7" spans="1:8" ht="20.100000000000001" customHeight="1">
      <c r="A7" s="3" t="s">
        <v>260</v>
      </c>
      <c r="D7" s="82">
        <v>3</v>
      </c>
      <c r="E7" s="233" t="s">
        <v>57</v>
      </c>
      <c r="F7" s="223"/>
      <c r="G7" s="84"/>
      <c r="H7" t="s">
        <v>141</v>
      </c>
    </row>
    <row r="8" spans="1:8" ht="20.100000000000001" customHeight="1">
      <c r="A8" s="130" t="s">
        <v>100</v>
      </c>
      <c r="D8" s="82">
        <v>4</v>
      </c>
      <c r="E8" s="233" t="s">
        <v>58</v>
      </c>
      <c r="F8" s="223"/>
      <c r="G8" s="84"/>
      <c r="H8" t="s">
        <v>141</v>
      </c>
    </row>
    <row r="9" spans="1:8" ht="20.100000000000001" customHeight="1">
      <c r="A9" s="131" t="s">
        <v>102</v>
      </c>
      <c r="D9" s="82">
        <v>5</v>
      </c>
      <c r="E9" s="233" t="s">
        <v>97</v>
      </c>
      <c r="F9" s="223" t="s">
        <v>123</v>
      </c>
      <c r="G9" s="84"/>
    </row>
    <row r="10" spans="1:8" ht="20.100000000000001" customHeight="1">
      <c r="A10" s="131" t="s">
        <v>103</v>
      </c>
      <c r="D10" s="82">
        <v>6</v>
      </c>
      <c r="E10" s="233" t="s">
        <v>98</v>
      </c>
      <c r="F10" s="223" t="s">
        <v>124</v>
      </c>
      <c r="G10" s="84"/>
    </row>
    <row r="11" spans="1:8" ht="20.100000000000001" customHeight="1">
      <c r="A11" s="131" t="s">
        <v>104</v>
      </c>
      <c r="D11" s="82">
        <v>7</v>
      </c>
      <c r="E11" s="233" t="s">
        <v>119</v>
      </c>
      <c r="F11" s="223" t="s">
        <v>125</v>
      </c>
      <c r="G11" s="84"/>
    </row>
    <row r="12" spans="1:8" ht="20.100000000000001" customHeight="1">
      <c r="A12" s="131" t="s">
        <v>105</v>
      </c>
      <c r="D12" s="82">
        <v>8</v>
      </c>
      <c r="E12" s="233" t="s">
        <v>242</v>
      </c>
      <c r="F12" s="223" t="s">
        <v>139</v>
      </c>
      <c r="G12" s="84"/>
    </row>
    <row r="13" spans="1:8" ht="20.100000000000001" customHeight="1">
      <c r="A13" s="131"/>
      <c r="D13" s="82">
        <v>9</v>
      </c>
      <c r="E13" s="233" t="s">
        <v>243</v>
      </c>
      <c r="F13" s="223" t="s">
        <v>140</v>
      </c>
      <c r="G13" s="84"/>
    </row>
    <row r="14" spans="1:8" ht="20.100000000000001" customHeight="1">
      <c r="A14" s="249" t="s">
        <v>268</v>
      </c>
    </row>
    <row r="15" spans="1:8" ht="20.100000000000001" customHeight="1">
      <c r="A15" s="269" t="s">
        <v>269</v>
      </c>
      <c r="F15" s="224"/>
    </row>
    <row r="16" spans="1:8" ht="20.100000000000001" customHeight="1">
      <c r="A16" s="269"/>
      <c r="F16" s="224"/>
    </row>
    <row r="17" spans="1:1" ht="20.100000000000001" customHeight="1">
      <c r="A17" s="269"/>
    </row>
    <row r="18" spans="1:1" ht="15.6">
      <c r="A18" s="269"/>
    </row>
    <row r="19" spans="1:1" ht="15.6">
      <c r="A19" s="269" t="s">
        <v>270</v>
      </c>
    </row>
    <row r="20" spans="1:1" ht="20.100000000000001" customHeight="1">
      <c r="A20" s="269"/>
    </row>
    <row r="21" spans="1:1" ht="20.100000000000001" customHeight="1">
      <c r="A21" s="269"/>
    </row>
    <row r="22" spans="1:1" ht="20.100000000000001" customHeight="1">
      <c r="A22" s="270" t="s">
        <v>271</v>
      </c>
    </row>
    <row r="23" spans="1:1" ht="20.100000000000001" customHeight="1">
      <c r="A23" s="270"/>
    </row>
    <row r="24" spans="1:1" ht="20.100000000000001" customHeight="1">
      <c r="A24" s="270"/>
    </row>
  </sheetData>
  <mergeCells count="3">
    <mergeCell ref="A15:A18"/>
    <mergeCell ref="A19:A21"/>
    <mergeCell ref="A22:A24"/>
  </mergeCells>
  <phoneticPr fontId="17" type="noConversion"/>
  <hyperlinks>
    <hyperlink ref="E7" location="'附注披露信息（上市公司）'!A1" display="附注披露信息(上市公司)"/>
    <hyperlink ref="E8" location="'附注披露信息（国有企业）'!A1" display="附注披露信息(国企)"/>
    <hyperlink ref="E9" location="'明细表M1-2'!A1" display="明细表"/>
    <hyperlink ref="E11" location="'外币汇率测算表M1-4'!A1" display="外币汇率测算表"/>
    <hyperlink ref="E12" location="'应付股利（利润）测算表M1-5'!A1" display="应付股利（利润）测算表"/>
    <hyperlink ref="E13" location="'应付股利（利润）检查表M1-6'!A1" display="应付股利（利润）检查表"/>
    <hyperlink ref="E6" location="'审定表M1-1'!A1" display="审定表"/>
    <hyperlink ref="E5" location="应付股利实质性程序表M1!A1" display="应付股利实质性程序表"/>
    <hyperlink ref="E10" location="'调整分录汇总M1-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5"/>
  <sheetViews>
    <sheetView view="pageBreakPreview" zoomScaleNormal="110" zoomScaleSheetLayoutView="100" workbookViewId="0">
      <selection sqref="A1:I1"/>
    </sheetView>
  </sheetViews>
  <sheetFormatPr defaultColWidth="9" defaultRowHeight="13.8"/>
  <cols>
    <col min="1" max="1" width="4.3984375" style="104" customWidth="1"/>
    <col min="2" max="2" width="66.5" style="104" customWidth="1"/>
    <col min="3" max="3" width="9.3984375" style="104" customWidth="1"/>
    <col min="4" max="4" width="5.09765625" style="111" customWidth="1"/>
    <col min="5" max="5" width="5.59765625" style="104" customWidth="1"/>
    <col min="6" max="6" width="6.296875" style="104" customWidth="1"/>
    <col min="7" max="7" width="8.19921875" style="104" customWidth="1"/>
    <col min="8" max="8" width="5.69921875" style="104" customWidth="1"/>
    <col min="9" max="9" width="7.296875" style="104" customWidth="1"/>
    <col min="10" max="10" width="73.8984375" style="103" customWidth="1"/>
    <col min="11" max="11" width="14.69921875" style="103" customWidth="1"/>
    <col min="12" max="16384" width="9" style="104"/>
  </cols>
  <sheetData>
    <row r="1" spans="1:12" ht="19.95" customHeight="1">
      <c r="A1" s="276" t="s">
        <v>25</v>
      </c>
      <c r="B1" s="276"/>
      <c r="C1" s="276"/>
      <c r="D1" s="276"/>
      <c r="E1" s="276"/>
      <c r="F1" s="276"/>
      <c r="G1" s="276"/>
      <c r="H1" s="276"/>
      <c r="I1" s="276"/>
    </row>
    <row r="2" spans="1:12" ht="19.95" customHeight="1">
      <c r="A2" s="277" t="s">
        <v>233</v>
      </c>
      <c r="B2" s="277"/>
      <c r="C2" s="277"/>
      <c r="D2" s="277"/>
      <c r="E2" s="277"/>
      <c r="F2" s="277"/>
      <c r="G2" s="277"/>
      <c r="H2" s="277"/>
      <c r="I2" s="277"/>
    </row>
    <row r="3" spans="1:12" ht="19.95" customHeight="1">
      <c r="A3" s="105" t="str">
        <f>底稿目录!A2</f>
        <v>被审计单位：</v>
      </c>
      <c r="B3" s="105"/>
      <c r="C3" s="106" t="str">
        <f>底稿目录!A4</f>
        <v>编制人：</v>
      </c>
      <c r="E3" s="105" t="str">
        <f>底稿目录!A5</f>
        <v>编制日期：</v>
      </c>
      <c r="G3" s="105"/>
      <c r="H3" s="105" t="s">
        <v>42</v>
      </c>
      <c r="I3" s="108" t="str">
        <f>底稿目录!F5</f>
        <v xml:space="preserve">M1A </v>
      </c>
    </row>
    <row r="4" spans="1:12" ht="19.95" customHeight="1">
      <c r="A4" s="105" t="str">
        <f>底稿目录!A3</f>
        <v>截止日：202X年12月31日</v>
      </c>
      <c r="B4" s="105"/>
      <c r="C4" s="106" t="str">
        <f>底稿目录!A6</f>
        <v>复核人：</v>
      </c>
      <c r="E4" s="105" t="str">
        <f>底稿目录!A7</f>
        <v>复核日期：</v>
      </c>
      <c r="G4" s="105"/>
      <c r="H4" s="105" t="s">
        <v>186</v>
      </c>
      <c r="I4" s="108"/>
    </row>
    <row r="5" spans="1:12" ht="19.95" customHeight="1">
      <c r="A5" s="197" t="s">
        <v>187</v>
      </c>
      <c r="B5" s="105"/>
      <c r="C5" s="105"/>
      <c r="D5" s="107"/>
      <c r="E5" s="105"/>
      <c r="F5" s="105"/>
      <c r="G5" s="105"/>
      <c r="H5" s="105"/>
      <c r="I5" s="105"/>
    </row>
    <row r="6" spans="1:12" ht="19.95" customHeight="1">
      <c r="A6" s="198" t="s">
        <v>188</v>
      </c>
      <c r="C6" s="105"/>
      <c r="D6" s="107"/>
      <c r="E6" s="105"/>
      <c r="F6" s="105"/>
      <c r="G6" s="105"/>
      <c r="H6" s="105"/>
      <c r="I6" s="105"/>
    </row>
    <row r="7" spans="1:12" ht="19.95" customHeight="1">
      <c r="A7" s="199" t="s">
        <v>189</v>
      </c>
      <c r="B7" s="109"/>
      <c r="C7" s="109"/>
      <c r="D7" s="107"/>
      <c r="E7" s="105"/>
      <c r="F7" s="105"/>
      <c r="G7" s="105"/>
      <c r="H7" s="105"/>
      <c r="I7" s="105"/>
      <c r="J7" s="110"/>
      <c r="K7" s="110"/>
    </row>
    <row r="8" spans="1:12" ht="19.95" customHeight="1">
      <c r="A8" s="271" t="s">
        <v>190</v>
      </c>
      <c r="B8" s="271"/>
      <c r="C8" s="271"/>
      <c r="D8" s="271"/>
      <c r="E8" s="271"/>
      <c r="F8" s="271"/>
      <c r="G8" s="275" t="s">
        <v>82</v>
      </c>
      <c r="H8" s="275"/>
      <c r="I8" s="275"/>
      <c r="J8" s="110"/>
      <c r="K8" s="110"/>
    </row>
    <row r="9" spans="1:12" ht="19.95" customHeight="1">
      <c r="A9" s="280" t="s">
        <v>128</v>
      </c>
      <c r="B9" s="280"/>
      <c r="C9" s="280"/>
      <c r="D9" s="280"/>
      <c r="E9" s="280"/>
      <c r="F9" s="280"/>
      <c r="G9" s="278" t="s">
        <v>83</v>
      </c>
      <c r="H9" s="278"/>
      <c r="I9" s="278"/>
      <c r="J9" s="110"/>
      <c r="K9" s="110"/>
    </row>
    <row r="10" spans="1:12" ht="19.95" customHeight="1">
      <c r="A10" s="280" t="s">
        <v>215</v>
      </c>
      <c r="B10" s="280"/>
      <c r="C10" s="280"/>
      <c r="D10" s="280"/>
      <c r="E10" s="280"/>
      <c r="F10" s="280"/>
      <c r="G10" s="279" t="s">
        <v>262</v>
      </c>
      <c r="H10" s="279"/>
      <c r="I10" s="279"/>
      <c r="J10" s="110"/>
      <c r="K10" s="110"/>
    </row>
    <row r="11" spans="1:12" ht="19.95" customHeight="1">
      <c r="A11" s="280" t="s">
        <v>264</v>
      </c>
      <c r="B11" s="280"/>
      <c r="C11" s="280"/>
      <c r="D11" s="280"/>
      <c r="E11" s="280"/>
      <c r="F11" s="280"/>
      <c r="G11" s="279" t="s">
        <v>263</v>
      </c>
      <c r="H11" s="279"/>
      <c r="I11" s="279"/>
      <c r="J11" s="110"/>
      <c r="K11" s="110"/>
    </row>
    <row r="12" spans="1:12" ht="19.95" customHeight="1">
      <c r="A12" s="280" t="s">
        <v>265</v>
      </c>
      <c r="B12" s="280"/>
      <c r="C12" s="280"/>
      <c r="D12" s="280"/>
      <c r="E12" s="280"/>
      <c r="F12" s="280"/>
      <c r="G12" s="279" t="s">
        <v>234</v>
      </c>
      <c r="H12" s="279"/>
      <c r="I12" s="279"/>
      <c r="J12" s="110"/>
      <c r="K12" s="110"/>
    </row>
    <row r="13" spans="1:12" ht="19.95" customHeight="1">
      <c r="A13" s="280" t="s">
        <v>266</v>
      </c>
      <c r="B13" s="280"/>
      <c r="C13" s="280"/>
      <c r="D13" s="280"/>
      <c r="E13" s="280"/>
      <c r="F13" s="280"/>
      <c r="G13" s="279" t="s">
        <v>235</v>
      </c>
      <c r="H13" s="279"/>
      <c r="I13" s="279"/>
      <c r="J13" s="110"/>
      <c r="K13" s="110"/>
    </row>
    <row r="14" spans="1:12" ht="19.95" customHeight="1">
      <c r="A14" s="273" t="s">
        <v>191</v>
      </c>
      <c r="B14" s="273"/>
      <c r="J14" s="110"/>
      <c r="K14" s="110"/>
      <c r="L14" s="110"/>
    </row>
    <row r="15" spans="1:12" ht="19.95" customHeight="1">
      <c r="A15" s="272" t="s">
        <v>84</v>
      </c>
      <c r="B15" s="274" t="s">
        <v>273</v>
      </c>
      <c r="C15" s="271" t="s">
        <v>85</v>
      </c>
      <c r="D15" s="275" t="s">
        <v>192</v>
      </c>
      <c r="E15" s="275"/>
      <c r="F15" s="275"/>
      <c r="G15" s="275"/>
      <c r="H15" s="275"/>
      <c r="I15" s="271" t="s">
        <v>193</v>
      </c>
      <c r="J15" s="110"/>
      <c r="K15" s="110"/>
      <c r="L15" s="110"/>
    </row>
    <row r="16" spans="1:12" ht="36" customHeight="1">
      <c r="A16" s="272"/>
      <c r="B16" s="274"/>
      <c r="C16" s="271"/>
      <c r="D16" s="220" t="s">
        <v>194</v>
      </c>
      <c r="E16" s="220" t="s">
        <v>195</v>
      </c>
      <c r="F16" s="219" t="s">
        <v>196</v>
      </c>
      <c r="G16" s="228" t="s">
        <v>234</v>
      </c>
      <c r="H16" s="228" t="s">
        <v>235</v>
      </c>
      <c r="I16" s="271"/>
      <c r="J16" s="250" t="s">
        <v>272</v>
      </c>
      <c r="K16" s="110"/>
      <c r="L16" s="110"/>
    </row>
    <row r="17" spans="1:12" ht="58.2" customHeight="1">
      <c r="A17" s="177">
        <v>1</v>
      </c>
      <c r="B17" s="218" t="s">
        <v>224</v>
      </c>
      <c r="C17" s="163" t="s">
        <v>197</v>
      </c>
      <c r="D17" s="163" t="s">
        <v>198</v>
      </c>
      <c r="E17" s="163" t="s">
        <v>198</v>
      </c>
      <c r="F17" s="200"/>
      <c r="G17" s="200" t="s">
        <v>221</v>
      </c>
      <c r="H17" s="163"/>
      <c r="I17" s="221" t="s">
        <v>237</v>
      </c>
      <c r="J17" s="112"/>
      <c r="K17" s="112"/>
      <c r="L17" s="113"/>
    </row>
    <row r="18" spans="1:12" ht="51" customHeight="1">
      <c r="A18" s="177">
        <v>2</v>
      </c>
      <c r="B18" s="218" t="s">
        <v>200</v>
      </c>
      <c r="C18" s="163" t="s">
        <v>197</v>
      </c>
      <c r="D18" s="163"/>
      <c r="E18" s="200" t="s">
        <v>199</v>
      </c>
      <c r="F18" s="163"/>
      <c r="G18" s="163" t="s">
        <v>198</v>
      </c>
      <c r="H18" s="163"/>
      <c r="I18" s="248" t="s">
        <v>254</v>
      </c>
      <c r="J18" s="201" t="s">
        <v>143</v>
      </c>
      <c r="K18" s="114"/>
      <c r="L18" s="113"/>
    </row>
    <row r="19" spans="1:12" ht="44.4" customHeight="1">
      <c r="A19" s="177">
        <v>3</v>
      </c>
      <c r="B19" s="217" t="s">
        <v>225</v>
      </c>
      <c r="C19" s="163" t="s">
        <v>201</v>
      </c>
      <c r="D19" s="205" t="s">
        <v>207</v>
      </c>
      <c r="E19" s="206" t="s">
        <v>208</v>
      </c>
      <c r="F19" s="206" t="s">
        <v>207</v>
      </c>
      <c r="G19" s="206" t="s">
        <v>207</v>
      </c>
      <c r="H19" s="163"/>
      <c r="I19" s="221" t="s">
        <v>236</v>
      </c>
      <c r="J19" s="202" t="s">
        <v>206</v>
      </c>
      <c r="K19" s="114"/>
      <c r="L19" s="113"/>
    </row>
    <row r="20" spans="1:12" ht="44.4" customHeight="1">
      <c r="A20" s="177">
        <v>4</v>
      </c>
      <c r="B20" s="217" t="s">
        <v>238</v>
      </c>
      <c r="C20" s="163" t="s">
        <v>197</v>
      </c>
      <c r="D20" s="163" t="s">
        <v>198</v>
      </c>
      <c r="E20" s="200" t="s">
        <v>199</v>
      </c>
      <c r="F20" s="200" t="s">
        <v>199</v>
      </c>
      <c r="G20" s="200"/>
      <c r="H20" s="163"/>
      <c r="I20" s="221" t="s">
        <v>239</v>
      </c>
      <c r="J20" s="114"/>
      <c r="K20" s="114"/>
      <c r="L20" s="113"/>
    </row>
    <row r="21" spans="1:12" ht="34.799999999999997" customHeight="1">
      <c r="A21" s="177">
        <v>5</v>
      </c>
      <c r="B21" s="226" t="s">
        <v>202</v>
      </c>
      <c r="C21" s="163" t="s">
        <v>197</v>
      </c>
      <c r="D21" s="200" t="s">
        <v>199</v>
      </c>
      <c r="E21" s="163"/>
      <c r="F21" s="163" t="s">
        <v>198</v>
      </c>
      <c r="G21" s="163" t="s">
        <v>198</v>
      </c>
      <c r="H21" s="163"/>
      <c r="I21" s="221" t="s">
        <v>240</v>
      </c>
      <c r="J21" s="114"/>
      <c r="K21" s="114"/>
      <c r="L21" s="113"/>
    </row>
    <row r="22" spans="1:12" ht="148.19999999999999" customHeight="1">
      <c r="A22" s="177">
        <v>6</v>
      </c>
      <c r="B22" s="217" t="s">
        <v>211</v>
      </c>
      <c r="C22" s="163" t="s">
        <v>197</v>
      </c>
      <c r="D22" s="200" t="s">
        <v>199</v>
      </c>
      <c r="E22" s="163" t="s">
        <v>198</v>
      </c>
      <c r="F22" s="200" t="s">
        <v>199</v>
      </c>
      <c r="G22" s="163" t="s">
        <v>198</v>
      </c>
      <c r="H22" s="163"/>
      <c r="I22" s="229"/>
      <c r="J22" s="114"/>
      <c r="K22" s="114"/>
      <c r="L22" s="113"/>
    </row>
    <row r="23" spans="1:12" ht="48" customHeight="1">
      <c r="A23" s="177">
        <v>7</v>
      </c>
      <c r="B23" s="227" t="s">
        <v>210</v>
      </c>
      <c r="C23" s="206" t="s">
        <v>261</v>
      </c>
      <c r="D23" s="200"/>
      <c r="E23" s="163"/>
      <c r="F23" s="163"/>
      <c r="G23" s="163"/>
      <c r="H23" s="163"/>
      <c r="I23" s="229"/>
      <c r="J23" s="114"/>
      <c r="K23" s="114"/>
      <c r="L23" s="113"/>
    </row>
    <row r="24" spans="1:12" ht="30.6" customHeight="1">
      <c r="A24" s="177">
        <v>8</v>
      </c>
      <c r="B24" s="227" t="s">
        <v>209</v>
      </c>
      <c r="C24" s="203" t="s">
        <v>203</v>
      </c>
      <c r="D24" s="200"/>
      <c r="E24" s="163"/>
      <c r="F24" s="163"/>
      <c r="G24" s="163"/>
      <c r="H24" s="163" t="s">
        <v>198</v>
      </c>
      <c r="I24" s="230" t="s">
        <v>142</v>
      </c>
      <c r="J24" s="114"/>
      <c r="K24" s="114"/>
      <c r="L24" s="113"/>
    </row>
    <row r="25" spans="1:12" ht="28.5" customHeight="1"/>
  </sheetData>
  <mergeCells count="20">
    <mergeCell ref="G12:I12"/>
    <mergeCell ref="G13:I13"/>
    <mergeCell ref="A8:F8"/>
    <mergeCell ref="A9:F9"/>
    <mergeCell ref="A10:F10"/>
    <mergeCell ref="A11:F11"/>
    <mergeCell ref="A12:F12"/>
    <mergeCell ref="A13:F13"/>
    <mergeCell ref="G11:I11"/>
    <mergeCell ref="A1:I1"/>
    <mergeCell ref="A2:I2"/>
    <mergeCell ref="G8:I8"/>
    <mergeCell ref="G9:I9"/>
    <mergeCell ref="G10:I10"/>
    <mergeCell ref="I15:I16"/>
    <mergeCell ref="A15:A16"/>
    <mergeCell ref="A14:B14"/>
    <mergeCell ref="B15:B16"/>
    <mergeCell ref="D15:H15"/>
    <mergeCell ref="C15:C16"/>
  </mergeCells>
  <phoneticPr fontId="17" type="noConversion"/>
  <printOptions horizontalCentered="1"/>
  <pageMargins left="0.70866141732283472" right="0.70866141732283472" top="0.74803149606299213" bottom="0.74803149606299213" header="0.31496062992125984" footer="0.31496062992125984"/>
  <pageSetup paperSize="9" scale="68" fitToHeight="50" orientation="portrait" blackAndWhite="1" r:id="rId1"/>
  <headerFooter alignWithMargins="0">
    <oddFooter>&amp;C&amp;P/&amp;N</oddFooter>
  </headerFooter>
  <ignoredErrors>
    <ignoredError sqref="A4:C4 B3:C3"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56"/>
  <sheetViews>
    <sheetView view="pageBreakPreview" zoomScaleSheetLayoutView="100" workbookViewId="0">
      <selection activeCell="I19" sqref="I19"/>
    </sheetView>
  </sheetViews>
  <sheetFormatPr defaultColWidth="9" defaultRowHeight="13.8"/>
  <cols>
    <col min="1" max="1" width="25.5" style="14" customWidth="1"/>
    <col min="2" max="9" width="9.69921875" style="14" customWidth="1"/>
    <col min="10" max="16384" width="9" style="14"/>
  </cols>
  <sheetData>
    <row r="1" spans="1:12" s="13" customFormat="1" ht="20.100000000000001" customHeight="1">
      <c r="A1" s="283" t="s">
        <v>60</v>
      </c>
      <c r="B1" s="283"/>
      <c r="C1" s="283"/>
      <c r="D1" s="283"/>
      <c r="E1" s="283"/>
      <c r="F1" s="283"/>
      <c r="G1" s="283"/>
      <c r="H1" s="283"/>
      <c r="I1" s="283"/>
      <c r="J1" s="283"/>
      <c r="K1" s="283"/>
      <c r="L1" s="283"/>
    </row>
    <row r="2" spans="1:12" s="13" customFormat="1" ht="25.05" customHeight="1">
      <c r="A2" s="284" t="s">
        <v>144</v>
      </c>
      <c r="B2" s="284"/>
      <c r="C2" s="284"/>
      <c r="D2" s="284"/>
      <c r="E2" s="284"/>
      <c r="F2" s="284"/>
      <c r="G2" s="284"/>
      <c r="H2" s="284"/>
      <c r="I2" s="284"/>
      <c r="J2" s="284"/>
      <c r="K2" s="284"/>
      <c r="L2" s="284"/>
    </row>
    <row r="3" spans="1:12" ht="20.100000000000001" customHeight="1">
      <c r="A3" s="63" t="str">
        <f>底稿目录!A2</f>
        <v>被审计单位：</v>
      </c>
      <c r="B3" s="63"/>
      <c r="C3" s="234"/>
      <c r="D3" s="234"/>
      <c r="E3" s="64" t="str">
        <f>底稿目录!A4</f>
        <v>编制人：</v>
      </c>
      <c r="F3" s="63"/>
      <c r="G3" s="63"/>
      <c r="H3" s="64" t="str">
        <f>底稿目录!A5</f>
        <v>编制日期：</v>
      </c>
      <c r="J3" s="65"/>
      <c r="K3" s="64" t="s">
        <v>42</v>
      </c>
      <c r="L3" s="238" t="str">
        <f>底稿目录!F6</f>
        <v>M1-1</v>
      </c>
    </row>
    <row r="4" spans="1:12" ht="20.100000000000001" customHeight="1">
      <c r="A4" s="63" t="str">
        <f>底稿目录!A3</f>
        <v>截止日：202X年12月31日</v>
      </c>
      <c r="B4" s="63"/>
      <c r="C4" s="234"/>
      <c r="D4" s="234"/>
      <c r="E4" s="63" t="str">
        <f>底稿目录!A6</f>
        <v>复核人：</v>
      </c>
      <c r="F4" s="63"/>
      <c r="G4" s="63"/>
      <c r="H4" s="63" t="str">
        <f>底稿目录!A7</f>
        <v>复核日期：</v>
      </c>
      <c r="J4" s="65"/>
      <c r="K4" s="64" t="s">
        <v>247</v>
      </c>
      <c r="L4" s="63"/>
    </row>
    <row r="5" spans="1:12" ht="29.25" customHeight="1">
      <c r="A5" s="285" t="s">
        <v>43</v>
      </c>
      <c r="B5" s="286" t="s">
        <v>145</v>
      </c>
      <c r="C5" s="287"/>
      <c r="D5" s="287"/>
      <c r="E5" s="288"/>
      <c r="F5" s="286" t="s">
        <v>146</v>
      </c>
      <c r="G5" s="287"/>
      <c r="H5" s="287"/>
      <c r="I5" s="288"/>
      <c r="J5" s="289" t="s">
        <v>147</v>
      </c>
      <c r="K5" s="290"/>
      <c r="L5" s="281" t="s">
        <v>148</v>
      </c>
    </row>
    <row r="6" spans="1:12" ht="20.100000000000001" customHeight="1">
      <c r="A6" s="285"/>
      <c r="B6" s="178" t="s">
        <v>63</v>
      </c>
      <c r="C6" s="178" t="s">
        <v>149</v>
      </c>
      <c r="D6" s="178" t="s">
        <v>150</v>
      </c>
      <c r="E6" s="178" t="s">
        <v>64</v>
      </c>
      <c r="F6" s="178" t="s">
        <v>63</v>
      </c>
      <c r="G6" s="178" t="s">
        <v>149</v>
      </c>
      <c r="H6" s="178" t="s">
        <v>150</v>
      </c>
      <c r="I6" s="178" t="s">
        <v>64</v>
      </c>
      <c r="J6" s="180" t="s">
        <v>151</v>
      </c>
      <c r="K6" s="179" t="s">
        <v>152</v>
      </c>
      <c r="L6" s="282"/>
    </row>
    <row r="7" spans="1:12" ht="20.100000000000001" customHeight="1">
      <c r="A7" s="164" t="str">
        <f>底稿目录!A9</f>
        <v>普通股股利</v>
      </c>
      <c r="B7" s="165">
        <f>'明细表M1-2'!D25</f>
        <v>0</v>
      </c>
      <c r="C7" s="165">
        <f>'明细表M1-2'!H25</f>
        <v>0</v>
      </c>
      <c r="D7" s="165">
        <f>'明细表M1-2'!I25</f>
        <v>0</v>
      </c>
      <c r="E7" s="165">
        <f>'明细表M1-2'!N25</f>
        <v>0</v>
      </c>
      <c r="F7" s="165">
        <f>'明细表M1-2'!G25</f>
        <v>0</v>
      </c>
      <c r="G7" s="165">
        <f>'明细表M1-2'!J25+'明细表M1-2'!K25</f>
        <v>0</v>
      </c>
      <c r="H7" s="165">
        <f>'明细表M1-2'!L25+'明细表M1-2'!M25</f>
        <v>0</v>
      </c>
      <c r="I7" s="165">
        <f>'明细表M1-2'!Q25</f>
        <v>0</v>
      </c>
      <c r="J7" s="165">
        <f t="shared" ref="J7:J11" si="0">I7-E7</f>
        <v>0</v>
      </c>
      <c r="K7" s="165">
        <f t="shared" ref="K7:K13" si="1">IF(AND(E7=0,J7=0),0,IF(AND(E7=0,J7&gt;0),1,J7/E7))</f>
        <v>0</v>
      </c>
      <c r="L7" s="66"/>
    </row>
    <row r="8" spans="1:12" ht="20.100000000000001" customHeight="1">
      <c r="A8" s="164" t="str">
        <f>底稿目录!A10</f>
        <v>划分为权益工具的优先股股利</v>
      </c>
      <c r="B8" s="165">
        <f>'明细表M1-2'!D26</f>
        <v>0</v>
      </c>
      <c r="C8" s="165">
        <f>'明细表M1-2'!H26</f>
        <v>0</v>
      </c>
      <c r="D8" s="165">
        <f>'明细表M1-2'!I26</f>
        <v>0</v>
      </c>
      <c r="E8" s="165">
        <f>'明细表M1-2'!N26</f>
        <v>0</v>
      </c>
      <c r="F8" s="165">
        <f>'明细表M1-2'!G26</f>
        <v>0</v>
      </c>
      <c r="G8" s="165">
        <f>'明细表M1-2'!J26+'明细表M1-2'!K26</f>
        <v>0</v>
      </c>
      <c r="H8" s="165">
        <f>'明细表M1-2'!L26+'明细表M1-2'!M26</f>
        <v>0</v>
      </c>
      <c r="I8" s="165">
        <f>'明细表M1-2'!Q26</f>
        <v>0</v>
      </c>
      <c r="J8" s="165">
        <f t="shared" si="0"/>
        <v>0</v>
      </c>
      <c r="K8" s="165">
        <f t="shared" si="1"/>
        <v>0</v>
      </c>
      <c r="L8" s="66"/>
    </row>
    <row r="9" spans="1:12" ht="20.100000000000001" customHeight="1">
      <c r="A9" s="164" t="str">
        <f>底稿目录!A11</f>
        <v>划分为权益工具的永续债股利</v>
      </c>
      <c r="B9" s="165">
        <f>'明细表M1-2'!D27</f>
        <v>0</v>
      </c>
      <c r="C9" s="165">
        <f>'明细表M1-2'!H27</f>
        <v>0</v>
      </c>
      <c r="D9" s="165">
        <f>'明细表M1-2'!I27</f>
        <v>0</v>
      </c>
      <c r="E9" s="165">
        <f>'明细表M1-2'!N27</f>
        <v>0</v>
      </c>
      <c r="F9" s="165">
        <f>'明细表M1-2'!G27</f>
        <v>0</v>
      </c>
      <c r="G9" s="165">
        <f>'明细表M1-2'!J27+'明细表M1-2'!K27</f>
        <v>0</v>
      </c>
      <c r="H9" s="165">
        <f>'明细表M1-2'!L27+'明细表M1-2'!M27</f>
        <v>0</v>
      </c>
      <c r="I9" s="165">
        <f>'明细表M1-2'!Q27</f>
        <v>0</v>
      </c>
      <c r="J9" s="165">
        <f t="shared" si="0"/>
        <v>0</v>
      </c>
      <c r="K9" s="165">
        <f t="shared" si="1"/>
        <v>0</v>
      </c>
      <c r="L9" s="66"/>
    </row>
    <row r="10" spans="1:12" ht="20.100000000000001" customHeight="1">
      <c r="A10" s="164" t="str">
        <f>底稿目录!A12</f>
        <v>…</v>
      </c>
      <c r="B10" s="165">
        <f>'明细表M1-2'!D28</f>
        <v>0</v>
      </c>
      <c r="C10" s="165">
        <f>'明细表M1-2'!H28</f>
        <v>0</v>
      </c>
      <c r="D10" s="165">
        <f>'明细表M1-2'!I28</f>
        <v>0</v>
      </c>
      <c r="E10" s="165">
        <f>'明细表M1-2'!N28</f>
        <v>0</v>
      </c>
      <c r="F10" s="165">
        <f>'明细表M1-2'!G28</f>
        <v>0</v>
      </c>
      <c r="G10" s="165">
        <f>'明细表M1-2'!J28+'明细表M1-2'!K28</f>
        <v>0</v>
      </c>
      <c r="H10" s="165">
        <f>'明细表M1-2'!L28+'明细表M1-2'!M28</f>
        <v>0</v>
      </c>
      <c r="I10" s="165">
        <f>'明细表M1-2'!Q28</f>
        <v>0</v>
      </c>
      <c r="J10" s="165">
        <f t="shared" si="0"/>
        <v>0</v>
      </c>
      <c r="K10" s="165">
        <f t="shared" si="1"/>
        <v>0</v>
      </c>
      <c r="L10" s="66"/>
    </row>
    <row r="11" spans="1:12" ht="20.100000000000001" customHeight="1">
      <c r="A11" s="164">
        <f>底稿目录!A13</f>
        <v>0</v>
      </c>
      <c r="B11" s="165">
        <f>'明细表M1-2'!D29</f>
        <v>0</v>
      </c>
      <c r="C11" s="165">
        <f>'明细表M1-2'!H29</f>
        <v>0</v>
      </c>
      <c r="D11" s="165">
        <f>'明细表M1-2'!I29</f>
        <v>0</v>
      </c>
      <c r="E11" s="165">
        <f>'明细表M1-2'!N29</f>
        <v>0</v>
      </c>
      <c r="F11" s="165">
        <f>'明细表M1-2'!G29</f>
        <v>0</v>
      </c>
      <c r="G11" s="165">
        <f>'明细表M1-2'!J29+'明细表M1-2'!K29</f>
        <v>0</v>
      </c>
      <c r="H11" s="165">
        <f>'明细表M1-2'!L29+'明细表M1-2'!M29</f>
        <v>0</v>
      </c>
      <c r="I11" s="165">
        <f>'明细表M1-2'!Q29</f>
        <v>0</v>
      </c>
      <c r="J11" s="165">
        <f t="shared" si="0"/>
        <v>0</v>
      </c>
      <c r="K11" s="165">
        <f t="shared" si="1"/>
        <v>0</v>
      </c>
      <c r="L11" s="66"/>
    </row>
    <row r="12" spans="1:12" ht="20.100000000000001" customHeight="1">
      <c r="A12" s="164">
        <f>底稿目录!A16</f>
        <v>0</v>
      </c>
      <c r="B12" s="165">
        <f>'明细表M1-2'!D31</f>
        <v>0</v>
      </c>
      <c r="C12" s="165">
        <f>'明细表M1-2'!H31</f>
        <v>0</v>
      </c>
      <c r="D12" s="165">
        <f>'明细表M1-2'!I31</f>
        <v>0</v>
      </c>
      <c r="E12" s="165">
        <f>'明细表M1-2'!N31</f>
        <v>0</v>
      </c>
      <c r="F12" s="165">
        <f>'明细表M1-2'!G31</f>
        <v>0</v>
      </c>
      <c r="G12" s="165">
        <f>'明细表M1-2'!J31+'明细表M1-2'!K31</f>
        <v>0</v>
      </c>
      <c r="H12" s="165">
        <f>'明细表M1-2'!L31+'明细表M1-2'!M31</f>
        <v>0</v>
      </c>
      <c r="I12" s="165">
        <f>'明细表M1-2'!Q31</f>
        <v>0</v>
      </c>
      <c r="J12" s="165">
        <f t="shared" ref="J12" si="2">I12-E12</f>
        <v>0</v>
      </c>
      <c r="K12" s="165">
        <f t="shared" ref="K12" si="3">IF(AND(E12=0,J12=0),0,IF(AND(E12=0,J12&gt;0),1,J12/E12))</f>
        <v>0</v>
      </c>
      <c r="L12" s="66"/>
    </row>
    <row r="13" spans="1:12" s="16" customFormat="1" ht="20.100000000000001" customHeight="1">
      <c r="A13" s="67" t="str">
        <f>'明细表M1-2'!A23</f>
        <v>合计</v>
      </c>
      <c r="B13" s="166">
        <f t="shared" ref="B13:J13" si="4">SUM(B7:B12)</f>
        <v>0</v>
      </c>
      <c r="C13" s="166">
        <f t="shared" si="4"/>
        <v>0</v>
      </c>
      <c r="D13" s="166">
        <f t="shared" si="4"/>
        <v>0</v>
      </c>
      <c r="E13" s="166">
        <f t="shared" si="4"/>
        <v>0</v>
      </c>
      <c r="F13" s="166">
        <f t="shared" si="4"/>
        <v>0</v>
      </c>
      <c r="G13" s="166">
        <f t="shared" si="4"/>
        <v>0</v>
      </c>
      <c r="H13" s="166">
        <f t="shared" si="4"/>
        <v>0</v>
      </c>
      <c r="I13" s="166">
        <f t="shared" si="4"/>
        <v>0</v>
      </c>
      <c r="J13" s="166">
        <f t="shared" si="4"/>
        <v>0</v>
      </c>
      <c r="K13" s="165">
        <f t="shared" si="1"/>
        <v>0</v>
      </c>
      <c r="L13" s="85"/>
    </row>
    <row r="14" spans="1:12" s="117" customFormat="1" ht="20.100000000000001" customHeight="1">
      <c r="A14" s="115" t="s">
        <v>153</v>
      </c>
      <c r="B14" s="115"/>
      <c r="C14" s="115"/>
      <c r="D14" s="115"/>
      <c r="E14" s="165"/>
      <c r="F14" s="115"/>
      <c r="G14" s="115"/>
      <c r="H14" s="115"/>
      <c r="I14" s="165"/>
      <c r="J14" s="252"/>
      <c r="K14" s="116"/>
      <c r="L14" s="116"/>
    </row>
    <row r="15" spans="1:12" s="117" customFormat="1" ht="20.100000000000001" customHeight="1">
      <c r="A15" s="115" t="s">
        <v>154</v>
      </c>
      <c r="B15" s="115"/>
      <c r="C15" s="115"/>
      <c r="D15" s="115"/>
      <c r="E15" s="165">
        <f>E13-E14</f>
        <v>0</v>
      </c>
      <c r="F15" s="115"/>
      <c r="G15" s="115"/>
      <c r="H15" s="115"/>
      <c r="I15" s="165">
        <f>I13-I14</f>
        <v>0</v>
      </c>
      <c r="J15" s="14"/>
      <c r="K15" s="251"/>
      <c r="L15" s="251"/>
    </row>
    <row r="16" spans="1:12" ht="20.100000000000001" customHeight="1">
      <c r="A16" s="68" t="s">
        <v>5</v>
      </c>
      <c r="B16" s="15"/>
      <c r="C16" s="15"/>
      <c r="D16" s="15"/>
      <c r="E16" s="15"/>
      <c r="F16" s="181"/>
      <c r="G16" s="15"/>
      <c r="H16" s="15"/>
    </row>
    <row r="17" spans="1:8" ht="20.100000000000001" customHeight="1">
      <c r="A17" s="17" t="s">
        <v>155</v>
      </c>
      <c r="B17" s="17"/>
      <c r="C17" s="17"/>
      <c r="D17" s="69"/>
      <c r="E17" s="69"/>
      <c r="F17" s="70"/>
      <c r="G17" s="69"/>
      <c r="H17" s="17"/>
    </row>
    <row r="18" spans="1:8" ht="20.100000000000001" customHeight="1">
      <c r="A18" s="17" t="s">
        <v>156</v>
      </c>
      <c r="B18" s="17"/>
      <c r="C18" s="17"/>
      <c r="D18" s="17"/>
      <c r="E18" s="17"/>
      <c r="F18" s="17"/>
      <c r="G18" s="17"/>
      <c r="H18" s="17"/>
    </row>
    <row r="19" spans="1:8" ht="20.100000000000001" customHeight="1">
      <c r="A19" s="18" t="s">
        <v>157</v>
      </c>
      <c r="B19" s="18"/>
      <c r="C19" s="18"/>
      <c r="D19" s="18"/>
      <c r="E19" s="18"/>
      <c r="F19" s="18"/>
      <c r="G19" s="18"/>
      <c r="H19" s="18"/>
    </row>
    <row r="20" spans="1:8" ht="20.100000000000001" customHeight="1">
      <c r="A20" s="17" t="s">
        <v>81</v>
      </c>
      <c r="B20" s="17"/>
      <c r="C20" s="17"/>
      <c r="D20" s="18"/>
      <c r="E20" s="18"/>
      <c r="F20" s="18"/>
      <c r="G20" s="18"/>
      <c r="H20" s="18"/>
    </row>
    <row r="21" spans="1:8" ht="20.100000000000001" customHeight="1">
      <c r="A21" s="99"/>
      <c r="B21" s="100" t="s">
        <v>158</v>
      </c>
      <c r="C21" s="100" t="s">
        <v>159</v>
      </c>
      <c r="D21" s="101" t="s">
        <v>160</v>
      </c>
      <c r="E21" s="18"/>
      <c r="F21" s="18"/>
      <c r="G21" s="18"/>
      <c r="H21" s="18"/>
    </row>
    <row r="22" spans="1:8" ht="20.100000000000001" customHeight="1">
      <c r="A22" s="99" t="s">
        <v>161</v>
      </c>
      <c r="B22" s="102"/>
      <c r="C22" s="102"/>
      <c r="D22" s="17"/>
      <c r="E22" s="18"/>
      <c r="F22" s="18"/>
      <c r="G22" s="18"/>
      <c r="H22" s="18"/>
    </row>
    <row r="23" spans="1:8" ht="20.100000000000001" customHeight="1">
      <c r="A23" s="99" t="s">
        <v>162</v>
      </c>
      <c r="B23" s="167">
        <f>I13</f>
        <v>0</v>
      </c>
      <c r="C23" s="167">
        <f>E13</f>
        <v>0</v>
      </c>
      <c r="D23" s="17"/>
      <c r="E23" s="18"/>
      <c r="F23" s="18"/>
      <c r="G23" s="18"/>
      <c r="H23" s="18"/>
    </row>
    <row r="24" spans="1:8" ht="20.100000000000001" customHeight="1">
      <c r="A24" s="99" t="s">
        <v>163</v>
      </c>
      <c r="B24" s="102"/>
      <c r="C24" s="102"/>
      <c r="D24" s="17"/>
      <c r="E24" s="18"/>
      <c r="F24" s="18"/>
      <c r="G24" s="18"/>
      <c r="H24" s="18"/>
    </row>
    <row r="25" spans="1:8" ht="20.100000000000001" customHeight="1">
      <c r="A25" s="99" t="s">
        <v>164</v>
      </c>
      <c r="B25" s="167">
        <f>SUM(B22:B24)</f>
        <v>0</v>
      </c>
      <c r="C25" s="167">
        <f>SUM(C22:C24)</f>
        <v>0</v>
      </c>
      <c r="D25" s="17"/>
      <c r="E25" s="18"/>
      <c r="F25" s="18"/>
      <c r="G25" s="18"/>
      <c r="H25" s="18"/>
    </row>
    <row r="26" spans="1:8" ht="20.100000000000001" customHeight="1">
      <c r="A26" s="99" t="s">
        <v>165</v>
      </c>
      <c r="B26" s="102"/>
      <c r="C26" s="102"/>
      <c r="D26" s="17"/>
      <c r="E26" s="18"/>
      <c r="F26" s="18"/>
      <c r="G26" s="18"/>
      <c r="H26" s="18"/>
    </row>
    <row r="27" spans="1:8" ht="20.100000000000001" customHeight="1">
      <c r="A27" s="99" t="s">
        <v>166</v>
      </c>
      <c r="B27" s="168">
        <f>B25-B26</f>
        <v>0</v>
      </c>
      <c r="C27" s="167">
        <f>C25-C26</f>
        <v>0</v>
      </c>
      <c r="D27" s="17"/>
      <c r="E27" s="18"/>
      <c r="F27" s="18"/>
      <c r="G27" s="18"/>
      <c r="H27" s="18"/>
    </row>
    <row r="28" spans="1:8" ht="20.100000000000001" customHeight="1">
      <c r="A28" s="17"/>
      <c r="B28" s="17"/>
      <c r="C28" s="17"/>
      <c r="D28" s="17"/>
      <c r="E28" s="17"/>
      <c r="F28" s="17"/>
      <c r="G28" s="17"/>
      <c r="H28" s="17"/>
    </row>
    <row r="29" spans="1:8" ht="20.100000000000001" customHeight="1">
      <c r="A29" s="126" t="s">
        <v>167</v>
      </c>
    </row>
    <row r="30" spans="1:8" ht="20.100000000000001" customHeight="1">
      <c r="A30" s="126"/>
      <c r="B30" s="17"/>
      <c r="C30" s="17"/>
      <c r="D30" s="17"/>
      <c r="E30" s="17"/>
      <c r="F30" s="17"/>
      <c r="G30" s="17"/>
      <c r="H30" s="17"/>
    </row>
    <row r="31" spans="1:8" s="19" customFormat="1" ht="18" customHeight="1">
      <c r="A31" s="207" t="s">
        <v>212</v>
      </c>
    </row>
    <row r="32" spans="1:8" s="19" customFormat="1" ht="18" customHeight="1">
      <c r="A32" s="19" t="s">
        <v>213</v>
      </c>
    </row>
    <row r="33" spans="1:1" s="19" customFormat="1" ht="18" customHeight="1"/>
    <row r="34" spans="1:1" s="19" customFormat="1" ht="18" customHeight="1"/>
    <row r="35" spans="1:1" s="19" customFormat="1" ht="18" customHeight="1"/>
    <row r="36" spans="1:1" s="19" customFormat="1" ht="18" customHeight="1"/>
    <row r="37" spans="1:1" s="19" customFormat="1" ht="18" customHeight="1"/>
    <row r="38" spans="1:1" s="19" customFormat="1" ht="18" customHeight="1"/>
    <row r="39" spans="1:1" s="19" customFormat="1" ht="18" customHeight="1"/>
    <row r="40" spans="1:1" s="19" customFormat="1" ht="18" customHeight="1"/>
    <row r="41" spans="1:1" s="19" customFormat="1" ht="18" customHeight="1"/>
    <row r="42" spans="1:1" s="19" customFormat="1" ht="18" customHeight="1"/>
    <row r="43" spans="1:1" s="19" customFormat="1" ht="18" customHeight="1">
      <c r="A43" s="182"/>
    </row>
    <row r="44" spans="1:1" s="19" customFormat="1" ht="18" customHeight="1"/>
    <row r="45" spans="1:1" s="19" customFormat="1" ht="18" customHeight="1"/>
    <row r="46" spans="1:1" ht="18" customHeight="1">
      <c r="A46" s="19"/>
    </row>
    <row r="47" spans="1:1" ht="18" customHeight="1">
      <c r="A47" s="19"/>
    </row>
    <row r="48" spans="1:1" ht="18" customHeight="1">
      <c r="A48" s="19"/>
    </row>
    <row r="49" spans="1:2" ht="18" customHeight="1">
      <c r="A49" s="19"/>
    </row>
    <row r="50" spans="1:2" ht="18" customHeight="1">
      <c r="A50" s="19"/>
    </row>
    <row r="51" spans="1:2" ht="18" customHeight="1"/>
    <row r="52" spans="1:2" ht="18" customHeight="1">
      <c r="A52" s="19" t="s">
        <v>168</v>
      </c>
    </row>
    <row r="53" spans="1:2" ht="18" customHeight="1">
      <c r="A53" s="182" t="s">
        <v>169</v>
      </c>
    </row>
    <row r="54" spans="1:2" ht="18" customHeight="1">
      <c r="A54" s="183" t="s">
        <v>170</v>
      </c>
      <c r="B54" s="19" t="s">
        <v>171</v>
      </c>
    </row>
    <row r="55" spans="1:2" ht="18" customHeight="1">
      <c r="A55" s="183" t="s">
        <v>172</v>
      </c>
      <c r="B55" s="19" t="s">
        <v>173</v>
      </c>
    </row>
    <row r="56" spans="1:2" ht="18" customHeight="1">
      <c r="A56" s="183" t="s">
        <v>174</v>
      </c>
      <c r="B56" s="19" t="s">
        <v>175</v>
      </c>
    </row>
  </sheetData>
  <mergeCells count="7">
    <mergeCell ref="L5:L6"/>
    <mergeCell ref="A1:L1"/>
    <mergeCell ref="A2:L2"/>
    <mergeCell ref="A5:A6"/>
    <mergeCell ref="B5:E5"/>
    <mergeCell ref="F5:I5"/>
    <mergeCell ref="J5:K5"/>
  </mergeCells>
  <phoneticPr fontId="17" type="noConversion"/>
  <dataValidations count="1">
    <dataValidation type="list" allowBlank="1" showInputMessage="1" showErrorMessage="1" sqref="B54:B56 B29">
      <formula1>"A：未见异常，可以确认。,B：经审计调整可以确认。,C：由于存在上述重大未调整事项（或审计范围受到限制无法获取充分、适当证据），不可确认。"</formula1>
    </dataValidation>
  </dataValidations>
  <hyperlinks>
    <hyperlink ref="L3" location="底稿目录!A1" display="底稿目录!A1"/>
  </hyperlinks>
  <pageMargins left="0.70866141732283472" right="0.70866141732283472" top="0.74803149606299213" bottom="0.74803149606299213" header="0.31496062992125984" footer="0.31496062992125984"/>
  <pageSetup paperSize="9" scale="80" fitToHeight="0" orientation="landscape" blackAndWhite="1" r:id="rId1"/>
  <headerFooter>
    <oddFooter>&amp;C&amp;P/&amp;N</oddFooter>
  </headerFooter>
  <ignoredErrors>
    <ignoredError sqref="B4:D4 A7:A11 A12 B3:D3" unlocked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Q20"/>
  <sheetViews>
    <sheetView view="pageBreakPreview" zoomScaleSheetLayoutView="100" workbookViewId="0">
      <selection activeCell="H14" sqref="H14"/>
    </sheetView>
  </sheetViews>
  <sheetFormatPr defaultRowHeight="15.6"/>
  <cols>
    <col min="1" max="1" width="37.296875" customWidth="1"/>
    <col min="2" max="2" width="16.69921875" customWidth="1"/>
    <col min="3" max="3" width="16.09765625" customWidth="1"/>
  </cols>
  <sheetData>
    <row r="1" spans="1:17" s="21" customFormat="1" ht="20.100000000000001" customHeight="1">
      <c r="A1" s="291" t="s">
        <v>25</v>
      </c>
      <c r="B1" s="291"/>
      <c r="C1" s="291"/>
      <c r="D1" s="291"/>
      <c r="E1" s="291"/>
      <c r="F1" s="291"/>
      <c r="G1" s="48"/>
      <c r="H1" s="48"/>
      <c r="I1" s="48"/>
      <c r="J1" s="48"/>
      <c r="K1" s="20"/>
      <c r="L1" s="20"/>
      <c r="M1" s="20"/>
      <c r="N1" s="20"/>
      <c r="O1" s="20"/>
      <c r="P1" s="20"/>
      <c r="Q1" s="20"/>
    </row>
    <row r="2" spans="1:17" s="21" customFormat="1" ht="25.05" customHeight="1">
      <c r="A2" s="291" t="s">
        <v>38</v>
      </c>
      <c r="B2" s="291"/>
      <c r="C2" s="291"/>
      <c r="D2" s="291"/>
      <c r="E2" s="291"/>
      <c r="F2" s="291"/>
      <c r="G2" s="48"/>
      <c r="H2" s="48"/>
      <c r="I2" s="48"/>
      <c r="J2" s="48"/>
      <c r="K2" s="48"/>
      <c r="L2" s="48"/>
      <c r="M2" s="48"/>
      <c r="N2" s="48"/>
      <c r="O2" s="48"/>
      <c r="P2" s="48"/>
      <c r="Q2" s="48"/>
    </row>
    <row r="3" spans="1:17" s="22" customFormat="1" ht="20.100000000000001" customHeight="1">
      <c r="A3" s="22" t="str">
        <f>底稿目录!A2</f>
        <v>被审计单位：</v>
      </c>
      <c r="B3" s="12" t="str">
        <f>底稿目录!A4</f>
        <v>编制人：</v>
      </c>
      <c r="D3" s="12" t="str">
        <f>底稿目录!A5</f>
        <v>编制日期：</v>
      </c>
      <c r="E3" s="12" t="s">
        <v>0</v>
      </c>
      <c r="F3" s="22" t="s">
        <v>126</v>
      </c>
      <c r="O3" s="12"/>
      <c r="P3" s="12"/>
    </row>
    <row r="4" spans="1:17" s="22" customFormat="1" ht="20.100000000000001" customHeight="1">
      <c r="A4" s="22" t="str">
        <f>底稿目录!A3</f>
        <v>截止日：202X年12月31日</v>
      </c>
      <c r="B4" s="12" t="str">
        <f>底稿目录!A6</f>
        <v>复核人：</v>
      </c>
      <c r="D4" s="12" t="str">
        <f>底稿目录!A7</f>
        <v>复核日期：</v>
      </c>
      <c r="E4" s="12" t="s">
        <v>26</v>
      </c>
      <c r="O4" s="12"/>
      <c r="P4" s="12"/>
    </row>
    <row r="5" spans="1:17" s="135" customFormat="1" ht="20.100000000000001" customHeight="1">
      <c r="A5" s="133" t="s">
        <v>6</v>
      </c>
    </row>
    <row r="6" spans="1:17" s="135" customFormat="1" ht="20.100000000000001" customHeight="1" thickBot="1">
      <c r="A6" s="136" t="s">
        <v>113</v>
      </c>
    </row>
    <row r="7" spans="1:17" s="135" customFormat="1" ht="20.100000000000001" customHeight="1" thickBot="1">
      <c r="A7" s="137" t="s">
        <v>118</v>
      </c>
      <c r="B7" s="138" t="s">
        <v>120</v>
      </c>
      <c r="C7" s="138" t="s">
        <v>121</v>
      </c>
    </row>
    <row r="8" spans="1:17" s="135" customFormat="1" ht="20.100000000000001" customHeight="1">
      <c r="A8" s="139" t="s">
        <v>59</v>
      </c>
      <c r="B8" s="140">
        <f>'审定表M1-1'!I7</f>
        <v>0</v>
      </c>
      <c r="C8" s="140">
        <f>'审定表M1-1'!E7</f>
        <v>0</v>
      </c>
    </row>
    <row r="9" spans="1:17" s="135" customFormat="1" ht="20.100000000000001" customHeight="1">
      <c r="A9" s="139" t="s">
        <v>114</v>
      </c>
      <c r="B9" s="140">
        <f>SUM(B10:B12)</f>
        <v>0</v>
      </c>
      <c r="C9" s="140">
        <f>SUM(C10:C12)</f>
        <v>0</v>
      </c>
    </row>
    <row r="10" spans="1:17" s="135" customFormat="1" ht="20.100000000000001" customHeight="1">
      <c r="A10" s="139" t="s">
        <v>115</v>
      </c>
      <c r="B10" s="140"/>
      <c r="C10" s="140"/>
    </row>
    <row r="11" spans="1:17" s="135" customFormat="1" ht="20.100000000000001" customHeight="1">
      <c r="A11" s="139" t="s">
        <v>116</v>
      </c>
      <c r="B11" s="140"/>
      <c r="C11" s="140"/>
    </row>
    <row r="12" spans="1:17" s="135" customFormat="1" ht="20.100000000000001" customHeight="1">
      <c r="A12" s="139"/>
      <c r="B12" s="140"/>
      <c r="C12" s="140"/>
    </row>
    <row r="13" spans="1:17" s="135" customFormat="1" ht="20.100000000000001" customHeight="1" thickBot="1">
      <c r="A13" s="139"/>
      <c r="B13" s="140"/>
      <c r="C13" s="140"/>
    </row>
    <row r="14" spans="1:17" s="135" customFormat="1" ht="20.100000000000001" customHeight="1" thickBot="1">
      <c r="A14" s="141" t="s">
        <v>111</v>
      </c>
      <c r="B14" s="142">
        <f>B8+B9+B13</f>
        <v>0</v>
      </c>
      <c r="C14" s="142">
        <f>C8+C9+C13</f>
        <v>0</v>
      </c>
    </row>
    <row r="15" spans="1:17" s="135" customFormat="1" ht="20.100000000000001" customHeight="1" thickBot="1">
      <c r="A15" s="134" t="s">
        <v>117</v>
      </c>
    </row>
    <row r="16" spans="1:17" s="135" customFormat="1" ht="20.100000000000001" customHeight="1" thickBot="1">
      <c r="A16" s="137" t="s">
        <v>7</v>
      </c>
      <c r="B16" s="143" t="s">
        <v>28</v>
      </c>
      <c r="C16" s="143" t="s">
        <v>29</v>
      </c>
    </row>
    <row r="17" spans="1:3" s="135" customFormat="1" ht="20.100000000000001" customHeight="1">
      <c r="A17" s="144" t="s">
        <v>30</v>
      </c>
      <c r="B17" s="145"/>
      <c r="C17" s="145"/>
    </row>
    <row r="18" spans="1:3" s="135" customFormat="1" ht="20.100000000000001" customHeight="1">
      <c r="A18" s="144"/>
      <c r="B18" s="145"/>
      <c r="C18" s="145"/>
    </row>
    <row r="19" spans="1:3" s="135" customFormat="1" ht="20.100000000000001" customHeight="1" thickBot="1">
      <c r="A19" s="146"/>
      <c r="B19" s="147"/>
      <c r="C19" s="147"/>
    </row>
    <row r="20" spans="1:3" s="135" customFormat="1" ht="20.100000000000001" customHeight="1" thickBot="1">
      <c r="A20" s="148" t="s">
        <v>27</v>
      </c>
      <c r="B20" s="149">
        <f>SUM(B17:B19)</f>
        <v>0</v>
      </c>
      <c r="C20" s="149"/>
    </row>
  </sheetData>
  <mergeCells count="2">
    <mergeCell ref="A1:F1"/>
    <mergeCell ref="A2:F2"/>
  </mergeCells>
  <phoneticPr fontId="17" type="noConversion"/>
  <printOptions horizontalCentered="1"/>
  <pageMargins left="0.70866141732283472" right="0.70866141732283472" top="0.74803149606299213" bottom="0.74803149606299213" header="0.31496062992125984" footer="0.31496062992125984"/>
  <pageSetup paperSize="9" scale="85"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view="pageBreakPreview" zoomScaleSheetLayoutView="100" workbookViewId="0">
      <selection activeCell="D3" sqref="D3"/>
    </sheetView>
  </sheetViews>
  <sheetFormatPr defaultRowHeight="15.6"/>
  <cols>
    <col min="1" max="1" width="25.19921875" customWidth="1"/>
    <col min="2" max="2" width="20.5" customWidth="1"/>
    <col min="3" max="4" width="25.19921875" customWidth="1"/>
  </cols>
  <sheetData>
    <row r="1" spans="1:8" ht="20.100000000000001" customHeight="1">
      <c r="A1" s="291" t="s">
        <v>25</v>
      </c>
      <c r="B1" s="291"/>
      <c r="C1" s="291"/>
      <c r="D1" s="291"/>
      <c r="E1" s="48"/>
      <c r="F1" s="48"/>
      <c r="G1" s="48"/>
      <c r="H1" s="48"/>
    </row>
    <row r="2" spans="1:8" ht="20.100000000000001" customHeight="1">
      <c r="A2" s="291" t="s">
        <v>37</v>
      </c>
      <c r="B2" s="291"/>
      <c r="C2" s="291"/>
      <c r="D2" s="291"/>
      <c r="E2" s="48"/>
      <c r="F2" s="48"/>
      <c r="G2" s="48"/>
      <c r="H2" s="48"/>
    </row>
    <row r="3" spans="1:8" ht="20.100000000000001" customHeight="1">
      <c r="A3" s="22" t="str">
        <f>底稿目录!A2</f>
        <v>被审计单位：</v>
      </c>
      <c r="B3" s="12" t="str">
        <f>底稿目录!A4</f>
        <v>编制人：</v>
      </c>
      <c r="C3" s="87" t="str">
        <f>底稿目录!A5</f>
        <v>编制日期：</v>
      </c>
      <c r="D3" s="193" t="s">
        <v>127</v>
      </c>
      <c r="E3" s="22"/>
      <c r="F3" s="22"/>
    </row>
    <row r="4" spans="1:8" ht="20.100000000000001" customHeight="1">
      <c r="A4" s="22" t="str">
        <f>底稿目录!A3</f>
        <v>截止日：202X年12月31日</v>
      </c>
      <c r="B4" s="12" t="str">
        <f>底稿目录!A6</f>
        <v>复核人：</v>
      </c>
      <c r="C4" s="87" t="str">
        <f>底稿目录!A7</f>
        <v>复核日期：</v>
      </c>
      <c r="D4" s="193" t="s">
        <v>26</v>
      </c>
      <c r="E4" s="22"/>
      <c r="F4" s="22"/>
    </row>
    <row r="5" spans="1:8" ht="20.100000000000001" customHeight="1">
      <c r="A5" s="162" t="s">
        <v>6</v>
      </c>
      <c r="B5" s="150"/>
      <c r="C5" s="150"/>
      <c r="D5" s="150"/>
    </row>
    <row r="6" spans="1:8" ht="20.100000000000001" customHeight="1">
      <c r="A6" s="136" t="s">
        <v>113</v>
      </c>
      <c r="B6" s="150"/>
      <c r="C6" s="150"/>
      <c r="D6" s="150"/>
    </row>
    <row r="7" spans="1:8" ht="20.100000000000001" customHeight="1" thickBot="1">
      <c r="A7" s="150"/>
      <c r="B7" s="150"/>
      <c r="C7" s="150"/>
      <c r="D7" s="150"/>
    </row>
    <row r="8" spans="1:8" ht="16.2" thickBot="1">
      <c r="A8" s="151" t="s">
        <v>106</v>
      </c>
      <c r="B8" s="152" t="s">
        <v>31</v>
      </c>
      <c r="C8" s="153" t="s">
        <v>107</v>
      </c>
      <c r="D8" s="135"/>
    </row>
    <row r="9" spans="1:8">
      <c r="A9" s="154" t="s">
        <v>108</v>
      </c>
      <c r="B9" s="155">
        <f>'审定表M1-1'!I7</f>
        <v>0</v>
      </c>
      <c r="C9" s="155">
        <f>'审定表M1-1'!E7</f>
        <v>0</v>
      </c>
      <c r="D9" s="135"/>
    </row>
    <row r="10" spans="1:8" ht="24">
      <c r="A10" s="154" t="s">
        <v>109</v>
      </c>
      <c r="B10" s="155">
        <f>'审定表M1-1'!I8+'审定表M1-1'!I9</f>
        <v>0</v>
      </c>
      <c r="C10" s="155">
        <f>'审定表M1-1'!E8+'审定表M1-1'!E9</f>
        <v>0</v>
      </c>
      <c r="D10" s="135"/>
    </row>
    <row r="11" spans="1:8" ht="16.2" thickBot="1">
      <c r="A11" s="156" t="s">
        <v>110</v>
      </c>
      <c r="B11" s="157"/>
      <c r="C11" s="157"/>
      <c r="D11" s="135"/>
    </row>
    <row r="12" spans="1:8" ht="16.2" thickBot="1">
      <c r="A12" s="158" t="s">
        <v>111</v>
      </c>
      <c r="B12" s="159">
        <f>SUM(B9:B11)</f>
        <v>0</v>
      </c>
      <c r="C12" s="159">
        <f>SUM(C9:C11)</f>
        <v>0</v>
      </c>
      <c r="D12" s="135"/>
    </row>
    <row r="13" spans="1:8">
      <c r="A13" s="160" t="s">
        <v>112</v>
      </c>
      <c r="B13" s="161"/>
      <c r="C13" s="161"/>
      <c r="D13" s="135"/>
    </row>
    <row r="14" spans="1:8">
      <c r="A14" s="135"/>
      <c r="B14" s="135"/>
      <c r="C14" s="135"/>
      <c r="D14" s="135"/>
    </row>
    <row r="15" spans="1:8">
      <c r="A15" s="135"/>
      <c r="B15" s="135"/>
      <c r="C15" s="135"/>
      <c r="D15" s="135"/>
    </row>
    <row r="16" spans="1:8">
      <c r="A16" s="135"/>
      <c r="B16" s="135"/>
      <c r="C16" s="135"/>
      <c r="D16" s="135"/>
    </row>
  </sheetData>
  <mergeCells count="2">
    <mergeCell ref="A1:D1"/>
    <mergeCell ref="A2:D2"/>
  </mergeCells>
  <phoneticPr fontId="17" type="noConversion"/>
  <printOptions horizontalCentered="1"/>
  <pageMargins left="0.70866141732283472" right="0.70866141732283472" top="0.74803149606299213" bottom="0.74803149606299213" header="0.31496062992125984" footer="0.31496062992125984"/>
  <pageSetup paperSize="9" scale="85" orientation="portrait" blackAndWhite="1" r:id="rId1"/>
  <colBreaks count="1" manualBreakCount="1">
    <brk id="4" max="1048575" man="1"/>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AA38"/>
  <sheetViews>
    <sheetView view="pageBreakPreview" zoomScaleNormal="115" zoomScaleSheetLayoutView="100" workbookViewId="0">
      <selection sqref="A1:U1"/>
    </sheetView>
  </sheetViews>
  <sheetFormatPr defaultColWidth="9" defaultRowHeight="15.6"/>
  <cols>
    <col min="1" max="1" width="17.19921875" style="25" customWidth="1"/>
    <col min="2" max="2" width="9.59765625" style="25" customWidth="1"/>
    <col min="3" max="3" width="13.09765625" style="25" customWidth="1"/>
    <col min="4" max="17" width="10" style="25" customWidth="1"/>
    <col min="18" max="18" width="9.09765625" style="25" customWidth="1"/>
    <col min="19" max="19" width="14.59765625" style="25" customWidth="1"/>
    <col min="20" max="20" width="8.69921875" style="25" customWidth="1"/>
    <col min="21" max="21" width="10" style="25" customWidth="1"/>
    <col min="22" max="22" width="14.296875" style="25" customWidth="1"/>
    <col min="23" max="23" width="14.59765625" style="25" customWidth="1"/>
    <col min="24" max="24" width="11.69921875" style="25" customWidth="1"/>
    <col min="25" max="16384" width="9" style="25"/>
  </cols>
  <sheetData>
    <row r="1" spans="1:27" s="21" customFormat="1" ht="19.95" customHeight="1">
      <c r="A1" s="293" t="s">
        <v>60</v>
      </c>
      <c r="B1" s="293"/>
      <c r="C1" s="293"/>
      <c r="D1" s="293"/>
      <c r="E1" s="293"/>
      <c r="F1" s="293"/>
      <c r="G1" s="293"/>
      <c r="H1" s="293"/>
      <c r="I1" s="293"/>
      <c r="J1" s="293"/>
      <c r="K1" s="293"/>
      <c r="L1" s="293"/>
      <c r="M1" s="293"/>
      <c r="N1" s="293"/>
      <c r="O1" s="293"/>
      <c r="P1" s="293"/>
      <c r="Q1" s="293"/>
      <c r="R1" s="293"/>
      <c r="S1" s="293"/>
      <c r="T1" s="293"/>
      <c r="U1" s="293"/>
      <c r="V1" s="20"/>
      <c r="W1" s="20"/>
      <c r="X1" s="20"/>
      <c r="Y1" s="20"/>
      <c r="Z1" s="20"/>
    </row>
    <row r="2" spans="1:27" s="21" customFormat="1" ht="19.95" customHeight="1">
      <c r="A2" s="292" t="s">
        <v>182</v>
      </c>
      <c r="B2" s="292"/>
      <c r="C2" s="292"/>
      <c r="D2" s="292"/>
      <c r="E2" s="292"/>
      <c r="F2" s="292"/>
      <c r="G2" s="292"/>
      <c r="H2" s="292"/>
      <c r="I2" s="292"/>
      <c r="J2" s="292"/>
      <c r="K2" s="292"/>
      <c r="L2" s="292"/>
      <c r="M2" s="292"/>
      <c r="N2" s="292"/>
      <c r="O2" s="292"/>
      <c r="P2" s="292"/>
      <c r="Q2" s="292"/>
      <c r="R2" s="292"/>
      <c r="S2" s="292"/>
      <c r="T2" s="292"/>
      <c r="U2" s="292"/>
      <c r="V2" s="20"/>
      <c r="W2" s="20"/>
      <c r="X2" s="20"/>
      <c r="Y2" s="20"/>
      <c r="Z2" s="20"/>
    </row>
    <row r="3" spans="1:27" s="22" customFormat="1" ht="19.95" customHeight="1">
      <c r="A3" s="22" t="str">
        <f>底稿目录!A2</f>
        <v>被审计单位：</v>
      </c>
      <c r="G3" s="22" t="str">
        <f>底稿目录!A4</f>
        <v>编制人：</v>
      </c>
      <c r="N3" s="89" t="str">
        <f>底稿目录!A5</f>
        <v>编制日期：</v>
      </c>
      <c r="O3" s="89"/>
      <c r="T3" s="22" t="s">
        <v>245</v>
      </c>
      <c r="U3" s="238" t="str">
        <f>底稿目录!F9</f>
        <v>M1-2</v>
      </c>
    </row>
    <row r="4" spans="1:27" s="22" customFormat="1" ht="19.95" customHeight="1">
      <c r="A4" s="22" t="str">
        <f>底稿目录!A3</f>
        <v>截止日：202X年12月31日</v>
      </c>
      <c r="G4" s="22" t="str">
        <f>底稿目录!A6</f>
        <v>复核人：</v>
      </c>
      <c r="N4" s="89" t="str">
        <f>底稿目录!A7</f>
        <v>复核日期：</v>
      </c>
      <c r="O4" s="89"/>
      <c r="T4" s="22" t="s">
        <v>246</v>
      </c>
    </row>
    <row r="5" spans="1:27" s="51" customFormat="1" ht="19.95" customHeight="1">
      <c r="A5" s="184" t="s">
        <v>130</v>
      </c>
      <c r="B5" s="184"/>
      <c r="D5" s="50"/>
      <c r="E5" s="50"/>
      <c r="F5" s="50"/>
      <c r="G5" s="50"/>
      <c r="H5" s="50"/>
      <c r="I5" s="50"/>
      <c r="J5" s="50"/>
      <c r="K5" s="50"/>
      <c r="L5" s="50"/>
      <c r="M5" s="50"/>
      <c r="N5" s="50"/>
      <c r="T5" s="52"/>
      <c r="X5" s="53"/>
      <c r="AA5" s="54"/>
    </row>
    <row r="6" spans="1:27" s="51" customFormat="1" ht="19.95" customHeight="1">
      <c r="A6" s="185" t="s">
        <v>214</v>
      </c>
      <c r="B6" s="185"/>
      <c r="C6" s="185"/>
      <c r="D6" s="50"/>
      <c r="E6" s="50"/>
      <c r="F6" s="50"/>
      <c r="G6" s="50"/>
      <c r="H6" s="50"/>
      <c r="I6" s="50"/>
      <c r="J6" s="50"/>
      <c r="K6" s="50"/>
      <c r="L6" s="50"/>
      <c r="M6" s="50"/>
      <c r="N6" s="50"/>
      <c r="T6" s="52"/>
      <c r="X6" s="53"/>
      <c r="AA6" s="54"/>
    </row>
    <row r="7" spans="1:27" s="51" customFormat="1" ht="19.95" customHeight="1">
      <c r="A7" s="185" t="s">
        <v>216</v>
      </c>
      <c r="B7" s="185"/>
      <c r="E7" s="72"/>
      <c r="F7" s="72"/>
      <c r="G7" s="72"/>
      <c r="H7" s="72"/>
      <c r="I7" s="72"/>
      <c r="J7" s="72"/>
      <c r="K7" s="72"/>
      <c r="L7" s="72"/>
      <c r="M7" s="72"/>
      <c r="N7" s="72"/>
      <c r="T7" s="52"/>
      <c r="X7" s="53"/>
      <c r="AA7" s="54"/>
    </row>
    <row r="8" spans="1:27" s="51" customFormat="1" ht="19.95" customHeight="1">
      <c r="A8" s="185" t="s">
        <v>217</v>
      </c>
      <c r="B8" s="185"/>
      <c r="E8" s="72"/>
      <c r="F8" s="72"/>
      <c r="G8" s="72"/>
      <c r="H8" s="72"/>
      <c r="I8" s="72"/>
      <c r="J8" s="72"/>
      <c r="K8" s="72"/>
      <c r="L8" s="72"/>
      <c r="M8" s="72"/>
      <c r="N8" s="72"/>
      <c r="T8" s="52"/>
      <c r="X8" s="53"/>
      <c r="AA8" s="54"/>
    </row>
    <row r="9" spans="1:27" s="51" customFormat="1" ht="19.95" customHeight="1">
      <c r="A9" s="186" t="s">
        <v>62</v>
      </c>
      <c r="B9" s="186"/>
      <c r="C9" s="186"/>
      <c r="T9" s="57"/>
      <c r="X9" s="53"/>
      <c r="AA9" s="54"/>
    </row>
    <row r="10" spans="1:27" s="51" customFormat="1" ht="19.95" customHeight="1">
      <c r="A10" s="185" t="s">
        <v>218</v>
      </c>
      <c r="B10" s="185"/>
      <c r="D10" s="72"/>
      <c r="E10" s="72"/>
      <c r="F10" s="72"/>
      <c r="G10" s="72"/>
      <c r="H10" s="72"/>
      <c r="I10" s="72"/>
      <c r="J10" s="72"/>
      <c r="K10" s="72"/>
      <c r="L10" s="72"/>
      <c r="M10" s="72"/>
      <c r="S10" s="57"/>
      <c r="W10" s="53"/>
      <c r="Z10" s="54"/>
    </row>
    <row r="11" spans="1:27" s="51" customFormat="1" ht="19.95" customHeight="1">
      <c r="A11" s="185" t="s">
        <v>219</v>
      </c>
      <c r="B11" s="185"/>
      <c r="D11" s="72"/>
      <c r="E11" s="72"/>
      <c r="F11" s="72"/>
      <c r="G11" s="72"/>
      <c r="H11" s="72"/>
      <c r="I11" s="72"/>
      <c r="J11" s="72"/>
      <c r="K11" s="72"/>
      <c r="L11" s="72"/>
      <c r="M11" s="72"/>
      <c r="S11" s="57"/>
      <c r="W11" s="53"/>
      <c r="Z11" s="54"/>
    </row>
    <row r="12" spans="1:27" s="59" customFormat="1" ht="19.95" customHeight="1">
      <c r="A12" s="294" t="s">
        <v>36</v>
      </c>
      <c r="B12" s="304" t="s">
        <v>204</v>
      </c>
      <c r="C12" s="294" t="s">
        <v>99</v>
      </c>
      <c r="D12" s="296" t="s">
        <v>1</v>
      </c>
      <c r="E12" s="297"/>
      <c r="F12" s="297"/>
      <c r="G12" s="298"/>
      <c r="H12" s="299" t="s">
        <v>176</v>
      </c>
      <c r="I12" s="299"/>
      <c r="J12" s="299" t="s">
        <v>177</v>
      </c>
      <c r="K12" s="299"/>
      <c r="L12" s="300" t="s">
        <v>178</v>
      </c>
      <c r="M12" s="301"/>
      <c r="N12" s="296" t="s">
        <v>2</v>
      </c>
      <c r="O12" s="297"/>
      <c r="P12" s="297"/>
      <c r="Q12" s="298"/>
      <c r="R12" s="294" t="s">
        <v>179</v>
      </c>
      <c r="S12" s="302" t="s">
        <v>180</v>
      </c>
      <c r="T12" s="302" t="s">
        <v>181</v>
      </c>
      <c r="U12" s="294" t="s">
        <v>41</v>
      </c>
    </row>
    <row r="13" spans="1:27" s="59" customFormat="1" ht="19.95" customHeight="1">
      <c r="A13" s="295"/>
      <c r="B13" s="305"/>
      <c r="C13" s="295"/>
      <c r="D13" s="189" t="s">
        <v>39</v>
      </c>
      <c r="E13" s="189" t="s">
        <v>65</v>
      </c>
      <c r="F13" s="189" t="s">
        <v>66</v>
      </c>
      <c r="G13" s="189" t="s">
        <v>40</v>
      </c>
      <c r="H13" s="187" t="s">
        <v>4</v>
      </c>
      <c r="I13" s="187" t="s">
        <v>178</v>
      </c>
      <c r="J13" s="187" t="s">
        <v>65</v>
      </c>
      <c r="K13" s="187" t="s">
        <v>66</v>
      </c>
      <c r="L13" s="188" t="s">
        <v>65</v>
      </c>
      <c r="M13" s="188" t="s">
        <v>66</v>
      </c>
      <c r="N13" s="189" t="s">
        <v>39</v>
      </c>
      <c r="O13" s="189" t="s">
        <v>65</v>
      </c>
      <c r="P13" s="189" t="s">
        <v>66</v>
      </c>
      <c r="Q13" s="189" t="s">
        <v>40</v>
      </c>
      <c r="R13" s="295"/>
      <c r="S13" s="303"/>
      <c r="T13" s="303"/>
      <c r="U13" s="295"/>
    </row>
    <row r="14" spans="1:27" s="23" customFormat="1" ht="19.95" customHeight="1">
      <c r="A14" s="208"/>
      <c r="B14" s="88"/>
      <c r="C14" s="88"/>
      <c r="D14" s="26"/>
      <c r="E14" s="26"/>
      <c r="F14" s="26"/>
      <c r="G14" s="169">
        <f t="shared" ref="G14:G22" si="0">D14+E14-F14</f>
        <v>0</v>
      </c>
      <c r="H14" s="26"/>
      <c r="I14" s="26"/>
      <c r="J14" s="26"/>
      <c r="K14" s="26"/>
      <c r="L14" s="26"/>
      <c r="M14" s="26"/>
      <c r="N14" s="169">
        <f>D14+H14+I14</f>
        <v>0</v>
      </c>
      <c r="O14" s="169">
        <f>E14+J14+L14</f>
        <v>0</v>
      </c>
      <c r="P14" s="169">
        <f>F14+K14+M14</f>
        <v>0</v>
      </c>
      <c r="Q14" s="169">
        <f t="shared" ref="Q14:Q22" si="1">N14+O14-P14</f>
        <v>0</v>
      </c>
      <c r="R14" s="27"/>
      <c r="S14" s="210"/>
      <c r="T14" s="212"/>
      <c r="U14" s="211"/>
    </row>
    <row r="15" spans="1:27" s="23" customFormat="1" ht="19.95" customHeight="1">
      <c r="A15" s="88"/>
      <c r="B15" s="88"/>
      <c r="C15" s="88"/>
      <c r="D15" s="26"/>
      <c r="E15" s="26"/>
      <c r="F15" s="26"/>
      <c r="G15" s="169">
        <f t="shared" si="0"/>
        <v>0</v>
      </c>
      <c r="H15" s="26"/>
      <c r="I15" s="26"/>
      <c r="J15" s="26"/>
      <c r="K15" s="26"/>
      <c r="L15" s="26"/>
      <c r="M15" s="26"/>
      <c r="N15" s="169">
        <f t="shared" ref="N15:N18" si="2">D15+H15+I15</f>
        <v>0</v>
      </c>
      <c r="O15" s="169">
        <f t="shared" ref="O15:O18" si="3">E15+J15+L15</f>
        <v>0</v>
      </c>
      <c r="P15" s="169">
        <f t="shared" ref="P15:P18" si="4">F15+K15+M15</f>
        <v>0</v>
      </c>
      <c r="Q15" s="169">
        <f t="shared" si="1"/>
        <v>0</v>
      </c>
      <c r="R15" s="27"/>
      <c r="S15" s="27"/>
      <c r="T15" s="212"/>
      <c r="U15" s="30"/>
    </row>
    <row r="16" spans="1:27" s="23" customFormat="1" ht="19.95" customHeight="1">
      <c r="A16" s="208"/>
      <c r="B16" s="88"/>
      <c r="C16" s="88"/>
      <c r="D16" s="26"/>
      <c r="E16" s="26"/>
      <c r="F16" s="26"/>
      <c r="G16" s="169">
        <f t="shared" si="0"/>
        <v>0</v>
      </c>
      <c r="H16" s="26"/>
      <c r="I16" s="26"/>
      <c r="J16" s="26"/>
      <c r="K16" s="26"/>
      <c r="L16" s="26"/>
      <c r="M16" s="26"/>
      <c r="N16" s="169">
        <f t="shared" si="2"/>
        <v>0</v>
      </c>
      <c r="O16" s="169">
        <f t="shared" si="3"/>
        <v>0</v>
      </c>
      <c r="P16" s="169">
        <f t="shared" si="4"/>
        <v>0</v>
      </c>
      <c r="Q16" s="169">
        <f t="shared" si="1"/>
        <v>0</v>
      </c>
      <c r="R16" s="27"/>
      <c r="S16" s="27"/>
      <c r="T16" s="212"/>
      <c r="U16" s="30"/>
    </row>
    <row r="17" spans="1:21" s="23" customFormat="1" ht="19.95" customHeight="1">
      <c r="A17" s="88"/>
      <c r="B17" s="88"/>
      <c r="C17" s="88"/>
      <c r="D17" s="26"/>
      <c r="E17" s="26"/>
      <c r="F17" s="26"/>
      <c r="G17" s="169">
        <f t="shared" si="0"/>
        <v>0</v>
      </c>
      <c r="H17" s="26"/>
      <c r="I17" s="26"/>
      <c r="J17" s="26"/>
      <c r="K17" s="26"/>
      <c r="L17" s="26"/>
      <c r="M17" s="26"/>
      <c r="N17" s="169">
        <f t="shared" si="2"/>
        <v>0</v>
      </c>
      <c r="O17" s="169">
        <f t="shared" si="3"/>
        <v>0</v>
      </c>
      <c r="P17" s="169">
        <f t="shared" si="4"/>
        <v>0</v>
      </c>
      <c r="Q17" s="169">
        <f t="shared" si="1"/>
        <v>0</v>
      </c>
      <c r="R17" s="27"/>
      <c r="S17" s="27"/>
      <c r="T17" s="212"/>
      <c r="U17" s="30"/>
    </row>
    <row r="18" spans="1:21" s="23" customFormat="1" ht="19.95" customHeight="1">
      <c r="A18" s="88"/>
      <c r="B18" s="88"/>
      <c r="C18" s="88"/>
      <c r="D18" s="26"/>
      <c r="E18" s="26"/>
      <c r="F18" s="26"/>
      <c r="G18" s="169">
        <f t="shared" si="0"/>
        <v>0</v>
      </c>
      <c r="H18" s="26"/>
      <c r="I18" s="26"/>
      <c r="J18" s="26"/>
      <c r="K18" s="26"/>
      <c r="L18" s="26"/>
      <c r="M18" s="26"/>
      <c r="N18" s="169">
        <f t="shared" si="2"/>
        <v>0</v>
      </c>
      <c r="O18" s="169">
        <f t="shared" si="3"/>
        <v>0</v>
      </c>
      <c r="P18" s="169">
        <f t="shared" si="4"/>
        <v>0</v>
      </c>
      <c r="Q18" s="169">
        <f t="shared" si="1"/>
        <v>0</v>
      </c>
      <c r="R18" s="27"/>
      <c r="S18" s="27"/>
      <c r="T18" s="212"/>
      <c r="U18" s="30"/>
    </row>
    <row r="19" spans="1:21" s="23" customFormat="1" ht="19.95" customHeight="1">
      <c r="A19" s="88"/>
      <c r="B19" s="88"/>
      <c r="C19" s="88"/>
      <c r="D19" s="26"/>
      <c r="E19" s="26"/>
      <c r="F19" s="26"/>
      <c r="G19" s="169">
        <f t="shared" si="0"/>
        <v>0</v>
      </c>
      <c r="H19" s="26"/>
      <c r="I19" s="26"/>
      <c r="J19" s="26"/>
      <c r="K19" s="26"/>
      <c r="L19" s="26"/>
      <c r="M19" s="26"/>
      <c r="N19" s="169">
        <f>D19+H19+I19</f>
        <v>0</v>
      </c>
      <c r="O19" s="169">
        <f>E19+J19+L19</f>
        <v>0</v>
      </c>
      <c r="P19" s="169">
        <f>F19+K19+M19</f>
        <v>0</v>
      </c>
      <c r="Q19" s="169">
        <f t="shared" si="1"/>
        <v>0</v>
      </c>
      <c r="R19" s="27"/>
      <c r="S19" s="27"/>
      <c r="T19" s="212"/>
      <c r="U19" s="30"/>
    </row>
    <row r="20" spans="1:21" s="23" customFormat="1" ht="19.95" customHeight="1">
      <c r="A20" s="88"/>
      <c r="B20" s="88"/>
      <c r="C20" s="88"/>
      <c r="D20" s="26"/>
      <c r="E20" s="26"/>
      <c r="F20" s="26"/>
      <c r="G20" s="169">
        <f t="shared" si="0"/>
        <v>0</v>
      </c>
      <c r="H20" s="26"/>
      <c r="I20" s="26"/>
      <c r="J20" s="26"/>
      <c r="K20" s="26"/>
      <c r="L20" s="26"/>
      <c r="M20" s="26"/>
      <c r="N20" s="169">
        <f t="shared" ref="N20:N21" si="5">D20+H20+I20</f>
        <v>0</v>
      </c>
      <c r="O20" s="169">
        <f t="shared" ref="O20:O21" si="6">E20+J20+L20</f>
        <v>0</v>
      </c>
      <c r="P20" s="169">
        <f t="shared" ref="P20:P21" si="7">F20+K20+M20</f>
        <v>0</v>
      </c>
      <c r="Q20" s="169">
        <f t="shared" si="1"/>
        <v>0</v>
      </c>
      <c r="R20" s="27"/>
      <c r="S20" s="27"/>
      <c r="T20" s="212"/>
      <c r="U20" s="30"/>
    </row>
    <row r="21" spans="1:21" s="23" customFormat="1" ht="19.95" customHeight="1">
      <c r="A21" s="88"/>
      <c r="B21" s="88"/>
      <c r="C21" s="88"/>
      <c r="D21" s="26"/>
      <c r="E21" s="26"/>
      <c r="F21" s="26"/>
      <c r="G21" s="169">
        <f t="shared" si="0"/>
        <v>0</v>
      </c>
      <c r="H21" s="26"/>
      <c r="I21" s="26"/>
      <c r="J21" s="26"/>
      <c r="K21" s="26"/>
      <c r="L21" s="26"/>
      <c r="M21" s="26"/>
      <c r="N21" s="169">
        <f t="shared" si="5"/>
        <v>0</v>
      </c>
      <c r="O21" s="169">
        <f t="shared" si="6"/>
        <v>0</v>
      </c>
      <c r="P21" s="169">
        <f t="shared" si="7"/>
        <v>0</v>
      </c>
      <c r="Q21" s="169">
        <f t="shared" si="1"/>
        <v>0</v>
      </c>
      <c r="R21" s="27"/>
      <c r="S21" s="27"/>
      <c r="T21" s="212"/>
      <c r="U21" s="30"/>
    </row>
    <row r="22" spans="1:21" s="23" customFormat="1" ht="19.95" customHeight="1">
      <c r="A22" s="88"/>
      <c r="B22" s="88"/>
      <c r="C22" s="88"/>
      <c r="D22" s="26"/>
      <c r="E22" s="26"/>
      <c r="F22" s="26"/>
      <c r="G22" s="169">
        <f t="shared" si="0"/>
        <v>0</v>
      </c>
      <c r="H22" s="26"/>
      <c r="I22" s="26"/>
      <c r="J22" s="26"/>
      <c r="K22" s="26"/>
      <c r="L22" s="26"/>
      <c r="M22" s="26"/>
      <c r="N22" s="169">
        <f t="shared" ref="N22" si="8">D22+H22+I22</f>
        <v>0</v>
      </c>
      <c r="O22" s="169">
        <f t="shared" ref="O22" si="9">E22+J22+L22</f>
        <v>0</v>
      </c>
      <c r="P22" s="169">
        <f t="shared" ref="P22" si="10">F22+K22+M22</f>
        <v>0</v>
      </c>
      <c r="Q22" s="169">
        <f t="shared" si="1"/>
        <v>0</v>
      </c>
      <c r="R22" s="27"/>
      <c r="S22" s="27"/>
      <c r="T22" s="212"/>
      <c r="U22" s="30"/>
    </row>
    <row r="23" spans="1:21" s="24" customFormat="1" ht="19.95" customHeight="1">
      <c r="A23" s="190" t="s">
        <v>27</v>
      </c>
      <c r="B23" s="190"/>
      <c r="C23" s="88"/>
      <c r="D23" s="170">
        <f t="shared" ref="D23:Q23" si="11">SUM(D14:D22)</f>
        <v>0</v>
      </c>
      <c r="E23" s="170">
        <f t="shared" si="11"/>
        <v>0</v>
      </c>
      <c r="F23" s="170">
        <f t="shared" si="11"/>
        <v>0</v>
      </c>
      <c r="G23" s="170">
        <f t="shared" si="11"/>
        <v>0</v>
      </c>
      <c r="H23" s="170">
        <f t="shared" si="11"/>
        <v>0</v>
      </c>
      <c r="I23" s="170">
        <f t="shared" si="11"/>
        <v>0</v>
      </c>
      <c r="J23" s="170">
        <f t="shared" si="11"/>
        <v>0</v>
      </c>
      <c r="K23" s="170">
        <f t="shared" si="11"/>
        <v>0</v>
      </c>
      <c r="L23" s="170">
        <f t="shared" si="11"/>
        <v>0</v>
      </c>
      <c r="M23" s="170">
        <f t="shared" si="11"/>
        <v>0</v>
      </c>
      <c r="N23" s="170">
        <f t="shared" si="11"/>
        <v>0</v>
      </c>
      <c r="O23" s="170">
        <f t="shared" si="11"/>
        <v>0</v>
      </c>
      <c r="P23" s="170">
        <f t="shared" si="11"/>
        <v>0</v>
      </c>
      <c r="Q23" s="170">
        <f t="shared" si="11"/>
        <v>0</v>
      </c>
      <c r="R23" s="28"/>
      <c r="S23" s="28"/>
      <c r="T23" s="213"/>
      <c r="U23" s="30"/>
    </row>
    <row r="24" spans="1:21" s="23" customFormat="1" ht="19.95" customHeight="1">
      <c r="A24" s="191" t="s">
        <v>101</v>
      </c>
      <c r="B24" s="191"/>
      <c r="C24" s="132"/>
      <c r="D24" s="29"/>
      <c r="E24" s="29"/>
      <c r="F24" s="29"/>
      <c r="G24" s="29"/>
      <c r="H24" s="29"/>
      <c r="I24" s="29"/>
      <c r="J24" s="29"/>
      <c r="K24" s="29"/>
      <c r="L24" s="29"/>
      <c r="M24" s="29"/>
      <c r="N24" s="29"/>
      <c r="O24" s="29"/>
      <c r="P24" s="29"/>
      <c r="Q24" s="29"/>
      <c r="R24" s="27"/>
      <c r="S24" s="29"/>
      <c r="T24" s="29"/>
      <c r="U24" s="29"/>
    </row>
    <row r="25" spans="1:21" s="23" customFormat="1" ht="19.95" customHeight="1">
      <c r="A25" s="306" t="str">
        <f>底稿目录!A9</f>
        <v>普通股股利</v>
      </c>
      <c r="B25" s="306"/>
      <c r="C25" s="306"/>
      <c r="D25" s="170">
        <f t="shared" ref="D25:Q29" si="12">SUMPRODUCT(($C$14:$C$22=$A25)*(D$14:D$22))</f>
        <v>0</v>
      </c>
      <c r="E25" s="170">
        <f t="shared" si="12"/>
        <v>0</v>
      </c>
      <c r="F25" s="170">
        <f t="shared" si="12"/>
        <v>0</v>
      </c>
      <c r="G25" s="170">
        <f t="shared" si="12"/>
        <v>0</v>
      </c>
      <c r="H25" s="170">
        <f t="shared" si="12"/>
        <v>0</v>
      </c>
      <c r="I25" s="170">
        <f t="shared" si="12"/>
        <v>0</v>
      </c>
      <c r="J25" s="170">
        <f t="shared" si="12"/>
        <v>0</v>
      </c>
      <c r="K25" s="170">
        <f t="shared" si="12"/>
        <v>0</v>
      </c>
      <c r="L25" s="170">
        <f t="shared" si="12"/>
        <v>0</v>
      </c>
      <c r="M25" s="170">
        <f t="shared" si="12"/>
        <v>0</v>
      </c>
      <c r="N25" s="170">
        <f t="shared" si="12"/>
        <v>0</v>
      </c>
      <c r="O25" s="170">
        <f t="shared" si="12"/>
        <v>0</v>
      </c>
      <c r="P25" s="170">
        <f t="shared" si="12"/>
        <v>0</v>
      </c>
      <c r="Q25" s="170">
        <f t="shared" si="12"/>
        <v>0</v>
      </c>
      <c r="R25" s="27"/>
      <c r="S25" s="232"/>
      <c r="T25" s="232"/>
      <c r="U25" s="232"/>
    </row>
    <row r="26" spans="1:21" s="23" customFormat="1" ht="19.95" customHeight="1">
      <c r="A26" s="306" t="str">
        <f>底稿目录!A10</f>
        <v>划分为权益工具的优先股股利</v>
      </c>
      <c r="B26" s="306"/>
      <c r="C26" s="306"/>
      <c r="D26" s="170">
        <f t="shared" si="12"/>
        <v>0</v>
      </c>
      <c r="E26" s="170">
        <f t="shared" si="12"/>
        <v>0</v>
      </c>
      <c r="F26" s="170">
        <f t="shared" si="12"/>
        <v>0</v>
      </c>
      <c r="G26" s="170">
        <f t="shared" si="12"/>
        <v>0</v>
      </c>
      <c r="H26" s="170">
        <f t="shared" si="12"/>
        <v>0</v>
      </c>
      <c r="I26" s="170">
        <f t="shared" si="12"/>
        <v>0</v>
      </c>
      <c r="J26" s="170">
        <f t="shared" si="12"/>
        <v>0</v>
      </c>
      <c r="K26" s="170">
        <f t="shared" si="12"/>
        <v>0</v>
      </c>
      <c r="L26" s="170">
        <f t="shared" si="12"/>
        <v>0</v>
      </c>
      <c r="M26" s="170">
        <f t="shared" si="12"/>
        <v>0</v>
      </c>
      <c r="N26" s="170">
        <f t="shared" si="12"/>
        <v>0</v>
      </c>
      <c r="O26" s="170">
        <f t="shared" si="12"/>
        <v>0</v>
      </c>
      <c r="P26" s="170">
        <f t="shared" si="12"/>
        <v>0</v>
      </c>
      <c r="Q26" s="170">
        <f t="shared" si="12"/>
        <v>0</v>
      </c>
      <c r="R26" s="27"/>
      <c r="S26" s="232"/>
      <c r="T26" s="232"/>
      <c r="U26" s="232"/>
    </row>
    <row r="27" spans="1:21" s="23" customFormat="1" ht="19.95" customHeight="1">
      <c r="A27" s="306" t="str">
        <f>底稿目录!A11</f>
        <v>划分为权益工具的永续债股利</v>
      </c>
      <c r="B27" s="306"/>
      <c r="C27" s="306"/>
      <c r="D27" s="170">
        <f t="shared" si="12"/>
        <v>0</v>
      </c>
      <c r="E27" s="170">
        <f t="shared" si="12"/>
        <v>0</v>
      </c>
      <c r="F27" s="170">
        <f t="shared" si="12"/>
        <v>0</v>
      </c>
      <c r="G27" s="170">
        <f t="shared" si="12"/>
        <v>0</v>
      </c>
      <c r="H27" s="170">
        <f t="shared" si="12"/>
        <v>0</v>
      </c>
      <c r="I27" s="170">
        <f t="shared" si="12"/>
        <v>0</v>
      </c>
      <c r="J27" s="170">
        <f t="shared" si="12"/>
        <v>0</v>
      </c>
      <c r="K27" s="170">
        <f t="shared" si="12"/>
        <v>0</v>
      </c>
      <c r="L27" s="170">
        <f t="shared" si="12"/>
        <v>0</v>
      </c>
      <c r="M27" s="170">
        <f t="shared" si="12"/>
        <v>0</v>
      </c>
      <c r="N27" s="170">
        <f t="shared" si="12"/>
        <v>0</v>
      </c>
      <c r="O27" s="170">
        <f t="shared" si="12"/>
        <v>0</v>
      </c>
      <c r="P27" s="170">
        <f t="shared" si="12"/>
        <v>0</v>
      </c>
      <c r="Q27" s="170">
        <f t="shared" si="12"/>
        <v>0</v>
      </c>
      <c r="R27" s="27"/>
      <c r="S27" s="232"/>
      <c r="T27" s="232"/>
      <c r="U27" s="232"/>
    </row>
    <row r="28" spans="1:21" s="23" customFormat="1" ht="19.95" customHeight="1">
      <c r="A28" s="307" t="str">
        <f>底稿目录!A12</f>
        <v>…</v>
      </c>
      <c r="B28" s="307"/>
      <c r="C28" s="307"/>
      <c r="D28" s="170">
        <f t="shared" si="12"/>
        <v>0</v>
      </c>
      <c r="E28" s="170">
        <f t="shared" si="12"/>
        <v>0</v>
      </c>
      <c r="F28" s="170">
        <f t="shared" si="12"/>
        <v>0</v>
      </c>
      <c r="G28" s="170">
        <f t="shared" si="12"/>
        <v>0</v>
      </c>
      <c r="H28" s="170">
        <f t="shared" si="12"/>
        <v>0</v>
      </c>
      <c r="I28" s="170">
        <f t="shared" si="12"/>
        <v>0</v>
      </c>
      <c r="J28" s="170">
        <f t="shared" si="12"/>
        <v>0</v>
      </c>
      <c r="K28" s="170">
        <f t="shared" si="12"/>
        <v>0</v>
      </c>
      <c r="L28" s="170">
        <f t="shared" si="12"/>
        <v>0</v>
      </c>
      <c r="M28" s="170">
        <f t="shared" si="12"/>
        <v>0</v>
      </c>
      <c r="N28" s="170">
        <f t="shared" si="12"/>
        <v>0</v>
      </c>
      <c r="O28" s="170">
        <f t="shared" si="12"/>
        <v>0</v>
      </c>
      <c r="P28" s="170">
        <f t="shared" si="12"/>
        <v>0</v>
      </c>
      <c r="Q28" s="170">
        <f t="shared" si="12"/>
        <v>0</v>
      </c>
      <c r="R28" s="27"/>
      <c r="S28" s="232"/>
      <c r="T28" s="232"/>
      <c r="U28" s="232"/>
    </row>
    <row r="29" spans="1:21" s="23" customFormat="1" ht="19.95" customHeight="1">
      <c r="A29" s="308">
        <f>底稿目录!A13</f>
        <v>0</v>
      </c>
      <c r="B29" s="308"/>
      <c r="C29" s="308"/>
      <c r="D29" s="170">
        <f>SUMPRODUCT(($C$14:$C$22=$A29)*(D$14:D$22))</f>
        <v>0</v>
      </c>
      <c r="E29" s="170">
        <f t="shared" si="12"/>
        <v>0</v>
      </c>
      <c r="F29" s="170">
        <f t="shared" si="12"/>
        <v>0</v>
      </c>
      <c r="G29" s="170">
        <f t="shared" si="12"/>
        <v>0</v>
      </c>
      <c r="H29" s="170">
        <f t="shared" si="12"/>
        <v>0</v>
      </c>
      <c r="I29" s="170">
        <f t="shared" si="12"/>
        <v>0</v>
      </c>
      <c r="J29" s="170">
        <f t="shared" si="12"/>
        <v>0</v>
      </c>
      <c r="K29" s="170">
        <f t="shared" si="12"/>
        <v>0</v>
      </c>
      <c r="L29" s="170">
        <f t="shared" si="12"/>
        <v>0</v>
      </c>
      <c r="M29" s="170">
        <f t="shared" si="12"/>
        <v>0</v>
      </c>
      <c r="N29" s="170">
        <f t="shared" si="12"/>
        <v>0</v>
      </c>
      <c r="O29" s="170">
        <f t="shared" si="12"/>
        <v>0</v>
      </c>
      <c r="P29" s="170">
        <f t="shared" si="12"/>
        <v>0</v>
      </c>
      <c r="Q29" s="170">
        <f t="shared" si="12"/>
        <v>0</v>
      </c>
      <c r="R29" s="27"/>
      <c r="S29" s="232"/>
      <c r="T29" s="232"/>
      <c r="U29" s="232"/>
    </row>
    <row r="30" spans="1:21" s="23" customFormat="1" ht="19.95" customHeight="1">
      <c r="A30" s="231"/>
      <c r="B30" s="231"/>
      <c r="C30" s="231"/>
      <c r="D30" s="231"/>
    </row>
    <row r="31" spans="1:21" s="23" customFormat="1" ht="19.95" customHeight="1">
      <c r="A31" s="194" t="s">
        <v>34</v>
      </c>
      <c r="B31" s="194"/>
      <c r="C31" s="24"/>
      <c r="R31" s="231"/>
      <c r="S31" s="231"/>
      <c r="T31" s="231"/>
      <c r="U31" s="231"/>
    </row>
    <row r="32" spans="1:21" s="23" customFormat="1" ht="19.95" customHeight="1">
      <c r="A32" s="135"/>
      <c r="B32" s="135"/>
    </row>
    <row r="33" spans="1:3" s="23" customFormat="1" ht="19.95" customHeight="1">
      <c r="A33" s="192" t="s">
        <v>35</v>
      </c>
      <c r="B33" s="192"/>
      <c r="C33" s="40"/>
    </row>
    <row r="34" spans="1:3" s="23" customFormat="1" ht="19.95" customHeight="1"/>
    <row r="35" spans="1:3">
      <c r="A35" s="209" t="s">
        <v>212</v>
      </c>
      <c r="B35" s="95"/>
      <c r="C35" s="95"/>
    </row>
    <row r="36" spans="1:3">
      <c r="A36" s="44" t="s">
        <v>71</v>
      </c>
      <c r="B36" s="44"/>
      <c r="C36" s="44"/>
    </row>
    <row r="37" spans="1:3">
      <c r="A37" s="195" t="s">
        <v>184</v>
      </c>
      <c r="B37" s="195"/>
      <c r="C37" s="44"/>
    </row>
    <row r="38" spans="1:3">
      <c r="A38" s="196" t="s">
        <v>185</v>
      </c>
      <c r="B38" s="196"/>
      <c r="C38" s="44"/>
    </row>
  </sheetData>
  <mergeCells count="19">
    <mergeCell ref="A25:C25"/>
    <mergeCell ref="A26:C26"/>
    <mergeCell ref="A27:C27"/>
    <mergeCell ref="A28:C28"/>
    <mergeCell ref="A29:C29"/>
    <mergeCell ref="A2:U2"/>
    <mergeCell ref="A1:U1"/>
    <mergeCell ref="A12:A13"/>
    <mergeCell ref="D12:G12"/>
    <mergeCell ref="N12:Q12"/>
    <mergeCell ref="H12:I12"/>
    <mergeCell ref="J12:K12"/>
    <mergeCell ref="L12:M12"/>
    <mergeCell ref="R12:R13"/>
    <mergeCell ref="S12:S13"/>
    <mergeCell ref="T12:T13"/>
    <mergeCell ref="U12:U13"/>
    <mergeCell ref="C12:C13"/>
    <mergeCell ref="B12:B13"/>
  </mergeCells>
  <phoneticPr fontId="17" type="noConversion"/>
  <hyperlinks>
    <hyperlink ref="U3" location="底稿目录!A1" display="底稿目录!A1"/>
  </hyperlinks>
  <printOptions horizontalCentered="1"/>
  <pageMargins left="0.70866141732283472" right="0.70866141732283472" top="0.74803149606299213" bottom="0.74803149606299213" header="0.31496062992125984" footer="0.31496062992125984"/>
  <pageSetup paperSize="9" scale="55" orientation="landscape" blackAndWhite="1" r:id="rId1"/>
  <headerFooter>
    <oddFooter>&amp;C&amp;P/&amp;N</oddFooter>
  </headerFooter>
  <ignoredErrors>
    <ignoredError sqref="C3:N4 A3:A4" unlocked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底稿目录!$A$9:$A$19</xm:f>
          </x14:formula1>
          <xm:sqref>C14:C22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view="pageBreakPreview" zoomScaleNormal="100" zoomScaleSheetLayoutView="100" workbookViewId="0">
      <selection activeCell="F8" sqref="F8"/>
    </sheetView>
  </sheetViews>
  <sheetFormatPr defaultRowHeight="15.6"/>
  <cols>
    <col min="1" max="1" width="18.59765625" customWidth="1"/>
    <col min="2" max="2" width="28.8984375" customWidth="1"/>
    <col min="3" max="3" width="12.8984375" customWidth="1"/>
    <col min="4" max="4" width="11.19921875" customWidth="1"/>
    <col min="9" max="9" width="7.59765625" customWidth="1"/>
    <col min="10" max="10" width="11.69921875" customWidth="1"/>
  </cols>
  <sheetData>
    <row r="1" spans="1:10" ht="19.95" customHeight="1">
      <c r="A1" s="309" t="s">
        <v>25</v>
      </c>
      <c r="B1" s="309"/>
      <c r="C1" s="309"/>
      <c r="D1" s="309"/>
      <c r="E1" s="309"/>
      <c r="F1" s="309"/>
      <c r="G1" s="309"/>
      <c r="H1" s="309"/>
      <c r="I1" s="309"/>
      <c r="J1" s="309"/>
    </row>
    <row r="2" spans="1:10" ht="19.95" customHeight="1">
      <c r="A2" s="310" t="s">
        <v>131</v>
      </c>
      <c r="B2" s="310"/>
      <c r="C2" s="310"/>
      <c r="D2" s="310"/>
      <c r="E2" s="310"/>
      <c r="F2" s="310"/>
      <c r="G2" s="310"/>
      <c r="H2" s="310"/>
      <c r="I2" s="310"/>
      <c r="J2" s="310"/>
    </row>
    <row r="3" spans="1:10" s="25" customFormat="1" ht="19.95" customHeight="1">
      <c r="A3" s="14" t="str">
        <f>底稿目录!A2</f>
        <v>被审计单位：</v>
      </c>
      <c r="B3" s="14"/>
      <c r="C3" s="14" t="str">
        <f>底稿目录!A4</f>
        <v>编制人：</v>
      </c>
      <c r="E3" s="14"/>
      <c r="F3" s="14" t="str">
        <f>底稿目录!A5</f>
        <v>编制日期：</v>
      </c>
      <c r="H3" s="14"/>
      <c r="I3" s="22" t="s">
        <v>248</v>
      </c>
      <c r="J3" s="238" t="str">
        <f>底稿目录!F10</f>
        <v>M1-3</v>
      </c>
    </row>
    <row r="4" spans="1:10" s="25" customFormat="1" ht="19.95" customHeight="1">
      <c r="A4" s="14" t="str">
        <f>底稿目录!A3</f>
        <v>截止日：202X年12月31日</v>
      </c>
      <c r="B4" s="14"/>
      <c r="C4" s="14" t="str">
        <f>底稿目录!A6</f>
        <v>复核人：</v>
      </c>
      <c r="E4" s="14"/>
      <c r="F4" s="14" t="str">
        <f>底稿目录!A7</f>
        <v>复核日期：</v>
      </c>
      <c r="H4" s="14"/>
      <c r="I4" s="22" t="s">
        <v>249</v>
      </c>
      <c r="J4" s="14"/>
    </row>
    <row r="5" spans="1:10" ht="31.2" customHeight="1">
      <c r="A5" s="241" t="s">
        <v>88</v>
      </c>
      <c r="B5" s="242" t="s">
        <v>89</v>
      </c>
      <c r="C5" s="243" t="s">
        <v>129</v>
      </c>
      <c r="D5" s="243" t="s">
        <v>90</v>
      </c>
      <c r="E5" s="118" t="s">
        <v>91</v>
      </c>
      <c r="F5" s="244" t="s">
        <v>92</v>
      </c>
      <c r="G5" s="118" t="s">
        <v>93</v>
      </c>
      <c r="H5" s="118" t="s">
        <v>94</v>
      </c>
      <c r="I5" s="118" t="s">
        <v>95</v>
      </c>
      <c r="J5" s="118" t="s">
        <v>41</v>
      </c>
    </row>
    <row r="6" spans="1:10" ht="19.95" customHeight="1">
      <c r="A6" s="119"/>
      <c r="B6" s="119"/>
      <c r="C6" s="119"/>
      <c r="D6" s="119"/>
      <c r="E6" s="119"/>
      <c r="F6" s="119"/>
      <c r="G6" s="119"/>
      <c r="H6" s="119"/>
      <c r="I6" s="119"/>
      <c r="J6" s="119"/>
    </row>
    <row r="7" spans="1:10" ht="19.95" customHeight="1">
      <c r="A7" s="120"/>
      <c r="B7" s="119"/>
      <c r="C7" s="119"/>
      <c r="D7" s="119"/>
      <c r="E7" s="119"/>
      <c r="F7" s="119"/>
      <c r="G7" s="119"/>
      <c r="H7" s="119"/>
      <c r="I7" s="119"/>
      <c r="J7" s="119"/>
    </row>
    <row r="8" spans="1:10" ht="19.95" customHeight="1">
      <c r="A8" s="121"/>
      <c r="B8" s="119"/>
      <c r="C8" s="119"/>
      <c r="D8" s="119"/>
      <c r="E8" s="119"/>
      <c r="F8" s="119"/>
      <c r="G8" s="119"/>
      <c r="H8" s="119"/>
      <c r="I8" s="119"/>
      <c r="J8" s="119"/>
    </row>
    <row r="9" spans="1:10" ht="19.95" customHeight="1">
      <c r="A9" s="121"/>
      <c r="B9" s="119"/>
      <c r="C9" s="119"/>
      <c r="D9" s="119"/>
      <c r="E9" s="119"/>
      <c r="F9" s="119"/>
      <c r="G9" s="119"/>
      <c r="H9" s="119"/>
      <c r="I9" s="119"/>
      <c r="J9" s="119"/>
    </row>
    <row r="10" spans="1:10" ht="19.95" customHeight="1">
      <c r="A10" s="121"/>
      <c r="B10" s="119"/>
      <c r="C10" s="119"/>
      <c r="D10" s="119"/>
      <c r="E10" s="119"/>
      <c r="F10" s="119"/>
      <c r="G10" s="119"/>
      <c r="H10" s="119"/>
      <c r="I10" s="119"/>
      <c r="J10" s="119"/>
    </row>
    <row r="11" spans="1:10" ht="19.95" customHeight="1">
      <c r="A11" s="122"/>
      <c r="B11" s="119"/>
      <c r="C11" s="119"/>
      <c r="D11" s="119"/>
      <c r="E11" s="119"/>
      <c r="F11" s="119"/>
      <c r="G11" s="119"/>
      <c r="H11" s="119"/>
      <c r="I11" s="119"/>
      <c r="J11" s="119"/>
    </row>
    <row r="12" spans="1:10" ht="19.95" customHeight="1">
      <c r="A12" s="121"/>
      <c r="B12" s="119"/>
      <c r="C12" s="119"/>
      <c r="D12" s="119"/>
      <c r="E12" s="119"/>
      <c r="F12" s="119"/>
      <c r="G12" s="119"/>
      <c r="H12" s="119"/>
      <c r="I12" s="119"/>
      <c r="J12" s="119"/>
    </row>
    <row r="13" spans="1:10" ht="19.95" customHeight="1">
      <c r="A13" s="121"/>
      <c r="B13" s="119"/>
      <c r="C13" s="119"/>
      <c r="D13" s="119"/>
      <c r="E13" s="119"/>
      <c r="F13" s="119"/>
      <c r="G13" s="119"/>
      <c r="H13" s="119"/>
      <c r="I13" s="119"/>
      <c r="J13" s="119"/>
    </row>
    <row r="14" spans="1:10" ht="19.95" customHeight="1">
      <c r="A14" s="121"/>
      <c r="B14" s="119"/>
      <c r="C14" s="119"/>
      <c r="D14" s="119"/>
      <c r="E14" s="119"/>
      <c r="F14" s="119"/>
      <c r="G14" s="119"/>
      <c r="H14" s="119"/>
      <c r="I14" s="119"/>
      <c r="J14" s="119"/>
    </row>
    <row r="15" spans="1:10" ht="19.95" customHeight="1">
      <c r="A15" s="121"/>
      <c r="B15" s="119"/>
      <c r="C15" s="119"/>
      <c r="D15" s="119"/>
      <c r="E15" s="119"/>
      <c r="F15" s="119"/>
      <c r="G15" s="119"/>
      <c r="H15" s="119"/>
      <c r="I15" s="119"/>
      <c r="J15" s="119"/>
    </row>
    <row r="16" spans="1:10" ht="19.95" customHeight="1">
      <c r="A16" s="121"/>
      <c r="B16" s="119"/>
      <c r="C16" s="119"/>
      <c r="D16" s="119"/>
      <c r="E16" s="119"/>
      <c r="F16" s="119"/>
      <c r="G16" s="119"/>
      <c r="H16" s="119"/>
      <c r="I16" s="119"/>
      <c r="J16" s="119"/>
    </row>
    <row r="17" spans="1:10" ht="19.95" customHeight="1">
      <c r="A17" s="121"/>
      <c r="B17" s="119"/>
      <c r="C17" s="119"/>
      <c r="D17" s="119"/>
      <c r="E17" s="119"/>
      <c r="F17" s="119"/>
      <c r="G17" s="119"/>
      <c r="H17" s="119"/>
      <c r="I17" s="119"/>
      <c r="J17" s="119"/>
    </row>
    <row r="18" spans="1:10" ht="19.95" customHeight="1">
      <c r="A18" s="121"/>
      <c r="B18" s="119"/>
      <c r="C18" s="119"/>
      <c r="D18" s="119"/>
      <c r="E18" s="119"/>
      <c r="F18" s="119"/>
      <c r="G18" s="119"/>
      <c r="H18" s="119"/>
      <c r="I18" s="119"/>
      <c r="J18" s="119"/>
    </row>
    <row r="19" spans="1:10" ht="19.95" customHeight="1">
      <c r="A19" s="121"/>
      <c r="B19" s="119"/>
      <c r="C19" s="119"/>
      <c r="D19" s="119"/>
      <c r="E19" s="119"/>
      <c r="F19" s="119"/>
      <c r="G19" s="119"/>
      <c r="H19" s="119"/>
      <c r="I19" s="119"/>
      <c r="J19" s="119"/>
    </row>
    <row r="20" spans="1:10" ht="19.95" customHeight="1">
      <c r="A20" s="121"/>
      <c r="B20" s="119"/>
      <c r="C20" s="119"/>
      <c r="D20" s="119"/>
      <c r="E20" s="119"/>
      <c r="F20" s="119"/>
      <c r="G20" s="119"/>
      <c r="H20" s="119"/>
      <c r="I20" s="119"/>
      <c r="J20" s="119"/>
    </row>
    <row r="21" spans="1:10" ht="19.95" customHeight="1">
      <c r="A21" s="123"/>
      <c r="B21" s="123"/>
      <c r="C21" s="123"/>
      <c r="D21" s="124"/>
      <c r="E21" s="124"/>
      <c r="F21" s="124"/>
      <c r="G21" s="125"/>
      <c r="H21" s="125"/>
      <c r="I21" s="124"/>
      <c r="J21" s="126"/>
    </row>
    <row r="22" spans="1:10" ht="19.95" customHeight="1">
      <c r="A22" s="17"/>
      <c r="B22" s="17"/>
      <c r="C22" s="17"/>
      <c r="D22" s="17"/>
      <c r="E22" s="127"/>
      <c r="F22" s="18"/>
      <c r="G22" s="128"/>
      <c r="H22" s="128"/>
      <c r="I22" s="128"/>
      <c r="J22" s="128"/>
    </row>
    <row r="23" spans="1:10" ht="19.95" customHeight="1">
      <c r="A23" s="129"/>
      <c r="B23" s="129"/>
      <c r="C23" s="129"/>
      <c r="D23" s="129"/>
      <c r="E23" s="129"/>
      <c r="F23" s="129"/>
      <c r="G23" s="129"/>
      <c r="H23" s="129"/>
      <c r="I23" s="129"/>
      <c r="J23" s="129"/>
    </row>
    <row r="24" spans="1:10">
      <c r="A24" s="311" t="s">
        <v>96</v>
      </c>
      <c r="B24" s="312"/>
      <c r="C24" s="312"/>
      <c r="D24" s="312"/>
      <c r="E24" s="312"/>
      <c r="F24" s="312"/>
      <c r="G24" s="312"/>
      <c r="H24" s="312"/>
      <c r="I24" s="312"/>
      <c r="J24" s="312"/>
    </row>
    <row r="25" spans="1:10">
      <c r="A25" s="129"/>
      <c r="B25" s="129"/>
      <c r="C25" s="129"/>
      <c r="D25" s="129"/>
      <c r="E25" s="129"/>
      <c r="F25" s="129"/>
      <c r="G25" s="129"/>
      <c r="H25" s="129"/>
      <c r="I25" s="129"/>
      <c r="J25" s="129"/>
    </row>
    <row r="26" spans="1:10">
      <c r="A26" s="129"/>
      <c r="B26" s="129"/>
      <c r="C26" s="129"/>
      <c r="D26" s="129"/>
      <c r="E26" s="129"/>
      <c r="F26" s="129"/>
      <c r="G26" s="129"/>
      <c r="H26" s="129"/>
      <c r="I26" s="129"/>
      <c r="J26" s="129"/>
    </row>
  </sheetData>
  <mergeCells count="3">
    <mergeCell ref="A1:J1"/>
    <mergeCell ref="A2:J2"/>
    <mergeCell ref="A24:J24"/>
  </mergeCells>
  <phoneticPr fontId="17"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7"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view="pageBreakPreview" zoomScaleSheetLayoutView="100" workbookViewId="0">
      <selection sqref="A1:G1"/>
    </sheetView>
  </sheetViews>
  <sheetFormatPr defaultColWidth="9" defaultRowHeight="15.6"/>
  <cols>
    <col min="1" max="1" width="16.796875" style="79" customWidth="1"/>
    <col min="2" max="7" width="15.5" style="79" customWidth="1"/>
    <col min="8" max="16384" width="9" style="79"/>
  </cols>
  <sheetData>
    <row r="1" spans="1:7" s="73" customFormat="1" ht="19.95" customHeight="1">
      <c r="A1" s="313" t="s">
        <v>25</v>
      </c>
      <c r="B1" s="284"/>
      <c r="C1" s="284"/>
      <c r="D1" s="284"/>
      <c r="E1" s="284"/>
      <c r="F1" s="284"/>
      <c r="G1" s="284"/>
    </row>
    <row r="2" spans="1:7" s="73" customFormat="1" ht="19.95" customHeight="1">
      <c r="A2" s="314" t="s">
        <v>53</v>
      </c>
      <c r="B2" s="315"/>
      <c r="C2" s="315"/>
      <c r="D2" s="315"/>
      <c r="E2" s="315"/>
      <c r="F2" s="315"/>
      <c r="G2" s="315"/>
    </row>
    <row r="3" spans="1:7" s="74" customFormat="1" ht="19.95" customHeight="1">
      <c r="A3" s="14" t="str">
        <f>底稿目录!A2</f>
        <v>被审计单位：</v>
      </c>
      <c r="C3" s="15" t="str">
        <f>底稿目录!A4</f>
        <v>编制人：</v>
      </c>
      <c r="E3" s="235" t="str">
        <f>底稿目录!A5</f>
        <v>编制日期：</v>
      </c>
      <c r="F3" s="236" t="s">
        <v>42</v>
      </c>
      <c r="G3" s="238" t="str">
        <f>底稿目录!F11</f>
        <v>M1-4</v>
      </c>
    </row>
    <row r="4" spans="1:7" s="74" customFormat="1" ht="19.95" customHeight="1">
      <c r="A4" s="14" t="str">
        <f>底稿目录!A3</f>
        <v>截止日：202X年12月31日</v>
      </c>
      <c r="C4" s="15" t="str">
        <f>底稿目录!A6</f>
        <v>复核人：</v>
      </c>
      <c r="E4" s="235" t="str">
        <f>底稿目录!A7</f>
        <v>复核日期：</v>
      </c>
      <c r="F4" s="236" t="s">
        <v>251</v>
      </c>
      <c r="G4" s="43"/>
    </row>
    <row r="5" spans="1:7" s="51" customFormat="1" ht="19.95" customHeight="1">
      <c r="A5" s="49" t="s">
        <v>32</v>
      </c>
      <c r="B5" s="50"/>
      <c r="F5" s="52"/>
    </row>
    <row r="6" spans="1:7" s="51" customFormat="1" ht="19.95" customHeight="1">
      <c r="A6" s="55" t="s">
        <v>183</v>
      </c>
      <c r="F6" s="52"/>
    </row>
    <row r="7" spans="1:7" s="51" customFormat="1" ht="19.95" customHeight="1">
      <c r="A7" s="56" t="s">
        <v>33</v>
      </c>
      <c r="F7" s="57"/>
    </row>
    <row r="8" spans="1:7" s="74" customFormat="1" ht="19.95" customHeight="1">
      <c r="A8" s="316" t="s">
        <v>51</v>
      </c>
      <c r="B8" s="316" t="s">
        <v>44</v>
      </c>
      <c r="C8" s="318" t="s">
        <v>52</v>
      </c>
      <c r="D8" s="319"/>
      <c r="E8" s="319"/>
      <c r="F8" s="319"/>
      <c r="G8" s="320"/>
    </row>
    <row r="9" spans="1:7" s="74" customFormat="1" ht="19.95" customHeight="1">
      <c r="A9" s="317"/>
      <c r="B9" s="317"/>
      <c r="C9" s="71" t="s">
        <v>45</v>
      </c>
      <c r="D9" s="71" t="s">
        <v>46</v>
      </c>
      <c r="E9" s="71" t="s">
        <v>47</v>
      </c>
      <c r="F9" s="71" t="s">
        <v>48</v>
      </c>
      <c r="G9" s="71" t="s">
        <v>49</v>
      </c>
    </row>
    <row r="10" spans="1:7" s="74" customFormat="1" ht="19.95" customHeight="1">
      <c r="A10" s="90"/>
      <c r="B10" s="75"/>
      <c r="C10" s="75"/>
      <c r="D10" s="76"/>
      <c r="E10" s="171">
        <f>C10*D10</f>
        <v>0</v>
      </c>
      <c r="F10" s="77"/>
      <c r="G10" s="171">
        <f>E10-F10</f>
        <v>0</v>
      </c>
    </row>
    <row r="11" spans="1:7" s="74" customFormat="1" ht="19.95" customHeight="1">
      <c r="A11" s="90"/>
      <c r="B11" s="75"/>
      <c r="C11" s="75"/>
      <c r="D11" s="76"/>
      <c r="E11" s="171">
        <f t="shared" ref="E11:E15" si="0">C11*D11</f>
        <v>0</v>
      </c>
      <c r="F11" s="77"/>
      <c r="G11" s="171">
        <f t="shared" ref="G11:G15" si="1">E11-F11</f>
        <v>0</v>
      </c>
    </row>
    <row r="12" spans="1:7" s="74" customFormat="1" ht="19.95" customHeight="1">
      <c r="A12" s="90"/>
      <c r="B12" s="75"/>
      <c r="C12" s="75"/>
      <c r="D12" s="76"/>
      <c r="E12" s="171">
        <f t="shared" si="0"/>
        <v>0</v>
      </c>
      <c r="F12" s="77"/>
      <c r="G12" s="171">
        <f t="shared" si="1"/>
        <v>0</v>
      </c>
    </row>
    <row r="13" spans="1:7" s="74" customFormat="1" ht="19.95" customHeight="1">
      <c r="A13" s="90"/>
      <c r="B13" s="75"/>
      <c r="C13" s="75"/>
      <c r="D13" s="76"/>
      <c r="E13" s="171">
        <f t="shared" si="0"/>
        <v>0</v>
      </c>
      <c r="F13" s="77"/>
      <c r="G13" s="171">
        <f t="shared" si="1"/>
        <v>0</v>
      </c>
    </row>
    <row r="14" spans="1:7" s="74" customFormat="1" ht="19.95" customHeight="1">
      <c r="A14" s="90"/>
      <c r="B14" s="75"/>
      <c r="C14" s="75"/>
      <c r="D14" s="76"/>
      <c r="E14" s="171">
        <f t="shared" si="0"/>
        <v>0</v>
      </c>
      <c r="F14" s="77"/>
      <c r="G14" s="171">
        <f t="shared" si="1"/>
        <v>0</v>
      </c>
    </row>
    <row r="15" spans="1:7" s="74" customFormat="1" ht="19.95" customHeight="1">
      <c r="A15" s="90"/>
      <c r="B15" s="75"/>
      <c r="C15" s="75"/>
      <c r="D15" s="76"/>
      <c r="E15" s="171">
        <f t="shared" si="0"/>
        <v>0</v>
      </c>
      <c r="F15" s="77"/>
      <c r="G15" s="171">
        <f t="shared" si="1"/>
        <v>0</v>
      </c>
    </row>
    <row r="16" spans="1:7" s="255" customFormat="1" ht="19.95" customHeight="1">
      <c r="A16" s="78" t="s">
        <v>50</v>
      </c>
      <c r="B16" s="253"/>
      <c r="C16" s="254">
        <f>SUM(C10:C15)</f>
        <v>0</v>
      </c>
      <c r="D16" s="253"/>
      <c r="E16" s="254">
        <f>SUM(E10:E15)</f>
        <v>0</v>
      </c>
      <c r="F16" s="254">
        <f>SUM(F10:F15)</f>
        <v>0</v>
      </c>
      <c r="G16" s="254">
        <f>SUM(G10:G15)</f>
        <v>0</v>
      </c>
    </row>
    <row r="17" spans="1:7" s="74" customFormat="1" ht="19.95" customHeight="1">
      <c r="A17" s="62" t="s">
        <v>34</v>
      </c>
      <c r="B17" s="38"/>
      <c r="C17" s="38"/>
      <c r="D17" s="38"/>
      <c r="E17" s="38"/>
      <c r="F17" s="38"/>
      <c r="G17" s="38"/>
    </row>
    <row r="18" spans="1:7" ht="19.95" customHeight="1">
      <c r="A18" s="12"/>
      <c r="B18" s="22"/>
      <c r="C18" s="22"/>
      <c r="D18" s="22"/>
      <c r="E18" s="43"/>
      <c r="F18" s="43"/>
      <c r="G18" s="43"/>
    </row>
    <row r="19" spans="1:7" ht="19.95" customHeight="1">
      <c r="A19" s="60" t="s">
        <v>35</v>
      </c>
      <c r="B19" s="43"/>
      <c r="C19" s="43"/>
      <c r="D19" s="43"/>
      <c r="E19" s="43"/>
      <c r="F19" s="43"/>
      <c r="G19" s="43"/>
    </row>
    <row r="20" spans="1:7" ht="19.95" customHeight="1">
      <c r="A20" s="43"/>
      <c r="B20" s="43"/>
      <c r="C20" s="43"/>
      <c r="D20" s="43"/>
      <c r="E20" s="43"/>
      <c r="F20" s="43"/>
      <c r="G20" s="43"/>
    </row>
    <row r="22" spans="1:7">
      <c r="A22" s="41"/>
    </row>
    <row r="23" spans="1:7">
      <c r="A23" s="42"/>
    </row>
    <row r="24" spans="1:7">
      <c r="A24" s="80"/>
    </row>
    <row r="25" spans="1:7">
      <c r="A25" s="81"/>
    </row>
  </sheetData>
  <mergeCells count="5">
    <mergeCell ref="A1:G1"/>
    <mergeCell ref="A2:G2"/>
    <mergeCell ref="A8:A9"/>
    <mergeCell ref="B8:B9"/>
    <mergeCell ref="C8:G8"/>
  </mergeCells>
  <phoneticPr fontId="17" type="noConversion"/>
  <hyperlinks>
    <hyperlink ref="G3" location="底稿目录!A1" display="底稿目录!A1"/>
  </hyperlinks>
  <printOptions horizontalCentered="1"/>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view="pageBreakPreview" zoomScaleSheetLayoutView="100" workbookViewId="0">
      <selection sqref="A1:H1"/>
    </sheetView>
  </sheetViews>
  <sheetFormatPr defaultColWidth="9" defaultRowHeight="15.6"/>
  <cols>
    <col min="1" max="8" width="18.59765625" style="25" customWidth="1"/>
    <col min="9" max="9" width="14.296875" style="25" customWidth="1"/>
    <col min="10" max="10" width="14.59765625" style="25" customWidth="1"/>
    <col min="11" max="11" width="11.69921875" style="25" customWidth="1"/>
    <col min="12" max="16384" width="9" style="25"/>
  </cols>
  <sheetData>
    <row r="1" spans="1:14" s="21" customFormat="1" ht="20.100000000000001" customHeight="1">
      <c r="A1" s="291" t="s">
        <v>25</v>
      </c>
      <c r="B1" s="291"/>
      <c r="C1" s="291"/>
      <c r="D1" s="291"/>
      <c r="E1" s="291"/>
      <c r="F1" s="291"/>
      <c r="G1" s="291"/>
      <c r="H1" s="291"/>
      <c r="I1" s="20"/>
      <c r="J1" s="20"/>
      <c r="K1" s="20"/>
      <c r="L1" s="20"/>
      <c r="M1" s="20"/>
    </row>
    <row r="2" spans="1:14" s="21" customFormat="1" ht="25.05" customHeight="1">
      <c r="A2" s="321" t="s">
        <v>132</v>
      </c>
      <c r="B2" s="321"/>
      <c r="C2" s="321"/>
      <c r="D2" s="321"/>
      <c r="E2" s="321"/>
      <c r="F2" s="321"/>
      <c r="G2" s="321"/>
      <c r="H2" s="321"/>
      <c r="I2" s="20"/>
      <c r="J2" s="20"/>
      <c r="K2" s="20"/>
      <c r="L2" s="20"/>
      <c r="M2" s="20"/>
    </row>
    <row r="3" spans="1:14" s="22" customFormat="1" ht="20.100000000000001" customHeight="1">
      <c r="A3" s="22" t="str">
        <f>底稿目录!A2</f>
        <v>被审计单位：</v>
      </c>
      <c r="C3" s="22" t="str">
        <f>底稿目录!A4</f>
        <v>编制人：</v>
      </c>
      <c r="F3" s="89" t="str">
        <f>底稿目录!A5</f>
        <v>编制日期：</v>
      </c>
      <c r="G3" s="237" t="s">
        <v>250</v>
      </c>
      <c r="H3" s="238" t="str">
        <f>底稿目录!F12</f>
        <v>M1-5</v>
      </c>
    </row>
    <row r="4" spans="1:14" s="22" customFormat="1" ht="20.100000000000001" customHeight="1">
      <c r="A4" s="22" t="str">
        <f>底稿目录!A3</f>
        <v>截止日：202X年12月31日</v>
      </c>
      <c r="C4" s="22" t="str">
        <f>底稿目录!A6</f>
        <v>复核人：</v>
      </c>
      <c r="F4" s="89" t="str">
        <f>底稿目录!A7</f>
        <v>复核日期：</v>
      </c>
      <c r="G4" s="237" t="s">
        <v>244</v>
      </c>
    </row>
    <row r="5" spans="1:14" s="51" customFormat="1" ht="20.100000000000001" customHeight="1">
      <c r="A5" s="49" t="s">
        <v>61</v>
      </c>
      <c r="B5" s="50"/>
      <c r="K5" s="53"/>
      <c r="N5" s="54"/>
    </row>
    <row r="6" spans="1:14" s="51" customFormat="1" ht="20.100000000000001" customHeight="1">
      <c r="A6" s="55" t="s">
        <v>183</v>
      </c>
      <c r="K6" s="53"/>
      <c r="N6" s="54"/>
    </row>
    <row r="7" spans="1:14" s="51" customFormat="1" ht="20.100000000000001" customHeight="1">
      <c r="A7" s="56" t="s">
        <v>62</v>
      </c>
      <c r="K7" s="53"/>
      <c r="N7" s="54"/>
    </row>
    <row r="8" spans="1:14" s="51" customFormat="1" ht="20.100000000000001" customHeight="1">
      <c r="A8" s="55" t="s">
        <v>252</v>
      </c>
      <c r="K8" s="53"/>
      <c r="N8" s="54"/>
    </row>
    <row r="9" spans="1:14" s="23" customFormat="1" ht="20.100000000000001" customHeight="1">
      <c r="A9" s="93" t="s">
        <v>72</v>
      </c>
      <c r="B9" s="93" t="s">
        <v>73</v>
      </c>
      <c r="C9" s="93" t="s">
        <v>74</v>
      </c>
      <c r="D9" s="93" t="s">
        <v>75</v>
      </c>
      <c r="E9" s="93" t="s">
        <v>76</v>
      </c>
      <c r="F9" s="93" t="s">
        <v>77</v>
      </c>
      <c r="G9" s="93" t="s">
        <v>78</v>
      </c>
      <c r="H9" s="92" t="s">
        <v>79</v>
      </c>
    </row>
    <row r="10" spans="1:14" s="23" customFormat="1" ht="20.100000000000001" customHeight="1">
      <c r="A10" s="88"/>
      <c r="B10" s="26"/>
      <c r="C10" s="86"/>
      <c r="D10" s="169">
        <f>B10*C10</f>
        <v>0</v>
      </c>
      <c r="E10" s="27"/>
      <c r="F10" s="169">
        <f>D10-E10</f>
        <v>0</v>
      </c>
      <c r="G10" s="27"/>
      <c r="H10" s="30"/>
    </row>
    <row r="11" spans="1:14" s="23" customFormat="1" ht="20.100000000000001" customHeight="1">
      <c r="A11" s="88"/>
      <c r="B11" s="26"/>
      <c r="C11" s="26"/>
      <c r="D11" s="169">
        <f t="shared" ref="D11:D17" si="0">B11*C11</f>
        <v>0</v>
      </c>
      <c r="E11" s="27"/>
      <c r="F11" s="169">
        <f t="shared" ref="F11:F17" si="1">D11-E11</f>
        <v>0</v>
      </c>
      <c r="G11" s="27"/>
      <c r="H11" s="30"/>
    </row>
    <row r="12" spans="1:14" s="23" customFormat="1" ht="20.100000000000001" customHeight="1">
      <c r="A12" s="88"/>
      <c r="B12" s="26"/>
      <c r="C12" s="26"/>
      <c r="D12" s="169">
        <f t="shared" si="0"/>
        <v>0</v>
      </c>
      <c r="E12" s="27"/>
      <c r="F12" s="169">
        <f t="shared" si="1"/>
        <v>0</v>
      </c>
      <c r="G12" s="27"/>
      <c r="H12" s="30"/>
    </row>
    <row r="13" spans="1:14" s="23" customFormat="1" ht="20.100000000000001" customHeight="1">
      <c r="A13" s="88"/>
      <c r="B13" s="26"/>
      <c r="C13" s="26"/>
      <c r="D13" s="169">
        <f t="shared" si="0"/>
        <v>0</v>
      </c>
      <c r="E13" s="27"/>
      <c r="F13" s="169">
        <f t="shared" si="1"/>
        <v>0</v>
      </c>
      <c r="G13" s="27"/>
      <c r="H13" s="30"/>
    </row>
    <row r="14" spans="1:14" s="23" customFormat="1" ht="20.100000000000001" customHeight="1">
      <c r="A14" s="88"/>
      <c r="B14" s="26"/>
      <c r="C14" s="26"/>
      <c r="D14" s="169">
        <f t="shared" si="0"/>
        <v>0</v>
      </c>
      <c r="E14" s="27"/>
      <c r="F14" s="169">
        <f t="shared" si="1"/>
        <v>0</v>
      </c>
      <c r="G14" s="27"/>
      <c r="H14" s="30"/>
    </row>
    <row r="15" spans="1:14" s="23" customFormat="1" ht="20.100000000000001" customHeight="1">
      <c r="A15" s="88"/>
      <c r="B15" s="26"/>
      <c r="C15" s="26"/>
      <c r="D15" s="169">
        <f t="shared" si="0"/>
        <v>0</v>
      </c>
      <c r="E15" s="27"/>
      <c r="F15" s="169">
        <f t="shared" si="1"/>
        <v>0</v>
      </c>
      <c r="G15" s="27"/>
      <c r="H15" s="30"/>
    </row>
    <row r="16" spans="1:14" s="23" customFormat="1" ht="20.100000000000001" customHeight="1">
      <c r="A16" s="88"/>
      <c r="B16" s="26"/>
      <c r="C16" s="26"/>
      <c r="D16" s="169">
        <f t="shared" si="0"/>
        <v>0</v>
      </c>
      <c r="E16" s="27"/>
      <c r="F16" s="169">
        <f t="shared" si="1"/>
        <v>0</v>
      </c>
      <c r="G16" s="27"/>
      <c r="H16" s="30"/>
    </row>
    <row r="17" spans="1:8" s="23" customFormat="1" ht="20.100000000000001" customHeight="1">
      <c r="A17" s="88"/>
      <c r="B17" s="26"/>
      <c r="C17" s="26"/>
      <c r="D17" s="169">
        <f t="shared" si="0"/>
        <v>0</v>
      </c>
      <c r="E17" s="27"/>
      <c r="F17" s="169">
        <f t="shared" si="1"/>
        <v>0</v>
      </c>
      <c r="G17" s="27"/>
      <c r="H17" s="30"/>
    </row>
    <row r="18" spans="1:8" s="258" customFormat="1" ht="20.100000000000001" customHeight="1">
      <c r="A18" s="93" t="s">
        <v>67</v>
      </c>
      <c r="B18" s="256">
        <f>SUM(B10:B17)</f>
        <v>0</v>
      </c>
      <c r="C18" s="256">
        <f>SUM(C10:C17)</f>
        <v>0</v>
      </c>
      <c r="D18" s="256">
        <f>SUM(D10:D17)</f>
        <v>0</v>
      </c>
      <c r="E18" s="256">
        <f>SUM(E10:E17)</f>
        <v>0</v>
      </c>
      <c r="F18" s="256">
        <f t="shared" ref="F18" si="2">SUM(F10:F17)</f>
        <v>0</v>
      </c>
      <c r="G18" s="253"/>
      <c r="H18" s="257"/>
    </row>
    <row r="19" spans="1:8" s="23" customFormat="1" ht="20.100000000000001" customHeight="1">
      <c r="A19" s="94" t="s">
        <v>68</v>
      </c>
      <c r="B19" s="29"/>
      <c r="C19" s="29"/>
      <c r="D19" s="29"/>
      <c r="E19" s="29"/>
      <c r="F19" s="29"/>
      <c r="G19" s="29"/>
      <c r="H19" s="29"/>
    </row>
    <row r="20" spans="1:8" s="23" customFormat="1" ht="20.100000000000001" customHeight="1"/>
    <row r="21" spans="1:8" s="23" customFormat="1" ht="20.100000000000001" customHeight="1"/>
    <row r="22" spans="1:8" s="23" customFormat="1" ht="20.100000000000001" customHeight="1">
      <c r="A22" s="40" t="s">
        <v>69</v>
      </c>
    </row>
    <row r="23" spans="1:8" s="23" customFormat="1" ht="20.100000000000001" customHeight="1"/>
    <row r="24" spans="1:8" s="23" customFormat="1" ht="16.5" customHeight="1"/>
    <row r="26" spans="1:8">
      <c r="A26" s="95" t="s">
        <v>70</v>
      </c>
    </row>
    <row r="27" spans="1:8">
      <c r="A27" s="44" t="s">
        <v>71</v>
      </c>
    </row>
    <row r="28" spans="1:8">
      <c r="A28" s="44"/>
    </row>
    <row r="29" spans="1:8">
      <c r="A29" s="44"/>
    </row>
  </sheetData>
  <mergeCells count="2">
    <mergeCell ref="A1:H1"/>
    <mergeCell ref="A2:H2"/>
  </mergeCells>
  <phoneticPr fontId="17" type="noConversion"/>
  <hyperlinks>
    <hyperlink ref="H3" location="底稿目录!A1" display="底稿目录!A1"/>
  </hyperlinks>
  <printOptions horizontalCentered="1"/>
  <pageMargins left="0.70866141732283472" right="0.70866141732283472" top="0.74803149606299213" bottom="0.74803149606299213" header="0.31496062992125984" footer="0.31496062992125984"/>
  <pageSetup paperSize="9" scale="78"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P36"/>
  <sheetViews>
    <sheetView view="pageBreakPreview" zoomScaleSheetLayoutView="100" workbookViewId="0">
      <selection activeCell="P3" sqref="P3"/>
    </sheetView>
  </sheetViews>
  <sheetFormatPr defaultColWidth="9" defaultRowHeight="15.6"/>
  <cols>
    <col min="1" max="2" width="9" style="43"/>
    <col min="3" max="3" width="16.8984375" style="43" customWidth="1"/>
    <col min="4" max="4" width="10.59765625" style="43" customWidth="1"/>
    <col min="5" max="6" width="12.296875" style="43" customWidth="1"/>
    <col min="7" max="7" width="12.09765625" style="43" customWidth="1"/>
    <col min="8" max="8" width="19.296875" style="43" customWidth="1"/>
    <col min="9" max="13" width="4.5" style="43" customWidth="1"/>
    <col min="14" max="14" width="10.3984375" style="43" customWidth="1"/>
    <col min="15" max="15" width="8.09765625" style="43" customWidth="1"/>
    <col min="16" max="16" width="14.59765625" style="43" customWidth="1"/>
    <col min="17" max="16384" width="9" style="43"/>
  </cols>
  <sheetData>
    <row r="1" spans="1:16" s="31" customFormat="1" ht="20.100000000000001" customHeight="1">
      <c r="A1" s="328" t="s">
        <v>60</v>
      </c>
      <c r="B1" s="328"/>
      <c r="C1" s="328"/>
      <c r="D1" s="328"/>
      <c r="E1" s="328"/>
      <c r="F1" s="328"/>
      <c r="G1" s="328"/>
      <c r="H1" s="328"/>
      <c r="I1" s="328"/>
      <c r="J1" s="328"/>
      <c r="K1" s="328"/>
      <c r="L1" s="328"/>
      <c r="M1" s="328"/>
      <c r="N1" s="328"/>
      <c r="O1" s="239"/>
    </row>
    <row r="2" spans="1:16" s="31" customFormat="1" ht="25.05" customHeight="1">
      <c r="A2" s="329" t="s">
        <v>241</v>
      </c>
      <c r="B2" s="330"/>
      <c r="C2" s="330"/>
      <c r="D2" s="330"/>
      <c r="E2" s="330"/>
      <c r="F2" s="330"/>
      <c r="G2" s="330"/>
      <c r="H2" s="330"/>
      <c r="I2" s="330"/>
      <c r="J2" s="330"/>
      <c r="K2" s="330"/>
      <c r="L2" s="330"/>
      <c r="M2" s="330"/>
      <c r="N2" s="330"/>
      <c r="O2" s="240"/>
    </row>
    <row r="3" spans="1:16" s="22" customFormat="1" ht="20.100000000000001" customHeight="1">
      <c r="A3" s="22" t="str">
        <f>底稿目录!A2</f>
        <v>被审计单位：</v>
      </c>
      <c r="B3" s="32"/>
      <c r="C3" s="32"/>
      <c r="E3" s="32" t="str">
        <f>底稿目录!A4</f>
        <v>编制人：</v>
      </c>
      <c r="F3" s="32"/>
      <c r="G3" s="32"/>
      <c r="H3" s="91" t="str">
        <f>底稿目录!A5</f>
        <v>编制日期：</v>
      </c>
      <c r="K3" s="89"/>
      <c r="L3" s="89"/>
      <c r="N3" s="58"/>
      <c r="O3" s="58" t="s">
        <v>253</v>
      </c>
      <c r="P3" s="238" t="str">
        <f>底稿目录!F13</f>
        <v>M1-6</v>
      </c>
    </row>
    <row r="4" spans="1:16" s="22" customFormat="1" ht="20.100000000000001" customHeight="1">
      <c r="A4" s="22" t="str">
        <f>底稿目录!A3</f>
        <v>截止日：202X年12月31日</v>
      </c>
      <c r="B4" s="32"/>
      <c r="C4" s="32"/>
      <c r="E4" s="32" t="str">
        <f>底稿目录!A6</f>
        <v>复核人：</v>
      </c>
      <c r="F4" s="32"/>
      <c r="G4" s="32"/>
      <c r="H4" s="91" t="str">
        <f>底稿目录!A7</f>
        <v>复核日期：</v>
      </c>
      <c r="K4" s="89"/>
      <c r="L4" s="89"/>
      <c r="N4" s="58"/>
      <c r="O4" s="58" t="s">
        <v>244</v>
      </c>
    </row>
    <row r="5" spans="1:16" s="34" customFormat="1" ht="20.100000000000001" customHeight="1">
      <c r="A5" s="33" t="s">
        <v>80</v>
      </c>
      <c r="B5" s="33"/>
      <c r="D5" s="33"/>
      <c r="E5" s="33"/>
      <c r="F5" s="33"/>
      <c r="G5" s="33"/>
      <c r="H5" s="33"/>
      <c r="I5" s="33"/>
      <c r="J5" s="33"/>
      <c r="K5" s="33"/>
      <c r="L5" s="33"/>
    </row>
    <row r="6" spans="1:16" s="34" customFormat="1" ht="20.100000000000001" customHeight="1">
      <c r="A6" s="61" t="s">
        <v>133</v>
      </c>
      <c r="B6" s="33"/>
      <c r="C6" s="61"/>
      <c r="D6" s="33"/>
      <c r="E6" s="33"/>
      <c r="F6" s="33"/>
      <c r="G6" s="33"/>
      <c r="H6" s="33"/>
      <c r="I6" s="33"/>
      <c r="J6" s="33"/>
      <c r="K6" s="33"/>
      <c r="L6" s="33"/>
    </row>
    <row r="7" spans="1:16" s="34" customFormat="1" ht="20.100000000000001" customHeight="1">
      <c r="A7" s="61" t="s">
        <v>134</v>
      </c>
      <c r="B7" s="33"/>
      <c r="D7" s="33"/>
      <c r="E7" s="33"/>
      <c r="F7" s="33"/>
      <c r="G7" s="33"/>
      <c r="H7" s="33"/>
      <c r="I7" s="33"/>
      <c r="J7" s="33"/>
      <c r="K7" s="33"/>
      <c r="L7" s="33"/>
    </row>
    <row r="8" spans="1:16" s="34" customFormat="1" ht="20.100000000000001" customHeight="1">
      <c r="A8" s="215" t="s">
        <v>222</v>
      </c>
      <c r="B8" s="35"/>
      <c r="C8" s="247"/>
      <c r="D8" s="36"/>
      <c r="E8" s="37"/>
      <c r="F8" s="37"/>
      <c r="G8" s="37"/>
    </row>
    <row r="9" spans="1:16" s="34" customFormat="1" ht="20.100000000000001" customHeight="1">
      <c r="A9" s="204" t="s">
        <v>205</v>
      </c>
      <c r="B9" s="35"/>
      <c r="C9" s="35"/>
      <c r="D9" s="36"/>
      <c r="E9" s="37"/>
      <c r="F9" s="37"/>
      <c r="G9" s="37"/>
    </row>
    <row r="10" spans="1:16" s="22" customFormat="1" ht="20.100000000000001" customHeight="1">
      <c r="A10" s="332" t="s">
        <v>226</v>
      </c>
      <c r="B10" s="332"/>
      <c r="C10" s="332"/>
      <c r="D10" s="332"/>
      <c r="E10" s="332"/>
      <c r="F10" s="332"/>
      <c r="G10" s="332"/>
      <c r="H10" s="324" t="s">
        <v>229</v>
      </c>
      <c r="I10" s="326" t="s">
        <v>230</v>
      </c>
      <c r="J10" s="327"/>
      <c r="K10" s="327"/>
      <c r="L10" s="327"/>
      <c r="M10" s="327"/>
      <c r="N10" s="331" t="s">
        <v>231</v>
      </c>
      <c r="O10" s="333" t="s">
        <v>255</v>
      </c>
      <c r="P10" s="322" t="s">
        <v>232</v>
      </c>
    </row>
    <row r="11" spans="1:16" s="22" customFormat="1" ht="20.100000000000001" customHeight="1">
      <c r="A11" s="245" t="s">
        <v>135</v>
      </c>
      <c r="B11" s="245" t="s">
        <v>136</v>
      </c>
      <c r="C11" s="245" t="s">
        <v>227</v>
      </c>
      <c r="D11" s="245" t="s">
        <v>220</v>
      </c>
      <c r="E11" s="245" t="s">
        <v>228</v>
      </c>
      <c r="F11" s="246" t="s">
        <v>137</v>
      </c>
      <c r="G11" s="246" t="s">
        <v>138</v>
      </c>
      <c r="H11" s="325"/>
      <c r="I11" s="92">
        <v>1</v>
      </c>
      <c r="J11" s="92">
        <v>2</v>
      </c>
      <c r="K11" s="92">
        <v>3</v>
      </c>
      <c r="L11" s="92">
        <v>4</v>
      </c>
      <c r="M11" s="92">
        <v>5</v>
      </c>
      <c r="N11" s="331"/>
      <c r="O11" s="334"/>
      <c r="P11" s="323"/>
    </row>
    <row r="12" spans="1:16" s="22" customFormat="1" ht="20.100000000000001" customHeight="1">
      <c r="A12" s="172"/>
      <c r="B12" s="172"/>
      <c r="C12" s="172"/>
      <c r="D12" s="172"/>
      <c r="E12" s="172"/>
      <c r="F12" s="172"/>
      <c r="G12" s="173"/>
      <c r="H12" s="172"/>
      <c r="I12" s="30"/>
      <c r="J12" s="30"/>
      <c r="K12" s="30"/>
      <c r="L12" s="30"/>
      <c r="M12" s="30"/>
      <c r="N12" s="172"/>
      <c r="O12" s="172"/>
      <c r="P12" s="172"/>
    </row>
    <row r="13" spans="1:16" s="22" customFormat="1" ht="20.100000000000001" customHeight="1">
      <c r="A13" s="172"/>
      <c r="B13" s="172"/>
      <c r="C13" s="172"/>
      <c r="D13" s="172"/>
      <c r="E13" s="172"/>
      <c r="F13" s="172"/>
      <c r="G13" s="173"/>
      <c r="H13" s="172"/>
      <c r="I13" s="30"/>
      <c r="J13" s="30"/>
      <c r="K13" s="30"/>
      <c r="L13" s="30"/>
      <c r="M13" s="30"/>
      <c r="N13" s="172"/>
      <c r="O13" s="172"/>
      <c r="P13" s="172"/>
    </row>
    <row r="14" spans="1:16" s="22" customFormat="1" ht="20.100000000000001" customHeight="1">
      <c r="A14" s="172"/>
      <c r="B14" s="172"/>
      <c r="C14" s="172"/>
      <c r="D14" s="172"/>
      <c r="E14" s="172"/>
      <c r="F14" s="172"/>
      <c r="G14" s="173"/>
      <c r="H14" s="172"/>
      <c r="I14" s="30"/>
      <c r="J14" s="30"/>
      <c r="K14" s="30"/>
      <c r="L14" s="30"/>
      <c r="M14" s="30"/>
      <c r="N14" s="172"/>
      <c r="O14" s="172"/>
      <c r="P14" s="172"/>
    </row>
    <row r="15" spans="1:16" s="22" customFormat="1" ht="20.100000000000001" customHeight="1">
      <c r="A15" s="172"/>
      <c r="B15" s="172"/>
      <c r="C15" s="172"/>
      <c r="D15" s="172"/>
      <c r="E15" s="172"/>
      <c r="F15" s="172"/>
      <c r="G15" s="173"/>
      <c r="H15" s="172"/>
      <c r="I15" s="30"/>
      <c r="J15" s="30"/>
      <c r="K15" s="30"/>
      <c r="L15" s="30"/>
      <c r="M15" s="30"/>
      <c r="N15" s="172"/>
      <c r="O15" s="172"/>
      <c r="P15" s="172"/>
    </row>
    <row r="16" spans="1:16" s="22" customFormat="1" ht="20.100000000000001" customHeight="1">
      <c r="A16" s="172"/>
      <c r="B16" s="172"/>
      <c r="C16" s="172"/>
      <c r="D16" s="172"/>
      <c r="E16" s="172"/>
      <c r="F16" s="172"/>
      <c r="G16" s="173"/>
      <c r="H16" s="172"/>
      <c r="I16" s="30"/>
      <c r="J16" s="30"/>
      <c r="K16" s="30"/>
      <c r="L16" s="30"/>
      <c r="M16" s="30"/>
      <c r="N16" s="172"/>
      <c r="O16" s="172"/>
      <c r="P16" s="172"/>
    </row>
    <row r="17" spans="1:16" s="22" customFormat="1" ht="20.100000000000001" customHeight="1">
      <c r="A17" s="172"/>
      <c r="B17" s="172"/>
      <c r="C17" s="172"/>
      <c r="D17" s="172"/>
      <c r="E17" s="172"/>
      <c r="F17" s="172"/>
      <c r="G17" s="173"/>
      <c r="H17" s="172"/>
      <c r="I17" s="30"/>
      <c r="J17" s="30"/>
      <c r="K17" s="30"/>
      <c r="L17" s="30"/>
      <c r="M17" s="30"/>
      <c r="N17" s="172"/>
      <c r="O17" s="172"/>
      <c r="P17" s="172"/>
    </row>
    <row r="18" spans="1:16" s="22" customFormat="1" ht="20.100000000000001" customHeight="1">
      <c r="A18" s="172"/>
      <c r="B18" s="172"/>
      <c r="C18" s="172"/>
      <c r="D18" s="172"/>
      <c r="E18" s="172"/>
      <c r="F18" s="172"/>
      <c r="G18" s="173"/>
      <c r="H18" s="172"/>
      <c r="I18" s="30"/>
      <c r="J18" s="30"/>
      <c r="K18" s="30"/>
      <c r="L18" s="30"/>
      <c r="M18" s="30"/>
      <c r="N18" s="172"/>
      <c r="O18" s="172"/>
      <c r="P18" s="172"/>
    </row>
    <row r="19" spans="1:16" s="22" customFormat="1" ht="20.100000000000001" customHeight="1">
      <c r="A19" s="172"/>
      <c r="B19" s="172"/>
      <c r="C19" s="172"/>
      <c r="D19" s="172"/>
      <c r="E19" s="172"/>
      <c r="F19" s="172"/>
      <c r="G19" s="173"/>
      <c r="H19" s="172"/>
      <c r="I19" s="30"/>
      <c r="J19" s="30"/>
      <c r="K19" s="30"/>
      <c r="L19" s="30"/>
      <c r="M19" s="30"/>
      <c r="N19" s="172"/>
      <c r="O19" s="172"/>
      <c r="P19" s="172"/>
    </row>
    <row r="20" spans="1:16" s="22" customFormat="1" ht="20.100000000000001" customHeight="1">
      <c r="A20" s="174" t="s">
        <v>50</v>
      </c>
      <c r="B20" s="175"/>
      <c r="C20" s="175"/>
      <c r="D20" s="175"/>
      <c r="E20" s="175"/>
      <c r="F20" s="176">
        <f>SUM(F12:F19)</f>
        <v>0</v>
      </c>
      <c r="G20" s="176">
        <f>SUM(G12:G19)</f>
        <v>0</v>
      </c>
      <c r="H20" s="175"/>
      <c r="I20" s="175"/>
      <c r="J20" s="175"/>
      <c r="K20" s="175"/>
      <c r="L20" s="176"/>
      <c r="M20" s="175"/>
      <c r="N20" s="175"/>
      <c r="O20" s="175"/>
      <c r="P20" s="175"/>
    </row>
    <row r="21" spans="1:16" s="22" customFormat="1" ht="20.100000000000001" customHeight="1">
      <c r="A21" s="216" t="s">
        <v>223</v>
      </c>
      <c r="B21" s="38"/>
      <c r="C21" s="38"/>
      <c r="D21" s="38"/>
      <c r="E21" s="38"/>
      <c r="F21" s="38"/>
      <c r="G21" s="38"/>
      <c r="H21" s="38"/>
      <c r="I21" s="38"/>
      <c r="J21" s="96"/>
      <c r="K21" s="135"/>
      <c r="L21"/>
      <c r="M21" s="135"/>
      <c r="N21" s="214"/>
      <c r="O21" s="214"/>
    </row>
    <row r="22" spans="1:16" s="22" customFormat="1" ht="20.100000000000001" customHeight="1">
      <c r="A22" s="51" t="s">
        <v>274</v>
      </c>
      <c r="B22" s="51"/>
      <c r="C22"/>
      <c r="D22" s="211" t="s">
        <v>276</v>
      </c>
      <c r="E22" s="211" t="s">
        <v>275</v>
      </c>
      <c r="F22" s="211" t="s">
        <v>277</v>
      </c>
      <c r="G22" s="211" t="s">
        <v>278</v>
      </c>
      <c r="H22" s="261" t="s">
        <v>279</v>
      </c>
      <c r="I22" s="259"/>
      <c r="J22" s="260"/>
      <c r="K22" s="135"/>
      <c r="L22"/>
      <c r="M22" s="135"/>
      <c r="N22" s="214"/>
      <c r="O22" s="214"/>
    </row>
    <row r="23" spans="1:16" s="22" customFormat="1" ht="20.100000000000001" customHeight="1">
      <c r="A23" s="262"/>
      <c r="B23" s="262"/>
      <c r="C23"/>
      <c r="D23" s="211" t="s">
        <v>280</v>
      </c>
      <c r="E23" s="263">
        <f>'明细表M1-2'!P23</f>
        <v>0</v>
      </c>
      <c r="F23" s="263">
        <f>F20</f>
        <v>0</v>
      </c>
      <c r="G23" s="264" t="e">
        <f>ROUND(F23/E23,4)</f>
        <v>#DIV/0!</v>
      </c>
      <c r="H23" s="12"/>
      <c r="I23" s="259"/>
      <c r="J23" s="260"/>
      <c r="K23" s="135"/>
      <c r="L23"/>
      <c r="M23" s="135"/>
      <c r="N23" s="214"/>
      <c r="O23" s="214"/>
    </row>
    <row r="24" spans="1:16" s="22" customFormat="1" ht="20.100000000000001" customHeight="1">
      <c r="A24" s="262"/>
      <c r="B24" s="262"/>
      <c r="C24"/>
      <c r="D24" s="211" t="s">
        <v>281</v>
      </c>
      <c r="E24" s="263">
        <f>'明细表M1-2'!O23</f>
        <v>0</v>
      </c>
      <c r="F24" s="263">
        <f>G20</f>
        <v>0</v>
      </c>
      <c r="G24" s="264" t="e">
        <f>ROUND(F24/E24,2)</f>
        <v>#DIV/0!</v>
      </c>
      <c r="H24" s="12"/>
      <c r="I24" s="259"/>
      <c r="J24" s="260"/>
      <c r="K24" s="135"/>
      <c r="L24"/>
      <c r="M24" s="135"/>
      <c r="N24" s="214"/>
      <c r="O24" s="214"/>
    </row>
    <row r="25" spans="1:16" s="22" customFormat="1" ht="20.100000000000001" customHeight="1">
      <c r="A25" s="265" t="s">
        <v>282</v>
      </c>
      <c r="B25" s="262"/>
      <c r="C25"/>
      <c r="D25" s="266"/>
      <c r="E25" s="267"/>
      <c r="F25" s="267"/>
      <c r="G25" s="268"/>
      <c r="H25" s="12"/>
      <c r="J25" s="32"/>
      <c r="K25" s="135"/>
      <c r="L25"/>
      <c r="M25" s="135"/>
      <c r="N25" s="32"/>
      <c r="O25" s="32"/>
    </row>
    <row r="26" spans="1:16" s="22" customFormat="1" ht="20.100000000000001" customHeight="1">
      <c r="A26" s="60" t="s">
        <v>35</v>
      </c>
      <c r="C26" s="32"/>
      <c r="D26" s="32"/>
      <c r="E26" s="32"/>
      <c r="F26" s="32"/>
      <c r="G26" s="32"/>
      <c r="H26" s="32"/>
      <c r="I26" s="32"/>
      <c r="J26" s="32"/>
      <c r="K26" s="32"/>
      <c r="L26" s="32"/>
      <c r="M26" s="32"/>
      <c r="N26" s="32"/>
      <c r="O26" s="32"/>
    </row>
    <row r="27" spans="1:16" s="22" customFormat="1" ht="20.100000000000001" customHeight="1">
      <c r="J27" s="32"/>
      <c r="K27" s="32"/>
      <c r="L27" s="32"/>
      <c r="M27" s="32"/>
      <c r="N27" s="32"/>
      <c r="O27" s="32"/>
    </row>
    <row r="28" spans="1:16" s="22" customFormat="1" ht="18" customHeight="1">
      <c r="A28" s="39"/>
      <c r="C28" s="32"/>
      <c r="D28" s="32"/>
      <c r="E28" s="32"/>
      <c r="F28" s="32"/>
      <c r="G28" s="32"/>
      <c r="H28" s="32"/>
      <c r="I28" s="32"/>
      <c r="J28" s="32"/>
      <c r="K28" s="32"/>
      <c r="L28" s="32"/>
      <c r="M28" s="32"/>
      <c r="N28" s="32"/>
      <c r="O28" s="32"/>
    </row>
    <row r="29" spans="1:16" s="22" customFormat="1" ht="18" customHeight="1">
      <c r="A29" s="39"/>
      <c r="C29" s="32"/>
      <c r="D29" s="32"/>
      <c r="E29" s="32"/>
      <c r="F29" s="32"/>
      <c r="G29" s="32"/>
      <c r="H29" s="32"/>
      <c r="I29" s="32"/>
      <c r="J29" s="32"/>
      <c r="K29" s="32"/>
      <c r="L29" s="32"/>
      <c r="M29" s="32"/>
      <c r="N29" s="32"/>
      <c r="O29" s="32"/>
    </row>
    <row r="30" spans="1:16" s="22" customFormat="1" ht="18" customHeight="1">
      <c r="A30" s="97"/>
    </row>
    <row r="31" spans="1:16" ht="18" customHeight="1">
      <c r="A31" s="42"/>
      <c r="B31" s="42"/>
    </row>
    <row r="32" spans="1:16" ht="18" customHeight="1">
      <c r="A32" s="44"/>
      <c r="B32" s="44"/>
    </row>
    <row r="33" spans="1:2" ht="18" customHeight="1">
      <c r="A33" s="98"/>
      <c r="B33" s="44"/>
    </row>
    <row r="34" spans="1:2" ht="18" customHeight="1">
      <c r="A34" s="45"/>
      <c r="B34" s="44"/>
    </row>
    <row r="35" spans="1:2" ht="18" customHeight="1">
      <c r="A35" s="45"/>
      <c r="B35" s="44"/>
    </row>
    <row r="36" spans="1:2" ht="18" customHeight="1">
      <c r="A36" s="45"/>
      <c r="B36" s="44"/>
    </row>
  </sheetData>
  <mergeCells count="8">
    <mergeCell ref="P10:P11"/>
    <mergeCell ref="H10:H11"/>
    <mergeCell ref="I10:M10"/>
    <mergeCell ref="A1:N1"/>
    <mergeCell ref="A2:N2"/>
    <mergeCell ref="N10:N11"/>
    <mergeCell ref="A10:G10"/>
    <mergeCell ref="O10:O11"/>
  </mergeCells>
  <phoneticPr fontId="17" type="noConversion"/>
  <dataValidations count="2">
    <dataValidation type="list" allowBlank="1" showInputMessage="1" showErrorMessage="1" sqref="C26">
      <formula1>"A：未见异常，可以确认。,B：经审计调整可以确认。,C：由于存在上述重大未调整事项（或审计范围受到限制无法获取充分、适当证据），不可确认。"</formula1>
    </dataValidation>
    <dataValidation type="list" allowBlank="1" showInputMessage="1" showErrorMessage="1" sqref="J20:M20 I12:M19">
      <formula1>"√,X"</formula1>
    </dataValidation>
  </dataValidations>
  <hyperlinks>
    <hyperlink ref="P3" location="底稿目录!A1" display="底稿目录!A1"/>
  </hyperlinks>
  <printOptions horizontalCentered="1"/>
  <pageMargins left="0.70866141732283472" right="0.70866141732283472" top="0.74803149606299213" bottom="0.74803149606299213" header="0.31496062992125984" footer="0.31496062992125984"/>
  <pageSetup paperSize="9" scale="78"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8</v>
      </c>
      <c r="B1" t="s">
        <v>9</v>
      </c>
    </row>
    <row r="2" spans="1:2">
      <c r="A2" t="s">
        <v>10</v>
      </c>
      <c r="B2" t="s">
        <v>11</v>
      </c>
    </row>
    <row r="3" spans="1:2">
      <c r="A3" t="s">
        <v>12</v>
      </c>
      <c r="B3" t="s">
        <v>13</v>
      </c>
    </row>
    <row r="4" spans="1:2">
      <c r="A4" t="s">
        <v>14</v>
      </c>
      <c r="B4" t="s">
        <v>15</v>
      </c>
    </row>
    <row r="5" spans="1:2">
      <c r="A5" t="s">
        <v>16</v>
      </c>
      <c r="B5" t="s">
        <v>17</v>
      </c>
    </row>
    <row r="6" spans="1:2">
      <c r="A6" t="s">
        <v>18</v>
      </c>
      <c r="B6" t="s">
        <v>19</v>
      </c>
    </row>
    <row r="7" spans="1:2">
      <c r="A7" t="s">
        <v>20</v>
      </c>
      <c r="B7" t="s">
        <v>21</v>
      </c>
    </row>
    <row r="8" spans="1:2">
      <c r="A8" t="s">
        <v>22</v>
      </c>
      <c r="B8" t="s">
        <v>23</v>
      </c>
    </row>
  </sheetData>
  <phoneticPr fontId="1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9</vt:i4>
      </vt:variant>
    </vt:vector>
  </HeadingPairs>
  <TitlesOfParts>
    <vt:vector size="20" baseType="lpstr">
      <vt:lpstr>底稿目录</vt:lpstr>
      <vt:lpstr>应付股利实质性程序表M1</vt:lpstr>
      <vt:lpstr>审定表M1-1</vt:lpstr>
      <vt:lpstr>附注披露信息（上市公司）</vt:lpstr>
      <vt:lpstr>附注披露信息（国有企业）</vt:lpstr>
      <vt:lpstr>明细表M1-2</vt:lpstr>
      <vt:lpstr>调整分录汇总M1-3</vt:lpstr>
      <vt:lpstr>外币汇率测算表M1-4</vt:lpstr>
      <vt:lpstr>应付股利（利润）测算表M1-5</vt:lpstr>
      <vt:lpstr>应付股利（利润）检查表M1-6</vt:lpstr>
      <vt:lpstr>GT_Custom</vt:lpstr>
      <vt:lpstr>'调整分录汇总M1-3'!Print_Area</vt:lpstr>
      <vt:lpstr>'附注披露信息（国有企业）'!Print_Area</vt:lpstr>
      <vt:lpstr>'明细表M1-2'!Print_Area</vt:lpstr>
      <vt:lpstr>'审定表M1-1'!Print_Area</vt:lpstr>
      <vt:lpstr>'外币汇率测算表M1-4'!Print_Area</vt:lpstr>
      <vt:lpstr>'应付股利（利润）测算表M1-5'!Print_Area</vt:lpstr>
      <vt:lpstr>'应付股利（利润）检查表M1-6'!Print_Area</vt:lpstr>
      <vt:lpstr>应付股利实质性程序表M1!Print_Area</vt:lpstr>
      <vt:lpstr>应付股利实质性程序表M1!Print_Titles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2025-10-22T09:30:37Z</cp:lastPrinted>
  <dcterms:created xsi:type="dcterms:W3CDTF">2007-05-20T08:51:05Z</dcterms:created>
  <dcterms:modified xsi:type="dcterms:W3CDTF">2025-11-05T08:18:05Z</dcterms:modified>
</cp:coreProperties>
</file>