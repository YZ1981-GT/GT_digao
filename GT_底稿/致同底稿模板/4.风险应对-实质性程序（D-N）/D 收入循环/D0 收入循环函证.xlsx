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D 收入循环 修订10.28\"/>
    </mc:Choice>
  </mc:AlternateContent>
  <bookViews>
    <workbookView xWindow="0" yWindow="0" windowWidth="23040" windowHeight="9132" tabRatio="854"/>
  </bookViews>
  <sheets>
    <sheet name="底稿目录" sheetId="10" r:id="rId1"/>
    <sheet name="函证程序表D0A" sheetId="1" r:id="rId2"/>
    <sheet name="函证结果汇总表D0-1" sheetId="13" r:id="rId3"/>
    <sheet name="核实被函证单位信息D0-2" sheetId="3" r:id="rId4"/>
    <sheet name="跟函函证过程控制D0-3" sheetId="4" r:id="rId5"/>
    <sheet name="函证差异调节表D0-4" sheetId="5" r:id="rId6"/>
    <sheet name="函证差异检查表（示例）" sheetId="12" r:id="rId7"/>
    <sheet name="合同负债及销售替代程序D0-5" sheetId="7" r:id="rId8"/>
    <sheet name="应收及销售替代程序D0-6" sheetId="8" r:id="rId9"/>
    <sheet name="邮件传真回函可靠性验证D0-7" sheetId="6" r:id="rId10"/>
    <sheet name="函证程序舞弊风险评价表D0-8" sheetId="11" r:id="rId11"/>
  </sheets>
  <externalReferences>
    <externalReference r:id="rId12"/>
    <externalReference r:id="rId13"/>
    <externalReference r:id="rId14"/>
  </externalReferences>
  <definedNames>
    <definedName name="_xlnm._FilterDatabase" localSheetId="1" hidden="1">函证程序表D0A!$B$1:$B$22</definedName>
    <definedName name="AFV" localSheetId="2" hidden="1">#REF!</definedName>
    <definedName name="AFV" hidden="1">#REF!</definedName>
    <definedName name="bs" localSheetId="6" hidden="1">{#N/A,#N/A,FALSE,"BBPREP"}</definedName>
    <definedName name="bs" hidden="1">{#N/A,#N/A,FALSE,"BBPREP"}</definedName>
    <definedName name="bs_1" localSheetId="6" hidden="1">{#N/A,#N/A,FALSE,"BBPREP"}</definedName>
    <definedName name="bs_1" hidden="1">{#N/A,#N/A,FALSE,"BBPREP"}</definedName>
    <definedName name="CCD" localSheetId="2" hidden="1">#REF!</definedName>
    <definedName name="CCD" hidden="1">#REF!</definedName>
    <definedName name="CDE" localSheetId="2" hidden="1">#REF!</definedName>
    <definedName name="CDE" hidden="1">#REF!</definedName>
    <definedName name="DEX" localSheetId="2" hidden="1">#REF!</definedName>
    <definedName name="DEX" hidden="1">#REF!</definedName>
    <definedName name="EDC" localSheetId="2" hidden="1">#REF!</definedName>
    <definedName name="EDC" hidden="1">#REF!</definedName>
    <definedName name="FAD" localSheetId="2" hidden="1">[1]Breakdown!#REF!</definedName>
    <definedName name="FAD" hidden="1">[1]Breakdown!#REF!</definedName>
    <definedName name="FASD" localSheetId="2" hidden="1">#REF!</definedName>
    <definedName name="FASD" hidden="1">#REF!</definedName>
    <definedName name="FEDC" localSheetId="2" hidden="1">'[2]2004'!#REF!</definedName>
    <definedName name="FEDC" hidden="1">'[2]2004'!#REF!</definedName>
    <definedName name="_xlnm.Print_Area" localSheetId="4">'跟函函证过程控制D0-3'!$A$1:$F$27</definedName>
    <definedName name="_xlnm.Print_Area" localSheetId="5">'函证差异调节表D0-4'!$A$1:$I$19</definedName>
    <definedName name="_xlnm.Print_Area" localSheetId="6">'函证差异检查表（示例）'!$A$1:$G$33</definedName>
    <definedName name="_xlnm.Print_Area" localSheetId="1">函证程序表D0A!$A$1:$F$18</definedName>
    <definedName name="_xlnm.Print_Area" localSheetId="10">'函证程序舞弊风险评价表D0-8'!$A$1:$I$30</definedName>
    <definedName name="_xlnm.Print_Area" localSheetId="2">'函证结果汇总表D0-1'!$A$1:$AB$39</definedName>
    <definedName name="_xlnm.Print_Area" localSheetId="7">'合同负债及销售替代程序D0-5'!$A$1:$AD$55</definedName>
    <definedName name="_xlnm.Print_Area" localSheetId="3">'核实被函证单位信息D0-2'!$A$1:$AL$27</definedName>
    <definedName name="_xlnm.Print_Area" localSheetId="8">'应收及销售替代程序D0-6'!$A$1:$AF$55</definedName>
    <definedName name="_xlnm.Print_Area" localSheetId="9">'邮件传真回函可靠性验证D0-7'!$A$1:$N$22</definedName>
    <definedName name="_xlnm.Print_Titles" localSheetId="1">函证程序表D0A!$5:$5</definedName>
    <definedName name="_xlnm.Print_Titles" localSheetId="2">'函证结果汇总表D0-1'!$B:$B</definedName>
    <definedName name="_xlnm.Print_Titles" localSheetId="3">'核实被函证单位信息D0-2'!$A:$B</definedName>
    <definedName name="RDES" localSheetId="2" hidden="1">#REF!</definedName>
    <definedName name="RDES" hidden="1">#REF!</definedName>
    <definedName name="VFE" localSheetId="2" hidden="1">#REF!</definedName>
    <definedName name="VFE" hidden="1">#REF!</definedName>
    <definedName name="XAP" localSheetId="2" hidden="1">#REF!</definedName>
    <definedName name="XAP" hidden="1">#REF!</definedName>
    <definedName name="XAQ" localSheetId="2" hidden="1">#REF!</definedName>
    <definedName name="XAQ" hidden="1">#REF!</definedName>
    <definedName name="XCD" localSheetId="2" hidden="1">#REF!</definedName>
    <definedName name="XCD" hidden="1">#REF!</definedName>
    <definedName name="XREF_COLUMN_1" localSheetId="2" hidden="1">#REF!</definedName>
    <definedName name="XREF_COLUMN_1" hidden="1">#REF!</definedName>
    <definedName name="XREF_COLUMN_2" localSheetId="2" hidden="1">[1]Breakdown!#REF!</definedName>
    <definedName name="XREF_COLUMN_2" hidden="1">[1]Breakdown!#REF!</definedName>
    <definedName name="XREF_COLUMN_3" localSheetId="2" hidden="1">#REF!</definedName>
    <definedName name="XREF_COLUMN_3" hidden="1">#REF!</definedName>
    <definedName name="XREF_COLUMN_5" localSheetId="2" hidden="1">'[2]2004'!#REF!</definedName>
    <definedName name="XREF_COLUMN_5" hidden="1">'[2]2004'!#REF!</definedName>
    <definedName name="XRefActiveRow" localSheetId="2" hidden="1">#REF!</definedName>
    <definedName name="XRefActiveRow" hidden="1">#REF!</definedName>
    <definedName name="XRefCopy1" localSheetId="2" hidden="1">#REF!</definedName>
    <definedName name="XRefCopy1" hidden="1">#REF!</definedName>
    <definedName name="XRefCopy1Row" localSheetId="2" hidden="1">#REF!</definedName>
    <definedName name="XRefCopy1Row" hidden="1">#REF!</definedName>
    <definedName name="XRefCopy2Row" localSheetId="2" hidden="1">#REF!</definedName>
    <definedName name="XRefCopy2Row" hidden="1">#REF!</definedName>
    <definedName name="XRefPaste1" localSheetId="2" hidden="1">#REF!</definedName>
    <definedName name="XRefPaste1" hidden="1">#REF!</definedName>
    <definedName name="XRefPaste1Row" localSheetId="2" hidden="1">#REF!</definedName>
    <definedName name="XRefPaste1Row" hidden="1">#REF!</definedName>
    <definedName name="XRefPaste2" localSheetId="2" hidden="1">#REF!</definedName>
    <definedName name="XRefPaste2" hidden="1">#REF!</definedName>
    <definedName name="XRefPaste2Row" localSheetId="2" hidden="1">#REF!</definedName>
    <definedName name="XRefPaste2Row" hidden="1">#REF!</definedName>
    <definedName name="XRefPaste3" localSheetId="2" hidden="1">#REF!</definedName>
    <definedName name="XRefPaste3" hidden="1">#REF!</definedName>
    <definedName name="XRefPaste3Row" localSheetId="2" hidden="1">#REF!</definedName>
    <definedName name="XRefPaste3Row" hidden="1">#REF!</definedName>
    <definedName name="Z_47D4C474_81EA_4562_A03B_66488F80C527_.wvu.FilterData" localSheetId="2" hidden="1">#REF!</definedName>
    <definedName name="Z_47D4C474_81EA_4562_A03B_66488F80C527_.wvu.FilterData" hidden="1">#REF!</definedName>
    <definedName name="Z_85E7D15F_9559_4B54_A2EE_DCCECE011EC4_.wvu.Cols" localSheetId="2" hidden="1">#REF!</definedName>
    <definedName name="Z_85E7D15F_9559_4B54_A2EE_DCCECE011EC4_.wvu.Cols" hidden="1">#REF!</definedName>
    <definedName name="本循环科目" hidden="1">[3]索引!$D$15:$D$76</definedName>
    <definedName name="底稿目录" localSheetId="2" hidden="1">#REF!</definedName>
    <definedName name="底稿目录" hidden="1">#REF!</definedName>
    <definedName name="新目录" localSheetId="2" hidden="1">#REF!</definedName>
    <definedName name="新目录" hidden="1">#REF!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2" i="8" l="1"/>
  <c r="M12" i="8"/>
  <c r="L12" i="7"/>
  <c r="K12" i="7"/>
  <c r="G21" i="7"/>
  <c r="W48" i="7" l="1"/>
  <c r="Q48" i="7"/>
  <c r="L48" i="7"/>
  <c r="F48" i="7"/>
  <c r="E48" i="7"/>
  <c r="G30" i="7"/>
  <c r="J30" i="7"/>
  <c r="M21" i="7"/>
  <c r="F48" i="8"/>
  <c r="I48" i="8"/>
  <c r="L48" i="8"/>
  <c r="Q39" i="8"/>
  <c r="L39" i="8"/>
  <c r="W39" i="8"/>
  <c r="E39" i="8"/>
  <c r="F39" i="8"/>
  <c r="G30" i="8"/>
  <c r="K30" i="8"/>
  <c r="P30" i="8"/>
  <c r="G21" i="8"/>
  <c r="M21" i="8"/>
  <c r="R21" i="8"/>
  <c r="V21" i="8"/>
  <c r="W21" i="8"/>
  <c r="AC21" i="8"/>
  <c r="E29" i="13"/>
  <c r="E30" i="13" s="1"/>
  <c r="D9" i="10" l="1"/>
  <c r="D10" i="10" s="1"/>
  <c r="D11" i="10" s="1"/>
  <c r="D12" i="10" s="1"/>
  <c r="D13" i="10" s="1"/>
  <c r="T9" i="13" l="1"/>
  <c r="T10" i="13"/>
  <c r="T11" i="13"/>
  <c r="T12" i="13"/>
  <c r="T13" i="13"/>
  <c r="T14" i="13"/>
  <c r="T15" i="13"/>
  <c r="T16" i="13"/>
  <c r="T17" i="13"/>
  <c r="T18" i="13"/>
  <c r="T19" i="13"/>
  <c r="T20" i="13"/>
  <c r="T21" i="13"/>
  <c r="T22" i="13"/>
  <c r="T23" i="13"/>
  <c r="T24" i="13"/>
  <c r="T25" i="13"/>
  <c r="T8" i="13"/>
  <c r="F7" i="5" l="1"/>
  <c r="F6" i="5"/>
  <c r="F8" i="5"/>
  <c r="F9" i="5"/>
  <c r="F10" i="5"/>
  <c r="F11" i="5"/>
  <c r="F12" i="5"/>
  <c r="F13" i="5"/>
  <c r="F14" i="5"/>
  <c r="F15" i="5"/>
  <c r="F16" i="5"/>
  <c r="F17" i="5"/>
  <c r="F18" i="5"/>
  <c r="Q3" i="7"/>
  <c r="I3" i="5"/>
  <c r="F3" i="4"/>
  <c r="AL3" i="3"/>
  <c r="AA3" i="3"/>
  <c r="AB3" i="13"/>
  <c r="R3" i="13"/>
  <c r="F3" i="1"/>
  <c r="K39" i="7"/>
  <c r="H39" i="7"/>
  <c r="E39" i="7"/>
  <c r="E12" i="7"/>
  <c r="E20" i="12"/>
  <c r="G34" i="13" l="1"/>
  <c r="F34" i="13"/>
  <c r="E34" i="13"/>
  <c r="G31" i="13"/>
  <c r="G33" i="13" s="1"/>
  <c r="F31" i="13"/>
  <c r="F33" i="13" s="1"/>
  <c r="E31" i="13"/>
  <c r="G29" i="13"/>
  <c r="G30" i="13" s="1"/>
  <c r="F29" i="13"/>
  <c r="F30" i="13" s="1"/>
  <c r="R9" i="13"/>
  <c r="R10" i="13"/>
  <c r="R11" i="13"/>
  <c r="R12" i="13"/>
  <c r="R13" i="13"/>
  <c r="R14" i="13"/>
  <c r="R15" i="13"/>
  <c r="R16" i="13"/>
  <c r="R17" i="13"/>
  <c r="R18" i="13"/>
  <c r="R19" i="13"/>
  <c r="R20" i="13"/>
  <c r="R21" i="13"/>
  <c r="R22" i="13"/>
  <c r="R23" i="13"/>
  <c r="R24" i="13"/>
  <c r="R25" i="13"/>
  <c r="R8" i="13"/>
  <c r="Q25" i="13"/>
  <c r="Q9" i="13"/>
  <c r="Q10" i="13"/>
  <c r="Q11" i="13"/>
  <c r="Q12" i="13"/>
  <c r="Q13" i="13"/>
  <c r="Q14" i="13"/>
  <c r="Q15" i="13"/>
  <c r="Q16" i="13"/>
  <c r="Q17" i="13"/>
  <c r="Q18" i="13"/>
  <c r="Q19" i="13"/>
  <c r="Q20" i="13"/>
  <c r="Q21" i="13"/>
  <c r="Q22" i="13"/>
  <c r="Q23" i="13"/>
  <c r="Q24" i="13"/>
  <c r="Q8" i="13"/>
  <c r="M9" i="13"/>
  <c r="M10" i="13"/>
  <c r="M11" i="13"/>
  <c r="M12" i="13"/>
  <c r="M13" i="13"/>
  <c r="M14" i="13"/>
  <c r="M15" i="13"/>
  <c r="M16" i="13"/>
  <c r="M17" i="13"/>
  <c r="M18" i="13"/>
  <c r="M19" i="13"/>
  <c r="M20" i="13"/>
  <c r="M21" i="13"/>
  <c r="M22" i="13"/>
  <c r="M23" i="13"/>
  <c r="M24" i="13"/>
  <c r="M25" i="13"/>
  <c r="M8" i="13"/>
  <c r="K9" i="13"/>
  <c r="K10" i="13"/>
  <c r="K11" i="13"/>
  <c r="K12" i="13"/>
  <c r="K13" i="13"/>
  <c r="K14" i="13"/>
  <c r="K15" i="13"/>
  <c r="K16" i="13"/>
  <c r="K17" i="13"/>
  <c r="K18" i="13"/>
  <c r="K19" i="13"/>
  <c r="K20" i="13"/>
  <c r="K21" i="13"/>
  <c r="K22" i="13"/>
  <c r="K23" i="13"/>
  <c r="K24" i="13"/>
  <c r="K25" i="13"/>
  <c r="K8" i="13"/>
  <c r="J9" i="13"/>
  <c r="J10" i="13"/>
  <c r="J11" i="13"/>
  <c r="J12" i="13"/>
  <c r="J13" i="13"/>
  <c r="J14" i="13"/>
  <c r="J15" i="13"/>
  <c r="J16" i="13"/>
  <c r="J17" i="13"/>
  <c r="J18" i="13"/>
  <c r="J19" i="13"/>
  <c r="J20" i="13"/>
  <c r="J21" i="13"/>
  <c r="J22" i="13"/>
  <c r="J23" i="13"/>
  <c r="J24" i="13"/>
  <c r="J25" i="13"/>
  <c r="J8" i="13"/>
  <c r="G9" i="13"/>
  <c r="G10" i="13"/>
  <c r="G11" i="13"/>
  <c r="G12" i="13"/>
  <c r="G13" i="13"/>
  <c r="G14" i="13"/>
  <c r="G15" i="13"/>
  <c r="G16" i="13"/>
  <c r="G17" i="13"/>
  <c r="G18" i="13"/>
  <c r="G19" i="13"/>
  <c r="G20" i="13"/>
  <c r="G21" i="13"/>
  <c r="G22" i="13"/>
  <c r="G23" i="13"/>
  <c r="G24" i="13"/>
  <c r="G25" i="13"/>
  <c r="G8" i="13"/>
  <c r="D11" i="13"/>
  <c r="D9" i="13"/>
  <c r="D10" i="13"/>
  <c r="D12" i="13"/>
  <c r="D13" i="13"/>
  <c r="D14" i="13"/>
  <c r="D15" i="13"/>
  <c r="D16" i="13"/>
  <c r="D17" i="13"/>
  <c r="D18" i="13"/>
  <c r="D19" i="13"/>
  <c r="D20" i="13"/>
  <c r="D21" i="13"/>
  <c r="D22" i="13"/>
  <c r="D23" i="13"/>
  <c r="D24" i="13"/>
  <c r="D25" i="13"/>
  <c r="D8" i="13"/>
  <c r="Y4" i="13"/>
  <c r="Y3" i="13"/>
  <c r="V4" i="13"/>
  <c r="V3" i="13"/>
  <c r="S4" i="13"/>
  <c r="S3" i="13"/>
  <c r="F35" i="13" l="1"/>
  <c r="E32" i="13"/>
  <c r="G32" i="13"/>
  <c r="E35" i="13"/>
  <c r="G35" i="13"/>
  <c r="F32" i="13"/>
  <c r="E33" i="13"/>
  <c r="J4" i="13" l="1"/>
  <c r="F4" i="13"/>
  <c r="C4" i="13"/>
  <c r="J3" i="13"/>
  <c r="F3" i="13"/>
  <c r="C3" i="13"/>
  <c r="E25" i="12" l="1"/>
  <c r="E30" i="12" s="1"/>
  <c r="E13" i="12"/>
  <c r="E8" i="12"/>
  <c r="E18" i="12" l="1"/>
  <c r="E31" i="12" s="1"/>
  <c r="E4" i="12" l="1"/>
  <c r="E3" i="12"/>
  <c r="D4" i="12"/>
  <c r="D3" i="12"/>
  <c r="A4" i="12"/>
  <c r="A3" i="12"/>
  <c r="F4" i="11" l="1"/>
  <c r="F3" i="11"/>
  <c r="D4" i="11"/>
  <c r="D3" i="11"/>
  <c r="A4" i="11"/>
  <c r="A3" i="11"/>
  <c r="E12" i="8" l="1"/>
  <c r="L4" i="8" l="1"/>
  <c r="L3" i="8"/>
  <c r="G4" i="8"/>
  <c r="G3" i="8"/>
  <c r="A4" i="8"/>
  <c r="A3" i="8"/>
  <c r="J4" i="7"/>
  <c r="J3" i="7"/>
  <c r="E4" i="7"/>
  <c r="E3" i="7"/>
  <c r="A4" i="7"/>
  <c r="A3" i="7"/>
  <c r="H4" i="6"/>
  <c r="H3" i="6"/>
  <c r="E4" i="6"/>
  <c r="E3" i="6"/>
  <c r="A4" i="6"/>
  <c r="A3" i="6"/>
  <c r="F4" i="5"/>
  <c r="F3" i="5"/>
  <c r="D4" i="5"/>
  <c r="D3" i="5"/>
  <c r="A4" i="5"/>
  <c r="A3" i="5"/>
  <c r="D4" i="4"/>
  <c r="D3" i="4"/>
  <c r="C4" i="4"/>
  <c r="C3" i="4"/>
  <c r="A4" i="4"/>
  <c r="A3" i="4"/>
  <c r="AH4" i="3" l="1"/>
  <c r="AH3" i="3"/>
  <c r="AE4" i="3"/>
  <c r="AE3" i="3"/>
  <c r="W4" i="3"/>
  <c r="W3" i="3"/>
  <c r="T4" i="3"/>
  <c r="T3" i="3"/>
  <c r="K3" i="3"/>
  <c r="K4" i="3"/>
  <c r="F4" i="3"/>
  <c r="F3" i="3"/>
  <c r="B4" i="3"/>
  <c r="B3" i="3"/>
  <c r="D4" i="1"/>
  <c r="D3" i="1"/>
  <c r="C4" i="1"/>
  <c r="C3" i="1"/>
  <c r="A4" i="1"/>
  <c r="D5" i="10"/>
  <c r="D6" i="10" s="1"/>
  <c r="D7" i="10" s="1"/>
  <c r="D8" i="10" s="1"/>
  <c r="F19" i="5"/>
  <c r="E19" i="5"/>
  <c r="D19" i="5"/>
</calcChain>
</file>

<file path=xl/comments1.xml><?xml version="1.0" encoding="utf-8"?>
<comments xmlns="http://schemas.openxmlformats.org/spreadsheetml/2006/main">
  <authors>
    <author>何先琴</author>
  </authors>
  <commentList>
    <comment ref="L5" authorId="0" shapeId="0">
      <text>
        <r>
          <rPr>
            <b/>
            <sz val="9"/>
            <color indexed="81"/>
            <rFont val="宋体"/>
            <family val="3"/>
            <charset val="134"/>
          </rPr>
          <t>专业技术部:</t>
        </r>
        <r>
          <rPr>
            <sz val="9"/>
            <color indexed="81"/>
            <rFont val="宋体"/>
            <family val="3"/>
            <charset val="134"/>
          </rPr>
          <t xml:space="preserve">
对收到的回函重点检查：
1.确认与发出的询证函是否为同一份、是否为原件；
2.检查回函发出地址、快递物流信息，核实回函地址是否与发函收件地址一致，对比回函印章是否与被询证着名称一致、加盖印章和签名是否清晰可辨认等；必要时进一步与被审计单位持有的其他文件进行核对或亲自前往被询证者进行核实；
3.关注回函中是否包含免责或其他限制性条款；
4.检查函证信息是否相符，对回函不符的询证函事项查明原因确定是否存在错报，考虑是否存在舞弊的可能性。</t>
        </r>
      </text>
    </comment>
  </commentList>
</comments>
</file>

<file path=xl/comments2.xml><?xml version="1.0" encoding="utf-8"?>
<comments xmlns="http://schemas.openxmlformats.org/spreadsheetml/2006/main">
  <authors>
    <author>Windows 用户</author>
  </authors>
  <commentList>
    <comment ref="A17" authorId="0" shapeId="0">
      <text>
        <r>
          <rPr>
            <b/>
            <sz val="9"/>
            <color indexed="81"/>
            <rFont val="宋体"/>
            <family val="3"/>
            <charset val="134"/>
          </rPr>
          <t>Windows 用户:</t>
        </r>
        <r>
          <rPr>
            <sz val="9"/>
            <color indexed="81"/>
            <rFont val="宋体"/>
            <family val="3"/>
            <charset val="134"/>
          </rPr>
          <t xml:space="preserve">
应将将执行可靠性验证确认过程的审计人员姓名及日期、获得被询证者电话的方式、被询证者联络人员姓名及所属部门、沟通的过程及其结果等内容清晰地记录在审计工作底稿中</t>
        </r>
      </text>
    </comment>
  </commentList>
</comments>
</file>

<file path=xl/sharedStrings.xml><?xml version="1.0" encoding="utf-8"?>
<sst xmlns="http://schemas.openxmlformats.org/spreadsheetml/2006/main" count="755" uniqueCount="581">
  <si>
    <r>
      <rPr>
        <b/>
        <sz val="12"/>
        <rFont val="宋体"/>
        <family val="3"/>
        <charset val="134"/>
      </rPr>
      <t>致同会计师事务所</t>
    </r>
  </si>
  <si>
    <t>序号</t>
    <phoneticPr fontId="9" type="noConversion"/>
  </si>
  <si>
    <t>审计程序</t>
    <phoneticPr fontId="5" type="noConversion"/>
  </si>
  <si>
    <t>程序分类</t>
    <phoneticPr fontId="9" type="noConversion"/>
  </si>
  <si>
    <t>底稿索引号</t>
    <phoneticPr fontId="9" type="noConversion"/>
  </si>
  <si>
    <t>1</t>
    <phoneticPr fontId="9" type="noConversion"/>
  </si>
  <si>
    <t>常规★</t>
    <phoneticPr fontId="5" type="noConversion"/>
  </si>
  <si>
    <t>2</t>
    <phoneticPr fontId="9" type="noConversion"/>
  </si>
  <si>
    <t>3</t>
    <phoneticPr fontId="9" type="noConversion"/>
  </si>
  <si>
    <t>常规★</t>
    <phoneticPr fontId="5" type="noConversion"/>
  </si>
  <si>
    <t>4</t>
    <phoneticPr fontId="9" type="noConversion"/>
  </si>
  <si>
    <t>注册会计师直接收发询证函，跟函时观察实地场所以及函证核对过程，确认处理函证的人员身份和权限，防范询证函被拦截、篡改或发生串通舞弊，并在底稿中记录或留存控制过程；</t>
    <phoneticPr fontId="9" type="noConversion"/>
  </si>
  <si>
    <t>常规★</t>
    <phoneticPr fontId="5" type="noConversion"/>
  </si>
  <si>
    <t>5</t>
    <phoneticPr fontId="9" type="noConversion"/>
  </si>
  <si>
    <t>留存亲自寄发函证的寄送单回执及被审计单位盖章确认的询证函复印件，核实发函快递物流信息；</t>
    <phoneticPr fontId="9" type="noConversion"/>
  </si>
  <si>
    <t>6</t>
    <phoneticPr fontId="9" type="noConversion"/>
  </si>
  <si>
    <t>序号</t>
  </si>
  <si>
    <t>收件地址</t>
    <phoneticPr fontId="9" type="noConversion"/>
  </si>
  <si>
    <t>回函方式</t>
    <phoneticPr fontId="9" type="noConversion"/>
  </si>
  <si>
    <t>发函地址与回函地址是否一致</t>
    <phoneticPr fontId="9" type="noConversion"/>
  </si>
  <si>
    <r>
      <t>1</t>
    </r>
    <r>
      <rPr>
        <sz val="10"/>
        <rFont val="宋体"/>
        <family val="3"/>
        <charset val="134"/>
      </rPr>
      <t>、对询证函保持的控制的说明</t>
    </r>
    <phoneticPr fontId="9" type="noConversion"/>
  </si>
  <si>
    <r>
      <t>2</t>
    </r>
    <r>
      <rPr>
        <sz val="10"/>
        <rFont val="宋体"/>
        <family val="3"/>
        <charset val="134"/>
      </rPr>
      <t>、对误差的分析</t>
    </r>
    <phoneticPr fontId="9" type="noConversion"/>
  </si>
  <si>
    <r>
      <t>4</t>
    </r>
    <r>
      <rPr>
        <sz val="10"/>
        <rFont val="宋体"/>
        <family val="3"/>
        <charset val="134"/>
      </rPr>
      <t>、针对不符事项的程序</t>
    </r>
    <phoneticPr fontId="9" type="noConversion"/>
  </si>
  <si>
    <r>
      <t>5</t>
    </r>
    <r>
      <rPr>
        <sz val="10"/>
        <rFont val="宋体"/>
        <family val="3"/>
        <charset val="134"/>
      </rPr>
      <t>、针对未回函的替代程序</t>
    </r>
    <phoneticPr fontId="9" type="noConversion"/>
  </si>
  <si>
    <t>编制说明：</t>
    <phoneticPr fontId="9" type="noConversion"/>
  </si>
  <si>
    <r>
      <t>1</t>
    </r>
    <r>
      <rPr>
        <b/>
        <sz val="10"/>
        <color indexed="12"/>
        <rFont val="宋体"/>
        <family val="3"/>
        <charset val="134"/>
      </rPr>
      <t>、函证样本的选择：</t>
    </r>
    <phoneticPr fontId="9" type="noConversion"/>
  </si>
  <si>
    <r>
      <rPr>
        <sz val="10"/>
        <color indexed="12"/>
        <rFont val="宋体"/>
        <family val="3"/>
        <charset val="134"/>
      </rPr>
      <t>《中国注册会计师审计准则第</t>
    </r>
    <r>
      <rPr>
        <sz val="10"/>
        <color indexed="12"/>
        <rFont val="Arial Narrow"/>
        <family val="2"/>
      </rPr>
      <t>1312</t>
    </r>
    <r>
      <rPr>
        <sz val="10"/>
        <color indexed="12"/>
        <rFont val="宋体"/>
        <family val="3"/>
        <charset val="134"/>
      </rPr>
      <t>号</t>
    </r>
    <r>
      <rPr>
        <sz val="10"/>
        <color indexed="12"/>
        <rFont val="Arial Narrow"/>
        <family val="2"/>
      </rPr>
      <t>——</t>
    </r>
    <r>
      <rPr>
        <sz val="10"/>
        <color indexed="12"/>
        <rFont val="宋体"/>
        <family val="3"/>
        <charset val="134"/>
      </rPr>
      <t>函证》第十条注册会计师采用审计抽样或其他选取测试项目的方法</t>
    </r>
  </si>
  <si>
    <r>
      <rPr>
        <sz val="10"/>
        <color indexed="12"/>
        <rFont val="宋体"/>
        <family val="3"/>
        <charset val="134"/>
      </rPr>
      <t>选择函证样本时，样本应当足以代表总体，并包括：</t>
    </r>
    <phoneticPr fontId="9" type="noConversion"/>
  </si>
  <si>
    <r>
      <rPr>
        <sz val="10"/>
        <color indexed="12"/>
        <rFont val="宋体"/>
        <family val="3"/>
        <charset val="134"/>
      </rPr>
      <t>（一）金额较大的项目；</t>
    </r>
  </si>
  <si>
    <r>
      <rPr>
        <sz val="10"/>
        <color indexed="12"/>
        <rFont val="宋体"/>
        <family val="3"/>
        <charset val="134"/>
      </rPr>
      <t>　　（二）账龄较长的项目；</t>
    </r>
  </si>
  <si>
    <r>
      <rPr>
        <sz val="10"/>
        <color indexed="12"/>
        <rFont val="宋体"/>
        <family val="3"/>
        <charset val="134"/>
      </rPr>
      <t>　　（三）交易频繁但期末余额较小的项目；</t>
    </r>
  </si>
  <si>
    <r>
      <rPr>
        <sz val="10"/>
        <color indexed="12"/>
        <rFont val="宋体"/>
        <family val="3"/>
        <charset val="134"/>
      </rPr>
      <t>　　（四）重大关联方交易；</t>
    </r>
  </si>
  <si>
    <r>
      <rPr>
        <sz val="10"/>
        <color indexed="12"/>
        <rFont val="宋体"/>
        <family val="3"/>
        <charset val="134"/>
      </rPr>
      <t>　　（五）重大或异常的交易；</t>
    </r>
  </si>
  <si>
    <r>
      <rPr>
        <sz val="10"/>
        <color indexed="12"/>
        <rFont val="宋体"/>
        <family val="3"/>
        <charset val="134"/>
      </rPr>
      <t>　　（六）可能存在争议以及产生重大舞弊或错误的交易。</t>
    </r>
  </si>
  <si>
    <r>
      <t>2</t>
    </r>
    <r>
      <rPr>
        <b/>
        <sz val="10"/>
        <color indexed="12"/>
        <rFont val="宋体"/>
        <family val="3"/>
        <charset val="134"/>
      </rPr>
      <t>、函证注意事项：</t>
    </r>
    <phoneticPr fontId="9" type="noConversion"/>
  </si>
  <si>
    <r>
      <rPr>
        <sz val="10"/>
        <color indexed="12"/>
        <rFont val="宋体"/>
        <family val="3"/>
        <charset val="134"/>
      </rPr>
      <t>①严格控制发函过程（亲自发函；直接回函）；</t>
    </r>
  </si>
  <si>
    <r>
      <rPr>
        <sz val="10"/>
        <color indexed="12"/>
        <rFont val="宋体"/>
        <family val="3"/>
        <charset val="134"/>
      </rPr>
      <t>②传真件、电子邮件回函可以作为证据，但可靠性低于原件且需严格控制并记录函证过程；</t>
    </r>
    <phoneticPr fontId="9" type="noConversion"/>
  </si>
  <si>
    <r>
      <rPr>
        <sz val="10"/>
        <color indexed="12"/>
        <rFont val="宋体"/>
        <family val="3"/>
        <charset val="134"/>
      </rPr>
      <t>③同一客户的多项往来在同一张询证函列示；</t>
    </r>
  </si>
  <si>
    <r>
      <rPr>
        <sz val="10"/>
        <color indexed="12"/>
        <rFont val="宋体"/>
        <family val="3"/>
        <charset val="134"/>
      </rPr>
      <t>④关联往来核对一致；</t>
    </r>
  </si>
  <si>
    <r>
      <rPr>
        <sz val="10"/>
        <color indexed="12"/>
        <rFont val="宋体"/>
        <family val="3"/>
        <charset val="134"/>
      </rPr>
      <t>⑤收信人尽量写清楚；</t>
    </r>
  </si>
  <si>
    <r>
      <rPr>
        <sz val="10"/>
        <color indexed="12"/>
        <rFont val="宋体"/>
        <family val="3"/>
        <charset val="134"/>
      </rPr>
      <t>⑥收到回函编制函证控制表（函证结果汇总表），保留回函信封，注明选样标准；</t>
    </r>
    <phoneticPr fontId="9" type="noConversion"/>
  </si>
  <si>
    <r>
      <rPr>
        <sz val="10"/>
        <color indexed="12"/>
        <rFont val="宋体"/>
        <family val="3"/>
        <charset val="134"/>
      </rPr>
      <t>⑦回函有差异须进一步核对原因；</t>
    </r>
  </si>
  <si>
    <r>
      <rPr>
        <sz val="10"/>
        <color indexed="12"/>
        <rFont val="宋体"/>
        <family val="3"/>
        <charset val="134"/>
      </rPr>
      <t>⑧未回函的</t>
    </r>
    <r>
      <rPr>
        <u/>
        <sz val="10"/>
        <color indexed="10"/>
        <rFont val="宋体"/>
        <family val="3"/>
        <charset val="134"/>
      </rPr>
      <t>全部</t>
    </r>
    <r>
      <rPr>
        <sz val="10"/>
        <color indexed="12"/>
        <rFont val="宋体"/>
        <family val="3"/>
        <charset val="134"/>
      </rPr>
      <t>执行替代程序。</t>
    </r>
    <phoneticPr fontId="9" type="noConversion"/>
  </si>
  <si>
    <r>
      <t>3</t>
    </r>
    <r>
      <rPr>
        <b/>
        <sz val="10"/>
        <color indexed="12"/>
        <rFont val="宋体"/>
        <family val="3"/>
        <charset val="134"/>
      </rPr>
      <t>、概述：（</t>
    </r>
    <r>
      <rPr>
        <b/>
        <sz val="10"/>
        <color indexed="12"/>
        <rFont val="Arial Narrow"/>
        <family val="2"/>
      </rPr>
      <t>1</t>
    </r>
    <r>
      <rPr>
        <b/>
        <sz val="10"/>
        <color indexed="12"/>
        <rFont val="宋体"/>
        <family val="3"/>
        <charset val="134"/>
      </rPr>
      <t>）程序的测试情况、结果；</t>
    </r>
    <phoneticPr fontId="9" type="noConversion"/>
  </si>
  <si>
    <t>（2）拟调整事项及其调整分录、未调整事项及其影响，审计范围受到限制情况及其影响。</t>
  </si>
  <si>
    <r>
      <rPr>
        <b/>
        <sz val="10"/>
        <color indexed="12"/>
        <rFont val="宋体"/>
        <family val="3"/>
        <charset val="134"/>
      </rPr>
      <t>参考结论：</t>
    </r>
    <r>
      <rPr>
        <sz val="12"/>
        <rFont val="Arial Narrow"/>
        <family val="2"/>
      </rPr>
      <t/>
    </r>
    <phoneticPr fontId="9" type="noConversion"/>
  </si>
  <si>
    <r>
      <t>A</t>
    </r>
    <r>
      <rPr>
        <sz val="10"/>
        <color indexed="12"/>
        <rFont val="宋体"/>
        <family val="3"/>
        <charset val="134"/>
      </rPr>
      <t>、</t>
    </r>
    <phoneticPr fontId="9" type="noConversion"/>
  </si>
  <si>
    <r>
      <rPr>
        <sz val="10"/>
        <color indexed="12"/>
        <rFont val="宋体"/>
        <family val="3"/>
        <charset val="134"/>
      </rPr>
      <t>未见异常。</t>
    </r>
    <phoneticPr fontId="9" type="noConversion"/>
  </si>
  <si>
    <r>
      <t>B</t>
    </r>
    <r>
      <rPr>
        <sz val="10"/>
        <color indexed="12"/>
        <rFont val="宋体"/>
        <family val="3"/>
        <charset val="134"/>
      </rPr>
      <t>、</t>
    </r>
    <phoneticPr fontId="9" type="noConversion"/>
  </si>
  <si>
    <r>
      <rPr>
        <sz val="10"/>
        <color indexed="12"/>
        <rFont val="宋体"/>
        <family val="3"/>
        <charset val="134"/>
      </rPr>
      <t>除以下重大不符事项应当作为调整事项予以调整外，其余未见异常。</t>
    </r>
    <phoneticPr fontId="9" type="noConversion"/>
  </si>
  <si>
    <r>
      <t>C</t>
    </r>
    <r>
      <rPr>
        <sz val="10"/>
        <color indexed="12"/>
        <rFont val="宋体"/>
        <family val="3"/>
        <charset val="134"/>
      </rPr>
      <t>、</t>
    </r>
    <phoneticPr fontId="9" type="noConversion"/>
  </si>
  <si>
    <r>
      <rPr>
        <sz val="10"/>
        <color indexed="12"/>
        <rFont val="宋体"/>
        <family val="3"/>
        <charset val="134"/>
      </rPr>
      <t>由于存在以下重大未调整事项（或审计范围受到限制无法获取充分、适当证据），不可确认。</t>
    </r>
    <phoneticPr fontId="9" type="noConversion"/>
  </si>
  <si>
    <t>后附审计证据：询证函回函、不符事项相关资料、替代程序资料等。</t>
    <phoneticPr fontId="9" type="noConversion"/>
  </si>
  <si>
    <r>
      <rPr>
        <sz val="10"/>
        <rFont val="宋体"/>
        <family val="3"/>
        <charset val="134"/>
      </rPr>
      <t>页次：</t>
    </r>
  </si>
  <si>
    <r>
      <rPr>
        <b/>
        <sz val="10"/>
        <rFont val="宋体"/>
        <family val="3"/>
        <charset val="134"/>
      </rPr>
      <t>函证索引</t>
    </r>
  </si>
  <si>
    <t>回函信息情况（回函核对记录）</t>
    <phoneticPr fontId="9" type="noConversion"/>
  </si>
  <si>
    <r>
      <rPr>
        <b/>
        <sz val="10"/>
        <rFont val="宋体"/>
        <family val="3"/>
        <charset val="134"/>
      </rPr>
      <t>经核实的原因</t>
    </r>
  </si>
  <si>
    <r>
      <rPr>
        <b/>
        <sz val="10"/>
        <color theme="1"/>
        <rFont val="宋体"/>
        <family val="3"/>
        <charset val="134"/>
      </rPr>
      <t>是否进行第二次发函？
（是</t>
    </r>
    <r>
      <rPr>
        <b/>
        <sz val="10"/>
        <color theme="1"/>
        <rFont val="Arial Narrow"/>
        <family val="2"/>
      </rPr>
      <t>/</t>
    </r>
    <r>
      <rPr>
        <b/>
        <sz val="10"/>
        <color theme="1"/>
        <rFont val="宋体"/>
        <family val="3"/>
        <charset val="134"/>
      </rPr>
      <t>否）</t>
    </r>
  </si>
  <si>
    <r>
      <rPr>
        <b/>
        <sz val="10"/>
        <rFont val="宋体"/>
        <family val="3"/>
        <charset val="134"/>
      </rPr>
      <t>第二次发函的被函证单位信息</t>
    </r>
  </si>
  <si>
    <t>被询证单位全称</t>
    <phoneticPr fontId="9" type="noConversion"/>
  </si>
  <si>
    <t>函证方式</t>
    <phoneticPr fontId="9" type="noConversion"/>
  </si>
  <si>
    <r>
      <rPr>
        <b/>
        <sz val="10"/>
        <rFont val="宋体"/>
        <family val="3"/>
        <charset val="134"/>
      </rPr>
      <t>邮编</t>
    </r>
  </si>
  <si>
    <r>
      <rPr>
        <b/>
        <sz val="10"/>
        <rFont val="宋体"/>
        <family val="3"/>
        <charset val="134"/>
      </rPr>
      <t>联系人</t>
    </r>
  </si>
  <si>
    <r>
      <rPr>
        <b/>
        <sz val="10"/>
        <rFont val="宋体"/>
        <family val="3"/>
        <charset val="134"/>
      </rPr>
      <t>联系电话</t>
    </r>
  </si>
  <si>
    <t>邮箱/传真</t>
    <phoneticPr fontId="9" type="noConversion"/>
  </si>
  <si>
    <r>
      <rPr>
        <b/>
        <sz val="10"/>
        <color rgb="FFFF0000"/>
        <rFont val="宋体"/>
        <family val="3"/>
        <charset val="134"/>
      </rPr>
      <t>企查查</t>
    </r>
    <r>
      <rPr>
        <b/>
        <sz val="10"/>
        <rFont val="宋体"/>
        <family val="3"/>
        <charset val="134"/>
      </rPr>
      <t>地址</t>
    </r>
    <phoneticPr fontId="9" type="noConversion"/>
  </si>
  <si>
    <r>
      <t>发函地址与</t>
    </r>
    <r>
      <rPr>
        <b/>
        <sz val="10"/>
        <color rgb="FFFF0000"/>
        <rFont val="宋体"/>
        <family val="3"/>
        <charset val="134"/>
      </rPr>
      <t>企查查</t>
    </r>
    <r>
      <rPr>
        <b/>
        <sz val="10"/>
        <rFont val="宋体"/>
        <family val="3"/>
        <charset val="134"/>
      </rPr>
      <t>地址是否一致</t>
    </r>
    <phoneticPr fontId="9" type="noConversion"/>
  </si>
  <si>
    <t>地址核查不一致的说明</t>
    <phoneticPr fontId="9" type="noConversion"/>
  </si>
  <si>
    <t>地址不一致的核实方式</t>
    <phoneticPr fontId="9" type="noConversion"/>
  </si>
  <si>
    <t>核实的支持性文件或其他公开信息索引号</t>
    <phoneticPr fontId="9" type="noConversion"/>
  </si>
  <si>
    <t>不一致说明是否合理</t>
    <phoneticPr fontId="9" type="noConversion"/>
  </si>
  <si>
    <t>回函寄件人</t>
    <phoneticPr fontId="9" type="noConversion"/>
  </si>
  <si>
    <t>回函电话</t>
    <phoneticPr fontId="9" type="noConversion"/>
  </si>
  <si>
    <t>发函收件人与回函寄件人是否一致</t>
    <phoneticPr fontId="9" type="noConversion"/>
  </si>
  <si>
    <t>发函收件人电话与回函寄件人电话是否一致</t>
    <phoneticPr fontId="9" type="noConversion"/>
  </si>
  <si>
    <t>不一致的说明</t>
    <phoneticPr fontId="9" type="noConversion"/>
  </si>
  <si>
    <t>核实支持性证据索引号</t>
    <phoneticPr fontId="9" type="noConversion"/>
  </si>
  <si>
    <r>
      <rPr>
        <b/>
        <sz val="10"/>
        <rFont val="宋体"/>
        <family val="3"/>
        <charset val="134"/>
      </rPr>
      <t>传真</t>
    </r>
  </si>
  <si>
    <t>信息是否核查一致</t>
    <phoneticPr fontId="9" type="noConversion"/>
  </si>
  <si>
    <r>
      <rPr>
        <b/>
        <sz val="10"/>
        <color rgb="FF0000FF"/>
        <rFont val="宋体"/>
        <family val="3"/>
        <charset val="134"/>
      </rPr>
      <t>说明</t>
    </r>
    <r>
      <rPr>
        <b/>
        <sz val="10"/>
        <color rgb="FF0000FF"/>
        <rFont val="Arial Narrow"/>
        <family val="2"/>
      </rPr>
      <t>1</t>
    </r>
    <r>
      <rPr>
        <b/>
        <sz val="10"/>
        <color rgb="FF0000FF"/>
        <rFont val="宋体"/>
        <family val="3"/>
        <charset val="134"/>
      </rPr>
      <t>：</t>
    </r>
    <phoneticPr fontId="9" type="noConversion"/>
  </si>
  <si>
    <r>
      <rPr>
        <sz val="10"/>
        <color rgb="FF0000FF"/>
        <rFont val="宋体"/>
        <family val="3"/>
        <charset val="134"/>
      </rPr>
      <t>进行核实的信息应该包括单位名称，地址，以及联系人和电话。</t>
    </r>
  </si>
  <si>
    <r>
      <t>1.</t>
    </r>
    <r>
      <rPr>
        <sz val="10"/>
        <color rgb="FF0000FF"/>
        <rFont val="宋体"/>
        <family val="3"/>
        <charset val="134"/>
      </rPr>
      <t>项目组可利用函证中心对接的企查查获取被函证单位地址，如果不一致的应使用多种方法来核实被函证单位的信息，如查找相关发票</t>
    </r>
    <r>
      <rPr>
        <sz val="10"/>
        <color rgb="FF0000FF"/>
        <rFont val="Arial Narrow"/>
        <family val="2"/>
      </rPr>
      <t>/</t>
    </r>
    <r>
      <rPr>
        <sz val="10"/>
        <color rgb="FF0000FF"/>
        <rFont val="宋体"/>
        <family val="3"/>
        <charset val="134"/>
      </rPr>
      <t>合同，网站搜索，电话确认，邮件确认等，请详细记录核实的方式</t>
    </r>
    <phoneticPr fontId="9" type="noConversion"/>
  </si>
  <si>
    <r>
      <t>2.</t>
    </r>
    <r>
      <rPr>
        <sz val="10"/>
        <color rgb="FF0000FF"/>
        <rFont val="宋体"/>
        <family val="3"/>
        <charset val="134"/>
      </rPr>
      <t>若检查了相关支持性文件或其他公开信息，请记录所检查的详细内容。</t>
    </r>
  </si>
  <si>
    <r>
      <t>3.</t>
    </r>
    <r>
      <rPr>
        <sz val="10"/>
        <color rgb="FF0000FF"/>
        <rFont val="宋体"/>
        <family val="3"/>
        <charset val="134"/>
      </rPr>
      <t>请记录确认联系人身份的过程。</t>
    </r>
    <r>
      <rPr>
        <u/>
        <sz val="10"/>
        <color rgb="FF0000FF"/>
        <rFont val="宋体"/>
        <family val="3"/>
        <charset val="134"/>
      </rPr>
      <t>注意：在银行函证中，也应注意核实联系人的身份并记录工号（若有）</t>
    </r>
  </si>
  <si>
    <r>
      <t>4.</t>
    </r>
    <r>
      <rPr>
        <sz val="10"/>
        <color rgb="FF0000FF"/>
        <rFont val="宋体"/>
        <family val="3"/>
        <charset val="134"/>
      </rPr>
      <t>在核实结果中，应注明所检查的信息（包括单位名称、地址、联系人及电话等）是否与被函证单位信息相符。</t>
    </r>
  </si>
  <si>
    <r>
      <rPr>
        <b/>
        <sz val="10"/>
        <color rgb="FF0000FF"/>
        <rFont val="宋体"/>
        <family val="3"/>
        <charset val="134"/>
      </rPr>
      <t>说明</t>
    </r>
    <r>
      <rPr>
        <b/>
        <sz val="10"/>
        <color rgb="FF0000FF"/>
        <rFont val="Arial Narrow"/>
        <family val="2"/>
      </rPr>
      <t>2</t>
    </r>
    <r>
      <rPr>
        <b/>
        <sz val="10"/>
        <color rgb="FF0000FF"/>
        <rFont val="宋体"/>
        <family val="3"/>
        <charset val="134"/>
      </rPr>
      <t>：</t>
    </r>
    <phoneticPr fontId="9" type="noConversion"/>
  </si>
  <si>
    <r>
      <rPr>
        <sz val="10"/>
        <color rgb="FF0000FF"/>
        <rFont val="宋体"/>
        <family val="3"/>
        <charset val="134"/>
      </rPr>
      <t>请详细记录核实函证被退回原因所进行的程序，</t>
    </r>
    <r>
      <rPr>
        <sz val="10"/>
        <color rgb="FF0000FF"/>
        <rFont val="Arial Narrow"/>
        <family val="2"/>
      </rPr>
      <t xml:space="preserve"> </t>
    </r>
    <r>
      <rPr>
        <sz val="10"/>
        <color rgb="FF0000FF"/>
        <rFont val="宋体"/>
        <family val="3"/>
        <charset val="134"/>
      </rPr>
      <t>例如：询问，检查等程序的具体内容</t>
    </r>
  </si>
  <si>
    <r>
      <rPr>
        <b/>
        <sz val="10"/>
        <color rgb="FF0000FF"/>
        <rFont val="宋体"/>
        <family val="3"/>
        <charset val="134"/>
      </rPr>
      <t>说明</t>
    </r>
    <r>
      <rPr>
        <b/>
        <sz val="10"/>
        <color rgb="FF0000FF"/>
        <rFont val="Arial Narrow"/>
        <family val="2"/>
      </rPr>
      <t>3</t>
    </r>
    <r>
      <rPr>
        <b/>
        <sz val="10"/>
        <color rgb="FF0000FF"/>
        <rFont val="宋体"/>
        <family val="3"/>
        <charset val="134"/>
      </rPr>
      <t>：</t>
    </r>
    <phoneticPr fontId="9" type="noConversion"/>
  </si>
  <si>
    <r>
      <rPr>
        <sz val="10"/>
        <color rgb="FF0000FF"/>
        <rFont val="宋体"/>
        <family val="3"/>
        <charset val="134"/>
      </rPr>
      <t>若退回的原因不合理或存在舞弊可能，审计项目组人员应及时告知项目负责人，并咨询有关针对舞弊的审计应对措施</t>
    </r>
    <phoneticPr fontId="46" type="noConversion"/>
  </si>
  <si>
    <r>
      <rPr>
        <b/>
        <sz val="10"/>
        <color rgb="FF0000FF"/>
        <rFont val="宋体"/>
        <family val="3"/>
        <charset val="134"/>
      </rPr>
      <t>说明</t>
    </r>
    <r>
      <rPr>
        <b/>
        <sz val="10"/>
        <color rgb="FF0000FF"/>
        <rFont val="Arial Narrow"/>
        <family val="2"/>
      </rPr>
      <t>4</t>
    </r>
    <r>
      <rPr>
        <b/>
        <sz val="10"/>
        <color rgb="FF0000FF"/>
        <rFont val="宋体"/>
        <family val="3"/>
        <charset val="134"/>
      </rPr>
      <t>：</t>
    </r>
    <phoneticPr fontId="9" type="noConversion"/>
  </si>
  <si>
    <t>跟函函证过程控制</t>
    <phoneticPr fontId="9" type="noConversion"/>
  </si>
  <si>
    <r>
      <rPr>
        <b/>
        <sz val="10"/>
        <rFont val="宋体"/>
        <family val="3"/>
        <charset val="134"/>
      </rPr>
      <t>直接至被函证方公司进行函证（</t>
    </r>
    <r>
      <rPr>
        <b/>
        <sz val="10"/>
        <rFont val="Arial Narrow"/>
        <family val="2"/>
      </rPr>
      <t>“</t>
    </r>
    <r>
      <rPr>
        <b/>
        <sz val="10"/>
        <rFont val="宋体"/>
        <family val="3"/>
        <charset val="134"/>
      </rPr>
      <t>跟函</t>
    </r>
    <r>
      <rPr>
        <b/>
        <sz val="10"/>
        <rFont val="Arial Narrow"/>
        <family val="2"/>
      </rPr>
      <t>”</t>
    </r>
    <r>
      <rPr>
        <b/>
        <sz val="10"/>
        <rFont val="宋体"/>
        <family val="3"/>
        <charset val="134"/>
      </rPr>
      <t>）程序的记录</t>
    </r>
    <r>
      <rPr>
        <sz val="10"/>
        <rFont val="Arial Narrow"/>
        <family val="2"/>
      </rPr>
      <t xml:space="preserve">   </t>
    </r>
  </si>
  <si>
    <r>
      <rPr>
        <b/>
        <sz val="10"/>
        <color rgb="FF0000FF"/>
        <rFont val="宋体"/>
        <family val="3"/>
        <charset val="134"/>
      </rPr>
      <t>提示：</t>
    </r>
  </si>
  <si>
    <r>
      <t>·</t>
    </r>
    <r>
      <rPr>
        <b/>
        <sz val="10"/>
        <color rgb="FF0000FF"/>
        <rFont val="宋体"/>
        <family val="3"/>
        <charset val="134"/>
      </rPr>
      <t>本记录是针对审计项目组成员不通过寄送，而是直接至被函证方公司进行函证（</t>
    </r>
    <r>
      <rPr>
        <b/>
        <sz val="10"/>
        <color rgb="FF0000FF"/>
        <rFont val="Arial Narrow"/>
        <family val="2"/>
      </rPr>
      <t>“</t>
    </r>
    <r>
      <rPr>
        <b/>
        <sz val="10"/>
        <color rgb="FF0000FF"/>
        <rFont val="宋体"/>
        <family val="3"/>
        <charset val="134"/>
      </rPr>
      <t>跟函</t>
    </r>
    <r>
      <rPr>
        <b/>
        <sz val="10"/>
        <color rgb="FF0000FF"/>
        <rFont val="Arial Narrow"/>
        <family val="2"/>
      </rPr>
      <t>”</t>
    </r>
    <r>
      <rPr>
        <b/>
        <sz val="10"/>
        <color rgb="FF0000FF"/>
        <rFont val="宋体"/>
        <family val="3"/>
        <charset val="134"/>
      </rPr>
      <t>）的情况。</t>
    </r>
    <phoneticPr fontId="9" type="noConversion"/>
  </si>
  <si>
    <r>
      <t>·</t>
    </r>
    <r>
      <rPr>
        <b/>
        <sz val="10"/>
        <color rgb="FF0000FF"/>
        <rFont val="宋体"/>
        <family val="3"/>
        <charset val="134"/>
      </rPr>
      <t>本记录应由执行跟函程序的项目组成员针对每一份经由跟函程序取得的函证编制，并由该跟函人员在记录底稿上手书签署姓名。</t>
    </r>
    <phoneticPr fontId="9" type="noConversion"/>
  </si>
  <si>
    <r>
      <t>·</t>
    </r>
    <r>
      <rPr>
        <b/>
        <sz val="10"/>
        <color rgb="FF0000FF"/>
        <rFont val="Arial Narrow"/>
        <family val="2"/>
      </rPr>
      <t>[  ]</t>
    </r>
    <r>
      <rPr>
        <b/>
        <sz val="10"/>
        <color rgb="FF0000FF"/>
        <rFont val="宋体"/>
        <family val="3"/>
        <charset val="134"/>
      </rPr>
      <t>中的斜体字请根据实际情况填写。</t>
    </r>
    <phoneticPr fontId="9" type="noConversion"/>
  </si>
  <si>
    <r>
      <rPr>
        <sz val="10"/>
        <rFont val="宋体"/>
        <family val="3"/>
        <charset val="134"/>
      </rPr>
      <t>审计项目组成员</t>
    </r>
    <r>
      <rPr>
        <i/>
        <sz val="10"/>
        <color rgb="FFFF0000"/>
        <rFont val="Arial Narrow"/>
        <family val="2"/>
      </rPr>
      <t>[XXX…]</t>
    </r>
    <r>
      <rPr>
        <sz val="10"/>
        <rFont val="宋体"/>
        <family val="3"/>
        <charset val="134"/>
      </rPr>
      <t>于</t>
    </r>
    <r>
      <rPr>
        <sz val="10"/>
        <color rgb="FFFF0000"/>
        <rFont val="Arial Narrow"/>
        <family val="2"/>
      </rPr>
      <t>[</t>
    </r>
    <r>
      <rPr>
        <i/>
        <sz val="10"/>
        <color rgb="FFFF0000"/>
        <rFont val="Arial Narrow"/>
        <family val="2"/>
      </rPr>
      <t>201X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sz val="10"/>
        <color rgb="FFFF0000"/>
        <rFont val="Arial Narrow"/>
        <family val="2"/>
      </rPr>
      <t>]</t>
    </r>
    <r>
      <rPr>
        <sz val="10"/>
        <rFont val="宋体"/>
        <family val="3"/>
        <charset val="134"/>
      </rPr>
      <t>与</t>
    </r>
    <r>
      <rPr>
        <i/>
        <sz val="10"/>
        <color rgb="FFFF0000"/>
        <rFont val="Arial Narrow"/>
        <family val="2"/>
      </rPr>
      <t>[</t>
    </r>
    <r>
      <rPr>
        <i/>
        <sz val="10"/>
        <color rgb="FFFF0000"/>
        <rFont val="宋体"/>
        <family val="3"/>
        <charset val="134"/>
      </rPr>
      <t>被审计单位</t>
    </r>
    <r>
      <rPr>
        <i/>
        <sz val="10"/>
        <color rgb="FFFF0000"/>
        <rFont val="Arial Narrow"/>
        <family val="2"/>
      </rPr>
      <t>XX</t>
    </r>
    <r>
      <rPr>
        <i/>
        <sz val="10"/>
        <color rgb="FFFF0000"/>
        <rFont val="宋体"/>
        <family val="3"/>
        <charset val="134"/>
      </rPr>
      <t>部</t>
    </r>
    <r>
      <rPr>
        <i/>
        <sz val="10"/>
        <color rgb="FFFF0000"/>
        <rFont val="Arial Narrow"/>
        <family val="2"/>
      </rPr>
      <t>XX]</t>
    </r>
    <r>
      <rPr>
        <sz val="10"/>
        <rFont val="宋体"/>
        <family val="3"/>
        <charset val="134"/>
      </rPr>
      <t>一同</t>
    </r>
    <r>
      <rPr>
        <sz val="10"/>
        <rFont val="Arial Narrow"/>
        <family val="2"/>
      </rPr>
      <t>/</t>
    </r>
    <r>
      <rPr>
        <sz val="10"/>
        <rFont val="宋体"/>
        <family val="3"/>
        <charset val="134"/>
      </rPr>
      <t>或者在无被审计单位人员陪同下独立至</t>
    </r>
    <phoneticPr fontId="9" type="noConversion"/>
  </si>
  <si>
    <r>
      <t>[</t>
    </r>
    <r>
      <rPr>
        <sz val="10"/>
        <rFont val="宋体"/>
        <family val="3"/>
        <charset val="134"/>
      </rPr>
      <t>被函证方单位</t>
    </r>
    <r>
      <rPr>
        <sz val="10"/>
        <rFont val="Arial Narrow"/>
        <family val="2"/>
      </rPr>
      <t>XX</t>
    </r>
    <r>
      <rPr>
        <sz val="10"/>
        <rFont val="宋体"/>
        <family val="3"/>
        <charset val="134"/>
      </rPr>
      <t>财务部</t>
    </r>
    <r>
      <rPr>
        <sz val="10"/>
        <rFont val="Arial Narrow"/>
        <family val="2"/>
      </rPr>
      <t>/[</t>
    </r>
    <r>
      <rPr>
        <sz val="10"/>
        <rFont val="宋体"/>
        <family val="3"/>
        <charset val="134"/>
      </rPr>
      <t>或者其他执行类似职能的</t>
    </r>
    <r>
      <rPr>
        <sz val="10"/>
        <rFont val="Arial Narrow"/>
        <family val="2"/>
      </rPr>
      <t>XXX</t>
    </r>
    <r>
      <rPr>
        <sz val="10"/>
        <rFont val="宋体"/>
        <family val="3"/>
        <charset val="134"/>
      </rPr>
      <t>部门</t>
    </r>
    <r>
      <rPr>
        <sz val="10"/>
        <rFont val="Arial Narrow"/>
        <family val="2"/>
      </rPr>
      <t>]]</t>
    </r>
    <r>
      <rPr>
        <sz val="10"/>
        <rFont val="宋体"/>
        <family val="3"/>
        <charset val="134"/>
      </rPr>
      <t>（</t>
    </r>
    <r>
      <rPr>
        <sz val="10"/>
        <rFont val="Arial Narrow"/>
        <family val="2"/>
      </rPr>
      <t>[</t>
    </r>
    <r>
      <rPr>
        <sz val="10"/>
        <rFont val="宋体"/>
        <family val="3"/>
        <charset val="134"/>
      </rPr>
      <t>地址</t>
    </r>
    <r>
      <rPr>
        <sz val="10"/>
        <rFont val="Arial Narrow"/>
        <family val="2"/>
      </rPr>
      <t>]</t>
    </r>
    <r>
      <rPr>
        <sz val="10"/>
        <rFont val="宋体"/>
        <family val="3"/>
        <charset val="134"/>
      </rPr>
      <t>）执行函证程序。</t>
    </r>
    <phoneticPr fontId="9" type="noConversion"/>
  </si>
  <si>
    <r>
      <rPr>
        <sz val="10"/>
        <rFont val="宋体"/>
        <family val="3"/>
        <charset val="134"/>
      </rPr>
      <t>该函证是在</t>
    </r>
    <r>
      <rPr>
        <sz val="10"/>
        <color rgb="FFFF0000"/>
        <rFont val="Arial Narrow"/>
        <family val="2"/>
      </rPr>
      <t>[</t>
    </r>
    <r>
      <rPr>
        <i/>
        <sz val="10"/>
        <color rgb="FFFF0000"/>
        <rFont val="Arial Narrow"/>
        <family val="2"/>
      </rPr>
      <t>XX</t>
    </r>
    <r>
      <rPr>
        <i/>
        <sz val="10"/>
        <color rgb="FFFF0000"/>
        <rFont val="宋体"/>
        <family val="3"/>
        <charset val="134"/>
      </rPr>
      <t>公司</t>
    </r>
    <r>
      <rPr>
        <sz val="10"/>
        <color rgb="FFFF0000"/>
        <rFont val="Arial Narrow"/>
        <family val="2"/>
      </rPr>
      <t>]</t>
    </r>
    <r>
      <rPr>
        <sz val="10"/>
        <rFont val="宋体"/>
        <family val="3"/>
        <charset val="134"/>
      </rPr>
      <t>的财务部</t>
    </r>
    <r>
      <rPr>
        <i/>
        <sz val="10"/>
        <color rgb="FFFF0000"/>
        <rFont val="Arial Narrow"/>
        <family val="2"/>
      </rPr>
      <t>/[</t>
    </r>
    <r>
      <rPr>
        <i/>
        <sz val="10"/>
        <color rgb="FFFF0000"/>
        <rFont val="宋体"/>
        <family val="3"/>
        <charset val="134"/>
      </rPr>
      <t>或者其他执行类似职能的</t>
    </r>
    <r>
      <rPr>
        <i/>
        <sz val="10"/>
        <color rgb="FFFF0000"/>
        <rFont val="Arial Narrow"/>
        <family val="2"/>
      </rPr>
      <t>XX</t>
    </r>
    <r>
      <rPr>
        <i/>
        <sz val="10"/>
        <color rgb="FFFF0000"/>
        <rFont val="宋体"/>
        <family val="3"/>
        <charset val="134"/>
      </rPr>
      <t>部门</t>
    </r>
    <r>
      <rPr>
        <i/>
        <sz val="10"/>
        <color rgb="FFFF0000"/>
        <rFont val="Arial Narrow"/>
        <family val="2"/>
      </rPr>
      <t>]</t>
    </r>
    <r>
      <rPr>
        <sz val="10"/>
        <rFont val="宋体"/>
        <family val="3"/>
        <charset val="134"/>
      </rPr>
      <t>办理，确认函证的被函证单位工作人员姓名为</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t>
    </r>
    <phoneticPr fontId="9" type="noConversion"/>
  </si>
  <si>
    <r>
      <rPr>
        <sz val="10"/>
        <rFont val="宋体"/>
        <family val="3"/>
        <charset val="134"/>
      </rPr>
      <t>工号为</t>
    </r>
    <r>
      <rPr>
        <sz val="10"/>
        <rFont val="Arial Narrow"/>
        <family val="2"/>
      </rPr>
      <t>[XX]</t>
    </r>
    <r>
      <rPr>
        <sz val="10"/>
        <rFont val="宋体"/>
        <family val="3"/>
        <charset val="134"/>
      </rPr>
      <t>（如有），我们取得了由被函证方公司确认的函证，函证索引号为</t>
    </r>
    <r>
      <rPr>
        <sz val="10"/>
        <rFont val="Arial Narrow"/>
        <family val="2"/>
      </rPr>
      <t>[XX]</t>
    </r>
    <r>
      <rPr>
        <sz val="10"/>
        <rFont val="宋体"/>
        <family val="3"/>
        <charset val="134"/>
      </rPr>
      <t>。</t>
    </r>
  </si>
  <si>
    <r>
      <t>*</t>
    </r>
    <r>
      <rPr>
        <sz val="10"/>
        <color rgb="FF0000FF"/>
        <rFont val="宋体"/>
        <family val="3"/>
        <charset val="134"/>
      </rPr>
      <t>若被函证单位无法即时确认函证，而要求跟函人员将函证留下，待确认后再寄回事务所相关办公室则考虑使用以下内容</t>
    </r>
    <phoneticPr fontId="9" type="noConversion"/>
  </si>
  <si>
    <r>
      <rPr>
        <sz val="10"/>
        <rFont val="宋体"/>
        <family val="3"/>
        <charset val="134"/>
      </rPr>
      <t>审计项目组成员</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于</t>
    </r>
    <r>
      <rPr>
        <sz val="10"/>
        <color rgb="FFFF0000"/>
        <rFont val="Arial Narrow"/>
        <family val="2"/>
      </rPr>
      <t>[</t>
    </r>
    <r>
      <rPr>
        <i/>
        <sz val="10"/>
        <color rgb="FFFF0000"/>
        <rFont val="Arial Narrow"/>
        <family val="2"/>
      </rPr>
      <t>201X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sz val="10"/>
        <color rgb="FFFF0000"/>
        <rFont val="Arial Narrow"/>
        <family val="2"/>
      </rPr>
      <t>]</t>
    </r>
    <r>
      <rPr>
        <sz val="10"/>
        <rFont val="宋体"/>
        <family val="3"/>
        <charset val="134"/>
      </rPr>
      <t>至</t>
    </r>
    <r>
      <rPr>
        <sz val="10"/>
        <color rgb="FFFF0000"/>
        <rFont val="Arial Narrow"/>
        <family val="2"/>
      </rPr>
      <t>[</t>
    </r>
    <r>
      <rPr>
        <i/>
        <sz val="10"/>
        <color rgb="FFFF0000"/>
        <rFont val="宋体"/>
        <family val="3"/>
        <charset val="134"/>
      </rPr>
      <t>被函证单位全称</t>
    </r>
    <r>
      <rPr>
        <sz val="10"/>
        <color rgb="FFFF0000"/>
        <rFont val="Arial Narrow"/>
        <family val="2"/>
      </rPr>
      <t>]</t>
    </r>
    <r>
      <rPr>
        <sz val="10"/>
        <color rgb="FFFF0000"/>
        <rFont val="宋体"/>
        <family val="3"/>
        <charset val="134"/>
      </rPr>
      <t>（</t>
    </r>
    <r>
      <rPr>
        <sz val="10"/>
        <color rgb="FFFF0000"/>
        <rFont val="Arial Narrow"/>
        <family val="2"/>
      </rPr>
      <t>[</t>
    </r>
    <r>
      <rPr>
        <i/>
        <sz val="10"/>
        <color rgb="FFFF0000"/>
        <rFont val="宋体"/>
        <family val="3"/>
        <charset val="134"/>
      </rPr>
      <t>地址</t>
    </r>
    <r>
      <rPr>
        <sz val="10"/>
        <color rgb="FFFF0000"/>
        <rFont val="Arial Narrow"/>
        <family val="2"/>
      </rPr>
      <t>]</t>
    </r>
    <r>
      <rPr>
        <sz val="10"/>
        <color rgb="FFFF0000"/>
        <rFont val="宋体"/>
        <family val="3"/>
        <charset val="134"/>
      </rPr>
      <t>）</t>
    </r>
    <r>
      <rPr>
        <sz val="10"/>
        <rFont val="宋体"/>
        <family val="3"/>
        <charset val="134"/>
      </rPr>
      <t>实行函证程序，</t>
    </r>
    <r>
      <rPr>
        <i/>
        <sz val="10"/>
        <rFont val="宋体"/>
        <family val="3"/>
        <charset val="134"/>
      </rPr>
      <t>被函证单位</t>
    </r>
    <r>
      <rPr>
        <sz val="10"/>
        <rFont val="宋体"/>
        <family val="3"/>
        <charset val="134"/>
      </rPr>
      <t>人员</t>
    </r>
    <r>
      <rPr>
        <i/>
        <sz val="10"/>
        <color rgb="FFFF0000"/>
        <rFont val="Arial Narrow"/>
        <family val="2"/>
      </rPr>
      <t>XX</t>
    </r>
    <r>
      <rPr>
        <sz val="10"/>
        <rFont val="宋体"/>
        <family val="3"/>
        <charset val="134"/>
      </rPr>
      <t>告知我</t>
    </r>
    <r>
      <rPr>
        <sz val="10"/>
        <rFont val="Arial Narrow"/>
        <family val="2"/>
      </rPr>
      <t>/</t>
    </r>
    <phoneticPr fontId="9" type="noConversion"/>
  </si>
  <si>
    <r>
      <t>[</t>
    </r>
    <r>
      <rPr>
        <sz val="10"/>
        <rFont val="宋体"/>
        <family val="3"/>
        <charset val="134"/>
      </rPr>
      <t>我们</t>
    </r>
    <r>
      <rPr>
        <sz val="10"/>
        <rFont val="Arial Narrow"/>
        <family val="2"/>
      </rPr>
      <t>]</t>
    </r>
    <r>
      <rPr>
        <sz val="10"/>
        <rFont val="宋体"/>
        <family val="3"/>
        <charset val="134"/>
      </rPr>
      <t>无法现场即时确认该函证，需要做详细查询后才可以确认，并同意将确认的函证直接寄回致同会计师事务</t>
    </r>
    <r>
      <rPr>
        <sz val="10"/>
        <rFont val="Arial Narrow"/>
        <family val="2"/>
      </rPr>
      <t>XX</t>
    </r>
    <r>
      <rPr>
        <sz val="10"/>
        <rFont val="宋体"/>
        <family val="3"/>
        <charset val="134"/>
      </rPr>
      <t>办公室</t>
    </r>
    <r>
      <rPr>
        <sz val="10"/>
        <rFont val="Arial Narrow"/>
        <family val="2"/>
      </rPr>
      <t>](</t>
    </r>
    <r>
      <rPr>
        <sz val="10"/>
        <rFont val="宋体"/>
        <family val="3"/>
        <charset val="134"/>
      </rPr>
      <t>可以根据实际情况进行修改</t>
    </r>
    <r>
      <rPr>
        <sz val="10"/>
        <rFont val="Arial Narrow"/>
        <family val="2"/>
      </rPr>
      <t>)</t>
    </r>
    <r>
      <rPr>
        <sz val="10"/>
        <rFont val="宋体"/>
        <family val="3"/>
        <charset val="134"/>
      </rPr>
      <t>。</t>
    </r>
  </si>
  <si>
    <r>
      <rPr>
        <sz val="10"/>
        <color rgb="FFFF0000"/>
        <rFont val="Arial Narrow"/>
        <family val="2"/>
      </rPr>
      <t>[</t>
    </r>
    <r>
      <rPr>
        <i/>
        <sz val="10"/>
        <color rgb="FFFF0000"/>
        <rFont val="宋体"/>
        <family val="3"/>
        <charset val="134"/>
      </rPr>
      <t>我，或者我们</t>
    </r>
    <r>
      <rPr>
        <sz val="10"/>
        <color rgb="FFFF0000"/>
        <rFont val="Arial Narrow"/>
        <family val="2"/>
      </rPr>
      <t>]</t>
    </r>
    <r>
      <rPr>
        <sz val="10"/>
        <rFont val="宋体"/>
        <family val="3"/>
        <charset val="134"/>
      </rPr>
      <t>亲自将该函证交给被函证单位的人员</t>
    </r>
    <r>
      <rPr>
        <sz val="10"/>
        <color rgb="FFFF0000"/>
        <rFont val="Arial Narrow"/>
        <family val="2"/>
      </rPr>
      <t>[</t>
    </r>
    <r>
      <rPr>
        <i/>
        <sz val="10"/>
        <color rgb="FFFF0000"/>
        <rFont val="宋体"/>
        <family val="3"/>
        <charset val="134"/>
      </rPr>
      <t>姓名</t>
    </r>
    <r>
      <rPr>
        <i/>
        <sz val="10"/>
        <color rgb="FFFF0000"/>
        <rFont val="Arial Narrow"/>
        <family val="2"/>
      </rPr>
      <t>XX</t>
    </r>
    <r>
      <rPr>
        <sz val="10"/>
        <color rgb="FFFF0000"/>
        <rFont val="Arial Narrow"/>
        <family val="2"/>
      </rPr>
      <t>]</t>
    </r>
    <r>
      <rPr>
        <sz val="10"/>
        <rFont val="宋体"/>
        <family val="3"/>
        <charset val="134"/>
      </rPr>
      <t>，工号为</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（如有）办理。并将致同会计师事务</t>
    </r>
    <r>
      <rPr>
        <sz val="10"/>
        <color rgb="FFFF0000"/>
        <rFont val="Arial Narrow"/>
        <family val="2"/>
      </rPr>
      <t>XX</t>
    </r>
    <r>
      <rPr>
        <sz val="10"/>
        <rFont val="宋体"/>
        <family val="3"/>
        <charset val="134"/>
      </rPr>
      <t>办公室的函证回邮信封留给该工作人员。</t>
    </r>
    <phoneticPr fontId="9" type="noConversion"/>
  </si>
  <si>
    <r>
      <rPr>
        <sz val="10"/>
        <rFont val="宋体"/>
        <family val="3"/>
        <charset val="134"/>
      </rPr>
      <t>跟函人员（或者项目组其他成员）</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在</t>
    </r>
    <r>
      <rPr>
        <sz val="10"/>
        <color rgb="FFFF0000"/>
        <rFont val="Arial Narrow"/>
        <family val="2"/>
      </rPr>
      <t>[</t>
    </r>
    <r>
      <rPr>
        <i/>
        <sz val="10"/>
        <color rgb="FFFF0000"/>
        <rFont val="Arial Narrow"/>
        <family val="2"/>
      </rPr>
      <t>XX]</t>
    </r>
    <r>
      <rPr>
        <sz val="10"/>
        <color rgb="FFFF0000"/>
        <rFont val="宋体"/>
        <family val="3"/>
        <charset val="134"/>
      </rPr>
      <t>年</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月</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日</t>
    </r>
    <r>
      <rPr>
        <sz val="10"/>
        <rFont val="宋体"/>
        <family val="3"/>
        <charset val="134"/>
      </rPr>
      <t>致电</t>
    </r>
    <r>
      <rPr>
        <i/>
        <sz val="10"/>
        <color rgb="FFFF0000"/>
        <rFont val="Arial Narrow"/>
        <family val="2"/>
      </rPr>
      <t>[</t>
    </r>
    <r>
      <rPr>
        <i/>
        <sz val="10"/>
        <color rgb="FFFF0000"/>
        <rFont val="宋体"/>
        <family val="3"/>
        <charset val="134"/>
      </rPr>
      <t>被函证方全称</t>
    </r>
    <r>
      <rPr>
        <i/>
        <sz val="10"/>
        <color rgb="FFFF0000"/>
        <rFont val="Arial Narrow"/>
        <family val="2"/>
      </rPr>
      <t>]</t>
    </r>
    <r>
      <rPr>
        <sz val="10"/>
        <rFont val="宋体"/>
        <family val="3"/>
        <charset val="134"/>
      </rPr>
      <t>对外公开电话，号码为</t>
    </r>
    <r>
      <rPr>
        <i/>
        <sz val="10"/>
        <color rgb="FFFF0000"/>
        <rFont val="Arial Narrow"/>
        <family val="2"/>
      </rPr>
      <t>[XX]</t>
    </r>
    <r>
      <rPr>
        <sz val="10"/>
        <rFont val="宋体"/>
        <family val="3"/>
        <charset val="134"/>
      </rPr>
      <t>，并与被函证单位工作人员确认其确实于</t>
    </r>
    <r>
      <rPr>
        <i/>
        <sz val="10"/>
        <color rgb="FF7428FC"/>
        <rFont val="等线"/>
        <family val="3"/>
        <charset val="134"/>
        <scheme val="minor"/>
      </rPr>
      <t/>
    </r>
    <phoneticPr fontId="9" type="noConversion"/>
  </si>
  <si>
    <r>
      <rPr>
        <sz val="10"/>
        <color rgb="FFFF0000"/>
        <rFont val="Arial Narrow"/>
        <family val="2"/>
      </rPr>
      <t>[XX]</t>
    </r>
    <r>
      <rPr>
        <sz val="10"/>
        <color rgb="FFFF0000"/>
        <rFont val="宋体"/>
        <family val="3"/>
        <charset val="134"/>
      </rPr>
      <t>年</t>
    </r>
    <r>
      <rPr>
        <sz val="10"/>
        <color rgb="FFFF0000"/>
        <rFont val="Arial Narrow"/>
        <family val="2"/>
      </rPr>
      <t>[XX]</t>
    </r>
    <r>
      <rPr>
        <sz val="10"/>
        <color rgb="FFFF0000"/>
        <rFont val="宋体"/>
        <family val="3"/>
        <charset val="134"/>
      </rPr>
      <t>月</t>
    </r>
    <r>
      <rPr>
        <sz val="10"/>
        <color rgb="FFFF0000"/>
        <rFont val="Arial Narrow"/>
        <family val="2"/>
      </rPr>
      <t>[XX]</t>
    </r>
    <r>
      <rPr>
        <sz val="10"/>
        <color rgb="FFFF0000"/>
        <rFont val="宋体"/>
        <family val="3"/>
        <charset val="134"/>
      </rPr>
      <t>日</t>
    </r>
    <r>
      <rPr>
        <sz val="10"/>
        <rFont val="宋体"/>
        <family val="3"/>
        <charset val="134"/>
      </rPr>
      <t>接待我们的跟函人员，确认</t>
    </r>
    <r>
      <rPr>
        <sz val="10"/>
        <rFont val="Arial Narrow"/>
        <family val="2"/>
      </rPr>
      <t>[</t>
    </r>
    <r>
      <rPr>
        <sz val="10"/>
        <rFont val="宋体"/>
        <family val="3"/>
        <charset val="134"/>
      </rPr>
      <t>发函公司名称</t>
    </r>
    <r>
      <rPr>
        <sz val="10"/>
        <rFont val="Arial Narrow"/>
        <family val="2"/>
      </rPr>
      <t>]</t>
    </r>
    <r>
      <rPr>
        <sz val="10"/>
        <rFont val="宋体"/>
        <family val="3"/>
        <charset val="134"/>
      </rPr>
      <t>的函证。</t>
    </r>
    <phoneticPr fontId="9" type="noConversion"/>
  </si>
  <si>
    <r>
      <rPr>
        <sz val="10"/>
        <rFont val="宋体"/>
        <family val="3"/>
        <charset val="134"/>
      </rPr>
      <t>注：如果在完成本备忘录之后才收回函证，建议在本备忘录中作如下记录：</t>
    </r>
  </si>
  <si>
    <r>
      <rPr>
        <sz val="10"/>
        <rFont val="宋体"/>
        <family val="3"/>
        <charset val="134"/>
      </rPr>
      <t>该函证于</t>
    </r>
    <r>
      <rPr>
        <i/>
        <sz val="10"/>
        <color rgb="FFFF0000"/>
        <rFont val="Arial Narrow"/>
        <family val="2"/>
      </rPr>
      <t>[201X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i/>
        <sz val="10"/>
        <color rgb="FFFF0000"/>
        <rFont val="Arial Narrow"/>
        <family val="2"/>
      </rPr>
      <t>]</t>
    </r>
    <r>
      <rPr>
        <sz val="10"/>
        <rFont val="宋体"/>
        <family val="3"/>
        <charset val="134"/>
      </rPr>
      <t>寄回致同会计师事务</t>
    </r>
    <r>
      <rPr>
        <i/>
        <sz val="10"/>
        <color rgb="FFFF0000"/>
        <rFont val="Arial Narrow"/>
        <family val="2"/>
      </rPr>
      <t>XX</t>
    </r>
    <r>
      <rPr>
        <sz val="10"/>
        <rFont val="宋体"/>
        <family val="3"/>
        <charset val="134"/>
      </rPr>
      <t>办公室。</t>
    </r>
    <r>
      <rPr>
        <i/>
        <sz val="10"/>
        <rFont val="宋体"/>
        <family val="3"/>
        <charset val="134"/>
      </rPr>
      <t>函证索引号为</t>
    </r>
    <r>
      <rPr>
        <i/>
        <sz val="10"/>
        <color rgb="FFFF0000"/>
        <rFont val="Arial Narrow"/>
        <family val="2"/>
      </rPr>
      <t>[XX]</t>
    </r>
    <phoneticPr fontId="9" type="noConversion"/>
  </si>
  <si>
    <t>是否了解处理函证的通常流程和处理人员</t>
    <phoneticPr fontId="9" type="noConversion"/>
  </si>
  <si>
    <t>是否确认询证函处理人员的身份及权限</t>
    <phoneticPr fontId="9" type="noConversion"/>
  </si>
  <si>
    <t>处理人员是否按正常流程处理</t>
    <phoneticPr fontId="9" type="noConversion"/>
  </si>
  <si>
    <r>
      <rPr>
        <b/>
        <sz val="10"/>
        <rFont val="宋体"/>
        <family val="3"/>
        <charset val="134"/>
      </rPr>
      <t>审计项目组成员签名：</t>
    </r>
    <r>
      <rPr>
        <b/>
        <sz val="10"/>
        <rFont val="Arial Narrow"/>
        <family val="2"/>
      </rPr>
      <t xml:space="preserve">__________________      </t>
    </r>
    <r>
      <rPr>
        <b/>
        <sz val="10"/>
        <rFont val="宋体"/>
        <family val="3"/>
        <charset val="134"/>
      </rPr>
      <t>日期：</t>
    </r>
    <r>
      <rPr>
        <b/>
        <sz val="10"/>
        <rFont val="Arial Narrow"/>
        <family val="2"/>
      </rPr>
      <t>_____________________</t>
    </r>
  </si>
  <si>
    <t>供应商名称：</t>
    <phoneticPr fontId="9" type="noConversion"/>
  </si>
  <si>
    <t>函证项目</t>
    <phoneticPr fontId="9" type="noConversion"/>
  </si>
  <si>
    <t>年初余额</t>
  </si>
  <si>
    <t>借方发生额</t>
  </si>
  <si>
    <t>贷方发生额</t>
  </si>
  <si>
    <t>期末余额</t>
    <phoneticPr fontId="9" type="noConversion"/>
  </si>
  <si>
    <t>函证项目</t>
    <phoneticPr fontId="9" type="noConversion"/>
  </si>
  <si>
    <t>账面金额</t>
    <phoneticPr fontId="9" type="noConversion"/>
  </si>
  <si>
    <t>日期</t>
  </si>
  <si>
    <t>金额</t>
  </si>
  <si>
    <t>……</t>
  </si>
  <si>
    <t>……</t>
    <phoneticPr fontId="9" type="noConversion"/>
  </si>
  <si>
    <t>四、审计说明：</t>
    <phoneticPr fontId="51" type="noConversion"/>
  </si>
  <si>
    <t>五、审计结论：</t>
    <phoneticPr fontId="51" type="noConversion"/>
  </si>
  <si>
    <r>
      <t>1</t>
    </r>
    <r>
      <rPr>
        <sz val="10"/>
        <color indexed="12"/>
        <rFont val="宋体"/>
        <family val="3"/>
        <charset val="134"/>
      </rPr>
      <t>、函证替代程序：</t>
    </r>
    <phoneticPr fontId="9" type="noConversion"/>
  </si>
  <si>
    <t>①检查本期付款、期后收货或回收；</t>
    <phoneticPr fontId="9" type="noConversion"/>
  </si>
  <si>
    <t>②检查原始凭证：合同、订货单、发票或收据、银行回单、支票存根等；</t>
    <phoneticPr fontId="9" type="noConversion"/>
  </si>
  <si>
    <t>③对回函可能性不高的、余额重大的，发函同时执行替代程序。</t>
  </si>
  <si>
    <t>2、概述：（1）程序的测试情况、结果；</t>
  </si>
  <si>
    <r>
      <t xml:space="preserve">                      </t>
    </r>
    <r>
      <rPr>
        <sz val="10"/>
        <color indexed="12"/>
        <rFont val="宋体"/>
        <family val="3"/>
        <charset val="134"/>
      </rPr>
      <t>（</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9" type="noConversion"/>
  </si>
  <si>
    <t>函证项目</t>
    <phoneticPr fontId="9" type="noConversion"/>
  </si>
  <si>
    <t>底稿开列时，可先在以下单元格填写有关内容，以便其他底稿引用有关数据：</t>
    <phoneticPr fontId="9" type="noConversion"/>
  </si>
  <si>
    <t>序号</t>
    <phoneticPr fontId="9" type="noConversion"/>
  </si>
  <si>
    <t>内容</t>
  </si>
  <si>
    <t>索引号</t>
    <phoneticPr fontId="9" type="noConversion"/>
  </si>
  <si>
    <t>函证程序表</t>
    <phoneticPr fontId="9" type="noConversion"/>
  </si>
  <si>
    <t>函证结果汇总表</t>
    <phoneticPr fontId="9" type="noConversion"/>
  </si>
  <si>
    <t>核实被函证单位信息</t>
    <phoneticPr fontId="9" type="noConversion"/>
  </si>
  <si>
    <t>跟函函证过程控制</t>
    <phoneticPr fontId="9" type="noConversion"/>
  </si>
  <si>
    <t>分析核实退回或无法寄到的函证、未回函、回函率较低的原因，考虑与被询证者联系，要求对方作出回应或再次寄发询证函，必要时增加现场走访等程序，关注是否存在账面记录与外部证据矛盾的审计证据；</t>
    <phoneticPr fontId="9" type="noConversion"/>
  </si>
  <si>
    <t>业务内容</t>
  </si>
  <si>
    <t>凭证编号</t>
  </si>
  <si>
    <t>是否为原件</t>
    <phoneticPr fontId="9" type="noConversion"/>
  </si>
  <si>
    <t>是否直接收到回函</t>
    <phoneticPr fontId="9" type="noConversion"/>
  </si>
  <si>
    <t>B50</t>
    <phoneticPr fontId="5" type="noConversion"/>
  </si>
  <si>
    <t>如果被询证者以传真、电子邮件等方式回函，审计项目组应当直接接收，并验证传真、电邮邮件回函的可靠性，要求被询证者在审计报告日之前寄回询证函原件</t>
    <phoneticPr fontId="9" type="noConversion"/>
  </si>
  <si>
    <r>
      <rPr>
        <sz val="10"/>
        <color rgb="FF0000FF"/>
        <rFont val="宋体"/>
        <family val="3"/>
        <charset val="134"/>
      </rPr>
      <t>请跟进第二次发函的结果，记录是否送抵被函证方，对于仍被退回的函证，应进行进一步调查并考虑舞弊的可能，同时在相应底稿中记录与之相关的审计风险与对审计的影响。</t>
    </r>
    <phoneticPr fontId="9" type="noConversion"/>
  </si>
  <si>
    <r>
      <rPr>
        <b/>
        <sz val="10"/>
        <color rgb="FF0000FF"/>
        <rFont val="宋体"/>
        <family val="3"/>
        <charset val="134"/>
      </rPr>
      <t>说明</t>
    </r>
    <r>
      <rPr>
        <b/>
        <sz val="10"/>
        <color rgb="FF0000FF"/>
        <rFont val="Arial Narrow"/>
        <family val="2"/>
      </rPr>
      <t>5</t>
    </r>
    <r>
      <rPr>
        <b/>
        <sz val="10"/>
        <color rgb="FF0000FF"/>
        <rFont val="宋体"/>
        <family val="3"/>
        <charset val="134"/>
      </rPr>
      <t>：</t>
    </r>
    <phoneticPr fontId="9" type="noConversion"/>
  </si>
  <si>
    <t>如果被询证者以传真、电子邮件方式回函，审计项目组应当直接接收，并验证传真、电子邮件回函的可靠性，要求被询证者在审计报告日之前寄回询证函原件</t>
    <phoneticPr fontId="9" type="noConversion"/>
  </si>
  <si>
    <t>如果被询证者以传真、电子邮件等方式回函，审计项目组应当直接接收，并验证传真、电子邮件回函的可靠性，要求被询证者在审计报告日之前寄回询证函原件</t>
    <phoneticPr fontId="5" type="noConversion"/>
  </si>
  <si>
    <t>二、检查过程记录：</t>
    <phoneticPr fontId="51" type="noConversion"/>
  </si>
  <si>
    <t>三、审计说明：</t>
    <phoneticPr fontId="51" type="noConversion"/>
  </si>
  <si>
    <t>四、审计结论：</t>
    <phoneticPr fontId="51" type="noConversion"/>
  </si>
  <si>
    <t>一、样本选取标准与规模：</t>
    <phoneticPr fontId="51" type="noConversion"/>
  </si>
  <si>
    <t>测试范围：</t>
    <phoneticPr fontId="9" type="noConversion"/>
  </si>
  <si>
    <t>特定样本：</t>
    <phoneticPr fontId="9" type="noConversion"/>
  </si>
  <si>
    <t>抽样总体：</t>
    <phoneticPr fontId="9" type="noConversion"/>
  </si>
  <si>
    <t>抽样方法：</t>
    <phoneticPr fontId="9" type="noConversion"/>
  </si>
  <si>
    <t>抽样过程：</t>
    <phoneticPr fontId="9" type="noConversion"/>
  </si>
  <si>
    <t>使用IDEA（XX抽样工具）选择XX数量占比XX%的样本进行测试，抽样工具中的样本选择过程和结果见XX底稿</t>
    <phoneticPr fontId="9" type="noConversion"/>
  </si>
  <si>
    <t>二、检查过程记录：</t>
    <phoneticPr fontId="51" type="noConversion"/>
  </si>
  <si>
    <t>检查的关键证据和要素根据被审计单位具体情况修改</t>
    <phoneticPr fontId="9" type="noConversion"/>
  </si>
  <si>
    <t>审计说明：</t>
    <phoneticPr fontId="9" type="noConversion"/>
  </si>
  <si>
    <t>审计结论：</t>
    <phoneticPr fontId="9" type="noConversion"/>
  </si>
  <si>
    <t>邮件/传真回函可靠性验证记录</t>
    <phoneticPr fontId="9" type="noConversion"/>
  </si>
  <si>
    <t xml:space="preserve">（例如客户或供应商清单、相关销售或采购合同、被审计单位收到或开具的增值税发票等）中的联系人信息进行核对。
</t>
    <phoneticPr fontId="5" type="noConversion"/>
  </si>
  <si>
    <t>被询证者是否发送了回函，是否授权回函者回函。</t>
    <phoneticPr fontId="5" type="noConversion"/>
  </si>
  <si>
    <t>注2：回函邮箱的可靠性验证</t>
    <phoneticPr fontId="5" type="noConversion"/>
  </si>
  <si>
    <t xml:space="preserve">注1：回函者的身份确认
</t>
    <phoneticPr fontId="5" type="noConversion"/>
  </si>
  <si>
    <t>注3：函证信息可靠性的考虑</t>
    <phoneticPr fontId="5" type="noConversion"/>
  </si>
  <si>
    <t xml:space="preserve">1、需确定回函者是否属于被询证者或由被询证者授权回函的人员，回函者对所函证信息是否知情、是否具有客观性。
</t>
    <phoneticPr fontId="5" type="noConversion"/>
  </si>
  <si>
    <t>2、身份确认方式：（1）获取回函者名片；（2）可通过被询证者的网站或其他公开网站核对回函者的姓名和身份信息；（3）将回函者的信息与被审计单位持有的相关信息</t>
    <phoneticPr fontId="5" type="noConversion"/>
  </si>
  <si>
    <t>1、从私人电子信箱发送的回函不可靠。</t>
    <phoneticPr fontId="5" type="noConversion"/>
  </si>
  <si>
    <t>2、邮箱验证方式：（1）验证回函邮箱是否为回函者所在单位的工作邮箱（如后缀），验证公司邮箱发送的回函中电子数码签名的可靠性；（2）通过电话联系被询证者，确定</t>
    <phoneticPr fontId="5" type="noConversion"/>
  </si>
  <si>
    <t>可能还需要对相关平台的安全可靠性进行专门评价。</t>
    <phoneticPr fontId="5" type="noConversion"/>
  </si>
  <si>
    <t>2、电子签名：按照《电子签名法》要求，核查相关平台是否经国务院信息产业主管部门核准，并获取充分适当的审计证据，如相关平台的认证证书、境内核准情况等，在必要时，</t>
    <phoneticPr fontId="5" type="noConversion"/>
  </si>
  <si>
    <t>1、为了降低被询证者对所列示的信息不验证是否正确就予以回函确认的风险，注册会计师可以选择在询证函中不列明账户余额（或其他信息），而是要求被询证者填列有关信息</t>
    <phoneticPr fontId="5" type="noConversion"/>
  </si>
  <si>
    <t>或进一步提供信息。</t>
    <phoneticPr fontId="5" type="noConversion"/>
  </si>
  <si>
    <r>
      <t>2</t>
    </r>
    <r>
      <rPr>
        <sz val="12"/>
        <color rgb="FF0000FF"/>
        <rFont val="宋体"/>
        <family val="3"/>
        <charset val="134"/>
      </rPr>
      <t>、询证函应增加不可编辑的水印、不易复制的特定标识；收到回函后检查是否为发出的函件，是否存在篡改迹象，印章（如有）是否与其他文书一致。</t>
    </r>
    <phoneticPr fontId="5" type="noConversion"/>
  </si>
  <si>
    <t>提示：对以电子形式收到的回函（如传真或电子邮件），由于回函者的身份及其授权情况很难确定，对回函的更改也难以发觉，因此可靠性存在风险。注册会计师和</t>
    <phoneticPr fontId="5" type="noConversion"/>
  </si>
  <si>
    <t>回函者采用一定的程序为电子形式的回函创造安全环境，可以降低该风险。</t>
    <phoneticPr fontId="5" type="noConversion"/>
  </si>
  <si>
    <r>
      <t xml:space="preserve">编制说明：
1、本底稿系根据《中国注册会计师审计准则问题解答第2号——函证》的要求，对执行函证程序过程中需要关注的舞弊风险迹象厘定。在进行了解时，应考虑上述表格中列示的项目，但考虑内容不限于这些内容。
2、在记录了解的内容时，如果涉及到多个项目，可以综合考虑并予以记录。
3、通过访谈、询问等程序获知上述信息的，应注明被调查人姓名、职位、相关的信息来源及相关工作底稿（若有）索引。 
</t>
    </r>
    <r>
      <rPr>
        <b/>
        <sz val="10"/>
        <color rgb="FF0000FF"/>
        <rFont val="宋体"/>
        <family val="3"/>
        <charset val="134"/>
      </rPr>
      <t>4、上述内容如果项目组的回答为“是”，应说明初步的审计应对措施计划，并在总体审计策略和具体审计计划中体现对所涉及的舞弊风险等重大错报风险评估结果的影响。</t>
    </r>
    <phoneticPr fontId="5" type="noConversion"/>
  </si>
  <si>
    <t>函证程序舞弊风险评价表</t>
    <phoneticPr fontId="9" type="noConversion"/>
  </si>
  <si>
    <t>函证程序舞弊风险评价表</t>
    <phoneticPr fontId="9" type="noConversion"/>
  </si>
  <si>
    <r>
      <rPr>
        <sz val="12"/>
        <color rgb="FF0000FF"/>
        <rFont val="宋体"/>
        <family val="3"/>
        <charset val="134"/>
      </rPr>
      <t>采用电子邮件方式收到回函的控制要点详见函证技术提示</t>
    </r>
    <r>
      <rPr>
        <sz val="12"/>
        <color rgb="FF0000FF"/>
        <rFont val="Arial Narrow"/>
        <family val="2"/>
      </rPr>
      <t>4</t>
    </r>
    <r>
      <rPr>
        <sz val="12"/>
        <color rgb="FF0000FF"/>
        <rFont val="宋体"/>
        <family val="3"/>
        <charset val="134"/>
      </rPr>
      <t>号，链接为：</t>
    </r>
    <r>
      <rPr>
        <sz val="12"/>
        <color rgb="FF0000FF"/>
        <rFont val="Arial Narrow"/>
        <family val="2"/>
      </rPr>
      <t>https://www.gt-china.com.cn/article_view.php?id=9691</t>
    </r>
    <r>
      <rPr>
        <sz val="12"/>
        <color rgb="FF0000FF"/>
        <rFont val="宋体"/>
        <family val="3"/>
        <charset val="134"/>
      </rPr>
      <t>；</t>
    </r>
    <phoneticPr fontId="5" type="noConversion"/>
  </si>
  <si>
    <r>
      <t>被审计单位提供的被函证单位信息及核对（核实被函证单位信息）</t>
    </r>
    <r>
      <rPr>
        <b/>
        <sz val="10"/>
        <color rgb="FFFF0000"/>
        <rFont val="宋体"/>
        <family val="3"/>
        <charset val="134"/>
      </rPr>
      <t>（注1）</t>
    </r>
    <phoneticPr fontId="9" type="noConversion"/>
  </si>
  <si>
    <r>
      <rPr>
        <b/>
        <sz val="10"/>
        <rFont val="宋体"/>
        <family val="3"/>
        <charset val="134"/>
      </rPr>
      <t>该原因是否合理（是</t>
    </r>
    <r>
      <rPr>
        <b/>
        <sz val="10"/>
        <rFont val="Arial Narrow"/>
        <family val="2"/>
      </rPr>
      <t>/</t>
    </r>
    <r>
      <rPr>
        <b/>
        <sz val="10"/>
        <rFont val="宋体"/>
        <family val="3"/>
        <charset val="134"/>
      </rPr>
      <t xml:space="preserve">否）
</t>
    </r>
    <r>
      <rPr>
        <b/>
        <sz val="10"/>
        <color indexed="10"/>
        <rFont val="宋体"/>
        <family val="3"/>
        <charset val="134"/>
      </rPr>
      <t>（注</t>
    </r>
    <r>
      <rPr>
        <b/>
        <sz val="10"/>
        <color indexed="10"/>
        <rFont val="Arial Narrow"/>
        <family val="2"/>
      </rPr>
      <t>3</t>
    </r>
    <r>
      <rPr>
        <b/>
        <sz val="10"/>
        <color indexed="10"/>
        <rFont val="宋体"/>
        <family val="3"/>
        <charset val="134"/>
      </rPr>
      <t>）</t>
    </r>
    <phoneticPr fontId="9" type="noConversion"/>
  </si>
  <si>
    <r>
      <rPr>
        <b/>
        <sz val="10"/>
        <color indexed="8"/>
        <rFont val="宋体"/>
        <family val="3"/>
        <charset val="134"/>
      </rPr>
      <t>第一次发函结果？（送抵</t>
    </r>
    <r>
      <rPr>
        <b/>
        <sz val="10"/>
        <color indexed="8"/>
        <rFont val="Arial Narrow"/>
        <family val="2"/>
      </rPr>
      <t>/</t>
    </r>
    <r>
      <rPr>
        <b/>
        <sz val="10"/>
        <color indexed="8"/>
        <rFont val="宋体"/>
        <family val="3"/>
        <charset val="134"/>
      </rPr>
      <t>退回）（</t>
    </r>
    <r>
      <rPr>
        <b/>
        <sz val="10"/>
        <color indexed="10"/>
        <rFont val="宋体"/>
        <family val="3"/>
        <charset val="134"/>
      </rPr>
      <t>注</t>
    </r>
    <r>
      <rPr>
        <b/>
        <sz val="10"/>
        <color indexed="10"/>
        <rFont val="Arial Narrow"/>
        <family val="2"/>
      </rPr>
      <t>2</t>
    </r>
    <r>
      <rPr>
        <b/>
        <sz val="10"/>
        <color indexed="8"/>
        <rFont val="宋体"/>
        <family val="3"/>
        <charset val="134"/>
      </rPr>
      <t>）</t>
    </r>
    <phoneticPr fontId="9" type="noConversion"/>
  </si>
  <si>
    <r>
      <rPr>
        <b/>
        <sz val="10"/>
        <color theme="1"/>
        <rFont val="宋体"/>
        <family val="3"/>
        <charset val="134"/>
      </rPr>
      <t>第二次发函结果？（送抵</t>
    </r>
    <r>
      <rPr>
        <b/>
        <sz val="10"/>
        <color theme="1"/>
        <rFont val="Arial Narrow"/>
        <family val="2"/>
      </rPr>
      <t>/</t>
    </r>
    <r>
      <rPr>
        <b/>
        <sz val="10"/>
        <color theme="1"/>
        <rFont val="宋体"/>
        <family val="3"/>
        <charset val="134"/>
      </rPr>
      <t xml:space="preserve">退回）
</t>
    </r>
    <r>
      <rPr>
        <b/>
        <sz val="10"/>
        <color indexed="10"/>
        <rFont val="宋体"/>
        <family val="3"/>
        <charset val="134"/>
      </rPr>
      <t>（注</t>
    </r>
    <r>
      <rPr>
        <b/>
        <sz val="10"/>
        <color indexed="10"/>
        <rFont val="Arial Narrow"/>
        <family val="2"/>
      </rPr>
      <t>4</t>
    </r>
    <r>
      <rPr>
        <b/>
        <sz val="10"/>
        <color indexed="10"/>
        <rFont val="宋体"/>
        <family val="3"/>
        <charset val="134"/>
      </rPr>
      <t>）</t>
    </r>
    <phoneticPr fontId="5" type="noConversion"/>
  </si>
  <si>
    <t>邮编</t>
    <phoneticPr fontId="9" type="noConversion"/>
  </si>
  <si>
    <t>地址</t>
    <phoneticPr fontId="5" type="noConversion"/>
  </si>
  <si>
    <t>根据被审计单位情况考虑是否对期末余额的形成进行检查</t>
    <phoneticPr fontId="5" type="noConversion"/>
  </si>
  <si>
    <t>界定误差构成条件：［不符事项的金额高于或低于账户余额人民币</t>
    <phoneticPr fontId="5" type="noConversion"/>
  </si>
  <si>
    <t>（）万元，并且被审计单位不能合理解释其差异并提供相应依据］</t>
    <phoneticPr fontId="5" type="noConversion"/>
  </si>
  <si>
    <t>结合风险评估情况及函证程序执行过程中的舞弊风险迹象，考虑串通舞弊、伪造交易的可能性等，对函证程序的舞弊风险进行评价；</t>
    <phoneticPr fontId="9" type="noConversion"/>
  </si>
  <si>
    <t>函证差异调节表</t>
    <phoneticPr fontId="5" type="noConversion"/>
  </si>
  <si>
    <t>邮件传真回函可靠性验证</t>
    <phoneticPr fontId="9" type="noConversion"/>
  </si>
  <si>
    <t>如果利用第三方函证平台收发函证的，考虑评估第三方函证平台服务的可靠性，了解资质认证或有关控制设计及运行的有效性。</t>
    <phoneticPr fontId="9" type="noConversion"/>
  </si>
  <si>
    <r>
      <rPr>
        <sz val="10"/>
        <color rgb="FF0000FF"/>
        <rFont val="宋体"/>
        <family val="3"/>
        <charset val="134"/>
      </rPr>
      <t>第三方电子询证函平台的安全性评估内容相关要点详见函证技术提示</t>
    </r>
    <r>
      <rPr>
        <sz val="10"/>
        <color rgb="FF0000FF"/>
        <rFont val="Arial Narrow"/>
        <family val="2"/>
      </rPr>
      <t>3</t>
    </r>
    <r>
      <rPr>
        <sz val="10"/>
        <color rgb="FF0000FF"/>
        <rFont val="宋体"/>
        <family val="3"/>
        <charset val="134"/>
      </rPr>
      <t>号，链接为：</t>
    </r>
    <r>
      <rPr>
        <sz val="10"/>
        <color rgb="FF0000FF"/>
        <rFont val="Arial Narrow"/>
        <family val="2"/>
      </rPr>
      <t>https://www.gt-china.com.cn/article_view.php?id=9682</t>
    </r>
    <r>
      <rPr>
        <sz val="10"/>
        <color rgb="FF0000FF"/>
        <rFont val="宋体"/>
        <family val="3"/>
        <charset val="134"/>
      </rPr>
      <t>；</t>
    </r>
    <phoneticPr fontId="5" type="noConversion"/>
  </si>
  <si>
    <t>备注</t>
    <phoneticPr fontId="9" type="noConversion"/>
  </si>
  <si>
    <t>对方科目</t>
  </si>
  <si>
    <r>
      <rPr>
        <b/>
        <sz val="9"/>
        <rFont val="宋体"/>
        <family val="3"/>
        <charset val="134"/>
      </rPr>
      <t>合计</t>
    </r>
    <phoneticPr fontId="9" type="noConversion"/>
  </si>
  <si>
    <t>A</t>
    <phoneticPr fontId="9" type="noConversion"/>
  </si>
  <si>
    <t>B</t>
    <phoneticPr fontId="9" type="noConversion"/>
  </si>
  <si>
    <t>G</t>
    <phoneticPr fontId="9" type="noConversion"/>
  </si>
  <si>
    <t>I</t>
    <phoneticPr fontId="9" type="noConversion"/>
  </si>
  <si>
    <t>…</t>
    <phoneticPr fontId="9" type="noConversion"/>
  </si>
  <si>
    <t>C</t>
    <phoneticPr fontId="9" type="noConversion"/>
  </si>
  <si>
    <t>…</t>
    <phoneticPr fontId="9" type="noConversion"/>
  </si>
  <si>
    <t>D</t>
    <phoneticPr fontId="9" type="noConversion"/>
  </si>
  <si>
    <t>E</t>
    <phoneticPr fontId="9" type="noConversion"/>
  </si>
  <si>
    <t>F</t>
    <phoneticPr fontId="9" type="noConversion"/>
  </si>
  <si>
    <t>…</t>
    <phoneticPr fontId="9" type="noConversion"/>
  </si>
  <si>
    <t>H</t>
    <phoneticPr fontId="9" type="noConversion"/>
  </si>
  <si>
    <r>
      <rPr>
        <b/>
        <sz val="10"/>
        <rFont val="宋体"/>
        <family val="3"/>
        <charset val="134"/>
      </rPr>
      <t>审计说明：</t>
    </r>
    <phoneticPr fontId="9" type="noConversion"/>
  </si>
  <si>
    <r>
      <rPr>
        <sz val="9"/>
        <rFont val="宋体"/>
        <family val="3"/>
        <charset val="134"/>
      </rPr>
      <t>记账凭证号</t>
    </r>
    <phoneticPr fontId="9" type="noConversion"/>
  </si>
  <si>
    <r>
      <rPr>
        <sz val="9"/>
        <rFont val="宋体"/>
        <family val="3"/>
        <charset val="134"/>
      </rPr>
      <t>被询证方回函金额</t>
    </r>
    <phoneticPr fontId="9" type="noConversion"/>
  </si>
  <si>
    <r>
      <rPr>
        <sz val="9"/>
        <rFont val="宋体"/>
        <family val="3"/>
        <charset val="134"/>
      </rPr>
      <t>记账凭证号</t>
    </r>
    <phoneticPr fontId="9" type="noConversion"/>
  </si>
  <si>
    <r>
      <rPr>
        <sz val="9"/>
        <rFont val="宋体"/>
        <family val="3"/>
        <charset val="134"/>
      </rPr>
      <t>调节后的被询证方余额（</t>
    </r>
    <r>
      <rPr>
        <sz val="9"/>
        <rFont val="Arial Narrow"/>
        <family val="2"/>
      </rPr>
      <t>D</t>
    </r>
    <r>
      <rPr>
        <sz val="9"/>
        <rFont val="宋体"/>
        <family val="3"/>
        <charset val="134"/>
      </rPr>
      <t>＝</t>
    </r>
    <r>
      <rPr>
        <sz val="9"/>
        <rFont val="Arial Narrow"/>
        <family val="2"/>
      </rPr>
      <t>A</t>
    </r>
    <r>
      <rPr>
        <sz val="9"/>
        <rFont val="宋体"/>
        <family val="3"/>
        <charset val="134"/>
      </rPr>
      <t>＋</t>
    </r>
    <r>
      <rPr>
        <sz val="9"/>
        <rFont val="Arial Narrow"/>
        <family val="2"/>
      </rPr>
      <t>B</t>
    </r>
    <r>
      <rPr>
        <sz val="9"/>
        <rFont val="宋体"/>
        <family val="3"/>
        <charset val="134"/>
      </rPr>
      <t>－</t>
    </r>
    <r>
      <rPr>
        <sz val="9"/>
        <rFont val="Arial Narrow"/>
        <family val="2"/>
      </rPr>
      <t>C</t>
    </r>
    <r>
      <rPr>
        <sz val="9"/>
        <rFont val="宋体"/>
        <family val="3"/>
        <charset val="134"/>
      </rPr>
      <t>）</t>
    </r>
    <phoneticPr fontId="9" type="noConversion"/>
  </si>
  <si>
    <r>
      <rPr>
        <sz val="9"/>
        <rFont val="宋体"/>
        <family val="3"/>
        <charset val="134"/>
      </rPr>
      <t>本公司账面记录余额</t>
    </r>
    <phoneticPr fontId="9" type="noConversion"/>
  </si>
  <si>
    <r>
      <rPr>
        <sz val="9"/>
        <rFont val="宋体"/>
        <family val="3"/>
        <charset val="134"/>
      </rPr>
      <t>调节后本公司账面余额</t>
    </r>
    <r>
      <rPr>
        <sz val="9"/>
        <rFont val="Arial Narrow"/>
        <family val="2"/>
      </rPr>
      <t>H</t>
    </r>
    <r>
      <rPr>
        <sz val="9"/>
        <rFont val="宋体"/>
        <family val="3"/>
        <charset val="134"/>
      </rPr>
      <t>＝</t>
    </r>
    <r>
      <rPr>
        <sz val="9"/>
        <rFont val="Arial Narrow"/>
        <family val="2"/>
      </rPr>
      <t>E</t>
    </r>
    <r>
      <rPr>
        <sz val="9"/>
        <rFont val="宋体"/>
        <family val="3"/>
        <charset val="134"/>
      </rPr>
      <t>＋</t>
    </r>
    <r>
      <rPr>
        <sz val="9"/>
        <rFont val="Arial Narrow"/>
        <family val="2"/>
      </rPr>
      <t>F</t>
    </r>
    <r>
      <rPr>
        <sz val="9"/>
        <rFont val="宋体"/>
        <family val="3"/>
        <charset val="134"/>
      </rPr>
      <t>－</t>
    </r>
    <r>
      <rPr>
        <sz val="9"/>
        <rFont val="Arial Narrow"/>
        <family val="2"/>
      </rPr>
      <t>G</t>
    </r>
    <phoneticPr fontId="9" type="noConversion"/>
  </si>
  <si>
    <r>
      <rPr>
        <sz val="9"/>
        <rFont val="宋体"/>
        <family val="3"/>
        <charset val="134"/>
      </rPr>
      <t>差异＝</t>
    </r>
    <r>
      <rPr>
        <sz val="9"/>
        <rFont val="Arial Narrow"/>
        <family val="2"/>
      </rPr>
      <t>H</t>
    </r>
    <r>
      <rPr>
        <sz val="9"/>
        <rFont val="宋体"/>
        <family val="3"/>
        <charset val="134"/>
      </rPr>
      <t>－</t>
    </r>
    <r>
      <rPr>
        <sz val="9"/>
        <rFont val="Arial Narrow"/>
        <family val="2"/>
      </rPr>
      <t>D</t>
    </r>
    <phoneticPr fontId="9" type="noConversion"/>
  </si>
  <si>
    <t>索引号：</t>
    <phoneticPr fontId="9" type="noConversion"/>
  </si>
  <si>
    <t>页  次：</t>
    <phoneticPr fontId="5" type="noConversion"/>
  </si>
  <si>
    <t>索引号：</t>
    <phoneticPr fontId="5" type="noConversion"/>
  </si>
  <si>
    <t>备选</t>
    <phoneticPr fontId="5" type="noConversion"/>
  </si>
  <si>
    <r>
      <rPr>
        <b/>
        <sz val="12"/>
        <color indexed="8"/>
        <rFont val="宋体"/>
        <family val="3"/>
        <charset val="134"/>
      </rPr>
      <t>致同会计师事务所</t>
    </r>
    <phoneticPr fontId="9" type="noConversion"/>
  </si>
  <si>
    <r>
      <rPr>
        <b/>
        <sz val="12"/>
        <rFont val="宋体"/>
        <family val="3"/>
        <charset val="134"/>
      </rPr>
      <t>致同会计师事务所</t>
    </r>
    <phoneticPr fontId="5" type="noConversion"/>
  </si>
  <si>
    <r>
      <rPr>
        <b/>
        <sz val="12"/>
        <rFont val="宋体"/>
        <family val="3"/>
        <charset val="134"/>
      </rPr>
      <t>致同会计师事务所</t>
    </r>
    <phoneticPr fontId="9" type="noConversion"/>
  </si>
  <si>
    <r>
      <rPr>
        <b/>
        <sz val="12"/>
        <rFont val="宋体"/>
        <family val="3"/>
        <charset val="134"/>
      </rPr>
      <t>致同会计师事务所</t>
    </r>
    <phoneticPr fontId="9" type="noConversion"/>
  </si>
  <si>
    <r>
      <rPr>
        <b/>
        <sz val="12"/>
        <rFont val="宋体"/>
        <family val="3"/>
        <charset val="134"/>
      </rPr>
      <t>致同会计师事务所</t>
    </r>
    <phoneticPr fontId="9" type="noConversion"/>
  </si>
  <si>
    <t>核实被函证单位信息</t>
    <phoneticPr fontId="9" type="noConversion"/>
  </si>
  <si>
    <r>
      <rPr>
        <b/>
        <sz val="12"/>
        <rFont val="宋体"/>
        <family val="3"/>
        <charset val="134"/>
      </rPr>
      <t>致同会计师事务所</t>
    </r>
    <phoneticPr fontId="9" type="noConversion"/>
  </si>
  <si>
    <t>页 次：</t>
    <phoneticPr fontId="9" type="noConversion"/>
  </si>
  <si>
    <r>
      <rPr>
        <b/>
        <sz val="10"/>
        <rFont val="宋体"/>
        <family val="3"/>
        <charset val="134"/>
      </rPr>
      <t>序号</t>
    </r>
  </si>
  <si>
    <r>
      <rPr>
        <b/>
        <sz val="10"/>
        <rFont val="宋体"/>
        <family val="3"/>
        <charset val="134"/>
      </rPr>
      <t>发函询证纪要</t>
    </r>
  </si>
  <si>
    <r>
      <t>1</t>
    </r>
    <r>
      <rPr>
        <b/>
        <sz val="10"/>
        <rFont val="宋体"/>
        <family val="3"/>
        <charset val="134"/>
      </rPr>
      <t>、发函信息</t>
    </r>
    <phoneticPr fontId="9" type="noConversion"/>
  </si>
  <si>
    <r>
      <t>2</t>
    </r>
    <r>
      <rPr>
        <b/>
        <sz val="10"/>
        <rFont val="宋体"/>
        <family val="3"/>
        <charset val="134"/>
      </rPr>
      <t>、收到回函</t>
    </r>
    <phoneticPr fontId="9" type="noConversion"/>
  </si>
  <si>
    <r>
      <t>3</t>
    </r>
    <r>
      <rPr>
        <b/>
        <sz val="10"/>
        <rFont val="宋体"/>
        <family val="3"/>
        <charset val="134"/>
      </rPr>
      <t>、回函金额确认</t>
    </r>
    <phoneticPr fontId="9" type="noConversion"/>
  </si>
  <si>
    <r>
      <t>4</t>
    </r>
    <r>
      <rPr>
        <b/>
        <sz val="10"/>
        <rFont val="宋体"/>
        <family val="3"/>
        <charset val="134"/>
      </rPr>
      <t>、未收到回函的替代程序</t>
    </r>
    <phoneticPr fontId="9" type="noConversion"/>
  </si>
  <si>
    <r>
      <rPr>
        <b/>
        <sz val="10"/>
        <rFont val="宋体"/>
        <family val="3"/>
        <charset val="134"/>
      </rPr>
      <t>审计结论</t>
    </r>
    <phoneticPr fontId="9" type="noConversion"/>
  </si>
  <si>
    <r>
      <rPr>
        <b/>
        <sz val="10"/>
        <rFont val="宋体"/>
        <family val="3"/>
        <charset val="134"/>
      </rPr>
      <t>选取样本目的</t>
    </r>
    <phoneticPr fontId="9" type="noConversion"/>
  </si>
  <si>
    <r>
      <rPr>
        <b/>
        <sz val="10"/>
        <rFont val="宋体"/>
        <family val="3"/>
        <charset val="134"/>
      </rPr>
      <t>被询证单位名称</t>
    </r>
    <phoneticPr fontId="9" type="noConversion"/>
  </si>
  <si>
    <r>
      <rPr>
        <b/>
        <sz val="10"/>
        <rFont val="宋体"/>
        <family val="3"/>
        <charset val="134"/>
      </rPr>
      <t>账户</t>
    </r>
    <r>
      <rPr>
        <b/>
        <sz val="10"/>
        <rFont val="Arial Narrow"/>
        <family val="2"/>
      </rPr>
      <t>/</t>
    </r>
    <r>
      <rPr>
        <b/>
        <sz val="10"/>
        <rFont val="宋体"/>
        <family val="3"/>
        <charset val="134"/>
      </rPr>
      <t>交易</t>
    </r>
    <phoneticPr fontId="9" type="noConversion"/>
  </si>
  <si>
    <r>
      <rPr>
        <b/>
        <sz val="10"/>
        <rFont val="宋体"/>
        <family val="3"/>
        <charset val="134"/>
      </rPr>
      <t>金额</t>
    </r>
    <phoneticPr fontId="9" type="noConversion"/>
  </si>
  <si>
    <r>
      <rPr>
        <b/>
        <sz val="10"/>
        <rFont val="宋体"/>
        <family val="3"/>
        <charset val="134"/>
      </rPr>
      <t>函证方式</t>
    </r>
    <phoneticPr fontId="9" type="noConversion"/>
  </si>
  <si>
    <r>
      <rPr>
        <b/>
        <sz val="10"/>
        <rFont val="宋体"/>
        <family val="3"/>
        <charset val="134"/>
      </rPr>
      <t>发函日期</t>
    </r>
    <phoneticPr fontId="9" type="noConversion"/>
  </si>
  <si>
    <r>
      <rPr>
        <b/>
        <sz val="10"/>
        <rFont val="宋体"/>
        <family val="3"/>
        <charset val="134"/>
      </rPr>
      <t>发函单号</t>
    </r>
    <phoneticPr fontId="9" type="noConversion"/>
  </si>
  <si>
    <r>
      <rPr>
        <b/>
        <sz val="10"/>
        <rFont val="宋体"/>
        <family val="3"/>
        <charset val="134"/>
      </rPr>
      <t>收件地址</t>
    </r>
    <phoneticPr fontId="9" type="noConversion"/>
  </si>
  <si>
    <r>
      <rPr>
        <b/>
        <sz val="10"/>
        <rFont val="宋体"/>
        <family val="3"/>
        <charset val="134"/>
      </rPr>
      <t>地址核查是否一致</t>
    </r>
    <phoneticPr fontId="9" type="noConversion"/>
  </si>
  <si>
    <r>
      <rPr>
        <b/>
        <sz val="10"/>
        <rFont val="宋体"/>
        <family val="3"/>
        <charset val="134"/>
      </rPr>
      <t>是否收到回函</t>
    </r>
    <phoneticPr fontId="9" type="noConversion"/>
  </si>
  <si>
    <r>
      <rPr>
        <b/>
        <sz val="10"/>
        <rFont val="宋体"/>
        <family val="3"/>
        <charset val="134"/>
      </rPr>
      <t>回函方式</t>
    </r>
    <phoneticPr fontId="9" type="noConversion"/>
  </si>
  <si>
    <r>
      <rPr>
        <b/>
        <sz val="10"/>
        <rFont val="宋体"/>
        <family val="3"/>
        <charset val="134"/>
      </rPr>
      <t>是否相符</t>
    </r>
    <phoneticPr fontId="9" type="noConversion"/>
  </si>
  <si>
    <r>
      <rPr>
        <b/>
        <sz val="10"/>
        <rFont val="宋体"/>
        <family val="3"/>
        <charset val="134"/>
      </rPr>
      <t>回函日期</t>
    </r>
    <phoneticPr fontId="9" type="noConversion"/>
  </si>
  <si>
    <r>
      <rPr>
        <b/>
        <sz val="10"/>
        <rFont val="宋体"/>
        <family val="3"/>
        <charset val="134"/>
      </rPr>
      <t>回函快递单号</t>
    </r>
    <phoneticPr fontId="9" type="noConversion"/>
  </si>
  <si>
    <r>
      <rPr>
        <b/>
        <sz val="10"/>
        <rFont val="宋体"/>
        <family val="3"/>
        <charset val="134"/>
      </rPr>
      <t>回函发出地址</t>
    </r>
    <phoneticPr fontId="9" type="noConversion"/>
  </si>
  <si>
    <r>
      <rPr>
        <b/>
        <sz val="10"/>
        <rFont val="宋体"/>
        <family val="3"/>
        <charset val="134"/>
      </rPr>
      <t>发函地址与回函地址是否一致</t>
    </r>
    <phoneticPr fontId="9" type="noConversion"/>
  </si>
  <si>
    <r>
      <rPr>
        <b/>
        <sz val="10"/>
        <rFont val="宋体"/>
        <family val="3"/>
        <charset val="134"/>
      </rPr>
      <t>回函金额</t>
    </r>
    <phoneticPr fontId="5" type="noConversion"/>
  </si>
  <si>
    <r>
      <rPr>
        <b/>
        <sz val="10"/>
        <rFont val="宋体"/>
        <family val="3"/>
        <charset val="134"/>
      </rPr>
      <t>差异</t>
    </r>
    <phoneticPr fontId="5" type="noConversion"/>
  </si>
  <si>
    <r>
      <rPr>
        <b/>
        <sz val="10"/>
        <rFont val="宋体"/>
        <family val="3"/>
        <charset val="134"/>
      </rPr>
      <t>可确认金额</t>
    </r>
    <phoneticPr fontId="9" type="noConversion"/>
  </si>
  <si>
    <r>
      <rPr>
        <b/>
        <sz val="10"/>
        <rFont val="宋体"/>
        <family val="3"/>
        <charset val="134"/>
      </rPr>
      <t>其他说明</t>
    </r>
    <r>
      <rPr>
        <b/>
        <sz val="10"/>
        <rFont val="Arial Narrow"/>
        <family val="2"/>
      </rPr>
      <t>/</t>
    </r>
    <r>
      <rPr>
        <b/>
        <sz val="10"/>
        <rFont val="宋体"/>
        <family val="3"/>
        <charset val="134"/>
      </rPr>
      <t>备注</t>
    </r>
    <phoneticPr fontId="9" type="noConversion"/>
  </si>
  <si>
    <r>
      <rPr>
        <b/>
        <sz val="10"/>
        <rFont val="宋体"/>
        <family val="3"/>
        <charset val="134"/>
      </rPr>
      <t>是否采取替代程序</t>
    </r>
    <phoneticPr fontId="9" type="noConversion"/>
  </si>
  <si>
    <r>
      <rPr>
        <b/>
        <sz val="10"/>
        <rFont val="宋体"/>
        <family val="3"/>
        <charset val="134"/>
      </rPr>
      <t>替代后可确认金额</t>
    </r>
    <phoneticPr fontId="9" type="noConversion"/>
  </si>
  <si>
    <r>
      <rPr>
        <b/>
        <sz val="10"/>
        <rFont val="宋体"/>
        <family val="3"/>
        <charset val="134"/>
      </rPr>
      <t>替代后不可确认金额</t>
    </r>
    <phoneticPr fontId="9" type="noConversion"/>
  </si>
  <si>
    <r>
      <rPr>
        <b/>
        <sz val="10"/>
        <rFont val="宋体"/>
        <family val="3"/>
        <charset val="134"/>
      </rPr>
      <t>替代程序索引号</t>
    </r>
    <phoneticPr fontId="9" type="noConversion"/>
  </si>
  <si>
    <r>
      <rPr>
        <b/>
        <sz val="10"/>
        <rFont val="宋体"/>
        <family val="3"/>
        <charset val="134"/>
      </rPr>
      <t>发函日期</t>
    </r>
    <phoneticPr fontId="9" type="noConversion"/>
  </si>
  <si>
    <r>
      <rPr>
        <b/>
        <sz val="10"/>
        <rFont val="宋体"/>
        <family val="3"/>
        <charset val="134"/>
      </rPr>
      <t>调节索引（</t>
    </r>
    <r>
      <rPr>
        <b/>
        <sz val="10"/>
        <rFont val="Arial Narrow"/>
        <family val="2"/>
      </rPr>
      <t>F0-4</t>
    </r>
    <r>
      <rPr>
        <b/>
        <sz val="10"/>
        <rFont val="宋体"/>
        <family val="3"/>
        <charset val="134"/>
      </rPr>
      <t>）</t>
    </r>
    <phoneticPr fontId="9" type="noConversion"/>
  </si>
  <si>
    <t>一、函证情况</t>
    <phoneticPr fontId="5" type="noConversion"/>
  </si>
  <si>
    <r>
      <rPr>
        <sz val="10"/>
        <rFont val="宋体"/>
        <family val="3"/>
        <charset val="134"/>
      </rPr>
      <t>项目</t>
    </r>
    <phoneticPr fontId="5" type="noConversion"/>
  </si>
  <si>
    <r>
      <rPr>
        <sz val="10"/>
        <rFont val="宋体"/>
        <family val="3"/>
        <charset val="134"/>
      </rPr>
      <t>本期（期末）账面金额：</t>
    </r>
    <phoneticPr fontId="5" type="noConversion"/>
  </si>
  <si>
    <r>
      <rPr>
        <sz val="10"/>
        <rFont val="宋体"/>
        <family val="3"/>
        <charset val="134"/>
      </rPr>
      <t>抽取样本的发函金额：</t>
    </r>
    <phoneticPr fontId="5" type="noConversion"/>
  </si>
  <si>
    <r>
      <rPr>
        <sz val="10"/>
        <rFont val="宋体"/>
        <family val="3"/>
        <charset val="134"/>
      </rPr>
      <t>发函金额占账面金额的比例</t>
    </r>
    <r>
      <rPr>
        <sz val="10"/>
        <rFont val="Arial Narrow"/>
        <family val="2"/>
      </rPr>
      <t>(%)</t>
    </r>
    <r>
      <rPr>
        <sz val="10"/>
        <rFont val="宋体"/>
        <family val="3"/>
        <charset val="134"/>
      </rPr>
      <t>：</t>
    </r>
    <phoneticPr fontId="5" type="noConversion"/>
  </si>
  <si>
    <t>回函确认金额：</t>
    <phoneticPr fontId="5" type="noConversion"/>
  </si>
  <si>
    <r>
      <rPr>
        <sz val="10"/>
        <rFont val="宋体"/>
        <family val="3"/>
        <charset val="134"/>
      </rPr>
      <t>回函可确认金额占发函金额的比例</t>
    </r>
    <r>
      <rPr>
        <sz val="10"/>
        <rFont val="Arial Narrow"/>
        <family val="2"/>
      </rPr>
      <t>(%)</t>
    </r>
    <r>
      <rPr>
        <sz val="10"/>
        <rFont val="宋体"/>
        <family val="3"/>
        <charset val="134"/>
      </rPr>
      <t>：</t>
    </r>
    <phoneticPr fontId="5" type="noConversion"/>
  </si>
  <si>
    <r>
      <rPr>
        <sz val="10"/>
        <rFont val="宋体"/>
        <family val="3"/>
        <charset val="134"/>
      </rPr>
      <t>回函可确认金额占账面金额的比例</t>
    </r>
    <r>
      <rPr>
        <sz val="10"/>
        <rFont val="Arial Narrow"/>
        <family val="2"/>
      </rPr>
      <t>(%)</t>
    </r>
    <r>
      <rPr>
        <sz val="10"/>
        <rFont val="宋体"/>
        <family val="3"/>
        <charset val="134"/>
      </rPr>
      <t>：</t>
    </r>
    <phoneticPr fontId="5" type="noConversion"/>
  </si>
  <si>
    <r>
      <rPr>
        <sz val="10"/>
        <rFont val="宋体"/>
        <family val="3"/>
        <charset val="134"/>
      </rPr>
      <t>回函和替代确认金额占账面金额的比例</t>
    </r>
    <r>
      <rPr>
        <sz val="10"/>
        <rFont val="Arial Narrow"/>
        <family val="2"/>
      </rPr>
      <t>(%)</t>
    </r>
    <r>
      <rPr>
        <sz val="10"/>
        <rFont val="宋体"/>
        <family val="3"/>
        <charset val="134"/>
      </rPr>
      <t>：</t>
    </r>
    <phoneticPr fontId="5" type="noConversion"/>
  </si>
  <si>
    <t>替代测试确认金额：</t>
    <phoneticPr fontId="5" type="noConversion"/>
  </si>
  <si>
    <t>二、样本选择</t>
    <phoneticPr fontId="5" type="noConversion"/>
  </si>
  <si>
    <t>测试总体：</t>
    <phoneticPr fontId="9" type="noConversion"/>
  </si>
  <si>
    <t>特定样本：</t>
    <phoneticPr fontId="9" type="noConversion"/>
  </si>
  <si>
    <t>抽样总体：</t>
    <phoneticPr fontId="9" type="noConversion"/>
  </si>
  <si>
    <t>确定的抽样样本量：</t>
    <phoneticPr fontId="9" type="noConversion"/>
  </si>
  <si>
    <t>（如果使用了样本计算器计算样本量，样本量计算过程见&lt;XX&gt;底稿）</t>
    <phoneticPr fontId="9" type="noConversion"/>
  </si>
  <si>
    <t>随机选样/系统选样/货币单元抽样/随意选样</t>
    <phoneticPr fontId="9" type="noConversion"/>
  </si>
  <si>
    <r>
      <t>抽样工具中的样本选择过程和结果见</t>
    </r>
    <r>
      <rPr>
        <sz val="10"/>
        <color rgb="FF0000FF"/>
        <rFont val="Arial Narrow"/>
        <family val="2"/>
      </rPr>
      <t>&lt;XX&gt;</t>
    </r>
    <r>
      <rPr>
        <sz val="10"/>
        <color rgb="FF0000FF"/>
        <rFont val="宋体"/>
        <family val="3"/>
        <charset val="134"/>
      </rPr>
      <t>底稿</t>
    </r>
    <phoneticPr fontId="9" type="noConversion"/>
  </si>
  <si>
    <t>四、审计结论</t>
    <phoneticPr fontId="9" type="noConversion"/>
  </si>
  <si>
    <t>跟函函证控制过程（F0-3）</t>
    <phoneticPr fontId="9"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</si>
  <si>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</si>
  <si>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t>询证函索引号</t>
    <phoneticPr fontId="9" type="noConversion"/>
  </si>
  <si>
    <r>
      <rPr>
        <sz val="10"/>
        <rFont val="宋体"/>
        <family val="3"/>
        <charset val="134"/>
      </rPr>
      <t>索引号：</t>
    </r>
    <phoneticPr fontId="5"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</si>
  <si>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</si>
  <si>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r>
      <rPr>
        <b/>
        <sz val="10"/>
        <rFont val="宋体"/>
        <family val="3"/>
        <charset val="134"/>
      </rPr>
      <t>回函金额</t>
    </r>
    <phoneticPr fontId="5" type="noConversion"/>
  </si>
  <si>
    <r>
      <rPr>
        <b/>
        <sz val="10"/>
        <rFont val="宋体"/>
        <family val="3"/>
        <charset val="134"/>
      </rPr>
      <t>差异</t>
    </r>
    <phoneticPr fontId="5" type="noConversion"/>
  </si>
  <si>
    <r>
      <rPr>
        <b/>
        <sz val="10"/>
        <rFont val="宋体"/>
        <family val="3"/>
        <charset val="134"/>
      </rPr>
      <t>合计</t>
    </r>
    <phoneticPr fontId="9" type="noConversion"/>
  </si>
  <si>
    <r>
      <rPr>
        <b/>
        <sz val="10"/>
        <rFont val="宋体"/>
        <family val="3"/>
        <charset val="134"/>
      </rPr>
      <t>询证函索引号</t>
    </r>
    <phoneticPr fontId="9" type="noConversion"/>
  </si>
  <si>
    <r>
      <rPr>
        <b/>
        <sz val="10"/>
        <rFont val="宋体"/>
        <family val="3"/>
        <charset val="134"/>
      </rPr>
      <t>被询证单位名称</t>
    </r>
    <phoneticPr fontId="9" type="noConversion"/>
  </si>
  <si>
    <r>
      <rPr>
        <b/>
        <sz val="10"/>
        <rFont val="宋体"/>
        <family val="3"/>
        <charset val="134"/>
      </rPr>
      <t>账户</t>
    </r>
    <r>
      <rPr>
        <b/>
        <sz val="10"/>
        <rFont val="Arial Narrow"/>
        <family val="2"/>
      </rPr>
      <t>/</t>
    </r>
    <r>
      <rPr>
        <b/>
        <sz val="10"/>
        <rFont val="宋体"/>
        <family val="3"/>
        <charset val="134"/>
      </rPr>
      <t>交易</t>
    </r>
    <phoneticPr fontId="9" type="noConversion"/>
  </si>
  <si>
    <r>
      <rPr>
        <b/>
        <sz val="10"/>
        <rFont val="宋体"/>
        <family val="3"/>
        <charset val="134"/>
      </rPr>
      <t>发函金额</t>
    </r>
    <phoneticPr fontId="9" type="noConversion"/>
  </si>
  <si>
    <r>
      <rPr>
        <b/>
        <sz val="10"/>
        <rFont val="宋体"/>
        <family val="3"/>
        <charset val="134"/>
      </rPr>
      <t>差异原因</t>
    </r>
    <phoneticPr fontId="9" type="noConversion"/>
  </si>
  <si>
    <r>
      <rPr>
        <b/>
        <sz val="10"/>
        <rFont val="宋体"/>
        <family val="3"/>
        <charset val="134"/>
      </rPr>
      <t>相关支持性证据</t>
    </r>
    <phoneticPr fontId="9" type="noConversion"/>
  </si>
  <si>
    <r>
      <rPr>
        <b/>
        <sz val="10"/>
        <rFont val="宋体"/>
        <family val="3"/>
        <charset val="134"/>
      </rPr>
      <t>是否调整</t>
    </r>
    <phoneticPr fontId="9" type="noConversion"/>
  </si>
  <si>
    <r>
      <rPr>
        <sz val="10"/>
        <rFont val="宋体"/>
        <family val="3"/>
        <charset val="134"/>
      </rPr>
      <t>索引号：</t>
    </r>
    <phoneticPr fontId="9" type="noConversion"/>
  </si>
  <si>
    <t>索引号</t>
    <phoneticPr fontId="5"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</si>
  <si>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</si>
  <si>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r>
      <rPr>
        <b/>
        <sz val="9"/>
        <rFont val="宋体"/>
        <family val="3"/>
        <charset val="134"/>
      </rPr>
      <t>序号</t>
    </r>
    <phoneticPr fontId="9" type="noConversion"/>
  </si>
  <si>
    <r>
      <rPr>
        <b/>
        <sz val="9"/>
        <rFont val="宋体"/>
        <family val="3"/>
        <charset val="134"/>
      </rPr>
      <t>项目</t>
    </r>
    <phoneticPr fontId="9" type="noConversion"/>
  </si>
  <si>
    <r>
      <rPr>
        <b/>
        <sz val="9"/>
        <rFont val="宋体"/>
        <family val="3"/>
        <charset val="134"/>
      </rPr>
      <t>金额</t>
    </r>
    <phoneticPr fontId="9" type="noConversion"/>
  </si>
  <si>
    <r>
      <rPr>
        <b/>
        <sz val="9"/>
        <rFont val="宋体"/>
        <family val="3"/>
        <charset val="134"/>
      </rPr>
      <t>是否调整</t>
    </r>
    <phoneticPr fontId="9" type="noConversion"/>
  </si>
  <si>
    <t>测试总体扣除特定样本以外的样本，共XX笔、金额XX</t>
    <phoneticPr fontId="9" type="noConversion"/>
  </si>
  <si>
    <t>抽样方法：</t>
    <phoneticPr fontId="9" type="noConversion"/>
  </si>
  <si>
    <t>随机选样/系统选样/货币单元抽样/随意选样</t>
    <phoneticPr fontId="9" type="noConversion"/>
  </si>
  <si>
    <t>XX金额以上（大额）、关联方/关联交易形成的款项、XX异常款项全部测试，共XX笔；</t>
    <phoneticPr fontId="9" type="noConversion"/>
  </si>
  <si>
    <t>抽取XX笔</t>
    <phoneticPr fontId="9" type="noConversion"/>
  </si>
  <si>
    <t>（如果使用了样本计算器计算样本量，样本量计算过程见&lt;XX&gt;底稿）</t>
    <phoneticPr fontId="9" type="noConversion"/>
  </si>
  <si>
    <r>
      <rPr>
        <b/>
        <sz val="9"/>
        <color rgb="FF000000"/>
        <rFont val="宋体"/>
        <family val="3"/>
        <charset val="134"/>
      </rPr>
      <t>凭证编号</t>
    </r>
  </si>
  <si>
    <r>
      <rPr>
        <b/>
        <sz val="9"/>
        <color rgb="FF000000"/>
        <rFont val="宋体"/>
        <family val="3"/>
        <charset val="134"/>
      </rPr>
      <t>日期</t>
    </r>
  </si>
  <si>
    <r>
      <rPr>
        <b/>
        <sz val="9"/>
        <color rgb="FF000000"/>
        <rFont val="宋体"/>
        <family val="3"/>
        <charset val="134"/>
      </rPr>
      <t>业务内容</t>
    </r>
  </si>
  <si>
    <r>
      <rPr>
        <b/>
        <sz val="9"/>
        <color rgb="FF000000"/>
        <rFont val="宋体"/>
        <family val="3"/>
        <charset val="134"/>
      </rPr>
      <t>金额</t>
    </r>
  </si>
  <si>
    <r>
      <rPr>
        <b/>
        <sz val="9"/>
        <color rgb="FFFF0000"/>
        <rFont val="宋体"/>
        <family val="3"/>
        <charset val="134"/>
      </rPr>
      <t>金额</t>
    </r>
    <phoneticPr fontId="9" type="noConversion"/>
  </si>
  <si>
    <r>
      <rPr>
        <b/>
        <sz val="9"/>
        <color rgb="FFFF0000"/>
        <rFont val="宋体"/>
        <family val="3"/>
        <charset val="134"/>
      </rPr>
      <t>对手方名称</t>
    </r>
    <phoneticPr fontId="9" type="noConversion"/>
  </si>
  <si>
    <r>
      <rPr>
        <b/>
        <sz val="9"/>
        <color rgb="FFFF0000"/>
        <rFont val="宋体"/>
        <family val="3"/>
        <charset val="134"/>
      </rPr>
      <t>日期</t>
    </r>
    <r>
      <rPr>
        <b/>
        <sz val="9"/>
        <color rgb="FFFF0000"/>
        <rFont val="Arial Narrow"/>
        <family val="2"/>
      </rPr>
      <t>/</t>
    </r>
    <r>
      <rPr>
        <b/>
        <sz val="9"/>
        <color rgb="FFFF0000"/>
        <rFont val="宋体"/>
        <family val="3"/>
        <charset val="134"/>
      </rPr>
      <t>编号</t>
    </r>
    <phoneticPr fontId="9" type="noConversion"/>
  </si>
  <si>
    <r>
      <rPr>
        <b/>
        <sz val="9"/>
        <color rgb="FF000000"/>
        <rFont val="宋体"/>
        <family val="3"/>
        <charset val="134"/>
      </rPr>
      <t>记账凭证</t>
    </r>
    <phoneticPr fontId="5" type="noConversion"/>
  </si>
  <si>
    <r>
      <rPr>
        <b/>
        <sz val="10"/>
        <color rgb="FF000000"/>
        <rFont val="宋体"/>
        <family val="3"/>
        <charset val="134"/>
      </rPr>
      <t>银行回单</t>
    </r>
    <phoneticPr fontId="9" type="noConversion"/>
  </si>
  <si>
    <r>
      <rPr>
        <b/>
        <sz val="10"/>
        <rFont val="宋体"/>
        <family val="3"/>
        <charset val="134"/>
      </rPr>
      <t>金额</t>
    </r>
    <phoneticPr fontId="9" type="noConversion"/>
  </si>
  <si>
    <r>
      <rPr>
        <b/>
        <sz val="9"/>
        <rFont val="宋体"/>
        <family val="3"/>
        <charset val="134"/>
      </rPr>
      <t>索引号</t>
    </r>
    <phoneticPr fontId="9" type="noConversion"/>
  </si>
  <si>
    <r>
      <rPr>
        <b/>
        <sz val="9"/>
        <rFont val="宋体"/>
        <family val="3"/>
        <charset val="134"/>
      </rPr>
      <t>是否异常</t>
    </r>
    <phoneticPr fontId="9" type="noConversion"/>
  </si>
  <si>
    <r>
      <rPr>
        <b/>
        <sz val="9"/>
        <color rgb="FF000000"/>
        <rFont val="宋体"/>
        <family val="3"/>
        <charset val="134"/>
      </rPr>
      <t>对方科目</t>
    </r>
    <phoneticPr fontId="5" type="noConversion"/>
  </si>
  <si>
    <r>
      <rPr>
        <b/>
        <sz val="10"/>
        <rFont val="宋体"/>
        <family val="3"/>
        <charset val="134"/>
      </rPr>
      <t>日期</t>
    </r>
    <phoneticPr fontId="9" type="noConversion"/>
  </si>
  <si>
    <t>提示：</t>
    <phoneticPr fontId="5" type="noConversion"/>
  </si>
  <si>
    <t>F0-6</t>
    <phoneticPr fontId="5" type="noConversion"/>
  </si>
  <si>
    <r>
      <rPr>
        <sz val="10"/>
        <color rgb="FF0000FF"/>
        <rFont val="宋体"/>
        <family val="3"/>
        <charset val="134"/>
      </rPr>
      <t>检查的关键证据和要素根据被审计单位具体情况修改</t>
    </r>
    <phoneticPr fontId="9" type="noConversion"/>
  </si>
  <si>
    <r>
      <rPr>
        <sz val="10"/>
        <color rgb="FF0000FF"/>
        <rFont val="宋体"/>
        <family val="3"/>
        <charset val="134"/>
      </rPr>
      <t>检查的关键证据和要素根据被审计单位具体情况修改</t>
    </r>
    <phoneticPr fontId="9" type="noConversion"/>
  </si>
  <si>
    <t>索引号：</t>
    <phoneticPr fontId="9" type="noConversion"/>
  </si>
  <si>
    <t>F0-7</t>
    <phoneticPr fontId="5" type="noConversion"/>
  </si>
  <si>
    <t>页  次：</t>
    <phoneticPr fontId="5" type="noConversion"/>
  </si>
  <si>
    <r>
      <rPr>
        <b/>
        <sz val="10"/>
        <rFont val="宋体"/>
        <family val="3"/>
        <charset val="134"/>
      </rPr>
      <t>是否致电被函证者确认</t>
    </r>
    <phoneticPr fontId="5" type="noConversion"/>
  </si>
  <si>
    <r>
      <rPr>
        <b/>
        <sz val="10"/>
        <rFont val="宋体"/>
        <family val="3"/>
        <charset val="134"/>
      </rPr>
      <t>函证索引号</t>
    </r>
    <phoneticPr fontId="9" type="noConversion"/>
  </si>
  <si>
    <r>
      <rPr>
        <b/>
        <sz val="10"/>
        <rFont val="宋体"/>
        <family val="3"/>
        <charset val="134"/>
      </rPr>
      <t>回函方式</t>
    </r>
    <phoneticPr fontId="5" type="noConversion"/>
  </si>
  <si>
    <r>
      <rPr>
        <b/>
        <sz val="10"/>
        <rFont val="宋体"/>
        <family val="3"/>
        <charset val="134"/>
      </rPr>
      <t>回函可靠性结论</t>
    </r>
    <phoneticPr fontId="9" type="noConversion"/>
  </si>
  <si>
    <r>
      <rPr>
        <b/>
        <sz val="10"/>
        <rFont val="宋体"/>
        <family val="3"/>
        <charset val="134"/>
      </rPr>
      <t>发函及回函传真信息及验证</t>
    </r>
    <phoneticPr fontId="5" type="noConversion"/>
  </si>
  <si>
    <r>
      <rPr>
        <b/>
        <sz val="10"/>
        <rFont val="宋体"/>
        <family val="3"/>
        <charset val="134"/>
      </rPr>
      <t>回函邮箱</t>
    </r>
    <phoneticPr fontId="5" type="noConversion"/>
  </si>
  <si>
    <r>
      <rPr>
        <b/>
        <sz val="10"/>
        <rFont val="宋体"/>
        <family val="3"/>
        <charset val="134"/>
      </rPr>
      <t>发函邮箱</t>
    </r>
    <phoneticPr fontId="5" type="noConversion"/>
  </si>
  <si>
    <r>
      <rPr>
        <b/>
        <sz val="10"/>
        <rFont val="宋体"/>
        <family val="3"/>
        <charset val="134"/>
      </rPr>
      <t>对函证信息可靠性的考虑（注</t>
    </r>
    <r>
      <rPr>
        <b/>
        <sz val="10"/>
        <rFont val="Arial Narrow"/>
        <family val="2"/>
      </rPr>
      <t>3</t>
    </r>
    <r>
      <rPr>
        <b/>
        <sz val="10"/>
        <rFont val="宋体"/>
        <family val="3"/>
        <charset val="134"/>
      </rPr>
      <t>）</t>
    </r>
    <phoneticPr fontId="5" type="noConversion"/>
  </si>
  <si>
    <r>
      <rPr>
        <b/>
        <sz val="10"/>
        <rFont val="宋体"/>
        <family val="3"/>
        <charset val="134"/>
      </rPr>
      <t>序号</t>
    </r>
    <phoneticPr fontId="9" type="noConversion"/>
  </si>
  <si>
    <r>
      <rPr>
        <b/>
        <sz val="10"/>
        <rFont val="宋体"/>
        <family val="3"/>
        <charset val="134"/>
      </rPr>
      <t>被询证单位名称</t>
    </r>
    <phoneticPr fontId="9" type="noConversion"/>
  </si>
  <si>
    <r>
      <rPr>
        <b/>
        <sz val="10"/>
        <rFont val="宋体"/>
        <family val="3"/>
        <charset val="134"/>
      </rPr>
      <t>是否由审计项目组直接接收</t>
    </r>
    <phoneticPr fontId="5" type="noConversion"/>
  </si>
  <si>
    <r>
      <rPr>
        <b/>
        <sz val="10"/>
        <rFont val="宋体"/>
        <family val="3"/>
        <charset val="134"/>
      </rPr>
      <t>是否寄回原件</t>
    </r>
    <phoneticPr fontId="5" type="noConversion"/>
  </si>
  <si>
    <r>
      <rPr>
        <b/>
        <sz val="10"/>
        <rFont val="宋体"/>
        <family val="3"/>
        <charset val="134"/>
      </rPr>
      <t>被函证者身份确认（注</t>
    </r>
    <r>
      <rPr>
        <b/>
        <sz val="10"/>
        <rFont val="Arial Narrow"/>
        <family val="2"/>
      </rPr>
      <t>1</t>
    </r>
    <r>
      <rPr>
        <b/>
        <sz val="10"/>
        <rFont val="宋体"/>
        <family val="3"/>
        <charset val="134"/>
      </rPr>
      <t>）</t>
    </r>
    <phoneticPr fontId="5" type="noConversion"/>
  </si>
  <si>
    <r>
      <rPr>
        <b/>
        <sz val="10"/>
        <rFont val="宋体"/>
        <family val="3"/>
        <charset val="134"/>
      </rPr>
      <t>邮箱可靠性验证（注</t>
    </r>
    <r>
      <rPr>
        <b/>
        <sz val="10"/>
        <rFont val="Arial Narrow"/>
        <family val="2"/>
      </rPr>
      <t>2</t>
    </r>
    <r>
      <rPr>
        <b/>
        <sz val="10"/>
        <rFont val="宋体"/>
        <family val="3"/>
        <charset val="134"/>
      </rPr>
      <t>）</t>
    </r>
    <phoneticPr fontId="5" type="noConversion"/>
  </si>
  <si>
    <t xml:space="preserve">   索引号：</t>
    <phoneticPr fontId="5" type="noConversion"/>
  </si>
  <si>
    <t xml:space="preserve">                              </t>
    <phoneticPr fontId="5" type="noConversion"/>
  </si>
  <si>
    <t>F0-8</t>
    <phoneticPr fontId="9" type="noConversion"/>
  </si>
  <si>
    <t xml:space="preserve">   页    次：</t>
    <phoneticPr fontId="5" type="noConversion"/>
  </si>
  <si>
    <r>
      <t>1.</t>
    </r>
    <r>
      <rPr>
        <sz val="10"/>
        <rFont val="宋体"/>
        <family val="3"/>
        <charset val="134"/>
      </rPr>
      <t>管理层不允许寄发询证函；</t>
    </r>
    <phoneticPr fontId="5" type="noConversion"/>
  </si>
  <si>
    <r>
      <rPr>
        <b/>
        <sz val="10"/>
        <rFont val="宋体"/>
        <family val="3"/>
        <charset val="134"/>
      </rPr>
      <t>审计说明：</t>
    </r>
    <phoneticPr fontId="9" type="noConversion"/>
  </si>
  <si>
    <r>
      <rPr>
        <b/>
        <sz val="10"/>
        <rFont val="宋体"/>
        <family val="3"/>
        <charset val="134"/>
      </rPr>
      <t>与函证程序有关的舞弊风险迹象</t>
    </r>
    <phoneticPr fontId="9" type="noConversion"/>
  </si>
  <si>
    <r>
      <rPr>
        <b/>
        <sz val="10"/>
        <rFont val="宋体"/>
        <family val="3"/>
        <charset val="134"/>
      </rPr>
      <t>索引号或信息来源</t>
    </r>
    <phoneticPr fontId="5" type="noConversion"/>
  </si>
  <si>
    <r>
      <t>2.</t>
    </r>
    <r>
      <rPr>
        <sz val="10"/>
        <rFont val="宋体"/>
        <family val="3"/>
        <charset val="134"/>
      </rPr>
      <t>管理层过度热情配合函证程序；</t>
    </r>
    <phoneticPr fontId="5" type="noConversion"/>
  </si>
  <si>
    <r>
      <rPr>
        <sz val="11"/>
        <color rgb="FF0000FF"/>
        <rFont val="宋体"/>
        <family val="3"/>
        <charset val="134"/>
      </rPr>
      <t>例如：被审计单位及其管理层能够对被询证者施加重大影响以使其向注册会计师提供虚假或误导信息（如被审计单位是被询证者唯一或重要的客户或供应商）；被询证者既是被审计单位资产的保管人又是资产的管理者。</t>
    </r>
    <phoneticPr fontId="5" type="noConversion"/>
  </si>
  <si>
    <r>
      <rPr>
        <b/>
        <sz val="10"/>
        <rFont val="宋体"/>
        <family val="3"/>
        <charset val="134"/>
      </rPr>
      <t>是否存在</t>
    </r>
    <phoneticPr fontId="9" type="noConversion"/>
  </si>
  <si>
    <r>
      <rPr>
        <b/>
        <sz val="10"/>
        <rFont val="宋体"/>
        <family val="3"/>
        <charset val="134"/>
      </rPr>
      <t>应对措施</t>
    </r>
    <phoneticPr fontId="5" type="noConversion"/>
  </si>
  <si>
    <r>
      <rPr>
        <sz val="11"/>
        <color rgb="FF0000FF"/>
        <rFont val="宋体"/>
        <family val="3"/>
        <charset val="134"/>
      </rPr>
      <t>例如：银行函证未回函；与以前年度相比，回函率异常偏高或回函率重大变动；向被审计单位债权人发送的询证函回函率很低；</t>
    </r>
    <phoneticPr fontId="5"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</si>
  <si>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</si>
  <si>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t>索引号：</t>
    <phoneticPr fontId="9" type="noConversion"/>
  </si>
  <si>
    <t>页  次：</t>
    <phoneticPr fontId="5" type="noConversion"/>
  </si>
  <si>
    <r>
      <rPr>
        <sz val="10"/>
        <rFont val="宋体"/>
        <family val="3"/>
        <charset val="134"/>
      </rPr>
      <t>索引号：</t>
    </r>
    <phoneticPr fontId="5"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</si>
  <si>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</si>
  <si>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t>索引号：</t>
    <phoneticPr fontId="5" type="noConversion"/>
  </si>
  <si>
    <r>
      <rPr>
        <sz val="10"/>
        <rFont val="宋体"/>
        <family val="3"/>
        <charset val="134"/>
      </rPr>
      <t>索引号：</t>
    </r>
    <phoneticPr fontId="5" type="noConversion"/>
  </si>
  <si>
    <t>舞弊应对/IPO/上市/新三板/重组</t>
  </si>
  <si>
    <t>设计询证函，考虑制作询证函防伪标识，并在发函前核实被函证单位信息（函证科目、单位名称、地址、联系人、联系电话、邮政编码、函证人等），对于函证地址与注册地址、办公地址等不一致，不同被询证者的函证地址相近、电话号段相邻，函证联系人非被询证单位员工等情况，需核查并记录原因。</t>
    <phoneticPr fontId="9" type="noConversion"/>
  </si>
  <si>
    <t>函证差异检查表（示例）</t>
    <phoneticPr fontId="5" type="noConversion"/>
  </si>
  <si>
    <t>三、审计说明</t>
    <phoneticPr fontId="9" type="noConversion"/>
  </si>
  <si>
    <t>期末未收回原件函证可靠性验证</t>
    <phoneticPr fontId="5" type="noConversion"/>
  </si>
  <si>
    <t>D0A</t>
  </si>
  <si>
    <t>D0-1</t>
  </si>
  <si>
    <t>D0-2</t>
  </si>
  <si>
    <t>D0-3</t>
  </si>
  <si>
    <t>D0-4</t>
  </si>
  <si>
    <t>D0-5</t>
  </si>
  <si>
    <t>D0-6</t>
  </si>
  <si>
    <t>D0-7</t>
  </si>
  <si>
    <t>D0-8</t>
  </si>
  <si>
    <t>D0-1/D0-3</t>
  </si>
  <si>
    <t>D0-1/D0-2</t>
  </si>
  <si>
    <t>D0-1/D0-7</t>
  </si>
  <si>
    <t>D0-1/D0-5/D0-6</t>
  </si>
  <si>
    <t>合同负债</t>
  </si>
  <si>
    <t>合同负债</t>
    <phoneticPr fontId="5" type="noConversion"/>
  </si>
  <si>
    <r>
      <t>应收账款</t>
    </r>
    <r>
      <rPr>
        <sz val="10"/>
        <rFont val="Arial Narrow"/>
        <family val="2"/>
      </rPr>
      <t/>
    </r>
    <phoneticPr fontId="5" type="noConversion"/>
  </si>
  <si>
    <t>本期销售</t>
    <phoneticPr fontId="5" type="noConversion"/>
  </si>
  <si>
    <t>应收账款</t>
    <phoneticPr fontId="5" type="noConversion"/>
  </si>
  <si>
    <t>合同负债</t>
    <phoneticPr fontId="5" type="noConversion"/>
  </si>
  <si>
    <t>针对再次发函未回函的项目，评价其重大错报风险以及其他审计程序的性质、时间安排和范围的影响实施替代审计程序，包括：
（1）检查交易发生的记账凭证和相关的支持性证据； 
（2）检查资产负债表日后发货情况、收款情况</t>
    <phoneticPr fontId="9" type="noConversion"/>
  </si>
  <si>
    <t>如果管理层不允许寄发询证函的原因不合理、或者认为回函不可靠，列出客户清单，实施替代审计程序，并评价对评估的重大错报风险以及其他审计程序的性质、时间安排和范围的影响，考虑其对审计工作和审计意见的影响；</t>
    <phoneticPr fontId="9" type="noConversion"/>
  </si>
  <si>
    <t>如应收账款账面余额XX、客户XX个；合同负债账面余额XX、客户XX个；……</t>
    <phoneticPr fontId="9" type="noConversion"/>
  </si>
  <si>
    <t>应收账款XX金额以上（大额）……、关联方/关联交易形成的款项、XX异常款项全部测试，共XX个客户；</t>
    <phoneticPr fontId="9" type="noConversion"/>
  </si>
  <si>
    <t>测试总体扣除特定样本以外的样本，应收账款共XX个客户、金额XX，合同负债共XX客户、金额XX，……；</t>
    <phoneticPr fontId="9" type="noConversion"/>
  </si>
  <si>
    <t>使用IDEA（XX抽样工具）选取样本进行函证，应收账款选择XX个客户、金额XX的样本，</t>
    <phoneticPr fontId="9" type="noConversion"/>
  </si>
  <si>
    <t>合同负债选择XX个客户、金额XX的样本，……</t>
    <phoneticPr fontId="5" type="noConversion"/>
  </si>
  <si>
    <t>本公司已记录应收账款增加，而被询证方尚未确认的金额合计</t>
    <phoneticPr fontId="9" type="noConversion"/>
  </si>
  <si>
    <t>本公司确认应收账款增加的日期</t>
    <phoneticPr fontId="5" type="noConversion"/>
  </si>
  <si>
    <t>货物验收日期</t>
    <phoneticPr fontId="5" type="noConversion"/>
  </si>
  <si>
    <r>
      <t>应收账款函证差异检查表</t>
    </r>
    <r>
      <rPr>
        <b/>
        <sz val="14"/>
        <color rgb="FFFF0000"/>
        <rFont val="宋体"/>
        <family val="3"/>
        <charset val="134"/>
      </rPr>
      <t>-XX公司</t>
    </r>
    <phoneticPr fontId="9" type="noConversion"/>
  </si>
  <si>
    <t>本公司收款日期</t>
    <phoneticPr fontId="5" type="noConversion"/>
  </si>
  <si>
    <t>本公司确认应收账款减少的日期</t>
    <phoneticPr fontId="5" type="noConversion"/>
  </si>
  <si>
    <t>本公司已记录应收账款减少，而被询证方尚未确认的金额合计</t>
    <phoneticPr fontId="5" type="noConversion"/>
  </si>
  <si>
    <t>被询证方已记录应付账款增加，而本公司尚未确认的应收账款合计</t>
    <phoneticPr fontId="5" type="noConversion"/>
  </si>
  <si>
    <t>被询证方已记录支付应付账款，而本公司尚未收到的应收账款合计</t>
    <phoneticPr fontId="5" type="noConversion"/>
  </si>
  <si>
    <t>本公司收款日期</t>
    <phoneticPr fontId="5" type="noConversion"/>
  </si>
  <si>
    <t>本公司确认应收账款减少的日期</t>
    <phoneticPr fontId="5" type="noConversion"/>
  </si>
  <si>
    <t>应收账款</t>
    <phoneticPr fontId="9" type="noConversion"/>
  </si>
  <si>
    <t>本期销售金额</t>
    <phoneticPr fontId="9" type="noConversion"/>
  </si>
  <si>
    <t>如应收账款借方发生额所有凭证共XX笔金额XX、贷方发生额所有凭证共XX笔金额XX</t>
    <phoneticPr fontId="9" type="noConversion"/>
  </si>
  <si>
    <t>记账凭证</t>
  </si>
  <si>
    <t>出库单</t>
  </si>
  <si>
    <t>运输单</t>
  </si>
  <si>
    <t>客户验收单/出库单（发货单）</t>
  </si>
  <si>
    <t>销售发票</t>
  </si>
  <si>
    <t>索引号</t>
  </si>
  <si>
    <t>是否异常</t>
  </si>
  <si>
    <t>明细科目</t>
  </si>
  <si>
    <t>借方金额</t>
  </si>
  <si>
    <t>合同号</t>
  </si>
  <si>
    <t>编号</t>
  </si>
  <si>
    <t>品名</t>
  </si>
  <si>
    <t>数量</t>
  </si>
  <si>
    <t>仓库保管员</t>
  </si>
  <si>
    <t>发货人</t>
  </si>
  <si>
    <t>运输数量</t>
  </si>
  <si>
    <t>运输公司</t>
  </si>
  <si>
    <t>运输地址</t>
  </si>
  <si>
    <t>确认金额</t>
  </si>
  <si>
    <t>签收人</t>
  </si>
  <si>
    <t>盖章类型</t>
  </si>
  <si>
    <t>盖章单位</t>
  </si>
  <si>
    <t>收票方名称</t>
  </si>
  <si>
    <t>合计</t>
  </si>
  <si>
    <r>
      <t>销售合同</t>
    </r>
    <r>
      <rPr>
        <b/>
        <sz val="9"/>
        <color indexed="10"/>
        <rFont val="宋体"/>
        <family val="3"/>
        <charset val="134"/>
      </rPr>
      <t>/销售订单</t>
    </r>
  </si>
  <si>
    <t>2、应收账款检查-检查期后回款情况</t>
    <phoneticPr fontId="9" type="noConversion"/>
  </si>
  <si>
    <t>银行回单</t>
  </si>
  <si>
    <t>承兑汇票</t>
  </si>
  <si>
    <t>贷方金额</t>
  </si>
  <si>
    <t>摘要</t>
  </si>
  <si>
    <t>付款方</t>
  </si>
  <si>
    <t>前手名称</t>
  </si>
  <si>
    <t>出票人</t>
  </si>
  <si>
    <t>序号</t>
    <phoneticPr fontId="5" type="noConversion"/>
  </si>
  <si>
    <t>①检查本期收款、期后回款；</t>
    <phoneticPr fontId="9" type="noConversion"/>
  </si>
  <si>
    <r>
      <rPr>
        <b/>
        <sz val="9"/>
        <rFont val="宋体"/>
        <family val="3"/>
        <charset val="134"/>
      </rPr>
      <t>记账凭证</t>
    </r>
    <phoneticPr fontId="5" type="noConversion"/>
  </si>
  <si>
    <r>
      <rPr>
        <b/>
        <sz val="9"/>
        <rFont val="宋体"/>
        <family val="3"/>
        <charset val="134"/>
      </rPr>
      <t>销售订单</t>
    </r>
    <r>
      <rPr>
        <b/>
        <sz val="9"/>
        <rFont val="Arial Narrow"/>
        <family val="2"/>
      </rPr>
      <t>/</t>
    </r>
    <r>
      <rPr>
        <b/>
        <sz val="9"/>
        <rFont val="宋体"/>
        <family val="3"/>
        <charset val="134"/>
      </rPr>
      <t>销售合同</t>
    </r>
  </si>
  <si>
    <r>
      <rPr>
        <b/>
        <sz val="9"/>
        <rFont val="宋体"/>
        <family val="3"/>
        <charset val="134"/>
      </rPr>
      <t>出库单</t>
    </r>
  </si>
  <si>
    <r>
      <rPr>
        <b/>
        <sz val="9"/>
        <color indexed="10"/>
        <rFont val="宋体"/>
        <family val="3"/>
        <charset val="134"/>
      </rPr>
      <t>运输单</t>
    </r>
  </si>
  <si>
    <r>
      <rPr>
        <b/>
        <sz val="9"/>
        <rFont val="宋体"/>
        <family val="3"/>
        <charset val="134"/>
      </rPr>
      <t>签收单</t>
    </r>
  </si>
  <si>
    <r>
      <rPr>
        <b/>
        <sz val="9"/>
        <color indexed="10"/>
        <rFont val="宋体"/>
        <family val="3"/>
        <charset val="134"/>
      </rPr>
      <t>是否异常</t>
    </r>
  </si>
  <si>
    <r>
      <rPr>
        <b/>
        <sz val="9"/>
        <rFont val="宋体"/>
        <family val="3"/>
        <charset val="134"/>
      </rPr>
      <t>其他支持性文件或说明</t>
    </r>
  </si>
  <si>
    <r>
      <rPr>
        <b/>
        <sz val="9"/>
        <rFont val="宋体"/>
        <family val="3"/>
        <charset val="134"/>
      </rPr>
      <t>序号</t>
    </r>
    <phoneticPr fontId="5" type="noConversion"/>
  </si>
  <si>
    <r>
      <rPr>
        <b/>
        <sz val="9"/>
        <rFont val="宋体"/>
        <family val="3"/>
        <charset val="134"/>
      </rPr>
      <t>日期</t>
    </r>
  </si>
  <si>
    <r>
      <rPr>
        <b/>
        <sz val="9"/>
        <rFont val="宋体"/>
        <family val="3"/>
        <charset val="134"/>
      </rPr>
      <t>编号</t>
    </r>
  </si>
  <si>
    <r>
      <rPr>
        <b/>
        <sz val="9"/>
        <rFont val="宋体"/>
        <family val="3"/>
        <charset val="134"/>
      </rPr>
      <t>品名</t>
    </r>
  </si>
  <si>
    <r>
      <rPr>
        <b/>
        <sz val="9"/>
        <rFont val="宋体"/>
        <family val="3"/>
        <charset val="134"/>
      </rPr>
      <t>数量</t>
    </r>
  </si>
  <si>
    <r>
      <rPr>
        <b/>
        <sz val="9"/>
        <rFont val="宋体"/>
        <family val="3"/>
        <charset val="134"/>
      </rPr>
      <t>金额</t>
    </r>
  </si>
  <si>
    <r>
      <rPr>
        <b/>
        <sz val="9"/>
        <rFont val="宋体"/>
        <family val="3"/>
        <charset val="134"/>
      </rPr>
      <t>订单号</t>
    </r>
    <r>
      <rPr>
        <b/>
        <sz val="9"/>
        <rFont val="Arial Narrow"/>
        <family val="2"/>
      </rPr>
      <t>/</t>
    </r>
    <r>
      <rPr>
        <b/>
        <sz val="9"/>
        <rFont val="宋体"/>
        <family val="3"/>
        <charset val="134"/>
      </rPr>
      <t>合同号</t>
    </r>
  </si>
  <si>
    <r>
      <rPr>
        <b/>
        <sz val="9"/>
        <color indexed="10"/>
        <rFont val="宋体"/>
        <family val="3"/>
        <charset val="134"/>
      </rPr>
      <t>仓库保管员</t>
    </r>
  </si>
  <si>
    <r>
      <rPr>
        <b/>
        <sz val="9"/>
        <color indexed="10"/>
        <rFont val="宋体"/>
        <family val="3"/>
        <charset val="134"/>
      </rPr>
      <t>发货人</t>
    </r>
  </si>
  <si>
    <r>
      <rPr>
        <b/>
        <sz val="9"/>
        <color indexed="10"/>
        <rFont val="宋体"/>
        <family val="3"/>
        <charset val="134"/>
      </rPr>
      <t>日期</t>
    </r>
  </si>
  <si>
    <r>
      <rPr>
        <b/>
        <sz val="9"/>
        <color indexed="10"/>
        <rFont val="宋体"/>
        <family val="3"/>
        <charset val="134"/>
      </rPr>
      <t>编号</t>
    </r>
  </si>
  <si>
    <r>
      <rPr>
        <b/>
        <sz val="9"/>
        <color indexed="10"/>
        <rFont val="宋体"/>
        <family val="3"/>
        <charset val="134"/>
      </rPr>
      <t>运输数量</t>
    </r>
  </si>
  <si>
    <r>
      <rPr>
        <b/>
        <sz val="9"/>
        <color indexed="10"/>
        <rFont val="宋体"/>
        <family val="3"/>
        <charset val="134"/>
      </rPr>
      <t>运输公司</t>
    </r>
  </si>
  <si>
    <r>
      <rPr>
        <b/>
        <sz val="9"/>
        <color indexed="10"/>
        <rFont val="宋体"/>
        <family val="3"/>
        <charset val="134"/>
      </rPr>
      <t>运输地址</t>
    </r>
  </si>
  <si>
    <r>
      <rPr>
        <b/>
        <sz val="9"/>
        <rFont val="宋体"/>
        <family val="3"/>
        <charset val="134"/>
      </rPr>
      <t>签收人</t>
    </r>
  </si>
  <si>
    <r>
      <rPr>
        <b/>
        <sz val="9"/>
        <rFont val="宋体"/>
        <family val="3"/>
        <charset val="134"/>
      </rPr>
      <t>盖章类型</t>
    </r>
  </si>
  <si>
    <r>
      <rPr>
        <b/>
        <sz val="9"/>
        <rFont val="宋体"/>
        <family val="3"/>
        <charset val="134"/>
      </rPr>
      <t>盖章单位</t>
    </r>
  </si>
  <si>
    <t>凭证编号</t>
    <phoneticPr fontId="9" type="noConversion"/>
  </si>
  <si>
    <t>编号</t>
    <phoneticPr fontId="9" type="noConversion"/>
  </si>
  <si>
    <t>如合同负债借方发生额所有凭证共XX笔金额XX、贷方发生额所有凭证共XX笔金额XX</t>
    <phoneticPr fontId="9" type="noConversion"/>
  </si>
  <si>
    <t>本期销售金额</t>
    <phoneticPr fontId="9" type="noConversion"/>
  </si>
  <si>
    <t>本期出库检查比例</t>
    <phoneticPr fontId="9" type="noConversion"/>
  </si>
  <si>
    <t>本期收款检查比例</t>
    <phoneticPr fontId="9" type="noConversion"/>
  </si>
  <si>
    <t>检查的关键证据和要素根据被审计单位具体情况修改</t>
  </si>
  <si>
    <r>
      <t>日期</t>
    </r>
    <r>
      <rPr>
        <b/>
        <sz val="9"/>
        <color indexed="10"/>
        <rFont val="Arial Narrow"/>
        <family val="2"/>
      </rPr>
      <t>/</t>
    </r>
    <r>
      <rPr>
        <b/>
        <sz val="9"/>
        <color indexed="10"/>
        <rFont val="宋体"/>
        <family val="2"/>
      </rPr>
      <t>编号</t>
    </r>
  </si>
  <si>
    <t>对手方名称</t>
  </si>
  <si>
    <t>4、销售检查-本期收款检查</t>
    <phoneticPr fontId="9" type="noConversion"/>
  </si>
  <si>
    <t>付款方</t>
    <phoneticPr fontId="9" type="noConversion"/>
  </si>
  <si>
    <t>销售发票</t>
    <phoneticPr fontId="9" type="noConversion"/>
  </si>
  <si>
    <t>合同负债替代程序检查表-XX公司</t>
    <phoneticPr fontId="5" type="noConversion"/>
  </si>
  <si>
    <t>本期收款检查比例</t>
    <phoneticPr fontId="9" type="noConversion"/>
  </si>
  <si>
    <t>本期出库检查比例</t>
    <phoneticPr fontId="9" type="noConversion"/>
  </si>
  <si>
    <t>1、合同负债检查-检查期后结转</t>
    <phoneticPr fontId="9" type="noConversion"/>
  </si>
  <si>
    <r>
      <rPr>
        <b/>
        <sz val="9"/>
        <rFont val="宋体"/>
        <family val="3"/>
        <charset val="134"/>
      </rPr>
      <t>记账凭证</t>
    </r>
  </si>
  <si>
    <r>
      <rPr>
        <b/>
        <sz val="9"/>
        <color indexed="10"/>
        <rFont val="宋体"/>
        <family val="3"/>
        <charset val="134"/>
      </rPr>
      <t>销售发票</t>
    </r>
  </si>
  <si>
    <r>
      <rPr>
        <b/>
        <sz val="9"/>
        <rFont val="宋体"/>
        <family val="3"/>
        <charset val="134"/>
      </rPr>
      <t>索引号</t>
    </r>
  </si>
  <si>
    <r>
      <rPr>
        <b/>
        <sz val="9"/>
        <rFont val="宋体"/>
        <family val="3"/>
        <charset val="134"/>
      </rPr>
      <t>是否异常</t>
    </r>
  </si>
  <si>
    <r>
      <rPr>
        <b/>
        <sz val="9"/>
        <rFont val="宋体"/>
        <family val="3"/>
        <charset val="134"/>
      </rPr>
      <t>凭证编号</t>
    </r>
  </si>
  <si>
    <r>
      <rPr>
        <b/>
        <sz val="9"/>
        <rFont val="宋体"/>
        <family val="3"/>
        <charset val="134"/>
      </rPr>
      <t>业务内容</t>
    </r>
  </si>
  <si>
    <r>
      <rPr>
        <b/>
        <sz val="9"/>
        <rFont val="宋体"/>
        <family val="3"/>
        <charset val="134"/>
      </rPr>
      <t>对方科目</t>
    </r>
  </si>
  <si>
    <r>
      <rPr>
        <b/>
        <sz val="9"/>
        <rFont val="宋体"/>
        <family val="3"/>
        <charset val="134"/>
      </rPr>
      <t>明细科目</t>
    </r>
  </si>
  <si>
    <r>
      <rPr>
        <b/>
        <sz val="9"/>
        <rFont val="宋体"/>
        <family val="3"/>
        <charset val="134"/>
      </rPr>
      <t>借方金额</t>
    </r>
  </si>
  <si>
    <r>
      <rPr>
        <b/>
        <sz val="9"/>
        <color indexed="10"/>
        <rFont val="宋体"/>
        <family val="3"/>
        <charset val="134"/>
      </rPr>
      <t>数量</t>
    </r>
  </si>
  <si>
    <r>
      <rPr>
        <b/>
        <sz val="9"/>
        <color indexed="10"/>
        <rFont val="宋体"/>
        <family val="3"/>
        <charset val="134"/>
      </rPr>
      <t>签字、签章信息</t>
    </r>
  </si>
  <si>
    <r>
      <rPr>
        <b/>
        <sz val="9"/>
        <color indexed="10"/>
        <rFont val="宋体"/>
        <family val="3"/>
        <charset val="134"/>
      </rPr>
      <t>收票方名称</t>
    </r>
  </si>
  <si>
    <r>
      <rPr>
        <b/>
        <sz val="9"/>
        <color indexed="10"/>
        <rFont val="宋体"/>
        <family val="3"/>
        <charset val="134"/>
      </rPr>
      <t>金额</t>
    </r>
  </si>
  <si>
    <r>
      <rPr>
        <b/>
        <sz val="9"/>
        <rFont val="宋体"/>
        <family val="3"/>
        <charset val="134"/>
      </rPr>
      <t>合计</t>
    </r>
  </si>
  <si>
    <r>
      <rPr>
        <b/>
        <sz val="9"/>
        <color indexed="10"/>
        <rFont val="宋体"/>
        <family val="3"/>
        <charset val="134"/>
      </rPr>
      <t>客户验收单</t>
    </r>
    <r>
      <rPr>
        <b/>
        <sz val="9"/>
        <color indexed="10"/>
        <rFont val="Arial Narrow"/>
        <family val="2"/>
      </rPr>
      <t>/</t>
    </r>
    <r>
      <rPr>
        <b/>
        <sz val="9"/>
        <color indexed="10"/>
        <rFont val="宋体"/>
        <family val="3"/>
        <charset val="134"/>
      </rPr>
      <t>出库单</t>
    </r>
  </si>
  <si>
    <r>
      <rPr>
        <b/>
        <sz val="9"/>
        <color indexed="10"/>
        <rFont val="宋体"/>
        <family val="3"/>
        <charset val="134"/>
      </rPr>
      <t>日期</t>
    </r>
    <r>
      <rPr>
        <b/>
        <sz val="9"/>
        <color indexed="10"/>
        <rFont val="Arial Narrow"/>
        <family val="2"/>
      </rPr>
      <t>/</t>
    </r>
    <r>
      <rPr>
        <b/>
        <sz val="9"/>
        <color indexed="10"/>
        <rFont val="宋体"/>
        <family val="3"/>
        <charset val="134"/>
      </rPr>
      <t>编号</t>
    </r>
  </si>
  <si>
    <t>日期</t>
    <phoneticPr fontId="5" type="noConversion"/>
  </si>
  <si>
    <t>序号</t>
    <phoneticPr fontId="5" type="noConversion"/>
  </si>
  <si>
    <t>2、合同负债检查-形成期末余额的合同、订单、银行收款凭单等支持性证据检查</t>
    <phoneticPr fontId="9" type="noConversion"/>
  </si>
  <si>
    <t>银行收款凭单</t>
  </si>
  <si>
    <t>合同</t>
  </si>
  <si>
    <t>客户名称</t>
  </si>
  <si>
    <t>合同金额</t>
  </si>
  <si>
    <t>预收比例</t>
  </si>
  <si>
    <t>3、销售检查-本期收款检查</t>
    <phoneticPr fontId="9" type="noConversion"/>
  </si>
  <si>
    <t>4、销售检查-本期出库的合同、出库单、运输单、验收单等支持性证据检查</t>
    <phoneticPr fontId="9" type="noConversion"/>
  </si>
  <si>
    <t>3、销售检查-本期销售出库的合同、出库单、运输单、验收单等支持性证据检查</t>
    <phoneticPr fontId="9" type="noConversion"/>
  </si>
  <si>
    <r>
      <rPr>
        <sz val="9"/>
        <color rgb="FF0000FF"/>
        <rFont val="宋体"/>
        <family val="3"/>
        <charset val="134"/>
      </rPr>
      <t>检查的关键证据和要素根据被审计单位具体情况修改</t>
    </r>
    <phoneticPr fontId="9" type="noConversion"/>
  </si>
  <si>
    <t>付款方</t>
    <phoneticPr fontId="9" type="noConversion"/>
  </si>
  <si>
    <t>应将将执行可靠性验证确认过程的审计人员姓名及日期、获得被询证者电话的方式、被询证者联络人员姓名及所属部门、沟通的过程及其结果等内容清晰地记录在审计工作底稿中</t>
    <phoneticPr fontId="5" type="noConversion"/>
  </si>
  <si>
    <t>合同负债及销售替代程序检查表</t>
    <phoneticPr fontId="9" type="noConversion"/>
  </si>
  <si>
    <t>D0-2</t>
    <phoneticPr fontId="5" type="noConversion"/>
  </si>
  <si>
    <t>应收及销售替代程序检查表</t>
    <phoneticPr fontId="9" type="noConversion"/>
  </si>
  <si>
    <t>..</t>
    <phoneticPr fontId="5" type="noConversion"/>
  </si>
  <si>
    <r>
      <t>应收账款</t>
    </r>
    <r>
      <rPr>
        <b/>
        <sz val="14"/>
        <color rgb="FFFF0000"/>
        <rFont val="宋体"/>
        <family val="3"/>
        <charset val="134"/>
      </rPr>
      <t>/销售</t>
    </r>
    <r>
      <rPr>
        <b/>
        <sz val="14"/>
        <rFont val="宋体"/>
        <family val="3"/>
        <charset val="134"/>
      </rPr>
      <t>替代程序检查表-</t>
    </r>
    <r>
      <rPr>
        <b/>
        <sz val="14"/>
        <color rgb="FFFF0000"/>
        <rFont val="宋体"/>
        <family val="3"/>
        <charset val="134"/>
      </rPr>
      <t>XX公司</t>
    </r>
    <phoneticPr fontId="9" type="noConversion"/>
  </si>
  <si>
    <t>1、应收账款检查-形成期末余额的订单/合同、出库单、运输单、验收单等支持性证据检查</t>
    <phoneticPr fontId="9" type="noConversion"/>
  </si>
  <si>
    <r>
      <t>以积极方式对应收账款、合同负债、</t>
    </r>
    <r>
      <rPr>
        <sz val="10"/>
        <color rgb="FFFF0000"/>
        <rFont val="宋体"/>
        <family val="3"/>
        <charset val="134"/>
      </rPr>
      <t>销售、……</t>
    </r>
    <r>
      <rPr>
        <sz val="10"/>
        <color theme="1"/>
        <rFont val="宋体"/>
        <family val="3"/>
        <charset val="134"/>
      </rPr>
      <t>行函证。</t>
    </r>
    <phoneticPr fontId="9" type="noConversion"/>
  </si>
  <si>
    <t>比较当年度及以前年度应收账款、合同负债的增减变动、具体构成、账龄及主要客户的变化，针对舞弊风险较大的客户，考虑对销售额、合同条款、是否存在关联方关系及是否存在补充协议实施函证程序。</t>
    <phoneticPr fontId="9" type="noConversion"/>
  </si>
  <si>
    <r>
      <t>应收账款/合同资产/合同负债</t>
    </r>
    <r>
      <rPr>
        <b/>
        <sz val="14"/>
        <color rgb="FFFF0000"/>
        <rFont val="宋体"/>
        <family val="3"/>
        <charset val="134"/>
      </rPr>
      <t>/.../销售</t>
    </r>
    <r>
      <rPr>
        <b/>
        <sz val="14"/>
        <rFont val="宋体"/>
        <family val="3"/>
        <charset val="134"/>
      </rPr>
      <t>函证结果汇总表</t>
    </r>
    <phoneticPr fontId="9" type="noConversion"/>
  </si>
  <si>
    <t>应收账款、合同负债、……分别抽取XX个、XX个、XX个客户；</t>
    <phoneticPr fontId="9" type="noConversion"/>
  </si>
  <si>
    <r>
      <t>应收账款/合同负债</t>
    </r>
    <r>
      <rPr>
        <b/>
        <sz val="14"/>
        <color rgb="FFFF0000"/>
        <rFont val="宋体"/>
        <family val="3"/>
        <charset val="134"/>
      </rPr>
      <t>/销售/……</t>
    </r>
    <r>
      <rPr>
        <b/>
        <sz val="14"/>
        <rFont val="宋体"/>
        <family val="3"/>
        <charset val="134"/>
      </rPr>
      <t>函证程序</t>
    </r>
    <phoneticPr fontId="9" type="noConversion"/>
  </si>
  <si>
    <r>
      <t>应收账款/合同负债/销售/</t>
    </r>
    <r>
      <rPr>
        <b/>
        <sz val="14"/>
        <color rgb="FFFF0000"/>
        <rFont val="宋体"/>
        <family val="3"/>
        <charset val="134"/>
      </rPr>
      <t>……</t>
    </r>
    <r>
      <rPr>
        <b/>
        <sz val="14"/>
        <rFont val="宋体"/>
        <family val="3"/>
        <charset val="134"/>
      </rPr>
      <t>函证差异调节表</t>
    </r>
    <phoneticPr fontId="9" type="noConversion"/>
  </si>
  <si>
    <r>
      <t>应收账款/合同负债/销售/</t>
    </r>
    <r>
      <rPr>
        <b/>
        <sz val="14"/>
        <color rgb="FFFF0000"/>
        <rFont val="宋体"/>
        <family val="3"/>
        <charset val="134"/>
      </rPr>
      <t>……</t>
    </r>
    <r>
      <rPr>
        <b/>
        <sz val="14"/>
        <rFont val="宋体"/>
        <family val="3"/>
        <charset val="134"/>
      </rPr>
      <t>函证结果汇总表</t>
    </r>
    <phoneticPr fontId="9" type="noConversion"/>
  </si>
  <si>
    <r>
      <rPr>
        <sz val="10"/>
        <rFont val="宋体"/>
        <family val="3"/>
        <charset val="134"/>
      </rPr>
      <t>被审计单位：</t>
    </r>
    <r>
      <rPr>
        <sz val="10"/>
        <rFont val="Arial Narrow"/>
        <family val="2"/>
      </rPr>
      <t/>
    </r>
    <phoneticPr fontId="9" type="noConversion"/>
  </si>
  <si>
    <t>编制人：</t>
    <phoneticPr fontId="9" type="noConversion"/>
  </si>
  <si>
    <t>编制日期：</t>
    <phoneticPr fontId="9" type="noConversion"/>
  </si>
  <si>
    <t>复核人：</t>
    <phoneticPr fontId="9" type="noConversion"/>
  </si>
  <si>
    <t>复核日期：</t>
    <phoneticPr fontId="9" type="noConversion"/>
  </si>
  <si>
    <t>D0-1/D0-2/D0-4</t>
    <phoneticPr fontId="5" type="noConversion"/>
  </si>
  <si>
    <t>7</t>
  </si>
  <si>
    <t>8</t>
  </si>
  <si>
    <t>9</t>
  </si>
  <si>
    <t>10</t>
  </si>
  <si>
    <t>11</t>
  </si>
  <si>
    <t>12</t>
  </si>
  <si>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</si>
  <si>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关于工作底稿与审计程序索引号对应的说明</t>
    <phoneticPr fontId="9" type="noConversion"/>
  </si>
  <si>
    <r>
      <t>1.</t>
    </r>
    <r>
      <rPr>
        <b/>
        <sz val="12"/>
        <rFont val="宋体"/>
        <family val="3"/>
        <charset val="134"/>
      </rPr>
      <t>编制的审计工作底稿应与审计程序对应。</t>
    </r>
    <r>
      <rPr>
        <sz val="11"/>
        <color theme="1"/>
        <rFont val="等线"/>
        <family val="2"/>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9" type="noConversion"/>
  </si>
  <si>
    <r>
      <t>2.</t>
    </r>
    <r>
      <rPr>
        <b/>
        <sz val="12"/>
        <rFont val="宋体"/>
        <family val="3"/>
        <charset val="134"/>
      </rPr>
      <t>获取的支持性证据应与审计底稿或程序对应。</t>
    </r>
    <r>
      <rPr>
        <sz val="11"/>
        <color theme="1"/>
        <rFont val="等线"/>
        <family val="2"/>
        <charset val="134"/>
        <scheme val="minor"/>
      </rPr>
      <t>审计项目组在完成底稿时获取的支持性证据应根据底稿索引号编制下一级按自然顺序排序的索引号（如</t>
    </r>
    <r>
      <rPr>
        <sz val="12"/>
        <rFont val="Arial Narrow"/>
        <family val="2"/>
      </rPr>
      <t>D1-2-1</t>
    </r>
    <r>
      <rPr>
        <sz val="11"/>
        <color theme="1"/>
        <rFont val="等线"/>
        <family val="2"/>
        <charset val="134"/>
        <scheme val="minor"/>
      </rPr>
      <t>、</t>
    </r>
    <r>
      <rPr>
        <sz val="12"/>
        <rFont val="Arial Narrow"/>
        <family val="2"/>
      </rPr>
      <t>D1-2-2</t>
    </r>
    <r>
      <rPr>
        <sz val="11"/>
        <color theme="1"/>
        <rFont val="等线"/>
        <family val="2"/>
        <charset val="134"/>
        <scheme val="minor"/>
      </rPr>
      <t>、</t>
    </r>
    <r>
      <rPr>
        <sz val="12"/>
        <rFont val="Arial Narrow"/>
        <family val="2"/>
      </rPr>
      <t>……</t>
    </r>
    <r>
      <rPr>
        <sz val="11"/>
        <color theme="1"/>
        <rFont val="等线"/>
        <family val="2"/>
        <charset val="134"/>
        <scheme val="minor"/>
      </rPr>
      <t>），并在底稿中说明引用的支持性证据、关联索引号。</t>
    </r>
    <phoneticPr fontId="9" type="noConversion"/>
  </si>
  <si>
    <r>
      <rPr>
        <b/>
        <sz val="12"/>
        <rFont val="Arial Narrow"/>
        <family val="2"/>
      </rPr>
      <t>3.</t>
    </r>
    <r>
      <rPr>
        <b/>
        <sz val="12"/>
        <rFont val="宋体"/>
        <family val="3"/>
        <charset val="134"/>
      </rPr>
      <t>工作底稿索引号的编码规则：</t>
    </r>
    <r>
      <rPr>
        <sz val="11"/>
        <color theme="1"/>
        <rFont val="等线"/>
        <family val="2"/>
        <charset val="134"/>
        <scheme val="minor"/>
      </rPr>
      <t>实质性程序索引号按循环从</t>
    </r>
    <r>
      <rPr>
        <sz val="12"/>
        <rFont val="Arial Narrow"/>
        <family val="2"/>
      </rPr>
      <t>“D”</t>
    </r>
    <r>
      <rPr>
        <sz val="11"/>
        <color theme="1"/>
        <rFont val="等线"/>
        <family val="2"/>
        <charset val="134"/>
        <scheme val="minor"/>
      </rPr>
      <t>到</t>
    </r>
    <r>
      <rPr>
        <sz val="12"/>
        <rFont val="Arial Narrow"/>
        <family val="2"/>
      </rPr>
      <t>“N”,</t>
    </r>
    <r>
      <rPr>
        <sz val="11"/>
        <color theme="1"/>
        <rFont val="等线"/>
        <family val="2"/>
        <charset val="134"/>
        <scheme val="minor"/>
      </rPr>
      <t>循环内账户以顺序号排列，模板中底稿索引号按账户顺序</t>
    </r>
    <r>
      <rPr>
        <sz val="12"/>
        <rFont val="Arial Narrow"/>
        <family val="2"/>
      </rPr>
      <t>+</t>
    </r>
    <r>
      <rPr>
        <sz val="11"/>
        <color theme="1"/>
        <rFont val="等线"/>
        <family val="2"/>
        <charset val="134"/>
        <scheme val="minor"/>
      </rPr>
      <t>自然数顺序（即模板中索引号按二级自然顺序排列，如</t>
    </r>
    <r>
      <rPr>
        <sz val="12"/>
        <rFont val="Arial Narrow"/>
        <family val="2"/>
      </rPr>
      <t>D1-1</t>
    </r>
    <r>
      <rPr>
        <sz val="11"/>
        <color theme="1"/>
        <rFont val="等线"/>
        <family val="2"/>
        <charset val="134"/>
        <scheme val="minor"/>
      </rPr>
      <t>、</t>
    </r>
    <r>
      <rPr>
        <sz val="12"/>
        <rFont val="Arial Narrow"/>
        <family val="2"/>
      </rPr>
      <t>D1-2</t>
    </r>
    <r>
      <rPr>
        <sz val="11"/>
        <color theme="1"/>
        <rFont val="等线"/>
        <family val="2"/>
        <charset val="134"/>
        <scheme val="minor"/>
      </rPr>
      <t>、</t>
    </r>
    <r>
      <rPr>
        <sz val="12"/>
        <rFont val="Arial Narrow"/>
        <family val="2"/>
      </rPr>
      <t>D1-3</t>
    </r>
    <r>
      <rPr>
        <sz val="11"/>
        <color theme="1"/>
        <rFont val="等线"/>
        <family val="2"/>
        <charset val="134"/>
        <scheme val="minor"/>
      </rPr>
      <t>、</t>
    </r>
    <r>
      <rPr>
        <sz val="12"/>
        <rFont val="Arial Narrow"/>
        <family val="2"/>
      </rPr>
      <t>……D1-N</t>
    </r>
    <r>
      <rPr>
        <sz val="11"/>
        <color theme="1"/>
        <rFont val="等线"/>
        <family val="2"/>
        <charset val="134"/>
        <scheme val="minor"/>
      </rPr>
      <t>）。</t>
    </r>
    <phoneticPr fontId="9" type="noConversion"/>
  </si>
  <si>
    <t>收到的回函应为被询证者书面答复，可以采取纸质、电子或其它介质等形式：
（1）确认与发出的询证函是否为同一份、是否为原件；
（2）检查回函发出地址、快递物流信息，核实回函地址是否与发函收件地址一致，比对回函印章和签字，确认回函的真实性；
（3）检查函证信息是否相符，对回函不符的询证函，查明不符事项的原因确定是否存在错报，考虑是否存在舞弊的可能性；</t>
    <phoneticPr fontId="9" type="noConversion"/>
  </si>
  <si>
    <t>如果回函中存在未函证的其他信息，应考虑未函证信息的影响，并考虑实施进一步审计程序</t>
    <phoneticPr fontId="5" type="noConversion"/>
  </si>
  <si>
    <r>
      <t>3</t>
    </r>
    <r>
      <rPr>
        <sz val="10"/>
        <rFont val="宋体"/>
        <family val="3"/>
        <charset val="134"/>
      </rPr>
      <t>、对以传真或电子邮件形式收到的回函的可靠性的考虑（</t>
    </r>
    <r>
      <rPr>
        <sz val="10"/>
        <rFont val="Arial Narrow"/>
        <family val="2"/>
      </rPr>
      <t>D0-6</t>
    </r>
    <r>
      <rPr>
        <sz val="10"/>
        <rFont val="宋体"/>
        <family val="3"/>
        <charset val="134"/>
      </rPr>
      <t>）</t>
    </r>
    <phoneticPr fontId="9" type="noConversion"/>
  </si>
  <si>
    <r>
      <rPr>
        <b/>
        <sz val="10"/>
        <rFont val="宋体"/>
        <family val="3"/>
        <charset val="134"/>
      </rPr>
      <t>审计说明：</t>
    </r>
    <r>
      <rPr>
        <sz val="10"/>
        <color rgb="FFFF0000"/>
        <rFont val="Arial Narrow"/>
        <family val="2"/>
      </rPr>
      <t>1.</t>
    </r>
    <r>
      <rPr>
        <sz val="10"/>
        <color rgb="FFFF0000"/>
        <rFont val="宋体"/>
        <family val="3"/>
        <charset val="134"/>
      </rPr>
      <t>采用电子函证方式的无需核对发函地址信息，无需核对回函发出地址、回函寄件人信息等；</t>
    </r>
    <phoneticPr fontId="46" type="noConversion"/>
  </si>
  <si>
    <r>
      <rPr>
        <sz val="10"/>
        <color rgb="FFFF0000"/>
        <rFont val="Arial Narrow"/>
        <family val="2"/>
      </rPr>
      <t>2.</t>
    </r>
    <r>
      <rPr>
        <sz val="10"/>
        <color rgb="FFFF0000"/>
        <rFont val="宋体"/>
        <family val="3"/>
        <charset val="134"/>
      </rPr>
      <t>采用电子函证方式的应记录并检查回函能够证明电子地址或身份的信息，关注被审计单位、注册会计师和被询证者在电子询证函平台操作的具体时间、回函经办人（如适用）、意见反馈等信息（如适用）</t>
    </r>
    <phoneticPr fontId="46" type="noConversion"/>
  </si>
  <si>
    <t>提示：</t>
    <phoneticPr fontId="5" type="noConversion"/>
  </si>
  <si>
    <t>通过跟函收到的回函应了解被询证者处理函证的通常流程和人员，确认处理询证函人员的身份和处理询证函的权限，如索要名片、观察员工卡或姓名牌等；</t>
    <phoneticPr fontId="5" type="noConversion"/>
  </si>
  <si>
    <t>观察处理询证函的人员是否按照正常流程认真处理询证函，例如，该人员是否在其计算机系统或相关记录中核对相关信息。</t>
    <phoneticPr fontId="5" type="noConversion"/>
  </si>
  <si>
    <t>随机选样/系统选样/货币单元抽样/随意选样（非统计抽样适用）</t>
    <phoneticPr fontId="9" type="noConversion"/>
  </si>
  <si>
    <t>……</t>
    <phoneticPr fontId="5" type="noConversion"/>
  </si>
  <si>
    <r>
      <t>3.</t>
    </r>
    <r>
      <rPr>
        <sz val="10"/>
        <rFont val="宋体"/>
        <family val="3"/>
        <charset val="134"/>
      </rPr>
      <t>管理层试图干预、拦截、篡改询证函或回函，如坚持以特定的方式发送询证函；</t>
    </r>
    <phoneticPr fontId="9" type="noConversion"/>
  </si>
  <si>
    <r>
      <t>4.</t>
    </r>
    <r>
      <rPr>
        <sz val="10"/>
        <rFont val="宋体"/>
        <family val="3"/>
        <charset val="134"/>
      </rPr>
      <t>管理层提供的函证相关信息含糊、矛盾、不完整或有缺失；</t>
    </r>
    <phoneticPr fontId="5" type="noConversion"/>
  </si>
  <si>
    <r>
      <t>5.</t>
    </r>
    <r>
      <rPr>
        <sz val="10"/>
        <rFont val="宋体"/>
        <family val="3"/>
        <charset val="134"/>
      </rPr>
      <t>被询证者将回函寄至被审计单位，被审计单位将其转交注册会计师；</t>
    </r>
    <phoneticPr fontId="5" type="noConversion"/>
  </si>
  <si>
    <r>
      <t>6.</t>
    </r>
    <r>
      <rPr>
        <sz val="10"/>
        <rFont val="宋体"/>
        <family val="3"/>
        <charset val="134"/>
      </rPr>
      <t>注册会计师跟进访问被询证者，发现回函信息与被询证者记录不一致；</t>
    </r>
    <phoneticPr fontId="5" type="noConversion"/>
  </si>
  <si>
    <r>
      <t>7.</t>
    </r>
    <r>
      <rPr>
        <sz val="10"/>
        <rFont val="宋体"/>
        <family val="3"/>
        <charset val="134"/>
      </rPr>
      <t>从私人电子信箱发送的回函；</t>
    </r>
    <phoneticPr fontId="5" type="noConversion"/>
  </si>
  <si>
    <r>
      <t>8.</t>
    </r>
    <r>
      <rPr>
        <sz val="10"/>
        <rFont val="宋体"/>
        <family val="3"/>
        <charset val="134"/>
      </rPr>
      <t>收到同一日期发回的、相同笔迹的多份回函；</t>
    </r>
    <phoneticPr fontId="5" type="noConversion"/>
  </si>
  <si>
    <r>
      <t>9.</t>
    </r>
    <r>
      <rPr>
        <sz val="10"/>
        <rFont val="宋体"/>
        <family val="3"/>
        <charset val="134"/>
      </rPr>
      <t>收到的回函与发出的询证函不是同一份、不是原件；</t>
    </r>
    <phoneticPr fontId="5" type="noConversion"/>
  </si>
  <si>
    <r>
      <t>10.</t>
    </r>
    <r>
      <rPr>
        <sz val="10"/>
        <rFont val="宋体"/>
        <family val="3"/>
        <charset val="134"/>
      </rPr>
      <t>不同被询证者回函信封上的联系方式（地址、电话等）相同或相近；位于不同地址的多家被询证者的回函邮戳显示的发函地址相同；</t>
    </r>
    <phoneticPr fontId="5" type="noConversion"/>
  </si>
  <si>
    <r>
      <t>11.</t>
    </r>
    <r>
      <rPr>
        <sz val="10"/>
        <rFont val="宋体"/>
        <family val="3"/>
        <charset val="134"/>
      </rPr>
      <t>印章模糊不清难以核对，或印章存在明显瑕疵，或与被询证者不一致；</t>
    </r>
    <phoneticPr fontId="5" type="noConversion"/>
  </si>
  <si>
    <r>
      <t>12.</t>
    </r>
    <r>
      <rPr>
        <sz val="10"/>
        <rFont val="宋体"/>
        <family val="3"/>
        <charset val="134"/>
      </rPr>
      <t>收到不同被询证者用快递寄回的回函，但快递的交寄人或发件人是同一个人或是被审计单位的员工（或关联方），或者虽然寄件人名字不同，但手机号或其他联系方式相同，或者不同被询证者回函单号相连或相近；</t>
    </r>
    <phoneticPr fontId="5" type="noConversion"/>
  </si>
  <si>
    <r>
      <t>13.</t>
    </r>
    <r>
      <rPr>
        <sz val="10"/>
        <rFont val="宋体"/>
        <family val="3"/>
        <charset val="134"/>
      </rPr>
      <t>回函显示的发函地址与被审计单位记录的被询证者的地址不一致；</t>
    </r>
    <phoneticPr fontId="5" type="noConversion"/>
  </si>
  <si>
    <r>
      <t>14.</t>
    </r>
    <r>
      <rPr>
        <sz val="10"/>
        <rFont val="宋体"/>
        <family val="3"/>
        <charset val="134"/>
      </rPr>
      <t>不正常的回函率；</t>
    </r>
    <phoneticPr fontId="5" type="noConversion"/>
  </si>
  <si>
    <r>
      <t>15.</t>
    </r>
    <r>
      <rPr>
        <sz val="10"/>
        <rFont val="宋体"/>
        <family val="3"/>
        <charset val="134"/>
      </rPr>
      <t>被询证者缺乏独立性；配合被审计单位，向注册会计师提供不真实或不准确的回函信息，隐瞒相关事实和情况；</t>
    </r>
    <phoneticPr fontId="5" type="noConversion"/>
  </si>
  <si>
    <r>
      <t>16.</t>
    </r>
    <r>
      <rPr>
        <sz val="10"/>
        <rFont val="宋体"/>
        <family val="3"/>
        <charset val="134"/>
      </rPr>
      <t>管理层不愿意提高函证所涉及信息（如抵押、担保等信息）的披露质量，使财务报表更为完整透明，但又不能提供合理解释；</t>
    </r>
    <phoneticPr fontId="5" type="noConversion"/>
  </si>
  <si>
    <r>
      <t>17.</t>
    </r>
    <r>
      <rPr>
        <sz val="10"/>
        <color rgb="FFFF0000"/>
        <rFont val="宋体"/>
        <family val="3"/>
        <charset val="134"/>
      </rPr>
      <t>回函印章与以前期间收到的回函印章不一致</t>
    </r>
    <phoneticPr fontId="5" type="noConversion"/>
  </si>
  <si>
    <r>
      <t>18.</t>
    </r>
    <r>
      <rPr>
        <sz val="10"/>
        <color rgb="FFFF0000"/>
        <rFont val="宋体"/>
        <family val="3"/>
        <charset val="134"/>
      </rPr>
      <t>回函中包含免责或其他限制性条款</t>
    </r>
    <phoneticPr fontId="5" type="noConversion"/>
  </si>
  <si>
    <r>
      <t>19.</t>
    </r>
    <r>
      <rPr>
        <sz val="10"/>
        <color rgb="FFFF0000"/>
        <rFont val="宋体"/>
        <family val="3"/>
        <charset val="134"/>
      </rPr>
      <t>第三方对函证信息有误的询证函作出与函证信息相符的回函，或对前后两次函证信息有差异的询证函均作出信息相符的回函。</t>
    </r>
    <phoneticPr fontId="5" type="noConversion"/>
  </si>
  <si>
    <t>……</t>
    <phoneticPr fontId="5" type="noConversion"/>
  </si>
  <si>
    <r>
      <rPr>
        <sz val="10"/>
        <rFont val="宋体"/>
        <family val="3"/>
        <charset val="134"/>
      </rPr>
      <t>汇总上述所有已发现的舞弊迹象，在</t>
    </r>
    <r>
      <rPr>
        <sz val="10"/>
        <rFont val="Arial Narrow"/>
        <family val="2"/>
      </rPr>
      <t>“</t>
    </r>
    <r>
      <rPr>
        <sz val="10"/>
        <rFont val="宋体"/>
        <family val="3"/>
        <charset val="134"/>
      </rPr>
      <t>汇总识别的风险因素</t>
    </r>
    <r>
      <rPr>
        <sz val="10"/>
        <rFont val="Arial Narrow"/>
        <family val="2"/>
      </rPr>
      <t>”</t>
    </r>
    <r>
      <rPr>
        <sz val="10"/>
        <rFont val="宋体"/>
        <family val="3"/>
        <charset val="134"/>
      </rPr>
      <t>中记录并区分财务报表层次的风险和认定层次的风险，制订初步的应对措施。</t>
    </r>
    <phoneticPr fontId="5" type="noConversion"/>
  </si>
  <si>
    <t>回函发出地址（含物流信息中的地址）</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</si>
</sst>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6" formatCode="_([$€-2]* #,##0.00_);_([$€-2]* \(#,##0.00\);_([$€-2]* &quot;-&quot;??_)"/>
  </numFmts>
  <fonts count="106">
    <font>
      <sz val="11"/>
      <color theme="1"/>
      <name val="等线"/>
      <family val="2"/>
      <charset val="134"/>
      <scheme val="minor"/>
    </font>
    <font>
      <sz val="11"/>
      <color theme="1"/>
      <name val="等线"/>
      <family val="2"/>
      <charset val="134"/>
      <scheme val="minor"/>
    </font>
    <font>
      <sz val="12"/>
      <name val="宋体"/>
      <family val="3"/>
      <charset val="134"/>
    </font>
    <font>
      <b/>
      <sz val="12"/>
      <name val="Arial Narrow"/>
      <family val="2"/>
    </font>
    <font>
      <b/>
      <sz val="12"/>
      <name val="宋体"/>
      <family val="3"/>
      <charset val="134"/>
    </font>
    <font>
      <sz val="9"/>
      <name val="等线"/>
      <family val="2"/>
      <charset val="134"/>
      <scheme val="minor"/>
    </font>
    <font>
      <sz val="10"/>
      <color theme="1"/>
      <name val="Arial Narrow"/>
      <family val="2"/>
    </font>
    <font>
      <sz val="11"/>
      <color theme="1"/>
      <name val="Arial Narrow"/>
      <family val="2"/>
    </font>
    <font>
      <b/>
      <sz val="14"/>
      <name val="宋体"/>
      <family val="3"/>
      <charset val="134"/>
    </font>
    <font>
      <sz val="9"/>
      <name val="宋体"/>
      <family val="3"/>
      <charset val="134"/>
    </font>
    <font>
      <b/>
      <sz val="14"/>
      <name val="Arial Narrow"/>
      <family val="2"/>
    </font>
    <font>
      <sz val="10"/>
      <name val="Arial Narrow"/>
      <family val="2"/>
    </font>
    <font>
      <sz val="10"/>
      <name val="宋体"/>
      <family val="3"/>
      <charset val="134"/>
    </font>
    <font>
      <b/>
      <sz val="10"/>
      <name val="宋体"/>
      <family val="3"/>
      <charset val="134"/>
    </font>
    <font>
      <b/>
      <sz val="10"/>
      <name val="Arial Narrow"/>
      <family val="2"/>
    </font>
    <font>
      <b/>
      <sz val="10"/>
      <color rgb="FFFF0000"/>
      <name val="Arial Narrow"/>
      <family val="2"/>
    </font>
    <font>
      <sz val="10"/>
      <name val="Arial"/>
      <family val="2"/>
    </font>
    <font>
      <b/>
      <sz val="10"/>
      <color theme="0" tint="-0.499984740745262"/>
      <name val="Arial Narrow"/>
      <family val="2"/>
    </font>
    <font>
      <sz val="10"/>
      <color theme="1"/>
      <name val="宋体"/>
      <family val="3"/>
      <charset val="134"/>
    </font>
    <font>
      <b/>
      <sz val="11"/>
      <color theme="1"/>
      <name val="Arial Narrow"/>
      <family val="2"/>
    </font>
    <font>
      <b/>
      <sz val="10"/>
      <color theme="1"/>
      <name val="宋体"/>
      <family val="3"/>
      <charset val="134"/>
    </font>
    <font>
      <sz val="10"/>
      <color rgb="FFFF0000"/>
      <name val="Arial Narrow"/>
      <family val="2"/>
    </font>
    <font>
      <sz val="10"/>
      <color rgb="FFFF0000"/>
      <name val="宋体"/>
      <family val="3"/>
      <charset val="134"/>
    </font>
    <font>
      <sz val="10"/>
      <color indexed="12"/>
      <name val="宋体"/>
      <family val="3"/>
      <charset val="134"/>
    </font>
    <font>
      <u/>
      <sz val="10"/>
      <name val="Arial Narrow"/>
      <family val="2"/>
    </font>
    <font>
      <u/>
      <sz val="12"/>
      <color indexed="12"/>
      <name val="宋体"/>
      <family val="3"/>
      <charset val="134"/>
    </font>
    <font>
      <sz val="10"/>
      <color indexed="12"/>
      <name val="Arial Narrow"/>
      <family val="2"/>
    </font>
    <font>
      <b/>
      <sz val="10"/>
      <color indexed="12"/>
      <name val="宋体"/>
      <family val="3"/>
      <charset val="134"/>
    </font>
    <font>
      <b/>
      <sz val="10"/>
      <color indexed="12"/>
      <name val="Arial Narrow"/>
      <family val="2"/>
    </font>
    <font>
      <sz val="12"/>
      <name val="Arial Narrow"/>
      <family val="2"/>
    </font>
    <font>
      <u/>
      <sz val="10"/>
      <color indexed="10"/>
      <name val="宋体"/>
      <family val="3"/>
      <charset val="134"/>
    </font>
    <font>
      <b/>
      <sz val="10"/>
      <color indexed="10"/>
      <name val="宋体"/>
      <family val="3"/>
      <charset val="134"/>
    </font>
    <font>
      <sz val="11"/>
      <color theme="1"/>
      <name val="等线"/>
      <family val="2"/>
      <scheme val="minor"/>
    </font>
    <font>
      <sz val="10"/>
      <color indexed="8"/>
      <name val="Arial"/>
      <family val="2"/>
    </font>
    <font>
      <b/>
      <sz val="10"/>
      <color rgb="FFFF0000"/>
      <name val="宋体"/>
      <family val="3"/>
      <charset val="134"/>
    </font>
    <font>
      <b/>
      <sz val="10"/>
      <color theme="1"/>
      <name val="Arial Narrow"/>
      <family val="2"/>
    </font>
    <font>
      <b/>
      <sz val="10"/>
      <color indexed="8"/>
      <name val="宋体"/>
      <family val="3"/>
      <charset val="134"/>
    </font>
    <font>
      <b/>
      <sz val="10"/>
      <color indexed="8"/>
      <name val="Arial Narrow"/>
      <family val="2"/>
    </font>
    <font>
      <b/>
      <sz val="10"/>
      <color indexed="10"/>
      <name val="Arial Narrow"/>
      <family val="2"/>
    </font>
    <font>
      <i/>
      <sz val="10"/>
      <color indexed="12"/>
      <name val="Arial Narrow"/>
      <family val="2"/>
    </font>
    <font>
      <i/>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u/>
      <sz val="10"/>
      <color rgb="FF0000FF"/>
      <name val="宋体"/>
      <family val="3"/>
      <charset val="134"/>
    </font>
    <font>
      <sz val="9"/>
      <name val="等线"/>
      <family val="3"/>
      <charset val="134"/>
      <scheme val="minor"/>
    </font>
    <font>
      <i/>
      <sz val="10"/>
      <color rgb="FFFF0000"/>
      <name val="Arial Narrow"/>
      <family val="2"/>
    </font>
    <font>
      <i/>
      <sz val="10"/>
      <color rgb="FFFF0000"/>
      <name val="宋体"/>
      <family val="3"/>
      <charset val="134"/>
    </font>
    <font>
      <i/>
      <sz val="10"/>
      <name val="宋体"/>
      <family val="3"/>
      <charset val="134"/>
    </font>
    <font>
      <i/>
      <sz val="10"/>
      <color rgb="FF7428FC"/>
      <name val="等线"/>
      <family val="3"/>
      <charset val="134"/>
      <scheme val="minor"/>
    </font>
    <font>
      <sz val="18"/>
      <color indexed="48"/>
      <name val="魏碑"/>
      <family val="3"/>
      <charset val="134"/>
    </font>
    <font>
      <i/>
      <u/>
      <sz val="10"/>
      <color indexed="12"/>
      <name val="Arial Narrow"/>
      <family val="2"/>
    </font>
    <font>
      <b/>
      <sz val="9"/>
      <color rgb="FF000000"/>
      <name val="宋体"/>
      <family val="3"/>
      <charset val="134"/>
    </font>
    <font>
      <sz val="12"/>
      <name val="Times New Roman"/>
      <family val="1"/>
    </font>
    <font>
      <sz val="9"/>
      <color rgb="FF000000"/>
      <name val="宋体"/>
      <family val="3"/>
      <charset val="134"/>
    </font>
    <font>
      <sz val="9"/>
      <color rgb="FF000000"/>
      <name val="Arial Narrow"/>
      <family val="2"/>
    </font>
    <font>
      <b/>
      <sz val="9"/>
      <color rgb="FFFF0000"/>
      <name val="宋体"/>
      <family val="3"/>
      <charset val="134"/>
    </font>
    <font>
      <b/>
      <sz val="9"/>
      <name val="宋体"/>
      <family val="3"/>
      <charset val="134"/>
    </font>
    <font>
      <sz val="9"/>
      <color rgb="FFFF0000"/>
      <name val="宋体"/>
      <family val="3"/>
      <charset val="134"/>
    </font>
    <font>
      <sz val="12"/>
      <name val="Arial"/>
      <family val="2"/>
    </font>
    <font>
      <sz val="10.5"/>
      <name val="Arial"/>
      <family val="2"/>
    </font>
    <font>
      <sz val="10.5"/>
      <name val="宋体"/>
      <family val="3"/>
      <charset val="134"/>
    </font>
    <font>
      <sz val="10.5"/>
      <name val="Times New Roman"/>
      <family val="1"/>
    </font>
    <font>
      <b/>
      <sz val="14"/>
      <color rgb="FFFF0000"/>
      <name val="宋体"/>
      <family val="3"/>
      <charset val="134"/>
    </font>
    <font>
      <b/>
      <sz val="10"/>
      <color theme="0" tint="-0.499984740745262"/>
      <name val="宋体"/>
      <family val="3"/>
      <charset val="134"/>
    </font>
    <font>
      <b/>
      <sz val="14"/>
      <color indexed="8"/>
      <name val="Arial Narrow"/>
      <family val="2"/>
    </font>
    <font>
      <b/>
      <sz val="12"/>
      <color indexed="8"/>
      <name val="宋体"/>
      <family val="3"/>
      <charset val="134"/>
    </font>
    <font>
      <sz val="12"/>
      <color rgb="FF0000FF"/>
      <name val="宋体"/>
      <family val="3"/>
      <charset val="134"/>
    </font>
    <font>
      <b/>
      <sz val="12"/>
      <color rgb="FF0000FF"/>
      <name val="宋体"/>
      <family val="3"/>
      <charset val="134"/>
    </font>
    <font>
      <sz val="12"/>
      <color rgb="FF0000FF"/>
      <name val="Arial Narrow"/>
      <family val="2"/>
    </font>
    <font>
      <sz val="10"/>
      <color indexed="8"/>
      <name val="Arial Narrow"/>
      <family val="2"/>
    </font>
    <font>
      <u/>
      <sz val="11"/>
      <color indexed="12"/>
      <name val="宋体"/>
      <family val="3"/>
      <charset val="134"/>
    </font>
    <font>
      <u/>
      <sz val="12"/>
      <color indexed="12"/>
      <name val="Arial Narrow"/>
      <family val="2"/>
    </font>
    <font>
      <sz val="9"/>
      <color rgb="FFFF0000"/>
      <name val="Arial Narrow"/>
      <family val="2"/>
    </font>
    <font>
      <b/>
      <sz val="9"/>
      <name val="Arial Narrow"/>
      <family val="2"/>
    </font>
    <font>
      <sz val="9"/>
      <name val="Arial Narrow"/>
      <family val="2"/>
    </font>
    <font>
      <b/>
      <sz val="12"/>
      <color indexed="8"/>
      <name val="Arial Narrow"/>
      <family val="2"/>
    </font>
    <font>
      <b/>
      <sz val="14"/>
      <color indexed="8"/>
      <name val="宋体"/>
      <family val="3"/>
      <charset val="134"/>
    </font>
    <font>
      <b/>
      <sz val="9"/>
      <color rgb="FF000000"/>
      <name val="Arial Narrow"/>
      <family val="2"/>
    </font>
    <font>
      <b/>
      <sz val="9"/>
      <color rgb="FFFF0000"/>
      <name val="Arial Narrow"/>
      <family val="2"/>
    </font>
    <font>
      <b/>
      <sz val="10"/>
      <color rgb="FF000000"/>
      <name val="宋体"/>
      <family val="3"/>
      <charset val="134"/>
    </font>
    <font>
      <b/>
      <sz val="10"/>
      <color rgb="FF000000"/>
      <name val="Arial Narrow"/>
      <family val="2"/>
    </font>
    <font>
      <b/>
      <sz val="11"/>
      <color rgb="FF0000FF"/>
      <name val="宋体"/>
      <family val="3"/>
      <charset val="134"/>
    </font>
    <font>
      <sz val="11"/>
      <color rgb="FF0000FF"/>
      <name val="宋体"/>
      <family val="3"/>
      <charset val="134"/>
    </font>
    <font>
      <sz val="11"/>
      <color rgb="FF0000FF"/>
      <name val="Arial Narrow"/>
      <family val="2"/>
    </font>
    <font>
      <u/>
      <sz val="10"/>
      <color indexed="12"/>
      <name val="Arial Narrow"/>
      <family val="2"/>
    </font>
    <font>
      <sz val="12"/>
      <color indexed="12"/>
      <name val="Arial Narrow"/>
      <family val="2"/>
    </font>
    <font>
      <sz val="9"/>
      <color indexed="81"/>
      <name val="宋体"/>
      <family val="3"/>
      <charset val="134"/>
    </font>
    <font>
      <b/>
      <sz val="9"/>
      <color indexed="81"/>
      <name val="宋体"/>
      <family val="3"/>
      <charset val="134"/>
    </font>
    <font>
      <b/>
      <sz val="10"/>
      <name val="宋体"/>
      <family val="2"/>
    </font>
    <font>
      <b/>
      <sz val="9"/>
      <color indexed="10"/>
      <name val="宋体"/>
      <family val="3"/>
      <charset val="134"/>
    </font>
    <font>
      <sz val="9"/>
      <color rgb="FF0000FF"/>
      <name val="宋体"/>
      <family val="3"/>
      <charset val="134"/>
    </font>
    <font>
      <b/>
      <sz val="9"/>
      <name val="宋体"/>
      <family val="2"/>
    </font>
    <font>
      <sz val="9"/>
      <color indexed="8"/>
      <name val="Arial Narrow"/>
      <family val="2"/>
    </font>
    <font>
      <b/>
      <sz val="9"/>
      <color indexed="10"/>
      <name val="Arial Narrow"/>
      <family val="2"/>
    </font>
    <font>
      <sz val="9"/>
      <color indexed="8"/>
      <name val="宋体"/>
      <family val="3"/>
      <charset val="134"/>
    </font>
    <font>
      <b/>
      <sz val="9"/>
      <color indexed="8"/>
      <name val="Arial Narrow"/>
      <family val="2"/>
    </font>
    <font>
      <sz val="9"/>
      <color indexed="10"/>
      <name val="Arial Narrow"/>
      <family val="2"/>
    </font>
    <font>
      <b/>
      <sz val="9"/>
      <color indexed="8"/>
      <name val="宋体"/>
      <family val="2"/>
    </font>
    <font>
      <b/>
      <sz val="10"/>
      <color indexed="8"/>
      <name val="宋体"/>
      <family val="2"/>
    </font>
    <font>
      <b/>
      <sz val="9"/>
      <color indexed="10"/>
      <name val="宋体"/>
      <family val="2"/>
    </font>
    <font>
      <sz val="10"/>
      <color indexed="12"/>
      <name val="宋体"/>
      <family val="2"/>
    </font>
    <font>
      <sz val="9"/>
      <color indexed="8"/>
      <name val="宋体"/>
      <family val="2"/>
    </font>
    <font>
      <sz val="10"/>
      <color indexed="8"/>
      <name val="宋体"/>
      <family val="3"/>
      <charset val="134"/>
    </font>
    <font>
      <sz val="9"/>
      <color rgb="FF0000FF"/>
      <name val="Arial Narrow"/>
      <family val="2"/>
    </font>
  </fonts>
  <fills count="9">
    <fill>
      <patternFill patternType="none"/>
    </fill>
    <fill>
      <patternFill patternType="gray125"/>
    </fill>
    <fill>
      <patternFill patternType="solid">
        <fgColor theme="0" tint="-0.14999847407452621"/>
        <bgColor indexed="64"/>
      </patternFill>
    </fill>
    <fill>
      <patternFill patternType="solid">
        <fgColor rgb="FFE4DFEC"/>
        <bgColor indexed="64"/>
      </patternFill>
    </fill>
    <fill>
      <patternFill patternType="solid">
        <fgColor rgb="FFE4DFEC"/>
        <bgColor rgb="FFB7DEE8"/>
      </patternFill>
    </fill>
    <fill>
      <patternFill patternType="solid">
        <fgColor indexed="14"/>
        <bgColor indexed="64"/>
      </patternFill>
    </fill>
    <fill>
      <patternFill patternType="solid">
        <fgColor indexed="9"/>
        <bgColor indexed="64"/>
      </patternFill>
    </fill>
    <fill>
      <patternFill patternType="solid">
        <fgColor theme="2" tint="-9.9978637043366805E-2"/>
        <bgColor indexed="64"/>
      </patternFill>
    </fill>
    <fill>
      <patternFill patternType="solid">
        <fgColor rgb="FFFFFF00"/>
        <bgColor indexed="64"/>
      </patternFill>
    </fill>
  </fills>
  <borders count="24">
    <border>
      <left/>
      <right/>
      <top/>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hair">
        <color auto="1"/>
      </top>
      <bottom/>
      <diagonal/>
    </border>
    <border>
      <left/>
      <right/>
      <top/>
      <bottom style="hair">
        <color indexed="64"/>
      </bottom>
      <diagonal/>
    </border>
    <border>
      <left style="hair">
        <color indexed="64"/>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right/>
      <top style="hair">
        <color auto="1"/>
      </top>
      <bottom/>
      <diagonal/>
    </border>
    <border>
      <left style="hair">
        <color auto="1"/>
      </left>
      <right style="hair">
        <color auto="1"/>
      </right>
      <top style="hair">
        <color auto="1"/>
      </top>
      <bottom/>
      <diagonal/>
    </border>
    <border>
      <left/>
      <right/>
      <top/>
      <bottom style="hair">
        <color auto="1"/>
      </bottom>
      <diagonal/>
    </border>
    <border>
      <left/>
      <right style="hair">
        <color auto="1"/>
      </right>
      <top/>
      <bottom style="hair">
        <color auto="1"/>
      </bottom>
      <diagonal/>
    </border>
  </borders>
  <cellStyleXfs count="22">
    <xf numFmtId="0" fontId="0" fillId="0" borderId="0">
      <alignment vertical="center"/>
    </xf>
    <xf numFmtId="43" fontId="2" fillId="0" borderId="0" applyFont="0" applyFill="0" applyBorder="0" applyAlignment="0" applyProtection="0">
      <alignment vertical="center"/>
    </xf>
    <xf numFmtId="9" fontId="2" fillId="0" borderId="0" applyFont="0" applyFill="0" applyBorder="0" applyAlignment="0" applyProtection="0">
      <alignment vertical="center"/>
    </xf>
    <xf numFmtId="176" fontId="2" fillId="0" borderId="0">
      <alignment vertical="center"/>
    </xf>
    <xf numFmtId="176" fontId="1" fillId="0" borderId="0">
      <alignment vertical="center"/>
    </xf>
    <xf numFmtId="0" fontId="2" fillId="0" borderId="0">
      <protection locked="0"/>
    </xf>
    <xf numFmtId="0" fontId="2" fillId="0" borderId="0">
      <protection locked="0"/>
    </xf>
    <xf numFmtId="0" fontId="2" fillId="0" borderId="0">
      <alignment vertical="center"/>
    </xf>
    <xf numFmtId="0" fontId="2" fillId="0" borderId="0" applyFill="0" applyBorder="0"/>
    <xf numFmtId="0" fontId="25" fillId="0" borderId="0" applyNumberFormat="0" applyFill="0" applyBorder="0" applyAlignment="0" applyProtection="0">
      <alignment vertical="top"/>
      <protection locked="0"/>
    </xf>
    <xf numFmtId="9" fontId="2" fillId="0" borderId="0" applyFont="0" applyFill="0" applyBorder="0" applyAlignment="0" applyProtection="0"/>
    <xf numFmtId="0" fontId="2" fillId="0" borderId="0">
      <protection locked="0"/>
    </xf>
    <xf numFmtId="0" fontId="32" fillId="0" borderId="0"/>
    <xf numFmtId="0" fontId="33" fillId="0" borderId="0">
      <alignment vertical="top"/>
    </xf>
    <xf numFmtId="0" fontId="1" fillId="0" borderId="0">
      <alignment vertical="center"/>
    </xf>
    <xf numFmtId="0" fontId="2" fillId="0" borderId="0"/>
    <xf numFmtId="0" fontId="54" fillId="0" borderId="0">
      <alignment vertical="center" shrinkToFit="1"/>
    </xf>
    <xf numFmtId="0" fontId="2" fillId="0" borderId="0">
      <alignment vertical="center"/>
    </xf>
    <xf numFmtId="0" fontId="54" fillId="0" borderId="0"/>
    <xf numFmtId="43" fontId="2" fillId="0" borderId="0" applyFont="0" applyFill="0" applyBorder="0" applyAlignment="0" applyProtection="0"/>
    <xf numFmtId="0" fontId="12" fillId="0" borderId="0"/>
    <xf numFmtId="0" fontId="2" fillId="0" borderId="0">
      <alignment vertical="center"/>
    </xf>
  </cellStyleXfs>
  <cellXfs count="588">
    <xf numFmtId="0" fontId="0" fillId="0" borderId="0" xfId="0">
      <alignment vertical="center"/>
    </xf>
    <xf numFmtId="176" fontId="6" fillId="0" borderId="0" xfId="4" applyFont="1" applyFill="1">
      <alignment vertical="center"/>
    </xf>
    <xf numFmtId="176" fontId="7" fillId="0" borderId="0" xfId="4" applyFont="1" applyFill="1">
      <alignment vertical="center"/>
    </xf>
    <xf numFmtId="176" fontId="11" fillId="0" borderId="0" xfId="4" applyFont="1" applyFill="1" applyBorder="1" applyAlignment="1" applyProtection="1">
      <alignment vertical="center"/>
      <protection locked="0"/>
    </xf>
    <xf numFmtId="0" fontId="11" fillId="0" borderId="0" xfId="5" applyFont="1" applyFill="1" applyBorder="1" applyAlignment="1">
      <alignment horizontal="left" vertical="center"/>
      <protection locked="0"/>
    </xf>
    <xf numFmtId="176" fontId="7" fillId="0" borderId="0" xfId="4" applyFont="1" applyFill="1" applyAlignment="1">
      <alignment vertical="center" wrapText="1"/>
    </xf>
    <xf numFmtId="176" fontId="15" fillId="0" borderId="0" xfId="4" applyFont="1" applyFill="1" applyAlignment="1" applyProtection="1">
      <alignment horizontal="center" vertical="center"/>
      <protection locked="0"/>
    </xf>
    <xf numFmtId="176" fontId="17" fillId="2" borderId="0" xfId="4" applyFont="1" applyFill="1" applyAlignment="1" applyProtection="1">
      <alignment horizontal="center" vertical="center"/>
      <protection locked="0"/>
    </xf>
    <xf numFmtId="176" fontId="17" fillId="2" borderId="0" xfId="4" applyFont="1" applyFill="1" applyAlignment="1" applyProtection="1">
      <alignment horizontal="left" vertical="center"/>
      <protection locked="0"/>
    </xf>
    <xf numFmtId="176" fontId="19" fillId="0" borderId="0" xfId="4" applyFont="1" applyFill="1">
      <alignment vertical="center"/>
    </xf>
    <xf numFmtId="49" fontId="11" fillId="0" borderId="1" xfId="4" applyNumberFormat="1" applyFont="1" applyFill="1" applyBorder="1" applyAlignment="1" applyProtection="1">
      <alignment horizontal="center" vertical="center"/>
      <protection locked="0"/>
    </xf>
    <xf numFmtId="176" fontId="18" fillId="0" borderId="1" xfId="4" applyFont="1" applyFill="1" applyBorder="1" applyAlignment="1">
      <alignment horizontal="center" vertical="center" wrapText="1"/>
    </xf>
    <xf numFmtId="0" fontId="3" fillId="0" borderId="0" xfId="7" applyFont="1" applyAlignment="1">
      <alignment vertical="center"/>
    </xf>
    <xf numFmtId="0" fontId="3" fillId="0" borderId="0" xfId="6" applyFont="1" applyAlignment="1">
      <alignment vertical="center"/>
      <protection locked="0"/>
    </xf>
    <xf numFmtId="43" fontId="11" fillId="0" borderId="0" xfId="8" applyNumberFormat="1" applyFont="1" applyBorder="1" applyAlignment="1">
      <alignment vertical="center"/>
    </xf>
    <xf numFmtId="0" fontId="11" fillId="0" borderId="0" xfId="6" applyFont="1" applyAlignment="1">
      <alignment vertical="center"/>
      <protection locked="0"/>
    </xf>
    <xf numFmtId="0" fontId="11" fillId="0" borderId="0" xfId="6" applyFont="1" applyBorder="1" applyAlignment="1">
      <alignment vertical="center"/>
      <protection locked="0"/>
    </xf>
    <xf numFmtId="0" fontId="12" fillId="0" borderId="0" xfId="6" applyFont="1" applyBorder="1" applyAlignment="1">
      <alignment vertical="center"/>
      <protection locked="0"/>
    </xf>
    <xf numFmtId="49" fontId="11" fillId="0" borderId="0" xfId="8" applyNumberFormat="1" applyFont="1" applyBorder="1" applyAlignment="1">
      <alignment vertical="center"/>
    </xf>
    <xf numFmtId="0" fontId="13" fillId="0" borderId="0" xfId="6" applyFont="1" applyAlignment="1">
      <alignment vertical="center"/>
      <protection locked="0"/>
    </xf>
    <xf numFmtId="0" fontId="11" fillId="0" borderId="0" xfId="6" applyFont="1" applyBorder="1" applyAlignment="1" applyProtection="1">
      <alignment vertical="center"/>
      <protection locked="0"/>
    </xf>
    <xf numFmtId="0" fontId="14" fillId="0" borderId="0" xfId="6" applyFont="1" applyAlignment="1" applyProtection="1">
      <alignment vertical="center"/>
      <protection locked="0"/>
    </xf>
    <xf numFmtId="0" fontId="11" fillId="0" borderId="1" xfId="6" applyFont="1" applyBorder="1" applyAlignment="1" applyProtection="1">
      <alignment horizontal="center" vertical="center" wrapText="1"/>
      <protection locked="0"/>
    </xf>
    <xf numFmtId="0" fontId="11" fillId="0" borderId="0" xfId="6" applyFont="1" applyAlignment="1" applyProtection="1">
      <alignment vertical="center"/>
      <protection locked="0"/>
    </xf>
    <xf numFmtId="0" fontId="11" fillId="0" borderId="7" xfId="6" applyFont="1" applyBorder="1" applyAlignment="1" applyProtection="1">
      <alignment vertical="center"/>
      <protection locked="0"/>
    </xf>
    <xf numFmtId="0" fontId="14" fillId="0" borderId="0" xfId="6" applyFont="1" applyBorder="1" applyAlignment="1" applyProtection="1">
      <alignment horizontal="left" vertical="center"/>
      <protection locked="0"/>
    </xf>
    <xf numFmtId="0" fontId="14" fillId="0" borderId="0" xfId="6" applyFont="1" applyBorder="1" applyAlignment="1" applyProtection="1">
      <alignment vertical="center"/>
      <protection locked="0"/>
    </xf>
    <xf numFmtId="0" fontId="13" fillId="0" borderId="0" xfId="6" applyFont="1" applyAlignment="1">
      <alignment vertical="center" wrapText="1"/>
      <protection locked="0"/>
    </xf>
    <xf numFmtId="0" fontId="11" fillId="0" borderId="0" xfId="6" applyFont="1" applyAlignment="1">
      <alignment vertical="center" wrapText="1"/>
      <protection locked="0"/>
    </xf>
    <xf numFmtId="0" fontId="27" fillId="0" borderId="0" xfId="6" applyFont="1" applyAlignment="1" applyProtection="1">
      <alignment vertical="center"/>
      <protection locked="0"/>
    </xf>
    <xf numFmtId="0" fontId="28" fillId="0" borderId="0" xfId="11" applyFont="1" applyAlignment="1">
      <alignment vertical="center"/>
      <protection locked="0"/>
    </xf>
    <xf numFmtId="0" fontId="29" fillId="0" borderId="0" xfId="6" applyFont="1" applyAlignment="1" applyProtection="1">
      <alignment vertical="center"/>
      <protection locked="0"/>
    </xf>
    <xf numFmtId="0" fontId="26" fillId="0" borderId="0" xfId="11" applyFont="1" applyAlignment="1">
      <alignment vertical="center"/>
      <protection locked="0"/>
    </xf>
    <xf numFmtId="0" fontId="28" fillId="0" borderId="0" xfId="6" applyFont="1" applyAlignment="1" applyProtection="1">
      <alignment vertical="center"/>
      <protection locked="0"/>
    </xf>
    <xf numFmtId="0" fontId="26" fillId="0" borderId="0" xfId="6" applyFont="1" applyAlignment="1" applyProtection="1">
      <alignment vertical="center"/>
      <protection locked="0"/>
    </xf>
    <xf numFmtId="0" fontId="26" fillId="0" borderId="0" xfId="6" applyFont="1" applyAlignment="1">
      <alignment vertical="center"/>
      <protection locked="0"/>
    </xf>
    <xf numFmtId="0" fontId="26" fillId="0" borderId="0" xfId="6" applyFont="1" applyAlignment="1" applyProtection="1">
      <protection locked="0"/>
    </xf>
    <xf numFmtId="0" fontId="29" fillId="0" borderId="0" xfId="6" applyFont="1" applyAlignment="1">
      <alignment vertical="center"/>
      <protection locked="0"/>
    </xf>
    <xf numFmtId="0" fontId="28" fillId="0" borderId="0" xfId="6" applyFont="1" applyAlignment="1" applyProtection="1">
      <alignment horizontal="left"/>
      <protection locked="0"/>
    </xf>
    <xf numFmtId="0" fontId="26" fillId="0" borderId="0" xfId="6" applyFont="1" applyAlignment="1" applyProtection="1">
      <alignment horizontal="right"/>
      <protection locked="0"/>
    </xf>
    <xf numFmtId="0" fontId="31" fillId="0" borderId="0" xfId="6" applyFont="1" applyAlignment="1">
      <alignment vertical="center"/>
      <protection locked="0"/>
    </xf>
    <xf numFmtId="0" fontId="3" fillId="0" borderId="0" xfId="12" applyFont="1" applyAlignment="1" applyProtection="1">
      <alignment horizontal="centerContinuous" vertical="center"/>
      <protection locked="0"/>
    </xf>
    <xf numFmtId="0" fontId="3" fillId="0" borderId="0" xfId="12" applyFont="1" applyAlignment="1" applyProtection="1">
      <alignment vertical="center"/>
      <protection locked="0"/>
    </xf>
    <xf numFmtId="0" fontId="11" fillId="0" borderId="0" xfId="12" applyFont="1" applyBorder="1" applyAlignment="1" applyProtection="1">
      <alignment vertical="center"/>
      <protection locked="0"/>
    </xf>
    <xf numFmtId="0" fontId="11" fillId="0" borderId="0" xfId="12" applyFont="1" applyAlignment="1" applyProtection="1">
      <alignment vertical="center"/>
      <protection locked="0"/>
    </xf>
    <xf numFmtId="0" fontId="6" fillId="0" borderId="0" xfId="12" applyFont="1"/>
    <xf numFmtId="0" fontId="6" fillId="0" borderId="0" xfId="12" applyFont="1" applyBorder="1"/>
    <xf numFmtId="0" fontId="41" fillId="0" borderId="0" xfId="12" applyFont="1"/>
    <xf numFmtId="0" fontId="43" fillId="0" borderId="0" xfId="12" applyFont="1"/>
    <xf numFmtId="0" fontId="7" fillId="0" borderId="0" xfId="12" applyFont="1"/>
    <xf numFmtId="0" fontId="7" fillId="0" borderId="0" xfId="12" applyFont="1" applyBorder="1"/>
    <xf numFmtId="0" fontId="6" fillId="0" borderId="0" xfId="12" applyFont="1" applyAlignment="1">
      <alignment horizontal="left" wrapText="1"/>
    </xf>
    <xf numFmtId="0" fontId="14" fillId="0" borderId="0" xfId="11" applyFont="1" applyBorder="1" applyAlignment="1">
      <alignment vertical="center"/>
      <protection locked="0"/>
    </xf>
    <xf numFmtId="0" fontId="14" fillId="0" borderId="0" xfId="7" applyFont="1" applyBorder="1" applyAlignment="1">
      <alignment vertical="center"/>
    </xf>
    <xf numFmtId="0" fontId="11" fillId="0" borderId="0" xfId="11" applyFont="1" applyBorder="1" applyAlignment="1">
      <alignment vertical="center"/>
      <protection locked="0"/>
    </xf>
    <xf numFmtId="0" fontId="11" fillId="0" borderId="0" xfId="11" applyFont="1" applyBorder="1">
      <protection locked="0"/>
    </xf>
    <xf numFmtId="0" fontId="11" fillId="0" borderId="0" xfId="11" applyFont="1" applyBorder="1" applyAlignment="1">
      <alignment horizontal="justify" vertical="center" wrapText="1"/>
      <protection locked="0"/>
    </xf>
    <xf numFmtId="0" fontId="41" fillId="0" borderId="0" xfId="11" applyFont="1" applyBorder="1" applyAlignment="1">
      <alignment vertical="center"/>
      <protection locked="0"/>
    </xf>
    <xf numFmtId="0" fontId="43" fillId="0" borderId="0" xfId="11" applyFont="1" applyBorder="1" applyAlignment="1">
      <alignment vertical="center"/>
      <protection locked="0"/>
    </xf>
    <xf numFmtId="0" fontId="12" fillId="0" borderId="0" xfId="11" applyFont="1" applyBorder="1" applyAlignment="1">
      <alignment vertical="center"/>
      <protection locked="0"/>
    </xf>
    <xf numFmtId="0" fontId="39" fillId="0" borderId="0" xfId="11" applyFont="1" applyBorder="1" applyAlignment="1">
      <alignment vertical="center"/>
      <protection locked="0"/>
    </xf>
    <xf numFmtId="0" fontId="26" fillId="0" borderId="0" xfId="11" applyFont="1" applyBorder="1" applyAlignment="1">
      <alignment vertical="center"/>
      <protection locked="0"/>
    </xf>
    <xf numFmtId="0" fontId="11" fillId="0" borderId="0" xfId="6" applyFont="1" applyBorder="1" applyAlignment="1">
      <alignment horizontal="justify" vertical="center" wrapText="1"/>
      <protection locked="0"/>
    </xf>
    <xf numFmtId="0" fontId="2" fillId="0" borderId="0" xfId="6" applyAlignment="1">
      <alignment vertical="center"/>
      <protection locked="0"/>
    </xf>
    <xf numFmtId="43" fontId="11" fillId="0" borderId="1" xfId="1" applyFont="1" applyBorder="1" applyAlignment="1" applyProtection="1">
      <alignment vertical="center"/>
      <protection locked="0"/>
    </xf>
    <xf numFmtId="0" fontId="14" fillId="0" borderId="0" xfId="11" applyFont="1" applyAlignment="1">
      <alignment vertical="center"/>
      <protection locked="0"/>
    </xf>
    <xf numFmtId="0" fontId="14" fillId="0" borderId="0" xfId="7" applyFont="1" applyAlignment="1">
      <alignment vertical="center"/>
    </xf>
    <xf numFmtId="0" fontId="11" fillId="0" borderId="0" xfId="11" applyFont="1" applyAlignment="1">
      <alignment vertical="center"/>
      <protection locked="0"/>
    </xf>
    <xf numFmtId="0" fontId="11" fillId="0" borderId="0" xfId="14" applyFont="1" applyBorder="1" applyAlignment="1" applyProtection="1">
      <alignment vertical="center"/>
      <protection locked="0"/>
    </xf>
    <xf numFmtId="0" fontId="29" fillId="0" borderId="0" xfId="14" applyFont="1" applyFill="1">
      <alignment vertical="center"/>
    </xf>
    <xf numFmtId="0" fontId="11" fillId="0" borderId="1" xfId="14" applyFont="1" applyFill="1" applyBorder="1" applyAlignment="1">
      <alignment horizontal="center" vertical="center"/>
    </xf>
    <xf numFmtId="0" fontId="11" fillId="0" borderId="1" xfId="14" applyFont="1" applyFill="1" applyBorder="1" applyAlignment="1">
      <alignment horizontal="left" vertical="center"/>
    </xf>
    <xf numFmtId="49" fontId="11" fillId="0" borderId="1" xfId="14" applyNumberFormat="1" applyFont="1" applyBorder="1" applyAlignment="1" applyProtection="1">
      <alignment horizontal="justify" vertical="center"/>
      <protection locked="0"/>
    </xf>
    <xf numFmtId="0" fontId="11" fillId="0" borderId="0" xfId="14" applyFont="1" applyFill="1" applyAlignment="1">
      <alignment vertical="center"/>
    </xf>
    <xf numFmtId="0" fontId="3" fillId="0" borderId="0" xfId="6" applyFont="1" applyBorder="1" applyAlignment="1">
      <alignment horizontal="center" vertical="center"/>
      <protection locked="0"/>
    </xf>
    <xf numFmtId="0" fontId="3" fillId="0" borderId="0" xfId="6" applyFont="1" applyBorder="1" applyAlignment="1">
      <alignment vertical="center"/>
      <protection locked="0"/>
    </xf>
    <xf numFmtId="0" fontId="3" fillId="0" borderId="0" xfId="7" applyFont="1" applyBorder="1" applyAlignment="1">
      <alignment vertical="center"/>
    </xf>
    <xf numFmtId="0" fontId="13" fillId="0" borderId="0" xfId="15" applyFont="1" applyBorder="1" applyAlignment="1">
      <alignment horizontal="left" vertical="center"/>
    </xf>
    <xf numFmtId="0" fontId="14" fillId="0" borderId="0" xfId="15" applyFont="1" applyBorder="1" applyAlignment="1">
      <alignment horizontal="left" vertical="center"/>
    </xf>
    <xf numFmtId="0" fontId="11" fillId="0" borderId="0" xfId="15" applyFont="1" applyBorder="1" applyAlignment="1" applyProtection="1">
      <alignment vertical="center"/>
      <protection locked="0"/>
    </xf>
    <xf numFmtId="0" fontId="11" fillId="0" borderId="0" xfId="15" applyFont="1" applyBorder="1" applyAlignment="1">
      <alignment vertical="center"/>
    </xf>
    <xf numFmtId="0" fontId="52" fillId="0" borderId="0" xfId="9" applyFont="1" applyBorder="1" applyAlignment="1" applyProtection="1">
      <alignment vertical="center"/>
      <protection locked="0"/>
    </xf>
    <xf numFmtId="0" fontId="11" fillId="0" borderId="0" xfId="16" applyNumberFormat="1" applyFont="1" applyFill="1" applyBorder="1" applyAlignment="1">
      <alignment vertical="center"/>
    </xf>
    <xf numFmtId="0" fontId="14" fillId="0" borderId="0" xfId="15" applyFont="1" applyBorder="1" applyAlignment="1" applyProtection="1">
      <alignment vertical="center"/>
      <protection locked="0"/>
    </xf>
    <xf numFmtId="43" fontId="53" fillId="0" borderId="0" xfId="6" applyNumberFormat="1" applyFont="1" applyFill="1" applyBorder="1" applyAlignment="1" applyProtection="1">
      <alignment vertical="center" wrapText="1"/>
    </xf>
    <xf numFmtId="0" fontId="14" fillId="0" borderId="0" xfId="16" applyNumberFormat="1" applyFont="1" applyFill="1" applyBorder="1" applyAlignment="1">
      <alignment vertical="center"/>
    </xf>
    <xf numFmtId="0" fontId="55" fillId="0" borderId="1" xfId="6" applyNumberFormat="1" applyFont="1" applyFill="1" applyBorder="1" applyAlignment="1" applyProtection="1">
      <alignment vertical="center" wrapText="1"/>
    </xf>
    <xf numFmtId="0" fontId="14" fillId="0" borderId="0" xfId="15" applyFont="1" applyFill="1" applyBorder="1" applyAlignment="1" applyProtection="1">
      <alignment vertical="center"/>
      <protection locked="0"/>
    </xf>
    <xf numFmtId="43" fontId="56" fillId="0" borderId="1" xfId="1" applyFont="1" applyFill="1" applyBorder="1" applyAlignment="1" applyProtection="1">
      <alignment vertical="center" wrapText="1"/>
    </xf>
    <xf numFmtId="0" fontId="55" fillId="0" borderId="0" xfId="6" applyNumberFormat="1" applyFont="1" applyFill="1" applyBorder="1" applyAlignment="1" applyProtection="1">
      <alignment horizontal="left" vertical="center" wrapText="1"/>
    </xf>
    <xf numFmtId="43" fontId="55" fillId="0" borderId="0" xfId="6" applyNumberFormat="1" applyFont="1" applyFill="1" applyBorder="1" applyAlignment="1" applyProtection="1">
      <alignment vertical="center" wrapText="1"/>
    </xf>
    <xf numFmtId="43" fontId="55" fillId="0" borderId="0" xfId="6" applyNumberFormat="1" applyFont="1" applyFill="1" applyBorder="1" applyAlignment="1" applyProtection="1">
      <alignment horizontal="center" vertical="center" wrapText="1"/>
    </xf>
    <xf numFmtId="43" fontId="56" fillId="0" borderId="1" xfId="1" applyFont="1" applyFill="1" applyBorder="1" applyAlignment="1" applyProtection="1">
      <alignment horizontal="center" vertical="center" wrapText="1"/>
    </xf>
    <xf numFmtId="0" fontId="55" fillId="0" borderId="0" xfId="6" applyNumberFormat="1" applyFont="1" applyFill="1" applyBorder="1" applyAlignment="1" applyProtection="1">
      <alignment horizontal="center" vertical="center"/>
    </xf>
    <xf numFmtId="0" fontId="53" fillId="0" borderId="10" xfId="6" applyNumberFormat="1" applyFont="1" applyFill="1" applyBorder="1" applyAlignment="1" applyProtection="1">
      <alignment vertical="center"/>
    </xf>
    <xf numFmtId="0" fontId="59" fillId="0" borderId="0" xfId="6" applyNumberFormat="1" applyFont="1" applyFill="1" applyBorder="1" applyAlignment="1" applyProtection="1">
      <alignment horizontal="center" vertical="center" wrapText="1"/>
    </xf>
    <xf numFmtId="0" fontId="55" fillId="0" borderId="0" xfId="6" applyNumberFormat="1" applyFont="1" applyFill="1" applyBorder="1" applyAlignment="1" applyProtection="1">
      <alignment horizontal="center" vertical="center" wrapText="1"/>
    </xf>
    <xf numFmtId="43" fontId="56" fillId="0" borderId="0" xfId="6" applyNumberFormat="1" applyFont="1" applyFill="1" applyBorder="1" applyAlignment="1" applyProtection="1">
      <alignment horizontal="center" vertical="center" wrapText="1"/>
    </xf>
    <xf numFmtId="0" fontId="58" fillId="0" borderId="0" xfId="6" applyNumberFormat="1" applyFont="1" applyFill="1" applyBorder="1" applyAlignment="1" applyProtection="1">
      <alignment horizontal="left" vertical="center"/>
    </xf>
    <xf numFmtId="43" fontId="56" fillId="0" borderId="1" xfId="1" applyFont="1" applyFill="1" applyBorder="1" applyAlignment="1" applyProtection="1">
      <alignment horizontal="center" vertical="center"/>
    </xf>
    <xf numFmtId="0" fontId="29" fillId="0" borderId="0" xfId="6" applyFont="1" applyBorder="1" applyAlignment="1">
      <alignment vertical="center"/>
      <protection locked="0"/>
    </xf>
    <xf numFmtId="0" fontId="12" fillId="0" borderId="0" xfId="6" applyFont="1" applyBorder="1" applyAlignment="1">
      <alignment horizontal="left" vertical="center"/>
      <protection locked="0"/>
    </xf>
    <xf numFmtId="43" fontId="24" fillId="0" borderId="0" xfId="6" applyNumberFormat="1" applyFont="1" applyBorder="1" applyAlignment="1">
      <alignment horizontal="left" vertical="center"/>
      <protection locked="0"/>
    </xf>
    <xf numFmtId="0" fontId="11" fillId="0" borderId="0" xfId="6" applyFont="1" applyBorder="1" applyAlignment="1">
      <alignment horizontal="left" vertical="center"/>
      <protection locked="0"/>
    </xf>
    <xf numFmtId="0" fontId="40" fillId="0" borderId="0" xfId="6" applyFont="1" applyBorder="1" applyAlignment="1">
      <alignment vertical="center"/>
      <protection locked="0"/>
    </xf>
    <xf numFmtId="0" fontId="26" fillId="0" borderId="0" xfId="6" applyFont="1" applyBorder="1" applyAlignment="1">
      <alignment vertical="center"/>
      <protection locked="0"/>
    </xf>
    <xf numFmtId="0" fontId="23" fillId="0" borderId="0" xfId="6" applyFont="1" applyBorder="1" applyAlignment="1">
      <alignment vertical="center"/>
      <protection locked="0"/>
    </xf>
    <xf numFmtId="0" fontId="26" fillId="0" borderId="0" xfId="6" applyFont="1" applyBorder="1" applyAlignment="1">
      <protection locked="0"/>
    </xf>
    <xf numFmtId="0" fontId="26" fillId="0" borderId="0" xfId="6" applyFont="1" applyBorder="1" applyAlignment="1">
      <alignment horizontal="left"/>
      <protection locked="0"/>
    </xf>
    <xf numFmtId="0" fontId="55" fillId="0" borderId="0" xfId="6" applyNumberFormat="1" applyFont="1" applyFill="1" applyBorder="1" applyAlignment="1" applyProtection="1">
      <alignment vertical="center" wrapText="1"/>
    </xf>
    <xf numFmtId="43" fontId="11" fillId="3" borderId="1" xfId="6" applyNumberFormat="1" applyFont="1" applyFill="1" applyBorder="1" applyAlignment="1" applyProtection="1">
      <alignment horizontal="left" vertical="center" wrapText="1"/>
      <protection locked="0"/>
    </xf>
    <xf numFmtId="0" fontId="13" fillId="3" borderId="1" xfId="13" applyFont="1" applyFill="1" applyBorder="1" applyAlignment="1">
      <alignment horizontal="center" vertical="center" wrapText="1"/>
    </xf>
    <xf numFmtId="0" fontId="14" fillId="3" borderId="1" xfId="13" applyFont="1" applyFill="1" applyBorder="1" applyAlignment="1">
      <alignment horizontal="center" vertical="center" wrapText="1"/>
    </xf>
    <xf numFmtId="49" fontId="14" fillId="3" borderId="1" xfId="13" applyNumberFormat="1" applyFont="1" applyFill="1" applyBorder="1" applyAlignment="1">
      <alignment horizontal="center" vertical="center"/>
    </xf>
    <xf numFmtId="0" fontId="14" fillId="3" borderId="1" xfId="13" applyFont="1" applyFill="1" applyBorder="1" applyAlignment="1">
      <alignment horizontal="center" vertical="center"/>
    </xf>
    <xf numFmtId="43" fontId="11" fillId="3" borderId="1" xfId="1" applyFont="1" applyFill="1" applyBorder="1" applyAlignment="1" applyProtection="1">
      <alignment vertical="center"/>
      <protection locked="0"/>
    </xf>
    <xf numFmtId="0" fontId="14" fillId="3" borderId="1" xfId="6" applyFont="1" applyFill="1" applyBorder="1" applyAlignment="1">
      <alignment horizontal="center" vertical="center"/>
      <protection locked="0"/>
    </xf>
    <xf numFmtId="0" fontId="53" fillId="4" borderId="1" xfId="6" applyNumberFormat="1" applyFont="1" applyFill="1" applyBorder="1" applyAlignment="1" applyProtection="1">
      <alignment horizontal="center" vertical="center" wrapText="1"/>
    </xf>
    <xf numFmtId="43" fontId="53" fillId="4" borderId="1" xfId="6" applyNumberFormat="1" applyFont="1" applyFill="1" applyBorder="1" applyAlignment="1" applyProtection="1">
      <alignment horizontal="center" vertical="center" wrapText="1"/>
    </xf>
    <xf numFmtId="43" fontId="56" fillId="3" borderId="1" xfId="1" applyFont="1" applyFill="1" applyBorder="1" applyAlignment="1" applyProtection="1">
      <alignment horizontal="center" vertical="center" wrapText="1"/>
    </xf>
    <xf numFmtId="43" fontId="53" fillId="3" borderId="1" xfId="6" applyNumberFormat="1" applyFont="1" applyFill="1" applyBorder="1" applyAlignment="1" applyProtection="1">
      <alignment vertical="center" wrapText="1"/>
    </xf>
    <xf numFmtId="0" fontId="55" fillId="3" borderId="1" xfId="6" applyNumberFormat="1" applyFont="1" applyFill="1" applyBorder="1" applyAlignment="1" applyProtection="1">
      <alignment vertical="center" wrapText="1"/>
    </xf>
    <xf numFmtId="9" fontId="56" fillId="3" borderId="1" xfId="2" applyFont="1" applyFill="1" applyBorder="1" applyAlignment="1" applyProtection="1">
      <alignment vertical="center" wrapText="1"/>
    </xf>
    <xf numFmtId="0" fontId="4" fillId="0" borderId="0" xfId="6" applyFont="1" applyAlignment="1">
      <alignment vertical="center"/>
      <protection locked="0"/>
    </xf>
    <xf numFmtId="0" fontId="60" fillId="0" borderId="0" xfId="6" applyFont="1" applyAlignment="1">
      <alignment vertical="center"/>
      <protection locked="0"/>
    </xf>
    <xf numFmtId="0" fontId="61" fillId="0" borderId="0" xfId="6" applyFont="1" applyBorder="1" applyAlignment="1">
      <alignment horizontal="justify" wrapText="1"/>
      <protection locked="0"/>
    </xf>
    <xf numFmtId="0" fontId="16" fillId="0" borderId="0" xfId="6" applyFont="1">
      <protection locked="0"/>
    </xf>
    <xf numFmtId="0" fontId="62" fillId="0" borderId="0" xfId="6" applyFont="1" applyBorder="1" applyAlignment="1">
      <alignment horizontal="justify" wrapText="1"/>
      <protection locked="0"/>
    </xf>
    <xf numFmtId="0" fontId="2" fillId="0" borderId="0" xfId="6">
      <protection locked="0"/>
    </xf>
    <xf numFmtId="0" fontId="2" fillId="0" borderId="0" xfId="6" applyFont="1" applyAlignment="1">
      <alignment horizontal="center" vertical="center"/>
      <protection locked="0"/>
    </xf>
    <xf numFmtId="0" fontId="62" fillId="0" borderId="0" xfId="6" applyFont="1" applyBorder="1" applyAlignment="1">
      <alignment horizontal="justify" vertical="top" wrapText="1"/>
      <protection locked="0"/>
    </xf>
    <xf numFmtId="0" fontId="12" fillId="5" borderId="0" xfId="6" applyFont="1" applyFill="1" applyBorder="1" applyAlignment="1" applyProtection="1">
      <alignment horizontal="justify" vertical="center" wrapText="1"/>
      <protection locked="0"/>
    </xf>
    <xf numFmtId="0" fontId="60" fillId="0" borderId="0" xfId="6" applyFont="1" applyBorder="1">
      <protection locked="0"/>
    </xf>
    <xf numFmtId="0" fontId="63" fillId="0" borderId="0" xfId="6" applyFont="1" applyBorder="1" applyAlignment="1">
      <alignment horizontal="justify" wrapText="1"/>
      <protection locked="0"/>
    </xf>
    <xf numFmtId="0" fontId="60" fillId="0" borderId="0" xfId="6" applyFont="1">
      <protection locked="0"/>
    </xf>
    <xf numFmtId="0" fontId="2" fillId="0" borderId="0" xfId="6" applyBorder="1">
      <protection locked="0"/>
    </xf>
    <xf numFmtId="43" fontId="11" fillId="0" borderId="7" xfId="6" applyNumberFormat="1" applyFont="1" applyBorder="1" applyAlignment="1" applyProtection="1">
      <alignment horizontal="left" vertical="center" wrapText="1"/>
      <protection locked="0"/>
    </xf>
    <xf numFmtId="0" fontId="14" fillId="0" borderId="0" xfId="6" applyFont="1" applyBorder="1" applyAlignment="1" applyProtection="1">
      <alignment horizontal="center" vertical="center" wrapText="1"/>
      <protection locked="0"/>
    </xf>
    <xf numFmtId="43" fontId="11" fillId="0" borderId="0" xfId="6" applyNumberFormat="1" applyFont="1" applyBorder="1" applyAlignment="1" applyProtection="1">
      <alignment horizontal="left" vertical="center" wrapText="1"/>
      <protection locked="0"/>
    </xf>
    <xf numFmtId="0" fontId="26" fillId="0" borderId="0" xfId="6" applyFont="1" applyBorder="1" applyAlignment="1" applyProtection="1">
      <alignment horizontal="left" vertical="center"/>
      <protection locked="0"/>
    </xf>
    <xf numFmtId="0" fontId="26" fillId="0" borderId="0" xfId="6" applyFont="1" applyBorder="1" applyAlignment="1" applyProtection="1">
      <alignment horizontal="right" vertical="center"/>
      <protection locked="0"/>
    </xf>
    <xf numFmtId="0" fontId="11" fillId="0" borderId="0" xfId="6" applyFont="1" applyFill="1" applyBorder="1" applyAlignment="1" applyProtection="1">
      <alignment horizontal="left" vertical="center"/>
      <protection locked="0"/>
    </xf>
    <xf numFmtId="0" fontId="11" fillId="0" borderId="0" xfId="6" applyFont="1" applyAlignment="1">
      <alignment horizontal="left" vertical="center"/>
      <protection locked="0"/>
    </xf>
    <xf numFmtId="0" fontId="13" fillId="0" borderId="0" xfId="12" applyFont="1" applyAlignment="1" applyProtection="1">
      <alignment vertical="center"/>
      <protection locked="0"/>
    </xf>
    <xf numFmtId="176" fontId="65" fillId="2" borderId="0" xfId="4" applyFont="1" applyFill="1" applyAlignment="1" applyProtection="1">
      <alignment horizontal="center" vertical="center"/>
      <protection locked="0"/>
    </xf>
    <xf numFmtId="176" fontId="15" fillId="2" borderId="0" xfId="4" applyFont="1" applyFill="1" applyAlignment="1" applyProtection="1">
      <alignment horizontal="left" vertical="center"/>
      <protection locked="0"/>
    </xf>
    <xf numFmtId="176" fontId="15" fillId="0" borderId="0" xfId="4" applyFont="1" applyFill="1" applyAlignment="1" applyProtection="1">
      <alignment vertical="center"/>
      <protection locked="0"/>
    </xf>
    <xf numFmtId="0" fontId="55" fillId="0" borderId="0" xfId="6" applyNumberFormat="1" applyFont="1" applyFill="1" applyBorder="1" applyAlignment="1" applyProtection="1">
      <alignment horizontal="left" vertical="center" wrapText="1"/>
    </xf>
    <xf numFmtId="0" fontId="11" fillId="0" borderId="0" xfId="17" applyFont="1" applyFill="1" applyBorder="1" applyAlignment="1">
      <alignment vertical="center"/>
    </xf>
    <xf numFmtId="0" fontId="11" fillId="0" borderId="0" xfId="17" applyFont="1" applyFill="1" applyBorder="1" applyAlignment="1">
      <alignment horizontal="center" vertical="center"/>
    </xf>
    <xf numFmtId="0" fontId="11" fillId="6" borderId="1" xfId="17" applyFont="1" applyFill="1" applyBorder="1" applyAlignment="1">
      <alignment horizontal="center" vertical="center"/>
    </xf>
    <xf numFmtId="0" fontId="44" fillId="0" borderId="0" xfId="6" applyFont="1" applyBorder="1" applyAlignment="1" applyProtection="1">
      <alignment vertical="center"/>
      <protection locked="0"/>
    </xf>
    <xf numFmtId="0" fontId="43" fillId="0" borderId="0" xfId="6" applyFont="1" applyBorder="1" applyAlignment="1" applyProtection="1">
      <alignment vertical="center"/>
      <protection locked="0"/>
    </xf>
    <xf numFmtId="0" fontId="44" fillId="0" borderId="0" xfId="6" applyFont="1" applyBorder="1" applyAlignment="1">
      <alignment vertical="center"/>
      <protection locked="0"/>
    </xf>
    <xf numFmtId="0" fontId="44" fillId="0" borderId="0" xfId="12" applyFont="1"/>
    <xf numFmtId="43" fontId="56" fillId="0" borderId="0" xfId="1" applyFont="1" applyFill="1" applyBorder="1" applyAlignment="1" applyProtection="1">
      <alignment horizontal="center" vertical="center" wrapText="1"/>
    </xf>
    <xf numFmtId="43" fontId="56" fillId="0" borderId="0" xfId="1" applyFont="1" applyFill="1" applyBorder="1" applyAlignment="1" applyProtection="1">
      <alignment horizontal="center" vertical="center"/>
    </xf>
    <xf numFmtId="0" fontId="11" fillId="0" borderId="0" xfId="15" applyFont="1" applyFill="1" applyBorder="1" applyAlignment="1" applyProtection="1">
      <alignment vertical="center"/>
      <protection locked="0"/>
    </xf>
    <xf numFmtId="43" fontId="53" fillId="3" borderId="1" xfId="6" applyNumberFormat="1" applyFont="1" applyFill="1" applyBorder="1" applyAlignment="1" applyProtection="1">
      <alignment horizontal="center" vertical="center" wrapText="1"/>
    </xf>
    <xf numFmtId="0" fontId="12" fillId="0" borderId="0" xfId="15" applyFont="1" applyAlignment="1">
      <alignment horizontal="left" vertical="center"/>
    </xf>
    <xf numFmtId="0" fontId="44" fillId="0" borderId="0" xfId="15" applyFont="1" applyAlignment="1">
      <alignment horizontal="left" vertical="center"/>
    </xf>
    <xf numFmtId="0" fontId="0" fillId="0" borderId="0" xfId="0" applyAlignment="1" applyProtection="1">
      <protection locked="0"/>
    </xf>
    <xf numFmtId="0" fontId="44" fillId="0" borderId="0" xfId="6" applyFont="1" applyAlignment="1">
      <alignment horizontal="left" vertical="center" wrapText="1"/>
      <protection locked="0"/>
    </xf>
    <xf numFmtId="0" fontId="53" fillId="0" borderId="0" xfId="6" applyNumberFormat="1" applyFont="1" applyFill="1" applyBorder="1" applyAlignment="1" applyProtection="1">
      <alignment vertical="center"/>
    </xf>
    <xf numFmtId="0" fontId="13" fillId="0" borderId="0" xfId="11" applyFont="1" applyBorder="1" applyAlignment="1">
      <alignment vertical="center"/>
      <protection locked="0"/>
    </xf>
    <xf numFmtId="0" fontId="42" fillId="0" borderId="0" xfId="14" applyFont="1" applyFill="1" applyAlignment="1">
      <alignment vertical="center"/>
    </xf>
    <xf numFmtId="0" fontId="29" fillId="0" borderId="0" xfId="14" applyFont="1" applyFill="1" applyAlignment="1">
      <alignment vertical="center"/>
    </xf>
    <xf numFmtId="0" fontId="68" fillId="0" borderId="0" xfId="14" applyFont="1" applyFill="1" applyAlignment="1">
      <alignment vertical="center"/>
    </xf>
    <xf numFmtId="0" fontId="69" fillId="0" borderId="0" xfId="14" applyFont="1" applyFill="1" applyAlignment="1">
      <alignment vertical="center"/>
    </xf>
    <xf numFmtId="0" fontId="70" fillId="0" borderId="0" xfId="14" applyFont="1" applyFill="1" applyAlignment="1">
      <alignment vertical="center"/>
    </xf>
    <xf numFmtId="0" fontId="11" fillId="0" borderId="0" xfId="18" applyFont="1" applyFill="1" applyBorder="1" applyAlignment="1">
      <alignment horizontal="left" vertical="center"/>
    </xf>
    <xf numFmtId="0" fontId="71" fillId="0" borderId="0" xfId="18" applyFont="1" applyFill="1" applyBorder="1" applyAlignment="1">
      <alignment horizontal="left" vertical="center"/>
    </xf>
    <xf numFmtId="0" fontId="12" fillId="0" borderId="0" xfId="17" applyFont="1" applyFill="1" applyBorder="1" applyAlignment="1">
      <alignment vertical="center"/>
    </xf>
    <xf numFmtId="0" fontId="68" fillId="0" borderId="0" xfId="14" applyFont="1" applyFill="1">
      <alignment vertical="center"/>
    </xf>
    <xf numFmtId="0" fontId="18" fillId="0" borderId="1" xfId="12" applyFont="1" applyBorder="1" applyAlignment="1" applyProtection="1">
      <alignment horizontal="center" vertical="center"/>
    </xf>
    <xf numFmtId="0" fontId="18" fillId="0" borderId="1" xfId="12" applyFont="1" applyBorder="1" applyAlignment="1" applyProtection="1">
      <alignment horizontal="left" vertical="center"/>
    </xf>
    <xf numFmtId="49" fontId="12" fillId="0" borderId="1" xfId="14" applyNumberFormat="1" applyFont="1" applyBorder="1" applyAlignment="1" applyProtection="1">
      <alignment horizontal="center" vertical="center"/>
      <protection locked="0"/>
    </xf>
    <xf numFmtId="0" fontId="18" fillId="0" borderId="1" xfId="12" applyFont="1" applyBorder="1" applyAlignment="1">
      <alignment horizontal="center" vertical="center"/>
    </xf>
    <xf numFmtId="0" fontId="18" fillId="0" borderId="1" xfId="12" applyFont="1" applyBorder="1" applyAlignment="1">
      <alignment horizontal="left" vertical="center"/>
    </xf>
    <xf numFmtId="0" fontId="13" fillId="0" borderId="1" xfId="13" applyFont="1" applyFill="1" applyBorder="1" applyAlignment="1">
      <alignment horizontal="left" vertical="center" wrapText="1"/>
    </xf>
    <xf numFmtId="0" fontId="13" fillId="0" borderId="1" xfId="13" applyFont="1" applyFill="1" applyBorder="1" applyAlignment="1">
      <alignment horizontal="left" vertical="center"/>
    </xf>
    <xf numFmtId="0" fontId="12" fillId="0" borderId="1" xfId="6" applyFont="1" applyBorder="1" applyAlignment="1" applyProtection="1">
      <alignment horizontal="left" vertical="center" wrapText="1"/>
      <protection locked="0"/>
    </xf>
    <xf numFmtId="0" fontId="18" fillId="0" borderId="0" xfId="12" applyFont="1" applyAlignment="1">
      <alignment horizontal="left" vertical="center"/>
    </xf>
    <xf numFmtId="0" fontId="18" fillId="0" borderId="1" xfId="12" applyFont="1" applyBorder="1" applyAlignment="1">
      <alignment horizontal="left" vertical="center" wrapText="1"/>
    </xf>
    <xf numFmtId="49" fontId="13" fillId="3" borderId="1" xfId="13" applyNumberFormat="1" applyFont="1" applyFill="1" applyBorder="1" applyAlignment="1">
      <alignment horizontal="center" vertical="center"/>
    </xf>
    <xf numFmtId="0" fontId="44" fillId="0" borderId="0" xfId="16" applyNumberFormat="1" applyFont="1" applyFill="1" applyBorder="1" applyAlignment="1">
      <alignment vertical="center"/>
    </xf>
    <xf numFmtId="0" fontId="44" fillId="0" borderId="0" xfId="0" applyFont="1" applyAlignment="1" applyProtection="1">
      <alignment horizontal="left"/>
      <protection locked="0"/>
    </xf>
    <xf numFmtId="0" fontId="13" fillId="0" borderId="0" xfId="6" applyFont="1" applyBorder="1" applyAlignment="1" applyProtection="1">
      <alignment horizontal="left" vertical="center"/>
      <protection locked="0"/>
    </xf>
    <xf numFmtId="0" fontId="13" fillId="0" borderId="0" xfId="6" applyFont="1" applyBorder="1" applyAlignment="1" applyProtection="1">
      <alignment vertical="center"/>
      <protection locked="0"/>
    </xf>
    <xf numFmtId="43" fontId="11" fillId="0" borderId="1" xfId="1" applyFont="1" applyBorder="1" applyAlignment="1" applyProtection="1">
      <alignment horizontal="right" vertical="center" wrapText="1"/>
      <protection locked="0"/>
    </xf>
    <xf numFmtId="43" fontId="11" fillId="0" borderId="1" xfId="1" applyFont="1" applyFill="1" applyBorder="1" applyAlignment="1" applyProtection="1">
      <alignment horizontal="right" vertical="center" wrapText="1"/>
      <protection locked="0"/>
    </xf>
    <xf numFmtId="14" fontId="11" fillId="0" borderId="1" xfId="6" applyNumberFormat="1" applyFont="1" applyBorder="1" applyAlignment="1" applyProtection="1">
      <alignment horizontal="center" vertical="center" wrapText="1"/>
      <protection locked="0"/>
    </xf>
    <xf numFmtId="43" fontId="11" fillId="0" borderId="1" xfId="1" applyFont="1" applyBorder="1" applyAlignment="1" applyProtection="1">
      <alignment vertical="center" wrapText="1"/>
      <protection locked="0"/>
    </xf>
    <xf numFmtId="176" fontId="25" fillId="0" borderId="0" xfId="9" applyNumberFormat="1" applyFill="1" applyAlignment="1" applyProtection="1">
      <alignment vertical="center"/>
    </xf>
    <xf numFmtId="176" fontId="72" fillId="0" borderId="0" xfId="9" applyNumberFormat="1" applyFont="1" applyFill="1" applyAlignment="1" applyProtection="1">
      <alignment vertical="center"/>
    </xf>
    <xf numFmtId="176" fontId="25" fillId="0" borderId="0" xfId="9" applyNumberFormat="1" applyFont="1" applyFill="1" applyAlignment="1" applyProtection="1">
      <alignment vertical="center"/>
    </xf>
    <xf numFmtId="176" fontId="43" fillId="0" borderId="0" xfId="4" applyFont="1" applyFill="1" applyAlignment="1" applyProtection="1">
      <alignment horizontal="left" vertical="center"/>
      <protection locked="0"/>
    </xf>
    <xf numFmtId="0" fontId="11" fillId="0" borderId="1" xfId="6" applyFont="1" applyBorder="1" applyAlignment="1" applyProtection="1">
      <alignment horizontal="left" vertical="center" wrapText="1"/>
      <protection locked="0"/>
    </xf>
    <xf numFmtId="43" fontId="11" fillId="0" borderId="1" xfId="6" applyNumberFormat="1" applyFont="1" applyBorder="1" applyAlignment="1" applyProtection="1">
      <alignment horizontal="center" vertical="center" wrapText="1"/>
      <protection locked="0"/>
    </xf>
    <xf numFmtId="0" fontId="6" fillId="0" borderId="1" xfId="12" applyFont="1" applyBorder="1" applyAlignment="1" applyProtection="1">
      <alignment horizontal="left" vertical="center"/>
    </xf>
    <xf numFmtId="0" fontId="6" fillId="0" borderId="1" xfId="12" applyFont="1" applyBorder="1" applyAlignment="1">
      <alignment horizontal="left" vertical="center"/>
    </xf>
    <xf numFmtId="0" fontId="73" fillId="0" borderId="1" xfId="9" applyFont="1" applyBorder="1" applyAlignment="1" applyProtection="1">
      <alignment horizontal="left" vertical="center"/>
    </xf>
    <xf numFmtId="0" fontId="14" fillId="0" borderId="1" xfId="13" applyFont="1" applyFill="1" applyBorder="1" applyAlignment="1">
      <alignment horizontal="left" vertical="center"/>
    </xf>
    <xf numFmtId="0" fontId="11" fillId="0" borderId="1" xfId="13" applyFont="1" applyFill="1" applyBorder="1" applyAlignment="1">
      <alignment horizontal="left" vertical="center"/>
    </xf>
    <xf numFmtId="49" fontId="14" fillId="0" borderId="1" xfId="13" applyNumberFormat="1" applyFont="1" applyFill="1" applyBorder="1" applyAlignment="1">
      <alignment horizontal="left" vertical="center"/>
    </xf>
    <xf numFmtId="0" fontId="35" fillId="0" borderId="1" xfId="12" applyFont="1" applyBorder="1" applyAlignment="1">
      <alignment horizontal="left" vertical="center" wrapText="1"/>
    </xf>
    <xf numFmtId="0" fontId="56" fillId="0" borderId="1" xfId="6" applyNumberFormat="1" applyFont="1" applyFill="1" applyBorder="1" applyAlignment="1" applyProtection="1">
      <alignment horizontal="center" vertical="center" wrapText="1"/>
    </xf>
    <xf numFmtId="0" fontId="56" fillId="0" borderId="1" xfId="6" applyNumberFormat="1" applyFont="1" applyFill="1" applyBorder="1" applyAlignment="1" applyProtection="1">
      <alignment horizontal="center" vertical="center"/>
    </xf>
    <xf numFmtId="14" fontId="56" fillId="0" borderId="1" xfId="6" applyNumberFormat="1" applyFont="1" applyFill="1" applyBorder="1" applyAlignment="1" applyProtection="1">
      <alignment horizontal="center" vertical="center" wrapText="1"/>
    </xf>
    <xf numFmtId="0" fontId="55" fillId="0" borderId="7" xfId="6" applyNumberFormat="1" applyFont="1" applyFill="1" applyBorder="1" applyAlignment="1" applyProtection="1">
      <alignment vertical="center" wrapText="1"/>
    </xf>
    <xf numFmtId="0" fontId="53" fillId="0" borderId="8" xfId="6" applyNumberFormat="1" applyFont="1" applyFill="1" applyBorder="1" applyAlignment="1" applyProtection="1">
      <alignment vertical="center"/>
    </xf>
    <xf numFmtId="0" fontId="58" fillId="0" borderId="8" xfId="6" applyNumberFormat="1" applyFont="1" applyFill="1" applyBorder="1" applyAlignment="1" applyProtection="1">
      <alignment horizontal="left" vertical="center"/>
    </xf>
    <xf numFmtId="0" fontId="55" fillId="0" borderId="8" xfId="6" applyNumberFormat="1" applyFont="1" applyFill="1" applyBorder="1" applyAlignment="1" applyProtection="1">
      <alignment horizontal="center" vertical="center" wrapText="1"/>
    </xf>
    <xf numFmtId="0" fontId="75" fillId="3" borderId="1" xfId="6" applyNumberFormat="1" applyFont="1" applyFill="1" applyBorder="1" applyAlignment="1" applyProtection="1">
      <alignment horizontal="center" vertical="center" wrapText="1"/>
    </xf>
    <xf numFmtId="0" fontId="56" fillId="0" borderId="0" xfId="6" applyNumberFormat="1" applyFont="1" applyFill="1" applyBorder="1" applyAlignment="1" applyProtection="1">
      <alignment horizontal="center" vertical="center" wrapText="1"/>
    </xf>
    <xf numFmtId="0" fontId="56" fillId="0" borderId="0" xfId="6" applyNumberFormat="1" applyFont="1" applyFill="1" applyBorder="1" applyAlignment="1" applyProtection="1">
      <alignment horizontal="center" vertical="center"/>
    </xf>
    <xf numFmtId="49" fontId="11" fillId="0" borderId="1" xfId="14" applyNumberFormat="1" applyFont="1" applyBorder="1" applyAlignment="1" applyProtection="1">
      <alignment horizontal="center" vertical="center"/>
      <protection locked="0"/>
    </xf>
    <xf numFmtId="0" fontId="44" fillId="0" borderId="0" xfId="11" applyFont="1" applyBorder="1" applyAlignment="1">
      <alignment vertical="center"/>
      <protection locked="0"/>
    </xf>
    <xf numFmtId="0" fontId="70" fillId="0" borderId="0" xfId="14" applyFont="1" applyFill="1">
      <alignment vertical="center"/>
    </xf>
    <xf numFmtId="0" fontId="11" fillId="0" borderId="1" xfId="6" applyFont="1" applyBorder="1" applyAlignment="1">
      <alignment vertical="center"/>
      <protection locked="0"/>
    </xf>
    <xf numFmtId="0" fontId="11" fillId="3" borderId="1" xfId="6" applyFont="1" applyFill="1" applyBorder="1" applyAlignment="1">
      <alignment vertical="center"/>
      <protection locked="0"/>
    </xf>
    <xf numFmtId="0" fontId="11" fillId="0" borderId="1" xfId="6" applyFont="1" applyBorder="1" applyAlignment="1">
      <alignment horizontal="center" vertical="center"/>
      <protection locked="0"/>
    </xf>
    <xf numFmtId="0" fontId="11" fillId="3" borderId="1" xfId="6" applyFont="1" applyFill="1" applyBorder="1" applyAlignment="1">
      <alignment horizontal="center" vertical="center"/>
      <protection locked="0"/>
    </xf>
    <xf numFmtId="0" fontId="53" fillId="0" borderId="0" xfId="6" applyNumberFormat="1" applyFont="1" applyFill="1" applyBorder="1" applyAlignment="1" applyProtection="1">
      <alignment vertical="center" wrapText="1"/>
    </xf>
    <xf numFmtId="0" fontId="11" fillId="0" borderId="0" xfId="6" applyFont="1" applyBorder="1" applyAlignment="1">
      <alignment horizontal="center" vertical="center"/>
      <protection locked="0"/>
    </xf>
    <xf numFmtId="0" fontId="43" fillId="8" borderId="0" xfId="6" applyFont="1" applyFill="1" applyBorder="1" applyAlignment="1">
      <alignment horizontal="left" vertical="center"/>
      <protection locked="0"/>
    </xf>
    <xf numFmtId="0" fontId="11" fillId="0" borderId="0" xfId="6" applyFont="1" applyAlignment="1">
      <alignment horizontal="center" vertical="center"/>
      <protection locked="0"/>
    </xf>
    <xf numFmtId="14" fontId="11" fillId="0" borderId="0" xfId="6" applyNumberFormat="1" applyFont="1" applyBorder="1" applyAlignment="1">
      <alignment horizontal="center" vertical="center"/>
      <protection locked="0"/>
    </xf>
    <xf numFmtId="0" fontId="29" fillId="0" borderId="0" xfId="6" applyFont="1" applyAlignment="1">
      <alignment horizontal="center" vertical="center"/>
      <protection locked="0"/>
    </xf>
    <xf numFmtId="43" fontId="76" fillId="0" borderId="1" xfId="1" applyFont="1" applyFill="1" applyBorder="1" applyAlignment="1">
      <alignment vertical="center"/>
    </xf>
    <xf numFmtId="0" fontId="76" fillId="0" borderId="1" xfId="20" applyFont="1" applyFill="1" applyBorder="1" applyAlignment="1">
      <alignment horizontal="center" vertical="center"/>
    </xf>
    <xf numFmtId="0" fontId="14" fillId="0" borderId="9" xfId="6" applyFont="1" applyBorder="1" applyAlignment="1">
      <alignment vertical="center"/>
      <protection locked="0"/>
    </xf>
    <xf numFmtId="0" fontId="11" fillId="0" borderId="0" xfId="6" applyFont="1" applyBorder="1" applyAlignment="1">
      <alignment vertical="center" wrapText="1"/>
      <protection locked="0"/>
    </xf>
    <xf numFmtId="14" fontId="11" fillId="0" borderId="13" xfId="6" applyNumberFormat="1" applyFont="1" applyBorder="1" applyAlignment="1">
      <alignment horizontal="center" vertical="center"/>
      <protection locked="0"/>
    </xf>
    <xf numFmtId="0" fontId="11" fillId="0" borderId="14" xfId="6" applyFont="1" applyFill="1" applyBorder="1" applyAlignment="1">
      <alignment horizontal="left" vertical="center"/>
      <protection locked="0"/>
    </xf>
    <xf numFmtId="0" fontId="11" fillId="0" borderId="8" xfId="6" applyFont="1" applyFill="1" applyBorder="1" applyAlignment="1">
      <alignment horizontal="left" vertical="center"/>
      <protection locked="0"/>
    </xf>
    <xf numFmtId="0" fontId="11" fillId="0" borderId="8" xfId="6" applyFont="1" applyFill="1" applyBorder="1" applyAlignment="1">
      <alignment horizontal="center" vertical="center"/>
      <protection locked="0"/>
    </xf>
    <xf numFmtId="0" fontId="11" fillId="0" borderId="15" xfId="6" applyFont="1" applyFill="1" applyBorder="1" applyAlignment="1">
      <alignment horizontal="center" vertical="center"/>
      <protection locked="0"/>
    </xf>
    <xf numFmtId="0" fontId="76" fillId="3" borderId="1" xfId="20" applyFont="1" applyFill="1" applyBorder="1" applyAlignment="1">
      <alignment horizontal="center" vertical="center"/>
    </xf>
    <xf numFmtId="0" fontId="76" fillId="3" borderId="1" xfId="20" applyFont="1" applyFill="1" applyBorder="1" applyAlignment="1">
      <alignment vertical="center"/>
    </xf>
    <xf numFmtId="0" fontId="76" fillId="3" borderId="1" xfId="20" applyFont="1" applyFill="1" applyBorder="1" applyAlignment="1">
      <alignment horizontal="center" vertical="center" wrapText="1"/>
    </xf>
    <xf numFmtId="43" fontId="76" fillId="3" borderId="1" xfId="1" applyFont="1" applyFill="1" applyBorder="1" applyAlignment="1">
      <alignment vertical="center"/>
    </xf>
    <xf numFmtId="43" fontId="76" fillId="3" borderId="1" xfId="1" applyFont="1" applyFill="1" applyBorder="1" applyAlignment="1">
      <alignment horizontal="center" vertical="center" wrapText="1"/>
    </xf>
    <xf numFmtId="0" fontId="11" fillId="0" borderId="0" xfId="6" applyFont="1" applyFill="1" applyAlignment="1">
      <alignment vertical="center"/>
      <protection locked="0"/>
    </xf>
    <xf numFmtId="43" fontId="11" fillId="0" borderId="1" xfId="6" applyNumberFormat="1" applyFont="1" applyFill="1" applyBorder="1" applyAlignment="1" applyProtection="1">
      <alignment horizontal="left" vertical="center" wrapText="1"/>
      <protection locked="0"/>
    </xf>
    <xf numFmtId="0" fontId="14" fillId="0" borderId="0" xfId="6" applyFont="1" applyFill="1" applyBorder="1" applyAlignment="1" applyProtection="1">
      <alignment horizontal="left" vertical="center"/>
      <protection locked="0"/>
    </xf>
    <xf numFmtId="0" fontId="11" fillId="0" borderId="0" xfId="6" applyFont="1" applyFill="1" applyBorder="1" applyAlignment="1" applyProtection="1">
      <alignment vertical="center"/>
      <protection locked="0"/>
    </xf>
    <xf numFmtId="0" fontId="11" fillId="0" borderId="0" xfId="6" applyFont="1" applyFill="1" applyBorder="1" applyAlignment="1">
      <alignment vertical="center"/>
      <protection locked="0"/>
    </xf>
    <xf numFmtId="0" fontId="11" fillId="0" borderId="0" xfId="6" applyFont="1" applyFill="1" applyAlignment="1">
      <alignment vertical="center" wrapText="1"/>
      <protection locked="0"/>
    </xf>
    <xf numFmtId="0" fontId="26" fillId="0" borderId="0" xfId="6" applyFont="1" applyFill="1" applyAlignment="1">
      <alignment vertical="center"/>
      <protection locked="0"/>
    </xf>
    <xf numFmtId="0" fontId="29" fillId="0" borderId="0" xfId="6" applyFont="1" applyFill="1" applyAlignment="1">
      <alignment vertical="center"/>
      <protection locked="0"/>
    </xf>
    <xf numFmtId="0" fontId="14" fillId="3" borderId="1" xfId="14" applyFont="1" applyFill="1" applyBorder="1" applyAlignment="1">
      <alignment horizontal="center" vertical="center" wrapText="1"/>
    </xf>
    <xf numFmtId="0" fontId="14" fillId="3" borderId="1" xfId="17" applyFont="1" applyFill="1" applyBorder="1" applyAlignment="1">
      <alignment horizontal="center" vertical="center" wrapText="1"/>
    </xf>
    <xf numFmtId="0" fontId="11" fillId="5" borderId="0" xfId="6" applyFont="1" applyFill="1" applyBorder="1" applyAlignment="1">
      <alignment horizontal="justify" vertical="center" wrapText="1"/>
      <protection locked="0"/>
    </xf>
    <xf numFmtId="0" fontId="8" fillId="0" borderId="0" xfId="12" applyFont="1" applyAlignment="1" applyProtection="1">
      <alignment horizontal="centerContinuous" vertical="center"/>
      <protection locked="0"/>
    </xf>
    <xf numFmtId="0" fontId="6" fillId="0" borderId="1" xfId="12" applyFont="1" applyBorder="1" applyAlignment="1" applyProtection="1">
      <alignment horizontal="center" vertical="center"/>
    </xf>
    <xf numFmtId="0" fontId="6" fillId="0" borderId="1" xfId="12" applyFont="1" applyBorder="1" applyAlignment="1">
      <alignment horizontal="center" vertical="center"/>
    </xf>
    <xf numFmtId="0" fontId="14" fillId="0" borderId="1" xfId="13" applyFont="1" applyFill="1" applyBorder="1" applyAlignment="1">
      <alignment horizontal="center" vertical="center"/>
    </xf>
    <xf numFmtId="43" fontId="11" fillId="3" borderId="1" xfId="6" applyNumberFormat="1" applyFont="1" applyFill="1" applyBorder="1" applyAlignment="1" applyProtection="1">
      <alignment horizontal="center" vertical="center" wrapText="1"/>
      <protection locked="0"/>
    </xf>
    <xf numFmtId="43" fontId="11" fillId="0" borderId="1" xfId="6" applyNumberFormat="1" applyFont="1" applyFill="1" applyBorder="1" applyAlignment="1" applyProtection="1">
      <alignment horizontal="center" vertical="center" wrapText="1"/>
      <protection locked="0"/>
    </xf>
    <xf numFmtId="0" fontId="11" fillId="0" borderId="0" xfId="15" applyFont="1" applyAlignment="1">
      <alignment horizontal="left" vertical="center"/>
    </xf>
    <xf numFmtId="0" fontId="43" fillId="0" borderId="0" xfId="15" applyFont="1" applyAlignment="1">
      <alignment horizontal="left" vertical="center"/>
    </xf>
    <xf numFmtId="0" fontId="7" fillId="0" borderId="0" xfId="0" applyFont="1" applyAlignment="1" applyProtection="1">
      <protection locked="0"/>
    </xf>
    <xf numFmtId="0" fontId="43" fillId="0" borderId="0" xfId="6" applyFont="1" applyAlignment="1">
      <alignment horizontal="left" vertical="center"/>
      <protection locked="0"/>
    </xf>
    <xf numFmtId="43" fontId="11" fillId="0" borderId="1" xfId="1" applyFont="1" applyFill="1" applyBorder="1" applyAlignment="1" applyProtection="1">
      <alignment horizontal="left" vertical="center" wrapText="1"/>
      <protection locked="0"/>
    </xf>
    <xf numFmtId="43" fontId="11" fillId="3" borderId="1" xfId="1" applyFont="1" applyFill="1" applyBorder="1" applyAlignment="1" applyProtection="1">
      <alignment horizontal="center" vertical="center" wrapText="1"/>
      <protection locked="0"/>
    </xf>
    <xf numFmtId="43" fontId="12" fillId="0" borderId="1" xfId="6" applyNumberFormat="1" applyFont="1" applyBorder="1" applyAlignment="1" applyProtection="1">
      <alignment horizontal="left" vertical="center" wrapText="1"/>
      <protection locked="0"/>
    </xf>
    <xf numFmtId="43" fontId="11" fillId="0" borderId="1" xfId="6" applyNumberFormat="1" applyFont="1" applyBorder="1" applyAlignment="1" applyProtection="1">
      <alignment horizontal="left" vertical="center" wrapText="1"/>
      <protection locked="0"/>
    </xf>
    <xf numFmtId="0" fontId="11" fillId="3" borderId="1" xfId="6" applyFont="1" applyFill="1" applyBorder="1" applyAlignment="1" applyProtection="1">
      <alignment vertical="center"/>
      <protection locked="0"/>
    </xf>
    <xf numFmtId="43" fontId="11" fillId="0" borderId="7" xfId="6" applyNumberFormat="1" applyFont="1" applyFill="1" applyBorder="1" applyAlignment="1" applyProtection="1">
      <alignment horizontal="left" vertical="center" wrapText="1"/>
      <protection locked="0"/>
    </xf>
    <xf numFmtId="0" fontId="11" fillId="0" borderId="7" xfId="6" applyFont="1" applyFill="1" applyBorder="1" applyAlignment="1" applyProtection="1">
      <alignment vertical="center"/>
      <protection locked="0"/>
    </xf>
    <xf numFmtId="0" fontId="11" fillId="0" borderId="7" xfId="6" applyFont="1" applyFill="1" applyBorder="1" applyAlignment="1" applyProtection="1">
      <alignment horizontal="left" vertical="center"/>
      <protection locked="0"/>
    </xf>
    <xf numFmtId="0" fontId="13" fillId="0" borderId="7" xfId="6" applyFont="1" applyFill="1" applyBorder="1" applyAlignment="1" applyProtection="1">
      <alignment vertical="center"/>
      <protection locked="0"/>
    </xf>
    <xf numFmtId="43" fontId="11" fillId="0" borderId="1" xfId="1" applyFont="1" applyFill="1" applyBorder="1" applyAlignment="1" applyProtection="1">
      <alignment horizontal="left" vertical="center"/>
      <protection locked="0"/>
    </xf>
    <xf numFmtId="43" fontId="11" fillId="0" borderId="1" xfId="1" applyFont="1" applyBorder="1" applyAlignment="1" applyProtection="1">
      <alignment horizontal="left" vertical="center" wrapText="1"/>
      <protection locked="0"/>
    </xf>
    <xf numFmtId="43" fontId="11" fillId="0" borderId="1" xfId="1" applyFont="1" applyFill="1" applyBorder="1" applyAlignment="1" applyProtection="1">
      <alignment horizontal="center" vertical="center"/>
      <protection locked="0"/>
    </xf>
    <xf numFmtId="43" fontId="11" fillId="3" borderId="1" xfId="1" applyFont="1" applyFill="1" applyBorder="1" applyAlignment="1" applyProtection="1">
      <alignment horizontal="left" vertical="center"/>
      <protection locked="0"/>
    </xf>
    <xf numFmtId="10" fontId="11" fillId="3" borderId="1" xfId="2" applyNumberFormat="1" applyFont="1" applyFill="1" applyBorder="1" applyAlignment="1" applyProtection="1">
      <alignment horizontal="right" vertical="center"/>
      <protection locked="0"/>
    </xf>
    <xf numFmtId="0" fontId="12" fillId="3" borderId="1" xfId="6" applyFont="1" applyFill="1" applyBorder="1" applyAlignment="1" applyProtection="1">
      <alignment vertical="center"/>
      <protection locked="0"/>
    </xf>
    <xf numFmtId="0" fontId="11" fillId="3" borderId="1" xfId="6" applyFont="1" applyFill="1" applyBorder="1" applyAlignment="1" applyProtection="1">
      <alignment horizontal="left" vertical="center"/>
      <protection locked="0"/>
    </xf>
    <xf numFmtId="0" fontId="14" fillId="3" borderId="1" xfId="6" applyFont="1" applyFill="1" applyBorder="1" applyAlignment="1" applyProtection="1">
      <alignment horizontal="left" vertical="center"/>
      <protection locked="0"/>
    </xf>
    <xf numFmtId="43" fontId="13" fillId="0" borderId="7" xfId="6" applyNumberFormat="1" applyFont="1" applyBorder="1" applyAlignment="1" applyProtection="1">
      <alignment horizontal="left" vertical="center" wrapText="1"/>
      <protection locked="0"/>
    </xf>
    <xf numFmtId="0" fontId="12" fillId="0" borderId="0" xfId="11" applyFont="1" applyBorder="1" applyAlignment="1">
      <alignment horizontal="right" vertical="center"/>
      <protection locked="0"/>
    </xf>
    <xf numFmtId="0" fontId="11" fillId="0" borderId="0" xfId="11" applyFont="1" applyBorder="1" applyAlignment="1">
      <alignment horizontal="right" vertical="center"/>
      <protection locked="0"/>
    </xf>
    <xf numFmtId="0" fontId="14" fillId="3" borderId="5" xfId="6" applyFont="1" applyFill="1" applyBorder="1" applyAlignment="1" applyProtection="1">
      <alignment horizontal="center" vertical="center" wrapText="1"/>
      <protection locked="0"/>
    </xf>
    <xf numFmtId="0" fontId="11" fillId="0" borderId="0" xfId="6" applyFont="1" applyAlignment="1">
      <alignment horizontal="right" vertical="center"/>
      <protection locked="0"/>
    </xf>
    <xf numFmtId="43" fontId="11" fillId="0" borderId="0" xfId="8" applyNumberFormat="1" applyFont="1" applyBorder="1" applyAlignment="1">
      <alignment horizontal="right" vertical="center"/>
    </xf>
    <xf numFmtId="0" fontId="14" fillId="3" borderId="5" xfId="6" applyFont="1" applyFill="1" applyBorder="1" applyAlignment="1">
      <alignment horizontal="center" vertical="center" wrapText="1"/>
      <protection locked="0"/>
    </xf>
    <xf numFmtId="0" fontId="14" fillId="3" borderId="5" xfId="6" applyFont="1" applyFill="1" applyBorder="1" applyAlignment="1">
      <alignment horizontal="center" vertical="center"/>
      <protection locked="0"/>
    </xf>
    <xf numFmtId="0" fontId="14" fillId="3" borderId="1" xfId="6" applyFont="1" applyFill="1" applyBorder="1" applyAlignment="1">
      <alignment horizontal="center" vertical="center" wrapText="1"/>
      <protection locked="0"/>
    </xf>
    <xf numFmtId="0" fontId="11" fillId="0" borderId="0" xfId="6" applyFont="1" applyBorder="1" applyAlignment="1">
      <alignment horizontal="right" vertical="center"/>
      <protection locked="0"/>
    </xf>
    <xf numFmtId="0" fontId="75" fillId="0" borderId="0" xfId="6" applyNumberFormat="1" applyFont="1" applyFill="1" applyBorder="1" applyAlignment="1" applyProtection="1">
      <alignment vertical="center" wrapText="1"/>
    </xf>
    <xf numFmtId="0" fontId="70" fillId="0" borderId="0" xfId="0" applyFont="1" applyAlignment="1" applyProtection="1">
      <alignment horizontal="left"/>
      <protection locked="0"/>
    </xf>
    <xf numFmtId="0" fontId="79" fillId="4" borderId="1" xfId="6" applyNumberFormat="1" applyFont="1" applyFill="1" applyBorder="1" applyAlignment="1" applyProtection="1">
      <alignment horizontal="center" vertical="center" wrapText="1"/>
    </xf>
    <xf numFmtId="0" fontId="80" fillId="4" borderId="1" xfId="6" applyNumberFormat="1" applyFont="1" applyFill="1" applyBorder="1" applyAlignment="1" applyProtection="1">
      <alignment horizontal="center" vertical="center"/>
    </xf>
    <xf numFmtId="0" fontId="13" fillId="4" borderId="1" xfId="6" applyNumberFormat="1" applyFont="1" applyFill="1" applyBorder="1" applyAlignment="1" applyProtection="1">
      <alignment horizontal="center" vertical="center"/>
    </xf>
    <xf numFmtId="0" fontId="79" fillId="3" borderId="1" xfId="6" applyNumberFormat="1" applyFont="1" applyFill="1" applyBorder="1" applyAlignment="1" applyProtection="1">
      <alignment horizontal="center" vertical="center" wrapText="1"/>
    </xf>
    <xf numFmtId="43" fontId="79" fillId="3" borderId="1" xfId="1" applyFont="1" applyFill="1" applyBorder="1" applyAlignment="1" applyProtection="1">
      <alignment horizontal="center" vertical="center" wrapText="1"/>
    </xf>
    <xf numFmtId="0" fontId="79" fillId="3" borderId="1" xfId="6" applyNumberFormat="1" applyFont="1" applyFill="1" applyBorder="1" applyAlignment="1" applyProtection="1">
      <alignment horizontal="center" vertical="center"/>
    </xf>
    <xf numFmtId="43" fontId="79" fillId="3" borderId="1" xfId="1" applyFont="1" applyFill="1" applyBorder="1" applyAlignment="1" applyProtection="1">
      <alignment horizontal="center" vertical="center"/>
    </xf>
    <xf numFmtId="0" fontId="79" fillId="0" borderId="0" xfId="6" applyNumberFormat="1" applyFont="1" applyFill="1" applyBorder="1" applyAlignment="1" applyProtection="1">
      <alignment horizontal="center" vertical="center"/>
    </xf>
    <xf numFmtId="0" fontId="55" fillId="0" borderId="1" xfId="6" applyNumberFormat="1" applyFont="1" applyFill="1" applyBorder="1" applyAlignment="1" applyProtection="1">
      <alignment horizontal="left" vertical="center"/>
    </xf>
    <xf numFmtId="0" fontId="56" fillId="0" borderId="1" xfId="6" applyNumberFormat="1" applyFont="1" applyFill="1" applyBorder="1" applyAlignment="1" applyProtection="1">
      <alignment horizontal="left" vertical="center"/>
    </xf>
    <xf numFmtId="0" fontId="80" fillId="0" borderId="0" xfId="6" applyNumberFormat="1" applyFont="1" applyFill="1" applyBorder="1" applyAlignment="1" applyProtection="1">
      <alignment vertical="center" wrapText="1"/>
    </xf>
    <xf numFmtId="0" fontId="14" fillId="4" borderId="1" xfId="6" applyNumberFormat="1" applyFont="1" applyFill="1" applyBorder="1" applyAlignment="1" applyProtection="1">
      <alignment horizontal="center" vertical="center"/>
    </xf>
    <xf numFmtId="0" fontId="42" fillId="0" borderId="0" xfId="6" applyFont="1" applyBorder="1" applyAlignment="1">
      <alignment vertical="center"/>
      <protection locked="0"/>
    </xf>
    <xf numFmtId="0" fontId="43" fillId="0" borderId="0" xfId="0" applyFont="1" applyAlignment="1" applyProtection="1">
      <alignment horizontal="left"/>
      <protection locked="0"/>
    </xf>
    <xf numFmtId="0" fontId="12" fillId="0" borderId="0" xfId="11" applyFont="1" applyBorder="1" applyAlignment="1">
      <alignment horizontal="justify" vertical="center" wrapText="1"/>
      <protection locked="0"/>
    </xf>
    <xf numFmtId="0" fontId="83" fillId="0" borderId="0" xfId="14" applyFont="1" applyFill="1" applyAlignment="1">
      <alignment vertical="center"/>
    </xf>
    <xf numFmtId="0" fontId="0" fillId="0" borderId="0" xfId="0" applyAlignment="1">
      <alignment horizontal="center" vertical="center"/>
    </xf>
    <xf numFmtId="0" fontId="11" fillId="0" borderId="0" xfId="17" applyFont="1" applyFill="1" applyBorder="1" applyAlignment="1">
      <alignment horizontal="right" vertical="center"/>
    </xf>
    <xf numFmtId="0" fontId="12" fillId="6" borderId="1" xfId="17" applyFont="1" applyFill="1" applyBorder="1" applyAlignment="1">
      <alignment horizontal="center" vertical="center"/>
    </xf>
    <xf numFmtId="0" fontId="12" fillId="6" borderId="1" xfId="17" applyFont="1" applyFill="1" applyBorder="1">
      <alignment vertical="center"/>
    </xf>
    <xf numFmtId="0" fontId="7" fillId="0" borderId="0" xfId="0" applyFont="1">
      <alignment vertical="center"/>
    </xf>
    <xf numFmtId="0" fontId="85" fillId="0" borderId="0" xfId="0" applyFont="1">
      <alignment vertical="center"/>
    </xf>
    <xf numFmtId="0" fontId="14" fillId="0" borderId="7" xfId="11" applyFont="1" applyBorder="1" applyAlignment="1">
      <alignment vertical="center"/>
      <protection locked="0"/>
    </xf>
    <xf numFmtId="0" fontId="14" fillId="0" borderId="7" xfId="11" applyFont="1" applyBorder="1" applyAlignment="1">
      <alignment horizontal="center" vertical="center"/>
      <protection locked="0"/>
    </xf>
    <xf numFmtId="0" fontId="11" fillId="6" borderId="0" xfId="17" applyFont="1" applyFill="1" applyBorder="1" applyAlignment="1">
      <alignment vertical="center" wrapText="1"/>
    </xf>
    <xf numFmtId="0" fontId="11" fillId="6" borderId="0" xfId="17" applyFont="1" applyFill="1" applyBorder="1" applyAlignment="1">
      <alignment horizontal="center" vertical="center" wrapText="1"/>
    </xf>
    <xf numFmtId="43" fontId="12" fillId="0" borderId="0" xfId="8" applyNumberFormat="1" applyFont="1" applyBorder="1" applyAlignment="1">
      <alignment horizontal="right" vertical="center"/>
    </xf>
    <xf numFmtId="0" fontId="60" fillId="0" borderId="11" xfId="6" applyFont="1" applyBorder="1" applyAlignment="1">
      <alignment horizontal="center" vertical="center" wrapText="1"/>
      <protection locked="0"/>
    </xf>
    <xf numFmtId="0" fontId="25" fillId="0" borderId="11" xfId="9" applyBorder="1" applyAlignment="1">
      <alignment vertical="center"/>
      <protection locked="0"/>
    </xf>
    <xf numFmtId="43" fontId="86" fillId="0" borderId="0" xfId="9" applyNumberFormat="1" applyFont="1" applyBorder="1" applyAlignment="1" applyProtection="1">
      <alignment vertical="center"/>
    </xf>
    <xf numFmtId="43" fontId="26" fillId="0" borderId="0" xfId="9" applyNumberFormat="1" applyFont="1" applyBorder="1" applyAlignment="1" applyProtection="1">
      <alignment vertical="center"/>
    </xf>
    <xf numFmtId="0" fontId="26" fillId="0" borderId="0" xfId="9" applyFont="1" applyAlignment="1">
      <alignment vertical="center"/>
      <protection locked="0"/>
    </xf>
    <xf numFmtId="176" fontId="87" fillId="0" borderId="0" xfId="9" applyNumberFormat="1" applyFont="1" applyFill="1" applyBorder="1" applyAlignment="1" applyProtection="1">
      <alignment vertical="center" wrapText="1"/>
      <protection locked="0"/>
    </xf>
    <xf numFmtId="0" fontId="26" fillId="0" borderId="0" xfId="9" applyFont="1" applyBorder="1" applyAlignment="1">
      <alignment horizontal="justify" vertical="center" wrapText="1"/>
      <protection locked="0"/>
    </xf>
    <xf numFmtId="0" fontId="26" fillId="0" borderId="0" xfId="9" applyFont="1" applyBorder="1" applyAlignment="1">
      <alignment vertical="center"/>
      <protection locked="0"/>
    </xf>
    <xf numFmtId="0" fontId="26" fillId="0" borderId="0" xfId="9" applyFont="1" applyFill="1" applyBorder="1" applyAlignment="1" applyProtection="1">
      <alignment vertical="center"/>
    </xf>
    <xf numFmtId="14" fontId="76" fillId="0" borderId="1" xfId="20" applyNumberFormat="1" applyFont="1" applyFill="1" applyBorder="1" applyAlignment="1">
      <alignment horizontal="center" vertical="center"/>
    </xf>
    <xf numFmtId="43" fontId="12" fillId="0" borderId="1" xfId="6" applyNumberFormat="1" applyFont="1" applyFill="1" applyBorder="1" applyAlignment="1" applyProtection="1">
      <alignment horizontal="center" vertical="center" wrapText="1"/>
      <protection locked="0"/>
    </xf>
    <xf numFmtId="0" fontId="8" fillId="0" borderId="0" xfId="6" applyFont="1" applyBorder="1" applyAlignment="1">
      <alignment horizontal="center" vertical="center"/>
      <protection locked="0"/>
    </xf>
    <xf numFmtId="0" fontId="55" fillId="0" borderId="0" xfId="6" applyNumberFormat="1" applyFont="1" applyFill="1" applyBorder="1" applyAlignment="1" applyProtection="1">
      <alignment horizontal="left" vertical="center" wrapText="1"/>
    </xf>
    <xf numFmtId="0" fontId="29" fillId="0" borderId="0" xfId="6" applyFont="1" applyBorder="1" applyAlignment="1">
      <alignment horizontal="center" vertical="center"/>
      <protection locked="0"/>
    </xf>
    <xf numFmtId="0" fontId="7" fillId="0" borderId="11" xfId="0" applyFont="1" applyBorder="1" applyAlignment="1">
      <alignment horizontal="center" vertical="center"/>
    </xf>
    <xf numFmtId="43" fontId="12" fillId="0" borderId="1" xfId="6" applyNumberFormat="1" applyFont="1" applyFill="1" applyBorder="1" applyAlignment="1" applyProtection="1">
      <alignment horizontal="left" vertical="center" wrapText="1"/>
      <protection locked="0"/>
    </xf>
    <xf numFmtId="0" fontId="12" fillId="3" borderId="1" xfId="6" applyFont="1" applyFill="1" applyBorder="1" applyAlignment="1" applyProtection="1">
      <alignment horizontal="center" vertical="center"/>
      <protection locked="0"/>
    </xf>
    <xf numFmtId="0" fontId="9" fillId="3" borderId="1" xfId="20" applyFont="1" applyFill="1" applyBorder="1" applyAlignment="1">
      <alignment vertical="center"/>
    </xf>
    <xf numFmtId="0" fontId="9" fillId="3" borderId="1" xfId="20" applyFont="1" applyFill="1" applyBorder="1" applyAlignment="1">
      <alignment horizontal="center" vertical="center" wrapText="1"/>
    </xf>
    <xf numFmtId="0" fontId="57" fillId="0" borderId="0" xfId="6" applyNumberFormat="1" applyFont="1" applyFill="1" applyBorder="1" applyAlignment="1" applyProtection="1">
      <alignment horizontal="left" vertical="center" wrapText="1"/>
    </xf>
    <xf numFmtId="0" fontId="13" fillId="3" borderId="16" xfId="0" applyNumberFormat="1" applyFont="1" applyFill="1" applyBorder="1" applyAlignment="1" applyProtection="1">
      <alignment horizontal="center" vertical="center"/>
      <protection locked="0"/>
    </xf>
    <xf numFmtId="0" fontId="13" fillId="3" borderId="16" xfId="0" applyNumberFormat="1" applyFont="1" applyFill="1" applyBorder="1" applyAlignment="1" applyProtection="1">
      <alignment horizontal="center" vertical="center" wrapText="1"/>
      <protection locked="0"/>
    </xf>
    <xf numFmtId="0" fontId="31" fillId="3" borderId="16" xfId="0" applyNumberFormat="1" applyFont="1" applyFill="1" applyBorder="1" applyAlignment="1" applyProtection="1">
      <alignment horizontal="center" vertical="center" wrapText="1"/>
    </xf>
    <xf numFmtId="0" fontId="31" fillId="3" borderId="16" xfId="0" applyNumberFormat="1" applyFont="1" applyFill="1" applyBorder="1" applyAlignment="1" applyProtection="1">
      <alignment horizontal="center" vertical="center"/>
    </xf>
    <xf numFmtId="0" fontId="12" fillId="3" borderId="16" xfId="0" applyNumberFormat="1" applyFont="1" applyFill="1" applyBorder="1" applyAlignment="1" applyProtection="1">
      <alignment vertical="center"/>
      <protection locked="0"/>
    </xf>
    <xf numFmtId="43" fontId="11" fillId="3" borderId="16" xfId="0" applyNumberFormat="1" applyFont="1" applyFill="1" applyBorder="1" applyAlignment="1" applyProtection="1">
      <alignment vertical="center"/>
      <protection locked="0"/>
    </xf>
    <xf numFmtId="0" fontId="92" fillId="0" borderId="0" xfId="16" applyNumberFormat="1" applyFont="1" applyFill="1" applyBorder="1" applyAlignment="1">
      <alignment vertical="center"/>
    </xf>
    <xf numFmtId="0" fontId="76" fillId="0" borderId="0" xfId="16" applyNumberFormat="1" applyFont="1" applyFill="1" applyBorder="1" applyAlignment="1">
      <alignment vertical="center"/>
    </xf>
    <xf numFmtId="0" fontId="76" fillId="0" borderId="0" xfId="15" applyFont="1" applyBorder="1" applyAlignment="1" applyProtection="1">
      <alignment vertical="center"/>
      <protection locked="0"/>
    </xf>
    <xf numFmtId="0" fontId="58" fillId="3" borderId="16" xfId="0" applyNumberFormat="1" applyFont="1" applyFill="1" applyBorder="1" applyAlignment="1" applyProtection="1">
      <alignment horizontal="center" vertical="center"/>
      <protection locked="0"/>
    </xf>
    <xf numFmtId="0" fontId="58" fillId="3" borderId="16" xfId="0" applyNumberFormat="1" applyFont="1" applyFill="1" applyBorder="1" applyAlignment="1" applyProtection="1">
      <alignment horizontal="center" vertical="center" wrapText="1"/>
      <protection locked="0"/>
    </xf>
    <xf numFmtId="0" fontId="93" fillId="3" borderId="16" xfId="0" applyNumberFormat="1" applyFont="1" applyFill="1" applyBorder="1" applyAlignment="1" applyProtection="1">
      <alignment horizontal="center" vertical="center" wrapText="1"/>
      <protection locked="0"/>
    </xf>
    <xf numFmtId="0" fontId="91" fillId="3" borderId="16" xfId="0" applyNumberFormat="1" applyFont="1" applyFill="1" applyBorder="1" applyAlignment="1" applyProtection="1">
      <alignment horizontal="center" vertical="center" wrapText="1"/>
    </xf>
    <xf numFmtId="0" fontId="91" fillId="3" borderId="16" xfId="0" applyNumberFormat="1" applyFont="1" applyFill="1" applyBorder="1" applyAlignment="1" applyProtection="1">
      <alignment horizontal="center" vertical="center"/>
    </xf>
    <xf numFmtId="14" fontId="9" fillId="0" borderId="16" xfId="0" applyNumberFormat="1" applyFont="1" applyFill="1" applyBorder="1" applyAlignment="1" applyProtection="1">
      <protection locked="0"/>
    </xf>
    <xf numFmtId="0" fontId="9" fillId="0" borderId="16" xfId="0" applyNumberFormat="1" applyFont="1" applyFill="1" applyBorder="1" applyAlignment="1" applyProtection="1">
      <protection locked="0"/>
    </xf>
    <xf numFmtId="43" fontId="76" fillId="0" borderId="16" xfId="0" applyNumberFormat="1" applyFont="1" applyFill="1" applyBorder="1" applyAlignment="1" applyProtection="1">
      <protection locked="0"/>
    </xf>
    <xf numFmtId="43" fontId="9" fillId="0" borderId="16" xfId="0" applyNumberFormat="1" applyFont="1" applyFill="1" applyBorder="1" applyAlignment="1" applyProtection="1">
      <protection locked="0"/>
    </xf>
    <xf numFmtId="0" fontId="76" fillId="0" borderId="16" xfId="0" applyNumberFormat="1" applyFont="1" applyFill="1" applyBorder="1" applyAlignment="1" applyProtection="1">
      <protection locked="0"/>
    </xf>
    <xf numFmtId="0" fontId="9" fillId="3" borderId="16" xfId="0" applyNumberFormat="1" applyFont="1" applyFill="1" applyBorder="1" applyAlignment="1" applyProtection="1">
      <alignment vertical="center"/>
      <protection locked="0"/>
    </xf>
    <xf numFmtId="43" fontId="76" fillId="3" borderId="16" xfId="0" applyNumberFormat="1" applyFont="1" applyFill="1" applyBorder="1" applyAlignment="1" applyProtection="1">
      <alignment vertical="center"/>
      <protection locked="0"/>
    </xf>
    <xf numFmtId="14" fontId="9" fillId="3" borderId="16" xfId="0" applyNumberFormat="1" applyFont="1" applyFill="1" applyBorder="1" applyAlignment="1" applyProtection="1">
      <alignment vertical="center"/>
      <protection locked="0"/>
    </xf>
    <xf numFmtId="0" fontId="76" fillId="3" borderId="16" xfId="0" applyNumberFormat="1" applyFont="1" applyFill="1" applyBorder="1" applyAlignment="1" applyProtection="1">
      <alignment vertical="center"/>
      <protection locked="0"/>
    </xf>
    <xf numFmtId="0" fontId="58" fillId="3" borderId="16" xfId="0" applyNumberFormat="1" applyFont="1" applyFill="1" applyBorder="1" applyAlignment="1" applyProtection="1">
      <alignment horizontal="center" vertical="center" wrapText="1"/>
    </xf>
    <xf numFmtId="0" fontId="91" fillId="3" borderId="16" xfId="0" applyNumberFormat="1" applyFont="1" applyFill="1" applyBorder="1" applyAlignment="1" applyProtection="1">
      <alignment horizontal="center" vertical="center" wrapText="1"/>
      <protection locked="0"/>
    </xf>
    <xf numFmtId="0" fontId="94" fillId="0" borderId="16" xfId="0" applyNumberFormat="1" applyFont="1" applyFill="1" applyBorder="1" applyAlignment="1" applyProtection="1">
      <alignment horizontal="center" vertical="center"/>
    </xf>
    <xf numFmtId="0" fontId="11" fillId="0" borderId="0" xfId="0" applyNumberFormat="1" applyFont="1" applyFill="1" applyBorder="1" applyAlignment="1" applyProtection="1">
      <alignment vertical="center"/>
      <protection locked="0"/>
    </xf>
    <xf numFmtId="0" fontId="75" fillId="3" borderId="16" xfId="0" applyNumberFormat="1" applyFont="1" applyFill="1" applyBorder="1" applyAlignment="1" applyProtection="1">
      <alignment horizontal="center" vertical="center" wrapText="1"/>
      <protection locked="0"/>
    </xf>
    <xf numFmtId="0" fontId="95" fillId="3" borderId="16" xfId="0" applyNumberFormat="1" applyFont="1" applyFill="1" applyBorder="1" applyAlignment="1" applyProtection="1">
      <alignment horizontal="center" vertical="center" wrapText="1"/>
      <protection locked="0"/>
    </xf>
    <xf numFmtId="0" fontId="76" fillId="0" borderId="16" xfId="0" applyNumberFormat="1" applyFont="1" applyFill="1" applyBorder="1" applyAlignment="1" applyProtection="1">
      <alignment horizontal="center" vertical="center"/>
      <protection locked="0"/>
    </xf>
    <xf numFmtId="14" fontId="76" fillId="0" borderId="16" xfId="0" applyNumberFormat="1" applyFont="1" applyFill="1" applyBorder="1" applyAlignment="1" applyProtection="1">
      <alignment horizontal="left" vertical="center"/>
      <protection locked="0"/>
    </xf>
    <xf numFmtId="0" fontId="76" fillId="0" borderId="16" xfId="0" applyNumberFormat="1" applyFont="1" applyFill="1" applyBorder="1" applyAlignment="1" applyProtection="1">
      <alignment vertical="center" wrapText="1"/>
      <protection locked="0"/>
    </xf>
    <xf numFmtId="43" fontId="76" fillId="0" borderId="16" xfId="0" applyNumberFormat="1" applyFont="1" applyFill="1" applyBorder="1" applyAlignment="1" applyProtection="1">
      <alignment horizontal="center" vertical="center"/>
      <protection locked="0"/>
    </xf>
    <xf numFmtId="0" fontId="76" fillId="0" borderId="16" xfId="0" applyNumberFormat="1" applyFont="1" applyFill="1" applyBorder="1" applyAlignment="1" applyProtection="1">
      <alignment horizontal="left" vertical="center"/>
      <protection locked="0"/>
    </xf>
    <xf numFmtId="0" fontId="76" fillId="0" borderId="16" xfId="0" applyNumberFormat="1" applyFont="1" applyFill="1" applyBorder="1" applyAlignment="1" applyProtection="1">
      <alignment horizontal="justify" vertical="center"/>
      <protection locked="0"/>
    </xf>
    <xf numFmtId="0" fontId="58" fillId="0" borderId="0" xfId="0" applyNumberFormat="1" applyFont="1" applyFill="1" applyBorder="1" applyAlignment="1" applyProtection="1">
      <alignment horizontal="left" vertical="center"/>
    </xf>
    <xf numFmtId="0" fontId="96" fillId="0" borderId="0" xfId="0" applyNumberFormat="1" applyFont="1" applyFill="1" applyBorder="1" applyAlignment="1" applyProtection="1">
      <alignment horizontal="center" vertical="center" wrapText="1"/>
    </xf>
    <xf numFmtId="43" fontId="94" fillId="0" borderId="0" xfId="0" applyNumberFormat="1" applyFont="1" applyFill="1" applyBorder="1" applyAlignment="1" applyProtection="1">
      <alignment horizontal="center" vertical="center" wrapText="1"/>
    </xf>
    <xf numFmtId="0" fontId="96" fillId="0" borderId="0" xfId="0" applyNumberFormat="1" applyFont="1" applyFill="1" applyBorder="1" applyAlignment="1" applyProtection="1">
      <alignment horizontal="center" vertical="center"/>
    </xf>
    <xf numFmtId="0" fontId="11" fillId="0" borderId="0" xfId="0" applyNumberFormat="1" applyFont="1" applyFill="1" applyBorder="1" applyAlignment="1" applyProtection="1">
      <alignment vertical="center"/>
    </xf>
    <xf numFmtId="0" fontId="99" fillId="3" borderId="16" xfId="0" applyNumberFormat="1" applyFont="1" applyFill="1" applyBorder="1" applyAlignment="1" applyProtection="1">
      <alignment horizontal="center" vertical="center" wrapText="1"/>
    </xf>
    <xf numFmtId="0" fontId="95" fillId="3" borderId="16" xfId="0" applyNumberFormat="1" applyFont="1" applyFill="1" applyBorder="1" applyAlignment="1" applyProtection="1">
      <alignment horizontal="center" vertical="center" wrapText="1"/>
    </xf>
    <xf numFmtId="0" fontId="93" fillId="3" borderId="16" xfId="0" applyNumberFormat="1" applyFont="1" applyFill="1" applyBorder="1" applyAlignment="1" applyProtection="1">
      <alignment horizontal="center" vertical="center" wrapText="1"/>
    </xf>
    <xf numFmtId="0" fontId="95" fillId="0" borderId="0" xfId="0" applyNumberFormat="1" applyFont="1" applyFill="1" applyBorder="1" applyAlignment="1" applyProtection="1">
      <alignment vertical="center" wrapText="1"/>
    </xf>
    <xf numFmtId="0" fontId="75" fillId="0" borderId="0" xfId="0" applyNumberFormat="1" applyFont="1" applyFill="1" applyBorder="1" applyAlignment="1" applyProtection="1">
      <alignment vertical="center" wrapText="1"/>
    </xf>
    <xf numFmtId="0" fontId="102" fillId="0" borderId="0" xfId="0" applyNumberFormat="1" applyFont="1" applyFill="1" applyBorder="1" applyAlignment="1" applyProtection="1">
      <alignment horizontal="left"/>
      <protection locked="0"/>
    </xf>
    <xf numFmtId="0" fontId="90" fillId="3" borderId="16" xfId="0" applyNumberFormat="1" applyFont="1" applyFill="1" applyBorder="1" applyAlignment="1" applyProtection="1">
      <alignment horizontal="center" vertical="center"/>
    </xf>
    <xf numFmtId="0" fontId="101" fillId="3" borderId="16" xfId="0" applyNumberFormat="1" applyFont="1" applyFill="1" applyBorder="1" applyAlignment="1" applyProtection="1">
      <alignment horizontal="center" vertical="center"/>
    </xf>
    <xf numFmtId="0" fontId="94" fillId="0" borderId="16" xfId="0" applyNumberFormat="1" applyFont="1" applyFill="1" applyBorder="1" applyAlignment="1" applyProtection="1">
      <alignment horizontal="center" vertical="center" wrapText="1"/>
    </xf>
    <xf numFmtId="14" fontId="94" fillId="0" borderId="16" xfId="0" applyNumberFormat="1" applyFont="1" applyFill="1" applyBorder="1" applyAlignment="1" applyProtection="1">
      <alignment horizontal="center" vertical="center" wrapText="1"/>
    </xf>
    <xf numFmtId="0" fontId="103" fillId="0" borderId="16" xfId="0" applyNumberFormat="1" applyFont="1" applyFill="1" applyBorder="1" applyAlignment="1" applyProtection="1">
      <alignment horizontal="center" vertical="center" wrapText="1"/>
    </xf>
    <xf numFmtId="43" fontId="94" fillId="0" borderId="16" xfId="0" applyNumberFormat="1" applyFont="1" applyFill="1" applyBorder="1" applyAlignment="1" applyProtection="1">
      <alignment horizontal="center" vertical="center" wrapText="1"/>
    </xf>
    <xf numFmtId="0" fontId="103" fillId="0" borderId="16" xfId="0" applyNumberFormat="1" applyFont="1" applyFill="1" applyBorder="1" applyAlignment="1" applyProtection="1">
      <alignment horizontal="center" vertical="center"/>
    </xf>
    <xf numFmtId="43" fontId="94" fillId="0" borderId="16" xfId="0" applyNumberFormat="1" applyFont="1" applyFill="1" applyBorder="1" applyAlignment="1" applyProtection="1">
      <alignment horizontal="center" vertical="center"/>
    </xf>
    <xf numFmtId="0" fontId="94" fillId="0" borderId="0" xfId="0" applyNumberFormat="1" applyFont="1" applyFill="1" applyBorder="1" applyAlignment="1" applyProtection="1">
      <alignment horizontal="center" vertical="center"/>
    </xf>
    <xf numFmtId="0" fontId="98" fillId="0" borderId="16" xfId="0" applyNumberFormat="1" applyFont="1" applyFill="1" applyBorder="1" applyAlignment="1" applyProtection="1">
      <alignment horizontal="center" vertical="center" wrapText="1"/>
    </xf>
    <xf numFmtId="0" fontId="14" fillId="0" borderId="0" xfId="0" applyNumberFormat="1" applyFont="1" applyFill="1" applyBorder="1" applyAlignment="1" applyProtection="1">
      <alignment vertical="center"/>
      <protection locked="0"/>
    </xf>
    <xf numFmtId="0" fontId="97" fillId="3" borderId="16" xfId="0" applyNumberFormat="1" applyFont="1" applyFill="1" applyBorder="1" applyAlignment="1" applyProtection="1">
      <alignment horizontal="center" vertical="center" wrapText="1"/>
    </xf>
    <xf numFmtId="43" fontId="97" fillId="3" borderId="16" xfId="0" applyNumberFormat="1" applyFont="1" applyFill="1" applyBorder="1" applyAlignment="1" applyProtection="1">
      <alignment horizontal="center" vertical="center" wrapText="1"/>
    </xf>
    <xf numFmtId="0" fontId="97" fillId="3" borderId="16" xfId="0" applyNumberFormat="1" applyFont="1" applyFill="1" applyBorder="1" applyAlignment="1" applyProtection="1">
      <alignment horizontal="center" vertical="center"/>
    </xf>
    <xf numFmtId="43" fontId="97" fillId="3" borderId="16" xfId="0" applyNumberFormat="1" applyFont="1" applyFill="1" applyBorder="1" applyAlignment="1" applyProtection="1">
      <alignment horizontal="center" vertical="center"/>
    </xf>
    <xf numFmtId="0" fontId="97" fillId="0" borderId="0" xfId="0" applyNumberFormat="1" applyFont="1" applyFill="1" applyBorder="1" applyAlignment="1" applyProtection="1">
      <alignment horizontal="center" vertical="center"/>
    </xf>
    <xf numFmtId="0" fontId="14" fillId="0" borderId="0" xfId="0" applyNumberFormat="1" applyFont="1" applyFill="1" applyBorder="1" applyAlignment="1" applyProtection="1">
      <alignment vertical="center"/>
    </xf>
    <xf numFmtId="0" fontId="12" fillId="0" borderId="16" xfId="0" applyNumberFormat="1" applyFont="1" applyFill="1" applyBorder="1" applyAlignment="1" applyProtection="1">
      <alignment vertical="center"/>
      <protection locked="0"/>
    </xf>
    <xf numFmtId="43" fontId="11" fillId="0" borderId="16" xfId="0" applyNumberFormat="1" applyFont="1" applyFill="1" applyBorder="1" applyAlignment="1" applyProtection="1">
      <alignment vertical="center"/>
      <protection locked="0"/>
    </xf>
    <xf numFmtId="43" fontId="76" fillId="0" borderId="16" xfId="0" applyNumberFormat="1" applyFont="1" applyFill="1" applyBorder="1" applyAlignment="1" applyProtection="1">
      <alignment vertical="center"/>
      <protection locked="0"/>
    </xf>
    <xf numFmtId="0" fontId="75" fillId="3" borderId="16" xfId="0" applyNumberFormat="1" applyFont="1" applyFill="1" applyBorder="1" applyAlignment="1" applyProtection="1">
      <alignment horizontal="center" vertical="center"/>
      <protection locked="0"/>
    </xf>
    <xf numFmtId="0" fontId="95" fillId="3" borderId="16" xfId="0" applyNumberFormat="1" applyFont="1" applyFill="1" applyBorder="1" applyAlignment="1" applyProtection="1">
      <alignment horizontal="center" vertical="center"/>
    </xf>
    <xf numFmtId="0" fontId="76" fillId="0" borderId="16" xfId="0" applyNumberFormat="1" applyFont="1" applyFill="1" applyBorder="1" applyAlignment="1" applyProtection="1">
      <alignment vertical="center"/>
      <protection locked="0"/>
    </xf>
    <xf numFmtId="0" fontId="56" fillId="0" borderId="8" xfId="6" applyNumberFormat="1" applyFont="1" applyFill="1" applyBorder="1" applyAlignment="1" applyProtection="1">
      <alignment horizontal="center" vertical="center"/>
    </xf>
    <xf numFmtId="0" fontId="104" fillId="0" borderId="16" xfId="0" applyNumberFormat="1" applyFont="1" applyFill="1" applyBorder="1" applyAlignment="1" applyProtection="1">
      <alignment horizontal="center" vertical="center" wrapText="1"/>
    </xf>
    <xf numFmtId="0" fontId="104" fillId="0" borderId="16" xfId="0" applyNumberFormat="1" applyFont="1" applyFill="1" applyBorder="1" applyAlignment="1" applyProtection="1">
      <alignment horizontal="center" vertical="center"/>
    </xf>
    <xf numFmtId="0" fontId="75" fillId="0" borderId="0" xfId="7" applyFont="1" applyBorder="1" applyAlignment="1">
      <alignment vertical="center"/>
    </xf>
    <xf numFmtId="0" fontId="75" fillId="0" borderId="0" xfId="6" applyFont="1" applyBorder="1" applyAlignment="1">
      <alignment vertical="center"/>
      <protection locked="0"/>
    </xf>
    <xf numFmtId="0" fontId="76" fillId="0" borderId="0" xfId="6" applyFont="1" applyBorder="1" applyAlignment="1">
      <alignment vertical="center"/>
      <protection locked="0"/>
    </xf>
    <xf numFmtId="0" fontId="75" fillId="0" borderId="0" xfId="15" applyFont="1" applyBorder="1" applyAlignment="1" applyProtection="1">
      <alignment vertical="center"/>
      <protection locked="0"/>
    </xf>
    <xf numFmtId="0" fontId="75" fillId="0" borderId="0" xfId="15" applyFont="1" applyFill="1" applyBorder="1" applyAlignment="1" applyProtection="1">
      <alignment vertical="center"/>
      <protection locked="0"/>
    </xf>
    <xf numFmtId="0" fontId="105" fillId="0" borderId="0" xfId="0" applyFont="1" applyAlignment="1" applyProtection="1">
      <alignment horizontal="left"/>
      <protection locked="0"/>
    </xf>
    <xf numFmtId="0" fontId="76" fillId="0" borderId="0" xfId="15" applyFont="1" applyFill="1" applyBorder="1" applyAlignment="1" applyProtection="1">
      <alignment vertical="center"/>
      <protection locked="0"/>
    </xf>
    <xf numFmtId="0" fontId="92" fillId="0" borderId="0" xfId="0" applyFont="1" applyAlignment="1" applyProtection="1">
      <alignment horizontal="left"/>
      <protection locked="0"/>
    </xf>
    <xf numFmtId="0" fontId="12" fillId="0" borderId="1" xfId="14" applyFont="1" applyFill="1" applyBorder="1" applyAlignment="1">
      <alignment horizontal="left" vertical="center"/>
    </xf>
    <xf numFmtId="0" fontId="13" fillId="0" borderId="16" xfId="11" applyFont="1" applyFill="1" applyBorder="1" applyAlignment="1">
      <alignment vertical="center"/>
      <protection locked="0"/>
    </xf>
    <xf numFmtId="0" fontId="11" fillId="0" borderId="16" xfId="11" applyFont="1" applyFill="1" applyBorder="1" applyAlignment="1">
      <alignment vertical="center"/>
      <protection locked="0"/>
    </xf>
    <xf numFmtId="0" fontId="11" fillId="0" borderId="16" xfId="6" applyFont="1" applyFill="1" applyBorder="1" applyAlignment="1" applyProtection="1">
      <alignment horizontal="center" vertical="center" wrapText="1"/>
      <protection locked="0"/>
    </xf>
    <xf numFmtId="0" fontId="11" fillId="0" borderId="0" xfId="11" applyFont="1" applyFill="1" applyBorder="1" applyAlignment="1">
      <alignment vertical="center"/>
      <protection locked="0"/>
    </xf>
    <xf numFmtId="0" fontId="74" fillId="0" borderId="16" xfId="6" applyNumberFormat="1" applyFont="1" applyFill="1" applyBorder="1" applyAlignment="1" applyProtection="1">
      <alignment horizontal="center" vertical="center" wrapText="1"/>
    </xf>
    <xf numFmtId="0" fontId="75" fillId="3" borderId="16" xfId="6" applyNumberFormat="1" applyFont="1" applyFill="1" applyBorder="1" applyAlignment="1" applyProtection="1">
      <alignment horizontal="center" vertical="center" wrapText="1"/>
    </xf>
    <xf numFmtId="43" fontId="75" fillId="3" borderId="16" xfId="6" applyNumberFormat="1" applyFont="1" applyFill="1" applyBorder="1" applyAlignment="1" applyProtection="1">
      <alignment horizontal="center" vertical="center" wrapText="1"/>
    </xf>
    <xf numFmtId="0" fontId="76" fillId="0" borderId="16" xfId="15" applyFont="1" applyBorder="1" applyAlignment="1" applyProtection="1">
      <alignment horizontal="center" vertical="center"/>
      <protection locked="0"/>
    </xf>
    <xf numFmtId="0" fontId="11" fillId="0" borderId="20" xfId="15" applyFont="1" applyBorder="1" applyAlignment="1" applyProtection="1">
      <alignment vertical="center"/>
      <protection locked="0"/>
    </xf>
    <xf numFmtId="0" fontId="11" fillId="0" borderId="16" xfId="15" applyFont="1" applyBorder="1" applyAlignment="1" applyProtection="1">
      <alignment horizontal="center" vertical="center"/>
      <protection locked="0"/>
    </xf>
    <xf numFmtId="0" fontId="44" fillId="0" borderId="0" xfId="14" applyFont="1" applyFill="1">
      <alignment vertical="center"/>
    </xf>
    <xf numFmtId="0" fontId="14" fillId="0" borderId="0" xfId="11" applyFont="1" applyBorder="1" applyAlignment="1">
      <alignment horizontal="center" vertical="center"/>
      <protection locked="0"/>
    </xf>
    <xf numFmtId="0" fontId="8" fillId="0" borderId="0" xfId="0" applyFont="1" applyAlignment="1" applyProtection="1">
      <alignment horizontal="center" vertical="center"/>
      <protection locked="0"/>
    </xf>
    <xf numFmtId="0" fontId="44" fillId="0" borderId="0" xfId="6" applyFont="1" applyAlignment="1" applyProtection="1">
      <alignment vertical="center"/>
      <protection locked="0"/>
    </xf>
    <xf numFmtId="0" fontId="22" fillId="0" borderId="0" xfId="12" applyFont="1" applyBorder="1" applyAlignment="1">
      <alignment horizontal="left" vertical="center"/>
    </xf>
    <xf numFmtId="0" fontId="6" fillId="0" borderId="20" xfId="12" applyFont="1" applyBorder="1" applyAlignment="1">
      <alignment horizontal="left" vertical="center"/>
    </xf>
    <xf numFmtId="0" fontId="13" fillId="0" borderId="20" xfId="13" applyFont="1" applyFill="1" applyBorder="1" applyAlignment="1">
      <alignment horizontal="left" vertical="center" wrapText="1"/>
    </xf>
    <xf numFmtId="0" fontId="12" fillId="0" borderId="20" xfId="6" applyFont="1" applyBorder="1" applyAlignment="1" applyProtection="1">
      <alignment horizontal="left" vertical="center" wrapText="1"/>
      <protection locked="0"/>
    </xf>
    <xf numFmtId="49" fontId="12" fillId="0" borderId="20" xfId="14" applyNumberFormat="1" applyFont="1" applyBorder="1" applyAlignment="1" applyProtection="1">
      <alignment horizontal="center" vertical="center"/>
      <protection locked="0"/>
    </xf>
    <xf numFmtId="0" fontId="13" fillId="0" borderId="20" xfId="13" applyFont="1" applyFill="1" applyBorder="1" applyAlignment="1">
      <alignment horizontal="left" vertical="center"/>
    </xf>
    <xf numFmtId="0" fontId="14" fillId="0" borderId="20" xfId="13" applyFont="1" applyFill="1" applyBorder="1" applyAlignment="1">
      <alignment horizontal="left" vertical="center"/>
    </xf>
    <xf numFmtId="0" fontId="14" fillId="0" borderId="20" xfId="13" applyFont="1" applyFill="1" applyBorder="1" applyAlignment="1">
      <alignment horizontal="center" vertical="center"/>
    </xf>
    <xf numFmtId="0" fontId="18" fillId="0" borderId="20" xfId="12" applyFont="1" applyBorder="1" applyAlignment="1">
      <alignment horizontal="center" vertical="center"/>
    </xf>
    <xf numFmtId="0" fontId="18" fillId="0" borderId="20" xfId="12" applyFont="1" applyBorder="1" applyAlignment="1">
      <alignment horizontal="left" vertical="center"/>
    </xf>
    <xf numFmtId="0" fontId="18" fillId="0" borderId="20" xfId="12" applyFont="1" applyBorder="1" applyAlignment="1" applyProtection="1">
      <alignment horizontal="center" vertical="center"/>
    </xf>
    <xf numFmtId="0" fontId="6" fillId="0" borderId="0" xfId="12" applyFont="1" applyBorder="1" applyAlignment="1">
      <alignment horizontal="left" vertical="center"/>
    </xf>
    <xf numFmtId="0" fontId="13" fillId="0" borderId="0" xfId="13" applyFont="1" applyFill="1" applyBorder="1" applyAlignment="1">
      <alignment horizontal="left" vertical="center" wrapText="1"/>
    </xf>
    <xf numFmtId="0" fontId="12" fillId="0" borderId="0" xfId="6" applyFont="1" applyBorder="1" applyAlignment="1" applyProtection="1">
      <alignment horizontal="left" vertical="center" wrapText="1"/>
      <protection locked="0"/>
    </xf>
    <xf numFmtId="49" fontId="12" fillId="0" borderId="0" xfId="14" applyNumberFormat="1" applyFont="1" applyBorder="1" applyAlignment="1" applyProtection="1">
      <alignment horizontal="center" vertical="center"/>
      <protection locked="0"/>
    </xf>
    <xf numFmtId="0" fontId="13" fillId="0" borderId="0" xfId="13" applyFont="1" applyFill="1" applyBorder="1" applyAlignment="1">
      <alignment horizontal="left" vertical="center"/>
    </xf>
    <xf numFmtId="0" fontId="14" fillId="0" borderId="0" xfId="13" applyFont="1" applyFill="1" applyBorder="1" applyAlignment="1">
      <alignment horizontal="left" vertical="center"/>
    </xf>
    <xf numFmtId="0" fontId="14" fillId="0" borderId="0" xfId="13" applyFont="1" applyFill="1" applyBorder="1" applyAlignment="1">
      <alignment horizontal="center" vertical="center"/>
    </xf>
    <xf numFmtId="0" fontId="18" fillId="0" borderId="0" xfId="12" applyFont="1" applyBorder="1" applyAlignment="1">
      <alignment horizontal="center" vertical="center"/>
    </xf>
    <xf numFmtId="0" fontId="18" fillId="0" borderId="0" xfId="12" applyFont="1" applyBorder="1" applyAlignment="1">
      <alignment horizontal="left" vertical="center"/>
    </xf>
    <xf numFmtId="0" fontId="18" fillId="0" borderId="0" xfId="12" applyFont="1" applyBorder="1" applyAlignment="1" applyProtection="1">
      <alignment horizontal="center" vertical="center"/>
    </xf>
    <xf numFmtId="0" fontId="27" fillId="0" borderId="0" xfId="11" applyFont="1" applyBorder="1" applyAlignment="1">
      <alignment vertical="center"/>
      <protection locked="0"/>
    </xf>
    <xf numFmtId="0" fontId="23" fillId="0" borderId="0" xfId="11" applyFont="1" applyBorder="1" applyAlignment="1">
      <alignment vertical="center"/>
      <protection locked="0"/>
    </xf>
    <xf numFmtId="10" fontId="56" fillId="3" borderId="1" xfId="2" applyNumberFormat="1" applyFont="1" applyFill="1" applyBorder="1" applyAlignment="1" applyProtection="1">
      <alignment vertical="center" wrapText="1"/>
    </xf>
    <xf numFmtId="10" fontId="56" fillId="3" borderId="1" xfId="2" applyNumberFormat="1" applyFont="1" applyFill="1" applyBorder="1" applyAlignment="1" applyProtection="1">
      <alignment horizontal="right" vertical="center" wrapText="1"/>
    </xf>
    <xf numFmtId="0" fontId="12" fillId="6" borderId="16" xfId="17" applyFont="1" applyFill="1" applyBorder="1" applyAlignment="1">
      <alignment horizontal="center" vertical="center"/>
    </xf>
    <xf numFmtId="0" fontId="12" fillId="6" borderId="16" xfId="17" applyFont="1" applyFill="1" applyBorder="1">
      <alignment vertical="center"/>
    </xf>
    <xf numFmtId="0" fontId="13" fillId="3" borderId="16" xfId="13" applyFont="1" applyFill="1" applyBorder="1" applyAlignment="1">
      <alignment horizontal="center" vertical="center" wrapText="1"/>
    </xf>
    <xf numFmtId="0" fontId="3" fillId="0" borderId="0" xfId="0" applyFont="1" applyAlignment="1" applyProtection="1">
      <alignment horizontal="left" vertical="center" wrapText="1"/>
      <protection locked="0"/>
    </xf>
    <xf numFmtId="0" fontId="29" fillId="0" borderId="0" xfId="0" applyFont="1" applyAlignment="1" applyProtection="1">
      <alignment horizontal="left" vertical="center" wrapText="1"/>
      <protection locked="0"/>
    </xf>
    <xf numFmtId="176" fontId="18" fillId="0" borderId="1" xfId="4" applyFont="1" applyFill="1" applyBorder="1" applyAlignment="1">
      <alignment vertical="center" wrapText="1"/>
    </xf>
    <xf numFmtId="176" fontId="6" fillId="0" borderId="1" xfId="4" applyFont="1" applyFill="1" applyBorder="1" applyAlignment="1">
      <alignment vertical="center" wrapText="1"/>
    </xf>
    <xf numFmtId="176" fontId="11" fillId="0" borderId="1" xfId="4" applyFont="1" applyFill="1" applyBorder="1" applyAlignment="1">
      <alignment horizontal="center" vertical="center" wrapText="1"/>
    </xf>
    <xf numFmtId="176" fontId="18" fillId="0" borderId="3" xfId="4" applyFont="1" applyFill="1" applyBorder="1" applyAlignment="1">
      <alignment horizontal="left" vertical="center" wrapText="1"/>
    </xf>
    <xf numFmtId="176" fontId="18" fillId="0" borderId="4" xfId="4" applyFont="1" applyFill="1" applyBorder="1" applyAlignment="1">
      <alignment horizontal="left" vertical="center" wrapText="1"/>
    </xf>
    <xf numFmtId="176" fontId="11" fillId="0" borderId="3" xfId="4" applyFont="1" applyFill="1" applyBorder="1" applyAlignment="1">
      <alignment horizontal="center" vertical="center" wrapText="1"/>
    </xf>
    <xf numFmtId="176" fontId="11" fillId="0" borderId="4" xfId="4" applyFont="1" applyFill="1" applyBorder="1" applyAlignment="1">
      <alignment horizontal="center" vertical="center" wrapText="1"/>
    </xf>
    <xf numFmtId="176" fontId="18" fillId="0" borderId="16" xfId="4" applyFont="1" applyFill="1" applyBorder="1" applyAlignment="1">
      <alignment vertical="center" wrapText="1"/>
    </xf>
    <xf numFmtId="176" fontId="6" fillId="0" borderId="16" xfId="4" applyFont="1" applyFill="1" applyBorder="1" applyAlignment="1">
      <alignment vertical="center" wrapText="1"/>
    </xf>
    <xf numFmtId="176" fontId="18" fillId="0" borderId="1" xfId="4" applyFont="1" applyFill="1" applyBorder="1" applyAlignment="1">
      <alignment horizontal="left" vertical="center" wrapText="1"/>
    </xf>
    <xf numFmtId="176" fontId="13" fillId="3" borderId="1" xfId="4" applyFont="1" applyFill="1" applyBorder="1" applyAlignment="1" applyProtection="1">
      <alignment horizontal="center" vertical="center" wrapText="1"/>
      <protection locked="0"/>
    </xf>
    <xf numFmtId="49" fontId="13" fillId="3" borderId="1" xfId="4" applyNumberFormat="1" applyFont="1" applyFill="1" applyBorder="1" applyAlignment="1" applyProtection="1">
      <alignment horizontal="center" vertical="center"/>
      <protection locked="0"/>
    </xf>
    <xf numFmtId="176" fontId="3" fillId="0" borderId="0" xfId="3" applyFont="1" applyFill="1" applyAlignment="1">
      <alignment horizontal="center" vertical="center"/>
    </xf>
    <xf numFmtId="176" fontId="8" fillId="0" borderId="0" xfId="3" applyFont="1" applyFill="1" applyAlignment="1">
      <alignment horizontal="center" vertical="center"/>
    </xf>
    <xf numFmtId="176" fontId="10" fillId="0" borderId="0" xfId="3" applyFont="1" applyFill="1" applyAlignment="1">
      <alignment horizontal="center" vertical="center"/>
    </xf>
    <xf numFmtId="176" fontId="14" fillId="3" borderId="1" xfId="4" applyFont="1" applyFill="1" applyBorder="1" applyAlignment="1" applyProtection="1">
      <alignment horizontal="center" vertical="center" wrapText="1"/>
      <protection locked="0"/>
    </xf>
    <xf numFmtId="0" fontId="14" fillId="3" borderId="1" xfId="6" applyFont="1" applyFill="1" applyBorder="1" applyAlignment="1" applyProtection="1">
      <alignment horizontal="center" vertical="center" wrapText="1"/>
      <protection locked="0"/>
    </xf>
    <xf numFmtId="0" fontId="14" fillId="3" borderId="5" xfId="6" applyFont="1" applyFill="1" applyBorder="1" applyAlignment="1" applyProtection="1">
      <alignment horizontal="center" vertical="center" wrapText="1"/>
      <protection locked="0"/>
    </xf>
    <xf numFmtId="0" fontId="14" fillId="3" borderId="6" xfId="6" applyFont="1" applyFill="1" applyBorder="1" applyAlignment="1" applyProtection="1">
      <alignment horizontal="center" vertical="center" wrapText="1"/>
      <protection locked="0"/>
    </xf>
    <xf numFmtId="0" fontId="14" fillId="3" borderId="3" xfId="6" applyFont="1" applyFill="1" applyBorder="1" applyAlignment="1" applyProtection="1">
      <alignment horizontal="center" vertical="center" wrapText="1"/>
      <protection locked="0"/>
    </xf>
    <xf numFmtId="0" fontId="14" fillId="3" borderId="2" xfId="6" applyFont="1" applyFill="1" applyBorder="1" applyAlignment="1" applyProtection="1">
      <alignment horizontal="center" vertical="center" wrapText="1"/>
      <protection locked="0"/>
    </xf>
    <xf numFmtId="0" fontId="14" fillId="3" borderId="4" xfId="6" applyFont="1" applyFill="1" applyBorder="1" applyAlignment="1" applyProtection="1">
      <alignment horizontal="center" vertical="center" wrapText="1"/>
      <protection locked="0"/>
    </xf>
    <xf numFmtId="0" fontId="3" fillId="0" borderId="0" xfId="6" applyFont="1" applyAlignment="1">
      <alignment horizontal="center" vertical="center"/>
      <protection locked="0"/>
    </xf>
    <xf numFmtId="0" fontId="8" fillId="0" borderId="0" xfId="6" applyFont="1" applyAlignment="1">
      <alignment horizontal="center" vertical="center"/>
      <protection locked="0"/>
    </xf>
    <xf numFmtId="0" fontId="14" fillId="3" borderId="12" xfId="6" applyFont="1" applyFill="1" applyBorder="1" applyAlignment="1" applyProtection="1">
      <alignment horizontal="center" vertical="center" wrapText="1"/>
      <protection locked="0"/>
    </xf>
    <xf numFmtId="0" fontId="13" fillId="3" borderId="5" xfId="6" applyFont="1" applyFill="1" applyBorder="1" applyAlignment="1" applyProtection="1">
      <alignment horizontal="center" vertical="center" wrapText="1"/>
      <protection locked="0"/>
    </xf>
    <xf numFmtId="0" fontId="14" fillId="3" borderId="3" xfId="6" applyFont="1" applyFill="1" applyBorder="1" applyAlignment="1" applyProtection="1">
      <alignment horizontal="center" vertical="center"/>
      <protection locked="0"/>
    </xf>
    <xf numFmtId="0" fontId="14" fillId="3" borderId="2" xfId="6" applyFont="1" applyFill="1" applyBorder="1" applyAlignment="1" applyProtection="1">
      <alignment horizontal="center" vertical="center"/>
      <protection locked="0"/>
    </xf>
    <xf numFmtId="0" fontId="14" fillId="3" borderId="4" xfId="6" applyFont="1" applyFill="1" applyBorder="1" applyAlignment="1" applyProtection="1">
      <alignment horizontal="center" vertical="center"/>
      <protection locked="0"/>
    </xf>
    <xf numFmtId="0" fontId="14" fillId="3" borderId="16" xfId="6" applyFont="1" applyFill="1" applyBorder="1" applyAlignment="1">
      <alignment horizontal="center" vertical="center"/>
      <protection locked="0"/>
    </xf>
    <xf numFmtId="0" fontId="11" fillId="3" borderId="1" xfId="6" applyFont="1" applyFill="1" applyBorder="1" applyAlignment="1" applyProtection="1">
      <alignment horizontal="center" vertical="center"/>
      <protection locked="0"/>
    </xf>
    <xf numFmtId="0" fontId="22" fillId="0" borderId="20" xfId="12" applyFont="1" applyBorder="1" applyAlignment="1">
      <alignment horizontal="left" vertical="center"/>
    </xf>
    <xf numFmtId="0" fontId="3" fillId="0" borderId="0" xfId="12" applyFont="1" applyAlignment="1" applyProtection="1">
      <alignment horizontal="center" vertical="center"/>
      <protection locked="0"/>
    </xf>
    <xf numFmtId="0" fontId="8" fillId="0" borderId="0" xfId="12" applyFont="1" applyAlignment="1" applyProtection="1">
      <alignment horizontal="center" vertical="center"/>
      <protection locked="0"/>
    </xf>
    <xf numFmtId="0" fontId="14" fillId="3" borderId="1" xfId="12" applyFont="1" applyFill="1" applyBorder="1" applyAlignment="1" applyProtection="1">
      <alignment horizontal="center" vertical="center" wrapText="1"/>
    </xf>
    <xf numFmtId="0" fontId="13" fillId="3" borderId="3" xfId="13" applyFont="1" applyFill="1" applyBorder="1" applyAlignment="1">
      <alignment horizontal="center" vertical="center" wrapText="1"/>
    </xf>
    <xf numFmtId="0" fontId="13" fillId="3" borderId="2" xfId="13" applyFont="1" applyFill="1" applyBorder="1" applyAlignment="1">
      <alignment horizontal="center" vertical="center" wrapText="1"/>
    </xf>
    <xf numFmtId="0" fontId="13" fillId="3" borderId="4" xfId="13" applyFont="1" applyFill="1" applyBorder="1" applyAlignment="1">
      <alignment horizontal="center" vertical="center" wrapText="1"/>
    </xf>
    <xf numFmtId="0" fontId="35" fillId="3" borderId="1" xfId="12" applyFont="1" applyFill="1" applyBorder="1" applyAlignment="1" applyProtection="1">
      <alignment horizontal="center" vertical="center" wrapText="1"/>
    </xf>
    <xf numFmtId="0" fontId="14" fillId="3" borderId="1" xfId="13" applyFont="1" applyFill="1" applyBorder="1" applyAlignment="1">
      <alignment horizontal="center" vertical="center" wrapText="1"/>
    </xf>
    <xf numFmtId="0" fontId="14" fillId="3" borderId="3" xfId="13" applyFont="1" applyFill="1" applyBorder="1" applyAlignment="1">
      <alignment horizontal="center" vertical="center"/>
    </xf>
    <xf numFmtId="0" fontId="14" fillId="3" borderId="2" xfId="13" applyFont="1" applyFill="1" applyBorder="1" applyAlignment="1">
      <alignment horizontal="center" vertical="center"/>
    </xf>
    <xf numFmtId="0" fontId="14" fillId="3" borderId="4" xfId="13" applyFont="1" applyFill="1" applyBorder="1" applyAlignment="1">
      <alignment horizontal="center" vertical="center"/>
    </xf>
    <xf numFmtId="0" fontId="3" fillId="0" borderId="0" xfId="11" applyFont="1" applyBorder="1" applyAlignment="1">
      <alignment horizontal="center" vertical="center"/>
      <protection locked="0"/>
    </xf>
    <xf numFmtId="0" fontId="8" fillId="0" borderId="0" xfId="11" applyFont="1" applyBorder="1" applyAlignment="1">
      <alignment horizontal="center" vertical="center"/>
      <protection locked="0"/>
    </xf>
    <xf numFmtId="0" fontId="10" fillId="0" borderId="0" xfId="11" applyFont="1" applyBorder="1" applyAlignment="1">
      <alignment horizontal="center" vertical="center"/>
      <protection locked="0"/>
    </xf>
    <xf numFmtId="0" fontId="14" fillId="0" borderId="0" xfId="11" applyFont="1" applyBorder="1" applyAlignment="1">
      <alignment horizontal="center" vertical="center"/>
      <protection locked="0"/>
    </xf>
    <xf numFmtId="0" fontId="10" fillId="0" borderId="0" xfId="6" applyFont="1" applyAlignment="1">
      <alignment horizontal="center" vertical="center"/>
      <protection locked="0"/>
    </xf>
    <xf numFmtId="0" fontId="76" fillId="3" borderId="1" xfId="20" applyFont="1" applyFill="1" applyBorder="1" applyAlignment="1">
      <alignment horizontal="left" vertical="center"/>
    </xf>
    <xf numFmtId="0" fontId="75" fillId="3" borderId="1" xfId="20" applyFont="1" applyFill="1" applyBorder="1" applyAlignment="1">
      <alignment horizontal="center" vertical="center"/>
    </xf>
    <xf numFmtId="0" fontId="58" fillId="3" borderId="5" xfId="20" applyFont="1" applyFill="1" applyBorder="1" applyAlignment="1">
      <alignment horizontal="center" vertical="center"/>
    </xf>
    <xf numFmtId="0" fontId="58" fillId="3" borderId="6" xfId="20" applyFont="1" applyFill="1" applyBorder="1" applyAlignment="1">
      <alignment horizontal="center" vertical="center"/>
    </xf>
    <xf numFmtId="0" fontId="76" fillId="3" borderId="1" xfId="20" applyFont="1" applyFill="1" applyBorder="1" applyAlignment="1">
      <alignment horizontal="center" vertical="center"/>
    </xf>
    <xf numFmtId="0" fontId="75" fillId="3" borderId="16" xfId="0" applyNumberFormat="1" applyFont="1" applyFill="1" applyBorder="1" applyAlignment="1" applyProtection="1">
      <alignment horizontal="center" vertical="center" wrapText="1"/>
      <protection locked="0"/>
    </xf>
    <xf numFmtId="0" fontId="95" fillId="3" borderId="16" xfId="0" applyNumberFormat="1" applyFont="1" applyFill="1" applyBorder="1" applyAlignment="1" applyProtection="1">
      <alignment horizontal="center" vertical="center" wrapText="1"/>
      <protection locked="0"/>
    </xf>
    <xf numFmtId="0" fontId="13" fillId="3" borderId="21" xfId="0" applyNumberFormat="1" applyFont="1" applyFill="1" applyBorder="1" applyAlignment="1" applyProtection="1">
      <alignment horizontal="center" vertical="center" wrapText="1"/>
    </xf>
    <xf numFmtId="0" fontId="12" fillId="0" borderId="0" xfId="0" applyNumberFormat="1" applyFont="1" applyFill="1" applyBorder="1" applyAlignment="1" applyProtection="1">
      <alignment horizontal="center" vertical="center"/>
      <protection locked="0"/>
    </xf>
    <xf numFmtId="0" fontId="75" fillId="3" borderId="21" xfId="0" applyNumberFormat="1" applyFont="1" applyFill="1" applyBorder="1" applyAlignment="1" applyProtection="1">
      <alignment horizontal="center" vertical="center" wrapText="1"/>
    </xf>
    <xf numFmtId="0" fontId="76" fillId="0" borderId="0" xfId="0" applyNumberFormat="1" applyFont="1" applyFill="1" applyBorder="1" applyAlignment="1" applyProtection="1">
      <alignment horizontal="center" vertical="center"/>
      <protection locked="0"/>
    </xf>
    <xf numFmtId="0" fontId="13" fillId="3" borderId="22" xfId="0" applyNumberFormat="1" applyFont="1" applyFill="1" applyBorder="1" applyAlignment="1" applyProtection="1">
      <alignment horizontal="center" vertical="center"/>
      <protection locked="0"/>
    </xf>
    <xf numFmtId="0" fontId="13" fillId="3" borderId="23" xfId="0" applyNumberFormat="1" applyFont="1" applyFill="1" applyBorder="1" applyAlignment="1" applyProtection="1">
      <alignment horizontal="center" vertical="center"/>
      <protection locked="0"/>
    </xf>
    <xf numFmtId="0" fontId="3" fillId="0" borderId="0" xfId="6" applyFont="1" applyBorder="1" applyAlignment="1">
      <alignment horizontal="center" vertical="center"/>
      <protection locked="0"/>
    </xf>
    <xf numFmtId="0" fontId="8" fillId="0" borderId="0" xfId="6" applyFont="1" applyBorder="1" applyAlignment="1">
      <alignment horizontal="center" vertical="center"/>
      <protection locked="0"/>
    </xf>
    <xf numFmtId="0" fontId="79" fillId="4" borderId="1" xfId="6" applyNumberFormat="1" applyFont="1" applyFill="1" applyBorder="1" applyAlignment="1" applyProtection="1">
      <alignment horizontal="center" vertical="center" wrapText="1"/>
    </xf>
    <xf numFmtId="0" fontId="82" fillId="4" borderId="1" xfId="6" applyNumberFormat="1" applyFont="1" applyFill="1" applyBorder="1" applyAlignment="1" applyProtection="1">
      <alignment horizontal="center" vertical="center" wrapText="1"/>
    </xf>
    <xf numFmtId="0" fontId="57" fillId="4" borderId="1" xfId="6" applyNumberFormat="1" applyFont="1" applyFill="1" applyBorder="1" applyAlignment="1" applyProtection="1">
      <alignment horizontal="center" vertical="center" wrapText="1"/>
    </xf>
    <xf numFmtId="0" fontId="80" fillId="4" borderId="1" xfId="6" applyNumberFormat="1" applyFont="1" applyFill="1" applyBorder="1" applyAlignment="1" applyProtection="1">
      <alignment horizontal="center" vertical="center" wrapText="1"/>
    </xf>
    <xf numFmtId="0" fontId="75" fillId="4" borderId="1" xfId="6" applyNumberFormat="1" applyFont="1" applyFill="1" applyBorder="1" applyAlignment="1" applyProtection="1">
      <alignment horizontal="center" vertical="center" wrapText="1"/>
    </xf>
    <xf numFmtId="0" fontId="75" fillId="4" borderId="5" xfId="6" applyNumberFormat="1" applyFont="1" applyFill="1" applyBorder="1" applyAlignment="1" applyProtection="1">
      <alignment horizontal="center" vertical="center" wrapText="1"/>
    </xf>
    <xf numFmtId="0" fontId="75" fillId="4" borderId="6" xfId="6" applyNumberFormat="1" applyFont="1" applyFill="1" applyBorder="1" applyAlignment="1" applyProtection="1">
      <alignment horizontal="center" vertical="center" wrapText="1"/>
    </xf>
    <xf numFmtId="0" fontId="75" fillId="3" borderId="22" xfId="0" applyNumberFormat="1" applyFont="1" applyFill="1" applyBorder="1" applyAlignment="1" applyProtection="1">
      <alignment horizontal="center" vertical="center"/>
      <protection locked="0"/>
    </xf>
    <xf numFmtId="0" fontId="75" fillId="3" borderId="23" xfId="0" applyNumberFormat="1" applyFont="1" applyFill="1" applyBorder="1" applyAlignment="1" applyProtection="1">
      <alignment horizontal="center" vertical="center"/>
      <protection locked="0"/>
    </xf>
    <xf numFmtId="0" fontId="31" fillId="3" borderId="17" xfId="0" applyNumberFormat="1" applyFont="1" applyFill="1" applyBorder="1" applyAlignment="1" applyProtection="1">
      <alignment horizontal="center" vertical="center" wrapText="1"/>
    </xf>
    <xf numFmtId="0" fontId="31" fillId="3" borderId="19" xfId="0" applyNumberFormat="1" applyFont="1" applyFill="1" applyBorder="1" applyAlignment="1" applyProtection="1">
      <alignment horizontal="center" vertical="center" wrapText="1"/>
    </xf>
    <xf numFmtId="0" fontId="31" fillId="3" borderId="18" xfId="0" applyNumberFormat="1" applyFont="1" applyFill="1" applyBorder="1" applyAlignment="1" applyProtection="1">
      <alignment horizontal="center" vertical="center" wrapText="1"/>
    </xf>
    <xf numFmtId="0" fontId="95" fillId="3" borderId="17" xfId="0" applyNumberFormat="1" applyFont="1" applyFill="1" applyBorder="1" applyAlignment="1" applyProtection="1">
      <alignment horizontal="center" vertical="center" wrapText="1"/>
    </xf>
    <xf numFmtId="0" fontId="95" fillId="3" borderId="19" xfId="0" applyNumberFormat="1" applyFont="1" applyFill="1" applyBorder="1" applyAlignment="1" applyProtection="1">
      <alignment horizontal="center" vertical="center" wrapText="1"/>
    </xf>
    <xf numFmtId="0" fontId="95" fillId="3" borderId="18" xfId="0" applyNumberFormat="1" applyFont="1" applyFill="1" applyBorder="1" applyAlignment="1" applyProtection="1">
      <alignment horizontal="center" vertical="center" wrapText="1"/>
    </xf>
    <xf numFmtId="0" fontId="95" fillId="3" borderId="21" xfId="0" applyNumberFormat="1" applyFont="1" applyFill="1" applyBorder="1" applyAlignment="1" applyProtection="1">
      <alignment horizontal="center" vertical="center" wrapText="1"/>
    </xf>
    <xf numFmtId="0" fontId="58" fillId="3" borderId="16" xfId="0" applyNumberFormat="1" applyFont="1" applyFill="1" applyBorder="1" applyAlignment="1" applyProtection="1">
      <alignment horizontal="center" vertical="center" wrapText="1"/>
    </xf>
    <xf numFmtId="0" fontId="9" fillId="0" borderId="16" xfId="0" applyNumberFormat="1" applyFont="1" applyFill="1" applyBorder="1" applyAlignment="1" applyProtection="1">
      <alignment horizontal="center"/>
      <protection locked="0"/>
    </xf>
    <xf numFmtId="0" fontId="100" fillId="3" borderId="16" xfId="0" applyNumberFormat="1" applyFont="1" applyFill="1" applyBorder="1" applyAlignment="1" applyProtection="1">
      <alignment horizontal="center" vertical="center" wrapText="1"/>
    </xf>
    <xf numFmtId="0" fontId="101" fillId="3" borderId="16" xfId="0" applyNumberFormat="1" applyFont="1" applyFill="1" applyBorder="1" applyAlignment="1" applyProtection="1">
      <alignment horizontal="center" vertical="center" wrapText="1"/>
    </xf>
    <xf numFmtId="0" fontId="95" fillId="3" borderId="16" xfId="0" applyNumberFormat="1" applyFont="1" applyFill="1" applyBorder="1" applyAlignment="1" applyProtection="1">
      <alignment horizontal="center" vertical="center" wrapText="1"/>
    </xf>
    <xf numFmtId="0" fontId="93" fillId="3" borderId="16" xfId="0" applyNumberFormat="1" applyFont="1" applyFill="1" applyBorder="1" applyAlignment="1" applyProtection="1">
      <alignment horizontal="center" vertical="center" wrapText="1"/>
    </xf>
    <xf numFmtId="0" fontId="91" fillId="3" borderId="16" xfId="0" applyNumberFormat="1" applyFont="1" applyFill="1" applyBorder="1" applyAlignment="1" applyProtection="1">
      <alignment horizontal="center" vertical="center" wrapText="1"/>
    </xf>
    <xf numFmtId="0" fontId="99" fillId="3" borderId="16" xfId="0" applyNumberFormat="1" applyFont="1" applyFill="1" applyBorder="1" applyAlignment="1" applyProtection="1">
      <alignment horizontal="center" vertical="center" wrapText="1"/>
    </xf>
    <xf numFmtId="0" fontId="55" fillId="0" borderId="20" xfId="6" applyNumberFormat="1" applyFont="1" applyFill="1" applyBorder="1" applyAlignment="1" applyProtection="1">
      <alignment horizontal="left" vertical="center" wrapText="1"/>
    </xf>
    <xf numFmtId="0" fontId="58" fillId="3" borderId="16" xfId="0" applyNumberFormat="1" applyFont="1" applyFill="1" applyBorder="1" applyAlignment="1" applyProtection="1">
      <alignment horizontal="center" vertical="center"/>
      <protection locked="0"/>
    </xf>
    <xf numFmtId="0" fontId="29" fillId="0" borderId="0" xfId="6" applyFont="1" applyBorder="1" applyAlignment="1">
      <alignment horizontal="center" vertical="center"/>
      <protection locked="0"/>
    </xf>
    <xf numFmtId="0" fontId="58" fillId="3" borderId="16" xfId="0" applyNumberFormat="1" applyFont="1" applyFill="1" applyBorder="1" applyAlignment="1" applyProtection="1">
      <alignment horizontal="center" vertical="center" wrapText="1"/>
      <protection locked="0"/>
    </xf>
    <xf numFmtId="0" fontId="91" fillId="3" borderId="16" xfId="0" applyNumberFormat="1" applyFont="1" applyFill="1" applyBorder="1" applyAlignment="1" applyProtection="1">
      <alignment horizontal="center" vertical="center" wrapText="1"/>
      <protection locked="0"/>
    </xf>
    <xf numFmtId="0" fontId="57" fillId="0" borderId="0" xfId="6" applyNumberFormat="1" applyFont="1" applyFill="1" applyBorder="1" applyAlignment="1" applyProtection="1">
      <alignment horizontal="left" vertical="center" wrapText="1"/>
    </xf>
    <xf numFmtId="0" fontId="91" fillId="3" borderId="16" xfId="0" applyNumberFormat="1" applyFont="1" applyFill="1" applyBorder="1" applyAlignment="1" applyProtection="1">
      <alignment horizontal="center" vertical="center"/>
      <protection locked="0"/>
    </xf>
    <xf numFmtId="0" fontId="11" fillId="0" borderId="0" xfId="14" applyFont="1" applyFill="1" applyAlignment="1">
      <alignment horizontal="left" vertical="center"/>
    </xf>
    <xf numFmtId="0" fontId="3" fillId="0" borderId="0" xfId="11" applyFont="1" applyAlignment="1">
      <alignment horizontal="center" vertical="center"/>
      <protection locked="0"/>
    </xf>
    <xf numFmtId="0" fontId="8" fillId="0" borderId="0" xfId="11" applyFont="1" applyAlignment="1">
      <alignment horizontal="center" vertical="center"/>
      <protection locked="0"/>
    </xf>
    <xf numFmtId="0" fontId="10" fillId="0" borderId="0" xfId="11" applyFont="1" applyAlignment="1">
      <alignment horizontal="center" vertical="center"/>
      <protection locked="0"/>
    </xf>
    <xf numFmtId="0" fontId="14" fillId="3" borderId="1" xfId="14" applyFont="1" applyFill="1" applyBorder="1" applyAlignment="1">
      <alignment horizontal="center" vertical="center" wrapText="1"/>
    </xf>
    <xf numFmtId="0" fontId="14" fillId="3" borderId="5" xfId="14" applyFont="1" applyFill="1" applyBorder="1" applyAlignment="1">
      <alignment horizontal="center" vertical="center" wrapText="1"/>
    </xf>
    <xf numFmtId="0" fontId="14" fillId="3" borderId="6" xfId="14" applyFont="1" applyFill="1" applyBorder="1" applyAlignment="1">
      <alignment horizontal="center" vertical="center" wrapText="1"/>
    </xf>
    <xf numFmtId="0" fontId="13" fillId="3" borderId="3" xfId="14" applyFont="1" applyFill="1" applyBorder="1" applyAlignment="1">
      <alignment horizontal="center" vertical="center"/>
    </xf>
    <xf numFmtId="0" fontId="14" fillId="3" borderId="2" xfId="14" applyFont="1" applyFill="1" applyBorder="1" applyAlignment="1">
      <alignment horizontal="center" vertical="center"/>
    </xf>
    <xf numFmtId="0" fontId="14" fillId="3" borderId="4" xfId="14" applyFont="1" applyFill="1" applyBorder="1" applyAlignment="1">
      <alignment horizontal="center" vertical="center"/>
    </xf>
    <xf numFmtId="0" fontId="11" fillId="3" borderId="17" xfId="21" applyFont="1" applyFill="1" applyBorder="1" applyAlignment="1">
      <alignment horizontal="left" vertical="center" wrapText="1"/>
    </xf>
    <xf numFmtId="0" fontId="11" fillId="3" borderId="19" xfId="21" applyFont="1" applyFill="1" applyBorder="1" applyAlignment="1">
      <alignment horizontal="left" vertical="center" wrapText="1"/>
    </xf>
    <xf numFmtId="0" fontId="11" fillId="3" borderId="18" xfId="21" applyFont="1" applyFill="1" applyBorder="1" applyAlignment="1">
      <alignment horizontal="left" vertical="center" wrapText="1"/>
    </xf>
    <xf numFmtId="0" fontId="77" fillId="0" borderId="0" xfId="17" applyFont="1" applyFill="1" applyBorder="1" applyAlignment="1">
      <alignment horizontal="center" vertical="center"/>
    </xf>
    <xf numFmtId="0" fontId="78" fillId="0" borderId="0" xfId="17" applyFont="1" applyFill="1" applyBorder="1" applyAlignment="1">
      <alignment horizontal="center" vertical="center" wrapText="1"/>
    </xf>
    <xf numFmtId="0" fontId="66" fillId="0" borderId="0" xfId="17" applyFont="1" applyFill="1" applyBorder="1" applyAlignment="1">
      <alignment horizontal="center" vertical="center"/>
    </xf>
    <xf numFmtId="0" fontId="14" fillId="3" borderId="1" xfId="17" applyFont="1" applyFill="1" applyBorder="1" applyAlignment="1">
      <alignment horizontal="center" vertical="center" wrapText="1"/>
    </xf>
    <xf numFmtId="0" fontId="11" fillId="3" borderId="16" xfId="21" applyFont="1" applyFill="1" applyBorder="1" applyAlignment="1">
      <alignment horizontal="left" vertical="center" wrapText="1"/>
    </xf>
    <xf numFmtId="0" fontId="11" fillId="6" borderId="17" xfId="21" applyFont="1" applyFill="1" applyBorder="1" applyAlignment="1">
      <alignment horizontal="left" vertical="center" wrapText="1"/>
    </xf>
    <xf numFmtId="0" fontId="11" fillId="6" borderId="19" xfId="21" applyFont="1" applyFill="1" applyBorder="1" applyAlignment="1">
      <alignment horizontal="left" vertical="center" wrapText="1"/>
    </xf>
    <xf numFmtId="0" fontId="11" fillId="6" borderId="18" xfId="21" applyFont="1" applyFill="1" applyBorder="1" applyAlignment="1">
      <alignment horizontal="left" vertical="center" wrapText="1"/>
    </xf>
    <xf numFmtId="0" fontId="11" fillId="3" borderId="17" xfId="17" applyFont="1" applyFill="1" applyBorder="1" applyAlignment="1">
      <alignment horizontal="left" vertical="center" wrapText="1"/>
    </xf>
    <xf numFmtId="0" fontId="11" fillId="3" borderId="19" xfId="17" applyFont="1" applyFill="1" applyBorder="1" applyAlignment="1">
      <alignment horizontal="left" vertical="center" wrapText="1"/>
    </xf>
    <xf numFmtId="0" fontId="11" fillId="3" borderId="18" xfId="17" applyFont="1" applyFill="1" applyBorder="1" applyAlignment="1">
      <alignment horizontal="left" vertical="center" wrapText="1"/>
    </xf>
    <xf numFmtId="0" fontId="44" fillId="7" borderId="0" xfId="17" applyFont="1" applyFill="1" applyBorder="1" applyAlignment="1">
      <alignment horizontal="left" vertical="top" wrapText="1"/>
    </xf>
    <xf numFmtId="0" fontId="43" fillId="7" borderId="0" xfId="17" applyFont="1" applyFill="1" applyBorder="1" applyAlignment="1">
      <alignment horizontal="left" vertical="top" wrapText="1"/>
    </xf>
    <xf numFmtId="0" fontId="21" fillId="6" borderId="17" xfId="21" applyFont="1" applyFill="1" applyBorder="1" applyAlignment="1">
      <alignment horizontal="left" vertical="center" wrapText="1"/>
    </xf>
    <xf numFmtId="0" fontId="21" fillId="6" borderId="19" xfId="21" applyFont="1" applyFill="1" applyBorder="1" applyAlignment="1">
      <alignment horizontal="left" vertical="center" wrapText="1"/>
    </xf>
    <xf numFmtId="0" fontId="21" fillId="6" borderId="18" xfId="21" applyFont="1" applyFill="1" applyBorder="1" applyAlignment="1">
      <alignment horizontal="left" vertical="center" wrapText="1"/>
    </xf>
  </cellXfs>
  <cellStyles count="22">
    <cellStyle name="Normal 3" xfId="20"/>
    <cellStyle name="百分比" xfId="2" builtinId="5"/>
    <cellStyle name="百分比 2" xfId="10"/>
    <cellStyle name="常规" xfId="0" builtinId="0"/>
    <cellStyle name="常规 2" xfId="6"/>
    <cellStyle name="常规 2 2" xfId="12"/>
    <cellStyle name="常规 2 3" xfId="17"/>
    <cellStyle name="常规 2 3 3" xfId="21"/>
    <cellStyle name="常规 2 8" xfId="11"/>
    <cellStyle name="常规 3" xfId="5"/>
    <cellStyle name="常规 6" xfId="14"/>
    <cellStyle name="常规 7" xfId="4"/>
    <cellStyle name="常规_B2.9审计风险评估" xfId="18"/>
    <cellStyle name="常规_Book1" xfId="7"/>
    <cellStyle name="常规_Book1 2" xfId="3"/>
    <cellStyle name="常规_WOOKSHEET2" xfId="16"/>
    <cellStyle name="常规_非关联方函证信息" xfId="13"/>
    <cellStyle name="常规_进一步审计程序--销售与收款循环" xfId="15"/>
    <cellStyle name="常规_新审定表" xfId="8"/>
    <cellStyle name="超链接" xfId="9" builtinId="8"/>
    <cellStyle name="千位分隔" xfId="1" builtinId="3"/>
    <cellStyle name="千位分隔 2" xfId="19"/>
  </cellStyles>
  <dxfs count="0"/>
  <tableStyles count="0" defaultTableStyle="TableStyleMedium2" defaultPivotStyle="PivotStyleLight16"/>
  <colors>
    <mruColors>
      <color rgb="FFE4DFE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数量金额总账"/>
      <sheetName val="设备部房屋"/>
      <sheetName val="核算项目余额表"/>
      <sheetName val="PER SALES ORG"/>
      <sheetName val="1月"/>
      <sheetName val="SW-TEO"/>
      <sheetName val="Detailed Testing"/>
      <sheetName val="银行借款询证"/>
      <sheetName val="余额表"/>
      <sheetName val="盈余公积 （合并)"/>
      <sheetName val="Toolbox"/>
      <sheetName val="提足折旧"/>
      <sheetName val="DATA"/>
      <sheetName val="委托加工材料"/>
      <sheetName val="材料采购-入库"/>
      <sheetName val="原材料－其他"/>
      <sheetName val="材料成本差异－运费等"/>
      <sheetName val="管理费用(集团董事会)"/>
      <sheetName val="FS"/>
      <sheetName val="gl"/>
      <sheetName val="Adm"/>
      <sheetName val="sell"/>
      <sheetName val="Fin"/>
      <sheetName val="Erection"/>
      <sheetName val="剥离前"/>
      <sheetName val="10"/>
      <sheetName val="UFPrn20031114182129"/>
      <sheetName val="订单418"/>
      <sheetName val="Collateral"/>
      <sheetName val="Disposition"/>
      <sheetName val="Validation"/>
      <sheetName val="35.1租赁明细"/>
      <sheetName val="中山低值"/>
      <sheetName val="分产品销售收入、成本分析表"/>
      <sheetName val="其他应收款－个人借款明细"/>
      <sheetName val="生产成本"/>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1"/>
  <sheetViews>
    <sheetView tabSelected="1" workbookViewId="0"/>
  </sheetViews>
  <sheetFormatPr defaultColWidth="8.88671875" defaultRowHeight="20.100000000000001" customHeight="1"/>
  <cols>
    <col min="1" max="1" width="86.21875" style="134" customWidth="1"/>
    <col min="2" max="2" width="2.21875" style="134" customWidth="1"/>
    <col min="3" max="3" width="2.33203125" style="134" customWidth="1"/>
    <col min="4" max="4" width="6.77734375" style="126" customWidth="1"/>
    <col min="5" max="5" width="40.33203125" style="126" customWidth="1"/>
    <col min="6" max="6" width="22.77734375" style="126" bestFit="1" customWidth="1"/>
    <col min="7" max="7" width="18.6640625" style="128" customWidth="1"/>
    <col min="8" max="16384" width="8.88671875" style="128"/>
  </cols>
  <sheetData>
    <row r="1" spans="1:8" s="63" customFormat="1" ht="20.100000000000001" customHeight="1">
      <c r="A1" s="123" t="s">
        <v>133</v>
      </c>
      <c r="B1" s="124"/>
      <c r="C1" s="124"/>
    </row>
    <row r="2" spans="1:8" ht="20.100000000000001" customHeight="1">
      <c r="A2" s="253" t="s">
        <v>534</v>
      </c>
      <c r="B2" s="125"/>
      <c r="C2" s="125"/>
      <c r="G2" s="127"/>
      <c r="H2" s="127"/>
    </row>
    <row r="3" spans="1:8" ht="20.100000000000001" customHeight="1">
      <c r="A3" s="253" t="s">
        <v>546</v>
      </c>
      <c r="B3" s="125"/>
      <c r="C3" s="125"/>
      <c r="D3" s="129" t="s">
        <v>134</v>
      </c>
      <c r="E3" s="129" t="s">
        <v>135</v>
      </c>
      <c r="F3" s="129" t="s">
        <v>136</v>
      </c>
      <c r="G3" s="127"/>
      <c r="H3" s="130"/>
    </row>
    <row r="4" spans="1:8" ht="20.100000000000001" customHeight="1">
      <c r="A4" s="131" t="s">
        <v>535</v>
      </c>
      <c r="B4" s="125"/>
      <c r="C4" s="125"/>
      <c r="D4" s="320">
        <v>1</v>
      </c>
      <c r="E4" s="321" t="s">
        <v>137</v>
      </c>
      <c r="F4" s="334" t="s">
        <v>376</v>
      </c>
      <c r="G4" s="127"/>
      <c r="H4" s="130"/>
    </row>
    <row r="5" spans="1:8" ht="20.100000000000001" customHeight="1">
      <c r="A5" s="131" t="s">
        <v>536</v>
      </c>
      <c r="B5" s="132"/>
      <c r="C5" s="132"/>
      <c r="D5" s="320">
        <f>D4+1</f>
        <v>2</v>
      </c>
      <c r="E5" s="321" t="s">
        <v>138</v>
      </c>
      <c r="F5" s="334" t="s">
        <v>377</v>
      </c>
      <c r="H5" s="133"/>
    </row>
    <row r="6" spans="1:8" ht="20.100000000000001" customHeight="1">
      <c r="A6" s="131" t="s">
        <v>537</v>
      </c>
      <c r="D6" s="320">
        <f t="shared" ref="D6:D13" si="0">D5+1</f>
        <v>3</v>
      </c>
      <c r="E6" s="321" t="s">
        <v>139</v>
      </c>
      <c r="F6" s="334" t="s">
        <v>378</v>
      </c>
      <c r="H6" s="135"/>
    </row>
    <row r="7" spans="1:8" ht="20.100000000000001" customHeight="1">
      <c r="A7" s="131" t="s">
        <v>538</v>
      </c>
      <c r="D7" s="320">
        <f t="shared" si="0"/>
        <v>4</v>
      </c>
      <c r="E7" s="321" t="s">
        <v>140</v>
      </c>
      <c r="F7" s="334" t="s">
        <v>379</v>
      </c>
    </row>
    <row r="8" spans="1:8" ht="20.100000000000001" customHeight="1">
      <c r="A8" s="131"/>
      <c r="D8" s="320">
        <f t="shared" si="0"/>
        <v>5</v>
      </c>
      <c r="E8" s="321" t="s">
        <v>197</v>
      </c>
      <c r="F8" s="334" t="s">
        <v>380</v>
      </c>
    </row>
    <row r="9" spans="1:8" ht="20.100000000000001" customHeight="1">
      <c r="A9" s="131"/>
      <c r="D9" s="320">
        <f t="shared" si="0"/>
        <v>6</v>
      </c>
      <c r="E9" s="321" t="s">
        <v>373</v>
      </c>
      <c r="F9" s="334"/>
    </row>
    <row r="10" spans="1:8" ht="20.100000000000001" customHeight="1">
      <c r="D10" s="320">
        <f t="shared" si="0"/>
        <v>7</v>
      </c>
      <c r="E10" s="321" t="s">
        <v>521</v>
      </c>
      <c r="F10" s="334" t="s">
        <v>381</v>
      </c>
    </row>
    <row r="11" spans="1:8" ht="20.100000000000001" customHeight="1">
      <c r="A11" s="433" t="s">
        <v>547</v>
      </c>
      <c r="D11" s="320">
        <f t="shared" si="0"/>
        <v>8</v>
      </c>
      <c r="E11" s="321" t="s">
        <v>523</v>
      </c>
      <c r="F11" s="334" t="s">
        <v>382</v>
      </c>
    </row>
    <row r="12" spans="1:8" ht="20.100000000000001" customHeight="1">
      <c r="A12" s="463" t="s">
        <v>548</v>
      </c>
      <c r="D12" s="320">
        <f t="shared" si="0"/>
        <v>9</v>
      </c>
      <c r="E12" s="321" t="s">
        <v>198</v>
      </c>
      <c r="F12" s="334" t="s">
        <v>383</v>
      </c>
    </row>
    <row r="13" spans="1:8" ht="20.100000000000001" customHeight="1">
      <c r="A13" s="463"/>
      <c r="D13" s="320">
        <f t="shared" si="0"/>
        <v>10</v>
      </c>
      <c r="E13" s="321" t="s">
        <v>185</v>
      </c>
      <c r="F13" s="334" t="s">
        <v>384</v>
      </c>
    </row>
    <row r="14" spans="1:8" ht="20.100000000000001" customHeight="1">
      <c r="A14" s="463"/>
    </row>
    <row r="15" spans="1:8" ht="20.100000000000001" customHeight="1">
      <c r="A15" s="463"/>
    </row>
    <row r="16" spans="1:8" ht="20.100000000000001" customHeight="1">
      <c r="A16" s="463" t="s">
        <v>549</v>
      </c>
    </row>
    <row r="17" spans="1:1" ht="20.100000000000001" customHeight="1">
      <c r="A17" s="463"/>
    </row>
    <row r="18" spans="1:1" ht="20.100000000000001" customHeight="1">
      <c r="A18" s="463"/>
    </row>
    <row r="19" spans="1:1" ht="20.100000000000001" customHeight="1">
      <c r="A19" s="464" t="s">
        <v>550</v>
      </c>
    </row>
    <row r="20" spans="1:1" ht="20.100000000000001" customHeight="1">
      <c r="A20" s="464"/>
    </row>
    <row r="21" spans="1:1" ht="20.100000000000001" customHeight="1">
      <c r="A21" s="464"/>
    </row>
  </sheetData>
  <mergeCells count="3">
    <mergeCell ref="A12:A15"/>
    <mergeCell ref="A16:A18"/>
    <mergeCell ref="A19:A21"/>
  </mergeCells>
  <phoneticPr fontId="5" type="noConversion"/>
  <hyperlinks>
    <hyperlink ref="E5" location="'函证结果汇总表D0-1'!A1" display="函证结果汇总表"/>
    <hyperlink ref="E6" location="'核实被函证单位信息D0-2'!A1" display="核实被函证单位信息"/>
    <hyperlink ref="E12" location="'邮件传真回函可靠性验证D0-7'!A1" display="邮件传真回函可靠性验证"/>
    <hyperlink ref="E10" location="'合同负债及销售替代程序D0-5'!A1" display="合同负债及销售替代程序检查表"/>
    <hyperlink ref="E7" location="'跟函函证过程控制D0-3'!A1" display="跟函函证过程控制"/>
    <hyperlink ref="E11" location="'应收及销售替代程序D0-6'!A1" display="应收账款、合同资产及销售替代程序检查表"/>
    <hyperlink ref="E4" location="函证程序表D0A!A1" display="函证程序表"/>
    <hyperlink ref="E8" location="'函证差异调节表D0-4'!Print_Area" display="函证差异调节表"/>
    <hyperlink ref="E13" location="'函证程序舞弊风险评价表D0-8'!A1" display="函证程序舞弊风险评价表"/>
    <hyperlink ref="E9" location="'函证差异检查表（示例）'!A1" display="函证差异检查表（示例）"/>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J22"/>
  <sheetViews>
    <sheetView view="pageBreakPreview" zoomScale="99" zoomScaleNormal="115" zoomScaleSheetLayoutView="99" workbookViewId="0">
      <selection sqref="A1:F1"/>
    </sheetView>
  </sheetViews>
  <sheetFormatPr defaultColWidth="10" defaultRowHeight="13.8"/>
  <cols>
    <col min="1" max="1" width="5.77734375" style="2" customWidth="1"/>
    <col min="2" max="2" width="58.109375" style="2" customWidth="1"/>
    <col min="3" max="3" width="17.33203125" style="2" customWidth="1"/>
    <col min="4" max="4" width="21" style="2" customWidth="1"/>
    <col min="5" max="5" width="8.109375" style="2" customWidth="1"/>
    <col min="6" max="6" width="6.33203125" style="5" customWidth="1"/>
    <col min="7" max="7" width="16.33203125" style="1" customWidth="1"/>
    <col min="8" max="8" width="14.109375" style="1" customWidth="1"/>
    <col min="9" max="16384" width="10" style="2"/>
  </cols>
  <sheetData>
    <row r="1" spans="1:10" ht="20.100000000000001" customHeight="1">
      <c r="A1" s="477" t="s">
        <v>0</v>
      </c>
      <c r="B1" s="477"/>
      <c r="C1" s="477"/>
      <c r="D1" s="477"/>
      <c r="E1" s="477"/>
      <c r="F1" s="477"/>
    </row>
    <row r="2" spans="1:10" ht="20.100000000000001" customHeight="1">
      <c r="A2" s="478" t="s">
        <v>531</v>
      </c>
      <c r="B2" s="479"/>
      <c r="C2" s="479"/>
      <c r="D2" s="479"/>
      <c r="E2" s="479"/>
      <c r="F2" s="479"/>
      <c r="G2" s="193"/>
    </row>
    <row r="3" spans="1:10" ht="20.100000000000001" customHeight="1">
      <c r="A3" s="3" t="s">
        <v>524</v>
      </c>
      <c r="B3" s="3"/>
      <c r="C3" s="4" t="str">
        <f>底稿目录!A4</f>
        <v>编制人：</v>
      </c>
      <c r="D3" s="3" t="str">
        <f>底稿目录!A5</f>
        <v>编制日期：</v>
      </c>
      <c r="E3" s="3" t="s">
        <v>367</v>
      </c>
      <c r="F3" s="325" t="str">
        <f>底稿目录!F4</f>
        <v>D0A</v>
      </c>
    </row>
    <row r="4" spans="1:10" ht="20.100000000000001" customHeight="1">
      <c r="A4" s="3" t="str">
        <f>底稿目录!A3</f>
        <v>截止日：202X年12月31日</v>
      </c>
      <c r="B4" s="3"/>
      <c r="C4" s="4" t="str">
        <f>底稿目录!A6</f>
        <v>复核人：</v>
      </c>
      <c r="D4" s="3" t="str">
        <f>底稿目录!A7</f>
        <v>复核日期：</v>
      </c>
      <c r="E4" s="3" t="s">
        <v>368</v>
      </c>
    </row>
    <row r="5" spans="1:10" ht="12" customHeight="1">
      <c r="A5" s="476" t="s">
        <v>1</v>
      </c>
      <c r="B5" s="475" t="s">
        <v>2</v>
      </c>
      <c r="C5" s="475"/>
      <c r="D5" s="475" t="s">
        <v>3</v>
      </c>
      <c r="E5" s="475" t="s">
        <v>4</v>
      </c>
      <c r="F5" s="480"/>
      <c r="G5" s="6"/>
      <c r="H5" s="7"/>
      <c r="I5" s="7"/>
      <c r="J5" s="7"/>
    </row>
    <row r="6" spans="1:10" ht="12" customHeight="1">
      <c r="A6" s="476"/>
      <c r="B6" s="475"/>
      <c r="C6" s="475"/>
      <c r="D6" s="475"/>
      <c r="E6" s="480"/>
      <c r="F6" s="480"/>
      <c r="G6" s="6"/>
      <c r="H6" s="7"/>
      <c r="I6" s="7"/>
      <c r="J6" s="7"/>
    </row>
    <row r="7" spans="1:10" ht="24" customHeight="1">
      <c r="A7" s="10" t="s">
        <v>5</v>
      </c>
      <c r="B7" s="465" t="s">
        <v>527</v>
      </c>
      <c r="C7" s="466"/>
      <c r="D7" s="11" t="s">
        <v>6</v>
      </c>
      <c r="E7" s="467" t="s">
        <v>377</v>
      </c>
      <c r="F7" s="467"/>
      <c r="G7" s="6"/>
      <c r="H7" s="8"/>
      <c r="I7" s="7"/>
      <c r="J7" s="7"/>
    </row>
    <row r="8" spans="1:10" ht="54" customHeight="1">
      <c r="A8" s="10" t="s">
        <v>7</v>
      </c>
      <c r="B8" s="465" t="s">
        <v>528</v>
      </c>
      <c r="C8" s="466"/>
      <c r="D8" s="11" t="s">
        <v>371</v>
      </c>
      <c r="E8" s="467" t="s">
        <v>377</v>
      </c>
      <c r="F8" s="467"/>
      <c r="G8" s="6"/>
      <c r="H8" s="8"/>
      <c r="I8" s="7"/>
      <c r="J8" s="7"/>
    </row>
    <row r="9" spans="1:10" ht="51" customHeight="1">
      <c r="A9" s="10" t="s">
        <v>8</v>
      </c>
      <c r="B9" s="465" t="s">
        <v>372</v>
      </c>
      <c r="C9" s="466"/>
      <c r="D9" s="11" t="s">
        <v>9</v>
      </c>
      <c r="E9" s="467" t="s">
        <v>378</v>
      </c>
      <c r="F9" s="467"/>
      <c r="G9" s="6"/>
      <c r="H9" s="8"/>
      <c r="I9" s="7"/>
      <c r="J9" s="7"/>
    </row>
    <row r="10" spans="1:10" ht="37.65" customHeight="1">
      <c r="A10" s="10" t="s">
        <v>10</v>
      </c>
      <c r="B10" s="465" t="s">
        <v>11</v>
      </c>
      <c r="C10" s="466"/>
      <c r="D10" s="11" t="s">
        <v>12</v>
      </c>
      <c r="E10" s="467" t="s">
        <v>385</v>
      </c>
      <c r="F10" s="467"/>
      <c r="G10" s="6"/>
      <c r="H10" s="8"/>
      <c r="I10" s="7"/>
      <c r="J10" s="7"/>
    </row>
    <row r="11" spans="1:10" ht="30.6" customHeight="1">
      <c r="A11" s="10" t="s">
        <v>13</v>
      </c>
      <c r="B11" s="474" t="s">
        <v>14</v>
      </c>
      <c r="C11" s="474"/>
      <c r="D11" s="11" t="s">
        <v>12</v>
      </c>
      <c r="E11" s="467" t="s">
        <v>386</v>
      </c>
      <c r="F11" s="467"/>
      <c r="G11" s="6"/>
      <c r="H11" s="8"/>
      <c r="I11" s="7"/>
      <c r="J11" s="7"/>
    </row>
    <row r="12" spans="1:10" ht="77.400000000000006" customHeight="1">
      <c r="A12" s="10" t="s">
        <v>15</v>
      </c>
      <c r="B12" s="472" t="s">
        <v>551</v>
      </c>
      <c r="C12" s="473"/>
      <c r="D12" s="11" t="s">
        <v>12</v>
      </c>
      <c r="E12" s="467" t="s">
        <v>539</v>
      </c>
      <c r="F12" s="467"/>
      <c r="G12" s="6"/>
      <c r="H12" s="8"/>
      <c r="I12" s="7"/>
      <c r="J12" s="7"/>
    </row>
    <row r="13" spans="1:10" s="9" customFormat="1" ht="31.65" customHeight="1">
      <c r="A13" s="10" t="s">
        <v>540</v>
      </c>
      <c r="B13" s="465" t="s">
        <v>147</v>
      </c>
      <c r="C13" s="466"/>
      <c r="D13" s="11" t="s">
        <v>227</v>
      </c>
      <c r="E13" s="467" t="s">
        <v>387</v>
      </c>
      <c r="F13" s="467"/>
      <c r="G13" s="146"/>
      <c r="H13" s="145"/>
      <c r="I13" s="144"/>
      <c r="J13" s="7"/>
    </row>
    <row r="14" spans="1:10" ht="32.4" customHeight="1">
      <c r="A14" s="10" t="s">
        <v>541</v>
      </c>
      <c r="B14" s="465" t="s">
        <v>199</v>
      </c>
      <c r="C14" s="466"/>
      <c r="D14" s="11" t="s">
        <v>227</v>
      </c>
      <c r="E14" s="467"/>
      <c r="F14" s="467"/>
      <c r="G14" s="196" t="s">
        <v>200</v>
      </c>
      <c r="H14" s="8"/>
      <c r="I14" s="7"/>
      <c r="J14" s="7"/>
    </row>
    <row r="15" spans="1:10" ht="39.75" customHeight="1">
      <c r="A15" s="10" t="s">
        <v>542</v>
      </c>
      <c r="B15" s="465" t="s">
        <v>141</v>
      </c>
      <c r="C15" s="466"/>
      <c r="D15" s="11" t="s">
        <v>9</v>
      </c>
      <c r="E15" s="467" t="s">
        <v>386</v>
      </c>
      <c r="F15" s="467"/>
      <c r="G15" s="6"/>
      <c r="H15" s="8"/>
      <c r="I15" s="8"/>
      <c r="J15" s="7"/>
    </row>
    <row r="16" spans="1:10" ht="58.35" customHeight="1">
      <c r="A16" s="10" t="s">
        <v>543</v>
      </c>
      <c r="B16" s="465" t="s">
        <v>395</v>
      </c>
      <c r="C16" s="466"/>
      <c r="D16" s="11" t="s">
        <v>12</v>
      </c>
      <c r="E16" s="467" t="s">
        <v>388</v>
      </c>
      <c r="F16" s="467"/>
      <c r="G16" s="6"/>
      <c r="H16" s="8"/>
      <c r="I16" s="8"/>
      <c r="J16" s="7"/>
    </row>
    <row r="17" spans="1:10" ht="31.35" customHeight="1">
      <c r="A17" s="10" t="s">
        <v>544</v>
      </c>
      <c r="B17" s="468" t="s">
        <v>196</v>
      </c>
      <c r="C17" s="469"/>
      <c r="D17" s="11" t="s">
        <v>12</v>
      </c>
      <c r="E17" s="470" t="s">
        <v>384</v>
      </c>
      <c r="F17" s="471"/>
      <c r="G17" s="6"/>
      <c r="H17" s="8"/>
      <c r="I17" s="7"/>
      <c r="J17" s="7"/>
    </row>
    <row r="18" spans="1:10" ht="42" customHeight="1">
      <c r="A18" s="10" t="s">
        <v>545</v>
      </c>
      <c r="B18" s="468" t="s">
        <v>396</v>
      </c>
      <c r="C18" s="469"/>
      <c r="D18" s="11" t="s">
        <v>12</v>
      </c>
      <c r="E18" s="470"/>
      <c r="F18" s="471"/>
      <c r="G18" s="6"/>
      <c r="H18" s="8"/>
      <c r="I18" s="7"/>
      <c r="J18" s="7"/>
    </row>
    <row r="19" spans="1:10" ht="21.9" customHeight="1">
      <c r="A19" s="10"/>
      <c r="B19" s="465"/>
      <c r="C19" s="466"/>
      <c r="D19" s="11"/>
      <c r="E19" s="467"/>
      <c r="F19" s="467"/>
      <c r="G19" s="6"/>
      <c r="H19" s="8"/>
      <c r="I19" s="7"/>
      <c r="J19" s="7"/>
    </row>
    <row r="22" spans="1:10">
      <c r="A22" s="8"/>
    </row>
  </sheetData>
  <mergeCells count="32">
    <mergeCell ref="A5:A6"/>
    <mergeCell ref="B5:C6"/>
    <mergeCell ref="A1:F1"/>
    <mergeCell ref="A2:F2"/>
    <mergeCell ref="E5:F6"/>
    <mergeCell ref="B7:C7"/>
    <mergeCell ref="E7:F7"/>
    <mergeCell ref="B8:C8"/>
    <mergeCell ref="E8:F8"/>
    <mergeCell ref="D5:D6"/>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8:C18"/>
    <mergeCell ref="E18:F18"/>
    <mergeCell ref="B19:C19"/>
    <mergeCell ref="E19:F19"/>
    <mergeCell ref="B16:C16"/>
    <mergeCell ref="E16:F16"/>
    <mergeCell ref="B17:C17"/>
    <mergeCell ref="E17:F17"/>
  </mergeCells>
  <phoneticPr fontId="5" type="noConversion"/>
  <hyperlinks>
    <hyperlink ref="F3" location="底稿目录!A1" display="F0A"/>
  </hyperlinks>
  <printOptions horizontalCentered="1"/>
  <pageMargins left="0.47244094488188981" right="0.31496062992125984" top="0.51181102362204722" bottom="0.39370078740157483" header="0.47244094488188981" footer="0.23622047244094491"/>
  <pageSetup paperSize="9" scale="70" fitToHeight="100" orientation="portrait" blackAndWhite="1" cellComments="atEnd"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67"/>
  <sheetViews>
    <sheetView view="pageBreakPreview" zoomScale="99" zoomScaleNormal="115" zoomScaleSheetLayoutView="99" workbookViewId="0">
      <selection sqref="A1:R1"/>
    </sheetView>
  </sheetViews>
  <sheetFormatPr defaultColWidth="10" defaultRowHeight="15.6"/>
  <cols>
    <col min="1" max="1" width="5" style="37" customWidth="1"/>
    <col min="2" max="2" width="9.6640625" style="37" customWidth="1"/>
    <col min="3" max="3" width="11.6640625" style="37" customWidth="1"/>
    <col min="4" max="4" width="24.33203125" style="37" customWidth="1"/>
    <col min="5" max="5" width="11.33203125" style="250" customWidth="1"/>
    <col min="6" max="6" width="13.33203125" style="250" customWidth="1"/>
    <col min="7" max="7" width="10.77734375" style="37" customWidth="1"/>
    <col min="8" max="8" width="12.33203125" style="37" customWidth="1"/>
    <col min="9" max="9" width="17.33203125" style="37" customWidth="1"/>
    <col min="10" max="10" width="20" style="37" customWidth="1"/>
    <col min="11" max="11" width="6.77734375" style="37" customWidth="1"/>
    <col min="12" max="12" width="6.33203125" style="37" customWidth="1"/>
    <col min="13" max="13" width="13.33203125" style="37" customWidth="1"/>
    <col min="14" max="14" width="6" style="37" customWidth="1"/>
    <col min="15" max="15" width="8.6640625" style="37" customWidth="1"/>
    <col min="16" max="16" width="15.33203125" style="37" customWidth="1"/>
    <col min="17" max="17" width="24.109375" style="37" customWidth="1"/>
    <col min="18" max="18" width="10.77734375" style="37" customWidth="1"/>
    <col min="19" max="21" width="12.88671875" style="37" customWidth="1"/>
    <col min="22" max="22" width="8.88671875" style="37" customWidth="1"/>
    <col min="23" max="23" width="19.33203125" style="37" customWidth="1"/>
    <col min="24" max="24" width="6.77734375" style="37" customWidth="1"/>
    <col min="25" max="25" width="12.21875" style="37" customWidth="1"/>
    <col min="26" max="26" width="11.33203125" style="37" customWidth="1"/>
    <col min="27" max="27" width="8.33203125" style="37" customWidth="1"/>
    <col min="28" max="28" width="12.109375" style="37" customWidth="1"/>
    <col min="29" max="16384" width="10" style="37"/>
  </cols>
  <sheetData>
    <row r="1" spans="1:33" s="12" customFormat="1" ht="20.100000000000001" customHeight="1">
      <c r="A1" s="487" t="s">
        <v>234</v>
      </c>
      <c r="B1" s="487"/>
      <c r="C1" s="487"/>
      <c r="D1" s="487"/>
      <c r="E1" s="487"/>
      <c r="F1" s="487"/>
      <c r="G1" s="487"/>
      <c r="H1" s="487"/>
      <c r="I1" s="487"/>
      <c r="J1" s="487"/>
      <c r="K1" s="487"/>
      <c r="L1" s="487"/>
      <c r="M1" s="487"/>
      <c r="N1" s="487"/>
      <c r="O1" s="487"/>
      <c r="P1" s="487"/>
      <c r="Q1" s="487"/>
      <c r="R1" s="487"/>
      <c r="S1" s="487" t="s">
        <v>234</v>
      </c>
      <c r="T1" s="487"/>
      <c r="U1" s="487"/>
      <c r="V1" s="487"/>
      <c r="W1" s="487"/>
      <c r="X1" s="487"/>
      <c r="Y1" s="487"/>
      <c r="Z1" s="487"/>
      <c r="AA1" s="487"/>
      <c r="AB1" s="487"/>
      <c r="AC1" s="19"/>
      <c r="AD1" s="19"/>
      <c r="AE1" s="19"/>
      <c r="AF1" s="19"/>
      <c r="AG1" s="19"/>
    </row>
    <row r="2" spans="1:33" s="13" customFormat="1" ht="20.100000000000001" customHeight="1">
      <c r="A2" s="488" t="s">
        <v>533</v>
      </c>
      <c r="B2" s="488"/>
      <c r="C2" s="488"/>
      <c r="D2" s="488"/>
      <c r="E2" s="488"/>
      <c r="F2" s="488"/>
      <c r="G2" s="488"/>
      <c r="H2" s="488"/>
      <c r="I2" s="488"/>
      <c r="J2" s="488"/>
      <c r="K2" s="488"/>
      <c r="L2" s="488"/>
      <c r="M2" s="488"/>
      <c r="N2" s="488"/>
      <c r="O2" s="488"/>
      <c r="P2" s="488"/>
      <c r="Q2" s="488"/>
      <c r="R2" s="488"/>
      <c r="S2" s="488" t="s">
        <v>529</v>
      </c>
      <c r="T2" s="488"/>
      <c r="U2" s="488"/>
      <c r="V2" s="488"/>
      <c r="W2" s="488"/>
      <c r="X2" s="488"/>
      <c r="Y2" s="488"/>
      <c r="Z2" s="488"/>
      <c r="AA2" s="488"/>
      <c r="AB2" s="488"/>
      <c r="AC2" s="195"/>
      <c r="AD2" s="123"/>
      <c r="AE2" s="123"/>
      <c r="AF2" s="123"/>
      <c r="AG2" s="123"/>
    </row>
    <row r="3" spans="1:33" s="15" customFormat="1" ht="20.100000000000001" customHeight="1">
      <c r="B3" s="14"/>
      <c r="C3" s="14" t="str">
        <f>底稿目录!A2</f>
        <v>被审计单位：</v>
      </c>
      <c r="E3" s="243"/>
      <c r="F3" s="14" t="str">
        <f>底稿目录!A4</f>
        <v>编制人：</v>
      </c>
      <c r="J3" s="15" t="str">
        <f>底稿目录!A5</f>
        <v>编制日期：</v>
      </c>
      <c r="L3" s="14"/>
      <c r="M3" s="14"/>
      <c r="N3" s="14"/>
      <c r="Q3" s="285" t="s">
        <v>369</v>
      </c>
      <c r="R3" s="324" t="str">
        <f>底稿目录!F5</f>
        <v>D0-1</v>
      </c>
      <c r="S3" s="15" t="str">
        <f>底稿目录!A2</f>
        <v>被审计单位：</v>
      </c>
      <c r="V3" s="15" t="str">
        <f>底稿目录!A4</f>
        <v>编制人：</v>
      </c>
      <c r="X3" s="142"/>
      <c r="Y3" s="15" t="str">
        <f>底稿目录!A5</f>
        <v>编制日期：</v>
      </c>
      <c r="AA3" s="15" t="s">
        <v>370</v>
      </c>
      <c r="AB3" s="324" t="str">
        <f>底稿目录!F5</f>
        <v>D0-1</v>
      </c>
    </row>
    <row r="4" spans="1:33" s="15" customFormat="1" ht="20.100000000000001" customHeight="1">
      <c r="B4" s="18"/>
      <c r="C4" s="14" t="str">
        <f>底稿目录!A3</f>
        <v>截止日：202X年12月31日</v>
      </c>
      <c r="E4" s="243"/>
      <c r="F4" s="14" t="str">
        <f>底稿目录!A6</f>
        <v>复核人：</v>
      </c>
      <c r="J4" s="15" t="str">
        <f>底稿目录!A7</f>
        <v>复核日期：</v>
      </c>
      <c r="L4" s="14"/>
      <c r="M4" s="18"/>
      <c r="N4" s="18"/>
      <c r="Q4" s="285" t="s">
        <v>364</v>
      </c>
      <c r="S4" s="15" t="str">
        <f>底稿目录!A3</f>
        <v>截止日：202X年12月31日</v>
      </c>
      <c r="V4" s="15" t="str">
        <f>底稿目录!A6</f>
        <v>复核人：</v>
      </c>
      <c r="X4" s="142"/>
      <c r="Y4" s="15" t="str">
        <f>底稿目录!A7</f>
        <v>复核日期：</v>
      </c>
      <c r="AA4" s="15" t="s">
        <v>235</v>
      </c>
      <c r="AB4" s="16"/>
    </row>
    <row r="5" spans="1:33" s="21" customFormat="1" ht="20.100000000000001" customHeight="1">
      <c r="A5" s="482" t="s">
        <v>236</v>
      </c>
      <c r="B5" s="490" t="s">
        <v>290</v>
      </c>
      <c r="C5" s="484" t="s">
        <v>237</v>
      </c>
      <c r="D5" s="485"/>
      <c r="E5" s="485"/>
      <c r="F5" s="485"/>
      <c r="G5" s="491" t="s">
        <v>238</v>
      </c>
      <c r="H5" s="492"/>
      <c r="I5" s="492"/>
      <c r="J5" s="492"/>
      <c r="K5" s="493"/>
      <c r="L5" s="494" t="s">
        <v>239</v>
      </c>
      <c r="M5" s="494"/>
      <c r="N5" s="494"/>
      <c r="O5" s="494"/>
      <c r="P5" s="494"/>
      <c r="Q5" s="494"/>
      <c r="R5" s="494"/>
      <c r="S5" s="484" t="s">
        <v>240</v>
      </c>
      <c r="T5" s="485"/>
      <c r="U5" s="485"/>
      <c r="V5" s="485"/>
      <c r="W5" s="486"/>
      <c r="X5" s="484" t="s">
        <v>241</v>
      </c>
      <c r="Y5" s="485"/>
      <c r="Z5" s="485"/>
      <c r="AA5" s="486"/>
      <c r="AB5" s="481" t="s">
        <v>242</v>
      </c>
    </row>
    <row r="6" spans="1:33" s="21" customFormat="1" ht="20.100000000000001" customHeight="1">
      <c r="A6" s="489"/>
      <c r="B6" s="489"/>
      <c r="C6" s="481" t="s">
        <v>243</v>
      </c>
      <c r="D6" s="481" t="s">
        <v>244</v>
      </c>
      <c r="E6" s="482" t="s">
        <v>245</v>
      </c>
      <c r="F6" s="482" t="s">
        <v>246</v>
      </c>
      <c r="G6" s="481" t="s">
        <v>247</v>
      </c>
      <c r="H6" s="481" t="s">
        <v>248</v>
      </c>
      <c r="I6" s="481" t="s">
        <v>249</v>
      </c>
      <c r="J6" s="481" t="s">
        <v>250</v>
      </c>
      <c r="K6" s="481" t="s">
        <v>251</v>
      </c>
      <c r="L6" s="481" t="s">
        <v>252</v>
      </c>
      <c r="M6" s="481" t="s">
        <v>253</v>
      </c>
      <c r="N6" s="481" t="s">
        <v>254</v>
      </c>
      <c r="O6" s="481" t="s">
        <v>255</v>
      </c>
      <c r="P6" s="481" t="s">
        <v>256</v>
      </c>
      <c r="Q6" s="481" t="s">
        <v>257</v>
      </c>
      <c r="R6" s="481" t="s">
        <v>258</v>
      </c>
      <c r="S6" s="482" t="s">
        <v>259</v>
      </c>
      <c r="T6" s="482" t="s">
        <v>260</v>
      </c>
      <c r="U6" s="482" t="s">
        <v>261</v>
      </c>
      <c r="V6" s="481" t="s">
        <v>268</v>
      </c>
      <c r="W6" s="481" t="s">
        <v>262</v>
      </c>
      <c r="X6" s="482" t="s">
        <v>263</v>
      </c>
      <c r="Y6" s="481" t="s">
        <v>264</v>
      </c>
      <c r="Z6" s="481" t="s">
        <v>265</v>
      </c>
      <c r="AA6" s="481" t="s">
        <v>266</v>
      </c>
      <c r="AB6" s="481"/>
    </row>
    <row r="7" spans="1:33" s="21" customFormat="1" ht="20.100000000000001" customHeight="1">
      <c r="A7" s="483"/>
      <c r="B7" s="483"/>
      <c r="C7" s="481"/>
      <c r="D7" s="481"/>
      <c r="E7" s="483"/>
      <c r="F7" s="483"/>
      <c r="G7" s="481"/>
      <c r="H7" s="481" t="s">
        <v>267</v>
      </c>
      <c r="I7" s="481"/>
      <c r="J7" s="481"/>
      <c r="K7" s="481"/>
      <c r="L7" s="481"/>
      <c r="M7" s="481"/>
      <c r="N7" s="481"/>
      <c r="O7" s="481"/>
      <c r="P7" s="481"/>
      <c r="Q7" s="481"/>
      <c r="R7" s="481"/>
      <c r="S7" s="483"/>
      <c r="T7" s="483"/>
      <c r="U7" s="483"/>
      <c r="V7" s="481"/>
      <c r="W7" s="481"/>
      <c r="X7" s="483"/>
      <c r="Y7" s="481"/>
      <c r="Z7" s="481"/>
      <c r="AA7" s="481"/>
      <c r="AB7" s="481"/>
    </row>
    <row r="8" spans="1:33" s="23" customFormat="1" ht="20.100000000000001" customHeight="1">
      <c r="A8" s="22">
        <v>1</v>
      </c>
      <c r="B8" s="197"/>
      <c r="C8" s="197"/>
      <c r="D8" s="110" t="e">
        <f>VLOOKUP(B8,'核实被函证单位信息D0-2'!A:AL,2,0)</f>
        <v>#N/A</v>
      </c>
      <c r="E8" s="335" t="s">
        <v>391</v>
      </c>
      <c r="F8" s="264"/>
      <c r="G8" s="110" t="e">
        <f>VLOOKUP(B8,'核实被函证单位信息D0-2'!A:AL,3,0)</f>
        <v>#N/A</v>
      </c>
      <c r="H8" s="191"/>
      <c r="I8" s="198"/>
      <c r="J8" s="110" t="e">
        <f>VLOOKUP(B8,'核实被函证单位信息D0-2'!A:AL,4,0)</f>
        <v>#N/A</v>
      </c>
      <c r="K8" s="258" t="e">
        <f>VLOOKUP(B8,'核实被函证单位信息D0-2'!A:AL,10,0)</f>
        <v>#N/A</v>
      </c>
      <c r="L8" s="259"/>
      <c r="M8" s="258" t="e">
        <f>VLOOKUP(B8,'核实被函证单位信息D0-2'!A:AL,16,0)</f>
        <v>#N/A</v>
      </c>
      <c r="N8" s="330"/>
      <c r="O8" s="191"/>
      <c r="P8" s="22"/>
      <c r="Q8" s="110" t="e">
        <f>VLOOKUP(B8,'核实被函证单位信息D0-2'!A:AL,19,0)</f>
        <v>#N/A</v>
      </c>
      <c r="R8" s="258" t="e">
        <f>VLOOKUP(B8,'核实被函证单位信息D0-2'!A:AL,22,0)</f>
        <v>#N/A</v>
      </c>
      <c r="S8" s="192"/>
      <c r="T8" s="265" t="str">
        <f>IF(L8="是",S8-F8,"未回函")</f>
        <v>未回函</v>
      </c>
      <c r="U8" s="192"/>
      <c r="V8" s="198"/>
      <c r="W8" s="266"/>
      <c r="X8" s="330"/>
      <c r="Y8" s="190"/>
      <c r="Z8" s="189"/>
      <c r="AA8" s="22"/>
      <c r="AB8" s="181"/>
    </row>
    <row r="9" spans="1:33" s="23" customFormat="1" ht="20.100000000000001" customHeight="1">
      <c r="A9" s="22">
        <v>2</v>
      </c>
      <c r="B9" s="197"/>
      <c r="C9" s="197"/>
      <c r="D9" s="110" t="e">
        <f>VLOOKUP(B9,'核实被函证单位信息D0-2'!A:AL,2,0)</f>
        <v>#N/A</v>
      </c>
      <c r="E9" s="335" t="s">
        <v>389</v>
      </c>
      <c r="F9" s="264"/>
      <c r="G9" s="110" t="e">
        <f>VLOOKUP(B9,'核实被函证单位信息D0-2'!A:AL,3,0)</f>
        <v>#N/A</v>
      </c>
      <c r="H9" s="191"/>
      <c r="I9" s="198"/>
      <c r="J9" s="110" t="e">
        <f>VLOOKUP(B9,'核实被函证单位信息D0-2'!A:AL,4,0)</f>
        <v>#N/A</v>
      </c>
      <c r="K9" s="258" t="e">
        <f>VLOOKUP(B9,'核实被函证单位信息D0-2'!A:AL,10,0)</f>
        <v>#N/A</v>
      </c>
      <c r="L9" s="259"/>
      <c r="M9" s="258" t="e">
        <f>VLOOKUP(B9,'核实被函证单位信息D0-2'!A:AL,16,0)</f>
        <v>#N/A</v>
      </c>
      <c r="N9" s="330"/>
      <c r="O9" s="191"/>
      <c r="P9" s="22"/>
      <c r="Q9" s="110" t="e">
        <f>VLOOKUP(B9,'核实被函证单位信息D0-2'!A:AL,19,0)</f>
        <v>#N/A</v>
      </c>
      <c r="R9" s="258" t="e">
        <f>VLOOKUP(B9,'核实被函证单位信息D0-2'!A:AL,22,0)</f>
        <v>#N/A</v>
      </c>
      <c r="S9" s="192"/>
      <c r="T9" s="265" t="str">
        <f t="shared" ref="T9:T25" si="0">IF(L9="是",S9-F9,"未回函")</f>
        <v>未回函</v>
      </c>
      <c r="U9" s="192"/>
      <c r="V9" s="198"/>
      <c r="W9" s="267"/>
      <c r="X9" s="330"/>
      <c r="Y9" s="190"/>
      <c r="Z9" s="189"/>
      <c r="AA9" s="22"/>
      <c r="AB9" s="197"/>
    </row>
    <row r="10" spans="1:33" s="23" customFormat="1" ht="20.100000000000001" customHeight="1">
      <c r="A10" s="22">
        <v>3</v>
      </c>
      <c r="B10" s="197"/>
      <c r="C10" s="197"/>
      <c r="D10" s="110" t="e">
        <f>VLOOKUP(B10,'核实被函证单位信息D0-2'!A:AL,2,0)</f>
        <v>#N/A</v>
      </c>
      <c r="E10" s="335" t="s">
        <v>391</v>
      </c>
      <c r="F10" s="264"/>
      <c r="G10" s="110" t="e">
        <f>VLOOKUP(B10,'核实被函证单位信息D0-2'!A:AL,3,0)</f>
        <v>#N/A</v>
      </c>
      <c r="H10" s="191"/>
      <c r="I10" s="198"/>
      <c r="J10" s="110" t="e">
        <f>VLOOKUP(B10,'核实被函证单位信息D0-2'!A:AL,4,0)</f>
        <v>#N/A</v>
      </c>
      <c r="K10" s="258" t="e">
        <f>VLOOKUP(B10,'核实被函证单位信息D0-2'!A:AL,10,0)</f>
        <v>#N/A</v>
      </c>
      <c r="L10" s="259"/>
      <c r="M10" s="258" t="e">
        <f>VLOOKUP(B10,'核实被函证单位信息D0-2'!A:AL,16,0)</f>
        <v>#N/A</v>
      </c>
      <c r="N10" s="330"/>
      <c r="O10" s="191"/>
      <c r="P10" s="22"/>
      <c r="Q10" s="110" t="e">
        <f>VLOOKUP(B10,'核实被函证单位信息D0-2'!A:AL,19,0)</f>
        <v>#N/A</v>
      </c>
      <c r="R10" s="258" t="e">
        <f>VLOOKUP(B10,'核实被函证单位信息D0-2'!A:AL,22,0)</f>
        <v>#N/A</v>
      </c>
      <c r="S10" s="192"/>
      <c r="T10" s="265" t="str">
        <f t="shared" si="0"/>
        <v>未回函</v>
      </c>
      <c r="U10" s="192"/>
      <c r="V10" s="198"/>
      <c r="W10" s="267"/>
      <c r="X10" s="330"/>
      <c r="Y10" s="190"/>
      <c r="Z10" s="189"/>
      <c r="AA10" s="22"/>
      <c r="AB10" s="197"/>
    </row>
    <row r="11" spans="1:33" s="23" customFormat="1" ht="20.100000000000001" customHeight="1">
      <c r="A11" s="22">
        <v>4</v>
      </c>
      <c r="B11" s="197"/>
      <c r="C11" s="197"/>
      <c r="D11" s="110" t="e">
        <f>VLOOKUP(B11,'核实被函证单位信息D0-2'!A:AL,2,0)</f>
        <v>#N/A</v>
      </c>
      <c r="E11" s="335" t="s">
        <v>392</v>
      </c>
      <c r="F11" s="264"/>
      <c r="G11" s="110" t="e">
        <f>VLOOKUP(B11,'核实被函证单位信息D0-2'!A:AL,3,0)</f>
        <v>#N/A</v>
      </c>
      <c r="H11" s="191"/>
      <c r="I11" s="198"/>
      <c r="J11" s="110" t="e">
        <f>VLOOKUP(B11,'核实被函证单位信息D0-2'!A:AL,4,0)</f>
        <v>#N/A</v>
      </c>
      <c r="K11" s="258" t="e">
        <f>VLOOKUP(B11,'核实被函证单位信息D0-2'!A:AL,10,0)</f>
        <v>#N/A</v>
      </c>
      <c r="L11" s="259"/>
      <c r="M11" s="258" t="e">
        <f>VLOOKUP(B11,'核实被函证单位信息D0-2'!A:AL,16,0)</f>
        <v>#N/A</v>
      </c>
      <c r="N11" s="330"/>
      <c r="O11" s="191"/>
      <c r="P11" s="22"/>
      <c r="Q11" s="110" t="e">
        <f>VLOOKUP(B11,'核实被函证单位信息D0-2'!A:AL,19,0)</f>
        <v>#N/A</v>
      </c>
      <c r="R11" s="258" t="e">
        <f>VLOOKUP(B11,'核实被函证单位信息D0-2'!A:AL,22,0)</f>
        <v>#N/A</v>
      </c>
      <c r="S11" s="192"/>
      <c r="T11" s="265" t="str">
        <f t="shared" si="0"/>
        <v>未回函</v>
      </c>
      <c r="U11" s="192"/>
      <c r="V11" s="198"/>
      <c r="W11" s="267"/>
      <c r="X11" s="330"/>
      <c r="Y11" s="190"/>
      <c r="Z11" s="189"/>
      <c r="AA11" s="22"/>
      <c r="AB11" s="197"/>
    </row>
    <row r="12" spans="1:33" s="23" customFormat="1" ht="20.100000000000001" customHeight="1">
      <c r="A12" s="22">
        <v>5</v>
      </c>
      <c r="B12" s="197"/>
      <c r="C12" s="197"/>
      <c r="D12" s="110" t="e">
        <f>VLOOKUP(B12,'核实被函证单位信息D0-2'!A:AL,2,0)</f>
        <v>#N/A</v>
      </c>
      <c r="E12" s="244"/>
      <c r="F12" s="264"/>
      <c r="G12" s="110" t="e">
        <f>VLOOKUP(B12,'核实被函证单位信息D0-2'!A:AL,3,0)</f>
        <v>#N/A</v>
      </c>
      <c r="H12" s="191"/>
      <c r="I12" s="198"/>
      <c r="J12" s="110" t="e">
        <f>VLOOKUP(B12,'核实被函证单位信息D0-2'!A:AL,4,0)</f>
        <v>#N/A</v>
      </c>
      <c r="K12" s="258" t="e">
        <f>VLOOKUP(B12,'核实被函证单位信息D0-2'!A:AL,10,0)</f>
        <v>#N/A</v>
      </c>
      <c r="L12" s="259"/>
      <c r="M12" s="258" t="e">
        <f>VLOOKUP(B12,'核实被函证单位信息D0-2'!A:AL,16,0)</f>
        <v>#N/A</v>
      </c>
      <c r="N12" s="330"/>
      <c r="O12" s="191"/>
      <c r="P12" s="22"/>
      <c r="Q12" s="110" t="e">
        <f>VLOOKUP(B12,'核实被函证单位信息D0-2'!A:AL,19,0)</f>
        <v>#N/A</v>
      </c>
      <c r="R12" s="258" t="e">
        <f>VLOOKUP(B12,'核实被函证单位信息D0-2'!A:AL,22,0)</f>
        <v>#N/A</v>
      </c>
      <c r="S12" s="192"/>
      <c r="T12" s="265" t="str">
        <f t="shared" si="0"/>
        <v>未回函</v>
      </c>
      <c r="U12" s="192"/>
      <c r="V12" s="198"/>
      <c r="W12" s="267"/>
      <c r="X12" s="330"/>
      <c r="Y12" s="190"/>
      <c r="Z12" s="189"/>
      <c r="AA12" s="22"/>
      <c r="AB12" s="197"/>
    </row>
    <row r="13" spans="1:33" s="23" customFormat="1" ht="20.100000000000001" customHeight="1">
      <c r="A13" s="22">
        <v>6</v>
      </c>
      <c r="B13" s="197"/>
      <c r="C13" s="197"/>
      <c r="D13" s="110" t="e">
        <f>VLOOKUP(B13,'核实被函证单位信息D0-2'!A:AL,2,0)</f>
        <v>#N/A</v>
      </c>
      <c r="E13" s="244"/>
      <c r="F13" s="264"/>
      <c r="G13" s="110" t="e">
        <f>VLOOKUP(B13,'核实被函证单位信息D0-2'!A:AL,3,0)</f>
        <v>#N/A</v>
      </c>
      <c r="H13" s="191"/>
      <c r="I13" s="198"/>
      <c r="J13" s="110" t="e">
        <f>VLOOKUP(B13,'核实被函证单位信息D0-2'!A:AL,4,0)</f>
        <v>#N/A</v>
      </c>
      <c r="K13" s="258" t="e">
        <f>VLOOKUP(B13,'核实被函证单位信息D0-2'!A:AL,10,0)</f>
        <v>#N/A</v>
      </c>
      <c r="L13" s="259"/>
      <c r="M13" s="258" t="e">
        <f>VLOOKUP(B13,'核实被函证单位信息D0-2'!A:AL,16,0)</f>
        <v>#N/A</v>
      </c>
      <c r="N13" s="330"/>
      <c r="O13" s="191"/>
      <c r="P13" s="22"/>
      <c r="Q13" s="110" t="e">
        <f>VLOOKUP(B13,'核实被函证单位信息D0-2'!A:AL,19,0)</f>
        <v>#N/A</v>
      </c>
      <c r="R13" s="258" t="e">
        <f>VLOOKUP(B13,'核实被函证单位信息D0-2'!A:AL,22,0)</f>
        <v>#N/A</v>
      </c>
      <c r="S13" s="192"/>
      <c r="T13" s="265" t="str">
        <f t="shared" si="0"/>
        <v>未回函</v>
      </c>
      <c r="U13" s="192"/>
      <c r="V13" s="198"/>
      <c r="W13" s="267"/>
      <c r="X13" s="330"/>
      <c r="Y13" s="190"/>
      <c r="Z13" s="189"/>
      <c r="AA13" s="22"/>
      <c r="AB13" s="197"/>
    </row>
    <row r="14" spans="1:33" s="23" customFormat="1" ht="20.100000000000001" customHeight="1">
      <c r="A14" s="22">
        <v>7</v>
      </c>
      <c r="B14" s="197"/>
      <c r="C14" s="197"/>
      <c r="D14" s="110" t="e">
        <f>VLOOKUP(B14,'核实被函证单位信息D0-2'!A:AL,2,0)</f>
        <v>#N/A</v>
      </c>
      <c r="E14" s="244"/>
      <c r="F14" s="264"/>
      <c r="G14" s="110" t="e">
        <f>VLOOKUP(B14,'核实被函证单位信息D0-2'!A:AL,3,0)</f>
        <v>#N/A</v>
      </c>
      <c r="H14" s="191"/>
      <c r="I14" s="198"/>
      <c r="J14" s="110" t="e">
        <f>VLOOKUP(B14,'核实被函证单位信息D0-2'!A:AL,4,0)</f>
        <v>#N/A</v>
      </c>
      <c r="K14" s="258" t="e">
        <f>VLOOKUP(B14,'核实被函证单位信息D0-2'!A:AL,10,0)</f>
        <v>#N/A</v>
      </c>
      <c r="L14" s="259"/>
      <c r="M14" s="258" t="e">
        <f>VLOOKUP(B14,'核实被函证单位信息D0-2'!A:AL,16,0)</f>
        <v>#N/A</v>
      </c>
      <c r="N14" s="330"/>
      <c r="O14" s="191"/>
      <c r="P14" s="22"/>
      <c r="Q14" s="110" t="e">
        <f>VLOOKUP(B14,'核实被函证单位信息D0-2'!A:AL,19,0)</f>
        <v>#N/A</v>
      </c>
      <c r="R14" s="258" t="e">
        <f>VLOOKUP(B14,'核实被函证单位信息D0-2'!A:AL,22,0)</f>
        <v>#N/A</v>
      </c>
      <c r="S14" s="192"/>
      <c r="T14" s="265" t="str">
        <f t="shared" si="0"/>
        <v>未回函</v>
      </c>
      <c r="U14" s="192"/>
      <c r="V14" s="198"/>
      <c r="W14" s="267"/>
      <c r="X14" s="330"/>
      <c r="Y14" s="190"/>
      <c r="Z14" s="189"/>
      <c r="AA14" s="22"/>
      <c r="AB14" s="197"/>
    </row>
    <row r="15" spans="1:33" s="23" customFormat="1" ht="20.100000000000001" customHeight="1">
      <c r="A15" s="22">
        <v>8</v>
      </c>
      <c r="B15" s="197"/>
      <c r="C15" s="197"/>
      <c r="D15" s="110" t="e">
        <f>VLOOKUP(B15,'核实被函证单位信息D0-2'!A:AL,2,0)</f>
        <v>#N/A</v>
      </c>
      <c r="E15" s="244"/>
      <c r="F15" s="264"/>
      <c r="G15" s="110" t="e">
        <f>VLOOKUP(B15,'核实被函证单位信息D0-2'!A:AL,3,0)</f>
        <v>#N/A</v>
      </c>
      <c r="H15" s="191"/>
      <c r="I15" s="198"/>
      <c r="J15" s="110" t="e">
        <f>VLOOKUP(B15,'核实被函证单位信息D0-2'!A:AL,4,0)</f>
        <v>#N/A</v>
      </c>
      <c r="K15" s="258" t="e">
        <f>VLOOKUP(B15,'核实被函证单位信息D0-2'!A:AL,10,0)</f>
        <v>#N/A</v>
      </c>
      <c r="L15" s="259"/>
      <c r="M15" s="258" t="e">
        <f>VLOOKUP(B15,'核实被函证单位信息D0-2'!A:AL,16,0)</f>
        <v>#N/A</v>
      </c>
      <c r="N15" s="330"/>
      <c r="O15" s="191"/>
      <c r="P15" s="22"/>
      <c r="Q15" s="110" t="e">
        <f>VLOOKUP(B15,'核实被函证单位信息D0-2'!A:AL,19,0)</f>
        <v>#N/A</v>
      </c>
      <c r="R15" s="258" t="e">
        <f>VLOOKUP(B15,'核实被函证单位信息D0-2'!A:AL,22,0)</f>
        <v>#N/A</v>
      </c>
      <c r="S15" s="192"/>
      <c r="T15" s="265" t="str">
        <f t="shared" si="0"/>
        <v>未回函</v>
      </c>
      <c r="U15" s="192"/>
      <c r="V15" s="198"/>
      <c r="W15" s="267"/>
      <c r="X15" s="330"/>
      <c r="Y15" s="190"/>
      <c r="Z15" s="189"/>
      <c r="AA15" s="22"/>
      <c r="AB15" s="197"/>
    </row>
    <row r="16" spans="1:33" s="23" customFormat="1" ht="20.100000000000001" customHeight="1">
      <c r="A16" s="22">
        <v>9</v>
      </c>
      <c r="B16" s="197"/>
      <c r="C16" s="197"/>
      <c r="D16" s="110" t="e">
        <f>VLOOKUP(B16,'核实被函证单位信息D0-2'!A:AL,2,0)</f>
        <v>#N/A</v>
      </c>
      <c r="E16" s="244"/>
      <c r="F16" s="264"/>
      <c r="G16" s="110" t="e">
        <f>VLOOKUP(B16,'核实被函证单位信息D0-2'!A:AL,3,0)</f>
        <v>#N/A</v>
      </c>
      <c r="H16" s="191"/>
      <c r="I16" s="198"/>
      <c r="J16" s="110" t="e">
        <f>VLOOKUP(B16,'核实被函证单位信息D0-2'!A:AL,4,0)</f>
        <v>#N/A</v>
      </c>
      <c r="K16" s="258" t="e">
        <f>VLOOKUP(B16,'核实被函证单位信息D0-2'!A:AL,10,0)</f>
        <v>#N/A</v>
      </c>
      <c r="L16" s="259"/>
      <c r="M16" s="258" t="e">
        <f>VLOOKUP(B16,'核实被函证单位信息D0-2'!A:AL,16,0)</f>
        <v>#N/A</v>
      </c>
      <c r="N16" s="330"/>
      <c r="O16" s="191"/>
      <c r="P16" s="22"/>
      <c r="Q16" s="110" t="e">
        <f>VLOOKUP(B16,'核实被函证单位信息D0-2'!A:AL,19,0)</f>
        <v>#N/A</v>
      </c>
      <c r="R16" s="258" t="e">
        <f>VLOOKUP(B16,'核实被函证单位信息D0-2'!A:AL,22,0)</f>
        <v>#N/A</v>
      </c>
      <c r="S16" s="192"/>
      <c r="T16" s="265" t="str">
        <f t="shared" si="0"/>
        <v>未回函</v>
      </c>
      <c r="U16" s="192"/>
      <c r="V16" s="198"/>
      <c r="W16" s="267"/>
      <c r="X16" s="330"/>
      <c r="Y16" s="190"/>
      <c r="Z16" s="189"/>
      <c r="AA16" s="22"/>
      <c r="AB16" s="197"/>
    </row>
    <row r="17" spans="1:28" s="23" customFormat="1" ht="20.100000000000001" customHeight="1">
      <c r="A17" s="22">
        <v>10</v>
      </c>
      <c r="B17" s="197"/>
      <c r="C17" s="197"/>
      <c r="D17" s="110" t="e">
        <f>VLOOKUP(B17,'核实被函证单位信息D0-2'!A:AL,2,0)</f>
        <v>#N/A</v>
      </c>
      <c r="E17" s="244"/>
      <c r="F17" s="264"/>
      <c r="G17" s="110" t="e">
        <f>VLOOKUP(B17,'核实被函证单位信息D0-2'!A:AL,3,0)</f>
        <v>#N/A</v>
      </c>
      <c r="H17" s="191"/>
      <c r="I17" s="198"/>
      <c r="J17" s="110" t="e">
        <f>VLOOKUP(B17,'核实被函证单位信息D0-2'!A:AL,4,0)</f>
        <v>#N/A</v>
      </c>
      <c r="K17" s="258" t="e">
        <f>VLOOKUP(B17,'核实被函证单位信息D0-2'!A:AL,10,0)</f>
        <v>#N/A</v>
      </c>
      <c r="L17" s="259"/>
      <c r="M17" s="258" t="e">
        <f>VLOOKUP(B17,'核实被函证单位信息D0-2'!A:AL,16,0)</f>
        <v>#N/A</v>
      </c>
      <c r="N17" s="330"/>
      <c r="O17" s="191"/>
      <c r="P17" s="22"/>
      <c r="Q17" s="110" t="e">
        <f>VLOOKUP(B17,'核实被函证单位信息D0-2'!A:AL,19,0)</f>
        <v>#N/A</v>
      </c>
      <c r="R17" s="258" t="e">
        <f>VLOOKUP(B17,'核实被函证单位信息D0-2'!A:AL,22,0)</f>
        <v>#N/A</v>
      </c>
      <c r="S17" s="192"/>
      <c r="T17" s="265" t="str">
        <f t="shared" si="0"/>
        <v>未回函</v>
      </c>
      <c r="U17" s="192"/>
      <c r="V17" s="198"/>
      <c r="W17" s="267"/>
      <c r="X17" s="330"/>
      <c r="Y17" s="190"/>
      <c r="Z17" s="189"/>
      <c r="AA17" s="22"/>
      <c r="AB17" s="197"/>
    </row>
    <row r="18" spans="1:28" s="23" customFormat="1" ht="20.100000000000001" customHeight="1">
      <c r="A18" s="22">
        <v>11</v>
      </c>
      <c r="B18" s="197"/>
      <c r="C18" s="197"/>
      <c r="D18" s="110" t="e">
        <f>VLOOKUP(B18,'核实被函证单位信息D0-2'!A:AL,2,0)</f>
        <v>#N/A</v>
      </c>
      <c r="E18" s="244"/>
      <c r="F18" s="264"/>
      <c r="G18" s="110" t="e">
        <f>VLOOKUP(B18,'核实被函证单位信息D0-2'!A:AL,3,0)</f>
        <v>#N/A</v>
      </c>
      <c r="H18" s="191"/>
      <c r="I18" s="198"/>
      <c r="J18" s="110" t="e">
        <f>VLOOKUP(B18,'核实被函证单位信息D0-2'!A:AL,4,0)</f>
        <v>#N/A</v>
      </c>
      <c r="K18" s="258" t="e">
        <f>VLOOKUP(B18,'核实被函证单位信息D0-2'!A:AL,10,0)</f>
        <v>#N/A</v>
      </c>
      <c r="L18" s="259"/>
      <c r="M18" s="258" t="e">
        <f>VLOOKUP(B18,'核实被函证单位信息D0-2'!A:AL,16,0)</f>
        <v>#N/A</v>
      </c>
      <c r="N18" s="330"/>
      <c r="O18" s="191"/>
      <c r="P18" s="22"/>
      <c r="Q18" s="110" t="e">
        <f>VLOOKUP(B18,'核实被函证单位信息D0-2'!A:AL,19,0)</f>
        <v>#N/A</v>
      </c>
      <c r="R18" s="258" t="e">
        <f>VLOOKUP(B18,'核实被函证单位信息D0-2'!A:AL,22,0)</f>
        <v>#N/A</v>
      </c>
      <c r="S18" s="192"/>
      <c r="T18" s="265" t="str">
        <f t="shared" si="0"/>
        <v>未回函</v>
      </c>
      <c r="U18" s="192"/>
      <c r="V18" s="198"/>
      <c r="W18" s="267"/>
      <c r="X18" s="330"/>
      <c r="Y18" s="190"/>
      <c r="Z18" s="189"/>
      <c r="AA18" s="22"/>
      <c r="AB18" s="197"/>
    </row>
    <row r="19" spans="1:28" s="23" customFormat="1" ht="20.100000000000001" customHeight="1">
      <c r="A19" s="22">
        <v>12</v>
      </c>
      <c r="B19" s="197"/>
      <c r="C19" s="197"/>
      <c r="D19" s="110" t="e">
        <f>VLOOKUP(B19,'核实被函证单位信息D0-2'!A:AL,2,0)</f>
        <v>#N/A</v>
      </c>
      <c r="E19" s="244"/>
      <c r="F19" s="264"/>
      <c r="G19" s="110" t="e">
        <f>VLOOKUP(B19,'核实被函证单位信息D0-2'!A:AL,3,0)</f>
        <v>#N/A</v>
      </c>
      <c r="H19" s="191"/>
      <c r="I19" s="198"/>
      <c r="J19" s="110" t="e">
        <f>VLOOKUP(B19,'核实被函证单位信息D0-2'!A:AL,4,0)</f>
        <v>#N/A</v>
      </c>
      <c r="K19" s="258" t="e">
        <f>VLOOKUP(B19,'核实被函证单位信息D0-2'!A:AL,10,0)</f>
        <v>#N/A</v>
      </c>
      <c r="L19" s="259"/>
      <c r="M19" s="258" t="e">
        <f>VLOOKUP(B19,'核实被函证单位信息D0-2'!A:AL,16,0)</f>
        <v>#N/A</v>
      </c>
      <c r="N19" s="330"/>
      <c r="O19" s="191"/>
      <c r="P19" s="22"/>
      <c r="Q19" s="110" t="e">
        <f>VLOOKUP(B19,'核实被函证单位信息D0-2'!A:AL,19,0)</f>
        <v>#N/A</v>
      </c>
      <c r="R19" s="258" t="e">
        <f>VLOOKUP(B19,'核实被函证单位信息D0-2'!A:AL,22,0)</f>
        <v>#N/A</v>
      </c>
      <c r="S19" s="192"/>
      <c r="T19" s="265" t="str">
        <f t="shared" si="0"/>
        <v>未回函</v>
      </c>
      <c r="U19" s="192"/>
      <c r="V19" s="198"/>
      <c r="W19" s="267"/>
      <c r="X19" s="330"/>
      <c r="Y19" s="190"/>
      <c r="Z19" s="189"/>
      <c r="AA19" s="22"/>
      <c r="AB19" s="197"/>
    </row>
    <row r="20" spans="1:28" s="23" customFormat="1" ht="20.100000000000001" customHeight="1">
      <c r="A20" s="22">
        <v>13</v>
      </c>
      <c r="B20" s="197"/>
      <c r="C20" s="197"/>
      <c r="D20" s="110" t="e">
        <f>VLOOKUP(B20,'核实被函证单位信息D0-2'!A:AL,2,0)</f>
        <v>#N/A</v>
      </c>
      <c r="E20" s="244"/>
      <c r="F20" s="264"/>
      <c r="G20" s="110" t="e">
        <f>VLOOKUP(B20,'核实被函证单位信息D0-2'!A:AL,3,0)</f>
        <v>#N/A</v>
      </c>
      <c r="H20" s="191"/>
      <c r="I20" s="198"/>
      <c r="J20" s="110" t="e">
        <f>VLOOKUP(B20,'核实被函证单位信息D0-2'!A:AL,4,0)</f>
        <v>#N/A</v>
      </c>
      <c r="K20" s="258" t="e">
        <f>VLOOKUP(B20,'核实被函证单位信息D0-2'!A:AL,10,0)</f>
        <v>#N/A</v>
      </c>
      <c r="L20" s="259"/>
      <c r="M20" s="258" t="e">
        <f>VLOOKUP(B20,'核实被函证单位信息D0-2'!A:AL,16,0)</f>
        <v>#N/A</v>
      </c>
      <c r="N20" s="330"/>
      <c r="O20" s="191"/>
      <c r="P20" s="22"/>
      <c r="Q20" s="110" t="e">
        <f>VLOOKUP(B20,'核实被函证单位信息D0-2'!A:AL,19,0)</f>
        <v>#N/A</v>
      </c>
      <c r="R20" s="258" t="e">
        <f>VLOOKUP(B20,'核实被函证单位信息D0-2'!A:AL,22,0)</f>
        <v>#N/A</v>
      </c>
      <c r="S20" s="192"/>
      <c r="T20" s="265" t="str">
        <f t="shared" si="0"/>
        <v>未回函</v>
      </c>
      <c r="U20" s="192"/>
      <c r="V20" s="198"/>
      <c r="W20" s="267"/>
      <c r="X20" s="330"/>
      <c r="Y20" s="190"/>
      <c r="Z20" s="189"/>
      <c r="AA20" s="22"/>
      <c r="AB20" s="197"/>
    </row>
    <row r="21" spans="1:28" s="23" customFormat="1" ht="20.100000000000001" customHeight="1">
      <c r="A21" s="22">
        <v>14</v>
      </c>
      <c r="B21" s="197"/>
      <c r="C21" s="197"/>
      <c r="D21" s="110" t="e">
        <f>VLOOKUP(B21,'核实被函证单位信息D0-2'!A:AL,2,0)</f>
        <v>#N/A</v>
      </c>
      <c r="E21" s="244"/>
      <c r="F21" s="264"/>
      <c r="G21" s="110" t="e">
        <f>VLOOKUP(B21,'核实被函证单位信息D0-2'!A:AL,3,0)</f>
        <v>#N/A</v>
      </c>
      <c r="H21" s="191"/>
      <c r="I21" s="198"/>
      <c r="J21" s="110" t="e">
        <f>VLOOKUP(B21,'核实被函证单位信息D0-2'!A:AL,4,0)</f>
        <v>#N/A</v>
      </c>
      <c r="K21" s="258" t="e">
        <f>VLOOKUP(B21,'核实被函证单位信息D0-2'!A:AL,10,0)</f>
        <v>#N/A</v>
      </c>
      <c r="L21" s="259"/>
      <c r="M21" s="258" t="e">
        <f>VLOOKUP(B21,'核实被函证单位信息D0-2'!A:AL,16,0)</f>
        <v>#N/A</v>
      </c>
      <c r="N21" s="330"/>
      <c r="O21" s="191"/>
      <c r="P21" s="22"/>
      <c r="Q21" s="110" t="e">
        <f>VLOOKUP(B21,'核实被函证单位信息D0-2'!A:AL,19,0)</f>
        <v>#N/A</v>
      </c>
      <c r="R21" s="258" t="e">
        <f>VLOOKUP(B21,'核实被函证单位信息D0-2'!A:AL,22,0)</f>
        <v>#N/A</v>
      </c>
      <c r="S21" s="192"/>
      <c r="T21" s="265" t="str">
        <f t="shared" si="0"/>
        <v>未回函</v>
      </c>
      <c r="U21" s="192"/>
      <c r="V21" s="198"/>
      <c r="W21" s="267"/>
      <c r="X21" s="330"/>
      <c r="Y21" s="190"/>
      <c r="Z21" s="189"/>
      <c r="AA21" s="22"/>
      <c r="AB21" s="197"/>
    </row>
    <row r="22" spans="1:28" s="23" customFormat="1" ht="20.100000000000001" customHeight="1">
      <c r="A22" s="22">
        <v>15</v>
      </c>
      <c r="B22" s="197"/>
      <c r="C22" s="197"/>
      <c r="D22" s="110" t="e">
        <f>VLOOKUP(B22,'核实被函证单位信息D0-2'!A:AL,2,0)</f>
        <v>#N/A</v>
      </c>
      <c r="E22" s="244"/>
      <c r="F22" s="264"/>
      <c r="G22" s="110" t="e">
        <f>VLOOKUP(B22,'核实被函证单位信息D0-2'!A:AL,3,0)</f>
        <v>#N/A</v>
      </c>
      <c r="H22" s="191"/>
      <c r="I22" s="198"/>
      <c r="J22" s="110" t="e">
        <f>VLOOKUP(B22,'核实被函证单位信息D0-2'!A:AL,4,0)</f>
        <v>#N/A</v>
      </c>
      <c r="K22" s="258" t="e">
        <f>VLOOKUP(B22,'核实被函证单位信息D0-2'!A:AL,10,0)</f>
        <v>#N/A</v>
      </c>
      <c r="L22" s="259"/>
      <c r="M22" s="258" t="e">
        <f>VLOOKUP(B22,'核实被函证单位信息D0-2'!A:AL,16,0)</f>
        <v>#N/A</v>
      </c>
      <c r="N22" s="330"/>
      <c r="O22" s="191"/>
      <c r="P22" s="22"/>
      <c r="Q22" s="110" t="e">
        <f>VLOOKUP(B22,'核实被函证单位信息D0-2'!A:AL,19,0)</f>
        <v>#N/A</v>
      </c>
      <c r="R22" s="258" t="e">
        <f>VLOOKUP(B22,'核实被函证单位信息D0-2'!A:AL,22,0)</f>
        <v>#N/A</v>
      </c>
      <c r="S22" s="192"/>
      <c r="T22" s="265" t="str">
        <f t="shared" si="0"/>
        <v>未回函</v>
      </c>
      <c r="U22" s="192"/>
      <c r="V22" s="198"/>
      <c r="W22" s="267"/>
      <c r="X22" s="330"/>
      <c r="Y22" s="190"/>
      <c r="Z22" s="189"/>
      <c r="AA22" s="22"/>
      <c r="AB22" s="197"/>
    </row>
    <row r="23" spans="1:28" s="23" customFormat="1" ht="20.100000000000001" customHeight="1">
      <c r="A23" s="22">
        <v>16</v>
      </c>
      <c r="B23" s="197"/>
      <c r="C23" s="197"/>
      <c r="D23" s="110" t="e">
        <f>VLOOKUP(B23,'核实被函证单位信息D0-2'!A:AL,2,0)</f>
        <v>#N/A</v>
      </c>
      <c r="E23" s="244"/>
      <c r="F23" s="264"/>
      <c r="G23" s="110" t="e">
        <f>VLOOKUP(B23,'核实被函证单位信息D0-2'!A:AL,3,0)</f>
        <v>#N/A</v>
      </c>
      <c r="H23" s="191"/>
      <c r="I23" s="198"/>
      <c r="J23" s="110" t="e">
        <f>VLOOKUP(B23,'核实被函证单位信息D0-2'!A:AL,4,0)</f>
        <v>#N/A</v>
      </c>
      <c r="K23" s="258" t="e">
        <f>VLOOKUP(B23,'核实被函证单位信息D0-2'!A:AL,10,0)</f>
        <v>#N/A</v>
      </c>
      <c r="L23" s="259"/>
      <c r="M23" s="258" t="e">
        <f>VLOOKUP(B23,'核实被函证单位信息D0-2'!A:AL,16,0)</f>
        <v>#N/A</v>
      </c>
      <c r="N23" s="330"/>
      <c r="O23" s="191"/>
      <c r="P23" s="22"/>
      <c r="Q23" s="110" t="e">
        <f>VLOOKUP(B23,'核实被函证单位信息D0-2'!A:AL,19,0)</f>
        <v>#N/A</v>
      </c>
      <c r="R23" s="258" t="e">
        <f>VLOOKUP(B23,'核实被函证单位信息D0-2'!A:AL,22,0)</f>
        <v>#N/A</v>
      </c>
      <c r="S23" s="192"/>
      <c r="T23" s="265" t="str">
        <f t="shared" si="0"/>
        <v>未回函</v>
      </c>
      <c r="U23" s="192"/>
      <c r="V23" s="198"/>
      <c r="W23" s="267"/>
      <c r="X23" s="330"/>
      <c r="Y23" s="190"/>
      <c r="Z23" s="189"/>
      <c r="AA23" s="22"/>
      <c r="AB23" s="197"/>
    </row>
    <row r="24" spans="1:28" s="23" customFormat="1" ht="20.100000000000001" customHeight="1">
      <c r="A24" s="22">
        <v>17</v>
      </c>
      <c r="B24" s="197"/>
      <c r="C24" s="197"/>
      <c r="D24" s="110" t="e">
        <f>VLOOKUP(B24,'核实被函证单位信息D0-2'!A:AL,2,0)</f>
        <v>#N/A</v>
      </c>
      <c r="E24" s="244"/>
      <c r="F24" s="264"/>
      <c r="G24" s="110" t="e">
        <f>VLOOKUP(B24,'核实被函证单位信息D0-2'!A:AL,3,0)</f>
        <v>#N/A</v>
      </c>
      <c r="H24" s="191"/>
      <c r="I24" s="198"/>
      <c r="J24" s="110" t="e">
        <f>VLOOKUP(B24,'核实被函证单位信息D0-2'!A:AL,4,0)</f>
        <v>#N/A</v>
      </c>
      <c r="K24" s="258" t="e">
        <f>VLOOKUP(B24,'核实被函证单位信息D0-2'!A:AL,10,0)</f>
        <v>#N/A</v>
      </c>
      <c r="L24" s="259"/>
      <c r="M24" s="258" t="e">
        <f>VLOOKUP(B24,'核实被函证单位信息D0-2'!A:AL,16,0)</f>
        <v>#N/A</v>
      </c>
      <c r="N24" s="330"/>
      <c r="O24" s="191"/>
      <c r="P24" s="22"/>
      <c r="Q24" s="110" t="e">
        <f>VLOOKUP(B24,'核实被函证单位信息D0-2'!A:AL,19,0)</f>
        <v>#N/A</v>
      </c>
      <c r="R24" s="258" t="e">
        <f>VLOOKUP(B24,'核实被函证单位信息D0-2'!A:AL,22,0)</f>
        <v>#N/A</v>
      </c>
      <c r="S24" s="192"/>
      <c r="T24" s="265" t="str">
        <f t="shared" si="0"/>
        <v>未回函</v>
      </c>
      <c r="U24" s="192"/>
      <c r="V24" s="198"/>
      <c r="W24" s="267"/>
      <c r="X24" s="330"/>
      <c r="Y24" s="190"/>
      <c r="Z24" s="189"/>
      <c r="AA24" s="22"/>
      <c r="AB24" s="197"/>
    </row>
    <row r="25" spans="1:28" s="23" customFormat="1" ht="20.100000000000001" customHeight="1">
      <c r="A25" s="22">
        <v>18</v>
      </c>
      <c r="B25" s="197"/>
      <c r="C25" s="197"/>
      <c r="D25" s="110" t="e">
        <f>VLOOKUP(B25,'核实被函证单位信息D0-2'!A:AL,2,0)</f>
        <v>#N/A</v>
      </c>
      <c r="E25" s="244"/>
      <c r="F25" s="264"/>
      <c r="G25" s="110" t="e">
        <f>VLOOKUP(B25,'核实被函证单位信息D0-2'!A:AL,3,0)</f>
        <v>#N/A</v>
      </c>
      <c r="H25" s="191"/>
      <c r="I25" s="198"/>
      <c r="J25" s="110" t="e">
        <f>VLOOKUP(B25,'核实被函证单位信息D0-2'!A:AL,4,0)</f>
        <v>#N/A</v>
      </c>
      <c r="K25" s="258" t="e">
        <f>VLOOKUP(B25,'核实被函证单位信息D0-2'!A:AL,10,0)</f>
        <v>#N/A</v>
      </c>
      <c r="L25" s="259"/>
      <c r="M25" s="258" t="e">
        <f>VLOOKUP(B25,'核实被函证单位信息D0-2'!A:AL,16,0)</f>
        <v>#N/A</v>
      </c>
      <c r="N25" s="330"/>
      <c r="O25" s="191"/>
      <c r="P25" s="22"/>
      <c r="Q25" s="110" t="e">
        <f>VLOOKUP(B25,'核实被函证单位信息D0-2'!A:AL,19,0)</f>
        <v>#N/A</v>
      </c>
      <c r="R25" s="258" t="e">
        <f>VLOOKUP(B25,'核实被函证单位信息D0-2'!A:AL,22,0)</f>
        <v>#N/A</v>
      </c>
      <c r="S25" s="192"/>
      <c r="T25" s="265" t="str">
        <f t="shared" si="0"/>
        <v>未回函</v>
      </c>
      <c r="U25" s="192"/>
      <c r="V25" s="198"/>
      <c r="W25" s="267"/>
      <c r="X25" s="330"/>
      <c r="Y25" s="190"/>
      <c r="Z25" s="189"/>
      <c r="AA25" s="22"/>
      <c r="AB25" s="197"/>
    </row>
    <row r="26" spans="1:28" s="23" customFormat="1" ht="20.100000000000001" customHeight="1">
      <c r="A26" s="141"/>
      <c r="B26" s="141"/>
      <c r="C26" s="272" t="s">
        <v>269</v>
      </c>
      <c r="D26" s="270"/>
      <c r="E26" s="271"/>
      <c r="F26" s="271"/>
      <c r="G26" s="269"/>
      <c r="H26" s="136"/>
      <c r="I26" s="136"/>
      <c r="J26" s="281" t="s">
        <v>279</v>
      </c>
      <c r="K26" s="136"/>
      <c r="L26" s="25"/>
      <c r="M26" s="25"/>
      <c r="N26" s="25"/>
      <c r="O26" s="25"/>
      <c r="P26" s="25"/>
      <c r="Q26" s="25"/>
      <c r="R26" s="20"/>
      <c r="S26" s="187" t="s">
        <v>374</v>
      </c>
      <c r="T26" s="24"/>
      <c r="U26" s="24"/>
      <c r="V26" s="24"/>
      <c r="W26" s="24"/>
      <c r="X26" s="25"/>
      <c r="Y26" s="24"/>
      <c r="Z26" s="24"/>
      <c r="AA26" s="24"/>
      <c r="AB26" s="24"/>
    </row>
    <row r="27" spans="1:28" s="23" customFormat="1" ht="20.100000000000001" customHeight="1">
      <c r="A27" s="141"/>
      <c r="B27" s="141"/>
      <c r="C27" s="495" t="s">
        <v>270</v>
      </c>
      <c r="D27" s="495"/>
      <c r="E27" s="336" t="s">
        <v>393</v>
      </c>
      <c r="F27" s="336" t="s">
        <v>394</v>
      </c>
      <c r="G27" s="336" t="s">
        <v>392</v>
      </c>
      <c r="H27" s="137"/>
      <c r="I27" s="159" t="s">
        <v>280</v>
      </c>
      <c r="J27" s="160" t="s">
        <v>397</v>
      </c>
      <c r="K27" s="260"/>
      <c r="L27" s="261"/>
      <c r="M27" s="262"/>
      <c r="N27" s="262"/>
      <c r="O27" s="260"/>
      <c r="P27" s="260"/>
      <c r="Q27" s="261"/>
      <c r="S27" s="20" t="s">
        <v>20</v>
      </c>
      <c r="T27" s="20"/>
      <c r="U27" s="20"/>
      <c r="W27" s="20" t="s">
        <v>21</v>
      </c>
      <c r="X27" s="20"/>
      <c r="Y27" s="15"/>
      <c r="Z27" s="20"/>
      <c r="AA27" s="20"/>
    </row>
    <row r="28" spans="1:28" s="23" customFormat="1" ht="20.100000000000001" customHeight="1">
      <c r="A28" s="141"/>
      <c r="B28" s="141"/>
      <c r="C28" s="268" t="s">
        <v>271</v>
      </c>
      <c r="D28" s="268"/>
      <c r="E28" s="273"/>
      <c r="F28" s="275"/>
      <c r="G28" s="274"/>
      <c r="H28" s="138"/>
      <c r="I28" s="159" t="s">
        <v>281</v>
      </c>
      <c r="J28" s="160" t="s">
        <v>398</v>
      </c>
      <c r="K28" s="260"/>
      <c r="L28" s="261"/>
      <c r="M28" s="262"/>
      <c r="N28" s="262"/>
      <c r="O28" s="260"/>
      <c r="P28" s="260"/>
      <c r="Q28" s="261"/>
      <c r="S28" s="15"/>
      <c r="T28" s="139"/>
      <c r="U28" s="139"/>
      <c r="W28" s="151" t="s">
        <v>194</v>
      </c>
      <c r="X28" s="139"/>
      <c r="Y28" s="152"/>
      <c r="Z28" s="20"/>
      <c r="AA28" s="140"/>
    </row>
    <row r="29" spans="1:28" s="23" customFormat="1" ht="20.100000000000001" customHeight="1">
      <c r="A29" s="141"/>
      <c r="B29" s="141"/>
      <c r="C29" s="268" t="s">
        <v>272</v>
      </c>
      <c r="D29" s="268"/>
      <c r="E29" s="276">
        <f>SUMIF(E8:E25,E27,F8:F25)</f>
        <v>0</v>
      </c>
      <c r="F29" s="276">
        <f>SUMIF(E8:E25,F27,F8:F25)</f>
        <v>0</v>
      </c>
      <c r="G29" s="276">
        <f>SUMIF(E8:E25,G27,F8:F25)</f>
        <v>0</v>
      </c>
      <c r="H29" s="138"/>
      <c r="I29" s="159" t="s">
        <v>282</v>
      </c>
      <c r="J29" s="160" t="s">
        <v>399</v>
      </c>
      <c r="K29" s="260"/>
      <c r="L29" s="261"/>
      <c r="M29" s="262"/>
      <c r="N29" s="262"/>
      <c r="O29" s="260"/>
      <c r="P29" s="260"/>
      <c r="Q29" s="261"/>
      <c r="S29" s="15"/>
      <c r="T29" s="139"/>
      <c r="U29" s="139"/>
      <c r="W29" s="151" t="s">
        <v>195</v>
      </c>
      <c r="X29" s="139"/>
      <c r="Y29" s="152"/>
      <c r="Z29" s="20"/>
      <c r="AA29" s="140"/>
    </row>
    <row r="30" spans="1:28" s="23" customFormat="1" ht="20.100000000000001" customHeight="1">
      <c r="A30" s="141"/>
      <c r="B30" s="141"/>
      <c r="C30" s="268" t="s">
        <v>273</v>
      </c>
      <c r="D30" s="268"/>
      <c r="E30" s="277">
        <f>IF(ISERROR(E29/E28),0,E29/E28)</f>
        <v>0</v>
      </c>
      <c r="F30" s="277">
        <f t="shared" ref="F30:G30" si="1">IF(ISERROR(F29/F28),0,F29/F28)</f>
        <v>0</v>
      </c>
      <c r="G30" s="277">
        <f t="shared" si="1"/>
        <v>0</v>
      </c>
      <c r="H30" s="138"/>
      <c r="I30" s="159" t="s">
        <v>283</v>
      </c>
      <c r="J30" s="160" t="s">
        <v>530</v>
      </c>
      <c r="K30" s="160"/>
      <c r="L30" s="160"/>
      <c r="M30" s="262"/>
      <c r="N30" s="262"/>
      <c r="O30" s="260"/>
      <c r="P30" s="260"/>
      <c r="Q30" s="261"/>
      <c r="S30" s="15"/>
      <c r="T30" s="20"/>
      <c r="U30" s="20"/>
      <c r="W30" s="15"/>
      <c r="X30" s="139"/>
      <c r="Y30" s="152"/>
      <c r="Z30" s="20"/>
      <c r="AA30" s="140"/>
    </row>
    <row r="31" spans="1:28" s="23" customFormat="1" ht="20.100000000000001" customHeight="1">
      <c r="A31" s="141"/>
      <c r="B31" s="141"/>
      <c r="C31" s="278" t="s">
        <v>274</v>
      </c>
      <c r="D31" s="268"/>
      <c r="E31" s="276">
        <f>SUMIF(E8:E25,E27,U8:U25)</f>
        <v>0</v>
      </c>
      <c r="F31" s="276">
        <f>SUMIF(E8:E25,F27,U8:U25)</f>
        <v>0</v>
      </c>
      <c r="G31" s="276">
        <f>SUMIF(E8:E25,G27,U8:U25)</f>
        <v>0</v>
      </c>
      <c r="H31" s="137"/>
      <c r="J31" s="160" t="s">
        <v>284</v>
      </c>
      <c r="L31" s="20"/>
      <c r="M31" s="262"/>
      <c r="N31" s="262"/>
      <c r="O31" s="260"/>
      <c r="P31" s="261"/>
      <c r="Q31" s="262"/>
      <c r="S31" s="20" t="s">
        <v>553</v>
      </c>
      <c r="T31" s="139"/>
      <c r="U31" s="139"/>
      <c r="W31" s="15"/>
      <c r="X31" s="20"/>
      <c r="Y31" s="152"/>
      <c r="Z31" s="20"/>
      <c r="AA31" s="20"/>
    </row>
    <row r="32" spans="1:28" s="23" customFormat="1" ht="20.100000000000001" customHeight="1">
      <c r="A32" s="141"/>
      <c r="B32" s="141"/>
      <c r="C32" s="268" t="s">
        <v>275</v>
      </c>
      <c r="D32" s="268"/>
      <c r="E32" s="277">
        <f>IF(ISERROR(E31/E29),0,E31/E29)</f>
        <v>0</v>
      </c>
      <c r="F32" s="277">
        <f>IF(ISERROR(F31/F29),0,F31/F29)</f>
        <v>0</v>
      </c>
      <c r="G32" s="277">
        <f>IF(ISERROR(G31/G29),0,G31/G29)</f>
        <v>0</v>
      </c>
      <c r="H32" s="138"/>
      <c r="I32" s="159" t="s">
        <v>159</v>
      </c>
      <c r="J32" s="160" t="s">
        <v>285</v>
      </c>
      <c r="K32" s="263"/>
      <c r="L32" s="20"/>
      <c r="M32" s="20"/>
      <c r="N32" s="20"/>
      <c r="O32" s="20"/>
      <c r="P32" s="20"/>
      <c r="Q32" s="20"/>
      <c r="S32" s="20" t="s">
        <v>22</v>
      </c>
      <c r="T32" s="139"/>
      <c r="U32" s="139"/>
      <c r="V32" s="139"/>
      <c r="W32" s="20"/>
      <c r="X32" s="139"/>
      <c r="Y32" s="20"/>
      <c r="Z32" s="20"/>
      <c r="AA32" s="140"/>
    </row>
    <row r="33" spans="1:28" s="23" customFormat="1" ht="20.100000000000001" customHeight="1">
      <c r="A33" s="141"/>
      <c r="B33" s="141"/>
      <c r="C33" s="268" t="s">
        <v>276</v>
      </c>
      <c r="D33" s="268"/>
      <c r="E33" s="277">
        <f>IF(ISERROR(E31/E28),0,E31/E28)</f>
        <v>0</v>
      </c>
      <c r="F33" s="277">
        <f>IF(ISERROR(F31/F28),0,F31/F28)</f>
        <v>0</v>
      </c>
      <c r="G33" s="277">
        <f>IF(ISERROR(G31/G28),0,G31/G28)</f>
        <v>0</v>
      </c>
      <c r="H33" s="138"/>
      <c r="I33" s="159" t="s">
        <v>160</v>
      </c>
      <c r="J33" s="160" t="s">
        <v>400</v>
      </c>
      <c r="K33" s="263"/>
      <c r="L33" s="20"/>
      <c r="M33" s="20"/>
      <c r="N33" s="20"/>
      <c r="O33" s="20"/>
      <c r="P33" s="15"/>
      <c r="Q33" s="20"/>
      <c r="S33" s="434" t="s">
        <v>552</v>
      </c>
      <c r="T33" s="16"/>
      <c r="U33" s="16"/>
      <c r="W33" s="15"/>
      <c r="X33" s="139"/>
      <c r="Y33" s="139"/>
      <c r="Z33" s="20"/>
      <c r="AA33" s="140"/>
    </row>
    <row r="34" spans="1:28" s="23" customFormat="1" ht="20.100000000000001" customHeight="1">
      <c r="A34" s="141"/>
      <c r="B34" s="141"/>
      <c r="C34" s="278" t="s">
        <v>278</v>
      </c>
      <c r="D34" s="268"/>
      <c r="E34" s="276">
        <f>SUMIF(E8:E25,E27,Y8:Y25)</f>
        <v>0</v>
      </c>
      <c r="F34" s="276">
        <f>SUMIF(E8:E25,F27,Y8:Y25)</f>
        <v>0</v>
      </c>
      <c r="G34" s="276">
        <f>SUMIF(E8:E25,G27,Y8:Y25)</f>
        <v>0</v>
      </c>
      <c r="H34" s="138"/>
      <c r="I34" s="138"/>
      <c r="J34" s="160" t="s">
        <v>401</v>
      </c>
      <c r="K34" s="15"/>
      <c r="L34" s="20"/>
      <c r="M34" s="20"/>
      <c r="N34" s="20"/>
      <c r="O34" s="20"/>
      <c r="P34" s="15"/>
      <c r="Q34" s="20"/>
      <c r="S34" s="20"/>
      <c r="T34" s="15"/>
      <c r="U34" s="139"/>
      <c r="V34" s="139"/>
      <c r="W34" s="15"/>
      <c r="X34" s="139"/>
      <c r="Y34" s="139"/>
      <c r="Z34" s="20"/>
      <c r="AA34" s="140"/>
    </row>
    <row r="35" spans="1:28" s="15" customFormat="1" ht="20.100000000000001" customHeight="1">
      <c r="A35" s="25"/>
      <c r="B35" s="25"/>
      <c r="C35" s="279" t="s">
        <v>277</v>
      </c>
      <c r="D35" s="280"/>
      <c r="E35" s="277" t="e">
        <f>(E34+E31)/E28</f>
        <v>#DIV/0!</v>
      </c>
      <c r="F35" s="277" t="e">
        <f>(F34+F31)/F28</f>
        <v>#DIV/0!</v>
      </c>
      <c r="G35" s="277" t="e">
        <f t="shared" ref="G35" si="2">(G34+G31)/G28</f>
        <v>#DIV/0!</v>
      </c>
      <c r="H35" s="26"/>
      <c r="I35" s="26"/>
      <c r="J35" s="160" t="s">
        <v>286</v>
      </c>
      <c r="K35" s="20"/>
      <c r="L35" s="20"/>
      <c r="M35" s="20"/>
      <c r="N35" s="20"/>
      <c r="O35" s="20"/>
      <c r="P35" s="20"/>
      <c r="Q35" s="20"/>
      <c r="R35" s="20"/>
      <c r="S35" s="20" t="s">
        <v>23</v>
      </c>
      <c r="U35" s="16"/>
      <c r="V35" s="16"/>
      <c r="W35" s="20"/>
      <c r="X35" s="16"/>
      <c r="Y35" s="16"/>
      <c r="Z35" s="16"/>
      <c r="AA35" s="16"/>
    </row>
    <row r="36" spans="1:28" s="15" customFormat="1" ht="20.100000000000001" customHeight="1">
      <c r="A36" s="25"/>
      <c r="B36" s="25"/>
      <c r="C36" s="25"/>
      <c r="D36" s="25"/>
      <c r="E36" s="245"/>
      <c r="F36" s="245"/>
      <c r="G36" s="20"/>
      <c r="H36" s="20"/>
      <c r="I36" s="26"/>
      <c r="J36" s="26"/>
      <c r="K36" s="26"/>
      <c r="L36" s="20"/>
      <c r="M36" s="20"/>
      <c r="N36" s="20"/>
      <c r="O36" s="20"/>
      <c r="P36" s="20"/>
      <c r="Q36" s="20"/>
      <c r="R36" s="20"/>
      <c r="T36" s="20"/>
      <c r="V36" s="16"/>
      <c r="W36" s="16"/>
      <c r="X36" s="20"/>
      <c r="Y36" s="16"/>
      <c r="Z36" s="16"/>
      <c r="AA36" s="16"/>
      <c r="AB36" s="16"/>
    </row>
    <row r="37" spans="1:28" s="15" customFormat="1" ht="20.100000000000001" customHeight="1">
      <c r="A37" s="20"/>
      <c r="B37" s="20"/>
      <c r="C37" s="188" t="s">
        <v>287</v>
      </c>
      <c r="D37" s="20"/>
      <c r="E37" s="246"/>
      <c r="F37" s="246"/>
      <c r="G37" s="20"/>
      <c r="J37" s="16"/>
      <c r="K37" s="16"/>
      <c r="L37" s="20"/>
      <c r="M37" s="20"/>
      <c r="N37" s="20"/>
      <c r="O37" s="20"/>
      <c r="P37" s="20"/>
      <c r="Q37" s="20"/>
      <c r="R37" s="26"/>
      <c r="S37" s="16"/>
      <c r="T37" s="16"/>
      <c r="U37" s="16"/>
      <c r="V37" s="16"/>
      <c r="W37" s="16"/>
      <c r="X37" s="16"/>
      <c r="Y37" s="16"/>
      <c r="Z37" s="16"/>
      <c r="AA37" s="16"/>
      <c r="AB37" s="16"/>
    </row>
    <row r="38" spans="1:28" s="15" customFormat="1" ht="20.100000000000001" customHeight="1">
      <c r="A38" s="26"/>
      <c r="B38" s="20"/>
      <c r="C38" s="26"/>
      <c r="D38" s="20"/>
      <c r="E38" s="246"/>
      <c r="F38" s="246"/>
      <c r="G38" s="20"/>
      <c r="H38" s="20"/>
      <c r="I38" s="20"/>
      <c r="J38" s="20"/>
      <c r="K38" s="20"/>
      <c r="L38" s="20"/>
      <c r="M38" s="20"/>
      <c r="N38" s="20"/>
      <c r="O38" s="20"/>
      <c r="P38" s="20"/>
      <c r="Q38" s="20"/>
      <c r="R38" s="16"/>
      <c r="S38" s="16"/>
      <c r="T38" s="16"/>
      <c r="U38" s="16"/>
      <c r="V38" s="16"/>
      <c r="W38" s="16"/>
      <c r="X38" s="16"/>
      <c r="Y38" s="16"/>
      <c r="Z38" s="16"/>
      <c r="AA38" s="16"/>
      <c r="AB38" s="16"/>
    </row>
    <row r="39" spans="1:28" s="15" customFormat="1" ht="20.100000000000001" customHeight="1">
      <c r="A39" s="16"/>
      <c r="B39" s="16"/>
      <c r="C39" s="16"/>
      <c r="D39" s="16"/>
      <c r="E39" s="247"/>
      <c r="F39" s="247"/>
      <c r="G39" s="16"/>
      <c r="H39" s="16"/>
      <c r="I39" s="16"/>
      <c r="J39" s="16"/>
      <c r="K39" s="16"/>
      <c r="L39" s="16"/>
      <c r="M39" s="16"/>
      <c r="N39" s="16"/>
      <c r="O39" s="16"/>
      <c r="P39" s="16"/>
      <c r="Q39" s="16"/>
      <c r="R39" s="16"/>
      <c r="S39" s="16"/>
      <c r="T39" s="16"/>
      <c r="U39" s="16"/>
      <c r="V39" s="16"/>
      <c r="W39" s="16"/>
      <c r="X39" s="16"/>
      <c r="Y39" s="16"/>
      <c r="Z39" s="16"/>
      <c r="AA39" s="16"/>
      <c r="AB39" s="16"/>
    </row>
    <row r="40" spans="1:28" s="15" customFormat="1" ht="18" customHeight="1">
      <c r="A40" s="153" t="s">
        <v>151</v>
      </c>
      <c r="B40" s="16"/>
      <c r="C40" s="16"/>
      <c r="D40" s="16"/>
      <c r="E40" s="247"/>
      <c r="F40" s="247"/>
      <c r="G40" s="16"/>
      <c r="H40" s="16"/>
      <c r="I40" s="16"/>
      <c r="J40" s="16"/>
      <c r="K40" s="16"/>
      <c r="L40" s="16"/>
      <c r="M40" s="16"/>
      <c r="N40" s="16"/>
      <c r="O40" s="16"/>
      <c r="P40" s="16"/>
      <c r="Q40" s="16"/>
      <c r="R40" s="16"/>
    </row>
    <row r="41" spans="1:28" s="15" customFormat="1" ht="19.5" customHeight="1">
      <c r="A41" s="27"/>
      <c r="B41" s="28"/>
      <c r="C41" s="28"/>
      <c r="D41" s="28"/>
      <c r="E41" s="248"/>
      <c r="F41" s="248"/>
      <c r="G41" s="28"/>
      <c r="H41" s="28"/>
      <c r="I41" s="28"/>
      <c r="J41" s="28"/>
      <c r="K41" s="28"/>
      <c r="L41" s="28"/>
      <c r="M41" s="28"/>
      <c r="N41" s="28"/>
      <c r="O41" s="28"/>
      <c r="P41" s="28"/>
      <c r="Q41" s="28"/>
      <c r="R41" s="28"/>
    </row>
    <row r="42" spans="1:28" s="15" customFormat="1" ht="18" customHeight="1">
      <c r="A42" s="29" t="s">
        <v>24</v>
      </c>
      <c r="B42" s="23"/>
      <c r="C42" s="23"/>
      <c r="E42" s="243"/>
      <c r="F42" s="243"/>
    </row>
    <row r="43" spans="1:28" s="15" customFormat="1" ht="18" customHeight="1">
      <c r="A43" s="30" t="s">
        <v>25</v>
      </c>
      <c r="B43" s="31"/>
      <c r="C43" s="31"/>
      <c r="E43" s="243"/>
      <c r="F43" s="243"/>
    </row>
    <row r="44" spans="1:28" s="15" customFormat="1" ht="18" customHeight="1">
      <c r="A44" s="32" t="s">
        <v>26</v>
      </c>
      <c r="B44" s="31"/>
      <c r="C44" s="31"/>
      <c r="E44" s="243"/>
      <c r="F44" s="243"/>
    </row>
    <row r="45" spans="1:28" s="15" customFormat="1" ht="18" customHeight="1">
      <c r="A45" s="32" t="s">
        <v>27</v>
      </c>
      <c r="B45" s="31"/>
      <c r="C45" s="31"/>
      <c r="E45" s="243"/>
      <c r="F45" s="243"/>
    </row>
    <row r="46" spans="1:28" s="15" customFormat="1" ht="18" customHeight="1">
      <c r="A46" s="32" t="s">
        <v>28</v>
      </c>
      <c r="B46" s="31"/>
      <c r="C46" s="31"/>
      <c r="E46" s="243"/>
      <c r="F46" s="243"/>
    </row>
    <row r="47" spans="1:28" s="15" customFormat="1" ht="18" customHeight="1">
      <c r="A47" s="32" t="s">
        <v>29</v>
      </c>
      <c r="B47" s="31"/>
      <c r="C47" s="31"/>
      <c r="E47" s="243"/>
      <c r="F47" s="243"/>
    </row>
    <row r="48" spans="1:28" s="15" customFormat="1" ht="18" customHeight="1">
      <c r="A48" s="32" t="s">
        <v>30</v>
      </c>
      <c r="B48" s="31"/>
      <c r="C48" s="31"/>
      <c r="E48" s="243"/>
      <c r="F48" s="243"/>
    </row>
    <row r="49" spans="1:6" s="15" customFormat="1" ht="18" customHeight="1">
      <c r="A49" s="32" t="s">
        <v>31</v>
      </c>
      <c r="B49" s="31"/>
      <c r="C49" s="31"/>
      <c r="E49" s="243"/>
      <c r="F49" s="243"/>
    </row>
    <row r="50" spans="1:6" s="15" customFormat="1" ht="18" customHeight="1">
      <c r="A50" s="32" t="s">
        <v>32</v>
      </c>
      <c r="B50" s="31"/>
      <c r="C50" s="31"/>
      <c r="E50" s="243"/>
      <c r="F50" s="243"/>
    </row>
    <row r="51" spans="1:6" s="15" customFormat="1" ht="18" customHeight="1">
      <c r="A51" s="32" t="s">
        <v>33</v>
      </c>
      <c r="B51" s="31"/>
      <c r="C51" s="31"/>
      <c r="E51" s="243"/>
      <c r="F51" s="243"/>
    </row>
    <row r="52" spans="1:6" s="15" customFormat="1" ht="18" customHeight="1">
      <c r="A52" s="33" t="s">
        <v>34</v>
      </c>
      <c r="B52" s="23"/>
      <c r="C52" s="23"/>
      <c r="E52" s="243"/>
      <c r="F52" s="243"/>
    </row>
    <row r="53" spans="1:6" s="15" customFormat="1" ht="18" customHeight="1">
      <c r="A53" s="23"/>
      <c r="B53" s="34" t="s">
        <v>35</v>
      </c>
      <c r="C53" s="34"/>
      <c r="E53" s="243"/>
      <c r="F53" s="243"/>
    </row>
    <row r="54" spans="1:6" s="15" customFormat="1" ht="18" customHeight="1">
      <c r="A54" s="23"/>
      <c r="B54" s="34" t="s">
        <v>36</v>
      </c>
      <c r="C54" s="34"/>
      <c r="E54" s="243"/>
      <c r="F54" s="243"/>
    </row>
    <row r="55" spans="1:6" s="35" customFormat="1" ht="18" customHeight="1">
      <c r="A55" s="23"/>
      <c r="B55" s="34" t="s">
        <v>37</v>
      </c>
      <c r="C55" s="34"/>
      <c r="E55" s="249"/>
      <c r="F55" s="249"/>
    </row>
    <row r="56" spans="1:6" s="35" customFormat="1" ht="18" customHeight="1">
      <c r="A56" s="23"/>
      <c r="B56" s="34" t="s">
        <v>38</v>
      </c>
      <c r="C56" s="34"/>
      <c r="E56" s="249"/>
      <c r="F56" s="249"/>
    </row>
    <row r="57" spans="1:6" s="35" customFormat="1" ht="18" customHeight="1">
      <c r="A57" s="23"/>
      <c r="B57" s="34" t="s">
        <v>39</v>
      </c>
      <c r="C57" s="34"/>
      <c r="E57" s="249"/>
      <c r="F57" s="249"/>
    </row>
    <row r="58" spans="1:6" s="35" customFormat="1" ht="18" customHeight="1">
      <c r="A58" s="23"/>
      <c r="B58" s="34" t="s">
        <v>40</v>
      </c>
      <c r="C58" s="34"/>
      <c r="E58" s="249"/>
      <c r="F58" s="249"/>
    </row>
    <row r="59" spans="1:6" s="35" customFormat="1" ht="18" customHeight="1">
      <c r="A59" s="23"/>
      <c r="B59" s="34" t="s">
        <v>41</v>
      </c>
      <c r="C59" s="34"/>
      <c r="E59" s="249"/>
      <c r="F59" s="249"/>
    </row>
    <row r="60" spans="1:6" s="35" customFormat="1" ht="18" customHeight="1">
      <c r="A60" s="23"/>
      <c r="B60" s="34" t="s">
        <v>42</v>
      </c>
      <c r="C60" s="34"/>
      <c r="E60" s="249"/>
      <c r="F60" s="249"/>
    </row>
    <row r="61" spans="1:6" s="15" customFormat="1" ht="13.8">
      <c r="A61" s="33" t="s">
        <v>43</v>
      </c>
      <c r="B61" s="34"/>
      <c r="C61" s="34"/>
      <c r="E61" s="243"/>
      <c r="F61" s="243"/>
    </row>
    <row r="62" spans="1:6">
      <c r="A62" s="36" t="s">
        <v>44</v>
      </c>
      <c r="B62" s="36"/>
      <c r="C62" s="36"/>
    </row>
    <row r="63" spans="1:6">
      <c r="A63" s="38" t="s">
        <v>45</v>
      </c>
      <c r="B63" s="36"/>
      <c r="C63" s="36"/>
    </row>
    <row r="64" spans="1:6">
      <c r="A64" s="39" t="s">
        <v>46</v>
      </c>
      <c r="B64" s="36" t="s">
        <v>47</v>
      </c>
      <c r="C64" s="36"/>
    </row>
    <row r="65" spans="1:3">
      <c r="A65" s="39" t="s">
        <v>48</v>
      </c>
      <c r="B65" s="36" t="s">
        <v>49</v>
      </c>
      <c r="C65" s="36"/>
    </row>
    <row r="66" spans="1:3">
      <c r="A66" s="39" t="s">
        <v>50</v>
      </c>
      <c r="B66" s="36" t="s">
        <v>51</v>
      </c>
      <c r="C66" s="36"/>
    </row>
    <row r="67" spans="1:3">
      <c r="A67" s="40" t="s">
        <v>52</v>
      </c>
    </row>
  </sheetData>
  <mergeCells count="38">
    <mergeCell ref="S5:W5"/>
    <mergeCell ref="F6:F7"/>
    <mergeCell ref="AA6:AA7"/>
    <mergeCell ref="C27:D27"/>
    <mergeCell ref="X6:X7"/>
    <mergeCell ref="Y6:Y7"/>
    <mergeCell ref="Z6:Z7"/>
    <mergeCell ref="R6:R7"/>
    <mergeCell ref="C6:C7"/>
    <mergeCell ref="D6:D7"/>
    <mergeCell ref="G6:G7"/>
    <mergeCell ref="H6:H7"/>
    <mergeCell ref="W6:W7"/>
    <mergeCell ref="M6:M7"/>
    <mergeCell ref="N6:N7"/>
    <mergeCell ref="O6:O7"/>
    <mergeCell ref="Q6:Q7"/>
    <mergeCell ref="P6:P7"/>
    <mergeCell ref="V6:V7"/>
    <mergeCell ref="S6:S7"/>
    <mergeCell ref="T6:T7"/>
    <mergeCell ref="U6:U7"/>
    <mergeCell ref="AB5:AB7"/>
    <mergeCell ref="E6:E7"/>
    <mergeCell ref="X5:AA5"/>
    <mergeCell ref="A1:R1"/>
    <mergeCell ref="A2:R2"/>
    <mergeCell ref="S1:AB1"/>
    <mergeCell ref="S2:AB2"/>
    <mergeCell ref="A5:A7"/>
    <mergeCell ref="B5:B7"/>
    <mergeCell ref="C5:F5"/>
    <mergeCell ref="G5:K5"/>
    <mergeCell ref="L5:R5"/>
    <mergeCell ref="I6:I7"/>
    <mergeCell ref="J6:J7"/>
    <mergeCell ref="K6:K7"/>
    <mergeCell ref="L6:L7"/>
  </mergeCells>
  <phoneticPr fontId="5" type="noConversion"/>
  <dataValidations count="6">
    <dataValidation type="list" allowBlank="1" showInputMessage="1" showErrorMessage="1" sqref="P31">
      <formula1>#REF!</formula1>
    </dataValidation>
    <dataValidation type="list" allowBlank="1" showInputMessage="1" showErrorMessage="1" sqref="JF8:JF25 WVR8:WVR25 WLV8:WLV25 WBZ8:WBZ25 VSD8:VSD25 VIH8:VIH25 UYL8:UYL25 UOP8:UOP25 UET8:UET25 TUX8:TUX25 TLB8:TLB25 TBF8:TBF25 SRJ8:SRJ25 SHN8:SHN25 RXR8:RXR25 RNV8:RNV25 RDZ8:RDZ25 QUD8:QUD25 QKH8:QKH25 QAL8:QAL25 PQP8:PQP25 PGT8:PGT25 OWX8:OWX25 ONB8:ONB25 ODF8:ODF25 NTJ8:NTJ25 NJN8:NJN25 MZR8:MZR25 MPV8:MPV25 MFZ8:MFZ25 LWD8:LWD25 LMH8:LMH25 LCL8:LCL25 KSP8:KSP25 KIT8:KIT25 JYX8:JYX25 JPB8:JPB25 JFF8:JFF25 IVJ8:IVJ25 ILN8:ILN25 IBR8:IBR25 HRV8:HRV25 HHZ8:HHZ25 GYD8:GYD25 GOH8:GOH25 GEL8:GEL25 FUP8:FUP25 FKT8:FKT25 FAX8:FAX25 ERB8:ERB25 EHF8:EHF25 DXJ8:DXJ25 DNN8:DNN25 DDR8:DDR25 CTV8:CTV25 CJZ8:CJZ25 CAD8:CAD25 BQH8:BQH25 BGL8:BGL25 AWP8:AWP25 AMT8:AMT25 ACX8:ACX25 TB8:TB25 C8:C25">
      <formula1>"A. 大额,B.异常,C.余额为0,D.账龄长,E.随机"</formula1>
    </dataValidation>
    <dataValidation type="list" allowBlank="1" showInputMessage="1" showErrorMessage="1" sqref="JV8:JV25 WMC8:WMC25 WCG8:WCG25 VSK8:VSK25 VIO8:VIO25 UYS8:UYS25 UOW8:UOW25 UFA8:UFA25 TVE8:TVE25 TLI8:TLI25 TBM8:TBM25 SRQ8:SRQ25 SHU8:SHU25 RXY8:RXY25 ROC8:ROC25 REG8:REG25 QUK8:QUK25 QKO8:QKO25 QAS8:QAS25 PQW8:PQW25 PHA8:PHA25 OXE8:OXE25 ONI8:ONI25 ODM8:ODM25 NTQ8:NTQ25 NJU8:NJU25 MZY8:MZY25 MQC8:MQC25 MGG8:MGG25 LWK8:LWK25 LMO8:LMO25 LCS8:LCS25 KSW8:KSW25 KJA8:KJA25 JZE8:JZE25 JPI8:JPI25 JFM8:JFM25 IVQ8:IVQ25 ILU8:ILU25 IBY8:IBY25 HSC8:HSC25 HIG8:HIG25 GYK8:GYK25 GOO8:GOO25 GES8:GES25 FUW8:FUW25 FLA8:FLA25 FBE8:FBE25 ERI8:ERI25 EHM8:EHM25 DXQ8:DXQ25 DNU8:DNU25 DDY8:DDY25 CUC8:CUC25 CKG8:CKG25 CAK8:CAK25 BQO8:BQO25 BGS8:BGS25 AWW8:AWW25 ANA8:ANA25 ADE8:ADE25 TI8:TI25 JM8:JM25 TR8:TR25 WVU8:WVU25 WLY8:WLY25 WCC8:WCC25 VSG8:VSG25 VIK8:VIK25 UYO8:UYO25 UOS8:UOS25 UEW8:UEW25 TVA8:TVA25 TLE8:TLE25 TBI8:TBI25 SRM8:SRM25 SHQ8:SHQ25 RXU8:RXU25 RNY8:RNY25 REC8:REC25 QUG8:QUG25 QKK8:QKK25 QAO8:QAO25 PQS8:PQS25 PGW8:PGW25 OXA8:OXA25 ONE8:ONE25 ODI8:ODI25 NTM8:NTM25 NJQ8:NJQ25 MZU8:MZU25 MPY8:MPY25 MGC8:MGC25 LWG8:LWG25 LMK8:LMK25 LCO8:LCO25 KSS8:KSS25 KIW8:KIW25 JZA8:JZA25 JPE8:JPE25 JFI8:JFI25 IVM8:IVM25 ILQ8:ILQ25 IBU8:IBU25 HRY8:HRY25 HIC8:HIC25 GYG8:GYG25 GOK8:GOK25 GEO8:GEO25 FUS8:FUS25 FKW8:FKW25 FBA8:FBA25 ERE8:ERE25 EHI8:EHI25 DXM8:DXM25 DNQ8:DNQ25 DDU8:DDU25 CTY8:CTY25 CKC8:CKC25 CAG8:CAG25 BQK8:BQK25 BGO8:BGO25 AWS8:AWS25 AMW8:AMW25 ADA8:ADA25 TE8:TE25 JI8:JI25 WVY8:WVY25 WWH8:WWH25 WML8:WML25 WCP8:WCP25 VST8:VST25 VIX8:VIX25 UZB8:UZB25 UPF8:UPF25 UFJ8:UFJ25 TVN8:TVN25 TLR8:TLR25 TBV8:TBV25 SRZ8:SRZ25 SID8:SID25 RYH8:RYH25 ROL8:ROL25 REP8:REP25 QUT8:QUT25 QKX8:QKX25 QBB8:QBB25 PRF8:PRF25 PHJ8:PHJ25 OXN8:OXN25 ONR8:ONR25 ODV8:ODV25 NTZ8:NTZ25 NKD8:NKD25 NAH8:NAH25 MQL8:MQL25 MGP8:MGP25 LWT8:LWT25 LMX8:LMX25 LDB8:LDB25 KTF8:KTF25 KJJ8:KJJ25 JZN8:JZN25 JPR8:JPR25 JFV8:JFV25 IVZ8:IVZ25 IMD8:IMD25 ICH8:ICH25 HSL8:HSL25 HIP8:HIP25 GYT8:GYT25 GOX8:GOX25 GFB8:GFB25 FVF8:FVF25 FLJ8:FLJ25 FBN8:FBN25 ERR8:ERR25 EHV8:EHV25 DXZ8:DXZ25 DOD8:DOD25 DEH8:DEH25 CUL8:CUL25 CKP8:CKP25 CAT8:CAT25 BQX8:BQX25 BHB8:BHB25 AXF8:AXF25 ANJ8:ANJ25 ADN8:ADN25">
      <formula1>"√,×"</formula1>
    </dataValidation>
    <dataValidation type="list" allowBlank="1" showInputMessage="1" showErrorMessage="1" sqref="WVW8:WVX25 JK8:JL25 WMA8:WMB25 WCE8:WCF25 VSI8:VSJ25 VIM8:VIN25 UYQ8:UYR25 UOU8:UOV25 UEY8:UEZ25 TVC8:TVD25 TLG8:TLH25 TBK8:TBL25 SRO8:SRP25 SHS8:SHT25 RXW8:RXX25 ROA8:ROB25 REE8:REF25 QUI8:QUJ25 QKM8:QKN25 QAQ8:QAR25 PQU8:PQV25 PGY8:PGZ25 OXC8:OXD25 ONG8:ONH25 ODK8:ODL25 NTO8:NTP25 NJS8:NJT25 MZW8:MZX25 MQA8:MQB25 MGE8:MGF25 LWI8:LWJ25 LMM8:LMN25 LCQ8:LCR25 KSU8:KSV25 KIY8:KIZ25 JZC8:JZD25 JPG8:JPH25 JFK8:JFL25 IVO8:IVP25 ILS8:ILT25 IBW8:IBX25 HSA8:HSB25 HIE8:HIF25 GYI8:GYJ25 GOM8:GON25 GEQ8:GER25 FUU8:FUV25 FKY8:FKZ25 FBC8:FBD25 ERG8:ERH25 EHK8:EHL25 DXO8:DXP25 DNS8:DNT25 DDW8:DDX25 CUA8:CUB25 CKE8:CKF25 CAI8:CAJ25 BQM8:BQN25 BGQ8:BGR25 AWU8:AWV25 AMY8:AMZ25 ADC8:ADD25 TG8:TH25">
      <formula1>"跟函,邮寄,电邮,其他"</formula1>
    </dataValidation>
    <dataValidation type="list" allowBlank="1" showInputMessage="1" showErrorMessage="1" sqref="WVZ8:WWB25 JN8:JP25 WMD8:WMF25 WCH8:WCJ25 VSL8:VSN25 VIP8:VIR25 UYT8:UYV25 UOX8:UOZ25 UFB8:UFD25 TVF8:TVH25 TLJ8:TLL25 TBN8:TBP25 SRR8:SRT25 SHV8:SHX25 RXZ8:RYB25 ROD8:ROF25 REH8:REJ25 QUL8:QUN25 QKP8:QKR25 QAT8:QAV25 PQX8:PQZ25 PHB8:PHD25 OXF8:OXH25 ONJ8:ONL25 ODN8:ODP25 NTR8:NTT25 NJV8:NJX25 MZZ8:NAB25 MQD8:MQF25 MGH8:MGJ25 LWL8:LWN25 LMP8:LMR25 LCT8:LCV25 KSX8:KSZ25 KJB8:KJD25 JZF8:JZH25 JPJ8:JPL25 JFN8:JFP25 IVR8:IVT25 ILV8:ILX25 IBZ8:ICB25 HSD8:HSF25 HIH8:HIJ25 GYL8:GYN25 GOP8:GOR25 GET8:GEV25 FUX8:FUZ25 FLB8:FLD25 FBF8:FBH25 ERJ8:ERL25 EHN8:EHP25 DXR8:DXT25 DNV8:DNX25 DDZ8:DEB25 CUD8:CUF25 CKH8:CKJ25 CAL8:CAN25 BQP8:BQR25 BGT8:BGV25 AWX8:AWZ25 ANB8:AND25 ADF8:ADH25 TJ8:TL25">
      <formula1>"纸质原件,传真件,电子邮件,其他介质"</formula1>
    </dataValidation>
    <dataValidation type="list" allowBlank="1" showInputMessage="1" showErrorMessage="1" sqref="L8:L25 N8:N25 X8:X25">
      <formula1>"是,否"</formula1>
    </dataValidation>
  </dataValidations>
  <hyperlinks>
    <hyperlink ref="R3" location="底稿目录!A1" display="F0-1"/>
    <hyperlink ref="AB3" location="底稿目录!A1" display="F0-1"/>
  </hyperlinks>
  <printOptions horizontalCentered="1"/>
  <pageMargins left="0.59055118110236227" right="0.43307086614173229" top="0.55118110236220474" bottom="0.51181102362204722" header="0.31496062992125984" footer="0.31496062992125984"/>
  <pageSetup paperSize="9" scale="57" fitToHeight="5" orientation="landscape" blackAndWhite="1" cellComments="atEnd" r:id="rId1"/>
  <headerFooter>
    <oddFooter>&amp;C&amp;P/&amp;N</oddFooter>
  </headerFooter>
  <colBreaks count="1" manualBreakCount="1">
    <brk id="18" max="38"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N41"/>
  <sheetViews>
    <sheetView view="pageBreakPreview" zoomScale="98" zoomScaleSheetLayoutView="98" workbookViewId="0">
      <pane xSplit="2" ySplit="6" topLeftCell="L22" activePane="bottomRight" state="frozen"/>
      <selection activeCell="O10" sqref="O10"/>
      <selection pane="topRight" activeCell="O10" sqref="O10"/>
      <selection pane="bottomLeft" activeCell="O10" sqref="O10"/>
      <selection pane="bottomRight" activeCell="S6" sqref="S6"/>
    </sheetView>
  </sheetViews>
  <sheetFormatPr defaultColWidth="10" defaultRowHeight="13.8"/>
  <cols>
    <col min="1" max="1" width="8.6640625" style="49" customWidth="1"/>
    <col min="2" max="2" width="24.6640625" style="49" customWidth="1"/>
    <col min="3" max="3" width="10.6640625" style="49" customWidth="1"/>
    <col min="4" max="4" width="24.77734375" style="49" customWidth="1"/>
    <col min="5" max="5" width="10.6640625" style="49" customWidth="1"/>
    <col min="6" max="6" width="10" style="49"/>
    <col min="7" max="7" width="12.77734375" style="49" bestFit="1" customWidth="1"/>
    <col min="8" max="8" width="15.33203125" style="49" customWidth="1"/>
    <col min="9" max="9" width="21.6640625" style="49" customWidth="1"/>
    <col min="10" max="10" width="9.88671875" style="49" customWidth="1"/>
    <col min="11" max="11" width="16.33203125" style="49" customWidth="1"/>
    <col min="12" max="12" width="13.33203125" style="49" customWidth="1"/>
    <col min="13" max="13" width="11.6640625" style="49" customWidth="1"/>
    <col min="14" max="14" width="8.77734375" style="49" customWidth="1"/>
    <col min="15" max="15" width="12.77734375" style="49" customWidth="1"/>
    <col min="16" max="16" width="11.6640625" style="49" customWidth="1"/>
    <col min="17" max="17" width="6.77734375" style="49" customWidth="1"/>
    <col min="18" max="18" width="7.6640625" style="49" customWidth="1"/>
    <col min="19" max="19" width="20.77734375" style="49" customWidth="1"/>
    <col min="20" max="20" width="11.6640625" style="49" customWidth="1"/>
    <col min="21" max="21" width="13.33203125" style="49" customWidth="1"/>
    <col min="22" max="22" width="9.88671875" style="49" customWidth="1"/>
    <col min="23" max="23" width="10.33203125" style="49" customWidth="1"/>
    <col min="24" max="24" width="11.21875" style="49" customWidth="1"/>
    <col min="25" max="25" width="16.6640625" style="49" customWidth="1"/>
    <col min="26" max="26" width="10.6640625" style="49" customWidth="1"/>
    <col min="27" max="27" width="10.88671875" style="49" customWidth="1"/>
    <col min="28" max="28" width="10" style="49" customWidth="1"/>
    <col min="29" max="29" width="13.33203125" style="49" customWidth="1"/>
    <col min="30" max="30" width="10.109375" style="50" customWidth="1"/>
    <col min="31" max="31" width="12.21875" style="49" customWidth="1"/>
    <col min="32" max="32" width="34.88671875" style="49" customWidth="1"/>
    <col min="33" max="33" width="12.77734375" style="49" customWidth="1"/>
    <col min="34" max="34" width="10" style="49"/>
    <col min="35" max="35" width="16.33203125" style="49" customWidth="1"/>
    <col min="36" max="37" width="10" style="49"/>
    <col min="38" max="38" width="10.33203125" style="49" customWidth="1"/>
    <col min="39" max="16384" width="10" style="49"/>
  </cols>
  <sheetData>
    <row r="1" spans="1:40" s="12" customFormat="1" ht="20.100000000000001" customHeight="1">
      <c r="A1" s="497" t="s">
        <v>231</v>
      </c>
      <c r="B1" s="497"/>
      <c r="C1" s="497"/>
      <c r="D1" s="497"/>
      <c r="E1" s="497"/>
      <c r="F1" s="497"/>
      <c r="G1" s="497"/>
      <c r="H1" s="497"/>
      <c r="I1" s="497"/>
      <c r="J1" s="497"/>
      <c r="K1" s="497"/>
      <c r="L1" s="497"/>
      <c r="M1" s="497"/>
      <c r="N1" s="497"/>
      <c r="O1" s="41"/>
      <c r="P1" s="497" t="s">
        <v>231</v>
      </c>
      <c r="Q1" s="497"/>
      <c r="R1" s="497"/>
      <c r="S1" s="497"/>
      <c r="T1" s="497"/>
      <c r="U1" s="497"/>
      <c r="V1" s="497"/>
      <c r="W1" s="497"/>
      <c r="X1" s="497"/>
      <c r="Y1" s="497"/>
      <c r="Z1" s="497"/>
      <c r="AA1" s="497"/>
      <c r="AB1" s="497" t="s">
        <v>232</v>
      </c>
      <c r="AC1" s="497"/>
      <c r="AD1" s="497"/>
      <c r="AE1" s="497"/>
      <c r="AF1" s="497"/>
      <c r="AG1" s="497"/>
      <c r="AH1" s="497"/>
      <c r="AI1" s="497"/>
      <c r="AJ1" s="497"/>
      <c r="AK1" s="497"/>
      <c r="AL1" s="497"/>
      <c r="AM1" s="143"/>
      <c r="AN1" s="143"/>
    </row>
    <row r="2" spans="1:40" s="42" customFormat="1" ht="20.100000000000001" customHeight="1">
      <c r="A2" s="498" t="s">
        <v>233</v>
      </c>
      <c r="B2" s="498"/>
      <c r="C2" s="498"/>
      <c r="D2" s="498"/>
      <c r="E2" s="498"/>
      <c r="F2" s="498"/>
      <c r="G2" s="498"/>
      <c r="H2" s="498"/>
      <c r="I2" s="498"/>
      <c r="J2" s="498"/>
      <c r="K2" s="498"/>
      <c r="L2" s="498"/>
      <c r="M2" s="498"/>
      <c r="N2" s="498"/>
      <c r="O2" s="254"/>
      <c r="P2" s="498" t="s">
        <v>233</v>
      </c>
      <c r="Q2" s="498"/>
      <c r="R2" s="498"/>
      <c r="S2" s="498"/>
      <c r="T2" s="498"/>
      <c r="U2" s="498"/>
      <c r="V2" s="498"/>
      <c r="W2" s="498"/>
      <c r="X2" s="498"/>
      <c r="Y2" s="498"/>
      <c r="Z2" s="498"/>
      <c r="AA2" s="498"/>
      <c r="AB2" s="498" t="s">
        <v>139</v>
      </c>
      <c r="AC2" s="498"/>
      <c r="AD2" s="498"/>
      <c r="AE2" s="498"/>
      <c r="AF2" s="498"/>
      <c r="AG2" s="498"/>
      <c r="AH2" s="498"/>
      <c r="AI2" s="498"/>
      <c r="AJ2" s="498"/>
      <c r="AK2" s="498"/>
      <c r="AL2" s="498"/>
      <c r="AM2" s="193"/>
    </row>
    <row r="3" spans="1:40" s="44" customFormat="1" ht="20.100000000000001" customHeight="1">
      <c r="B3" s="14" t="str">
        <f>底稿目录!A2</f>
        <v>被审计单位：</v>
      </c>
      <c r="C3" s="14"/>
      <c r="F3" s="14" t="str">
        <f>底稿目录!A4</f>
        <v>编制人：</v>
      </c>
      <c r="I3" s="14"/>
      <c r="J3" s="14"/>
      <c r="K3" s="14" t="str">
        <f>底稿目录!A5</f>
        <v>编制日期：</v>
      </c>
      <c r="L3" s="14"/>
      <c r="M3" s="14"/>
      <c r="N3" s="319" t="s">
        <v>365</v>
      </c>
      <c r="O3" s="322" t="s">
        <v>522</v>
      </c>
      <c r="P3" s="14"/>
      <c r="Q3" s="14"/>
      <c r="R3" s="14"/>
      <c r="S3" s="14"/>
      <c r="T3" s="14" t="str">
        <f>底稿目录!A4</f>
        <v>编制人：</v>
      </c>
      <c r="U3" s="14"/>
      <c r="V3" s="14"/>
      <c r="W3" s="14" t="str">
        <f>底稿目录!A5</f>
        <v>编制日期：</v>
      </c>
      <c r="X3" s="14"/>
      <c r="Y3" s="14"/>
      <c r="Z3" s="14" t="s">
        <v>365</v>
      </c>
      <c r="AA3" s="323" t="str">
        <f>底稿目录!F6</f>
        <v>D0-2</v>
      </c>
      <c r="AB3" s="43"/>
      <c r="AC3" s="43"/>
      <c r="AE3" s="44" t="str">
        <f>底稿目录!A4</f>
        <v>编制人：</v>
      </c>
      <c r="AH3" s="44" t="str">
        <f>底稿目录!A5</f>
        <v>编制日期：</v>
      </c>
      <c r="AK3" s="14" t="s">
        <v>365</v>
      </c>
      <c r="AL3" s="323" t="str">
        <f>底稿目录!F6</f>
        <v>D0-2</v>
      </c>
    </row>
    <row r="4" spans="1:40" s="44" customFormat="1" ht="20.100000000000001" customHeight="1">
      <c r="B4" s="14" t="str">
        <f>底稿目录!A3</f>
        <v>截止日：202X年12月31日</v>
      </c>
      <c r="C4" s="18"/>
      <c r="F4" s="14" t="str">
        <f>底稿目录!A6</f>
        <v>复核人：</v>
      </c>
      <c r="I4" s="14"/>
      <c r="J4" s="14"/>
      <c r="K4" s="14" t="str">
        <f>底稿目录!A7</f>
        <v>复核日期：</v>
      </c>
      <c r="L4" s="14"/>
      <c r="M4" s="14"/>
      <c r="N4" s="319" t="s">
        <v>366</v>
      </c>
      <c r="O4" s="14"/>
      <c r="P4" s="14"/>
      <c r="Q4" s="14"/>
      <c r="R4" s="14"/>
      <c r="S4" s="14"/>
      <c r="T4" s="14" t="str">
        <f>底稿目录!A6</f>
        <v>复核人：</v>
      </c>
      <c r="U4" s="14"/>
      <c r="V4" s="14"/>
      <c r="W4" s="14" t="str">
        <f>底稿目录!A7</f>
        <v>复核日期：</v>
      </c>
      <c r="X4" s="14"/>
      <c r="Y4" s="14"/>
      <c r="Z4" s="14" t="s">
        <v>366</v>
      </c>
      <c r="AA4" s="14"/>
      <c r="AB4" s="43"/>
      <c r="AC4" s="43"/>
      <c r="AD4" s="43"/>
      <c r="AE4" s="44" t="str">
        <f>底稿目录!A6</f>
        <v>复核人：</v>
      </c>
      <c r="AH4" s="44" t="str">
        <f>底稿目录!A7</f>
        <v>复核日期：</v>
      </c>
      <c r="AK4" s="14" t="s">
        <v>366</v>
      </c>
      <c r="AL4" s="14"/>
    </row>
    <row r="5" spans="1:40" s="45" customFormat="1" ht="22.65" customHeight="1">
      <c r="A5" s="499" t="s">
        <v>54</v>
      </c>
      <c r="B5" s="500" t="s">
        <v>187</v>
      </c>
      <c r="C5" s="501"/>
      <c r="D5" s="501"/>
      <c r="E5" s="501"/>
      <c r="F5" s="501"/>
      <c r="G5" s="501"/>
      <c r="H5" s="501"/>
      <c r="I5" s="501"/>
      <c r="J5" s="501"/>
      <c r="K5" s="501"/>
      <c r="L5" s="501"/>
      <c r="M5" s="501"/>
      <c r="N5" s="501"/>
      <c r="O5" s="502"/>
      <c r="P5" s="500" t="s">
        <v>55</v>
      </c>
      <c r="Q5" s="501"/>
      <c r="R5" s="501"/>
      <c r="S5" s="501"/>
      <c r="T5" s="501"/>
      <c r="U5" s="501"/>
      <c r="V5" s="501"/>
      <c r="W5" s="501"/>
      <c r="X5" s="501"/>
      <c r="Y5" s="501"/>
      <c r="Z5" s="501"/>
      <c r="AA5" s="502"/>
      <c r="AB5" s="503" t="s">
        <v>189</v>
      </c>
      <c r="AC5" s="504" t="s">
        <v>56</v>
      </c>
      <c r="AD5" s="504" t="s">
        <v>188</v>
      </c>
      <c r="AE5" s="503" t="s">
        <v>57</v>
      </c>
      <c r="AF5" s="505" t="s">
        <v>58</v>
      </c>
      <c r="AG5" s="506"/>
      <c r="AH5" s="506"/>
      <c r="AI5" s="506"/>
      <c r="AJ5" s="506"/>
      <c r="AK5" s="507"/>
      <c r="AL5" s="503" t="s">
        <v>190</v>
      </c>
    </row>
    <row r="6" spans="1:40" s="45" customFormat="1" ht="51" customHeight="1">
      <c r="A6" s="499"/>
      <c r="B6" s="111" t="s">
        <v>59</v>
      </c>
      <c r="C6" s="111" t="s">
        <v>60</v>
      </c>
      <c r="D6" s="111" t="s">
        <v>17</v>
      </c>
      <c r="E6" s="111" t="s">
        <v>191</v>
      </c>
      <c r="F6" s="112" t="s">
        <v>62</v>
      </c>
      <c r="G6" s="112" t="s">
        <v>63</v>
      </c>
      <c r="H6" s="111" t="s">
        <v>64</v>
      </c>
      <c r="I6" s="111" t="s">
        <v>65</v>
      </c>
      <c r="J6" s="111" t="s">
        <v>66</v>
      </c>
      <c r="K6" s="111" t="s">
        <v>67</v>
      </c>
      <c r="L6" s="111" t="s">
        <v>68</v>
      </c>
      <c r="M6" s="111" t="s">
        <v>69</v>
      </c>
      <c r="N6" s="111" t="s">
        <v>70</v>
      </c>
      <c r="O6" s="111" t="s">
        <v>201</v>
      </c>
      <c r="P6" s="111" t="s">
        <v>18</v>
      </c>
      <c r="Q6" s="111" t="s">
        <v>144</v>
      </c>
      <c r="R6" s="111" t="s">
        <v>145</v>
      </c>
      <c r="S6" s="462" t="s">
        <v>580</v>
      </c>
      <c r="T6" s="111" t="s">
        <v>71</v>
      </c>
      <c r="U6" s="111" t="s">
        <v>72</v>
      </c>
      <c r="V6" s="111" t="s">
        <v>19</v>
      </c>
      <c r="W6" s="111" t="s">
        <v>73</v>
      </c>
      <c r="X6" s="111" t="s">
        <v>74</v>
      </c>
      <c r="Y6" s="111" t="s">
        <v>75</v>
      </c>
      <c r="Z6" s="111" t="s">
        <v>76</v>
      </c>
      <c r="AA6" s="111" t="s">
        <v>288</v>
      </c>
      <c r="AB6" s="503"/>
      <c r="AC6" s="504"/>
      <c r="AD6" s="504"/>
      <c r="AE6" s="503"/>
      <c r="AF6" s="184" t="s">
        <v>192</v>
      </c>
      <c r="AG6" s="113" t="s">
        <v>61</v>
      </c>
      <c r="AH6" s="114" t="s">
        <v>62</v>
      </c>
      <c r="AI6" s="114" t="s">
        <v>63</v>
      </c>
      <c r="AJ6" s="114" t="s">
        <v>77</v>
      </c>
      <c r="AK6" s="111" t="s">
        <v>78</v>
      </c>
      <c r="AL6" s="503"/>
    </row>
    <row r="7" spans="1:40" s="182" customFormat="1" ht="20.100000000000001" customHeight="1">
      <c r="A7" s="199"/>
      <c r="B7" s="175"/>
      <c r="C7" s="175"/>
      <c r="D7" s="175"/>
      <c r="E7" s="199"/>
      <c r="F7" s="175"/>
      <c r="G7" s="199"/>
      <c r="H7" s="201"/>
      <c r="I7" s="175"/>
      <c r="J7" s="176"/>
      <c r="K7" s="175"/>
      <c r="L7" s="175"/>
      <c r="M7" s="199"/>
      <c r="N7" s="176"/>
      <c r="O7" s="175"/>
      <c r="P7" s="181"/>
      <c r="Q7" s="176"/>
      <c r="R7" s="176"/>
      <c r="S7" s="175"/>
      <c r="T7" s="175"/>
      <c r="U7" s="199"/>
      <c r="V7" s="176"/>
      <c r="W7" s="176"/>
      <c r="X7" s="176"/>
      <c r="Y7" s="175"/>
      <c r="Z7" s="255"/>
      <c r="AA7" s="199"/>
      <c r="AB7" s="174"/>
      <c r="AC7" s="175"/>
      <c r="AD7" s="174"/>
      <c r="AE7" s="174"/>
      <c r="AF7" s="175"/>
      <c r="AG7" s="199"/>
      <c r="AH7" s="175"/>
      <c r="AI7" s="199"/>
      <c r="AJ7" s="199"/>
      <c r="AK7" s="174"/>
      <c r="AL7" s="174"/>
    </row>
    <row r="8" spans="1:40" s="182" customFormat="1" ht="20.100000000000001" customHeight="1">
      <c r="A8" s="199"/>
      <c r="B8" s="175"/>
      <c r="C8" s="175"/>
      <c r="D8" s="175"/>
      <c r="E8" s="199"/>
      <c r="F8" s="175"/>
      <c r="G8" s="199"/>
      <c r="H8" s="199"/>
      <c r="I8" s="175"/>
      <c r="J8" s="176"/>
      <c r="K8" s="175"/>
      <c r="L8" s="175"/>
      <c r="M8" s="199"/>
      <c r="N8" s="176"/>
      <c r="O8" s="175"/>
      <c r="P8" s="181"/>
      <c r="Q8" s="176"/>
      <c r="R8" s="176"/>
      <c r="S8" s="175"/>
      <c r="T8" s="175"/>
      <c r="U8" s="199"/>
      <c r="V8" s="176"/>
      <c r="W8" s="176"/>
      <c r="X8" s="176"/>
      <c r="Y8" s="175"/>
      <c r="Z8" s="255"/>
      <c r="AA8" s="199"/>
      <c r="AB8" s="174"/>
      <c r="AC8" s="175"/>
      <c r="AD8" s="174"/>
      <c r="AE8" s="174"/>
      <c r="AF8" s="175"/>
      <c r="AG8" s="199"/>
      <c r="AH8" s="175"/>
      <c r="AI8" s="199"/>
      <c r="AJ8" s="199"/>
      <c r="AK8" s="174"/>
      <c r="AL8" s="174"/>
    </row>
    <row r="9" spans="1:40" s="182" customFormat="1" ht="20.100000000000001" customHeight="1">
      <c r="A9" s="199"/>
      <c r="B9" s="175"/>
      <c r="C9" s="175"/>
      <c r="D9" s="175"/>
      <c r="E9" s="199"/>
      <c r="F9" s="175"/>
      <c r="G9" s="199"/>
      <c r="H9" s="199"/>
      <c r="I9" s="175"/>
      <c r="J9" s="176"/>
      <c r="K9" s="175"/>
      <c r="L9" s="175"/>
      <c r="M9" s="199"/>
      <c r="N9" s="176"/>
      <c r="O9" s="175"/>
      <c r="P9" s="181"/>
      <c r="Q9" s="176"/>
      <c r="R9" s="176"/>
      <c r="S9" s="175"/>
      <c r="T9" s="175"/>
      <c r="U9" s="199"/>
      <c r="V9" s="176"/>
      <c r="W9" s="176"/>
      <c r="X9" s="176"/>
      <c r="Y9" s="175"/>
      <c r="Z9" s="255"/>
      <c r="AA9" s="199"/>
      <c r="AB9" s="174"/>
      <c r="AC9" s="175"/>
      <c r="AD9" s="174"/>
      <c r="AE9" s="174"/>
      <c r="AF9" s="175"/>
      <c r="AG9" s="199"/>
      <c r="AH9" s="175"/>
      <c r="AI9" s="199"/>
      <c r="AJ9" s="199"/>
      <c r="AK9" s="174"/>
      <c r="AL9" s="174"/>
    </row>
    <row r="10" spans="1:40" s="182" customFormat="1" ht="20.100000000000001" customHeight="1">
      <c r="A10" s="199"/>
      <c r="B10" s="175"/>
      <c r="C10" s="175"/>
      <c r="D10" s="175"/>
      <c r="E10" s="199"/>
      <c r="F10" s="175"/>
      <c r="G10" s="199"/>
      <c r="H10" s="199"/>
      <c r="I10" s="175"/>
      <c r="J10" s="176"/>
      <c r="K10" s="175"/>
      <c r="L10" s="175"/>
      <c r="M10" s="199"/>
      <c r="N10" s="176"/>
      <c r="O10" s="175"/>
      <c r="P10" s="181"/>
      <c r="Q10" s="176"/>
      <c r="R10" s="176"/>
      <c r="S10" s="175"/>
      <c r="T10" s="175"/>
      <c r="U10" s="199"/>
      <c r="V10" s="176"/>
      <c r="W10" s="176"/>
      <c r="X10" s="176"/>
      <c r="Y10" s="175"/>
      <c r="Z10" s="255"/>
      <c r="AA10" s="199"/>
      <c r="AB10" s="174"/>
      <c r="AC10" s="175"/>
      <c r="AD10" s="174"/>
      <c r="AE10" s="174"/>
      <c r="AF10" s="175"/>
      <c r="AG10" s="199"/>
      <c r="AH10" s="175"/>
      <c r="AI10" s="199"/>
      <c r="AJ10" s="199"/>
      <c r="AK10" s="174"/>
      <c r="AL10" s="174"/>
    </row>
    <row r="11" spans="1:40" s="182" customFormat="1" ht="20.100000000000001" customHeight="1">
      <c r="A11" s="199"/>
      <c r="B11" s="175"/>
      <c r="C11" s="175"/>
      <c r="D11" s="175"/>
      <c r="E11" s="199"/>
      <c r="F11" s="175"/>
      <c r="G11" s="199"/>
      <c r="H11" s="199"/>
      <c r="I11" s="175"/>
      <c r="J11" s="176"/>
      <c r="K11" s="175"/>
      <c r="L11" s="175"/>
      <c r="M11" s="199"/>
      <c r="N11" s="176"/>
      <c r="O11" s="175"/>
      <c r="P11" s="181"/>
      <c r="Q11" s="176"/>
      <c r="R11" s="176"/>
      <c r="S11" s="175"/>
      <c r="T11" s="175"/>
      <c r="U11" s="199"/>
      <c r="V11" s="176"/>
      <c r="W11" s="176"/>
      <c r="X11" s="176"/>
      <c r="Y11" s="175"/>
      <c r="Z11" s="255"/>
      <c r="AA11" s="199"/>
      <c r="AB11" s="174"/>
      <c r="AC11" s="175"/>
      <c r="AD11" s="174"/>
      <c r="AE11" s="174"/>
      <c r="AF11" s="175"/>
      <c r="AG11" s="199"/>
      <c r="AH11" s="175"/>
      <c r="AI11" s="199"/>
      <c r="AJ11" s="199"/>
      <c r="AK11" s="174"/>
      <c r="AL11" s="174"/>
    </row>
    <row r="12" spans="1:40" s="182" customFormat="1" ht="20.100000000000001" customHeight="1">
      <c r="A12" s="199"/>
      <c r="B12" s="175"/>
      <c r="C12" s="175"/>
      <c r="D12" s="175"/>
      <c r="E12" s="199"/>
      <c r="F12" s="175"/>
      <c r="G12" s="199"/>
      <c r="H12" s="199"/>
      <c r="I12" s="175"/>
      <c r="J12" s="176"/>
      <c r="K12" s="175"/>
      <c r="L12" s="175"/>
      <c r="M12" s="199"/>
      <c r="N12" s="176"/>
      <c r="O12" s="175"/>
      <c r="P12" s="181"/>
      <c r="Q12" s="176"/>
      <c r="R12" s="176"/>
      <c r="S12" s="175"/>
      <c r="T12" s="175"/>
      <c r="U12" s="199"/>
      <c r="V12" s="176"/>
      <c r="W12" s="176"/>
      <c r="X12" s="176"/>
      <c r="Y12" s="175"/>
      <c r="Z12" s="255"/>
      <c r="AA12" s="199"/>
      <c r="AB12" s="174"/>
      <c r="AC12" s="175"/>
      <c r="AD12" s="174"/>
      <c r="AE12" s="174"/>
      <c r="AF12" s="175"/>
      <c r="AG12" s="199"/>
      <c r="AH12" s="175"/>
      <c r="AI12" s="199"/>
      <c r="AJ12" s="199"/>
      <c r="AK12" s="174"/>
      <c r="AL12" s="174"/>
    </row>
    <row r="13" spans="1:40" s="182" customFormat="1" ht="20.100000000000001" customHeight="1">
      <c r="A13" s="199"/>
      <c r="B13" s="175"/>
      <c r="C13" s="175"/>
      <c r="D13" s="175"/>
      <c r="E13" s="199"/>
      <c r="F13" s="175"/>
      <c r="G13" s="199"/>
      <c r="H13" s="199"/>
      <c r="I13" s="175"/>
      <c r="J13" s="176"/>
      <c r="K13" s="175"/>
      <c r="L13" s="175"/>
      <c r="M13" s="199"/>
      <c r="N13" s="176"/>
      <c r="O13" s="175"/>
      <c r="P13" s="181"/>
      <c r="Q13" s="176"/>
      <c r="R13" s="176"/>
      <c r="S13" s="175"/>
      <c r="T13" s="175"/>
      <c r="U13" s="199"/>
      <c r="V13" s="176"/>
      <c r="W13" s="176"/>
      <c r="X13" s="176"/>
      <c r="Y13" s="175"/>
      <c r="Z13" s="255"/>
      <c r="AA13" s="199"/>
      <c r="AB13" s="174"/>
      <c r="AC13" s="175"/>
      <c r="AD13" s="174"/>
      <c r="AE13" s="174"/>
      <c r="AF13" s="175"/>
      <c r="AG13" s="199"/>
      <c r="AH13" s="175"/>
      <c r="AI13" s="199"/>
      <c r="AJ13" s="199"/>
      <c r="AK13" s="174"/>
      <c r="AL13" s="174"/>
    </row>
    <row r="14" spans="1:40" s="182" customFormat="1" ht="20.100000000000001" customHeight="1">
      <c r="A14" s="199"/>
      <c r="B14" s="175"/>
      <c r="C14" s="175"/>
      <c r="D14" s="175"/>
      <c r="E14" s="199"/>
      <c r="F14" s="175"/>
      <c r="G14" s="199"/>
      <c r="H14" s="199"/>
      <c r="I14" s="175"/>
      <c r="J14" s="176"/>
      <c r="K14" s="175"/>
      <c r="L14" s="175"/>
      <c r="M14" s="199"/>
      <c r="N14" s="176"/>
      <c r="O14" s="175"/>
      <c r="P14" s="181"/>
      <c r="Q14" s="176"/>
      <c r="R14" s="176"/>
      <c r="S14" s="175"/>
      <c r="T14" s="175"/>
      <c r="U14" s="199"/>
      <c r="V14" s="176"/>
      <c r="W14" s="176"/>
      <c r="X14" s="176"/>
      <c r="Y14" s="175"/>
      <c r="Z14" s="255"/>
      <c r="AA14" s="199"/>
      <c r="AB14" s="174"/>
      <c r="AC14" s="175"/>
      <c r="AD14" s="174"/>
      <c r="AE14" s="174"/>
      <c r="AF14" s="175"/>
      <c r="AG14" s="199"/>
      <c r="AH14" s="175"/>
      <c r="AI14" s="199"/>
      <c r="AJ14" s="199"/>
      <c r="AK14" s="174"/>
      <c r="AL14" s="174"/>
    </row>
    <row r="15" spans="1:40" s="182" customFormat="1" ht="20.100000000000001" customHeight="1">
      <c r="A15" s="199"/>
      <c r="B15" s="175"/>
      <c r="C15" s="175"/>
      <c r="D15" s="175"/>
      <c r="E15" s="199"/>
      <c r="F15" s="175"/>
      <c r="G15" s="199"/>
      <c r="H15" s="199"/>
      <c r="I15" s="175"/>
      <c r="J15" s="176"/>
      <c r="K15" s="175"/>
      <c r="L15" s="175"/>
      <c r="M15" s="199"/>
      <c r="N15" s="176"/>
      <c r="O15" s="175"/>
      <c r="P15" s="181"/>
      <c r="Q15" s="176"/>
      <c r="R15" s="176"/>
      <c r="S15" s="175"/>
      <c r="T15" s="175"/>
      <c r="U15" s="199"/>
      <c r="V15" s="176"/>
      <c r="W15" s="176"/>
      <c r="X15" s="176"/>
      <c r="Y15" s="175"/>
      <c r="Z15" s="255"/>
      <c r="AA15" s="199"/>
      <c r="AB15" s="174"/>
      <c r="AC15" s="175"/>
      <c r="AD15" s="174"/>
      <c r="AE15" s="174"/>
      <c r="AF15" s="175"/>
      <c r="AG15" s="199"/>
      <c r="AH15" s="175"/>
      <c r="AI15" s="199"/>
      <c r="AJ15" s="199"/>
      <c r="AK15" s="174"/>
      <c r="AL15" s="174"/>
    </row>
    <row r="16" spans="1:40" s="182" customFormat="1" ht="20.100000000000001" customHeight="1">
      <c r="A16" s="199"/>
      <c r="B16" s="175"/>
      <c r="C16" s="175"/>
      <c r="D16" s="175"/>
      <c r="E16" s="199"/>
      <c r="F16" s="175"/>
      <c r="G16" s="199"/>
      <c r="H16" s="199"/>
      <c r="I16" s="175"/>
      <c r="J16" s="176"/>
      <c r="K16" s="175"/>
      <c r="L16" s="175"/>
      <c r="M16" s="199"/>
      <c r="N16" s="176"/>
      <c r="O16" s="175"/>
      <c r="P16" s="181"/>
      <c r="Q16" s="176"/>
      <c r="R16" s="176"/>
      <c r="S16" s="175"/>
      <c r="T16" s="175"/>
      <c r="U16" s="199"/>
      <c r="V16" s="176"/>
      <c r="W16" s="176"/>
      <c r="X16" s="176"/>
      <c r="Y16" s="175"/>
      <c r="Z16" s="255"/>
      <c r="AA16" s="199"/>
      <c r="AB16" s="174"/>
      <c r="AC16" s="175"/>
      <c r="AD16" s="174"/>
      <c r="AE16" s="174"/>
      <c r="AF16" s="175"/>
      <c r="AG16" s="199"/>
      <c r="AH16" s="175"/>
      <c r="AI16" s="199"/>
      <c r="AJ16" s="199"/>
      <c r="AK16" s="174"/>
      <c r="AL16" s="174"/>
    </row>
    <row r="17" spans="1:38" s="182" customFormat="1" ht="20.100000000000001" customHeight="1">
      <c r="A17" s="199"/>
      <c r="B17" s="175"/>
      <c r="C17" s="175"/>
      <c r="D17" s="175"/>
      <c r="E17" s="199"/>
      <c r="F17" s="175"/>
      <c r="G17" s="199"/>
      <c r="H17" s="199"/>
      <c r="I17" s="175"/>
      <c r="J17" s="176"/>
      <c r="K17" s="175"/>
      <c r="L17" s="175"/>
      <c r="M17" s="199"/>
      <c r="N17" s="176"/>
      <c r="O17" s="175"/>
      <c r="P17" s="181"/>
      <c r="Q17" s="176"/>
      <c r="R17" s="176"/>
      <c r="S17" s="175"/>
      <c r="T17" s="175"/>
      <c r="U17" s="199"/>
      <c r="V17" s="176"/>
      <c r="W17" s="176"/>
      <c r="X17" s="176"/>
      <c r="Y17" s="175"/>
      <c r="Z17" s="255"/>
      <c r="AA17" s="199"/>
      <c r="AB17" s="174"/>
      <c r="AC17" s="175"/>
      <c r="AD17" s="174"/>
      <c r="AE17" s="174"/>
      <c r="AF17" s="175"/>
      <c r="AG17" s="199"/>
      <c r="AH17" s="175"/>
      <c r="AI17" s="199"/>
      <c r="AJ17" s="199"/>
      <c r="AK17" s="174"/>
      <c r="AL17" s="174"/>
    </row>
    <row r="18" spans="1:38" s="182" customFormat="1" ht="20.100000000000001" customHeight="1">
      <c r="A18" s="199"/>
      <c r="B18" s="175"/>
      <c r="C18" s="175"/>
      <c r="D18" s="175"/>
      <c r="E18" s="199"/>
      <c r="F18" s="175"/>
      <c r="G18" s="199"/>
      <c r="H18" s="199"/>
      <c r="I18" s="175"/>
      <c r="J18" s="176"/>
      <c r="K18" s="175"/>
      <c r="L18" s="175"/>
      <c r="M18" s="199"/>
      <c r="N18" s="176"/>
      <c r="O18" s="175"/>
      <c r="P18" s="181"/>
      <c r="Q18" s="176"/>
      <c r="R18" s="176"/>
      <c r="S18" s="175"/>
      <c r="T18" s="175"/>
      <c r="U18" s="199"/>
      <c r="V18" s="176"/>
      <c r="W18" s="176"/>
      <c r="X18" s="176"/>
      <c r="Y18" s="175"/>
      <c r="Z18" s="255"/>
      <c r="AA18" s="199"/>
      <c r="AB18" s="174"/>
      <c r="AC18" s="175"/>
      <c r="AD18" s="174"/>
      <c r="AE18" s="174"/>
      <c r="AF18" s="175"/>
      <c r="AG18" s="199"/>
      <c r="AH18" s="175"/>
      <c r="AI18" s="199"/>
      <c r="AJ18" s="199"/>
      <c r="AK18" s="174"/>
      <c r="AL18" s="174"/>
    </row>
    <row r="19" spans="1:38" s="182" customFormat="1" ht="20.100000000000001" customHeight="1">
      <c r="A19" s="199"/>
      <c r="B19" s="175"/>
      <c r="C19" s="175"/>
      <c r="D19" s="175"/>
      <c r="E19" s="199"/>
      <c r="F19" s="175"/>
      <c r="G19" s="199"/>
      <c r="H19" s="199"/>
      <c r="I19" s="175"/>
      <c r="J19" s="176"/>
      <c r="K19" s="175"/>
      <c r="L19" s="175"/>
      <c r="M19" s="199"/>
      <c r="N19" s="176"/>
      <c r="O19" s="175"/>
      <c r="P19" s="181"/>
      <c r="Q19" s="176"/>
      <c r="R19" s="176"/>
      <c r="S19" s="175"/>
      <c r="T19" s="175"/>
      <c r="U19" s="199"/>
      <c r="V19" s="176"/>
      <c r="W19" s="176"/>
      <c r="X19" s="176"/>
      <c r="Y19" s="175"/>
      <c r="Z19" s="255"/>
      <c r="AA19" s="199"/>
      <c r="AB19" s="174"/>
      <c r="AC19" s="175"/>
      <c r="AD19" s="174"/>
      <c r="AE19" s="174"/>
      <c r="AF19" s="175"/>
      <c r="AG19" s="199"/>
      <c r="AH19" s="175"/>
      <c r="AI19" s="199"/>
      <c r="AJ19" s="199"/>
      <c r="AK19" s="174"/>
      <c r="AL19" s="174"/>
    </row>
    <row r="20" spans="1:38" s="182" customFormat="1" ht="20.100000000000001" customHeight="1">
      <c r="A20" s="199"/>
      <c r="B20" s="175"/>
      <c r="C20" s="175"/>
      <c r="D20" s="175"/>
      <c r="E20" s="199"/>
      <c r="F20" s="175"/>
      <c r="G20" s="199"/>
      <c r="H20" s="199"/>
      <c r="I20" s="175"/>
      <c r="J20" s="176"/>
      <c r="K20" s="175"/>
      <c r="L20" s="175"/>
      <c r="M20" s="199"/>
      <c r="N20" s="176"/>
      <c r="O20" s="175"/>
      <c r="P20" s="181"/>
      <c r="Q20" s="176"/>
      <c r="R20" s="176"/>
      <c r="S20" s="175"/>
      <c r="T20" s="175"/>
      <c r="U20" s="199"/>
      <c r="V20" s="176"/>
      <c r="W20" s="176"/>
      <c r="X20" s="176"/>
      <c r="Y20" s="175"/>
      <c r="Z20" s="255"/>
      <c r="AA20" s="199"/>
      <c r="AB20" s="174"/>
      <c r="AC20" s="175"/>
      <c r="AD20" s="174"/>
      <c r="AE20" s="174"/>
      <c r="AF20" s="175"/>
      <c r="AG20" s="199"/>
      <c r="AH20" s="175"/>
      <c r="AI20" s="199"/>
      <c r="AJ20" s="199"/>
      <c r="AK20" s="174"/>
      <c r="AL20" s="174"/>
    </row>
    <row r="21" spans="1:38" s="182" customFormat="1" ht="20.100000000000001" customHeight="1">
      <c r="A21" s="199"/>
      <c r="B21" s="175"/>
      <c r="C21" s="175"/>
      <c r="D21" s="175"/>
      <c r="E21" s="199"/>
      <c r="F21" s="175"/>
      <c r="G21" s="199"/>
      <c r="H21" s="199"/>
      <c r="I21" s="175"/>
      <c r="J21" s="176"/>
      <c r="K21" s="175"/>
      <c r="L21" s="175"/>
      <c r="M21" s="199"/>
      <c r="N21" s="176"/>
      <c r="O21" s="175"/>
      <c r="P21" s="181"/>
      <c r="Q21" s="176"/>
      <c r="R21" s="176"/>
      <c r="S21" s="175"/>
      <c r="T21" s="175"/>
      <c r="U21" s="199"/>
      <c r="V21" s="176"/>
      <c r="W21" s="176"/>
      <c r="X21" s="176"/>
      <c r="Y21" s="175"/>
      <c r="Z21" s="255"/>
      <c r="AA21" s="199"/>
      <c r="AB21" s="174"/>
      <c r="AC21" s="175"/>
      <c r="AD21" s="174"/>
      <c r="AE21" s="174"/>
      <c r="AF21" s="175"/>
      <c r="AG21" s="199"/>
      <c r="AH21" s="175"/>
      <c r="AI21" s="199"/>
      <c r="AJ21" s="199"/>
      <c r="AK21" s="174"/>
      <c r="AL21" s="174"/>
    </row>
    <row r="22" spans="1:38" s="182" customFormat="1" ht="20.100000000000001" customHeight="1">
      <c r="A22" s="200"/>
      <c r="B22" s="178"/>
      <c r="C22" s="175"/>
      <c r="D22" s="178"/>
      <c r="E22" s="200"/>
      <c r="F22" s="178"/>
      <c r="G22" s="200"/>
      <c r="H22" s="200"/>
      <c r="I22" s="178"/>
      <c r="J22" s="176"/>
      <c r="K22" s="178"/>
      <c r="L22" s="175"/>
      <c r="M22" s="200"/>
      <c r="N22" s="176"/>
      <c r="O22" s="178"/>
      <c r="P22" s="181"/>
      <c r="Q22" s="176"/>
      <c r="R22" s="176"/>
      <c r="S22" s="178"/>
      <c r="T22" s="178"/>
      <c r="U22" s="200"/>
      <c r="V22" s="176"/>
      <c r="W22" s="176"/>
      <c r="X22" s="176"/>
      <c r="Y22" s="178"/>
      <c r="Z22" s="256"/>
      <c r="AA22" s="200"/>
      <c r="AB22" s="177"/>
      <c r="AC22" s="178"/>
      <c r="AD22" s="177"/>
      <c r="AE22" s="174"/>
      <c r="AF22" s="178"/>
      <c r="AG22" s="200"/>
      <c r="AH22" s="178"/>
      <c r="AI22" s="200"/>
      <c r="AJ22" s="200"/>
      <c r="AK22" s="174"/>
      <c r="AL22" s="177"/>
    </row>
    <row r="23" spans="1:38" s="182" customFormat="1" ht="20.100000000000001" customHeight="1">
      <c r="A23" s="200"/>
      <c r="B23" s="178"/>
      <c r="C23" s="175"/>
      <c r="D23" s="178"/>
      <c r="E23" s="200"/>
      <c r="F23" s="178"/>
      <c r="G23" s="200"/>
      <c r="H23" s="200"/>
      <c r="I23" s="178"/>
      <c r="J23" s="176"/>
      <c r="K23" s="178"/>
      <c r="L23" s="175"/>
      <c r="M23" s="200"/>
      <c r="N23" s="176"/>
      <c r="O23" s="178"/>
      <c r="P23" s="181"/>
      <c r="Q23" s="176"/>
      <c r="R23" s="176"/>
      <c r="S23" s="178"/>
      <c r="T23" s="178"/>
      <c r="U23" s="200"/>
      <c r="V23" s="176"/>
      <c r="W23" s="176"/>
      <c r="X23" s="176"/>
      <c r="Y23" s="178"/>
      <c r="Z23" s="256"/>
      <c r="AA23" s="200"/>
      <c r="AB23" s="177"/>
      <c r="AC23" s="178"/>
      <c r="AD23" s="177"/>
      <c r="AE23" s="174"/>
      <c r="AF23" s="178"/>
      <c r="AG23" s="200"/>
      <c r="AH23" s="178"/>
      <c r="AI23" s="200"/>
      <c r="AJ23" s="200"/>
      <c r="AK23" s="174"/>
      <c r="AL23" s="177"/>
    </row>
    <row r="24" spans="1:38" s="182" customFormat="1" ht="20.100000000000001" customHeight="1">
      <c r="A24" s="200"/>
      <c r="B24" s="179"/>
      <c r="C24" s="175"/>
      <c r="D24" s="183"/>
      <c r="E24" s="205"/>
      <c r="F24" s="180"/>
      <c r="G24" s="204"/>
      <c r="H24" s="203"/>
      <c r="I24" s="180"/>
      <c r="J24" s="176"/>
      <c r="K24" s="180"/>
      <c r="L24" s="175"/>
      <c r="M24" s="202"/>
      <c r="N24" s="176"/>
      <c r="O24" s="180"/>
      <c r="P24" s="181"/>
      <c r="Q24" s="176"/>
      <c r="R24" s="176"/>
      <c r="S24" s="180"/>
      <c r="T24" s="180"/>
      <c r="U24" s="202"/>
      <c r="V24" s="176"/>
      <c r="W24" s="176"/>
      <c r="X24" s="176"/>
      <c r="Y24" s="180"/>
      <c r="Z24" s="257"/>
      <c r="AA24" s="202"/>
      <c r="AB24" s="177"/>
      <c r="AC24" s="178"/>
      <c r="AD24" s="177"/>
      <c r="AE24" s="174"/>
      <c r="AF24" s="178"/>
      <c r="AG24" s="200"/>
      <c r="AH24" s="178"/>
      <c r="AI24" s="200"/>
      <c r="AJ24" s="200"/>
      <c r="AK24" s="174"/>
      <c r="AL24" s="177"/>
    </row>
    <row r="25" spans="1:38" s="182" customFormat="1" ht="20.100000000000001" customHeight="1">
      <c r="A25" s="200"/>
      <c r="B25" s="179"/>
      <c r="C25" s="175"/>
      <c r="D25" s="183"/>
      <c r="E25" s="205"/>
      <c r="F25" s="180"/>
      <c r="G25" s="204"/>
      <c r="H25" s="203"/>
      <c r="I25" s="180"/>
      <c r="J25" s="176"/>
      <c r="K25" s="180"/>
      <c r="L25" s="175"/>
      <c r="M25" s="202"/>
      <c r="N25" s="176"/>
      <c r="O25" s="180"/>
      <c r="P25" s="181"/>
      <c r="Q25" s="176"/>
      <c r="R25" s="176"/>
      <c r="S25" s="180"/>
      <c r="T25" s="180"/>
      <c r="U25" s="202"/>
      <c r="V25" s="176"/>
      <c r="W25" s="176"/>
      <c r="X25" s="176"/>
      <c r="Y25" s="180"/>
      <c r="Z25" s="257"/>
      <c r="AA25" s="202"/>
      <c r="AB25" s="177"/>
      <c r="AC25" s="178"/>
      <c r="AD25" s="177"/>
      <c r="AE25" s="174"/>
      <c r="AF25" s="178"/>
      <c r="AG25" s="200"/>
      <c r="AH25" s="178"/>
      <c r="AI25" s="200"/>
      <c r="AJ25" s="200"/>
      <c r="AK25" s="174"/>
      <c r="AL25" s="177"/>
    </row>
    <row r="26" spans="1:38" s="182" customFormat="1" ht="20.100000000000001" customHeight="1">
      <c r="A26" s="436"/>
      <c r="B26" s="437"/>
      <c r="C26" s="496" t="s">
        <v>554</v>
      </c>
      <c r="D26" s="496"/>
      <c r="E26" s="496"/>
      <c r="F26" s="496"/>
      <c r="G26" s="496"/>
      <c r="H26" s="496"/>
      <c r="I26" s="496"/>
      <c r="J26" s="496"/>
      <c r="K26" s="496"/>
      <c r="L26" s="496"/>
      <c r="M26" s="496"/>
      <c r="N26" s="496"/>
      <c r="O26" s="496"/>
      <c r="P26" s="438"/>
      <c r="Q26" s="439"/>
      <c r="R26" s="439"/>
      <c r="S26" s="440"/>
      <c r="T26" s="440"/>
      <c r="U26" s="441"/>
      <c r="V26" s="439"/>
      <c r="W26" s="439"/>
      <c r="X26" s="439"/>
      <c r="Y26" s="440"/>
      <c r="Z26" s="442"/>
      <c r="AA26" s="441"/>
      <c r="AB26" s="443"/>
      <c r="AC26" s="444"/>
      <c r="AD26" s="443"/>
      <c r="AE26" s="445"/>
      <c r="AF26" s="444"/>
      <c r="AG26" s="436"/>
      <c r="AH26" s="444"/>
      <c r="AI26" s="436"/>
      <c r="AJ26" s="436"/>
      <c r="AK26" s="445"/>
      <c r="AL26" s="443"/>
    </row>
    <row r="27" spans="1:38" s="182" customFormat="1" ht="20.100000000000001" customHeight="1">
      <c r="A27" s="446"/>
      <c r="B27" s="447"/>
      <c r="C27" s="435" t="s">
        <v>555</v>
      </c>
      <c r="D27" s="435"/>
      <c r="E27" s="435"/>
      <c r="F27" s="435"/>
      <c r="G27" s="435"/>
      <c r="H27" s="435"/>
      <c r="I27" s="435"/>
      <c r="J27" s="435"/>
      <c r="K27" s="435"/>
      <c r="L27" s="435"/>
      <c r="M27" s="435"/>
      <c r="N27" s="435"/>
      <c r="O27" s="435"/>
      <c r="P27" s="448"/>
      <c r="Q27" s="449"/>
      <c r="R27" s="449"/>
      <c r="S27" s="450"/>
      <c r="T27" s="450"/>
      <c r="U27" s="451"/>
      <c r="V27" s="449"/>
      <c r="W27" s="449"/>
      <c r="X27" s="449"/>
      <c r="Y27" s="450"/>
      <c r="Z27" s="452"/>
      <c r="AA27" s="451"/>
      <c r="AB27" s="453"/>
      <c r="AC27" s="454"/>
      <c r="AD27" s="453"/>
      <c r="AE27" s="455"/>
      <c r="AF27" s="454"/>
      <c r="AG27" s="446"/>
      <c r="AH27" s="454"/>
      <c r="AI27" s="446"/>
      <c r="AJ27" s="446"/>
      <c r="AK27" s="455"/>
      <c r="AL27" s="453"/>
    </row>
    <row r="28" spans="1:38" s="45" customFormat="1" ht="17.25" customHeight="1">
      <c r="A28" s="47" t="s">
        <v>79</v>
      </c>
      <c r="AD28" s="46"/>
    </row>
    <row r="29" spans="1:38" s="45" customFormat="1" ht="17.25" customHeight="1">
      <c r="A29" s="48" t="s">
        <v>80</v>
      </c>
      <c r="AD29" s="46"/>
    </row>
    <row r="30" spans="1:38" s="45" customFormat="1" ht="17.25" customHeight="1">
      <c r="A30" s="48" t="s">
        <v>81</v>
      </c>
      <c r="AD30" s="46"/>
    </row>
    <row r="31" spans="1:38" s="45" customFormat="1" ht="17.25" customHeight="1">
      <c r="A31" s="48" t="s">
        <v>82</v>
      </c>
      <c r="AD31" s="46"/>
    </row>
    <row r="32" spans="1:38" s="45" customFormat="1" ht="17.25" customHeight="1">
      <c r="A32" s="48" t="s">
        <v>83</v>
      </c>
      <c r="AD32" s="46"/>
    </row>
    <row r="33" spans="1:30" s="45" customFormat="1" ht="17.25" customHeight="1">
      <c r="A33" s="48" t="s">
        <v>84</v>
      </c>
      <c r="AD33" s="46"/>
    </row>
    <row r="34" spans="1:30" s="45" customFormat="1" ht="17.25" customHeight="1">
      <c r="A34" s="47" t="s">
        <v>85</v>
      </c>
      <c r="AD34" s="46"/>
    </row>
    <row r="35" spans="1:30" ht="17.25" customHeight="1">
      <c r="A35" s="48" t="s">
        <v>86</v>
      </c>
    </row>
    <row r="36" spans="1:30" ht="17.25" customHeight="1">
      <c r="A36" s="47" t="s">
        <v>87</v>
      </c>
    </row>
    <row r="37" spans="1:30" ht="17.25" customHeight="1">
      <c r="A37" s="48" t="s">
        <v>88</v>
      </c>
    </row>
    <row r="38" spans="1:30" ht="17.25" customHeight="1">
      <c r="A38" s="47" t="s">
        <v>89</v>
      </c>
    </row>
    <row r="39" spans="1:30" ht="17.25" customHeight="1">
      <c r="A39" s="47" t="s">
        <v>148</v>
      </c>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row>
    <row r="40" spans="1:30" ht="14.4">
      <c r="A40" s="47" t="s">
        <v>149</v>
      </c>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row>
    <row r="41" spans="1:30">
      <c r="A41" s="154" t="s">
        <v>150</v>
      </c>
    </row>
  </sheetData>
  <mergeCells count="16">
    <mergeCell ref="P5:AA5"/>
    <mergeCell ref="AB5:AB6"/>
    <mergeCell ref="AB1:AL1"/>
    <mergeCell ref="AB2:AL2"/>
    <mergeCell ref="P1:AA1"/>
    <mergeCell ref="P2:AA2"/>
    <mergeCell ref="AC5:AC6"/>
    <mergeCell ref="AD5:AD6"/>
    <mergeCell ref="AE5:AE6"/>
    <mergeCell ref="AF5:AK5"/>
    <mergeCell ref="AL5:AL6"/>
    <mergeCell ref="C26:O26"/>
    <mergeCell ref="A1:N1"/>
    <mergeCell ref="A2:N2"/>
    <mergeCell ref="A5:A6"/>
    <mergeCell ref="B5:O5"/>
  </mergeCells>
  <phoneticPr fontId="5" type="noConversion"/>
  <dataValidations count="5">
    <dataValidation type="list" allowBlank="1" showInputMessage="1" showErrorMessage="1" sqref="L7:L25">
      <formula1>"发票/合同地址核实,电话核实,官网/公告查询,地图查询,邮件确认,其他方式"</formula1>
    </dataValidation>
    <dataValidation type="list" allowBlank="1" showInputMessage="1" showErrorMessage="1" sqref="AE7:AE27 AD7:AD21 AK7:AK27 N7:N25 V7:X27 Q7:R27 J7:J25">
      <formula1>"是,否"</formula1>
    </dataValidation>
    <dataValidation type="list" allowBlank="1" showInputMessage="1" showErrorMessage="1" sqref="AB7:AB21 AL7:AL21">
      <formula1>"送抵,退回"</formula1>
    </dataValidation>
    <dataValidation type="list" allowBlank="1" showInputMessage="1" showErrorMessage="1" sqref="C7:C25">
      <formula1>"邮寄,跟函,电子函证,其他"</formula1>
    </dataValidation>
    <dataValidation type="list" allowBlank="1" showInputMessage="1" showErrorMessage="1" sqref="P7:P27">
      <formula1>"纸质原件,电子函证,其他介质"</formula1>
    </dataValidation>
  </dataValidations>
  <hyperlinks>
    <hyperlink ref="O3" location="底稿目录!A1" display="F0-2"/>
    <hyperlink ref="AA3" location="底稿目录!A1" display="F0-2"/>
    <hyperlink ref="AL3" location="底稿目录!A1" display="F0-2"/>
  </hyperlinks>
  <printOptions horizontalCentered="1"/>
  <pageMargins left="0.39370078740157483" right="0.39370078740157483" top="0.74803149606299213" bottom="0.74803149606299213" header="0.31496062992125984" footer="0.31496062992125984"/>
  <pageSetup paperSize="8" scale="80" fitToWidth="0" fitToHeight="0" orientation="landscape" blackAndWhite="1" r:id="rId1"/>
  <headerFooter>
    <oddFooter>&amp;C&amp;P/&amp;N</oddFooter>
  </headerFooter>
  <colBreaks count="2" manualBreakCount="2">
    <brk id="15" max="1048575" man="1"/>
    <brk id="27" max="20"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R37"/>
  <sheetViews>
    <sheetView view="pageBreakPreview" zoomScale="98" zoomScaleSheetLayoutView="98" workbookViewId="0">
      <selection sqref="A1:F1"/>
    </sheetView>
  </sheetViews>
  <sheetFormatPr defaultColWidth="10" defaultRowHeight="13.8"/>
  <cols>
    <col min="1" max="1" width="22.6640625" style="54" customWidth="1"/>
    <col min="2" max="6" width="20.6640625" style="54" customWidth="1"/>
    <col min="7" max="16384" width="10" style="54"/>
  </cols>
  <sheetData>
    <row r="1" spans="1:18" s="53" customFormat="1" ht="20.100000000000001" customHeight="1">
      <c r="A1" s="508" t="s">
        <v>0</v>
      </c>
      <c r="B1" s="508"/>
      <c r="C1" s="508"/>
      <c r="D1" s="508"/>
      <c r="E1" s="508"/>
      <c r="F1" s="508"/>
      <c r="G1" s="52"/>
      <c r="H1" s="52"/>
      <c r="I1" s="52"/>
      <c r="J1" s="52"/>
      <c r="K1" s="52"/>
      <c r="L1" s="52"/>
      <c r="M1" s="52"/>
      <c r="N1" s="52"/>
      <c r="O1" s="52"/>
      <c r="P1" s="52"/>
      <c r="Q1" s="52"/>
      <c r="R1" s="52"/>
    </row>
    <row r="2" spans="1:18" s="52" customFormat="1" ht="20.100000000000001" customHeight="1">
      <c r="A2" s="509" t="s">
        <v>90</v>
      </c>
      <c r="B2" s="510"/>
      <c r="C2" s="510"/>
      <c r="D2" s="510"/>
      <c r="E2" s="510"/>
      <c r="F2" s="510"/>
      <c r="G2" s="194"/>
    </row>
    <row r="3" spans="1:18" ht="20.100000000000001" customHeight="1">
      <c r="A3" s="54" t="str">
        <f>底稿目录!A2</f>
        <v>被审计单位：</v>
      </c>
      <c r="B3" s="55"/>
      <c r="C3" s="54" t="str">
        <f>底稿目录!A4</f>
        <v>编制人：</v>
      </c>
      <c r="D3" s="54" t="str">
        <f>底稿目录!A5</f>
        <v>编制日期：</v>
      </c>
      <c r="E3" s="282" t="s">
        <v>226</v>
      </c>
      <c r="F3" s="326" t="str">
        <f>底稿目录!F7</f>
        <v>D0-3</v>
      </c>
      <c r="I3" s="56"/>
      <c r="J3" s="56"/>
      <c r="K3" s="56"/>
      <c r="L3" s="56"/>
    </row>
    <row r="4" spans="1:18" ht="20.100000000000001" customHeight="1">
      <c r="A4" s="54" t="str">
        <f>底稿目录!A3</f>
        <v>截止日：202X年12月31日</v>
      </c>
      <c r="B4" s="55"/>
      <c r="C4" s="54" t="str">
        <f>底稿目录!A6</f>
        <v>复核人：</v>
      </c>
      <c r="D4" s="54" t="str">
        <f>底稿目录!A7</f>
        <v>复核日期：</v>
      </c>
      <c r="E4" s="283" t="s">
        <v>289</v>
      </c>
      <c r="F4" s="56"/>
      <c r="I4" s="56"/>
      <c r="J4" s="56"/>
      <c r="K4" s="56"/>
      <c r="L4" s="56"/>
    </row>
    <row r="5" spans="1:18" ht="20.100000000000001" customHeight="1">
      <c r="A5" s="511" t="s">
        <v>91</v>
      </c>
      <c r="B5" s="511"/>
      <c r="C5" s="511"/>
      <c r="D5" s="511"/>
      <c r="E5" s="511"/>
      <c r="F5" s="511"/>
    </row>
    <row r="6" spans="1:18" ht="20.100000000000001" customHeight="1">
      <c r="A6" s="57" t="s">
        <v>92</v>
      </c>
    </row>
    <row r="7" spans="1:18" ht="20.100000000000001" customHeight="1">
      <c r="A7" s="58" t="s">
        <v>93</v>
      </c>
    </row>
    <row r="8" spans="1:18" ht="20.100000000000001" customHeight="1">
      <c r="A8" s="58" t="s">
        <v>94</v>
      </c>
    </row>
    <row r="9" spans="1:18" ht="20.100000000000001" customHeight="1">
      <c r="A9" s="58" t="s">
        <v>95</v>
      </c>
    </row>
    <row r="10" spans="1:18" ht="20.100000000000001" customHeight="1">
      <c r="A10" s="54" t="s">
        <v>96</v>
      </c>
    </row>
    <row r="11" spans="1:18" ht="20.100000000000001" customHeight="1">
      <c r="A11" s="54" t="s">
        <v>97</v>
      </c>
    </row>
    <row r="12" spans="1:18" ht="20.100000000000001" customHeight="1">
      <c r="A12" s="54" t="s">
        <v>98</v>
      </c>
    </row>
    <row r="13" spans="1:18" ht="20.100000000000001" customHeight="1">
      <c r="A13" s="54" t="s">
        <v>99</v>
      </c>
    </row>
    <row r="14" spans="1:18" ht="20.100000000000001" customHeight="1">
      <c r="A14" s="58" t="s">
        <v>100</v>
      </c>
    </row>
    <row r="15" spans="1:18" ht="20.100000000000001" customHeight="1">
      <c r="A15" s="54" t="s">
        <v>101</v>
      </c>
    </row>
    <row r="16" spans="1:18" ht="20.100000000000001" customHeight="1">
      <c r="A16" s="54" t="s">
        <v>102</v>
      </c>
    </row>
    <row r="17" spans="1:3" ht="20.100000000000001" customHeight="1">
      <c r="A17" s="54" t="s">
        <v>103</v>
      </c>
    </row>
    <row r="18" spans="1:3" ht="20.100000000000001" customHeight="1">
      <c r="A18" s="54" t="s">
        <v>104</v>
      </c>
    </row>
    <row r="19" spans="1:3" ht="20.100000000000001" customHeight="1">
      <c r="A19" s="54" t="s">
        <v>105</v>
      </c>
    </row>
    <row r="20" spans="1:3" ht="20.100000000000001" customHeight="1">
      <c r="A20" s="54" t="s">
        <v>106</v>
      </c>
    </row>
    <row r="21" spans="1:3" ht="20.100000000000001" customHeight="1">
      <c r="A21" s="54" t="s">
        <v>107</v>
      </c>
    </row>
    <row r="22" spans="1:3" ht="20.100000000000001" customHeight="1"/>
    <row r="23" spans="1:3" s="424" customFormat="1" ht="20.100000000000001" customHeight="1">
      <c r="A23" s="421" t="s">
        <v>108</v>
      </c>
      <c r="B23" s="422"/>
      <c r="C23" s="423"/>
    </row>
    <row r="24" spans="1:3" s="424" customFormat="1" ht="20.100000000000001" customHeight="1">
      <c r="A24" s="421" t="s">
        <v>109</v>
      </c>
      <c r="B24" s="422"/>
      <c r="C24" s="423"/>
    </row>
    <row r="25" spans="1:3" s="424" customFormat="1" ht="20.100000000000001" customHeight="1">
      <c r="A25" s="421" t="s">
        <v>110</v>
      </c>
      <c r="B25" s="422"/>
      <c r="C25" s="423"/>
    </row>
    <row r="26" spans="1:3" ht="20.100000000000001" customHeight="1">
      <c r="A26" s="59"/>
    </row>
    <row r="27" spans="1:3" ht="20.100000000000001" customHeight="1">
      <c r="A27" s="52" t="s">
        <v>111</v>
      </c>
    </row>
    <row r="28" spans="1:3">
      <c r="A28" s="60"/>
    </row>
    <row r="29" spans="1:3">
      <c r="A29" s="456" t="s">
        <v>556</v>
      </c>
    </row>
    <row r="30" spans="1:3">
      <c r="A30" s="457" t="s">
        <v>557</v>
      </c>
    </row>
    <row r="31" spans="1:3">
      <c r="A31" s="457" t="s">
        <v>558</v>
      </c>
    </row>
    <row r="32" spans="1:3">
      <c r="A32" s="61"/>
    </row>
    <row r="33" spans="1:1">
      <c r="A33" s="61"/>
    </row>
    <row r="34" spans="1:1">
      <c r="A34" s="61"/>
    </row>
    <row r="35" spans="1:1">
      <c r="A35" s="61"/>
    </row>
    <row r="36" spans="1:1">
      <c r="A36" s="61"/>
    </row>
    <row r="37" spans="1:1">
      <c r="A37" s="61"/>
    </row>
  </sheetData>
  <mergeCells count="3">
    <mergeCell ref="A1:F1"/>
    <mergeCell ref="A2:F2"/>
    <mergeCell ref="A5:F5"/>
  </mergeCells>
  <phoneticPr fontId="5" type="noConversion"/>
  <dataValidations count="1">
    <dataValidation type="list" allowBlank="1" showInputMessage="1" showErrorMessage="1" sqref="C23:C25">
      <formula1>"是,否"</formula1>
    </dataValidation>
  </dataValidations>
  <hyperlinks>
    <hyperlink ref="A14" location="_ftn1" display="_ftn1"/>
    <hyperlink ref="F3" location="底稿目录!A1" display="底稿目录!A1"/>
  </hyperlinks>
  <pageMargins left="0.70866141732283472" right="0.70866141732283472" top="0.74803149606299213" bottom="0.74803149606299213" header="0.31496062992125984" footer="0.31496062992125984"/>
  <pageSetup paperSize="9" scale="99"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O19"/>
  <sheetViews>
    <sheetView view="pageBreakPreview" zoomScaleSheetLayoutView="100" workbookViewId="0">
      <selection sqref="A1:I1"/>
    </sheetView>
  </sheetViews>
  <sheetFormatPr defaultColWidth="10" defaultRowHeight="15.6"/>
  <cols>
    <col min="1" max="1" width="12.6640625" style="63" customWidth="1"/>
    <col min="2" max="2" width="19.109375" style="63" customWidth="1"/>
    <col min="3" max="3" width="10.33203125" style="63" customWidth="1"/>
    <col min="4" max="6" width="12.88671875" style="63" customWidth="1"/>
    <col min="7" max="7" width="15.77734375" style="63" customWidth="1"/>
    <col min="8" max="8" width="14.88671875" style="63" customWidth="1"/>
    <col min="9" max="9" width="10.6640625" style="63" customWidth="1"/>
    <col min="10" max="16384" width="10" style="63"/>
  </cols>
  <sheetData>
    <row r="1" spans="1:15" s="12" customFormat="1" ht="20.100000000000001" customHeight="1">
      <c r="A1" s="487" t="s">
        <v>0</v>
      </c>
      <c r="B1" s="487"/>
      <c r="C1" s="487"/>
      <c r="D1" s="487"/>
      <c r="E1" s="487"/>
      <c r="F1" s="487"/>
      <c r="G1" s="487"/>
      <c r="H1" s="487"/>
      <c r="I1" s="487"/>
      <c r="J1" s="13"/>
      <c r="K1" s="13"/>
      <c r="L1" s="13"/>
      <c r="M1" s="13"/>
      <c r="N1" s="13"/>
      <c r="O1" s="13"/>
    </row>
    <row r="2" spans="1:15" s="13" customFormat="1" ht="20.100000000000001" customHeight="1">
      <c r="A2" s="488" t="s">
        <v>532</v>
      </c>
      <c r="B2" s="488"/>
      <c r="C2" s="488"/>
      <c r="D2" s="512"/>
      <c r="E2" s="512"/>
      <c r="F2" s="512"/>
      <c r="G2" s="512"/>
      <c r="H2" s="512"/>
      <c r="I2" s="512"/>
      <c r="J2" s="193"/>
    </row>
    <row r="3" spans="1:15" s="15" customFormat="1" ht="20.100000000000001" customHeight="1">
      <c r="A3" s="14" t="str">
        <f>底稿目录!A2</f>
        <v>被审计单位：</v>
      </c>
      <c r="B3" s="14"/>
      <c r="C3" s="14"/>
      <c r="D3" s="14" t="str">
        <f>底稿目录!A4</f>
        <v>编制人：</v>
      </c>
      <c r="F3" s="14" t="str">
        <f>底稿目录!A5</f>
        <v>编制日期：</v>
      </c>
      <c r="H3" s="286" t="s">
        <v>291</v>
      </c>
      <c r="I3" s="327" t="str">
        <f>底稿目录!F8</f>
        <v>D0-4</v>
      </c>
      <c r="J3" s="16"/>
      <c r="K3" s="16"/>
      <c r="L3" s="62"/>
    </row>
    <row r="4" spans="1:15" s="15" customFormat="1" ht="20.100000000000001" customHeight="1">
      <c r="A4" s="14" t="str">
        <f>底稿目录!A3</f>
        <v>截止日：202X年12月31日</v>
      </c>
      <c r="B4" s="14"/>
      <c r="C4" s="14"/>
      <c r="D4" s="14" t="str">
        <f>底稿目录!A6</f>
        <v>复核人：</v>
      </c>
      <c r="F4" s="14" t="str">
        <f>底稿目录!A7</f>
        <v>复核日期：</v>
      </c>
      <c r="H4" s="286" t="s">
        <v>292</v>
      </c>
      <c r="I4" s="16"/>
      <c r="J4" s="16"/>
      <c r="K4" s="16"/>
      <c r="L4" s="62"/>
    </row>
    <row r="5" spans="1:15" s="228" customFormat="1" ht="20.100000000000001" customHeight="1">
      <c r="A5" s="287" t="s">
        <v>296</v>
      </c>
      <c r="B5" s="288" t="s">
        <v>297</v>
      </c>
      <c r="C5" s="284" t="s">
        <v>298</v>
      </c>
      <c r="D5" s="116" t="s">
        <v>299</v>
      </c>
      <c r="E5" s="116" t="s">
        <v>293</v>
      </c>
      <c r="F5" s="116" t="s">
        <v>294</v>
      </c>
      <c r="G5" s="289" t="s">
        <v>300</v>
      </c>
      <c r="H5" s="289" t="s">
        <v>301</v>
      </c>
      <c r="I5" s="287" t="s">
        <v>302</v>
      </c>
    </row>
    <row r="6" spans="1:15" s="15" customFormat="1" ht="20.100000000000001" customHeight="1">
      <c r="A6" s="219"/>
      <c r="B6" s="219"/>
      <c r="C6" s="219"/>
      <c r="D6" s="64"/>
      <c r="E6" s="64"/>
      <c r="F6" s="115">
        <f>E6-D6</f>
        <v>0</v>
      </c>
      <c r="G6" s="219"/>
      <c r="H6" s="219"/>
      <c r="I6" s="221"/>
    </row>
    <row r="7" spans="1:15" s="15" customFormat="1" ht="20.100000000000001" customHeight="1">
      <c r="A7" s="219"/>
      <c r="B7" s="219"/>
      <c r="C7" s="219"/>
      <c r="D7" s="64"/>
      <c r="E7" s="64"/>
      <c r="F7" s="115">
        <f>E7-D7</f>
        <v>0</v>
      </c>
      <c r="G7" s="219"/>
      <c r="H7" s="219"/>
      <c r="I7" s="221"/>
    </row>
    <row r="8" spans="1:15" s="15" customFormat="1" ht="20.100000000000001" customHeight="1">
      <c r="A8" s="219"/>
      <c r="B8" s="219"/>
      <c r="C8" s="219"/>
      <c r="D8" s="64"/>
      <c r="E8" s="64"/>
      <c r="F8" s="115">
        <f t="shared" ref="F8:F18" si="0">E8-D8</f>
        <v>0</v>
      </c>
      <c r="G8" s="219"/>
      <c r="H8" s="219"/>
      <c r="I8" s="221"/>
    </row>
    <row r="9" spans="1:15" s="15" customFormat="1" ht="20.100000000000001" customHeight="1">
      <c r="A9" s="219"/>
      <c r="B9" s="219"/>
      <c r="C9" s="219"/>
      <c r="D9" s="64"/>
      <c r="E9" s="64"/>
      <c r="F9" s="115">
        <f t="shared" si="0"/>
        <v>0</v>
      </c>
      <c r="G9" s="219"/>
      <c r="H9" s="219"/>
      <c r="I9" s="221"/>
    </row>
    <row r="10" spans="1:15" s="15" customFormat="1" ht="20.100000000000001" customHeight="1">
      <c r="A10" s="219"/>
      <c r="B10" s="219"/>
      <c r="C10" s="219"/>
      <c r="D10" s="64"/>
      <c r="E10" s="64"/>
      <c r="F10" s="115">
        <f t="shared" si="0"/>
        <v>0</v>
      </c>
      <c r="G10" s="219"/>
      <c r="H10" s="219"/>
      <c r="I10" s="221"/>
    </row>
    <row r="11" spans="1:15" s="15" customFormat="1" ht="20.100000000000001" customHeight="1">
      <c r="A11" s="219"/>
      <c r="B11" s="219"/>
      <c r="C11" s="219"/>
      <c r="D11" s="64"/>
      <c r="E11" s="64"/>
      <c r="F11" s="115">
        <f t="shared" si="0"/>
        <v>0</v>
      </c>
      <c r="G11" s="219"/>
      <c r="H11" s="219"/>
      <c r="I11" s="221"/>
    </row>
    <row r="12" spans="1:15" s="15" customFormat="1" ht="20.100000000000001" customHeight="1">
      <c r="A12" s="219"/>
      <c r="B12" s="219"/>
      <c r="C12" s="219"/>
      <c r="D12" s="64"/>
      <c r="E12" s="64"/>
      <c r="F12" s="115">
        <f t="shared" si="0"/>
        <v>0</v>
      </c>
      <c r="G12" s="219"/>
      <c r="H12" s="219"/>
      <c r="I12" s="221"/>
    </row>
    <row r="13" spans="1:15" s="15" customFormat="1" ht="20.100000000000001" customHeight="1">
      <c r="A13" s="219"/>
      <c r="B13" s="219"/>
      <c r="C13" s="219"/>
      <c r="D13" s="64"/>
      <c r="E13" s="64"/>
      <c r="F13" s="115">
        <f t="shared" si="0"/>
        <v>0</v>
      </c>
      <c r="G13" s="219"/>
      <c r="H13" s="219"/>
      <c r="I13" s="221"/>
    </row>
    <row r="14" spans="1:15" s="15" customFormat="1" ht="20.100000000000001" customHeight="1">
      <c r="A14" s="219"/>
      <c r="B14" s="219"/>
      <c r="C14" s="219"/>
      <c r="D14" s="64"/>
      <c r="E14" s="64"/>
      <c r="F14" s="115">
        <f t="shared" si="0"/>
        <v>0</v>
      </c>
      <c r="G14" s="219"/>
      <c r="H14" s="219"/>
      <c r="I14" s="221"/>
    </row>
    <row r="15" spans="1:15" s="15" customFormat="1" ht="20.100000000000001" customHeight="1">
      <c r="A15" s="219"/>
      <c r="B15" s="219"/>
      <c r="C15" s="219"/>
      <c r="D15" s="64"/>
      <c r="E15" s="64"/>
      <c r="F15" s="115">
        <f t="shared" si="0"/>
        <v>0</v>
      </c>
      <c r="G15" s="219"/>
      <c r="H15" s="219"/>
      <c r="I15" s="221"/>
    </row>
    <row r="16" spans="1:15" s="15" customFormat="1" ht="20.100000000000001" customHeight="1">
      <c r="A16" s="219"/>
      <c r="B16" s="219"/>
      <c r="C16" s="219"/>
      <c r="D16" s="64"/>
      <c r="E16" s="64"/>
      <c r="F16" s="115">
        <f t="shared" si="0"/>
        <v>0</v>
      </c>
      <c r="G16" s="219"/>
      <c r="H16" s="219"/>
      <c r="I16" s="221"/>
    </row>
    <row r="17" spans="1:9" s="15" customFormat="1" ht="20.100000000000001" customHeight="1">
      <c r="A17" s="219"/>
      <c r="B17" s="219"/>
      <c r="C17" s="219"/>
      <c r="D17" s="64"/>
      <c r="E17" s="64"/>
      <c r="F17" s="115">
        <f t="shared" si="0"/>
        <v>0</v>
      </c>
      <c r="G17" s="219"/>
      <c r="H17" s="219"/>
      <c r="I17" s="221"/>
    </row>
    <row r="18" spans="1:9" s="15" customFormat="1" ht="20.100000000000001" customHeight="1">
      <c r="A18" s="219"/>
      <c r="B18" s="219"/>
      <c r="C18" s="219"/>
      <c r="D18" s="64"/>
      <c r="E18" s="64"/>
      <c r="F18" s="115">
        <f t="shared" si="0"/>
        <v>0</v>
      </c>
      <c r="G18" s="219"/>
      <c r="H18" s="219"/>
      <c r="I18" s="221"/>
    </row>
    <row r="19" spans="1:9" s="15" customFormat="1" ht="20.100000000000001" customHeight="1">
      <c r="A19" s="116" t="s">
        <v>295</v>
      </c>
      <c r="B19" s="116"/>
      <c r="C19" s="116"/>
      <c r="D19" s="115">
        <f t="shared" ref="D19:F19" si="1">SUM(D6:D18)</f>
        <v>0</v>
      </c>
      <c r="E19" s="115">
        <f t="shared" si="1"/>
        <v>0</v>
      </c>
      <c r="F19" s="115">
        <f t="shared" si="1"/>
        <v>0</v>
      </c>
      <c r="G19" s="220"/>
      <c r="H19" s="220"/>
      <c r="I19" s="222"/>
    </row>
  </sheetData>
  <mergeCells count="2">
    <mergeCell ref="A1:I1"/>
    <mergeCell ref="A2:I2"/>
  </mergeCells>
  <phoneticPr fontId="5" type="noConversion"/>
  <hyperlinks>
    <hyperlink ref="I3" location="底稿目录!A1" display="底稿目录!A1"/>
  </hyperlinks>
  <pageMargins left="0.70866141732283472" right="0.70866141732283472" top="0.74803149606299213" bottom="0.74803149606299213" header="0.31496062992125984" footer="0.31496062992125984"/>
  <pageSetup paperSize="9" scale="70" fitToHeight="0" orientation="portrait"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39"/>
  <sheetViews>
    <sheetView view="pageBreakPreview" zoomScaleNormal="130" zoomScaleSheetLayoutView="100" workbookViewId="0">
      <selection sqref="A1:G1"/>
    </sheetView>
  </sheetViews>
  <sheetFormatPr defaultColWidth="10" defaultRowHeight="15.6"/>
  <cols>
    <col min="1" max="1" width="7" style="37" customWidth="1"/>
    <col min="2" max="2" width="14.21875" style="37" customWidth="1"/>
    <col min="3" max="3" width="17.109375" style="37" customWidth="1"/>
    <col min="4" max="4" width="17.33203125" style="37" customWidth="1"/>
    <col min="5" max="5" width="18.21875" style="37" customWidth="1"/>
    <col min="6" max="6" width="10.88671875" style="228" customWidth="1"/>
    <col min="7" max="7" width="8.88671875" style="228" customWidth="1"/>
    <col min="8" max="16384" width="10" style="37"/>
  </cols>
  <sheetData>
    <row r="1" spans="1:15" s="12" customFormat="1" ht="20.100000000000001" customHeight="1">
      <c r="A1" s="487" t="s">
        <v>230</v>
      </c>
      <c r="B1" s="487"/>
      <c r="C1" s="487"/>
      <c r="D1" s="487"/>
      <c r="E1" s="487"/>
      <c r="F1" s="487"/>
      <c r="G1" s="487"/>
      <c r="H1" s="13"/>
      <c r="I1" s="13"/>
      <c r="J1" s="13"/>
      <c r="K1" s="13"/>
      <c r="L1" s="13"/>
      <c r="M1" s="13"/>
      <c r="N1" s="13"/>
      <c r="O1" s="13"/>
    </row>
    <row r="2" spans="1:15" s="13" customFormat="1" ht="20.100000000000001" customHeight="1">
      <c r="A2" s="488" t="s">
        <v>405</v>
      </c>
      <c r="B2" s="488"/>
      <c r="C2" s="488"/>
      <c r="D2" s="488"/>
      <c r="E2" s="488"/>
      <c r="F2" s="488"/>
      <c r="G2" s="488"/>
    </row>
    <row r="3" spans="1:15" s="15" customFormat="1" ht="20.100000000000001" customHeight="1">
      <c r="A3" s="16" t="str">
        <f>底稿目录!A2</f>
        <v>被审计单位：</v>
      </c>
      <c r="B3" s="28"/>
      <c r="D3" s="16" t="str">
        <f>底稿目录!A4</f>
        <v>编制人：</v>
      </c>
      <c r="E3" s="16" t="str">
        <f>底稿目录!A5</f>
        <v>编制日期：</v>
      </c>
      <c r="F3" s="290" t="s">
        <v>303</v>
      </c>
      <c r="G3" s="227"/>
      <c r="H3" s="16"/>
      <c r="I3" s="16"/>
      <c r="J3" s="16"/>
      <c r="K3" s="16"/>
      <c r="L3" s="62"/>
    </row>
    <row r="4" spans="1:15" s="15" customFormat="1" ht="20.100000000000001" customHeight="1">
      <c r="A4" s="16" t="str">
        <f>底稿目录!A3</f>
        <v>截止日：202X年12月31日</v>
      </c>
      <c r="B4" s="28"/>
      <c r="D4" s="16" t="str">
        <f>底稿目录!A6</f>
        <v>复核人：</v>
      </c>
      <c r="E4" s="16" t="str">
        <f>底稿目录!A7</f>
        <v>复核日期：</v>
      </c>
      <c r="F4" s="290" t="s">
        <v>305</v>
      </c>
      <c r="G4" s="227"/>
      <c r="H4" s="16"/>
      <c r="I4" s="16"/>
      <c r="J4" s="16"/>
      <c r="K4" s="16"/>
      <c r="L4" s="62"/>
    </row>
    <row r="5" spans="1:15" s="15" customFormat="1" ht="20.100000000000001" customHeight="1">
      <c r="A5" s="514" t="s">
        <v>306</v>
      </c>
      <c r="B5" s="514" t="s">
        <v>307</v>
      </c>
      <c r="C5" s="514"/>
      <c r="D5" s="514"/>
      <c r="E5" s="514" t="s">
        <v>308</v>
      </c>
      <c r="F5" s="515" t="s">
        <v>304</v>
      </c>
      <c r="G5" s="514" t="s">
        <v>309</v>
      </c>
      <c r="H5" s="16"/>
      <c r="I5" s="16"/>
      <c r="J5" s="16"/>
      <c r="K5" s="16"/>
      <c r="L5" s="62"/>
    </row>
    <row r="6" spans="1:15" s="15" customFormat="1" ht="20.100000000000001" customHeight="1">
      <c r="A6" s="514"/>
      <c r="B6" s="514"/>
      <c r="C6" s="514"/>
      <c r="D6" s="514"/>
      <c r="E6" s="514"/>
      <c r="F6" s="516"/>
      <c r="G6" s="514"/>
      <c r="H6" s="16"/>
      <c r="I6" s="16"/>
      <c r="J6" s="16"/>
      <c r="K6" s="16"/>
      <c r="L6" s="62"/>
    </row>
    <row r="7" spans="1:15" s="15" customFormat="1" ht="20.100000000000001" customHeight="1">
      <c r="A7" s="238" t="s">
        <v>204</v>
      </c>
      <c r="B7" s="517" t="s">
        <v>218</v>
      </c>
      <c r="C7" s="517"/>
      <c r="D7" s="517"/>
      <c r="E7" s="229"/>
      <c r="F7" s="238"/>
      <c r="G7" s="238"/>
      <c r="H7" s="16"/>
      <c r="I7" s="16"/>
      <c r="J7" s="16"/>
      <c r="K7" s="16"/>
      <c r="L7" s="62"/>
    </row>
    <row r="8" spans="1:15" s="15" customFormat="1" ht="20.100000000000001" customHeight="1">
      <c r="A8" s="238" t="s">
        <v>205</v>
      </c>
      <c r="B8" s="337" t="s">
        <v>402</v>
      </c>
      <c r="C8" s="239"/>
      <c r="D8" s="239"/>
      <c r="E8" s="241">
        <f>SUM(E10:E12)</f>
        <v>0</v>
      </c>
      <c r="F8" s="238"/>
      <c r="G8" s="238"/>
      <c r="H8" s="16"/>
      <c r="I8" s="16"/>
      <c r="J8" s="16"/>
      <c r="K8" s="16"/>
      <c r="L8" s="62"/>
    </row>
    <row r="9" spans="1:15" s="15" customFormat="1" ht="20.100000000000001" customHeight="1">
      <c r="A9" s="240"/>
      <c r="B9" s="338" t="s">
        <v>404</v>
      </c>
      <c r="C9" s="338" t="s">
        <v>403</v>
      </c>
      <c r="D9" s="240" t="s">
        <v>219</v>
      </c>
      <c r="E9" s="242"/>
      <c r="F9" s="240"/>
      <c r="G9" s="240"/>
      <c r="H9" s="16"/>
      <c r="I9" s="16"/>
      <c r="J9" s="16"/>
      <c r="K9" s="16"/>
      <c r="L9" s="62"/>
    </row>
    <row r="10" spans="1:15" s="15" customFormat="1" ht="20.100000000000001" customHeight="1">
      <c r="A10" s="238">
        <v>1</v>
      </c>
      <c r="B10" s="329"/>
      <c r="C10" s="329"/>
      <c r="D10" s="230"/>
      <c r="E10" s="229"/>
      <c r="F10" s="230"/>
      <c r="G10" s="230"/>
      <c r="H10" s="16"/>
      <c r="I10" s="16"/>
      <c r="J10" s="16"/>
      <c r="K10" s="16"/>
      <c r="L10" s="62"/>
    </row>
    <row r="11" spans="1:15" s="15" customFormat="1" ht="20.100000000000001" customHeight="1">
      <c r="A11" s="238">
        <v>2</v>
      </c>
      <c r="B11" s="329"/>
      <c r="C11" s="329"/>
      <c r="D11" s="230"/>
      <c r="E11" s="229"/>
      <c r="F11" s="230"/>
      <c r="G11" s="230"/>
      <c r="H11" s="16"/>
      <c r="I11" s="16"/>
      <c r="J11" s="16"/>
      <c r="K11" s="16"/>
      <c r="L11" s="62"/>
    </row>
    <row r="12" spans="1:15" s="15" customFormat="1" ht="20.100000000000001" customHeight="1">
      <c r="A12" s="238" t="s">
        <v>208</v>
      </c>
      <c r="B12" s="329"/>
      <c r="C12" s="329"/>
      <c r="D12" s="230"/>
      <c r="E12" s="229"/>
      <c r="F12" s="230"/>
      <c r="G12" s="230"/>
      <c r="H12" s="16"/>
      <c r="I12" s="16"/>
      <c r="J12" s="16"/>
      <c r="K12" s="16"/>
      <c r="L12" s="62"/>
    </row>
    <row r="13" spans="1:15" s="15" customFormat="1" ht="20.100000000000001" customHeight="1">
      <c r="A13" s="238" t="s">
        <v>209</v>
      </c>
      <c r="B13" s="337" t="s">
        <v>408</v>
      </c>
      <c r="C13" s="239"/>
      <c r="D13" s="239"/>
      <c r="E13" s="241">
        <f>SUM(E15:E17)</f>
        <v>0</v>
      </c>
      <c r="F13" s="238"/>
      <c r="G13" s="238"/>
      <c r="H13" s="16"/>
      <c r="I13" s="16"/>
      <c r="J13" s="16"/>
      <c r="K13" s="16"/>
      <c r="L13" s="62"/>
    </row>
    <row r="14" spans="1:15" s="15" customFormat="1" ht="20.100000000000001" customHeight="1">
      <c r="A14" s="240"/>
      <c r="B14" s="338" t="s">
        <v>406</v>
      </c>
      <c r="C14" s="338" t="s">
        <v>407</v>
      </c>
      <c r="D14" s="240" t="s">
        <v>219</v>
      </c>
      <c r="E14" s="242"/>
      <c r="F14" s="240"/>
      <c r="G14" s="240"/>
      <c r="H14" s="16"/>
      <c r="I14" s="16"/>
      <c r="J14" s="16"/>
      <c r="K14" s="16"/>
      <c r="L14" s="62"/>
    </row>
    <row r="15" spans="1:15" s="15" customFormat="1" ht="20.100000000000001" customHeight="1">
      <c r="A15" s="238">
        <v>1</v>
      </c>
      <c r="B15" s="329"/>
      <c r="C15" s="329"/>
      <c r="D15" s="230"/>
      <c r="E15" s="229"/>
      <c r="F15" s="230"/>
      <c r="G15" s="230"/>
      <c r="H15" s="16"/>
      <c r="I15" s="16"/>
      <c r="J15" s="16"/>
      <c r="K15" s="16"/>
      <c r="L15" s="62"/>
    </row>
    <row r="16" spans="1:15" s="15" customFormat="1" ht="20.100000000000001" customHeight="1">
      <c r="A16" s="238">
        <v>2</v>
      </c>
      <c r="B16" s="329"/>
      <c r="C16" s="329"/>
      <c r="D16" s="230"/>
      <c r="E16" s="229"/>
      <c r="F16" s="230"/>
      <c r="G16" s="230"/>
      <c r="H16" s="16"/>
      <c r="I16" s="16"/>
      <c r="J16" s="16"/>
      <c r="K16" s="16"/>
      <c r="L16" s="62"/>
    </row>
    <row r="17" spans="1:12" s="15" customFormat="1" ht="20.100000000000001" customHeight="1">
      <c r="A17" s="238" t="s">
        <v>210</v>
      </c>
      <c r="B17" s="329"/>
      <c r="C17" s="329"/>
      <c r="D17" s="230"/>
      <c r="E17" s="229"/>
      <c r="F17" s="230"/>
      <c r="G17" s="230"/>
      <c r="H17" s="16"/>
      <c r="I17" s="16"/>
      <c r="J17" s="16"/>
      <c r="K17" s="16"/>
      <c r="L17" s="62"/>
    </row>
    <row r="18" spans="1:12" s="15" customFormat="1" ht="20.100000000000001" customHeight="1">
      <c r="A18" s="238" t="s">
        <v>211</v>
      </c>
      <c r="B18" s="513" t="s">
        <v>220</v>
      </c>
      <c r="C18" s="513"/>
      <c r="D18" s="513"/>
      <c r="E18" s="241">
        <f>E7+E8-E13</f>
        <v>0</v>
      </c>
      <c r="F18" s="238"/>
      <c r="G18" s="238"/>
      <c r="H18" s="16"/>
      <c r="I18" s="16"/>
      <c r="J18" s="16"/>
      <c r="K18" s="16"/>
      <c r="L18" s="62"/>
    </row>
    <row r="19" spans="1:12" s="15" customFormat="1" ht="20.100000000000001" customHeight="1">
      <c r="A19" s="238" t="s">
        <v>212</v>
      </c>
      <c r="B19" s="517" t="s">
        <v>221</v>
      </c>
      <c r="C19" s="517"/>
      <c r="D19" s="517"/>
      <c r="E19" s="229"/>
      <c r="F19" s="238"/>
      <c r="G19" s="238"/>
      <c r="H19" s="16"/>
      <c r="I19" s="16"/>
      <c r="J19" s="16"/>
      <c r="K19" s="16"/>
      <c r="L19" s="62"/>
    </row>
    <row r="20" spans="1:12" s="15" customFormat="1" ht="20.100000000000001" customHeight="1">
      <c r="A20" s="238" t="s">
        <v>213</v>
      </c>
      <c r="B20" s="337" t="s">
        <v>409</v>
      </c>
      <c r="C20" s="239"/>
      <c r="D20" s="239"/>
      <c r="E20" s="241">
        <f>SUM(E22:E24)</f>
        <v>0</v>
      </c>
      <c r="F20" s="238"/>
      <c r="G20" s="238"/>
      <c r="H20" s="16"/>
      <c r="I20" s="16"/>
      <c r="J20" s="16"/>
      <c r="K20" s="16"/>
      <c r="L20" s="62"/>
    </row>
    <row r="21" spans="1:12" s="15" customFormat="1" ht="20.100000000000001" customHeight="1">
      <c r="A21" s="240"/>
      <c r="B21" s="338" t="s">
        <v>404</v>
      </c>
      <c r="C21" s="338" t="s">
        <v>403</v>
      </c>
      <c r="D21" s="240" t="s">
        <v>217</v>
      </c>
      <c r="E21" s="242"/>
      <c r="F21" s="240"/>
      <c r="G21" s="240"/>
      <c r="H21" s="16"/>
      <c r="I21" s="16"/>
      <c r="J21" s="16"/>
      <c r="K21" s="16"/>
      <c r="L21" s="62"/>
    </row>
    <row r="22" spans="1:12" s="15" customFormat="1" ht="20.100000000000001" customHeight="1">
      <c r="A22" s="238">
        <v>1</v>
      </c>
      <c r="B22" s="329"/>
      <c r="C22" s="329"/>
      <c r="D22" s="230"/>
      <c r="E22" s="229"/>
      <c r="F22" s="230"/>
      <c r="G22" s="230"/>
      <c r="H22" s="16"/>
      <c r="I22" s="16"/>
      <c r="J22" s="16"/>
      <c r="K22" s="16"/>
      <c r="L22" s="62"/>
    </row>
    <row r="23" spans="1:12" s="15" customFormat="1" ht="20.100000000000001" customHeight="1">
      <c r="A23" s="238">
        <v>2</v>
      </c>
      <c r="B23" s="329"/>
      <c r="C23" s="329"/>
      <c r="D23" s="230"/>
      <c r="E23" s="229"/>
      <c r="F23" s="230"/>
      <c r="G23" s="230"/>
      <c r="H23" s="16"/>
      <c r="I23" s="16"/>
      <c r="J23" s="16"/>
      <c r="K23" s="16"/>
      <c r="L23" s="62"/>
    </row>
    <row r="24" spans="1:12" s="15" customFormat="1" ht="20.100000000000001" customHeight="1">
      <c r="A24" s="238" t="s">
        <v>208</v>
      </c>
      <c r="B24" s="329"/>
      <c r="C24" s="329"/>
      <c r="D24" s="230"/>
      <c r="E24" s="229"/>
      <c r="F24" s="230"/>
      <c r="G24" s="230"/>
      <c r="H24" s="16"/>
      <c r="I24" s="16"/>
      <c r="J24" s="16"/>
      <c r="K24" s="16"/>
      <c r="L24" s="62"/>
    </row>
    <row r="25" spans="1:12" s="15" customFormat="1" ht="20.100000000000001" customHeight="1">
      <c r="A25" s="238" t="s">
        <v>206</v>
      </c>
      <c r="B25" s="337" t="s">
        <v>410</v>
      </c>
      <c r="C25" s="239"/>
      <c r="D25" s="239"/>
      <c r="E25" s="241">
        <f>SUM(E27:E29)</f>
        <v>0</v>
      </c>
      <c r="F25" s="238"/>
      <c r="G25" s="238"/>
      <c r="H25" s="16"/>
      <c r="I25" s="16"/>
      <c r="J25" s="16"/>
      <c r="K25" s="16"/>
      <c r="L25" s="62"/>
    </row>
    <row r="26" spans="1:12" s="15" customFormat="1" ht="20.100000000000001" customHeight="1">
      <c r="A26" s="240"/>
      <c r="B26" s="338" t="s">
        <v>411</v>
      </c>
      <c r="C26" s="338" t="s">
        <v>412</v>
      </c>
      <c r="D26" s="240" t="s">
        <v>217</v>
      </c>
      <c r="E26" s="242"/>
      <c r="F26" s="240"/>
      <c r="G26" s="240"/>
      <c r="H26" s="16"/>
      <c r="I26" s="16"/>
      <c r="J26" s="16"/>
      <c r="K26" s="16"/>
      <c r="L26" s="62"/>
    </row>
    <row r="27" spans="1:12" s="15" customFormat="1" ht="20.100000000000001" customHeight="1">
      <c r="A27" s="238">
        <v>1</v>
      </c>
      <c r="B27" s="329"/>
      <c r="C27" s="329"/>
      <c r="D27" s="230"/>
      <c r="E27" s="229"/>
      <c r="F27" s="230"/>
      <c r="G27" s="230"/>
      <c r="H27" s="16"/>
      <c r="I27" s="16"/>
      <c r="J27" s="16"/>
      <c r="K27" s="16"/>
      <c r="L27" s="62"/>
    </row>
    <row r="28" spans="1:12" s="15" customFormat="1" ht="20.100000000000001" customHeight="1">
      <c r="A28" s="238">
        <v>2</v>
      </c>
      <c r="B28" s="329"/>
      <c r="C28" s="329"/>
      <c r="D28" s="230"/>
      <c r="E28" s="229"/>
      <c r="F28" s="230"/>
      <c r="G28" s="230"/>
      <c r="H28" s="16"/>
      <c r="I28" s="16"/>
      <c r="J28" s="16"/>
      <c r="K28" s="16"/>
      <c r="L28" s="62"/>
    </row>
    <row r="29" spans="1:12" s="15" customFormat="1" ht="20.100000000000001" customHeight="1">
      <c r="A29" s="238" t="s">
        <v>214</v>
      </c>
      <c r="B29" s="329"/>
      <c r="C29" s="329"/>
      <c r="D29" s="230"/>
      <c r="E29" s="229"/>
      <c r="F29" s="230"/>
      <c r="G29" s="230"/>
      <c r="H29" s="16"/>
      <c r="I29" s="16"/>
      <c r="J29" s="16"/>
      <c r="K29" s="16"/>
      <c r="L29" s="62"/>
    </row>
    <row r="30" spans="1:12" s="15" customFormat="1" ht="20.100000000000001" customHeight="1">
      <c r="A30" s="238" t="s">
        <v>215</v>
      </c>
      <c r="B30" s="513" t="s">
        <v>222</v>
      </c>
      <c r="C30" s="513"/>
      <c r="D30" s="513"/>
      <c r="E30" s="241">
        <f>E19+E20-E25</f>
        <v>0</v>
      </c>
      <c r="F30" s="238"/>
      <c r="G30" s="238"/>
      <c r="H30" s="16"/>
      <c r="I30" s="16"/>
      <c r="J30" s="16"/>
      <c r="K30" s="16"/>
      <c r="L30" s="62"/>
    </row>
    <row r="31" spans="1:12" s="15" customFormat="1" ht="20.100000000000001" customHeight="1">
      <c r="A31" s="238" t="s">
        <v>207</v>
      </c>
      <c r="B31" s="513" t="s">
        <v>223</v>
      </c>
      <c r="C31" s="513"/>
      <c r="D31" s="513"/>
      <c r="E31" s="241">
        <f>E30-E18</f>
        <v>0</v>
      </c>
      <c r="F31" s="238"/>
      <c r="G31" s="238"/>
      <c r="H31" s="16"/>
      <c r="I31" s="16"/>
      <c r="J31" s="16"/>
      <c r="K31" s="16"/>
      <c r="L31" s="62"/>
    </row>
    <row r="32" spans="1:12" s="15" customFormat="1" ht="20.100000000000001" customHeight="1">
      <c r="A32" s="231" t="s">
        <v>216</v>
      </c>
      <c r="B32" s="232"/>
      <c r="C32" s="16"/>
      <c r="D32" s="16"/>
      <c r="E32" s="16"/>
      <c r="F32" s="224"/>
      <c r="G32" s="233"/>
      <c r="H32" s="16"/>
      <c r="I32" s="16"/>
      <c r="J32" s="16"/>
      <c r="K32" s="16"/>
      <c r="L32" s="62"/>
    </row>
    <row r="33" spans="1:7" ht="20.100000000000001" customHeight="1">
      <c r="A33" s="234"/>
      <c r="B33" s="235"/>
      <c r="C33" s="235"/>
      <c r="D33" s="235"/>
      <c r="E33" s="235"/>
      <c r="F33" s="236"/>
      <c r="G33" s="237"/>
    </row>
    <row r="34" spans="1:7">
      <c r="A34" s="15"/>
      <c r="B34" s="15"/>
      <c r="C34" s="15"/>
      <c r="D34" s="15"/>
      <c r="E34" s="15"/>
      <c r="F34" s="226"/>
      <c r="G34" s="226"/>
    </row>
    <row r="35" spans="1:7">
      <c r="A35" s="225"/>
      <c r="B35" s="15"/>
      <c r="C35" s="15"/>
      <c r="D35" s="15"/>
      <c r="E35" s="15"/>
      <c r="F35" s="226"/>
      <c r="G35" s="226"/>
    </row>
    <row r="36" spans="1:7">
      <c r="A36" s="15"/>
      <c r="B36" s="15"/>
      <c r="C36" s="15"/>
      <c r="D36" s="15"/>
      <c r="E36" s="15"/>
      <c r="F36" s="226"/>
      <c r="G36" s="226"/>
    </row>
    <row r="37" spans="1:7">
      <c r="A37" s="15"/>
      <c r="B37" s="15"/>
      <c r="C37" s="15"/>
      <c r="D37" s="15"/>
      <c r="E37" s="15"/>
      <c r="F37" s="226"/>
      <c r="G37" s="226"/>
    </row>
    <row r="38" spans="1:7">
      <c r="A38" s="15"/>
      <c r="B38" s="15"/>
      <c r="C38" s="15"/>
      <c r="D38" s="15"/>
      <c r="E38" s="15"/>
      <c r="F38" s="226"/>
      <c r="G38" s="226"/>
    </row>
    <row r="39" spans="1:7">
      <c r="A39" s="15"/>
      <c r="B39" s="15"/>
      <c r="C39" s="15"/>
      <c r="D39" s="15"/>
      <c r="E39" s="15"/>
      <c r="F39" s="226"/>
      <c r="G39" s="226"/>
    </row>
  </sheetData>
  <mergeCells count="12">
    <mergeCell ref="B31:D31"/>
    <mergeCell ref="G5:G6"/>
    <mergeCell ref="B7:D7"/>
    <mergeCell ref="B18:D18"/>
    <mergeCell ref="B19:D19"/>
    <mergeCell ref="A1:G1"/>
    <mergeCell ref="A2:G2"/>
    <mergeCell ref="B30:D30"/>
    <mergeCell ref="A5:A6"/>
    <mergeCell ref="B5:D6"/>
    <mergeCell ref="E5:E6"/>
    <mergeCell ref="F5:F6"/>
  </mergeCells>
  <phoneticPr fontId="5" type="noConversion"/>
  <dataValidations count="1">
    <dataValidation type="list" allowBlank="1" showInputMessage="1" showErrorMessage="1" sqref="G27:G29 G10:G12 G15:G17 G22:G24">
      <formula1>"是,否"</formula1>
    </dataValidation>
  </dataValidations>
  <printOptions horizontalCentered="1"/>
  <pageMargins left="0.70866141732283472" right="0.35433070866141736" top="0.74803149606299213" bottom="0.51181102362204722" header="0.31496062992125984" footer="0.31496062992125984"/>
  <pageSetup paperSize="9" scale="88" fitToHeight="5"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AN62"/>
  <sheetViews>
    <sheetView view="pageBreakPreview" zoomScaleNormal="115" zoomScaleSheetLayoutView="100" workbookViewId="0">
      <selection sqref="A1:R1"/>
    </sheetView>
  </sheetViews>
  <sheetFormatPr defaultColWidth="10" defaultRowHeight="15.6"/>
  <cols>
    <col min="1" max="1" width="10.109375" style="100" customWidth="1"/>
    <col min="2" max="2" width="11.33203125" style="100" customWidth="1"/>
    <col min="3" max="3" width="13.109375" style="100" customWidth="1"/>
    <col min="4" max="4" width="10.21875" style="100" customWidth="1"/>
    <col min="5" max="5" width="10.33203125" style="100" customWidth="1"/>
    <col min="6" max="6" width="10.77734375" style="100" customWidth="1"/>
    <col min="7" max="7" width="11.6640625" style="100" customWidth="1"/>
    <col min="8" max="8" width="10.6640625" style="100" customWidth="1"/>
    <col min="9" max="9" width="12.33203125" style="100" customWidth="1"/>
    <col min="10" max="10" width="11.33203125" style="100" customWidth="1"/>
    <col min="11" max="11" width="13.77734375" style="100" customWidth="1"/>
    <col min="12" max="12" width="11.77734375" style="100" customWidth="1"/>
    <col min="13" max="15" width="10" style="100"/>
    <col min="16" max="16" width="7.77734375" style="100" customWidth="1"/>
    <col min="17" max="17" width="8.33203125" style="100" customWidth="1"/>
    <col min="18" max="18" width="7.33203125" style="100" customWidth="1"/>
    <col min="19" max="19" width="8.88671875" style="100" bestFit="1" customWidth="1"/>
    <col min="20" max="20" width="10.21875" style="100" customWidth="1"/>
    <col min="21" max="21" width="6.6640625" style="100" customWidth="1"/>
    <col min="22" max="22" width="5.21875" style="100" bestFit="1" customWidth="1"/>
    <col min="23" max="23" width="9.6640625" style="100" customWidth="1"/>
    <col min="24" max="24" width="6.6640625" style="100" customWidth="1"/>
    <col min="25" max="30" width="10" style="100"/>
    <col min="31" max="31" width="10" style="414"/>
    <col min="32" max="16384" width="10" style="100"/>
  </cols>
  <sheetData>
    <row r="1" spans="1:31" s="76" customFormat="1" ht="20.100000000000001" customHeight="1">
      <c r="A1" s="526" t="s">
        <v>229</v>
      </c>
      <c r="B1" s="526"/>
      <c r="C1" s="526"/>
      <c r="D1" s="526"/>
      <c r="E1" s="526"/>
      <c r="F1" s="526"/>
      <c r="G1" s="526"/>
      <c r="H1" s="526"/>
      <c r="I1" s="526"/>
      <c r="J1" s="526"/>
      <c r="K1" s="526"/>
      <c r="L1" s="526"/>
      <c r="M1" s="526"/>
      <c r="N1" s="526"/>
      <c r="O1" s="526"/>
      <c r="P1" s="526"/>
      <c r="Q1" s="526"/>
      <c r="R1" s="526"/>
      <c r="S1" s="16"/>
      <c r="T1" s="16"/>
      <c r="U1" s="16"/>
      <c r="V1" s="16"/>
      <c r="W1" s="16"/>
      <c r="X1" s="74"/>
      <c r="Y1" s="75"/>
      <c r="Z1" s="75"/>
      <c r="AA1" s="75"/>
      <c r="AB1" s="75"/>
      <c r="AE1" s="412"/>
    </row>
    <row r="2" spans="1:31" s="75" customFormat="1" ht="20.100000000000001" customHeight="1">
      <c r="A2" s="527" t="s">
        <v>487</v>
      </c>
      <c r="B2" s="527"/>
      <c r="C2" s="527"/>
      <c r="D2" s="527"/>
      <c r="E2" s="527"/>
      <c r="F2" s="527"/>
      <c r="G2" s="527"/>
      <c r="H2" s="527"/>
      <c r="I2" s="527"/>
      <c r="J2" s="527"/>
      <c r="K2" s="527"/>
      <c r="L2" s="527"/>
      <c r="M2" s="527"/>
      <c r="N2" s="527"/>
      <c r="O2" s="527"/>
      <c r="P2" s="527"/>
      <c r="Q2" s="527"/>
      <c r="R2" s="527"/>
      <c r="S2" s="193"/>
      <c r="T2" s="16"/>
      <c r="U2" s="16"/>
      <c r="V2" s="16"/>
      <c r="W2" s="16"/>
      <c r="X2" s="74"/>
      <c r="AE2" s="413"/>
    </row>
    <row r="3" spans="1:31" s="16" customFormat="1" ht="20.100000000000001" customHeight="1">
      <c r="A3" s="14" t="str">
        <f>底稿目录!A2</f>
        <v>被审计单位：</v>
      </c>
      <c r="E3" s="14" t="str">
        <f>底稿目录!A4</f>
        <v>编制人：</v>
      </c>
      <c r="J3" s="14" t="str">
        <f>底稿目录!A5</f>
        <v>编制日期：</v>
      </c>
      <c r="P3" s="14" t="s">
        <v>226</v>
      </c>
      <c r="Q3" s="327" t="str">
        <f>底稿目录!F10</f>
        <v>D0-5</v>
      </c>
      <c r="U3" s="62"/>
      <c r="AE3" s="414"/>
    </row>
    <row r="4" spans="1:31" s="16" customFormat="1" ht="20.100000000000001" customHeight="1">
      <c r="A4" s="14" t="str">
        <f>底稿目录!A3</f>
        <v>截止日：202X年12月31日</v>
      </c>
      <c r="E4" s="14" t="str">
        <f>底稿目录!A6</f>
        <v>复核人：</v>
      </c>
      <c r="J4" s="14" t="str">
        <f>底稿目录!A7</f>
        <v>复核日期：</v>
      </c>
      <c r="P4" s="14" t="s">
        <v>53</v>
      </c>
      <c r="U4" s="62"/>
      <c r="AE4" s="414"/>
    </row>
    <row r="5" spans="1:31" s="79" customFormat="1" ht="20.100000000000001" customHeight="1">
      <c r="A5" s="163" t="s">
        <v>112</v>
      </c>
      <c r="B5" s="163"/>
      <c r="C5" s="163"/>
      <c r="D5" s="163"/>
      <c r="E5" s="163"/>
      <c r="F5" s="163"/>
      <c r="G5" s="163"/>
      <c r="H5" s="163"/>
      <c r="I5" s="163"/>
      <c r="J5" s="163"/>
      <c r="K5" s="163"/>
      <c r="L5" s="163"/>
      <c r="M5" s="163"/>
      <c r="N5" s="163"/>
      <c r="O5" s="163"/>
      <c r="P5" s="163"/>
      <c r="Q5" s="163"/>
      <c r="R5" s="163"/>
      <c r="S5" s="82"/>
      <c r="T5" s="82"/>
      <c r="U5" s="82"/>
      <c r="V5" s="82"/>
      <c r="W5" s="82"/>
      <c r="X5" s="82"/>
      <c r="AE5" s="348"/>
    </row>
    <row r="6" spans="1:31" s="79" customFormat="1" ht="20.100000000000001" customHeight="1">
      <c r="A6" s="77" t="s">
        <v>155</v>
      </c>
      <c r="B6" s="78"/>
      <c r="C6" s="78"/>
      <c r="D6" s="78"/>
      <c r="E6" s="78"/>
      <c r="F6" s="78"/>
      <c r="G6" s="78"/>
      <c r="H6" s="78"/>
      <c r="I6" s="78"/>
      <c r="J6" s="78"/>
      <c r="K6" s="78"/>
      <c r="L6" s="78"/>
      <c r="M6" s="78"/>
      <c r="N6" s="78"/>
      <c r="O6" s="78"/>
      <c r="P6" s="78"/>
      <c r="Q6" s="78"/>
      <c r="R6" s="78"/>
      <c r="T6" s="81"/>
      <c r="AE6" s="348"/>
    </row>
    <row r="7" spans="1:31" s="79" customFormat="1" ht="20.100000000000001" customHeight="1">
      <c r="A7" s="159" t="s">
        <v>156</v>
      </c>
      <c r="B7" s="160" t="s">
        <v>477</v>
      </c>
      <c r="C7" s="161"/>
      <c r="D7" s="159"/>
      <c r="E7" s="160"/>
      <c r="F7" s="161"/>
      <c r="H7" s="159"/>
      <c r="I7" s="159" t="s">
        <v>157</v>
      </c>
      <c r="J7" s="160" t="s">
        <v>313</v>
      </c>
      <c r="K7" s="160"/>
      <c r="L7" s="78"/>
      <c r="M7" s="78"/>
      <c r="N7" s="78"/>
      <c r="O7" s="78"/>
      <c r="P7" s="78"/>
      <c r="Q7" s="78"/>
      <c r="R7" s="78"/>
      <c r="T7" s="81"/>
      <c r="AE7" s="348"/>
    </row>
    <row r="8" spans="1:31" s="79" customFormat="1" ht="20.100000000000001" customHeight="1">
      <c r="A8" s="159" t="s">
        <v>158</v>
      </c>
      <c r="B8" s="160" t="s">
        <v>310</v>
      </c>
      <c r="C8" s="161"/>
      <c r="D8" s="159"/>
      <c r="E8" s="160"/>
      <c r="F8" s="161"/>
      <c r="H8" s="159"/>
      <c r="I8" s="159" t="s">
        <v>283</v>
      </c>
      <c r="J8" s="160"/>
      <c r="K8" s="160" t="s">
        <v>314</v>
      </c>
      <c r="L8" s="160" t="s">
        <v>315</v>
      </c>
      <c r="M8" s="78"/>
      <c r="N8" s="78"/>
      <c r="O8" s="78"/>
      <c r="P8" s="78"/>
      <c r="Q8" s="78"/>
      <c r="R8" s="78"/>
      <c r="T8" s="81"/>
      <c r="AE8" s="348"/>
    </row>
    <row r="9" spans="1:31" s="79" customFormat="1" ht="20.100000000000001" customHeight="1">
      <c r="A9" s="159" t="s">
        <v>311</v>
      </c>
      <c r="B9" s="160" t="s">
        <v>559</v>
      </c>
      <c r="C9" s="161"/>
      <c r="D9" s="159"/>
      <c r="E9" s="160"/>
      <c r="F9" s="161"/>
      <c r="G9" s="159"/>
      <c r="H9" s="159"/>
      <c r="I9" s="159" t="s">
        <v>160</v>
      </c>
      <c r="J9" s="160" t="s">
        <v>161</v>
      </c>
      <c r="K9" s="78"/>
      <c r="L9" s="78"/>
      <c r="M9" s="78"/>
      <c r="N9" s="78"/>
      <c r="O9" s="78"/>
      <c r="P9" s="78"/>
      <c r="Q9" s="78"/>
      <c r="R9" s="78"/>
      <c r="T9" s="81"/>
      <c r="AE9" s="348"/>
    </row>
    <row r="10" spans="1:31" s="79" customFormat="1" ht="20.100000000000001" customHeight="1">
      <c r="A10" s="77" t="s">
        <v>152</v>
      </c>
      <c r="B10" s="78"/>
      <c r="C10" s="78"/>
      <c r="D10" s="78"/>
      <c r="E10" s="78"/>
      <c r="F10" s="78"/>
      <c r="G10" s="78"/>
      <c r="H10" s="78"/>
      <c r="I10" s="78"/>
      <c r="J10" s="78"/>
      <c r="K10" s="78"/>
      <c r="L10" s="78"/>
      <c r="M10" s="78"/>
      <c r="N10" s="78"/>
      <c r="O10" s="78"/>
      <c r="P10" s="78"/>
      <c r="Q10" s="78"/>
      <c r="R10" s="78"/>
      <c r="AE10" s="348"/>
    </row>
    <row r="11" spans="1:31" s="83" customFormat="1" ht="21.6">
      <c r="A11" s="117" t="s">
        <v>113</v>
      </c>
      <c r="B11" s="117" t="s">
        <v>114</v>
      </c>
      <c r="C11" s="118" t="s">
        <v>115</v>
      </c>
      <c r="D11" s="118" t="s">
        <v>116</v>
      </c>
      <c r="E11" s="118" t="s">
        <v>117</v>
      </c>
      <c r="I11" s="120" t="s">
        <v>118</v>
      </c>
      <c r="J11" s="120" t="s">
        <v>119</v>
      </c>
      <c r="K11" s="120" t="s">
        <v>488</v>
      </c>
      <c r="L11" s="158" t="s">
        <v>489</v>
      </c>
      <c r="M11" s="84"/>
      <c r="N11" s="84"/>
      <c r="O11" s="84"/>
      <c r="P11" s="84"/>
      <c r="Q11" s="84"/>
      <c r="R11" s="84"/>
      <c r="S11" s="85"/>
      <c r="T11" s="85"/>
      <c r="U11" s="85"/>
      <c r="V11" s="85"/>
      <c r="W11" s="85"/>
      <c r="X11" s="85"/>
      <c r="AE11" s="415"/>
    </row>
    <row r="12" spans="1:31" s="87" customFormat="1" ht="20.100000000000001" customHeight="1">
      <c r="A12" s="86" t="s">
        <v>390</v>
      </c>
      <c r="B12" s="88"/>
      <c r="C12" s="88"/>
      <c r="D12" s="88"/>
      <c r="E12" s="119">
        <f>B12+C12-D12</f>
        <v>0</v>
      </c>
      <c r="I12" s="121" t="s">
        <v>478</v>
      </c>
      <c r="J12" s="88"/>
      <c r="K12" s="458" t="e">
        <f>E39/J12</f>
        <v>#DIV/0!</v>
      </c>
      <c r="L12" s="122" t="e">
        <f>F48/J12</f>
        <v>#DIV/0!</v>
      </c>
      <c r="M12" s="84"/>
      <c r="N12" s="84"/>
      <c r="O12" s="84"/>
      <c r="P12" s="84"/>
      <c r="Q12" s="84"/>
      <c r="R12" s="84"/>
      <c r="S12" s="85"/>
      <c r="T12" s="85"/>
      <c r="U12" s="85"/>
      <c r="V12" s="85"/>
      <c r="W12" s="85"/>
      <c r="X12" s="85"/>
      <c r="AE12" s="416"/>
    </row>
    <row r="13" spans="1:31" s="79" customFormat="1" ht="20.100000000000001" customHeight="1">
      <c r="A13" s="89"/>
      <c r="B13" s="89"/>
      <c r="C13" s="90"/>
      <c r="D13" s="90"/>
      <c r="E13" s="90"/>
      <c r="F13" s="90"/>
      <c r="G13" s="90"/>
      <c r="H13" s="91"/>
      <c r="I13" s="91"/>
      <c r="J13" s="91"/>
      <c r="K13" s="91"/>
      <c r="L13" s="91"/>
      <c r="M13" s="91"/>
      <c r="N13" s="91"/>
      <c r="O13" s="91"/>
      <c r="P13" s="91"/>
      <c r="Q13" s="91"/>
      <c r="R13" s="91"/>
      <c r="S13" s="82"/>
      <c r="T13" s="82"/>
      <c r="U13" s="82"/>
      <c r="V13" s="82"/>
      <c r="W13" s="82"/>
      <c r="X13" s="82"/>
      <c r="AE13" s="348"/>
    </row>
    <row r="14" spans="1:31" s="79" customFormat="1" ht="20.100000000000001" customHeight="1">
      <c r="A14" s="210" t="s">
        <v>490</v>
      </c>
      <c r="B14" s="89"/>
      <c r="C14" s="90"/>
      <c r="D14" s="90"/>
      <c r="E14" s="90"/>
      <c r="F14" s="90"/>
      <c r="G14" s="90"/>
      <c r="H14" s="91"/>
      <c r="J14" s="91"/>
      <c r="K14" s="91"/>
      <c r="L14" s="91"/>
      <c r="M14" s="91"/>
      <c r="N14" s="91"/>
      <c r="O14" s="91"/>
      <c r="P14" s="91"/>
      <c r="Q14" s="91"/>
      <c r="R14" s="91"/>
      <c r="S14" s="82"/>
      <c r="T14" s="82"/>
      <c r="U14" s="82"/>
      <c r="V14" s="82"/>
      <c r="W14" s="82"/>
      <c r="X14" s="82"/>
      <c r="AE14" s="348"/>
    </row>
    <row r="15" spans="1:31" s="348" customFormat="1" ht="20.100000000000001" customHeight="1">
      <c r="A15" s="535" t="s">
        <v>491</v>
      </c>
      <c r="B15" s="535"/>
      <c r="C15" s="535"/>
      <c r="D15" s="535"/>
      <c r="E15" s="535"/>
      <c r="F15" s="535"/>
      <c r="G15" s="536"/>
      <c r="H15" s="540" t="s">
        <v>505</v>
      </c>
      <c r="I15" s="541"/>
      <c r="J15" s="542"/>
      <c r="K15" s="540" t="s">
        <v>492</v>
      </c>
      <c r="L15" s="541"/>
      <c r="M15" s="542"/>
      <c r="N15" s="543" t="s">
        <v>122</v>
      </c>
      <c r="O15" s="522" t="s">
        <v>493</v>
      </c>
      <c r="P15" s="522" t="s">
        <v>494</v>
      </c>
      <c r="Q15" s="97"/>
      <c r="R15" s="97"/>
      <c r="T15" s="347"/>
      <c r="U15" s="347"/>
      <c r="V15" s="347"/>
      <c r="W15" s="347"/>
      <c r="X15" s="347"/>
      <c r="AE15" s="417" t="s">
        <v>518</v>
      </c>
    </row>
    <row r="16" spans="1:31" s="348" customFormat="1" ht="20.100000000000001" customHeight="1">
      <c r="A16" s="349" t="s">
        <v>508</v>
      </c>
      <c r="B16" s="349" t="s">
        <v>507</v>
      </c>
      <c r="C16" s="406" t="s">
        <v>495</v>
      </c>
      <c r="D16" s="406" t="s">
        <v>496</v>
      </c>
      <c r="E16" s="406" t="s">
        <v>497</v>
      </c>
      <c r="F16" s="406" t="s">
        <v>498</v>
      </c>
      <c r="G16" s="367" t="s">
        <v>499</v>
      </c>
      <c r="H16" s="381" t="s">
        <v>506</v>
      </c>
      <c r="I16" s="381" t="s">
        <v>500</v>
      </c>
      <c r="J16" s="381" t="s">
        <v>501</v>
      </c>
      <c r="K16" s="407" t="s">
        <v>467</v>
      </c>
      <c r="L16" s="407" t="s">
        <v>502</v>
      </c>
      <c r="M16" s="407" t="s">
        <v>503</v>
      </c>
      <c r="N16" s="523"/>
      <c r="O16" s="523"/>
      <c r="P16" s="523"/>
      <c r="Q16" s="97"/>
      <c r="R16" s="97"/>
      <c r="S16" s="347"/>
      <c r="T16" s="347"/>
      <c r="U16" s="347"/>
      <c r="V16" s="347"/>
      <c r="W16" s="347"/>
      <c r="X16" s="347"/>
    </row>
    <row r="17" spans="1:31" s="348" customFormat="1" ht="20.100000000000001" customHeight="1">
      <c r="A17" s="409">
        <v>1</v>
      </c>
      <c r="B17" s="369"/>
      <c r="C17" s="408"/>
      <c r="D17" s="408"/>
      <c r="E17" s="408"/>
      <c r="F17" s="408"/>
      <c r="G17" s="405"/>
      <c r="H17" s="408"/>
      <c r="I17" s="408"/>
      <c r="J17" s="408"/>
      <c r="K17" s="408"/>
      <c r="L17" s="408"/>
      <c r="M17" s="405"/>
      <c r="N17" s="408"/>
      <c r="O17" s="408"/>
      <c r="P17" s="408"/>
      <c r="Q17" s="97"/>
      <c r="R17" s="97"/>
      <c r="S17" s="347"/>
      <c r="T17" s="347"/>
      <c r="U17" s="347"/>
      <c r="V17" s="347"/>
      <c r="W17" s="347"/>
      <c r="X17" s="347"/>
    </row>
    <row r="18" spans="1:31" s="348" customFormat="1" ht="20.100000000000001" customHeight="1">
      <c r="A18" s="409">
        <v>2</v>
      </c>
      <c r="B18" s="369"/>
      <c r="C18" s="408"/>
      <c r="D18" s="408"/>
      <c r="E18" s="408"/>
      <c r="F18" s="408"/>
      <c r="G18" s="405"/>
      <c r="H18" s="408"/>
      <c r="I18" s="408"/>
      <c r="J18" s="408"/>
      <c r="K18" s="408"/>
      <c r="L18" s="408"/>
      <c r="M18" s="405"/>
      <c r="N18" s="408"/>
      <c r="O18" s="408"/>
      <c r="P18" s="408"/>
      <c r="Q18" s="97"/>
      <c r="R18" s="97"/>
      <c r="S18" s="347"/>
      <c r="T18" s="347"/>
      <c r="U18" s="347"/>
      <c r="V18" s="347"/>
      <c r="W18" s="347"/>
      <c r="X18" s="347"/>
    </row>
    <row r="19" spans="1:31" s="348" customFormat="1" ht="20.100000000000001" customHeight="1">
      <c r="A19" s="409">
        <v>3</v>
      </c>
      <c r="B19" s="369"/>
      <c r="C19" s="408"/>
      <c r="D19" s="408"/>
      <c r="E19" s="408"/>
      <c r="F19" s="408"/>
      <c r="G19" s="405"/>
      <c r="H19" s="408"/>
      <c r="I19" s="408"/>
      <c r="J19" s="408"/>
      <c r="K19" s="408"/>
      <c r="L19" s="408"/>
      <c r="M19" s="405"/>
      <c r="N19" s="408"/>
      <c r="O19" s="408"/>
      <c r="P19" s="408"/>
      <c r="Q19" s="97"/>
      <c r="R19" s="97"/>
      <c r="S19" s="347"/>
      <c r="T19" s="347"/>
      <c r="U19" s="347"/>
      <c r="V19" s="347"/>
      <c r="W19" s="347"/>
      <c r="X19" s="347"/>
    </row>
    <row r="20" spans="1:31" s="348" customFormat="1" ht="20.100000000000001" customHeight="1">
      <c r="A20" s="409" t="s">
        <v>560</v>
      </c>
      <c r="B20" s="408"/>
      <c r="C20" s="408"/>
      <c r="D20" s="408"/>
      <c r="E20" s="408"/>
      <c r="F20" s="408"/>
      <c r="G20" s="405"/>
      <c r="H20" s="408"/>
      <c r="I20" s="408"/>
      <c r="J20" s="408"/>
      <c r="K20" s="408"/>
      <c r="L20" s="408"/>
      <c r="M20" s="405"/>
      <c r="N20" s="408"/>
      <c r="O20" s="408"/>
      <c r="P20" s="408"/>
      <c r="Q20" s="97"/>
      <c r="R20" s="97"/>
      <c r="S20" s="347"/>
      <c r="T20" s="347"/>
      <c r="U20" s="347"/>
      <c r="V20" s="347"/>
      <c r="W20" s="347"/>
      <c r="X20" s="347"/>
    </row>
    <row r="21" spans="1:31" s="348" customFormat="1" ht="20.100000000000001" customHeight="1">
      <c r="A21" s="406" t="s">
        <v>504</v>
      </c>
      <c r="B21" s="406"/>
      <c r="C21" s="362"/>
      <c r="D21" s="362"/>
      <c r="E21" s="362"/>
      <c r="F21" s="362"/>
      <c r="G21" s="360">
        <f>SUM(G17:G20)</f>
        <v>0</v>
      </c>
      <c r="H21" s="362"/>
      <c r="I21" s="362"/>
      <c r="J21" s="362"/>
      <c r="K21" s="362"/>
      <c r="L21" s="362"/>
      <c r="M21" s="360">
        <f>SUM(M17:M20)</f>
        <v>0</v>
      </c>
      <c r="N21" s="362"/>
      <c r="O21" s="362"/>
      <c r="P21" s="362"/>
      <c r="Q21" s="97"/>
      <c r="R21" s="97"/>
      <c r="S21" s="347"/>
      <c r="T21" s="347"/>
      <c r="U21" s="347"/>
      <c r="V21" s="347"/>
      <c r="W21" s="347"/>
      <c r="X21" s="347"/>
    </row>
    <row r="22" spans="1:31" s="157" customFormat="1" ht="20.100000000000001" customHeight="1">
      <c r="A22" s="96"/>
      <c r="B22" s="96"/>
      <c r="C22" s="96"/>
      <c r="D22" s="96"/>
      <c r="E22" s="155"/>
      <c r="F22" s="97"/>
      <c r="G22" s="97"/>
      <c r="H22" s="93"/>
      <c r="I22" s="93"/>
      <c r="J22" s="93"/>
      <c r="K22" s="155"/>
      <c r="L22" s="156"/>
      <c r="M22" s="93"/>
      <c r="N22" s="93"/>
      <c r="O22" s="93"/>
      <c r="P22" s="93"/>
      <c r="Q22" s="93"/>
      <c r="R22" s="93"/>
      <c r="S22" s="82"/>
      <c r="T22" s="82"/>
      <c r="U22" s="82"/>
      <c r="V22" s="82"/>
      <c r="W22" s="82"/>
      <c r="X22" s="82"/>
      <c r="AE22" s="418"/>
    </row>
    <row r="23" spans="1:31" s="79" customFormat="1" ht="20.100000000000001" customHeight="1">
      <c r="A23" s="163" t="s">
        <v>509</v>
      </c>
      <c r="B23" s="223"/>
      <c r="C23" s="223"/>
      <c r="D23" s="223"/>
      <c r="E23" s="223"/>
      <c r="F23" s="223"/>
      <c r="G23" s="223"/>
      <c r="H23" s="223"/>
      <c r="I23" s="223"/>
      <c r="J23" s="223"/>
      <c r="K23" s="223"/>
      <c r="L23" s="223"/>
      <c r="M23" s="223"/>
      <c r="N23" s="223"/>
      <c r="O23" s="223"/>
      <c r="P23" s="223"/>
      <c r="Q23" s="223"/>
      <c r="R23" s="223"/>
      <c r="S23" s="82"/>
      <c r="T23" s="82"/>
      <c r="U23" s="82"/>
      <c r="V23" s="82"/>
      <c r="W23" s="82"/>
      <c r="X23" s="82"/>
      <c r="AE23" s="348"/>
    </row>
    <row r="24" spans="1:31" s="79" customFormat="1" ht="20.100000000000001" customHeight="1">
      <c r="A24" s="524" t="s">
        <v>416</v>
      </c>
      <c r="B24" s="524"/>
      <c r="C24" s="524"/>
      <c r="D24" s="524"/>
      <c r="E24" s="524"/>
      <c r="F24" s="524"/>
      <c r="G24" s="525"/>
      <c r="H24" s="537" t="s">
        <v>510</v>
      </c>
      <c r="I24" s="538"/>
      <c r="J24" s="539"/>
      <c r="K24" s="537" t="s">
        <v>511</v>
      </c>
      <c r="L24" s="538"/>
      <c r="M24" s="539"/>
      <c r="N24" s="342" t="s">
        <v>122</v>
      </c>
      <c r="O24" s="520" t="s">
        <v>421</v>
      </c>
      <c r="P24" s="520" t="s">
        <v>422</v>
      </c>
      <c r="Q24" s="223"/>
      <c r="R24" s="223"/>
      <c r="T24" s="82"/>
      <c r="U24" s="82"/>
      <c r="V24" s="82"/>
      <c r="W24" s="82"/>
      <c r="X24" s="82"/>
      <c r="AE24" s="419" t="s">
        <v>163</v>
      </c>
    </row>
    <row r="25" spans="1:31" s="79" customFormat="1" ht="20.100000000000001" customHeight="1">
      <c r="A25" s="349" t="s">
        <v>508</v>
      </c>
      <c r="B25" s="340" t="s">
        <v>120</v>
      </c>
      <c r="C25" s="340" t="s">
        <v>143</v>
      </c>
      <c r="D25" s="340" t="s">
        <v>142</v>
      </c>
      <c r="E25" s="340" t="s">
        <v>202</v>
      </c>
      <c r="F25" s="340" t="s">
        <v>423</v>
      </c>
      <c r="G25" s="341" t="s">
        <v>444</v>
      </c>
      <c r="H25" s="342" t="s">
        <v>120</v>
      </c>
      <c r="I25" s="342" t="s">
        <v>446</v>
      </c>
      <c r="J25" s="342" t="s">
        <v>121</v>
      </c>
      <c r="K25" s="343" t="s">
        <v>512</v>
      </c>
      <c r="L25" s="343" t="s">
        <v>513</v>
      </c>
      <c r="M25" s="343" t="s">
        <v>514</v>
      </c>
      <c r="N25" s="342"/>
      <c r="O25" s="521"/>
      <c r="P25" s="521"/>
      <c r="Q25" s="223"/>
      <c r="R25" s="223"/>
      <c r="S25" s="82"/>
      <c r="T25" s="82"/>
      <c r="U25" s="82"/>
      <c r="V25" s="82"/>
      <c r="W25" s="82"/>
      <c r="X25" s="82"/>
      <c r="AE25" s="348"/>
    </row>
    <row r="26" spans="1:31" s="79" customFormat="1" ht="20.100000000000001" customHeight="1">
      <c r="A26" s="409">
        <v>1</v>
      </c>
      <c r="B26" s="403"/>
      <c r="C26" s="403"/>
      <c r="D26" s="403"/>
      <c r="E26" s="403"/>
      <c r="F26" s="403"/>
      <c r="G26" s="404"/>
      <c r="H26" s="410"/>
      <c r="I26" s="410"/>
      <c r="J26" s="404"/>
      <c r="K26" s="411"/>
      <c r="L26" s="411"/>
      <c r="M26" s="411"/>
      <c r="N26" s="411"/>
      <c r="O26" s="411"/>
      <c r="P26" s="411"/>
      <c r="Q26" s="223"/>
      <c r="R26" s="223"/>
      <c r="S26" s="82"/>
      <c r="T26" s="82"/>
      <c r="U26" s="82"/>
      <c r="V26" s="82"/>
      <c r="W26" s="82"/>
      <c r="X26" s="82"/>
      <c r="AE26" s="348"/>
    </row>
    <row r="27" spans="1:31" s="79" customFormat="1" ht="20.100000000000001" customHeight="1">
      <c r="A27" s="409">
        <v>2</v>
      </c>
      <c r="B27" s="403"/>
      <c r="C27" s="403"/>
      <c r="D27" s="403"/>
      <c r="E27" s="403"/>
      <c r="F27" s="403"/>
      <c r="G27" s="404"/>
      <c r="H27" s="410"/>
      <c r="I27" s="410"/>
      <c r="J27" s="404"/>
      <c r="K27" s="411"/>
      <c r="L27" s="411"/>
      <c r="M27" s="411"/>
      <c r="N27" s="411"/>
      <c r="O27" s="411"/>
      <c r="P27" s="411"/>
      <c r="Q27" s="223"/>
      <c r="R27" s="223"/>
      <c r="S27" s="82"/>
      <c r="T27" s="82"/>
      <c r="U27" s="82"/>
      <c r="V27" s="82"/>
      <c r="W27" s="82"/>
      <c r="X27" s="82"/>
      <c r="AE27" s="348"/>
    </row>
    <row r="28" spans="1:31" s="79" customFormat="1" ht="20.100000000000001" customHeight="1">
      <c r="A28" s="409">
        <v>3</v>
      </c>
      <c r="B28" s="403"/>
      <c r="C28" s="403"/>
      <c r="D28" s="403"/>
      <c r="E28" s="403"/>
      <c r="F28" s="403"/>
      <c r="G28" s="404"/>
      <c r="H28" s="410"/>
      <c r="I28" s="410"/>
      <c r="J28" s="404"/>
      <c r="K28" s="411"/>
      <c r="L28" s="411"/>
      <c r="M28" s="411"/>
      <c r="N28" s="411"/>
      <c r="O28" s="411"/>
      <c r="P28" s="411"/>
      <c r="Q28" s="223"/>
      <c r="R28" s="223"/>
      <c r="S28" s="82"/>
      <c r="T28" s="82"/>
      <c r="U28" s="82"/>
      <c r="V28" s="82"/>
      <c r="W28" s="82"/>
      <c r="X28" s="82"/>
      <c r="AE28" s="348"/>
    </row>
    <row r="29" spans="1:31" s="79" customFormat="1" ht="20.100000000000001" customHeight="1">
      <c r="A29" s="409" t="s">
        <v>560</v>
      </c>
      <c r="B29" s="403"/>
      <c r="C29" s="403"/>
      <c r="D29" s="403"/>
      <c r="E29" s="403"/>
      <c r="F29" s="403"/>
      <c r="G29" s="404"/>
      <c r="H29" s="410"/>
      <c r="I29" s="410"/>
      <c r="J29" s="404"/>
      <c r="K29" s="411"/>
      <c r="L29" s="411"/>
      <c r="M29" s="411"/>
      <c r="N29" s="411"/>
      <c r="O29" s="411"/>
      <c r="P29" s="411"/>
      <c r="Q29" s="223"/>
      <c r="R29" s="223"/>
      <c r="S29" s="82"/>
      <c r="T29" s="82"/>
      <c r="U29" s="82"/>
      <c r="V29" s="82"/>
      <c r="W29" s="82"/>
      <c r="X29" s="82"/>
      <c r="AE29" s="348"/>
    </row>
    <row r="30" spans="1:31" s="79" customFormat="1" ht="20.100000000000001" customHeight="1">
      <c r="A30" s="340" t="s">
        <v>439</v>
      </c>
      <c r="B30" s="340"/>
      <c r="C30" s="344"/>
      <c r="D30" s="344"/>
      <c r="E30" s="344"/>
      <c r="F30" s="344"/>
      <c r="G30" s="345">
        <f>SUM(G26:G29)</f>
        <v>0</v>
      </c>
      <c r="H30" s="344"/>
      <c r="I30" s="344"/>
      <c r="J30" s="345">
        <f>SUM(J26:J29)</f>
        <v>0</v>
      </c>
      <c r="K30" s="344"/>
      <c r="L30" s="344"/>
      <c r="M30" s="344"/>
      <c r="N30" s="344"/>
      <c r="O30" s="344"/>
      <c r="P30" s="344"/>
      <c r="Q30" s="223"/>
      <c r="R30" s="223"/>
      <c r="S30" s="82"/>
      <c r="T30" s="82"/>
      <c r="U30" s="82"/>
      <c r="V30" s="82"/>
      <c r="W30" s="82"/>
      <c r="X30" s="82"/>
      <c r="AE30" s="348"/>
    </row>
    <row r="31" spans="1:31" s="79" customFormat="1" ht="20.100000000000001" customHeight="1">
      <c r="A31" s="209"/>
      <c r="B31" s="109"/>
      <c r="C31" s="109"/>
      <c r="D31" s="109"/>
      <c r="E31" s="109"/>
      <c r="F31" s="109"/>
      <c r="G31" s="109"/>
      <c r="H31" s="109"/>
      <c r="I31" s="109"/>
      <c r="J31" s="109"/>
      <c r="K31" s="109"/>
      <c r="L31" s="109"/>
      <c r="M31" s="109"/>
      <c r="N31" s="109"/>
      <c r="O31" s="109"/>
      <c r="P31" s="109"/>
      <c r="Q31" s="109"/>
      <c r="R31" s="109"/>
      <c r="S31" s="82"/>
      <c r="T31" s="82"/>
      <c r="U31" s="82"/>
      <c r="V31" s="82"/>
      <c r="W31" s="82"/>
      <c r="X31" s="82"/>
      <c r="AE31" s="348"/>
    </row>
    <row r="32" spans="1:31" s="79" customFormat="1" ht="20.100000000000001" customHeight="1">
      <c r="A32" s="211" t="s">
        <v>515</v>
      </c>
      <c r="B32" s="212"/>
      <c r="C32" s="96"/>
      <c r="D32" s="96"/>
      <c r="E32" s="97"/>
      <c r="F32" s="97"/>
      <c r="G32" s="97"/>
      <c r="H32" s="93"/>
      <c r="I32" s="93"/>
      <c r="J32" s="93"/>
      <c r="K32" s="93"/>
      <c r="L32" s="93"/>
      <c r="M32" s="93"/>
      <c r="N32" s="93"/>
      <c r="O32" s="93"/>
      <c r="P32" s="93"/>
      <c r="Q32" s="93"/>
      <c r="R32" s="93"/>
      <c r="S32" s="82"/>
      <c r="T32" s="82"/>
      <c r="U32" s="82"/>
      <c r="V32" s="82"/>
      <c r="W32" s="82"/>
      <c r="X32" s="82"/>
      <c r="AE32" s="348"/>
    </row>
    <row r="33" spans="1:40" s="79" customFormat="1" ht="20.100000000000001" customHeight="1">
      <c r="A33" s="528" t="s">
        <v>323</v>
      </c>
      <c r="B33" s="528"/>
      <c r="C33" s="528"/>
      <c r="D33" s="528"/>
      <c r="E33" s="528"/>
      <c r="F33" s="529" t="s">
        <v>324</v>
      </c>
      <c r="G33" s="529"/>
      <c r="H33" s="529"/>
      <c r="I33" s="530" t="s">
        <v>486</v>
      </c>
      <c r="J33" s="531"/>
      <c r="K33" s="531"/>
      <c r="L33" s="531" t="s">
        <v>123</v>
      </c>
      <c r="M33" s="532" t="s">
        <v>326</v>
      </c>
      <c r="N33" s="533" t="s">
        <v>327</v>
      </c>
      <c r="O33" s="303"/>
      <c r="P33" s="291"/>
      <c r="R33" s="82"/>
      <c r="S33" s="82"/>
      <c r="T33" s="82"/>
      <c r="U33" s="82"/>
      <c r="V33" s="82"/>
      <c r="AE33" s="417" t="s">
        <v>518</v>
      </c>
    </row>
    <row r="34" spans="1:40" s="79" customFormat="1" ht="20.100000000000001" customHeight="1">
      <c r="A34" s="293" t="s">
        <v>317</v>
      </c>
      <c r="B34" s="293" t="s">
        <v>316</v>
      </c>
      <c r="C34" s="293" t="s">
        <v>318</v>
      </c>
      <c r="D34" s="293" t="s">
        <v>328</v>
      </c>
      <c r="E34" s="293" t="s">
        <v>319</v>
      </c>
      <c r="F34" s="304" t="s">
        <v>329</v>
      </c>
      <c r="G34" s="295" t="s">
        <v>485</v>
      </c>
      <c r="H34" s="304" t="s">
        <v>325</v>
      </c>
      <c r="I34" s="294" t="s">
        <v>322</v>
      </c>
      <c r="J34" s="294" t="s">
        <v>321</v>
      </c>
      <c r="K34" s="294" t="s">
        <v>320</v>
      </c>
      <c r="L34" s="531"/>
      <c r="M34" s="532"/>
      <c r="N34" s="534"/>
      <c r="O34" s="303"/>
      <c r="P34" s="291"/>
      <c r="Q34" s="292"/>
      <c r="R34" s="82"/>
      <c r="S34" s="82"/>
      <c r="T34" s="82"/>
      <c r="U34" s="82"/>
      <c r="V34" s="82"/>
      <c r="AE34" s="348"/>
    </row>
    <row r="35" spans="1:40" s="79" customFormat="1" ht="20.100000000000001" customHeight="1">
      <c r="A35" s="208"/>
      <c r="B35" s="206"/>
      <c r="C35" s="206"/>
      <c r="D35" s="206"/>
      <c r="E35" s="92"/>
      <c r="F35" s="208"/>
      <c r="G35" s="301"/>
      <c r="H35" s="99"/>
      <c r="I35" s="207"/>
      <c r="J35" s="301"/>
      <c r="K35" s="99"/>
      <c r="L35" s="301"/>
      <c r="M35" s="207"/>
      <c r="N35" s="207"/>
      <c r="O35" s="215"/>
      <c r="P35" s="215"/>
      <c r="Q35" s="82"/>
      <c r="R35" s="82"/>
      <c r="S35" s="82"/>
      <c r="T35" s="82"/>
      <c r="U35" s="82"/>
      <c r="V35" s="82"/>
      <c r="AE35" s="348"/>
    </row>
    <row r="36" spans="1:40" s="79" customFormat="1" ht="20.100000000000001" customHeight="1">
      <c r="A36" s="208"/>
      <c r="B36" s="206"/>
      <c r="C36" s="206"/>
      <c r="D36" s="206"/>
      <c r="E36" s="92"/>
      <c r="F36" s="208"/>
      <c r="G36" s="302"/>
      <c r="H36" s="99"/>
      <c r="I36" s="207"/>
      <c r="J36" s="302"/>
      <c r="K36" s="99"/>
      <c r="L36" s="207"/>
      <c r="M36" s="207"/>
      <c r="N36" s="207"/>
      <c r="O36" s="215"/>
      <c r="P36" s="215"/>
      <c r="Q36" s="82"/>
      <c r="R36" s="82"/>
      <c r="S36" s="82"/>
      <c r="T36" s="82"/>
      <c r="U36" s="82"/>
      <c r="V36" s="82"/>
      <c r="AE36" s="348"/>
    </row>
    <row r="37" spans="1:40" s="79" customFormat="1" ht="20.100000000000001" customHeight="1">
      <c r="A37" s="208"/>
      <c r="B37" s="206"/>
      <c r="C37" s="206"/>
      <c r="D37" s="206"/>
      <c r="E37" s="92"/>
      <c r="F37" s="208"/>
      <c r="G37" s="302"/>
      <c r="H37" s="99"/>
      <c r="I37" s="207"/>
      <c r="J37" s="302"/>
      <c r="K37" s="99"/>
      <c r="L37" s="207"/>
      <c r="M37" s="207"/>
      <c r="N37" s="207"/>
      <c r="O37" s="215"/>
      <c r="P37" s="215"/>
      <c r="Q37" s="82"/>
      <c r="R37" s="82"/>
      <c r="S37" s="82"/>
      <c r="T37" s="82"/>
      <c r="U37" s="82"/>
      <c r="V37" s="82"/>
      <c r="AE37" s="348"/>
    </row>
    <row r="38" spans="1:40" s="79" customFormat="1" ht="20.100000000000001" customHeight="1">
      <c r="A38" s="208"/>
      <c r="B38" s="206"/>
      <c r="C38" s="206"/>
      <c r="D38" s="206"/>
      <c r="E38" s="92"/>
      <c r="F38" s="208"/>
      <c r="G38" s="302"/>
      <c r="H38" s="99"/>
      <c r="I38" s="207"/>
      <c r="J38" s="302"/>
      <c r="K38" s="99"/>
      <c r="L38" s="207"/>
      <c r="M38" s="207"/>
      <c r="N38" s="207"/>
      <c r="O38" s="215"/>
      <c r="P38" s="215"/>
      <c r="Q38" s="82"/>
      <c r="R38" s="82"/>
      <c r="S38" s="82"/>
      <c r="T38" s="82"/>
      <c r="U38" s="82"/>
      <c r="V38" s="82"/>
      <c r="AE38" s="348"/>
    </row>
    <row r="39" spans="1:40" s="83" customFormat="1" ht="20.100000000000001" customHeight="1">
      <c r="A39" s="213" t="s">
        <v>203</v>
      </c>
      <c r="B39" s="296"/>
      <c r="C39" s="296"/>
      <c r="D39" s="296"/>
      <c r="E39" s="297">
        <f>SUM(E35:E38)</f>
        <v>0</v>
      </c>
      <c r="F39" s="298"/>
      <c r="G39" s="298"/>
      <c r="H39" s="299">
        <f>SUM(H35:H38)</f>
        <v>0</v>
      </c>
      <c r="I39" s="298"/>
      <c r="J39" s="298"/>
      <c r="K39" s="299">
        <f>SUM(K35:K38)</f>
        <v>0</v>
      </c>
      <c r="L39" s="298"/>
      <c r="M39" s="298"/>
      <c r="N39" s="298"/>
      <c r="O39" s="300"/>
      <c r="P39" s="300"/>
      <c r="Q39" s="85"/>
      <c r="R39" s="85"/>
      <c r="S39" s="85"/>
      <c r="T39" s="85"/>
      <c r="U39" s="85"/>
      <c r="V39" s="85"/>
      <c r="AE39" s="415"/>
    </row>
    <row r="40" spans="1:40" s="157" customFormat="1" ht="20.100000000000001" customHeight="1">
      <c r="A40" s="96"/>
      <c r="B40" s="96"/>
      <c r="C40" s="96"/>
      <c r="D40" s="96"/>
      <c r="E40" s="155"/>
      <c r="F40" s="97"/>
      <c r="G40" s="97"/>
      <c r="H40" s="93"/>
      <c r="I40" s="93"/>
      <c r="J40" s="156"/>
      <c r="K40" s="93"/>
      <c r="L40" s="93"/>
      <c r="M40" s="93"/>
      <c r="N40" s="93"/>
      <c r="O40" s="93"/>
      <c r="P40" s="93"/>
      <c r="Q40" s="93"/>
      <c r="R40" s="93"/>
      <c r="S40" s="82"/>
      <c r="T40" s="82"/>
      <c r="U40" s="82"/>
      <c r="V40" s="82"/>
      <c r="W40" s="82"/>
      <c r="X40" s="82"/>
      <c r="AE40" s="418"/>
    </row>
    <row r="41" spans="1:40" s="79" customFormat="1" ht="20.100000000000001" customHeight="1">
      <c r="A41" s="98" t="s">
        <v>516</v>
      </c>
      <c r="B41" s="96"/>
      <c r="C41" s="96"/>
      <c r="D41" s="96"/>
      <c r="E41" s="97"/>
      <c r="F41" s="97"/>
      <c r="G41" s="97"/>
      <c r="H41" s="93"/>
      <c r="I41" s="93"/>
      <c r="J41" s="93"/>
      <c r="K41" s="93"/>
      <c r="L41" s="93"/>
      <c r="M41" s="93"/>
      <c r="N41" s="93"/>
      <c r="O41" s="93"/>
      <c r="P41" s="93"/>
      <c r="Q41" s="93"/>
      <c r="R41" s="93"/>
      <c r="S41" s="82"/>
      <c r="T41" s="82"/>
      <c r="U41" s="82"/>
      <c r="V41" s="82"/>
      <c r="W41" s="82"/>
      <c r="X41" s="82"/>
      <c r="AE41" s="348"/>
    </row>
    <row r="42" spans="1:40" s="348" customFormat="1" ht="20.100000000000001" customHeight="1">
      <c r="A42" s="518" t="s">
        <v>451</v>
      </c>
      <c r="B42" s="518"/>
      <c r="C42" s="518"/>
      <c r="D42" s="518"/>
      <c r="E42" s="518"/>
      <c r="F42" s="518"/>
      <c r="G42" s="518" t="s">
        <v>452</v>
      </c>
      <c r="H42" s="518"/>
      <c r="I42" s="518" t="s">
        <v>453</v>
      </c>
      <c r="J42" s="518"/>
      <c r="K42" s="518"/>
      <c r="L42" s="518"/>
      <c r="M42" s="367"/>
      <c r="N42" s="367"/>
      <c r="O42" s="519" t="s">
        <v>454</v>
      </c>
      <c r="P42" s="519"/>
      <c r="Q42" s="519"/>
      <c r="R42" s="519"/>
      <c r="S42" s="519"/>
      <c r="T42" s="518" t="s">
        <v>455</v>
      </c>
      <c r="U42" s="518"/>
      <c r="V42" s="518"/>
      <c r="W42" s="518"/>
      <c r="X42" s="518"/>
      <c r="Y42" s="518"/>
      <c r="Z42" s="518"/>
      <c r="AA42" s="519" t="s">
        <v>122</v>
      </c>
      <c r="AB42" s="519"/>
      <c r="AC42" s="519" t="s">
        <v>456</v>
      </c>
      <c r="AD42" s="518" t="s">
        <v>457</v>
      </c>
      <c r="AE42" s="419" t="s">
        <v>163</v>
      </c>
      <c r="AF42" s="215"/>
      <c r="AH42" s="215"/>
      <c r="AI42" s="347"/>
      <c r="AJ42" s="347"/>
      <c r="AK42" s="347"/>
      <c r="AL42" s="347"/>
      <c r="AM42" s="347"/>
      <c r="AN42" s="347"/>
    </row>
    <row r="43" spans="1:40" s="348" customFormat="1" ht="20.100000000000001" customHeight="1">
      <c r="A43" s="367" t="s">
        <v>458</v>
      </c>
      <c r="B43" s="367" t="s">
        <v>459</v>
      </c>
      <c r="C43" s="350" t="s">
        <v>476</v>
      </c>
      <c r="D43" s="367" t="s">
        <v>461</v>
      </c>
      <c r="E43" s="367" t="s">
        <v>462</v>
      </c>
      <c r="F43" s="367" t="s">
        <v>463</v>
      </c>
      <c r="G43" s="367" t="s">
        <v>459</v>
      </c>
      <c r="H43" s="367" t="s">
        <v>464</v>
      </c>
      <c r="I43" s="367" t="s">
        <v>459</v>
      </c>
      <c r="J43" s="367" t="s">
        <v>460</v>
      </c>
      <c r="K43" s="367" t="s">
        <v>461</v>
      </c>
      <c r="L43" s="367" t="s">
        <v>462</v>
      </c>
      <c r="M43" s="368" t="s">
        <v>465</v>
      </c>
      <c r="N43" s="368" t="s">
        <v>466</v>
      </c>
      <c r="O43" s="368" t="s">
        <v>467</v>
      </c>
      <c r="P43" s="368" t="s">
        <v>468</v>
      </c>
      <c r="Q43" s="368" t="s">
        <v>469</v>
      </c>
      <c r="R43" s="368" t="s">
        <v>470</v>
      </c>
      <c r="S43" s="368" t="s">
        <v>471</v>
      </c>
      <c r="T43" s="367" t="s">
        <v>459</v>
      </c>
      <c r="U43" s="367" t="s">
        <v>461</v>
      </c>
      <c r="V43" s="367" t="s">
        <v>462</v>
      </c>
      <c r="W43" s="367" t="s">
        <v>463</v>
      </c>
      <c r="X43" s="367" t="s">
        <v>472</v>
      </c>
      <c r="Y43" s="367" t="s">
        <v>473</v>
      </c>
      <c r="Z43" s="367" t="s">
        <v>474</v>
      </c>
      <c r="AA43" s="368" t="s">
        <v>122</v>
      </c>
      <c r="AB43" s="368" t="s">
        <v>122</v>
      </c>
      <c r="AC43" s="519"/>
      <c r="AD43" s="518"/>
      <c r="AE43" s="215"/>
      <c r="AF43" s="215"/>
      <c r="AG43" s="215"/>
      <c r="AH43" s="215"/>
      <c r="AI43" s="347"/>
      <c r="AJ43" s="347"/>
      <c r="AK43" s="347"/>
      <c r="AL43" s="347"/>
      <c r="AM43" s="347"/>
      <c r="AN43" s="347"/>
    </row>
    <row r="44" spans="1:40" s="348" customFormat="1" ht="20.100000000000001" customHeight="1">
      <c r="A44" s="369">
        <v>1</v>
      </c>
      <c r="B44" s="370"/>
      <c r="C44" s="371"/>
      <c r="D44" s="408"/>
      <c r="E44" s="372"/>
      <c r="F44" s="372"/>
      <c r="G44" s="370"/>
      <c r="H44" s="373"/>
      <c r="I44" s="370"/>
      <c r="J44" s="369"/>
      <c r="K44" s="369"/>
      <c r="L44" s="372"/>
      <c r="M44" s="369"/>
      <c r="N44" s="369"/>
      <c r="O44" s="370"/>
      <c r="P44" s="369"/>
      <c r="Q44" s="369"/>
      <c r="R44" s="369"/>
      <c r="S44" s="369"/>
      <c r="T44" s="370"/>
      <c r="U44" s="369"/>
      <c r="V44" s="372"/>
      <c r="W44" s="372"/>
      <c r="X44" s="369"/>
      <c r="Y44" s="369"/>
      <c r="Z44" s="369"/>
      <c r="AA44" s="369"/>
      <c r="AB44" s="374"/>
      <c r="AC44" s="374"/>
      <c r="AD44" s="408"/>
      <c r="AE44" s="215"/>
      <c r="AF44" s="215"/>
      <c r="AG44" s="215"/>
      <c r="AH44" s="215"/>
      <c r="AI44" s="347"/>
      <c r="AJ44" s="347"/>
      <c r="AK44" s="347"/>
      <c r="AL44" s="347"/>
      <c r="AM44" s="347"/>
      <c r="AN44" s="347"/>
    </row>
    <row r="45" spans="1:40" s="348" customFormat="1" ht="20.100000000000001" customHeight="1">
      <c r="A45" s="369">
        <v>2</v>
      </c>
      <c r="B45" s="370"/>
      <c r="C45" s="371"/>
      <c r="D45" s="373"/>
      <c r="E45" s="372"/>
      <c r="F45" s="372"/>
      <c r="G45" s="370"/>
      <c r="H45" s="373"/>
      <c r="I45" s="370"/>
      <c r="J45" s="369"/>
      <c r="K45" s="369"/>
      <c r="L45" s="372"/>
      <c r="M45" s="369"/>
      <c r="N45" s="369"/>
      <c r="O45" s="370"/>
      <c r="P45" s="369"/>
      <c r="Q45" s="369"/>
      <c r="R45" s="369"/>
      <c r="S45" s="369"/>
      <c r="T45" s="370"/>
      <c r="U45" s="369"/>
      <c r="V45" s="372"/>
      <c r="W45" s="372"/>
      <c r="X45" s="369"/>
      <c r="Y45" s="369"/>
      <c r="Z45" s="369"/>
      <c r="AA45" s="369"/>
      <c r="AB45" s="374"/>
      <c r="AC45" s="374"/>
      <c r="AD45" s="408"/>
      <c r="AE45" s="215"/>
      <c r="AF45" s="215"/>
      <c r="AG45" s="215"/>
      <c r="AH45" s="215"/>
      <c r="AI45" s="347"/>
      <c r="AJ45" s="347"/>
      <c r="AK45" s="347"/>
      <c r="AL45" s="347"/>
      <c r="AM45" s="347"/>
      <c r="AN45" s="347"/>
    </row>
    <row r="46" spans="1:40" s="348" customFormat="1" ht="20.100000000000001" customHeight="1">
      <c r="A46" s="369">
        <v>3</v>
      </c>
      <c r="B46" s="370"/>
      <c r="C46" s="371"/>
      <c r="D46" s="373"/>
      <c r="E46" s="372"/>
      <c r="F46" s="372"/>
      <c r="G46" s="370"/>
      <c r="H46" s="373"/>
      <c r="I46" s="370"/>
      <c r="J46" s="369"/>
      <c r="K46" s="369"/>
      <c r="L46" s="372"/>
      <c r="M46" s="369"/>
      <c r="N46" s="369"/>
      <c r="O46" s="370"/>
      <c r="P46" s="369"/>
      <c r="Q46" s="369"/>
      <c r="R46" s="369"/>
      <c r="S46" s="369"/>
      <c r="T46" s="370"/>
      <c r="U46" s="369"/>
      <c r="V46" s="372"/>
      <c r="W46" s="372"/>
      <c r="X46" s="369"/>
      <c r="Y46" s="369"/>
      <c r="Z46" s="369"/>
      <c r="AA46" s="369"/>
      <c r="AB46" s="374"/>
      <c r="AC46" s="374"/>
      <c r="AD46" s="408"/>
      <c r="AE46" s="215"/>
      <c r="AF46" s="215"/>
      <c r="AG46" s="215"/>
      <c r="AH46" s="215"/>
      <c r="AI46" s="347"/>
      <c r="AJ46" s="347"/>
      <c r="AK46" s="347"/>
      <c r="AL46" s="347"/>
      <c r="AM46" s="347"/>
      <c r="AN46" s="347"/>
    </row>
    <row r="47" spans="1:40" s="348" customFormat="1" ht="20.100000000000001" customHeight="1">
      <c r="A47" s="425" t="s">
        <v>122</v>
      </c>
      <c r="B47" s="370"/>
      <c r="C47" s="371"/>
      <c r="D47" s="373"/>
      <c r="E47" s="372"/>
      <c r="F47" s="372"/>
      <c r="G47" s="370"/>
      <c r="H47" s="373"/>
      <c r="I47" s="370"/>
      <c r="J47" s="369"/>
      <c r="K47" s="369"/>
      <c r="L47" s="372"/>
      <c r="M47" s="369"/>
      <c r="N47" s="369"/>
      <c r="O47" s="370"/>
      <c r="P47" s="369"/>
      <c r="Q47" s="369"/>
      <c r="R47" s="369"/>
      <c r="S47" s="369"/>
      <c r="T47" s="370"/>
      <c r="U47" s="369"/>
      <c r="V47" s="372"/>
      <c r="W47" s="372"/>
      <c r="X47" s="369"/>
      <c r="Y47" s="369"/>
      <c r="Z47" s="369"/>
      <c r="AA47" s="369"/>
      <c r="AB47" s="374"/>
      <c r="AC47" s="374"/>
      <c r="AD47" s="408"/>
      <c r="AE47" s="215"/>
      <c r="AF47" s="215"/>
      <c r="AG47" s="215"/>
      <c r="AH47" s="215"/>
      <c r="AI47" s="347"/>
      <c r="AJ47" s="347"/>
      <c r="AK47" s="347"/>
      <c r="AL47" s="347"/>
      <c r="AM47" s="347"/>
      <c r="AN47" s="347"/>
    </row>
    <row r="48" spans="1:40" s="348" customFormat="1" ht="20.100000000000001" customHeight="1">
      <c r="A48" s="426" t="s">
        <v>203</v>
      </c>
      <c r="B48" s="426"/>
      <c r="C48" s="426"/>
      <c r="D48" s="426"/>
      <c r="E48" s="427">
        <f>SUM(E44:E47)</f>
        <v>0</v>
      </c>
      <c r="F48" s="427">
        <f>SUM(F44:F47)</f>
        <v>0</v>
      </c>
      <c r="G48" s="426"/>
      <c r="H48" s="426"/>
      <c r="I48" s="426"/>
      <c r="J48" s="426"/>
      <c r="K48" s="426"/>
      <c r="L48" s="427">
        <f>SUM(L44:L47)</f>
        <v>0</v>
      </c>
      <c r="M48" s="426"/>
      <c r="N48" s="426"/>
      <c r="O48" s="426"/>
      <c r="P48" s="426"/>
      <c r="Q48" s="427">
        <f>SUM(Q44:Q47)</f>
        <v>0</v>
      </c>
      <c r="R48" s="426"/>
      <c r="S48" s="426"/>
      <c r="T48" s="426"/>
      <c r="U48" s="426"/>
      <c r="V48" s="426"/>
      <c r="W48" s="427">
        <f>SUM(W44:W47)</f>
        <v>0</v>
      </c>
      <c r="X48" s="426"/>
      <c r="Y48" s="426"/>
      <c r="Z48" s="426"/>
      <c r="AA48" s="426"/>
      <c r="AB48" s="426"/>
      <c r="AC48" s="426"/>
      <c r="AD48" s="426"/>
      <c r="AE48" s="215"/>
      <c r="AF48" s="215"/>
      <c r="AG48" s="215"/>
      <c r="AH48" s="215"/>
      <c r="AI48" s="347"/>
      <c r="AJ48" s="347"/>
      <c r="AK48" s="347"/>
      <c r="AL48" s="347"/>
      <c r="AM48" s="347"/>
      <c r="AN48" s="347"/>
    </row>
    <row r="49" spans="1:31" s="157" customFormat="1" ht="20.100000000000001" customHeight="1">
      <c r="A49" s="214"/>
      <c r="B49" s="214"/>
      <c r="C49" s="214"/>
      <c r="D49" s="214"/>
      <c r="E49" s="155"/>
      <c r="F49" s="97"/>
      <c r="G49" s="97"/>
      <c r="H49" s="156"/>
      <c r="I49" s="215"/>
      <c r="J49" s="215"/>
      <c r="K49" s="155"/>
      <c r="L49" s="156"/>
      <c r="M49" s="215"/>
      <c r="N49" s="215"/>
      <c r="O49" s="215"/>
      <c r="P49" s="215"/>
      <c r="Q49" s="155"/>
      <c r="R49" s="215"/>
      <c r="S49" s="82"/>
      <c r="T49" s="82"/>
      <c r="U49" s="82"/>
      <c r="V49" s="82"/>
      <c r="W49" s="82"/>
      <c r="X49" s="82"/>
      <c r="AE49" s="418"/>
    </row>
    <row r="50" spans="1:31" ht="20.100000000000001" customHeight="1">
      <c r="A50" s="77" t="s">
        <v>153</v>
      </c>
      <c r="B50" s="78"/>
      <c r="C50" s="78"/>
      <c r="D50" s="78"/>
      <c r="E50" s="78"/>
      <c r="F50" s="78"/>
      <c r="G50" s="78"/>
      <c r="H50" s="78"/>
      <c r="I50" s="78"/>
      <c r="J50" s="78"/>
      <c r="K50" s="78"/>
      <c r="L50" s="78"/>
      <c r="M50" s="78"/>
      <c r="N50" s="78"/>
      <c r="O50" s="78"/>
      <c r="P50" s="78"/>
      <c r="Q50" s="78"/>
      <c r="R50" s="78"/>
    </row>
    <row r="51" spans="1:31" ht="20.100000000000001" customHeight="1">
      <c r="B51" s="17"/>
      <c r="C51" s="101"/>
      <c r="D51" s="101"/>
      <c r="E51" s="16"/>
      <c r="F51" s="16"/>
      <c r="G51" s="16"/>
      <c r="H51" s="102"/>
      <c r="I51" s="102"/>
      <c r="J51" s="102"/>
      <c r="T51" s="102"/>
      <c r="U51" s="102"/>
    </row>
    <row r="52" spans="1:31" ht="20.100000000000001" customHeight="1">
      <c r="B52" s="16"/>
      <c r="C52" s="103"/>
      <c r="D52" s="103"/>
      <c r="E52" s="103"/>
      <c r="F52" s="103"/>
      <c r="G52" s="103"/>
      <c r="H52" s="103"/>
      <c r="I52" s="103"/>
      <c r="J52" s="103"/>
    </row>
    <row r="53" spans="1:31" ht="20.100000000000001" customHeight="1">
      <c r="A53" s="77" t="s">
        <v>154</v>
      </c>
      <c r="B53" s="78"/>
      <c r="C53" s="78"/>
      <c r="D53" s="78"/>
      <c r="E53" s="78"/>
      <c r="F53" s="78"/>
      <c r="G53" s="78"/>
      <c r="H53" s="78"/>
      <c r="I53" s="78"/>
      <c r="J53" s="78"/>
      <c r="K53" s="78"/>
      <c r="L53" s="78"/>
      <c r="M53" s="78"/>
      <c r="N53" s="78"/>
      <c r="O53" s="78"/>
      <c r="P53" s="78"/>
      <c r="Q53" s="78"/>
      <c r="R53" s="78"/>
    </row>
    <row r="54" spans="1:31" ht="20.100000000000001" customHeight="1"/>
    <row r="55" spans="1:31" ht="20.100000000000001" customHeight="1"/>
    <row r="56" spans="1:31">
      <c r="A56" s="305" t="s">
        <v>330</v>
      </c>
    </row>
    <row r="57" spans="1:31">
      <c r="A57" s="106" t="s">
        <v>127</v>
      </c>
    </row>
    <row r="58" spans="1:31">
      <c r="A58" s="106" t="s">
        <v>128</v>
      </c>
    </row>
    <row r="59" spans="1:31">
      <c r="A59" s="106" t="s">
        <v>129</v>
      </c>
    </row>
    <row r="60" spans="1:31">
      <c r="A60" s="106"/>
    </row>
    <row r="61" spans="1:31">
      <c r="A61" s="105"/>
    </row>
    <row r="62" spans="1:31">
      <c r="A62" s="108"/>
    </row>
  </sheetData>
  <mergeCells count="27">
    <mergeCell ref="A1:R1"/>
    <mergeCell ref="A2:R2"/>
    <mergeCell ref="P15:P16"/>
    <mergeCell ref="A33:E33"/>
    <mergeCell ref="F33:H33"/>
    <mergeCell ref="I33:K33"/>
    <mergeCell ref="L33:L34"/>
    <mergeCell ref="M33:M34"/>
    <mergeCell ref="N33:N34"/>
    <mergeCell ref="A15:G15"/>
    <mergeCell ref="H24:J24"/>
    <mergeCell ref="K24:M24"/>
    <mergeCell ref="O24:O25"/>
    <mergeCell ref="H15:J15"/>
    <mergeCell ref="K15:M15"/>
    <mergeCell ref="N15:N16"/>
    <mergeCell ref="O15:O16"/>
    <mergeCell ref="A24:G24"/>
    <mergeCell ref="A42:F42"/>
    <mergeCell ref="G42:H42"/>
    <mergeCell ref="I42:L42"/>
    <mergeCell ref="O42:S42"/>
    <mergeCell ref="T42:Z42"/>
    <mergeCell ref="AA42:AB42"/>
    <mergeCell ref="AC42:AC43"/>
    <mergeCell ref="AD42:AD43"/>
    <mergeCell ref="P24:P25"/>
  </mergeCells>
  <phoneticPr fontId="5" type="noConversion"/>
  <hyperlinks>
    <hyperlink ref="Q3" location="底稿目录!A1" display="底稿目录!A1"/>
  </hyperlinks>
  <printOptions horizontalCentered="1"/>
  <pageMargins left="0.35433070866141736" right="0.31496062992125984" top="0.51181102362204722" bottom="0.47244094488188981" header="0.31496062992125984" footer="0.31496062992125984"/>
  <pageSetup paperSize="9" scale="46" fitToHeight="10" orientation="landscape" blackAndWhite="1" cellComments="atEnd" r:id="rId1"/>
  <headerFooter>
    <oddFooter>&amp;C&amp;P/&amp;N</oddFooter>
  </headerFooter>
  <rowBreaks count="1" manualBreakCount="1">
    <brk id="40" max="2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AT65"/>
  <sheetViews>
    <sheetView view="pageBreakPreview" zoomScaleNormal="115" zoomScaleSheetLayoutView="100" workbookViewId="0">
      <selection activeCell="B1" sqref="B1:T1"/>
    </sheetView>
  </sheetViews>
  <sheetFormatPr defaultColWidth="10" defaultRowHeight="15.6"/>
  <cols>
    <col min="1" max="1" width="8.5546875" style="100" customWidth="1"/>
    <col min="2" max="2" width="8.77734375" style="100" customWidth="1"/>
    <col min="3" max="3" width="9.88671875" style="100" customWidth="1"/>
    <col min="4" max="4" width="12.44140625" style="100" customWidth="1"/>
    <col min="5" max="5" width="10.6640625" style="100" customWidth="1"/>
    <col min="6" max="7" width="10.33203125" style="100" customWidth="1"/>
    <col min="8" max="8" width="10.77734375" style="100" customWidth="1"/>
    <col min="9" max="9" width="11.6640625" style="100" customWidth="1"/>
    <col min="10" max="10" width="10.6640625" style="100" customWidth="1"/>
    <col min="11" max="11" width="11.33203125" style="100" customWidth="1"/>
    <col min="12" max="12" width="10" style="100" customWidth="1"/>
    <col min="13" max="13" width="12.6640625" style="100" customWidth="1"/>
    <col min="14" max="14" width="10" style="100"/>
    <col min="15" max="15" width="9.33203125" style="100" customWidth="1"/>
    <col min="16" max="16" width="8.33203125" style="100" customWidth="1"/>
    <col min="17" max="17" width="10.109375" style="100" bestFit="1" customWidth="1"/>
    <col min="18" max="18" width="9.109375" style="100" customWidth="1"/>
    <col min="19" max="19" width="10.21875" style="100" customWidth="1"/>
    <col min="20" max="31" width="7.33203125" style="100" customWidth="1"/>
    <col min="32" max="32" width="7.6640625" style="100" customWidth="1"/>
    <col min="33" max="36" width="7.33203125" style="100" customWidth="1"/>
    <col min="37" max="37" width="8.88671875" style="100" bestFit="1" customWidth="1"/>
    <col min="38" max="38" width="10.21875" style="100" customWidth="1"/>
    <col min="39" max="39" width="6.6640625" style="100" customWidth="1"/>
    <col min="40" max="40" width="5.21875" style="100" bestFit="1" customWidth="1"/>
    <col min="41" max="41" width="9.6640625" style="100" customWidth="1"/>
    <col min="42" max="42" width="4" style="100" customWidth="1"/>
    <col min="43" max="16384" width="10" style="100"/>
  </cols>
  <sheetData>
    <row r="1" spans="1:46" s="76" customFormat="1" ht="20.100000000000001" customHeight="1">
      <c r="B1" s="526" t="s">
        <v>229</v>
      </c>
      <c r="C1" s="554"/>
      <c r="D1" s="554"/>
      <c r="E1" s="554"/>
      <c r="F1" s="554"/>
      <c r="G1" s="554"/>
      <c r="H1" s="554"/>
      <c r="I1" s="554"/>
      <c r="J1" s="554"/>
      <c r="K1" s="554"/>
      <c r="L1" s="554"/>
      <c r="M1" s="554"/>
      <c r="N1" s="554"/>
      <c r="O1" s="554"/>
      <c r="P1" s="554"/>
      <c r="Q1" s="554"/>
      <c r="R1" s="554"/>
      <c r="S1" s="554"/>
      <c r="T1" s="554"/>
      <c r="U1" s="333"/>
      <c r="V1" s="333"/>
      <c r="W1" s="333"/>
      <c r="X1" s="333"/>
      <c r="Y1" s="333"/>
      <c r="Z1" s="333"/>
      <c r="AA1" s="333"/>
      <c r="AB1" s="333"/>
      <c r="AC1" s="333"/>
      <c r="AD1" s="333"/>
      <c r="AE1" s="333"/>
      <c r="AF1" s="333"/>
      <c r="AG1" s="333"/>
      <c r="AH1" s="333"/>
      <c r="AI1" s="333"/>
      <c r="AJ1" s="333"/>
      <c r="AK1" s="16"/>
      <c r="AL1" s="16"/>
      <c r="AM1" s="16"/>
      <c r="AN1" s="16"/>
      <c r="AO1" s="16"/>
      <c r="AP1" s="74"/>
      <c r="AQ1" s="75"/>
      <c r="AR1" s="75"/>
      <c r="AS1" s="75"/>
      <c r="AT1" s="75"/>
    </row>
    <row r="2" spans="1:46" s="75" customFormat="1" ht="20.100000000000001" customHeight="1">
      <c r="B2" s="527" t="s">
        <v>525</v>
      </c>
      <c r="C2" s="527"/>
      <c r="D2" s="527"/>
      <c r="E2" s="527"/>
      <c r="F2" s="527"/>
      <c r="G2" s="527"/>
      <c r="H2" s="527"/>
      <c r="I2" s="527"/>
      <c r="J2" s="527"/>
      <c r="K2" s="527"/>
      <c r="L2" s="527"/>
      <c r="M2" s="527"/>
      <c r="N2" s="527"/>
      <c r="O2" s="527"/>
      <c r="P2" s="527"/>
      <c r="Q2" s="527"/>
      <c r="R2" s="527"/>
      <c r="S2" s="527"/>
      <c r="T2" s="527"/>
      <c r="U2" s="331"/>
      <c r="V2" s="331"/>
      <c r="W2" s="331"/>
      <c r="X2" s="331"/>
      <c r="Y2" s="331"/>
      <c r="Z2" s="331"/>
      <c r="AA2" s="331"/>
      <c r="AB2" s="331"/>
      <c r="AC2" s="331"/>
      <c r="AD2" s="331"/>
      <c r="AE2" s="331"/>
      <c r="AF2" s="331"/>
      <c r="AG2" s="331"/>
      <c r="AH2" s="331"/>
      <c r="AI2" s="331"/>
      <c r="AJ2" s="331"/>
      <c r="AK2" s="193"/>
      <c r="AL2" s="16"/>
      <c r="AM2" s="16"/>
      <c r="AN2" s="16"/>
      <c r="AO2" s="16"/>
      <c r="AP2" s="74"/>
    </row>
    <row r="3" spans="1:46" s="16" customFormat="1" ht="20.100000000000001" customHeight="1">
      <c r="A3" s="14" t="str">
        <f>底稿目录!A2</f>
        <v>被审计单位：</v>
      </c>
      <c r="B3" s="14"/>
      <c r="G3" s="14" t="str">
        <f>底稿目录!A4</f>
        <v>编制人：</v>
      </c>
      <c r="L3" s="14" t="str">
        <f>底稿目录!A5</f>
        <v>编制日期：</v>
      </c>
      <c r="S3" s="14" t="s">
        <v>224</v>
      </c>
      <c r="T3" s="327" t="s">
        <v>331</v>
      </c>
      <c r="U3" s="327"/>
      <c r="V3" s="327"/>
      <c r="W3" s="327"/>
      <c r="X3" s="327"/>
      <c r="Y3" s="327"/>
      <c r="Z3" s="327"/>
      <c r="AA3" s="327"/>
      <c r="AB3" s="327"/>
      <c r="AC3" s="327"/>
      <c r="AD3" s="327"/>
      <c r="AE3" s="327"/>
      <c r="AF3" s="327"/>
      <c r="AG3" s="327"/>
      <c r="AH3" s="327"/>
      <c r="AI3" s="327"/>
      <c r="AJ3" s="327"/>
      <c r="AM3" s="62"/>
    </row>
    <row r="4" spans="1:46" s="16" customFormat="1" ht="20.100000000000001" customHeight="1">
      <c r="A4" s="14" t="str">
        <f>底稿目录!A3</f>
        <v>截止日：202X年12月31日</v>
      </c>
      <c r="B4" s="18"/>
      <c r="G4" s="14" t="str">
        <f>底稿目录!A6</f>
        <v>复核人：</v>
      </c>
      <c r="L4" s="14" t="str">
        <f>底稿目录!A7</f>
        <v>复核日期：</v>
      </c>
      <c r="S4" s="14" t="s">
        <v>225</v>
      </c>
      <c r="AM4" s="62"/>
    </row>
    <row r="5" spans="1:46" s="16" customFormat="1" ht="20.100000000000001" customHeight="1">
      <c r="A5" s="163" t="s">
        <v>112</v>
      </c>
      <c r="B5" s="163"/>
      <c r="C5" s="163"/>
      <c r="D5" s="163"/>
      <c r="E5" s="163"/>
      <c r="G5" s="163"/>
      <c r="H5" s="163"/>
      <c r="I5" s="163"/>
      <c r="J5" s="163"/>
      <c r="L5" s="14"/>
      <c r="AM5" s="62"/>
    </row>
    <row r="6" spans="1:46" s="79" customFormat="1" ht="20.100000000000001" customHeight="1">
      <c r="A6" s="77" t="s">
        <v>155</v>
      </c>
      <c r="B6" s="78"/>
      <c r="C6" s="78"/>
      <c r="D6" s="78"/>
      <c r="E6" s="78"/>
      <c r="G6" s="78"/>
      <c r="H6" s="78"/>
      <c r="I6" s="78"/>
      <c r="J6" s="78"/>
      <c r="K6" s="78"/>
      <c r="L6" s="78"/>
    </row>
    <row r="7" spans="1:46" s="79" customFormat="1" ht="20.100000000000001" customHeight="1">
      <c r="A7" s="159" t="s">
        <v>156</v>
      </c>
      <c r="B7" s="160" t="s">
        <v>415</v>
      </c>
      <c r="C7" s="161"/>
      <c r="D7" s="159"/>
      <c r="E7" s="160"/>
      <c r="G7" s="161"/>
      <c r="I7" s="159"/>
      <c r="J7" s="159" t="s">
        <v>157</v>
      </c>
      <c r="K7" s="160" t="s">
        <v>313</v>
      </c>
      <c r="L7" s="160"/>
      <c r="M7" s="78"/>
      <c r="N7" s="80"/>
      <c r="O7" s="80"/>
      <c r="P7" s="80"/>
      <c r="Q7" s="80"/>
      <c r="R7" s="80"/>
      <c r="S7" s="80"/>
      <c r="T7" s="80"/>
      <c r="U7" s="80"/>
      <c r="V7" s="80"/>
      <c r="W7" s="80"/>
      <c r="X7" s="80"/>
      <c r="Y7" s="80"/>
      <c r="Z7" s="80"/>
      <c r="AA7" s="80"/>
      <c r="AB7" s="80"/>
      <c r="AC7" s="80"/>
      <c r="AD7" s="80"/>
      <c r="AE7" s="80"/>
      <c r="AF7" s="80"/>
      <c r="AG7" s="80"/>
      <c r="AH7" s="80"/>
      <c r="AI7" s="80"/>
      <c r="AJ7" s="80"/>
      <c r="AL7" s="81"/>
    </row>
    <row r="8" spans="1:46" s="79" customFormat="1" ht="20.100000000000001" customHeight="1">
      <c r="A8" s="159" t="s">
        <v>158</v>
      </c>
      <c r="B8" s="160" t="s">
        <v>310</v>
      </c>
      <c r="C8" s="161"/>
      <c r="D8" s="159"/>
      <c r="E8" s="160"/>
      <c r="G8" s="161"/>
      <c r="I8" s="159"/>
      <c r="J8" s="159" t="s">
        <v>283</v>
      </c>
      <c r="K8" s="160"/>
      <c r="L8" s="160" t="s">
        <v>314</v>
      </c>
      <c r="M8" s="160" t="s">
        <v>315</v>
      </c>
      <c r="N8" s="80"/>
      <c r="O8" s="80"/>
      <c r="P8" s="80"/>
      <c r="Q8" s="80"/>
      <c r="R8" s="80"/>
      <c r="S8" s="80"/>
      <c r="T8" s="80"/>
      <c r="U8" s="80"/>
      <c r="V8" s="80"/>
      <c r="W8" s="80"/>
      <c r="X8" s="80"/>
      <c r="Y8" s="80"/>
      <c r="Z8" s="80"/>
      <c r="AA8" s="80"/>
      <c r="AB8" s="80"/>
      <c r="AC8" s="80"/>
      <c r="AD8" s="80"/>
      <c r="AE8" s="80"/>
      <c r="AF8" s="80"/>
      <c r="AG8" s="80"/>
      <c r="AH8" s="80"/>
      <c r="AI8" s="80"/>
      <c r="AJ8" s="80"/>
      <c r="AL8" s="81"/>
    </row>
    <row r="9" spans="1:46" s="79" customFormat="1" ht="20.100000000000001" customHeight="1">
      <c r="A9" s="159" t="s">
        <v>311</v>
      </c>
      <c r="B9" s="160" t="s">
        <v>312</v>
      </c>
      <c r="C9" s="161"/>
      <c r="D9" s="159"/>
      <c r="E9" s="160"/>
      <c r="G9" s="161"/>
      <c r="H9" s="159"/>
      <c r="I9" s="159"/>
      <c r="J9" s="159" t="s">
        <v>160</v>
      </c>
      <c r="K9" s="160" t="s">
        <v>161</v>
      </c>
      <c r="L9" s="78"/>
      <c r="M9" s="78"/>
      <c r="N9" s="80"/>
      <c r="O9" s="80"/>
      <c r="P9" s="80"/>
      <c r="Q9" s="80"/>
      <c r="R9" s="80"/>
      <c r="S9" s="80"/>
      <c r="T9" s="80"/>
      <c r="U9" s="80"/>
      <c r="V9" s="80"/>
      <c r="W9" s="80"/>
      <c r="X9" s="80"/>
      <c r="Y9" s="80"/>
      <c r="Z9" s="80"/>
      <c r="AA9" s="80"/>
      <c r="AB9" s="80"/>
      <c r="AC9" s="80"/>
      <c r="AD9" s="80"/>
      <c r="AE9" s="80"/>
      <c r="AF9" s="80"/>
      <c r="AG9" s="80"/>
      <c r="AH9" s="80"/>
      <c r="AI9" s="80"/>
      <c r="AJ9" s="80"/>
      <c r="AL9" s="81"/>
    </row>
    <row r="10" spans="1:46" s="79" customFormat="1" ht="20.100000000000001" customHeight="1">
      <c r="A10" s="77" t="s">
        <v>162</v>
      </c>
      <c r="B10" s="78"/>
      <c r="C10" s="78"/>
      <c r="D10" s="78"/>
      <c r="E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row>
    <row r="11" spans="1:46" s="83" customFormat="1" ht="21.6">
      <c r="A11" s="117" t="s">
        <v>132</v>
      </c>
      <c r="B11" s="117" t="s">
        <v>114</v>
      </c>
      <c r="C11" s="118" t="s">
        <v>115</v>
      </c>
      <c r="D11" s="118" t="s">
        <v>116</v>
      </c>
      <c r="E11" s="118" t="s">
        <v>117</v>
      </c>
      <c r="H11" s="162"/>
      <c r="K11" s="120" t="s">
        <v>118</v>
      </c>
      <c r="L11" s="120" t="s">
        <v>119</v>
      </c>
      <c r="M11" s="158" t="s">
        <v>479</v>
      </c>
      <c r="N11" s="158" t="s">
        <v>480</v>
      </c>
      <c r="O11" s="84"/>
      <c r="P11" s="84"/>
      <c r="Q11" s="84"/>
      <c r="R11" s="84"/>
      <c r="S11" s="84"/>
      <c r="T11" s="84"/>
      <c r="U11" s="84"/>
      <c r="V11" s="84"/>
      <c r="W11" s="84"/>
      <c r="X11" s="84"/>
      <c r="Y11" s="84"/>
      <c r="Z11" s="84"/>
      <c r="AA11" s="84"/>
      <c r="AB11" s="84"/>
      <c r="AC11" s="84"/>
      <c r="AD11" s="84"/>
      <c r="AE11" s="84"/>
      <c r="AF11" s="84"/>
      <c r="AG11" s="84"/>
      <c r="AH11" s="84"/>
      <c r="AI11" s="84"/>
      <c r="AJ11" s="84"/>
      <c r="AK11" s="85"/>
      <c r="AL11" s="85"/>
      <c r="AM11" s="85"/>
      <c r="AN11" s="85"/>
      <c r="AO11" s="85"/>
      <c r="AP11" s="85"/>
    </row>
    <row r="12" spans="1:46" s="87" customFormat="1" ht="20.100000000000001" customHeight="1">
      <c r="A12" s="86" t="s">
        <v>413</v>
      </c>
      <c r="B12" s="88"/>
      <c r="C12" s="92"/>
      <c r="D12" s="92"/>
      <c r="E12" s="119">
        <f>B12+D12-C12</f>
        <v>0</v>
      </c>
      <c r="H12" s="162"/>
      <c r="K12" s="121" t="s">
        <v>414</v>
      </c>
      <c r="L12" s="88"/>
      <c r="M12" s="459" t="e">
        <f>F39/L12</f>
        <v>#DIV/0!</v>
      </c>
      <c r="N12" s="459" t="e">
        <f>F48/L12</f>
        <v>#DIV/0!</v>
      </c>
      <c r="O12" s="84"/>
      <c r="P12" s="84"/>
      <c r="Q12" s="84"/>
      <c r="R12" s="84"/>
      <c r="S12" s="84"/>
      <c r="T12" s="84"/>
      <c r="U12" s="84"/>
      <c r="V12" s="84"/>
      <c r="W12" s="84"/>
      <c r="X12" s="84"/>
      <c r="Y12" s="84"/>
      <c r="Z12" s="84"/>
      <c r="AA12" s="84"/>
      <c r="AB12" s="84"/>
      <c r="AC12" s="84"/>
      <c r="AD12" s="84"/>
      <c r="AE12" s="84"/>
      <c r="AF12" s="84"/>
      <c r="AG12" s="84"/>
      <c r="AH12" s="84"/>
      <c r="AI12" s="84"/>
      <c r="AJ12" s="84"/>
      <c r="AK12" s="85"/>
      <c r="AL12" s="85"/>
      <c r="AM12" s="85"/>
      <c r="AN12" s="85"/>
      <c r="AO12" s="85"/>
      <c r="AP12" s="85"/>
    </row>
    <row r="13" spans="1:46" s="79" customFormat="1" ht="20.100000000000001" customHeight="1">
      <c r="B13" s="147"/>
      <c r="C13" s="147"/>
      <c r="D13" s="147"/>
      <c r="E13" s="90"/>
      <c r="F13" s="90"/>
      <c r="G13" s="90"/>
      <c r="H13" s="90"/>
      <c r="I13" s="90"/>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82"/>
      <c r="AL13" s="82"/>
      <c r="AM13" s="82"/>
      <c r="AN13" s="82"/>
      <c r="AO13" s="82"/>
      <c r="AP13" s="82"/>
    </row>
    <row r="14" spans="1:46" s="79" customFormat="1" ht="20.100000000000001" customHeight="1">
      <c r="A14" s="557" t="s">
        <v>526</v>
      </c>
      <c r="B14" s="557"/>
      <c r="C14" s="557"/>
      <c r="D14" s="557"/>
      <c r="E14" s="557"/>
      <c r="F14" s="557"/>
      <c r="G14" s="557"/>
      <c r="H14" s="557"/>
      <c r="I14" s="557"/>
      <c r="J14" s="557"/>
      <c r="K14" s="557"/>
      <c r="L14" s="557"/>
      <c r="M14" s="557"/>
      <c r="N14" s="557"/>
      <c r="O14" s="557"/>
      <c r="P14" s="557"/>
      <c r="Q14" s="557"/>
      <c r="R14" s="557"/>
      <c r="S14" s="557"/>
      <c r="U14" s="339"/>
      <c r="V14" s="339"/>
      <c r="W14" s="339"/>
      <c r="X14" s="339"/>
      <c r="Y14" s="339"/>
      <c r="Z14" s="339"/>
      <c r="AA14" s="339"/>
      <c r="AB14" s="339"/>
      <c r="AC14" s="339"/>
      <c r="AD14" s="339"/>
      <c r="AE14" s="339"/>
      <c r="AF14" s="339"/>
      <c r="AG14" s="185" t="s">
        <v>193</v>
      </c>
      <c r="AH14" s="339"/>
      <c r="AI14" s="339"/>
      <c r="AJ14" s="339"/>
      <c r="AL14" s="82"/>
      <c r="AM14" s="82"/>
      <c r="AN14" s="82"/>
      <c r="AO14" s="82"/>
      <c r="AP14" s="82"/>
    </row>
    <row r="15" spans="1:46" s="348" customFormat="1" ht="20.100000000000001" customHeight="1">
      <c r="A15" s="553" t="s">
        <v>416</v>
      </c>
      <c r="B15" s="553"/>
      <c r="C15" s="553"/>
      <c r="D15" s="553"/>
      <c r="E15" s="553"/>
      <c r="F15" s="553"/>
      <c r="G15" s="553"/>
      <c r="H15" s="555" t="s">
        <v>440</v>
      </c>
      <c r="I15" s="555"/>
      <c r="J15" s="555" t="s">
        <v>417</v>
      </c>
      <c r="K15" s="555"/>
      <c r="L15" s="555"/>
      <c r="M15" s="555"/>
      <c r="N15" s="555"/>
      <c r="O15" s="555"/>
      <c r="P15" s="556" t="s">
        <v>418</v>
      </c>
      <c r="Q15" s="556"/>
      <c r="R15" s="556"/>
      <c r="S15" s="556"/>
      <c r="T15" s="556"/>
      <c r="U15" s="544" t="s">
        <v>419</v>
      </c>
      <c r="V15" s="544"/>
      <c r="W15" s="544"/>
      <c r="X15" s="544"/>
      <c r="Y15" s="544"/>
      <c r="Z15" s="352"/>
      <c r="AA15" s="550" t="s">
        <v>420</v>
      </c>
      <c r="AB15" s="550"/>
      <c r="AC15" s="550"/>
      <c r="AD15" s="550" t="s">
        <v>122</v>
      </c>
      <c r="AE15" s="544" t="s">
        <v>421</v>
      </c>
      <c r="AF15" s="544" t="s">
        <v>422</v>
      </c>
      <c r="AG15" s="306" t="s">
        <v>333</v>
      </c>
      <c r="AH15" s="339"/>
      <c r="AI15" s="339"/>
      <c r="AJ15" s="339"/>
      <c r="AK15" s="346"/>
      <c r="AL15" s="347"/>
      <c r="AM15" s="347"/>
      <c r="AN15" s="347"/>
      <c r="AO15" s="347"/>
      <c r="AP15" s="347"/>
    </row>
    <row r="16" spans="1:46" s="348" customFormat="1" ht="20.100000000000001" customHeight="1">
      <c r="A16" s="349" t="s">
        <v>449</v>
      </c>
      <c r="B16" s="349" t="s">
        <v>120</v>
      </c>
      <c r="C16" s="349" t="s">
        <v>143</v>
      </c>
      <c r="D16" s="349" t="s">
        <v>142</v>
      </c>
      <c r="E16" s="349" t="s">
        <v>202</v>
      </c>
      <c r="F16" s="349" t="s">
        <v>423</v>
      </c>
      <c r="G16" s="350" t="s">
        <v>424</v>
      </c>
      <c r="H16" s="350" t="s">
        <v>120</v>
      </c>
      <c r="I16" s="350" t="s">
        <v>425</v>
      </c>
      <c r="J16" s="350" t="s">
        <v>120</v>
      </c>
      <c r="K16" s="350" t="s">
        <v>426</v>
      </c>
      <c r="L16" s="351" t="s">
        <v>427</v>
      </c>
      <c r="M16" s="351" t="s">
        <v>428</v>
      </c>
      <c r="N16" s="364" t="s">
        <v>429</v>
      </c>
      <c r="O16" s="364" t="s">
        <v>430</v>
      </c>
      <c r="P16" s="364" t="s">
        <v>120</v>
      </c>
      <c r="Q16" s="364" t="s">
        <v>426</v>
      </c>
      <c r="R16" s="364" t="s">
        <v>431</v>
      </c>
      <c r="S16" s="364" t="s">
        <v>432</v>
      </c>
      <c r="T16" s="364" t="s">
        <v>433</v>
      </c>
      <c r="U16" s="352" t="s">
        <v>120</v>
      </c>
      <c r="V16" s="352" t="s">
        <v>428</v>
      </c>
      <c r="W16" s="352" t="s">
        <v>434</v>
      </c>
      <c r="X16" s="364" t="s">
        <v>435</v>
      </c>
      <c r="Y16" s="364" t="s">
        <v>436</v>
      </c>
      <c r="Z16" s="364" t="s">
        <v>437</v>
      </c>
      <c r="AA16" s="353" t="s">
        <v>120</v>
      </c>
      <c r="AB16" s="353" t="s">
        <v>438</v>
      </c>
      <c r="AC16" s="353" t="s">
        <v>121</v>
      </c>
      <c r="AD16" s="545"/>
      <c r="AE16" s="545"/>
      <c r="AF16" s="545"/>
      <c r="AG16" s="339"/>
      <c r="AH16" s="339"/>
      <c r="AI16" s="339"/>
      <c r="AJ16" s="339"/>
      <c r="AK16" s="346"/>
      <c r="AL16" s="347"/>
      <c r="AM16" s="347"/>
      <c r="AN16" s="347"/>
      <c r="AO16" s="347"/>
      <c r="AP16" s="347"/>
    </row>
    <row r="17" spans="1:42" s="348" customFormat="1" ht="20.100000000000001" customHeight="1">
      <c r="A17" s="428">
        <v>1</v>
      </c>
      <c r="B17" s="354"/>
      <c r="C17" s="355"/>
      <c r="D17" s="355"/>
      <c r="E17" s="355"/>
      <c r="F17" s="355"/>
      <c r="G17" s="356"/>
      <c r="H17" s="354"/>
      <c r="I17" s="355"/>
      <c r="J17" s="354"/>
      <c r="K17" s="355"/>
      <c r="L17" s="355"/>
      <c r="M17" s="356"/>
      <c r="N17" s="355"/>
      <c r="O17" s="355"/>
      <c r="P17" s="355"/>
      <c r="Q17" s="355"/>
      <c r="R17" s="357"/>
      <c r="S17" s="355"/>
      <c r="T17" s="355"/>
      <c r="U17" s="354"/>
      <c r="V17" s="356"/>
      <c r="W17" s="356"/>
      <c r="X17" s="358"/>
      <c r="Y17" s="355"/>
      <c r="Z17" s="355"/>
      <c r="AA17" s="354"/>
      <c r="AB17" s="355"/>
      <c r="AC17" s="357"/>
      <c r="AD17" s="355"/>
      <c r="AE17" s="358"/>
      <c r="AF17" s="355"/>
      <c r="AG17" s="339"/>
      <c r="AH17" s="339"/>
      <c r="AI17" s="339"/>
      <c r="AJ17" s="339"/>
      <c r="AK17" s="346"/>
      <c r="AL17" s="347"/>
      <c r="AM17" s="347"/>
      <c r="AN17" s="347"/>
      <c r="AO17" s="347"/>
      <c r="AP17" s="347"/>
    </row>
    <row r="18" spans="1:42" s="348" customFormat="1" ht="20.100000000000001" customHeight="1">
      <c r="A18" s="428">
        <v>2</v>
      </c>
      <c r="B18" s="355"/>
      <c r="C18" s="355"/>
      <c r="D18" s="355"/>
      <c r="E18" s="355"/>
      <c r="F18" s="355"/>
      <c r="G18" s="356"/>
      <c r="H18" s="354"/>
      <c r="I18" s="355"/>
      <c r="J18" s="354"/>
      <c r="K18" s="355"/>
      <c r="L18" s="355"/>
      <c r="M18" s="356"/>
      <c r="N18" s="355"/>
      <c r="O18" s="355"/>
      <c r="P18" s="355"/>
      <c r="Q18" s="355"/>
      <c r="R18" s="357"/>
      <c r="S18" s="355"/>
      <c r="T18" s="355"/>
      <c r="U18" s="354"/>
      <c r="V18" s="356"/>
      <c r="W18" s="356"/>
      <c r="X18" s="358"/>
      <c r="Y18" s="355"/>
      <c r="Z18" s="355"/>
      <c r="AA18" s="354"/>
      <c r="AB18" s="355"/>
      <c r="AC18" s="357"/>
      <c r="AD18" s="355"/>
      <c r="AE18" s="358"/>
      <c r="AF18" s="355"/>
      <c r="AG18" s="339"/>
      <c r="AH18" s="339"/>
      <c r="AI18" s="339"/>
      <c r="AJ18" s="339"/>
      <c r="AK18" s="346"/>
      <c r="AL18" s="347"/>
      <c r="AM18" s="347"/>
      <c r="AN18" s="347"/>
      <c r="AO18" s="347"/>
      <c r="AP18" s="347"/>
    </row>
    <row r="19" spans="1:42" s="348" customFormat="1" ht="20.100000000000001" customHeight="1">
      <c r="A19" s="428">
        <v>3</v>
      </c>
      <c r="B19" s="355"/>
      <c r="C19" s="355"/>
      <c r="D19" s="355"/>
      <c r="E19" s="355"/>
      <c r="F19" s="355"/>
      <c r="G19" s="356"/>
      <c r="H19" s="354"/>
      <c r="I19" s="355"/>
      <c r="J19" s="354"/>
      <c r="K19" s="355"/>
      <c r="L19" s="355"/>
      <c r="M19" s="356"/>
      <c r="N19" s="355"/>
      <c r="O19" s="355"/>
      <c r="P19" s="355"/>
      <c r="Q19" s="355"/>
      <c r="R19" s="357"/>
      <c r="S19" s="355"/>
      <c r="T19" s="355"/>
      <c r="U19" s="354"/>
      <c r="V19" s="356"/>
      <c r="W19" s="356"/>
      <c r="X19" s="358"/>
      <c r="Y19" s="355"/>
      <c r="Z19" s="355"/>
      <c r="AA19" s="354"/>
      <c r="AB19" s="355"/>
      <c r="AC19" s="357"/>
      <c r="AD19" s="355"/>
      <c r="AE19" s="358"/>
      <c r="AF19" s="355"/>
      <c r="AG19" s="339"/>
      <c r="AH19" s="339"/>
      <c r="AI19" s="339"/>
      <c r="AJ19" s="339"/>
      <c r="AK19" s="346"/>
      <c r="AL19" s="347"/>
      <c r="AM19" s="347"/>
      <c r="AN19" s="347"/>
      <c r="AO19" s="347"/>
      <c r="AP19" s="347"/>
    </row>
    <row r="20" spans="1:42" s="348" customFormat="1" ht="20.100000000000001" customHeight="1">
      <c r="A20" s="425" t="s">
        <v>122</v>
      </c>
      <c r="B20" s="355"/>
      <c r="C20" s="355"/>
      <c r="D20" s="355"/>
      <c r="E20" s="355"/>
      <c r="F20" s="355"/>
      <c r="G20" s="356"/>
      <c r="H20" s="354"/>
      <c r="I20" s="355"/>
      <c r="J20" s="354"/>
      <c r="K20" s="355"/>
      <c r="L20" s="355"/>
      <c r="M20" s="356"/>
      <c r="N20" s="355"/>
      <c r="O20" s="355"/>
      <c r="P20" s="355"/>
      <c r="Q20" s="355"/>
      <c r="R20" s="357"/>
      <c r="S20" s="355"/>
      <c r="T20" s="355"/>
      <c r="U20" s="354"/>
      <c r="V20" s="356"/>
      <c r="W20" s="356"/>
      <c r="X20" s="358"/>
      <c r="Y20" s="355"/>
      <c r="Z20" s="355"/>
      <c r="AA20" s="354"/>
      <c r="AB20" s="355"/>
      <c r="AC20" s="357"/>
      <c r="AD20" s="355"/>
      <c r="AE20" s="358"/>
      <c r="AF20" s="355"/>
      <c r="AG20" s="339"/>
      <c r="AH20" s="339"/>
      <c r="AI20" s="339"/>
      <c r="AJ20" s="339"/>
      <c r="AK20" s="346"/>
      <c r="AL20" s="347"/>
      <c r="AM20" s="347"/>
      <c r="AN20" s="347"/>
      <c r="AO20" s="347"/>
      <c r="AP20" s="347"/>
    </row>
    <row r="21" spans="1:42" s="348" customFormat="1" ht="20.100000000000001" customHeight="1">
      <c r="A21" s="349" t="s">
        <v>439</v>
      </c>
      <c r="B21" s="359"/>
      <c r="C21" s="359"/>
      <c r="D21" s="359"/>
      <c r="E21" s="359"/>
      <c r="F21" s="359"/>
      <c r="G21" s="360">
        <f>SUM(G17:G20)</f>
        <v>0</v>
      </c>
      <c r="H21" s="361"/>
      <c r="I21" s="359"/>
      <c r="J21" s="361"/>
      <c r="K21" s="359"/>
      <c r="L21" s="359"/>
      <c r="M21" s="360">
        <f>SUM(M17:M20)</f>
        <v>0</v>
      </c>
      <c r="N21" s="359"/>
      <c r="O21" s="359"/>
      <c r="P21" s="359"/>
      <c r="Q21" s="359"/>
      <c r="R21" s="360">
        <f>SUM(R17:R20)</f>
        <v>0</v>
      </c>
      <c r="S21" s="359"/>
      <c r="T21" s="359"/>
      <c r="U21" s="361"/>
      <c r="V21" s="360">
        <f>SUM(V17:V20)</f>
        <v>0</v>
      </c>
      <c r="W21" s="360">
        <f>SUM(W17:W20)</f>
        <v>0</v>
      </c>
      <c r="X21" s="362"/>
      <c r="Y21" s="359"/>
      <c r="Z21" s="359"/>
      <c r="AA21" s="361"/>
      <c r="AB21" s="359"/>
      <c r="AC21" s="360">
        <f>SUM(AC17:AC20)</f>
        <v>0</v>
      </c>
      <c r="AD21" s="359"/>
      <c r="AE21" s="359"/>
      <c r="AF21" s="359"/>
      <c r="AG21" s="339"/>
      <c r="AH21" s="339"/>
      <c r="AI21" s="339"/>
      <c r="AJ21" s="339"/>
      <c r="AK21" s="346"/>
      <c r="AL21" s="347"/>
      <c r="AM21" s="347"/>
      <c r="AN21" s="347"/>
      <c r="AO21" s="347"/>
      <c r="AP21" s="347"/>
    </row>
    <row r="22" spans="1:42" s="79" customFormat="1" ht="20.100000000000001" customHeight="1">
      <c r="A22" s="429"/>
      <c r="B22" s="552"/>
      <c r="C22" s="552"/>
      <c r="D22" s="552"/>
      <c r="E22" s="552"/>
      <c r="F22" s="552"/>
      <c r="G22" s="552"/>
      <c r="H22" s="552"/>
      <c r="I22" s="552"/>
      <c r="J22" s="552"/>
      <c r="K22" s="552"/>
      <c r="L22" s="552"/>
      <c r="M22" s="552"/>
      <c r="N22" s="552"/>
      <c r="O22" s="552"/>
      <c r="P22" s="552"/>
      <c r="Q22" s="552"/>
      <c r="R22" s="552"/>
      <c r="S22" s="552"/>
      <c r="T22" s="552"/>
      <c r="U22" s="332"/>
      <c r="V22" s="332"/>
      <c r="W22" s="332"/>
      <c r="X22" s="332"/>
      <c r="Y22" s="332"/>
      <c r="Z22" s="332"/>
      <c r="AA22" s="332"/>
      <c r="AB22" s="332"/>
      <c r="AC22" s="332"/>
      <c r="AD22" s="332"/>
      <c r="AE22" s="332"/>
      <c r="AF22" s="332"/>
      <c r="AG22" s="332"/>
      <c r="AH22" s="332"/>
      <c r="AI22" s="332"/>
      <c r="AJ22" s="332"/>
      <c r="AK22" s="82"/>
      <c r="AL22" s="82"/>
      <c r="AM22" s="82"/>
      <c r="AN22" s="82"/>
      <c r="AO22" s="82"/>
      <c r="AP22" s="82"/>
    </row>
    <row r="23" spans="1:42" s="79" customFormat="1" ht="20.100000000000001" customHeight="1">
      <c r="A23" s="94" t="s">
        <v>441</v>
      </c>
      <c r="C23" s="89"/>
      <c r="D23" s="89"/>
      <c r="E23" s="90"/>
      <c r="F23" s="90"/>
      <c r="G23" s="90"/>
      <c r="H23" s="90"/>
      <c r="I23" s="90"/>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82"/>
      <c r="AL23" s="82"/>
      <c r="AM23" s="82"/>
      <c r="AN23" s="82"/>
      <c r="AO23" s="82"/>
      <c r="AP23" s="82"/>
    </row>
    <row r="24" spans="1:42" s="79" customFormat="1" ht="20.100000000000001" customHeight="1">
      <c r="A24" s="553" t="s">
        <v>416</v>
      </c>
      <c r="B24" s="553"/>
      <c r="C24" s="553"/>
      <c r="D24" s="553"/>
      <c r="E24" s="553"/>
      <c r="F24" s="553"/>
      <c r="G24" s="553"/>
      <c r="H24" s="544" t="s">
        <v>442</v>
      </c>
      <c r="I24" s="544"/>
      <c r="J24" s="544"/>
      <c r="K24" s="544"/>
      <c r="L24" s="558" t="s">
        <v>443</v>
      </c>
      <c r="M24" s="558"/>
      <c r="N24" s="558"/>
      <c r="O24" s="558"/>
      <c r="P24" s="558" t="s">
        <v>122</v>
      </c>
      <c r="Q24" s="558"/>
      <c r="R24" s="558"/>
      <c r="S24" s="558"/>
      <c r="T24" s="544" t="s">
        <v>421</v>
      </c>
      <c r="U24" s="544" t="s">
        <v>422</v>
      </c>
      <c r="V24" s="91"/>
      <c r="W24" s="91"/>
      <c r="X24" s="91"/>
      <c r="Y24" s="91"/>
      <c r="Z24" s="91"/>
      <c r="AA24" s="91"/>
      <c r="AB24" s="91"/>
      <c r="AC24" s="91"/>
      <c r="AD24" s="91"/>
      <c r="AE24" s="91"/>
      <c r="AF24" s="91"/>
      <c r="AG24" s="306" t="s">
        <v>332</v>
      </c>
      <c r="AH24" s="91"/>
      <c r="AI24" s="91"/>
      <c r="AJ24" s="91"/>
      <c r="AK24" s="82"/>
      <c r="AL24" s="82"/>
      <c r="AM24" s="82"/>
      <c r="AN24" s="82"/>
      <c r="AO24" s="82"/>
      <c r="AP24" s="82"/>
    </row>
    <row r="25" spans="1:42" s="79" customFormat="1" ht="20.100000000000001" customHeight="1">
      <c r="A25" s="349" t="s">
        <v>449</v>
      </c>
      <c r="B25" s="349" t="s">
        <v>120</v>
      </c>
      <c r="C25" s="349" t="s">
        <v>475</v>
      </c>
      <c r="D25" s="349" t="s">
        <v>142</v>
      </c>
      <c r="E25" s="349" t="s">
        <v>202</v>
      </c>
      <c r="F25" s="349" t="s">
        <v>423</v>
      </c>
      <c r="G25" s="350" t="s">
        <v>444</v>
      </c>
      <c r="H25" s="363" t="s">
        <v>120</v>
      </c>
      <c r="I25" s="363" t="s">
        <v>445</v>
      </c>
      <c r="J25" s="363" t="s">
        <v>446</v>
      </c>
      <c r="K25" s="352" t="s">
        <v>121</v>
      </c>
      <c r="L25" s="352" t="s">
        <v>120</v>
      </c>
      <c r="M25" s="364" t="s">
        <v>447</v>
      </c>
      <c r="N25" s="364" t="s">
        <v>448</v>
      </c>
      <c r="O25" s="364" t="s">
        <v>121</v>
      </c>
      <c r="P25" s="364" t="s">
        <v>122</v>
      </c>
      <c r="Q25" s="364" t="s">
        <v>122</v>
      </c>
      <c r="R25" s="364" t="s">
        <v>122</v>
      </c>
      <c r="S25" s="364" t="s">
        <v>122</v>
      </c>
      <c r="T25" s="545"/>
      <c r="U25" s="545"/>
      <c r="V25" s="91"/>
      <c r="W25" s="91"/>
      <c r="X25" s="91"/>
      <c r="Y25" s="91"/>
      <c r="Z25" s="91"/>
      <c r="AA25" s="91"/>
      <c r="AB25" s="91"/>
      <c r="AC25" s="91"/>
      <c r="AD25" s="91"/>
      <c r="AE25" s="91"/>
      <c r="AF25" s="91"/>
      <c r="AG25" s="91"/>
      <c r="AH25" s="91"/>
      <c r="AI25" s="91"/>
      <c r="AJ25" s="91"/>
      <c r="AK25" s="82"/>
      <c r="AL25" s="82"/>
      <c r="AM25" s="82"/>
      <c r="AN25" s="82"/>
      <c r="AO25" s="82"/>
      <c r="AP25" s="82"/>
    </row>
    <row r="26" spans="1:42" s="79" customFormat="1" ht="20.100000000000001" customHeight="1">
      <c r="A26" s="428">
        <v>1</v>
      </c>
      <c r="B26" s="354"/>
      <c r="C26" s="355"/>
      <c r="D26" s="355"/>
      <c r="E26" s="355"/>
      <c r="F26" s="355"/>
      <c r="G26" s="356"/>
      <c r="H26" s="354"/>
      <c r="I26" s="355"/>
      <c r="J26" s="355"/>
      <c r="K26" s="356"/>
      <c r="L26" s="355"/>
      <c r="M26" s="354"/>
      <c r="N26" s="355"/>
      <c r="O26" s="355"/>
      <c r="P26" s="356"/>
      <c r="Q26" s="355"/>
      <c r="R26" s="355"/>
      <c r="S26" s="355"/>
      <c r="T26" s="355"/>
      <c r="U26" s="365"/>
      <c r="V26" s="91"/>
      <c r="W26" s="91"/>
      <c r="X26" s="91"/>
      <c r="Y26" s="91"/>
      <c r="Z26" s="91"/>
      <c r="AA26" s="91"/>
      <c r="AB26" s="91"/>
      <c r="AC26" s="91"/>
      <c r="AD26" s="91"/>
      <c r="AE26" s="91"/>
      <c r="AF26" s="91"/>
      <c r="AG26" s="91"/>
      <c r="AH26" s="91"/>
      <c r="AI26" s="91"/>
      <c r="AJ26" s="91"/>
      <c r="AK26" s="82"/>
      <c r="AL26" s="82"/>
      <c r="AM26" s="82"/>
      <c r="AN26" s="82"/>
      <c r="AO26" s="82"/>
      <c r="AP26" s="82"/>
    </row>
    <row r="27" spans="1:42" s="79" customFormat="1" ht="20.100000000000001" customHeight="1">
      <c r="A27" s="430">
        <v>2</v>
      </c>
      <c r="B27" s="354"/>
      <c r="C27" s="355"/>
      <c r="D27" s="355"/>
      <c r="E27" s="355"/>
      <c r="F27" s="355"/>
      <c r="G27" s="356"/>
      <c r="H27" s="354"/>
      <c r="I27" s="355"/>
      <c r="J27" s="355"/>
      <c r="K27" s="356"/>
      <c r="L27" s="355"/>
      <c r="M27" s="354"/>
      <c r="N27" s="355"/>
      <c r="O27" s="355"/>
      <c r="P27" s="356"/>
      <c r="Q27" s="355"/>
      <c r="R27" s="355"/>
      <c r="S27" s="355"/>
      <c r="T27" s="355"/>
      <c r="U27" s="365"/>
      <c r="V27" s="91"/>
      <c r="W27" s="91"/>
      <c r="X27" s="91"/>
      <c r="Y27" s="91"/>
      <c r="Z27" s="91"/>
      <c r="AA27" s="91"/>
      <c r="AB27" s="91"/>
      <c r="AC27" s="91"/>
      <c r="AD27" s="91"/>
      <c r="AE27" s="91"/>
      <c r="AF27" s="91"/>
      <c r="AG27" s="91"/>
      <c r="AH27" s="91"/>
      <c r="AI27" s="91"/>
      <c r="AJ27" s="91"/>
      <c r="AK27" s="82"/>
      <c r="AL27" s="82"/>
      <c r="AM27" s="82"/>
      <c r="AN27" s="82"/>
      <c r="AO27" s="82"/>
      <c r="AP27" s="82"/>
    </row>
    <row r="28" spans="1:42" s="79" customFormat="1" ht="20.100000000000001" customHeight="1">
      <c r="A28" s="430">
        <v>3</v>
      </c>
      <c r="B28" s="354"/>
      <c r="C28" s="355"/>
      <c r="D28" s="355"/>
      <c r="E28" s="355"/>
      <c r="F28" s="355"/>
      <c r="G28" s="356"/>
      <c r="H28" s="354"/>
      <c r="I28" s="355"/>
      <c r="J28" s="355"/>
      <c r="K28" s="356"/>
      <c r="L28" s="355"/>
      <c r="M28" s="354"/>
      <c r="N28" s="355"/>
      <c r="O28" s="355"/>
      <c r="P28" s="356"/>
      <c r="Q28" s="355"/>
      <c r="R28" s="355"/>
      <c r="S28" s="355"/>
      <c r="T28" s="355"/>
      <c r="U28" s="365"/>
      <c r="V28" s="91"/>
      <c r="W28" s="91"/>
      <c r="X28" s="91"/>
      <c r="Y28" s="91"/>
      <c r="Z28" s="91"/>
      <c r="AA28" s="91"/>
      <c r="AB28" s="91"/>
      <c r="AC28" s="91"/>
      <c r="AD28" s="91"/>
      <c r="AE28" s="91"/>
      <c r="AF28" s="91"/>
      <c r="AG28" s="91"/>
      <c r="AH28" s="91"/>
      <c r="AI28" s="91"/>
      <c r="AJ28" s="91"/>
      <c r="AK28" s="82"/>
      <c r="AL28" s="82"/>
      <c r="AM28" s="82"/>
      <c r="AN28" s="82"/>
      <c r="AO28" s="82"/>
      <c r="AP28" s="82"/>
    </row>
    <row r="29" spans="1:42" s="79" customFormat="1" ht="20.100000000000001" customHeight="1">
      <c r="A29" s="425" t="s">
        <v>122</v>
      </c>
      <c r="B29" s="354"/>
      <c r="C29" s="355"/>
      <c r="D29" s="355"/>
      <c r="E29" s="355"/>
      <c r="F29" s="355"/>
      <c r="G29" s="356"/>
      <c r="H29" s="354"/>
      <c r="I29" s="355"/>
      <c r="J29" s="355"/>
      <c r="K29" s="356"/>
      <c r="L29" s="355"/>
      <c r="M29" s="354"/>
      <c r="N29" s="355"/>
      <c r="O29" s="355"/>
      <c r="P29" s="356"/>
      <c r="Q29" s="355"/>
      <c r="R29" s="355"/>
      <c r="S29" s="355"/>
      <c r="T29" s="355"/>
      <c r="U29" s="365"/>
      <c r="V29" s="91"/>
      <c r="W29" s="91"/>
      <c r="X29" s="91"/>
      <c r="Y29" s="91"/>
      <c r="Z29" s="91"/>
      <c r="AA29" s="91"/>
      <c r="AB29" s="91"/>
      <c r="AC29" s="91"/>
      <c r="AD29" s="91"/>
      <c r="AE29" s="91"/>
      <c r="AF29" s="91"/>
      <c r="AG29" s="91"/>
      <c r="AH29" s="91"/>
      <c r="AI29" s="91"/>
      <c r="AJ29" s="91"/>
      <c r="AK29" s="82"/>
      <c r="AL29" s="82"/>
      <c r="AM29" s="82"/>
      <c r="AN29" s="82"/>
      <c r="AO29" s="82"/>
      <c r="AP29" s="82"/>
    </row>
    <row r="30" spans="1:42" s="79" customFormat="1" ht="20.100000000000001" customHeight="1">
      <c r="A30" s="349" t="s">
        <v>439</v>
      </c>
      <c r="B30" s="359"/>
      <c r="C30" s="359"/>
      <c r="D30" s="359"/>
      <c r="E30" s="359"/>
      <c r="F30" s="359"/>
      <c r="G30" s="360">
        <f>SUM(G26:G29)</f>
        <v>0</v>
      </c>
      <c r="H30" s="359"/>
      <c r="I30" s="359"/>
      <c r="J30" s="359"/>
      <c r="K30" s="360">
        <f>SUM(K26:K29)</f>
        <v>0</v>
      </c>
      <c r="L30" s="359"/>
      <c r="M30" s="359"/>
      <c r="N30" s="359"/>
      <c r="O30" s="359"/>
      <c r="P30" s="360">
        <f>SUM(P26:P29)</f>
        <v>0</v>
      </c>
      <c r="Q30" s="359"/>
      <c r="R30" s="359"/>
      <c r="S30" s="359"/>
      <c r="T30" s="359"/>
      <c r="U30" s="359"/>
      <c r="V30" s="91"/>
      <c r="W30" s="91"/>
      <c r="X30" s="91"/>
      <c r="Y30" s="91"/>
      <c r="Z30" s="91"/>
      <c r="AA30" s="91"/>
      <c r="AB30" s="91"/>
      <c r="AC30" s="91"/>
      <c r="AD30" s="91"/>
      <c r="AE30" s="91"/>
      <c r="AF30" s="91"/>
      <c r="AG30" s="91"/>
      <c r="AH30" s="91"/>
      <c r="AI30" s="91"/>
      <c r="AJ30" s="91"/>
      <c r="AK30" s="82"/>
      <c r="AL30" s="82"/>
      <c r="AM30" s="82"/>
      <c r="AN30" s="82"/>
      <c r="AO30" s="82"/>
      <c r="AP30" s="82"/>
    </row>
    <row r="31" spans="1:42" s="79" customFormat="1" ht="20.100000000000001" customHeight="1">
      <c r="B31" s="95"/>
      <c r="C31" s="96"/>
      <c r="D31" s="96"/>
      <c r="E31" s="96"/>
      <c r="F31" s="96"/>
      <c r="G31" s="97"/>
      <c r="H31" s="97"/>
      <c r="I31" s="97"/>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82"/>
      <c r="AL31" s="82"/>
      <c r="AM31" s="82"/>
      <c r="AN31" s="82"/>
      <c r="AO31" s="82"/>
      <c r="AP31" s="82"/>
    </row>
    <row r="32" spans="1:42" s="79" customFormat="1" ht="20.100000000000001" customHeight="1">
      <c r="A32" s="98" t="s">
        <v>517</v>
      </c>
      <c r="C32" s="96"/>
      <c r="D32" s="96"/>
      <c r="E32" s="96"/>
      <c r="F32" s="96"/>
      <c r="G32" s="97"/>
      <c r="H32" s="97"/>
      <c r="I32" s="97"/>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82"/>
      <c r="AL32" s="82"/>
      <c r="AM32" s="82"/>
      <c r="AN32" s="82"/>
      <c r="AO32" s="82"/>
      <c r="AP32" s="82"/>
    </row>
    <row r="33" spans="1:42" s="348" customFormat="1" ht="20.100000000000001" customHeight="1">
      <c r="A33" s="518" t="s">
        <v>451</v>
      </c>
      <c r="B33" s="518"/>
      <c r="C33" s="518"/>
      <c r="D33" s="518"/>
      <c r="E33" s="518"/>
      <c r="F33" s="518"/>
      <c r="G33" s="518" t="s">
        <v>452</v>
      </c>
      <c r="H33" s="518"/>
      <c r="I33" s="518" t="s">
        <v>453</v>
      </c>
      <c r="J33" s="518"/>
      <c r="K33" s="518"/>
      <c r="L33" s="518"/>
      <c r="M33" s="367"/>
      <c r="N33" s="367"/>
      <c r="O33" s="519" t="s">
        <v>454</v>
      </c>
      <c r="P33" s="519"/>
      <c r="Q33" s="519"/>
      <c r="R33" s="519"/>
      <c r="S33" s="519"/>
      <c r="T33" s="518" t="s">
        <v>455</v>
      </c>
      <c r="U33" s="518"/>
      <c r="V33" s="518"/>
      <c r="W33" s="518"/>
      <c r="X33" s="518"/>
      <c r="Y33" s="518"/>
      <c r="Z33" s="518"/>
      <c r="AA33" s="519" t="s">
        <v>122</v>
      </c>
      <c r="AB33" s="519"/>
      <c r="AC33" s="519" t="s">
        <v>456</v>
      </c>
      <c r="AD33" s="518" t="s">
        <v>457</v>
      </c>
      <c r="AF33" s="215"/>
      <c r="AG33" s="186" t="s">
        <v>163</v>
      </c>
      <c r="AH33" s="215"/>
      <c r="AI33" s="347"/>
      <c r="AJ33" s="347"/>
      <c r="AK33" s="347"/>
      <c r="AL33" s="347"/>
      <c r="AM33" s="347"/>
      <c r="AN33" s="347"/>
    </row>
    <row r="34" spans="1:42" s="348" customFormat="1" ht="20.100000000000001" customHeight="1">
      <c r="A34" s="367" t="s">
        <v>458</v>
      </c>
      <c r="B34" s="367" t="s">
        <v>459</v>
      </c>
      <c r="C34" s="350" t="s">
        <v>476</v>
      </c>
      <c r="D34" s="367" t="s">
        <v>461</v>
      </c>
      <c r="E34" s="367" t="s">
        <v>462</v>
      </c>
      <c r="F34" s="367" t="s">
        <v>463</v>
      </c>
      <c r="G34" s="367" t="s">
        <v>459</v>
      </c>
      <c r="H34" s="367" t="s">
        <v>464</v>
      </c>
      <c r="I34" s="367" t="s">
        <v>459</v>
      </c>
      <c r="J34" s="367" t="s">
        <v>460</v>
      </c>
      <c r="K34" s="367" t="s">
        <v>461</v>
      </c>
      <c r="L34" s="367" t="s">
        <v>462</v>
      </c>
      <c r="M34" s="368" t="s">
        <v>465</v>
      </c>
      <c r="N34" s="368" t="s">
        <v>466</v>
      </c>
      <c r="O34" s="368" t="s">
        <v>467</v>
      </c>
      <c r="P34" s="368" t="s">
        <v>468</v>
      </c>
      <c r="Q34" s="368" t="s">
        <v>469</v>
      </c>
      <c r="R34" s="368" t="s">
        <v>470</v>
      </c>
      <c r="S34" s="368" t="s">
        <v>471</v>
      </c>
      <c r="T34" s="367" t="s">
        <v>459</v>
      </c>
      <c r="U34" s="367" t="s">
        <v>461</v>
      </c>
      <c r="V34" s="367" t="s">
        <v>462</v>
      </c>
      <c r="W34" s="367" t="s">
        <v>463</v>
      </c>
      <c r="X34" s="367" t="s">
        <v>472</v>
      </c>
      <c r="Y34" s="367" t="s">
        <v>473</v>
      </c>
      <c r="Z34" s="367" t="s">
        <v>474</v>
      </c>
      <c r="AA34" s="368" t="s">
        <v>122</v>
      </c>
      <c r="AB34" s="368" t="s">
        <v>122</v>
      </c>
      <c r="AC34" s="519"/>
      <c r="AD34" s="518"/>
      <c r="AE34" s="215"/>
      <c r="AF34" s="215"/>
      <c r="AG34" s="215"/>
      <c r="AH34" s="215"/>
      <c r="AI34" s="347"/>
      <c r="AJ34" s="347"/>
      <c r="AK34" s="347"/>
      <c r="AL34" s="347"/>
      <c r="AM34" s="347"/>
      <c r="AN34" s="347"/>
    </row>
    <row r="35" spans="1:42" s="348" customFormat="1" ht="20.100000000000001" customHeight="1">
      <c r="A35" s="369">
        <v>1</v>
      </c>
      <c r="B35" s="370"/>
      <c r="C35" s="371"/>
      <c r="D35" s="408"/>
      <c r="E35" s="372"/>
      <c r="F35" s="372"/>
      <c r="G35" s="370"/>
      <c r="H35" s="373"/>
      <c r="I35" s="370"/>
      <c r="J35" s="369"/>
      <c r="K35" s="369"/>
      <c r="L35" s="372"/>
      <c r="M35" s="369"/>
      <c r="N35" s="369"/>
      <c r="O35" s="370"/>
      <c r="P35" s="369"/>
      <c r="Q35" s="369"/>
      <c r="R35" s="369"/>
      <c r="S35" s="369"/>
      <c r="T35" s="370"/>
      <c r="U35" s="369"/>
      <c r="V35" s="372"/>
      <c r="W35" s="372"/>
      <c r="X35" s="369"/>
      <c r="Y35" s="369"/>
      <c r="Z35" s="369"/>
      <c r="AA35" s="369"/>
      <c r="AB35" s="374"/>
      <c r="AC35" s="374"/>
      <c r="AD35" s="408"/>
      <c r="AE35" s="215"/>
      <c r="AF35" s="215"/>
      <c r="AG35" s="215"/>
      <c r="AH35" s="215"/>
      <c r="AI35" s="347"/>
      <c r="AJ35" s="347"/>
      <c r="AK35" s="347"/>
      <c r="AL35" s="347"/>
      <c r="AM35" s="347"/>
      <c r="AN35" s="347"/>
    </row>
    <row r="36" spans="1:42" s="348" customFormat="1" ht="20.100000000000001" customHeight="1">
      <c r="A36" s="369">
        <v>2</v>
      </c>
      <c r="B36" s="370"/>
      <c r="C36" s="371"/>
      <c r="D36" s="373"/>
      <c r="E36" s="372"/>
      <c r="F36" s="372"/>
      <c r="G36" s="370"/>
      <c r="H36" s="373"/>
      <c r="I36" s="370"/>
      <c r="J36" s="369"/>
      <c r="K36" s="369"/>
      <c r="L36" s="372"/>
      <c r="M36" s="369"/>
      <c r="N36" s="369"/>
      <c r="O36" s="370"/>
      <c r="P36" s="369"/>
      <c r="Q36" s="369"/>
      <c r="R36" s="369"/>
      <c r="S36" s="369"/>
      <c r="T36" s="370"/>
      <c r="U36" s="369"/>
      <c r="V36" s="372"/>
      <c r="W36" s="372"/>
      <c r="X36" s="369"/>
      <c r="Y36" s="369"/>
      <c r="Z36" s="369"/>
      <c r="AA36" s="369"/>
      <c r="AB36" s="374"/>
      <c r="AC36" s="374"/>
      <c r="AD36" s="408"/>
      <c r="AE36" s="215"/>
      <c r="AF36" s="215"/>
      <c r="AG36" s="215"/>
      <c r="AH36" s="215"/>
      <c r="AI36" s="347"/>
      <c r="AJ36" s="347"/>
      <c r="AK36" s="347"/>
      <c r="AL36" s="347"/>
      <c r="AM36" s="347"/>
      <c r="AN36" s="347"/>
    </row>
    <row r="37" spans="1:42" s="348" customFormat="1" ht="20.100000000000001" customHeight="1">
      <c r="A37" s="369">
        <v>3</v>
      </c>
      <c r="B37" s="370"/>
      <c r="C37" s="371"/>
      <c r="D37" s="373"/>
      <c r="E37" s="372"/>
      <c r="F37" s="372"/>
      <c r="G37" s="370"/>
      <c r="H37" s="373"/>
      <c r="I37" s="370"/>
      <c r="J37" s="369"/>
      <c r="K37" s="369"/>
      <c r="L37" s="372"/>
      <c r="M37" s="369"/>
      <c r="N37" s="369"/>
      <c r="O37" s="370"/>
      <c r="P37" s="369"/>
      <c r="Q37" s="369"/>
      <c r="R37" s="369"/>
      <c r="S37" s="369"/>
      <c r="T37" s="370"/>
      <c r="U37" s="369"/>
      <c r="V37" s="372"/>
      <c r="W37" s="372"/>
      <c r="X37" s="369"/>
      <c r="Y37" s="369"/>
      <c r="Z37" s="369"/>
      <c r="AA37" s="369"/>
      <c r="AB37" s="374"/>
      <c r="AC37" s="374"/>
      <c r="AD37" s="408"/>
      <c r="AE37" s="215"/>
      <c r="AF37" s="215"/>
      <c r="AG37" s="215"/>
      <c r="AH37" s="215"/>
      <c r="AI37" s="347"/>
      <c r="AJ37" s="347"/>
      <c r="AK37" s="347"/>
      <c r="AL37" s="347"/>
      <c r="AM37" s="347"/>
      <c r="AN37" s="347"/>
    </row>
    <row r="38" spans="1:42" s="348" customFormat="1" ht="20.100000000000001" customHeight="1">
      <c r="A38" s="425" t="s">
        <v>122</v>
      </c>
      <c r="B38" s="370"/>
      <c r="C38" s="371"/>
      <c r="D38" s="373"/>
      <c r="E38" s="372"/>
      <c r="F38" s="372"/>
      <c r="G38" s="370"/>
      <c r="H38" s="373"/>
      <c r="I38" s="370"/>
      <c r="J38" s="369"/>
      <c r="K38" s="369"/>
      <c r="L38" s="372"/>
      <c r="M38" s="369"/>
      <c r="N38" s="369"/>
      <c r="O38" s="370"/>
      <c r="P38" s="369"/>
      <c r="Q38" s="369"/>
      <c r="R38" s="369"/>
      <c r="S38" s="369"/>
      <c r="T38" s="370"/>
      <c r="U38" s="369"/>
      <c r="V38" s="372"/>
      <c r="W38" s="372"/>
      <c r="X38" s="369"/>
      <c r="Y38" s="369"/>
      <c r="Z38" s="369"/>
      <c r="AA38" s="369"/>
      <c r="AB38" s="374"/>
      <c r="AC38" s="374"/>
      <c r="AD38" s="408"/>
      <c r="AE38" s="215"/>
      <c r="AF38" s="215"/>
      <c r="AG38" s="215"/>
      <c r="AH38" s="215"/>
      <c r="AI38" s="347"/>
      <c r="AJ38" s="347"/>
      <c r="AK38" s="347"/>
      <c r="AL38" s="347"/>
      <c r="AM38" s="347"/>
      <c r="AN38" s="347"/>
    </row>
    <row r="39" spans="1:42" s="348" customFormat="1" ht="20.100000000000001" customHeight="1">
      <c r="A39" s="426" t="s">
        <v>203</v>
      </c>
      <c r="B39" s="426"/>
      <c r="C39" s="426"/>
      <c r="D39" s="426"/>
      <c r="E39" s="427">
        <f>SUM(E35:E38)</f>
        <v>0</v>
      </c>
      <c r="F39" s="427">
        <f>SUM(F35:F38)</f>
        <v>0</v>
      </c>
      <c r="G39" s="426"/>
      <c r="H39" s="426"/>
      <c r="I39" s="426"/>
      <c r="J39" s="426"/>
      <c r="K39" s="426"/>
      <c r="L39" s="427">
        <f>SUM(L35:L38)</f>
        <v>0</v>
      </c>
      <c r="M39" s="426"/>
      <c r="N39" s="426"/>
      <c r="O39" s="426"/>
      <c r="P39" s="426"/>
      <c r="Q39" s="427">
        <f>SUM(Q35:Q38)</f>
        <v>0</v>
      </c>
      <c r="R39" s="426"/>
      <c r="S39" s="426"/>
      <c r="T39" s="426"/>
      <c r="U39" s="426"/>
      <c r="V39" s="426"/>
      <c r="W39" s="427">
        <f>SUM(W35:W38)</f>
        <v>0</v>
      </c>
      <c r="X39" s="426"/>
      <c r="Y39" s="426"/>
      <c r="Z39" s="426"/>
      <c r="AA39" s="426"/>
      <c r="AB39" s="426"/>
      <c r="AC39" s="426"/>
      <c r="AD39" s="426"/>
      <c r="AE39" s="215"/>
      <c r="AF39" s="215"/>
      <c r="AG39" s="215"/>
      <c r="AH39" s="215"/>
      <c r="AI39" s="347"/>
      <c r="AJ39" s="347"/>
      <c r="AK39" s="347"/>
      <c r="AL39" s="347"/>
      <c r="AM39" s="347"/>
      <c r="AN39" s="347"/>
    </row>
    <row r="40" spans="1:42" s="79" customFormat="1" ht="20.100000000000001" customHeight="1">
      <c r="B40" s="95"/>
      <c r="C40" s="96"/>
      <c r="D40" s="96"/>
      <c r="E40" s="96"/>
      <c r="F40" s="96"/>
      <c r="G40" s="97"/>
      <c r="H40" s="97"/>
      <c r="I40" s="97"/>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82"/>
      <c r="AL40" s="82"/>
      <c r="AM40" s="82"/>
      <c r="AN40" s="82"/>
      <c r="AO40" s="82"/>
      <c r="AP40" s="82"/>
    </row>
    <row r="41" spans="1:42" s="366" customFormat="1" ht="20.100000000000001" customHeight="1">
      <c r="A41" s="375" t="s">
        <v>484</v>
      </c>
      <c r="B41" s="376"/>
      <c r="C41" s="376"/>
      <c r="D41" s="376"/>
      <c r="E41" s="376"/>
      <c r="F41" s="377"/>
      <c r="G41" s="377"/>
      <c r="H41" s="377"/>
      <c r="I41" s="378"/>
      <c r="J41" s="378"/>
      <c r="K41" s="378"/>
      <c r="L41" s="378"/>
      <c r="M41" s="378"/>
      <c r="N41" s="378"/>
      <c r="O41" s="378"/>
      <c r="P41" s="378"/>
      <c r="Q41" s="378"/>
      <c r="R41" s="378"/>
      <c r="S41" s="378"/>
      <c r="T41" s="379"/>
      <c r="U41" s="379"/>
      <c r="V41" s="379"/>
      <c r="W41" s="379"/>
      <c r="X41" s="379"/>
      <c r="Y41" s="379"/>
    </row>
    <row r="42" spans="1:42" s="366" customFormat="1" ht="20.100000000000001" customHeight="1">
      <c r="A42" s="551" t="s">
        <v>416</v>
      </c>
      <c r="B42" s="551"/>
      <c r="C42" s="551"/>
      <c r="D42" s="551"/>
      <c r="E42" s="551"/>
      <c r="F42" s="551"/>
      <c r="G42" s="546" t="s">
        <v>442</v>
      </c>
      <c r="H42" s="546"/>
      <c r="I42" s="546"/>
      <c r="J42" s="547" t="s">
        <v>486</v>
      </c>
      <c r="K42" s="547"/>
      <c r="L42" s="547"/>
      <c r="M42" s="548" t="s">
        <v>122</v>
      </c>
      <c r="N42" s="549" t="s">
        <v>421</v>
      </c>
      <c r="O42" s="549" t="s">
        <v>422</v>
      </c>
      <c r="P42" s="383"/>
      <c r="Q42" s="384"/>
      <c r="S42" s="379"/>
      <c r="T42" s="379"/>
      <c r="U42" s="379"/>
      <c r="V42" s="379"/>
      <c r="W42" s="379"/>
      <c r="AG42" s="385" t="s">
        <v>481</v>
      </c>
    </row>
    <row r="43" spans="1:42" s="366" customFormat="1" ht="20.100000000000001" customHeight="1">
      <c r="A43" s="380" t="s">
        <v>16</v>
      </c>
      <c r="B43" s="380" t="s">
        <v>120</v>
      </c>
      <c r="C43" s="380" t="s">
        <v>143</v>
      </c>
      <c r="D43" s="380" t="s">
        <v>142</v>
      </c>
      <c r="E43" s="380" t="s">
        <v>202</v>
      </c>
      <c r="F43" s="380" t="s">
        <v>121</v>
      </c>
      <c r="G43" s="386" t="s">
        <v>120</v>
      </c>
      <c r="H43" s="386" t="s">
        <v>519</v>
      </c>
      <c r="I43" s="386" t="s">
        <v>121</v>
      </c>
      <c r="J43" s="387" t="s">
        <v>482</v>
      </c>
      <c r="K43" s="387" t="s">
        <v>483</v>
      </c>
      <c r="L43" s="387" t="s">
        <v>121</v>
      </c>
      <c r="M43" s="548"/>
      <c r="N43" s="549"/>
      <c r="O43" s="549"/>
      <c r="P43" s="383"/>
      <c r="Q43" s="384"/>
      <c r="R43" s="379"/>
      <c r="S43" s="379"/>
      <c r="T43" s="379"/>
      <c r="U43" s="379"/>
      <c r="V43" s="379"/>
      <c r="W43" s="379"/>
    </row>
    <row r="44" spans="1:42" s="366" customFormat="1" ht="20.100000000000001" customHeight="1">
      <c r="A44" s="388">
        <v>1</v>
      </c>
      <c r="B44" s="389"/>
      <c r="C44" s="388"/>
      <c r="D44" s="390"/>
      <c r="E44" s="390"/>
      <c r="F44" s="391"/>
      <c r="G44" s="389"/>
      <c r="H44" s="392"/>
      <c r="I44" s="393"/>
      <c r="J44" s="365"/>
      <c r="K44" s="392"/>
      <c r="L44" s="393"/>
      <c r="M44" s="392"/>
      <c r="N44" s="365"/>
      <c r="O44" s="392"/>
      <c r="P44" s="394"/>
      <c r="Q44" s="394"/>
      <c r="R44" s="379"/>
      <c r="S44" s="379"/>
      <c r="T44" s="379"/>
      <c r="U44" s="379"/>
      <c r="V44" s="379"/>
      <c r="W44" s="379"/>
    </row>
    <row r="45" spans="1:42" s="366" customFormat="1" ht="20.100000000000001" customHeight="1">
      <c r="A45" s="388">
        <v>2</v>
      </c>
      <c r="B45" s="389"/>
      <c r="C45" s="388"/>
      <c r="D45" s="388"/>
      <c r="E45" s="388"/>
      <c r="F45" s="391"/>
      <c r="G45" s="389"/>
      <c r="H45" s="365"/>
      <c r="I45" s="393"/>
      <c r="J45" s="365"/>
      <c r="K45" s="365"/>
      <c r="L45" s="393"/>
      <c r="M45" s="365"/>
      <c r="N45" s="365"/>
      <c r="O45" s="365"/>
      <c r="P45" s="394"/>
      <c r="Q45" s="394"/>
      <c r="R45" s="379"/>
      <c r="S45" s="379"/>
      <c r="T45" s="379"/>
      <c r="U45" s="379"/>
      <c r="V45" s="379"/>
      <c r="W45" s="379"/>
    </row>
    <row r="46" spans="1:42" s="366" customFormat="1" ht="20.100000000000001" customHeight="1">
      <c r="A46" s="388">
        <v>3</v>
      </c>
      <c r="B46" s="389"/>
      <c r="C46" s="388"/>
      <c r="D46" s="388"/>
      <c r="E46" s="388"/>
      <c r="F46" s="391"/>
      <c r="G46" s="389"/>
      <c r="H46" s="365"/>
      <c r="I46" s="393"/>
      <c r="J46" s="365"/>
      <c r="K46" s="365"/>
      <c r="L46" s="393"/>
      <c r="M46" s="365"/>
      <c r="N46" s="365"/>
      <c r="O46" s="365"/>
      <c r="P46" s="394"/>
      <c r="Q46" s="394"/>
      <c r="R46" s="379"/>
      <c r="S46" s="379"/>
      <c r="T46" s="379"/>
      <c r="U46" s="379"/>
      <c r="V46" s="379"/>
      <c r="W46" s="379"/>
    </row>
    <row r="47" spans="1:42" s="366" customFormat="1" ht="20.100000000000001" customHeight="1">
      <c r="A47" s="395" t="s">
        <v>122</v>
      </c>
      <c r="B47" s="389"/>
      <c r="C47" s="388"/>
      <c r="D47" s="388"/>
      <c r="E47" s="388"/>
      <c r="F47" s="391"/>
      <c r="G47" s="389"/>
      <c r="H47" s="365"/>
      <c r="I47" s="393"/>
      <c r="J47" s="365"/>
      <c r="K47" s="365"/>
      <c r="L47" s="393"/>
      <c r="M47" s="365"/>
      <c r="N47" s="365"/>
      <c r="O47" s="365"/>
      <c r="P47" s="394"/>
      <c r="Q47" s="394"/>
      <c r="R47" s="379"/>
      <c r="S47" s="379"/>
      <c r="T47" s="379"/>
      <c r="U47" s="379"/>
      <c r="V47" s="379"/>
      <c r="W47" s="379"/>
    </row>
    <row r="48" spans="1:42" s="396" customFormat="1" ht="20.100000000000001" customHeight="1">
      <c r="A48" s="382" t="s">
        <v>439</v>
      </c>
      <c r="B48" s="397"/>
      <c r="C48" s="397"/>
      <c r="D48" s="397"/>
      <c r="E48" s="397"/>
      <c r="F48" s="398">
        <f>SUM(F44:F47)</f>
        <v>0</v>
      </c>
      <c r="G48" s="399"/>
      <c r="H48" s="399"/>
      <c r="I48" s="400">
        <f>SUM(I44:I47)</f>
        <v>0</v>
      </c>
      <c r="J48" s="399"/>
      <c r="K48" s="399"/>
      <c r="L48" s="400">
        <f>SUM(L44:L47)</f>
        <v>0</v>
      </c>
      <c r="M48" s="399"/>
      <c r="N48" s="399"/>
      <c r="O48" s="399"/>
      <c r="P48" s="401"/>
      <c r="Q48" s="401"/>
      <c r="R48" s="402"/>
      <c r="S48" s="402"/>
      <c r="T48" s="402"/>
      <c r="U48" s="402"/>
      <c r="V48" s="402"/>
      <c r="W48" s="402"/>
    </row>
    <row r="49" spans="1:42" s="79" customFormat="1" ht="20.100000000000001" customHeight="1">
      <c r="B49" s="95"/>
      <c r="C49" s="96"/>
      <c r="D49" s="96"/>
      <c r="E49" s="96"/>
      <c r="F49" s="96"/>
      <c r="G49" s="97"/>
      <c r="H49" s="97"/>
      <c r="I49" s="97"/>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3"/>
      <c r="AJ49" s="93"/>
      <c r="AK49" s="82"/>
      <c r="AL49" s="82"/>
      <c r="AM49" s="82"/>
      <c r="AN49" s="82"/>
      <c r="AO49" s="82"/>
      <c r="AP49" s="82"/>
    </row>
    <row r="50" spans="1:42" ht="20.100000000000001" customHeight="1">
      <c r="A50" s="77" t="s">
        <v>124</v>
      </c>
      <c r="C50" s="78"/>
      <c r="D50" s="78"/>
      <c r="E50" s="78"/>
      <c r="F50" s="78"/>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row>
    <row r="51" spans="1:42" ht="20.100000000000001" customHeight="1">
      <c r="C51" s="17"/>
      <c r="D51" s="17"/>
      <c r="E51" s="101"/>
      <c r="F51" s="101"/>
      <c r="G51" s="16"/>
      <c r="H51" s="16"/>
      <c r="I51" s="16"/>
      <c r="J51" s="102"/>
      <c r="K51" s="102"/>
      <c r="L51" s="102"/>
      <c r="AL51" s="102"/>
      <c r="AM51" s="102"/>
    </row>
    <row r="52" spans="1:42" ht="20.100000000000001" customHeight="1">
      <c r="C52" s="16"/>
      <c r="D52" s="16"/>
      <c r="E52" s="103"/>
      <c r="F52" s="103"/>
      <c r="G52" s="103"/>
      <c r="H52" s="103"/>
      <c r="I52" s="103"/>
      <c r="J52" s="103"/>
      <c r="K52" s="103"/>
      <c r="L52" s="103"/>
    </row>
    <row r="53" spans="1:42" ht="20.100000000000001" customHeight="1">
      <c r="A53" s="77" t="s">
        <v>125</v>
      </c>
      <c r="C53" s="78"/>
      <c r="D53" s="78"/>
      <c r="E53" s="78"/>
      <c r="F53" s="78"/>
      <c r="G53" s="78"/>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row>
    <row r="54" spans="1:42" ht="20.100000000000001" customHeight="1"/>
    <row r="55" spans="1:42" ht="20.100000000000001" customHeight="1"/>
    <row r="58" spans="1:42">
      <c r="B58" s="104" t="s">
        <v>24</v>
      </c>
      <c r="C58" s="16"/>
    </row>
    <row r="59" spans="1:42">
      <c r="B59" s="105" t="s">
        <v>126</v>
      </c>
      <c r="C59" s="105"/>
    </row>
    <row r="60" spans="1:42">
      <c r="B60" s="16"/>
      <c r="C60" s="106" t="s">
        <v>450</v>
      </c>
    </row>
    <row r="61" spans="1:42">
      <c r="B61" s="16"/>
      <c r="C61" s="106" t="s">
        <v>128</v>
      </c>
    </row>
    <row r="62" spans="1:42">
      <c r="B62" s="16"/>
      <c r="C62" s="106" t="s">
        <v>129</v>
      </c>
    </row>
    <row r="63" spans="1:42">
      <c r="B63" s="16"/>
      <c r="C63" s="106"/>
    </row>
    <row r="64" spans="1:42">
      <c r="B64" s="108" t="s">
        <v>130</v>
      </c>
      <c r="C64" s="105"/>
    </row>
    <row r="65" spans="2:3">
      <c r="B65" s="107" t="s">
        <v>131</v>
      </c>
      <c r="C65" s="108"/>
    </row>
  </sheetData>
  <mergeCells count="33">
    <mergeCell ref="A42:F42"/>
    <mergeCell ref="B22:T22"/>
    <mergeCell ref="A24:G24"/>
    <mergeCell ref="B1:T1"/>
    <mergeCell ref="B2:T2"/>
    <mergeCell ref="H15:I15"/>
    <mergeCell ref="J15:O15"/>
    <mergeCell ref="P15:T15"/>
    <mergeCell ref="A14:S14"/>
    <mergeCell ref="A15:G15"/>
    <mergeCell ref="A33:F33"/>
    <mergeCell ref="H24:K24"/>
    <mergeCell ref="L24:O24"/>
    <mergeCell ref="P24:S24"/>
    <mergeCell ref="U15:Y15"/>
    <mergeCell ref="AA15:AC15"/>
    <mergeCell ref="AD15:AD16"/>
    <mergeCell ref="AE15:AE16"/>
    <mergeCell ref="AF15:AF16"/>
    <mergeCell ref="U24:U25"/>
    <mergeCell ref="T24:T25"/>
    <mergeCell ref="G42:I42"/>
    <mergeCell ref="J42:L42"/>
    <mergeCell ref="M42:M43"/>
    <mergeCell ref="N42:N43"/>
    <mergeCell ref="O42:O43"/>
    <mergeCell ref="AD33:AD34"/>
    <mergeCell ref="G33:H33"/>
    <mergeCell ref="I33:L33"/>
    <mergeCell ref="O33:S33"/>
    <mergeCell ref="T33:Z33"/>
    <mergeCell ref="AA33:AB33"/>
    <mergeCell ref="AC33:AC34"/>
  </mergeCells>
  <phoneticPr fontId="9" type="noConversion"/>
  <hyperlinks>
    <hyperlink ref="T3" location="底稿目录!A1" display="F0-6"/>
  </hyperlinks>
  <printOptions horizontalCentered="1"/>
  <pageMargins left="0.35433070866141736" right="0.31496062992125984" top="0.51181102362204722" bottom="0.47244094488188981" header="0.31496062992125984" footer="0.31496062992125984"/>
  <pageSetup paperSize="9" scale="45" fitToHeight="10" orientation="landscape" blackAndWhite="1" cellComments="atEnd" r:id="rId1"/>
  <headerFooter>
    <oddFooter>&amp;C&amp;P/&amp;N</oddFooter>
  </headerFooter>
  <rowBreaks count="1" manualBreakCount="1">
    <brk id="30" max="31" man="1"/>
  </row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T40"/>
  <sheetViews>
    <sheetView view="pageBreakPreview" zoomScaleSheetLayoutView="100" workbookViewId="0">
      <selection activeCell="O18" sqref="O18"/>
    </sheetView>
  </sheetViews>
  <sheetFormatPr defaultRowHeight="15.6"/>
  <cols>
    <col min="1" max="1" width="8.6640625" style="69" customWidth="1"/>
    <col min="2" max="2" width="10.33203125" style="69" customWidth="1"/>
    <col min="3" max="3" width="23.88671875" style="69" customWidth="1"/>
    <col min="4" max="4" width="10.77734375" style="69" customWidth="1"/>
    <col min="5" max="5" width="10" style="69" customWidth="1"/>
    <col min="6" max="6" width="7.21875" style="69" customWidth="1"/>
    <col min="7" max="7" width="17.33203125" style="69" customWidth="1"/>
    <col min="8" max="8" width="15.77734375" style="69" customWidth="1"/>
    <col min="9" max="9" width="16.33203125" style="69" customWidth="1"/>
    <col min="10" max="10" width="15.77734375" style="69" customWidth="1"/>
    <col min="11" max="11" width="14.88671875" style="69" customWidth="1"/>
    <col min="12" max="12" width="9.6640625" style="69" customWidth="1"/>
    <col min="13" max="13" width="11.21875" style="69" customWidth="1"/>
    <col min="14" max="14" width="10.6640625" style="69" customWidth="1"/>
    <col min="15" max="258" width="8.88671875" style="69"/>
    <col min="259" max="259" width="8.6640625" style="69" customWidth="1"/>
    <col min="260" max="260" width="15.33203125" style="69" customWidth="1"/>
    <col min="261" max="261" width="18.6640625" style="69" customWidth="1"/>
    <col min="262" max="262" width="8.88671875" style="69" customWidth="1"/>
    <col min="263" max="263" width="10" style="69" customWidth="1"/>
    <col min="264" max="265" width="11.77734375" style="69" customWidth="1"/>
    <col min="266" max="266" width="22.33203125" style="69" customWidth="1"/>
    <col min="267" max="268" width="13.6640625" style="69" customWidth="1"/>
    <col min="269" max="269" width="12" style="69" customWidth="1"/>
    <col min="270" max="270" width="19.109375" style="69" customWidth="1"/>
    <col min="271" max="514" width="8.88671875" style="69"/>
    <col min="515" max="515" width="8.6640625" style="69" customWidth="1"/>
    <col min="516" max="516" width="15.33203125" style="69" customWidth="1"/>
    <col min="517" max="517" width="18.6640625" style="69" customWidth="1"/>
    <col min="518" max="518" width="8.88671875" style="69" customWidth="1"/>
    <col min="519" max="519" width="10" style="69" customWidth="1"/>
    <col min="520" max="521" width="11.77734375" style="69" customWidth="1"/>
    <col min="522" max="522" width="22.33203125" style="69" customWidth="1"/>
    <col min="523" max="524" width="13.6640625" style="69" customWidth="1"/>
    <col min="525" max="525" width="12" style="69" customWidth="1"/>
    <col min="526" max="526" width="19.109375" style="69" customWidth="1"/>
    <col min="527" max="770" width="8.88671875" style="69"/>
    <col min="771" max="771" width="8.6640625" style="69" customWidth="1"/>
    <col min="772" max="772" width="15.33203125" style="69" customWidth="1"/>
    <col min="773" max="773" width="18.6640625" style="69" customWidth="1"/>
    <col min="774" max="774" width="8.88671875" style="69" customWidth="1"/>
    <col min="775" max="775" width="10" style="69" customWidth="1"/>
    <col min="776" max="777" width="11.77734375" style="69" customWidth="1"/>
    <col min="778" max="778" width="22.33203125" style="69" customWidth="1"/>
    <col min="779" max="780" width="13.6640625" style="69" customWidth="1"/>
    <col min="781" max="781" width="12" style="69" customWidth="1"/>
    <col min="782" max="782" width="19.109375" style="69" customWidth="1"/>
    <col min="783" max="1026" width="8.88671875" style="69"/>
    <col min="1027" max="1027" width="8.6640625" style="69" customWidth="1"/>
    <col min="1028" max="1028" width="15.33203125" style="69" customWidth="1"/>
    <col min="1029" max="1029" width="18.6640625" style="69" customWidth="1"/>
    <col min="1030" max="1030" width="8.88671875" style="69" customWidth="1"/>
    <col min="1031" max="1031" width="10" style="69" customWidth="1"/>
    <col min="1032" max="1033" width="11.77734375" style="69" customWidth="1"/>
    <col min="1034" max="1034" width="22.33203125" style="69" customWidth="1"/>
    <col min="1035" max="1036" width="13.6640625" style="69" customWidth="1"/>
    <col min="1037" max="1037" width="12" style="69" customWidth="1"/>
    <col min="1038" max="1038" width="19.109375" style="69" customWidth="1"/>
    <col min="1039" max="1282" width="8.88671875" style="69"/>
    <col min="1283" max="1283" width="8.6640625" style="69" customWidth="1"/>
    <col min="1284" max="1284" width="15.33203125" style="69" customWidth="1"/>
    <col min="1285" max="1285" width="18.6640625" style="69" customWidth="1"/>
    <col min="1286" max="1286" width="8.88671875" style="69" customWidth="1"/>
    <col min="1287" max="1287" width="10" style="69" customWidth="1"/>
    <col min="1288" max="1289" width="11.77734375" style="69" customWidth="1"/>
    <col min="1290" max="1290" width="22.33203125" style="69" customWidth="1"/>
    <col min="1291" max="1292" width="13.6640625" style="69" customWidth="1"/>
    <col min="1293" max="1293" width="12" style="69" customWidth="1"/>
    <col min="1294" max="1294" width="19.109375" style="69" customWidth="1"/>
    <col min="1295" max="1538" width="8.88671875" style="69"/>
    <col min="1539" max="1539" width="8.6640625" style="69" customWidth="1"/>
    <col min="1540" max="1540" width="15.33203125" style="69" customWidth="1"/>
    <col min="1541" max="1541" width="18.6640625" style="69" customWidth="1"/>
    <col min="1542" max="1542" width="8.88671875" style="69" customWidth="1"/>
    <col min="1543" max="1543" width="10" style="69" customWidth="1"/>
    <col min="1544" max="1545" width="11.77734375" style="69" customWidth="1"/>
    <col min="1546" max="1546" width="22.33203125" style="69" customWidth="1"/>
    <col min="1547" max="1548" width="13.6640625" style="69" customWidth="1"/>
    <col min="1549" max="1549" width="12" style="69" customWidth="1"/>
    <col min="1550" max="1550" width="19.109375" style="69" customWidth="1"/>
    <col min="1551" max="1794" width="8.88671875" style="69"/>
    <col min="1795" max="1795" width="8.6640625" style="69" customWidth="1"/>
    <col min="1796" max="1796" width="15.33203125" style="69" customWidth="1"/>
    <col min="1797" max="1797" width="18.6640625" style="69" customWidth="1"/>
    <col min="1798" max="1798" width="8.88671875" style="69" customWidth="1"/>
    <col min="1799" max="1799" width="10" style="69" customWidth="1"/>
    <col min="1800" max="1801" width="11.77734375" style="69" customWidth="1"/>
    <col min="1802" max="1802" width="22.33203125" style="69" customWidth="1"/>
    <col min="1803" max="1804" width="13.6640625" style="69" customWidth="1"/>
    <col min="1805" max="1805" width="12" style="69" customWidth="1"/>
    <col min="1806" max="1806" width="19.109375" style="69" customWidth="1"/>
    <col min="1807" max="2050" width="8.88671875" style="69"/>
    <col min="2051" max="2051" width="8.6640625" style="69" customWidth="1"/>
    <col min="2052" max="2052" width="15.33203125" style="69" customWidth="1"/>
    <col min="2053" max="2053" width="18.6640625" style="69" customWidth="1"/>
    <col min="2054" max="2054" width="8.88671875" style="69" customWidth="1"/>
    <col min="2055" max="2055" width="10" style="69" customWidth="1"/>
    <col min="2056" max="2057" width="11.77734375" style="69" customWidth="1"/>
    <col min="2058" max="2058" width="22.33203125" style="69" customWidth="1"/>
    <col min="2059" max="2060" width="13.6640625" style="69" customWidth="1"/>
    <col min="2061" max="2061" width="12" style="69" customWidth="1"/>
    <col min="2062" max="2062" width="19.109375" style="69" customWidth="1"/>
    <col min="2063" max="2306" width="8.88671875" style="69"/>
    <col min="2307" max="2307" width="8.6640625" style="69" customWidth="1"/>
    <col min="2308" max="2308" width="15.33203125" style="69" customWidth="1"/>
    <col min="2309" max="2309" width="18.6640625" style="69" customWidth="1"/>
    <col min="2310" max="2310" width="8.88671875" style="69" customWidth="1"/>
    <col min="2311" max="2311" width="10" style="69" customWidth="1"/>
    <col min="2312" max="2313" width="11.77734375" style="69" customWidth="1"/>
    <col min="2314" max="2314" width="22.33203125" style="69" customWidth="1"/>
    <col min="2315" max="2316" width="13.6640625" style="69" customWidth="1"/>
    <col min="2317" max="2317" width="12" style="69" customWidth="1"/>
    <col min="2318" max="2318" width="19.109375" style="69" customWidth="1"/>
    <col min="2319" max="2562" width="8.88671875" style="69"/>
    <col min="2563" max="2563" width="8.6640625" style="69" customWidth="1"/>
    <col min="2564" max="2564" width="15.33203125" style="69" customWidth="1"/>
    <col min="2565" max="2565" width="18.6640625" style="69" customWidth="1"/>
    <col min="2566" max="2566" width="8.88671875" style="69" customWidth="1"/>
    <col min="2567" max="2567" width="10" style="69" customWidth="1"/>
    <col min="2568" max="2569" width="11.77734375" style="69" customWidth="1"/>
    <col min="2570" max="2570" width="22.33203125" style="69" customWidth="1"/>
    <col min="2571" max="2572" width="13.6640625" style="69" customWidth="1"/>
    <col min="2573" max="2573" width="12" style="69" customWidth="1"/>
    <col min="2574" max="2574" width="19.109375" style="69" customWidth="1"/>
    <col min="2575" max="2818" width="8.88671875" style="69"/>
    <col min="2819" max="2819" width="8.6640625" style="69" customWidth="1"/>
    <col min="2820" max="2820" width="15.33203125" style="69" customWidth="1"/>
    <col min="2821" max="2821" width="18.6640625" style="69" customWidth="1"/>
    <col min="2822" max="2822" width="8.88671875" style="69" customWidth="1"/>
    <col min="2823" max="2823" width="10" style="69" customWidth="1"/>
    <col min="2824" max="2825" width="11.77734375" style="69" customWidth="1"/>
    <col min="2826" max="2826" width="22.33203125" style="69" customWidth="1"/>
    <col min="2827" max="2828" width="13.6640625" style="69" customWidth="1"/>
    <col min="2829" max="2829" width="12" style="69" customWidth="1"/>
    <col min="2830" max="2830" width="19.109375" style="69" customWidth="1"/>
    <col min="2831" max="3074" width="8.88671875" style="69"/>
    <col min="3075" max="3075" width="8.6640625" style="69" customWidth="1"/>
    <col min="3076" max="3076" width="15.33203125" style="69" customWidth="1"/>
    <col min="3077" max="3077" width="18.6640625" style="69" customWidth="1"/>
    <col min="3078" max="3078" width="8.88671875" style="69" customWidth="1"/>
    <col min="3079" max="3079" width="10" style="69" customWidth="1"/>
    <col min="3080" max="3081" width="11.77734375" style="69" customWidth="1"/>
    <col min="3082" max="3082" width="22.33203125" style="69" customWidth="1"/>
    <col min="3083" max="3084" width="13.6640625" style="69" customWidth="1"/>
    <col min="3085" max="3085" width="12" style="69" customWidth="1"/>
    <col min="3086" max="3086" width="19.109375" style="69" customWidth="1"/>
    <col min="3087" max="3330" width="8.88671875" style="69"/>
    <col min="3331" max="3331" width="8.6640625" style="69" customWidth="1"/>
    <col min="3332" max="3332" width="15.33203125" style="69" customWidth="1"/>
    <col min="3333" max="3333" width="18.6640625" style="69" customWidth="1"/>
    <col min="3334" max="3334" width="8.88671875" style="69" customWidth="1"/>
    <col min="3335" max="3335" width="10" style="69" customWidth="1"/>
    <col min="3336" max="3337" width="11.77734375" style="69" customWidth="1"/>
    <col min="3338" max="3338" width="22.33203125" style="69" customWidth="1"/>
    <col min="3339" max="3340" width="13.6640625" style="69" customWidth="1"/>
    <col min="3341" max="3341" width="12" style="69" customWidth="1"/>
    <col min="3342" max="3342" width="19.109375" style="69" customWidth="1"/>
    <col min="3343" max="3586" width="8.88671875" style="69"/>
    <col min="3587" max="3587" width="8.6640625" style="69" customWidth="1"/>
    <col min="3588" max="3588" width="15.33203125" style="69" customWidth="1"/>
    <col min="3589" max="3589" width="18.6640625" style="69" customWidth="1"/>
    <col min="3590" max="3590" width="8.88671875" style="69" customWidth="1"/>
    <col min="3591" max="3591" width="10" style="69" customWidth="1"/>
    <col min="3592" max="3593" width="11.77734375" style="69" customWidth="1"/>
    <col min="3594" max="3594" width="22.33203125" style="69" customWidth="1"/>
    <col min="3595" max="3596" width="13.6640625" style="69" customWidth="1"/>
    <col min="3597" max="3597" width="12" style="69" customWidth="1"/>
    <col min="3598" max="3598" width="19.109375" style="69" customWidth="1"/>
    <col min="3599" max="3842" width="8.88671875" style="69"/>
    <col min="3843" max="3843" width="8.6640625" style="69" customWidth="1"/>
    <col min="3844" max="3844" width="15.33203125" style="69" customWidth="1"/>
    <col min="3845" max="3845" width="18.6640625" style="69" customWidth="1"/>
    <col min="3846" max="3846" width="8.88671875" style="69" customWidth="1"/>
    <col min="3847" max="3847" width="10" style="69" customWidth="1"/>
    <col min="3848" max="3849" width="11.77734375" style="69" customWidth="1"/>
    <col min="3850" max="3850" width="22.33203125" style="69" customWidth="1"/>
    <col min="3851" max="3852" width="13.6640625" style="69" customWidth="1"/>
    <col min="3853" max="3853" width="12" style="69" customWidth="1"/>
    <col min="3854" max="3854" width="19.109375" style="69" customWidth="1"/>
    <col min="3855" max="4098" width="8.88671875" style="69"/>
    <col min="4099" max="4099" width="8.6640625" style="69" customWidth="1"/>
    <col min="4100" max="4100" width="15.33203125" style="69" customWidth="1"/>
    <col min="4101" max="4101" width="18.6640625" style="69" customWidth="1"/>
    <col min="4102" max="4102" width="8.88671875" style="69" customWidth="1"/>
    <col min="4103" max="4103" width="10" style="69" customWidth="1"/>
    <col min="4104" max="4105" width="11.77734375" style="69" customWidth="1"/>
    <col min="4106" max="4106" width="22.33203125" style="69" customWidth="1"/>
    <col min="4107" max="4108" width="13.6640625" style="69" customWidth="1"/>
    <col min="4109" max="4109" width="12" style="69" customWidth="1"/>
    <col min="4110" max="4110" width="19.109375" style="69" customWidth="1"/>
    <col min="4111" max="4354" width="8.88671875" style="69"/>
    <col min="4355" max="4355" width="8.6640625" style="69" customWidth="1"/>
    <col min="4356" max="4356" width="15.33203125" style="69" customWidth="1"/>
    <col min="4357" max="4357" width="18.6640625" style="69" customWidth="1"/>
    <col min="4358" max="4358" width="8.88671875" style="69" customWidth="1"/>
    <col min="4359" max="4359" width="10" style="69" customWidth="1"/>
    <col min="4360" max="4361" width="11.77734375" style="69" customWidth="1"/>
    <col min="4362" max="4362" width="22.33203125" style="69" customWidth="1"/>
    <col min="4363" max="4364" width="13.6640625" style="69" customWidth="1"/>
    <col min="4365" max="4365" width="12" style="69" customWidth="1"/>
    <col min="4366" max="4366" width="19.109375" style="69" customWidth="1"/>
    <col min="4367" max="4610" width="8.88671875" style="69"/>
    <col min="4611" max="4611" width="8.6640625" style="69" customWidth="1"/>
    <col min="4612" max="4612" width="15.33203125" style="69" customWidth="1"/>
    <col min="4613" max="4613" width="18.6640625" style="69" customWidth="1"/>
    <col min="4614" max="4614" width="8.88671875" style="69" customWidth="1"/>
    <col min="4615" max="4615" width="10" style="69" customWidth="1"/>
    <col min="4616" max="4617" width="11.77734375" style="69" customWidth="1"/>
    <col min="4618" max="4618" width="22.33203125" style="69" customWidth="1"/>
    <col min="4619" max="4620" width="13.6640625" style="69" customWidth="1"/>
    <col min="4621" max="4621" width="12" style="69" customWidth="1"/>
    <col min="4622" max="4622" width="19.109375" style="69" customWidth="1"/>
    <col min="4623" max="4866" width="8.88671875" style="69"/>
    <col min="4867" max="4867" width="8.6640625" style="69" customWidth="1"/>
    <col min="4868" max="4868" width="15.33203125" style="69" customWidth="1"/>
    <col min="4869" max="4869" width="18.6640625" style="69" customWidth="1"/>
    <col min="4870" max="4870" width="8.88671875" style="69" customWidth="1"/>
    <col min="4871" max="4871" width="10" style="69" customWidth="1"/>
    <col min="4872" max="4873" width="11.77734375" style="69" customWidth="1"/>
    <col min="4874" max="4874" width="22.33203125" style="69" customWidth="1"/>
    <col min="4875" max="4876" width="13.6640625" style="69" customWidth="1"/>
    <col min="4877" max="4877" width="12" style="69" customWidth="1"/>
    <col min="4878" max="4878" width="19.109375" style="69" customWidth="1"/>
    <col min="4879" max="5122" width="8.88671875" style="69"/>
    <col min="5123" max="5123" width="8.6640625" style="69" customWidth="1"/>
    <col min="5124" max="5124" width="15.33203125" style="69" customWidth="1"/>
    <col min="5125" max="5125" width="18.6640625" style="69" customWidth="1"/>
    <col min="5126" max="5126" width="8.88671875" style="69" customWidth="1"/>
    <col min="5127" max="5127" width="10" style="69" customWidth="1"/>
    <col min="5128" max="5129" width="11.77734375" style="69" customWidth="1"/>
    <col min="5130" max="5130" width="22.33203125" style="69" customWidth="1"/>
    <col min="5131" max="5132" width="13.6640625" style="69" customWidth="1"/>
    <col min="5133" max="5133" width="12" style="69" customWidth="1"/>
    <col min="5134" max="5134" width="19.109375" style="69" customWidth="1"/>
    <col min="5135" max="5378" width="8.88671875" style="69"/>
    <col min="5379" max="5379" width="8.6640625" style="69" customWidth="1"/>
    <col min="5380" max="5380" width="15.33203125" style="69" customWidth="1"/>
    <col min="5381" max="5381" width="18.6640625" style="69" customWidth="1"/>
    <col min="5382" max="5382" width="8.88671875" style="69" customWidth="1"/>
    <col min="5383" max="5383" width="10" style="69" customWidth="1"/>
    <col min="5384" max="5385" width="11.77734375" style="69" customWidth="1"/>
    <col min="5386" max="5386" width="22.33203125" style="69" customWidth="1"/>
    <col min="5387" max="5388" width="13.6640625" style="69" customWidth="1"/>
    <col min="5389" max="5389" width="12" style="69" customWidth="1"/>
    <col min="5390" max="5390" width="19.109375" style="69" customWidth="1"/>
    <col min="5391" max="5634" width="8.88671875" style="69"/>
    <col min="5635" max="5635" width="8.6640625" style="69" customWidth="1"/>
    <col min="5636" max="5636" width="15.33203125" style="69" customWidth="1"/>
    <col min="5637" max="5637" width="18.6640625" style="69" customWidth="1"/>
    <col min="5638" max="5638" width="8.88671875" style="69" customWidth="1"/>
    <col min="5639" max="5639" width="10" style="69" customWidth="1"/>
    <col min="5640" max="5641" width="11.77734375" style="69" customWidth="1"/>
    <col min="5642" max="5642" width="22.33203125" style="69" customWidth="1"/>
    <col min="5643" max="5644" width="13.6640625" style="69" customWidth="1"/>
    <col min="5645" max="5645" width="12" style="69" customWidth="1"/>
    <col min="5646" max="5646" width="19.109375" style="69" customWidth="1"/>
    <col min="5647" max="5890" width="8.88671875" style="69"/>
    <col min="5891" max="5891" width="8.6640625" style="69" customWidth="1"/>
    <col min="5892" max="5892" width="15.33203125" style="69" customWidth="1"/>
    <col min="5893" max="5893" width="18.6640625" style="69" customWidth="1"/>
    <col min="5894" max="5894" width="8.88671875" style="69" customWidth="1"/>
    <col min="5895" max="5895" width="10" style="69" customWidth="1"/>
    <col min="5896" max="5897" width="11.77734375" style="69" customWidth="1"/>
    <col min="5898" max="5898" width="22.33203125" style="69" customWidth="1"/>
    <col min="5899" max="5900" width="13.6640625" style="69" customWidth="1"/>
    <col min="5901" max="5901" width="12" style="69" customWidth="1"/>
    <col min="5902" max="5902" width="19.109375" style="69" customWidth="1"/>
    <col min="5903" max="6146" width="8.88671875" style="69"/>
    <col min="6147" max="6147" width="8.6640625" style="69" customWidth="1"/>
    <col min="6148" max="6148" width="15.33203125" style="69" customWidth="1"/>
    <col min="6149" max="6149" width="18.6640625" style="69" customWidth="1"/>
    <col min="6150" max="6150" width="8.88671875" style="69" customWidth="1"/>
    <col min="6151" max="6151" width="10" style="69" customWidth="1"/>
    <col min="6152" max="6153" width="11.77734375" style="69" customWidth="1"/>
    <col min="6154" max="6154" width="22.33203125" style="69" customWidth="1"/>
    <col min="6155" max="6156" width="13.6640625" style="69" customWidth="1"/>
    <col min="6157" max="6157" width="12" style="69" customWidth="1"/>
    <col min="6158" max="6158" width="19.109375" style="69" customWidth="1"/>
    <col min="6159" max="6402" width="8.88671875" style="69"/>
    <col min="6403" max="6403" width="8.6640625" style="69" customWidth="1"/>
    <col min="6404" max="6404" width="15.33203125" style="69" customWidth="1"/>
    <col min="6405" max="6405" width="18.6640625" style="69" customWidth="1"/>
    <col min="6406" max="6406" width="8.88671875" style="69" customWidth="1"/>
    <col min="6407" max="6407" width="10" style="69" customWidth="1"/>
    <col min="6408" max="6409" width="11.77734375" style="69" customWidth="1"/>
    <col min="6410" max="6410" width="22.33203125" style="69" customWidth="1"/>
    <col min="6411" max="6412" width="13.6640625" style="69" customWidth="1"/>
    <col min="6413" max="6413" width="12" style="69" customWidth="1"/>
    <col min="6414" max="6414" width="19.109375" style="69" customWidth="1"/>
    <col min="6415" max="6658" width="8.88671875" style="69"/>
    <col min="6659" max="6659" width="8.6640625" style="69" customWidth="1"/>
    <col min="6660" max="6660" width="15.33203125" style="69" customWidth="1"/>
    <col min="6661" max="6661" width="18.6640625" style="69" customWidth="1"/>
    <col min="6662" max="6662" width="8.88671875" style="69" customWidth="1"/>
    <col min="6663" max="6663" width="10" style="69" customWidth="1"/>
    <col min="6664" max="6665" width="11.77734375" style="69" customWidth="1"/>
    <col min="6666" max="6666" width="22.33203125" style="69" customWidth="1"/>
    <col min="6667" max="6668" width="13.6640625" style="69" customWidth="1"/>
    <col min="6669" max="6669" width="12" style="69" customWidth="1"/>
    <col min="6670" max="6670" width="19.109375" style="69" customWidth="1"/>
    <col min="6671" max="6914" width="8.88671875" style="69"/>
    <col min="6915" max="6915" width="8.6640625" style="69" customWidth="1"/>
    <col min="6916" max="6916" width="15.33203125" style="69" customWidth="1"/>
    <col min="6917" max="6917" width="18.6640625" style="69" customWidth="1"/>
    <col min="6918" max="6918" width="8.88671875" style="69" customWidth="1"/>
    <col min="6919" max="6919" width="10" style="69" customWidth="1"/>
    <col min="6920" max="6921" width="11.77734375" style="69" customWidth="1"/>
    <col min="6922" max="6922" width="22.33203125" style="69" customWidth="1"/>
    <col min="6923" max="6924" width="13.6640625" style="69" customWidth="1"/>
    <col min="6925" max="6925" width="12" style="69" customWidth="1"/>
    <col min="6926" max="6926" width="19.109375" style="69" customWidth="1"/>
    <col min="6927" max="7170" width="8.88671875" style="69"/>
    <col min="7171" max="7171" width="8.6640625" style="69" customWidth="1"/>
    <col min="7172" max="7172" width="15.33203125" style="69" customWidth="1"/>
    <col min="7173" max="7173" width="18.6640625" style="69" customWidth="1"/>
    <col min="7174" max="7174" width="8.88671875" style="69" customWidth="1"/>
    <col min="7175" max="7175" width="10" style="69" customWidth="1"/>
    <col min="7176" max="7177" width="11.77734375" style="69" customWidth="1"/>
    <col min="7178" max="7178" width="22.33203125" style="69" customWidth="1"/>
    <col min="7179" max="7180" width="13.6640625" style="69" customWidth="1"/>
    <col min="7181" max="7181" width="12" style="69" customWidth="1"/>
    <col min="7182" max="7182" width="19.109375" style="69" customWidth="1"/>
    <col min="7183" max="7426" width="8.88671875" style="69"/>
    <col min="7427" max="7427" width="8.6640625" style="69" customWidth="1"/>
    <col min="7428" max="7428" width="15.33203125" style="69" customWidth="1"/>
    <col min="7429" max="7429" width="18.6640625" style="69" customWidth="1"/>
    <col min="7430" max="7430" width="8.88671875" style="69" customWidth="1"/>
    <col min="7431" max="7431" width="10" style="69" customWidth="1"/>
    <col min="7432" max="7433" width="11.77734375" style="69" customWidth="1"/>
    <col min="7434" max="7434" width="22.33203125" style="69" customWidth="1"/>
    <col min="7435" max="7436" width="13.6640625" style="69" customWidth="1"/>
    <col min="7437" max="7437" width="12" style="69" customWidth="1"/>
    <col min="7438" max="7438" width="19.109375" style="69" customWidth="1"/>
    <col min="7439" max="7682" width="8.88671875" style="69"/>
    <col min="7683" max="7683" width="8.6640625" style="69" customWidth="1"/>
    <col min="7684" max="7684" width="15.33203125" style="69" customWidth="1"/>
    <col min="7685" max="7685" width="18.6640625" style="69" customWidth="1"/>
    <col min="7686" max="7686" width="8.88671875" style="69" customWidth="1"/>
    <col min="7687" max="7687" width="10" style="69" customWidth="1"/>
    <col min="7688" max="7689" width="11.77734375" style="69" customWidth="1"/>
    <col min="7690" max="7690" width="22.33203125" style="69" customWidth="1"/>
    <col min="7691" max="7692" width="13.6640625" style="69" customWidth="1"/>
    <col min="7693" max="7693" width="12" style="69" customWidth="1"/>
    <col min="7694" max="7694" width="19.109375" style="69" customWidth="1"/>
    <col min="7695" max="7938" width="8.88671875" style="69"/>
    <col min="7939" max="7939" width="8.6640625" style="69" customWidth="1"/>
    <col min="7940" max="7940" width="15.33203125" style="69" customWidth="1"/>
    <col min="7941" max="7941" width="18.6640625" style="69" customWidth="1"/>
    <col min="7942" max="7942" width="8.88671875" style="69" customWidth="1"/>
    <col min="7943" max="7943" width="10" style="69" customWidth="1"/>
    <col min="7944" max="7945" width="11.77734375" style="69" customWidth="1"/>
    <col min="7946" max="7946" width="22.33203125" style="69" customWidth="1"/>
    <col min="7947" max="7948" width="13.6640625" style="69" customWidth="1"/>
    <col min="7949" max="7949" width="12" style="69" customWidth="1"/>
    <col min="7950" max="7950" width="19.109375" style="69" customWidth="1"/>
    <col min="7951" max="8194" width="8.88671875" style="69"/>
    <col min="8195" max="8195" width="8.6640625" style="69" customWidth="1"/>
    <col min="8196" max="8196" width="15.33203125" style="69" customWidth="1"/>
    <col min="8197" max="8197" width="18.6640625" style="69" customWidth="1"/>
    <col min="8198" max="8198" width="8.88671875" style="69" customWidth="1"/>
    <col min="8199" max="8199" width="10" style="69" customWidth="1"/>
    <col min="8200" max="8201" width="11.77734375" style="69" customWidth="1"/>
    <col min="8202" max="8202" width="22.33203125" style="69" customWidth="1"/>
    <col min="8203" max="8204" width="13.6640625" style="69" customWidth="1"/>
    <col min="8205" max="8205" width="12" style="69" customWidth="1"/>
    <col min="8206" max="8206" width="19.109375" style="69" customWidth="1"/>
    <col min="8207" max="8450" width="8.88671875" style="69"/>
    <col min="8451" max="8451" width="8.6640625" style="69" customWidth="1"/>
    <col min="8452" max="8452" width="15.33203125" style="69" customWidth="1"/>
    <col min="8453" max="8453" width="18.6640625" style="69" customWidth="1"/>
    <col min="8454" max="8454" width="8.88671875" style="69" customWidth="1"/>
    <col min="8455" max="8455" width="10" style="69" customWidth="1"/>
    <col min="8456" max="8457" width="11.77734375" style="69" customWidth="1"/>
    <col min="8458" max="8458" width="22.33203125" style="69" customWidth="1"/>
    <col min="8459" max="8460" width="13.6640625" style="69" customWidth="1"/>
    <col min="8461" max="8461" width="12" style="69" customWidth="1"/>
    <col min="8462" max="8462" width="19.109375" style="69" customWidth="1"/>
    <col min="8463" max="8706" width="8.88671875" style="69"/>
    <col min="8707" max="8707" width="8.6640625" style="69" customWidth="1"/>
    <col min="8708" max="8708" width="15.33203125" style="69" customWidth="1"/>
    <col min="8709" max="8709" width="18.6640625" style="69" customWidth="1"/>
    <col min="8710" max="8710" width="8.88671875" style="69" customWidth="1"/>
    <col min="8711" max="8711" width="10" style="69" customWidth="1"/>
    <col min="8712" max="8713" width="11.77734375" style="69" customWidth="1"/>
    <col min="8714" max="8714" width="22.33203125" style="69" customWidth="1"/>
    <col min="8715" max="8716" width="13.6640625" style="69" customWidth="1"/>
    <col min="8717" max="8717" width="12" style="69" customWidth="1"/>
    <col min="8718" max="8718" width="19.109375" style="69" customWidth="1"/>
    <col min="8719" max="8962" width="8.88671875" style="69"/>
    <col min="8963" max="8963" width="8.6640625" style="69" customWidth="1"/>
    <col min="8964" max="8964" width="15.33203125" style="69" customWidth="1"/>
    <col min="8965" max="8965" width="18.6640625" style="69" customWidth="1"/>
    <col min="8966" max="8966" width="8.88671875" style="69" customWidth="1"/>
    <col min="8967" max="8967" width="10" style="69" customWidth="1"/>
    <col min="8968" max="8969" width="11.77734375" style="69" customWidth="1"/>
    <col min="8970" max="8970" width="22.33203125" style="69" customWidth="1"/>
    <col min="8971" max="8972" width="13.6640625" style="69" customWidth="1"/>
    <col min="8973" max="8973" width="12" style="69" customWidth="1"/>
    <col min="8974" max="8974" width="19.109375" style="69" customWidth="1"/>
    <col min="8975" max="9218" width="8.88671875" style="69"/>
    <col min="9219" max="9219" width="8.6640625" style="69" customWidth="1"/>
    <col min="9220" max="9220" width="15.33203125" style="69" customWidth="1"/>
    <col min="9221" max="9221" width="18.6640625" style="69" customWidth="1"/>
    <col min="9222" max="9222" width="8.88671875" style="69" customWidth="1"/>
    <col min="9223" max="9223" width="10" style="69" customWidth="1"/>
    <col min="9224" max="9225" width="11.77734375" style="69" customWidth="1"/>
    <col min="9226" max="9226" width="22.33203125" style="69" customWidth="1"/>
    <col min="9227" max="9228" width="13.6640625" style="69" customWidth="1"/>
    <col min="9229" max="9229" width="12" style="69" customWidth="1"/>
    <col min="9230" max="9230" width="19.109375" style="69" customWidth="1"/>
    <col min="9231" max="9474" width="8.88671875" style="69"/>
    <col min="9475" max="9475" width="8.6640625" style="69" customWidth="1"/>
    <col min="9476" max="9476" width="15.33203125" style="69" customWidth="1"/>
    <col min="9477" max="9477" width="18.6640625" style="69" customWidth="1"/>
    <col min="9478" max="9478" width="8.88671875" style="69" customWidth="1"/>
    <col min="9479" max="9479" width="10" style="69" customWidth="1"/>
    <col min="9480" max="9481" width="11.77734375" style="69" customWidth="1"/>
    <col min="9482" max="9482" width="22.33203125" style="69" customWidth="1"/>
    <col min="9483" max="9484" width="13.6640625" style="69" customWidth="1"/>
    <col min="9485" max="9485" width="12" style="69" customWidth="1"/>
    <col min="9486" max="9486" width="19.109375" style="69" customWidth="1"/>
    <col min="9487" max="9730" width="8.88671875" style="69"/>
    <col min="9731" max="9731" width="8.6640625" style="69" customWidth="1"/>
    <col min="9732" max="9732" width="15.33203125" style="69" customWidth="1"/>
    <col min="9733" max="9733" width="18.6640625" style="69" customWidth="1"/>
    <col min="9734" max="9734" width="8.88671875" style="69" customWidth="1"/>
    <col min="9735" max="9735" width="10" style="69" customWidth="1"/>
    <col min="9736" max="9737" width="11.77734375" style="69" customWidth="1"/>
    <col min="9738" max="9738" width="22.33203125" style="69" customWidth="1"/>
    <col min="9739" max="9740" width="13.6640625" style="69" customWidth="1"/>
    <col min="9741" max="9741" width="12" style="69" customWidth="1"/>
    <col min="9742" max="9742" width="19.109375" style="69" customWidth="1"/>
    <col min="9743" max="9986" width="8.88671875" style="69"/>
    <col min="9987" max="9987" width="8.6640625" style="69" customWidth="1"/>
    <col min="9988" max="9988" width="15.33203125" style="69" customWidth="1"/>
    <col min="9989" max="9989" width="18.6640625" style="69" customWidth="1"/>
    <col min="9990" max="9990" width="8.88671875" style="69" customWidth="1"/>
    <col min="9991" max="9991" width="10" style="69" customWidth="1"/>
    <col min="9992" max="9993" width="11.77734375" style="69" customWidth="1"/>
    <col min="9994" max="9994" width="22.33203125" style="69" customWidth="1"/>
    <col min="9995" max="9996" width="13.6640625" style="69" customWidth="1"/>
    <col min="9997" max="9997" width="12" style="69" customWidth="1"/>
    <col min="9998" max="9998" width="19.109375" style="69" customWidth="1"/>
    <col min="9999" max="10242" width="8.88671875" style="69"/>
    <col min="10243" max="10243" width="8.6640625" style="69" customWidth="1"/>
    <col min="10244" max="10244" width="15.33203125" style="69" customWidth="1"/>
    <col min="10245" max="10245" width="18.6640625" style="69" customWidth="1"/>
    <col min="10246" max="10246" width="8.88671875" style="69" customWidth="1"/>
    <col min="10247" max="10247" width="10" style="69" customWidth="1"/>
    <col min="10248" max="10249" width="11.77734375" style="69" customWidth="1"/>
    <col min="10250" max="10250" width="22.33203125" style="69" customWidth="1"/>
    <col min="10251" max="10252" width="13.6640625" style="69" customWidth="1"/>
    <col min="10253" max="10253" width="12" style="69" customWidth="1"/>
    <col min="10254" max="10254" width="19.109375" style="69" customWidth="1"/>
    <col min="10255" max="10498" width="8.88671875" style="69"/>
    <col min="10499" max="10499" width="8.6640625" style="69" customWidth="1"/>
    <col min="10500" max="10500" width="15.33203125" style="69" customWidth="1"/>
    <col min="10501" max="10501" width="18.6640625" style="69" customWidth="1"/>
    <col min="10502" max="10502" width="8.88671875" style="69" customWidth="1"/>
    <col min="10503" max="10503" width="10" style="69" customWidth="1"/>
    <col min="10504" max="10505" width="11.77734375" style="69" customWidth="1"/>
    <col min="10506" max="10506" width="22.33203125" style="69" customWidth="1"/>
    <col min="10507" max="10508" width="13.6640625" style="69" customWidth="1"/>
    <col min="10509" max="10509" width="12" style="69" customWidth="1"/>
    <col min="10510" max="10510" width="19.109375" style="69" customWidth="1"/>
    <col min="10511" max="10754" width="8.88671875" style="69"/>
    <col min="10755" max="10755" width="8.6640625" style="69" customWidth="1"/>
    <col min="10756" max="10756" width="15.33203125" style="69" customWidth="1"/>
    <col min="10757" max="10757" width="18.6640625" style="69" customWidth="1"/>
    <col min="10758" max="10758" width="8.88671875" style="69" customWidth="1"/>
    <col min="10759" max="10759" width="10" style="69" customWidth="1"/>
    <col min="10760" max="10761" width="11.77734375" style="69" customWidth="1"/>
    <col min="10762" max="10762" width="22.33203125" style="69" customWidth="1"/>
    <col min="10763" max="10764" width="13.6640625" style="69" customWidth="1"/>
    <col min="10765" max="10765" width="12" style="69" customWidth="1"/>
    <col min="10766" max="10766" width="19.109375" style="69" customWidth="1"/>
    <col min="10767" max="11010" width="8.88671875" style="69"/>
    <col min="11011" max="11011" width="8.6640625" style="69" customWidth="1"/>
    <col min="11012" max="11012" width="15.33203125" style="69" customWidth="1"/>
    <col min="11013" max="11013" width="18.6640625" style="69" customWidth="1"/>
    <col min="11014" max="11014" width="8.88671875" style="69" customWidth="1"/>
    <col min="11015" max="11015" width="10" style="69" customWidth="1"/>
    <col min="11016" max="11017" width="11.77734375" style="69" customWidth="1"/>
    <col min="11018" max="11018" width="22.33203125" style="69" customWidth="1"/>
    <col min="11019" max="11020" width="13.6640625" style="69" customWidth="1"/>
    <col min="11021" max="11021" width="12" style="69" customWidth="1"/>
    <col min="11022" max="11022" width="19.109375" style="69" customWidth="1"/>
    <col min="11023" max="11266" width="8.88671875" style="69"/>
    <col min="11267" max="11267" width="8.6640625" style="69" customWidth="1"/>
    <col min="11268" max="11268" width="15.33203125" style="69" customWidth="1"/>
    <col min="11269" max="11269" width="18.6640625" style="69" customWidth="1"/>
    <col min="11270" max="11270" width="8.88671875" style="69" customWidth="1"/>
    <col min="11271" max="11271" width="10" style="69" customWidth="1"/>
    <col min="11272" max="11273" width="11.77734375" style="69" customWidth="1"/>
    <col min="11274" max="11274" width="22.33203125" style="69" customWidth="1"/>
    <col min="11275" max="11276" width="13.6640625" style="69" customWidth="1"/>
    <col min="11277" max="11277" width="12" style="69" customWidth="1"/>
    <col min="11278" max="11278" width="19.109375" style="69" customWidth="1"/>
    <col min="11279" max="11522" width="8.88671875" style="69"/>
    <col min="11523" max="11523" width="8.6640625" style="69" customWidth="1"/>
    <col min="11524" max="11524" width="15.33203125" style="69" customWidth="1"/>
    <col min="11525" max="11525" width="18.6640625" style="69" customWidth="1"/>
    <col min="11526" max="11526" width="8.88671875" style="69" customWidth="1"/>
    <col min="11527" max="11527" width="10" style="69" customWidth="1"/>
    <col min="11528" max="11529" width="11.77734375" style="69" customWidth="1"/>
    <col min="11530" max="11530" width="22.33203125" style="69" customWidth="1"/>
    <col min="11531" max="11532" width="13.6640625" style="69" customWidth="1"/>
    <col min="11533" max="11533" width="12" style="69" customWidth="1"/>
    <col min="11534" max="11534" width="19.109375" style="69" customWidth="1"/>
    <col min="11535" max="11778" width="8.88671875" style="69"/>
    <col min="11779" max="11779" width="8.6640625" style="69" customWidth="1"/>
    <col min="11780" max="11780" width="15.33203125" style="69" customWidth="1"/>
    <col min="11781" max="11781" width="18.6640625" style="69" customWidth="1"/>
    <col min="11782" max="11782" width="8.88671875" style="69" customWidth="1"/>
    <col min="11783" max="11783" width="10" style="69" customWidth="1"/>
    <col min="11784" max="11785" width="11.77734375" style="69" customWidth="1"/>
    <col min="11786" max="11786" width="22.33203125" style="69" customWidth="1"/>
    <col min="11787" max="11788" width="13.6640625" style="69" customWidth="1"/>
    <col min="11789" max="11789" width="12" style="69" customWidth="1"/>
    <col min="11790" max="11790" width="19.109375" style="69" customWidth="1"/>
    <col min="11791" max="12034" width="8.88671875" style="69"/>
    <col min="12035" max="12035" width="8.6640625" style="69" customWidth="1"/>
    <col min="12036" max="12036" width="15.33203125" style="69" customWidth="1"/>
    <col min="12037" max="12037" width="18.6640625" style="69" customWidth="1"/>
    <col min="12038" max="12038" width="8.88671875" style="69" customWidth="1"/>
    <col min="12039" max="12039" width="10" style="69" customWidth="1"/>
    <col min="12040" max="12041" width="11.77734375" style="69" customWidth="1"/>
    <col min="12042" max="12042" width="22.33203125" style="69" customWidth="1"/>
    <col min="12043" max="12044" width="13.6640625" style="69" customWidth="1"/>
    <col min="12045" max="12045" width="12" style="69" customWidth="1"/>
    <col min="12046" max="12046" width="19.109375" style="69" customWidth="1"/>
    <col min="12047" max="12290" width="8.88671875" style="69"/>
    <col min="12291" max="12291" width="8.6640625" style="69" customWidth="1"/>
    <col min="12292" max="12292" width="15.33203125" style="69" customWidth="1"/>
    <col min="12293" max="12293" width="18.6640625" style="69" customWidth="1"/>
    <col min="12294" max="12294" width="8.88671875" style="69" customWidth="1"/>
    <col min="12295" max="12295" width="10" style="69" customWidth="1"/>
    <col min="12296" max="12297" width="11.77734375" style="69" customWidth="1"/>
    <col min="12298" max="12298" width="22.33203125" style="69" customWidth="1"/>
    <col min="12299" max="12300" width="13.6640625" style="69" customWidth="1"/>
    <col min="12301" max="12301" width="12" style="69" customWidth="1"/>
    <col min="12302" max="12302" width="19.109375" style="69" customWidth="1"/>
    <col min="12303" max="12546" width="8.88671875" style="69"/>
    <col min="12547" max="12547" width="8.6640625" style="69" customWidth="1"/>
    <col min="12548" max="12548" width="15.33203125" style="69" customWidth="1"/>
    <col min="12549" max="12549" width="18.6640625" style="69" customWidth="1"/>
    <col min="12550" max="12550" width="8.88671875" style="69" customWidth="1"/>
    <col min="12551" max="12551" width="10" style="69" customWidth="1"/>
    <col min="12552" max="12553" width="11.77734375" style="69" customWidth="1"/>
    <col min="12554" max="12554" width="22.33203125" style="69" customWidth="1"/>
    <col min="12555" max="12556" width="13.6640625" style="69" customWidth="1"/>
    <col min="12557" max="12557" width="12" style="69" customWidth="1"/>
    <col min="12558" max="12558" width="19.109375" style="69" customWidth="1"/>
    <col min="12559" max="12802" width="8.88671875" style="69"/>
    <col min="12803" max="12803" width="8.6640625" style="69" customWidth="1"/>
    <col min="12804" max="12804" width="15.33203125" style="69" customWidth="1"/>
    <col min="12805" max="12805" width="18.6640625" style="69" customWidth="1"/>
    <col min="12806" max="12806" width="8.88671875" style="69" customWidth="1"/>
    <col min="12807" max="12807" width="10" style="69" customWidth="1"/>
    <col min="12808" max="12809" width="11.77734375" style="69" customWidth="1"/>
    <col min="12810" max="12810" width="22.33203125" style="69" customWidth="1"/>
    <col min="12811" max="12812" width="13.6640625" style="69" customWidth="1"/>
    <col min="12813" max="12813" width="12" style="69" customWidth="1"/>
    <col min="12814" max="12814" width="19.109375" style="69" customWidth="1"/>
    <col min="12815" max="13058" width="8.88671875" style="69"/>
    <col min="13059" max="13059" width="8.6640625" style="69" customWidth="1"/>
    <col min="13060" max="13060" width="15.33203125" style="69" customWidth="1"/>
    <col min="13061" max="13061" width="18.6640625" style="69" customWidth="1"/>
    <col min="13062" max="13062" width="8.88671875" style="69" customWidth="1"/>
    <col min="13063" max="13063" width="10" style="69" customWidth="1"/>
    <col min="13064" max="13065" width="11.77734375" style="69" customWidth="1"/>
    <col min="13066" max="13066" width="22.33203125" style="69" customWidth="1"/>
    <col min="13067" max="13068" width="13.6640625" style="69" customWidth="1"/>
    <col min="13069" max="13069" width="12" style="69" customWidth="1"/>
    <col min="13070" max="13070" width="19.109375" style="69" customWidth="1"/>
    <col min="13071" max="13314" width="8.88671875" style="69"/>
    <col min="13315" max="13315" width="8.6640625" style="69" customWidth="1"/>
    <col min="13316" max="13316" width="15.33203125" style="69" customWidth="1"/>
    <col min="13317" max="13317" width="18.6640625" style="69" customWidth="1"/>
    <col min="13318" max="13318" width="8.88671875" style="69" customWidth="1"/>
    <col min="13319" max="13319" width="10" style="69" customWidth="1"/>
    <col min="13320" max="13321" width="11.77734375" style="69" customWidth="1"/>
    <col min="13322" max="13322" width="22.33203125" style="69" customWidth="1"/>
    <col min="13323" max="13324" width="13.6640625" style="69" customWidth="1"/>
    <col min="13325" max="13325" width="12" style="69" customWidth="1"/>
    <col min="13326" max="13326" width="19.109375" style="69" customWidth="1"/>
    <col min="13327" max="13570" width="8.88671875" style="69"/>
    <col min="13571" max="13571" width="8.6640625" style="69" customWidth="1"/>
    <col min="13572" max="13572" width="15.33203125" style="69" customWidth="1"/>
    <col min="13573" max="13573" width="18.6640625" style="69" customWidth="1"/>
    <col min="13574" max="13574" width="8.88671875" style="69" customWidth="1"/>
    <col min="13575" max="13575" width="10" style="69" customWidth="1"/>
    <col min="13576" max="13577" width="11.77734375" style="69" customWidth="1"/>
    <col min="13578" max="13578" width="22.33203125" style="69" customWidth="1"/>
    <col min="13579" max="13580" width="13.6640625" style="69" customWidth="1"/>
    <col min="13581" max="13581" width="12" style="69" customWidth="1"/>
    <col min="13582" max="13582" width="19.109375" style="69" customWidth="1"/>
    <col min="13583" max="13826" width="8.88671875" style="69"/>
    <col min="13827" max="13827" width="8.6640625" style="69" customWidth="1"/>
    <col min="13828" max="13828" width="15.33203125" style="69" customWidth="1"/>
    <col min="13829" max="13829" width="18.6640625" style="69" customWidth="1"/>
    <col min="13830" max="13830" width="8.88671875" style="69" customWidth="1"/>
    <col min="13831" max="13831" width="10" style="69" customWidth="1"/>
    <col min="13832" max="13833" width="11.77734375" style="69" customWidth="1"/>
    <col min="13834" max="13834" width="22.33203125" style="69" customWidth="1"/>
    <col min="13835" max="13836" width="13.6640625" style="69" customWidth="1"/>
    <col min="13837" max="13837" width="12" style="69" customWidth="1"/>
    <col min="13838" max="13838" width="19.109375" style="69" customWidth="1"/>
    <col min="13839" max="14082" width="8.88671875" style="69"/>
    <col min="14083" max="14083" width="8.6640625" style="69" customWidth="1"/>
    <col min="14084" max="14084" width="15.33203125" style="69" customWidth="1"/>
    <col min="14085" max="14085" width="18.6640625" style="69" customWidth="1"/>
    <col min="14086" max="14086" width="8.88671875" style="69" customWidth="1"/>
    <col min="14087" max="14087" width="10" style="69" customWidth="1"/>
    <col min="14088" max="14089" width="11.77734375" style="69" customWidth="1"/>
    <col min="14090" max="14090" width="22.33203125" style="69" customWidth="1"/>
    <col min="14091" max="14092" width="13.6640625" style="69" customWidth="1"/>
    <col min="14093" max="14093" width="12" style="69" customWidth="1"/>
    <col min="14094" max="14094" width="19.109375" style="69" customWidth="1"/>
    <col min="14095" max="14338" width="8.88671875" style="69"/>
    <col min="14339" max="14339" width="8.6640625" style="69" customWidth="1"/>
    <col min="14340" max="14340" width="15.33203125" style="69" customWidth="1"/>
    <col min="14341" max="14341" width="18.6640625" style="69" customWidth="1"/>
    <col min="14342" max="14342" width="8.88671875" style="69" customWidth="1"/>
    <col min="14343" max="14343" width="10" style="69" customWidth="1"/>
    <col min="14344" max="14345" width="11.77734375" style="69" customWidth="1"/>
    <col min="14346" max="14346" width="22.33203125" style="69" customWidth="1"/>
    <col min="14347" max="14348" width="13.6640625" style="69" customWidth="1"/>
    <col min="14349" max="14349" width="12" style="69" customWidth="1"/>
    <col min="14350" max="14350" width="19.109375" style="69" customWidth="1"/>
    <col min="14351" max="14594" width="8.88671875" style="69"/>
    <col min="14595" max="14595" width="8.6640625" style="69" customWidth="1"/>
    <col min="14596" max="14596" width="15.33203125" style="69" customWidth="1"/>
    <col min="14597" max="14597" width="18.6640625" style="69" customWidth="1"/>
    <col min="14598" max="14598" width="8.88671875" style="69" customWidth="1"/>
    <col min="14599" max="14599" width="10" style="69" customWidth="1"/>
    <col min="14600" max="14601" width="11.77734375" style="69" customWidth="1"/>
    <col min="14602" max="14602" width="22.33203125" style="69" customWidth="1"/>
    <col min="14603" max="14604" width="13.6640625" style="69" customWidth="1"/>
    <col min="14605" max="14605" width="12" style="69" customWidth="1"/>
    <col min="14606" max="14606" width="19.109375" style="69" customWidth="1"/>
    <col min="14607" max="14850" width="8.88671875" style="69"/>
    <col min="14851" max="14851" width="8.6640625" style="69" customWidth="1"/>
    <col min="14852" max="14852" width="15.33203125" style="69" customWidth="1"/>
    <col min="14853" max="14853" width="18.6640625" style="69" customWidth="1"/>
    <col min="14854" max="14854" width="8.88671875" style="69" customWidth="1"/>
    <col min="14855" max="14855" width="10" style="69" customWidth="1"/>
    <col min="14856" max="14857" width="11.77734375" style="69" customWidth="1"/>
    <col min="14858" max="14858" width="22.33203125" style="69" customWidth="1"/>
    <col min="14859" max="14860" width="13.6640625" style="69" customWidth="1"/>
    <col min="14861" max="14861" width="12" style="69" customWidth="1"/>
    <col min="14862" max="14862" width="19.109375" style="69" customWidth="1"/>
    <col min="14863" max="15106" width="8.88671875" style="69"/>
    <col min="15107" max="15107" width="8.6640625" style="69" customWidth="1"/>
    <col min="15108" max="15108" width="15.33203125" style="69" customWidth="1"/>
    <col min="15109" max="15109" width="18.6640625" style="69" customWidth="1"/>
    <col min="15110" max="15110" width="8.88671875" style="69" customWidth="1"/>
    <col min="15111" max="15111" width="10" style="69" customWidth="1"/>
    <col min="15112" max="15113" width="11.77734375" style="69" customWidth="1"/>
    <col min="15114" max="15114" width="22.33203125" style="69" customWidth="1"/>
    <col min="15115" max="15116" width="13.6640625" style="69" customWidth="1"/>
    <col min="15117" max="15117" width="12" style="69" customWidth="1"/>
    <col min="15118" max="15118" width="19.109375" style="69" customWidth="1"/>
    <col min="15119" max="15362" width="8.88671875" style="69"/>
    <col min="15363" max="15363" width="8.6640625" style="69" customWidth="1"/>
    <col min="15364" max="15364" width="15.33203125" style="69" customWidth="1"/>
    <col min="15365" max="15365" width="18.6640625" style="69" customWidth="1"/>
    <col min="15366" max="15366" width="8.88671875" style="69" customWidth="1"/>
    <col min="15367" max="15367" width="10" style="69" customWidth="1"/>
    <col min="15368" max="15369" width="11.77734375" style="69" customWidth="1"/>
    <col min="15370" max="15370" width="22.33203125" style="69" customWidth="1"/>
    <col min="15371" max="15372" width="13.6640625" style="69" customWidth="1"/>
    <col min="15373" max="15373" width="12" style="69" customWidth="1"/>
    <col min="15374" max="15374" width="19.109375" style="69" customWidth="1"/>
    <col min="15375" max="15618" width="8.88671875" style="69"/>
    <col min="15619" max="15619" width="8.6640625" style="69" customWidth="1"/>
    <col min="15620" max="15620" width="15.33203125" style="69" customWidth="1"/>
    <col min="15621" max="15621" width="18.6640625" style="69" customWidth="1"/>
    <col min="15622" max="15622" width="8.88671875" style="69" customWidth="1"/>
    <col min="15623" max="15623" width="10" style="69" customWidth="1"/>
    <col min="15624" max="15625" width="11.77734375" style="69" customWidth="1"/>
    <col min="15626" max="15626" width="22.33203125" style="69" customWidth="1"/>
    <col min="15627" max="15628" width="13.6640625" style="69" customWidth="1"/>
    <col min="15629" max="15629" width="12" style="69" customWidth="1"/>
    <col min="15630" max="15630" width="19.109375" style="69" customWidth="1"/>
    <col min="15631" max="15874" width="8.88671875" style="69"/>
    <col min="15875" max="15875" width="8.6640625" style="69" customWidth="1"/>
    <col min="15876" max="15876" width="15.33203125" style="69" customWidth="1"/>
    <col min="15877" max="15877" width="18.6640625" style="69" customWidth="1"/>
    <col min="15878" max="15878" width="8.88671875" style="69" customWidth="1"/>
    <col min="15879" max="15879" width="10" style="69" customWidth="1"/>
    <col min="15880" max="15881" width="11.77734375" style="69" customWidth="1"/>
    <col min="15882" max="15882" width="22.33203125" style="69" customWidth="1"/>
    <col min="15883" max="15884" width="13.6640625" style="69" customWidth="1"/>
    <col min="15885" max="15885" width="12" style="69" customWidth="1"/>
    <col min="15886" max="15886" width="19.109375" style="69" customWidth="1"/>
    <col min="15887" max="16130" width="8.88671875" style="69"/>
    <col min="16131" max="16131" width="8.6640625" style="69" customWidth="1"/>
    <col min="16132" max="16132" width="15.33203125" style="69" customWidth="1"/>
    <col min="16133" max="16133" width="18.6640625" style="69" customWidth="1"/>
    <col min="16134" max="16134" width="8.88671875" style="69" customWidth="1"/>
    <col min="16135" max="16135" width="10" style="69" customWidth="1"/>
    <col min="16136" max="16137" width="11.77734375" style="69" customWidth="1"/>
    <col min="16138" max="16138" width="22.33203125" style="69" customWidth="1"/>
    <col min="16139" max="16140" width="13.6640625" style="69" customWidth="1"/>
    <col min="16141" max="16141" width="12" style="69" customWidth="1"/>
    <col min="16142" max="16142" width="19.109375" style="69" customWidth="1"/>
    <col min="16143" max="16381" width="8.88671875" style="69"/>
    <col min="16382" max="16384" width="10" style="69" customWidth="1"/>
  </cols>
  <sheetData>
    <row r="1" spans="1:20" s="66" customFormat="1" ht="20.100000000000001" customHeight="1">
      <c r="A1" s="560" t="s">
        <v>0</v>
      </c>
      <c r="B1" s="560"/>
      <c r="C1" s="560"/>
      <c r="D1" s="560"/>
      <c r="E1" s="560"/>
      <c r="F1" s="560"/>
      <c r="G1" s="560"/>
      <c r="H1" s="560"/>
      <c r="I1" s="560"/>
      <c r="J1" s="560"/>
      <c r="K1" s="560"/>
      <c r="L1" s="560"/>
      <c r="M1" s="560"/>
      <c r="N1" s="560"/>
      <c r="O1" s="65"/>
      <c r="P1" s="65"/>
      <c r="Q1" s="65"/>
      <c r="R1" s="65"/>
      <c r="S1" s="65"/>
      <c r="T1" s="65"/>
    </row>
    <row r="2" spans="1:20" s="65" customFormat="1" ht="20.100000000000001" customHeight="1">
      <c r="A2" s="561" t="s">
        <v>166</v>
      </c>
      <c r="B2" s="562"/>
      <c r="C2" s="562"/>
      <c r="D2" s="562"/>
      <c r="E2" s="562"/>
      <c r="F2" s="562"/>
      <c r="G2" s="562"/>
      <c r="H2" s="562"/>
      <c r="I2" s="562"/>
      <c r="J2" s="562"/>
      <c r="K2" s="562"/>
      <c r="L2" s="562"/>
      <c r="M2" s="562"/>
      <c r="N2" s="562"/>
      <c r="O2" s="193"/>
    </row>
    <row r="3" spans="1:20" s="67" customFormat="1" ht="20.100000000000001" customHeight="1">
      <c r="A3" s="14" t="str">
        <f>底稿目录!A2</f>
        <v>被审计单位：</v>
      </c>
      <c r="E3" s="68" t="str">
        <f>底稿目录!A4</f>
        <v>编制人：</v>
      </c>
      <c r="H3" s="68" t="str">
        <f>底稿目录!A5</f>
        <v>编制日期：</v>
      </c>
      <c r="I3" s="68"/>
      <c r="J3" s="68"/>
      <c r="L3" s="56"/>
      <c r="M3" s="59" t="s">
        <v>334</v>
      </c>
      <c r="N3" s="327" t="s">
        <v>335</v>
      </c>
    </row>
    <row r="4" spans="1:20" s="67" customFormat="1" ht="20.100000000000001" customHeight="1">
      <c r="A4" s="14" t="str">
        <f>底稿目录!A3</f>
        <v>截止日：202X年12月31日</v>
      </c>
      <c r="E4" s="68" t="str">
        <f>底稿目录!A6</f>
        <v>复核人：</v>
      </c>
      <c r="H4" s="68" t="str">
        <f>底稿目录!A7</f>
        <v>复核日期：</v>
      </c>
      <c r="I4" s="68"/>
      <c r="J4" s="68"/>
      <c r="L4" s="56"/>
      <c r="M4" s="307" t="s">
        <v>336</v>
      </c>
      <c r="N4" s="56"/>
    </row>
    <row r="5" spans="1:20" ht="20.100000000000001" customHeight="1">
      <c r="A5" s="563" t="s">
        <v>345</v>
      </c>
      <c r="B5" s="563" t="s">
        <v>338</v>
      </c>
      <c r="C5" s="563" t="s">
        <v>346</v>
      </c>
      <c r="D5" s="564" t="s">
        <v>339</v>
      </c>
      <c r="E5" s="564" t="s">
        <v>347</v>
      </c>
      <c r="F5" s="564" t="s">
        <v>348</v>
      </c>
      <c r="G5" s="566" t="s">
        <v>375</v>
      </c>
      <c r="H5" s="567"/>
      <c r="I5" s="567"/>
      <c r="J5" s="567"/>
      <c r="K5" s="567"/>
      <c r="L5" s="567"/>
      <c r="M5" s="568"/>
      <c r="N5" s="563" t="s">
        <v>340</v>
      </c>
    </row>
    <row r="6" spans="1:20" ht="37.65" customHeight="1">
      <c r="A6" s="563"/>
      <c r="B6" s="563"/>
      <c r="C6" s="563"/>
      <c r="D6" s="565"/>
      <c r="E6" s="565"/>
      <c r="F6" s="565"/>
      <c r="G6" s="251" t="s">
        <v>349</v>
      </c>
      <c r="H6" s="251" t="s">
        <v>341</v>
      </c>
      <c r="I6" s="251" t="s">
        <v>343</v>
      </c>
      <c r="J6" s="251" t="s">
        <v>342</v>
      </c>
      <c r="K6" s="251" t="s">
        <v>350</v>
      </c>
      <c r="L6" s="251" t="s">
        <v>337</v>
      </c>
      <c r="M6" s="251" t="s">
        <v>344</v>
      </c>
      <c r="N6" s="563"/>
      <c r="O6" s="218"/>
    </row>
    <row r="7" spans="1:20" ht="24" customHeight="1">
      <c r="A7" s="70">
        <v>1</v>
      </c>
      <c r="B7" s="71"/>
      <c r="C7" s="420"/>
      <c r="D7" s="70"/>
      <c r="E7" s="70"/>
      <c r="F7" s="70"/>
      <c r="G7" s="72"/>
      <c r="H7" s="72"/>
      <c r="I7" s="72"/>
      <c r="J7" s="72"/>
      <c r="K7" s="72"/>
      <c r="L7" s="216"/>
      <c r="M7" s="420"/>
      <c r="N7" s="420"/>
    </row>
    <row r="8" spans="1:20" ht="20.100000000000001" customHeight="1">
      <c r="A8" s="70">
        <v>2</v>
      </c>
      <c r="B8" s="71"/>
      <c r="C8" s="71"/>
      <c r="D8" s="70"/>
      <c r="E8" s="70"/>
      <c r="F8" s="70"/>
      <c r="G8" s="72"/>
      <c r="H8" s="72"/>
      <c r="I8" s="72"/>
      <c r="J8" s="72"/>
      <c r="K8" s="72"/>
      <c r="L8" s="216"/>
      <c r="M8" s="72"/>
      <c r="N8" s="70"/>
    </row>
    <row r="9" spans="1:20" ht="20.100000000000001" customHeight="1">
      <c r="A9" s="70">
        <v>3</v>
      </c>
      <c r="B9" s="71"/>
      <c r="C9" s="71"/>
      <c r="D9" s="70"/>
      <c r="E9" s="70"/>
      <c r="F9" s="70"/>
      <c r="G9" s="72"/>
      <c r="H9" s="72"/>
      <c r="I9" s="72"/>
      <c r="J9" s="72"/>
      <c r="K9" s="72"/>
      <c r="L9" s="216"/>
      <c r="M9" s="72"/>
      <c r="N9" s="70"/>
    </row>
    <row r="10" spans="1:20" ht="20.100000000000001" customHeight="1">
      <c r="A10" s="70">
        <v>4</v>
      </c>
      <c r="B10" s="71"/>
      <c r="C10" s="71"/>
      <c r="D10" s="70"/>
      <c r="E10" s="70"/>
      <c r="F10" s="70"/>
      <c r="G10" s="72"/>
      <c r="H10" s="72"/>
      <c r="I10" s="72"/>
      <c r="J10" s="72"/>
      <c r="K10" s="72"/>
      <c r="L10" s="216"/>
      <c r="M10" s="72"/>
      <c r="N10" s="70"/>
    </row>
    <row r="11" spans="1:20" ht="20.100000000000001" customHeight="1">
      <c r="A11" s="70">
        <v>5</v>
      </c>
      <c r="B11" s="71"/>
      <c r="C11" s="71"/>
      <c r="D11" s="70"/>
      <c r="E11" s="70"/>
      <c r="F11" s="70"/>
      <c r="G11" s="72"/>
      <c r="H11" s="72"/>
      <c r="I11" s="72"/>
      <c r="J11" s="72"/>
      <c r="K11" s="72"/>
      <c r="L11" s="216"/>
      <c r="M11" s="72"/>
      <c r="N11" s="70"/>
    </row>
    <row r="12" spans="1:20" ht="20.100000000000001" customHeight="1">
      <c r="A12" s="70">
        <v>6</v>
      </c>
      <c r="B12" s="71"/>
      <c r="C12" s="71"/>
      <c r="D12" s="70"/>
      <c r="E12" s="70"/>
      <c r="F12" s="70"/>
      <c r="G12" s="72"/>
      <c r="H12" s="72"/>
      <c r="I12" s="72"/>
      <c r="J12" s="72"/>
      <c r="K12" s="72"/>
      <c r="L12" s="216"/>
      <c r="M12" s="72"/>
      <c r="N12" s="70"/>
    </row>
    <row r="13" spans="1:20" ht="20.100000000000001" customHeight="1">
      <c r="A13" s="70">
        <v>7</v>
      </c>
      <c r="B13" s="71"/>
      <c r="C13" s="71"/>
      <c r="D13" s="70"/>
      <c r="E13" s="70"/>
      <c r="F13" s="70"/>
      <c r="G13" s="72"/>
      <c r="H13" s="72"/>
      <c r="I13" s="72"/>
      <c r="J13" s="72"/>
      <c r="K13" s="72"/>
      <c r="L13" s="216"/>
      <c r="M13" s="72"/>
      <c r="N13" s="70"/>
    </row>
    <row r="14" spans="1:20" ht="20.100000000000001" customHeight="1">
      <c r="A14" s="70">
        <v>8</v>
      </c>
      <c r="B14" s="71"/>
      <c r="C14" s="71"/>
      <c r="D14" s="70"/>
      <c r="E14" s="70"/>
      <c r="F14" s="70"/>
      <c r="G14" s="72"/>
      <c r="H14" s="72"/>
      <c r="I14" s="72"/>
      <c r="J14" s="72"/>
      <c r="K14" s="72"/>
      <c r="L14" s="216"/>
      <c r="M14" s="72"/>
      <c r="N14" s="70"/>
    </row>
    <row r="15" spans="1:20" ht="20.100000000000001" customHeight="1">
      <c r="A15" s="70">
        <v>9</v>
      </c>
      <c r="B15" s="71"/>
      <c r="C15" s="71"/>
      <c r="D15" s="70"/>
      <c r="E15" s="70"/>
      <c r="F15" s="70"/>
      <c r="G15" s="72"/>
      <c r="H15" s="72"/>
      <c r="I15" s="72"/>
      <c r="J15" s="72"/>
      <c r="K15" s="72"/>
      <c r="L15" s="216"/>
      <c r="M15" s="72"/>
      <c r="N15" s="70"/>
    </row>
    <row r="16" spans="1:20" ht="20.100000000000001" customHeight="1">
      <c r="A16" s="70">
        <v>10</v>
      </c>
      <c r="B16" s="71"/>
      <c r="C16" s="71"/>
      <c r="D16" s="70"/>
      <c r="E16" s="70"/>
      <c r="F16" s="70"/>
      <c r="G16" s="72"/>
      <c r="H16" s="72"/>
      <c r="I16" s="72"/>
      <c r="J16" s="72"/>
      <c r="K16" s="72"/>
      <c r="L16" s="216"/>
      <c r="M16" s="72"/>
      <c r="N16" s="70"/>
    </row>
    <row r="17" spans="1:15" ht="20.100000000000001" customHeight="1">
      <c r="A17" s="164" t="s">
        <v>164</v>
      </c>
      <c r="B17" s="73"/>
      <c r="C17" s="73"/>
      <c r="D17" s="73"/>
      <c r="E17" s="73"/>
      <c r="F17" s="73"/>
      <c r="G17" s="73"/>
      <c r="H17" s="73"/>
      <c r="I17" s="73"/>
      <c r="J17" s="73"/>
      <c r="K17" s="73"/>
      <c r="L17" s="73"/>
      <c r="M17" s="73"/>
      <c r="N17" s="73"/>
      <c r="O17" s="173"/>
    </row>
    <row r="18" spans="1:15" ht="20.100000000000001" customHeight="1">
      <c r="A18" s="217" t="s">
        <v>520</v>
      </c>
      <c r="B18" s="73"/>
      <c r="C18" s="73"/>
      <c r="D18" s="73"/>
      <c r="E18" s="73"/>
      <c r="F18" s="73"/>
      <c r="G18" s="73"/>
      <c r="H18" s="73"/>
      <c r="I18" s="73"/>
      <c r="J18" s="73"/>
      <c r="K18" s="73"/>
      <c r="L18" s="73"/>
      <c r="M18" s="73"/>
      <c r="N18" s="73"/>
      <c r="O18" s="431"/>
    </row>
    <row r="19" spans="1:15" ht="20.100000000000001" customHeight="1">
      <c r="A19" s="54"/>
      <c r="B19" s="73"/>
      <c r="C19" s="73"/>
      <c r="D19" s="73"/>
      <c r="E19" s="73"/>
      <c r="F19" s="73"/>
      <c r="G19" s="73"/>
      <c r="H19" s="73"/>
      <c r="I19" s="73"/>
      <c r="J19" s="73"/>
      <c r="K19" s="73"/>
      <c r="L19" s="73"/>
      <c r="M19" s="73"/>
      <c r="N19" s="73"/>
    </row>
    <row r="20" spans="1:15" ht="20.100000000000001" customHeight="1">
      <c r="A20" s="164" t="s">
        <v>165</v>
      </c>
      <c r="B20" s="73"/>
      <c r="C20" s="73"/>
      <c r="D20" s="73"/>
      <c r="E20" s="73"/>
      <c r="F20" s="73"/>
      <c r="G20" s="73"/>
      <c r="H20" s="73"/>
      <c r="I20" s="73"/>
      <c r="J20" s="73"/>
      <c r="K20" s="73"/>
      <c r="L20" s="73"/>
      <c r="M20" s="73"/>
      <c r="N20" s="73"/>
    </row>
    <row r="21" spans="1:15" ht="20.100000000000001" customHeight="1">
      <c r="A21" s="73"/>
      <c r="B21" s="73"/>
      <c r="C21" s="73"/>
      <c r="D21" s="73"/>
      <c r="E21" s="73"/>
      <c r="F21" s="73"/>
      <c r="G21" s="73"/>
      <c r="H21" s="73"/>
      <c r="I21" s="73"/>
      <c r="J21" s="73"/>
      <c r="K21" s="73"/>
      <c r="L21" s="73"/>
      <c r="M21" s="73"/>
      <c r="N21" s="73"/>
    </row>
    <row r="22" spans="1:15" ht="20.100000000000001" customHeight="1">
      <c r="A22" s="559"/>
      <c r="B22" s="559"/>
      <c r="C22" s="559"/>
      <c r="D22" s="559"/>
      <c r="E22" s="559"/>
      <c r="F22" s="559"/>
      <c r="G22" s="559"/>
      <c r="H22" s="559"/>
      <c r="I22" s="559"/>
      <c r="J22" s="559"/>
      <c r="K22" s="559"/>
      <c r="L22" s="559"/>
      <c r="M22" s="559"/>
      <c r="N22" s="559"/>
    </row>
    <row r="23" spans="1:15" ht="18" customHeight="1">
      <c r="A23" s="308" t="s">
        <v>181</v>
      </c>
      <c r="B23" s="73"/>
      <c r="C23" s="73"/>
      <c r="D23" s="73"/>
      <c r="E23" s="73"/>
      <c r="F23" s="73"/>
      <c r="G23" s="73"/>
      <c r="H23" s="73"/>
      <c r="I23" s="73"/>
      <c r="J23" s="73"/>
      <c r="K23" s="73"/>
      <c r="L23" s="73"/>
      <c r="M23" s="73"/>
      <c r="N23" s="73"/>
    </row>
    <row r="24" spans="1:15" ht="18" customHeight="1">
      <c r="A24" s="308" t="s">
        <v>182</v>
      </c>
      <c r="B24" s="73"/>
      <c r="C24" s="73"/>
      <c r="D24" s="73"/>
      <c r="E24" s="73"/>
      <c r="F24" s="73"/>
      <c r="G24" s="73"/>
      <c r="H24" s="73"/>
      <c r="I24" s="73"/>
      <c r="J24" s="73"/>
      <c r="K24" s="73"/>
      <c r="L24" s="73"/>
      <c r="M24" s="73"/>
      <c r="N24" s="73"/>
    </row>
    <row r="25" spans="1:15" ht="18" customHeight="1">
      <c r="A25" s="165" t="s">
        <v>170</v>
      </c>
      <c r="B25" s="73"/>
      <c r="C25" s="73"/>
      <c r="D25" s="73"/>
      <c r="E25" s="73"/>
      <c r="F25" s="73"/>
      <c r="G25" s="73"/>
      <c r="H25" s="73"/>
      <c r="I25" s="73"/>
      <c r="J25" s="73"/>
      <c r="K25" s="73"/>
      <c r="L25" s="73"/>
      <c r="M25" s="73"/>
      <c r="N25" s="73"/>
    </row>
    <row r="26" spans="1:15" ht="18" customHeight="1">
      <c r="A26" s="167" t="s">
        <v>172</v>
      </c>
    </row>
    <row r="27" spans="1:15" s="166" customFormat="1" ht="18" customHeight="1">
      <c r="A27" s="167" t="s">
        <v>173</v>
      </c>
    </row>
    <row r="28" spans="1:15" s="166" customFormat="1" ht="18" customHeight="1">
      <c r="A28" s="167" t="s">
        <v>167</v>
      </c>
    </row>
    <row r="29" spans="1:15" s="166" customFormat="1" ht="18" customHeight="1">
      <c r="A29" s="168" t="s">
        <v>169</v>
      </c>
      <c r="D29" s="169" t="s">
        <v>186</v>
      </c>
    </row>
    <row r="30" spans="1:15" s="166" customFormat="1" ht="18" customHeight="1">
      <c r="A30" s="167" t="s">
        <v>174</v>
      </c>
    </row>
    <row r="31" spans="1:15" s="166" customFormat="1" ht="18" customHeight="1">
      <c r="A31" s="167" t="s">
        <v>175</v>
      </c>
    </row>
    <row r="32" spans="1:15" s="166" customFormat="1" ht="18" customHeight="1">
      <c r="A32" s="167" t="s">
        <v>168</v>
      </c>
    </row>
    <row r="33" spans="1:1" s="166" customFormat="1" ht="18" customHeight="1">
      <c r="A33" s="167" t="s">
        <v>177</v>
      </c>
    </row>
    <row r="34" spans="1:1" s="166" customFormat="1" ht="18" customHeight="1">
      <c r="A34" s="167" t="s">
        <v>176</v>
      </c>
    </row>
    <row r="35" spans="1:1" s="166" customFormat="1" ht="18" customHeight="1">
      <c r="A35" s="168" t="s">
        <v>171</v>
      </c>
    </row>
    <row r="36" spans="1:1" s="166" customFormat="1" ht="18" customHeight="1">
      <c r="A36" s="167" t="s">
        <v>178</v>
      </c>
    </row>
    <row r="37" spans="1:1" s="166" customFormat="1" ht="18" customHeight="1">
      <c r="A37" s="167" t="s">
        <v>179</v>
      </c>
    </row>
    <row r="38" spans="1:1" s="166" customFormat="1" ht="18" customHeight="1">
      <c r="A38" s="169" t="s">
        <v>180</v>
      </c>
    </row>
    <row r="39" spans="1:1" s="166" customFormat="1">
      <c r="A39" s="169"/>
    </row>
    <row r="40" spans="1:1" s="166" customFormat="1"/>
  </sheetData>
  <mergeCells count="11">
    <mergeCell ref="A22:N22"/>
    <mergeCell ref="A1:N1"/>
    <mergeCell ref="A2:N2"/>
    <mergeCell ref="A5:A6"/>
    <mergeCell ref="B5:B6"/>
    <mergeCell ref="C5:C6"/>
    <mergeCell ref="N5:N6"/>
    <mergeCell ref="E5:E6"/>
    <mergeCell ref="D5:D6"/>
    <mergeCell ref="F5:F6"/>
    <mergeCell ref="G5:M5"/>
  </mergeCells>
  <phoneticPr fontId="5" type="noConversion"/>
  <dataValidations count="2">
    <dataValidation type="list" allowBlank="1" showInputMessage="1" showErrorMessage="1" sqref="D7:D16">
      <formula1>"传真,电子邮件"</formula1>
    </dataValidation>
    <dataValidation type="list" allowBlank="1" showInputMessage="1" showErrorMessage="1" sqref="L7:L16 E7:F16">
      <formula1>"是,否"</formula1>
    </dataValidation>
  </dataValidations>
  <hyperlinks>
    <hyperlink ref="N3" location="底稿目录!A1" display="F0-7"/>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view="pageBreakPreview" zoomScaleNormal="100" zoomScaleSheetLayoutView="100" workbookViewId="0">
      <selection activeCell="I3" sqref="I3"/>
    </sheetView>
  </sheetViews>
  <sheetFormatPr defaultRowHeight="13.8"/>
  <cols>
    <col min="3" max="3" width="14.33203125" customWidth="1"/>
    <col min="6" max="6" width="18" customWidth="1"/>
    <col min="7" max="7" width="10.77734375" style="309" customWidth="1"/>
    <col min="8" max="8" width="19.21875" customWidth="1"/>
    <col min="9" max="9" width="44.6640625" customWidth="1"/>
  </cols>
  <sheetData>
    <row r="1" spans="1:10" ht="20.100000000000001" customHeight="1">
      <c r="A1" s="572" t="s">
        <v>228</v>
      </c>
      <c r="B1" s="572"/>
      <c r="C1" s="572"/>
      <c r="D1" s="572"/>
      <c r="E1" s="572"/>
      <c r="F1" s="572"/>
      <c r="G1" s="572"/>
      <c r="H1" s="572"/>
      <c r="I1" s="572"/>
    </row>
    <row r="2" spans="1:10" ht="20.100000000000001" customHeight="1">
      <c r="A2" s="573" t="s">
        <v>184</v>
      </c>
      <c r="B2" s="574"/>
      <c r="C2" s="574"/>
      <c r="D2" s="574"/>
      <c r="E2" s="574"/>
      <c r="F2" s="574"/>
      <c r="G2" s="574"/>
      <c r="H2" s="574"/>
      <c r="I2" s="574"/>
      <c r="J2" s="193"/>
    </row>
    <row r="3" spans="1:10" ht="20.100000000000001" customHeight="1">
      <c r="A3" s="170" t="str">
        <f>底稿目录!A2</f>
        <v>被审计单位：</v>
      </c>
      <c r="B3" s="148"/>
      <c r="C3" s="149"/>
      <c r="D3" s="148" t="str">
        <f>底稿目录!A4</f>
        <v>编制人：</v>
      </c>
      <c r="F3" s="148" t="str">
        <f>底稿目录!A5</f>
        <v>编制日期：</v>
      </c>
      <c r="H3" s="310" t="s">
        <v>351</v>
      </c>
      <c r="I3" s="328" t="s">
        <v>353</v>
      </c>
    </row>
    <row r="4" spans="1:10" ht="20.100000000000001" customHeight="1">
      <c r="A4" s="171" t="str">
        <f>底稿目录!A3</f>
        <v>截止日：202X年12月31日</v>
      </c>
      <c r="B4" s="148"/>
      <c r="C4" s="149"/>
      <c r="D4" s="148" t="str">
        <f>底稿目录!A6</f>
        <v>复核人：</v>
      </c>
      <c r="F4" s="148" t="str">
        <f>底稿目录!A7</f>
        <v>复核日期：</v>
      </c>
      <c r="H4" s="310" t="s">
        <v>354</v>
      </c>
      <c r="I4" s="172" t="s">
        <v>352</v>
      </c>
    </row>
    <row r="5" spans="1:10" s="313" customFormat="1" ht="20.100000000000001" customHeight="1">
      <c r="A5" s="575" t="s">
        <v>357</v>
      </c>
      <c r="B5" s="575"/>
      <c r="C5" s="575"/>
      <c r="D5" s="575"/>
      <c r="E5" s="575"/>
      <c r="F5" s="575"/>
      <c r="G5" s="252" t="s">
        <v>361</v>
      </c>
      <c r="H5" s="252" t="s">
        <v>358</v>
      </c>
      <c r="I5" s="252" t="s">
        <v>362</v>
      </c>
    </row>
    <row r="6" spans="1:10" s="313" customFormat="1" ht="20.100000000000001" customHeight="1">
      <c r="A6" s="576" t="s">
        <v>355</v>
      </c>
      <c r="B6" s="576"/>
      <c r="C6" s="576"/>
      <c r="D6" s="576"/>
      <c r="E6" s="576"/>
      <c r="F6" s="576"/>
      <c r="G6" s="311"/>
      <c r="H6" s="312"/>
      <c r="I6" s="312"/>
    </row>
    <row r="7" spans="1:10" s="313" customFormat="1" ht="20.100000000000001" customHeight="1">
      <c r="A7" s="569" t="s">
        <v>359</v>
      </c>
      <c r="B7" s="570"/>
      <c r="C7" s="570"/>
      <c r="D7" s="570"/>
      <c r="E7" s="570"/>
      <c r="F7" s="571"/>
      <c r="G7" s="311"/>
      <c r="H7" s="312"/>
      <c r="I7" s="312"/>
    </row>
    <row r="8" spans="1:10" s="313" customFormat="1" ht="24" customHeight="1">
      <c r="A8" s="569" t="s">
        <v>561</v>
      </c>
      <c r="B8" s="570"/>
      <c r="C8" s="570"/>
      <c r="D8" s="570"/>
      <c r="E8" s="570"/>
      <c r="F8" s="571"/>
      <c r="G8" s="311"/>
      <c r="H8" s="312"/>
      <c r="I8" s="312"/>
    </row>
    <row r="9" spans="1:10" s="313" customFormat="1" ht="20.100000000000001" customHeight="1">
      <c r="A9" s="569" t="s">
        <v>562</v>
      </c>
      <c r="B9" s="570"/>
      <c r="C9" s="570"/>
      <c r="D9" s="570"/>
      <c r="E9" s="570"/>
      <c r="F9" s="571"/>
      <c r="G9" s="311"/>
      <c r="H9" s="312"/>
      <c r="I9" s="312"/>
    </row>
    <row r="10" spans="1:10" s="313" customFormat="1" ht="20.100000000000001" customHeight="1">
      <c r="A10" s="569" t="s">
        <v>563</v>
      </c>
      <c r="B10" s="570"/>
      <c r="C10" s="570"/>
      <c r="D10" s="570"/>
      <c r="E10" s="570"/>
      <c r="F10" s="571"/>
      <c r="G10" s="311"/>
      <c r="H10" s="312"/>
      <c r="I10" s="312"/>
    </row>
    <row r="11" spans="1:10" s="313" customFormat="1" ht="20.100000000000001" customHeight="1">
      <c r="A11" s="569" t="s">
        <v>564</v>
      </c>
      <c r="B11" s="570"/>
      <c r="C11" s="570"/>
      <c r="D11" s="570"/>
      <c r="E11" s="570"/>
      <c r="F11" s="571"/>
      <c r="G11" s="311"/>
      <c r="H11" s="312"/>
      <c r="I11" s="312"/>
    </row>
    <row r="12" spans="1:10" s="313" customFormat="1" ht="20.100000000000001" customHeight="1">
      <c r="A12" s="569" t="s">
        <v>565</v>
      </c>
      <c r="B12" s="570"/>
      <c r="C12" s="570"/>
      <c r="D12" s="570"/>
      <c r="E12" s="570"/>
      <c r="F12" s="571"/>
      <c r="G12" s="311"/>
      <c r="H12" s="312"/>
      <c r="I12" s="312"/>
    </row>
    <row r="13" spans="1:10" s="313" customFormat="1" ht="20.100000000000001" customHeight="1">
      <c r="A13" s="569" t="s">
        <v>566</v>
      </c>
      <c r="B13" s="570"/>
      <c r="C13" s="570"/>
      <c r="D13" s="570"/>
      <c r="E13" s="570"/>
      <c r="F13" s="571"/>
      <c r="G13" s="311"/>
      <c r="H13" s="312"/>
      <c r="I13" s="312"/>
    </row>
    <row r="14" spans="1:10" s="313" customFormat="1" ht="20.100000000000001" customHeight="1">
      <c r="A14" s="569" t="s">
        <v>567</v>
      </c>
      <c r="B14" s="570"/>
      <c r="C14" s="570"/>
      <c r="D14" s="570"/>
      <c r="E14" s="570"/>
      <c r="F14" s="571"/>
      <c r="G14" s="460"/>
      <c r="H14" s="461"/>
      <c r="I14" s="461"/>
    </row>
    <row r="15" spans="1:10" s="313" customFormat="1" ht="31.65" customHeight="1">
      <c r="A15" s="569" t="s">
        <v>568</v>
      </c>
      <c r="B15" s="570"/>
      <c r="C15" s="570"/>
      <c r="D15" s="570"/>
      <c r="E15" s="570"/>
      <c r="F15" s="571"/>
      <c r="G15" s="311"/>
      <c r="H15" s="312"/>
      <c r="I15" s="312"/>
    </row>
    <row r="16" spans="1:10" s="313" customFormat="1" ht="20.100000000000001" customHeight="1">
      <c r="A16" s="569" t="s">
        <v>569</v>
      </c>
      <c r="B16" s="570"/>
      <c r="C16" s="570"/>
      <c r="D16" s="570"/>
      <c r="E16" s="570"/>
      <c r="F16" s="571"/>
      <c r="G16" s="311"/>
      <c r="H16" s="312"/>
      <c r="I16" s="312"/>
    </row>
    <row r="17" spans="1:10" s="313" customFormat="1" ht="43.35" customHeight="1">
      <c r="A17" s="569" t="s">
        <v>570</v>
      </c>
      <c r="B17" s="570"/>
      <c r="C17" s="570"/>
      <c r="D17" s="570"/>
      <c r="E17" s="570"/>
      <c r="F17" s="571"/>
      <c r="G17" s="311"/>
      <c r="I17" s="312"/>
    </row>
    <row r="18" spans="1:10" s="313" customFormat="1" ht="20.100000000000001" customHeight="1">
      <c r="A18" s="569" t="s">
        <v>571</v>
      </c>
      <c r="B18" s="570"/>
      <c r="C18" s="570"/>
      <c r="D18" s="570"/>
      <c r="E18" s="570"/>
      <c r="F18" s="571"/>
      <c r="G18" s="311"/>
      <c r="H18" s="312"/>
      <c r="I18" s="312"/>
    </row>
    <row r="19" spans="1:10" s="313" customFormat="1" ht="20.100000000000001" customHeight="1">
      <c r="A19" s="569" t="s">
        <v>572</v>
      </c>
      <c r="B19" s="570"/>
      <c r="C19" s="570"/>
      <c r="D19" s="570"/>
      <c r="E19" s="570"/>
      <c r="F19" s="571"/>
      <c r="G19" s="311"/>
      <c r="H19" s="312"/>
      <c r="I19" s="312"/>
      <c r="J19" s="314" t="s">
        <v>363</v>
      </c>
    </row>
    <row r="20" spans="1:10" s="313" customFormat="1" ht="29.4" customHeight="1">
      <c r="A20" s="569" t="s">
        <v>573</v>
      </c>
      <c r="B20" s="570"/>
      <c r="C20" s="570"/>
      <c r="D20" s="570"/>
      <c r="E20" s="570"/>
      <c r="F20" s="571"/>
      <c r="G20" s="311"/>
      <c r="H20" s="312"/>
      <c r="I20" s="312"/>
      <c r="J20" s="314" t="s">
        <v>360</v>
      </c>
    </row>
    <row r="21" spans="1:10" s="313" customFormat="1" ht="32.4" customHeight="1">
      <c r="A21" s="569" t="s">
        <v>574</v>
      </c>
      <c r="B21" s="570"/>
      <c r="C21" s="570"/>
      <c r="D21" s="570"/>
      <c r="E21" s="570"/>
      <c r="F21" s="571"/>
      <c r="G21" s="311"/>
      <c r="H21" s="312"/>
      <c r="I21" s="312"/>
    </row>
    <row r="22" spans="1:10" s="313" customFormat="1" ht="20.100000000000001" customHeight="1">
      <c r="A22" s="585" t="s">
        <v>575</v>
      </c>
      <c r="B22" s="586"/>
      <c r="C22" s="586"/>
      <c r="D22" s="586"/>
      <c r="E22" s="586"/>
      <c r="F22" s="587"/>
      <c r="G22" s="311"/>
      <c r="H22" s="312"/>
      <c r="I22" s="312"/>
    </row>
    <row r="23" spans="1:10" s="313" customFormat="1" ht="20.100000000000001" customHeight="1">
      <c r="A23" s="585" t="s">
        <v>576</v>
      </c>
      <c r="B23" s="586"/>
      <c r="C23" s="586"/>
      <c r="D23" s="586"/>
      <c r="E23" s="586"/>
      <c r="F23" s="587"/>
      <c r="G23" s="460"/>
      <c r="H23" s="461"/>
      <c r="I23" s="461"/>
    </row>
    <row r="24" spans="1:10" s="313" customFormat="1" ht="30" customHeight="1">
      <c r="A24" s="585" t="s">
        <v>577</v>
      </c>
      <c r="B24" s="586"/>
      <c r="C24" s="586"/>
      <c r="D24" s="586"/>
      <c r="E24" s="586"/>
      <c r="F24" s="587"/>
      <c r="G24" s="460"/>
      <c r="H24" s="461"/>
      <c r="I24" s="461"/>
    </row>
    <row r="25" spans="1:10" s="313" customFormat="1" ht="20.100000000000001" customHeight="1">
      <c r="A25" s="577" t="s">
        <v>578</v>
      </c>
      <c r="B25" s="578"/>
      <c r="C25" s="578"/>
      <c r="D25" s="578"/>
      <c r="E25" s="578"/>
      <c r="F25" s="579"/>
      <c r="G25" s="311"/>
      <c r="H25" s="312"/>
      <c r="I25" s="312"/>
    </row>
    <row r="26" spans="1:10" s="313" customFormat="1" ht="30" customHeight="1">
      <c r="A26" s="580" t="s">
        <v>579</v>
      </c>
      <c r="B26" s="581"/>
      <c r="C26" s="581"/>
      <c r="D26" s="581"/>
      <c r="E26" s="581"/>
      <c r="F26" s="582"/>
      <c r="G26" s="311"/>
      <c r="H26" s="150" t="s">
        <v>146</v>
      </c>
      <c r="I26" s="312"/>
    </row>
    <row r="27" spans="1:10" s="313" customFormat="1" ht="20.100000000000001" customHeight="1">
      <c r="A27" s="315" t="s">
        <v>356</v>
      </c>
      <c r="B27" s="315"/>
      <c r="C27" s="315"/>
      <c r="D27" s="315"/>
      <c r="E27" s="315"/>
      <c r="F27" s="315"/>
      <c r="G27" s="316"/>
      <c r="H27" s="315"/>
      <c r="I27" s="315"/>
    </row>
    <row r="28" spans="1:10" s="313" customFormat="1" ht="20.100000000000001" customHeight="1">
      <c r="A28" s="52"/>
      <c r="B28" s="52"/>
      <c r="C28" s="52"/>
      <c r="D28" s="52"/>
      <c r="E28" s="52"/>
      <c r="F28" s="52"/>
      <c r="G28" s="432"/>
      <c r="H28" s="52"/>
      <c r="I28" s="52"/>
    </row>
    <row r="29" spans="1:10" s="313" customFormat="1" ht="20.100000000000001" customHeight="1">
      <c r="A29" s="164" t="s">
        <v>165</v>
      </c>
      <c r="B29" s="52"/>
      <c r="C29" s="52"/>
      <c r="D29" s="52"/>
      <c r="E29" s="52"/>
      <c r="F29" s="52"/>
      <c r="G29" s="432"/>
      <c r="H29" s="52"/>
      <c r="I29" s="52"/>
    </row>
    <row r="30" spans="1:10" s="313" customFormat="1" ht="20.100000000000001" customHeight="1">
      <c r="A30" s="317"/>
      <c r="B30" s="317"/>
      <c r="C30" s="317"/>
      <c r="D30" s="317"/>
      <c r="E30" s="317"/>
      <c r="F30" s="317"/>
      <c r="G30" s="318"/>
      <c r="H30" s="317"/>
      <c r="I30" s="317"/>
    </row>
    <row r="31" spans="1:10" ht="108.6" customHeight="1">
      <c r="A31" s="583" t="s">
        <v>183</v>
      </c>
      <c r="B31" s="584"/>
      <c r="C31" s="584"/>
      <c r="D31" s="584"/>
      <c r="E31" s="584"/>
      <c r="F31" s="584"/>
      <c r="G31" s="584"/>
      <c r="H31" s="584"/>
      <c r="I31" s="584"/>
    </row>
  </sheetData>
  <mergeCells count="25">
    <mergeCell ref="A21:F21"/>
    <mergeCell ref="A25:F25"/>
    <mergeCell ref="A26:F26"/>
    <mergeCell ref="A31:I31"/>
    <mergeCell ref="A22:F22"/>
    <mergeCell ref="A23:F23"/>
    <mergeCell ref="A24:F24"/>
    <mergeCell ref="A16:F16"/>
    <mergeCell ref="A17:F17"/>
    <mergeCell ref="A18:F18"/>
    <mergeCell ref="A19:F19"/>
    <mergeCell ref="A20:F20"/>
    <mergeCell ref="A15:F15"/>
    <mergeCell ref="A1:I1"/>
    <mergeCell ref="A2:I2"/>
    <mergeCell ref="A5:F5"/>
    <mergeCell ref="A6:F6"/>
    <mergeCell ref="A7:F7"/>
    <mergeCell ref="A8:F8"/>
    <mergeCell ref="A9:F9"/>
    <mergeCell ref="A10:F10"/>
    <mergeCell ref="A11:F11"/>
    <mergeCell ref="A12:F12"/>
    <mergeCell ref="A13:F13"/>
    <mergeCell ref="A14:F14"/>
  </mergeCells>
  <phoneticPr fontId="5" type="noConversion"/>
  <dataValidations count="1">
    <dataValidation type="list" allowBlank="1" showInputMessage="1" showErrorMessage="1" sqref="G6:G26">
      <formula1>"是,否"</formula1>
    </dataValidation>
  </dataValidations>
  <hyperlinks>
    <hyperlink ref="I3" location="底稿目录!A1" display="F0-8"/>
  </hyperlinks>
  <pageMargins left="0.70866141732283472" right="0.70866141732283472" top="0.74803149606299213" bottom="0.74803149606299213" header="0.31496062992125984" footer="0.31496062992125984"/>
  <pageSetup paperSize="9" scale="79"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13</vt:i4>
      </vt:variant>
    </vt:vector>
  </HeadingPairs>
  <TitlesOfParts>
    <vt:vector size="24" baseType="lpstr">
      <vt:lpstr>底稿目录</vt:lpstr>
      <vt:lpstr>函证程序表D0A</vt:lpstr>
      <vt:lpstr>函证结果汇总表D0-1</vt:lpstr>
      <vt:lpstr>核实被函证单位信息D0-2</vt:lpstr>
      <vt:lpstr>跟函函证过程控制D0-3</vt:lpstr>
      <vt:lpstr>函证差异调节表D0-4</vt:lpstr>
      <vt:lpstr>函证差异检查表（示例）</vt:lpstr>
      <vt:lpstr>合同负债及销售替代程序D0-5</vt:lpstr>
      <vt:lpstr>应收及销售替代程序D0-6</vt:lpstr>
      <vt:lpstr>邮件传真回函可靠性验证D0-7</vt:lpstr>
      <vt:lpstr>函证程序舞弊风险评价表D0-8</vt:lpstr>
      <vt:lpstr>'跟函函证过程控制D0-3'!Print_Area</vt:lpstr>
      <vt:lpstr>'函证差异调节表D0-4'!Print_Area</vt:lpstr>
      <vt:lpstr>'函证差异检查表（示例）'!Print_Area</vt:lpstr>
      <vt:lpstr>函证程序表D0A!Print_Area</vt:lpstr>
      <vt:lpstr>'函证程序舞弊风险评价表D0-8'!Print_Area</vt:lpstr>
      <vt:lpstr>'函证结果汇总表D0-1'!Print_Area</vt:lpstr>
      <vt:lpstr>'合同负债及销售替代程序D0-5'!Print_Area</vt:lpstr>
      <vt:lpstr>'核实被函证单位信息D0-2'!Print_Area</vt:lpstr>
      <vt:lpstr>'应收及销售替代程序D0-6'!Print_Area</vt:lpstr>
      <vt:lpstr>'邮件传真回函可靠性验证D0-7'!Print_Area</vt:lpstr>
      <vt:lpstr>函证程序表D0A!Print_Titles</vt:lpstr>
      <vt:lpstr>'函证结果汇总表D0-1'!Print_Titles</vt:lpstr>
      <vt:lpstr>'核实被函证单位信息D0-2'!Print_Titles</vt:lpstr>
    </vt:vector>
  </TitlesOfParts>
  <Company>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用户</dc:creator>
  <cp:lastModifiedBy>何先琴</cp:lastModifiedBy>
  <cp:lastPrinted>2025-10-29T07:34:36Z</cp:lastPrinted>
  <dcterms:created xsi:type="dcterms:W3CDTF">2025-06-20T07:24:51Z</dcterms:created>
  <dcterms:modified xsi:type="dcterms:W3CDTF">2025-10-30T07:41:04Z</dcterms:modified>
</cp:coreProperties>
</file>