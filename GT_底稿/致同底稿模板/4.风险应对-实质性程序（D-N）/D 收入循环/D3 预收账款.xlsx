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D 收入循环\"/>
    </mc:Choice>
  </mc:AlternateContent>
  <bookViews>
    <workbookView xWindow="0" yWindow="0" windowWidth="22188" windowHeight="9180" tabRatio="846"/>
  </bookViews>
  <sheets>
    <sheet name="底稿目录" sheetId="1" r:id="rId1"/>
    <sheet name="预收账款实质性程序表D3A" sheetId="59" r:id="rId2"/>
    <sheet name="审定表D3-1" sheetId="46" r:id="rId3"/>
    <sheet name="附注披露信息(上市公司)" sheetId="32" r:id="rId4"/>
    <sheet name="附注披露信息(国企)" sheetId="33" r:id="rId5"/>
    <sheet name="预收账款明细表D3-2" sheetId="22" r:id="rId6"/>
    <sheet name="调整分录汇总表D3-3" sheetId="62" r:id="rId7"/>
    <sheet name="预收账款分析表D3-4" sheetId="66" r:id="rId8"/>
    <sheet name="账龄1年以上的预收账款检查表D3-5" sheetId="50" r:id="rId9"/>
    <sheet name="关联关系及交易检查表D3-6" sheetId="63" r:id="rId10"/>
    <sheet name="预收账款检查表D3-7" sheetId="64" r:id="rId11"/>
    <sheet name="GT_Custom" sheetId="35" state="hidden" r:id="rId12"/>
  </sheets>
  <externalReferences>
    <externalReference r:id="rId13"/>
    <externalReference r:id="rId14"/>
    <externalReference r:id="rId15"/>
  </externalReferences>
  <definedNames>
    <definedName name="AFV">#REF!</definedName>
    <definedName name="AS2DocOpenMode">"AS2DocumentEdit"</definedName>
    <definedName name="CCD">#REF!</definedName>
    <definedName name="CDE">#REF!</definedName>
    <definedName name="DEX">#REF!</definedName>
    <definedName name="EDC">#REF!</definedName>
    <definedName name="FAD">[1]Breakdown!#REF!</definedName>
    <definedName name="FASD">#REF!</definedName>
    <definedName name="FEDC">'[2]2004'!#REF!</definedName>
    <definedName name="_xlnm.Print_Area" localSheetId="0">底稿目录!$A$1:$F$21</definedName>
    <definedName name="_xlnm.Print_Area" localSheetId="6">'调整分录汇总表D3-3'!$A$1:$J$20</definedName>
    <definedName name="_xlnm.Print_Area" localSheetId="4">'附注披露信息(国企)'!$A$1:$D$15</definedName>
    <definedName name="_xlnm.Print_Area" localSheetId="3">'附注披露信息(上市公司)'!$A$1:$D$26</definedName>
    <definedName name="_xlnm.Print_Area" localSheetId="9">'关联关系及交易检查表D3-6'!$A$1:$J$23</definedName>
    <definedName name="_xlnm.Print_Area" localSheetId="2">'审定表D3-1'!$A$1:$L$29</definedName>
    <definedName name="_xlnm.Print_Area" localSheetId="7">'预收账款分析表D3-4'!$A$1:$H$39</definedName>
    <definedName name="_xlnm.Print_Area" localSheetId="10">'预收账款检查表D3-7'!$A$1:$Q$47</definedName>
    <definedName name="_xlnm.Print_Area" localSheetId="5">'预收账款明细表D3-2'!$A$1:$AA$31</definedName>
    <definedName name="_xlnm.Print_Area" localSheetId="1">预收账款实质性程序表D3A!$A$1:$I$28</definedName>
    <definedName name="_xlnm.Print_Area" localSheetId="8">'账龄1年以上的预收账款检查表D3-5'!$A$1:$H$20</definedName>
    <definedName name="RDES">#REF!</definedName>
    <definedName name="TextRefCopyRangeCount">136</definedName>
    <definedName name="VFE">#REF!</definedName>
    <definedName name="XAP">#REF!</definedName>
    <definedName name="XAQ">#REF!</definedName>
    <definedName name="XCD">#REF!</definedName>
    <definedName name="XREF_COLUMN_1">#REF!</definedName>
    <definedName name="XREF_COLUMN_2">[1]Breakdown!#REF!</definedName>
    <definedName name="XREF_COLUMN_3">#REF!</definedName>
    <definedName name="XREF_COLUMN_5">'[2]2004'!#REF!</definedName>
    <definedName name="XRefActiveRow">#REF!</definedName>
    <definedName name="XRefColumnsCount">2</definedName>
    <definedName name="XRefCopy1">#REF!</definedName>
    <definedName name="XRefCopy1Row">#REF!</definedName>
    <definedName name="XRefCopy2Row">#REF!</definedName>
    <definedName name="XRefCopyRangeCount">2</definedName>
    <definedName name="XRefPaste1">#REF!</definedName>
    <definedName name="XRefPaste1Row">#REF!</definedName>
    <definedName name="XRefPaste2">#REF!</definedName>
    <definedName name="XRefPaste2Row">#REF!</definedName>
    <definedName name="XRefPaste3">#REF!</definedName>
    <definedName name="XRefPaste3Row">#REF!</definedName>
    <definedName name="XRefPasteRangeCount">2</definedName>
    <definedName name="本循环科目">[3]索引!$D$15:$D$76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4" i="64" l="1"/>
  <c r="E44" i="64"/>
  <c r="F43" i="64"/>
  <c r="F42" i="64"/>
  <c r="E43" i="64"/>
  <c r="E42" i="64"/>
  <c r="X25" i="22"/>
  <c r="V25" i="22"/>
  <c r="W25" i="22"/>
  <c r="T24" i="22"/>
  <c r="T13" i="22"/>
  <c r="T14" i="22"/>
  <c r="T15" i="22"/>
  <c r="T16" i="22"/>
  <c r="T17" i="22"/>
  <c r="T18" i="22"/>
  <c r="T19" i="22"/>
  <c r="T20" i="22"/>
  <c r="T21" i="22"/>
  <c r="T22" i="22"/>
  <c r="T23" i="22"/>
  <c r="T12" i="22"/>
  <c r="Q12" i="22"/>
  <c r="P24" i="22"/>
  <c r="Q24" i="22"/>
  <c r="Q13" i="22"/>
  <c r="Q14" i="22"/>
  <c r="Q15" i="22"/>
  <c r="Q16" i="22"/>
  <c r="Q17" i="22"/>
  <c r="Q18" i="22"/>
  <c r="Q19" i="22"/>
  <c r="Q20" i="22"/>
  <c r="Q21" i="22"/>
  <c r="Q22" i="22"/>
  <c r="Q23" i="22"/>
  <c r="O12" i="22"/>
  <c r="G44" i="64" l="1"/>
  <c r="G43" i="64"/>
  <c r="G42" i="64"/>
  <c r="Q3" i="64"/>
  <c r="J3" i="63"/>
  <c r="H3" i="50"/>
  <c r="F14" i="50" l="1"/>
  <c r="B14" i="50"/>
  <c r="E4" i="50"/>
  <c r="C4" i="50"/>
  <c r="A4" i="50"/>
  <c r="E3" i="50"/>
  <c r="C3" i="50"/>
  <c r="A3" i="50"/>
  <c r="F17" i="63"/>
  <c r="E17" i="63"/>
  <c r="D17" i="63"/>
  <c r="C17" i="63"/>
  <c r="F16" i="63"/>
  <c r="F15" i="63"/>
  <c r="F14" i="63"/>
  <c r="F13" i="63"/>
  <c r="F12" i="63"/>
  <c r="G4" i="63"/>
  <c r="D4" i="63"/>
  <c r="A4" i="63"/>
  <c r="G3" i="63"/>
  <c r="D3" i="63"/>
  <c r="A3" i="63"/>
  <c r="G39" i="64"/>
  <c r="H27" i="64"/>
  <c r="G27" i="64"/>
  <c r="I4" i="64"/>
  <c r="F4" i="64"/>
  <c r="A4" i="64"/>
  <c r="I3" i="64"/>
  <c r="F3" i="64"/>
  <c r="A3" i="64"/>
  <c r="H33" i="66"/>
  <c r="E33" i="66"/>
  <c r="D33" i="66"/>
  <c r="C33" i="66"/>
  <c r="B33" i="66"/>
  <c r="E32" i="66"/>
  <c r="D32" i="66"/>
  <c r="E31" i="66"/>
  <c r="D31" i="66"/>
  <c r="E30" i="66"/>
  <c r="D30" i="66"/>
  <c r="E29" i="66"/>
  <c r="D29" i="66"/>
  <c r="E28" i="66"/>
  <c r="D28" i="66"/>
  <c r="B17" i="66"/>
  <c r="E4" i="66"/>
  <c r="C4" i="66"/>
  <c r="A4" i="66"/>
  <c r="E3" i="66"/>
  <c r="C3" i="66"/>
  <c r="A3" i="66"/>
  <c r="F4" i="62"/>
  <c r="D4" i="62"/>
  <c r="A4" i="62"/>
  <c r="F3" i="62"/>
  <c r="D3" i="62"/>
  <c r="A3" i="62"/>
  <c r="Z24" i="22"/>
  <c r="X24" i="22"/>
  <c r="W24" i="22"/>
  <c r="V24" i="22"/>
  <c r="U24" i="22"/>
  <c r="T25" i="22"/>
  <c r="S24" i="22"/>
  <c r="R24" i="22"/>
  <c r="O24" i="22"/>
  <c r="N24" i="22"/>
  <c r="M24" i="22"/>
  <c r="L24" i="22"/>
  <c r="K24" i="22"/>
  <c r="J24" i="22"/>
  <c r="I24" i="22"/>
  <c r="H24" i="22"/>
  <c r="G24" i="22"/>
  <c r="F24" i="22"/>
  <c r="E24" i="22"/>
  <c r="O23" i="22"/>
  <c r="H23" i="22"/>
  <c r="O22" i="22"/>
  <c r="H22" i="22"/>
  <c r="O21" i="22"/>
  <c r="H21" i="22"/>
  <c r="O20" i="22"/>
  <c r="H20" i="22"/>
  <c r="O19" i="22"/>
  <c r="H19" i="22"/>
  <c r="O18" i="22"/>
  <c r="H18" i="22"/>
  <c r="O17" i="22"/>
  <c r="H17" i="22"/>
  <c r="O16" i="22"/>
  <c r="H16" i="22"/>
  <c r="O15" i="22"/>
  <c r="H15" i="22"/>
  <c r="O14" i="22"/>
  <c r="H14" i="22"/>
  <c r="O13" i="22"/>
  <c r="H13" i="22"/>
  <c r="H12" i="22"/>
  <c r="R4" i="22"/>
  <c r="J4" i="22"/>
  <c r="A4" i="22"/>
  <c r="R3" i="22"/>
  <c r="J3" i="22"/>
  <c r="A3" i="22"/>
  <c r="B15" i="33"/>
  <c r="C14" i="33"/>
  <c r="B14" i="33"/>
  <c r="A14" i="33"/>
  <c r="C13" i="33"/>
  <c r="B13" i="33"/>
  <c r="A13" i="33"/>
  <c r="C12" i="33"/>
  <c r="B12" i="33"/>
  <c r="A12" i="33"/>
  <c r="C9" i="33"/>
  <c r="B9" i="33"/>
  <c r="C8" i="33"/>
  <c r="B8" i="33"/>
  <c r="C7" i="33"/>
  <c r="B7" i="33"/>
  <c r="C4" i="33"/>
  <c r="B4" i="33"/>
  <c r="A4" i="33"/>
  <c r="C3" i="33"/>
  <c r="B3" i="33"/>
  <c r="A3" i="33"/>
  <c r="A25" i="32"/>
  <c r="A24" i="32"/>
  <c r="A23" i="32"/>
  <c r="C18" i="32"/>
  <c r="B18" i="32"/>
  <c r="A18" i="32"/>
  <c r="C17" i="32"/>
  <c r="B17" i="32"/>
  <c r="A17" i="32"/>
  <c r="C16" i="32"/>
  <c r="B16" i="32"/>
  <c r="A16" i="32"/>
  <c r="A11" i="32"/>
  <c r="A10" i="32"/>
  <c r="A9" i="32"/>
  <c r="A8" i="32"/>
  <c r="A7" i="32"/>
  <c r="C4" i="32"/>
  <c r="B4" i="32"/>
  <c r="A4" i="32"/>
  <c r="C3" i="32"/>
  <c r="B3" i="32"/>
  <c r="A3" i="32"/>
  <c r="I23" i="46"/>
  <c r="E23" i="46"/>
  <c r="K21" i="46"/>
  <c r="J21" i="46"/>
  <c r="I21" i="46"/>
  <c r="H21" i="46"/>
  <c r="G21" i="46"/>
  <c r="F21" i="46"/>
  <c r="E21" i="46"/>
  <c r="D21" i="46"/>
  <c r="C21" i="46"/>
  <c r="B21" i="46"/>
  <c r="K20" i="46"/>
  <c r="J20" i="46"/>
  <c r="I20" i="46"/>
  <c r="E20" i="46"/>
  <c r="K19" i="46"/>
  <c r="J19" i="46"/>
  <c r="I19" i="46"/>
  <c r="E19" i="46"/>
  <c r="K18" i="46"/>
  <c r="J18" i="46"/>
  <c r="I18" i="46"/>
  <c r="E18" i="46"/>
  <c r="K17" i="46"/>
  <c r="J17" i="46"/>
  <c r="I17" i="46"/>
  <c r="E17" i="46"/>
  <c r="K12" i="46"/>
  <c r="J12" i="46"/>
  <c r="I12" i="46"/>
  <c r="E12" i="46"/>
  <c r="H11" i="46"/>
  <c r="G11" i="46"/>
  <c r="F11" i="46"/>
  <c r="I11" i="46" s="1"/>
  <c r="D11" i="46"/>
  <c r="C11" i="46"/>
  <c r="B11" i="46"/>
  <c r="E11" i="46" s="1"/>
  <c r="H10" i="46"/>
  <c r="G10" i="46"/>
  <c r="F10" i="46"/>
  <c r="I10" i="46" s="1"/>
  <c r="D10" i="46"/>
  <c r="C10" i="46"/>
  <c r="B10" i="46"/>
  <c r="H9" i="46"/>
  <c r="G9" i="46"/>
  <c r="F9" i="46"/>
  <c r="I9" i="46" s="1"/>
  <c r="D9" i="46"/>
  <c r="C9" i="46"/>
  <c r="B9" i="46"/>
  <c r="E9" i="46" s="1"/>
  <c r="H8" i="46"/>
  <c r="H13" i="46" s="1"/>
  <c r="G8" i="46"/>
  <c r="F8" i="46"/>
  <c r="D8" i="46"/>
  <c r="C8" i="46"/>
  <c r="B8" i="46"/>
  <c r="H4" i="46"/>
  <c r="E4" i="46"/>
  <c r="A4" i="46"/>
  <c r="H3" i="46"/>
  <c r="E3" i="46"/>
  <c r="A3" i="46"/>
  <c r="E4" i="59"/>
  <c r="C4" i="59"/>
  <c r="A4" i="59"/>
  <c r="E3" i="59"/>
  <c r="C3" i="59"/>
  <c r="A3" i="59"/>
  <c r="B13" i="46" l="1"/>
  <c r="C13" i="46"/>
  <c r="D13" i="46"/>
  <c r="F13" i="46"/>
  <c r="G13" i="46"/>
  <c r="E10" i="46"/>
  <c r="B9" i="32"/>
  <c r="J10" i="46"/>
  <c r="J9" i="46"/>
  <c r="B8" i="32"/>
  <c r="K11" i="46"/>
  <c r="C10" i="32"/>
  <c r="C9" i="32"/>
  <c r="K10" i="46"/>
  <c r="B10" i="32"/>
  <c r="J11" i="46"/>
  <c r="C8" i="32"/>
  <c r="K9" i="46"/>
  <c r="E8" i="46"/>
  <c r="I8" i="46"/>
  <c r="C7" i="32" l="1"/>
  <c r="C13" i="32" s="1"/>
  <c r="K8" i="46"/>
  <c r="E13" i="46"/>
  <c r="B7" i="32"/>
  <c r="B13" i="32" s="1"/>
  <c r="J8" i="46"/>
  <c r="I13" i="46"/>
  <c r="J13" i="46" s="1"/>
  <c r="K13" i="46" l="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Windows 用户</author>
  </authors>
  <commentList>
    <comment ref="A10" authorId="0" shapeId="0">
      <text>
        <r>
          <rPr>
            <b/>
            <sz val="9"/>
            <rFont val="宋体"/>
            <family val="3"/>
            <charset val="134"/>
          </rPr>
          <t>技术部:</t>
        </r>
        <r>
          <rPr>
            <sz val="9"/>
            <rFont val="宋体"/>
            <family val="3"/>
            <charset val="134"/>
          </rPr>
          <t xml:space="preserve">
虽然不符合收入准则第五条规定的五项条件，但仍负有未来向客户转让商品或提供服务的义务</t>
        </r>
      </text>
    </comment>
  </commentList>
</comments>
</file>

<file path=xl/comments3.xml><?xml version="1.0" encoding="utf-8"?>
<comments xmlns="http://schemas.openxmlformats.org/spreadsheetml/2006/main">
  <authors>
    <author>Windows 用户</author>
  </authors>
  <commentList>
    <comment ref="B10" authorId="0" shapeId="0">
      <text>
        <r>
          <rPr>
            <b/>
            <sz val="9"/>
            <color indexed="81"/>
            <rFont val="宋体"/>
            <family val="3"/>
            <charset val="134"/>
          </rPr>
          <t>Windows 用户:</t>
        </r>
        <r>
          <rPr>
            <sz val="9"/>
            <color indexed="81"/>
            <rFont val="宋体"/>
            <family val="3"/>
            <charset val="134"/>
          </rPr>
          <t xml:space="preserve">
可填写债权人的唯一识别编码，如被审计单位财务或业务系统中的公司编码</t>
        </r>
      </text>
    </comment>
  </commentList>
</comments>
</file>

<file path=xl/sharedStrings.xml><?xml version="1.0" encoding="utf-8"?>
<sst xmlns="http://schemas.openxmlformats.org/spreadsheetml/2006/main" count="492" uniqueCount="337">
  <si>
    <t>底稿开列时，可先在以下单元格填写有关内容，以便其他底稿引用有关数据：</t>
  </si>
  <si>
    <t>被审计单位：</t>
  </si>
  <si>
    <t>序号</t>
  </si>
  <si>
    <t>内容</t>
  </si>
  <si>
    <t>索引号</t>
  </si>
  <si>
    <t>预收账款实质性程序表</t>
  </si>
  <si>
    <t>D3A</t>
  </si>
  <si>
    <t>编制人：</t>
  </si>
  <si>
    <t>审定表</t>
  </si>
  <si>
    <t>D3-1</t>
  </si>
  <si>
    <t>编制日期：</t>
  </si>
  <si>
    <t>附注披露信息(上市公司)</t>
  </si>
  <si>
    <t>无需打印</t>
  </si>
  <si>
    <t>复核人：</t>
  </si>
  <si>
    <t>附注披露信息(国企)</t>
  </si>
  <si>
    <t>复核日期：</t>
  </si>
  <si>
    <t>预收账款明细表</t>
  </si>
  <si>
    <t>D3-2</t>
  </si>
  <si>
    <t>调整分录汇总表</t>
  </si>
  <si>
    <t>D3-3</t>
  </si>
  <si>
    <t>预收账款分析表</t>
  </si>
  <si>
    <t>D3-4</t>
  </si>
  <si>
    <t>预收账款检查表</t>
  </si>
  <si>
    <t>D3-5</t>
  </si>
  <si>
    <t>关联关系及交易检查表</t>
  </si>
  <si>
    <t>D3-6</t>
  </si>
  <si>
    <t>长账龄预收账款检查表</t>
  </si>
  <si>
    <t>D3-7</t>
  </si>
  <si>
    <t>致同会计师事务所</t>
  </si>
  <si>
    <t>索引号：</t>
  </si>
  <si>
    <t>页  次：</t>
  </si>
  <si>
    <t>一、本账户涉及的科目</t>
  </si>
  <si>
    <t>预收账款</t>
  </si>
  <si>
    <t>二、审计目标和财务报表的认定</t>
  </si>
  <si>
    <t>审计目标</t>
  </si>
  <si>
    <t>财务报表的认定　</t>
  </si>
  <si>
    <t>A.资产负债表中记录的预收账款是存在的，且已记录于恰当的账户</t>
  </si>
  <si>
    <t>存在</t>
  </si>
  <si>
    <t>B.所有应当记录的货币预收账款均已记录，所有应当包括在财务报表中的相关披露均已包括</t>
  </si>
  <si>
    <t>完整性</t>
  </si>
  <si>
    <t>C.记录的预收账款是被审计单位应当履行的现时义务</t>
  </si>
  <si>
    <t>权利和义务</t>
  </si>
  <si>
    <t xml:space="preserve">D.预收账款以恰当的金额包括在财务报表中，与之相关的计价或分摊调整已恰当记录，相关披露已得到恰当计量和描述 </t>
  </si>
  <si>
    <t>准确性、计价和分摊</t>
  </si>
  <si>
    <t>E.预收账款已被恰当地汇总或分解且表述清楚，相关披露在按照企业会计准则的编制基础下是相关的、可理解的</t>
  </si>
  <si>
    <t>列报</t>
  </si>
  <si>
    <t>三、计划实施的实质性程序</t>
  </si>
  <si>
    <t>程序分类</t>
  </si>
  <si>
    <t>财务报表的认定</t>
  </si>
  <si>
    <t>底稿索引号</t>
  </si>
  <si>
    <t>1</t>
  </si>
  <si>
    <t>常规★</t>
  </si>
  <si>
    <t>√</t>
  </si>
  <si>
    <t>D3-1
/D3-2</t>
  </si>
  <si>
    <t>2</t>
  </si>
  <si>
    <r>
      <rPr>
        <sz val="10"/>
        <color theme="1"/>
        <rFont val="宋体"/>
        <family val="3"/>
        <charset val="134"/>
      </rPr>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r>
  </si>
  <si>
    <t>T1</t>
  </si>
  <si>
    <t>3</t>
  </si>
  <si>
    <r>
      <rPr>
        <sz val="10"/>
        <rFont val="宋体"/>
        <family val="3"/>
        <charset val="134"/>
        <scheme val="minor"/>
      </rPr>
      <t>对期初余额的审计，取得预收款项期初余额明细表复核加计是否正确，与总账、明细账合计数是否相符，检查上期预收款项在本期结转情况，函证期初余额以及其他必要追加的审计程序。</t>
    </r>
    <r>
      <rPr>
        <sz val="10"/>
        <color rgb="FFFF0000"/>
        <rFont val="宋体"/>
        <family val="3"/>
        <charset val="134"/>
        <scheme val="minor"/>
      </rPr>
      <t>（适用于首次承接）</t>
    </r>
  </si>
  <si>
    <t>备选</t>
  </si>
  <si>
    <t>4</t>
  </si>
  <si>
    <t>实施分析性程序：
（1）分析借贷方发生额，与对应科目比较是否存在异常；
（1）比较主要债务人余额变动情况，分析合理性；</t>
  </si>
  <si>
    <t>5</t>
  </si>
  <si>
    <t>实施函证程序：
（1）以积极方式对预收款项进行函证，设计询证函、发函前核实被函证单位信息；
（2）注册会计师独立收发询证函；
（3）编制函证结果汇总表，检查发函、回函物流信息和轨迹、比对回函印章和签字等以核实回函的真实性，检查回函是否相符，对不符事项查明原因确定是否存在错报；
（4）如果未收到回函，应当考虑与被询证者联系，要求对方作出回应或再次寄发询证函，无法收到的回函实施替代程序；
（5）如果管理层不允许寄发询证函的，询问管理层不允许寄发的原因，并就其原因的正当、合理性收集证据；考虑实施替代审计程序以获取相关、可靠的审计证据；
（6）如果管理层不允许寄发询证函的原因不合理、或者认为回函不可靠，评价对评估的重大错报风险以及其他审计程序的性质、时间安排和范围的影响，并确定其对审计工作和审计意见的影响。</t>
  </si>
  <si>
    <t>6</t>
  </si>
  <si>
    <t>抽查预收款项有关的合同和收款凭证等，检查已实现销售是否及时转销预收账款，确定预收款项期末余额的准确性和合理性。</t>
  </si>
  <si>
    <t>7</t>
  </si>
  <si>
    <t>检查预收关联方款项：
（1）了解交易的商业理由、交易事项的目的、价格和条件，确定关联交易价格是否远高于或低于非关联方交易价格，考虑对关联方预收账款的合理性、合法性；
（2）检查对关联方预收款项的真实性相关的支持性文件、检查会计处理是否正确；
（3）考虑向关联方或其他注册会计师函证重大的关联交易和余额（包括担保和其他重要信息）；
（4）必要时，向与交易相关的人员和机构（如银行、律师）函证或与其讨论有关信息；
（5）考虑是否存在未识别的关联方，关联交易和余额披露是否正确。</t>
  </si>
  <si>
    <t>8</t>
  </si>
  <si>
    <t>检查预收账款长期挂账的原因，并作出记录，必要时提请被审计单位予以调整。</t>
  </si>
  <si>
    <t>9</t>
  </si>
  <si>
    <t>通过货币资金的期后测试，以确定预收账款是否已计入恰当期间</t>
  </si>
  <si>
    <t>10</t>
  </si>
  <si>
    <t>IPO/上市公司/新三板舞弊应对</t>
  </si>
  <si>
    <t>11</t>
  </si>
  <si>
    <r>
      <rPr>
        <sz val="10"/>
        <color theme="1"/>
        <rFont val="宋体"/>
        <family val="3"/>
        <charset val="134"/>
      </rPr>
      <t>根据评估的舞弊风险等因素增加的审计程序。</t>
    </r>
  </si>
  <si>
    <t>检查预收款项是否已按企业会计准则或其他适用的规定在财务报表中做出恰当列报和披露。</t>
  </si>
  <si>
    <r>
      <rPr>
        <sz val="10"/>
        <rFont val="Arial Narrow"/>
        <family val="2"/>
      </rPr>
      <t>A1-1/</t>
    </r>
    <r>
      <rPr>
        <sz val="10"/>
        <color rgb="FFFF0000"/>
        <rFont val="Arial Narrow"/>
        <family val="2"/>
      </rPr>
      <t>A1-15 /A1-16</t>
    </r>
  </si>
  <si>
    <t>预收账款审定表</t>
  </si>
  <si>
    <t>页次：</t>
  </si>
  <si>
    <t>一、按照性质分类</t>
  </si>
  <si>
    <t>项目</t>
  </si>
  <si>
    <t>期初数</t>
  </si>
  <si>
    <t>期末数</t>
  </si>
  <si>
    <t>期末与期初的比较</t>
  </si>
  <si>
    <t>原因分析</t>
  </si>
  <si>
    <t>未审数</t>
  </si>
  <si>
    <t>账项调整</t>
  </si>
  <si>
    <t>重分类调整</t>
  </si>
  <si>
    <t>审定数</t>
  </si>
  <si>
    <t>变动额</t>
  </si>
  <si>
    <t>变动率</t>
  </si>
  <si>
    <t>预收销售固定资产款</t>
  </si>
  <si>
    <t>预收销售土地使用权款</t>
  </si>
  <si>
    <t>合同不成立时已收取的对价</t>
  </si>
  <si>
    <t>其他</t>
  </si>
  <si>
    <t>合计</t>
  </si>
  <si>
    <t>二、按照账龄分类</t>
  </si>
  <si>
    <t>1年以内（含1年）</t>
  </si>
  <si>
    <t>1至2年（含2年）</t>
  </si>
  <si>
    <t>2至3年（含3年）</t>
  </si>
  <si>
    <t>3年以上</t>
  </si>
  <si>
    <t>试算平衡表数</t>
  </si>
  <si>
    <t>差异数</t>
  </si>
  <si>
    <t>1.审计说明：</t>
  </si>
  <si>
    <t>2.审计结论：</t>
  </si>
  <si>
    <t>（1）账龄超过1年的大额预收账款，其性质及发生原因如下：</t>
  </si>
  <si>
    <t>提示：企业因转让商品收到的预收款适用《企业会计准则第14号——收入》（2017年修订）进行会计处理时，不再使用“预收账款”科目及“递延收益”科目。</t>
  </si>
  <si>
    <r>
      <rPr>
        <b/>
        <sz val="10"/>
        <rFont val="宋体"/>
        <family val="3"/>
        <charset val="134"/>
      </rPr>
      <t>致同会计师事务所</t>
    </r>
  </si>
  <si>
    <r>
      <rPr>
        <b/>
        <sz val="12"/>
        <rFont val="宋体"/>
        <family val="3"/>
        <charset val="134"/>
      </rPr>
      <t>预收账款附注披露信息（上市公司）</t>
    </r>
  </si>
  <si>
    <r>
      <rPr>
        <sz val="10"/>
        <rFont val="宋体"/>
        <family val="3"/>
        <charset val="134"/>
      </rPr>
      <t>页次：</t>
    </r>
  </si>
  <si>
    <r>
      <rPr>
        <sz val="12"/>
        <color theme="1"/>
        <rFont val="仿宋_GB2312"/>
        <family val="3"/>
        <charset val="134"/>
      </rPr>
      <t>预收款项</t>
    </r>
  </si>
  <si>
    <r>
      <rPr>
        <b/>
        <sz val="12"/>
        <color theme="1"/>
        <rFont val="仿宋_GB2312"/>
        <family val="3"/>
        <charset val="134"/>
      </rPr>
      <t>项</t>
    </r>
    <r>
      <rPr>
        <b/>
        <sz val="12"/>
        <color theme="1"/>
        <rFont val="Arial Narrow"/>
        <family val="2"/>
      </rPr>
      <t xml:space="preserve"> </t>
    </r>
    <r>
      <rPr>
        <b/>
        <sz val="12"/>
        <color theme="1"/>
        <rFont val="仿宋_GB2312"/>
        <family val="3"/>
        <charset val="134"/>
      </rPr>
      <t>目</t>
    </r>
  </si>
  <si>
    <r>
      <rPr>
        <b/>
        <sz val="12"/>
        <color theme="1"/>
        <rFont val="仿宋_GB2312"/>
        <family val="3"/>
        <charset val="134"/>
      </rPr>
      <t>期末</t>
    </r>
    <r>
      <rPr>
        <b/>
        <sz val="12"/>
        <color theme="1"/>
        <rFont val="宋体"/>
        <family val="3"/>
        <charset val="134"/>
      </rPr>
      <t>余额</t>
    </r>
  </si>
  <si>
    <t>上年年末余额</t>
  </si>
  <si>
    <r>
      <rPr>
        <b/>
        <sz val="12"/>
        <color theme="1"/>
        <rFont val="仿宋_GB2312"/>
        <family val="3"/>
        <charset val="134"/>
      </rPr>
      <t>合</t>
    </r>
    <r>
      <rPr>
        <b/>
        <sz val="12"/>
        <color theme="1"/>
        <rFont val="Arial Narrow"/>
        <family val="2"/>
      </rPr>
      <t xml:space="preserve"> </t>
    </r>
    <r>
      <rPr>
        <b/>
        <sz val="12"/>
        <color theme="1"/>
        <rFont val="仿宋_GB2312"/>
        <family val="3"/>
        <charset val="134"/>
      </rPr>
      <t>计</t>
    </r>
  </si>
  <si>
    <r>
      <rPr>
        <sz val="12"/>
        <color theme="1"/>
        <rFont val="仿宋_GB2312"/>
        <family val="3"/>
        <charset val="134"/>
      </rPr>
      <t>（</t>
    </r>
    <r>
      <rPr>
        <sz val="12"/>
        <color theme="1"/>
        <rFont val="Arial Narrow"/>
        <family val="2"/>
      </rPr>
      <t>1</t>
    </r>
    <r>
      <rPr>
        <sz val="12"/>
        <color theme="1"/>
        <rFont val="仿宋_GB2312"/>
        <family val="3"/>
        <charset val="134"/>
      </rPr>
      <t>）账龄超过</t>
    </r>
    <r>
      <rPr>
        <sz val="12"/>
        <color theme="1"/>
        <rFont val="Arial Narrow"/>
        <family val="2"/>
      </rPr>
      <t>1</t>
    </r>
    <r>
      <rPr>
        <sz val="12"/>
        <color theme="1"/>
        <rFont val="仿宋_GB2312"/>
        <family val="3"/>
        <charset val="134"/>
      </rPr>
      <t>年的重要预收款项</t>
    </r>
  </si>
  <si>
    <r>
      <rPr>
        <b/>
        <sz val="12"/>
        <color theme="1"/>
        <rFont val="仿宋_GB2312"/>
        <family val="3"/>
        <charset val="134"/>
      </rPr>
      <t>项目</t>
    </r>
  </si>
  <si>
    <t>期末余额</t>
  </si>
  <si>
    <r>
      <rPr>
        <b/>
        <sz val="12"/>
        <color theme="1"/>
        <rFont val="仿宋_GB2312"/>
        <family val="3"/>
        <charset val="134"/>
      </rPr>
      <t>未偿还或未结转的原因</t>
    </r>
  </si>
  <si>
    <r>
      <rPr>
        <sz val="12"/>
        <color theme="1"/>
        <rFont val="仿宋_GB2312"/>
        <family val="3"/>
        <charset val="134"/>
      </rPr>
      <t>（2）</t>
    </r>
    <r>
      <rPr>
        <sz val="12"/>
        <color theme="1"/>
        <rFont val="微软雅黑"/>
        <family val="2"/>
        <charset val="134"/>
      </rPr>
      <t>本期预收账款账面价值的重大变动</t>
    </r>
  </si>
  <si>
    <t>变动金额</t>
  </si>
  <si>
    <t>变动原因</t>
  </si>
  <si>
    <t>预收账款附注披露信息（国企）</t>
  </si>
  <si>
    <t>预收账款附注披露信息：</t>
  </si>
  <si>
    <r>
      <rPr>
        <b/>
        <sz val="12"/>
        <color rgb="FF000000"/>
        <rFont val="仿宋_GB2312"/>
        <family val="3"/>
        <charset val="134"/>
      </rPr>
      <t>账</t>
    </r>
    <r>
      <rPr>
        <b/>
        <sz val="12"/>
        <color rgb="FF000000"/>
        <rFont val="Arial Narrow"/>
        <family val="2"/>
      </rPr>
      <t xml:space="preserve">  </t>
    </r>
    <r>
      <rPr>
        <b/>
        <sz val="12"/>
        <color rgb="FF000000"/>
        <rFont val="仿宋_GB2312"/>
        <family val="3"/>
        <charset val="134"/>
      </rPr>
      <t>龄</t>
    </r>
  </si>
  <si>
    <t>期初余额</t>
  </si>
  <si>
    <r>
      <rPr>
        <sz val="12"/>
        <rFont val="Arial Narrow"/>
        <family val="2"/>
      </rPr>
      <t>1</t>
    </r>
    <r>
      <rPr>
        <sz val="12"/>
        <rFont val="仿宋_GB2312"/>
        <family val="3"/>
        <charset val="134"/>
      </rPr>
      <t>年以内（含</t>
    </r>
    <r>
      <rPr>
        <sz val="12"/>
        <rFont val="Arial Narrow"/>
        <family val="2"/>
      </rPr>
      <t>1</t>
    </r>
    <r>
      <rPr>
        <sz val="12"/>
        <rFont val="仿宋_GB2312"/>
        <family val="3"/>
        <charset val="134"/>
      </rPr>
      <t>年）</t>
    </r>
  </si>
  <si>
    <r>
      <rPr>
        <sz val="12"/>
        <rFont val="Arial Narrow"/>
        <family val="2"/>
      </rPr>
      <t>1</t>
    </r>
    <r>
      <rPr>
        <sz val="12"/>
        <rFont val="宋体"/>
        <family val="3"/>
        <charset val="134"/>
      </rPr>
      <t>年以上</t>
    </r>
  </si>
  <si>
    <r>
      <rPr>
        <b/>
        <sz val="12"/>
        <rFont val="仿宋_GB2312"/>
        <family val="3"/>
        <charset val="134"/>
      </rPr>
      <t>合</t>
    </r>
    <r>
      <rPr>
        <b/>
        <sz val="12"/>
        <rFont val="Arial Narrow"/>
        <family val="2"/>
      </rPr>
      <t xml:space="preserve">  </t>
    </r>
    <r>
      <rPr>
        <b/>
        <sz val="12"/>
        <rFont val="仿宋_GB2312"/>
        <family val="3"/>
        <charset val="134"/>
      </rPr>
      <t>计</t>
    </r>
  </si>
  <si>
    <t>账龄超过1年的重要预收账款</t>
  </si>
  <si>
    <t>债权单位名称</t>
  </si>
  <si>
    <t>未偿还原因</t>
  </si>
  <si>
    <r>
      <rPr>
        <b/>
        <sz val="14"/>
        <rFont val="宋体"/>
        <family val="3"/>
        <charset val="134"/>
      </rPr>
      <t>预收账款明细表</t>
    </r>
  </si>
  <si>
    <t>一、审计目标:</t>
  </si>
  <si>
    <t xml:space="preserve">预收账款以恰当的金额包括在财务报表中，与之相关的计价或分摊调整已恰当记录，相关披露已得到恰当计量和描述 </t>
  </si>
  <si>
    <t>二、审计过程：</t>
  </si>
  <si>
    <t>1.……</t>
  </si>
  <si>
    <t>对方单位名称</t>
  </si>
  <si>
    <t>款项性质</t>
  </si>
  <si>
    <t>关联方类型</t>
  </si>
  <si>
    <t>期初未审余额</t>
  </si>
  <si>
    <t>期初账项调整</t>
  </si>
  <si>
    <t>期初重分类调整</t>
  </si>
  <si>
    <t>期初审定余额</t>
  </si>
  <si>
    <t>期初审定账龄</t>
  </si>
  <si>
    <t>借方发生</t>
  </si>
  <si>
    <t>贷方发生</t>
  </si>
  <si>
    <t>期末账项调整</t>
  </si>
  <si>
    <t>期末重分类调整</t>
  </si>
  <si>
    <t>期末审定数</t>
  </si>
  <si>
    <t>审定账龄</t>
  </si>
  <si>
    <t>是否发函</t>
  </si>
  <si>
    <t>期后结转</t>
  </si>
  <si>
    <t>备注</t>
  </si>
  <si>
    <t>1年以下</t>
  </si>
  <si>
    <t>1～2年</t>
  </si>
  <si>
    <t>２～3年</t>
  </si>
  <si>
    <t>核对</t>
  </si>
  <si>
    <r>
      <rPr>
        <b/>
        <sz val="10"/>
        <rFont val="宋体"/>
        <family val="3"/>
        <charset val="134"/>
      </rPr>
      <t>三、审计说明：</t>
    </r>
  </si>
  <si>
    <t>1.与期初相比，期末余额变动较大的原因：</t>
  </si>
  <si>
    <t>2.预收账款的金额与预收政策和当期合同的执行情况是否匹配</t>
  </si>
  <si>
    <t>3.账龄超过1年的大额预收账款，未偿还或未结转的原因:     。资产负债表日后偿还情况：    。</t>
  </si>
  <si>
    <t>四、审计结论：</t>
  </si>
  <si>
    <t xml:space="preserve"> 预收账款调整分录汇总表</t>
  </si>
  <si>
    <t>索引：</t>
  </si>
  <si>
    <t>调整事项说明</t>
  </si>
  <si>
    <t>类别（报表调整/账项调整/其他）</t>
  </si>
  <si>
    <t>报表项目</t>
  </si>
  <si>
    <t>科目名称</t>
  </si>
  <si>
    <t>附注项目</t>
  </si>
  <si>
    <t>……</t>
  </si>
  <si>
    <t>借方调整金额</t>
  </si>
  <si>
    <t>贷方调整金额</t>
  </si>
  <si>
    <t>索引</t>
  </si>
  <si>
    <t>提示：本底稿适用于调整分录较多、较复杂的项目，且仅列示与本报表项目相关的审计调整。项目组可根据项目实际情况选择是否使用该底稿。</t>
  </si>
  <si>
    <t>页 次：</t>
  </si>
  <si>
    <t>一、审计目标</t>
  </si>
  <si>
    <t xml:space="preserve">1.资产负债表中记录的预收账款是存在的，且已记录于恰当的账户。2.所有应当记录的预收账款均已记录，所有应当包括在财务报表中的相关披露均已包括。 </t>
  </si>
  <si>
    <t>3.预收账款以恰当的金额包括在财务报表中，与之相关的计价调整已恰当记录。</t>
  </si>
  <si>
    <t>二、审计过程</t>
  </si>
  <si>
    <t>（一）预收账款借方发生额分析</t>
  </si>
  <si>
    <t>金额</t>
  </si>
  <si>
    <t>数据来源</t>
  </si>
  <si>
    <t>本期借方发生额合计</t>
  </si>
  <si>
    <t>对方科目：</t>
  </si>
  <si>
    <t>资产处置损益</t>
  </si>
  <si>
    <t>固定资产</t>
  </si>
  <si>
    <t>增值税</t>
  </si>
  <si>
    <t xml:space="preserve"> ……</t>
  </si>
  <si>
    <t>差异</t>
  </si>
  <si>
    <t>差异合理性分析</t>
  </si>
  <si>
    <t>（三）预收账款贷方发生额分析</t>
  </si>
  <si>
    <t>与对方科目核对</t>
  </si>
  <si>
    <t>说明</t>
  </si>
  <si>
    <t>本期贷方发生额合计</t>
  </si>
  <si>
    <t>预收账款总账</t>
  </si>
  <si>
    <t>N/A</t>
  </si>
  <si>
    <t>其中：银行存款收款</t>
  </si>
  <si>
    <t>与银行存款借方发生额核对</t>
  </si>
  <si>
    <t xml:space="preserve">      应收票据</t>
  </si>
  <si>
    <t>与应收票据借方发生额核对</t>
  </si>
  <si>
    <t xml:space="preserve">         ……</t>
  </si>
  <si>
    <t>（四）期末预收账款主要债务人分析</t>
  </si>
  <si>
    <t>提示：当预收款项业务较多时考虑编制（四）期末预收账款主要债务人分析</t>
  </si>
  <si>
    <t>债务人名称</t>
  </si>
  <si>
    <t>期末账面余额</t>
  </si>
  <si>
    <t>期初账面余额</t>
  </si>
  <si>
    <t>变动比例</t>
  </si>
  <si>
    <t>发生时间及账龄</t>
  </si>
  <si>
    <t>发生原因</t>
  </si>
  <si>
    <t>期后结账</t>
  </si>
  <si>
    <t>债务人1</t>
  </si>
  <si>
    <t>债务人2</t>
  </si>
  <si>
    <t>债务人3</t>
  </si>
  <si>
    <t>债务人4</t>
  </si>
  <si>
    <t>债务人5</t>
  </si>
  <si>
    <t>小计</t>
  </si>
  <si>
    <t>三、审计说明</t>
  </si>
  <si>
    <t>四、审计结论</t>
  </si>
  <si>
    <t>一、审计目标：</t>
  </si>
  <si>
    <t xml:space="preserve">1.资产负债表中记录的预收账款是存在的，且已经记录在恰当的账户中；3.预收账款以恰当的金额包括在财务报表中，与之相关的计价或分摊调整已恰当记录，相关披露已得到恰当计量和描述 </t>
  </si>
  <si>
    <t>1.样本选取及标准</t>
  </si>
  <si>
    <t>测试总体：</t>
  </si>
  <si>
    <t>如预收账款借方发生额所有凭证共XX笔金额XX、贷方发生额所有凭证共XX笔金额XX</t>
  </si>
  <si>
    <t>特定样本：</t>
  </si>
  <si>
    <t>XX金额以上（大额）、关联方/关联交易形成的款项、XX异常款项全部测试，共XX笔；</t>
  </si>
  <si>
    <t>抽样总体：</t>
  </si>
  <si>
    <t>测试总体扣除特定样本以外的样本，共XX笔、金额XX</t>
  </si>
  <si>
    <t>确定的抽样样本量：</t>
  </si>
  <si>
    <t>抽取XX笔</t>
  </si>
  <si>
    <t>（如果使用了样本计算器计算样本量，样本量计算过程见&lt;XX&gt;底稿）</t>
  </si>
  <si>
    <t>抽样方法：</t>
  </si>
  <si>
    <t>抽样过程：</t>
  </si>
  <si>
    <t>使用IDEA（XX抽样工具）选择XX数量、金额XX的样本进行测试，抽样工具中的样本选择过程和结果见&lt;XX&gt;底稿</t>
  </si>
  <si>
    <t>2.测试</t>
  </si>
  <si>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</si>
  <si>
    <t>（1）本期增减变动检查</t>
  </si>
  <si>
    <t>客户名称</t>
  </si>
  <si>
    <t>记账凭证</t>
  </si>
  <si>
    <t>支持性文件</t>
  </si>
  <si>
    <r>
      <rPr>
        <b/>
        <sz val="10"/>
        <rFont val="宋体"/>
        <family val="3"/>
        <charset val="134"/>
      </rPr>
      <t>核对内容</t>
    </r>
  </si>
  <si>
    <t>是否异常</t>
  </si>
  <si>
    <t>备注说明</t>
  </si>
  <si>
    <t>日期</t>
  </si>
  <si>
    <t>凭证编号</t>
  </si>
  <si>
    <t>业务内容</t>
  </si>
  <si>
    <t>对方科目</t>
  </si>
  <si>
    <t>对方明细科目</t>
  </si>
  <si>
    <t>借方金额</t>
  </si>
  <si>
    <t>贷方金额</t>
  </si>
  <si>
    <r>
      <rPr>
        <b/>
        <sz val="10"/>
        <rFont val="宋体"/>
        <family val="3"/>
        <charset val="134"/>
      </rPr>
      <t>（</t>
    </r>
    <r>
      <rPr>
        <b/>
        <sz val="10"/>
        <rFont val="Arial Narrow"/>
        <family val="2"/>
      </rPr>
      <t>2</t>
    </r>
    <r>
      <rPr>
        <b/>
        <sz val="10"/>
        <rFont val="宋体"/>
        <family val="3"/>
        <charset val="134"/>
      </rPr>
      <t>）期后结转检查</t>
    </r>
  </si>
  <si>
    <t>三、审计说明：</t>
  </si>
  <si>
    <t>预收账款关联关系及交易检查表</t>
  </si>
  <si>
    <t>3.记录的预收账款是被审计单位应当履行的现时义务。4.预收账款以恰当的金额包括在财务报表中，与之相关的计价调整已恰当记录。</t>
  </si>
  <si>
    <t>关联方名称</t>
  </si>
  <si>
    <t>关联关系</t>
  </si>
  <si>
    <t>发生原因（款项性质）</t>
  </si>
  <si>
    <r>
      <rPr>
        <b/>
        <sz val="10"/>
        <rFont val="宋体"/>
        <family val="3"/>
        <charset val="134"/>
        <scheme val="minor"/>
      </rPr>
      <t>三、审计说明：</t>
    </r>
  </si>
  <si>
    <t>勿改、勿删</t>
  </si>
  <si>
    <t>实际控制人</t>
  </si>
  <si>
    <t>控股股东</t>
  </si>
  <si>
    <t>控股股东、实际控制人的附属企业</t>
  </si>
  <si>
    <t>持有5%以上股份的法人或其他组织</t>
  </si>
  <si>
    <t>联营企业</t>
  </si>
  <si>
    <t>合营企业</t>
  </si>
  <si>
    <t>董高监等关键管理人员</t>
  </si>
  <si>
    <t>其他关联方</t>
  </si>
  <si>
    <t>账龄1年以上的预收账款检查表</t>
  </si>
  <si>
    <t>资产负债表中记录的预收账款是存在的，且已经记录在恰当的账户中。</t>
  </si>
  <si>
    <t>账龄</t>
  </si>
  <si>
    <t>经济业务说明</t>
  </si>
  <si>
    <t>未结转或未偿还的原因</t>
  </si>
  <si>
    <t>至审计日结转或偿还金额</t>
  </si>
  <si>
    <t>处理计划</t>
  </si>
  <si>
    <t>C1</t>
  </si>
  <si>
    <t>Custom 1</t>
  </si>
  <si>
    <t>C2</t>
  </si>
  <si>
    <t>Custom 2</t>
  </si>
  <si>
    <t>C3</t>
  </si>
  <si>
    <t>Custom 3</t>
  </si>
  <si>
    <t>C4</t>
  </si>
  <si>
    <t>Custom 4</t>
  </si>
  <si>
    <t>C5</t>
  </si>
  <si>
    <t>Custom 5</t>
  </si>
  <si>
    <t>C6</t>
  </si>
  <si>
    <t>Custom 6</t>
  </si>
  <si>
    <t>C7</t>
  </si>
  <si>
    <t>Custom 7</t>
  </si>
  <si>
    <t>C8</t>
  </si>
  <si>
    <t>Custom 8</t>
  </si>
  <si>
    <t>获取或编制预收账款明细表完成以下程序，并编制审定表：
（1）复核加计是否正确，与总账、明细账合计数核对是否相符，期初余额与上期审定期末余额是否相符；
（2）以非记账本位币结算的预收款项，检查其采用的折算汇率及折算是否正确；
（3）检查是否存在借方余额，必要时进行重分类调整；
（4）结合应收账款等往来项目的明细余额，检查是否同时挂账情况，必要时做出调整。</t>
    <phoneticPr fontId="156" type="noConversion"/>
  </si>
  <si>
    <t>D3-1</t>
    <phoneticPr fontId="156" type="noConversion"/>
  </si>
  <si>
    <t>D0</t>
    <phoneticPr fontId="156" type="noConversion"/>
  </si>
  <si>
    <t>D3-5</t>
    <phoneticPr fontId="156" type="noConversion"/>
  </si>
  <si>
    <t>D3-7</t>
    <phoneticPr fontId="156" type="noConversion"/>
  </si>
  <si>
    <t>考虑对重大、新增、异常等预收账款债务人执行背景调查、实地走访等延伸程序。</t>
    <phoneticPr fontId="156" type="noConversion"/>
  </si>
  <si>
    <t>D4-28
/D4-29
/D4-30
/D4-31
/D4-32</t>
    <phoneticPr fontId="156"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</si>
  <si>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</si>
  <si>
    <t>关于工作底稿与审计程序索引号对应的说明</t>
    <phoneticPr fontId="156"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</si>
  <si>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56"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</si>
  <si>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56"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</si>
  <si>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56" type="noConversion"/>
  </si>
  <si>
    <t>函证结果汇总表</t>
  </si>
  <si>
    <t>D0-1</t>
  </si>
  <si>
    <t>核实被函证单位信息</t>
  </si>
  <si>
    <t>D0-2</t>
  </si>
  <si>
    <t>跟函函证过程控制</t>
  </si>
  <si>
    <t>D0-3</t>
  </si>
  <si>
    <t>函证差异调节表</t>
  </si>
  <si>
    <t>D0-4</t>
  </si>
  <si>
    <t>D0-6</t>
  </si>
  <si>
    <t>邮件传真回函可靠性验证</t>
  </si>
  <si>
    <t>D0-7</t>
  </si>
  <si>
    <t>函证程序舞弊风险评价表</t>
  </si>
  <si>
    <t>D0-8</t>
  </si>
  <si>
    <t>替代程序检查表</t>
    <phoneticPr fontId="156" type="noConversion"/>
  </si>
  <si>
    <t>根据被审计单位实际情况和风险评估情况裁剪、修改或增加审计程序</t>
    <phoneticPr fontId="156" type="noConversion"/>
  </si>
  <si>
    <t>审计程序</t>
    <phoneticPr fontId="159" type="noConversion"/>
  </si>
  <si>
    <t>可参见《审计手册》4.2.6，由被审计单位生成的信息可能是由系统生成的、或手工编制的、或二者兼而有之的方式生成的。例如，由被审计单位生成的信息可能包括：
• 不涉及自定义的、由系统生成的报告（如，固定格式报告）；
• 可能通过人工自定义的、由系统生成的报告，例如，（计算机）查询信息或特别定制的报告；
• 手工编制的信息，例如，汇总信息的电子表格或用以支持分配、计算以及调节的电子表格；
• 其他系统生成或手工编制的信息，例如，由被审计单位编制的客户发票；
• 通过影印、拍摄、扫描或其他方式转换成电子形式的文件记录。</t>
  </si>
  <si>
    <t>由被审计单位生成的信息不包括：
• 总分类账或明细分类账、试算平衡表、或经审计的财务报表；
• 第三方（除了服务机构）的报表或报告，例如，原始银行对账单，或函证的回函；
• 外部数据（例如，第三方发布的数据，如，定价来源）。</t>
  </si>
  <si>
    <t>公司代码</t>
    <phoneticPr fontId="156" type="noConversion"/>
  </si>
  <si>
    <t>被审计单位重分类调整</t>
    <phoneticPr fontId="156" type="noConversion"/>
  </si>
  <si>
    <t>期末未审余额</t>
    <phoneticPr fontId="156" type="noConversion"/>
  </si>
  <si>
    <r>
      <rPr>
        <b/>
        <sz val="10"/>
        <rFont val="宋体"/>
        <family val="3"/>
        <charset val="134"/>
      </rPr>
      <t>期末余额</t>
    </r>
    <phoneticPr fontId="58" type="noConversion"/>
  </si>
  <si>
    <t>随机选样/系统选样/货币单元抽样/随意选样（非统计抽样适用）</t>
    <phoneticPr fontId="156" type="noConversion"/>
  </si>
  <si>
    <r>
      <t>1.</t>
    </r>
    <r>
      <rPr>
        <sz val="10"/>
        <rFont val="宋体"/>
        <family val="3"/>
        <charset val="134"/>
      </rPr>
      <t>本期发生额、期末余额检查比例：</t>
    </r>
    <phoneticPr fontId="156" type="noConversion"/>
  </si>
  <si>
    <t>方向</t>
    <phoneticPr fontId="156" type="noConversion"/>
  </si>
  <si>
    <t>账面金额</t>
    <phoneticPr fontId="156" type="noConversion"/>
  </si>
  <si>
    <t>检查金额</t>
    <phoneticPr fontId="156" type="noConversion"/>
  </si>
  <si>
    <t>检查比例</t>
    <phoneticPr fontId="156" type="noConversion"/>
  </si>
  <si>
    <t>如果检查比例较低应扩大检查样本量或说明原因</t>
    <phoneticPr fontId="156" type="noConversion"/>
  </si>
  <si>
    <t>本期借方</t>
    <phoneticPr fontId="156" type="noConversion"/>
  </si>
  <si>
    <t>本期贷方</t>
    <phoneticPr fontId="156" type="noConversion"/>
  </si>
  <si>
    <t>期末余额</t>
    <phoneticPr fontId="156" type="noConversion"/>
  </si>
  <si>
    <t>2.……</t>
    <phoneticPr fontId="156" type="noConversion"/>
  </si>
  <si>
    <t>D3A</t>
    <phoneticPr fontId="15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</si>
</sst>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2">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0;\-\¥#,##0"/>
    <numFmt numFmtId="189" formatCode="#.\ \ "/>
    <numFmt numFmtId="190" formatCode="##.\ \ "/>
    <numFmt numFmtId="191" formatCode="&quot;$&quot;#,##0_);\(&quot;$&quot;#,##0\)"/>
    <numFmt numFmtId="192" formatCode="#,##0;\-#,##0;&quot;-&quot;"/>
    <numFmt numFmtId="193" formatCode="\(#,##0\)\ "/>
    <numFmt numFmtId="194" formatCode="[Blue]0.0%;[Blue]\(0.0%\)"/>
    <numFmt numFmtId="195" formatCode="0.0%;\(0.0%\)"/>
    <numFmt numFmtId="196" formatCode="[Red]0.0%;[Red]\(0.0%\)"/>
    <numFmt numFmtId="197" formatCode="[Blue]#,##0_);[Blue]\(#,##0\)"/>
    <numFmt numFmtId="198" formatCode="#,##0_);[Blue]\(#,##0\)"/>
    <numFmt numFmtId="199" formatCode="&quot;$&quot;#,##0;[Red]&quot;$&quot;&quot;$&quot;&quot;$&quot;&quot;$&quot;&quot;$&quot;&quot;$&quot;&quot;$&quot;\-#,##0"/>
    <numFmt numFmtId="200" formatCode="_(&quot;$&quot;* #,##0_);_(&quot;$&quot;* \(#,##0\);_(&quot;$&quot;* &quot;-&quot;_);_(@_)"/>
    <numFmt numFmtId="201" formatCode="#,##0;\(#,##0\)"/>
    <numFmt numFmtId="202" formatCode="#,##0.0_);\(#,##0.0\)"/>
    <numFmt numFmtId="203" formatCode="&quot;$&quot;#,##0.00_);\(&quot;$&quot;#,##0.00\)"/>
    <numFmt numFmtId="204" formatCode=";;;"/>
    <numFmt numFmtId="205" formatCode="\$#,##0.00;\(\$#,##0.00\)"/>
    <numFmt numFmtId="206" formatCode="#,##0.000000"/>
    <numFmt numFmtId="207" formatCode="\$#,##0;\(\$#,##0\)"/>
    <numFmt numFmtId="208" formatCode="#,##0.00\¥;\-#,##0.00\¥"/>
    <numFmt numFmtId="209" formatCode="_(&quot;$&quot;* #,##0.00_);_(&quot;$&quot;* \(#,##0.00\);_(&quot;$&quot;* &quot;-&quot;??_);_(@_)"/>
    <numFmt numFmtId="210" formatCode="_-* #,##0_-;\-* #,##0_-;_-* &quot;-&quot;??_-;_-@_-"/>
    <numFmt numFmtId="211" formatCode="0.00000000000_);[Red]\(0.00000000000\)"/>
    <numFmt numFmtId="212" formatCode="&quot;\&quot;#,##0;&quot;\&quot;&quot;\&quot;\-#,##0"/>
    <numFmt numFmtId="213" formatCode="&quot;?#,##0;\-&quot;?#,##0"/>
    <numFmt numFmtId="214" formatCode="_-* #,##0\¥_-;\-* #,##0\¥_-;_-* &quot;-&quot;\¥_-;_-@_-"/>
    <numFmt numFmtId="215" formatCode="0%_);\(0%\)"/>
    <numFmt numFmtId="216" formatCode="&quot;$&quot;#,##0;\-&quot;$&quot;#,##0"/>
    <numFmt numFmtId="217" formatCode="#,##0&quot; $&quot;;[Red]\-#,##0&quot; $&quot;"/>
    <numFmt numFmtId="218" formatCode="#,##0.00\¥;[Red]\-#,##0.00\¥"/>
    <numFmt numFmtId="219" formatCode="\ \ @"/>
    <numFmt numFmtId="220" formatCode="#,##0_);\(#,##0_)"/>
    <numFmt numFmtId="221" formatCode="_-* #,##0\ _k_r_-;\-* #,##0\ _k_r_-;_-* &quot;-&quot;\ _k_r_-;_-@_-"/>
    <numFmt numFmtId="222" formatCode="_-* #,##0.00\ _k_r_-;\-* #,##0.00\ _k_r_-;_-* &quot;-&quot;??\ _k_r_-;_-@_-"/>
    <numFmt numFmtId="223" formatCode="#,##0.00_);#,##0.00\)"/>
    <numFmt numFmtId="224" formatCode="0.00000&quot;  &quot;"/>
    <numFmt numFmtId="225" formatCode="_-* #,##0_-;\-* #,##0_-;_-* &quot;-&quot;_-;_-@_-"/>
    <numFmt numFmtId="226" formatCode="_-* #,##0.00_-;\-* #,##0.00_-;_-* &quot;-&quot;??_-;_-@_-"/>
    <numFmt numFmtId="227" formatCode="_-&quot;$&quot;* #,##0_-;\-&quot;$&quot;* #,##0_-;_-&quot;$&quot;* &quot;-&quot;_-;_-@_-"/>
    <numFmt numFmtId="228" formatCode="_-&quot;$&quot;* #,##0.00_-;\-&quot;$&quot;* #,##0.00_-;_-&quot;$&quot;* &quot;-&quot;??_-;_-@_-"/>
    <numFmt numFmtId="229" formatCode="&quot;\&quot;#,##0;[Red]&quot;\&quot;&quot;\&quot;\-#,##0"/>
    <numFmt numFmtId="230" formatCode="&quot;\&quot;#,##0.00;[Red]&quot;\&quot;&quot;\&quot;&quot;\&quot;&quot;\&quot;&quot;\&quot;&quot;\&quot;\-#,##0.00"/>
    <numFmt numFmtId="231" formatCode="&quot;\&quot;#,##0.00;[Red]&quot;\&quot;\-#,##0.00"/>
    <numFmt numFmtId="232" formatCode="&quot;\&quot;#,##0;[Red]&quot;\&quot;\-#,##0"/>
    <numFmt numFmtId="233" formatCode="_(* #,##0.00_);_(* \(#,##0.00\);_(* &quot;-&quot;??_);_(@_)"/>
    <numFmt numFmtId="234"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35" formatCode="#,##0.00_ "/>
  </numFmts>
  <fonts count="163">
    <font>
      <sz val="12"/>
      <name val="宋体"/>
      <charset val="134"/>
    </font>
    <font>
      <sz val="11"/>
      <color theme="1"/>
      <name val="宋体"/>
      <family val="2"/>
      <charset val="134"/>
      <scheme val="minor"/>
    </font>
    <font>
      <sz val="10"/>
      <name val="宋体"/>
      <family val="3"/>
      <charset val="134"/>
    </font>
    <font>
      <b/>
      <sz val="12"/>
      <name val="宋体"/>
      <family val="3"/>
      <charset val="134"/>
    </font>
    <font>
      <b/>
      <sz val="14"/>
      <name val="宋体"/>
      <family val="3"/>
      <charset val="134"/>
    </font>
    <font>
      <b/>
      <sz val="10"/>
      <name val="宋体"/>
      <family val="3"/>
      <charset val="134"/>
    </font>
    <font>
      <sz val="10"/>
      <color rgb="FFFF0000"/>
      <name val="宋体"/>
      <family val="3"/>
      <charset val="134"/>
    </font>
    <font>
      <b/>
      <sz val="10"/>
      <color theme="1"/>
      <name val="宋体"/>
      <family val="3"/>
      <charset val="134"/>
    </font>
    <font>
      <sz val="10"/>
      <name val="Arial Narrow"/>
      <family val="2"/>
    </font>
    <font>
      <sz val="10"/>
      <name val="宋体"/>
      <family val="3"/>
      <charset val="134"/>
      <scheme val="minor"/>
    </font>
    <font>
      <b/>
      <sz val="12"/>
      <name val="宋体"/>
      <family val="3"/>
      <charset val="134"/>
      <scheme val="minor"/>
    </font>
    <font>
      <b/>
      <sz val="14"/>
      <name val="宋体"/>
      <family val="3"/>
      <charset val="134"/>
      <scheme val="minor"/>
    </font>
    <font>
      <b/>
      <sz val="10"/>
      <name val="宋体"/>
      <family val="3"/>
      <charset val="134"/>
      <scheme val="minor"/>
    </font>
    <font>
      <b/>
      <sz val="10"/>
      <color rgb="FFFF0000"/>
      <name val="宋体"/>
      <family val="3"/>
      <charset val="134"/>
      <scheme val="minor"/>
    </font>
    <font>
      <sz val="10"/>
      <color indexed="12"/>
      <name val="宋体"/>
      <family val="3"/>
      <charset val="134"/>
      <scheme val="minor"/>
    </font>
    <font>
      <sz val="10"/>
      <color indexed="12"/>
      <name val="宋体"/>
      <family val="3"/>
      <charset val="134"/>
    </font>
    <font>
      <u/>
      <sz val="10"/>
      <color indexed="12"/>
      <name val="宋体"/>
      <family val="3"/>
      <charset val="134"/>
      <scheme val="minor"/>
    </font>
    <font>
      <sz val="10"/>
      <color rgb="FF0000FF"/>
      <name val="宋体"/>
      <family val="3"/>
      <charset val="134"/>
    </font>
    <font>
      <sz val="10"/>
      <color rgb="FFFF0000"/>
      <name val="Arial Narrow"/>
      <family val="2"/>
    </font>
    <font>
      <b/>
      <sz val="10"/>
      <name val="Arial Narrow"/>
      <family val="2"/>
    </font>
    <font>
      <u/>
      <sz val="10"/>
      <color indexed="12"/>
      <name val="宋体"/>
      <family val="3"/>
      <charset val="134"/>
    </font>
    <font>
      <b/>
      <sz val="10"/>
      <color indexed="8"/>
      <name val="宋体"/>
      <family val="3"/>
      <charset val="134"/>
      <scheme val="minor"/>
    </font>
    <font>
      <b/>
      <sz val="10"/>
      <color rgb="FFE92841"/>
      <name val="宋体"/>
      <family val="3"/>
      <charset val="134"/>
      <scheme val="minor"/>
    </font>
    <font>
      <sz val="10"/>
      <color indexed="8"/>
      <name val="宋体"/>
      <family val="3"/>
      <charset val="134"/>
      <scheme val="minor"/>
    </font>
    <font>
      <sz val="10"/>
      <color indexed="8"/>
      <name val="Arial Narrow"/>
      <family val="2"/>
    </font>
    <font>
      <sz val="10"/>
      <color rgb="FFFF0000"/>
      <name val="宋体"/>
      <family val="3"/>
      <charset val="134"/>
      <scheme val="minor"/>
    </font>
    <font>
      <sz val="10"/>
      <color theme="1"/>
      <name val="宋体"/>
      <family val="3"/>
      <charset val="134"/>
      <scheme val="minor"/>
    </font>
    <font>
      <b/>
      <sz val="10"/>
      <color indexed="8"/>
      <name val="宋体"/>
      <family val="3"/>
      <charset val="134"/>
    </font>
    <font>
      <b/>
      <u/>
      <sz val="10"/>
      <color indexed="10"/>
      <name val="宋体"/>
      <family val="3"/>
      <charset val="134"/>
    </font>
    <font>
      <b/>
      <sz val="10"/>
      <color rgb="FFFF0000"/>
      <name val="宋体"/>
      <family val="3"/>
      <charset val="134"/>
    </font>
    <font>
      <sz val="10"/>
      <color indexed="8"/>
      <name val="宋体"/>
      <family val="3"/>
      <charset val="134"/>
    </font>
    <font>
      <b/>
      <sz val="10"/>
      <color indexed="8"/>
      <name val="Arial Narrow"/>
      <family val="2"/>
    </font>
    <font>
      <b/>
      <sz val="10"/>
      <color indexed="12"/>
      <name val="宋体"/>
      <family val="3"/>
      <charset val="134"/>
    </font>
    <font>
      <sz val="10"/>
      <color indexed="10"/>
      <name val="宋体"/>
      <family val="3"/>
      <charset val="134"/>
    </font>
    <font>
      <sz val="12"/>
      <name val="仿宋_GB2312"/>
      <family val="3"/>
      <charset val="134"/>
    </font>
    <font>
      <b/>
      <sz val="12"/>
      <color rgb="FF000000"/>
      <name val="仿宋_GB2312"/>
      <family val="3"/>
      <charset val="134"/>
    </font>
    <font>
      <sz val="12"/>
      <name val="Arial Narrow"/>
      <family val="2"/>
    </font>
    <font>
      <sz val="12"/>
      <color rgb="FF000000"/>
      <name val="Arial Narrow"/>
      <family val="2"/>
    </font>
    <font>
      <b/>
      <sz val="12"/>
      <name val="仿宋_GB2312"/>
      <family val="3"/>
      <charset val="134"/>
    </font>
    <font>
      <b/>
      <sz val="12"/>
      <color rgb="FF000000"/>
      <name val="Arial Narrow"/>
      <family val="2"/>
    </font>
    <font>
      <sz val="12"/>
      <color rgb="FF000000"/>
      <name val="仿宋_GB2312"/>
      <family val="3"/>
      <charset val="134"/>
    </font>
    <font>
      <b/>
      <sz val="12"/>
      <name val="Arial Narrow"/>
      <family val="2"/>
    </font>
    <font>
      <sz val="12"/>
      <color theme="1"/>
      <name val="Arial Narrow"/>
      <family val="2"/>
    </font>
    <font>
      <b/>
      <sz val="12"/>
      <color theme="1"/>
      <name val="Arial Narrow"/>
      <family val="2"/>
    </font>
    <font>
      <b/>
      <sz val="12"/>
      <color theme="1"/>
      <name val="仿宋_GB2312"/>
      <family val="3"/>
      <charset val="134"/>
    </font>
    <font>
      <sz val="12"/>
      <color rgb="FFFF0000"/>
      <name val="仿宋_GB2312"/>
      <family val="3"/>
      <charset val="134"/>
    </font>
    <font>
      <sz val="12"/>
      <color rgb="FF0000FF"/>
      <name val="Arial Narrow"/>
      <family val="2"/>
    </font>
    <font>
      <sz val="10"/>
      <color rgb="FF0000FF"/>
      <name val="宋体"/>
      <family val="3"/>
      <charset val="134"/>
      <scheme val="minor"/>
    </font>
    <font>
      <b/>
      <sz val="10"/>
      <color rgb="FF0000FF"/>
      <name val="宋体"/>
      <family val="3"/>
      <charset val="134"/>
      <scheme val="minor"/>
    </font>
    <font>
      <b/>
      <sz val="10"/>
      <color theme="1"/>
      <name val="宋体"/>
      <family val="3"/>
      <charset val="134"/>
      <scheme val="minor"/>
    </font>
    <font>
      <sz val="10"/>
      <color theme="1"/>
      <name val="宋体"/>
      <family val="3"/>
      <charset val="134"/>
    </font>
    <font>
      <sz val="10"/>
      <color theme="1"/>
      <name val="Arial Narrow"/>
      <family val="2"/>
    </font>
    <font>
      <sz val="11"/>
      <color theme="1"/>
      <name val="宋体"/>
      <family val="3"/>
      <charset val="134"/>
      <scheme val="minor"/>
    </font>
    <font>
      <u/>
      <sz val="12"/>
      <color indexed="12"/>
      <name val="宋体"/>
      <family val="3"/>
      <charset val="134"/>
    </font>
    <font>
      <sz val="10"/>
      <name val="Arial"/>
      <family val="2"/>
    </font>
    <font>
      <sz val="11"/>
      <color indexed="9"/>
      <name val="宋体"/>
      <family val="3"/>
      <charset val="134"/>
    </font>
    <font>
      <sz val="11"/>
      <name val="ＭＳ Ｐゴシック"/>
      <family val="2"/>
    </font>
    <font>
      <sz val="12"/>
      <name val="???"/>
      <family val="1"/>
    </font>
    <font>
      <sz val="10"/>
      <name val="Times New Roman"/>
      <family val="1"/>
    </font>
    <font>
      <sz val="10"/>
      <color indexed="8"/>
      <name val="Arial"/>
      <family val="2"/>
    </font>
    <font>
      <sz val="10"/>
      <name val="Helv"/>
      <family val="2"/>
    </font>
    <font>
      <sz val="12"/>
      <name val="Times New Roman"/>
      <family val="1"/>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0"/>
      <name val="Book Antiqua"/>
      <family val="1"/>
    </font>
    <font>
      <b/>
      <sz val="10"/>
      <name val="Book Antiqua"/>
      <family val="1"/>
    </font>
    <font>
      <sz val="12"/>
      <color indexed="8"/>
      <name val="宋体"/>
      <family val="3"/>
      <charset val="134"/>
    </font>
    <font>
      <sz val="12"/>
      <color indexed="9"/>
      <name val="宋体"/>
      <family val="3"/>
      <charset val="134"/>
    </font>
    <font>
      <sz val="8"/>
      <name val="Times New Roman"/>
      <family val="1"/>
    </font>
    <font>
      <sz val="11"/>
      <color indexed="20"/>
      <name val="Calibri"/>
      <family val="2"/>
    </font>
    <font>
      <sz val="7"/>
      <name val="Helv"/>
      <family val="2"/>
    </font>
    <font>
      <b/>
      <sz val="10"/>
      <name val="MS Sans Serif"/>
      <family val="1"/>
    </font>
    <font>
      <b/>
      <sz val="11"/>
      <color indexed="52"/>
      <name val="Calibri"/>
      <family val="2"/>
    </font>
    <font>
      <b/>
      <sz val="10"/>
      <name val="Helv"/>
      <family val="2"/>
    </font>
    <font>
      <b/>
      <sz val="11"/>
      <color indexed="9"/>
      <name val="Calibri"/>
      <family val="2"/>
    </font>
    <font>
      <b/>
      <sz val="13"/>
      <name val="Tms Rmn"/>
      <family val="1"/>
    </font>
    <font>
      <b/>
      <sz val="8"/>
      <name val="Arial"/>
      <family val="2"/>
    </font>
    <font>
      <sz val="10"/>
      <name val="MS Sans Serif"/>
      <family val="2"/>
    </font>
    <font>
      <sz val="10"/>
      <name val="MS Serif"/>
      <family val="1"/>
    </font>
    <font>
      <sz val="10"/>
      <name val="Courier"/>
      <family val="3"/>
    </font>
    <font>
      <sz val="12"/>
      <name val="Arial"/>
      <family val="2"/>
    </font>
    <font>
      <sz val="12"/>
      <name val="Tms Rmn"/>
      <family val="1"/>
    </font>
    <font>
      <sz val="10"/>
      <color indexed="16"/>
      <name val="MS Serif"/>
      <family val="1"/>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Helv"/>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2"/>
      <name val="Helv"/>
      <family val="2"/>
    </font>
    <font>
      <sz val="11"/>
      <color indexed="52"/>
      <name val="Calibri"/>
      <family val="2"/>
    </font>
    <font>
      <sz val="12"/>
      <color indexed="9"/>
      <name val="Helv"/>
      <family val="2"/>
    </font>
    <font>
      <b/>
      <sz val="11"/>
      <name val="Helv"/>
      <family val="2"/>
    </font>
    <font>
      <sz val="11"/>
      <color indexed="60"/>
      <name val="Calibri"/>
      <family val="2"/>
    </font>
    <font>
      <sz val="7"/>
      <name val="Small Fonts"/>
      <family val="2"/>
    </font>
    <font>
      <sz val="10"/>
      <color indexed="8"/>
      <name val="MS Sans Serif"/>
      <family val="2"/>
    </font>
    <font>
      <b/>
      <sz val="11"/>
      <color indexed="63"/>
      <name val="Calibri"/>
      <family val="2"/>
    </font>
    <font>
      <sz val="10"/>
      <name val="Tms Rmn"/>
      <family val="1"/>
    </font>
    <font>
      <sz val="7"/>
      <color indexed="10"/>
      <name val="Helv"/>
      <family val="2"/>
    </font>
    <font>
      <sz val="8"/>
      <color indexed="16"/>
      <name val="Century Schoolbook"/>
      <family val="1"/>
    </font>
    <font>
      <sz val="9"/>
      <color indexed="8"/>
      <name val="宋体"/>
      <family val="3"/>
      <charset val="134"/>
    </font>
    <font>
      <b/>
      <sz val="10"/>
      <color indexed="8"/>
      <name val="Arial"/>
      <family val="2"/>
    </font>
    <font>
      <b/>
      <sz val="10"/>
      <color indexed="39"/>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2"/>
      <name val="MS Sans Serif"/>
      <family val="2"/>
    </font>
    <font>
      <sz val="12"/>
      <name val="MS Sans Serif"/>
      <family val="2"/>
    </font>
    <font>
      <b/>
      <sz val="8"/>
      <color indexed="8"/>
      <name val="Helv"/>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1"/>
    </font>
    <font>
      <sz val="11"/>
      <name val="明朝"/>
      <family val="2"/>
    </font>
    <font>
      <sz val="11"/>
      <color theme="1"/>
      <name val="Times New Roman"/>
      <family val="1"/>
    </font>
    <font>
      <sz val="14"/>
      <name val="柧挬"/>
      <family val="2"/>
    </font>
    <font>
      <sz val="8"/>
      <name val="Century Schoolbook"/>
      <family val="1"/>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1"/>
      <color rgb="FF9C0006"/>
      <name val="宋体"/>
      <family val="3"/>
      <charset val="134"/>
      <scheme val="minor"/>
    </font>
    <font>
      <sz val="12"/>
      <color indexed="20"/>
      <name val="宋体"/>
      <family val="3"/>
      <charset val="134"/>
    </font>
    <font>
      <sz val="10"/>
      <color indexed="20"/>
      <name val="Times New Roman"/>
      <family val="1"/>
    </font>
    <font>
      <sz val="11"/>
      <color indexed="8"/>
      <name val="宋体"/>
      <family val="3"/>
      <charset val="134"/>
    </font>
    <font>
      <u/>
      <sz val="9"/>
      <color indexed="12"/>
      <name val="Times New Roman"/>
      <family val="1"/>
    </font>
    <font>
      <u/>
      <sz val="11"/>
      <color theme="10"/>
      <name val="宋体"/>
      <family val="3"/>
      <charset val="134"/>
    </font>
    <font>
      <sz val="11"/>
      <color indexed="38"/>
      <name val="宋体"/>
      <family val="3"/>
      <charset val="134"/>
    </font>
    <font>
      <sz val="11"/>
      <color indexed="17"/>
      <name val="宋体"/>
      <family val="3"/>
      <charset val="134"/>
    </font>
    <font>
      <sz val="12"/>
      <color indexed="17"/>
      <name val="宋体"/>
      <family val="3"/>
      <charset val="134"/>
    </font>
    <font>
      <sz val="11"/>
      <color rgb="FF006100"/>
      <name val="宋体"/>
      <family val="3"/>
      <charset val="134"/>
      <scheme val="minor"/>
    </font>
    <font>
      <sz val="10"/>
      <color indexed="17"/>
      <name val="Times New Roman"/>
      <family val="1"/>
    </font>
    <font>
      <sz val="11"/>
      <color indexed="21"/>
      <name val="宋体"/>
      <family val="3"/>
      <charset val="134"/>
    </font>
    <font>
      <sz val="12"/>
      <name val="新細明體"/>
      <charset val="134"/>
    </font>
    <font>
      <sz val="12"/>
      <name val="官帕眉"/>
      <family val="2"/>
    </font>
    <font>
      <sz val="10"/>
      <name val="奔覆眉"/>
      <family val="2"/>
    </font>
    <font>
      <b/>
      <sz val="12"/>
      <color indexed="8"/>
      <name val="宋体"/>
      <family val="3"/>
      <charset val="134"/>
    </font>
    <font>
      <sz val="12"/>
      <name val="柧挬"/>
      <family val="2"/>
    </font>
    <font>
      <sz val="12"/>
      <name val="바탕체"/>
      <family val="3"/>
    </font>
    <font>
      <b/>
      <sz val="12"/>
      <color theme="1"/>
      <name val="宋体"/>
      <family val="3"/>
      <charset val="134"/>
    </font>
    <font>
      <sz val="12"/>
      <color theme="1"/>
      <name val="仿宋_GB2312"/>
      <family val="3"/>
      <charset val="134"/>
    </font>
    <font>
      <sz val="12"/>
      <color theme="1"/>
      <name val="微软雅黑"/>
      <family val="2"/>
      <charset val="134"/>
    </font>
    <font>
      <b/>
      <sz val="9"/>
      <name val="宋体"/>
      <family val="3"/>
      <charset val="134"/>
    </font>
    <font>
      <sz val="9"/>
      <name val="宋体"/>
      <family val="3"/>
      <charset val="134"/>
    </font>
    <font>
      <sz val="12"/>
      <name val="宋体"/>
      <family val="3"/>
      <charset val="134"/>
    </font>
    <font>
      <sz val="10"/>
      <name val="宋体"/>
      <family val="3"/>
      <charset val="134"/>
      <scheme val="minor"/>
    </font>
    <font>
      <sz val="9"/>
      <name val="宋体"/>
      <family val="2"/>
      <charset val="134"/>
      <scheme val="minor"/>
    </font>
    <font>
      <b/>
      <sz val="9"/>
      <color indexed="81"/>
      <name val="宋体"/>
      <family val="3"/>
      <charset val="134"/>
    </font>
    <font>
      <sz val="9"/>
      <color indexed="81"/>
      <name val="宋体"/>
      <family val="3"/>
      <charset val="134"/>
    </font>
    <font>
      <sz val="10"/>
      <color indexed="12"/>
      <name val="Arial Narrow"/>
      <family val="2"/>
    </font>
  </fonts>
  <fills count="57">
    <fill>
      <patternFill patternType="none"/>
    </fill>
    <fill>
      <patternFill patternType="gray125"/>
    </fill>
    <fill>
      <patternFill patternType="solid">
        <fgColor theme="7" tint="0.79992065187536243"/>
        <bgColor indexed="64"/>
      </patternFill>
    </fill>
    <fill>
      <patternFill patternType="solid">
        <fgColor rgb="FFE4DFEC"/>
        <bgColor indexed="64"/>
      </patternFill>
    </fill>
    <fill>
      <patternFill patternType="solid">
        <fgColor rgb="FFE4DFEC"/>
        <bgColor rgb="FFB7DEE8"/>
      </patternFill>
    </fill>
    <fill>
      <patternFill patternType="solid">
        <fgColor indexed="14"/>
        <bgColor indexed="64"/>
      </patternFill>
    </fill>
    <fill>
      <patternFill patternType="solid">
        <fgColor rgb="FFC6EFCE"/>
        <bgColor indexed="64"/>
      </patternFill>
    </fill>
    <fill>
      <patternFill patternType="solid">
        <fgColor rgb="FFFFC7CE"/>
        <bgColor indexed="64"/>
      </patternFill>
    </fill>
    <fill>
      <patternFill patternType="solid">
        <fgColor indexed="3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5"/>
        <bgColor indexed="64"/>
      </patternFill>
    </fill>
    <fill>
      <patternFill patternType="gray0625">
        <fgColor indexed="10"/>
      </patternFill>
    </fill>
    <fill>
      <patternFill patternType="solid">
        <fgColor indexed="62"/>
        <bgColor indexed="64"/>
      </patternFill>
    </fill>
    <fill>
      <patternFill patternType="solid">
        <fgColor indexed="31"/>
        <bgColor indexed="31"/>
      </patternFill>
    </fill>
    <fill>
      <patternFill patternType="solid">
        <fgColor indexed="44"/>
        <bgColor indexed="44"/>
      </patternFill>
    </fill>
    <fill>
      <patternFill patternType="solid">
        <fgColor indexed="10"/>
        <bgColor indexed="6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57"/>
        <bgColor indexed="64"/>
      </patternFill>
    </fill>
    <fill>
      <patternFill patternType="solid">
        <fgColor indexed="42"/>
        <bgColor indexed="42"/>
      </patternFill>
    </fill>
    <fill>
      <patternFill patternType="solid">
        <fgColor indexed="27"/>
        <bgColor indexed="27"/>
      </patternFill>
    </fill>
    <fill>
      <patternFill patternType="solid">
        <fgColor indexed="53"/>
        <bgColor indexed="64"/>
      </patternFill>
    </fill>
    <fill>
      <patternFill patternType="solid">
        <fgColor indexed="47"/>
        <bgColor indexed="47"/>
      </patternFill>
    </fill>
    <fill>
      <patternFill patternType="solid">
        <fgColor indexed="22"/>
        <bgColor indexed="64"/>
      </patternFill>
    </fill>
    <fill>
      <patternFill patternType="solid">
        <fgColor indexed="55"/>
        <bgColor indexed="64"/>
      </patternFill>
    </fill>
    <fill>
      <patternFill patternType="solid">
        <fgColor indexed="13"/>
        <bgColor indexed="64"/>
      </patternFill>
    </fill>
    <fill>
      <patternFill patternType="solid">
        <fgColor indexed="26"/>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indexed="9"/>
        <bgColor indexed="64"/>
      </patternFill>
    </fill>
    <fill>
      <patternFill patternType="solid">
        <fgColor indexed="40"/>
        <bgColor indexed="64"/>
      </patternFill>
    </fill>
    <fill>
      <patternFill patternType="solid">
        <fgColor indexed="50"/>
        <bgColor indexed="64"/>
      </patternFill>
    </fill>
    <fill>
      <patternFill patternType="lightUp">
        <fgColor indexed="48"/>
        <bgColor indexed="41"/>
      </patternFill>
    </fill>
    <fill>
      <patternFill patternType="solid">
        <fgColor indexed="41"/>
        <bgColor indexed="64"/>
      </patternFill>
    </fill>
    <fill>
      <patternFill patternType="solid">
        <fgColor indexed="54"/>
        <bgColor indexed="64"/>
      </patternFill>
    </fill>
    <fill>
      <patternFill patternType="solid">
        <fgColor indexed="45"/>
        <bgColor indexed="45"/>
      </patternFill>
    </fill>
    <fill>
      <patternFill patternType="solid">
        <fgColor indexed="56"/>
        <bgColor indexed="64"/>
      </patternFill>
    </fill>
    <fill>
      <patternFill patternType="solid">
        <fgColor indexed="18"/>
        <bgColor indexed="64"/>
      </patternFill>
    </fill>
    <fill>
      <patternFill patternType="solid">
        <fgColor indexed="5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theme="7" tint="0.79998168889431442"/>
        <bgColor indexed="64"/>
      </patternFill>
    </fill>
  </fills>
  <borders count="32">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right/>
      <top style="medium">
        <color auto="1"/>
      </top>
      <bottom style="medium">
        <color auto="1"/>
      </bottom>
      <diagonal/>
    </border>
    <border>
      <left/>
      <right/>
      <top style="medium">
        <color auto="1"/>
      </top>
      <bottom/>
      <diagonal/>
    </border>
    <border>
      <left/>
      <right/>
      <top/>
      <bottom style="medium">
        <color auto="1"/>
      </bottom>
      <diagonal/>
    </border>
    <border>
      <left/>
      <right/>
      <top/>
      <bottom style="hair">
        <color auto="1"/>
      </bottom>
      <diagonal/>
    </border>
    <border>
      <left/>
      <right style="thin">
        <color auto="1"/>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62"/>
      </top>
      <bottom style="double">
        <color indexed="62"/>
      </bottom>
      <diagonal/>
    </border>
  </borders>
  <cellStyleXfs count="677">
    <xf numFmtId="0" fontId="0" fillId="0" borderId="0">
      <protection locked="0"/>
    </xf>
    <xf numFmtId="43" fontId="157" fillId="0" borderId="0" applyFont="0" applyFill="0" applyBorder="0" applyAlignment="0" applyProtection="0"/>
    <xf numFmtId="9" fontId="157" fillId="0" borderId="0" applyFont="0" applyFill="0" applyBorder="0" applyAlignment="0" applyProtection="0"/>
    <xf numFmtId="0" fontId="53" fillId="0" borderId="0" applyNumberFormat="0" applyFill="0" applyBorder="0" applyAlignment="0" applyProtection="0">
      <alignment vertical="top"/>
      <protection locked="0"/>
    </xf>
    <xf numFmtId="0" fontId="54" fillId="0" borderId="0"/>
    <xf numFmtId="0" fontId="54" fillId="0" borderId="0"/>
    <xf numFmtId="0" fontId="157" fillId="0" borderId="0" applyNumberFormat="0" applyFill="0" applyBorder="0" applyAlignment="0" applyProtection="0"/>
    <xf numFmtId="0" fontId="55" fillId="8" borderId="0" applyNumberFormat="0" applyBorder="0" applyAlignment="0" applyProtection="0">
      <alignment vertical="center"/>
    </xf>
    <xf numFmtId="0" fontId="54" fillId="0" borderId="0"/>
    <xf numFmtId="0" fontId="56" fillId="0" borderId="0" applyFont="0" applyFill="0" applyBorder="0" applyAlignment="0" applyProtection="0"/>
    <xf numFmtId="0" fontId="56" fillId="0" borderId="0" applyFont="0" applyFill="0" applyBorder="0" applyAlignment="0" applyProtection="0"/>
    <xf numFmtId="0" fontId="57" fillId="0" borderId="0"/>
    <xf numFmtId="176" fontId="54" fillId="0" borderId="0"/>
    <xf numFmtId="0" fontId="54" fillId="0" borderId="0"/>
    <xf numFmtId="176" fontId="54" fillId="0" borderId="0"/>
    <xf numFmtId="0" fontId="54" fillId="0" borderId="0"/>
    <xf numFmtId="176" fontId="54" fillId="0" borderId="0"/>
    <xf numFmtId="0" fontId="54" fillId="0" borderId="0"/>
    <xf numFmtId="49" fontId="58" fillId="0" borderId="0" applyProtection="0">
      <alignment horizontal="left"/>
    </xf>
    <xf numFmtId="49" fontId="58" fillId="0" borderId="0" applyProtection="0">
      <alignment horizontal="left"/>
    </xf>
    <xf numFmtId="0" fontId="59" fillId="0" borderId="0">
      <alignment vertical="top"/>
      <protection locked="0"/>
    </xf>
    <xf numFmtId="0" fontId="59" fillId="0" borderId="0">
      <alignment vertical="top"/>
    </xf>
    <xf numFmtId="0" fontId="54" fillId="0" borderId="0" applyNumberFormat="0" applyFill="0" applyBorder="0" applyAlignment="0">
      <protection locked="0"/>
    </xf>
    <xf numFmtId="0" fontId="59" fillId="0" borderId="0">
      <alignment vertical="top"/>
      <protection locked="0"/>
    </xf>
    <xf numFmtId="0" fontId="59" fillId="0" borderId="0">
      <alignment vertical="top"/>
    </xf>
    <xf numFmtId="0" fontId="59" fillId="0" borderId="0">
      <alignment vertical="top"/>
    </xf>
    <xf numFmtId="0" fontId="59" fillId="0" borderId="0">
      <alignment vertical="top"/>
    </xf>
    <xf numFmtId="0" fontId="59" fillId="0" borderId="0">
      <alignment vertical="top"/>
    </xf>
    <xf numFmtId="176" fontId="59" fillId="0" borderId="0">
      <alignment vertical="top"/>
      <protection locked="0"/>
    </xf>
    <xf numFmtId="0" fontId="59" fillId="0" borderId="0">
      <alignment vertical="top"/>
      <protection locked="0"/>
    </xf>
    <xf numFmtId="0" fontId="59" fillId="0" borderId="0">
      <alignment vertical="top"/>
      <protection locked="0"/>
    </xf>
    <xf numFmtId="0" fontId="59" fillId="0" borderId="0">
      <alignment vertical="top"/>
      <protection locked="0"/>
    </xf>
    <xf numFmtId="176" fontId="59" fillId="0" borderId="0">
      <alignment vertical="top"/>
      <protection locked="0"/>
    </xf>
    <xf numFmtId="0" fontId="59" fillId="0" borderId="0">
      <alignment vertical="top"/>
      <protection locked="0"/>
    </xf>
    <xf numFmtId="0" fontId="59" fillId="0" borderId="0">
      <alignment vertical="top"/>
      <protection locked="0"/>
    </xf>
    <xf numFmtId="0" fontId="59" fillId="0" borderId="0">
      <alignment vertical="top"/>
      <protection locked="0"/>
    </xf>
    <xf numFmtId="176" fontId="59" fillId="0" borderId="0">
      <alignment vertical="top"/>
      <protection locked="0"/>
    </xf>
    <xf numFmtId="0" fontId="59" fillId="0" borderId="0">
      <alignment vertical="top"/>
      <protection locked="0"/>
    </xf>
    <xf numFmtId="0" fontId="54" fillId="0" borderId="0" applyNumberFormat="0" applyFill="0" applyBorder="0" applyAlignment="0">
      <protection locked="0"/>
    </xf>
    <xf numFmtId="0" fontId="60" fillId="0" borderId="0"/>
    <xf numFmtId="0" fontId="60" fillId="0" borderId="0"/>
    <xf numFmtId="0" fontId="60" fillId="0" borderId="0"/>
    <xf numFmtId="0" fontId="60" fillId="0" borderId="0"/>
    <xf numFmtId="0" fontId="60" fillId="0" borderId="0"/>
    <xf numFmtId="0" fontId="59" fillId="0" borderId="0">
      <alignment vertical="top"/>
    </xf>
    <xf numFmtId="0" fontId="59" fillId="0" borderId="0">
      <alignment vertical="top"/>
    </xf>
    <xf numFmtId="0" fontId="59" fillId="0" borderId="0">
      <alignment vertical="top"/>
    </xf>
    <xf numFmtId="0" fontId="59" fillId="0" borderId="0">
      <alignment vertical="top"/>
    </xf>
    <xf numFmtId="0" fontId="60" fillId="0" borderId="0"/>
    <xf numFmtId="0" fontId="60" fillId="0" borderId="0"/>
    <xf numFmtId="0" fontId="60" fillId="0" borderId="0"/>
    <xf numFmtId="0" fontId="60" fillId="0" borderId="0"/>
    <xf numFmtId="0" fontId="60" fillId="0" borderId="0"/>
    <xf numFmtId="176" fontId="59" fillId="0" borderId="0">
      <alignment vertical="top"/>
    </xf>
    <xf numFmtId="0" fontId="59" fillId="0" borderId="0">
      <alignment vertical="top"/>
    </xf>
    <xf numFmtId="0" fontId="59" fillId="0" borderId="0">
      <alignment vertical="top"/>
    </xf>
    <xf numFmtId="0" fontId="60" fillId="0" borderId="0"/>
    <xf numFmtId="0" fontId="60" fillId="0" borderId="0"/>
    <xf numFmtId="0" fontId="60" fillId="0" borderId="0"/>
    <xf numFmtId="0" fontId="60" fillId="0" borderId="0"/>
    <xf numFmtId="0" fontId="60" fillId="0" borderId="0"/>
    <xf numFmtId="0" fontId="59" fillId="0" borderId="0">
      <alignment vertical="top"/>
    </xf>
    <xf numFmtId="0" fontId="54" fillId="0" borderId="0" applyNumberFormat="0" applyFill="0" applyBorder="0" applyAlignment="0" applyProtection="0"/>
    <xf numFmtId="0" fontId="59" fillId="0" borderId="0">
      <alignment vertical="top"/>
      <protection locked="0"/>
    </xf>
    <xf numFmtId="0" fontId="59" fillId="0" borderId="0">
      <alignment vertical="top"/>
      <protection locked="0"/>
    </xf>
    <xf numFmtId="0" fontId="59" fillId="0" borderId="0">
      <alignment vertical="top"/>
      <protection locked="0"/>
    </xf>
    <xf numFmtId="0" fontId="59" fillId="0" borderId="0">
      <alignment vertical="top"/>
    </xf>
    <xf numFmtId="0" fontId="59" fillId="0" borderId="0">
      <alignment vertical="top"/>
    </xf>
    <xf numFmtId="0" fontId="61" fillId="0" borderId="0"/>
    <xf numFmtId="176" fontId="59" fillId="0" borderId="0">
      <alignment vertical="top"/>
    </xf>
    <xf numFmtId="0" fontId="59" fillId="0" borderId="0">
      <alignment vertical="top"/>
    </xf>
    <xf numFmtId="0" fontId="59" fillId="0" borderId="0">
      <alignment vertical="top"/>
    </xf>
    <xf numFmtId="176" fontId="59" fillId="0" borderId="0">
      <alignment vertical="top"/>
      <protection locked="0"/>
    </xf>
    <xf numFmtId="0" fontId="59" fillId="0" borderId="0">
      <alignment vertical="top"/>
      <protection locked="0"/>
    </xf>
    <xf numFmtId="176" fontId="59" fillId="0" borderId="0">
      <alignment vertical="top"/>
    </xf>
    <xf numFmtId="0" fontId="59" fillId="0" borderId="0">
      <alignment vertical="top"/>
    </xf>
    <xf numFmtId="176" fontId="59" fillId="0" borderId="0">
      <alignment vertical="top"/>
    </xf>
    <xf numFmtId="0" fontId="59" fillId="0" borderId="0">
      <alignment vertical="top"/>
    </xf>
    <xf numFmtId="176" fontId="59" fillId="0" borderId="0">
      <alignment vertical="top"/>
      <protection locked="0"/>
    </xf>
    <xf numFmtId="0" fontId="59" fillId="0" borderId="0">
      <alignment vertical="top"/>
      <protection locked="0"/>
    </xf>
    <xf numFmtId="176" fontId="59" fillId="0" borderId="0">
      <alignment vertical="top"/>
      <protection locked="0"/>
    </xf>
    <xf numFmtId="0" fontId="59" fillId="0" borderId="0">
      <alignment vertical="top"/>
      <protection locked="0"/>
    </xf>
    <xf numFmtId="176" fontId="59" fillId="0" borderId="0">
      <alignment vertical="top"/>
      <protection locked="0"/>
    </xf>
    <xf numFmtId="0" fontId="59" fillId="0" borderId="0">
      <alignment vertical="top"/>
      <protection locked="0"/>
    </xf>
    <xf numFmtId="176" fontId="59" fillId="0" borderId="0">
      <alignment vertical="top"/>
    </xf>
    <xf numFmtId="0" fontId="59" fillId="0" borderId="0">
      <alignment vertical="top"/>
    </xf>
    <xf numFmtId="176" fontId="59" fillId="0" borderId="0">
      <alignment vertical="top"/>
    </xf>
    <xf numFmtId="0" fontId="59" fillId="0" borderId="0">
      <alignment vertical="top"/>
    </xf>
    <xf numFmtId="176" fontId="59" fillId="0" borderId="0">
      <alignment vertical="top"/>
      <protection locked="0"/>
    </xf>
    <xf numFmtId="0" fontId="59" fillId="0" borderId="0">
      <alignment vertical="top"/>
      <protection locked="0"/>
    </xf>
    <xf numFmtId="0" fontId="59" fillId="0" borderId="0">
      <alignment vertical="top"/>
      <protection locked="0"/>
    </xf>
    <xf numFmtId="176" fontId="59" fillId="0" borderId="0">
      <alignment vertical="top"/>
    </xf>
    <xf numFmtId="0" fontId="59" fillId="0" borderId="0">
      <alignment vertical="top"/>
    </xf>
    <xf numFmtId="176" fontId="59" fillId="0" borderId="0">
      <alignment vertical="top"/>
    </xf>
    <xf numFmtId="0" fontId="59" fillId="0" borderId="0">
      <alignment vertical="top"/>
    </xf>
    <xf numFmtId="176" fontId="59" fillId="0" borderId="0">
      <alignment vertical="top"/>
    </xf>
    <xf numFmtId="0" fontId="59" fillId="0" borderId="0">
      <alignment vertical="top"/>
    </xf>
    <xf numFmtId="176" fontId="59" fillId="0" borderId="0">
      <alignment vertical="top"/>
      <protection locked="0"/>
    </xf>
    <xf numFmtId="0" fontId="59" fillId="0" borderId="0">
      <alignment vertical="top"/>
      <protection locked="0"/>
    </xf>
    <xf numFmtId="0" fontId="60" fillId="0" borderId="0"/>
    <xf numFmtId="176" fontId="59" fillId="0" borderId="0">
      <alignment vertical="top"/>
    </xf>
    <xf numFmtId="0" fontId="59" fillId="0" borderId="0">
      <alignment vertical="top"/>
    </xf>
    <xf numFmtId="0" fontId="60" fillId="0" borderId="0"/>
    <xf numFmtId="0" fontId="60" fillId="0" borderId="0"/>
    <xf numFmtId="0" fontId="60" fillId="0" borderId="0"/>
    <xf numFmtId="0" fontId="59" fillId="0" borderId="0">
      <alignment vertical="top"/>
    </xf>
    <xf numFmtId="0" fontId="59" fillId="0" borderId="0">
      <alignment vertical="top"/>
    </xf>
    <xf numFmtId="0" fontId="59" fillId="0" borderId="0">
      <alignment vertical="top"/>
    </xf>
    <xf numFmtId="0" fontId="59" fillId="0" borderId="0">
      <alignment vertical="top"/>
    </xf>
    <xf numFmtId="0" fontId="59" fillId="0" borderId="0">
      <alignment vertical="top"/>
    </xf>
    <xf numFmtId="0" fontId="59" fillId="0" borderId="0">
      <alignment vertical="top"/>
    </xf>
    <xf numFmtId="0" fontId="59" fillId="0" borderId="0">
      <alignment vertical="top"/>
    </xf>
    <xf numFmtId="0" fontId="59" fillId="0" borderId="0">
      <alignment vertical="top"/>
    </xf>
    <xf numFmtId="0" fontId="59" fillId="0" borderId="0">
      <alignment vertical="top"/>
    </xf>
    <xf numFmtId="0" fontId="59" fillId="0" borderId="0">
      <alignment vertical="top"/>
    </xf>
    <xf numFmtId="0" fontId="59" fillId="0" borderId="0">
      <alignment vertical="top"/>
    </xf>
    <xf numFmtId="0" fontId="59" fillId="0" borderId="0">
      <alignment vertical="top"/>
    </xf>
    <xf numFmtId="0" fontId="60" fillId="0" borderId="0"/>
    <xf numFmtId="176" fontId="59" fillId="0" borderId="0">
      <alignment vertical="top"/>
      <protection locked="0"/>
    </xf>
    <xf numFmtId="0" fontId="59" fillId="0" borderId="0">
      <alignment vertical="top"/>
      <protection locked="0"/>
    </xf>
    <xf numFmtId="176" fontId="59" fillId="0" borderId="0">
      <alignment vertical="top"/>
      <protection locked="0"/>
    </xf>
    <xf numFmtId="0" fontId="59" fillId="0" borderId="0">
      <alignment vertical="top"/>
      <protection locked="0"/>
    </xf>
    <xf numFmtId="0" fontId="59" fillId="0" borderId="0">
      <alignment vertical="top"/>
      <protection locked="0"/>
    </xf>
    <xf numFmtId="0" fontId="59" fillId="0" borderId="0">
      <alignment vertical="top"/>
      <protection locked="0"/>
    </xf>
    <xf numFmtId="176" fontId="59" fillId="0" borderId="0">
      <alignment vertical="top"/>
      <protection locked="0"/>
    </xf>
    <xf numFmtId="0" fontId="59" fillId="0" borderId="0">
      <alignment vertical="top"/>
      <protection locked="0"/>
    </xf>
    <xf numFmtId="176" fontId="59" fillId="0" borderId="0">
      <alignment vertical="top"/>
    </xf>
    <xf numFmtId="0" fontId="59" fillId="0" borderId="0">
      <alignment vertical="top"/>
    </xf>
    <xf numFmtId="0" fontId="59" fillId="0" borderId="0">
      <alignment vertical="top"/>
    </xf>
    <xf numFmtId="0" fontId="59" fillId="0" borderId="0">
      <alignment vertical="top"/>
    </xf>
    <xf numFmtId="0" fontId="59" fillId="0" borderId="0">
      <alignment vertical="top"/>
    </xf>
    <xf numFmtId="176" fontId="59" fillId="0" borderId="0">
      <alignment vertical="top"/>
    </xf>
    <xf numFmtId="0" fontId="59" fillId="0" borderId="0">
      <alignment vertical="top"/>
    </xf>
    <xf numFmtId="0" fontId="59" fillId="0" borderId="0">
      <alignment vertical="top"/>
    </xf>
    <xf numFmtId="0" fontId="59" fillId="0" borderId="0">
      <alignment vertical="top"/>
      <protection locked="0"/>
    </xf>
    <xf numFmtId="0" fontId="60" fillId="0" borderId="0"/>
    <xf numFmtId="176" fontId="59" fillId="0" borderId="0">
      <alignment vertical="top"/>
    </xf>
    <xf numFmtId="0" fontId="59" fillId="0" borderId="0">
      <alignment vertical="top"/>
    </xf>
    <xf numFmtId="0" fontId="59" fillId="0" borderId="0">
      <alignment vertical="top"/>
      <protection locked="0"/>
    </xf>
    <xf numFmtId="176" fontId="59" fillId="0" borderId="0">
      <alignment vertical="top"/>
    </xf>
    <xf numFmtId="0" fontId="59" fillId="0" borderId="0">
      <alignment vertical="top"/>
    </xf>
    <xf numFmtId="0" fontId="59" fillId="0" borderId="0">
      <alignment vertical="top"/>
      <protection locked="0"/>
    </xf>
    <xf numFmtId="0" fontId="59" fillId="0" borderId="0">
      <alignment vertical="top"/>
      <protection locked="0"/>
    </xf>
    <xf numFmtId="0" fontId="59" fillId="0" borderId="0">
      <alignment vertical="top"/>
    </xf>
    <xf numFmtId="0" fontId="59" fillId="0" borderId="0">
      <alignment vertical="top"/>
      <protection locked="0"/>
    </xf>
    <xf numFmtId="0" fontId="59" fillId="0" borderId="0">
      <alignment vertical="top"/>
    </xf>
    <xf numFmtId="176" fontId="59" fillId="0" borderId="0">
      <alignment vertical="top"/>
      <protection locked="0"/>
    </xf>
    <xf numFmtId="0" fontId="59" fillId="0" borderId="0">
      <alignment vertical="top"/>
      <protection locked="0"/>
    </xf>
    <xf numFmtId="176" fontId="59" fillId="0" borderId="0">
      <alignment vertical="top"/>
      <protection locked="0"/>
    </xf>
    <xf numFmtId="0" fontId="59" fillId="0" borderId="0">
      <alignment vertical="top"/>
      <protection locked="0"/>
    </xf>
    <xf numFmtId="0" fontId="59" fillId="0" borderId="0">
      <alignment vertical="top"/>
      <protection locked="0"/>
    </xf>
    <xf numFmtId="0" fontId="60" fillId="0" borderId="0"/>
    <xf numFmtId="176" fontId="59" fillId="0" borderId="0">
      <alignment vertical="top"/>
    </xf>
    <xf numFmtId="0" fontId="59" fillId="0" borderId="0">
      <alignment vertical="top"/>
    </xf>
    <xf numFmtId="0" fontId="59" fillId="0" borderId="0">
      <alignment vertical="top"/>
      <protection locked="0"/>
    </xf>
    <xf numFmtId="176" fontId="59" fillId="0" borderId="0">
      <alignment vertical="top"/>
      <protection locked="0"/>
    </xf>
    <xf numFmtId="0" fontId="59" fillId="0" borderId="0">
      <alignment vertical="top"/>
      <protection locked="0"/>
    </xf>
    <xf numFmtId="0" fontId="60" fillId="0" borderId="0"/>
    <xf numFmtId="177" fontId="58" fillId="0" borderId="0" applyFill="0" applyBorder="0" applyProtection="0">
      <alignment horizontal="right"/>
    </xf>
    <xf numFmtId="178" fontId="58" fillId="0" borderId="0" applyFill="0" applyBorder="0" applyProtection="0">
      <alignment horizontal="right"/>
    </xf>
    <xf numFmtId="179" fontId="62" fillId="0" borderId="0" applyFill="0" applyBorder="0" applyProtection="0">
      <alignment horizontal="center"/>
    </xf>
    <xf numFmtId="180" fontId="62" fillId="0" borderId="0" applyFill="0" applyBorder="0" applyProtection="0">
      <alignment horizontal="center"/>
    </xf>
    <xf numFmtId="181" fontId="63" fillId="0" borderId="0" applyFill="0" applyBorder="0" applyProtection="0">
      <alignment horizontal="right"/>
    </xf>
    <xf numFmtId="182" fontId="58" fillId="0" borderId="0" applyFill="0" applyBorder="0" applyProtection="0">
      <alignment horizontal="right"/>
    </xf>
    <xf numFmtId="183" fontId="58" fillId="0" borderId="0" applyFill="0" applyBorder="0" applyProtection="0">
      <alignment horizontal="right"/>
    </xf>
    <xf numFmtId="184" fontId="58" fillId="0" borderId="0" applyFill="0" applyBorder="0" applyProtection="0">
      <alignment horizontal="right"/>
    </xf>
    <xf numFmtId="185" fontId="58" fillId="0" borderId="0" applyFill="0" applyBorder="0" applyProtection="0">
      <alignment horizontal="right"/>
    </xf>
    <xf numFmtId="186" fontId="64" fillId="0" borderId="0" applyFont="0" applyFill="0" applyBorder="0" applyAlignment="0" applyProtection="0"/>
    <xf numFmtId="0" fontId="61" fillId="0" borderId="0"/>
    <xf numFmtId="187" fontId="64" fillId="0" borderId="0" applyFont="0" applyFill="0" applyBorder="0" applyAlignment="0" applyProtection="0"/>
    <xf numFmtId="10" fontId="64" fillId="0" borderId="0" applyFont="0" applyFill="0" applyBorder="0" applyAlignment="0" applyProtection="0"/>
    <xf numFmtId="188" fontId="157" fillId="0" borderId="0" applyFont="0" applyFill="0" applyBorder="0" applyAlignment="0" applyProtection="0"/>
    <xf numFmtId="176" fontId="65" fillId="9" borderId="0" applyNumberFormat="0" applyBorder="0" applyAlignment="0" applyProtection="0"/>
    <xf numFmtId="176" fontId="65" fillId="10" borderId="0" applyNumberFormat="0" applyBorder="0" applyAlignment="0" applyProtection="0"/>
    <xf numFmtId="176" fontId="65" fillId="11" borderId="0" applyNumberFormat="0" applyBorder="0" applyAlignment="0" applyProtection="0"/>
    <xf numFmtId="176" fontId="65" fillId="12" borderId="0" applyNumberFormat="0" applyBorder="0" applyAlignment="0" applyProtection="0"/>
    <xf numFmtId="176" fontId="65" fillId="13" borderId="0" applyNumberFormat="0" applyBorder="0" applyAlignment="0" applyProtection="0"/>
    <xf numFmtId="176" fontId="65" fillId="14" borderId="0" applyNumberFormat="0" applyBorder="0" applyAlignment="0" applyProtection="0"/>
    <xf numFmtId="176" fontId="65" fillId="15" borderId="0" applyNumberFormat="0" applyBorder="0" applyAlignment="0" applyProtection="0"/>
    <xf numFmtId="176" fontId="65" fillId="16" borderId="0" applyNumberFormat="0" applyBorder="0" applyAlignment="0" applyProtection="0"/>
    <xf numFmtId="176" fontId="65" fillId="17" borderId="0" applyNumberFormat="0" applyBorder="0" applyAlignment="0" applyProtection="0"/>
    <xf numFmtId="176" fontId="65" fillId="12" borderId="0" applyNumberFormat="0" applyBorder="0" applyAlignment="0" applyProtection="0"/>
    <xf numFmtId="176" fontId="65" fillId="15" borderId="0" applyNumberFormat="0" applyBorder="0" applyAlignment="0" applyProtection="0"/>
    <xf numFmtId="176" fontId="65" fillId="18" borderId="0" applyNumberFormat="0" applyBorder="0" applyAlignment="0" applyProtection="0"/>
    <xf numFmtId="176" fontId="66" fillId="8" borderId="0" applyNumberFormat="0" applyBorder="0" applyAlignment="0" applyProtection="0"/>
    <xf numFmtId="176" fontId="66" fillId="16" borderId="0" applyNumberFormat="0" applyBorder="0" applyAlignment="0" applyProtection="0"/>
    <xf numFmtId="176" fontId="66" fillId="17" borderId="0" applyNumberFormat="0" applyBorder="0" applyAlignment="0" applyProtection="0"/>
    <xf numFmtId="176" fontId="66" fillId="19" borderId="0" applyNumberFormat="0" applyBorder="0" applyAlignment="0" applyProtection="0"/>
    <xf numFmtId="176" fontId="66" fillId="20" borderId="0" applyNumberFormat="0" applyBorder="0" applyAlignment="0" applyProtection="0"/>
    <xf numFmtId="176" fontId="66" fillId="21" borderId="0" applyNumberFormat="0" applyBorder="0" applyAlignment="0" applyProtection="0"/>
    <xf numFmtId="0" fontId="67" fillId="0" borderId="16">
      <alignment horizontal="center"/>
    </xf>
    <xf numFmtId="0" fontId="68" fillId="0" borderId="0"/>
    <xf numFmtId="0" fontId="68" fillId="0" borderId="13" applyFill="0">
      <alignment horizontal="center"/>
      <protection locked="0"/>
    </xf>
    <xf numFmtId="0" fontId="67" fillId="0" borderId="0" applyFill="0">
      <alignment horizontal="center"/>
      <protection locked="0"/>
    </xf>
    <xf numFmtId="0" fontId="67" fillId="22" borderId="0"/>
    <xf numFmtId="0" fontId="67" fillId="0" borderId="0">
      <protection locked="0"/>
    </xf>
    <xf numFmtId="0" fontId="67" fillId="0" borderId="0"/>
    <xf numFmtId="189" fontId="67" fillId="0" borderId="0"/>
    <xf numFmtId="190" fontId="67" fillId="0" borderId="0"/>
    <xf numFmtId="0" fontId="68" fillId="23" borderId="0">
      <alignment horizontal="right"/>
    </xf>
    <xf numFmtId="0" fontId="67" fillId="0" borderId="0"/>
    <xf numFmtId="176" fontId="66" fillId="24" borderId="0" applyNumberFormat="0" applyBorder="0" applyAlignment="0" applyProtection="0"/>
    <xf numFmtId="0" fontId="69" fillId="25" borderId="0" applyNumberFormat="0" applyBorder="0" applyAlignment="0" applyProtection="0"/>
    <xf numFmtId="0" fontId="69" fillId="25" borderId="0" applyNumberFormat="0" applyBorder="0" applyAlignment="0" applyProtection="0"/>
    <xf numFmtId="0" fontId="70" fillId="26" borderId="0" applyNumberFormat="0" applyBorder="0" applyAlignment="0" applyProtection="0"/>
    <xf numFmtId="176" fontId="66" fillId="27" borderId="0" applyNumberFormat="0" applyBorder="0" applyAlignment="0" applyProtection="0"/>
    <xf numFmtId="0" fontId="69" fillId="28" borderId="0" applyNumberFormat="0" applyBorder="0" applyAlignment="0" applyProtection="0"/>
    <xf numFmtId="0" fontId="69" fillId="29" borderId="0" applyNumberFormat="0" applyBorder="0" applyAlignment="0" applyProtection="0"/>
    <xf numFmtId="0" fontId="70" fillId="30" borderId="0" applyNumberFormat="0" applyBorder="0" applyAlignment="0" applyProtection="0"/>
    <xf numFmtId="176" fontId="66" fillId="31" borderId="0" applyNumberFormat="0" applyBorder="0" applyAlignment="0" applyProtection="0"/>
    <xf numFmtId="0" fontId="69" fillId="28" borderId="0" applyNumberFormat="0" applyBorder="0" applyAlignment="0" applyProtection="0"/>
    <xf numFmtId="0" fontId="69" fillId="32" borderId="0" applyNumberFormat="0" applyBorder="0" applyAlignment="0" applyProtection="0"/>
    <xf numFmtId="0" fontId="70" fillId="29" borderId="0" applyNumberFormat="0" applyBorder="0" applyAlignment="0" applyProtection="0"/>
    <xf numFmtId="176" fontId="66" fillId="19" borderId="0" applyNumberFormat="0" applyBorder="0" applyAlignment="0" applyProtection="0"/>
    <xf numFmtId="0" fontId="69" fillId="25" borderId="0" applyNumberFormat="0" applyBorder="0" applyAlignment="0" applyProtection="0"/>
    <xf numFmtId="0" fontId="69" fillId="29" borderId="0" applyNumberFormat="0" applyBorder="0" applyAlignment="0" applyProtection="0"/>
    <xf numFmtId="0" fontId="70" fillId="29" borderId="0" applyNumberFormat="0" applyBorder="0" applyAlignment="0" applyProtection="0"/>
    <xf numFmtId="176" fontId="66" fillId="20" borderId="0" applyNumberFormat="0" applyBorder="0" applyAlignment="0" applyProtection="0"/>
    <xf numFmtId="0" fontId="69" fillId="33" borderId="0" applyNumberFormat="0" applyBorder="0" applyAlignment="0" applyProtection="0"/>
    <xf numFmtId="0" fontId="69" fillId="25" borderId="0" applyNumberFormat="0" applyBorder="0" applyAlignment="0" applyProtection="0"/>
    <xf numFmtId="0" fontId="70" fillId="26" borderId="0" applyNumberFormat="0" applyBorder="0" applyAlignment="0" applyProtection="0"/>
    <xf numFmtId="176" fontId="66" fillId="34" borderId="0" applyNumberFormat="0" applyBorder="0" applyAlignment="0" applyProtection="0"/>
    <xf numFmtId="0" fontId="69" fillId="28" borderId="0" applyNumberFormat="0" applyBorder="0" applyAlignment="0" applyProtection="0"/>
    <xf numFmtId="0" fontId="69" fillId="35" borderId="0" applyNumberFormat="0" applyBorder="0" applyAlignment="0" applyProtection="0"/>
    <xf numFmtId="0" fontId="70" fillId="35" borderId="0" applyNumberFormat="0" applyBorder="0" applyAlignment="0" applyProtection="0"/>
    <xf numFmtId="0" fontId="71" fillId="0" borderId="0">
      <alignment horizontal="center" wrapText="1"/>
      <protection locked="0"/>
    </xf>
    <xf numFmtId="176" fontId="72" fillId="10" borderId="0" applyNumberFormat="0" applyBorder="0" applyAlignment="0" applyProtection="0"/>
    <xf numFmtId="3" fontId="73" fillId="0" borderId="0"/>
    <xf numFmtId="191" fontId="74" fillId="0" borderId="17" applyAlignment="0" applyProtection="0"/>
    <xf numFmtId="192" fontId="59" fillId="0" borderId="0" applyFill="0" applyBorder="0" applyAlignment="0"/>
    <xf numFmtId="193" fontId="54" fillId="0" borderId="0" applyFill="0" applyBorder="0" applyAlignment="0"/>
    <xf numFmtId="194" fontId="54" fillId="0" borderId="0" applyFill="0" applyBorder="0" applyAlignment="0"/>
    <xf numFmtId="195" fontId="54" fillId="0" borderId="0" applyFill="0" applyBorder="0" applyAlignment="0"/>
    <xf numFmtId="196" fontId="54" fillId="0" borderId="0" applyFill="0" applyBorder="0" applyAlignment="0"/>
    <xf numFmtId="197" fontId="54" fillId="0" borderId="0" applyFill="0" applyBorder="0" applyAlignment="0"/>
    <xf numFmtId="198" fontId="54" fillId="0" borderId="0" applyFill="0" applyBorder="0" applyAlignment="0"/>
    <xf numFmtId="193" fontId="54" fillId="0" borderId="0" applyFill="0" applyBorder="0" applyAlignment="0"/>
    <xf numFmtId="176" fontId="75" fillId="36" borderId="18" applyNumberFormat="0" applyAlignment="0" applyProtection="0"/>
    <xf numFmtId="0" fontId="76" fillId="0" borderId="0"/>
    <xf numFmtId="176" fontId="77" fillId="37" borderId="19" applyNumberFormat="0" applyAlignment="0" applyProtection="0"/>
    <xf numFmtId="0" fontId="78" fillId="0" borderId="20" applyNumberFormat="0" applyFill="0" applyProtection="0">
      <alignment horizontal="center"/>
    </xf>
    <xf numFmtId="176" fontId="79" fillId="0" borderId="21">
      <alignment horizontal="center"/>
    </xf>
    <xf numFmtId="199" fontId="54" fillId="0" borderId="0"/>
    <xf numFmtId="199" fontId="54" fillId="0" borderId="0"/>
    <xf numFmtId="199" fontId="54" fillId="0" borderId="0"/>
    <xf numFmtId="199" fontId="54" fillId="0" borderId="0"/>
    <xf numFmtId="199" fontId="54" fillId="0" borderId="0"/>
    <xf numFmtId="199" fontId="54" fillId="0" borderId="0"/>
    <xf numFmtId="199" fontId="54" fillId="0" borderId="0"/>
    <xf numFmtId="199" fontId="54" fillId="0" borderId="0"/>
    <xf numFmtId="200" fontId="157" fillId="0" borderId="0" applyFont="0" applyFill="0" applyBorder="0" applyAlignment="0" applyProtection="0"/>
    <xf numFmtId="197" fontId="54" fillId="0" borderId="0" applyFont="0" applyFill="0" applyBorder="0" applyAlignment="0" applyProtection="0"/>
    <xf numFmtId="43" fontId="157" fillId="0" borderId="0" applyFont="0" applyFill="0" applyBorder="0" applyAlignment="0" applyProtection="0"/>
    <xf numFmtId="201" fontId="58" fillId="0" borderId="0"/>
    <xf numFmtId="37" fontId="64" fillId="0" borderId="0" applyFont="0" applyFill="0" applyBorder="0" applyAlignment="0" applyProtection="0"/>
    <xf numFmtId="202" fontId="64" fillId="0" borderId="0" applyFont="0" applyFill="0" applyBorder="0" applyAlignment="0" applyProtection="0"/>
    <xf numFmtId="39" fontId="64" fillId="0" borderId="0" applyFont="0" applyFill="0" applyBorder="0" applyAlignment="0" applyProtection="0"/>
    <xf numFmtId="40" fontId="80" fillId="0" borderId="0" applyFont="0" applyFill="0" applyBorder="0" applyAlignment="0" applyProtection="0"/>
    <xf numFmtId="0" fontId="81" fillId="0" borderId="0" applyNumberFormat="0" applyAlignment="0">
      <alignment horizontal="left"/>
    </xf>
    <xf numFmtId="0" fontId="82" fillId="0" borderId="0" applyNumberFormat="0" applyAlignment="0"/>
    <xf numFmtId="200" fontId="83" fillId="0" borderId="0" applyFont="0" applyFill="0" applyBorder="0" applyAlignment="0" applyProtection="0"/>
    <xf numFmtId="193" fontId="54" fillId="0" borderId="0" applyFont="0" applyFill="0" applyBorder="0" applyAlignment="0" applyProtection="0"/>
    <xf numFmtId="191" fontId="64" fillId="0" borderId="0" applyFont="0" applyFill="0" applyBorder="0" applyAlignment="0" applyProtection="0"/>
    <xf numFmtId="203" fontId="64" fillId="0" borderId="0" applyFont="0" applyFill="0" applyBorder="0" applyAlignment="0" applyProtection="0"/>
    <xf numFmtId="204" fontId="157" fillId="0" borderId="0" applyFont="0" applyFill="0" applyBorder="0" applyAlignment="0" applyProtection="0"/>
    <xf numFmtId="205" fontId="58" fillId="0" borderId="0"/>
    <xf numFmtId="206" fontId="54" fillId="0" borderId="0">
      <protection locked="0"/>
    </xf>
    <xf numFmtId="15" fontId="80" fillId="0" borderId="0"/>
    <xf numFmtId="14" fontId="59" fillId="0" borderId="0" applyFill="0" applyBorder="0" applyAlignment="0"/>
    <xf numFmtId="206" fontId="54" fillId="0" borderId="0">
      <protection locked="0"/>
    </xf>
    <xf numFmtId="41" fontId="54" fillId="0" borderId="0" applyFont="0" applyFill="0" applyBorder="0" applyAlignment="0" applyProtection="0"/>
    <xf numFmtId="43" fontId="54" fillId="0" borderId="0" applyFont="0" applyFill="0" applyBorder="0" applyAlignment="0" applyProtection="0"/>
    <xf numFmtId="207" fontId="58" fillId="0" borderId="0"/>
    <xf numFmtId="0" fontId="84" fillId="0" borderId="0" applyNumberFormat="0" applyFill="0" applyBorder="0" applyAlignment="0" applyProtection="0"/>
    <xf numFmtId="197" fontId="54" fillId="0" borderId="0" applyFill="0" applyBorder="0" applyAlignment="0"/>
    <xf numFmtId="193" fontId="54" fillId="0" borderId="0" applyFill="0" applyBorder="0" applyAlignment="0"/>
    <xf numFmtId="197" fontId="54" fillId="0" borderId="0" applyFill="0" applyBorder="0" applyAlignment="0"/>
    <xf numFmtId="198" fontId="54" fillId="0" borderId="0" applyFill="0" applyBorder="0" applyAlignment="0"/>
    <xf numFmtId="193" fontId="54" fillId="0" borderId="0" applyFill="0" applyBorder="0" applyAlignment="0"/>
    <xf numFmtId="0" fontId="85" fillId="0" borderId="0" applyNumberFormat="0" applyAlignment="0">
      <alignment horizontal="left"/>
    </xf>
    <xf numFmtId="176" fontId="86" fillId="0" borderId="0">
      <alignment horizontal="left"/>
    </xf>
    <xf numFmtId="0" fontId="86" fillId="0" borderId="0">
      <alignment horizontal="left"/>
    </xf>
    <xf numFmtId="176" fontId="87" fillId="38" borderId="16"/>
    <xf numFmtId="0" fontId="87" fillId="38" borderId="16"/>
    <xf numFmtId="176" fontId="58" fillId="0" borderId="0" applyFont="0" applyFill="0" applyBorder="0" applyAlignment="0" applyProtection="0"/>
    <xf numFmtId="176" fontId="88" fillId="0" borderId="0" applyNumberFormat="0" applyFill="0" applyBorder="0" applyAlignment="0" applyProtection="0"/>
    <xf numFmtId="206" fontId="54" fillId="0" borderId="0">
      <protection locked="0"/>
    </xf>
    <xf numFmtId="206" fontId="54" fillId="0" borderId="0">
      <protection locked="0"/>
    </xf>
    <xf numFmtId="206" fontId="54" fillId="0" borderId="0">
      <protection locked="0"/>
    </xf>
    <xf numFmtId="206" fontId="54" fillId="0" borderId="0">
      <protection locked="0"/>
    </xf>
    <xf numFmtId="206" fontId="54" fillId="0" borderId="0">
      <protection locked="0"/>
    </xf>
    <xf numFmtId="206" fontId="54" fillId="0" borderId="0">
      <protection locked="0"/>
    </xf>
    <xf numFmtId="206" fontId="54" fillId="0" borderId="0">
      <protection locked="0"/>
    </xf>
    <xf numFmtId="206" fontId="54" fillId="0" borderId="0">
      <protection locked="0"/>
    </xf>
    <xf numFmtId="0" fontId="89" fillId="0" borderId="0" applyNumberFormat="0" applyFill="0" applyBorder="0" applyAlignment="0" applyProtection="0">
      <alignment vertical="top"/>
      <protection locked="0"/>
    </xf>
    <xf numFmtId="176" fontId="90" fillId="11" borderId="0" applyNumberFormat="0" applyBorder="0" applyAlignment="0" applyProtection="0"/>
    <xf numFmtId="38" fontId="87" fillId="36" borderId="0" applyNumberFormat="0" applyBorder="0" applyAlignment="0" applyProtection="0"/>
    <xf numFmtId="0" fontId="91" fillId="0" borderId="0">
      <alignment horizontal="left"/>
    </xf>
    <xf numFmtId="176" fontId="92" fillId="0" borderId="11" applyNumberFormat="0" applyAlignment="0" applyProtection="0">
      <alignment horizontal="left" vertical="center"/>
    </xf>
    <xf numFmtId="0" fontId="92" fillId="0" borderId="11" applyNumberFormat="0" applyAlignment="0" applyProtection="0">
      <alignment horizontal="left" vertical="center"/>
    </xf>
    <xf numFmtId="176" fontId="92" fillId="0" borderId="22">
      <alignment horizontal="left" vertical="center"/>
    </xf>
    <xf numFmtId="0" fontId="92" fillId="0" borderId="22">
      <alignment horizontal="left" vertical="center"/>
    </xf>
    <xf numFmtId="14" fontId="93" fillId="13" borderId="13">
      <alignment horizontal="center" vertical="center" wrapText="1"/>
    </xf>
    <xf numFmtId="176" fontId="94" fillId="0" borderId="23" applyNumberFormat="0" applyFill="0" applyAlignment="0" applyProtection="0"/>
    <xf numFmtId="176" fontId="95" fillId="0" borderId="24" applyNumberFormat="0" applyFill="0" applyAlignment="0" applyProtection="0"/>
    <xf numFmtId="176" fontId="96" fillId="0" borderId="25" applyNumberFormat="0" applyFill="0" applyAlignment="0" applyProtection="0"/>
    <xf numFmtId="176" fontId="96" fillId="0" borderId="0" applyNumberFormat="0" applyFill="0" applyBorder="0" applyAlignment="0" applyProtection="0"/>
    <xf numFmtId="206" fontId="54" fillId="0" borderId="0">
      <protection locked="0"/>
    </xf>
    <xf numFmtId="206" fontId="54" fillId="0" borderId="0">
      <protection locked="0"/>
    </xf>
    <xf numFmtId="0" fontId="97" fillId="0" borderId="0" applyNumberFormat="0" applyFill="0" applyBorder="0" applyAlignment="0" applyProtection="0">
      <alignment vertical="top"/>
      <protection locked="0"/>
    </xf>
    <xf numFmtId="176" fontId="98" fillId="14" borderId="18" applyNumberFormat="0" applyAlignment="0" applyProtection="0"/>
    <xf numFmtId="10" fontId="87" fillId="39" borderId="16" applyNumberFormat="0" applyBorder="0" applyAlignment="0" applyProtection="0"/>
    <xf numFmtId="202" fontId="99" fillId="40" borderId="0"/>
    <xf numFmtId="208" fontId="157" fillId="40" borderId="0"/>
    <xf numFmtId="176" fontId="58" fillId="0" borderId="0" applyNumberFormat="0" applyFont="0" applyFill="0" applyBorder="0" applyProtection="0">
      <alignment horizontal="left" vertical="center"/>
    </xf>
    <xf numFmtId="0" fontId="58" fillId="0" borderId="0" applyNumberFormat="0" applyFont="0" applyFill="0" applyBorder="0" applyProtection="0">
      <alignment horizontal="left" vertical="center"/>
    </xf>
    <xf numFmtId="197" fontId="54" fillId="0" borderId="0" applyFill="0" applyBorder="0" applyAlignment="0"/>
    <xf numFmtId="193" fontId="54" fillId="0" borderId="0" applyFill="0" applyBorder="0" applyAlignment="0"/>
    <xf numFmtId="197" fontId="54" fillId="0" borderId="0" applyFill="0" applyBorder="0" applyAlignment="0"/>
    <xf numFmtId="198" fontId="54" fillId="0" borderId="0" applyFill="0" applyBorder="0" applyAlignment="0"/>
    <xf numFmtId="193" fontId="54" fillId="0" borderId="0" applyFill="0" applyBorder="0" applyAlignment="0"/>
    <xf numFmtId="176" fontId="100" fillId="0" borderId="26" applyNumberFormat="0" applyFill="0" applyAlignment="0" applyProtection="0"/>
    <xf numFmtId="202" fontId="101" fillId="41" borderId="0"/>
    <xf numFmtId="208" fontId="157" fillId="41" borderId="0"/>
    <xf numFmtId="41" fontId="54" fillId="0" borderId="0" applyFont="0" applyFill="0" applyBorder="0" applyAlignment="0" applyProtection="0"/>
    <xf numFmtId="43"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102" fillId="0" borderId="13"/>
    <xf numFmtId="200" fontId="54" fillId="0" borderId="0" applyFont="0" applyFill="0" applyBorder="0" applyAlignment="0" applyProtection="0"/>
    <xf numFmtId="209"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210" fontId="54" fillId="0" borderId="0" applyFont="0" applyFill="0" applyBorder="0" applyAlignment="0" applyProtection="0"/>
    <xf numFmtId="211" fontId="157" fillId="0" borderId="0" applyFont="0" applyFill="0" applyBorder="0" applyAlignment="0" applyProtection="0"/>
    <xf numFmtId="176" fontId="103" fillId="42" borderId="0" applyNumberFormat="0" applyBorder="0" applyAlignment="0" applyProtection="0"/>
    <xf numFmtId="0" fontId="58" fillId="0" borderId="0"/>
    <xf numFmtId="37" fontId="104" fillId="0" borderId="0"/>
    <xf numFmtId="0" fontId="82" fillId="0" borderId="0"/>
    <xf numFmtId="212" fontId="157" fillId="0" borderId="0"/>
    <xf numFmtId="0" fontId="54" fillId="0" borderId="0"/>
    <xf numFmtId="0" fontId="54" fillId="0" borderId="0"/>
    <xf numFmtId="0" fontId="157" fillId="0" borderId="0"/>
    <xf numFmtId="0" fontId="157" fillId="0" borderId="0">
      <alignment vertical="center"/>
    </xf>
    <xf numFmtId="176" fontId="80" fillId="0" borderId="0"/>
    <xf numFmtId="176" fontId="105" fillId="0" borderId="0"/>
    <xf numFmtId="176" fontId="54" fillId="39" borderId="27" applyNumberFormat="0" applyFont="0" applyAlignment="0" applyProtection="0"/>
    <xf numFmtId="213" fontId="157" fillId="0" borderId="0" applyFont="0" applyFill="0" applyBorder="0" applyAlignment="0" applyProtection="0"/>
    <xf numFmtId="214" fontId="157" fillId="0" borderId="0" applyFont="0" applyFill="0" applyBorder="0" applyAlignment="0" applyProtection="0"/>
    <xf numFmtId="176" fontId="106" fillId="36" borderId="28" applyNumberFormat="0" applyAlignment="0" applyProtection="0"/>
    <xf numFmtId="14" fontId="71" fillId="0" borderId="0">
      <alignment horizontal="center" wrapText="1"/>
      <protection locked="0"/>
    </xf>
    <xf numFmtId="215" fontId="54" fillId="0" borderId="0" applyFont="0" applyFill="0" applyBorder="0" applyAlignment="0" applyProtection="0"/>
    <xf numFmtId="196" fontId="54" fillId="0" borderId="0" applyFont="0" applyFill="0" applyBorder="0" applyAlignment="0" applyProtection="0"/>
    <xf numFmtId="186" fontId="54" fillId="0" borderId="0" applyFont="0" applyFill="0" applyBorder="0" applyAlignment="0" applyProtection="0"/>
    <xf numFmtId="10" fontId="54" fillId="0" borderId="0" applyFont="0" applyFill="0" applyBorder="0" applyAlignment="0" applyProtection="0"/>
    <xf numFmtId="9" fontId="60" fillId="0" borderId="0" applyFont="0" applyFill="0" applyBorder="0" applyAlignment="0" applyProtection="0"/>
    <xf numFmtId="13" fontId="54" fillId="0" borderId="0" applyFont="0" applyFill="0" applyProtection="0"/>
    <xf numFmtId="176" fontId="87" fillId="36" borderId="16"/>
    <xf numFmtId="0" fontId="87" fillId="36" borderId="16"/>
    <xf numFmtId="197" fontId="54" fillId="0" borderId="0" applyFill="0" applyBorder="0" applyAlignment="0"/>
    <xf numFmtId="193" fontId="54" fillId="0" borderId="0" applyFill="0" applyBorder="0" applyAlignment="0"/>
    <xf numFmtId="197" fontId="54" fillId="0" borderId="0" applyFill="0" applyBorder="0" applyAlignment="0"/>
    <xf numFmtId="198" fontId="54" fillId="0" borderId="0" applyFill="0" applyBorder="0" applyAlignment="0"/>
    <xf numFmtId="193" fontId="54" fillId="0" borderId="0" applyFill="0" applyBorder="0" applyAlignment="0"/>
    <xf numFmtId="4" fontId="86" fillId="0" borderId="0">
      <alignment horizontal="right"/>
    </xf>
    <xf numFmtId="216" fontId="107" fillId="0" borderId="0"/>
    <xf numFmtId="188" fontId="107" fillId="0" borderId="0"/>
    <xf numFmtId="0" fontId="80" fillId="0" borderId="0" applyNumberFormat="0" applyFont="0" applyFill="0" applyBorder="0" applyAlignment="0" applyProtection="0">
      <alignment horizontal="left"/>
    </xf>
    <xf numFmtId="0" fontId="74" fillId="0" borderId="13">
      <alignment horizontal="center"/>
    </xf>
    <xf numFmtId="3" fontId="108" fillId="0" borderId="0"/>
    <xf numFmtId="4" fontId="109" fillId="0" borderId="0">
      <alignment horizontal="right"/>
    </xf>
    <xf numFmtId="217" fontId="61" fillId="0" borderId="0" applyNumberFormat="0" applyFill="0" applyBorder="0" applyAlignment="0" applyProtection="0">
      <alignment horizontal="left"/>
    </xf>
    <xf numFmtId="218" fontId="157" fillId="0" borderId="0" applyNumberFormat="0" applyFill="0" applyBorder="0" applyAlignment="0" applyProtection="0">
      <alignment horizontal="left"/>
    </xf>
    <xf numFmtId="41" fontId="58" fillId="0" borderId="0" applyFont="0" applyFill="0" applyBorder="0" applyAlignment="0" applyProtection="0"/>
    <xf numFmtId="0" fontId="110" fillId="43" borderId="0">
      <alignment horizontal="left" vertical="center"/>
    </xf>
    <xf numFmtId="0" fontId="110" fillId="43" borderId="0">
      <alignment horizontal="right" vertical="center"/>
    </xf>
    <xf numFmtId="4" fontId="111" fillId="42" borderId="29" applyNumberFormat="0" applyProtection="0">
      <alignment vertical="center"/>
    </xf>
    <xf numFmtId="4" fontId="112" fillId="42" borderId="29" applyNumberFormat="0" applyProtection="0">
      <alignment vertical="center"/>
    </xf>
    <xf numFmtId="4" fontId="111" fillId="42" borderId="29" applyNumberFormat="0" applyProtection="0">
      <alignment horizontal="left" vertical="center" indent="1"/>
    </xf>
    <xf numFmtId="0" fontId="111" fillId="42" borderId="29" applyNumberFormat="0" applyProtection="0">
      <alignment horizontal="left" vertical="top" indent="1"/>
    </xf>
    <xf numFmtId="4" fontId="111" fillId="44" borderId="0" applyNumberFormat="0" applyProtection="0">
      <alignment horizontal="left" vertical="center" indent="1"/>
    </xf>
    <xf numFmtId="4" fontId="59" fillId="10" borderId="29" applyNumberFormat="0" applyProtection="0">
      <alignment horizontal="right" vertical="center"/>
    </xf>
    <xf numFmtId="4" fontId="59" fillId="16" borderId="29" applyNumberFormat="0" applyProtection="0">
      <alignment horizontal="right" vertical="center"/>
    </xf>
    <xf numFmtId="4" fontId="59" fillId="27" borderId="29" applyNumberFormat="0" applyProtection="0">
      <alignment horizontal="right" vertical="center"/>
    </xf>
    <xf numFmtId="4" fontId="59" fillId="18" borderId="29" applyNumberFormat="0" applyProtection="0">
      <alignment horizontal="right" vertical="center"/>
    </xf>
    <xf numFmtId="4" fontId="59" fillId="21" borderId="29" applyNumberFormat="0" applyProtection="0">
      <alignment horizontal="right" vertical="center"/>
    </xf>
    <xf numFmtId="4" fontId="59" fillId="34" borderId="29" applyNumberFormat="0" applyProtection="0">
      <alignment horizontal="right" vertical="center"/>
    </xf>
    <xf numFmtId="4" fontId="59" fillId="31" borderId="29" applyNumberFormat="0" applyProtection="0">
      <alignment horizontal="right" vertical="center"/>
    </xf>
    <xf numFmtId="4" fontId="59" fillId="45" borderId="29" applyNumberFormat="0" applyProtection="0">
      <alignment horizontal="right" vertical="center"/>
    </xf>
    <xf numFmtId="4" fontId="59" fillId="17" borderId="29" applyNumberFormat="0" applyProtection="0">
      <alignment horizontal="right" vertical="center"/>
    </xf>
    <xf numFmtId="4" fontId="111" fillId="46" borderId="30" applyNumberFormat="0" applyProtection="0">
      <alignment horizontal="left" vertical="center" indent="1"/>
    </xf>
    <xf numFmtId="4" fontId="59" fillId="47" borderId="0" applyNumberFormat="0" applyProtection="0">
      <alignment horizontal="left" vertical="center" indent="1"/>
    </xf>
    <xf numFmtId="4" fontId="113" fillId="48" borderId="0" applyNumberFormat="0" applyProtection="0">
      <alignment horizontal="left" vertical="center" indent="1"/>
    </xf>
    <xf numFmtId="4" fontId="59" fillId="44" borderId="29" applyNumberFormat="0" applyProtection="0">
      <alignment horizontal="right" vertical="center"/>
    </xf>
    <xf numFmtId="4" fontId="59" fillId="47" borderId="0" applyNumberFormat="0" applyProtection="0">
      <alignment horizontal="left" vertical="center" indent="1"/>
    </xf>
    <xf numFmtId="4" fontId="59" fillId="44" borderId="0" applyNumberFormat="0" applyProtection="0">
      <alignment horizontal="left" vertical="center" indent="1"/>
    </xf>
    <xf numFmtId="0" fontId="54" fillId="48" borderId="29" applyNumberFormat="0" applyProtection="0">
      <alignment horizontal="left" vertical="center" indent="1"/>
    </xf>
    <xf numFmtId="0" fontId="54" fillId="48" borderId="29" applyNumberFormat="0" applyProtection="0">
      <alignment horizontal="left" vertical="top" indent="1"/>
    </xf>
    <xf numFmtId="0" fontId="54" fillId="44" borderId="29" applyNumberFormat="0" applyProtection="0">
      <alignment horizontal="left" vertical="center" indent="1"/>
    </xf>
    <xf numFmtId="0" fontId="54" fillId="44" borderId="29" applyNumberFormat="0" applyProtection="0">
      <alignment horizontal="left" vertical="top" indent="1"/>
    </xf>
    <xf numFmtId="0" fontId="54" fillId="15" borderId="29" applyNumberFormat="0" applyProtection="0">
      <alignment horizontal="left" vertical="center" indent="1"/>
    </xf>
    <xf numFmtId="0" fontId="54" fillId="15" borderId="29" applyNumberFormat="0" applyProtection="0">
      <alignment horizontal="left" vertical="top" indent="1"/>
    </xf>
    <xf numFmtId="0" fontId="54" fillId="47" borderId="29" applyNumberFormat="0" applyProtection="0">
      <alignment horizontal="left" vertical="center" indent="1"/>
    </xf>
    <xf numFmtId="0" fontId="54" fillId="47" borderId="29" applyNumberFormat="0" applyProtection="0">
      <alignment horizontal="left" vertical="top" indent="1"/>
    </xf>
    <xf numFmtId="4" fontId="59" fillId="39" borderId="29" applyNumberFormat="0" applyProtection="0">
      <alignment vertical="center"/>
    </xf>
    <xf numFmtId="4" fontId="114" fillId="39" borderId="29" applyNumberFormat="0" applyProtection="0">
      <alignment vertical="center"/>
    </xf>
    <xf numFmtId="4" fontId="59" fillId="39" borderId="29" applyNumberFormat="0" applyProtection="0">
      <alignment horizontal="left" vertical="center" indent="1"/>
    </xf>
    <xf numFmtId="0" fontId="59" fillId="39" borderId="29" applyNumberFormat="0" applyProtection="0">
      <alignment horizontal="left" vertical="top" indent="1"/>
    </xf>
    <xf numFmtId="4" fontId="59" fillId="47" borderId="29" applyNumberFormat="0" applyProtection="0">
      <alignment horizontal="right" vertical="center"/>
    </xf>
    <xf numFmtId="4" fontId="114" fillId="47" borderId="29" applyNumberFormat="0" applyProtection="0">
      <alignment horizontal="right" vertical="center"/>
    </xf>
    <xf numFmtId="4" fontId="59" fillId="44" borderId="29" applyNumberFormat="0" applyProtection="0">
      <alignment horizontal="left" vertical="center" indent="1"/>
    </xf>
    <xf numFmtId="0" fontId="59" fillId="44" borderId="29" applyNumberFormat="0" applyProtection="0">
      <alignment horizontal="left" vertical="top" indent="1"/>
    </xf>
    <xf numFmtId="4" fontId="115" fillId="40" borderId="0" applyNumberFormat="0" applyProtection="0">
      <alignment horizontal="left" vertical="center" indent="1"/>
    </xf>
    <xf numFmtId="4" fontId="116" fillId="47" borderId="29" applyNumberFormat="0" applyProtection="0">
      <alignment horizontal="right" vertical="center"/>
    </xf>
    <xf numFmtId="176" fontId="117" fillId="0" borderId="0">
      <alignment horizontal="left"/>
    </xf>
    <xf numFmtId="0" fontId="117" fillId="0" borderId="0">
      <alignment horizontal="left"/>
    </xf>
    <xf numFmtId="43" fontId="87" fillId="0" borderId="1"/>
    <xf numFmtId="0" fontId="105" fillId="0" borderId="0"/>
    <xf numFmtId="176" fontId="118" fillId="0" borderId="16">
      <alignment horizontal="center"/>
    </xf>
    <xf numFmtId="0" fontId="118" fillId="0" borderId="16">
      <alignment horizontal="center"/>
    </xf>
    <xf numFmtId="176" fontId="118" fillId="0" borderId="0">
      <alignment horizontal="center" vertical="center"/>
    </xf>
    <xf numFmtId="0" fontId="118" fillId="0" borderId="0">
      <alignment horizontal="center" vertical="center"/>
    </xf>
    <xf numFmtId="176" fontId="119" fillId="0" borderId="0" applyNumberFormat="0" applyFill="0">
      <alignment horizontal="left" vertical="center"/>
    </xf>
    <xf numFmtId="0" fontId="119" fillId="0" borderId="0" applyNumberFormat="0" applyFill="0">
      <alignment horizontal="left" vertical="center"/>
    </xf>
    <xf numFmtId="0" fontId="102" fillId="0" borderId="0"/>
    <xf numFmtId="40" fontId="120" fillId="0" borderId="0" applyBorder="0">
      <alignment horizontal="right"/>
    </xf>
    <xf numFmtId="49" fontId="59" fillId="0" borderId="0" applyFill="0" applyBorder="0" applyAlignment="0"/>
    <xf numFmtId="219" fontId="59" fillId="0" borderId="0" applyFill="0" applyBorder="0" applyAlignment="0"/>
    <xf numFmtId="220" fontId="54" fillId="0" borderId="0" applyFill="0" applyBorder="0" applyAlignment="0"/>
    <xf numFmtId="176" fontId="121" fillId="0" borderId="0" applyFill="0" applyBorder="0" applyProtection="0">
      <alignment horizontal="left" vertical="top"/>
    </xf>
    <xf numFmtId="0" fontId="121" fillId="0" borderId="0" applyFill="0" applyBorder="0" applyProtection="0">
      <alignment horizontal="left" vertical="top"/>
    </xf>
    <xf numFmtId="176" fontId="122" fillId="0" borderId="0">
      <alignment horizontal="center"/>
    </xf>
    <xf numFmtId="0" fontId="122" fillId="0" borderId="0">
      <alignment horizontal="center"/>
    </xf>
    <xf numFmtId="176" fontId="123" fillId="0" borderId="31" applyNumberFormat="0" applyFill="0" applyAlignment="0" applyProtection="0"/>
    <xf numFmtId="221" fontId="54" fillId="0" borderId="0" applyFont="0" applyFill="0" applyBorder="0" applyAlignment="0" applyProtection="0"/>
    <xf numFmtId="222" fontId="54" fillId="0" borderId="0" applyFont="0" applyFill="0" applyBorder="0" applyAlignment="0" applyProtection="0"/>
    <xf numFmtId="223" fontId="157" fillId="0" borderId="0" applyFont="0" applyFill="0" applyBorder="0" applyAlignment="0" applyProtection="0"/>
    <xf numFmtId="224" fontId="157" fillId="0" borderId="0" applyFont="0" applyFill="0" applyBorder="0" applyAlignment="0" applyProtection="0"/>
    <xf numFmtId="176" fontId="124" fillId="0" borderId="0" applyNumberFormat="0" applyFill="0" applyBorder="0" applyAlignment="0" applyProtection="0"/>
    <xf numFmtId="176" fontId="125" fillId="0" borderId="0" applyNumberFormat="0" applyFont="0" applyFill="0" applyBorder="0" applyProtection="0">
      <alignment horizontal="center" vertical="center" wrapText="1"/>
    </xf>
    <xf numFmtId="0" fontId="125" fillId="0" borderId="0" applyNumberFormat="0" applyFont="0" applyFill="0" applyBorder="0" applyProtection="0">
      <alignment horizontal="center" vertical="center" wrapText="1"/>
    </xf>
    <xf numFmtId="9" fontId="126" fillId="0" borderId="0" applyFont="0" applyFill="0" applyBorder="0" applyAlignment="0" applyProtection="0"/>
    <xf numFmtId="0" fontId="61" fillId="0" borderId="0"/>
    <xf numFmtId="0" fontId="8" fillId="0" borderId="0"/>
    <xf numFmtId="225" fontId="61" fillId="0" borderId="0" applyFont="0" applyFill="0" applyBorder="0" applyAlignment="0" applyProtection="0"/>
    <xf numFmtId="226" fontId="61" fillId="0" borderId="0" applyFont="0" applyFill="0" applyBorder="0" applyAlignment="0" applyProtection="0"/>
    <xf numFmtId="41" fontId="54" fillId="0" borderId="0" applyFont="0" applyFill="0" applyBorder="0" applyAlignment="0" applyProtection="0"/>
    <xf numFmtId="9" fontId="61" fillId="0" borderId="0" applyFont="0" applyFill="0" applyBorder="0" applyAlignment="0" applyProtection="0"/>
    <xf numFmtId="9" fontId="54" fillId="0" borderId="0" applyFont="0" applyFill="0" applyBorder="0" applyAlignment="0" applyProtection="0"/>
    <xf numFmtId="9" fontId="157" fillId="0" borderId="0" applyFont="0" applyFill="0" applyBorder="0" applyAlignment="0" applyProtection="0">
      <alignment vertical="center"/>
    </xf>
    <xf numFmtId="9" fontId="157" fillId="0" borderId="0" applyFont="0" applyFill="0" applyBorder="0" applyAlignment="0" applyProtection="0"/>
    <xf numFmtId="9" fontId="127" fillId="0" borderId="0" applyFont="0" applyFill="0" applyBorder="0" applyAlignment="0" applyProtection="0">
      <alignment vertical="center"/>
    </xf>
    <xf numFmtId="0" fontId="128" fillId="0" borderId="0" applyFont="0" applyFill="0" applyBorder="0" applyAlignment="0" applyProtection="0"/>
    <xf numFmtId="0" fontId="128" fillId="0" borderId="0" applyFont="0" applyFill="0" applyBorder="0" applyAlignment="0" applyProtection="0"/>
    <xf numFmtId="4" fontId="129" fillId="0" borderId="0">
      <alignment horizontal="right"/>
    </xf>
    <xf numFmtId="0" fontId="130" fillId="0" borderId="0" applyNumberFormat="0" applyFill="0" applyBorder="0" applyAlignment="0" applyProtection="0"/>
    <xf numFmtId="0" fontId="131" fillId="18" borderId="0" applyNumberFormat="0" applyBorder="0" applyAlignment="0" applyProtection="0">
      <alignment vertical="center"/>
    </xf>
    <xf numFmtId="0" fontId="132" fillId="10" borderId="0" applyNumberFormat="0" applyBorder="0" applyAlignment="0" applyProtection="0">
      <alignment vertical="center"/>
    </xf>
    <xf numFmtId="0" fontId="132" fillId="10" borderId="0" applyNumberFormat="0" applyBorder="0" applyAlignment="0" applyProtection="0">
      <alignment vertical="center"/>
    </xf>
    <xf numFmtId="0" fontId="131" fillId="18" borderId="0" applyNumberFormat="0" applyBorder="0" applyAlignment="0" applyProtection="0">
      <alignment vertical="center"/>
    </xf>
    <xf numFmtId="0" fontId="133" fillId="49" borderId="0" applyNumberFormat="0" applyBorder="0" applyAlignment="0" applyProtection="0"/>
    <xf numFmtId="0" fontId="132" fillId="10" borderId="0" applyNumberFormat="0" applyBorder="0" applyAlignment="0" applyProtection="0">
      <alignment vertical="center"/>
    </xf>
    <xf numFmtId="0" fontId="132" fillId="10" borderId="0" applyNumberFormat="0" applyBorder="0" applyAlignment="0" applyProtection="0">
      <alignment vertical="center"/>
    </xf>
    <xf numFmtId="0" fontId="132" fillId="10" borderId="0" applyNumberFormat="0" applyBorder="0" applyAlignment="0" applyProtection="0">
      <alignment vertical="center"/>
    </xf>
    <xf numFmtId="0" fontId="132" fillId="10" borderId="0" applyNumberFormat="0" applyBorder="0" applyAlignment="0" applyProtection="0">
      <alignment vertical="center"/>
    </xf>
    <xf numFmtId="0" fontId="132" fillId="10" borderId="0" applyNumberFormat="0" applyBorder="0" applyAlignment="0" applyProtection="0">
      <alignment vertical="center"/>
    </xf>
    <xf numFmtId="0" fontId="132" fillId="10" borderId="0" applyNumberFormat="0" applyBorder="0" applyAlignment="0" applyProtection="0">
      <alignment vertical="center"/>
    </xf>
    <xf numFmtId="0" fontId="132" fillId="10" borderId="0" applyNumberFormat="0" applyBorder="0" applyAlignment="0" applyProtection="0">
      <alignment vertical="center"/>
    </xf>
    <xf numFmtId="0" fontId="132" fillId="10" borderId="0" applyNumberFormat="0" applyBorder="0" applyAlignment="0" applyProtection="0">
      <alignment vertical="center"/>
    </xf>
    <xf numFmtId="0" fontId="131" fillId="18" borderId="0" applyNumberFormat="0" applyBorder="0" applyAlignment="0" applyProtection="0">
      <alignment vertical="center"/>
    </xf>
    <xf numFmtId="0" fontId="131" fillId="18" borderId="0" applyNumberFormat="0" applyBorder="0" applyAlignment="0" applyProtection="0">
      <alignment vertical="center"/>
    </xf>
    <xf numFmtId="0" fontId="55" fillId="38" borderId="0" applyNumberFormat="0" applyBorder="0" applyAlignment="0" applyProtection="0">
      <alignment vertical="center"/>
    </xf>
    <xf numFmtId="0" fontId="132" fillId="10" borderId="0" applyNumberFormat="0" applyBorder="0" applyAlignment="0" applyProtection="0">
      <alignment vertical="center"/>
    </xf>
    <xf numFmtId="0" fontId="134" fillId="7" borderId="0" applyNumberFormat="0" applyBorder="0" applyAlignment="0" applyProtection="0">
      <alignment vertical="center"/>
    </xf>
    <xf numFmtId="0" fontId="135" fillId="10" borderId="0" applyNumberFormat="0" applyBorder="0" applyAlignment="0" applyProtection="0">
      <alignment vertical="center"/>
    </xf>
    <xf numFmtId="0" fontId="135" fillId="10" borderId="0" applyNumberFormat="0" applyBorder="0" applyAlignment="0" applyProtection="0">
      <alignment vertical="center"/>
    </xf>
    <xf numFmtId="0" fontId="131" fillId="18" borderId="0" applyNumberFormat="0" applyBorder="0" applyAlignment="0" applyProtection="0">
      <alignment vertical="center"/>
    </xf>
    <xf numFmtId="0" fontId="131" fillId="18" borderId="0" applyNumberFormat="0" applyBorder="0" applyAlignment="0" applyProtection="0">
      <alignment vertical="center"/>
    </xf>
    <xf numFmtId="0" fontId="131" fillId="18" borderId="0" applyNumberFormat="0" applyBorder="0" applyAlignment="0" applyProtection="0">
      <alignment vertical="center"/>
    </xf>
    <xf numFmtId="0" fontId="131" fillId="18" borderId="0" applyNumberFormat="0" applyBorder="0" applyAlignment="0" applyProtection="0">
      <alignment vertical="center"/>
    </xf>
    <xf numFmtId="0" fontId="55" fillId="38" borderId="0" applyNumberFormat="0" applyBorder="0" applyAlignment="0" applyProtection="0">
      <alignment vertical="center"/>
    </xf>
    <xf numFmtId="0" fontId="131" fillId="18" borderId="0" applyNumberFormat="0" applyBorder="0" applyAlignment="0" applyProtection="0">
      <alignment vertical="center"/>
    </xf>
    <xf numFmtId="0" fontId="131" fillId="18" borderId="0" applyNumberFormat="0" applyBorder="0" applyAlignment="0" applyProtection="0">
      <alignment vertical="center"/>
    </xf>
    <xf numFmtId="0" fontId="131" fillId="18" borderId="0" applyNumberFormat="0" applyBorder="0" applyAlignment="0" applyProtection="0">
      <alignment vertical="center"/>
    </xf>
    <xf numFmtId="0" fontId="131" fillId="18" borderId="0" applyNumberFormat="0" applyBorder="0" applyAlignment="0" applyProtection="0">
      <alignment vertical="center"/>
    </xf>
    <xf numFmtId="0" fontId="132" fillId="10" borderId="0" applyNumberFormat="0" applyBorder="0" applyAlignment="0" applyProtection="0">
      <alignment vertical="center"/>
    </xf>
    <xf numFmtId="0" fontId="131" fillId="18" borderId="0" applyNumberFormat="0" applyBorder="0" applyAlignment="0" applyProtection="0">
      <alignment vertical="center"/>
    </xf>
    <xf numFmtId="0" fontId="132" fillId="10" borderId="0" applyNumberFormat="0" applyBorder="0" applyAlignment="0" applyProtection="0">
      <alignment vertical="center"/>
    </xf>
    <xf numFmtId="0" fontId="131" fillId="18" borderId="0" applyNumberFormat="0" applyBorder="0" applyAlignment="0" applyProtection="0">
      <alignment vertical="center"/>
    </xf>
    <xf numFmtId="0" fontId="131" fillId="18" borderId="0" applyNumberFormat="0" applyBorder="0" applyAlignment="0" applyProtection="0">
      <alignment vertical="center"/>
    </xf>
    <xf numFmtId="0" fontId="131" fillId="18" borderId="0" applyNumberFormat="0" applyBorder="0" applyAlignment="0" applyProtection="0">
      <alignment vertical="center"/>
    </xf>
    <xf numFmtId="0" fontId="131" fillId="18" borderId="0" applyNumberFormat="0" applyBorder="0" applyAlignment="0" applyProtection="0">
      <alignment vertical="center"/>
    </xf>
    <xf numFmtId="0" fontId="131" fillId="18" borderId="0" applyNumberFormat="0" applyBorder="0" applyAlignment="0" applyProtection="0">
      <alignment vertical="center"/>
    </xf>
    <xf numFmtId="0" fontId="131" fillId="18" borderId="0" applyNumberFormat="0" applyBorder="0" applyAlignment="0" applyProtection="0">
      <alignment vertical="center"/>
    </xf>
    <xf numFmtId="0" fontId="131" fillId="18" borderId="0" applyNumberFormat="0" applyBorder="0" applyAlignment="0" applyProtection="0">
      <alignment vertical="center"/>
    </xf>
    <xf numFmtId="0" fontId="131" fillId="18" borderId="0" applyNumberFormat="0" applyBorder="0" applyAlignment="0" applyProtection="0">
      <alignment vertical="center"/>
    </xf>
    <xf numFmtId="0" fontId="131" fillId="34" borderId="0" applyNumberFormat="0" applyBorder="0" applyAlignment="0" applyProtection="0">
      <alignment vertical="center"/>
    </xf>
    <xf numFmtId="0" fontId="131" fillId="18" borderId="0" applyNumberFormat="0" applyBorder="0" applyAlignment="0" applyProtection="0">
      <alignment vertical="center"/>
    </xf>
    <xf numFmtId="0" fontId="131" fillId="18" borderId="0" applyNumberFormat="0" applyBorder="0" applyAlignment="0" applyProtection="0">
      <alignment vertical="center"/>
    </xf>
    <xf numFmtId="0" fontId="136" fillId="12" borderId="0" applyNumberFormat="0" applyBorder="0" applyAlignment="0" applyProtection="0">
      <alignment vertical="center"/>
    </xf>
    <xf numFmtId="0" fontId="52" fillId="0" borderId="0">
      <alignment vertical="center"/>
    </xf>
    <xf numFmtId="176" fontId="52" fillId="0" borderId="0">
      <alignment vertical="center"/>
    </xf>
    <xf numFmtId="0" fontId="157" fillId="0" borderId="0">
      <protection locked="0"/>
    </xf>
    <xf numFmtId="0" fontId="157" fillId="0" borderId="0"/>
    <xf numFmtId="0" fontId="52" fillId="0" borderId="0"/>
    <xf numFmtId="0" fontId="157" fillId="0" borderId="0">
      <alignment vertical="center"/>
      <protection locked="0"/>
    </xf>
    <xf numFmtId="0" fontId="157" fillId="0" borderId="0">
      <alignment vertical="center"/>
      <protection locked="0"/>
    </xf>
    <xf numFmtId="0" fontId="157" fillId="0" borderId="0">
      <alignment vertical="center"/>
      <protection locked="0"/>
    </xf>
    <xf numFmtId="0" fontId="52" fillId="0" borderId="0">
      <alignment vertical="center"/>
    </xf>
    <xf numFmtId="0" fontId="52" fillId="0" borderId="0"/>
    <xf numFmtId="0" fontId="52" fillId="0" borderId="0">
      <alignment vertical="center"/>
    </xf>
    <xf numFmtId="0" fontId="52" fillId="0" borderId="0"/>
    <xf numFmtId="0" fontId="52" fillId="0" borderId="0"/>
    <xf numFmtId="0" fontId="157" fillId="0" borderId="0">
      <alignment vertical="center"/>
    </xf>
    <xf numFmtId="0" fontId="52" fillId="0" borderId="0">
      <alignment vertical="center"/>
    </xf>
    <xf numFmtId="0" fontId="157" fillId="0" borderId="0">
      <protection locked="0"/>
    </xf>
    <xf numFmtId="176" fontId="157" fillId="0" borderId="0">
      <protection locked="0"/>
    </xf>
    <xf numFmtId="0" fontId="157" fillId="0" borderId="0"/>
    <xf numFmtId="0" fontId="157" fillId="0" borderId="0">
      <protection locked="0"/>
    </xf>
    <xf numFmtId="0" fontId="157" fillId="0" borderId="0">
      <protection locked="0"/>
    </xf>
    <xf numFmtId="0" fontId="2" fillId="0" borderId="0"/>
    <xf numFmtId="176" fontId="157" fillId="0" borderId="0">
      <protection locked="0"/>
    </xf>
    <xf numFmtId="0" fontId="157" fillId="0" borderId="0">
      <protection locked="0"/>
    </xf>
    <xf numFmtId="0" fontId="157" fillId="0" borderId="0">
      <alignment vertical="center"/>
      <protection locked="0"/>
    </xf>
    <xf numFmtId="0" fontId="2" fillId="0" borderId="0"/>
    <xf numFmtId="0" fontId="157" fillId="0" borderId="0">
      <alignment vertical="center"/>
    </xf>
    <xf numFmtId="176" fontId="157" fillId="0" borderId="0"/>
    <xf numFmtId="176" fontId="157" fillId="0" borderId="0"/>
    <xf numFmtId="0" fontId="157" fillId="0" borderId="0">
      <protection locked="0"/>
    </xf>
    <xf numFmtId="0" fontId="157" fillId="0" borderId="0">
      <alignment vertical="center"/>
      <protection locked="0"/>
    </xf>
    <xf numFmtId="0" fontId="52" fillId="0" borderId="0">
      <alignment vertical="center"/>
    </xf>
    <xf numFmtId="0" fontId="137" fillId="0" borderId="0">
      <alignment vertical="center"/>
    </xf>
    <xf numFmtId="0" fontId="52" fillId="0" borderId="0">
      <alignment vertical="center"/>
    </xf>
    <xf numFmtId="0" fontId="52" fillId="0" borderId="0">
      <alignment vertical="center"/>
    </xf>
    <xf numFmtId="0" fontId="157" fillId="0" borderId="0" applyNumberFormat="0" applyFill="0" applyBorder="0" applyAlignment="0" applyProtection="0"/>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4" fillId="0" borderId="0"/>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176" fontId="52" fillId="0" borderId="0">
      <alignment vertical="center"/>
    </xf>
    <xf numFmtId="0" fontId="52" fillId="0" borderId="0">
      <alignment vertical="center"/>
    </xf>
    <xf numFmtId="0" fontId="52" fillId="0" borderId="0">
      <alignment vertical="center"/>
    </xf>
    <xf numFmtId="0" fontId="157" fillId="0" borderId="0">
      <alignment vertical="center"/>
    </xf>
    <xf numFmtId="176" fontId="157" fillId="0" borderId="0">
      <alignment vertical="center"/>
    </xf>
    <xf numFmtId="0" fontId="157" fillId="0" borderId="0">
      <alignment vertical="center"/>
    </xf>
    <xf numFmtId="176" fontId="157" fillId="0" borderId="0">
      <alignment vertical="center"/>
    </xf>
    <xf numFmtId="0" fontId="58" fillId="0" borderId="0">
      <protection locked="0"/>
    </xf>
    <xf numFmtId="176" fontId="157" fillId="0" borderId="0">
      <alignment vertical="center"/>
    </xf>
    <xf numFmtId="0" fontId="157" fillId="0" borderId="0"/>
    <xf numFmtId="176" fontId="157" fillId="0" borderId="0"/>
    <xf numFmtId="176" fontId="157" fillId="0" borderId="0"/>
    <xf numFmtId="0" fontId="157" fillId="0" borderId="0" applyFill="0" applyBorder="0"/>
    <xf numFmtId="176" fontId="157" fillId="0" borderId="0" applyFill="0" applyBorder="0"/>
    <xf numFmtId="0" fontId="157" fillId="0" borderId="0">
      <alignment vertical="center"/>
    </xf>
    <xf numFmtId="0" fontId="138"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139" fillId="0" borderId="0" applyNumberFormat="0" applyFill="0" applyBorder="0" applyAlignment="0" applyProtection="0">
      <alignment vertical="top"/>
      <protection locked="0"/>
    </xf>
    <xf numFmtId="176" fontId="74" fillId="0" borderId="0" applyNumberFormat="0" applyFill="0" applyBorder="0" applyAlignment="0" applyProtection="0"/>
    <xf numFmtId="0" fontId="140" fillId="50" borderId="0" applyNumberFormat="0" applyBorder="0" applyAlignment="0" applyProtection="0">
      <alignment vertical="center"/>
    </xf>
    <xf numFmtId="0" fontId="141" fillId="11" borderId="0" applyNumberFormat="0" applyBorder="0" applyAlignment="0" applyProtection="0">
      <alignment vertical="center"/>
    </xf>
    <xf numFmtId="0" fontId="141" fillId="50" borderId="0" applyNumberFormat="0" applyBorder="0" applyAlignment="0" applyProtection="0">
      <alignment vertical="center"/>
    </xf>
    <xf numFmtId="0" fontId="141" fillId="50" borderId="0" applyNumberFormat="0" applyBorder="0" applyAlignment="0" applyProtection="0">
      <alignment vertical="center"/>
    </xf>
    <xf numFmtId="0" fontId="141" fillId="50" borderId="0" applyNumberFormat="0" applyBorder="0" applyAlignment="0" applyProtection="0">
      <alignment vertical="center"/>
    </xf>
    <xf numFmtId="0" fontId="141" fillId="11" borderId="0" applyNumberFormat="0" applyBorder="0" applyAlignment="0" applyProtection="0">
      <alignment vertical="center"/>
    </xf>
    <xf numFmtId="0" fontId="140" fillId="50" borderId="0" applyNumberFormat="0" applyBorder="0" applyAlignment="0" applyProtection="0">
      <alignment vertical="center"/>
    </xf>
    <xf numFmtId="0" fontId="142" fillId="32" borderId="0" applyNumberFormat="0" applyBorder="0" applyAlignment="0" applyProtection="0"/>
    <xf numFmtId="0" fontId="141" fillId="11" borderId="0" applyNumberFormat="0" applyBorder="0" applyAlignment="0" applyProtection="0">
      <alignment vertical="center"/>
    </xf>
    <xf numFmtId="0" fontId="141" fillId="11" borderId="0" applyNumberFormat="0" applyBorder="0" applyAlignment="0" applyProtection="0">
      <alignment vertical="center"/>
    </xf>
    <xf numFmtId="0" fontId="141" fillId="11" borderId="0" applyNumberFormat="0" applyBorder="0" applyAlignment="0" applyProtection="0">
      <alignment vertical="center"/>
    </xf>
    <xf numFmtId="0" fontId="141" fillId="11" borderId="0" applyNumberFormat="0" applyBorder="0" applyAlignment="0" applyProtection="0">
      <alignment vertical="center"/>
    </xf>
    <xf numFmtId="0" fontId="141" fillId="11" borderId="0" applyNumberFormat="0" applyBorder="0" applyAlignment="0" applyProtection="0">
      <alignment vertical="center"/>
    </xf>
    <xf numFmtId="0" fontId="141" fillId="11" borderId="0" applyNumberFormat="0" applyBorder="0" applyAlignment="0" applyProtection="0">
      <alignment vertical="center"/>
    </xf>
    <xf numFmtId="0" fontId="141" fillId="11" borderId="0" applyNumberFormat="0" applyBorder="0" applyAlignment="0" applyProtection="0">
      <alignment vertical="center"/>
    </xf>
    <xf numFmtId="0" fontId="141" fillId="11" borderId="0" applyNumberFormat="0" applyBorder="0" applyAlignment="0" applyProtection="0">
      <alignment vertical="center"/>
    </xf>
    <xf numFmtId="0" fontId="141" fillId="50" borderId="0" applyNumberFormat="0" applyBorder="0" applyAlignment="0" applyProtection="0">
      <alignment vertical="center"/>
    </xf>
    <xf numFmtId="0" fontId="140" fillId="50" borderId="0" applyNumberFormat="0" applyBorder="0" applyAlignment="0" applyProtection="0">
      <alignment vertical="center"/>
    </xf>
    <xf numFmtId="0" fontId="141" fillId="11" borderId="0" applyNumberFormat="0" applyBorder="0" applyAlignment="0" applyProtection="0">
      <alignment vertical="center"/>
    </xf>
    <xf numFmtId="0" fontId="143" fillId="6" borderId="0" applyNumberFormat="0" applyBorder="0" applyAlignment="0" applyProtection="0">
      <alignment vertical="center"/>
    </xf>
    <xf numFmtId="0" fontId="144" fillId="11" borderId="0" applyNumberFormat="0" applyBorder="0" applyAlignment="0" applyProtection="0">
      <alignment vertical="center"/>
    </xf>
    <xf numFmtId="0" fontId="142" fillId="11" borderId="0" applyNumberFormat="0" applyBorder="0" applyAlignment="0" applyProtection="0">
      <alignment vertical="center"/>
    </xf>
    <xf numFmtId="0" fontId="140" fillId="50" borderId="0" applyNumberFormat="0" applyBorder="0" applyAlignment="0" applyProtection="0">
      <alignment vertical="center"/>
    </xf>
    <xf numFmtId="0" fontId="141" fillId="50" borderId="0" applyNumberFormat="0" applyBorder="0" applyAlignment="0" applyProtection="0">
      <alignment vertical="center"/>
    </xf>
    <xf numFmtId="0" fontId="140" fillId="50" borderId="0" applyNumberFormat="0" applyBorder="0" applyAlignment="0" applyProtection="0">
      <alignment vertical="center"/>
    </xf>
    <xf numFmtId="0" fontId="140" fillId="50" borderId="0" applyNumberFormat="0" applyBorder="0" applyAlignment="0" applyProtection="0">
      <alignment vertical="center"/>
    </xf>
    <xf numFmtId="0" fontId="140" fillId="50" borderId="0" applyNumberFormat="0" applyBorder="0" applyAlignment="0" applyProtection="0">
      <alignment vertical="center"/>
    </xf>
    <xf numFmtId="0" fontId="145" fillId="51" borderId="0" applyNumberFormat="0" applyBorder="0" applyAlignment="0" applyProtection="0">
      <alignment vertical="center"/>
    </xf>
    <xf numFmtId="0" fontId="140" fillId="50" borderId="0" applyNumberFormat="0" applyBorder="0" applyAlignment="0" applyProtection="0">
      <alignment vertical="center"/>
    </xf>
    <xf numFmtId="0" fontId="145" fillId="51" borderId="0" applyNumberFormat="0" applyBorder="0" applyAlignment="0" applyProtection="0">
      <alignment vertical="center"/>
    </xf>
    <xf numFmtId="0" fontId="141" fillId="50" borderId="0" applyNumberFormat="0" applyBorder="0" applyAlignment="0" applyProtection="0">
      <alignment vertical="center"/>
    </xf>
    <xf numFmtId="0" fontId="140" fillId="50" borderId="0" applyNumberFormat="0" applyBorder="0" applyAlignment="0" applyProtection="0">
      <alignment vertical="center"/>
    </xf>
    <xf numFmtId="0" fontId="140" fillId="50" borderId="0" applyNumberFormat="0" applyBorder="0" applyAlignment="0" applyProtection="0">
      <alignment vertical="center"/>
    </xf>
    <xf numFmtId="0" fontId="141" fillId="11" borderId="0" applyNumberFormat="0" applyBorder="0" applyAlignment="0" applyProtection="0">
      <alignment vertical="center"/>
    </xf>
    <xf numFmtId="0" fontId="140" fillId="50" borderId="0" applyNumberFormat="0" applyBorder="0" applyAlignment="0" applyProtection="0">
      <alignment vertical="center"/>
    </xf>
    <xf numFmtId="0" fontId="141" fillId="11" borderId="0" applyNumberFormat="0" applyBorder="0" applyAlignment="0" applyProtection="0">
      <alignment vertical="center"/>
    </xf>
    <xf numFmtId="0" fontId="140" fillId="50" borderId="0" applyNumberFormat="0" applyBorder="0" applyAlignment="0" applyProtection="0">
      <alignment vertical="center"/>
    </xf>
    <xf numFmtId="0" fontId="141" fillId="50" borderId="0" applyNumberFormat="0" applyBorder="0" applyAlignment="0" applyProtection="0">
      <alignment vertical="center"/>
    </xf>
    <xf numFmtId="0" fontId="140" fillId="50" borderId="0" applyNumberFormat="0" applyBorder="0" applyAlignment="0" applyProtection="0">
      <alignment vertical="center"/>
    </xf>
    <xf numFmtId="0" fontId="141" fillId="50" borderId="0" applyNumberFormat="0" applyBorder="0" applyAlignment="0" applyProtection="0">
      <alignment vertical="center"/>
    </xf>
    <xf numFmtId="0" fontId="140" fillId="50" borderId="0" applyNumberFormat="0" applyBorder="0" applyAlignment="0" applyProtection="0">
      <alignment vertical="center"/>
    </xf>
    <xf numFmtId="0" fontId="140" fillId="50" borderId="0" applyNumberFormat="0" applyBorder="0" applyAlignment="0" applyProtection="0">
      <alignment vertical="center"/>
    </xf>
    <xf numFmtId="0" fontId="140" fillId="50" borderId="0" applyNumberFormat="0" applyBorder="0" applyAlignment="0" applyProtection="0">
      <alignment vertical="center"/>
    </xf>
    <xf numFmtId="0" fontId="140" fillId="50" borderId="0" applyNumberFormat="0" applyBorder="0" applyAlignment="0" applyProtection="0">
      <alignment vertical="center"/>
    </xf>
    <xf numFmtId="0" fontId="141" fillId="50" borderId="0" applyNumberFormat="0" applyBorder="0" applyAlignment="0" applyProtection="0">
      <alignment vertical="center"/>
    </xf>
    <xf numFmtId="0" fontId="140" fillId="50" borderId="0" applyNumberFormat="0" applyBorder="0" applyAlignment="0" applyProtection="0">
      <alignment vertical="center"/>
    </xf>
    <xf numFmtId="0" fontId="140" fillId="50" borderId="0" applyNumberFormat="0" applyBorder="0" applyAlignment="0" applyProtection="0">
      <alignment vertical="center"/>
    </xf>
    <xf numFmtId="0" fontId="141" fillId="50" borderId="0" applyNumberFormat="0" applyBorder="0" applyAlignment="0" applyProtection="0">
      <alignment vertical="center"/>
    </xf>
    <xf numFmtId="0" fontId="140" fillId="50" borderId="0" applyNumberFormat="0" applyBorder="0" applyAlignment="0" applyProtection="0">
      <alignment vertical="center"/>
    </xf>
    <xf numFmtId="0" fontId="140" fillId="50" borderId="0" applyNumberFormat="0" applyBorder="0" applyAlignment="0" applyProtection="0">
      <alignment vertical="center"/>
    </xf>
    <xf numFmtId="0" fontId="141" fillId="50" borderId="0" applyNumberFormat="0" applyBorder="0" applyAlignment="0" applyProtection="0">
      <alignment vertical="center"/>
    </xf>
    <xf numFmtId="0" fontId="140" fillId="50" borderId="0" applyNumberFormat="0" applyBorder="0" applyAlignment="0" applyProtection="0">
      <alignment vertical="center"/>
    </xf>
    <xf numFmtId="0" fontId="141" fillId="52" borderId="0" applyNumberFormat="0" applyBorder="0" applyAlignment="0" applyProtection="0">
      <alignment vertical="center"/>
    </xf>
    <xf numFmtId="0" fontId="140" fillId="50" borderId="0" applyNumberFormat="0" applyBorder="0" applyAlignment="0" applyProtection="0">
      <alignment vertical="center"/>
    </xf>
    <xf numFmtId="0" fontId="145" fillId="51" borderId="0" applyNumberFormat="0" applyBorder="0" applyAlignment="0" applyProtection="0">
      <alignment vertical="center"/>
    </xf>
    <xf numFmtId="0" fontId="140" fillId="50" borderId="0" applyNumberFormat="0" applyBorder="0" applyAlignment="0" applyProtection="0">
      <alignment vertical="center"/>
    </xf>
    <xf numFmtId="0" fontId="145" fillId="51" borderId="0" applyNumberFormat="0" applyBorder="0" applyAlignment="0" applyProtection="0">
      <alignment vertical="center"/>
    </xf>
    <xf numFmtId="0" fontId="141" fillId="50" borderId="0" applyNumberFormat="0" applyBorder="0" applyAlignment="0" applyProtection="0">
      <alignment vertical="center"/>
    </xf>
    <xf numFmtId="0" fontId="144" fillId="13" borderId="0" applyNumberFormat="0" applyBorder="0" applyAlignment="0" applyProtection="0">
      <alignment vertical="center"/>
    </xf>
    <xf numFmtId="4" fontId="125" fillId="0" borderId="0" applyFont="0" applyFill="0" applyBorder="0" applyAlignment="0" applyProtection="0"/>
    <xf numFmtId="41" fontId="54" fillId="0" borderId="0" applyFont="0" applyFill="0" applyBorder="0" applyAlignment="0" applyProtection="0"/>
    <xf numFmtId="227" fontId="146" fillId="0" borderId="0" applyFont="0" applyFill="0" applyBorder="0" applyAlignment="0" applyProtection="0"/>
    <xf numFmtId="228" fontId="146" fillId="0" borderId="0" applyFont="0" applyFill="0" applyBorder="0" applyAlignment="0" applyProtection="0"/>
    <xf numFmtId="229" fontId="54" fillId="0" borderId="0" applyFont="0" applyFill="0" applyBorder="0" applyAlignment="0" applyProtection="0"/>
    <xf numFmtId="230" fontId="54" fillId="0" borderId="0" applyFont="0" applyFill="0" applyBorder="0" applyAlignment="0" applyProtection="0"/>
    <xf numFmtId="0" fontId="61" fillId="0" borderId="0"/>
    <xf numFmtId="1" fontId="61" fillId="0" borderId="0"/>
    <xf numFmtId="231" fontId="147" fillId="0" borderId="0" applyFont="0" applyFill="0" applyBorder="0" applyAlignment="0" applyProtection="0"/>
    <xf numFmtId="232" fontId="147" fillId="0" borderId="0" applyFont="0" applyFill="0" applyBorder="0" applyAlignment="0" applyProtection="0"/>
    <xf numFmtId="227" fontId="61" fillId="0" borderId="0" applyFont="0" applyFill="0" applyBorder="0" applyAlignment="0" applyProtection="0"/>
    <xf numFmtId="228" fontId="61" fillId="0" borderId="0" applyFont="0" applyFill="0" applyBorder="0" applyAlignment="0" applyProtection="0"/>
    <xf numFmtId="176" fontId="58" fillId="0" borderId="0"/>
    <xf numFmtId="41" fontId="58" fillId="0" borderId="0" applyFont="0" applyFill="0" applyBorder="0" applyAlignment="0" applyProtection="0"/>
    <xf numFmtId="43" fontId="58" fillId="0" borderId="0" applyFont="0" applyFill="0" applyBorder="0" applyAlignment="0" applyProtection="0"/>
    <xf numFmtId="41" fontId="61" fillId="0" borderId="0" applyFont="0" applyFill="0" applyBorder="0" applyAlignment="0" applyProtection="0"/>
    <xf numFmtId="43" fontId="61" fillId="0" borderId="0" applyFont="0" applyFill="0" applyBorder="0" applyAlignment="0" applyProtection="0"/>
    <xf numFmtId="43" fontId="157" fillId="0" borderId="0" applyFont="0" applyFill="0" applyBorder="0" applyAlignment="0" applyProtection="0">
      <alignment vertical="center"/>
    </xf>
    <xf numFmtId="43" fontId="157" fillId="0" borderId="0" applyFont="0" applyFill="0" applyBorder="0" applyAlignment="0" applyProtection="0"/>
    <xf numFmtId="43" fontId="157" fillId="0" borderId="0" applyFont="0" applyFill="0" applyBorder="0" applyAlignment="0" applyProtection="0">
      <alignment vertical="center"/>
    </xf>
    <xf numFmtId="43" fontId="52" fillId="0" borderId="0" applyFont="0" applyFill="0" applyBorder="0" applyAlignment="0" applyProtection="0">
      <alignment vertical="center"/>
    </xf>
    <xf numFmtId="43" fontId="127" fillId="0" borderId="0" applyFont="0" applyFill="0" applyBorder="0" applyAlignment="0" applyProtection="0">
      <alignment vertical="center"/>
    </xf>
    <xf numFmtId="0" fontId="54" fillId="0" borderId="0" applyFont="0" applyFill="0" applyBorder="0" applyAlignment="0" applyProtection="0"/>
    <xf numFmtId="43" fontId="2" fillId="0" borderId="0" applyFont="0" applyFill="0" applyBorder="0" applyAlignment="0" applyProtection="0"/>
    <xf numFmtId="43" fontId="157" fillId="0" borderId="0" applyFont="0" applyFill="0" applyBorder="0" applyAlignment="0" applyProtection="0"/>
    <xf numFmtId="43" fontId="157" fillId="0" borderId="0" applyFont="0" applyFill="0" applyBorder="0" applyAlignment="0" applyProtection="0"/>
    <xf numFmtId="43" fontId="52" fillId="0" borderId="0" applyFont="0" applyFill="0" applyBorder="0" applyAlignment="0" applyProtection="0">
      <alignment vertical="center"/>
    </xf>
    <xf numFmtId="233" fontId="2" fillId="0" borderId="0">
      <alignment vertical="center"/>
    </xf>
    <xf numFmtId="41" fontId="157" fillId="0" borderId="0" applyFont="0" applyFill="0" applyBorder="0" applyAlignment="0" applyProtection="0"/>
    <xf numFmtId="0" fontId="148" fillId="0" borderId="0"/>
    <xf numFmtId="0" fontId="149" fillId="53" borderId="0" applyNumberFormat="0" applyBorder="0" applyAlignment="0" applyProtection="0"/>
    <xf numFmtId="0" fontId="149" fillId="54" borderId="0" applyNumberFormat="0" applyBorder="0" applyAlignment="0" applyProtection="0"/>
    <xf numFmtId="0" fontId="149" fillId="55" borderId="0" applyNumberFormat="0" applyBorder="0" applyAlignment="0" applyProtection="0"/>
    <xf numFmtId="209" fontId="54" fillId="0" borderId="0" applyFont="0" applyFill="0" applyBorder="0" applyAlignment="0" applyProtection="0"/>
    <xf numFmtId="234" fontId="125" fillId="0" borderId="0" applyFont="0" applyFill="0" applyBorder="0" applyAlignment="0" applyProtection="0"/>
    <xf numFmtId="176" fontId="59" fillId="0" borderId="0">
      <alignment vertical="top"/>
    </xf>
    <xf numFmtId="0" fontId="59" fillId="0" borderId="0">
      <alignment vertical="top"/>
    </xf>
    <xf numFmtId="0" fontId="146" fillId="0" borderId="0"/>
    <xf numFmtId="0" fontId="150" fillId="0" borderId="0"/>
    <xf numFmtId="40" fontId="128" fillId="0" borderId="0" applyFont="0" applyFill="0" applyBorder="0" applyAlignment="0" applyProtection="0"/>
    <xf numFmtId="38" fontId="128" fillId="0" borderId="0" applyFont="0" applyFill="0" applyBorder="0" applyAlignment="0" applyProtection="0"/>
    <xf numFmtId="226" fontId="54" fillId="0" borderId="16" applyNumberFormat="0"/>
    <xf numFmtId="38" fontId="56" fillId="0" borderId="0" applyFont="0" applyFill="0" applyBorder="0" applyAlignment="0" applyProtection="0"/>
    <xf numFmtId="40" fontId="56" fillId="0" borderId="0" applyFont="0" applyFill="0" applyBorder="0" applyAlignment="0" applyProtection="0"/>
    <xf numFmtId="176" fontId="56" fillId="0" borderId="0" applyFont="0" applyFill="0" applyBorder="0" applyAlignment="0" applyProtection="0"/>
    <xf numFmtId="176" fontId="56" fillId="0" borderId="0" applyFont="0" applyFill="0" applyBorder="0" applyAlignment="0" applyProtection="0"/>
    <xf numFmtId="176" fontId="151" fillId="0" borderId="0"/>
    <xf numFmtId="176" fontId="1" fillId="0" borderId="0">
      <alignment vertical="center"/>
    </xf>
    <xf numFmtId="176" fontId="157" fillId="0" borderId="0">
      <alignment vertical="center"/>
      <protection locked="0"/>
    </xf>
  </cellStyleXfs>
  <cellXfs count="385">
    <xf numFmtId="0" fontId="0" fillId="0" borderId="0" xfId="0">
      <protection locked="0"/>
    </xf>
    <xf numFmtId="0" fontId="2" fillId="0" borderId="0" xfId="502" applyFont="1" applyAlignment="1">
      <alignment vertical="center"/>
      <protection locked="0"/>
    </xf>
    <xf numFmtId="0" fontId="5" fillId="0" borderId="0" xfId="502" applyFont="1" applyAlignment="1">
      <alignment horizontal="center" vertical="center"/>
      <protection locked="0"/>
    </xf>
    <xf numFmtId="0" fontId="2" fillId="0" borderId="0" xfId="502" applyFont="1" applyAlignment="1">
      <alignment horizontal="right" vertical="center"/>
      <protection locked="0"/>
    </xf>
    <xf numFmtId="0" fontId="5" fillId="0" borderId="0" xfId="502" applyFont="1" applyAlignment="1">
      <alignment vertical="center"/>
      <protection locked="0"/>
    </xf>
    <xf numFmtId="0" fontId="6" fillId="0" borderId="0" xfId="502" applyFont="1" applyAlignment="1">
      <alignment vertical="center"/>
      <protection locked="0"/>
    </xf>
    <xf numFmtId="0" fontId="5" fillId="2" borderId="1" xfId="518" applyFont="1" applyFill="1" applyBorder="1" applyAlignment="1" applyProtection="1">
      <alignment horizontal="center" vertical="center" wrapText="1"/>
    </xf>
    <xf numFmtId="0" fontId="5" fillId="3" borderId="1" xfId="515" applyFont="1" applyFill="1" applyBorder="1" applyAlignment="1">
      <alignment horizontal="center" vertical="center"/>
      <protection locked="0"/>
    </xf>
    <xf numFmtId="0" fontId="7" fillId="3" borderId="2" xfId="518" applyFont="1" applyFill="1" applyBorder="1" applyAlignment="1" applyProtection="1">
      <alignment horizontal="center" vertical="center" wrapText="1"/>
    </xf>
    <xf numFmtId="0" fontId="2" fillId="0" borderId="1" xfId="518" applyFont="1" applyBorder="1" applyAlignment="1" applyProtection="1">
      <alignment vertical="center"/>
    </xf>
    <xf numFmtId="43" fontId="8" fillId="0" borderId="1" xfId="518" applyNumberFormat="1" applyFont="1" applyBorder="1" applyAlignment="1" applyProtection="1">
      <alignment vertical="center"/>
    </xf>
    <xf numFmtId="0" fontId="8" fillId="0" borderId="1" xfId="518" applyFont="1" applyBorder="1" applyAlignment="1" applyProtection="1">
      <alignment vertical="center"/>
    </xf>
    <xf numFmtId="0" fontId="2" fillId="3" borderId="1" xfId="1" applyNumberFormat="1" applyFont="1" applyFill="1" applyBorder="1" applyAlignment="1" applyProtection="1">
      <alignment vertical="center"/>
    </xf>
    <xf numFmtId="43" fontId="8" fillId="3" borderId="1" xfId="518" applyNumberFormat="1" applyFont="1" applyFill="1" applyBorder="1" applyAlignment="1" applyProtection="1">
      <alignment vertical="center"/>
    </xf>
    <xf numFmtId="0" fontId="8" fillId="3" borderId="1" xfId="1" applyNumberFormat="1" applyFont="1" applyFill="1" applyBorder="1" applyAlignment="1" applyProtection="1">
      <alignment vertical="center"/>
    </xf>
    <xf numFmtId="0" fontId="9" fillId="0" borderId="0" xfId="0" applyFont="1" applyAlignment="1">
      <alignment vertical="center"/>
      <protection locked="0"/>
    </xf>
    <xf numFmtId="0" fontId="9" fillId="0" borderId="0" xfId="560" applyFont="1" applyBorder="1" applyAlignment="1">
      <alignment vertical="center"/>
    </xf>
    <xf numFmtId="0" fontId="9" fillId="0" borderId="0" xfId="0" applyFont="1" applyAlignment="1">
      <alignment vertical="center" wrapText="1"/>
      <protection locked="0"/>
    </xf>
    <xf numFmtId="0" fontId="12" fillId="0" borderId="0" xfId="560" applyFont="1" applyBorder="1" applyAlignment="1">
      <alignment vertical="center"/>
    </xf>
    <xf numFmtId="0" fontId="13" fillId="0" borderId="0" xfId="560" applyFont="1" applyBorder="1" applyAlignment="1">
      <alignment vertical="center"/>
    </xf>
    <xf numFmtId="0" fontId="12" fillId="2" borderId="1" xfId="0" applyFont="1" applyFill="1" applyBorder="1" applyAlignment="1">
      <alignment horizontal="center" vertical="center" wrapText="1"/>
      <protection locked="0"/>
    </xf>
    <xf numFmtId="0" fontId="12" fillId="3" borderId="1" xfId="0" applyFont="1" applyFill="1" applyBorder="1" applyAlignment="1">
      <alignment horizontal="center" vertical="center" wrapText="1"/>
      <protection locked="0"/>
    </xf>
    <xf numFmtId="0" fontId="9" fillId="0" borderId="1" xfId="0" applyFont="1" applyBorder="1" applyAlignment="1">
      <alignment horizontal="left" vertical="center" wrapText="1"/>
      <protection locked="0"/>
    </xf>
    <xf numFmtId="43" fontId="8" fillId="0" borderId="1" xfId="0" applyNumberFormat="1" applyFont="1" applyBorder="1" applyAlignment="1">
      <alignment vertical="center"/>
      <protection locked="0"/>
    </xf>
    <xf numFmtId="43" fontId="8" fillId="3" borderId="1" xfId="0" applyNumberFormat="1" applyFont="1" applyFill="1" applyBorder="1" applyAlignment="1">
      <alignment horizontal="left" vertical="center" wrapText="1"/>
      <protection locked="0"/>
    </xf>
    <xf numFmtId="0" fontId="12" fillId="3" borderId="1" xfId="0" applyFont="1" applyFill="1" applyBorder="1" applyAlignment="1">
      <alignment horizontal="left" vertical="center" wrapText="1"/>
      <protection locked="0"/>
    </xf>
    <xf numFmtId="43" fontId="8" fillId="2" borderId="1" xfId="646" applyFont="1" applyFill="1" applyBorder="1" applyAlignment="1" applyProtection="1">
      <alignment vertical="center"/>
    </xf>
    <xf numFmtId="43" fontId="8" fillId="3" borderId="1" xfId="646" applyFont="1" applyFill="1" applyBorder="1" applyAlignment="1" applyProtection="1">
      <alignment vertical="center"/>
    </xf>
    <xf numFmtId="0" fontId="12" fillId="0" borderId="0" xfId="0" applyFont="1" applyAlignment="1">
      <alignment vertical="center"/>
      <protection locked="0"/>
    </xf>
    <xf numFmtId="0" fontId="14" fillId="0" borderId="0" xfId="0" applyFont="1" applyAlignment="1">
      <alignment vertical="center"/>
      <protection locked="0"/>
    </xf>
    <xf numFmtId="0" fontId="12" fillId="0" borderId="0" xfId="0" applyFont="1" applyAlignment="1">
      <alignment vertical="center" wrapText="1"/>
      <protection locked="0"/>
    </xf>
    <xf numFmtId="0" fontId="15" fillId="0" borderId="0" xfId="502" applyFont="1" applyBorder="1" applyAlignment="1">
      <alignment vertical="center"/>
      <protection locked="0"/>
    </xf>
    <xf numFmtId="0" fontId="2" fillId="0" borderId="0" xfId="511" applyFont="1" applyAlignment="1">
      <alignment horizontal="left" vertical="center"/>
    </xf>
    <xf numFmtId="0" fontId="16" fillId="0" borderId="0" xfId="3" applyNumberFormat="1" applyFont="1" applyFill="1" applyAlignment="1" applyProtection="1">
      <alignment vertical="center"/>
    </xf>
    <xf numFmtId="0" fontId="9" fillId="0" borderId="0" xfId="560" applyFont="1" applyBorder="1" applyAlignment="1">
      <alignment horizontal="right" vertical="center"/>
    </xf>
    <xf numFmtId="0" fontId="8" fillId="0" borderId="1" xfId="0" applyFont="1" applyBorder="1" applyAlignment="1">
      <alignment horizontal="center" vertical="center" wrapText="1"/>
      <protection locked="0"/>
    </xf>
    <xf numFmtId="0" fontId="12" fillId="0" borderId="1" xfId="0" applyFont="1" applyBorder="1" applyAlignment="1">
      <alignment horizontal="center" vertical="center" wrapText="1"/>
      <protection locked="0"/>
    </xf>
    <xf numFmtId="0" fontId="9" fillId="0" borderId="0" xfId="516" applyNumberFormat="1" applyFont="1">
      <protection locked="0"/>
    </xf>
    <xf numFmtId="0" fontId="2" fillId="0" borderId="0" xfId="521" applyNumberFormat="1" applyFont="1" applyAlignment="1">
      <alignment vertical="center"/>
      <protection locked="0"/>
    </xf>
    <xf numFmtId="176" fontId="157" fillId="0" borderId="0" xfId="516">
      <protection locked="0"/>
    </xf>
    <xf numFmtId="0" fontId="2" fillId="0" borderId="0" xfId="515" applyFont="1" applyAlignment="1">
      <alignment vertical="center"/>
      <protection locked="0"/>
    </xf>
    <xf numFmtId="0" fontId="5" fillId="0" borderId="0" xfId="557" applyFont="1" applyAlignment="1">
      <alignment vertical="center"/>
    </xf>
    <xf numFmtId="0" fontId="5" fillId="0" borderId="0" xfId="557" applyFont="1" applyAlignment="1">
      <alignment vertical="center" wrapText="1"/>
    </xf>
    <xf numFmtId="0" fontId="2" fillId="0" borderId="0" xfId="557" applyFont="1" applyAlignment="1">
      <alignment vertical="center"/>
    </xf>
    <xf numFmtId="0" fontId="5" fillId="0" borderId="0" xfId="557" applyFont="1" applyAlignment="1">
      <alignment horizontal="left" vertical="center"/>
    </xf>
    <xf numFmtId="0" fontId="2" fillId="0" borderId="0" xfId="557" applyFont="1" applyAlignment="1">
      <alignment horizontal="left" vertical="center"/>
    </xf>
    <xf numFmtId="0" fontId="17" fillId="0" borderId="0" xfId="557" applyFont="1" applyAlignment="1">
      <alignment horizontal="left" vertical="center"/>
    </xf>
    <xf numFmtId="0" fontId="0" fillId="0" borderId="0" xfId="0" applyAlignment="1">
      <alignment vertical="center"/>
      <protection locked="0"/>
    </xf>
    <xf numFmtId="0" fontId="17" fillId="0" borderId="0" xfId="515" applyFont="1" applyAlignment="1">
      <alignment horizontal="left" vertical="center" wrapText="1"/>
      <protection locked="0"/>
    </xf>
    <xf numFmtId="0" fontId="18" fillId="0" borderId="0" xfId="0" applyFont="1" applyFill="1" applyBorder="1" applyAlignment="1" applyProtection="1">
      <alignment horizontal="left" vertical="center"/>
      <protection locked="0"/>
    </xf>
    <xf numFmtId="0" fontId="12" fillId="0" borderId="0" xfId="558" applyNumberFormat="1" applyFont="1" applyAlignment="1">
      <alignment vertical="center"/>
    </xf>
    <xf numFmtId="176" fontId="5" fillId="3" borderId="1" xfId="516" applyFont="1" applyFill="1" applyBorder="1" applyAlignment="1">
      <alignment horizontal="center" vertical="center"/>
      <protection locked="0"/>
    </xf>
    <xf numFmtId="176" fontId="5" fillId="3" borderId="1" xfId="516" applyFont="1" applyFill="1" applyBorder="1" applyAlignment="1">
      <alignment horizontal="center" vertical="center" wrapText="1"/>
      <protection locked="0"/>
    </xf>
    <xf numFmtId="176" fontId="8" fillId="0" borderId="1" xfId="516" applyFont="1" applyBorder="1" applyAlignment="1">
      <alignment vertical="center"/>
      <protection locked="0"/>
    </xf>
    <xf numFmtId="14" fontId="8" fillId="0" borderId="1" xfId="516" applyNumberFormat="1" applyFont="1" applyBorder="1" applyAlignment="1">
      <alignment horizontal="center" vertical="center"/>
      <protection locked="0"/>
    </xf>
    <xf numFmtId="49" fontId="8" fillId="0" borderId="1" xfId="516" applyNumberFormat="1" applyFont="1" applyBorder="1" applyAlignment="1">
      <alignment horizontal="center" vertical="center"/>
      <protection locked="0"/>
    </xf>
    <xf numFmtId="176" fontId="2" fillId="0" borderId="1" xfId="516" applyFont="1" applyBorder="1" applyAlignment="1">
      <alignment vertical="center"/>
      <protection locked="0"/>
    </xf>
    <xf numFmtId="233" fontId="8" fillId="0" borderId="1" xfId="655" applyFont="1" applyBorder="1" applyAlignment="1" applyProtection="1">
      <alignment vertical="center"/>
      <protection locked="0"/>
    </xf>
    <xf numFmtId="176" fontId="5" fillId="2" borderId="1" xfId="516" applyFont="1" applyFill="1" applyBorder="1" applyAlignment="1">
      <alignment horizontal="center" vertical="center"/>
      <protection locked="0"/>
    </xf>
    <xf numFmtId="176" fontId="2" fillId="2" borderId="1" xfId="516" applyFont="1" applyFill="1" applyBorder="1" applyAlignment="1">
      <alignment vertical="center"/>
      <protection locked="0"/>
    </xf>
    <xf numFmtId="233" fontId="19" fillId="2" borderId="1" xfId="655" applyFont="1" applyFill="1" applyBorder="1" applyAlignment="1" applyProtection="1">
      <alignment vertical="center"/>
      <protection locked="0"/>
    </xf>
    <xf numFmtId="0" fontId="5" fillId="0" borderId="0" xfId="559" applyNumberFormat="1" applyFont="1" applyBorder="1" applyAlignment="1">
      <alignment vertical="center"/>
    </xf>
    <xf numFmtId="49" fontId="2" fillId="0" borderId="1" xfId="516" applyNumberFormat="1" applyFont="1" applyBorder="1" applyAlignment="1">
      <alignment horizontal="center" vertical="center"/>
      <protection locked="0"/>
    </xf>
    <xf numFmtId="0" fontId="5" fillId="0" borderId="0" xfId="515" applyFont="1" applyAlignment="1">
      <alignment vertical="center"/>
      <protection locked="0"/>
    </xf>
    <xf numFmtId="0" fontId="17" fillId="0" borderId="0" xfId="515" applyFont="1" applyAlignment="1">
      <alignment vertical="center" wrapText="1"/>
      <protection locked="0"/>
    </xf>
    <xf numFmtId="0" fontId="2" fillId="0" borderId="0" xfId="555" applyFont="1" applyAlignment="1">
      <alignment vertical="center"/>
      <protection locked="0"/>
    </xf>
    <xf numFmtId="0" fontId="19" fillId="3" borderId="1" xfId="0" applyNumberFormat="1" applyFont="1" applyFill="1" applyBorder="1" applyAlignment="1" applyProtection="1">
      <alignment horizontal="center" vertical="center"/>
      <protection locked="0"/>
    </xf>
    <xf numFmtId="0" fontId="8" fillId="0" borderId="1" xfId="0" applyFont="1" applyBorder="1" applyAlignment="1" applyProtection="1">
      <alignment horizontal="center" vertical="center"/>
      <protection locked="0"/>
    </xf>
    <xf numFmtId="0" fontId="8" fillId="0" borderId="1" xfId="655" applyNumberFormat="1" applyFont="1" applyBorder="1" applyAlignment="1" applyProtection="1">
      <alignment horizontal="center" vertical="center"/>
      <protection locked="0"/>
    </xf>
    <xf numFmtId="49" fontId="8" fillId="0" borderId="1" xfId="516" applyNumberFormat="1" applyFont="1" applyBorder="1" applyAlignment="1">
      <alignment vertical="center"/>
      <protection locked="0"/>
    </xf>
    <xf numFmtId="176" fontId="5" fillId="2" borderId="1" xfId="516" applyFont="1" applyFill="1" applyBorder="1" applyAlignment="1">
      <alignment vertical="center"/>
      <protection locked="0"/>
    </xf>
    <xf numFmtId="176" fontId="9" fillId="0" borderId="0" xfId="516" applyFont="1">
      <protection locked="0"/>
    </xf>
    <xf numFmtId="0" fontId="20" fillId="0" borderId="0" xfId="3" applyNumberFormat="1" applyFont="1" applyFill="1" applyAlignment="1" applyProtection="1">
      <alignment vertical="center"/>
    </xf>
    <xf numFmtId="176" fontId="2" fillId="0" borderId="0" xfId="554" applyFont="1" applyAlignment="1">
      <alignment vertical="center" wrapText="1"/>
    </xf>
    <xf numFmtId="176" fontId="2" fillId="0" borderId="0" xfId="521" applyFont="1" applyAlignment="1">
      <alignment vertical="center" wrapText="1"/>
      <protection locked="0"/>
    </xf>
    <xf numFmtId="176" fontId="2" fillId="0" borderId="0" xfId="521" applyFont="1">
      <protection locked="0"/>
    </xf>
    <xf numFmtId="43" fontId="2" fillId="0" borderId="0" xfId="561" applyNumberFormat="1" applyFont="1" applyBorder="1" applyAlignment="1">
      <alignment vertical="center"/>
    </xf>
    <xf numFmtId="176" fontId="2" fillId="0" borderId="0" xfId="521" applyFont="1" applyAlignment="1">
      <alignment horizontal="right" vertical="center"/>
      <protection locked="0"/>
    </xf>
    <xf numFmtId="176" fontId="5" fillId="0" borderId="0" xfId="558" applyFont="1" applyAlignment="1">
      <alignment vertical="center"/>
    </xf>
    <xf numFmtId="176" fontId="5" fillId="0" borderId="0" xfId="558" applyFont="1" applyAlignment="1" applyProtection="1">
      <alignment vertical="center"/>
      <protection locked="0"/>
    </xf>
    <xf numFmtId="176" fontId="5" fillId="0" borderId="0" xfId="556" applyFont="1">
      <alignment vertical="center"/>
    </xf>
    <xf numFmtId="176" fontId="2" fillId="0" borderId="0" xfId="556" applyFont="1">
      <alignment vertical="center"/>
    </xf>
    <xf numFmtId="176" fontId="2" fillId="0" borderId="0" xfId="556" applyFont="1" applyAlignment="1">
      <alignment horizontal="center" vertical="center"/>
    </xf>
    <xf numFmtId="176" fontId="5" fillId="3" borderId="1" xfId="556" applyFont="1" applyFill="1" applyBorder="1" applyAlignment="1">
      <alignment horizontal="center" vertical="center"/>
    </xf>
    <xf numFmtId="176" fontId="2" fillId="0" borderId="1" xfId="556" applyFont="1" applyBorder="1">
      <alignment vertical="center"/>
    </xf>
    <xf numFmtId="176" fontId="5" fillId="0" borderId="1" xfId="556" applyFont="1" applyBorder="1" applyAlignment="1">
      <alignment horizontal="center" vertical="center"/>
    </xf>
    <xf numFmtId="43" fontId="8" fillId="0" borderId="1" xfId="556" applyNumberFormat="1" applyFont="1" applyBorder="1" applyAlignment="1">
      <alignment horizontal="right" vertical="center"/>
    </xf>
    <xf numFmtId="176" fontId="2" fillId="0" borderId="1" xfId="556" applyFont="1" applyBorder="1" applyAlignment="1">
      <alignment horizontal="center" vertical="center"/>
    </xf>
    <xf numFmtId="176" fontId="6" fillId="0" borderId="1" xfId="556" applyFont="1" applyBorder="1" applyAlignment="1">
      <alignment horizontal="left" vertical="center"/>
    </xf>
    <xf numFmtId="43" fontId="8" fillId="0" borderId="1" xfId="2" applyNumberFormat="1" applyFont="1" applyFill="1" applyBorder="1" applyAlignment="1">
      <alignment horizontal="right" vertical="center"/>
    </xf>
    <xf numFmtId="176" fontId="2" fillId="3" borderId="1" xfId="556" applyFont="1" applyFill="1" applyBorder="1" applyAlignment="1">
      <alignment horizontal="center" vertical="center"/>
    </xf>
    <xf numFmtId="43" fontId="8" fillId="3" borderId="1" xfId="1" applyFont="1" applyFill="1" applyBorder="1" applyAlignment="1">
      <alignment horizontal="left" vertical="center"/>
    </xf>
    <xf numFmtId="235" fontId="2" fillId="3" borderId="1" xfId="556" applyNumberFormat="1" applyFont="1" applyFill="1" applyBorder="1" applyAlignment="1">
      <alignment horizontal="center" vertical="center"/>
    </xf>
    <xf numFmtId="235" fontId="2" fillId="0" borderId="1" xfId="1" applyNumberFormat="1" applyFont="1" applyBorder="1" applyAlignment="1">
      <alignment horizontal="left" vertical="center"/>
    </xf>
    <xf numFmtId="176" fontId="5" fillId="0" borderId="0" xfId="558" applyFont="1" applyAlignment="1" applyProtection="1">
      <alignment horizontal="left" vertical="center"/>
      <protection locked="0"/>
    </xf>
    <xf numFmtId="176" fontId="17" fillId="0" borderId="0" xfId="558" applyFont="1" applyAlignment="1">
      <alignment vertical="center"/>
    </xf>
    <xf numFmtId="176" fontId="5" fillId="3" borderId="1" xfId="521" applyFont="1" applyFill="1" applyBorder="1" applyAlignment="1">
      <alignment horizontal="center" vertical="center" wrapText="1"/>
      <protection locked="0"/>
    </xf>
    <xf numFmtId="235" fontId="5" fillId="3" borderId="1" xfId="1" applyNumberFormat="1" applyFont="1" applyFill="1" applyBorder="1" applyAlignment="1" applyProtection="1">
      <alignment horizontal="center" vertical="center" wrapText="1"/>
      <protection locked="0"/>
    </xf>
    <xf numFmtId="10" fontId="5" fillId="3" borderId="1" xfId="521" applyNumberFormat="1" applyFont="1" applyFill="1" applyBorder="1" applyAlignment="1">
      <alignment horizontal="center" vertical="center" wrapText="1"/>
      <protection locked="0"/>
    </xf>
    <xf numFmtId="176" fontId="2" fillId="0" borderId="1" xfId="521" applyFont="1" applyBorder="1" applyAlignment="1">
      <alignment horizontal="left" vertical="center" wrapText="1"/>
      <protection locked="0"/>
    </xf>
    <xf numFmtId="43" fontId="5" fillId="0" borderId="1" xfId="1" applyFont="1" applyFill="1" applyBorder="1" applyAlignment="1" applyProtection="1">
      <alignment horizontal="center" vertical="center" wrapText="1"/>
      <protection locked="0"/>
    </xf>
    <xf numFmtId="10" fontId="2" fillId="3" borderId="1" xfId="521" applyNumberFormat="1" applyFont="1" applyFill="1" applyBorder="1" applyAlignment="1">
      <alignment horizontal="center" vertical="center" wrapText="1"/>
      <protection locked="0"/>
    </xf>
    <xf numFmtId="176" fontId="19" fillId="3" borderId="1" xfId="521" applyFont="1" applyFill="1" applyBorder="1" applyAlignment="1">
      <alignment horizontal="center" vertical="center" wrapText="1"/>
      <protection locked="0"/>
    </xf>
    <xf numFmtId="43" fontId="2" fillId="0" borderId="1" xfId="647" applyFont="1" applyFill="1" applyBorder="1" applyAlignment="1">
      <alignment horizontal="left" vertical="center"/>
    </xf>
    <xf numFmtId="43" fontId="2" fillId="0" borderId="1" xfId="1" applyFont="1" applyBorder="1" applyAlignment="1">
      <alignment horizontal="center" vertical="center"/>
    </xf>
    <xf numFmtId="43" fontId="2" fillId="0" borderId="1" xfId="645" applyFont="1" applyFill="1" applyBorder="1" applyAlignment="1">
      <alignment horizontal="center" vertical="center"/>
    </xf>
    <xf numFmtId="43" fontId="2" fillId="0" borderId="1" xfId="647" applyFont="1" applyBorder="1" applyAlignment="1">
      <alignment horizontal="center" vertical="center"/>
    </xf>
    <xf numFmtId="43" fontId="2" fillId="3" borderId="1" xfId="647" applyFont="1" applyFill="1" applyBorder="1" applyAlignment="1">
      <alignment horizontal="center" vertical="center"/>
    </xf>
    <xf numFmtId="235" fontId="2" fillId="0" borderId="0" xfId="1" applyNumberFormat="1" applyFont="1" applyBorder="1" applyAlignment="1">
      <alignment horizontal="left" vertical="center"/>
    </xf>
    <xf numFmtId="235" fontId="2" fillId="0" borderId="0" xfId="1" applyNumberFormat="1" applyFont="1" applyBorder="1" applyAlignment="1">
      <alignment horizontal="center" vertical="center"/>
    </xf>
    <xf numFmtId="176" fontId="2" fillId="0" borderId="0" xfId="521" applyFont="1" applyAlignment="1">
      <alignment horizontal="center" vertical="center"/>
      <protection locked="0"/>
    </xf>
    <xf numFmtId="0" fontId="5" fillId="2" borderId="1" xfId="0" applyFont="1" applyFill="1" applyBorder="1" applyAlignment="1">
      <alignment horizontal="center" vertical="center" wrapText="1"/>
      <protection locked="0"/>
    </xf>
    <xf numFmtId="43" fontId="8" fillId="0" borderId="1" xfId="1" applyFont="1" applyBorder="1" applyAlignment="1" applyProtection="1">
      <alignment horizontal="left" vertical="center" wrapText="1"/>
      <protection locked="0"/>
    </xf>
    <xf numFmtId="43" fontId="8" fillId="3" borderId="1" xfId="1" applyFont="1" applyFill="1" applyBorder="1" applyAlignment="1" applyProtection="1">
      <alignment horizontal="left" vertical="center" wrapText="1"/>
      <protection locked="0"/>
    </xf>
    <xf numFmtId="43" fontId="8" fillId="3" borderId="1" xfId="2" applyNumberFormat="1" applyFont="1" applyFill="1" applyBorder="1" applyAlignment="1" applyProtection="1">
      <alignment horizontal="center" vertical="center" wrapText="1"/>
      <protection locked="0"/>
    </xf>
    <xf numFmtId="176" fontId="2" fillId="0" borderId="1" xfId="521" applyFont="1" applyBorder="1">
      <protection locked="0"/>
    </xf>
    <xf numFmtId="43" fontId="19" fillId="3" borderId="1" xfId="1" applyFont="1" applyFill="1" applyBorder="1" applyAlignment="1" applyProtection="1">
      <alignment horizontal="left" vertical="center" wrapText="1"/>
      <protection locked="0"/>
    </xf>
    <xf numFmtId="43" fontId="19" fillId="3" borderId="1" xfId="2" applyNumberFormat="1" applyFont="1" applyFill="1" applyBorder="1" applyAlignment="1" applyProtection="1">
      <alignment horizontal="center" vertical="center" wrapText="1"/>
      <protection locked="0"/>
    </xf>
    <xf numFmtId="176" fontId="2" fillId="3" borderId="1" xfId="521" applyFont="1" applyFill="1" applyBorder="1" applyAlignment="1">
      <alignment horizontal="left" vertical="center" wrapText="1"/>
      <protection locked="0"/>
    </xf>
    <xf numFmtId="176" fontId="2" fillId="3" borderId="1" xfId="521" applyFont="1" applyFill="1" applyBorder="1">
      <protection locked="0"/>
    </xf>
    <xf numFmtId="176" fontId="5" fillId="0" borderId="7" xfId="521" applyFont="1" applyBorder="1" applyAlignment="1">
      <alignment horizontal="left" vertical="center"/>
      <protection locked="0"/>
    </xf>
    <xf numFmtId="176" fontId="5" fillId="0" borderId="0" xfId="521" applyFont="1" applyAlignment="1">
      <alignment horizontal="left" vertical="center"/>
      <protection locked="0"/>
    </xf>
    <xf numFmtId="176" fontId="17" fillId="0" borderId="0" xfId="521" applyFont="1">
      <protection locked="0"/>
    </xf>
    <xf numFmtId="0" fontId="21" fillId="2" borderId="1" xfId="504" applyFont="1" applyFill="1" applyBorder="1" applyAlignment="1">
      <alignment horizontal="center" vertical="center"/>
    </xf>
    <xf numFmtId="0" fontId="21" fillId="2" borderId="1" xfId="504" applyFont="1" applyFill="1" applyBorder="1" applyAlignment="1">
      <alignment horizontal="center" vertical="center" wrapText="1"/>
    </xf>
    <xf numFmtId="0" fontId="12" fillId="2" borderId="1" xfId="527" applyNumberFormat="1" applyFont="1" applyFill="1" applyBorder="1" applyAlignment="1" applyProtection="1">
      <alignment horizontal="center" vertical="center" wrapText="1"/>
      <protection locked="0"/>
    </xf>
    <xf numFmtId="0" fontId="22" fillId="2" borderId="1" xfId="527" applyNumberFormat="1" applyFont="1" applyFill="1" applyBorder="1" applyAlignment="1" applyProtection="1">
      <alignment horizontal="center" vertical="center" wrapText="1"/>
      <protection locked="0"/>
    </xf>
    <xf numFmtId="0" fontId="23" fillId="0" borderId="1" xfId="504" applyFont="1" applyBorder="1" applyAlignment="1">
      <alignment vertical="center"/>
    </xf>
    <xf numFmtId="43" fontId="24" fillId="0" borderId="1" xfId="504" applyNumberFormat="1" applyFont="1" applyBorder="1" applyAlignment="1">
      <alignment vertical="center"/>
    </xf>
    <xf numFmtId="0" fontId="9" fillId="0" borderId="1" xfId="504" applyFont="1" applyBorder="1" applyAlignment="1">
      <alignment vertical="center"/>
    </xf>
    <xf numFmtId="0" fontId="25" fillId="0" borderId="1" xfId="504" applyFont="1" applyBorder="1" applyAlignment="1">
      <alignment horizontal="left" vertical="center"/>
    </xf>
    <xf numFmtId="0" fontId="21" fillId="0" borderId="1" xfId="504" applyFont="1" applyBorder="1" applyAlignment="1">
      <alignment horizontal="center" vertical="center"/>
    </xf>
    <xf numFmtId="0" fontId="26" fillId="0" borderId="0" xfId="504" applyFont="1" applyAlignment="1" applyProtection="1">
      <alignment vertical="center"/>
      <protection locked="0"/>
    </xf>
    <xf numFmtId="0" fontId="9" fillId="0" borderId="0" xfId="560" applyFont="1" applyBorder="1" applyAlignment="1">
      <alignment horizontal="left" vertical="center"/>
    </xf>
    <xf numFmtId="0" fontId="5" fillId="0" borderId="0" xfId="555" applyFont="1" applyAlignment="1">
      <alignment vertical="center"/>
      <protection locked="0"/>
    </xf>
    <xf numFmtId="0" fontId="2" fillId="0" borderId="0" xfId="0" applyFont="1" applyAlignment="1">
      <alignment vertical="center"/>
      <protection locked="0"/>
    </xf>
    <xf numFmtId="0" fontId="27" fillId="0" borderId="0" xfId="0" applyFont="1" applyAlignment="1" applyProtection="1">
      <alignment vertical="center"/>
    </xf>
    <xf numFmtId="0" fontId="28" fillId="0" borderId="0" xfId="0" applyFont="1" applyAlignment="1" applyProtection="1">
      <alignment horizontal="center" vertical="center"/>
    </xf>
    <xf numFmtId="0" fontId="2" fillId="0" borderId="0" xfId="0" applyFont="1" applyAlignment="1" applyProtection="1">
      <alignment vertical="center"/>
    </xf>
    <xf numFmtId="0" fontId="5" fillId="0" borderId="0" xfId="0" applyFont="1" applyAlignment="1">
      <alignment vertical="center"/>
      <protection locked="0"/>
    </xf>
    <xf numFmtId="0" fontId="29" fillId="0" borderId="0" xfId="0" applyFont="1" applyAlignment="1">
      <alignment vertical="center"/>
      <protection locked="0"/>
    </xf>
    <xf numFmtId="0" fontId="2" fillId="0" borderId="0" xfId="0" applyFont="1" applyAlignment="1" applyProtection="1">
      <alignment horizontal="left" vertical="center"/>
    </xf>
    <xf numFmtId="0" fontId="30" fillId="0" borderId="1" xfId="0" applyFont="1" applyBorder="1" applyAlignment="1">
      <alignment horizontal="right" vertical="center" wrapText="1"/>
      <protection locked="0"/>
    </xf>
    <xf numFmtId="0" fontId="6" fillId="0" borderId="1" xfId="0" applyFont="1" applyBorder="1" applyAlignment="1">
      <alignment horizontal="left" vertical="center" wrapText="1"/>
      <protection locked="0"/>
    </xf>
    <xf numFmtId="0" fontId="2" fillId="0" borderId="1" xfId="0" applyFont="1" applyBorder="1" applyAlignment="1" applyProtection="1">
      <alignment horizontal="right" vertical="center" shrinkToFit="1"/>
    </xf>
    <xf numFmtId="43" fontId="8" fillId="0" borderId="1" xfId="0" applyNumberFormat="1" applyFont="1" applyBorder="1" applyAlignment="1">
      <alignment horizontal="left" vertical="center" wrapText="1"/>
      <protection locked="0"/>
    </xf>
    <xf numFmtId="0" fontId="27" fillId="3" borderId="1" xfId="0" applyFont="1" applyFill="1" applyBorder="1" applyAlignment="1">
      <alignment horizontal="center" vertical="center" wrapText="1"/>
      <protection locked="0"/>
    </xf>
    <xf numFmtId="0" fontId="5" fillId="3" borderId="1" xfId="0" applyFont="1" applyFill="1" applyBorder="1" applyAlignment="1">
      <alignment horizontal="centerContinuous" vertical="center" wrapText="1"/>
      <protection locked="0"/>
    </xf>
    <xf numFmtId="43" fontId="31" fillId="3" borderId="1" xfId="0" applyNumberFormat="1" applyFont="1" applyFill="1" applyBorder="1" applyAlignment="1">
      <alignment horizontal="right" vertical="center" wrapText="1"/>
      <protection locked="0"/>
    </xf>
    <xf numFmtId="0" fontId="27" fillId="0" borderId="8" xfId="0" applyFont="1" applyBorder="1" applyAlignment="1">
      <alignment horizontal="left" vertical="center" wrapText="1"/>
      <protection locked="0"/>
    </xf>
    <xf numFmtId="0" fontId="5" fillId="0" borderId="9" xfId="0" applyFont="1" applyBorder="1" applyAlignment="1">
      <alignment horizontal="centerContinuous" vertical="center" wrapText="1"/>
      <protection locked="0"/>
    </xf>
    <xf numFmtId="0" fontId="27" fillId="0" borderId="9" xfId="0" applyFont="1" applyBorder="1" applyAlignment="1">
      <alignment horizontal="right" vertical="center" wrapText="1"/>
      <protection locked="0"/>
    </xf>
    <xf numFmtId="0" fontId="5" fillId="0" borderId="9" xfId="0" applyFont="1" applyBorder="1" applyAlignment="1">
      <alignment vertical="center"/>
      <protection locked="0"/>
    </xf>
    <xf numFmtId="0" fontId="15" fillId="0" borderId="9" xfId="0" applyFont="1" applyBorder="1" applyAlignment="1">
      <alignment vertical="center"/>
      <protection locked="0"/>
    </xf>
    <xf numFmtId="0" fontId="6" fillId="0" borderId="0" xfId="0" applyFont="1" applyAlignment="1">
      <alignment horizontal="left" vertical="center"/>
      <protection locked="0"/>
    </xf>
    <xf numFmtId="0" fontId="6" fillId="0" borderId="0" xfId="0" applyFont="1" applyAlignment="1">
      <alignment vertical="center"/>
      <protection locked="0"/>
    </xf>
    <xf numFmtId="0" fontId="15" fillId="0" borderId="0" xfId="0" applyFont="1" applyAlignment="1">
      <alignment vertical="center"/>
      <protection locked="0"/>
    </xf>
    <xf numFmtId="0" fontId="32" fillId="0" borderId="0" xfId="0" applyFont="1" applyAlignment="1">
      <alignment horizontal="right" vertical="center"/>
      <protection locked="0"/>
    </xf>
    <xf numFmtId="0" fontId="15" fillId="0" borderId="0" xfId="0" applyFont="1" applyAlignment="1">
      <alignment horizontal="right" vertical="center"/>
      <protection locked="0"/>
    </xf>
    <xf numFmtId="0" fontId="2" fillId="0" borderId="0" xfId="0" applyFont="1" applyAlignment="1">
      <alignment horizontal="left" vertical="center"/>
      <protection locked="0"/>
    </xf>
    <xf numFmtId="0" fontId="12" fillId="3" borderId="3" xfId="0" applyFont="1" applyFill="1" applyBorder="1" applyAlignment="1">
      <alignment horizontal="center" vertical="center" wrapText="1"/>
      <protection locked="0"/>
    </xf>
    <xf numFmtId="43" fontId="24" fillId="3" borderId="1" xfId="0" applyNumberFormat="1" applyFont="1" applyFill="1" applyBorder="1" applyAlignment="1">
      <alignment horizontal="right" vertical="center" wrapText="1"/>
      <protection locked="0"/>
    </xf>
    <xf numFmtId="43" fontId="24" fillId="0" borderId="1" xfId="0" applyNumberFormat="1" applyFont="1" applyBorder="1" applyAlignment="1">
      <alignment horizontal="right" vertical="center" wrapText="1"/>
      <protection locked="0"/>
    </xf>
    <xf numFmtId="0" fontId="29" fillId="0" borderId="5" xfId="0" applyFont="1" applyBorder="1" applyAlignment="1">
      <alignment horizontal="center" vertical="center"/>
      <protection locked="0"/>
    </xf>
    <xf numFmtId="0" fontId="2" fillId="0" borderId="0" xfId="0" applyFont="1" applyAlignment="1">
      <alignment horizontal="right" vertical="center"/>
      <protection locked="0"/>
    </xf>
    <xf numFmtId="0" fontId="2" fillId="0" borderId="0" xfId="562" applyFont="1">
      <alignment vertical="center"/>
    </xf>
    <xf numFmtId="0" fontId="5" fillId="2" borderId="1" xfId="0" applyFont="1" applyFill="1" applyBorder="1" applyAlignment="1">
      <alignment horizontal="centerContinuous" vertical="center" wrapText="1"/>
      <protection locked="0"/>
    </xf>
    <xf numFmtId="0" fontId="2" fillId="0" borderId="1" xfId="0" applyFont="1" applyBorder="1" applyAlignment="1">
      <alignment horizontal="left" vertical="center" wrapText="1"/>
      <protection locked="0"/>
    </xf>
    <xf numFmtId="0" fontId="27" fillId="3" borderId="1" xfId="0" applyFont="1" applyFill="1" applyBorder="1" applyAlignment="1">
      <alignment horizontal="right" vertical="center" wrapText="1"/>
      <protection locked="0"/>
    </xf>
    <xf numFmtId="43" fontId="27" fillId="3" borderId="1" xfId="0" applyNumberFormat="1" applyFont="1" applyFill="1" applyBorder="1" applyAlignment="1">
      <alignment horizontal="right" vertical="center" wrapText="1"/>
      <protection locked="0"/>
    </xf>
    <xf numFmtId="0" fontId="5" fillId="0" borderId="9" xfId="0" applyFont="1" applyBorder="1" applyAlignment="1">
      <alignment horizontal="left" vertical="center" wrapText="1"/>
      <protection locked="0"/>
    </xf>
    <xf numFmtId="0" fontId="5" fillId="0" borderId="10" xfId="0" applyFont="1" applyBorder="1" applyAlignment="1">
      <alignment horizontal="left" vertical="center" wrapText="1"/>
      <protection locked="0"/>
    </xf>
    <xf numFmtId="0" fontId="33" fillId="0" borderId="9" xfId="555" applyFont="1" applyBorder="1" applyAlignment="1">
      <alignment vertical="center"/>
      <protection locked="0"/>
    </xf>
    <xf numFmtId="0" fontId="2" fillId="0" borderId="9" xfId="555" applyFont="1" applyBorder="1" applyAlignment="1">
      <alignment vertical="center"/>
      <protection locked="0"/>
    </xf>
    <xf numFmtId="0" fontId="0" fillId="0" borderId="0" xfId="0" applyFont="1" applyAlignment="1">
      <alignment vertical="center"/>
      <protection locked="0"/>
    </xf>
    <xf numFmtId="0" fontId="8" fillId="0" borderId="0" xfId="0" applyFont="1" applyAlignment="1">
      <alignment vertical="center"/>
      <protection locked="0"/>
    </xf>
    <xf numFmtId="0" fontId="8" fillId="0" borderId="0" xfId="0" applyFont="1" applyAlignment="1">
      <alignment horizontal="left" vertical="center"/>
      <protection locked="0"/>
    </xf>
    <xf numFmtId="0" fontId="34" fillId="0" borderId="0" xfId="0" applyFont="1" applyAlignment="1">
      <alignment vertical="center"/>
      <protection locked="0"/>
    </xf>
    <xf numFmtId="0" fontId="35" fillId="0" borderId="11" xfId="0" applyFont="1" applyBorder="1" applyAlignment="1">
      <alignment horizontal="justify" vertical="center" wrapText="1"/>
      <protection locked="0"/>
    </xf>
    <xf numFmtId="0" fontId="35" fillId="0" borderId="11" xfId="0" applyFont="1" applyBorder="1" applyAlignment="1">
      <alignment horizontal="right" vertical="center" wrapText="1"/>
      <protection locked="0"/>
    </xf>
    <xf numFmtId="0" fontId="35" fillId="0" borderId="11" xfId="0" applyFont="1" applyBorder="1" applyAlignment="1">
      <alignment vertical="center" wrapText="1"/>
      <protection locked="0"/>
    </xf>
    <xf numFmtId="0" fontId="36" fillId="0" borderId="12" xfId="0" applyFont="1" applyBorder="1" applyAlignment="1">
      <alignment horizontal="justify" vertical="center" wrapText="1"/>
      <protection locked="0"/>
    </xf>
    <xf numFmtId="43" fontId="37" fillId="0" borderId="12" xfId="0" applyNumberFormat="1" applyFont="1" applyBorder="1" applyAlignment="1">
      <alignment vertical="center" wrapText="1"/>
      <protection locked="0"/>
    </xf>
    <xf numFmtId="0" fontId="36" fillId="0" borderId="0" xfId="0" applyFont="1" applyAlignment="1">
      <alignment horizontal="justify" vertical="center" wrapText="1"/>
      <protection locked="0"/>
    </xf>
    <xf numFmtId="43" fontId="37" fillId="0" borderId="0" xfId="0" applyNumberFormat="1" applyFont="1" applyAlignment="1">
      <alignment vertical="center" wrapText="1"/>
      <protection locked="0"/>
    </xf>
    <xf numFmtId="0" fontId="38" fillId="0" borderId="13" xfId="0" applyFont="1" applyBorder="1" applyAlignment="1">
      <alignment horizontal="justify" vertical="center" wrapText="1"/>
      <protection locked="0"/>
    </xf>
    <xf numFmtId="43" fontId="39" fillId="0" borderId="11" xfId="1" applyFont="1" applyBorder="1" applyAlignment="1" applyProtection="1">
      <alignment vertical="center" wrapText="1"/>
      <protection locked="0"/>
    </xf>
    <xf numFmtId="43" fontId="39" fillId="0" borderId="0" xfId="1" applyFont="1" applyBorder="1" applyAlignment="1" applyProtection="1">
      <alignment vertical="center" wrapText="1"/>
      <protection locked="0"/>
    </xf>
    <xf numFmtId="0" fontId="40" fillId="0" borderId="0" xfId="0" applyFont="1" applyAlignment="1">
      <alignment horizontal="justify" vertical="center"/>
      <protection locked="0"/>
    </xf>
    <xf numFmtId="0" fontId="38" fillId="0" borderId="11" xfId="0" applyFont="1" applyBorder="1" applyAlignment="1">
      <alignment horizontal="justify" vertical="center" wrapText="1"/>
      <protection locked="0"/>
    </xf>
    <xf numFmtId="0" fontId="35" fillId="0" borderId="11" xfId="0" applyFont="1" applyBorder="1" applyAlignment="1">
      <alignment horizontal="center" vertical="center" wrapText="1"/>
      <protection locked="0"/>
    </xf>
    <xf numFmtId="43" fontId="36" fillId="0" borderId="0" xfId="1" applyFont="1" applyAlignment="1" applyProtection="1">
      <alignment horizontal="right" vertical="center" wrapText="1"/>
      <protection locked="0"/>
    </xf>
    <xf numFmtId="0" fontId="36" fillId="0" borderId="0" xfId="0" applyFont="1" applyAlignment="1">
      <alignment horizontal="left" vertical="center" wrapText="1"/>
      <protection locked="0"/>
    </xf>
    <xf numFmtId="43" fontId="41" fillId="0" borderId="11" xfId="0" applyNumberFormat="1" applyFont="1" applyBorder="1" applyAlignment="1">
      <alignment horizontal="justify" vertical="center" wrapText="1"/>
      <protection locked="0"/>
    </xf>
    <xf numFmtId="0" fontId="41" fillId="0" borderId="11" xfId="0" applyFont="1" applyBorder="1" applyAlignment="1">
      <alignment horizontal="justify" vertical="center" wrapText="1"/>
      <protection locked="0"/>
    </xf>
    <xf numFmtId="0" fontId="19" fillId="0" borderId="0" xfId="0" applyFont="1" applyAlignment="1">
      <alignment vertical="center"/>
      <protection locked="0"/>
    </xf>
    <xf numFmtId="0" fontId="41" fillId="0" borderId="0" xfId="0" applyFont="1" applyAlignment="1">
      <alignment vertical="center"/>
      <protection locked="0"/>
    </xf>
    <xf numFmtId="0" fontId="36" fillId="0" borderId="0" xfId="519" applyFont="1">
      <protection locked="0"/>
    </xf>
    <xf numFmtId="0" fontId="8" fillId="0" borderId="0" xfId="0" applyFont="1">
      <protection locked="0"/>
    </xf>
    <xf numFmtId="0" fontId="42" fillId="0" borderId="0" xfId="0" applyFont="1" applyAlignment="1" applyProtection="1">
      <alignment horizontal="justify" vertical="center"/>
    </xf>
    <xf numFmtId="0" fontId="42" fillId="0" borderId="0" xfId="0" applyFont="1" applyAlignment="1" applyProtection="1">
      <alignment vertical="center"/>
    </xf>
    <xf numFmtId="0" fontId="43" fillId="0" borderId="11" xfId="0" applyFont="1" applyBorder="1" applyAlignment="1" applyProtection="1">
      <alignment horizontal="justify" vertical="center" wrapText="1"/>
    </xf>
    <xf numFmtId="0" fontId="43" fillId="0" borderId="11" xfId="0" applyFont="1" applyBorder="1" applyAlignment="1" applyProtection="1">
      <alignment horizontal="right" vertical="center" wrapText="1"/>
    </xf>
    <xf numFmtId="0" fontId="44" fillId="0" borderId="11" xfId="0" applyFont="1" applyBorder="1" applyAlignment="1" applyProtection="1">
      <alignment horizontal="right" vertical="center" wrapText="1"/>
    </xf>
    <xf numFmtId="0" fontId="45" fillId="0" borderId="0" xfId="0" applyFont="1" applyAlignment="1" applyProtection="1">
      <alignment horizontal="justify" vertical="center" wrapText="1"/>
    </xf>
    <xf numFmtId="43" fontId="42" fillId="0" borderId="0" xfId="0" applyNumberFormat="1" applyFont="1" applyAlignment="1" applyProtection="1">
      <alignment horizontal="right" vertical="center" wrapText="1"/>
    </xf>
    <xf numFmtId="0" fontId="45" fillId="0" borderId="0" xfId="0" applyFont="1" applyAlignment="1" applyProtection="1">
      <alignment horizontal="left" vertical="center"/>
    </xf>
    <xf numFmtId="43" fontId="43" fillId="0" borderId="11" xfId="0" applyNumberFormat="1" applyFont="1" applyBorder="1" applyAlignment="1" applyProtection="1">
      <alignment horizontal="right" vertical="center" wrapText="1"/>
    </xf>
    <xf numFmtId="0" fontId="42" fillId="0" borderId="0" xfId="0" applyFont="1" applyAlignment="1" applyProtection="1">
      <alignment horizontal="left" vertical="center"/>
    </xf>
    <xf numFmtId="0" fontId="43" fillId="0" borderId="11" xfId="0" applyFont="1" applyBorder="1" applyAlignment="1" applyProtection="1">
      <alignment horizontal="left" vertical="center" wrapText="1"/>
    </xf>
    <xf numFmtId="0" fontId="44" fillId="0" borderId="11" xfId="0" applyFont="1" applyBorder="1" applyAlignment="1" applyProtection="1">
      <alignment horizontal="center" vertical="center" wrapText="1"/>
    </xf>
    <xf numFmtId="0" fontId="43" fillId="0" borderId="11" xfId="0" applyFont="1" applyBorder="1" applyAlignment="1" applyProtection="1">
      <alignment vertical="center" wrapText="1"/>
    </xf>
    <xf numFmtId="0" fontId="36" fillId="0" borderId="0" xfId="0" applyFont="1" applyAlignment="1" applyProtection="1">
      <alignment horizontal="justify" vertical="center" wrapText="1"/>
    </xf>
    <xf numFmtId="43" fontId="36" fillId="0" borderId="0" xfId="1" applyFont="1" applyAlignment="1" applyProtection="1">
      <alignment horizontal="right" vertical="center" wrapText="1"/>
    </xf>
    <xf numFmtId="0" fontId="36" fillId="0" borderId="0" xfId="0" applyFont="1" applyAlignment="1" applyProtection="1">
      <alignment horizontal="left" vertical="center" wrapText="1"/>
    </xf>
    <xf numFmtId="0" fontId="46" fillId="0" borderId="0" xfId="0" applyFont="1" applyAlignment="1" applyProtection="1">
      <alignment vertical="center"/>
    </xf>
    <xf numFmtId="0" fontId="44" fillId="0" borderId="11" xfId="0" applyFont="1" applyBorder="1" applyAlignment="1" applyProtection="1">
      <alignment vertical="center" wrapText="1"/>
    </xf>
    <xf numFmtId="0" fontId="9" fillId="0" borderId="0" xfId="560" applyFont="1" applyBorder="1" applyAlignment="1">
      <alignment horizontal="center" vertical="center"/>
    </xf>
    <xf numFmtId="0" fontId="12" fillId="2" borderId="1" xfId="526" applyNumberFormat="1" applyFont="1" applyFill="1" applyBorder="1" applyAlignment="1" applyProtection="1">
      <alignment horizontal="center" vertical="center" wrapText="1"/>
      <protection locked="0"/>
    </xf>
    <xf numFmtId="0" fontId="25" fillId="0" borderId="1" xfId="0" applyFont="1" applyBorder="1" applyAlignment="1" applyProtection="1">
      <alignment horizontal="justify" vertical="center" wrapText="1"/>
    </xf>
    <xf numFmtId="43" fontId="24" fillId="3" borderId="1" xfId="1" applyFont="1" applyFill="1" applyBorder="1" applyAlignment="1">
      <alignment horizontal="right" vertical="center"/>
    </xf>
    <xf numFmtId="0" fontId="25" fillId="0" borderId="1" xfId="0" applyFont="1" applyBorder="1" applyAlignment="1" applyProtection="1">
      <alignment vertical="center"/>
    </xf>
    <xf numFmtId="0" fontId="21" fillId="3" borderId="1" xfId="0" applyFont="1" applyFill="1" applyBorder="1" applyAlignment="1" applyProtection="1">
      <alignment horizontal="center" vertical="center"/>
    </xf>
    <xf numFmtId="43" fontId="31" fillId="3" borderId="1" xfId="1" applyFont="1" applyFill="1" applyBorder="1" applyAlignment="1">
      <alignment horizontal="right" vertical="center"/>
    </xf>
    <xf numFmtId="0" fontId="23" fillId="0" borderId="1" xfId="0" applyFont="1" applyBorder="1" applyAlignment="1" applyProtection="1">
      <alignment vertical="center"/>
    </xf>
    <xf numFmtId="43" fontId="24" fillId="0" borderId="1" xfId="1" applyFont="1" applyFill="1" applyBorder="1" applyAlignment="1">
      <alignment horizontal="right" vertical="center"/>
    </xf>
    <xf numFmtId="0" fontId="12" fillId="0" borderId="0" xfId="560" applyFont="1" applyFill="1" applyBorder="1" applyAlignment="1">
      <alignment vertical="center"/>
    </xf>
    <xf numFmtId="0" fontId="21" fillId="0" borderId="0" xfId="1" applyNumberFormat="1" applyFont="1" applyFill="1" applyBorder="1" applyAlignment="1">
      <alignment horizontal="right" vertical="center"/>
    </xf>
    <xf numFmtId="0" fontId="21" fillId="0" borderId="0" xfId="0" applyFont="1" applyAlignment="1" applyProtection="1">
      <alignment horizontal="center" vertical="center"/>
    </xf>
    <xf numFmtId="0" fontId="25" fillId="0" borderId="0" xfId="544" applyFont="1" applyAlignment="1">
      <alignment horizontal="left" vertical="center"/>
    </xf>
    <xf numFmtId="0" fontId="47" fillId="0" borderId="0" xfId="544" applyFont="1" applyAlignment="1">
      <alignment horizontal="left" vertical="center"/>
    </xf>
    <xf numFmtId="0" fontId="25" fillId="0" borderId="0" xfId="0" applyFont="1" applyAlignment="1">
      <alignment vertical="center"/>
      <protection locked="0"/>
    </xf>
    <xf numFmtId="0" fontId="48" fillId="0" borderId="0" xfId="0" applyFont="1" applyAlignment="1">
      <alignment vertical="center"/>
      <protection locked="0"/>
    </xf>
    <xf numFmtId="0" fontId="21" fillId="2" borderId="1" xfId="518" applyFont="1" applyFill="1" applyBorder="1" applyAlignment="1">
      <alignment horizontal="center" vertical="center" wrapText="1"/>
      <protection locked="0"/>
    </xf>
    <xf numFmtId="0" fontId="12" fillId="2" borderId="1" xfId="518" applyFont="1" applyFill="1" applyBorder="1" applyAlignment="1">
      <alignment horizontal="center" vertical="center"/>
      <protection locked="0"/>
    </xf>
    <xf numFmtId="43" fontId="8" fillId="3" borderId="1" xfId="1" applyFont="1" applyFill="1" applyBorder="1" applyAlignment="1">
      <alignment horizontal="right" vertical="center" wrapText="1"/>
    </xf>
    <xf numFmtId="0" fontId="9" fillId="3" borderId="1" xfId="2" applyNumberFormat="1" applyFont="1" applyFill="1" applyBorder="1" applyAlignment="1">
      <alignment horizontal="right" vertical="center" wrapText="1"/>
    </xf>
    <xf numFmtId="0" fontId="9" fillId="0" borderId="1" xfId="1" applyNumberFormat="1" applyFont="1" applyFill="1" applyBorder="1" applyAlignment="1">
      <alignment horizontal="right" vertical="center" wrapText="1"/>
    </xf>
    <xf numFmtId="43" fontId="19" fillId="3" borderId="1" xfId="1" applyFont="1" applyFill="1" applyBorder="1" applyAlignment="1">
      <alignment horizontal="right" vertical="center" wrapText="1"/>
    </xf>
    <xf numFmtId="0" fontId="12" fillId="3" borderId="1" xfId="2" applyNumberFormat="1" applyFont="1" applyFill="1" applyBorder="1" applyAlignment="1">
      <alignment horizontal="right" vertical="center" wrapText="1"/>
    </xf>
    <xf numFmtId="0" fontId="23" fillId="3" borderId="1" xfId="1" applyNumberFormat="1" applyFont="1" applyFill="1" applyBorder="1" applyAlignment="1">
      <alignment horizontal="right" vertical="center"/>
    </xf>
    <xf numFmtId="0" fontId="12" fillId="0" borderId="0" xfId="2" applyNumberFormat="1" applyFont="1" applyFill="1" applyBorder="1" applyAlignment="1">
      <alignment horizontal="right" vertical="center" wrapText="1"/>
    </xf>
    <xf numFmtId="0" fontId="23" fillId="0" borderId="0" xfId="1" applyNumberFormat="1" applyFont="1" applyFill="1" applyBorder="1" applyAlignment="1">
      <alignment horizontal="right" vertical="center"/>
    </xf>
    <xf numFmtId="0" fontId="9" fillId="0" borderId="0" xfId="0" applyFont="1">
      <protection locked="0"/>
    </xf>
    <xf numFmtId="0" fontId="26" fillId="0" borderId="0" xfId="0" applyFont="1" applyAlignment="1">
      <alignment vertical="center"/>
      <protection locked="0"/>
    </xf>
    <xf numFmtId="0" fontId="9" fillId="0" borderId="0" xfId="0" applyFont="1" applyAlignment="1">
      <alignment horizontal="right" vertical="center"/>
      <protection locked="0"/>
    </xf>
    <xf numFmtId="0" fontId="9" fillId="0" borderId="0" xfId="562" applyFont="1">
      <alignment vertical="center"/>
    </xf>
    <xf numFmtId="0" fontId="26" fillId="0" borderId="0" xfId="562" applyFont="1">
      <alignment vertical="center"/>
    </xf>
    <xf numFmtId="0" fontId="9" fillId="0" borderId="0" xfId="0" applyFont="1" applyBorder="1" applyAlignment="1">
      <alignment vertical="center" wrapText="1"/>
      <protection locked="0"/>
    </xf>
    <xf numFmtId="0" fontId="12" fillId="0" borderId="0" xfId="0" applyFont="1" applyAlignment="1">
      <alignment horizontal="left" vertical="center"/>
      <protection locked="0"/>
    </xf>
    <xf numFmtId="0" fontId="12" fillId="0" borderId="0" xfId="0" applyFont="1" applyAlignment="1">
      <alignment horizontal="justify" vertical="center"/>
      <protection locked="0"/>
    </xf>
    <xf numFmtId="0" fontId="12" fillId="0" borderId="0" xfId="0" applyFont="1" applyAlignment="1">
      <alignment horizontal="center" vertical="center"/>
      <protection locked="0"/>
    </xf>
    <xf numFmtId="0" fontId="9" fillId="0" borderId="1" xfId="0" applyFont="1" applyBorder="1" applyAlignment="1">
      <alignment horizontal="center" vertical="center" wrapText="1"/>
      <protection locked="0"/>
    </xf>
    <xf numFmtId="0" fontId="49" fillId="3" borderId="1" xfId="0" applyFont="1" applyFill="1" applyBorder="1" applyAlignment="1">
      <alignment horizontal="center" vertical="center" wrapText="1"/>
      <protection locked="0"/>
    </xf>
    <xf numFmtId="0" fontId="8" fillId="0" borderId="1" xfId="562" applyFont="1" applyBorder="1" applyAlignment="1">
      <alignment horizontal="center" vertical="center"/>
    </xf>
    <xf numFmtId="0" fontId="26" fillId="0" borderId="1" xfId="0" applyFont="1" applyBorder="1" applyAlignment="1" applyProtection="1">
      <alignment horizontal="center" vertical="center" wrapText="1"/>
    </xf>
    <xf numFmtId="0" fontId="50" fillId="0" borderId="1" xfId="544" applyFont="1" applyFill="1" applyBorder="1" applyAlignment="1">
      <alignment horizontal="center" vertical="center" wrapText="1"/>
    </xf>
    <xf numFmtId="0" fontId="51" fillId="0" borderId="1" xfId="544" applyFont="1" applyFill="1" applyBorder="1" applyAlignment="1">
      <alignment horizontal="center" vertical="center" wrapText="1"/>
    </xf>
    <xf numFmtId="0" fontId="7" fillId="0" borderId="1" xfId="544" applyFont="1" applyFill="1" applyBorder="1" applyAlignment="1">
      <alignment horizontal="center" vertical="center" wrapText="1"/>
    </xf>
    <xf numFmtId="0" fontId="51" fillId="0" borderId="1" xfId="544" applyFont="1" applyFill="1" applyBorder="1" applyAlignment="1">
      <alignment vertical="center" wrapText="1"/>
    </xf>
    <xf numFmtId="0" fontId="26" fillId="0" borderId="1" xfId="544" applyFont="1" applyBorder="1" applyAlignment="1">
      <alignment horizontal="center" vertical="center" wrapText="1"/>
    </xf>
    <xf numFmtId="0" fontId="49" fillId="0" borderId="1" xfId="544" applyFont="1" applyBorder="1" applyAlignment="1">
      <alignment horizontal="center" vertical="center" wrapText="1"/>
    </xf>
    <xf numFmtId="0" fontId="9" fillId="0" borderId="1" xfId="505" applyFont="1" applyBorder="1" applyAlignment="1">
      <alignment vertical="center" wrapText="1"/>
      <protection locked="0"/>
    </xf>
    <xf numFmtId="0" fontId="9" fillId="0" borderId="1" xfId="544" applyFont="1" applyBorder="1" applyAlignment="1">
      <alignment vertical="center" wrapText="1"/>
    </xf>
    <xf numFmtId="176" fontId="50" fillId="0" borderId="1" xfId="501" applyFont="1" applyFill="1" applyBorder="1" applyAlignment="1">
      <alignment horizontal="center" vertical="center" wrapText="1"/>
    </xf>
    <xf numFmtId="176" fontId="51" fillId="0" borderId="1" xfId="501" applyFont="1" applyFill="1" applyBorder="1" applyAlignment="1">
      <alignment vertical="center" wrapText="1"/>
    </xf>
    <xf numFmtId="0" fontId="9" fillId="0" borderId="1" xfId="529" applyFont="1" applyBorder="1" applyAlignment="1" applyProtection="1">
      <alignment vertical="center" wrapText="1"/>
    </xf>
    <xf numFmtId="0" fontId="9" fillId="0" borderId="1" xfId="3" applyNumberFormat="1" applyFont="1" applyFill="1" applyBorder="1" applyAlignment="1">
      <alignment horizontal="left" vertical="center" wrapText="1"/>
      <protection locked="0"/>
    </xf>
    <xf numFmtId="0" fontId="9" fillId="0" borderId="1" xfId="501" applyNumberFormat="1" applyFont="1" applyBorder="1" applyAlignment="1">
      <alignment vertical="center" wrapText="1"/>
    </xf>
    <xf numFmtId="0" fontId="9" fillId="0" borderId="1" xfId="3" applyNumberFormat="1" applyFont="1" applyFill="1" applyBorder="1" applyAlignment="1" applyProtection="1">
      <alignment vertical="center" wrapText="1"/>
    </xf>
    <xf numFmtId="0" fontId="9" fillId="0" borderId="1" xfId="0" applyFont="1" applyBorder="1" applyAlignment="1">
      <alignment vertical="center" wrapText="1"/>
      <protection locked="0"/>
    </xf>
    <xf numFmtId="0" fontId="12" fillId="0" borderId="0" xfId="562" applyFont="1">
      <alignment vertical="center"/>
    </xf>
    <xf numFmtId="0" fontId="18" fillId="0" borderId="1" xfId="0" applyFont="1" applyBorder="1" applyAlignment="1">
      <alignment horizontal="center" vertical="center" wrapText="1"/>
      <protection locked="0"/>
    </xf>
    <xf numFmtId="0" fontId="47" fillId="0" borderId="0" xfId="0" applyFont="1">
      <protection locked="0"/>
    </xf>
    <xf numFmtId="0" fontId="8" fillId="0" borderId="1" xfId="0" applyFont="1" applyBorder="1" applyAlignment="1">
      <alignment horizontal="center" vertical="center"/>
      <protection locked="0"/>
    </xf>
    <xf numFmtId="176" fontId="8" fillId="0" borderId="1" xfId="548" applyFont="1" applyBorder="1" applyAlignment="1">
      <alignment vertical="center" wrapText="1"/>
    </xf>
    <xf numFmtId="0" fontId="9" fillId="5" borderId="0" xfId="0" applyFont="1" applyFill="1" applyAlignment="1">
      <alignment horizontal="justify" vertical="center" wrapText="1"/>
      <protection locked="0"/>
    </xf>
    <xf numFmtId="0" fontId="9" fillId="0" borderId="0" xfId="0" applyFont="1" applyAlignment="1">
      <alignment horizontal="justify" wrapText="1"/>
      <protection locked="0"/>
    </xf>
    <xf numFmtId="0" fontId="9" fillId="0" borderId="15" xfId="0" applyFont="1" applyBorder="1" applyAlignment="1">
      <alignment horizontal="justify" wrapText="1"/>
      <protection locked="0"/>
    </xf>
    <xf numFmtId="0" fontId="8" fillId="0" borderId="16" xfId="0" applyFont="1" applyBorder="1" applyAlignment="1">
      <alignment horizontal="center" vertical="center"/>
      <protection locked="0"/>
    </xf>
    <xf numFmtId="0" fontId="9" fillId="0" borderId="0" xfId="0" applyFont="1" applyAlignment="1">
      <alignment horizontal="justify" vertical="top" wrapText="1"/>
      <protection locked="0"/>
    </xf>
    <xf numFmtId="0" fontId="47" fillId="0" borderId="0" xfId="0" applyFont="1" applyAlignment="1">
      <alignment horizontal="justify" wrapText="1"/>
      <protection locked="0"/>
    </xf>
    <xf numFmtId="0" fontId="12" fillId="0" borderId="0" xfId="0" applyFont="1" applyAlignment="1">
      <alignment horizontal="justify"/>
      <protection locked="0"/>
    </xf>
    <xf numFmtId="0" fontId="158" fillId="0" borderId="1" xfId="0" applyFont="1" applyBorder="1" applyAlignment="1">
      <alignment horizontal="left" vertical="center" wrapText="1"/>
      <protection locked="0"/>
    </xf>
    <xf numFmtId="49" fontId="2" fillId="0" borderId="1" xfId="516" applyNumberFormat="1" applyFont="1" applyBorder="1" applyAlignment="1">
      <alignment horizontal="center" vertical="center"/>
      <protection locked="0"/>
    </xf>
    <xf numFmtId="0" fontId="8" fillId="5" borderId="0" xfId="502" applyFont="1" applyFill="1" applyBorder="1" applyAlignment="1">
      <alignment horizontal="justify" vertical="center" wrapText="1"/>
      <protection locked="0"/>
    </xf>
    <xf numFmtId="0" fontId="4" fillId="0" borderId="0" xfId="0" applyFont="1" applyAlignment="1">
      <alignment horizontal="center" vertical="center"/>
      <protection locked="0"/>
    </xf>
    <xf numFmtId="0" fontId="2" fillId="0" borderId="16" xfId="3" applyFont="1" applyBorder="1" applyAlignment="1">
      <alignment vertical="center"/>
      <protection locked="0"/>
    </xf>
    <xf numFmtId="0" fontId="20" fillId="0" borderId="16" xfId="3" applyFont="1" applyBorder="1" applyAlignment="1">
      <alignment vertical="center"/>
      <protection locked="0"/>
    </xf>
    <xf numFmtId="176" fontId="17" fillId="0" borderId="0" xfId="675" applyFont="1" applyFill="1" applyAlignment="1">
      <alignment horizontal="left" vertical="center"/>
    </xf>
    <xf numFmtId="176" fontId="47" fillId="0" borderId="0" xfId="676" applyFont="1" applyAlignment="1">
      <alignment horizontal="left" vertical="center" wrapText="1"/>
      <protection locked="0"/>
    </xf>
    <xf numFmtId="176" fontId="47" fillId="0" borderId="0" xfId="516" applyFont="1" applyAlignment="1">
      <alignment horizontal="left" vertical="center" wrapText="1"/>
      <protection locked="0"/>
    </xf>
    <xf numFmtId="0" fontId="27" fillId="0" borderId="9" xfId="0" applyFont="1" applyBorder="1" applyAlignment="1">
      <alignment horizontal="left" vertical="center" wrapText="1"/>
      <protection locked="0"/>
    </xf>
    <xf numFmtId="0" fontId="29" fillId="0" borderId="9" xfId="0" applyFont="1" applyBorder="1" applyAlignment="1">
      <alignment horizontal="center" vertical="center"/>
      <protection locked="0"/>
    </xf>
    <xf numFmtId="43" fontId="24" fillId="0" borderId="1" xfId="1" applyFont="1" applyFill="1" applyBorder="1" applyAlignment="1" applyProtection="1">
      <alignment horizontal="right" vertical="center" wrapText="1"/>
      <protection locked="0"/>
    </xf>
    <xf numFmtId="43" fontId="24" fillId="3" borderId="1" xfId="1" applyFont="1" applyFill="1" applyBorder="1" applyAlignment="1" applyProtection="1">
      <alignment horizontal="right" vertical="center" wrapText="1"/>
      <protection locked="0"/>
    </xf>
    <xf numFmtId="176" fontId="18" fillId="3" borderId="0" xfId="448" applyNumberFormat="1" applyFont="1" applyFill="1" applyBorder="1" applyAlignment="1">
      <alignment horizontal="right" vertical="center"/>
    </xf>
    <xf numFmtId="176" fontId="5" fillId="0" borderId="0" xfId="521" applyFont="1" applyBorder="1" applyAlignment="1">
      <alignment horizontal="left" vertical="center"/>
      <protection locked="0"/>
    </xf>
    <xf numFmtId="176" fontId="17" fillId="0" borderId="0" xfId="558" applyFont="1" applyAlignment="1">
      <alignment horizontal="left" vertical="center"/>
    </xf>
    <xf numFmtId="176" fontId="8" fillId="0" borderId="0" xfId="516" applyFont="1" applyAlignment="1">
      <alignment vertical="center"/>
      <protection locked="0"/>
    </xf>
    <xf numFmtId="0" fontId="2" fillId="0" borderId="1" xfId="0" applyFont="1" applyBorder="1" applyAlignment="1">
      <alignment horizontal="center" vertical="center"/>
      <protection locked="0"/>
    </xf>
    <xf numFmtId="176" fontId="6" fillId="0" borderId="0" xfId="516" applyFont="1" applyAlignment="1">
      <alignment vertical="center"/>
      <protection locked="0"/>
    </xf>
    <xf numFmtId="176" fontId="19" fillId="0" borderId="0" xfId="516" applyFont="1" applyAlignment="1">
      <alignment vertical="center"/>
      <protection locked="0"/>
    </xf>
    <xf numFmtId="43" fontId="8" fillId="0" borderId="1" xfId="645" applyFont="1" applyBorder="1" applyAlignment="1" applyProtection="1">
      <alignment horizontal="center" vertical="center"/>
      <protection locked="0"/>
    </xf>
    <xf numFmtId="10" fontId="8" fillId="0" borderId="1" xfId="449" applyNumberFormat="1" applyFont="1" applyBorder="1" applyAlignment="1" applyProtection="1">
      <alignment horizontal="center" vertical="center"/>
      <protection locked="0"/>
    </xf>
    <xf numFmtId="176" fontId="18" fillId="0" borderId="0" xfId="516" applyFont="1" applyAlignment="1">
      <alignment vertical="center"/>
      <protection locked="0"/>
    </xf>
    <xf numFmtId="0" fontId="2" fillId="0" borderId="0" xfId="0" applyFont="1" applyBorder="1" applyAlignment="1">
      <alignment horizontal="center" vertical="center"/>
      <protection locked="0"/>
    </xf>
    <xf numFmtId="43" fontId="8" fillId="0" borderId="0" xfId="645" applyFont="1" applyBorder="1" applyAlignment="1" applyProtection="1">
      <alignment horizontal="center" vertical="center"/>
      <protection locked="0"/>
    </xf>
    <xf numFmtId="10" fontId="8" fillId="0" borderId="0" xfId="449" applyNumberFormat="1" applyFont="1" applyBorder="1" applyAlignment="1" applyProtection="1">
      <alignment horizontal="center" vertical="center"/>
      <protection locked="0"/>
    </xf>
    <xf numFmtId="0" fontId="162" fillId="0" borderId="0" xfId="3" applyFont="1" applyAlignment="1">
      <alignment horizontal="left" vertical="center"/>
      <protection locked="0"/>
    </xf>
    <xf numFmtId="0" fontId="41" fillId="0" borderId="0" xfId="0" applyFont="1" applyAlignment="1">
      <alignment horizontal="left" vertical="center" wrapText="1"/>
      <protection locked="0"/>
    </xf>
    <xf numFmtId="0" fontId="36" fillId="0" borderId="0" xfId="0" applyFont="1" applyAlignment="1">
      <alignment horizontal="left" vertical="center" wrapText="1"/>
      <protection locked="0"/>
    </xf>
    <xf numFmtId="0" fontId="5" fillId="2" borderId="1" xfId="544" applyFont="1" applyFill="1" applyBorder="1" applyAlignment="1" applyProtection="1">
      <alignment horizontal="center" vertical="center" wrapText="1"/>
      <protection locked="0"/>
    </xf>
    <xf numFmtId="0" fontId="19" fillId="2" borderId="1" xfId="544" applyFont="1" applyFill="1" applyBorder="1" applyAlignment="1" applyProtection="1">
      <alignment horizontal="center" vertical="center" wrapText="1"/>
      <protection locked="0"/>
    </xf>
    <xf numFmtId="0" fontId="12" fillId="2" borderId="1" xfId="0" applyFont="1" applyFill="1" applyBorder="1" applyAlignment="1">
      <alignment horizontal="center" vertical="center"/>
      <protection locked="0"/>
    </xf>
    <xf numFmtId="0" fontId="9" fillId="0" borderId="1" xfId="0" applyFont="1" applyBorder="1" applyAlignment="1">
      <alignment horizontal="center" vertical="center" wrapText="1"/>
      <protection locked="0"/>
    </xf>
    <xf numFmtId="0" fontId="12" fillId="0" borderId="14" xfId="0" applyFont="1" applyBorder="1" applyAlignment="1">
      <alignment horizontal="left" vertical="center"/>
      <protection locked="0"/>
    </xf>
    <xf numFmtId="0" fontId="12" fillId="0" borderId="0" xfId="0" applyFont="1" applyBorder="1" applyAlignment="1">
      <alignment horizontal="left" vertical="center"/>
      <protection locked="0"/>
    </xf>
    <xf numFmtId="0" fontId="12" fillId="3" borderId="1" xfId="0" applyFont="1" applyFill="1" applyBorder="1" applyAlignment="1">
      <alignment horizontal="center" vertical="center"/>
      <protection locked="0"/>
    </xf>
    <xf numFmtId="176" fontId="5" fillId="56" borderId="1" xfId="548" applyFont="1" applyFill="1" applyBorder="1" applyAlignment="1" applyProtection="1">
      <alignment horizontal="center" vertical="center" wrapText="1"/>
      <protection locked="0"/>
    </xf>
    <xf numFmtId="0" fontId="12" fillId="2" borderId="1" xfId="0" applyFont="1" applyFill="1" applyBorder="1" applyAlignment="1">
      <alignment horizontal="center" vertical="center" wrapText="1"/>
      <protection locked="0"/>
    </xf>
    <xf numFmtId="0" fontId="9" fillId="0" borderId="1" xfId="0" applyFont="1" applyBorder="1" applyAlignment="1">
      <alignment horizontal="left" vertical="center" wrapText="1"/>
      <protection locked="0"/>
    </xf>
    <xf numFmtId="0" fontId="9" fillId="0" borderId="0" xfId="0" applyFont="1" applyBorder="1" applyAlignment="1">
      <alignment horizontal="left" vertical="center" wrapText="1"/>
      <protection locked="0"/>
    </xf>
    <xf numFmtId="0" fontId="10" fillId="0" borderId="0" xfId="553" applyFont="1" applyAlignment="1">
      <alignment horizontal="center" vertical="center"/>
    </xf>
    <xf numFmtId="0" fontId="11" fillId="0" borderId="0" xfId="553" applyFont="1" applyAlignment="1">
      <alignment horizontal="center" vertical="center"/>
    </xf>
    <xf numFmtId="0" fontId="9" fillId="0" borderId="0" xfId="0" applyFont="1" applyAlignment="1">
      <alignment horizontal="left" vertical="center"/>
      <protection locked="0"/>
    </xf>
    <xf numFmtId="0" fontId="21" fillId="2" borderId="1" xfId="0" applyFont="1" applyFill="1" applyBorder="1" applyAlignment="1" applyProtection="1">
      <alignment horizontal="center" vertical="center"/>
    </xf>
    <xf numFmtId="0" fontId="23" fillId="2" borderId="1" xfId="0" applyFont="1" applyFill="1" applyBorder="1" applyAlignment="1" applyProtection="1">
      <alignment vertical="center"/>
    </xf>
    <xf numFmtId="0" fontId="12" fillId="2" borderId="4" xfId="526" applyNumberFormat="1" applyFont="1" applyFill="1" applyBorder="1" applyAlignment="1" applyProtection="1">
      <alignment horizontal="center" vertical="center" wrapText="1"/>
      <protection locked="0"/>
    </xf>
    <xf numFmtId="0" fontId="12" fillId="2" borderId="5" xfId="526" applyNumberFormat="1" applyFont="1" applyFill="1" applyBorder="1" applyAlignment="1" applyProtection="1">
      <alignment horizontal="center" vertical="center" wrapText="1"/>
      <protection locked="0"/>
    </xf>
    <xf numFmtId="0" fontId="12" fillId="2" borderId="6" xfId="526" applyNumberFormat="1" applyFont="1" applyFill="1" applyBorder="1" applyAlignment="1" applyProtection="1">
      <alignment horizontal="center" vertical="center" wrapText="1"/>
      <protection locked="0"/>
    </xf>
    <xf numFmtId="0" fontId="21" fillId="2" borderId="1" xfId="518" applyFont="1" applyFill="1" applyBorder="1" applyAlignment="1">
      <alignment horizontal="center" vertical="center" wrapText="1"/>
      <protection locked="0"/>
    </xf>
    <xf numFmtId="0" fontId="12" fillId="2" borderId="1" xfId="518" applyFont="1" applyFill="1" applyBorder="1" applyAlignment="1">
      <alignment horizontal="center" vertical="center" wrapText="1"/>
      <protection locked="0"/>
    </xf>
    <xf numFmtId="0" fontId="21" fillId="2" borderId="1" xfId="0" applyFont="1" applyFill="1" applyBorder="1" applyAlignment="1" applyProtection="1">
      <alignment vertical="center"/>
    </xf>
    <xf numFmtId="0" fontId="10" fillId="0" borderId="0" xfId="560" applyFont="1" applyBorder="1" applyAlignment="1">
      <alignment horizontal="center" vertical="center"/>
    </xf>
    <xf numFmtId="0" fontId="11" fillId="0" borderId="0" xfId="560" applyFont="1" applyBorder="1" applyAlignment="1">
      <alignment horizontal="center" vertical="center"/>
    </xf>
    <xf numFmtId="0" fontId="19" fillId="0" borderId="0" xfId="0" applyFont="1" applyAlignment="1">
      <alignment horizontal="center" vertical="center"/>
      <protection locked="0"/>
    </xf>
    <xf numFmtId="0" fontId="41" fillId="0" borderId="0" xfId="0" applyFont="1" applyAlignment="1">
      <alignment horizontal="center" vertical="center"/>
      <protection locked="0"/>
    </xf>
    <xf numFmtId="0" fontId="5" fillId="0" borderId="0" xfId="0" applyFont="1" applyAlignment="1">
      <alignment horizontal="center" vertical="center"/>
      <protection locked="0"/>
    </xf>
    <xf numFmtId="0" fontId="3" fillId="0" borderId="0" xfId="0" applyFont="1" applyAlignment="1">
      <alignment horizontal="center" vertical="center"/>
      <protection locked="0"/>
    </xf>
    <xf numFmtId="0" fontId="5" fillId="2" borderId="2" xfId="0" applyFont="1" applyFill="1" applyBorder="1" applyAlignment="1">
      <alignment horizontal="center" vertical="center" wrapText="1"/>
      <protection locked="0"/>
    </xf>
    <xf numFmtId="0" fontId="5" fillId="2" borderId="3" xfId="0" applyFont="1" applyFill="1" applyBorder="1" applyAlignment="1">
      <alignment horizontal="center" vertical="center" wrapText="1"/>
      <protection locked="0"/>
    </xf>
    <xf numFmtId="0" fontId="5" fillId="2" borderId="1" xfId="0" applyFont="1" applyFill="1" applyBorder="1" applyAlignment="1">
      <alignment horizontal="center" vertical="center" wrapText="1"/>
      <protection locked="0"/>
    </xf>
    <xf numFmtId="0" fontId="12" fillId="56" borderId="1" xfId="0" applyFont="1" applyFill="1" applyBorder="1" applyAlignment="1">
      <alignment horizontal="center" vertical="center" wrapText="1"/>
      <protection locked="0"/>
    </xf>
    <xf numFmtId="0" fontId="3" fillId="0" borderId="0" xfId="553" applyFont="1" applyAlignment="1">
      <alignment horizontal="center" vertical="center" wrapText="1"/>
    </xf>
    <xf numFmtId="0" fontId="4" fillId="0" borderId="0" xfId="553" applyFont="1" applyAlignment="1">
      <alignment horizontal="center" vertical="center" wrapText="1"/>
    </xf>
    <xf numFmtId="0" fontId="5" fillId="2" borderId="4" xfId="0" applyFont="1" applyFill="1" applyBorder="1" applyAlignment="1">
      <alignment horizontal="center" vertical="center" wrapText="1"/>
      <protection locked="0"/>
    </xf>
    <xf numFmtId="0" fontId="5" fillId="2" borderId="5" xfId="0" applyFont="1" applyFill="1" applyBorder="1" applyAlignment="1">
      <alignment horizontal="center" vertical="center" wrapText="1"/>
      <protection locked="0"/>
    </xf>
    <xf numFmtId="0" fontId="5" fillId="2" borderId="6" xfId="0" applyFont="1" applyFill="1" applyBorder="1" applyAlignment="1">
      <alignment horizontal="center" vertical="center" wrapText="1"/>
      <protection locked="0"/>
    </xf>
    <xf numFmtId="0" fontId="2" fillId="0" borderId="3" xfId="0" applyFont="1" applyBorder="1" applyAlignment="1">
      <alignment horizontal="center" vertical="center" wrapText="1"/>
      <protection locked="0"/>
    </xf>
    <xf numFmtId="0" fontId="5" fillId="56" borderId="1" xfId="0" applyFont="1" applyFill="1" applyBorder="1" applyAlignment="1">
      <alignment horizontal="center" vertical="center" wrapText="1"/>
      <protection locked="0"/>
    </xf>
    <xf numFmtId="0" fontId="19" fillId="56" borderId="1" xfId="0" applyFont="1" applyFill="1" applyBorder="1" applyAlignment="1">
      <alignment horizontal="center" vertical="center" wrapText="1"/>
      <protection locked="0"/>
    </xf>
    <xf numFmtId="0" fontId="12" fillId="56" borderId="2" xfId="0" applyFont="1" applyFill="1" applyBorder="1" applyAlignment="1">
      <alignment horizontal="center" vertical="center" wrapText="1"/>
      <protection locked="0"/>
    </xf>
    <xf numFmtId="0" fontId="12" fillId="56" borderId="3" xfId="0" applyFont="1" applyFill="1" applyBorder="1" applyAlignment="1">
      <alignment horizontal="center" vertical="center" wrapText="1"/>
      <protection locked="0"/>
    </xf>
    <xf numFmtId="0" fontId="14" fillId="0" borderId="0" xfId="504" applyFont="1" applyAlignment="1" applyProtection="1">
      <alignment horizontal="left" vertical="center" wrapText="1"/>
      <protection locked="0"/>
    </xf>
    <xf numFmtId="0" fontId="9" fillId="0" borderId="0" xfId="504" applyFont="1" applyAlignment="1" applyProtection="1">
      <alignment horizontal="left" vertical="center" wrapText="1"/>
      <protection locked="0"/>
    </xf>
    <xf numFmtId="176" fontId="3" fillId="0" borderId="0" xfId="552" applyFont="1" applyAlignment="1">
      <alignment horizontal="center" vertical="center" wrapText="1"/>
    </xf>
    <xf numFmtId="176" fontId="4" fillId="0" borderId="0" xfId="552" applyFont="1" applyAlignment="1">
      <alignment horizontal="center" vertical="center" wrapText="1"/>
    </xf>
    <xf numFmtId="235" fontId="2" fillId="0" borderId="4" xfId="1" applyNumberFormat="1" applyFont="1" applyBorder="1" applyAlignment="1">
      <alignment horizontal="center" vertical="center"/>
    </xf>
    <xf numFmtId="235" fontId="2" fillId="0" borderId="5" xfId="1" applyNumberFormat="1" applyFont="1" applyBorder="1" applyAlignment="1">
      <alignment horizontal="center" vertical="center"/>
    </xf>
    <xf numFmtId="235" fontId="2" fillId="0" borderId="6" xfId="1" applyNumberFormat="1" applyFont="1" applyBorder="1" applyAlignment="1">
      <alignment horizontal="center" vertical="center"/>
    </xf>
    <xf numFmtId="235" fontId="2" fillId="0" borderId="1" xfId="1" applyNumberFormat="1" applyFont="1" applyBorder="1" applyAlignment="1">
      <alignment horizontal="center" vertical="center"/>
    </xf>
    <xf numFmtId="0" fontId="3" fillId="0" borderId="0" xfId="502" applyFont="1" applyAlignment="1">
      <alignment horizontal="center" vertical="center"/>
      <protection locked="0"/>
    </xf>
    <xf numFmtId="0" fontId="4" fillId="0" borderId="0" xfId="502" applyFont="1" applyAlignment="1">
      <alignment horizontal="center" vertical="center"/>
      <protection locked="0"/>
    </xf>
    <xf numFmtId="0" fontId="10" fillId="0" borderId="0" xfId="551" applyFont="1" applyAlignment="1">
      <alignment horizontal="center" vertical="center" wrapText="1"/>
    </xf>
    <xf numFmtId="0" fontId="11" fillId="0" borderId="0" xfId="551" applyFont="1" applyAlignment="1">
      <alignment horizontal="center" vertical="center" wrapText="1"/>
    </xf>
    <xf numFmtId="176" fontId="2" fillId="2" borderId="1" xfId="516" applyFont="1" applyFill="1" applyBorder="1" applyAlignment="1">
      <alignment horizontal="center" vertical="center"/>
      <protection locked="0"/>
    </xf>
    <xf numFmtId="176" fontId="5" fillId="3" borderId="2" xfId="516" applyFont="1" applyFill="1" applyBorder="1" applyAlignment="1">
      <alignment horizontal="center" vertical="center"/>
      <protection locked="0"/>
    </xf>
    <xf numFmtId="176" fontId="5" fillId="3" borderId="3" xfId="516" applyFont="1" applyFill="1" applyBorder="1" applyAlignment="1">
      <alignment horizontal="center" vertical="center"/>
      <protection locked="0"/>
    </xf>
    <xf numFmtId="176" fontId="5" fillId="3" borderId="1" xfId="516" applyFont="1" applyFill="1" applyBorder="1" applyAlignment="1">
      <alignment horizontal="center" vertical="center"/>
      <protection locked="0"/>
    </xf>
    <xf numFmtId="0" fontId="5" fillId="3" borderId="1" xfId="507" applyFont="1" applyFill="1" applyBorder="1" applyAlignment="1">
      <alignment horizontal="center" vertical="center" wrapText="1"/>
      <protection locked="0"/>
    </xf>
    <xf numFmtId="0" fontId="19" fillId="3" borderId="1" xfId="507" applyFont="1" applyFill="1" applyBorder="1" applyAlignment="1">
      <alignment horizontal="center" vertical="center" wrapText="1"/>
      <protection locked="0"/>
    </xf>
    <xf numFmtId="176" fontId="5" fillId="4" borderId="1" xfId="516" applyFont="1" applyFill="1" applyBorder="1" applyAlignment="1" applyProtection="1">
      <alignment horizontal="center" vertical="center" wrapText="1"/>
    </xf>
    <xf numFmtId="176" fontId="5" fillId="4" borderId="2" xfId="516" applyFont="1" applyFill="1" applyBorder="1" applyAlignment="1" applyProtection="1">
      <alignment horizontal="center" vertical="center" wrapText="1"/>
    </xf>
    <xf numFmtId="176" fontId="5" fillId="4" borderId="3" xfId="516" applyFont="1" applyFill="1" applyBorder="1" applyAlignment="1" applyProtection="1">
      <alignment horizontal="center" vertical="center" wrapText="1"/>
    </xf>
    <xf numFmtId="49" fontId="2" fillId="0" borderId="1" xfId="516" applyNumberFormat="1" applyFont="1" applyBorder="1" applyAlignment="1">
      <alignment horizontal="center" vertical="center"/>
      <protection locked="0"/>
    </xf>
    <xf numFmtId="0" fontId="2" fillId="0" borderId="1" xfId="521" applyNumberFormat="1" applyFont="1" applyBorder="1" applyAlignment="1">
      <alignment horizontal="center" vertical="center"/>
      <protection locked="0"/>
    </xf>
    <xf numFmtId="176" fontId="157" fillId="0" borderId="1" xfId="516" applyBorder="1" applyAlignment="1">
      <alignment horizontal="center"/>
      <protection locked="0"/>
    </xf>
    <xf numFmtId="0" fontId="19" fillId="3" borderId="4" xfId="0" applyFont="1" applyFill="1" applyBorder="1" applyAlignment="1" applyProtection="1">
      <alignment horizontal="center" vertical="center"/>
      <protection locked="0"/>
    </xf>
    <xf numFmtId="0" fontId="19" fillId="3" borderId="5" xfId="0" applyFont="1" applyFill="1" applyBorder="1" applyAlignment="1" applyProtection="1">
      <alignment horizontal="center" vertical="center"/>
      <protection locked="0"/>
    </xf>
    <xf numFmtId="0" fontId="19" fillId="3" borderId="1" xfId="0" applyFont="1" applyFill="1" applyBorder="1" applyAlignment="1" applyProtection="1">
      <alignment horizontal="center" vertical="center"/>
      <protection locked="0"/>
    </xf>
    <xf numFmtId="0" fontId="5" fillId="3" borderId="1" xfId="507" applyFont="1" applyFill="1" applyBorder="1" applyAlignment="1">
      <alignment horizontal="center" vertical="center"/>
      <protection locked="0"/>
    </xf>
    <xf numFmtId="0" fontId="19" fillId="3" borderId="1" xfId="507" applyFont="1" applyFill="1" applyBorder="1" applyAlignment="1">
      <alignment horizontal="center" vertical="center"/>
      <protection locked="0"/>
    </xf>
    <xf numFmtId="0" fontId="5" fillId="3" borderId="2" xfId="507" applyFont="1" applyFill="1" applyBorder="1" applyAlignment="1">
      <alignment horizontal="center" vertical="center"/>
      <protection locked="0"/>
    </xf>
    <xf numFmtId="0" fontId="5" fillId="3" borderId="3" xfId="507" applyFont="1" applyFill="1" applyBorder="1" applyAlignment="1">
      <alignment horizontal="center" vertical="center"/>
      <protection locked="0"/>
    </xf>
  </cellXfs>
  <cellStyles count="677">
    <cellStyle name="_x000a_mouse.drv=lm" xfId="4"/>
    <cellStyle name="%" xfId="5"/>
    <cellStyle name="% 2" xfId="6"/>
    <cellStyle name="?" xfId="7"/>
    <cellStyle name="? 2" xfId="8"/>
    <cellStyle name="??" xfId="9"/>
    <cellStyle name="?? [0]" xfId="10"/>
    <cellStyle name="??_0N-HANDLING " xfId="11"/>
    <cellStyle name="?餡_x000c_k" xfId="12"/>
    <cellStyle name="?餡_x000c_k 2" xfId="13"/>
    <cellStyle name="?餡_x000c_k?_x000d_^" xfId="14"/>
    <cellStyle name="?餡_x000c_k?_x000d_^ 2" xfId="15"/>
    <cellStyle name="?餡_x000c_k?_x000d_^黇_x0001_??_x0007__x0001__x0001_" xfId="16"/>
    <cellStyle name="?餡_x000c_k?_x000d_^黇_x0001_??_x0007__x0001__x0001_ 2" xfId="17"/>
    <cellStyle name="@_text" xfId="18"/>
    <cellStyle name="@_text_子公司附注汇总(房开公司)" xfId="19"/>
    <cellStyle name="_(本部)2006年年报审计PBC表" xfId="20"/>
    <cellStyle name="_07930建造合同" xfId="21"/>
    <cellStyle name="_12月项目部访问及审计-德勤" xfId="22"/>
    <cellStyle name="_2005-08-31审计底稿－李" xfId="23"/>
    <cellStyle name="_2005年工作底稿" xfId="24"/>
    <cellStyle name="_2005年工作底稿_3-2-A1B-银行存款" xfId="25"/>
    <cellStyle name="_2005年工作底稿_3-2-Z17A-固定资产" xfId="26"/>
    <cellStyle name="_2005年工作底稿_Sheet1" xfId="27"/>
    <cellStyle name="_2005审计报表及附注-中国建材股份模板（房屋）" xfId="28"/>
    <cellStyle name="_2005审计报表及附注-中国建材股份模板（房屋） 2" xfId="29"/>
    <cellStyle name="_2006年年报审计PBC表（合并）" xfId="30"/>
    <cellStyle name="_2006年年报审计PBC表-XX" xfId="31"/>
    <cellStyle name="_2006年年报审计PBC表-XXX" xfId="32"/>
    <cellStyle name="_2006年年报审计PBC表-XXX 2" xfId="33"/>
    <cellStyle name="_2006年年报审计PBC表-福州分公司" xfId="34"/>
    <cellStyle name="_2006年年报审计PBC表-云南分公司" xfId="35"/>
    <cellStyle name="_2006年年报审计填报资料" xfId="36"/>
    <cellStyle name="_2006年年报审计填报资料 2" xfId="37"/>
    <cellStyle name="_2007调整分录-鲁佳" xfId="38"/>
    <cellStyle name="_3-2-A22-无形资产" xfId="39"/>
    <cellStyle name="_3-2-A4-应收账款" xfId="40"/>
    <cellStyle name="_A17固定资产" xfId="41"/>
    <cellStyle name="_A23无形资产" xfId="42"/>
    <cellStyle name="_A3应收票据" xfId="43"/>
    <cellStyle name="_A6应收账款" xfId="44"/>
    <cellStyle name="_A6应收账款_3-2-A1B-银行存款" xfId="45"/>
    <cellStyle name="_A6应收账款_3-2-Z17A-固定资产" xfId="46"/>
    <cellStyle name="_A6应收账款_Sheet1" xfId="47"/>
    <cellStyle name="_B10其他未交款" xfId="48"/>
    <cellStyle name="_B13预收账款2005" xfId="49"/>
    <cellStyle name="_B6应付工资" xfId="50"/>
    <cellStyle name="_B7应付福利费" xfId="51"/>
    <cellStyle name="_B9应交税金2005" xfId="52"/>
    <cellStyle name="_Book1" xfId="53"/>
    <cellStyle name="_Book1 2" xfId="54"/>
    <cellStyle name="_CREC(Huo" xfId="55"/>
    <cellStyle name="_D11营业外支出" xfId="56"/>
    <cellStyle name="_D12所得税2005" xfId="57"/>
    <cellStyle name="_D1主营业务收入" xfId="58"/>
    <cellStyle name="_D3主营业务税金及附加" xfId="59"/>
    <cellStyle name="_D4其他业务利润" xfId="60"/>
    <cellStyle name="_ET_STYLE_NoName_00_" xfId="61"/>
    <cellStyle name="_ET_STYLE_NoName_00__2007调整分录-鲁佳" xfId="62"/>
    <cellStyle name="_ET_STYLE_NoName_00__股份本部" xfId="63"/>
    <cellStyle name="_ET_STYLE_NoName_00__股份本部_1" xfId="64"/>
    <cellStyle name="_ET_STYLE_NoName_00__股份本部_3" xfId="65"/>
    <cellStyle name="_ET_STYLE_NoName_00__股份本部_6_股份本部_2" xfId="66"/>
    <cellStyle name="_ET_STYLE_NoName_00__股份本部_7_股份本部_3" xfId="67"/>
    <cellStyle name="_J1000-存货-ZHHG" xfId="68"/>
    <cellStyle name="_PBC审核提示" xfId="69"/>
    <cellStyle name="_PBC审核提示 2" xfId="70"/>
    <cellStyle name="_Sheet1" xfId="71"/>
    <cellStyle name="_宝丽华房地产20051231" xfId="72"/>
    <cellStyle name="_宝丽华房地产20051231 2" xfId="73"/>
    <cellStyle name="_保证金-企业填写部分" xfId="74"/>
    <cellStyle name="_保证金-企业填写部分 2" xfId="75"/>
    <cellStyle name="_北新房屋2004年审-刘" xfId="76"/>
    <cellStyle name="_北新房屋2004年审-刘 2" xfId="77"/>
    <cellStyle name="_北新股份2005年审工作底稿" xfId="78"/>
    <cellStyle name="_北新股份2005年审工作底稿 2" xfId="79"/>
    <cellStyle name="_北新建材关连交易基础表051230（10－12月版）更新稿" xfId="80"/>
    <cellStyle name="_北新建材关连交易基础表051230（10－12月版）更新稿 2" xfId="81"/>
    <cellStyle name="_北新建材-会计报表附注模版" xfId="82"/>
    <cellStyle name="_北新建材-会计报表附注模版 2" xfId="83"/>
    <cellStyle name="_北新龙之星2004年审工作底稿" xfId="84"/>
    <cellStyle name="_北新龙之星2004年审工作底稿 2" xfId="85"/>
    <cellStyle name="_北新物流2005底稿-刘" xfId="86"/>
    <cellStyle name="_北新物流2005底稿-刘 2" xfId="87"/>
    <cellStyle name="_北新置换memo" xfId="88"/>
    <cellStyle name="_北新置换memo 2" xfId="89"/>
    <cellStyle name="_本部其他应收应付年审底稿--鲁佳pb" xfId="90"/>
    <cellStyle name="_存货结转测试" xfId="91"/>
    <cellStyle name="_存货结转测试 2" xfId="92"/>
    <cellStyle name="_存货数量与明细05.12" xfId="93"/>
    <cellStyle name="_存货数量与明细05.12 2" xfId="94"/>
    <cellStyle name="_动力厂2004年审工作底稿-刘" xfId="95"/>
    <cellStyle name="_动力厂2004年审工作底稿-刘 2" xfId="96"/>
    <cellStyle name="_分工" xfId="97"/>
    <cellStyle name="_分工 2" xfId="98"/>
    <cellStyle name="_封面" xfId="99"/>
    <cellStyle name="_工程施工项目现场审计提示" xfId="100"/>
    <cellStyle name="_工程施工项目现场审计提示 2" xfId="101"/>
    <cellStyle name="_公司填表" xfId="102"/>
    <cellStyle name="_公司填表-2005蔡" xfId="103"/>
    <cellStyle name="_公司填表-2005李志刚" xfId="104"/>
    <cellStyle name="_公司填表2005-吴" xfId="105"/>
    <cellStyle name="_公司填表2005-吴_3-2-A1B-银行存款" xfId="106"/>
    <cellStyle name="_公司填表2005-吴_3-2-Z17A-固定资产" xfId="107"/>
    <cellStyle name="_公司填表2005-吴_Sheet1" xfId="108"/>
    <cellStyle name="_公司填表2005-修改" xfId="109"/>
    <cellStyle name="_公司填表2005-修改_3-2-A1B-银行存款" xfId="110"/>
    <cellStyle name="_公司填表2005-修改_3-2-Z17A-固定资产" xfId="111"/>
    <cellStyle name="_公司填表2005-修改_Sheet1" xfId="112"/>
    <cellStyle name="_公司填表2005-修改后" xfId="113"/>
    <cellStyle name="_公司填表2005-修改后_3-2-A1B-银行存款" xfId="114"/>
    <cellStyle name="_公司填表2005-修改后_3-2-Z17A-固定资产" xfId="115"/>
    <cellStyle name="_公司填表2005-修改后_Sheet1" xfId="116"/>
    <cellStyle name="_公司填表-2005杨" xfId="117"/>
    <cellStyle name="_关联交易" xfId="118"/>
    <cellStyle name="_关联交易 2" xfId="119"/>
    <cellStyle name="_关联交易、往来统计表" xfId="120"/>
    <cellStyle name="_关联交易、往来统计表 2" xfId="121"/>
    <cellStyle name="_合并报表审计调整模板(CREC)" xfId="122"/>
    <cellStyle name="_合并公司2006年度科目明细表(定稿)" xfId="123"/>
    <cellStyle name="_建造合同-宜万指（正式版）" xfId="124"/>
    <cellStyle name="_建造合同-宜万指（正式版） 2" xfId="125"/>
    <cellStyle name="_科目核对表" xfId="126"/>
    <cellStyle name="_科目核对表 2" xfId="127"/>
    <cellStyle name="_刘青分工填列信息统计" xfId="128"/>
    <cellStyle name="_刘青分工－子公司审计模板-电务" xfId="129"/>
    <cellStyle name="_刘青分工－子公司审计模板－铁达本部" xfId="130"/>
    <cellStyle name="_母PL" xfId="131"/>
    <cellStyle name="_母PL 2" xfId="132"/>
    <cellStyle name="_母公司底稿-鲁佳" xfId="133"/>
    <cellStyle name="_年审筹资循环资料清单" xfId="134"/>
    <cellStyle name="_凭证抽查-05年" xfId="135"/>
    <cellStyle name="_人员分工备忘录" xfId="136"/>
    <cellStyle name="_人员分工备忘录 2" xfId="137"/>
    <cellStyle name="_审计底稿-轩" xfId="138"/>
    <cellStyle name="_审计所需资料清单－子公司" xfId="139"/>
    <cellStyle name="_审计所需资料清单－子公司 2" xfId="140"/>
    <cellStyle name="_审计提示模版" xfId="141"/>
    <cellStyle name="_审计提示模版-母公司部分" xfId="142"/>
    <cellStyle name="_铁鸿源－刘青分工－子公司审计模板" xfId="143"/>
    <cellStyle name="_兴华审计成本" xfId="144"/>
    <cellStyle name="_岩土长投--急0121报王占学" xfId="145"/>
    <cellStyle name="_一公司建造合同前5名" xfId="146"/>
    <cellStyle name="_一公司建造合同前5名 2" xfId="147"/>
    <cellStyle name="_一公司－刘丰收" xfId="148"/>
    <cellStyle name="_一公司－刘丰收 2" xfId="149"/>
    <cellStyle name="_银行询证函统计－大表" xfId="150"/>
    <cellStyle name="_应收账款账龄--04、05" xfId="151"/>
    <cellStyle name="_长期借款－江阴" xfId="152"/>
    <cellStyle name="_长期借款－江阴 2" xfId="153"/>
    <cellStyle name="_子公司筹资循环－刘青" xfId="154"/>
    <cellStyle name="_子公司审计提示模版-Liufs" xfId="155"/>
    <cellStyle name="_子公司审计提示模版-Liufs 2" xfId="156"/>
    <cellStyle name="_子公司填表" xfId="157"/>
    <cellStyle name="{Comma [0]}" xfId="158"/>
    <cellStyle name="{Comma}" xfId="159"/>
    <cellStyle name="{Date}" xfId="160"/>
    <cellStyle name="{Month}" xfId="161"/>
    <cellStyle name="{Percent}" xfId="162"/>
    <cellStyle name="{Thousand [0]}" xfId="163"/>
    <cellStyle name="{Thousand}" xfId="164"/>
    <cellStyle name="{Z'0000(1 dec)}" xfId="165"/>
    <cellStyle name="{Z'0000(4 dec)}" xfId="166"/>
    <cellStyle name="0%" xfId="167"/>
    <cellStyle name="0,0_x000d__x000a_NA_x000d__x000a_" xfId="168"/>
    <cellStyle name="0.0%" xfId="169"/>
    <cellStyle name="0.00%" xfId="170"/>
    <cellStyle name="00" xfId="171"/>
    <cellStyle name="20% - Accent1" xfId="172"/>
    <cellStyle name="20% - Accent2" xfId="173"/>
    <cellStyle name="20% - Accent3" xfId="174"/>
    <cellStyle name="20% - Accent4" xfId="175"/>
    <cellStyle name="20% - Accent5" xfId="176"/>
    <cellStyle name="20% - Accent6" xfId="177"/>
    <cellStyle name="40% - Accent1" xfId="178"/>
    <cellStyle name="40% - Accent2" xfId="179"/>
    <cellStyle name="40% - Accent3" xfId="180"/>
    <cellStyle name="40% - Accent4" xfId="181"/>
    <cellStyle name="40% - Accent5" xfId="182"/>
    <cellStyle name="40% - Accent6" xfId="183"/>
    <cellStyle name="60% - Accent1" xfId="184"/>
    <cellStyle name="60% - Accent2" xfId="185"/>
    <cellStyle name="60% - Accent3" xfId="186"/>
    <cellStyle name="60% - Accent4" xfId="187"/>
    <cellStyle name="60% - Accent5" xfId="188"/>
    <cellStyle name="60% - Accent6" xfId="189"/>
    <cellStyle name="AA FRAME" xfId="190"/>
    <cellStyle name="AA HEADING" xfId="191"/>
    <cellStyle name="AA INITIALS" xfId="192"/>
    <cellStyle name="AA INPUT" xfId="193"/>
    <cellStyle name="AA LOCK" xfId="194"/>
    <cellStyle name="AA MGR NAME" xfId="195"/>
    <cellStyle name="AA NORMAL" xfId="196"/>
    <cellStyle name="AA NUMBER" xfId="197"/>
    <cellStyle name="AA NUMBER2" xfId="198"/>
    <cellStyle name="AA QUESTION" xfId="199"/>
    <cellStyle name="AA SHADE" xfId="200"/>
    <cellStyle name="Accent1" xfId="201"/>
    <cellStyle name="Accent1 - 20%" xfId="202"/>
    <cellStyle name="Accent1 - 40%" xfId="203"/>
    <cellStyle name="Accent1 - 60%" xfId="204"/>
    <cellStyle name="Accent2" xfId="205"/>
    <cellStyle name="Accent2 - 20%" xfId="206"/>
    <cellStyle name="Accent2 - 40%" xfId="207"/>
    <cellStyle name="Accent2 - 60%" xfId="208"/>
    <cellStyle name="Accent3" xfId="209"/>
    <cellStyle name="Accent3 - 20%" xfId="210"/>
    <cellStyle name="Accent3 - 40%" xfId="211"/>
    <cellStyle name="Accent3 - 60%" xfId="212"/>
    <cellStyle name="Accent4" xfId="213"/>
    <cellStyle name="Accent4 - 20%" xfId="214"/>
    <cellStyle name="Accent4 - 40%" xfId="215"/>
    <cellStyle name="Accent4 - 60%" xfId="216"/>
    <cellStyle name="Accent5" xfId="217"/>
    <cellStyle name="Accent5 - 20%" xfId="218"/>
    <cellStyle name="Accent5 - 40%" xfId="219"/>
    <cellStyle name="Accent5 - 60%" xfId="220"/>
    <cellStyle name="Accent6" xfId="221"/>
    <cellStyle name="Accent6 - 20%" xfId="222"/>
    <cellStyle name="Accent6 - 40%" xfId="223"/>
    <cellStyle name="Accent6 - 60%" xfId="224"/>
    <cellStyle name="args.style" xfId="225"/>
    <cellStyle name="Bad" xfId="226"/>
    <cellStyle name="Black" xfId="227"/>
    <cellStyle name="Border" xfId="228"/>
    <cellStyle name="Calc Currency (0)" xfId="229"/>
    <cellStyle name="Calc Currency (2)" xfId="230"/>
    <cellStyle name="Calc Percent (0)" xfId="231"/>
    <cellStyle name="Calc Percent (1)" xfId="232"/>
    <cellStyle name="Calc Percent (2)" xfId="233"/>
    <cellStyle name="Calc Units (0)" xfId="234"/>
    <cellStyle name="Calc Units (1)" xfId="235"/>
    <cellStyle name="Calc Units (2)" xfId="236"/>
    <cellStyle name="Calculation" xfId="237"/>
    <cellStyle name="category" xfId="238"/>
    <cellStyle name="Check Cell" xfId="239"/>
    <cellStyle name="Col Heads" xfId="240"/>
    <cellStyle name="Column_Title" xfId="241"/>
    <cellStyle name="Comma  - Style1" xfId="242"/>
    <cellStyle name="Comma  - Style2" xfId="243"/>
    <cellStyle name="Comma  - Style3" xfId="244"/>
    <cellStyle name="Comma  - Style4" xfId="245"/>
    <cellStyle name="Comma  - Style5" xfId="246"/>
    <cellStyle name="Comma  - Style6" xfId="247"/>
    <cellStyle name="Comma  - Style7" xfId="248"/>
    <cellStyle name="Comma  - Style8" xfId="249"/>
    <cellStyle name="Comma [0]" xfId="250"/>
    <cellStyle name="Comma [00]" xfId="251"/>
    <cellStyle name="Comma 28" xfId="252"/>
    <cellStyle name="comma zerodec" xfId="253"/>
    <cellStyle name="Comma,0" xfId="254"/>
    <cellStyle name="Comma,1" xfId="255"/>
    <cellStyle name="Comma,2" xfId="256"/>
    <cellStyle name="Comma_ rislugp" xfId="257"/>
    <cellStyle name="Copied" xfId="258"/>
    <cellStyle name="COST1" xfId="259"/>
    <cellStyle name="Currency [0]" xfId="260"/>
    <cellStyle name="Currency [00]" xfId="261"/>
    <cellStyle name="Currency,0" xfId="262"/>
    <cellStyle name="Currency,2" xfId="263"/>
    <cellStyle name="Currency_ rislugp" xfId="264"/>
    <cellStyle name="Currency1" xfId="265"/>
    <cellStyle name="Date" xfId="266"/>
    <cellStyle name="Date 2" xfId="267"/>
    <cellStyle name="Date Short" xfId="268"/>
    <cellStyle name="Date_ A1-货币资金审定表" xfId="269"/>
    <cellStyle name="Dezimal [0]_laroux" xfId="270"/>
    <cellStyle name="Dezimal_laroux" xfId="271"/>
    <cellStyle name="Dollar (zero dec)" xfId="272"/>
    <cellStyle name="E&amp;Y House" xfId="273"/>
    <cellStyle name="Enter Currency (0)" xfId="274"/>
    <cellStyle name="Enter Currency (2)" xfId="275"/>
    <cellStyle name="Enter Units (0)" xfId="276"/>
    <cellStyle name="Enter Units (1)" xfId="277"/>
    <cellStyle name="Enter Units (2)" xfId="278"/>
    <cellStyle name="Entered" xfId="279"/>
    <cellStyle name="entry" xfId="280"/>
    <cellStyle name="entry 2" xfId="281"/>
    <cellStyle name="entry box" xfId="282"/>
    <cellStyle name="entry box 2" xfId="283"/>
    <cellStyle name="Euro" xfId="284"/>
    <cellStyle name="Explanatory Text" xfId="285"/>
    <cellStyle name="F2" xfId="286"/>
    <cellStyle name="F3" xfId="287"/>
    <cellStyle name="F4" xfId="288"/>
    <cellStyle name="F5" xfId="289"/>
    <cellStyle name="F6" xfId="290"/>
    <cellStyle name="F7" xfId="291"/>
    <cellStyle name="F8" xfId="292"/>
    <cellStyle name="Fixed" xfId="293"/>
    <cellStyle name="Followed Hyperlink_AheadBehind.xls Chart 23" xfId="294"/>
    <cellStyle name="Good" xfId="295"/>
    <cellStyle name="Grey" xfId="296"/>
    <cellStyle name="HEADER" xfId="297"/>
    <cellStyle name="Header1" xfId="298"/>
    <cellStyle name="Header1 2" xfId="299"/>
    <cellStyle name="Header2" xfId="300"/>
    <cellStyle name="Header2 2" xfId="301"/>
    <cellStyle name="Heading" xfId="302"/>
    <cellStyle name="Heading 1" xfId="303"/>
    <cellStyle name="Heading 2" xfId="304"/>
    <cellStyle name="Heading 3" xfId="305"/>
    <cellStyle name="Heading 4" xfId="306"/>
    <cellStyle name="Heading1" xfId="307"/>
    <cellStyle name="Heading2" xfId="308"/>
    <cellStyle name="Hyperlink_AheadBehind.xls Chart 23" xfId="309"/>
    <cellStyle name="Input" xfId="310"/>
    <cellStyle name="Input [yellow]" xfId="311"/>
    <cellStyle name="Input Cells" xfId="312"/>
    <cellStyle name="Input Cells 2" xfId="313"/>
    <cellStyle name="left" xfId="314"/>
    <cellStyle name="left 2" xfId="315"/>
    <cellStyle name="Link Currency (0)" xfId="316"/>
    <cellStyle name="Link Currency (2)" xfId="317"/>
    <cellStyle name="Link Units (0)" xfId="318"/>
    <cellStyle name="Link Units (1)" xfId="319"/>
    <cellStyle name="Link Units (2)" xfId="320"/>
    <cellStyle name="Linked Cell" xfId="321"/>
    <cellStyle name="Linked Cells" xfId="322"/>
    <cellStyle name="Linked Cells 2" xfId="323"/>
    <cellStyle name="Millares [0]_laroux" xfId="324"/>
    <cellStyle name="Millares_laroux" xfId="325"/>
    <cellStyle name="Milliers [0]_!!!GO" xfId="326"/>
    <cellStyle name="Milliers_!!!GO" xfId="327"/>
    <cellStyle name="Model" xfId="328"/>
    <cellStyle name="Moneda [0]_laroux" xfId="329"/>
    <cellStyle name="Moneda_laroux" xfId="330"/>
    <cellStyle name="Monétaire [0]_!!!GO" xfId="331"/>
    <cellStyle name="Monétaire_!!!GO" xfId="332"/>
    <cellStyle name="Mon閠aire [0]_laroux" xfId="333"/>
    <cellStyle name="Mon閠aire_laroux" xfId="334"/>
    <cellStyle name="Neutral" xfId="335"/>
    <cellStyle name="New Times Roman" xfId="336"/>
    <cellStyle name="no dec" xfId="337"/>
    <cellStyle name="Non défini" xfId="338"/>
    <cellStyle name="Normal - Style1" xfId="339"/>
    <cellStyle name="Normal 2" xfId="340"/>
    <cellStyle name="Normal 2 2" xfId="341"/>
    <cellStyle name="Normal 21" xfId="342"/>
    <cellStyle name="Normal 3 2" xfId="343"/>
    <cellStyle name="Normal_ rislugp" xfId="344"/>
    <cellStyle name="Normalny_Arkusz1" xfId="345"/>
    <cellStyle name="Note" xfId="346"/>
    <cellStyle name="Œ…‹æØ‚è [0.00]_Region Orders (2)" xfId="347"/>
    <cellStyle name="Œ…‹æØ‚è_Region Orders (2)" xfId="348"/>
    <cellStyle name="Output" xfId="349"/>
    <cellStyle name="per.style" xfId="350"/>
    <cellStyle name="Percent (0)" xfId="351"/>
    <cellStyle name="Percent [0]" xfId="352"/>
    <cellStyle name="Percent [00]" xfId="353"/>
    <cellStyle name="Percent [2]" xfId="354"/>
    <cellStyle name="Percent_!!!GO" xfId="355"/>
    <cellStyle name="Pourcentage_pldt" xfId="356"/>
    <cellStyle name="Prefilled" xfId="357"/>
    <cellStyle name="Prefilled 2" xfId="358"/>
    <cellStyle name="PrePop Currency (0)" xfId="359"/>
    <cellStyle name="PrePop Currency (2)" xfId="360"/>
    <cellStyle name="PrePop Units (0)" xfId="361"/>
    <cellStyle name="PrePop Units (1)" xfId="362"/>
    <cellStyle name="PrePop Units (2)" xfId="363"/>
    <cellStyle name="price" xfId="364"/>
    <cellStyle name="pricing" xfId="365"/>
    <cellStyle name="pricing 2" xfId="366"/>
    <cellStyle name="PSChar" xfId="367"/>
    <cellStyle name="PSHeading" xfId="368"/>
    <cellStyle name="Red" xfId="369"/>
    <cellStyle name="revised" xfId="370"/>
    <cellStyle name="RevList" xfId="371"/>
    <cellStyle name="RevList 2" xfId="372"/>
    <cellStyle name="row_def_array" xfId="373"/>
    <cellStyle name="S4" xfId="374"/>
    <cellStyle name="S5" xfId="375"/>
    <cellStyle name="SAPBEXaggData" xfId="376"/>
    <cellStyle name="SAPBEXaggDataEmph" xfId="377"/>
    <cellStyle name="SAPBEXaggItem" xfId="378"/>
    <cellStyle name="SAPBEXaggItemX" xfId="379"/>
    <cellStyle name="SAPBEXchaText" xfId="380"/>
    <cellStyle name="SAPBEXexcBad7" xfId="381"/>
    <cellStyle name="SAPBEXexcBad8" xfId="382"/>
    <cellStyle name="SAPBEXexcBad9" xfId="383"/>
    <cellStyle name="SAPBEXexcCritical4" xfId="384"/>
    <cellStyle name="SAPBEXexcCritical5" xfId="385"/>
    <cellStyle name="SAPBEXexcCritical6" xfId="386"/>
    <cellStyle name="SAPBEXexcGood1" xfId="387"/>
    <cellStyle name="SAPBEXexcGood2" xfId="388"/>
    <cellStyle name="SAPBEXexcGood3" xfId="389"/>
    <cellStyle name="SAPBEXfilterDrill" xfId="390"/>
    <cellStyle name="SAPBEXfilterItem" xfId="391"/>
    <cellStyle name="SAPBEXfilterText" xfId="392"/>
    <cellStyle name="SAPBEXformats" xfId="393"/>
    <cellStyle name="SAPBEXheaderItem" xfId="394"/>
    <cellStyle name="SAPBEXheaderText" xfId="395"/>
    <cellStyle name="SAPBEXHLevel0" xfId="396"/>
    <cellStyle name="SAPBEXHLevel0X" xfId="397"/>
    <cellStyle name="SAPBEXHLevel1" xfId="398"/>
    <cellStyle name="SAPBEXHLevel1X" xfId="399"/>
    <cellStyle name="SAPBEXHLevel2" xfId="400"/>
    <cellStyle name="SAPBEXHLevel2X" xfId="401"/>
    <cellStyle name="SAPBEXHLevel3" xfId="402"/>
    <cellStyle name="SAPBEXHLevel3X" xfId="403"/>
    <cellStyle name="SAPBEXresData" xfId="404"/>
    <cellStyle name="SAPBEXresDataEmph" xfId="405"/>
    <cellStyle name="SAPBEXresItem" xfId="406"/>
    <cellStyle name="SAPBEXresItemX" xfId="407"/>
    <cellStyle name="SAPBEXstdData" xfId="408"/>
    <cellStyle name="SAPBEXstdDataEmph" xfId="409"/>
    <cellStyle name="SAPBEXstdItem" xfId="410"/>
    <cellStyle name="SAPBEXstdItemX" xfId="411"/>
    <cellStyle name="SAPBEXtitle" xfId="412"/>
    <cellStyle name="SAPBEXundefined" xfId="413"/>
    <cellStyle name="section" xfId="414"/>
    <cellStyle name="section 2" xfId="415"/>
    <cellStyle name="SOR" xfId="416"/>
    <cellStyle name="Standard_AREAS" xfId="417"/>
    <cellStyle name="style" xfId="418"/>
    <cellStyle name="style 2" xfId="419"/>
    <cellStyle name="style1" xfId="420"/>
    <cellStyle name="style1 2" xfId="421"/>
    <cellStyle name="style2" xfId="422"/>
    <cellStyle name="style2 2" xfId="423"/>
    <cellStyle name="subhead" xfId="424"/>
    <cellStyle name="Subtotal" xfId="425"/>
    <cellStyle name="Text Indent A" xfId="426"/>
    <cellStyle name="Text Indent B" xfId="427"/>
    <cellStyle name="Text Indent C" xfId="428"/>
    <cellStyle name="Tickmark" xfId="429"/>
    <cellStyle name="Tickmark 2" xfId="430"/>
    <cellStyle name="title" xfId="431"/>
    <cellStyle name="title 2" xfId="432"/>
    <cellStyle name="Total" xfId="433"/>
    <cellStyle name="Tusental (0)_pldt" xfId="434"/>
    <cellStyle name="Tusental_pldt" xfId="435"/>
    <cellStyle name="Valuta (0)_pldt" xfId="436"/>
    <cellStyle name="Valuta_pldt" xfId="437"/>
    <cellStyle name="Warning Text" xfId="438"/>
    <cellStyle name="wrap" xfId="439"/>
    <cellStyle name="wrap 2" xfId="440"/>
    <cellStyle name="パーセント_laroux" xfId="441"/>
    <cellStyle name="_PLDT" xfId="442"/>
    <cellStyle name="_laroux" xfId="443"/>
    <cellStyle name="だ[0]_PLDT" xfId="444"/>
    <cellStyle name="だ_PLDT" xfId="445"/>
    <cellStyle name="だ[0]_Total (2)" xfId="446"/>
    <cellStyle name="だ_laroux" xfId="447"/>
    <cellStyle name="百分比" xfId="2" builtinId="5"/>
    <cellStyle name="百分比 2" xfId="448"/>
    <cellStyle name="百分比 2 2" xfId="449"/>
    <cellStyle name="百分比 3" xfId="450"/>
    <cellStyle name="百分比 9" xfId="451"/>
    <cellStyle name="捠壿 [0.00]_PRODUCT DETAIL Q1" xfId="452"/>
    <cellStyle name="捠壿_PRODUCT DETAIL Q1" xfId="453"/>
    <cellStyle name="標準_１１月価格表" xfId="454"/>
    <cellStyle name="表标题" xfId="455"/>
    <cellStyle name="差_10存货" xfId="456"/>
    <cellStyle name="差_19-无形资产（空白模板）" xfId="457"/>
    <cellStyle name="差_2-交易性金融资产（空白模板）" xfId="458"/>
    <cellStyle name="差_2应收账款" xfId="459"/>
    <cellStyle name="差_3-2 进一步审计程序-采购与付款循环" xfId="460"/>
    <cellStyle name="差_3-3 进一步审计程序-存货与生产循环" xfId="461"/>
    <cellStyle name="差_37-长期借款（空白模板）" xfId="462"/>
    <cellStyle name="差_49-营业收入（空白模板）" xfId="463"/>
    <cellStyle name="差_4-应收账款（空白模板）" xfId="464"/>
    <cellStyle name="差_50-营业成本（空白模板）" xfId="465"/>
    <cellStyle name="差_51-营业税金及附加（空白模板）" xfId="466"/>
    <cellStyle name="差_54-财务费用（空白模板）" xfId="467"/>
    <cellStyle name="差_55-资产减值损失（空白模板）" xfId="468"/>
    <cellStyle name="差_9管理费用" xfId="469"/>
    <cellStyle name="差_Book2" xfId="470"/>
    <cellStyle name="差_dxn底稿目录" xfId="471"/>
    <cellStyle name="差_Sheet1" xfId="472"/>
    <cellStyle name="差_StartUp" xfId="473"/>
    <cellStyle name="差_T1000-主营业务收入-LJCH" xfId="474"/>
    <cellStyle name="差_Z14-长期应收款（函证汇总表样本）" xfId="475"/>
    <cellStyle name="差_ZA0货币资金审定表 " xfId="476"/>
    <cellStyle name="差_财务费用" xfId="477"/>
    <cellStyle name="差_程序表模版" xfId="478"/>
    <cellStyle name="差_存货" xfId="479"/>
    <cellStyle name="差_大信底稿目录" xfId="480"/>
    <cellStyle name="差_底稿设置宏" xfId="481"/>
    <cellStyle name="差_管理费用" xfId="482"/>
    <cellStyle name="差_货币资金" xfId="483"/>
    <cellStyle name="差_货币资金 天职" xfId="484"/>
    <cellStyle name="差_货币资金 岳华" xfId="485"/>
    <cellStyle name="差_其他应付款" xfId="486"/>
    <cellStyle name="差_其他应付款—YH" xfId="487"/>
    <cellStyle name="差_未分配利润" xfId="488"/>
    <cellStyle name="差_无形资产" xfId="489"/>
    <cellStyle name="差_应付账款" xfId="490"/>
    <cellStyle name="差_应付职工薪酬" xfId="491"/>
    <cellStyle name="差_应收账款" xfId="492"/>
    <cellStyle name="差_盈余公积" xfId="493"/>
    <cellStyle name="差_长期应付款" xfId="494"/>
    <cellStyle name="差_账项明细表" xfId="495"/>
    <cellStyle name="差_资本公积" xfId="496"/>
    <cellStyle name="差_资产负债标准底稿" xfId="497"/>
    <cellStyle name="差_资产负债类底稿模版" xfId="498"/>
    <cellStyle name="差_子公司附注汇总(房开公司)" xfId="499"/>
    <cellStyle name="常规" xfId="0" builtinId="0"/>
    <cellStyle name="常规 10" xfId="500"/>
    <cellStyle name="常规 11 5" xfId="675"/>
    <cellStyle name="常规 13" xfId="501"/>
    <cellStyle name="常规 2" xfId="502"/>
    <cellStyle name="常规 2 10 2" xfId="503"/>
    <cellStyle name="常规 2 2" xfId="504"/>
    <cellStyle name="常规 2 2 2" xfId="505"/>
    <cellStyle name="常规 2 2 3" xfId="506"/>
    <cellStyle name="常规 2 2 3 2" xfId="507"/>
    <cellStyle name="常规 2 2 4" xfId="508"/>
    <cellStyle name="常规 2 3" xfId="509"/>
    <cellStyle name="常规 2 3 2" xfId="510"/>
    <cellStyle name="常规 2 3 3" xfId="511"/>
    <cellStyle name="常规 2 4" xfId="512"/>
    <cellStyle name="常规 2 4 3" xfId="676"/>
    <cellStyle name="常规 2 5" xfId="513"/>
    <cellStyle name="常规 2 7" xfId="514"/>
    <cellStyle name="常规 2 8" xfId="515"/>
    <cellStyle name="常规 2 8 2" xfId="516"/>
    <cellStyle name="常规 2_10存货" xfId="517"/>
    <cellStyle name="常规 3" xfId="518"/>
    <cellStyle name="常规 3 2" xfId="519"/>
    <cellStyle name="常规 3 2 2" xfId="520"/>
    <cellStyle name="常规 3 2 3" xfId="521"/>
    <cellStyle name="常规 3 3" xfId="522"/>
    <cellStyle name="常规 3 4" xfId="523"/>
    <cellStyle name="常规 3_10存货" xfId="524"/>
    <cellStyle name="常规 33" xfId="525"/>
    <cellStyle name="常规 4" xfId="526"/>
    <cellStyle name="常规 4 2" xfId="527"/>
    <cellStyle name="常规 4 3" xfId="528"/>
    <cellStyle name="常规 5" xfId="529"/>
    <cellStyle name="常规 5 2" xfId="530"/>
    <cellStyle name="常规 5 3" xfId="531"/>
    <cellStyle name="常规 6" xfId="532"/>
    <cellStyle name="常规 6 2" xfId="533"/>
    <cellStyle name="常规 6 2 2" xfId="534"/>
    <cellStyle name="常规 6 2 3" xfId="535"/>
    <cellStyle name="常规 6 3" xfId="536"/>
    <cellStyle name="常规 6 3 2" xfId="537"/>
    <cellStyle name="常规 6 3 2 2" xfId="538"/>
    <cellStyle name="常规 6 3 3" xfId="539"/>
    <cellStyle name="常规 6 4" xfId="540"/>
    <cellStyle name="常规 6 4 2" xfId="541"/>
    <cellStyle name="常规 6 5" xfId="542"/>
    <cellStyle name="常规 6 6" xfId="543"/>
    <cellStyle name="常规 7" xfId="544"/>
    <cellStyle name="常规 7 2" xfId="545"/>
    <cellStyle name="常规 7 2 2" xfId="546"/>
    <cellStyle name="常规 7 3" xfId="547"/>
    <cellStyle name="常规 7 4" xfId="548"/>
    <cellStyle name="常规 8" xfId="549"/>
    <cellStyle name="常规 9" xfId="550"/>
    <cellStyle name="常规_2-1项目审定表－模板" xfId="551"/>
    <cellStyle name="常规_2-1项目审定表－模板 2" xfId="552"/>
    <cellStyle name="常规_Book1" xfId="553"/>
    <cellStyle name="常规_Book1 2" xfId="554"/>
    <cellStyle name="常规_sheet" xfId="555"/>
    <cellStyle name="常规_ZD－应收账款" xfId="556"/>
    <cellStyle name="常规_进一步审计程序--销售与收款循环" xfId="557"/>
    <cellStyle name="常规_进一步审计程序--销售与收款循环 2" xfId="558"/>
    <cellStyle name="常规_进一步审计程序--销售与收款循环 3" xfId="559"/>
    <cellStyle name="常规_新审定表" xfId="560"/>
    <cellStyle name="常规_新审定表 2" xfId="561"/>
    <cellStyle name="常规_制造费用" xfId="562"/>
    <cellStyle name="超级链接_A4应收账款" xfId="563"/>
    <cellStyle name="超链接" xfId="3" builtinId="8"/>
    <cellStyle name="超链接 2" xfId="564"/>
    <cellStyle name="超链接 2 2" xfId="565"/>
    <cellStyle name="超链接 2 3" xfId="566"/>
    <cellStyle name="超链接 3" xfId="567"/>
    <cellStyle name="分级显示行_1_4附件二凯旋评估表" xfId="568"/>
    <cellStyle name="好_10存货" xfId="569"/>
    <cellStyle name="好_19-无形资产（空白模板）" xfId="570"/>
    <cellStyle name="好_1财务费用" xfId="571"/>
    <cellStyle name="好_1营业收入" xfId="572"/>
    <cellStyle name="好_1资产减值损失" xfId="573"/>
    <cellStyle name="好_2-交易性金融资产（空白模板）" xfId="574"/>
    <cellStyle name="好_2应收账款" xfId="575"/>
    <cellStyle name="好_3-2 进一步审计程序-采购与付款循环" xfId="576"/>
    <cellStyle name="好_3-3 进一步审计程序-存货与生产循环" xfId="577"/>
    <cellStyle name="好_37-长期借款（空白模板）" xfId="578"/>
    <cellStyle name="好_49-营业收入（空白模板）" xfId="579"/>
    <cellStyle name="好_4-应收账款（空白模板）" xfId="580"/>
    <cellStyle name="好_50-营业成本（空白模板）" xfId="581"/>
    <cellStyle name="好_51-营业税金及附加（空白模板）" xfId="582"/>
    <cellStyle name="好_54-财务费用（空白模板）" xfId="583"/>
    <cellStyle name="好_55-资产减值损失（空白模板）" xfId="584"/>
    <cellStyle name="好_9管理费用" xfId="585"/>
    <cellStyle name="好_Book2" xfId="586"/>
    <cellStyle name="好_Sheet1" xfId="587"/>
    <cellStyle name="好_StartUp" xfId="588"/>
    <cellStyle name="好_T1000-主营业务收入" xfId="589"/>
    <cellStyle name="好_Z14-长期应收款（函证汇总表样本）" xfId="590"/>
    <cellStyle name="好_ZA0货币资金审定表 " xfId="591"/>
    <cellStyle name="好_财务费用" xfId="592"/>
    <cellStyle name="好_程序表模版" xfId="593"/>
    <cellStyle name="好_存货" xfId="594"/>
    <cellStyle name="好_存货 - 复制" xfId="595"/>
    <cellStyle name="好_大信底稿目录" xfId="596"/>
    <cellStyle name="好_底稿设置宏" xfId="597"/>
    <cellStyle name="好_底稿设置宏_大信底稿目录" xfId="598"/>
    <cellStyle name="好_管理费用" xfId="599"/>
    <cellStyle name="好_货币资金" xfId="600"/>
    <cellStyle name="好_货币资金 天职" xfId="601"/>
    <cellStyle name="好_货币资金 岳华" xfId="602"/>
    <cellStyle name="好_其他应付款" xfId="603"/>
    <cellStyle name="好_其他应付款—YH" xfId="604"/>
    <cellStyle name="好_其他应收款" xfId="605"/>
    <cellStyle name="好_实收资本(股本)" xfId="606"/>
    <cellStyle name="好_未分配利润" xfId="607"/>
    <cellStyle name="好_无形资产" xfId="608"/>
    <cellStyle name="好_银行函证结果汇总表" xfId="609"/>
    <cellStyle name="好_应付债券" xfId="610"/>
    <cellStyle name="好_应付账款" xfId="611"/>
    <cellStyle name="好_应付职工薪酬" xfId="612"/>
    <cellStyle name="好_应收利息" xfId="613"/>
    <cellStyle name="好_应收账款" xfId="614"/>
    <cellStyle name="好_盈余公积" xfId="615"/>
    <cellStyle name="好_营业收入" xfId="616"/>
    <cellStyle name="好_预收款项" xfId="617"/>
    <cellStyle name="好_长期借款—TZ" xfId="618"/>
    <cellStyle name="好_长期应付款" xfId="619"/>
    <cellStyle name="好_账项明细表" xfId="620"/>
    <cellStyle name="好_资本公积" xfId="621"/>
    <cellStyle name="好_资产负债标准底稿" xfId="622"/>
    <cellStyle name="好_资产负债标准底稿_大信底稿目录" xfId="623"/>
    <cellStyle name="好_资产负债类底稿模版" xfId="624"/>
    <cellStyle name="好_资产负债类底稿模版_大信底稿目录" xfId="625"/>
    <cellStyle name="好_资产减值损失" xfId="626"/>
    <cellStyle name="好_子公司附注汇总(房开公司)" xfId="627"/>
    <cellStyle name="桁区切り [0.00]_１１月価格表" xfId="628"/>
    <cellStyle name="桁区切り_１１月価格表" xfId="629"/>
    <cellStyle name="貨幣 [0]_SGV" xfId="630"/>
    <cellStyle name="貨幣_SGV" xfId="631"/>
    <cellStyle name="霓付 [0]_1202" xfId="632"/>
    <cellStyle name="霓付_1202" xfId="633"/>
    <cellStyle name="妞" xfId="634"/>
    <cellStyle name="欧" xfId="635"/>
    <cellStyle name="烹拳 [0]_1202" xfId="636"/>
    <cellStyle name="烹拳_1202" xfId="637"/>
    <cellStyle name="砯刽 [0]_PLDT" xfId="638"/>
    <cellStyle name="砯刽_PLDT" xfId="639"/>
    <cellStyle name="普通_ 白土" xfId="640"/>
    <cellStyle name="千分位[0]_ 白土" xfId="641"/>
    <cellStyle name="千分位_ 白土" xfId="642"/>
    <cellStyle name="千位[0]_ 应交税金审定表" xfId="643"/>
    <cellStyle name="千位_ 应交税金审定表" xfId="644"/>
    <cellStyle name="千位分隔" xfId="1" builtinId="3"/>
    <cellStyle name="千位分隔 2" xfId="645"/>
    <cellStyle name="千位分隔 2 2" xfId="646"/>
    <cellStyle name="千位分隔 2 3" xfId="647"/>
    <cellStyle name="千位分隔 2 7" xfId="648"/>
    <cellStyle name="千位分隔 22" xfId="649"/>
    <cellStyle name="千位分隔 3" xfId="650"/>
    <cellStyle name="千位分隔 3 2" xfId="651"/>
    <cellStyle name="千位分隔 3 3" xfId="652"/>
    <cellStyle name="千位分隔 4" xfId="653"/>
    <cellStyle name="千位分隔 5" xfId="654"/>
    <cellStyle name="千位分隔 6" xfId="655"/>
    <cellStyle name="千位分隔[0] 2" xfId="656"/>
    <cellStyle name="钎霖_(沥焊何巩)岿喊牢盔拌裙" xfId="657"/>
    <cellStyle name="强调 1" xfId="658"/>
    <cellStyle name="强调 2" xfId="659"/>
    <cellStyle name="强调 3" xfId="660"/>
    <cellStyle name="通貨 [0.00]_１１月価格表" xfId="661"/>
    <cellStyle name="通貨_１１月価格表" xfId="662"/>
    <cellStyle name="样式 1" xfId="663"/>
    <cellStyle name="样式 1 2" xfId="664"/>
    <cellStyle name="一般_SGV" xfId="665"/>
    <cellStyle name="昗弨_BOOKSHIP" xfId="666"/>
    <cellStyle name="寘嬫愗傝 [0.00]_PRODUCT DETAIL Q1" xfId="667"/>
    <cellStyle name="寘嬫愗傝_PRODUCT DETAIL Q1" xfId="668"/>
    <cellStyle name="资产" xfId="669"/>
    <cellStyle name="콤마 [0]_BOILER-CO1" xfId="670"/>
    <cellStyle name="콤마_BOILER-CO1" xfId="671"/>
    <cellStyle name="통화 [0]_BOILER-CO1" xfId="672"/>
    <cellStyle name="통화_BOILER-CO1" xfId="673"/>
    <cellStyle name="표준_0N-HANDLING " xfId="674"/>
  </cellStyles>
  <dxfs count="0"/>
  <tableStyles count="0" defaultTableStyle="TableStyleMedium9" defaultPivotStyle="PivotStyleLight16"/>
  <colors>
    <mruColors>
      <color rgb="FFE4DFEC"/>
      <color rgb="FF0000FF"/>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PTC"/>
      <sheetName val="Stock turnove_x0002_"/>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折旧测试2007"/>
      <sheetName val="剥离前"/>
      <sheetName val="Stock turnove_x005f_x0002_"/>
      <sheetName val="中山低值"/>
      <sheetName val="YS02-02"/>
      <sheetName val="主营业务税金及附加Dy"/>
      <sheetName val="应收账款Dy"/>
      <sheetName val="original"/>
      <sheetName val="C_301"/>
      <sheetName val="C_311"/>
      <sheetName val="C_318"/>
      <sheetName val="Sheet1"/>
      <sheetName val="目錄"/>
      <sheetName val="税金汇总"/>
      <sheetName val="1-6yue"/>
      <sheetName val="Worksheet in 8240 COS breakdown"/>
      <sheetName val="余额表"/>
      <sheetName val="09差异分摊计算表"/>
      <sheetName val="08差异分摊计算表"/>
      <sheetName val="材料差异"/>
      <sheetName val="收入明细－按客户"/>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XL4Poppy"/>
      <sheetName val="凤县折旧测算"/>
      <sheetName val="BALANCE SHEET"/>
      <sheetName val="FA-2"/>
      <sheetName val="7-11销售"/>
      <sheetName val="制造费用"/>
      <sheetName val="关联交易-存款"/>
      <sheetName val="报表科目"/>
      <sheetName val="应收账款贷方余额表"/>
      <sheetName val="应收账款借方余额表"/>
      <sheetName val="应收账款余额表"/>
      <sheetName val="试算"/>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应收账款明细分类账2019"/>
      <sheetName val="20年销售出库"/>
      <sheetName val="2-R1619"/>
      <sheetName val="递延所得税资产Dy"/>
      <sheetName val="FIN48 TP Doc"/>
      <sheetName val="应付帐款余额表"/>
      <sheetName val="或有事项"/>
      <sheetName val="关联方交易"/>
      <sheetName val="其他综合收益"/>
      <sheetName val="审定表M4"/>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服务部待报废"/>
      <sheetName val="VAS TB"/>
      <sheetName val="frm销售合同-Sub"/>
    </sheetNames>
    <sheetDataSet>
      <sheetData sheetId="0"/>
      <sheetData sheetId="1" refreshError="1"/>
      <sheetData sheetId="2"/>
      <sheetData sheetId="3"/>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表头"/>
      <sheetName val="PTC"/>
      <sheetName val="资产负债表"/>
      <sheetName val="YS02-02"/>
      <sheetName val="P12 TB SZ"/>
      <sheetName val="B"/>
      <sheetName val="coding"/>
      <sheetName val="基础数据"/>
      <sheetName val="三兴2"/>
      <sheetName val="Toolbox"/>
      <sheetName val="Appendix"/>
      <sheetName val="PRC BS"/>
      <sheetName val="完"/>
      <sheetName val="인사현황(부서)"/>
      <sheetName val="Cover"/>
      <sheetName val="营业费用测试"/>
      <sheetName val="KKKKKKKK"/>
      <sheetName val="管理费用(集团董事会)"/>
      <sheetName val="C_301"/>
      <sheetName val="C_311"/>
      <sheetName val="C_318"/>
      <sheetName val="Sheet1"/>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Sheet120"/>
      <sheetName val="报表11"/>
      <sheetName val="其它业务收入分类"/>
      <sheetName val="壓摸穿燈"/>
      <sheetName val="Rate"/>
      <sheetName val="校验"/>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现调整"/>
      <sheetName val="（附表2）固定资产处理情况表"/>
      <sheetName val="科余表"/>
      <sheetName val="FIRE Parameters"/>
      <sheetName val="瓶差"/>
      <sheetName val="本期毛利"/>
      <sheetName val="余额表数量"/>
      <sheetName val="_Profile"/>
      <sheetName val="Acc1"/>
      <sheetName val="accode"/>
      <sheetName val="基本情况"/>
      <sheetName val="上市1"/>
      <sheetName val="上市2"/>
      <sheetName val="上市3"/>
      <sheetName val="上市4"/>
      <sheetName val="上市5"/>
      <sheetName val="上市6"/>
      <sheetName val="上市7"/>
      <sheetName val="上市8"/>
      <sheetName val="上市9"/>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refreshError="1"/>
      <sheetData sheetId="1319"/>
      <sheetData sheetId="1320"/>
      <sheetData sheetId="1321"/>
      <sheetData sheetId="1322"/>
      <sheetData sheetId="1323"/>
      <sheetData sheetId="1324"/>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企业表一"/>
      <sheetName val="M-5C"/>
      <sheetName val="M-5A"/>
      <sheetName val="资产负债表"/>
      <sheetName val="数量金额总账"/>
      <sheetName val="设备部房屋"/>
      <sheetName val="核算项目余额表"/>
      <sheetName val="完"/>
      <sheetName val="W"/>
      <sheetName val="2004"/>
      <sheetName val="B"/>
      <sheetName val="表头"/>
      <sheetName val="PER SALES ORG"/>
      <sheetName val="1月"/>
      <sheetName val="SW-TEO"/>
      <sheetName val="Detailed Testing"/>
      <sheetName val="银行借款询证"/>
      <sheetName val="余额表"/>
      <sheetName val="本期报表"/>
      <sheetName val="breakdown"/>
      <sheetName val="盈余公积 （合并)"/>
      <sheetName val="Toolbox"/>
      <sheetName val="eqpmad2"/>
      <sheetName val="提足折旧"/>
      <sheetName val="DATA"/>
      <sheetName val="委托加工材料"/>
      <sheetName val="材料采购-入库"/>
      <sheetName val="原材料－其他"/>
      <sheetName val="材料成本差异－运费等"/>
      <sheetName val="邻酮定乙酚发出测试"/>
      <sheetName val="管理费用(集团董事会)"/>
      <sheetName val="Sheet1"/>
      <sheetName val="FS"/>
      <sheetName val="gl"/>
      <sheetName val="Adm"/>
      <sheetName val="sell"/>
      <sheetName val="Fin"/>
      <sheetName val="Erection"/>
      <sheetName val="剥离前"/>
      <sheetName val="XL4Poppy"/>
      <sheetName val="08"/>
      <sheetName val="02"/>
      <sheetName val="03"/>
      <sheetName val="04"/>
      <sheetName val="05"/>
      <sheetName val="06"/>
      <sheetName val="07"/>
      <sheetName val="10"/>
      <sheetName val="09"/>
      <sheetName val="UFPrn20031114182129"/>
      <sheetName val="订单418"/>
      <sheetName val="Collateral"/>
      <sheetName val="Disposition"/>
      <sheetName val="Validation"/>
      <sheetName val="35.1租赁明细"/>
      <sheetName val="中山低值"/>
      <sheetName val="分产品销售收入、成本分析表"/>
      <sheetName val="E1020"/>
      <sheetName val="1月固定资产清单"/>
      <sheetName val="关联方—创斯达"/>
      <sheetName val="关联方—东风汽车"/>
      <sheetName val="ZH1-4其他应收款个别认定"/>
      <sheetName val="ZH1-3应收账款个别认定"/>
      <sheetName val="各单位目标指标"/>
      <sheetName val="新城资金明细"/>
      <sheetName val="申鑫大厦租金明细"/>
      <sheetName val="三林明细"/>
      <sheetName val="东陆明细"/>
      <sheetName val="4-货币资金-现金"/>
      <sheetName val="基础信息"/>
      <sheetName val="XREF"/>
      <sheetName val="A430"/>
      <sheetName val="货币资金审定表"/>
      <sheetName val="balance"/>
      <sheetName val="PRC-BS-SZ"/>
      <sheetName val="A1"/>
      <sheetName val="账面外销"/>
      <sheetName val="销售费用Dy"/>
      <sheetName val="细节测试审计抽样"/>
      <sheetName val="YS02-02"/>
      <sheetName val="短期借款Dy"/>
      <sheetName val="采购订单3名"/>
      <sheetName val="P12 TB SZ"/>
      <sheetName val="选择报表"/>
      <sheetName val="CF附注"/>
      <sheetName val="试算平衡表"/>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科目余额表"/>
      <sheetName val="凭证抽查表 "/>
      <sheetName val="资产减值损失审核表"/>
      <sheetName val="坯布"/>
      <sheetName val="材料"/>
      <sheetName val="外销"/>
      <sheetName val="Summary"/>
      <sheetName val="dghn"/>
      <sheetName val="报表项目"/>
      <sheetName val="01"/>
      <sheetName val="010"/>
      <sheetName val="011"/>
      <sheetName val="012"/>
      <sheetName val="表头（请先填写）"/>
      <sheetName val="调整分录汇总表"/>
      <sheetName val="明细表（账龄）D2-2"/>
      <sheetName val="其他应付款科目余额2005.12.31"/>
      <sheetName val="期末应付帐款明细表"/>
      <sheetName val="期初应付帐款明细表"/>
      <sheetName val="其他应收款－个人借款明细"/>
      <sheetName val="生产成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9"/>
  <sheetViews>
    <sheetView tabSelected="1" zoomScaleNormal="100" zoomScaleSheetLayoutView="100" workbookViewId="0"/>
  </sheetViews>
  <sheetFormatPr defaultColWidth="9" defaultRowHeight="20.100000000000001" customHeight="1"/>
  <cols>
    <col min="1" max="1" width="71.19921875" style="243" customWidth="1"/>
    <col min="2" max="2" width="2" style="243" customWidth="1"/>
    <col min="3" max="3" width="2.09765625" style="243" customWidth="1"/>
    <col min="4" max="4" width="6.09765625" style="243" customWidth="1"/>
    <col min="5" max="5" width="28" style="243" customWidth="1"/>
    <col min="6" max="6" width="10.3984375" style="243" customWidth="1"/>
    <col min="7" max="16384" width="9" style="243"/>
  </cols>
  <sheetData>
    <row r="1" spans="1:8" s="15" customFormat="1" ht="20.100000000000001" customHeight="1">
      <c r="A1" s="28" t="s">
        <v>0</v>
      </c>
    </row>
    <row r="2" spans="1:8" ht="20.100000000000001" customHeight="1">
      <c r="A2" s="276" t="s">
        <v>1</v>
      </c>
      <c r="B2" s="277"/>
      <c r="C2" s="277"/>
      <c r="D2" s="251" t="s">
        <v>2</v>
      </c>
      <c r="E2" s="251" t="s">
        <v>3</v>
      </c>
      <c r="F2" s="251" t="s">
        <v>4</v>
      </c>
      <c r="G2" s="277"/>
      <c r="H2" s="277"/>
    </row>
    <row r="3" spans="1:8" ht="20.100000000000001" customHeight="1">
      <c r="A3" s="285" t="s">
        <v>298</v>
      </c>
      <c r="B3" s="277"/>
      <c r="C3" s="278"/>
      <c r="D3" s="279">
        <v>1</v>
      </c>
      <c r="E3" s="288" t="s">
        <v>5</v>
      </c>
      <c r="F3" s="279" t="s">
        <v>6</v>
      </c>
      <c r="G3" s="277"/>
      <c r="H3" s="280"/>
    </row>
    <row r="4" spans="1:8" ht="20.100000000000001" customHeight="1">
      <c r="A4" s="276" t="s">
        <v>7</v>
      </c>
      <c r="D4" s="279">
        <v>2</v>
      </c>
      <c r="E4" s="288" t="s">
        <v>8</v>
      </c>
      <c r="F4" s="279" t="s">
        <v>9</v>
      </c>
      <c r="H4" s="277"/>
    </row>
    <row r="5" spans="1:8" ht="20.100000000000001" customHeight="1">
      <c r="A5" s="276" t="s">
        <v>10</v>
      </c>
      <c r="D5" s="279">
        <v>3</v>
      </c>
      <c r="E5" s="288" t="s">
        <v>11</v>
      </c>
      <c r="F5" s="279"/>
      <c r="G5" s="281" t="s">
        <v>12</v>
      </c>
    </row>
    <row r="6" spans="1:8" ht="20.100000000000001" customHeight="1">
      <c r="A6" s="276" t="s">
        <v>13</v>
      </c>
      <c r="D6" s="279">
        <v>4</v>
      </c>
      <c r="E6" s="288" t="s">
        <v>14</v>
      </c>
      <c r="F6" s="279"/>
      <c r="G6" s="273" t="s">
        <v>12</v>
      </c>
    </row>
    <row r="7" spans="1:8" ht="20.100000000000001" customHeight="1">
      <c r="A7" s="276" t="s">
        <v>15</v>
      </c>
      <c r="D7" s="279">
        <v>5</v>
      </c>
      <c r="E7" s="288" t="s">
        <v>16</v>
      </c>
      <c r="F7" s="279" t="s">
        <v>17</v>
      </c>
    </row>
    <row r="8" spans="1:8" ht="20.100000000000001" customHeight="1">
      <c r="A8" s="282"/>
      <c r="D8" s="279">
        <v>6</v>
      </c>
      <c r="E8" s="288" t="s">
        <v>18</v>
      </c>
      <c r="F8" s="279" t="s">
        <v>19</v>
      </c>
    </row>
    <row r="9" spans="1:8" ht="20.100000000000001" customHeight="1">
      <c r="A9" s="286" t="s">
        <v>299</v>
      </c>
      <c r="D9" s="279">
        <v>7</v>
      </c>
      <c r="E9" s="288" t="s">
        <v>20</v>
      </c>
      <c r="F9" s="279" t="s">
        <v>21</v>
      </c>
    </row>
    <row r="10" spans="1:8" ht="20.100000000000001" customHeight="1">
      <c r="A10" s="310" t="s">
        <v>300</v>
      </c>
      <c r="D10" s="279">
        <v>8</v>
      </c>
      <c r="E10" s="287" t="s">
        <v>303</v>
      </c>
      <c r="F10" s="279" t="s">
        <v>304</v>
      </c>
    </row>
    <row r="11" spans="1:8" ht="20.100000000000001" customHeight="1">
      <c r="A11" s="310"/>
      <c r="D11" s="279">
        <v>9</v>
      </c>
      <c r="E11" s="287" t="s">
        <v>305</v>
      </c>
      <c r="F11" s="279" t="s">
        <v>306</v>
      </c>
    </row>
    <row r="12" spans="1:8" ht="20.100000000000001" customHeight="1">
      <c r="A12" s="310"/>
      <c r="D12" s="279">
        <v>10</v>
      </c>
      <c r="E12" s="287" t="s">
        <v>307</v>
      </c>
      <c r="F12" s="279" t="s">
        <v>308</v>
      </c>
    </row>
    <row r="13" spans="1:8" ht="20.100000000000001" customHeight="1">
      <c r="A13" s="310"/>
      <c r="D13" s="279">
        <v>11</v>
      </c>
      <c r="E13" s="287" t="s">
        <v>309</v>
      </c>
      <c r="F13" s="279" t="s">
        <v>310</v>
      </c>
    </row>
    <row r="14" spans="1:8" ht="20.100000000000001" customHeight="1">
      <c r="A14" s="310" t="s">
        <v>301</v>
      </c>
      <c r="D14" s="279">
        <v>12</v>
      </c>
      <c r="E14" s="287" t="s">
        <v>316</v>
      </c>
      <c r="F14" s="279" t="s">
        <v>311</v>
      </c>
    </row>
    <row r="15" spans="1:8" ht="20.100000000000001" customHeight="1">
      <c r="A15" s="310"/>
      <c r="D15" s="279">
        <v>13</v>
      </c>
      <c r="E15" s="287" t="s">
        <v>312</v>
      </c>
      <c r="F15" s="279" t="s">
        <v>313</v>
      </c>
    </row>
    <row r="16" spans="1:8" ht="20.100000000000001" customHeight="1">
      <c r="A16" s="310"/>
      <c r="D16" s="279">
        <v>14</v>
      </c>
      <c r="E16" s="287" t="s">
        <v>314</v>
      </c>
      <c r="F16" s="279" t="s">
        <v>315</v>
      </c>
    </row>
    <row r="17" spans="1:6" ht="20.100000000000001" customHeight="1">
      <c r="A17" s="311" t="s">
        <v>302</v>
      </c>
      <c r="D17" s="279">
        <v>15</v>
      </c>
      <c r="E17" s="288" t="s">
        <v>26</v>
      </c>
      <c r="F17" s="279" t="s">
        <v>23</v>
      </c>
    </row>
    <row r="18" spans="1:6" ht="20.100000000000001" customHeight="1">
      <c r="A18" s="311"/>
      <c r="D18" s="279">
        <v>16</v>
      </c>
      <c r="E18" s="288" t="s">
        <v>24</v>
      </c>
      <c r="F18" s="279" t="s">
        <v>25</v>
      </c>
    </row>
    <row r="19" spans="1:6" ht="20.100000000000001" customHeight="1">
      <c r="A19" s="311"/>
      <c r="D19" s="279">
        <v>17</v>
      </c>
      <c r="E19" s="288" t="s">
        <v>22</v>
      </c>
      <c r="F19" s="279" t="s">
        <v>27</v>
      </c>
    </row>
  </sheetData>
  <mergeCells count="3">
    <mergeCell ref="A10:A13"/>
    <mergeCell ref="A14:A16"/>
    <mergeCell ref="A17:A19"/>
  </mergeCells>
  <phoneticPr fontId="156" type="noConversion"/>
  <hyperlinks>
    <hyperlink ref="E4" location="'审定表D3-1'!A1" display="审定表"/>
    <hyperlink ref="E5" location="'附注披露信息(上市公司)'!A1" display="附注披露信息(上市公司)"/>
    <hyperlink ref="E6" location="'附注披露信息(国企)'!A1" display="附注披露信息(国企)"/>
    <hyperlink ref="E7" location="'预收账款明细表D3-2'!A1" display="预收账款明细表"/>
    <hyperlink ref="E17" location="'账龄1年以上的预收账款检查表D3-5'!A1" display="长账龄预收账款检查表"/>
    <hyperlink ref="E3" location="预收账款实质性程序表D3A!A1" display="预收账款实质性程序表"/>
    <hyperlink ref="E8" location="'调整分录汇总表D3-3'!A1" display="调整分录汇总表"/>
    <hyperlink ref="E9" location="'预收账款分析表D3-4'!Print_Area" display="预收账款分析表"/>
    <hyperlink ref="E19" location="'预收账款检查表D3-7'!A1" display="预收账款检查表"/>
    <hyperlink ref="E18" location="'关联关系及交易检查表D3-6'!A1" display="关联关系及交易检查表"/>
  </hyperlinks>
  <pageMargins left="0.70866141732283505" right="0.70866141732283505" top="0.74803149606299202" bottom="0.74803149606299202" header="0.31496062992126" footer="0.31496062992126"/>
  <pageSetup paperSize="9" scale="70" orientation="portrait" blackAndWhite="1" horizontalDpi="1200" verticalDpi="1200" r:id="rId1"/>
  <headerFooter alignWithMargins="0">
    <oddFooter>&amp;C&amp;P/&amp;N</oddFooter>
  </headerFooter>
  <colBreaks count="1" manualBreakCount="1">
    <brk id="6" max="1048575" man="1"/>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A1:J28"/>
  <sheetViews>
    <sheetView view="pageBreakPreview" zoomScaleNormal="100" workbookViewId="0">
      <selection sqref="A1:I1"/>
    </sheetView>
  </sheetViews>
  <sheetFormatPr defaultColWidth="9" defaultRowHeight="20.100000000000001" customHeight="1"/>
  <cols>
    <col min="1" max="1" width="4.59765625" style="243" customWidth="1"/>
    <col min="2" max="2" width="65.5" style="243" customWidth="1"/>
    <col min="3" max="3" width="9.5" style="243" customWidth="1"/>
    <col min="4" max="4" width="5.19921875" style="243" customWidth="1"/>
    <col min="5" max="5" width="6.3984375" style="243" customWidth="1"/>
    <col min="6" max="6" width="5.8984375" style="243" customWidth="1"/>
    <col min="7" max="7" width="7.5" style="243" customWidth="1"/>
    <col min="8" max="8" width="5.09765625" style="243" customWidth="1"/>
    <col min="9" max="9" width="6.796875" style="243" customWidth="1"/>
    <col min="10" max="10" width="56.69921875" style="243" customWidth="1"/>
    <col min="11" max="16384" width="9" style="243"/>
  </cols>
  <sheetData>
    <row r="1" spans="1:10" ht="20.100000000000001" customHeight="1">
      <c r="A1" s="323" t="s">
        <v>28</v>
      </c>
      <c r="B1" s="323"/>
      <c r="C1" s="323"/>
      <c r="D1" s="323"/>
      <c r="E1" s="323"/>
      <c r="F1" s="323"/>
      <c r="G1" s="323"/>
      <c r="H1" s="323"/>
      <c r="I1" s="323"/>
    </row>
    <row r="2" spans="1:10" ht="20.100000000000001" customHeight="1">
      <c r="A2" s="324" t="s">
        <v>5</v>
      </c>
      <c r="B2" s="324"/>
      <c r="C2" s="324"/>
      <c r="D2" s="324"/>
      <c r="E2" s="324"/>
      <c r="F2" s="324"/>
      <c r="G2" s="324"/>
      <c r="H2" s="324"/>
      <c r="I2" s="324"/>
    </row>
    <row r="3" spans="1:10" ht="20.100000000000001" customHeight="1">
      <c r="A3" s="325" t="str">
        <f>底稿目录!A2</f>
        <v>被审计单位：</v>
      </c>
      <c r="B3" s="325"/>
      <c r="C3" s="15" t="str">
        <f>底稿目录!A4</f>
        <v>编制人：</v>
      </c>
      <c r="D3" s="15"/>
      <c r="E3" s="244" t="str">
        <f>底稿目录!A5</f>
        <v>编制日期：</v>
      </c>
      <c r="G3" s="15"/>
      <c r="H3" s="245" t="s">
        <v>29</v>
      </c>
      <c r="I3" s="309" t="s">
        <v>336</v>
      </c>
    </row>
    <row r="4" spans="1:10" ht="20.100000000000001" customHeight="1">
      <c r="A4" s="325" t="str">
        <f>底稿目录!A3</f>
        <v>截止日：202X年12月31日</v>
      </c>
      <c r="B4" s="325"/>
      <c r="C4" s="15" t="str">
        <f>底稿目录!A6</f>
        <v>复核人：</v>
      </c>
      <c r="D4" s="15"/>
      <c r="E4" s="244" t="str">
        <f>底稿目录!A7</f>
        <v>复核日期：</v>
      </c>
      <c r="G4" s="15"/>
      <c r="H4" s="245" t="s">
        <v>30</v>
      </c>
      <c r="I4" s="198"/>
    </row>
    <row r="5" spans="1:10" ht="20.100000000000001" customHeight="1">
      <c r="A5" s="317" t="s">
        <v>31</v>
      </c>
      <c r="B5" s="317"/>
      <c r="C5" s="246"/>
      <c r="D5" s="246"/>
      <c r="E5" s="246"/>
      <c r="F5" s="247"/>
      <c r="G5" s="246"/>
      <c r="H5" s="246"/>
      <c r="I5" s="271"/>
    </row>
    <row r="6" spans="1:10" ht="20.100000000000001" customHeight="1">
      <c r="A6" s="322" t="s">
        <v>32</v>
      </c>
      <c r="B6" s="322"/>
      <c r="C6" s="322"/>
      <c r="D6" s="248"/>
      <c r="E6" s="248"/>
      <c r="F6" s="248"/>
      <c r="G6" s="248"/>
      <c r="H6" s="248"/>
      <c r="I6" s="248"/>
    </row>
    <row r="7" spans="1:10" ht="20.100000000000001" customHeight="1">
      <c r="A7" s="249" t="s">
        <v>33</v>
      </c>
      <c r="B7" s="249"/>
      <c r="C7" s="250"/>
      <c r="D7" s="15"/>
      <c r="E7" s="15"/>
      <c r="F7" s="244"/>
      <c r="G7" s="15"/>
      <c r="H7" s="15"/>
      <c r="I7" s="28"/>
    </row>
    <row r="8" spans="1:10" ht="19.95" customHeight="1">
      <c r="A8" s="320" t="s">
        <v>34</v>
      </c>
      <c r="B8" s="320"/>
      <c r="C8" s="320"/>
      <c r="D8" s="320"/>
      <c r="E8" s="320"/>
      <c r="F8" s="320"/>
      <c r="G8" s="314" t="s">
        <v>35</v>
      </c>
      <c r="H8" s="314"/>
      <c r="I8" s="314"/>
    </row>
    <row r="9" spans="1:10" ht="19.95" customHeight="1">
      <c r="A9" s="321" t="s">
        <v>36</v>
      </c>
      <c r="B9" s="321"/>
      <c r="C9" s="321"/>
      <c r="D9" s="321"/>
      <c r="E9" s="321"/>
      <c r="F9" s="321"/>
      <c r="G9" s="315" t="s">
        <v>37</v>
      </c>
      <c r="H9" s="315"/>
      <c r="I9" s="315"/>
    </row>
    <row r="10" spans="1:10" ht="19.95" customHeight="1">
      <c r="A10" s="321" t="s">
        <v>38</v>
      </c>
      <c r="B10" s="321"/>
      <c r="C10" s="321"/>
      <c r="D10" s="321"/>
      <c r="E10" s="321"/>
      <c r="F10" s="321"/>
      <c r="G10" s="315" t="s">
        <v>39</v>
      </c>
      <c r="H10" s="315"/>
      <c r="I10" s="315"/>
    </row>
    <row r="11" spans="1:10" ht="19.95" customHeight="1">
      <c r="A11" s="321" t="s">
        <v>40</v>
      </c>
      <c r="B11" s="321"/>
      <c r="C11" s="321"/>
      <c r="D11" s="321"/>
      <c r="E11" s="321"/>
      <c r="F11" s="321"/>
      <c r="G11" s="315" t="s">
        <v>41</v>
      </c>
      <c r="H11" s="315"/>
      <c r="I11" s="315"/>
    </row>
    <row r="12" spans="1:10" ht="19.95" customHeight="1">
      <c r="A12" s="321" t="s">
        <v>42</v>
      </c>
      <c r="B12" s="321"/>
      <c r="C12" s="321"/>
      <c r="D12" s="321"/>
      <c r="E12" s="321"/>
      <c r="F12" s="321"/>
      <c r="G12" s="315" t="s">
        <v>43</v>
      </c>
      <c r="H12" s="315"/>
      <c r="I12" s="315"/>
    </row>
    <row r="13" spans="1:10" ht="19.95" customHeight="1">
      <c r="A13" s="321" t="s">
        <v>44</v>
      </c>
      <c r="B13" s="321"/>
      <c r="C13" s="321"/>
      <c r="D13" s="321"/>
      <c r="E13" s="321"/>
      <c r="F13" s="321"/>
      <c r="G13" s="315" t="s">
        <v>45</v>
      </c>
      <c r="H13" s="315"/>
      <c r="I13" s="315"/>
    </row>
    <row r="14" spans="1:10" ht="20.100000000000001" customHeight="1">
      <c r="A14" s="316" t="s">
        <v>46</v>
      </c>
      <c r="B14" s="317"/>
      <c r="C14" s="250"/>
      <c r="D14" s="15"/>
      <c r="E14" s="15"/>
      <c r="F14" s="244"/>
      <c r="G14" s="15"/>
      <c r="H14" s="15"/>
      <c r="I14" s="28"/>
    </row>
    <row r="15" spans="1:10" ht="20.100000000000001" customHeight="1">
      <c r="A15" s="314" t="s">
        <v>2</v>
      </c>
      <c r="B15" s="319" t="s">
        <v>318</v>
      </c>
      <c r="C15" s="320" t="s">
        <v>47</v>
      </c>
      <c r="D15" s="318" t="s">
        <v>48</v>
      </c>
      <c r="E15" s="318"/>
      <c r="F15" s="318"/>
      <c r="G15" s="318"/>
      <c r="H15" s="318"/>
      <c r="I15" s="312" t="s">
        <v>49</v>
      </c>
    </row>
    <row r="16" spans="1:10" ht="37.5" customHeight="1">
      <c r="A16" s="314"/>
      <c r="B16" s="319"/>
      <c r="C16" s="320"/>
      <c r="D16" s="21" t="s">
        <v>37</v>
      </c>
      <c r="E16" s="21" t="s">
        <v>39</v>
      </c>
      <c r="F16" s="21" t="s">
        <v>41</v>
      </c>
      <c r="G16" s="253" t="s">
        <v>43</v>
      </c>
      <c r="H16" s="21" t="s">
        <v>45</v>
      </c>
      <c r="I16" s="313"/>
      <c r="J16" s="289" t="s">
        <v>317</v>
      </c>
    </row>
    <row r="17" spans="1:10" ht="86.4" customHeight="1">
      <c r="A17" s="254" t="s">
        <v>50</v>
      </c>
      <c r="B17" s="283" t="s">
        <v>291</v>
      </c>
      <c r="C17" s="255" t="s">
        <v>51</v>
      </c>
      <c r="D17" s="256" t="s">
        <v>52</v>
      </c>
      <c r="E17" s="256" t="s">
        <v>52</v>
      </c>
      <c r="F17" s="257"/>
      <c r="G17" s="258" t="s">
        <v>52</v>
      </c>
      <c r="H17" s="257"/>
      <c r="I17" s="35" t="s">
        <v>53</v>
      </c>
    </row>
    <row r="18" spans="1:10" ht="37.799999999999997" customHeight="1">
      <c r="A18" s="254" t="s">
        <v>54</v>
      </c>
      <c r="B18" s="259" t="s">
        <v>55</v>
      </c>
      <c r="C18" s="255" t="s">
        <v>51</v>
      </c>
      <c r="D18" s="260"/>
      <c r="E18" s="261" t="s">
        <v>52</v>
      </c>
      <c r="F18" s="260"/>
      <c r="G18" s="260" t="s">
        <v>52</v>
      </c>
      <c r="H18" s="262"/>
      <c r="I18" s="272" t="s">
        <v>56</v>
      </c>
      <c r="J18" s="290" t="s">
        <v>319</v>
      </c>
    </row>
    <row r="19" spans="1:10" ht="46.5" customHeight="1">
      <c r="A19" s="254" t="s">
        <v>57</v>
      </c>
      <c r="B19" s="263" t="s">
        <v>58</v>
      </c>
      <c r="C19" s="264" t="s">
        <v>59</v>
      </c>
      <c r="D19" s="256" t="s">
        <v>52</v>
      </c>
      <c r="E19" s="258" t="s">
        <v>52</v>
      </c>
      <c r="F19" s="256" t="s">
        <v>52</v>
      </c>
      <c r="G19" s="256" t="s">
        <v>52</v>
      </c>
      <c r="H19" s="265"/>
      <c r="I19" s="35"/>
      <c r="J19" s="291" t="s">
        <v>320</v>
      </c>
    </row>
    <row r="20" spans="1:10" ht="45" customHeight="1">
      <c r="A20" s="254" t="s">
        <v>60</v>
      </c>
      <c r="B20" s="263" t="s">
        <v>61</v>
      </c>
      <c r="C20" s="255" t="s">
        <v>51</v>
      </c>
      <c r="D20" s="258" t="s">
        <v>52</v>
      </c>
      <c r="E20" s="258"/>
      <c r="F20" s="257"/>
      <c r="G20" s="256" t="s">
        <v>52</v>
      </c>
      <c r="H20" s="265"/>
      <c r="I20" s="35" t="s">
        <v>21</v>
      </c>
    </row>
    <row r="21" spans="1:10" ht="150.6" customHeight="1">
      <c r="A21" s="254" t="s">
        <v>62</v>
      </c>
      <c r="B21" s="266" t="s">
        <v>63</v>
      </c>
      <c r="C21" s="255" t="s">
        <v>51</v>
      </c>
      <c r="D21" s="258" t="s">
        <v>52</v>
      </c>
      <c r="E21" s="256" t="s">
        <v>52</v>
      </c>
      <c r="F21" s="258" t="s">
        <v>52</v>
      </c>
      <c r="G21" s="256" t="s">
        <v>52</v>
      </c>
      <c r="H21" s="262"/>
      <c r="I21" s="35" t="s">
        <v>293</v>
      </c>
      <c r="J21" s="273"/>
    </row>
    <row r="22" spans="1:10" ht="29.4" customHeight="1">
      <c r="A22" s="254" t="s">
        <v>68</v>
      </c>
      <c r="B22" s="269" t="s">
        <v>69</v>
      </c>
      <c r="C22" s="255" t="s">
        <v>51</v>
      </c>
      <c r="D22" s="256" t="s">
        <v>52</v>
      </c>
      <c r="E22" s="256"/>
      <c r="F22" s="257"/>
      <c r="G22" s="258" t="s">
        <v>52</v>
      </c>
      <c r="H22" s="262"/>
      <c r="I22" s="35" t="s">
        <v>294</v>
      </c>
    </row>
    <row r="23" spans="1:10" ht="115.2" customHeight="1">
      <c r="A23" s="254" t="s">
        <v>66</v>
      </c>
      <c r="B23" s="268" t="s">
        <v>67</v>
      </c>
      <c r="C23" s="255" t="s">
        <v>51</v>
      </c>
      <c r="D23" s="261" t="s">
        <v>52</v>
      </c>
      <c r="E23" s="260" t="s">
        <v>52</v>
      </c>
      <c r="F23" s="260" t="s">
        <v>52</v>
      </c>
      <c r="G23" s="261" t="s">
        <v>52</v>
      </c>
      <c r="H23" s="260"/>
      <c r="I23" s="274" t="s">
        <v>25</v>
      </c>
    </row>
    <row r="24" spans="1:10" ht="37.5" customHeight="1">
      <c r="A24" s="254" t="s">
        <v>64</v>
      </c>
      <c r="B24" s="267" t="s">
        <v>65</v>
      </c>
      <c r="C24" s="255" t="s">
        <v>51</v>
      </c>
      <c r="D24" s="261" t="s">
        <v>52</v>
      </c>
      <c r="E24" s="262"/>
      <c r="F24" s="260"/>
      <c r="G24" s="260" t="s">
        <v>52</v>
      </c>
      <c r="H24" s="262"/>
      <c r="I24" s="35" t="s">
        <v>295</v>
      </c>
      <c r="J24" s="248"/>
    </row>
    <row r="25" spans="1:10" ht="24" customHeight="1">
      <c r="A25" s="254" t="s">
        <v>70</v>
      </c>
      <c r="B25" s="22" t="s">
        <v>71</v>
      </c>
      <c r="C25" s="255" t="s">
        <v>51</v>
      </c>
      <c r="D25" s="260" t="s">
        <v>52</v>
      </c>
      <c r="E25" s="258" t="s">
        <v>52</v>
      </c>
      <c r="F25" s="260"/>
      <c r="G25" s="261"/>
      <c r="H25" s="260"/>
      <c r="I25" s="35"/>
    </row>
    <row r="26" spans="1:10" ht="69.599999999999994" customHeight="1">
      <c r="A26" s="254" t="s">
        <v>72</v>
      </c>
      <c r="B26" s="22" t="s">
        <v>296</v>
      </c>
      <c r="C26" s="252" t="s">
        <v>73</v>
      </c>
      <c r="D26" s="258" t="s">
        <v>52</v>
      </c>
      <c r="E26" s="258" t="s">
        <v>52</v>
      </c>
      <c r="F26" s="256" t="s">
        <v>52</v>
      </c>
      <c r="G26" s="258" t="s">
        <v>52</v>
      </c>
      <c r="H26" s="260"/>
      <c r="I26" s="35" t="s">
        <v>297</v>
      </c>
      <c r="J26" s="273"/>
    </row>
    <row r="27" spans="1:10" ht="38.4" customHeight="1">
      <c r="A27" s="254" t="s">
        <v>74</v>
      </c>
      <c r="B27" s="265" t="s">
        <v>75</v>
      </c>
      <c r="C27" s="252" t="s">
        <v>73</v>
      </c>
      <c r="D27" s="270"/>
      <c r="E27" s="270"/>
      <c r="F27" s="270"/>
      <c r="G27" s="270"/>
      <c r="H27" s="270"/>
      <c r="I27" s="35"/>
    </row>
    <row r="28" spans="1:10" ht="32.25" customHeight="1">
      <c r="A28" s="254">
        <v>12</v>
      </c>
      <c r="B28" s="22" t="s">
        <v>76</v>
      </c>
      <c r="C28" s="255" t="s">
        <v>51</v>
      </c>
      <c r="D28" s="270"/>
      <c r="E28" s="270"/>
      <c r="F28" s="270"/>
      <c r="G28" s="270"/>
      <c r="H28" s="260" t="s">
        <v>52</v>
      </c>
      <c r="I28" s="275" t="s">
        <v>77</v>
      </c>
    </row>
  </sheetData>
  <mergeCells count="24">
    <mergeCell ref="A1:I1"/>
    <mergeCell ref="A2:I2"/>
    <mergeCell ref="A3:B3"/>
    <mergeCell ref="A4:B4"/>
    <mergeCell ref="A5:B5"/>
    <mergeCell ref="A13:F13"/>
    <mergeCell ref="A10:F10"/>
    <mergeCell ref="A11:F11"/>
    <mergeCell ref="A12:F12"/>
    <mergeCell ref="A6:C6"/>
    <mergeCell ref="A8:F8"/>
    <mergeCell ref="A9:F9"/>
    <mergeCell ref="A14:B14"/>
    <mergeCell ref="D15:H15"/>
    <mergeCell ref="A15:A16"/>
    <mergeCell ref="B15:B16"/>
    <mergeCell ref="C15:C16"/>
    <mergeCell ref="I15:I16"/>
    <mergeCell ref="G8:I8"/>
    <mergeCell ref="G9:I9"/>
    <mergeCell ref="G10:I10"/>
    <mergeCell ref="G11:I11"/>
    <mergeCell ref="G12:I12"/>
    <mergeCell ref="G13:I13"/>
  </mergeCells>
  <phoneticPr fontId="156" type="noConversion"/>
  <hyperlinks>
    <hyperlink ref="I3" location="底稿目录!A1" display="D3A"/>
  </hyperlinks>
  <pageMargins left="0.70866141732283505" right="0.70866141732283505" top="0.74803149606299202" bottom="0.74803149606299202" header="0.31496062992126" footer="0.31496062992126"/>
  <pageSetup paperSize="9" scale="70" orientation="portrait" blackAndWhite="1" horizontalDpi="1200" verticalDpi="1200"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L30"/>
  <sheetViews>
    <sheetView view="pageBreakPreview" zoomScaleNormal="100" workbookViewId="0">
      <selection sqref="A1:L1"/>
    </sheetView>
  </sheetViews>
  <sheetFormatPr defaultColWidth="9" defaultRowHeight="20.100000000000001" customHeight="1"/>
  <cols>
    <col min="1" max="1" width="21.5" style="15" customWidth="1"/>
    <col min="2" max="2" width="11.59765625" style="15" customWidth="1"/>
    <col min="3" max="3" width="9" style="15"/>
    <col min="4" max="4" width="10.19921875" style="15" customWidth="1"/>
    <col min="5" max="5" width="12.5" style="15" customWidth="1"/>
    <col min="6" max="6" width="11.8984375" style="15" customWidth="1"/>
    <col min="7" max="7" width="11.19921875" style="15" customWidth="1"/>
    <col min="8" max="8" width="12.59765625" style="15" customWidth="1"/>
    <col min="9" max="9" width="11.5" style="15" customWidth="1"/>
    <col min="10" max="10" width="11.8984375" style="15" customWidth="1"/>
    <col min="11" max="11" width="8.8984375" style="15" customWidth="1"/>
    <col min="12" max="12" width="11" style="15" customWidth="1"/>
    <col min="13" max="16384" width="9" style="15"/>
  </cols>
  <sheetData>
    <row r="1" spans="1:12" ht="20.100000000000001" customHeight="1">
      <c r="A1" s="334" t="s">
        <v>28</v>
      </c>
      <c r="B1" s="334"/>
      <c r="C1" s="334"/>
      <c r="D1" s="334"/>
      <c r="E1" s="334"/>
      <c r="F1" s="334"/>
      <c r="G1" s="334"/>
      <c r="H1" s="334"/>
      <c r="I1" s="334"/>
      <c r="J1" s="334"/>
      <c r="K1" s="334"/>
      <c r="L1" s="334"/>
    </row>
    <row r="2" spans="1:12" ht="20.100000000000001" customHeight="1">
      <c r="A2" s="335" t="s">
        <v>78</v>
      </c>
      <c r="B2" s="335"/>
      <c r="C2" s="335"/>
      <c r="D2" s="335"/>
      <c r="E2" s="335"/>
      <c r="F2" s="335"/>
      <c r="G2" s="335"/>
      <c r="H2" s="335"/>
      <c r="I2" s="335"/>
      <c r="J2" s="335"/>
      <c r="K2" s="335"/>
      <c r="L2" s="335"/>
    </row>
    <row r="3" spans="1:12" ht="20.100000000000001" customHeight="1">
      <c r="A3" s="16" t="str">
        <f>底稿目录!A2</f>
        <v>被审计单位：</v>
      </c>
      <c r="B3" s="16"/>
      <c r="D3" s="16"/>
      <c r="E3" s="16" t="str">
        <f>底稿目录!A4</f>
        <v>编制人：</v>
      </c>
      <c r="H3" s="16" t="str">
        <f>底稿目录!A5</f>
        <v>编制日期：</v>
      </c>
      <c r="K3" s="34" t="s">
        <v>29</v>
      </c>
      <c r="L3" s="309" t="s">
        <v>292</v>
      </c>
    </row>
    <row r="4" spans="1:12" ht="20.100000000000001" customHeight="1">
      <c r="A4" s="16" t="str">
        <f>底稿目录!A3</f>
        <v>截止日：202X年12月31日</v>
      </c>
      <c r="B4" s="16"/>
      <c r="D4" s="16"/>
      <c r="E4" s="16" t="str">
        <f>底稿目录!A6</f>
        <v>复核人：</v>
      </c>
      <c r="H4" s="16" t="str">
        <f>底稿目录!A7</f>
        <v>复核日期：</v>
      </c>
      <c r="K4" s="34" t="s">
        <v>79</v>
      </c>
    </row>
    <row r="5" spans="1:12" ht="20.100000000000001" customHeight="1">
      <c r="A5" s="18" t="s">
        <v>80</v>
      </c>
      <c r="B5" s="16"/>
      <c r="D5" s="16"/>
      <c r="E5" s="16"/>
      <c r="F5" s="16"/>
      <c r="H5" s="217"/>
      <c r="L5" s="16"/>
    </row>
    <row r="6" spans="1:12" ht="20.100000000000001" customHeight="1">
      <c r="A6" s="326" t="s">
        <v>81</v>
      </c>
      <c r="B6" s="328" t="s">
        <v>82</v>
      </c>
      <c r="C6" s="329"/>
      <c r="D6" s="329"/>
      <c r="E6" s="330"/>
      <c r="F6" s="328" t="s">
        <v>83</v>
      </c>
      <c r="G6" s="329"/>
      <c r="H6" s="329"/>
      <c r="I6" s="330"/>
      <c r="J6" s="331" t="s">
        <v>84</v>
      </c>
      <c r="K6" s="332"/>
      <c r="L6" s="326" t="s">
        <v>85</v>
      </c>
    </row>
    <row r="7" spans="1:12" ht="20.100000000000001" customHeight="1">
      <c r="A7" s="333"/>
      <c r="B7" s="218" t="s">
        <v>86</v>
      </c>
      <c r="C7" s="218" t="s">
        <v>87</v>
      </c>
      <c r="D7" s="218" t="s">
        <v>88</v>
      </c>
      <c r="E7" s="218" t="s">
        <v>89</v>
      </c>
      <c r="F7" s="218" t="s">
        <v>86</v>
      </c>
      <c r="G7" s="218" t="s">
        <v>87</v>
      </c>
      <c r="H7" s="218" t="s">
        <v>88</v>
      </c>
      <c r="I7" s="218" t="s">
        <v>89</v>
      </c>
      <c r="J7" s="234" t="s">
        <v>90</v>
      </c>
      <c r="K7" s="233" t="s">
        <v>91</v>
      </c>
      <c r="L7" s="327"/>
    </row>
    <row r="8" spans="1:12" ht="20.100000000000001" customHeight="1">
      <c r="A8" s="219" t="s">
        <v>92</v>
      </c>
      <c r="B8" s="220">
        <f>SUMIF('预收账款明细表D3-2'!$C$12:$C$22,'审定表D3-1'!A8,'预收账款明细表D3-2'!$E$12:$E$22)</f>
        <v>0</v>
      </c>
      <c r="C8" s="220">
        <f>SUMIF('预收账款明细表D3-2'!$C$12:$C$22,'审定表D3-1'!A8,'预收账款明细表D3-2'!$F$12:$F$22)</f>
        <v>0</v>
      </c>
      <c r="D8" s="220">
        <f>SUMIF('预收账款明细表D3-2'!$C$12:$C$22,'审定表D3-1'!A8,'预收账款明细表D3-2'!$G$12:$G$22)</f>
        <v>0</v>
      </c>
      <c r="E8" s="220">
        <f>B8+C8+D8</f>
        <v>0</v>
      </c>
      <c r="F8" s="220">
        <f>SUMIF('预收账款明细表D3-2'!$C$12:$C$22,'审定表D3-1'!A8,'预收账款明细表D3-2'!$O$12:$O$22)</f>
        <v>0</v>
      </c>
      <c r="G8" s="220">
        <f>SUMIF('预收账款明细表D3-2'!$C$12:$C$22,'审定表D3-1'!A8,'预收账款明细表D3-2'!$R$12:$R$22)</f>
        <v>0</v>
      </c>
      <c r="H8" s="220">
        <f>SUMIF('预收账款明细表D3-2'!$C$12:$C$22,'审定表D3-1'!A8,'预收账款明细表D3-2'!$S$12:$S$22)</f>
        <v>0</v>
      </c>
      <c r="I8" s="220">
        <f>F8+G8+H8</f>
        <v>0</v>
      </c>
      <c r="J8" s="235">
        <f t="shared" ref="J8:J13" si="0">I8-E8</f>
        <v>0</v>
      </c>
      <c r="K8" s="236" t="str">
        <f t="shared" ref="K8:K13" si="1">IF(AND(E8=0,I8=0),"",IF(AND(E8=0,I8&gt;0),1,J8/E8))</f>
        <v/>
      </c>
      <c r="L8" s="237"/>
    </row>
    <row r="9" spans="1:12" ht="20.100000000000001" customHeight="1">
      <c r="A9" s="219" t="s">
        <v>93</v>
      </c>
      <c r="B9" s="220">
        <f>SUMIF('预收账款明细表D3-2'!$C$12:$C$22,'审定表D3-1'!A9,'预收账款明细表D3-2'!$E$12:$E$22)</f>
        <v>0</v>
      </c>
      <c r="C9" s="220">
        <f>SUMIF('预收账款明细表D3-2'!$C$12:$C$22,'审定表D3-1'!A9,'预收账款明细表D3-2'!$F$12:$F$22)</f>
        <v>0</v>
      </c>
      <c r="D9" s="220">
        <f>SUMIF('预收账款明细表D3-2'!$C$12:$C$22,'审定表D3-1'!A9,'预收账款明细表D3-2'!$G$12:$G$22)</f>
        <v>0</v>
      </c>
      <c r="E9" s="220">
        <f t="shared" ref="E9:E12" si="2">B9+C9+D9</f>
        <v>0</v>
      </c>
      <c r="F9" s="220">
        <f>SUMIF('预收账款明细表D3-2'!$C$12:$C$22,'审定表D3-1'!A9,'预收账款明细表D3-2'!$O$12:$O$22)</f>
        <v>0</v>
      </c>
      <c r="G9" s="220">
        <f>SUMIF('预收账款明细表D3-2'!$C$12:$C$22,'审定表D3-1'!A9,'预收账款明细表D3-2'!$R$12:$R$22)</f>
        <v>0</v>
      </c>
      <c r="H9" s="220">
        <f>SUMIF('预收账款明细表D3-2'!$C$12:$C$22,'审定表D3-1'!A9,'预收账款明细表D3-2'!$S$12:$S$22)</f>
        <v>0</v>
      </c>
      <c r="I9" s="220">
        <f t="shared" ref="I9:I12" si="3">F9+G9+H9</f>
        <v>0</v>
      </c>
      <c r="J9" s="235">
        <f t="shared" si="0"/>
        <v>0</v>
      </c>
      <c r="K9" s="236" t="str">
        <f t="shared" si="1"/>
        <v/>
      </c>
      <c r="L9" s="237"/>
    </row>
    <row r="10" spans="1:12" ht="20.100000000000001" customHeight="1">
      <c r="A10" s="219" t="s">
        <v>94</v>
      </c>
      <c r="B10" s="220">
        <f>SUMIF('预收账款明细表D3-2'!$C$12:$C$22,'审定表D3-1'!A10,'预收账款明细表D3-2'!$E$12:$E$22)</f>
        <v>0</v>
      </c>
      <c r="C10" s="220">
        <f>SUMIF('预收账款明细表D3-2'!$C$12:$C$22,'审定表D3-1'!A10,'预收账款明细表D3-2'!$F$12:$F$22)</f>
        <v>0</v>
      </c>
      <c r="D10" s="220">
        <f>SUMIF('预收账款明细表D3-2'!$C$12:$C$22,'审定表D3-1'!A10,'预收账款明细表D3-2'!$G$12:$G$22)</f>
        <v>0</v>
      </c>
      <c r="E10" s="220">
        <f t="shared" si="2"/>
        <v>0</v>
      </c>
      <c r="F10" s="220">
        <f>SUMIF('预收账款明细表D3-2'!$C$12:$C$22,'审定表D3-1'!A10,'预收账款明细表D3-2'!$O$12:$O$22)</f>
        <v>0</v>
      </c>
      <c r="G10" s="220">
        <f>SUMIF('预收账款明细表D3-2'!$C$12:$C$22,'审定表D3-1'!A10,'预收账款明细表D3-2'!$R$12:$R$22)</f>
        <v>0</v>
      </c>
      <c r="H10" s="220">
        <f>SUMIF('预收账款明细表D3-2'!$C$12:$C$22,'审定表D3-1'!A10,'预收账款明细表D3-2'!$S$12:$S$22)</f>
        <v>0</v>
      </c>
      <c r="I10" s="220">
        <f t="shared" si="3"/>
        <v>0</v>
      </c>
      <c r="J10" s="235">
        <f t="shared" si="0"/>
        <v>0</v>
      </c>
      <c r="K10" s="236" t="str">
        <f t="shared" si="1"/>
        <v/>
      </c>
      <c r="L10" s="237"/>
    </row>
    <row r="11" spans="1:12" ht="20.100000000000001" customHeight="1">
      <c r="A11" s="221" t="s">
        <v>95</v>
      </c>
      <c r="B11" s="220">
        <f>SUMIF('预收账款明细表D3-2'!$C$12:$C$22,'审定表D3-1'!A11,'预收账款明细表D3-2'!$E$12:$E$22)</f>
        <v>0</v>
      </c>
      <c r="C11" s="220">
        <f>SUMIF('预收账款明细表D3-2'!$C$12:$C$22,'审定表D3-1'!A11,'预收账款明细表D3-2'!$F$12:$F$22)</f>
        <v>0</v>
      </c>
      <c r="D11" s="220">
        <f>SUMIF('预收账款明细表D3-2'!$C$12:$C$22,'审定表D3-1'!A11,'预收账款明细表D3-2'!$G$12:$G$22)</f>
        <v>0</v>
      </c>
      <c r="E11" s="220">
        <f t="shared" si="2"/>
        <v>0</v>
      </c>
      <c r="F11" s="220">
        <f>SUMIF('预收账款明细表D3-2'!$C$12:$C$22,'审定表D3-1'!A11,'预收账款明细表D3-2'!$O$12:$O$22)</f>
        <v>0</v>
      </c>
      <c r="G11" s="220">
        <f>SUMIF('预收账款明细表D3-2'!$C$12:$C$22,'审定表D3-1'!A11,'预收账款明细表D3-2'!$R$12:$R$22)</f>
        <v>0</v>
      </c>
      <c r="H11" s="220">
        <f>SUMIF('预收账款明细表D3-2'!$C$12:$C$22,'审定表D3-1'!A11,'预收账款明细表D3-2'!$S$12:$S$22)</f>
        <v>0</v>
      </c>
      <c r="I11" s="220">
        <f t="shared" si="3"/>
        <v>0</v>
      </c>
      <c r="J11" s="235">
        <f t="shared" si="0"/>
        <v>0</v>
      </c>
      <c r="K11" s="236" t="str">
        <f t="shared" si="1"/>
        <v/>
      </c>
      <c r="L11" s="237"/>
    </row>
    <row r="12" spans="1:12" ht="20.100000000000001" customHeight="1">
      <c r="A12" s="221"/>
      <c r="B12" s="220"/>
      <c r="C12" s="220"/>
      <c r="D12" s="220"/>
      <c r="E12" s="220">
        <f t="shared" si="2"/>
        <v>0</v>
      </c>
      <c r="F12" s="220"/>
      <c r="G12" s="220"/>
      <c r="H12" s="220"/>
      <c r="I12" s="220">
        <f t="shared" si="3"/>
        <v>0</v>
      </c>
      <c r="J12" s="235">
        <f t="shared" si="0"/>
        <v>0</v>
      </c>
      <c r="K12" s="236" t="str">
        <f t="shared" si="1"/>
        <v/>
      </c>
      <c r="L12" s="237"/>
    </row>
    <row r="13" spans="1:12" ht="20.100000000000001" customHeight="1">
      <c r="A13" s="222" t="s">
        <v>96</v>
      </c>
      <c r="B13" s="223">
        <f t="shared" ref="B13:I13" si="4">SUM(B8:B12)</f>
        <v>0</v>
      </c>
      <c r="C13" s="223">
        <f t="shared" si="4"/>
        <v>0</v>
      </c>
      <c r="D13" s="223">
        <f t="shared" si="4"/>
        <v>0</v>
      </c>
      <c r="E13" s="223">
        <f t="shared" si="4"/>
        <v>0</v>
      </c>
      <c r="F13" s="223">
        <f t="shared" si="4"/>
        <v>0</v>
      </c>
      <c r="G13" s="223">
        <f t="shared" si="4"/>
        <v>0</v>
      </c>
      <c r="H13" s="223">
        <f t="shared" si="4"/>
        <v>0</v>
      </c>
      <c r="I13" s="223">
        <f t="shared" si="4"/>
        <v>0</v>
      </c>
      <c r="J13" s="238">
        <f t="shared" si="0"/>
        <v>0</v>
      </c>
      <c r="K13" s="239" t="str">
        <f t="shared" si="1"/>
        <v/>
      </c>
      <c r="L13" s="240"/>
    </row>
    <row r="14" spans="1:12" ht="20.100000000000001" customHeight="1">
      <c r="A14" s="18" t="s">
        <v>97</v>
      </c>
    </row>
    <row r="15" spans="1:12" ht="20.100000000000001" customHeight="1">
      <c r="A15" s="326" t="s">
        <v>81</v>
      </c>
      <c r="B15" s="328" t="s">
        <v>82</v>
      </c>
      <c r="C15" s="329"/>
      <c r="D15" s="329"/>
      <c r="E15" s="330"/>
      <c r="F15" s="328" t="s">
        <v>83</v>
      </c>
      <c r="G15" s="329"/>
      <c r="H15" s="329"/>
      <c r="I15" s="330"/>
      <c r="J15" s="331" t="s">
        <v>84</v>
      </c>
      <c r="K15" s="332"/>
      <c r="L15" s="326" t="s">
        <v>85</v>
      </c>
    </row>
    <row r="16" spans="1:12" ht="20.100000000000001" customHeight="1">
      <c r="A16" s="333"/>
      <c r="B16" s="218" t="s">
        <v>86</v>
      </c>
      <c r="C16" s="218" t="s">
        <v>87</v>
      </c>
      <c r="D16" s="218" t="s">
        <v>88</v>
      </c>
      <c r="E16" s="218" t="s">
        <v>89</v>
      </c>
      <c r="F16" s="218" t="s">
        <v>86</v>
      </c>
      <c r="G16" s="218" t="s">
        <v>87</v>
      </c>
      <c r="H16" s="218" t="s">
        <v>88</v>
      </c>
      <c r="I16" s="218" t="s">
        <v>89</v>
      </c>
      <c r="J16" s="234" t="s">
        <v>90</v>
      </c>
      <c r="K16" s="233" t="s">
        <v>91</v>
      </c>
      <c r="L16" s="327"/>
    </row>
    <row r="17" spans="1:12" ht="20.100000000000001" customHeight="1">
      <c r="A17" s="224" t="s">
        <v>98</v>
      </c>
      <c r="B17" s="225"/>
      <c r="C17" s="225"/>
      <c r="D17" s="225"/>
      <c r="E17" s="220">
        <f>B17+C17+D17</f>
        <v>0</v>
      </c>
      <c r="F17" s="225"/>
      <c r="G17" s="225"/>
      <c r="H17" s="225"/>
      <c r="I17" s="220">
        <f>F17+G17+H17</f>
        <v>0</v>
      </c>
      <c r="J17" s="235">
        <f>I17-E17</f>
        <v>0</v>
      </c>
      <c r="K17" s="236" t="str">
        <f t="shared" ref="K17:K21" si="5">IF(AND(E17=0,I17=0),"",IF(AND(E17=0,I17&gt;0),1,J17/E17))</f>
        <v/>
      </c>
      <c r="L17" s="237"/>
    </row>
    <row r="18" spans="1:12" ht="20.100000000000001" customHeight="1">
      <c r="A18" s="224" t="s">
        <v>99</v>
      </c>
      <c r="B18" s="225"/>
      <c r="C18" s="225"/>
      <c r="D18" s="225"/>
      <c r="E18" s="220">
        <f t="shared" ref="E18:E20" si="6">B18+C18+D18</f>
        <v>0</v>
      </c>
      <c r="F18" s="225"/>
      <c r="G18" s="225"/>
      <c r="H18" s="225"/>
      <c r="I18" s="220">
        <f t="shared" ref="I18:I19" si="7">F18+G18+H18</f>
        <v>0</v>
      </c>
      <c r="J18" s="235">
        <f>I18-E18</f>
        <v>0</v>
      </c>
      <c r="K18" s="236" t="str">
        <f t="shared" si="5"/>
        <v/>
      </c>
      <c r="L18" s="237"/>
    </row>
    <row r="19" spans="1:12" ht="20.100000000000001" customHeight="1">
      <c r="A19" s="224" t="s">
        <v>100</v>
      </c>
      <c r="B19" s="225"/>
      <c r="C19" s="225"/>
      <c r="D19" s="225"/>
      <c r="E19" s="220">
        <f t="shared" si="6"/>
        <v>0</v>
      </c>
      <c r="F19" s="225"/>
      <c r="G19" s="225"/>
      <c r="H19" s="225"/>
      <c r="I19" s="220">
        <f t="shared" si="7"/>
        <v>0</v>
      </c>
      <c r="J19" s="235">
        <f>I19-E19</f>
        <v>0</v>
      </c>
      <c r="K19" s="236" t="str">
        <f t="shared" si="5"/>
        <v/>
      </c>
      <c r="L19" s="237"/>
    </row>
    <row r="20" spans="1:12" ht="20.100000000000001" customHeight="1">
      <c r="A20" s="224" t="s">
        <v>101</v>
      </c>
      <c r="B20" s="225"/>
      <c r="C20" s="225"/>
      <c r="D20" s="225"/>
      <c r="E20" s="220">
        <f t="shared" si="6"/>
        <v>0</v>
      </c>
      <c r="F20" s="225"/>
      <c r="G20" s="225"/>
      <c r="H20" s="225"/>
      <c r="I20" s="220">
        <f t="shared" ref="I20" si="8">F20+G20+H20</f>
        <v>0</v>
      </c>
      <c r="J20" s="235">
        <f t="shared" ref="J20" si="9">I20-E20</f>
        <v>0</v>
      </c>
      <c r="K20" s="236" t="str">
        <f t="shared" ref="K20" si="10">IF(AND(E20=0,I20=0),"",IF(AND(E20=0,I20&gt;0),1,J20/E20))</f>
        <v/>
      </c>
      <c r="L20" s="237"/>
    </row>
    <row r="21" spans="1:12" ht="20.100000000000001" customHeight="1">
      <c r="A21" s="222" t="s">
        <v>96</v>
      </c>
      <c r="B21" s="223">
        <f t="shared" ref="B21:J21" si="11">SUM(B17:B20)</f>
        <v>0</v>
      </c>
      <c r="C21" s="223">
        <f t="shared" si="11"/>
        <v>0</v>
      </c>
      <c r="D21" s="223">
        <f t="shared" si="11"/>
        <v>0</v>
      </c>
      <c r="E21" s="223">
        <f t="shared" si="11"/>
        <v>0</v>
      </c>
      <c r="F21" s="223">
        <f t="shared" si="11"/>
        <v>0</v>
      </c>
      <c r="G21" s="223">
        <f t="shared" si="11"/>
        <v>0</v>
      </c>
      <c r="H21" s="223">
        <f t="shared" si="11"/>
        <v>0</v>
      </c>
      <c r="I21" s="223">
        <f t="shared" si="11"/>
        <v>0</v>
      </c>
      <c r="J21" s="223">
        <f t="shared" si="11"/>
        <v>0</v>
      </c>
      <c r="K21" s="239" t="str">
        <f t="shared" si="5"/>
        <v/>
      </c>
      <c r="L21" s="240"/>
    </row>
    <row r="22" spans="1:12" ht="20.100000000000001" customHeight="1">
      <c r="A22" s="226" t="s">
        <v>102</v>
      </c>
      <c r="B22" s="227"/>
      <c r="C22" s="227"/>
      <c r="D22" s="227"/>
      <c r="E22" s="227"/>
      <c r="F22" s="227"/>
      <c r="G22" s="227"/>
      <c r="H22" s="227"/>
      <c r="I22" s="227"/>
      <c r="J22" s="227"/>
      <c r="K22" s="241"/>
      <c r="L22" s="242"/>
    </row>
    <row r="23" spans="1:12" ht="20.100000000000001" customHeight="1">
      <c r="A23" s="226" t="s">
        <v>103</v>
      </c>
      <c r="B23" s="227"/>
      <c r="C23" s="227"/>
      <c r="D23" s="227"/>
      <c r="E23" s="220">
        <f>E21-E22</f>
        <v>0</v>
      </c>
      <c r="F23" s="227"/>
      <c r="G23" s="227"/>
      <c r="H23" s="227"/>
      <c r="I23" s="220">
        <f>I21-I22</f>
        <v>0</v>
      </c>
      <c r="J23" s="227"/>
      <c r="K23" s="241"/>
      <c r="L23" s="242"/>
    </row>
    <row r="24" spans="1:12" ht="20.100000000000001" customHeight="1">
      <c r="A24" s="228"/>
      <c r="B24" s="227"/>
      <c r="C24" s="227"/>
      <c r="D24" s="227"/>
      <c r="E24" s="227"/>
      <c r="F24" s="227"/>
      <c r="G24" s="227"/>
      <c r="H24" s="227"/>
      <c r="I24" s="227"/>
      <c r="J24" s="227"/>
      <c r="K24" s="241"/>
      <c r="L24" s="242"/>
    </row>
    <row r="25" spans="1:12" ht="20.100000000000001" customHeight="1">
      <c r="A25" s="28" t="s">
        <v>104</v>
      </c>
      <c r="I25" s="28" t="s">
        <v>105</v>
      </c>
    </row>
    <row r="26" spans="1:12" ht="20.100000000000001" customHeight="1">
      <c r="A26" s="229" t="s">
        <v>106</v>
      </c>
    </row>
    <row r="27" spans="1:12" ht="20.100000000000001" customHeight="1">
      <c r="B27" s="230"/>
    </row>
    <row r="28" spans="1:12" ht="20.100000000000001" customHeight="1">
      <c r="B28" s="230"/>
    </row>
    <row r="29" spans="1:12" ht="20.100000000000001" customHeight="1">
      <c r="A29" s="231"/>
    </row>
    <row r="30" spans="1:12" ht="20.100000000000001" customHeight="1">
      <c r="A30" s="232" t="s">
        <v>107</v>
      </c>
    </row>
  </sheetData>
  <mergeCells count="12">
    <mergeCell ref="A1:L1"/>
    <mergeCell ref="A2:L2"/>
    <mergeCell ref="B6:E6"/>
    <mergeCell ref="F6:I6"/>
    <mergeCell ref="J6:K6"/>
    <mergeCell ref="L6:L7"/>
    <mergeCell ref="L15:L16"/>
    <mergeCell ref="B15:E15"/>
    <mergeCell ref="F15:I15"/>
    <mergeCell ref="J15:K15"/>
    <mergeCell ref="A6:A7"/>
    <mergeCell ref="A15:A16"/>
  </mergeCells>
  <phoneticPr fontId="156" type="noConversion"/>
  <hyperlinks>
    <hyperlink ref="L3" location="底稿目录!A1" display="D3"/>
  </hyperlinks>
  <pageMargins left="0.70866141732283505" right="0.70866141732283505" top="0.74803149606299202" bottom="0.74803149606299202" header="0.31496062992126" footer="0.31496062992126"/>
  <pageSetup paperSize="9" scale="80" fitToWidth="0" fitToHeight="0" orientation="landscape" blackAndWhite="1" horizontalDpi="1200" verticalDpi="1200" r:id="rId1"/>
  <headerFooter alignWithMargins="0">
    <oddFooter>&amp;C&amp;P/&amp;N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E26"/>
  <sheetViews>
    <sheetView view="pageBreakPreview" zoomScaleNormal="100" workbookViewId="0">
      <selection sqref="A1:D1"/>
    </sheetView>
  </sheetViews>
  <sheetFormatPr defaultColWidth="9" defaultRowHeight="13.8"/>
  <cols>
    <col min="1" max="1" width="32" style="198" customWidth="1"/>
    <col min="2" max="2" width="16.19921875" style="198" customWidth="1"/>
    <col min="3" max="3" width="18.59765625" style="198" customWidth="1"/>
    <col min="4" max="4" width="14.3984375" style="198" customWidth="1"/>
    <col min="5" max="5" width="16.69921875" style="198" customWidth="1"/>
    <col min="6" max="16384" width="9" style="198"/>
  </cols>
  <sheetData>
    <row r="1" spans="1:5" s="195" customFormat="1" ht="20.100000000000001" customHeight="1">
      <c r="A1" s="336" t="s">
        <v>108</v>
      </c>
      <c r="B1" s="336"/>
      <c r="C1" s="336"/>
      <c r="D1" s="336"/>
      <c r="E1" s="175"/>
    </row>
    <row r="2" spans="1:5" s="196" customFormat="1" ht="24.9" customHeight="1">
      <c r="A2" s="337" t="s">
        <v>109</v>
      </c>
      <c r="B2" s="337"/>
      <c r="C2" s="337"/>
      <c r="D2" s="337"/>
      <c r="E2" s="175"/>
    </row>
    <row r="3" spans="1:5" s="175" customFormat="1" ht="20.100000000000001" customHeight="1">
      <c r="A3" s="175" t="str">
        <f>底稿目录!A2</f>
        <v>被审计单位：</v>
      </c>
      <c r="B3" s="176" t="str">
        <f>底稿目录!A4</f>
        <v>编制人：</v>
      </c>
      <c r="C3" s="176" t="str">
        <f>底稿目录!A5</f>
        <v>编制日期：</v>
      </c>
      <c r="D3" s="135" t="s">
        <v>29</v>
      </c>
    </row>
    <row r="4" spans="1:5" s="175" customFormat="1" ht="20.100000000000001" customHeight="1">
      <c r="A4" s="175" t="str">
        <f>底稿目录!A3</f>
        <v>截止日：202X年12月31日</v>
      </c>
      <c r="B4" s="176" t="str">
        <f>底稿目录!A6</f>
        <v>复核人：</v>
      </c>
      <c r="C4" s="176" t="str">
        <f>底稿目录!A7</f>
        <v>复核日期：</v>
      </c>
      <c r="D4" s="175" t="s">
        <v>110</v>
      </c>
    </row>
    <row r="5" spans="1:5" s="197" customFormat="1" ht="20.100000000000001" customHeight="1">
      <c r="A5" s="199" t="s">
        <v>111</v>
      </c>
      <c r="B5" s="199"/>
      <c r="C5" s="200"/>
      <c r="D5" s="200"/>
      <c r="E5" s="200"/>
    </row>
    <row r="6" spans="1:5" s="197" customFormat="1" ht="20.100000000000001" customHeight="1">
      <c r="A6" s="201" t="s">
        <v>112</v>
      </c>
      <c r="B6" s="202" t="s">
        <v>113</v>
      </c>
      <c r="C6" s="203" t="s">
        <v>114</v>
      </c>
    </row>
    <row r="7" spans="1:5" s="197" customFormat="1" ht="20.100000000000001" customHeight="1">
      <c r="A7" s="204" t="str">
        <f>'审定表D3-1'!A8</f>
        <v>预收销售固定资产款</v>
      </c>
      <c r="B7" s="205">
        <f>'审定表D3-1'!I8</f>
        <v>0</v>
      </c>
      <c r="C7" s="205">
        <f>'审定表D3-1'!E8</f>
        <v>0</v>
      </c>
    </row>
    <row r="8" spans="1:5" s="197" customFormat="1" ht="20.100000000000001" customHeight="1">
      <c r="A8" s="204" t="str">
        <f>'审定表D3-1'!A9</f>
        <v>预收销售土地使用权款</v>
      </c>
      <c r="B8" s="205">
        <f>'审定表D3-1'!I9</f>
        <v>0</v>
      </c>
      <c r="C8" s="205">
        <f>'审定表D3-1'!E9</f>
        <v>0</v>
      </c>
    </row>
    <row r="9" spans="1:5" s="197" customFormat="1" ht="20.100000000000001" customHeight="1">
      <c r="A9" s="204" t="str">
        <f>'审定表D3-1'!A10</f>
        <v>合同不成立时已收取的对价</v>
      </c>
      <c r="B9" s="205">
        <f>'审定表D3-1'!I10</f>
        <v>0</v>
      </c>
      <c r="C9" s="205">
        <f>'审定表D3-1'!E10</f>
        <v>0</v>
      </c>
    </row>
    <row r="10" spans="1:5" s="197" customFormat="1" ht="20.100000000000001" customHeight="1">
      <c r="A10" s="204" t="str">
        <f>'审定表D3-1'!A11</f>
        <v>其他</v>
      </c>
      <c r="B10" s="205">
        <f>'审定表D3-1'!I11</f>
        <v>0</v>
      </c>
      <c r="C10" s="205">
        <f>'审定表D3-1'!E11</f>
        <v>0</v>
      </c>
    </row>
    <row r="11" spans="1:5" s="197" customFormat="1" ht="20.100000000000001" customHeight="1">
      <c r="A11" s="206">
        <f>'审定表D3-1'!A12</f>
        <v>0</v>
      </c>
      <c r="B11" s="205"/>
      <c r="C11" s="205"/>
    </row>
    <row r="12" spans="1:5" s="197" customFormat="1" ht="20.100000000000001" customHeight="1">
      <c r="A12" s="204"/>
      <c r="B12" s="205"/>
      <c r="C12" s="205"/>
    </row>
    <row r="13" spans="1:5" s="197" customFormat="1" ht="20.100000000000001" customHeight="1">
      <c r="A13" s="201" t="s">
        <v>115</v>
      </c>
      <c r="B13" s="207">
        <f>SUM(B7:B12)</f>
        <v>0</v>
      </c>
      <c r="C13" s="207">
        <f>SUM(C7:C12)</f>
        <v>0</v>
      </c>
    </row>
    <row r="14" spans="1:5" s="197" customFormat="1" ht="20.100000000000001" customHeight="1">
      <c r="A14" s="208" t="s">
        <v>116</v>
      </c>
      <c r="B14" s="199"/>
      <c r="C14" s="200"/>
      <c r="D14" s="200"/>
      <c r="E14" s="200"/>
    </row>
    <row r="15" spans="1:5" s="197" customFormat="1" ht="31.5" customHeight="1">
      <c r="A15" s="209" t="s">
        <v>117</v>
      </c>
      <c r="B15" s="210" t="s">
        <v>118</v>
      </c>
      <c r="C15" s="211" t="s">
        <v>119</v>
      </c>
      <c r="D15" s="200"/>
    </row>
    <row r="16" spans="1:5" s="197" customFormat="1" ht="20.100000000000001" customHeight="1">
      <c r="A16" s="212">
        <f>'账龄1年以上的预收账款检查表D3-5'!B12</f>
        <v>0</v>
      </c>
      <c r="B16" s="213">
        <f>'账龄1年以上的预收账款检查表D3-5'!C12</f>
        <v>0</v>
      </c>
      <c r="C16" s="214" t="e">
        <f>'账龄1年以上的预收账款检查表D3-5'!#REF!</f>
        <v>#REF!</v>
      </c>
      <c r="D16" s="215"/>
    </row>
    <row r="17" spans="1:4" s="197" customFormat="1" ht="20.100000000000001" customHeight="1">
      <c r="A17" s="212">
        <f>'账龄1年以上的预收账款检查表D3-5'!B13</f>
        <v>0</v>
      </c>
      <c r="B17" s="213">
        <f>'账龄1年以上的预收账款检查表D3-5'!C13</f>
        <v>0</v>
      </c>
      <c r="C17" s="214" t="e">
        <f>'账龄1年以上的预收账款检查表D3-5'!#REF!</f>
        <v>#REF!</v>
      </c>
      <c r="D17" s="200"/>
    </row>
    <row r="18" spans="1:4" s="197" customFormat="1" ht="20.100000000000001" customHeight="1">
      <c r="A18" s="212">
        <f>'账龄1年以上的预收账款检查表D3-5'!B14</f>
        <v>0</v>
      </c>
      <c r="B18" s="213">
        <f>'账龄1年以上的预收账款检查表D3-5'!C14</f>
        <v>0</v>
      </c>
      <c r="C18" s="214" t="e">
        <f>'账龄1年以上的预收账款检查表D3-5'!#REF!</f>
        <v>#REF!</v>
      </c>
      <c r="D18" s="200"/>
    </row>
    <row r="19" spans="1:4" s="197" customFormat="1" ht="20.100000000000001" customHeight="1">
      <c r="A19" s="201" t="s">
        <v>115</v>
      </c>
      <c r="B19" s="209"/>
      <c r="C19" s="209"/>
      <c r="D19" s="200"/>
    </row>
    <row r="21" spans="1:4" ht="17.399999999999999">
      <c r="A21" s="208" t="s">
        <v>120</v>
      </c>
      <c r="B21" s="199"/>
      <c r="C21" s="200"/>
    </row>
    <row r="22" spans="1:4" ht="15.6">
      <c r="A22" s="209" t="s">
        <v>117</v>
      </c>
      <c r="B22" s="210" t="s">
        <v>121</v>
      </c>
      <c r="C22" s="216" t="s">
        <v>122</v>
      </c>
    </row>
    <row r="23" spans="1:4" ht="15.6">
      <c r="A23" s="212">
        <f>'账龄1年以上的预收账款检查表D3-5'!B19</f>
        <v>0</v>
      </c>
      <c r="B23" s="213"/>
      <c r="C23" s="214"/>
    </row>
    <row r="24" spans="1:4" ht="15.6">
      <c r="A24" s="212">
        <f>'账龄1年以上的预收账款检查表D3-5'!B21</f>
        <v>0</v>
      </c>
      <c r="B24" s="213"/>
      <c r="C24" s="214"/>
    </row>
    <row r="25" spans="1:4" ht="15.6">
      <c r="A25" s="212">
        <f>'账龄1年以上的预收账款检查表D3-5'!B22</f>
        <v>0</v>
      </c>
      <c r="B25" s="213"/>
      <c r="C25" s="214"/>
    </row>
    <row r="26" spans="1:4" ht="16.2">
      <c r="A26" s="201" t="s">
        <v>115</v>
      </c>
      <c r="B26" s="209"/>
      <c r="C26" s="209"/>
    </row>
  </sheetData>
  <mergeCells count="2">
    <mergeCell ref="A1:D1"/>
    <mergeCell ref="A2:D2"/>
  </mergeCells>
  <phoneticPr fontId="156" type="noConversion"/>
  <pageMargins left="0.70866141732283505" right="0.70866141732283505" top="0.74803149606299202" bottom="0.74803149606299202" header="0.31496062992126" footer="0.31496062992126"/>
  <pageSetup paperSize="9" fitToHeight="100" orientation="portrait" blackAndWhite="1" horizontalDpi="1200" verticalDpi="1200" r:id="rId1"/>
  <headerFooter alignWithMargins="0">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D24"/>
  <sheetViews>
    <sheetView view="pageBreakPreview" zoomScaleNormal="100" workbookViewId="0">
      <selection sqref="A1:D1"/>
    </sheetView>
  </sheetViews>
  <sheetFormatPr defaultColWidth="9" defaultRowHeight="12"/>
  <cols>
    <col min="1" max="1" width="25.5" style="135" customWidth="1"/>
    <col min="2" max="2" width="22.8984375" style="135" customWidth="1"/>
    <col min="3" max="3" width="20.09765625" style="135" customWidth="1"/>
    <col min="4" max="4" width="19" style="135" customWidth="1"/>
    <col min="5" max="16384" width="9" style="135"/>
  </cols>
  <sheetData>
    <row r="1" spans="1:4" ht="20.100000000000001" customHeight="1">
      <c r="A1" s="338" t="s">
        <v>28</v>
      </c>
      <c r="B1" s="338"/>
      <c r="C1" s="338"/>
      <c r="D1" s="338"/>
    </row>
    <row r="2" spans="1:4" s="174" customFormat="1" ht="24.9" customHeight="1">
      <c r="A2" s="339" t="s">
        <v>123</v>
      </c>
      <c r="B2" s="339"/>
      <c r="C2" s="339"/>
      <c r="D2" s="339"/>
    </row>
    <row r="3" spans="1:4" ht="24.9" customHeight="1">
      <c r="A3" s="175" t="str">
        <f>底稿目录!A2</f>
        <v>被审计单位：</v>
      </c>
      <c r="B3" s="176" t="str">
        <f>底稿目录!A4</f>
        <v>编制人：</v>
      </c>
      <c r="C3" s="176" t="str">
        <f>底稿目录!A5</f>
        <v>编制日期：</v>
      </c>
      <c r="D3" s="159" t="s">
        <v>29</v>
      </c>
    </row>
    <row r="4" spans="1:4" ht="24.9" customHeight="1">
      <c r="A4" s="175" t="str">
        <f>底稿目录!A3</f>
        <v>截止日：202X年12月31日</v>
      </c>
      <c r="B4" s="159" t="str">
        <f>底稿目录!A6</f>
        <v>复核人：</v>
      </c>
      <c r="C4" s="159" t="str">
        <f>底稿目录!A7</f>
        <v>复核日期：</v>
      </c>
      <c r="D4" s="159" t="s">
        <v>79</v>
      </c>
    </row>
    <row r="5" spans="1:4" ht="20.100000000000001" customHeight="1">
      <c r="A5" s="177" t="s">
        <v>124</v>
      </c>
      <c r="B5" s="174"/>
      <c r="C5" s="174"/>
      <c r="D5" s="174"/>
    </row>
    <row r="6" spans="1:4" ht="20.100000000000001" customHeight="1">
      <c r="A6" s="178" t="s">
        <v>125</v>
      </c>
      <c r="B6" s="179" t="s">
        <v>118</v>
      </c>
      <c r="C6" s="180" t="s">
        <v>126</v>
      </c>
    </row>
    <row r="7" spans="1:4" ht="20.100000000000001" customHeight="1">
      <c r="A7" s="181" t="s">
        <v>127</v>
      </c>
      <c r="B7" s="182">
        <f>'审定表D3-1'!I17</f>
        <v>0</v>
      </c>
      <c r="C7" s="182">
        <f>'审定表D3-1'!E17</f>
        <v>0</v>
      </c>
    </row>
    <row r="8" spans="1:4" ht="20.100000000000001" customHeight="1">
      <c r="A8" s="183" t="s">
        <v>128</v>
      </c>
      <c r="B8" s="184">
        <f>'审定表D3-1'!I21-'审定表D3-1'!I17</f>
        <v>0</v>
      </c>
      <c r="C8" s="184">
        <f>'审定表D3-1'!E21-'审定表D3-1'!E17</f>
        <v>0</v>
      </c>
    </row>
    <row r="9" spans="1:4" ht="20.100000000000001" customHeight="1">
      <c r="A9" s="185" t="s">
        <v>129</v>
      </c>
      <c r="B9" s="186">
        <f>B8+B7</f>
        <v>0</v>
      </c>
      <c r="C9" s="186">
        <f>C8+C7</f>
        <v>0</v>
      </c>
      <c r="D9" s="187"/>
    </row>
    <row r="10" spans="1:4" ht="20.100000000000001" customHeight="1">
      <c r="A10" s="188" t="s">
        <v>130</v>
      </c>
      <c r="B10" s="174"/>
      <c r="C10" s="174"/>
      <c r="D10" s="174"/>
    </row>
    <row r="11" spans="1:4" ht="20.100000000000001" customHeight="1">
      <c r="A11" s="189" t="s">
        <v>131</v>
      </c>
      <c r="B11" s="179" t="s">
        <v>118</v>
      </c>
      <c r="C11" s="190" t="s">
        <v>132</v>
      </c>
    </row>
    <row r="12" spans="1:4" ht="20.100000000000001" customHeight="1">
      <c r="A12" s="183">
        <f>'账龄1年以上的预收账款检查表D3-5'!B12</f>
        <v>0</v>
      </c>
      <c r="B12" s="191">
        <f>'账龄1年以上的预收账款检查表D3-5'!C12</f>
        <v>0</v>
      </c>
      <c r="C12" s="192" t="e">
        <f>'账龄1年以上的预收账款检查表D3-5'!#REF!</f>
        <v>#REF!</v>
      </c>
    </row>
    <row r="13" spans="1:4" ht="20.100000000000001" customHeight="1">
      <c r="A13" s="183">
        <f>'账龄1年以上的预收账款检查表D3-5'!B13</f>
        <v>0</v>
      </c>
      <c r="B13" s="191">
        <f>'账龄1年以上的预收账款检查表D3-5'!C13</f>
        <v>0</v>
      </c>
      <c r="C13" s="192" t="e">
        <f>'账龄1年以上的预收账款检查表D3-5'!#REF!</f>
        <v>#REF!</v>
      </c>
    </row>
    <row r="14" spans="1:4" ht="20.100000000000001" customHeight="1">
      <c r="A14" s="183">
        <f>'账龄1年以上的预收账款检查表D3-5'!B14</f>
        <v>0</v>
      </c>
      <c r="B14" s="191">
        <f>'账龄1年以上的预收账款检查表D3-5'!C14</f>
        <v>0</v>
      </c>
      <c r="C14" s="192" t="e">
        <f>'账龄1年以上的预收账款检查表D3-5'!#REF!</f>
        <v>#REF!</v>
      </c>
    </row>
    <row r="15" spans="1:4" ht="20.100000000000001" customHeight="1">
      <c r="A15" s="189" t="s">
        <v>96</v>
      </c>
      <c r="B15" s="193">
        <f>SUM(B12:B14)</f>
        <v>0</v>
      </c>
      <c r="C15" s="194"/>
    </row>
    <row r="16" spans="1:4" ht="15.6">
      <c r="A16" s="174"/>
      <c r="B16" s="174"/>
      <c r="C16" s="174"/>
      <c r="D16" s="174"/>
    </row>
    <row r="21" ht="18" customHeight="1"/>
    <row r="22" ht="18" customHeight="1"/>
    <row r="23" ht="18" customHeight="1"/>
    <row r="24" ht="18" customHeight="1"/>
  </sheetData>
  <mergeCells count="2">
    <mergeCell ref="A1:D1"/>
    <mergeCell ref="A2:D2"/>
  </mergeCells>
  <phoneticPr fontId="156" type="noConversion"/>
  <pageMargins left="0.70866141732283505" right="0.70866141732283505" top="0.74803149606299202" bottom="0.74803149606299202" header="0.31496062992126" footer="0.31496062992126"/>
  <pageSetup paperSize="9" scale="93" fitToHeight="100" orientation="portrait" blackAndWhite="1" horizontalDpi="1200" verticalDpi="1200" r:id="rId1"/>
  <headerFooter alignWithMargins="0">
    <oddFooter>&amp;C&amp;P/&amp;N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AA39"/>
  <sheetViews>
    <sheetView view="pageBreakPreview" zoomScaleNormal="100" workbookViewId="0">
      <selection sqref="A1:AA1"/>
    </sheetView>
  </sheetViews>
  <sheetFormatPr defaultColWidth="7" defaultRowHeight="20.100000000000001" customHeight="1"/>
  <cols>
    <col min="1" max="1" width="12.796875" style="65" customWidth="1"/>
    <col min="2" max="2" width="8" style="65" customWidth="1"/>
    <col min="3" max="3" width="9.8984375" style="65" customWidth="1"/>
    <col min="4" max="4" width="9" style="65" customWidth="1"/>
    <col min="5" max="6" width="8.09765625" style="65" customWidth="1"/>
    <col min="7" max="7" width="9.19921875" style="65" customWidth="1"/>
    <col min="8" max="8" width="9.5" style="65" customWidth="1"/>
    <col min="9" max="9" width="8.5" style="65" customWidth="1"/>
    <col min="10" max="10" width="7.69921875" style="65" customWidth="1"/>
    <col min="11" max="11" width="7.09765625" style="65" customWidth="1"/>
    <col min="12" max="12" width="7.8984375" style="65" customWidth="1"/>
    <col min="13" max="14" width="8.5" style="65" customWidth="1"/>
    <col min="15" max="17" width="9.3984375" style="65" customWidth="1"/>
    <col min="18" max="18" width="8.19921875" style="65" customWidth="1"/>
    <col min="19" max="19" width="9.19921875" style="65" customWidth="1"/>
    <col min="20" max="20" width="8.796875" style="65" customWidth="1"/>
    <col min="21" max="24" width="7.19921875" style="65" customWidth="1"/>
    <col min="25" max="25" width="4.59765625" style="65" customWidth="1"/>
    <col min="26" max="26" width="7.3984375" style="65" customWidth="1"/>
    <col min="27" max="27" width="4.59765625" style="65" customWidth="1"/>
    <col min="28" max="16384" width="7" style="65"/>
  </cols>
  <sheetData>
    <row r="1" spans="1:27" ht="20.100000000000001" customHeight="1">
      <c r="A1" s="344" t="s">
        <v>28</v>
      </c>
      <c r="B1" s="344"/>
      <c r="C1" s="344"/>
      <c r="D1" s="344"/>
      <c r="E1" s="344"/>
      <c r="F1" s="344"/>
      <c r="G1" s="344"/>
      <c r="H1" s="344"/>
      <c r="I1" s="344"/>
      <c r="J1" s="344"/>
      <c r="K1" s="344"/>
      <c r="L1" s="344"/>
      <c r="M1" s="344"/>
      <c r="N1" s="344"/>
      <c r="O1" s="344"/>
      <c r="P1" s="344"/>
      <c r="Q1" s="344"/>
      <c r="R1" s="344"/>
      <c r="S1" s="344"/>
      <c r="T1" s="344"/>
      <c r="U1" s="344"/>
      <c r="V1" s="344"/>
      <c r="W1" s="344"/>
      <c r="X1" s="344"/>
      <c r="Y1" s="344"/>
      <c r="Z1" s="344"/>
      <c r="AA1" s="344"/>
    </row>
    <row r="2" spans="1:27" ht="20.100000000000001" customHeight="1">
      <c r="A2" s="345" t="s">
        <v>133</v>
      </c>
      <c r="B2" s="345"/>
      <c r="C2" s="345"/>
      <c r="D2" s="345"/>
      <c r="E2" s="345"/>
      <c r="F2" s="345"/>
      <c r="G2" s="345"/>
      <c r="H2" s="345"/>
      <c r="I2" s="345"/>
      <c r="J2" s="345"/>
      <c r="K2" s="345"/>
      <c r="L2" s="345"/>
      <c r="M2" s="345"/>
      <c r="N2" s="345"/>
      <c r="O2" s="345"/>
      <c r="P2" s="345"/>
      <c r="Q2" s="345"/>
      <c r="R2" s="345"/>
      <c r="S2" s="345"/>
      <c r="T2" s="345"/>
      <c r="U2" s="345"/>
      <c r="V2" s="345"/>
      <c r="W2" s="345"/>
      <c r="X2" s="345"/>
      <c r="Y2" s="345"/>
      <c r="Z2" s="345"/>
      <c r="AA2" s="345"/>
    </row>
    <row r="3" spans="1:27" ht="20.100000000000001" customHeight="1">
      <c r="A3" s="135" t="str">
        <f>底稿目录!A2</f>
        <v>被审计单位：</v>
      </c>
      <c r="B3" s="135"/>
      <c r="C3" s="135"/>
      <c r="D3" s="135"/>
      <c r="E3" s="135"/>
      <c r="F3" s="135"/>
      <c r="G3" s="135"/>
      <c r="H3" s="135"/>
      <c r="I3" s="135"/>
      <c r="J3" s="135" t="str">
        <f>底稿目录!A4</f>
        <v>编制人：</v>
      </c>
      <c r="K3" s="135"/>
      <c r="M3" s="135"/>
      <c r="N3" s="135"/>
      <c r="R3" s="135" t="str">
        <f>底稿目录!A5</f>
        <v>编制日期：</v>
      </c>
      <c r="X3" s="135"/>
      <c r="Z3" s="164" t="s">
        <v>29</v>
      </c>
      <c r="AA3" s="309" t="s">
        <v>17</v>
      </c>
    </row>
    <row r="4" spans="1:27" ht="20.100000000000001" customHeight="1">
      <c r="A4" s="135" t="str">
        <f>底稿目录!A3</f>
        <v>截止日：202X年12月31日</v>
      </c>
      <c r="B4" s="135"/>
      <c r="C4" s="135"/>
      <c r="D4" s="135"/>
      <c r="E4" s="135"/>
      <c r="F4" s="135"/>
      <c r="G4" s="135"/>
      <c r="H4" s="135"/>
      <c r="I4" s="135"/>
      <c r="J4" s="135" t="str">
        <f>底稿目录!A6</f>
        <v>复核人：</v>
      </c>
      <c r="K4" s="135"/>
      <c r="M4" s="135"/>
      <c r="N4" s="135"/>
      <c r="R4" s="135" t="str">
        <f>底稿目录!A7</f>
        <v>复核日期：</v>
      </c>
      <c r="X4" s="135"/>
      <c r="Z4" s="164" t="s">
        <v>79</v>
      </c>
    </row>
    <row r="5" spans="1:27" ht="20.100000000000001" customHeight="1">
      <c r="A5" s="136" t="s">
        <v>134</v>
      </c>
      <c r="B5" s="136"/>
      <c r="C5" s="137"/>
      <c r="D5" s="137"/>
      <c r="E5" s="135"/>
      <c r="F5" s="135"/>
      <c r="G5" s="135"/>
      <c r="H5" s="135"/>
      <c r="I5" s="135"/>
      <c r="J5" s="135"/>
      <c r="K5" s="135"/>
      <c r="L5" s="135"/>
      <c r="M5" s="135"/>
      <c r="N5" s="135"/>
      <c r="O5" s="135"/>
      <c r="P5" s="135"/>
      <c r="Q5" s="135"/>
      <c r="T5" s="165"/>
      <c r="U5" s="135"/>
      <c r="V5" s="135"/>
      <c r="X5" s="135"/>
      <c r="Y5" s="135"/>
      <c r="Z5" s="135"/>
    </row>
    <row r="6" spans="1:27" ht="20.100000000000001" customHeight="1">
      <c r="A6" s="138" t="s">
        <v>135</v>
      </c>
      <c r="B6" s="138"/>
      <c r="C6" s="138"/>
      <c r="D6" s="138"/>
      <c r="E6" s="135"/>
      <c r="F6" s="135"/>
      <c r="G6" s="135"/>
      <c r="H6" s="135"/>
      <c r="I6" s="135"/>
      <c r="J6" s="135"/>
      <c r="K6" s="135"/>
      <c r="L6" s="135"/>
      <c r="M6" s="135"/>
      <c r="N6" s="135"/>
      <c r="O6" s="135"/>
      <c r="P6" s="135"/>
      <c r="Q6" s="135"/>
      <c r="R6" s="159"/>
      <c r="T6" s="165"/>
      <c r="U6" s="135"/>
      <c r="V6" s="135"/>
      <c r="X6" s="135"/>
      <c r="Y6" s="135"/>
      <c r="Z6" s="135"/>
    </row>
    <row r="7" spans="1:27" ht="20.100000000000001" customHeight="1">
      <c r="A7" s="139" t="s">
        <v>136</v>
      </c>
      <c r="B7" s="139"/>
      <c r="C7" s="135"/>
      <c r="D7" s="135"/>
      <c r="E7" s="135"/>
      <c r="F7" s="135"/>
      <c r="G7" s="135"/>
      <c r="H7" s="135"/>
      <c r="I7" s="135"/>
      <c r="J7" s="135"/>
      <c r="K7" s="135"/>
      <c r="L7" s="135"/>
      <c r="M7" s="135"/>
      <c r="N7" s="135"/>
      <c r="O7" s="135"/>
      <c r="P7" s="135"/>
      <c r="Q7" s="135"/>
      <c r="T7" s="165"/>
      <c r="U7" s="135"/>
      <c r="V7" s="135"/>
      <c r="X7" s="135"/>
      <c r="Y7" s="135"/>
      <c r="Z7" s="135"/>
    </row>
    <row r="8" spans="1:27" ht="20.100000000000001" customHeight="1">
      <c r="A8" s="140" t="s">
        <v>137</v>
      </c>
      <c r="B8" s="140"/>
      <c r="C8" s="135"/>
      <c r="D8" s="135"/>
      <c r="E8" s="135"/>
      <c r="F8" s="135"/>
      <c r="G8" s="135"/>
      <c r="H8" s="135"/>
      <c r="I8" s="135"/>
      <c r="J8" s="135"/>
      <c r="K8" s="135"/>
      <c r="L8" s="135"/>
      <c r="M8" s="135"/>
      <c r="N8" s="135"/>
      <c r="O8" s="135"/>
      <c r="P8" s="135"/>
      <c r="Q8" s="135"/>
      <c r="T8" s="165"/>
      <c r="U8" s="135"/>
      <c r="V8" s="135"/>
      <c r="X8" s="135"/>
      <c r="Y8" s="135"/>
      <c r="Z8" s="135"/>
    </row>
    <row r="9" spans="1:27" ht="20.100000000000001" customHeight="1">
      <c r="A9" s="141"/>
      <c r="B9" s="141"/>
      <c r="C9" s="135"/>
      <c r="D9" s="135"/>
      <c r="E9" s="135"/>
      <c r="F9" s="135"/>
      <c r="G9" s="135"/>
      <c r="H9" s="135"/>
      <c r="I9" s="135"/>
      <c r="J9" s="135"/>
      <c r="K9" s="135"/>
      <c r="L9" s="135"/>
      <c r="M9" s="135"/>
      <c r="N9" s="135"/>
      <c r="O9" s="135"/>
      <c r="P9" s="135"/>
      <c r="Q9" s="135"/>
      <c r="R9" s="141"/>
      <c r="T9" s="165"/>
      <c r="U9" s="135"/>
      <c r="V9" s="135"/>
      <c r="X9" s="135"/>
      <c r="Y9" s="135"/>
      <c r="Z9" s="135"/>
    </row>
    <row r="10" spans="1:27" ht="20.100000000000001" customHeight="1">
      <c r="A10" s="342" t="s">
        <v>138</v>
      </c>
      <c r="B10" s="350" t="s">
        <v>321</v>
      </c>
      <c r="C10" s="342" t="s">
        <v>139</v>
      </c>
      <c r="D10" s="342" t="s">
        <v>140</v>
      </c>
      <c r="E10" s="340" t="s">
        <v>141</v>
      </c>
      <c r="F10" s="340" t="s">
        <v>142</v>
      </c>
      <c r="G10" s="340" t="s">
        <v>143</v>
      </c>
      <c r="H10" s="340" t="s">
        <v>144</v>
      </c>
      <c r="I10" s="346" t="s">
        <v>145</v>
      </c>
      <c r="J10" s="347"/>
      <c r="K10" s="347"/>
      <c r="L10" s="348"/>
      <c r="M10" s="340" t="s">
        <v>146</v>
      </c>
      <c r="N10" s="340" t="s">
        <v>147</v>
      </c>
      <c r="O10" s="340" t="s">
        <v>118</v>
      </c>
      <c r="P10" s="352" t="s">
        <v>322</v>
      </c>
      <c r="Q10" s="343" t="s">
        <v>323</v>
      </c>
      <c r="R10" s="340" t="s">
        <v>148</v>
      </c>
      <c r="S10" s="340" t="s">
        <v>149</v>
      </c>
      <c r="T10" s="342" t="s">
        <v>150</v>
      </c>
      <c r="U10" s="166" t="s">
        <v>151</v>
      </c>
      <c r="V10" s="166"/>
      <c r="W10" s="166"/>
      <c r="X10" s="166"/>
      <c r="Y10" s="340" t="s">
        <v>152</v>
      </c>
      <c r="Z10" s="342" t="s">
        <v>153</v>
      </c>
      <c r="AA10" s="342" t="s">
        <v>154</v>
      </c>
    </row>
    <row r="11" spans="1:27" ht="20.100000000000001" customHeight="1">
      <c r="A11" s="342"/>
      <c r="B11" s="351"/>
      <c r="C11" s="342"/>
      <c r="D11" s="342"/>
      <c r="E11" s="341"/>
      <c r="F11" s="349"/>
      <c r="G11" s="349"/>
      <c r="H11" s="349"/>
      <c r="I11" s="111" t="s">
        <v>155</v>
      </c>
      <c r="J11" s="160" t="s">
        <v>156</v>
      </c>
      <c r="K11" s="160" t="s">
        <v>157</v>
      </c>
      <c r="L11" s="111" t="s">
        <v>101</v>
      </c>
      <c r="M11" s="341"/>
      <c r="N11" s="341"/>
      <c r="O11" s="341"/>
      <c r="P11" s="353"/>
      <c r="Q11" s="343" t="s">
        <v>324</v>
      </c>
      <c r="R11" s="341"/>
      <c r="S11" s="341"/>
      <c r="T11" s="342"/>
      <c r="U11" s="111" t="s">
        <v>155</v>
      </c>
      <c r="V11" s="111" t="s">
        <v>156</v>
      </c>
      <c r="W11" s="111" t="s">
        <v>157</v>
      </c>
      <c r="X11" s="111" t="s">
        <v>101</v>
      </c>
      <c r="Y11" s="341"/>
      <c r="Z11" s="342"/>
      <c r="AA11" s="342"/>
    </row>
    <row r="12" spans="1:27" ht="20.100000000000001" customHeight="1">
      <c r="A12" s="142"/>
      <c r="B12" s="142"/>
      <c r="C12" s="143"/>
      <c r="D12" s="144"/>
      <c r="E12" s="145"/>
      <c r="F12" s="145"/>
      <c r="G12" s="145"/>
      <c r="H12" s="24">
        <f>E12+F12+G12</f>
        <v>0</v>
      </c>
      <c r="I12" s="145"/>
      <c r="J12" s="145"/>
      <c r="K12" s="145"/>
      <c r="L12" s="145"/>
      <c r="M12" s="145"/>
      <c r="N12" s="145"/>
      <c r="O12" s="161">
        <f>E12+N12-M12</f>
        <v>0</v>
      </c>
      <c r="P12" s="294"/>
      <c r="Q12" s="295">
        <f>O12+P12</f>
        <v>0</v>
      </c>
      <c r="R12" s="162"/>
      <c r="S12" s="162"/>
      <c r="T12" s="161">
        <f>Q12+R12+S12</f>
        <v>0</v>
      </c>
      <c r="U12" s="145"/>
      <c r="V12" s="162"/>
      <c r="W12" s="145"/>
      <c r="X12" s="145"/>
      <c r="Y12" s="167"/>
      <c r="Z12" s="145"/>
      <c r="AA12" s="167"/>
    </row>
    <row r="13" spans="1:27" ht="20.100000000000001" customHeight="1">
      <c r="A13" s="142"/>
      <c r="B13" s="142"/>
      <c r="C13" s="143"/>
      <c r="D13" s="144"/>
      <c r="E13" s="145"/>
      <c r="F13" s="145"/>
      <c r="G13" s="145"/>
      <c r="H13" s="24">
        <f t="shared" ref="H13:H23" si="0">E13+F13+G13</f>
        <v>0</v>
      </c>
      <c r="I13" s="145"/>
      <c r="J13" s="145"/>
      <c r="K13" s="145"/>
      <c r="L13" s="145"/>
      <c r="M13" s="145"/>
      <c r="N13" s="145"/>
      <c r="O13" s="161">
        <f t="shared" ref="O13:O23" si="1">E13+N13-M13</f>
        <v>0</v>
      </c>
      <c r="P13" s="294"/>
      <c r="Q13" s="295">
        <f t="shared" ref="Q13:Q23" si="2">O13+P13</f>
        <v>0</v>
      </c>
      <c r="R13" s="162"/>
      <c r="S13" s="162"/>
      <c r="T13" s="161">
        <f t="shared" ref="T13:T23" si="3">Q13+R13+S13</f>
        <v>0</v>
      </c>
      <c r="U13" s="145"/>
      <c r="V13" s="162"/>
      <c r="W13" s="145"/>
      <c r="X13" s="145"/>
      <c r="Y13" s="167"/>
      <c r="Z13" s="145"/>
      <c r="AA13" s="167"/>
    </row>
    <row r="14" spans="1:27" ht="20.100000000000001" customHeight="1">
      <c r="A14" s="142"/>
      <c r="B14" s="142"/>
      <c r="C14" s="143"/>
      <c r="D14" s="144"/>
      <c r="E14" s="145"/>
      <c r="F14" s="145"/>
      <c r="G14" s="145"/>
      <c r="H14" s="24">
        <f t="shared" si="0"/>
        <v>0</v>
      </c>
      <c r="I14" s="145"/>
      <c r="J14" s="145"/>
      <c r="K14" s="145"/>
      <c r="L14" s="145"/>
      <c r="M14" s="145"/>
      <c r="N14" s="145"/>
      <c r="O14" s="161">
        <f t="shared" si="1"/>
        <v>0</v>
      </c>
      <c r="P14" s="294"/>
      <c r="Q14" s="295">
        <f t="shared" si="2"/>
        <v>0</v>
      </c>
      <c r="R14" s="162"/>
      <c r="S14" s="162"/>
      <c r="T14" s="161">
        <f t="shared" si="3"/>
        <v>0</v>
      </c>
      <c r="U14" s="145"/>
      <c r="V14" s="162"/>
      <c r="W14" s="145"/>
      <c r="X14" s="145"/>
      <c r="Y14" s="167"/>
      <c r="Z14" s="145"/>
      <c r="AA14" s="167"/>
    </row>
    <row r="15" spans="1:27" ht="20.100000000000001" customHeight="1">
      <c r="A15" s="142"/>
      <c r="B15" s="142"/>
      <c r="C15" s="143"/>
      <c r="D15" s="144"/>
      <c r="E15" s="145"/>
      <c r="F15" s="145"/>
      <c r="G15" s="145"/>
      <c r="H15" s="24">
        <f t="shared" si="0"/>
        <v>0</v>
      </c>
      <c r="I15" s="145"/>
      <c r="J15" s="145"/>
      <c r="K15" s="145"/>
      <c r="L15" s="145"/>
      <c r="M15" s="145"/>
      <c r="N15" s="145"/>
      <c r="O15" s="161">
        <f t="shared" si="1"/>
        <v>0</v>
      </c>
      <c r="P15" s="294"/>
      <c r="Q15" s="295">
        <f t="shared" si="2"/>
        <v>0</v>
      </c>
      <c r="R15" s="162"/>
      <c r="S15" s="162"/>
      <c r="T15" s="161">
        <f t="shared" si="3"/>
        <v>0</v>
      </c>
      <c r="U15" s="145"/>
      <c r="V15" s="162"/>
      <c r="W15" s="145"/>
      <c r="X15" s="145"/>
      <c r="Y15" s="167"/>
      <c r="Z15" s="145"/>
      <c r="AA15" s="167"/>
    </row>
    <row r="16" spans="1:27" ht="20.100000000000001" customHeight="1">
      <c r="A16" s="142"/>
      <c r="B16" s="142"/>
      <c r="C16" s="143"/>
      <c r="D16" s="144"/>
      <c r="E16" s="145"/>
      <c r="F16" s="145"/>
      <c r="G16" s="145"/>
      <c r="H16" s="24">
        <f t="shared" si="0"/>
        <v>0</v>
      </c>
      <c r="I16" s="145"/>
      <c r="J16" s="145"/>
      <c r="K16" s="145"/>
      <c r="L16" s="145"/>
      <c r="M16" s="145"/>
      <c r="N16" s="145"/>
      <c r="O16" s="161">
        <f t="shared" si="1"/>
        <v>0</v>
      </c>
      <c r="P16" s="294"/>
      <c r="Q16" s="295">
        <f t="shared" si="2"/>
        <v>0</v>
      </c>
      <c r="R16" s="162"/>
      <c r="S16" s="162"/>
      <c r="T16" s="161">
        <f t="shared" si="3"/>
        <v>0</v>
      </c>
      <c r="U16" s="145"/>
      <c r="V16" s="162"/>
      <c r="W16" s="145"/>
      <c r="X16" s="145"/>
      <c r="Y16" s="167"/>
      <c r="Z16" s="145"/>
      <c r="AA16" s="167"/>
    </row>
    <row r="17" spans="1:27" ht="20.100000000000001" customHeight="1">
      <c r="A17" s="142"/>
      <c r="B17" s="142"/>
      <c r="C17" s="143"/>
      <c r="D17" s="144"/>
      <c r="E17" s="145"/>
      <c r="F17" s="145"/>
      <c r="G17" s="145"/>
      <c r="H17" s="24">
        <f t="shared" si="0"/>
        <v>0</v>
      </c>
      <c r="I17" s="145"/>
      <c r="J17" s="145"/>
      <c r="K17" s="145"/>
      <c r="L17" s="145"/>
      <c r="M17" s="145"/>
      <c r="N17" s="145"/>
      <c r="O17" s="161">
        <f t="shared" si="1"/>
        <v>0</v>
      </c>
      <c r="P17" s="294"/>
      <c r="Q17" s="295">
        <f t="shared" si="2"/>
        <v>0</v>
      </c>
      <c r="R17" s="162"/>
      <c r="S17" s="162"/>
      <c r="T17" s="161">
        <f t="shared" si="3"/>
        <v>0</v>
      </c>
      <c r="U17" s="145"/>
      <c r="V17" s="162"/>
      <c r="W17" s="145"/>
      <c r="X17" s="145"/>
      <c r="Y17" s="167"/>
      <c r="Z17" s="145"/>
      <c r="AA17" s="167"/>
    </row>
    <row r="18" spans="1:27" ht="20.100000000000001" customHeight="1">
      <c r="A18" s="142"/>
      <c r="B18" s="142"/>
      <c r="C18" s="143"/>
      <c r="D18" s="144"/>
      <c r="E18" s="145"/>
      <c r="F18" s="145"/>
      <c r="G18" s="145"/>
      <c r="H18" s="24">
        <f t="shared" si="0"/>
        <v>0</v>
      </c>
      <c r="I18" s="145"/>
      <c r="J18" s="145"/>
      <c r="K18" s="145"/>
      <c r="L18" s="145"/>
      <c r="M18" s="145"/>
      <c r="N18" s="145"/>
      <c r="O18" s="161">
        <f t="shared" si="1"/>
        <v>0</v>
      </c>
      <c r="P18" s="294"/>
      <c r="Q18" s="295">
        <f t="shared" si="2"/>
        <v>0</v>
      </c>
      <c r="R18" s="162"/>
      <c r="S18" s="162"/>
      <c r="T18" s="161">
        <f t="shared" si="3"/>
        <v>0</v>
      </c>
      <c r="U18" s="145"/>
      <c r="V18" s="162"/>
      <c r="W18" s="145"/>
      <c r="X18" s="145"/>
      <c r="Y18" s="167"/>
      <c r="Z18" s="145"/>
      <c r="AA18" s="167"/>
    </row>
    <row r="19" spans="1:27" ht="20.100000000000001" customHeight="1">
      <c r="A19" s="142"/>
      <c r="B19" s="142"/>
      <c r="C19" s="143"/>
      <c r="D19" s="144"/>
      <c r="E19" s="145"/>
      <c r="F19" s="145"/>
      <c r="G19" s="145"/>
      <c r="H19" s="24">
        <f t="shared" si="0"/>
        <v>0</v>
      </c>
      <c r="I19" s="145"/>
      <c r="J19" s="145"/>
      <c r="K19" s="145"/>
      <c r="L19" s="145"/>
      <c r="M19" s="145"/>
      <c r="N19" s="145"/>
      <c r="O19" s="161">
        <f t="shared" si="1"/>
        <v>0</v>
      </c>
      <c r="P19" s="294"/>
      <c r="Q19" s="295">
        <f t="shared" si="2"/>
        <v>0</v>
      </c>
      <c r="R19" s="162"/>
      <c r="S19" s="162"/>
      <c r="T19" s="161">
        <f t="shared" si="3"/>
        <v>0</v>
      </c>
      <c r="U19" s="145"/>
      <c r="V19" s="162"/>
      <c r="W19" s="145"/>
      <c r="X19" s="145"/>
      <c r="Y19" s="167"/>
      <c r="Z19" s="145"/>
      <c r="AA19" s="167"/>
    </row>
    <row r="20" spans="1:27" ht="20.100000000000001" customHeight="1">
      <c r="A20" s="142"/>
      <c r="B20" s="142"/>
      <c r="C20" s="143"/>
      <c r="D20" s="144"/>
      <c r="E20" s="145"/>
      <c r="F20" s="145"/>
      <c r="G20" s="145"/>
      <c r="H20" s="24">
        <f t="shared" si="0"/>
        <v>0</v>
      </c>
      <c r="I20" s="145"/>
      <c r="J20" s="145"/>
      <c r="K20" s="145"/>
      <c r="L20" s="145"/>
      <c r="M20" s="145"/>
      <c r="N20" s="145"/>
      <c r="O20" s="161">
        <f t="shared" si="1"/>
        <v>0</v>
      </c>
      <c r="P20" s="294"/>
      <c r="Q20" s="295">
        <f t="shared" si="2"/>
        <v>0</v>
      </c>
      <c r="R20" s="162"/>
      <c r="S20" s="162"/>
      <c r="T20" s="161">
        <f t="shared" si="3"/>
        <v>0</v>
      </c>
      <c r="U20" s="145"/>
      <c r="V20" s="162"/>
      <c r="W20" s="145"/>
      <c r="X20" s="145"/>
      <c r="Y20" s="167"/>
      <c r="Z20" s="145"/>
      <c r="AA20" s="167"/>
    </row>
    <row r="21" spans="1:27" ht="20.100000000000001" customHeight="1">
      <c r="A21" s="142"/>
      <c r="B21" s="142"/>
      <c r="C21" s="143"/>
      <c r="D21" s="144"/>
      <c r="E21" s="145"/>
      <c r="F21" s="145"/>
      <c r="G21" s="145"/>
      <c r="H21" s="24">
        <f t="shared" si="0"/>
        <v>0</v>
      </c>
      <c r="I21" s="145"/>
      <c r="J21" s="145"/>
      <c r="K21" s="145"/>
      <c r="L21" s="145"/>
      <c r="M21" s="145"/>
      <c r="N21" s="145"/>
      <c r="O21" s="161">
        <f t="shared" si="1"/>
        <v>0</v>
      </c>
      <c r="P21" s="294"/>
      <c r="Q21" s="295">
        <f t="shared" si="2"/>
        <v>0</v>
      </c>
      <c r="R21" s="162"/>
      <c r="S21" s="162"/>
      <c r="T21" s="161">
        <f t="shared" si="3"/>
        <v>0</v>
      </c>
      <c r="U21" s="145"/>
      <c r="V21" s="162"/>
      <c r="W21" s="145"/>
      <c r="X21" s="145"/>
      <c r="Y21" s="167"/>
      <c r="Z21" s="145"/>
      <c r="AA21" s="167"/>
    </row>
    <row r="22" spans="1:27" ht="20.100000000000001" customHeight="1">
      <c r="A22" s="142"/>
      <c r="B22" s="142"/>
      <c r="C22" s="143"/>
      <c r="D22" s="144"/>
      <c r="E22" s="145"/>
      <c r="F22" s="145"/>
      <c r="G22" s="145"/>
      <c r="H22" s="24">
        <f t="shared" si="0"/>
        <v>0</v>
      </c>
      <c r="I22" s="145"/>
      <c r="J22" s="145"/>
      <c r="K22" s="145"/>
      <c r="L22" s="145"/>
      <c r="M22" s="145"/>
      <c r="N22" s="145"/>
      <c r="O22" s="161">
        <f t="shared" si="1"/>
        <v>0</v>
      </c>
      <c r="P22" s="294"/>
      <c r="Q22" s="295">
        <f t="shared" si="2"/>
        <v>0</v>
      </c>
      <c r="R22" s="162"/>
      <c r="S22" s="162"/>
      <c r="T22" s="161">
        <f t="shared" si="3"/>
        <v>0</v>
      </c>
      <c r="U22" s="145"/>
      <c r="V22" s="162"/>
      <c r="W22" s="145"/>
      <c r="X22" s="145"/>
      <c r="Y22" s="167"/>
      <c r="Z22" s="145"/>
      <c r="AA22" s="167"/>
    </row>
    <row r="23" spans="1:27" ht="20.100000000000001" customHeight="1">
      <c r="A23" s="142"/>
      <c r="B23" s="142"/>
      <c r="C23" s="143"/>
      <c r="D23" s="144"/>
      <c r="E23" s="145"/>
      <c r="F23" s="145"/>
      <c r="G23" s="145"/>
      <c r="H23" s="24">
        <f t="shared" si="0"/>
        <v>0</v>
      </c>
      <c r="I23" s="145"/>
      <c r="J23" s="145"/>
      <c r="K23" s="145"/>
      <c r="L23" s="145"/>
      <c r="M23" s="145"/>
      <c r="N23" s="145"/>
      <c r="O23" s="161">
        <f t="shared" si="1"/>
        <v>0</v>
      </c>
      <c r="P23" s="294"/>
      <c r="Q23" s="295">
        <f t="shared" si="2"/>
        <v>0</v>
      </c>
      <c r="R23" s="162"/>
      <c r="S23" s="162"/>
      <c r="T23" s="161">
        <f t="shared" si="3"/>
        <v>0</v>
      </c>
      <c r="U23" s="145"/>
      <c r="V23" s="162"/>
      <c r="W23" s="145"/>
      <c r="X23" s="145"/>
      <c r="Y23" s="167"/>
      <c r="Z23" s="145"/>
      <c r="AA23" s="167"/>
    </row>
    <row r="24" spans="1:27" s="134" customFormat="1" ht="20.100000000000001" customHeight="1">
      <c r="A24" s="146" t="s">
        <v>96</v>
      </c>
      <c r="B24" s="146"/>
      <c r="C24" s="147"/>
      <c r="D24" s="147"/>
      <c r="E24" s="148">
        <f>SUM(E12:E23)</f>
        <v>0</v>
      </c>
      <c r="F24" s="148">
        <f t="shared" ref="F24:Q24" si="4">SUM(F12:F23)</f>
        <v>0</v>
      </c>
      <c r="G24" s="148">
        <f t="shared" si="4"/>
        <v>0</v>
      </c>
      <c r="H24" s="148">
        <f t="shared" si="4"/>
        <v>0</v>
      </c>
      <c r="I24" s="148">
        <f t="shared" si="4"/>
        <v>0</v>
      </c>
      <c r="J24" s="148">
        <f t="shared" si="4"/>
        <v>0</v>
      </c>
      <c r="K24" s="148">
        <f t="shared" si="4"/>
        <v>0</v>
      </c>
      <c r="L24" s="148">
        <f t="shared" si="4"/>
        <v>0</v>
      </c>
      <c r="M24" s="148">
        <f t="shared" si="4"/>
        <v>0</v>
      </c>
      <c r="N24" s="148">
        <f t="shared" si="4"/>
        <v>0</v>
      </c>
      <c r="O24" s="148">
        <f t="shared" si="4"/>
        <v>0</v>
      </c>
      <c r="P24" s="148">
        <f t="shared" si="4"/>
        <v>0</v>
      </c>
      <c r="Q24" s="148">
        <f t="shared" si="4"/>
        <v>0</v>
      </c>
      <c r="R24" s="148">
        <f t="shared" ref="R24:Z24" si="5">SUM(R12:R23)</f>
        <v>0</v>
      </c>
      <c r="S24" s="148">
        <f t="shared" si="5"/>
        <v>0</v>
      </c>
      <c r="T24" s="148">
        <f>SUM(T12:T23)</f>
        <v>0</v>
      </c>
      <c r="U24" s="148">
        <f t="shared" si="5"/>
        <v>0</v>
      </c>
      <c r="V24" s="148">
        <f t="shared" si="5"/>
        <v>0</v>
      </c>
      <c r="W24" s="148">
        <f t="shared" si="5"/>
        <v>0</v>
      </c>
      <c r="X24" s="148">
        <f t="shared" si="5"/>
        <v>0</v>
      </c>
      <c r="Y24" s="168"/>
      <c r="Z24" s="169">
        <f t="shared" si="5"/>
        <v>0</v>
      </c>
      <c r="AA24" s="168"/>
    </row>
    <row r="25" spans="1:27" s="134" customFormat="1" ht="20.100000000000001" customHeight="1">
      <c r="A25" s="149" t="s">
        <v>158</v>
      </c>
      <c r="B25" s="292"/>
      <c r="C25" s="150"/>
      <c r="D25" s="150"/>
      <c r="E25" s="151"/>
      <c r="F25" s="151"/>
      <c r="G25" s="151"/>
      <c r="H25" s="151"/>
      <c r="I25" s="151"/>
      <c r="J25" s="151"/>
      <c r="K25" s="151"/>
      <c r="L25" s="151"/>
      <c r="M25" s="151"/>
      <c r="N25" s="151"/>
      <c r="O25" s="163"/>
      <c r="P25" s="293"/>
      <c r="Q25" s="293"/>
      <c r="R25" s="151"/>
      <c r="S25" s="151"/>
      <c r="T25" s="163" t="str">
        <f>IF((T24-U24-V24-W24-X24)=0,"OK","账龄与审定不匹配")</f>
        <v>OK</v>
      </c>
      <c r="U25" s="151"/>
      <c r="V25" s="296" t="b">
        <f>IF(V24&lt;=I24,TRUE,FALSE)</f>
        <v>1</v>
      </c>
      <c r="W25" s="296" t="b">
        <f>IF(W24&lt;=J24,TRUE,FALSE)</f>
        <v>1</v>
      </c>
      <c r="X25" s="296" t="b">
        <f>IF(X24&lt;=(K24+L24),TRUE,FALSE)</f>
        <v>1</v>
      </c>
      <c r="Y25" s="170"/>
      <c r="Z25" s="151"/>
      <c r="AA25" s="171"/>
    </row>
    <row r="26" spans="1:27" ht="20.100000000000001" customHeight="1">
      <c r="A26" s="152" t="s">
        <v>159</v>
      </c>
      <c r="B26" s="152"/>
      <c r="C26" s="153"/>
      <c r="D26" s="153"/>
      <c r="E26" s="153"/>
      <c r="F26" s="153"/>
      <c r="G26" s="153"/>
      <c r="H26" s="153"/>
      <c r="I26" s="153"/>
      <c r="J26" s="153"/>
      <c r="K26" s="153"/>
      <c r="L26" s="153"/>
      <c r="M26" s="153"/>
      <c r="N26" s="153"/>
      <c r="O26" s="153"/>
      <c r="P26" s="153"/>
      <c r="Q26" s="153"/>
      <c r="R26" s="153"/>
      <c r="S26" s="153"/>
      <c r="T26" s="172"/>
      <c r="U26" s="173"/>
      <c r="V26" s="173"/>
      <c r="W26" s="173"/>
      <c r="X26" s="173"/>
      <c r="Y26" s="153"/>
      <c r="Z26" s="173"/>
      <c r="AA26" s="173"/>
    </row>
    <row r="27" spans="1:27" ht="20.100000000000001" customHeight="1">
      <c r="A27" s="154" t="s">
        <v>160</v>
      </c>
      <c r="B27" s="154"/>
      <c r="C27" s="155"/>
      <c r="D27" s="155"/>
      <c r="E27" s="135"/>
      <c r="F27" s="135"/>
      <c r="G27" s="135"/>
      <c r="H27" s="135"/>
      <c r="I27" s="135"/>
      <c r="J27" s="135"/>
      <c r="K27" s="135"/>
      <c r="L27" s="135"/>
      <c r="M27" s="135"/>
      <c r="N27" s="135"/>
      <c r="O27" s="135"/>
      <c r="P27" s="135"/>
      <c r="Q27" s="135"/>
      <c r="R27" s="135"/>
      <c r="Y27" s="135"/>
    </row>
    <row r="28" spans="1:27" ht="20.100000000000001" customHeight="1">
      <c r="A28" s="154" t="s">
        <v>161</v>
      </c>
      <c r="B28" s="154"/>
      <c r="C28" s="155"/>
      <c r="D28" s="155"/>
      <c r="E28" s="135"/>
      <c r="F28" s="135"/>
      <c r="G28" s="135"/>
      <c r="H28" s="135"/>
      <c r="I28" s="135"/>
      <c r="J28" s="135"/>
      <c r="K28" s="135"/>
      <c r="L28" s="135"/>
      <c r="M28" s="135"/>
      <c r="N28" s="135"/>
      <c r="O28" s="135"/>
      <c r="P28" s="135"/>
      <c r="Q28" s="135"/>
      <c r="R28" s="135"/>
      <c r="Y28" s="135"/>
    </row>
    <row r="29" spans="1:27" ht="20.100000000000001" customHeight="1">
      <c r="A29" s="154" t="s">
        <v>162</v>
      </c>
      <c r="B29" s="154"/>
      <c r="C29" s="155"/>
      <c r="D29" s="155"/>
      <c r="E29" s="135"/>
      <c r="F29" s="135"/>
      <c r="G29" s="135"/>
      <c r="H29" s="135"/>
      <c r="I29" s="135"/>
      <c r="J29" s="135"/>
      <c r="K29" s="135"/>
      <c r="L29" s="135"/>
      <c r="M29" s="135"/>
      <c r="N29" s="135"/>
      <c r="O29" s="135"/>
      <c r="P29" s="135"/>
      <c r="Q29" s="135"/>
      <c r="R29" s="135"/>
      <c r="Y29" s="135"/>
    </row>
    <row r="30" spans="1:27" ht="20.100000000000001" customHeight="1">
      <c r="A30" s="139" t="s">
        <v>163</v>
      </c>
      <c r="B30" s="139"/>
      <c r="C30" s="135"/>
      <c r="D30" s="135"/>
      <c r="E30" s="135"/>
      <c r="F30" s="135"/>
      <c r="G30" s="135"/>
      <c r="H30" s="135"/>
      <c r="I30" s="135"/>
      <c r="J30" s="135"/>
      <c r="K30" s="135"/>
      <c r="L30" s="135"/>
      <c r="M30" s="135"/>
      <c r="N30" s="135"/>
      <c r="O30" s="135"/>
      <c r="P30" s="135"/>
      <c r="Q30" s="135"/>
      <c r="R30" s="135"/>
      <c r="S30" s="135"/>
      <c r="Y30" s="135"/>
    </row>
    <row r="31" spans="1:27" ht="20.100000000000001" customHeight="1">
      <c r="A31" s="139"/>
      <c r="B31" s="139"/>
      <c r="C31" s="135"/>
      <c r="D31" s="135"/>
      <c r="E31" s="135"/>
      <c r="F31" s="135"/>
      <c r="G31" s="135"/>
      <c r="H31" s="135"/>
      <c r="I31" s="135"/>
      <c r="J31" s="135"/>
      <c r="K31" s="135"/>
      <c r="L31" s="135"/>
      <c r="M31" s="135"/>
      <c r="N31" s="135"/>
      <c r="O31" s="135"/>
      <c r="P31" s="135"/>
      <c r="Q31" s="135"/>
      <c r="R31" s="135"/>
      <c r="S31" s="135"/>
      <c r="Y31" s="135"/>
    </row>
    <row r="32" spans="1:27" ht="20.100000000000001" customHeight="1">
      <c r="A32" s="135"/>
      <c r="B32" s="135"/>
      <c r="C32" s="135"/>
      <c r="D32" s="135"/>
      <c r="E32" s="135"/>
      <c r="F32" s="135"/>
      <c r="G32" s="135"/>
      <c r="H32" s="135"/>
      <c r="I32" s="135"/>
      <c r="J32" s="135"/>
      <c r="K32" s="135"/>
      <c r="L32" s="135"/>
      <c r="M32" s="135"/>
      <c r="N32" s="135"/>
      <c r="O32" s="135"/>
      <c r="P32" s="135"/>
      <c r="Q32" s="135"/>
      <c r="R32" s="135"/>
      <c r="S32" s="135"/>
      <c r="Y32" s="135"/>
    </row>
    <row r="33" spans="1:25" ht="20.100000000000001" customHeight="1">
      <c r="A33" s="135"/>
      <c r="B33" s="135"/>
      <c r="C33" s="135"/>
      <c r="D33" s="135"/>
      <c r="E33" s="135"/>
      <c r="F33" s="135"/>
      <c r="G33" s="135"/>
      <c r="H33" s="135"/>
      <c r="I33" s="135"/>
      <c r="J33" s="135"/>
      <c r="K33" s="135"/>
      <c r="L33" s="135"/>
      <c r="M33" s="135"/>
      <c r="N33" s="135"/>
      <c r="O33" s="135"/>
      <c r="P33" s="135"/>
      <c r="Q33" s="135"/>
      <c r="R33" s="135"/>
      <c r="S33" s="135"/>
      <c r="Y33" s="135"/>
    </row>
    <row r="34" spans="1:25" ht="20.100000000000001" customHeight="1">
      <c r="A34" s="156"/>
      <c r="B34" s="156"/>
      <c r="C34" s="135"/>
      <c r="D34" s="135"/>
      <c r="E34" s="135"/>
      <c r="F34" s="135"/>
      <c r="G34" s="135"/>
      <c r="H34" s="135"/>
      <c r="I34" s="135"/>
      <c r="J34" s="135"/>
      <c r="K34" s="135"/>
      <c r="L34" s="135"/>
      <c r="M34" s="135"/>
      <c r="N34" s="135"/>
      <c r="O34" s="135"/>
      <c r="P34" s="135"/>
      <c r="Q34" s="135"/>
      <c r="R34" s="135"/>
      <c r="S34" s="135"/>
      <c r="Y34" s="135"/>
    </row>
    <row r="35" spans="1:25" ht="20.100000000000001" customHeight="1">
      <c r="A35" s="156"/>
      <c r="B35" s="156"/>
      <c r="E35" s="135"/>
      <c r="F35" s="135"/>
      <c r="G35" s="135"/>
      <c r="H35" s="135"/>
      <c r="I35" s="135"/>
      <c r="J35" s="135"/>
      <c r="K35" s="135"/>
      <c r="L35" s="135"/>
      <c r="M35" s="135"/>
      <c r="N35" s="135"/>
      <c r="O35" s="135"/>
      <c r="P35" s="135"/>
      <c r="Q35" s="135"/>
      <c r="R35" s="135"/>
      <c r="S35" s="135"/>
      <c r="Y35" s="135"/>
    </row>
    <row r="36" spans="1:25" ht="20.100000000000001" customHeight="1">
      <c r="A36" s="157"/>
      <c r="B36" s="157"/>
      <c r="E36" s="135"/>
      <c r="F36" s="135"/>
      <c r="G36" s="135"/>
      <c r="H36" s="135"/>
      <c r="I36" s="135"/>
      <c r="J36" s="135"/>
      <c r="K36" s="135"/>
      <c r="L36" s="135"/>
      <c r="M36" s="135"/>
      <c r="N36" s="135"/>
      <c r="O36" s="135"/>
      <c r="P36" s="135"/>
      <c r="Q36" s="135"/>
      <c r="R36" s="135"/>
      <c r="S36" s="135"/>
      <c r="Y36" s="135"/>
    </row>
    <row r="37" spans="1:25" ht="20.100000000000001" customHeight="1">
      <c r="A37" s="158"/>
      <c r="B37" s="158"/>
      <c r="C37" s="156"/>
      <c r="D37" s="156"/>
      <c r="E37" s="135"/>
      <c r="F37" s="135"/>
      <c r="G37" s="135"/>
      <c r="H37" s="135"/>
      <c r="I37" s="135"/>
      <c r="J37" s="135"/>
      <c r="K37" s="135"/>
      <c r="L37" s="135"/>
      <c r="M37" s="135"/>
      <c r="N37" s="135"/>
      <c r="O37" s="135"/>
      <c r="P37" s="135"/>
      <c r="Q37" s="135"/>
      <c r="R37" s="135"/>
      <c r="S37" s="135"/>
      <c r="Y37" s="135"/>
    </row>
    <row r="38" spans="1:25" ht="20.100000000000001" customHeight="1">
      <c r="A38" s="158"/>
      <c r="B38" s="158"/>
      <c r="C38" s="156"/>
      <c r="D38" s="156"/>
    </row>
    <row r="39" spans="1:25" ht="20.100000000000001" customHeight="1">
      <c r="A39" s="158"/>
      <c r="B39" s="158"/>
      <c r="C39" s="156"/>
      <c r="D39" s="156"/>
    </row>
  </sheetData>
  <mergeCells count="22">
    <mergeCell ref="Z10:Z11"/>
    <mergeCell ref="AA10:AA11"/>
    <mergeCell ref="A1:AA1"/>
    <mergeCell ref="A2:AA2"/>
    <mergeCell ref="I10:L10"/>
    <mergeCell ref="A10:A11"/>
    <mergeCell ref="C10:C11"/>
    <mergeCell ref="D10:D11"/>
    <mergeCell ref="E10:E11"/>
    <mergeCell ref="F10:F11"/>
    <mergeCell ref="G10:G11"/>
    <mergeCell ref="H10:H11"/>
    <mergeCell ref="M10:M11"/>
    <mergeCell ref="N10:N11"/>
    <mergeCell ref="B10:B11"/>
    <mergeCell ref="P10:P11"/>
    <mergeCell ref="O10:O11"/>
    <mergeCell ref="R10:R11"/>
    <mergeCell ref="S10:S11"/>
    <mergeCell ref="T10:T11"/>
    <mergeCell ref="Y10:Y11"/>
    <mergeCell ref="Q10:Q11"/>
  </mergeCells>
  <phoneticPr fontId="156" type="noConversion"/>
  <dataValidations count="3">
    <dataValidation type="list" allowBlank="1" showInputMessage="1" showErrorMessage="1" prompt="如要修改下列框的选项，单击“数据-数据有效性-设置-序列-来源”，并相应修改审定表和附注披露表中的款项性质。" sqref="C23">
      <formula1>"货款,工程款,设备款,服务费,建造合同形成的已结算尚未完工款,其他"</formula1>
    </dataValidation>
    <dataValidation type="list" allowBlank="1" showInputMessage="1" showErrorMessage="1" prompt="如要修改下列框的选项，单击“数据-数据有效性-设置-序列-来源”，并相应修改审定表和附注披露表中的款项性质。" sqref="C12:C22">
      <formula1>"预收销售固定资产款,预收销售土地使用权款,合同不成立时已收取的对价,其他"</formula1>
    </dataValidation>
    <dataValidation type="list" allowBlank="1" showInputMessage="1" showErrorMessage="1" sqref="D12:D23">
      <formula1>"合并范围内关联方,合并范围外关联方,非关联方"</formula1>
    </dataValidation>
  </dataValidations>
  <hyperlinks>
    <hyperlink ref="AA3" location="底稿目录!A1" display="D3-2"/>
  </hyperlinks>
  <pageMargins left="0.70866141732283472" right="0.70866141732283472" top="0.74803149606299213" bottom="0.74803149606299213" header="0.31496062992125984" footer="0.31496062992125984"/>
  <pageSetup paperSize="9" scale="55" fitToHeight="0" orientation="landscape" blackAndWhite="1" horizontalDpi="1200" verticalDpi="1200" r:id="rId1"/>
  <headerFooter alignWithMargins="0">
    <oddFooter>&amp;C&amp;P/&amp;N</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J23"/>
  <sheetViews>
    <sheetView view="pageBreakPreview" zoomScaleNormal="100" workbookViewId="0">
      <selection sqref="A1:J1"/>
    </sheetView>
  </sheetViews>
  <sheetFormatPr defaultColWidth="9" defaultRowHeight="20.100000000000001" customHeight="1"/>
  <cols>
    <col min="1" max="1" width="12.5" style="15" customWidth="1"/>
    <col min="2" max="2" width="11.5" style="15" customWidth="1"/>
    <col min="3" max="16384" width="9" style="15"/>
  </cols>
  <sheetData>
    <row r="1" spans="1:10" ht="20.100000000000001" customHeight="1">
      <c r="A1" s="334" t="s">
        <v>28</v>
      </c>
      <c r="B1" s="334"/>
      <c r="C1" s="334"/>
      <c r="D1" s="334"/>
      <c r="E1" s="334"/>
      <c r="F1" s="334"/>
      <c r="G1" s="334"/>
      <c r="H1" s="334"/>
      <c r="I1" s="334"/>
      <c r="J1" s="334"/>
    </row>
    <row r="2" spans="1:10" ht="20.100000000000001" customHeight="1">
      <c r="A2" s="335" t="s">
        <v>164</v>
      </c>
      <c r="B2" s="335"/>
      <c r="C2" s="335"/>
      <c r="D2" s="335"/>
      <c r="E2" s="335"/>
      <c r="F2" s="335"/>
      <c r="G2" s="335"/>
      <c r="H2" s="335"/>
      <c r="I2" s="335"/>
      <c r="J2" s="335"/>
    </row>
    <row r="3" spans="1:10" ht="20.100000000000001" customHeight="1">
      <c r="A3" s="16" t="str">
        <f>底稿目录!A2</f>
        <v>被审计单位：</v>
      </c>
      <c r="B3" s="16"/>
      <c r="C3" s="16"/>
      <c r="D3" s="16" t="str">
        <f>底稿目录!A4</f>
        <v>编制人：</v>
      </c>
      <c r="E3" s="16"/>
      <c r="F3" s="16" t="str">
        <f>底稿目录!A5</f>
        <v>编制日期：</v>
      </c>
      <c r="H3" s="16"/>
      <c r="I3" s="133" t="s">
        <v>165</v>
      </c>
      <c r="J3" s="309" t="s">
        <v>19</v>
      </c>
    </row>
    <row r="4" spans="1:10" ht="20.100000000000001" customHeight="1">
      <c r="A4" s="16" t="str">
        <f>底稿目录!A3</f>
        <v>截止日：202X年12月31日</v>
      </c>
      <c r="B4" s="16"/>
      <c r="C4" s="16"/>
      <c r="D4" s="16" t="str">
        <f>底稿目录!A6</f>
        <v>复核人：</v>
      </c>
      <c r="E4" s="16"/>
      <c r="F4" s="16" t="str">
        <f>底稿目录!A7</f>
        <v>复核日期：</v>
      </c>
      <c r="H4" s="16"/>
      <c r="I4" s="133" t="s">
        <v>79</v>
      </c>
    </row>
    <row r="5" spans="1:10" ht="41.25" customHeight="1">
      <c r="A5" s="123" t="s">
        <v>166</v>
      </c>
      <c r="B5" s="124" t="s">
        <v>167</v>
      </c>
      <c r="C5" s="124" t="s">
        <v>168</v>
      </c>
      <c r="D5" s="125" t="s">
        <v>169</v>
      </c>
      <c r="E5" s="125" t="s">
        <v>170</v>
      </c>
      <c r="F5" s="126" t="s">
        <v>171</v>
      </c>
      <c r="G5" s="125" t="s">
        <v>172</v>
      </c>
      <c r="H5" s="125" t="s">
        <v>173</v>
      </c>
      <c r="I5" s="125" t="s">
        <v>174</v>
      </c>
      <c r="J5" s="125" t="s">
        <v>154</v>
      </c>
    </row>
    <row r="6" spans="1:10" ht="20.100000000000001" customHeight="1">
      <c r="A6" s="127"/>
      <c r="B6" s="127"/>
      <c r="C6" s="127"/>
      <c r="D6" s="127"/>
      <c r="E6" s="127"/>
      <c r="F6" s="127"/>
      <c r="G6" s="128"/>
      <c r="H6" s="128"/>
      <c r="I6" s="127"/>
      <c r="J6" s="127"/>
    </row>
    <row r="7" spans="1:10" ht="20.100000000000001" customHeight="1">
      <c r="A7" s="129"/>
      <c r="B7" s="127"/>
      <c r="C7" s="127"/>
      <c r="D7" s="127"/>
      <c r="E7" s="127"/>
      <c r="F7" s="127"/>
      <c r="G7" s="128"/>
      <c r="H7" s="128"/>
      <c r="I7" s="127"/>
      <c r="J7" s="127"/>
    </row>
    <row r="8" spans="1:10" ht="20.100000000000001" customHeight="1">
      <c r="A8" s="130"/>
      <c r="B8" s="127"/>
      <c r="C8" s="127"/>
      <c r="D8" s="127"/>
      <c r="E8" s="127"/>
      <c r="F8" s="127"/>
      <c r="G8" s="128"/>
      <c r="H8" s="128"/>
      <c r="I8" s="127"/>
      <c r="J8" s="127"/>
    </row>
    <row r="9" spans="1:10" ht="20.100000000000001" customHeight="1">
      <c r="A9" s="130"/>
      <c r="B9" s="127"/>
      <c r="C9" s="127"/>
      <c r="D9" s="127"/>
      <c r="E9" s="127"/>
      <c r="F9" s="127"/>
      <c r="G9" s="128"/>
      <c r="H9" s="128"/>
      <c r="I9" s="127"/>
      <c r="J9" s="127"/>
    </row>
    <row r="10" spans="1:10" ht="20.100000000000001" customHeight="1">
      <c r="A10" s="130"/>
      <c r="B10" s="127"/>
      <c r="C10" s="127"/>
      <c r="D10" s="127"/>
      <c r="E10" s="127"/>
      <c r="F10" s="127"/>
      <c r="G10" s="128"/>
      <c r="H10" s="128"/>
      <c r="I10" s="127"/>
      <c r="J10" s="127"/>
    </row>
    <row r="11" spans="1:10" ht="20.100000000000001" customHeight="1">
      <c r="A11" s="131"/>
      <c r="B11" s="127"/>
      <c r="C11" s="127"/>
      <c r="D11" s="127"/>
      <c r="E11" s="127"/>
      <c r="F11" s="127"/>
      <c r="G11" s="128"/>
      <c r="H11" s="128"/>
      <c r="I11" s="127"/>
      <c r="J11" s="127"/>
    </row>
    <row r="12" spans="1:10" ht="20.100000000000001" customHeight="1">
      <c r="A12" s="130"/>
      <c r="B12" s="127"/>
      <c r="C12" s="127"/>
      <c r="D12" s="127"/>
      <c r="E12" s="127"/>
      <c r="F12" s="127"/>
      <c r="G12" s="128"/>
      <c r="H12" s="128"/>
      <c r="I12" s="127"/>
      <c r="J12" s="127"/>
    </row>
    <row r="13" spans="1:10" ht="20.100000000000001" customHeight="1">
      <c r="A13" s="130"/>
      <c r="B13" s="127"/>
      <c r="C13" s="127"/>
      <c r="D13" s="127"/>
      <c r="E13" s="127"/>
      <c r="F13" s="127"/>
      <c r="G13" s="128"/>
      <c r="H13" s="128"/>
      <c r="I13" s="127"/>
      <c r="J13" s="127"/>
    </row>
    <row r="14" spans="1:10" ht="20.100000000000001" customHeight="1">
      <c r="A14" s="130"/>
      <c r="B14" s="127"/>
      <c r="C14" s="127"/>
      <c r="D14" s="127"/>
      <c r="E14" s="127"/>
      <c r="F14" s="127"/>
      <c r="G14" s="128"/>
      <c r="H14" s="128"/>
      <c r="I14" s="127"/>
      <c r="J14" s="127"/>
    </row>
    <row r="15" spans="1:10" ht="20.100000000000001" customHeight="1">
      <c r="A15" s="130"/>
      <c r="B15" s="127"/>
      <c r="C15" s="127"/>
      <c r="D15" s="127"/>
      <c r="E15" s="127"/>
      <c r="F15" s="127"/>
      <c r="G15" s="128"/>
      <c r="H15" s="128"/>
      <c r="I15" s="127"/>
      <c r="J15" s="127"/>
    </row>
    <row r="16" spans="1:10" ht="20.100000000000001" customHeight="1">
      <c r="A16" s="130"/>
      <c r="B16" s="127"/>
      <c r="C16" s="127"/>
      <c r="D16" s="127"/>
      <c r="E16" s="127"/>
      <c r="F16" s="127"/>
      <c r="G16" s="128"/>
      <c r="H16" s="128"/>
      <c r="I16" s="127"/>
      <c r="J16" s="127"/>
    </row>
    <row r="17" spans="1:10" ht="20.100000000000001" customHeight="1">
      <c r="A17" s="130"/>
      <c r="B17" s="127"/>
      <c r="C17" s="127"/>
      <c r="D17" s="127"/>
      <c r="E17" s="127"/>
      <c r="F17" s="127"/>
      <c r="G17" s="128"/>
      <c r="H17" s="128"/>
      <c r="I17" s="127"/>
      <c r="J17" s="127"/>
    </row>
    <row r="18" spans="1:10" ht="20.100000000000001" customHeight="1">
      <c r="A18" s="130"/>
      <c r="B18" s="127"/>
      <c r="C18" s="127"/>
      <c r="D18" s="127"/>
      <c r="E18" s="127"/>
      <c r="F18" s="127"/>
      <c r="G18" s="128"/>
      <c r="H18" s="128"/>
      <c r="I18" s="127"/>
      <c r="J18" s="127"/>
    </row>
    <row r="19" spans="1:10" ht="20.100000000000001" customHeight="1">
      <c r="A19" s="130"/>
      <c r="B19" s="127"/>
      <c r="C19" s="127"/>
      <c r="D19" s="127"/>
      <c r="E19" s="127"/>
      <c r="F19" s="127"/>
      <c r="G19" s="128"/>
      <c r="H19" s="128"/>
      <c r="I19" s="127"/>
      <c r="J19" s="127"/>
    </row>
    <row r="20" spans="1:10" ht="20.100000000000001" customHeight="1">
      <c r="A20" s="130"/>
      <c r="B20" s="127"/>
      <c r="C20" s="127"/>
      <c r="D20" s="127"/>
      <c r="E20" s="127"/>
      <c r="F20" s="127"/>
      <c r="G20" s="128"/>
      <c r="H20" s="128"/>
      <c r="I20" s="127"/>
      <c r="J20" s="127"/>
    </row>
    <row r="21" spans="1:10" ht="39" customHeight="1">
      <c r="A21" s="354" t="s">
        <v>175</v>
      </c>
      <c r="B21" s="355"/>
      <c r="C21" s="355"/>
      <c r="D21" s="355"/>
      <c r="E21" s="355"/>
      <c r="F21" s="355"/>
      <c r="G21" s="355"/>
      <c r="H21" s="355"/>
      <c r="I21" s="355"/>
      <c r="J21" s="355"/>
    </row>
    <row r="22" spans="1:10" ht="20.100000000000001" customHeight="1">
      <c r="A22" s="132"/>
      <c r="B22" s="132"/>
      <c r="C22" s="132"/>
      <c r="D22" s="132"/>
      <c r="E22" s="132"/>
      <c r="F22" s="132"/>
      <c r="G22" s="132"/>
      <c r="H22" s="132"/>
      <c r="I22" s="132"/>
      <c r="J22" s="132"/>
    </row>
    <row r="23" spans="1:10" ht="20.100000000000001" customHeight="1">
      <c r="A23" s="132"/>
      <c r="B23" s="132"/>
      <c r="C23" s="132"/>
      <c r="D23" s="132"/>
      <c r="E23" s="132"/>
      <c r="F23" s="132"/>
      <c r="G23" s="132"/>
      <c r="H23" s="132"/>
      <c r="I23" s="132"/>
      <c r="J23" s="132"/>
    </row>
  </sheetData>
  <mergeCells count="3">
    <mergeCell ref="A1:J1"/>
    <mergeCell ref="A2:J2"/>
    <mergeCell ref="A21:J21"/>
  </mergeCells>
  <phoneticPr fontId="156" type="noConversion"/>
  <dataValidations count="1">
    <dataValidation type="list" allowBlank="1" showInputMessage="1" showErrorMessage="1" sqref="B6:B20">
      <formula1>"账项调整,报表调整,其他"</formula1>
    </dataValidation>
  </dataValidations>
  <hyperlinks>
    <hyperlink ref="J3" location="底稿目录!A1" display="D3-3"/>
  </hyperlinks>
  <pageMargins left="0.70866141732283505" right="0.70866141732283505" top="0.74803149606299202" bottom="0.74803149606299202" header="0.31496062992126" footer="0.31496062992126"/>
  <pageSetup paperSize="9" scale="85" orientation="portrait" blackAndWhite="1" horizontalDpi="1200" verticalDpi="1200" r:id="rId1"/>
  <headerFooter alignWithMargins="0">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I38"/>
  <sheetViews>
    <sheetView view="pageBreakPreview" zoomScaleNormal="100" workbookViewId="0">
      <selection sqref="A1:H1"/>
    </sheetView>
  </sheetViews>
  <sheetFormatPr defaultColWidth="9" defaultRowHeight="20.100000000000001" customHeight="1"/>
  <cols>
    <col min="1" max="1" width="24.3984375" style="75" customWidth="1"/>
    <col min="2" max="2" width="13.59765625" style="75" customWidth="1"/>
    <col min="3" max="3" width="14.296875" style="75" customWidth="1"/>
    <col min="4" max="4" width="13.19921875" style="75" customWidth="1"/>
    <col min="5" max="5" width="21.59765625" style="75" customWidth="1"/>
    <col min="6" max="6" width="12.59765625" style="75" customWidth="1"/>
    <col min="7" max="7" width="11.8984375" style="75" customWidth="1"/>
    <col min="8" max="8" width="12.5" style="75" customWidth="1"/>
    <col min="9" max="16384" width="9" style="75"/>
  </cols>
  <sheetData>
    <row r="1" spans="1:8" s="73" customFormat="1" ht="20.100000000000001" customHeight="1">
      <c r="A1" s="356" t="s">
        <v>28</v>
      </c>
      <c r="B1" s="356"/>
      <c r="C1" s="356"/>
      <c r="D1" s="356"/>
      <c r="E1" s="356"/>
      <c r="F1" s="356"/>
      <c r="G1" s="356"/>
      <c r="H1" s="356"/>
    </row>
    <row r="2" spans="1:8" s="73" customFormat="1" ht="20.100000000000001" customHeight="1">
      <c r="A2" s="357" t="s">
        <v>20</v>
      </c>
      <c r="B2" s="357"/>
      <c r="C2" s="357"/>
      <c r="D2" s="357"/>
      <c r="E2" s="357"/>
      <c r="F2" s="357"/>
      <c r="G2" s="357"/>
      <c r="H2" s="357"/>
    </row>
    <row r="3" spans="1:8" s="74" customFormat="1" ht="20.100000000000001" customHeight="1">
      <c r="A3" s="76" t="str">
        <f>底稿目录!A2</f>
        <v>被审计单位：</v>
      </c>
      <c r="C3" s="76" t="str">
        <f>底稿目录!A4</f>
        <v>编制人：</v>
      </c>
      <c r="E3" s="76" t="str">
        <f>底稿目录!A5</f>
        <v>编制日期：</v>
      </c>
      <c r="G3" s="77" t="s">
        <v>29</v>
      </c>
      <c r="H3" s="309" t="s">
        <v>21</v>
      </c>
    </row>
    <row r="4" spans="1:8" s="74" customFormat="1" ht="20.100000000000001" customHeight="1">
      <c r="A4" s="76" t="str">
        <f>底稿目录!A3</f>
        <v>截止日：202X年12月31日</v>
      </c>
      <c r="C4" s="76" t="str">
        <f>底稿目录!A6</f>
        <v>复核人：</v>
      </c>
      <c r="E4" s="76" t="str">
        <f>底稿目录!A7</f>
        <v>复核日期：</v>
      </c>
      <c r="G4" s="77" t="s">
        <v>176</v>
      </c>
      <c r="H4" s="77"/>
    </row>
    <row r="5" spans="1:8" ht="20.100000000000001" customHeight="1">
      <c r="A5" s="78" t="s">
        <v>177</v>
      </c>
    </row>
    <row r="6" spans="1:8" ht="20.100000000000001" customHeight="1">
      <c r="A6" s="32" t="s">
        <v>178</v>
      </c>
    </row>
    <row r="7" spans="1:8" ht="20.100000000000001" customHeight="1">
      <c r="A7" s="32" t="s">
        <v>179</v>
      </c>
    </row>
    <row r="8" spans="1:8" ht="20.100000000000001" customHeight="1">
      <c r="A8" s="79" t="s">
        <v>180</v>
      </c>
    </row>
    <row r="9" spans="1:8" ht="20.100000000000001" customHeight="1">
      <c r="A9" s="80" t="s">
        <v>181</v>
      </c>
      <c r="B9" s="81"/>
      <c r="C9" s="81"/>
      <c r="D9" s="81"/>
      <c r="E9" s="82"/>
    </row>
    <row r="10" spans="1:8" ht="20.100000000000001" customHeight="1">
      <c r="A10" s="83" t="s">
        <v>81</v>
      </c>
      <c r="B10" s="83" t="s">
        <v>182</v>
      </c>
      <c r="C10" s="83" t="s">
        <v>183</v>
      </c>
      <c r="D10" s="83" t="s">
        <v>154</v>
      </c>
    </row>
    <row r="11" spans="1:8" ht="20.100000000000001" customHeight="1">
      <c r="A11" s="84" t="s">
        <v>184</v>
      </c>
      <c r="B11" s="85"/>
      <c r="C11" s="85"/>
      <c r="D11" s="85"/>
    </row>
    <row r="12" spans="1:8" ht="20.100000000000001" customHeight="1">
      <c r="A12" s="84" t="s">
        <v>185</v>
      </c>
      <c r="B12" s="86"/>
      <c r="C12" s="87"/>
      <c r="D12" s="87"/>
    </row>
    <row r="13" spans="1:8" ht="20.100000000000001" customHeight="1">
      <c r="A13" s="88" t="s">
        <v>186</v>
      </c>
      <c r="B13" s="86"/>
      <c r="C13" s="87"/>
      <c r="D13" s="87"/>
    </row>
    <row r="14" spans="1:8" ht="20.100000000000001" customHeight="1">
      <c r="A14" s="88" t="s">
        <v>187</v>
      </c>
      <c r="B14" s="86"/>
      <c r="C14" s="87"/>
      <c r="D14" s="87"/>
    </row>
    <row r="15" spans="1:8" ht="20.100000000000001" customHeight="1">
      <c r="A15" s="88" t="s">
        <v>188</v>
      </c>
      <c r="B15" s="89"/>
      <c r="C15" s="87"/>
      <c r="D15" s="87"/>
    </row>
    <row r="16" spans="1:8" ht="20.100000000000001" customHeight="1">
      <c r="A16" s="88" t="s">
        <v>189</v>
      </c>
      <c r="B16" s="89"/>
      <c r="C16" s="87"/>
      <c r="D16" s="87"/>
    </row>
    <row r="17" spans="1:9" ht="20.100000000000001" customHeight="1">
      <c r="A17" s="90" t="s">
        <v>190</v>
      </c>
      <c r="B17" s="91">
        <f>B11-B13-B14-B15-B16</f>
        <v>0</v>
      </c>
      <c r="C17" s="92"/>
      <c r="D17" s="92"/>
    </row>
    <row r="18" spans="1:9" ht="20.100000000000001" customHeight="1">
      <c r="A18" s="93" t="s">
        <v>191</v>
      </c>
      <c r="B18" s="358"/>
      <c r="C18" s="359"/>
      <c r="D18" s="360"/>
    </row>
    <row r="19" spans="1:9" ht="20.100000000000001" customHeight="1">
      <c r="A19" s="94" t="s">
        <v>192</v>
      </c>
      <c r="B19" s="95"/>
      <c r="C19" s="78"/>
      <c r="D19" s="78"/>
    </row>
    <row r="20" spans="1:9" ht="20.100000000000001" customHeight="1">
      <c r="A20" s="96"/>
      <c r="B20" s="97" t="s">
        <v>182</v>
      </c>
      <c r="C20" s="98" t="s">
        <v>183</v>
      </c>
      <c r="D20" s="96" t="s">
        <v>193</v>
      </c>
      <c r="E20" s="96" t="s">
        <v>194</v>
      </c>
    </row>
    <row r="21" spans="1:9" ht="20.100000000000001" customHeight="1">
      <c r="A21" s="99" t="s">
        <v>195</v>
      </c>
      <c r="B21" s="100"/>
      <c r="C21" s="101" t="s">
        <v>196</v>
      </c>
      <c r="D21" s="102" t="s">
        <v>197</v>
      </c>
      <c r="E21" s="102" t="s">
        <v>197</v>
      </c>
    </row>
    <row r="22" spans="1:9" ht="20.100000000000001" customHeight="1">
      <c r="A22" s="103" t="s">
        <v>198</v>
      </c>
      <c r="B22" s="104"/>
      <c r="C22" s="105"/>
      <c r="D22" s="106"/>
      <c r="E22" s="107" t="s">
        <v>199</v>
      </c>
    </row>
    <row r="23" spans="1:9" ht="20.100000000000001" customHeight="1">
      <c r="A23" s="103" t="s">
        <v>200</v>
      </c>
      <c r="B23" s="104"/>
      <c r="C23" s="105"/>
      <c r="D23" s="106"/>
      <c r="E23" s="107" t="s">
        <v>201</v>
      </c>
    </row>
    <row r="24" spans="1:9" ht="20.100000000000001" customHeight="1">
      <c r="A24" s="103" t="s">
        <v>202</v>
      </c>
      <c r="B24" s="104"/>
      <c r="C24" s="105"/>
      <c r="D24" s="106"/>
      <c r="E24" s="106"/>
    </row>
    <row r="25" spans="1:9" ht="20.100000000000001" customHeight="1">
      <c r="A25" s="93" t="s">
        <v>191</v>
      </c>
      <c r="B25" s="361"/>
      <c r="C25" s="361"/>
      <c r="D25" s="361"/>
      <c r="E25" s="361"/>
      <c r="F25" s="108"/>
      <c r="G25" s="109"/>
      <c r="H25" s="110"/>
      <c r="I25" s="110"/>
    </row>
    <row r="26" spans="1:9" ht="20.100000000000001" customHeight="1">
      <c r="A26" s="94" t="s">
        <v>203</v>
      </c>
      <c r="I26" s="122" t="s">
        <v>204</v>
      </c>
    </row>
    <row r="27" spans="1:9" ht="20.100000000000001" customHeight="1">
      <c r="A27" s="96" t="s">
        <v>205</v>
      </c>
      <c r="B27" s="96" t="s">
        <v>206</v>
      </c>
      <c r="C27" s="96" t="s">
        <v>207</v>
      </c>
      <c r="D27" s="96" t="s">
        <v>121</v>
      </c>
      <c r="E27" s="96" t="s">
        <v>208</v>
      </c>
      <c r="F27" s="111" t="s">
        <v>209</v>
      </c>
      <c r="G27" s="111" t="s">
        <v>210</v>
      </c>
      <c r="H27" s="52" t="s">
        <v>211</v>
      </c>
    </row>
    <row r="28" spans="1:9" ht="20.100000000000001" customHeight="1">
      <c r="A28" s="99" t="s">
        <v>212</v>
      </c>
      <c r="B28" s="112"/>
      <c r="C28" s="112"/>
      <c r="D28" s="113">
        <f>B28-C28</f>
        <v>0</v>
      </c>
      <c r="E28" s="114" t="e">
        <f>D28/C28</f>
        <v>#DIV/0!</v>
      </c>
      <c r="F28" s="99"/>
      <c r="G28" s="115"/>
      <c r="H28" s="115"/>
    </row>
    <row r="29" spans="1:9" ht="20.100000000000001" customHeight="1">
      <c r="A29" s="99" t="s">
        <v>213</v>
      </c>
      <c r="B29" s="112"/>
      <c r="C29" s="112"/>
      <c r="D29" s="113">
        <f t="shared" ref="D29:D32" si="0">B29-C29</f>
        <v>0</v>
      </c>
      <c r="E29" s="114" t="e">
        <f t="shared" ref="E29:E33" si="1">D29/C29</f>
        <v>#DIV/0!</v>
      </c>
      <c r="F29" s="99"/>
      <c r="G29" s="115"/>
      <c r="H29" s="115"/>
    </row>
    <row r="30" spans="1:9" ht="20.100000000000001" customHeight="1">
      <c r="A30" s="99" t="s">
        <v>214</v>
      </c>
      <c r="B30" s="112"/>
      <c r="C30" s="112"/>
      <c r="D30" s="113">
        <f t="shared" si="0"/>
        <v>0</v>
      </c>
      <c r="E30" s="114" t="e">
        <f t="shared" si="1"/>
        <v>#DIV/0!</v>
      </c>
      <c r="F30" s="99"/>
      <c r="G30" s="115"/>
      <c r="H30" s="115"/>
    </row>
    <row r="31" spans="1:9" ht="20.100000000000001" customHeight="1">
      <c r="A31" s="99" t="s">
        <v>215</v>
      </c>
      <c r="B31" s="112"/>
      <c r="C31" s="112"/>
      <c r="D31" s="113">
        <f t="shared" si="0"/>
        <v>0</v>
      </c>
      <c r="E31" s="114" t="e">
        <f t="shared" si="1"/>
        <v>#DIV/0!</v>
      </c>
      <c r="F31" s="99"/>
      <c r="G31" s="115"/>
      <c r="H31" s="115"/>
    </row>
    <row r="32" spans="1:9" ht="20.100000000000001" customHeight="1">
      <c r="A32" s="99" t="s">
        <v>216</v>
      </c>
      <c r="B32" s="112"/>
      <c r="C32" s="112"/>
      <c r="D32" s="113">
        <f t="shared" si="0"/>
        <v>0</v>
      </c>
      <c r="E32" s="114" t="e">
        <f t="shared" si="1"/>
        <v>#DIV/0!</v>
      </c>
      <c r="F32" s="99"/>
      <c r="G32" s="115"/>
      <c r="H32" s="115"/>
    </row>
    <row r="33" spans="1:8" ht="20.100000000000001" customHeight="1">
      <c r="A33" s="96" t="s">
        <v>217</v>
      </c>
      <c r="B33" s="116">
        <f>SUM(B28:B32)</f>
        <v>0</v>
      </c>
      <c r="C33" s="116">
        <f>SUM(C28:C32)</f>
        <v>0</v>
      </c>
      <c r="D33" s="116">
        <f>SUM(D28:D32)</f>
        <v>0</v>
      </c>
      <c r="E33" s="117" t="e">
        <f t="shared" si="1"/>
        <v>#DIV/0!</v>
      </c>
      <c r="F33" s="118"/>
      <c r="G33" s="119"/>
      <c r="H33" s="116">
        <f>SUM(H28:H32)</f>
        <v>0</v>
      </c>
    </row>
    <row r="34" spans="1:8" ht="20.100000000000001" customHeight="1">
      <c r="A34" s="120" t="s">
        <v>218</v>
      </c>
    </row>
    <row r="35" spans="1:8" ht="20.100000000000001" customHeight="1">
      <c r="A35" s="121"/>
    </row>
    <row r="36" spans="1:8" ht="20.100000000000001" customHeight="1">
      <c r="A36" s="121"/>
    </row>
    <row r="38" spans="1:8" ht="20.100000000000001" customHeight="1">
      <c r="A38" s="297" t="s">
        <v>219</v>
      </c>
    </row>
  </sheetData>
  <mergeCells count="4">
    <mergeCell ref="A1:H1"/>
    <mergeCell ref="A2:H2"/>
    <mergeCell ref="B18:D18"/>
    <mergeCell ref="B25:E25"/>
  </mergeCells>
  <phoneticPr fontId="156" type="noConversion"/>
  <hyperlinks>
    <hyperlink ref="H3" location="底稿目录!A1" display="D3-4"/>
  </hyperlinks>
  <pageMargins left="0.70866141732283505" right="0.70866141732283505" top="0.74803149606299202" bottom="0.74803149606299202" header="0.31496062992126" footer="0.31496062992126"/>
  <pageSetup paperSize="9" scale="66" orientation="portrait" blackAndWhite="1" horizontalDpi="1200" verticalDpi="1200" r:id="rId1"/>
  <headerFooter alignWithMargins="0">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H22"/>
  <sheetViews>
    <sheetView view="pageBreakPreview" zoomScaleNormal="100" workbookViewId="0">
      <selection sqref="A1:H1"/>
    </sheetView>
  </sheetViews>
  <sheetFormatPr defaultColWidth="9" defaultRowHeight="12"/>
  <cols>
    <col min="1" max="1" width="17.09765625" style="1" customWidth="1"/>
    <col min="2" max="2" width="15.09765625" style="1" customWidth="1"/>
    <col min="3" max="3" width="12.19921875" style="1" customWidth="1"/>
    <col min="4" max="4" width="15.69921875" style="1" customWidth="1"/>
    <col min="5" max="5" width="15.09765625" style="1" customWidth="1"/>
    <col min="6" max="6" width="14.296875" style="1" customWidth="1"/>
    <col min="7" max="7" width="14.09765625" style="1" customWidth="1"/>
    <col min="8" max="8" width="10.8984375" style="1" customWidth="1"/>
    <col min="9" max="16384" width="9" style="1"/>
  </cols>
  <sheetData>
    <row r="1" spans="1:8" ht="19.95" customHeight="1">
      <c r="A1" s="362" t="s">
        <v>28</v>
      </c>
      <c r="B1" s="362"/>
      <c r="C1" s="362"/>
      <c r="D1" s="362"/>
      <c r="E1" s="362"/>
      <c r="F1" s="362"/>
      <c r="G1" s="362"/>
      <c r="H1" s="362"/>
    </row>
    <row r="2" spans="1:8" ht="19.95" customHeight="1">
      <c r="A2" s="363" t="s">
        <v>268</v>
      </c>
      <c r="B2" s="363"/>
      <c r="C2" s="363"/>
      <c r="D2" s="363"/>
      <c r="E2" s="363"/>
      <c r="F2" s="363"/>
      <c r="G2" s="363"/>
      <c r="H2" s="363"/>
    </row>
    <row r="3" spans="1:8" ht="19.95" customHeight="1">
      <c r="A3" s="1" t="str">
        <f>底稿目录!A2</f>
        <v>被审计单位：</v>
      </c>
      <c r="B3" s="2"/>
      <c r="C3" s="1" t="str">
        <f>底稿目录!A4</f>
        <v>编制人：</v>
      </c>
      <c r="E3" s="1" t="str">
        <f>底稿目录!A5</f>
        <v>编制日期：</v>
      </c>
      <c r="G3" s="3" t="s">
        <v>29</v>
      </c>
      <c r="H3" s="309" t="str">
        <f>底稿目录!F17</f>
        <v>D3-5</v>
      </c>
    </row>
    <row r="4" spans="1:8" ht="19.95" customHeight="1">
      <c r="A4" s="1" t="str">
        <f>底稿目录!A3</f>
        <v>截止日：202X年12月31日</v>
      </c>
      <c r="B4" s="2"/>
      <c r="C4" s="1" t="str">
        <f>底稿目录!A6</f>
        <v>复核人：</v>
      </c>
      <c r="E4" s="1" t="str">
        <f>底稿目录!A7</f>
        <v>复核日期：</v>
      </c>
      <c r="G4" s="3" t="s">
        <v>79</v>
      </c>
    </row>
    <row r="5" spans="1:8" ht="19.95" customHeight="1">
      <c r="A5" s="4" t="s">
        <v>177</v>
      </c>
    </row>
    <row r="6" spans="1:8" ht="19.95" customHeight="1">
      <c r="A6" s="1" t="s">
        <v>269</v>
      </c>
    </row>
    <row r="7" spans="1:8" ht="19.95" customHeight="1">
      <c r="A7" s="4" t="s">
        <v>180</v>
      </c>
    </row>
    <row r="8" spans="1:8" ht="19.95" customHeight="1">
      <c r="A8" s="5" t="s">
        <v>137</v>
      </c>
    </row>
    <row r="9" spans="1:8" ht="19.95" customHeight="1"/>
    <row r="10" spans="1:8" ht="26.4" customHeight="1">
      <c r="A10" s="6" t="s">
        <v>138</v>
      </c>
      <c r="B10" s="6" t="s">
        <v>118</v>
      </c>
      <c r="C10" s="7" t="s">
        <v>270</v>
      </c>
      <c r="D10" s="6" t="s">
        <v>271</v>
      </c>
      <c r="E10" s="6" t="s">
        <v>272</v>
      </c>
      <c r="F10" s="8" t="s">
        <v>273</v>
      </c>
      <c r="G10" s="6" t="s">
        <v>274</v>
      </c>
      <c r="H10" s="6" t="s">
        <v>154</v>
      </c>
    </row>
    <row r="11" spans="1:8" ht="19.95" customHeight="1">
      <c r="A11" s="9"/>
      <c r="B11" s="10"/>
      <c r="C11" s="11"/>
      <c r="D11" s="9"/>
      <c r="E11" s="9"/>
      <c r="F11" s="9"/>
      <c r="G11" s="9"/>
      <c r="H11" s="9"/>
    </row>
    <row r="12" spans="1:8" ht="19.95" customHeight="1">
      <c r="A12" s="9"/>
      <c r="B12" s="10"/>
      <c r="C12" s="11"/>
      <c r="D12" s="9"/>
      <c r="E12" s="9"/>
      <c r="F12" s="9"/>
      <c r="G12" s="9"/>
      <c r="H12" s="9"/>
    </row>
    <row r="13" spans="1:8" ht="19.95" customHeight="1">
      <c r="A13" s="9"/>
      <c r="B13" s="10"/>
      <c r="C13" s="11"/>
      <c r="D13" s="9"/>
      <c r="E13" s="9"/>
      <c r="F13" s="9"/>
      <c r="G13" s="9"/>
      <c r="H13" s="9"/>
    </row>
    <row r="14" spans="1:8" ht="19.95" customHeight="1">
      <c r="A14" s="12"/>
      <c r="B14" s="13">
        <f>SUM(B11:B13)</f>
        <v>0</v>
      </c>
      <c r="C14" s="14"/>
      <c r="D14" s="12"/>
      <c r="E14" s="12"/>
      <c r="F14" s="13">
        <f>SUM(F11:F13)</f>
        <v>0</v>
      </c>
      <c r="G14" s="12"/>
      <c r="H14" s="12"/>
    </row>
    <row r="15" spans="1:8" ht="19.95" customHeight="1">
      <c r="A15" s="4" t="s">
        <v>218</v>
      </c>
    </row>
    <row r="16" spans="1:8" ht="19.95" customHeight="1"/>
    <row r="17" spans="1:1" ht="19.95" customHeight="1"/>
    <row r="18" spans="1:1" ht="19.95" customHeight="1"/>
    <row r="19" spans="1:1" ht="19.95" customHeight="1">
      <c r="A19" s="4" t="s">
        <v>219</v>
      </c>
    </row>
    <row r="20" spans="1:1" ht="19.95" customHeight="1">
      <c r="A20" s="4"/>
    </row>
    <row r="21" spans="1:1" ht="20.100000000000001" customHeight="1"/>
    <row r="22" spans="1:1" ht="20.100000000000001" customHeight="1"/>
  </sheetData>
  <mergeCells count="2">
    <mergeCell ref="A1:H1"/>
    <mergeCell ref="A2:H2"/>
  </mergeCells>
  <phoneticPr fontId="156" type="noConversion"/>
  <hyperlinks>
    <hyperlink ref="H3" location="底稿目录!A1" display="D3-7"/>
  </hyperlinks>
  <pageMargins left="0.70866141732283505" right="0.70866141732283505" top="0.74803149606299202" bottom="0.74803149606299202" header="0.31496062992126" footer="0.31496062992126"/>
  <pageSetup paperSize="9" scale="70" fitToHeight="0" orientation="portrait" blackAndWhite="1" horizontalDpi="1200" verticalDpi="1200" r:id="rId1"/>
  <headerFooter alignWithMargins="0">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L34"/>
  <sheetViews>
    <sheetView view="pageBreakPreview" zoomScaleNormal="100" workbookViewId="0">
      <selection sqref="A1:J1"/>
    </sheetView>
  </sheetViews>
  <sheetFormatPr defaultColWidth="9" defaultRowHeight="20.100000000000001" customHeight="1"/>
  <cols>
    <col min="1" max="1" width="20.69921875" style="15" customWidth="1"/>
    <col min="2" max="2" width="12" style="15" customWidth="1"/>
    <col min="3" max="3" width="13.5" style="15" customWidth="1"/>
    <col min="4" max="4" width="13.3984375" style="15" customWidth="1"/>
    <col min="5" max="5" width="13.5" style="15" customWidth="1"/>
    <col min="6" max="6" width="13.19921875" style="15" customWidth="1"/>
    <col min="7" max="7" width="10.09765625" style="15" customWidth="1"/>
    <col min="8" max="8" width="14.5" style="15" customWidth="1"/>
    <col min="9" max="9" width="11.09765625" style="15" customWidth="1"/>
    <col min="10" max="16384" width="9" style="15"/>
  </cols>
  <sheetData>
    <row r="1" spans="1:12" ht="20.100000000000001" customHeight="1">
      <c r="A1" s="364" t="s">
        <v>28</v>
      </c>
      <c r="B1" s="364"/>
      <c r="C1" s="364"/>
      <c r="D1" s="364"/>
      <c r="E1" s="364"/>
      <c r="F1" s="364"/>
      <c r="G1" s="364"/>
      <c r="H1" s="364"/>
      <c r="I1" s="364"/>
      <c r="J1" s="364"/>
    </row>
    <row r="2" spans="1:12" ht="20.100000000000001" customHeight="1">
      <c r="A2" s="365" t="s">
        <v>253</v>
      </c>
      <c r="B2" s="365"/>
      <c r="C2" s="365"/>
      <c r="D2" s="365"/>
      <c r="E2" s="365"/>
      <c r="F2" s="365"/>
      <c r="G2" s="365"/>
      <c r="H2" s="365"/>
      <c r="I2" s="365"/>
      <c r="J2" s="365"/>
      <c r="K2" s="33"/>
    </row>
    <row r="3" spans="1:12" ht="20.100000000000001" customHeight="1">
      <c r="A3" s="16" t="str">
        <f>底稿目录!A2</f>
        <v>被审计单位：</v>
      </c>
      <c r="B3" s="16"/>
      <c r="D3" s="16" t="str">
        <f>底稿目录!A4</f>
        <v>编制人：</v>
      </c>
      <c r="G3" s="16" t="str">
        <f>底稿目录!A5</f>
        <v>编制日期：</v>
      </c>
      <c r="H3" s="17"/>
      <c r="I3" s="34" t="s">
        <v>29</v>
      </c>
      <c r="J3" s="309" t="str">
        <f>底稿目录!F18</f>
        <v>D3-6</v>
      </c>
    </row>
    <row r="4" spans="1:12" ht="20.100000000000001" customHeight="1">
      <c r="A4" s="16" t="str">
        <f>底稿目录!A3</f>
        <v>截止日：202X年12月31日</v>
      </c>
      <c r="B4" s="16"/>
      <c r="D4" s="16" t="str">
        <f>底稿目录!A6</f>
        <v>复核人：</v>
      </c>
      <c r="G4" s="16" t="str">
        <f>底稿目录!A7</f>
        <v>复核日期：</v>
      </c>
      <c r="H4" s="17"/>
      <c r="I4" s="34" t="s">
        <v>79</v>
      </c>
    </row>
    <row r="5" spans="1:12" ht="20.100000000000001" customHeight="1">
      <c r="A5" s="18" t="s">
        <v>177</v>
      </c>
      <c r="B5" s="16"/>
      <c r="C5" s="16"/>
      <c r="D5" s="16"/>
      <c r="F5" s="16"/>
      <c r="H5" s="17"/>
    </row>
    <row r="6" spans="1:12" ht="20.100000000000001" customHeight="1">
      <c r="A6" s="16" t="s">
        <v>178</v>
      </c>
      <c r="B6" s="16"/>
      <c r="C6" s="16"/>
      <c r="D6" s="16"/>
      <c r="F6" s="16"/>
      <c r="H6" s="17"/>
      <c r="I6" s="17"/>
    </row>
    <row r="7" spans="1:12" ht="20.100000000000001" customHeight="1">
      <c r="A7" s="16" t="s">
        <v>254</v>
      </c>
      <c r="B7" s="16"/>
      <c r="C7" s="16"/>
      <c r="D7" s="16"/>
      <c r="F7" s="16"/>
      <c r="H7" s="17"/>
      <c r="I7" s="17"/>
    </row>
    <row r="8" spans="1:12" ht="20.100000000000001" customHeight="1">
      <c r="A8" s="18" t="s">
        <v>180</v>
      </c>
      <c r="B8" s="16"/>
      <c r="C8" s="16"/>
      <c r="D8" s="16"/>
      <c r="F8" s="16"/>
      <c r="H8" s="17"/>
      <c r="I8" s="17"/>
    </row>
    <row r="9" spans="1:12" ht="20.100000000000001" customHeight="1">
      <c r="A9" s="19" t="s">
        <v>137</v>
      </c>
      <c r="B9" s="16"/>
      <c r="C9" s="16"/>
      <c r="D9" s="16"/>
      <c r="F9" s="16"/>
      <c r="H9" s="17"/>
      <c r="I9" s="17"/>
    </row>
    <row r="10" spans="1:12" ht="20.100000000000001" customHeight="1">
      <c r="A10" s="18"/>
      <c r="B10" s="16"/>
      <c r="C10" s="16"/>
      <c r="D10" s="16"/>
      <c r="F10" s="16"/>
      <c r="H10" s="17"/>
      <c r="I10" s="17"/>
    </row>
    <row r="11" spans="1:12" ht="33.6" customHeight="1">
      <c r="A11" s="20" t="s">
        <v>255</v>
      </c>
      <c r="B11" s="21" t="s">
        <v>256</v>
      </c>
      <c r="C11" s="21" t="s">
        <v>126</v>
      </c>
      <c r="D11" s="21" t="s">
        <v>146</v>
      </c>
      <c r="E11" s="21" t="s">
        <v>147</v>
      </c>
      <c r="F11" s="21" t="s">
        <v>118</v>
      </c>
      <c r="G11" s="20" t="s">
        <v>209</v>
      </c>
      <c r="H11" s="20" t="s">
        <v>257</v>
      </c>
      <c r="I11" s="20" t="s">
        <v>4</v>
      </c>
      <c r="J11" s="20" t="s">
        <v>154</v>
      </c>
      <c r="K11" s="30"/>
      <c r="L11" s="17"/>
    </row>
    <row r="12" spans="1:12" ht="20.100000000000001" customHeight="1">
      <c r="A12" s="22"/>
      <c r="B12" s="22"/>
      <c r="C12" s="23"/>
      <c r="D12" s="23"/>
      <c r="E12" s="23"/>
      <c r="F12" s="24">
        <f>C12+E12-D12</f>
        <v>0</v>
      </c>
      <c r="G12" s="22"/>
      <c r="H12" s="22"/>
      <c r="I12" s="35"/>
      <c r="J12" s="36"/>
      <c r="K12" s="17"/>
    </row>
    <row r="13" spans="1:12" ht="20.100000000000001" customHeight="1">
      <c r="A13" s="22"/>
      <c r="B13" s="22"/>
      <c r="C13" s="23"/>
      <c r="D13" s="23"/>
      <c r="E13" s="23"/>
      <c r="F13" s="24">
        <f t="shared" ref="F13:F16" si="0">C13+E13-D13</f>
        <v>0</v>
      </c>
      <c r="G13" s="22"/>
      <c r="H13" s="22"/>
      <c r="I13" s="35"/>
      <c r="J13" s="36"/>
      <c r="K13" s="17"/>
    </row>
    <row r="14" spans="1:12" ht="20.100000000000001" customHeight="1">
      <c r="A14" s="22"/>
      <c r="B14" s="22"/>
      <c r="C14" s="23"/>
      <c r="D14" s="23"/>
      <c r="E14" s="23"/>
      <c r="F14" s="24">
        <f t="shared" si="0"/>
        <v>0</v>
      </c>
      <c r="G14" s="22"/>
      <c r="H14" s="22"/>
      <c r="I14" s="35"/>
      <c r="J14" s="36"/>
      <c r="K14" s="17"/>
    </row>
    <row r="15" spans="1:12" ht="20.100000000000001" customHeight="1">
      <c r="A15" s="22"/>
      <c r="B15" s="22"/>
      <c r="C15" s="23"/>
      <c r="D15" s="23"/>
      <c r="E15" s="23"/>
      <c r="F15" s="24">
        <f t="shared" si="0"/>
        <v>0</v>
      </c>
      <c r="G15" s="22"/>
      <c r="H15" s="22"/>
      <c r="I15" s="35"/>
      <c r="J15" s="36"/>
      <c r="K15" s="17"/>
    </row>
    <row r="16" spans="1:12" ht="20.100000000000001" customHeight="1">
      <c r="A16" s="22"/>
      <c r="B16" s="22"/>
      <c r="C16" s="23"/>
      <c r="D16" s="23"/>
      <c r="E16" s="23"/>
      <c r="F16" s="24">
        <f t="shared" si="0"/>
        <v>0</v>
      </c>
      <c r="G16" s="22"/>
      <c r="H16" s="22"/>
      <c r="I16" s="35"/>
      <c r="J16" s="36"/>
      <c r="K16" s="17"/>
    </row>
    <row r="17" spans="1:12" ht="20.100000000000001" customHeight="1">
      <c r="A17" s="20" t="s">
        <v>96</v>
      </c>
      <c r="B17" s="25"/>
      <c r="C17" s="26">
        <f>SUM(C12:C14)</f>
        <v>0</v>
      </c>
      <c r="D17" s="26">
        <f t="shared" ref="D17:F17" si="1">SUM(D12:D14)</f>
        <v>0</v>
      </c>
      <c r="E17" s="26">
        <f t="shared" si="1"/>
        <v>0</v>
      </c>
      <c r="F17" s="27">
        <f t="shared" si="1"/>
        <v>0</v>
      </c>
      <c r="G17" s="25"/>
      <c r="H17" s="25"/>
      <c r="I17" s="21"/>
      <c r="J17" s="21"/>
      <c r="K17" s="17"/>
    </row>
    <row r="18" spans="1:12" ht="20.100000000000001" customHeight="1">
      <c r="A18" s="28" t="s">
        <v>258</v>
      </c>
      <c r="E18" s="29"/>
      <c r="F18" s="29"/>
      <c r="G18" s="29"/>
      <c r="H18" s="29"/>
      <c r="I18" s="29"/>
      <c r="J18" s="29"/>
      <c r="K18" s="29"/>
    </row>
    <row r="19" spans="1:12" ht="20.100000000000001" customHeight="1">
      <c r="A19" s="17"/>
      <c r="E19" s="17"/>
      <c r="F19" s="17"/>
      <c r="G19" s="17"/>
      <c r="H19" s="17"/>
      <c r="I19" s="17"/>
      <c r="J19" s="17"/>
      <c r="K19" s="17"/>
    </row>
    <row r="20" spans="1:12" ht="20.100000000000001" customHeight="1">
      <c r="A20" s="17"/>
      <c r="E20" s="17"/>
      <c r="F20" s="17"/>
      <c r="G20" s="17"/>
      <c r="H20" s="17"/>
      <c r="I20" s="17"/>
      <c r="J20" s="17"/>
      <c r="K20" s="17"/>
      <c r="L20" s="17"/>
    </row>
    <row r="21" spans="1:12" ht="20.100000000000001" customHeight="1">
      <c r="A21" s="17"/>
      <c r="E21" s="17"/>
      <c r="F21" s="17"/>
      <c r="G21" s="17"/>
      <c r="H21" s="17"/>
      <c r="I21" s="17"/>
      <c r="J21" s="17"/>
      <c r="K21" s="17"/>
      <c r="L21" s="17"/>
    </row>
    <row r="22" spans="1:12" ht="20.100000000000001" customHeight="1">
      <c r="A22" s="30" t="s">
        <v>163</v>
      </c>
      <c r="E22" s="17"/>
      <c r="F22" s="17"/>
      <c r="G22" s="17"/>
      <c r="H22" s="17"/>
      <c r="I22" s="17"/>
      <c r="J22" s="17"/>
      <c r="K22" s="17"/>
    </row>
    <row r="23" spans="1:12" ht="20.100000000000001" customHeight="1">
      <c r="A23" s="30"/>
      <c r="E23" s="17"/>
      <c r="F23" s="17"/>
      <c r="G23" s="17"/>
      <c r="H23" s="17"/>
      <c r="I23" s="17"/>
      <c r="J23" s="17"/>
      <c r="K23" s="17"/>
    </row>
    <row r="24" spans="1:12" ht="20.100000000000001" customHeight="1">
      <c r="A24" s="30"/>
      <c r="E24" s="17"/>
      <c r="F24" s="17"/>
      <c r="G24" s="17"/>
      <c r="H24" s="17"/>
      <c r="I24" s="17"/>
      <c r="J24" s="17"/>
      <c r="K24" s="17"/>
    </row>
    <row r="25" spans="1:12" ht="20.100000000000001" customHeight="1">
      <c r="A25" s="17"/>
      <c r="E25" s="17"/>
      <c r="F25" s="17"/>
      <c r="G25" s="17"/>
      <c r="H25" s="17"/>
      <c r="I25" s="17"/>
      <c r="J25" s="17"/>
      <c r="K25" s="17"/>
    </row>
    <row r="26" spans="1:12" ht="20.100000000000001" customHeight="1">
      <c r="B26" s="31" t="s">
        <v>259</v>
      </c>
    </row>
    <row r="27" spans="1:12" ht="20.100000000000001" customHeight="1">
      <c r="B27" s="17" t="s">
        <v>260</v>
      </c>
    </row>
    <row r="28" spans="1:12" ht="20.100000000000001" customHeight="1">
      <c r="B28" s="17" t="s">
        <v>261</v>
      </c>
    </row>
    <row r="29" spans="1:12" ht="20.100000000000001" customHeight="1">
      <c r="A29" s="32"/>
      <c r="B29" s="17" t="s">
        <v>262</v>
      </c>
    </row>
    <row r="30" spans="1:12" ht="20.100000000000001" customHeight="1">
      <c r="A30" s="32"/>
      <c r="B30" s="17" t="s">
        <v>263</v>
      </c>
    </row>
    <row r="31" spans="1:12" ht="20.100000000000001" customHeight="1">
      <c r="B31" s="17" t="s">
        <v>264</v>
      </c>
    </row>
    <row r="32" spans="1:12" ht="20.100000000000001" customHeight="1">
      <c r="B32" s="15" t="s">
        <v>265</v>
      </c>
    </row>
    <row r="33" spans="2:2" ht="20.100000000000001" customHeight="1">
      <c r="B33" s="17" t="s">
        <v>266</v>
      </c>
    </row>
    <row r="34" spans="2:2" ht="20.100000000000001" customHeight="1">
      <c r="B34" s="17" t="s">
        <v>267</v>
      </c>
    </row>
  </sheetData>
  <mergeCells count="2">
    <mergeCell ref="A1:J1"/>
    <mergeCell ref="A2:J2"/>
  </mergeCells>
  <phoneticPr fontId="156" type="noConversion"/>
  <dataValidations count="1">
    <dataValidation type="list" allowBlank="1" showInputMessage="1" showErrorMessage="1" sqref="B12:B16">
      <formula1>$B$27:$B$34</formula1>
    </dataValidation>
  </dataValidations>
  <hyperlinks>
    <hyperlink ref="J3" location="底稿目录!A1" display="D3-6"/>
  </hyperlinks>
  <pageMargins left="0.70866141732283505" right="0.70866141732283505" top="0.74803149606299202" bottom="0.74803149606299202" header="0.31496062992126" footer="0.31496062992126"/>
  <pageSetup paperSize="9" scale="62" orientation="portrait" blackAndWhite="1" horizontalDpi="1200" verticalDpi="1200" r:id="rId1"/>
  <headerFooter alignWithMargins="0">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R48"/>
  <sheetViews>
    <sheetView view="pageBreakPreview" zoomScale="98" zoomScaleNormal="100" workbookViewId="0">
      <selection activeCell="Q3" sqref="Q3"/>
    </sheetView>
  </sheetViews>
  <sheetFormatPr defaultColWidth="8.69921875" defaultRowHeight="20.100000000000001" customHeight="1"/>
  <cols>
    <col min="1" max="1" width="16.19921875" style="40" customWidth="1"/>
    <col min="2" max="2" width="9.09765625" style="40" customWidth="1"/>
    <col min="3" max="3" width="9.8984375" style="40" customWidth="1"/>
    <col min="4" max="4" width="15.19921875" style="40" customWidth="1"/>
    <col min="5" max="5" width="11.09765625" style="40" customWidth="1"/>
    <col min="6" max="6" width="13.69921875" style="40" customWidth="1"/>
    <col min="7" max="7" width="13" style="40" customWidth="1"/>
    <col min="8" max="8" width="12.8984375" style="40" customWidth="1"/>
    <col min="9" max="9" width="20.69921875" style="40" customWidth="1"/>
    <col min="10" max="14" width="3.796875" style="40" customWidth="1"/>
    <col min="15" max="15" width="9.59765625" style="40" customWidth="1"/>
    <col min="16" max="16" width="6.19921875" style="40" customWidth="1"/>
    <col min="17" max="17" width="10.59765625" style="40" customWidth="1"/>
    <col min="18" max="16384" width="8.69921875" style="40"/>
  </cols>
  <sheetData>
    <row r="1" spans="1:18" ht="20.100000000000001" customHeight="1">
      <c r="A1" s="344" t="s">
        <v>28</v>
      </c>
      <c r="B1" s="344"/>
      <c r="C1" s="344"/>
      <c r="D1" s="344"/>
      <c r="E1" s="344"/>
      <c r="F1" s="344"/>
      <c r="G1" s="344"/>
      <c r="H1" s="344"/>
      <c r="I1" s="344"/>
      <c r="J1" s="344"/>
      <c r="K1" s="344"/>
      <c r="L1" s="344"/>
      <c r="M1" s="344"/>
      <c r="N1" s="344"/>
      <c r="O1" s="344"/>
      <c r="P1" s="344"/>
      <c r="Q1" s="344"/>
    </row>
    <row r="2" spans="1:18" ht="20.100000000000001" customHeight="1">
      <c r="A2" s="345" t="s">
        <v>22</v>
      </c>
      <c r="B2" s="345"/>
      <c r="C2" s="345"/>
      <c r="D2" s="345"/>
      <c r="E2" s="345"/>
      <c r="F2" s="345"/>
      <c r="G2" s="345"/>
      <c r="H2" s="345"/>
      <c r="I2" s="345"/>
      <c r="J2" s="345"/>
      <c r="K2" s="345"/>
      <c r="L2" s="345"/>
      <c r="M2" s="345"/>
      <c r="N2" s="345"/>
      <c r="O2" s="345"/>
      <c r="P2" s="345"/>
      <c r="Q2" s="345"/>
      <c r="R2" s="72"/>
    </row>
    <row r="3" spans="1:18" ht="20.100000000000001" customHeight="1">
      <c r="A3" s="40" t="str">
        <f>底稿目录!A2</f>
        <v>被审计单位：</v>
      </c>
      <c r="F3" s="40" t="str">
        <f>底稿目录!A4</f>
        <v>编制人：</v>
      </c>
      <c r="I3" s="40" t="str">
        <f>底稿目录!A5</f>
        <v>编制日期：</v>
      </c>
      <c r="P3" s="65" t="s">
        <v>29</v>
      </c>
      <c r="Q3" s="309" t="str">
        <f>底稿目录!F19</f>
        <v>D3-7</v>
      </c>
    </row>
    <row r="4" spans="1:18" ht="20.100000000000001" customHeight="1">
      <c r="A4" s="40" t="str">
        <f>底稿目录!A3</f>
        <v>截止日：202X年12月31日</v>
      </c>
      <c r="F4" s="40" t="str">
        <f>底稿目录!A6</f>
        <v>复核人：</v>
      </c>
      <c r="I4" s="40" t="str">
        <f>底稿目录!A7</f>
        <v>复核日期：</v>
      </c>
      <c r="P4" s="40" t="s">
        <v>79</v>
      </c>
    </row>
    <row r="5" spans="1:18" ht="20.100000000000001" customHeight="1">
      <c r="A5" s="41" t="s">
        <v>220</v>
      </c>
      <c r="B5" s="42"/>
      <c r="C5" s="43"/>
      <c r="D5" s="42"/>
      <c r="E5" s="42"/>
      <c r="F5" s="42"/>
      <c r="G5" s="42"/>
      <c r="H5" s="42"/>
      <c r="I5" s="42"/>
      <c r="J5" s="42"/>
      <c r="K5" s="42"/>
      <c r="L5" s="42"/>
      <c r="M5" s="42"/>
      <c r="N5" s="42"/>
      <c r="O5" s="42"/>
      <c r="P5" s="42"/>
      <c r="Q5" s="42"/>
    </row>
    <row r="6" spans="1:18" ht="20.100000000000001" customHeight="1">
      <c r="A6" s="43" t="s">
        <v>221</v>
      </c>
      <c r="B6" s="42"/>
      <c r="C6" s="43"/>
      <c r="D6" s="42"/>
      <c r="E6" s="42"/>
      <c r="F6" s="42"/>
      <c r="G6" s="42"/>
      <c r="H6" s="42"/>
      <c r="I6" s="42"/>
      <c r="J6" s="42"/>
      <c r="K6" s="42"/>
      <c r="L6" s="42"/>
      <c r="M6" s="42"/>
      <c r="N6" s="42"/>
      <c r="O6" s="42"/>
      <c r="P6" s="42"/>
      <c r="Q6" s="42"/>
    </row>
    <row r="7" spans="1:18" ht="20.100000000000001" customHeight="1">
      <c r="A7" s="44" t="s">
        <v>136</v>
      </c>
    </row>
    <row r="8" spans="1:18" ht="20.100000000000001" customHeight="1">
      <c r="A8" s="44" t="s">
        <v>222</v>
      </c>
    </row>
    <row r="9" spans="1:18" ht="20.100000000000001" customHeight="1">
      <c r="A9" s="45" t="s">
        <v>223</v>
      </c>
      <c r="B9" s="46" t="s">
        <v>224</v>
      </c>
      <c r="C9" s="47"/>
      <c r="D9" s="47"/>
      <c r="E9" s="47"/>
      <c r="F9" s="45"/>
      <c r="G9" s="45" t="s">
        <v>225</v>
      </c>
      <c r="H9" s="46" t="s">
        <v>226</v>
      </c>
      <c r="K9" s="45"/>
      <c r="M9" s="47"/>
      <c r="N9" s="47"/>
      <c r="R9" s="47"/>
    </row>
    <row r="10" spans="1:18" ht="20.100000000000001" customHeight="1">
      <c r="A10" s="45" t="s">
        <v>227</v>
      </c>
      <c r="B10" s="46" t="s">
        <v>228</v>
      </c>
      <c r="C10" s="47"/>
      <c r="D10" s="47"/>
      <c r="E10" s="47"/>
      <c r="F10" s="45"/>
      <c r="G10" s="45" t="s">
        <v>229</v>
      </c>
      <c r="H10" s="46" t="s">
        <v>230</v>
      </c>
      <c r="I10" s="46" t="s">
        <v>231</v>
      </c>
      <c r="R10" s="47"/>
    </row>
    <row r="11" spans="1:18" ht="20.100000000000001" customHeight="1">
      <c r="A11" s="45" t="s">
        <v>232</v>
      </c>
      <c r="B11" s="298" t="s">
        <v>325</v>
      </c>
      <c r="C11" s="47"/>
      <c r="D11" s="47"/>
      <c r="E11" s="47"/>
      <c r="F11" s="45"/>
      <c r="G11" s="45" t="s">
        <v>233</v>
      </c>
      <c r="H11" s="46" t="s">
        <v>234</v>
      </c>
      <c r="K11" s="45"/>
      <c r="M11" s="47"/>
      <c r="N11" s="47"/>
      <c r="R11" s="47"/>
    </row>
    <row r="12" spans="1:18" ht="20.100000000000001" customHeight="1">
      <c r="A12" s="44" t="s">
        <v>235</v>
      </c>
      <c r="B12" s="48"/>
      <c r="C12" s="48"/>
      <c r="D12" s="48"/>
      <c r="E12" s="48"/>
      <c r="F12" s="48"/>
      <c r="G12" s="48"/>
      <c r="H12" s="48"/>
      <c r="I12" s="48"/>
      <c r="J12" s="48"/>
      <c r="K12" s="48"/>
      <c r="L12" s="48"/>
      <c r="M12" s="48"/>
      <c r="N12" s="48"/>
      <c r="O12" s="48"/>
      <c r="P12" s="48"/>
      <c r="Q12" s="48"/>
    </row>
    <row r="13" spans="1:18" ht="20.100000000000001" customHeight="1">
      <c r="A13" s="49" t="s">
        <v>236</v>
      </c>
      <c r="B13" s="48"/>
      <c r="C13" s="48"/>
      <c r="D13" s="48"/>
      <c r="E13" s="48"/>
      <c r="F13" s="48"/>
      <c r="G13" s="48"/>
      <c r="H13" s="48"/>
      <c r="I13" s="48"/>
      <c r="J13" s="48"/>
      <c r="K13" s="48"/>
      <c r="L13" s="48"/>
      <c r="M13" s="48"/>
      <c r="N13" s="48"/>
      <c r="O13" s="48"/>
      <c r="P13" s="48"/>
      <c r="Q13" s="48"/>
    </row>
    <row r="14" spans="1:18" s="37" customFormat="1" ht="20.100000000000001" customHeight="1">
      <c r="A14" s="50" t="s">
        <v>237</v>
      </c>
    </row>
    <row r="15" spans="1:18" s="38" customFormat="1" ht="20.100000000000001" customHeight="1">
      <c r="A15" s="367" t="s">
        <v>238</v>
      </c>
      <c r="B15" s="369" t="s">
        <v>239</v>
      </c>
      <c r="C15" s="369"/>
      <c r="D15" s="369"/>
      <c r="E15" s="369"/>
      <c r="F15" s="369"/>
      <c r="G15" s="369"/>
      <c r="H15" s="369"/>
      <c r="I15" s="370" t="s">
        <v>240</v>
      </c>
      <c r="J15" s="378" t="s">
        <v>241</v>
      </c>
      <c r="K15" s="379"/>
      <c r="L15" s="379"/>
      <c r="M15" s="379"/>
      <c r="N15" s="379"/>
      <c r="O15" s="372" t="s">
        <v>4</v>
      </c>
      <c r="P15" s="373" t="s">
        <v>242</v>
      </c>
      <c r="Q15" s="381" t="s">
        <v>243</v>
      </c>
    </row>
    <row r="16" spans="1:18" s="38" customFormat="1" ht="20.100000000000001" customHeight="1">
      <c r="A16" s="368"/>
      <c r="B16" s="51" t="s">
        <v>244</v>
      </c>
      <c r="C16" s="51" t="s">
        <v>245</v>
      </c>
      <c r="D16" s="51" t="s">
        <v>246</v>
      </c>
      <c r="E16" s="51" t="s">
        <v>247</v>
      </c>
      <c r="F16" s="51" t="s">
        <v>248</v>
      </c>
      <c r="G16" s="52" t="s">
        <v>249</v>
      </c>
      <c r="H16" s="52" t="s">
        <v>250</v>
      </c>
      <c r="I16" s="371"/>
      <c r="J16" s="66">
        <v>1</v>
      </c>
      <c r="K16" s="66">
        <v>2</v>
      </c>
      <c r="L16" s="66">
        <v>3</v>
      </c>
      <c r="M16" s="66">
        <v>4</v>
      </c>
      <c r="N16" s="66">
        <v>5</v>
      </c>
      <c r="O16" s="372"/>
      <c r="P16" s="374"/>
      <c r="Q16" s="382"/>
    </row>
    <row r="17" spans="1:17" s="38" customFormat="1" ht="20.100000000000001" customHeight="1">
      <c r="A17" s="53"/>
      <c r="B17" s="54"/>
      <c r="C17" s="55"/>
      <c r="D17" s="56"/>
      <c r="E17" s="56"/>
      <c r="F17" s="56"/>
      <c r="G17" s="57"/>
      <c r="H17" s="57"/>
      <c r="I17" s="62"/>
      <c r="J17" s="67"/>
      <c r="K17" s="67"/>
      <c r="L17" s="67"/>
      <c r="M17" s="67"/>
      <c r="N17" s="67"/>
      <c r="O17" s="68"/>
      <c r="P17" s="69"/>
      <c r="Q17" s="69"/>
    </row>
    <row r="18" spans="1:17" s="38" customFormat="1" ht="20.100000000000001" customHeight="1">
      <c r="A18" s="53"/>
      <c r="B18" s="54"/>
      <c r="C18" s="55"/>
      <c r="D18" s="56"/>
      <c r="E18" s="56"/>
      <c r="F18" s="56"/>
      <c r="G18" s="57"/>
      <c r="H18" s="57"/>
      <c r="I18" s="284"/>
      <c r="J18" s="67"/>
      <c r="K18" s="67"/>
      <c r="L18" s="67"/>
      <c r="M18" s="67"/>
      <c r="N18" s="67"/>
      <c r="O18" s="68"/>
      <c r="P18" s="69"/>
      <c r="Q18" s="69"/>
    </row>
    <row r="19" spans="1:17" s="38" customFormat="1" ht="20.100000000000001" customHeight="1">
      <c r="A19" s="53"/>
      <c r="B19" s="54"/>
      <c r="C19" s="55"/>
      <c r="D19" s="56"/>
      <c r="E19" s="56"/>
      <c r="F19" s="56"/>
      <c r="G19" s="57"/>
      <c r="H19" s="57"/>
      <c r="I19" s="284"/>
      <c r="J19" s="67"/>
      <c r="K19" s="67"/>
      <c r="L19" s="67"/>
      <c r="M19" s="67"/>
      <c r="N19" s="67"/>
      <c r="O19" s="68"/>
      <c r="P19" s="69"/>
      <c r="Q19" s="69"/>
    </row>
    <row r="20" spans="1:17" s="38" customFormat="1" ht="20.100000000000001" customHeight="1">
      <c r="A20" s="53"/>
      <c r="B20" s="54"/>
      <c r="C20" s="55"/>
      <c r="D20" s="56"/>
      <c r="E20" s="56"/>
      <c r="F20" s="56"/>
      <c r="G20" s="57"/>
      <c r="H20" s="57"/>
      <c r="I20" s="284"/>
      <c r="J20" s="67"/>
      <c r="K20" s="67"/>
      <c r="L20" s="67"/>
      <c r="M20" s="67"/>
      <c r="N20" s="67"/>
      <c r="O20" s="68"/>
      <c r="P20" s="69"/>
      <c r="Q20" s="69"/>
    </row>
    <row r="21" spans="1:17" s="38" customFormat="1" ht="20.100000000000001" customHeight="1">
      <c r="A21" s="53"/>
      <c r="B21" s="54"/>
      <c r="C21" s="55"/>
      <c r="D21" s="56"/>
      <c r="E21" s="56"/>
      <c r="F21" s="56"/>
      <c r="G21" s="57"/>
      <c r="H21" s="57"/>
      <c r="I21" s="284"/>
      <c r="J21" s="67"/>
      <c r="K21" s="67"/>
      <c r="L21" s="67"/>
      <c r="M21" s="67"/>
      <c r="N21" s="67"/>
      <c r="O21" s="68"/>
      <c r="P21" s="69"/>
      <c r="Q21" s="69"/>
    </row>
    <row r="22" spans="1:17" s="38" customFormat="1" ht="20.100000000000001" customHeight="1">
      <c r="A22" s="53"/>
      <c r="B22" s="54"/>
      <c r="C22" s="55"/>
      <c r="D22" s="56"/>
      <c r="E22" s="56"/>
      <c r="F22" s="56"/>
      <c r="G22" s="57"/>
      <c r="H22" s="57"/>
      <c r="I22" s="284"/>
      <c r="J22" s="67"/>
      <c r="K22" s="67"/>
      <c r="L22" s="67"/>
      <c r="M22" s="67"/>
      <c r="N22" s="67"/>
      <c r="O22" s="68"/>
      <c r="P22" s="69"/>
      <c r="Q22" s="69"/>
    </row>
    <row r="23" spans="1:17" s="38" customFormat="1" ht="20.100000000000001" customHeight="1">
      <c r="A23" s="53"/>
      <c r="B23" s="54"/>
      <c r="C23" s="55"/>
      <c r="D23" s="56"/>
      <c r="E23" s="56"/>
      <c r="F23" s="56"/>
      <c r="G23" s="57"/>
      <c r="H23" s="57"/>
      <c r="I23" s="62"/>
      <c r="J23" s="67"/>
      <c r="K23" s="67"/>
      <c r="L23" s="67"/>
      <c r="M23" s="67"/>
      <c r="N23" s="67"/>
      <c r="O23" s="68"/>
      <c r="P23" s="69"/>
      <c r="Q23" s="69"/>
    </row>
    <row r="24" spans="1:17" s="38" customFormat="1" ht="20.100000000000001" customHeight="1">
      <c r="A24" s="53"/>
      <c r="B24" s="54"/>
      <c r="C24" s="55"/>
      <c r="D24" s="56"/>
      <c r="E24" s="56"/>
      <c r="F24" s="56"/>
      <c r="G24" s="57"/>
      <c r="H24" s="57"/>
      <c r="I24" s="62"/>
      <c r="J24" s="67"/>
      <c r="K24" s="67"/>
      <c r="L24" s="67"/>
      <c r="M24" s="67"/>
      <c r="N24" s="67"/>
      <c r="O24" s="68"/>
      <c r="P24" s="69"/>
      <c r="Q24" s="69"/>
    </row>
    <row r="25" spans="1:17" s="38" customFormat="1" ht="20.100000000000001" customHeight="1">
      <c r="A25" s="53"/>
      <c r="B25" s="54"/>
      <c r="C25" s="55"/>
      <c r="D25" s="56"/>
      <c r="E25" s="56"/>
      <c r="F25" s="56"/>
      <c r="G25" s="57"/>
      <c r="H25" s="57"/>
      <c r="I25" s="62"/>
      <c r="J25" s="67"/>
      <c r="K25" s="67"/>
      <c r="L25" s="67"/>
      <c r="M25" s="67"/>
      <c r="N25" s="67"/>
      <c r="O25" s="68"/>
      <c r="P25" s="69"/>
      <c r="Q25" s="69"/>
    </row>
    <row r="26" spans="1:17" s="39" customFormat="1" ht="19.95" customHeight="1">
      <c r="A26" s="53"/>
      <c r="B26" s="54"/>
      <c r="C26" s="55"/>
      <c r="D26" s="56"/>
      <c r="E26" s="56"/>
      <c r="F26" s="56"/>
      <c r="G26" s="57"/>
      <c r="H26" s="57"/>
      <c r="I26" s="62"/>
      <c r="J26" s="67"/>
      <c r="K26" s="67"/>
      <c r="L26" s="67"/>
      <c r="M26" s="67"/>
      <c r="N26" s="67"/>
      <c r="O26" s="68"/>
      <c r="P26" s="69"/>
      <c r="Q26" s="69"/>
    </row>
    <row r="27" spans="1:17" s="39" customFormat="1" ht="19.95" customHeight="1">
      <c r="A27" s="58" t="s">
        <v>96</v>
      </c>
      <c r="B27" s="59"/>
      <c r="C27" s="59"/>
      <c r="D27" s="59"/>
      <c r="E27" s="59"/>
      <c r="F27" s="59"/>
      <c r="G27" s="60">
        <f>SUM(G17:G26)</f>
        <v>0</v>
      </c>
      <c r="H27" s="60">
        <f>SUM(H17:H26)</f>
        <v>0</v>
      </c>
      <c r="I27" s="70"/>
      <c r="J27" s="70"/>
      <c r="K27" s="70"/>
      <c r="L27" s="60"/>
      <c r="M27" s="70"/>
      <c r="N27" s="70"/>
      <c r="O27" s="60"/>
      <c r="P27" s="70"/>
      <c r="Q27" s="70"/>
    </row>
    <row r="28" spans="1:17" s="39" customFormat="1" ht="19.95" customHeight="1">
      <c r="A28" s="61" t="s">
        <v>251</v>
      </c>
      <c r="I28" s="71"/>
      <c r="M28" s="71"/>
    </row>
    <row r="29" spans="1:17" s="38" customFormat="1" ht="20.100000000000001" customHeight="1">
      <c r="A29" s="369" t="s">
        <v>238</v>
      </c>
      <c r="B29" s="369" t="s">
        <v>239</v>
      </c>
      <c r="C29" s="369"/>
      <c r="D29" s="369"/>
      <c r="E29" s="369"/>
      <c r="F29" s="369"/>
      <c r="G29" s="369"/>
      <c r="H29" s="370" t="s">
        <v>240</v>
      </c>
      <c r="I29" s="370"/>
      <c r="J29" s="380" t="s">
        <v>241</v>
      </c>
      <c r="K29" s="380"/>
      <c r="L29" s="380"/>
      <c r="M29" s="380"/>
      <c r="N29" s="380"/>
      <c r="O29" s="373" t="s">
        <v>4</v>
      </c>
      <c r="P29" s="373" t="s">
        <v>242</v>
      </c>
      <c r="Q29" s="383" t="s">
        <v>243</v>
      </c>
    </row>
    <row r="30" spans="1:17" s="38" customFormat="1" ht="20.100000000000001" customHeight="1">
      <c r="A30" s="369"/>
      <c r="B30" s="51" t="s">
        <v>244</v>
      </c>
      <c r="C30" s="51" t="s">
        <v>245</v>
      </c>
      <c r="D30" s="51" t="s">
        <v>246</v>
      </c>
      <c r="E30" s="51" t="s">
        <v>247</v>
      </c>
      <c r="F30" s="51" t="s">
        <v>248</v>
      </c>
      <c r="G30" s="52" t="s">
        <v>250</v>
      </c>
      <c r="H30" s="370"/>
      <c r="I30" s="370"/>
      <c r="J30" s="66">
        <v>1</v>
      </c>
      <c r="K30" s="66">
        <v>2</v>
      </c>
      <c r="L30" s="66">
        <v>3</v>
      </c>
      <c r="M30" s="66">
        <v>4</v>
      </c>
      <c r="N30" s="66">
        <v>5</v>
      </c>
      <c r="O30" s="374"/>
      <c r="P30" s="374"/>
      <c r="Q30" s="384"/>
    </row>
    <row r="31" spans="1:17" s="38" customFormat="1" ht="20.100000000000001" customHeight="1">
      <c r="A31" s="53"/>
      <c r="B31" s="54"/>
      <c r="C31" s="55"/>
      <c r="D31" s="56"/>
      <c r="E31" s="56"/>
      <c r="F31" s="56"/>
      <c r="G31" s="57"/>
      <c r="H31" s="375"/>
      <c r="I31" s="375"/>
      <c r="J31" s="67"/>
      <c r="K31" s="67"/>
      <c r="L31" s="67"/>
      <c r="M31" s="67"/>
      <c r="N31" s="67"/>
      <c r="O31" s="68"/>
      <c r="P31" s="69"/>
      <c r="Q31" s="69"/>
    </row>
    <row r="32" spans="1:17" s="38" customFormat="1" ht="20.100000000000001" customHeight="1">
      <c r="A32" s="53"/>
      <c r="B32" s="54"/>
      <c r="C32" s="55"/>
      <c r="D32" s="56"/>
      <c r="E32" s="56"/>
      <c r="F32" s="56"/>
      <c r="G32" s="57"/>
      <c r="H32" s="375"/>
      <c r="I32" s="375"/>
      <c r="J32" s="67"/>
      <c r="K32" s="67"/>
      <c r="L32" s="67"/>
      <c r="M32" s="67"/>
      <c r="N32" s="67"/>
      <c r="O32" s="68"/>
      <c r="P32" s="69"/>
      <c r="Q32" s="69"/>
    </row>
    <row r="33" spans="1:17" s="38" customFormat="1" ht="20.100000000000001" customHeight="1">
      <c r="A33" s="53"/>
      <c r="B33" s="54"/>
      <c r="C33" s="55"/>
      <c r="D33" s="56"/>
      <c r="E33" s="56"/>
      <c r="F33" s="56"/>
      <c r="G33" s="57"/>
      <c r="H33" s="375"/>
      <c r="I33" s="375"/>
      <c r="J33" s="67"/>
      <c r="K33" s="67"/>
      <c r="L33" s="67"/>
      <c r="M33" s="67"/>
      <c r="N33" s="67"/>
      <c r="O33" s="68"/>
      <c r="P33" s="69"/>
      <c r="Q33" s="69"/>
    </row>
    <row r="34" spans="1:17" s="38" customFormat="1" ht="20.100000000000001" customHeight="1">
      <c r="A34" s="53"/>
      <c r="B34" s="54"/>
      <c r="C34" s="55"/>
      <c r="D34" s="56"/>
      <c r="E34" s="56"/>
      <c r="F34" s="56"/>
      <c r="G34" s="57"/>
      <c r="H34" s="375"/>
      <c r="I34" s="375"/>
      <c r="J34" s="67"/>
      <c r="K34" s="67"/>
      <c r="L34" s="67"/>
      <c r="M34" s="67"/>
      <c r="N34" s="67"/>
      <c r="O34" s="68"/>
      <c r="P34" s="69"/>
      <c r="Q34" s="69"/>
    </row>
    <row r="35" spans="1:17" s="38" customFormat="1" ht="20.100000000000001" customHeight="1">
      <c r="A35" s="53"/>
      <c r="B35" s="54"/>
      <c r="C35" s="55"/>
      <c r="D35" s="56"/>
      <c r="E35" s="56"/>
      <c r="F35" s="56"/>
      <c r="G35" s="57"/>
      <c r="H35" s="375"/>
      <c r="I35" s="375"/>
      <c r="J35" s="67"/>
      <c r="K35" s="67"/>
      <c r="L35" s="67"/>
      <c r="M35" s="67"/>
      <c r="N35" s="67"/>
      <c r="O35" s="68"/>
      <c r="P35" s="69"/>
      <c r="Q35" s="69"/>
    </row>
    <row r="36" spans="1:17" s="38" customFormat="1" ht="20.100000000000001" customHeight="1">
      <c r="A36" s="53"/>
      <c r="B36" s="54"/>
      <c r="C36" s="55"/>
      <c r="D36" s="56"/>
      <c r="E36" s="56"/>
      <c r="F36" s="56"/>
      <c r="G36" s="57"/>
      <c r="H36" s="376"/>
      <c r="I36" s="376"/>
      <c r="J36" s="67"/>
      <c r="K36" s="67"/>
      <c r="L36" s="67"/>
      <c r="M36" s="67"/>
      <c r="N36" s="67"/>
      <c r="O36" s="68"/>
      <c r="P36" s="69"/>
      <c r="Q36" s="69"/>
    </row>
    <row r="37" spans="1:17" s="38" customFormat="1" ht="20.100000000000001" customHeight="1">
      <c r="A37" s="53"/>
      <c r="B37" s="54"/>
      <c r="C37" s="55"/>
      <c r="D37" s="56"/>
      <c r="E37" s="56"/>
      <c r="F37" s="56"/>
      <c r="G37" s="57"/>
      <c r="H37" s="376"/>
      <c r="I37" s="376"/>
      <c r="J37" s="67"/>
      <c r="K37" s="67"/>
      <c r="L37" s="67"/>
      <c r="M37" s="67"/>
      <c r="N37" s="67"/>
      <c r="O37" s="68"/>
      <c r="P37" s="69"/>
      <c r="Q37" s="69"/>
    </row>
    <row r="38" spans="1:17" s="39" customFormat="1" ht="19.95" customHeight="1">
      <c r="A38" s="53"/>
      <c r="B38" s="54"/>
      <c r="C38" s="55"/>
      <c r="D38" s="56"/>
      <c r="E38" s="56"/>
      <c r="F38" s="56"/>
      <c r="G38" s="57"/>
      <c r="H38" s="377"/>
      <c r="I38" s="377"/>
      <c r="J38" s="67"/>
      <c r="K38" s="67"/>
      <c r="L38" s="67"/>
      <c r="M38" s="67"/>
      <c r="N38" s="67"/>
      <c r="O38" s="68"/>
      <c r="P38" s="69"/>
      <c r="Q38" s="69"/>
    </row>
    <row r="39" spans="1:17" s="39" customFormat="1" ht="19.95" customHeight="1">
      <c r="A39" s="58" t="s">
        <v>96</v>
      </c>
      <c r="B39" s="59"/>
      <c r="C39" s="59"/>
      <c r="D39" s="59"/>
      <c r="E39" s="59"/>
      <c r="F39" s="59"/>
      <c r="G39" s="60">
        <f>SUM(G31:G38)</f>
        <v>0</v>
      </c>
      <c r="H39" s="366"/>
      <c r="I39" s="366"/>
      <c r="J39" s="70"/>
      <c r="K39" s="70"/>
      <c r="L39" s="60"/>
      <c r="M39" s="70"/>
      <c r="N39" s="70"/>
      <c r="O39" s="60"/>
      <c r="P39" s="70"/>
      <c r="Q39" s="70"/>
    </row>
    <row r="40" spans="1:17" ht="20.100000000000001" customHeight="1">
      <c r="A40" s="41" t="s">
        <v>252</v>
      </c>
    </row>
    <row r="41" spans="1:17" ht="20.100000000000001" customHeight="1">
      <c r="A41" s="299" t="s">
        <v>326</v>
      </c>
      <c r="B41" s="299"/>
      <c r="C41"/>
      <c r="D41" s="300" t="s">
        <v>327</v>
      </c>
      <c r="E41" s="300" t="s">
        <v>328</v>
      </c>
      <c r="F41" s="300" t="s">
        <v>329</v>
      </c>
      <c r="G41" s="300" t="s">
        <v>330</v>
      </c>
      <c r="H41" s="301" t="s">
        <v>331</v>
      </c>
    </row>
    <row r="42" spans="1:17" ht="20.100000000000001" customHeight="1">
      <c r="A42" s="302"/>
      <c r="B42" s="302"/>
      <c r="C42"/>
      <c r="D42" s="300" t="s">
        <v>332</v>
      </c>
      <c r="E42" s="303">
        <f>'预收账款明细表D3-2'!M24</f>
        <v>0</v>
      </c>
      <c r="F42" s="303">
        <f>G27</f>
        <v>0</v>
      </c>
      <c r="G42" s="304" t="e">
        <f>ROUND(F42/E42,4)</f>
        <v>#DIV/0!</v>
      </c>
      <c r="H42" s="135"/>
    </row>
    <row r="43" spans="1:17" ht="20.100000000000001" customHeight="1">
      <c r="A43" s="302"/>
      <c r="B43" s="302"/>
      <c r="C43"/>
      <c r="D43" s="300" t="s">
        <v>333</v>
      </c>
      <c r="E43" s="303">
        <f>'预收账款明细表D3-2'!N24</f>
        <v>0</v>
      </c>
      <c r="F43" s="303">
        <f>H27</f>
        <v>0</v>
      </c>
      <c r="G43" s="304" t="e">
        <f>ROUND(F43/E43,2)</f>
        <v>#DIV/0!</v>
      </c>
      <c r="H43" s="135"/>
    </row>
    <row r="44" spans="1:17" ht="20.100000000000001" customHeight="1">
      <c r="A44" s="302"/>
      <c r="B44" s="302"/>
      <c r="C44"/>
      <c r="D44" s="300" t="s">
        <v>334</v>
      </c>
      <c r="E44" s="303">
        <f>'预收账款明细表D3-2'!T24</f>
        <v>0</v>
      </c>
      <c r="F44" s="303">
        <f>G39</f>
        <v>0</v>
      </c>
      <c r="G44" s="304" t="e">
        <f>ROUND(F44/E44,2)</f>
        <v>#DIV/0!</v>
      </c>
      <c r="H44" s="135"/>
    </row>
    <row r="45" spans="1:17" ht="20.100000000000001" customHeight="1">
      <c r="A45" s="305" t="s">
        <v>335</v>
      </c>
      <c r="B45" s="302"/>
      <c r="C45"/>
      <c r="D45" s="306"/>
      <c r="E45" s="307"/>
      <c r="F45" s="307"/>
      <c r="G45" s="308"/>
      <c r="H45" s="135"/>
    </row>
    <row r="46" spans="1:17" ht="20.100000000000001" customHeight="1">
      <c r="A46" s="63" t="s">
        <v>163</v>
      </c>
    </row>
    <row r="47" spans="1:17" ht="20.100000000000001" customHeight="1">
      <c r="A47" s="63"/>
    </row>
    <row r="48" spans="1:17" ht="20.100000000000001" customHeight="1">
      <c r="A48" s="64"/>
    </row>
  </sheetData>
  <mergeCells count="25">
    <mergeCell ref="A1:Q1"/>
    <mergeCell ref="A2:Q2"/>
    <mergeCell ref="B15:H15"/>
    <mergeCell ref="J15:N15"/>
    <mergeCell ref="B29:G29"/>
    <mergeCell ref="J29:N29"/>
    <mergeCell ref="P15:P16"/>
    <mergeCell ref="P29:P30"/>
    <mergeCell ref="Q15:Q16"/>
    <mergeCell ref="Q29:Q30"/>
    <mergeCell ref="H39:I39"/>
    <mergeCell ref="A15:A16"/>
    <mergeCell ref="A29:A30"/>
    <mergeCell ref="I15:I16"/>
    <mergeCell ref="O15:O16"/>
    <mergeCell ref="O29:O30"/>
    <mergeCell ref="H29:I30"/>
    <mergeCell ref="H31:I31"/>
    <mergeCell ref="H35:I35"/>
    <mergeCell ref="H36:I36"/>
    <mergeCell ref="H37:I37"/>
    <mergeCell ref="H38:I38"/>
    <mergeCell ref="H32:I32"/>
    <mergeCell ref="H33:I33"/>
    <mergeCell ref="H34:I34"/>
  </mergeCells>
  <phoneticPr fontId="156" type="noConversion"/>
  <dataValidations count="1">
    <dataValidation type="list" allowBlank="1" showInputMessage="1" showErrorMessage="1" sqref="J17:N26 J31:N38">
      <formula1>"√,X"</formula1>
    </dataValidation>
  </dataValidations>
  <hyperlinks>
    <hyperlink ref="Q3" location="底稿目录!A1" display="D3-5"/>
  </hyperlinks>
  <pageMargins left="0.70866141732283505" right="0.70866141732283505" top="0.74803149606299202" bottom="0.74803149606299202" header="0.31496062992126" footer="0.31496062992126"/>
  <pageSetup paperSize="9" scale="70" orientation="landscape" blackAndWhite="1" horizontalDpi="1200" verticalDpi="1200" r:id="rId1"/>
  <headerFooter alignWithMargins="0">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B8"/>
  <sheetViews>
    <sheetView workbookViewId="0"/>
  </sheetViews>
  <sheetFormatPr defaultColWidth="9" defaultRowHeight="15.6"/>
  <sheetData>
    <row r="1" spans="1:2">
      <c r="A1" t="s">
        <v>275</v>
      </c>
      <c r="B1" t="s">
        <v>276</v>
      </c>
    </row>
    <row r="2" spans="1:2">
      <c r="A2" t="s">
        <v>277</v>
      </c>
      <c r="B2" t="s">
        <v>278</v>
      </c>
    </row>
    <row r="3" spans="1:2">
      <c r="A3" t="s">
        <v>279</v>
      </c>
      <c r="B3" t="s">
        <v>280</v>
      </c>
    </row>
    <row r="4" spans="1:2">
      <c r="A4" t="s">
        <v>281</v>
      </c>
      <c r="B4" t="s">
        <v>282</v>
      </c>
    </row>
    <row r="5" spans="1:2">
      <c r="A5" t="s">
        <v>283</v>
      </c>
      <c r="B5" t="s">
        <v>284</v>
      </c>
    </row>
    <row r="6" spans="1:2">
      <c r="A6" t="s">
        <v>285</v>
      </c>
      <c r="B6" t="s">
        <v>286</v>
      </c>
    </row>
    <row r="7" spans="1:2">
      <c r="A7" t="s">
        <v>287</v>
      </c>
      <c r="B7" t="s">
        <v>288</v>
      </c>
    </row>
    <row r="8" spans="1:2">
      <c r="A8" t="s">
        <v>289</v>
      </c>
      <c r="B8" t="s">
        <v>290</v>
      </c>
    </row>
  </sheetData>
  <phoneticPr fontId="156"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命名范围</vt:lpstr>
      </vt:variant>
      <vt:variant>
        <vt:i4>11</vt:i4>
      </vt:variant>
    </vt:vector>
  </HeadingPairs>
  <TitlesOfParts>
    <vt:vector size="23" baseType="lpstr">
      <vt:lpstr>底稿目录</vt:lpstr>
      <vt:lpstr>预收账款实质性程序表D3A</vt:lpstr>
      <vt:lpstr>审定表D3-1</vt:lpstr>
      <vt:lpstr>附注披露信息(上市公司)</vt:lpstr>
      <vt:lpstr>附注披露信息(国企)</vt:lpstr>
      <vt:lpstr>预收账款明细表D3-2</vt:lpstr>
      <vt:lpstr>调整分录汇总表D3-3</vt:lpstr>
      <vt:lpstr>预收账款分析表D3-4</vt:lpstr>
      <vt:lpstr>账龄1年以上的预收账款检查表D3-5</vt:lpstr>
      <vt:lpstr>关联关系及交易检查表D3-6</vt:lpstr>
      <vt:lpstr>预收账款检查表D3-7</vt:lpstr>
      <vt:lpstr>GT_Custom</vt:lpstr>
      <vt:lpstr>底稿目录!Print_Area</vt:lpstr>
      <vt:lpstr>'调整分录汇总表D3-3'!Print_Area</vt:lpstr>
      <vt:lpstr>'附注披露信息(国企)'!Print_Area</vt:lpstr>
      <vt:lpstr>'附注披露信息(上市公司)'!Print_Area</vt:lpstr>
      <vt:lpstr>'关联关系及交易检查表D3-6'!Print_Area</vt:lpstr>
      <vt:lpstr>'审定表D3-1'!Print_Area</vt:lpstr>
      <vt:lpstr>'预收账款分析表D3-4'!Print_Area</vt:lpstr>
      <vt:lpstr>'预收账款检查表D3-7'!Print_Area</vt:lpstr>
      <vt:lpstr>'预收账款明细表D3-2'!Print_Area</vt:lpstr>
      <vt:lpstr>预收账款实质性程序表D3A!Print_Area</vt:lpstr>
      <vt:lpstr>'账龄1年以上的预收账款检查表D3-5'!Print_Area</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2025-10-29T08:40:42Z</cp:lastPrinted>
  <dcterms:created xsi:type="dcterms:W3CDTF">2007-05-20T08:51:00Z</dcterms:created>
  <dcterms:modified xsi:type="dcterms:W3CDTF">2025-11-10T02:06:11Z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2F83EF45E5AF4C92A5483E5084810F24_12</vt:lpwstr>
  </property>
  <property fmtid="{D5CDD505-2E9C-101B-9397-08002B2CF9AE}" pid="3" name="KSOProductBuildVer">
    <vt:lpwstr>2052-12.1.0.22529</vt:lpwstr>
  </property>
</Properties>
</file>