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5.底稿模板\2025年底稿修订\1.已修订底稿\2025年致同通用审计程序及底稿模板\1.致同审计程序及底稿模板（2025年）\4.风险应对-实质性程序（D-N）\D 收入循环\D4 营业收入\"/>
    </mc:Choice>
  </mc:AlternateContent>
  <bookViews>
    <workbookView xWindow="0" yWindow="0" windowWidth="28800" windowHeight="12240" tabRatio="793"/>
  </bookViews>
  <sheets>
    <sheet name="收入毛利分析D4-（整体毛利率因素分析法示例）" sheetId="1" r:id="rId1"/>
    <sheet name="合同履行检查表（示例）D4-" sheetId="2" r:id="rId2"/>
    <sheet name="工程施工收入检查表（示例）D4-" sheetId="3" r:id="rId3"/>
    <sheet name="贸易收入检查（示例）D4-" sheetId="4" r:id="rId4"/>
    <sheet name="BOT收入测算（示例）D4-" sheetId="5" r:id="rId5"/>
  </sheets>
  <externalReferences>
    <externalReference r:id="rId6"/>
    <externalReference r:id="rId7"/>
  </externalReferences>
  <definedNames>
    <definedName name="_xlnm.Print_Area" localSheetId="2">'工程施工收入检查表（示例）D4-'!$A$1:$BD$32</definedName>
    <definedName name="_xlnm.Print_Area" localSheetId="1">'合同履行检查表（示例）D4-'!$A$1:$AQ$35</definedName>
    <definedName name="_xlnm.Print_Area" localSheetId="3">'贸易收入检查（示例）D4-'!$A$1:$BM$35</definedName>
    <definedName name="_xlnm.Print_Area" localSheetId="0">'收入毛利分析D4-（整体毛利率因素分析法示例）'!$A$1:$R$77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A26" i="3" l="1"/>
  <c r="AD14" i="3"/>
  <c r="AC14" i="3"/>
  <c r="AE14" i="3" s="1"/>
  <c r="AF14" i="3" s="1"/>
  <c r="AC15" i="3"/>
  <c r="AC16" i="3"/>
  <c r="AC17" i="3"/>
  <c r="AC18" i="3"/>
  <c r="AC19" i="3"/>
  <c r="AC20" i="3"/>
  <c r="AC21" i="3"/>
  <c r="AC22" i="3"/>
  <c r="AC23" i="3"/>
  <c r="AC24" i="3"/>
  <c r="AC25" i="3"/>
  <c r="AB14" i="3"/>
  <c r="AB15" i="3"/>
  <c r="BH29" i="4" l="1"/>
  <c r="BE29" i="4"/>
  <c r="AS29" i="4"/>
  <c r="AJ29" i="4"/>
  <c r="AG29" i="4"/>
  <c r="O29" i="4"/>
  <c r="H28" i="4"/>
  <c r="G29" i="4"/>
  <c r="D29" i="4"/>
  <c r="BB26" i="3"/>
  <c r="AQ26" i="3"/>
  <c r="AP26" i="3"/>
  <c r="AO26" i="3"/>
  <c r="AA26" i="3"/>
  <c r="Z26" i="3"/>
  <c r="Y26" i="3"/>
  <c r="W26" i="3"/>
  <c r="X26" i="3"/>
  <c r="V26" i="3"/>
  <c r="U26" i="3"/>
  <c r="T26" i="3"/>
  <c r="S26" i="3"/>
  <c r="R26" i="3"/>
  <c r="P26" i="3"/>
  <c r="O26" i="3"/>
  <c r="N26" i="3"/>
  <c r="F26" i="3"/>
  <c r="U27" i="2"/>
  <c r="S27" i="2"/>
  <c r="Q27" i="2"/>
  <c r="H27" i="2"/>
  <c r="L27" i="2"/>
  <c r="M27" i="2"/>
  <c r="K27" i="2"/>
  <c r="K29" i="2" s="1"/>
  <c r="G4" i="5" l="1"/>
  <c r="G3" i="5"/>
  <c r="R4" i="4"/>
  <c r="R3" i="4"/>
  <c r="D4" i="5"/>
  <c r="D3" i="5"/>
  <c r="I4" i="4"/>
  <c r="I3" i="4"/>
  <c r="J4" i="3"/>
  <c r="J3" i="3"/>
  <c r="A4" i="5"/>
  <c r="A3" i="5"/>
  <c r="A4" i="4"/>
  <c r="A3" i="4"/>
  <c r="M4" i="1"/>
  <c r="M3" i="1"/>
  <c r="H4" i="1"/>
  <c r="H3" i="1"/>
  <c r="A4" i="1"/>
  <c r="A3" i="1"/>
  <c r="K31" i="5" l="1"/>
  <c r="J31" i="5"/>
  <c r="I31" i="5"/>
  <c r="H31" i="5"/>
  <c r="G31" i="5"/>
  <c r="F31" i="5"/>
  <c r="E31" i="5"/>
  <c r="D31" i="5"/>
  <c r="L31" i="5" s="1"/>
  <c r="C31" i="5"/>
  <c r="B31" i="5"/>
  <c r="K30" i="5"/>
  <c r="J30" i="5"/>
  <c r="I30" i="5"/>
  <c r="H30" i="5"/>
  <c r="G30" i="5"/>
  <c r="F30" i="5"/>
  <c r="E30" i="5"/>
  <c r="D30" i="5"/>
  <c r="B25" i="5"/>
  <c r="C24" i="5"/>
  <c r="C25" i="5" s="1"/>
  <c r="C23" i="5"/>
  <c r="B23" i="5"/>
  <c r="I18" i="5"/>
  <c r="L17" i="5"/>
  <c r="L15" i="5"/>
  <c r="L14" i="5"/>
  <c r="C11" i="5"/>
  <c r="E10" i="5"/>
  <c r="E9" i="5"/>
  <c r="E8" i="5"/>
  <c r="C16" i="5" s="1"/>
  <c r="E7" i="5"/>
  <c r="B16" i="5" s="1"/>
  <c r="H29" i="4"/>
  <c r="H27" i="4"/>
  <c r="H26" i="4"/>
  <c r="H25" i="4"/>
  <c r="H24" i="4"/>
  <c r="H23" i="4"/>
  <c r="H22" i="4"/>
  <c r="H21" i="4"/>
  <c r="H20" i="4"/>
  <c r="H19" i="4"/>
  <c r="H18" i="4"/>
  <c r="H17" i="4"/>
  <c r="H16" i="4"/>
  <c r="H15" i="4"/>
  <c r="H14" i="4"/>
  <c r="BG4" i="4"/>
  <c r="BA4" i="4"/>
  <c r="AT4" i="4"/>
  <c r="AK4" i="4"/>
  <c r="AF4" i="4"/>
  <c r="AB4" i="4"/>
  <c r="BG3" i="4"/>
  <c r="BA3" i="4"/>
  <c r="AT3" i="4"/>
  <c r="AK3" i="4"/>
  <c r="AF3" i="4"/>
  <c r="AB3" i="4"/>
  <c r="AS25" i="3"/>
  <c r="AR25" i="3"/>
  <c r="AL25" i="3"/>
  <c r="AK25" i="3"/>
  <c r="AJ25" i="3"/>
  <c r="AG25" i="3"/>
  <c r="AE25" i="3"/>
  <c r="AB25" i="3"/>
  <c r="AD25" i="3" s="1"/>
  <c r="AS24" i="3"/>
  <c r="AR24" i="3"/>
  <c r="AL24" i="3"/>
  <c r="AK24" i="3"/>
  <c r="AJ24" i="3"/>
  <c r="AG24" i="3"/>
  <c r="AE24" i="3"/>
  <c r="AM24" i="3" s="1"/>
  <c r="AB24" i="3"/>
  <c r="AD24" i="3" s="1"/>
  <c r="AS23" i="3"/>
  <c r="AR23" i="3"/>
  <c r="AL23" i="3"/>
  <c r="AK23" i="3"/>
  <c r="AJ23" i="3"/>
  <c r="AG23" i="3"/>
  <c r="AE23" i="3"/>
  <c r="AI23" i="3" s="1"/>
  <c r="AB23" i="3"/>
  <c r="AD23" i="3" s="1"/>
  <c r="AS22" i="3"/>
  <c r="AR22" i="3"/>
  <c r="AL22" i="3"/>
  <c r="AK22" i="3"/>
  <c r="AJ22" i="3"/>
  <c r="AG22" i="3"/>
  <c r="AE22" i="3"/>
  <c r="AI22" i="3" s="1"/>
  <c r="AB22" i="3"/>
  <c r="AD22" i="3" s="1"/>
  <c r="AS21" i="3"/>
  <c r="AR21" i="3"/>
  <c r="AL21" i="3"/>
  <c r="AK21" i="3"/>
  <c r="AJ21" i="3"/>
  <c r="AG21" i="3"/>
  <c r="AE21" i="3"/>
  <c r="AB21" i="3"/>
  <c r="AD21" i="3" s="1"/>
  <c r="AS20" i="3"/>
  <c r="AR20" i="3"/>
  <c r="AL20" i="3"/>
  <c r="AK20" i="3"/>
  <c r="AJ20" i="3"/>
  <c r="AG20" i="3"/>
  <c r="AE20" i="3"/>
  <c r="AB20" i="3"/>
  <c r="AD20" i="3" s="1"/>
  <c r="AS19" i="3"/>
  <c r="AR19" i="3"/>
  <c r="AL19" i="3"/>
  <c r="AK19" i="3"/>
  <c r="AJ19" i="3"/>
  <c r="AG19" i="3"/>
  <c r="AE19" i="3"/>
  <c r="AB19" i="3"/>
  <c r="AD19" i="3" s="1"/>
  <c r="AS18" i="3"/>
  <c r="AR18" i="3"/>
  <c r="AL18" i="3"/>
  <c r="AK18" i="3"/>
  <c r="AJ18" i="3"/>
  <c r="AG18" i="3"/>
  <c r="AE18" i="3"/>
  <c r="AM18" i="3" s="1"/>
  <c r="AB18" i="3"/>
  <c r="AD18" i="3" s="1"/>
  <c r="AS17" i="3"/>
  <c r="AR17" i="3"/>
  <c r="AL17" i="3"/>
  <c r="AK17" i="3"/>
  <c r="AJ17" i="3"/>
  <c r="AG17" i="3"/>
  <c r="AE17" i="3"/>
  <c r="AB17" i="3"/>
  <c r="AD17" i="3" s="1"/>
  <c r="AS16" i="3"/>
  <c r="AR16" i="3"/>
  <c r="AL16" i="3"/>
  <c r="AK16" i="3"/>
  <c r="AJ16" i="3"/>
  <c r="AG16" i="3"/>
  <c r="AE16" i="3"/>
  <c r="AB16" i="3"/>
  <c r="AD16" i="3" s="1"/>
  <c r="AS15" i="3"/>
  <c r="AR15" i="3"/>
  <c r="AL15" i="3"/>
  <c r="AK15" i="3"/>
  <c r="AJ15" i="3"/>
  <c r="AG15" i="3"/>
  <c r="AE15" i="3"/>
  <c r="AI15" i="3" s="1"/>
  <c r="AD15" i="3"/>
  <c r="AS14" i="3"/>
  <c r="AR14" i="3"/>
  <c r="AL14" i="3"/>
  <c r="AL26" i="3" s="1"/>
  <c r="AK14" i="3"/>
  <c r="AK26" i="3" s="1"/>
  <c r="AD26" i="3"/>
  <c r="AG14" i="3"/>
  <c r="AS13" i="3"/>
  <c r="AR13" i="3"/>
  <c r="AX4" i="3"/>
  <c r="AT4" i="3"/>
  <c r="AO4" i="3"/>
  <c r="AH4" i="3"/>
  <c r="AD4" i="3"/>
  <c r="Y4" i="3"/>
  <c r="P4" i="3"/>
  <c r="A4" i="3"/>
  <c r="AX3" i="3"/>
  <c r="AT3" i="3"/>
  <c r="AO3" i="3"/>
  <c r="AH3" i="3"/>
  <c r="AD3" i="3"/>
  <c r="Y3" i="3"/>
  <c r="P3" i="3"/>
  <c r="A3" i="3"/>
  <c r="AI4" i="2"/>
  <c r="AD4" i="2"/>
  <c r="W4" i="2"/>
  <c r="P4" i="2"/>
  <c r="H4" i="2"/>
  <c r="A4" i="2"/>
  <c r="AI3" i="2"/>
  <c r="AD3" i="2"/>
  <c r="W3" i="2"/>
  <c r="P3" i="2"/>
  <c r="H3" i="2"/>
  <c r="A3" i="2"/>
  <c r="D68" i="1"/>
  <c r="C68" i="1"/>
  <c r="B68" i="1"/>
  <c r="A68" i="1"/>
  <c r="B67" i="1"/>
  <c r="A67" i="1"/>
  <c r="B66" i="1"/>
  <c r="A66" i="1"/>
  <c r="B65" i="1"/>
  <c r="A65" i="1"/>
  <c r="B64" i="1"/>
  <c r="A64" i="1"/>
  <c r="B63" i="1"/>
  <c r="A63" i="1"/>
  <c r="B62" i="1"/>
  <c r="A62" i="1"/>
  <c r="B61" i="1"/>
  <c r="A61" i="1"/>
  <c r="B60" i="1"/>
  <c r="A60" i="1"/>
  <c r="B59" i="1"/>
  <c r="A59" i="1"/>
  <c r="B56" i="1"/>
  <c r="A56" i="1"/>
  <c r="B55" i="1"/>
  <c r="A55" i="1"/>
  <c r="B54" i="1"/>
  <c r="A54" i="1"/>
  <c r="B53" i="1"/>
  <c r="A53" i="1"/>
  <c r="C52" i="1"/>
  <c r="B52" i="1"/>
  <c r="A52" i="1"/>
  <c r="B51" i="1"/>
  <c r="A51" i="1"/>
  <c r="B50" i="1"/>
  <c r="A50" i="1"/>
  <c r="B49" i="1"/>
  <c r="A49" i="1"/>
  <c r="B48" i="1"/>
  <c r="A48" i="1"/>
  <c r="B47" i="1"/>
  <c r="A47" i="1"/>
  <c r="I43" i="1"/>
  <c r="H43" i="1"/>
  <c r="D56" i="1" s="1"/>
  <c r="D43" i="1"/>
  <c r="C43" i="1"/>
  <c r="B43" i="1"/>
  <c r="A43" i="1"/>
  <c r="I42" i="1"/>
  <c r="D55" i="1" s="1"/>
  <c r="D67" i="1" s="1"/>
  <c r="H42" i="1"/>
  <c r="G42" i="1"/>
  <c r="J42" i="1" s="1"/>
  <c r="D42" i="1"/>
  <c r="B42" i="1"/>
  <c r="A42" i="1"/>
  <c r="I41" i="1"/>
  <c r="H41" i="1"/>
  <c r="G41" i="1"/>
  <c r="J41" i="1" s="1"/>
  <c r="D41" i="1"/>
  <c r="B41" i="1"/>
  <c r="A41" i="1"/>
  <c r="H40" i="1"/>
  <c r="G40" i="1"/>
  <c r="E40" i="1"/>
  <c r="D40" i="1"/>
  <c r="B40" i="1"/>
  <c r="A40" i="1"/>
  <c r="H39" i="1"/>
  <c r="G39" i="1"/>
  <c r="E39" i="1"/>
  <c r="D39" i="1"/>
  <c r="B39" i="1"/>
  <c r="A39" i="1"/>
  <c r="H38" i="1"/>
  <c r="E38" i="1"/>
  <c r="C51" i="1" s="1"/>
  <c r="D38" i="1"/>
  <c r="C38" i="1"/>
  <c r="F38" i="1" s="1"/>
  <c r="B38" i="1"/>
  <c r="A38" i="1"/>
  <c r="H37" i="1"/>
  <c r="E37" i="1"/>
  <c r="C50" i="1" s="1"/>
  <c r="D37" i="1"/>
  <c r="C37" i="1"/>
  <c r="F37" i="1" s="1"/>
  <c r="B37" i="1"/>
  <c r="A37" i="1"/>
  <c r="I36" i="1"/>
  <c r="H36" i="1"/>
  <c r="D49" i="1" s="1"/>
  <c r="D61" i="1" s="1"/>
  <c r="D36" i="1"/>
  <c r="C36" i="1"/>
  <c r="B36" i="1"/>
  <c r="A36" i="1"/>
  <c r="I35" i="1"/>
  <c r="H35" i="1"/>
  <c r="D48" i="1" s="1"/>
  <c r="D60" i="1" s="1"/>
  <c r="D35" i="1"/>
  <c r="C35" i="1"/>
  <c r="B35" i="1"/>
  <c r="A35" i="1"/>
  <c r="I34" i="1"/>
  <c r="H34" i="1"/>
  <c r="G34" i="1"/>
  <c r="D34" i="1"/>
  <c r="B34" i="1"/>
  <c r="A34" i="1"/>
  <c r="P29" i="1"/>
  <c r="N29" i="1"/>
  <c r="F29" i="1"/>
  <c r="P27" i="1"/>
  <c r="R27" i="1" s="1"/>
  <c r="N27" i="1"/>
  <c r="I40" i="1" s="1"/>
  <c r="D53" i="1" s="1"/>
  <c r="D65" i="1" s="1"/>
  <c r="L27" i="1"/>
  <c r="H27" i="1"/>
  <c r="H29" i="1" s="1"/>
  <c r="F27" i="1"/>
  <c r="C42" i="1" s="1"/>
  <c r="D27" i="1"/>
  <c r="R26" i="1"/>
  <c r="Q26" i="1"/>
  <c r="O26" i="1"/>
  <c r="M26" i="1"/>
  <c r="I26" i="1"/>
  <c r="J26" i="1" s="1"/>
  <c r="G26" i="1"/>
  <c r="E26" i="1"/>
  <c r="R25" i="1"/>
  <c r="Q25" i="1"/>
  <c r="O25" i="1"/>
  <c r="M25" i="1"/>
  <c r="I25" i="1"/>
  <c r="J25" i="1" s="1"/>
  <c r="G25" i="1"/>
  <c r="E25" i="1"/>
  <c r="R24" i="1"/>
  <c r="Q24" i="1"/>
  <c r="O24" i="1"/>
  <c r="M24" i="1"/>
  <c r="I24" i="1"/>
  <c r="J24" i="1" s="1"/>
  <c r="G24" i="1"/>
  <c r="E24" i="1"/>
  <c r="R23" i="1"/>
  <c r="Q23" i="1"/>
  <c r="O23" i="1"/>
  <c r="M23" i="1"/>
  <c r="I23" i="1"/>
  <c r="J23" i="1" s="1"/>
  <c r="G23" i="1"/>
  <c r="E23" i="1"/>
  <c r="R22" i="1"/>
  <c r="Q22" i="1"/>
  <c r="O22" i="1"/>
  <c r="M22" i="1"/>
  <c r="I22" i="1"/>
  <c r="J22" i="1" s="1"/>
  <c r="G22" i="1"/>
  <c r="E22" i="1"/>
  <c r="R21" i="1"/>
  <c r="Q21" i="1"/>
  <c r="O21" i="1"/>
  <c r="M21" i="1"/>
  <c r="I21" i="1"/>
  <c r="J21" i="1" s="1"/>
  <c r="G21" i="1"/>
  <c r="E21" i="1"/>
  <c r="R20" i="1"/>
  <c r="Q20" i="1"/>
  <c r="O20" i="1"/>
  <c r="M20" i="1"/>
  <c r="I20" i="1"/>
  <c r="J20" i="1" s="1"/>
  <c r="G20" i="1"/>
  <c r="E20" i="1"/>
  <c r="R19" i="1"/>
  <c r="Q19" i="1"/>
  <c r="O19" i="1"/>
  <c r="M19" i="1"/>
  <c r="C61" i="1" s="1"/>
  <c r="I19" i="1"/>
  <c r="J19" i="1" s="1"/>
  <c r="G19" i="1"/>
  <c r="E19" i="1"/>
  <c r="R18" i="1"/>
  <c r="Q18" i="1"/>
  <c r="O18" i="1"/>
  <c r="M18" i="1"/>
  <c r="I18" i="1"/>
  <c r="J18" i="1" s="1"/>
  <c r="G18" i="1"/>
  <c r="E18" i="1"/>
  <c r="R17" i="1"/>
  <c r="Q17" i="1"/>
  <c r="Q27" i="1" s="1"/>
  <c r="O17" i="1"/>
  <c r="M17" i="1"/>
  <c r="I17" i="1"/>
  <c r="G17" i="1"/>
  <c r="E17" i="1"/>
  <c r="AR26" i="3" l="1"/>
  <c r="AS26" i="3"/>
  <c r="AG26" i="3"/>
  <c r="AF19" i="3"/>
  <c r="AN19" i="3" s="1"/>
  <c r="AE26" i="3"/>
  <c r="AJ14" i="3"/>
  <c r="AJ26" i="3" s="1"/>
  <c r="AI16" i="3"/>
  <c r="AH16" i="3"/>
  <c r="AF16" i="3"/>
  <c r="AN16" i="3" s="1"/>
  <c r="AM16" i="3"/>
  <c r="AF21" i="3"/>
  <c r="AN21" i="3" s="1"/>
  <c r="AM21" i="3"/>
  <c r="AI21" i="3"/>
  <c r="AH21" i="3"/>
  <c r="AI18" i="3"/>
  <c r="AH18" i="3"/>
  <c r="AF18" i="3"/>
  <c r="AN18" i="3" s="1"/>
  <c r="C67" i="1"/>
  <c r="J40" i="1"/>
  <c r="AM19" i="3"/>
  <c r="AI19" i="3"/>
  <c r="J27" i="1"/>
  <c r="J30" i="1" s="1"/>
  <c r="F35" i="1"/>
  <c r="AI24" i="3"/>
  <c r="AH24" i="3"/>
  <c r="AF24" i="3"/>
  <c r="AN24" i="3" s="1"/>
  <c r="D24" i="5"/>
  <c r="I27" i="1"/>
  <c r="J17" i="1"/>
  <c r="C60" i="1"/>
  <c r="C65" i="1"/>
  <c r="D50" i="1"/>
  <c r="D62" i="1" s="1"/>
  <c r="AI17" i="3"/>
  <c r="AH17" i="3"/>
  <c r="AM17" i="3"/>
  <c r="AH19" i="3"/>
  <c r="AF20" i="3"/>
  <c r="AN20" i="3" s="1"/>
  <c r="AM20" i="3"/>
  <c r="AH20" i="3"/>
  <c r="AI25" i="3"/>
  <c r="AH25" i="3"/>
  <c r="AM25" i="3"/>
  <c r="B22" i="5"/>
  <c r="L16" i="5"/>
  <c r="B30" i="5"/>
  <c r="C66" i="1"/>
  <c r="C53" i="1"/>
  <c r="E65" i="1" s="1"/>
  <c r="D54" i="1"/>
  <c r="D66" i="1" s="1"/>
  <c r="AF17" i="3"/>
  <c r="AN17" i="3" s="1"/>
  <c r="AI20" i="3"/>
  <c r="AH22" i="3"/>
  <c r="AF22" i="3"/>
  <c r="AN22" i="3" s="1"/>
  <c r="AM22" i="3"/>
  <c r="AF25" i="3"/>
  <c r="AN25" i="3" s="1"/>
  <c r="C30" i="5"/>
  <c r="B19" i="5"/>
  <c r="E34" i="1"/>
  <c r="G36" i="1"/>
  <c r="J36" i="1" s="1"/>
  <c r="I38" i="1"/>
  <c r="D51" i="1" s="1"/>
  <c r="C40" i="1"/>
  <c r="F40" i="1" s="1"/>
  <c r="K40" i="1" s="1"/>
  <c r="E42" i="1"/>
  <c r="C55" i="1" s="1"/>
  <c r="E67" i="1" s="1"/>
  <c r="E11" i="5"/>
  <c r="L18" i="5"/>
  <c r="AM15" i="3"/>
  <c r="AM23" i="3"/>
  <c r="C33" i="5"/>
  <c r="E35" i="1"/>
  <c r="C48" i="1" s="1"/>
  <c r="E60" i="1" s="1"/>
  <c r="G37" i="1"/>
  <c r="I39" i="1"/>
  <c r="D52" i="1" s="1"/>
  <c r="C41" i="1"/>
  <c r="E43" i="1"/>
  <c r="C56" i="1" s="1"/>
  <c r="E68" i="1" s="1"/>
  <c r="F68" i="1" s="1"/>
  <c r="AF15" i="3"/>
  <c r="AN15" i="3" s="1"/>
  <c r="AF23" i="3"/>
  <c r="AN23" i="3" s="1"/>
  <c r="J34" i="1"/>
  <c r="G35" i="1"/>
  <c r="J35" i="1" s="1"/>
  <c r="I37" i="1"/>
  <c r="I44" i="1" s="1"/>
  <c r="C39" i="1"/>
  <c r="F39" i="1" s="1"/>
  <c r="E41" i="1"/>
  <c r="C54" i="1" s="1"/>
  <c r="E66" i="1" s="1"/>
  <c r="G43" i="1"/>
  <c r="J43" i="1" s="1"/>
  <c r="AH15" i="3"/>
  <c r="AH23" i="3"/>
  <c r="D47" i="1"/>
  <c r="D59" i="1" s="1"/>
  <c r="C34" i="1"/>
  <c r="E36" i="1"/>
  <c r="G38" i="1"/>
  <c r="J38" i="1" s="1"/>
  <c r="K38" i="1" s="1"/>
  <c r="D63" i="1" l="1"/>
  <c r="E63" i="1"/>
  <c r="C63" i="1"/>
  <c r="F63" i="1" s="1"/>
  <c r="D64" i="1"/>
  <c r="D70" i="1" s="1"/>
  <c r="C64" i="1"/>
  <c r="E64" i="1"/>
  <c r="D23" i="5"/>
  <c r="C59" i="1"/>
  <c r="F67" i="1"/>
  <c r="F42" i="1"/>
  <c r="K42" i="1" s="1"/>
  <c r="G44" i="1"/>
  <c r="F66" i="1"/>
  <c r="J39" i="1"/>
  <c r="K39" i="1" s="1"/>
  <c r="E62" i="1"/>
  <c r="C49" i="1"/>
  <c r="E61" i="1" s="1"/>
  <c r="F61" i="1" s="1"/>
  <c r="F36" i="1"/>
  <c r="K36" i="1" s="1"/>
  <c r="F41" i="1"/>
  <c r="K41" i="1" s="1"/>
  <c r="L30" i="5"/>
  <c r="B34" i="5"/>
  <c r="F65" i="1"/>
  <c r="C44" i="1"/>
  <c r="G68" i="1" s="1"/>
  <c r="F34" i="1"/>
  <c r="J37" i="1"/>
  <c r="K37" i="1" s="1"/>
  <c r="F60" i="1"/>
  <c r="C62" i="1"/>
  <c r="F62" i="1" s="1"/>
  <c r="C47" i="1"/>
  <c r="E59" i="1" s="1"/>
  <c r="E70" i="1" s="1"/>
  <c r="E44" i="1"/>
  <c r="C21" i="5"/>
  <c r="C20" i="5"/>
  <c r="B26" i="5"/>
  <c r="D25" i="5"/>
  <c r="D33" i="5"/>
  <c r="F43" i="1"/>
  <c r="K43" i="1" s="1"/>
  <c r="K35" i="1"/>
  <c r="AH14" i="3"/>
  <c r="AH26" i="3" s="1"/>
  <c r="AM14" i="3"/>
  <c r="AM26" i="3" s="1"/>
  <c r="AI14" i="3"/>
  <c r="AI26" i="3" s="1"/>
  <c r="AN14" i="3" l="1"/>
  <c r="AN26" i="3" s="1"/>
  <c r="AF26" i="3"/>
  <c r="C32" i="5"/>
  <c r="C22" i="5"/>
  <c r="G65" i="1"/>
  <c r="G66" i="1"/>
  <c r="F64" i="1"/>
  <c r="G64" i="1" s="1"/>
  <c r="G62" i="1"/>
  <c r="G60" i="1"/>
  <c r="G67" i="1"/>
  <c r="G63" i="1"/>
  <c r="J44" i="1"/>
  <c r="G61" i="1"/>
  <c r="F59" i="1"/>
  <c r="C70" i="1"/>
  <c r="D21" i="5"/>
  <c r="D20" i="5"/>
  <c r="C26" i="5"/>
  <c r="K34" i="1"/>
  <c r="F44" i="1"/>
  <c r="K44" i="1" s="1"/>
  <c r="E24" i="5"/>
  <c r="E23" i="5"/>
  <c r="F70" i="1" l="1"/>
  <c r="G59" i="1"/>
  <c r="G70" i="1" s="1"/>
  <c r="F24" i="5"/>
  <c r="E33" i="5"/>
  <c r="E25" i="5"/>
  <c r="E20" i="5"/>
  <c r="E21" i="5"/>
  <c r="D26" i="5"/>
  <c r="C34" i="5"/>
  <c r="D22" i="5"/>
  <c r="D32" i="5"/>
  <c r="D34" i="5" s="1"/>
  <c r="F33" i="5" l="1"/>
  <c r="F25" i="5"/>
  <c r="F23" i="5"/>
  <c r="E32" i="5"/>
  <c r="E34" i="5" s="1"/>
  <c r="E22" i="5"/>
  <c r="F21" i="5"/>
  <c r="F20" i="5"/>
  <c r="E26" i="5"/>
  <c r="F32" i="5" l="1"/>
  <c r="F22" i="5"/>
  <c r="G24" i="5"/>
  <c r="G23" i="5"/>
  <c r="G20" i="5"/>
  <c r="F26" i="5"/>
  <c r="G21" i="5"/>
  <c r="G26" i="5" l="1"/>
  <c r="H21" i="5"/>
  <c r="H20" i="5"/>
  <c r="H24" i="5"/>
  <c r="H23" i="5" s="1"/>
  <c r="G33" i="5"/>
  <c r="G25" i="5"/>
  <c r="G32" i="5"/>
  <c r="G22" i="5"/>
  <c r="F34" i="5"/>
  <c r="I24" i="5" l="1"/>
  <c r="I23" i="5"/>
  <c r="H26" i="5"/>
  <c r="I20" i="5"/>
  <c r="I21" i="5"/>
  <c r="H25" i="5"/>
  <c r="H33" i="5"/>
  <c r="H32" i="5"/>
  <c r="H22" i="5"/>
  <c r="G34" i="5"/>
  <c r="I26" i="5" l="1"/>
  <c r="J21" i="5"/>
  <c r="J20" i="5"/>
  <c r="I32" i="5"/>
  <c r="I22" i="5"/>
  <c r="J24" i="5"/>
  <c r="J23" i="5" s="1"/>
  <c r="H34" i="5"/>
  <c r="I25" i="5"/>
  <c r="I33" i="5"/>
  <c r="K24" i="5" l="1"/>
  <c r="K23" i="5"/>
  <c r="J22" i="5"/>
  <c r="J32" i="5"/>
  <c r="J34" i="5" s="1"/>
  <c r="J25" i="5"/>
  <c r="J33" i="5"/>
  <c r="I34" i="5"/>
  <c r="K21" i="5"/>
  <c r="K20" i="5"/>
  <c r="K26" i="5" s="1"/>
  <c r="L26" i="5" s="1"/>
  <c r="J26" i="5"/>
  <c r="K22" i="5" l="1"/>
  <c r="L22" i="5" s="1"/>
  <c r="K32" i="5"/>
  <c r="L21" i="5"/>
  <c r="K25" i="5"/>
  <c r="L25" i="5" s="1"/>
  <c r="K33" i="5"/>
  <c r="L33" i="5" s="1"/>
  <c r="L24" i="5"/>
  <c r="K34" i="5" l="1"/>
  <c r="L34" i="5" s="1"/>
  <c r="L32" i="5"/>
</calcChain>
</file>

<file path=xl/comments1.xml><?xml version="1.0" encoding="utf-8"?>
<comments xmlns="http://schemas.openxmlformats.org/spreadsheetml/2006/main">
  <authors>
    <author>admin</author>
    <author>1</author>
  </authors>
  <commentList>
    <comment ref="Y11" authorId="0" shapeId="0">
      <text>
        <r>
          <rPr>
            <b/>
            <sz val="9"/>
            <color indexed="81"/>
            <rFont val="宋体"/>
            <family val="3"/>
            <charset val="134"/>
          </rPr>
          <t>提示</t>
        </r>
        <r>
          <rPr>
            <b/>
            <sz val="9"/>
            <color indexed="81"/>
            <rFont val="Tahoma"/>
            <family val="2"/>
          </rPr>
          <t>:</t>
        </r>
        <r>
          <rPr>
            <sz val="9"/>
            <color indexed="81"/>
            <rFont val="Tahoma"/>
            <family val="2"/>
          </rPr>
          <t xml:space="preserve">
</t>
        </r>
        <r>
          <rPr>
            <sz val="9"/>
            <color indexed="81"/>
            <rFont val="宋体"/>
            <family val="3"/>
            <charset val="134"/>
          </rPr>
          <t>表内公式适用于以成本确认履约进度的投入法，其他情况自行设计修改</t>
        </r>
      </text>
    </comment>
    <comment ref="R12" authorId="1" shapeId="0">
      <text>
        <r>
          <rPr>
            <b/>
            <sz val="9"/>
            <color indexed="81"/>
            <rFont val="宋体"/>
            <family val="3"/>
            <charset val="134"/>
          </rPr>
          <t>1:</t>
        </r>
        <r>
          <rPr>
            <sz val="9"/>
            <color indexed="81"/>
            <rFont val="宋体"/>
            <family val="3"/>
            <charset val="134"/>
          </rPr>
          <t xml:space="preserve">
合同结算-价款结算</t>
        </r>
      </text>
    </comment>
    <comment ref="S12" authorId="1" shapeId="0">
      <text>
        <r>
          <rPr>
            <b/>
            <sz val="9"/>
            <color indexed="81"/>
            <rFont val="宋体"/>
            <family val="3"/>
            <charset val="134"/>
          </rPr>
          <t>1:</t>
        </r>
        <r>
          <rPr>
            <sz val="9"/>
            <color indexed="81"/>
            <rFont val="宋体"/>
            <family val="3"/>
            <charset val="134"/>
          </rPr>
          <t xml:space="preserve">
合同结算-价款结算
</t>
        </r>
      </text>
    </comment>
    <comment ref="V12" authorId="1" shapeId="0">
      <text>
        <r>
          <rPr>
            <b/>
            <sz val="9"/>
            <color indexed="81"/>
            <rFont val="宋体"/>
            <family val="3"/>
            <charset val="134"/>
          </rPr>
          <t>1:</t>
        </r>
        <r>
          <rPr>
            <sz val="9"/>
            <color indexed="81"/>
            <rFont val="宋体"/>
            <family val="3"/>
            <charset val="134"/>
          </rPr>
          <t xml:space="preserve">
合同结算-收入结转</t>
        </r>
      </text>
    </comment>
    <comment ref="W12" authorId="1" shapeId="0">
      <text>
        <r>
          <rPr>
            <b/>
            <sz val="9"/>
            <color indexed="81"/>
            <rFont val="宋体"/>
            <family val="3"/>
            <charset val="134"/>
          </rPr>
          <t>1:</t>
        </r>
        <r>
          <rPr>
            <sz val="9"/>
            <color indexed="81"/>
            <rFont val="宋体"/>
            <family val="3"/>
            <charset val="134"/>
          </rPr>
          <t xml:space="preserve">
合同结算-收入结转
</t>
        </r>
      </text>
    </comment>
    <comment ref="X12" authorId="1" shapeId="0">
      <text>
        <r>
          <rPr>
            <b/>
            <sz val="9"/>
            <color indexed="81"/>
            <rFont val="宋体"/>
            <family val="3"/>
            <charset val="134"/>
          </rPr>
          <t>1:</t>
        </r>
        <r>
          <rPr>
            <sz val="9"/>
            <color indexed="81"/>
            <rFont val="宋体"/>
            <family val="3"/>
            <charset val="134"/>
          </rPr>
          <t xml:space="preserve">
合同结算-收入结转
</t>
        </r>
      </text>
    </comment>
    <comment ref="Y12" authorId="1" shapeId="0">
      <text>
        <r>
          <rPr>
            <b/>
            <sz val="9"/>
            <color indexed="81"/>
            <rFont val="宋体"/>
            <family val="3"/>
            <charset val="134"/>
          </rPr>
          <t>1:</t>
        </r>
        <r>
          <rPr>
            <sz val="9"/>
            <color indexed="81"/>
            <rFont val="宋体"/>
            <family val="3"/>
            <charset val="134"/>
          </rPr>
          <t xml:space="preserve">
合同履约成本</t>
        </r>
      </text>
    </comment>
    <comment ref="Z12" authorId="1" shapeId="0">
      <text>
        <r>
          <rPr>
            <b/>
            <sz val="9"/>
            <color indexed="81"/>
            <rFont val="宋体"/>
            <family val="3"/>
            <charset val="134"/>
          </rPr>
          <t>1:</t>
        </r>
        <r>
          <rPr>
            <sz val="9"/>
            <color indexed="81"/>
            <rFont val="宋体"/>
            <family val="3"/>
            <charset val="134"/>
          </rPr>
          <t xml:space="preserve">
合同履约成本</t>
        </r>
      </text>
    </comment>
    <comment ref="AA12" authorId="1" shapeId="0">
      <text>
        <r>
          <rPr>
            <b/>
            <sz val="9"/>
            <color indexed="81"/>
            <rFont val="宋体"/>
            <family val="3"/>
            <charset val="134"/>
          </rPr>
          <t>1:</t>
        </r>
        <r>
          <rPr>
            <sz val="9"/>
            <color indexed="81"/>
            <rFont val="宋体"/>
            <family val="3"/>
            <charset val="134"/>
          </rPr>
          <t xml:space="preserve">
合同履约成本
</t>
        </r>
      </text>
    </comment>
    <comment ref="AD12" authorId="1" shapeId="0">
      <text>
        <r>
          <rPr>
            <b/>
            <sz val="9"/>
            <color indexed="81"/>
            <rFont val="宋体"/>
            <family val="3"/>
            <charset val="134"/>
          </rPr>
          <t>1:</t>
        </r>
        <r>
          <rPr>
            <sz val="9"/>
            <color indexed="81"/>
            <rFont val="宋体"/>
            <family val="3"/>
            <charset val="134"/>
          </rPr>
          <t xml:space="preserve">
合同结算-收入结转</t>
        </r>
      </text>
    </comment>
    <comment ref="AE12" authorId="1" shapeId="0">
      <text>
        <r>
          <rPr>
            <b/>
            <sz val="9"/>
            <color indexed="81"/>
            <rFont val="宋体"/>
            <family val="3"/>
            <charset val="134"/>
          </rPr>
          <t>1:</t>
        </r>
        <r>
          <rPr>
            <sz val="9"/>
            <color indexed="81"/>
            <rFont val="宋体"/>
            <family val="3"/>
            <charset val="134"/>
          </rPr>
          <t xml:space="preserve">
合同结算-收入结转</t>
        </r>
      </text>
    </comment>
    <comment ref="AF12" authorId="1" shapeId="0">
      <text>
        <r>
          <rPr>
            <b/>
            <sz val="9"/>
            <color indexed="81"/>
            <rFont val="宋体"/>
            <family val="3"/>
            <charset val="134"/>
          </rPr>
          <t>1:</t>
        </r>
        <r>
          <rPr>
            <sz val="9"/>
            <color indexed="81"/>
            <rFont val="宋体"/>
            <family val="3"/>
            <charset val="134"/>
          </rPr>
          <t xml:space="preserve">
合同结算-收入结转</t>
        </r>
      </text>
    </comment>
    <comment ref="BC12" authorId="0" shapeId="0">
      <text>
        <r>
          <rPr>
            <b/>
            <sz val="9"/>
            <color indexed="81"/>
            <rFont val="宋体"/>
            <family val="3"/>
            <charset val="134"/>
          </rPr>
          <t>技术标准部</t>
        </r>
        <r>
          <rPr>
            <b/>
            <sz val="9"/>
            <color indexed="81"/>
            <rFont val="Tahoma"/>
            <family val="2"/>
          </rPr>
          <t>:</t>
        </r>
        <r>
          <rPr>
            <sz val="9"/>
            <color indexed="81"/>
            <rFont val="Tahoma"/>
            <family val="2"/>
          </rPr>
          <t xml:space="preserve">
</t>
        </r>
        <r>
          <rPr>
            <sz val="9"/>
            <color indexed="81"/>
            <rFont val="宋体"/>
            <family val="3"/>
            <charset val="134"/>
          </rPr>
          <t>相关函证底稿归集在资产负债表项目底稿内</t>
        </r>
      </text>
    </comment>
  </commentList>
</comments>
</file>

<file path=xl/sharedStrings.xml><?xml version="1.0" encoding="utf-8"?>
<sst xmlns="http://schemas.openxmlformats.org/spreadsheetml/2006/main" count="445" uniqueCount="363">
  <si>
    <t>致同会计师事务所</t>
  </si>
  <si>
    <t>收入毛利分析</t>
    <phoneticPr fontId="8" type="noConversion"/>
  </si>
  <si>
    <t>索引号：</t>
  </si>
  <si>
    <t>页次：</t>
    <phoneticPr fontId="11" type="noConversion"/>
  </si>
  <si>
    <t>一、审计目标：</t>
    <phoneticPr fontId="8" type="noConversion"/>
  </si>
  <si>
    <t>1.利润表中记录的营业收入已发生，且与被审计单位有关，已记录于恰当的账户。2.所有应当记录的营业收入均已记录，所有应当包括在财务报表中的相关披露均已包括。3.与营业收入有关的金额及其他数据已恰当记录，相关披露已得到恰当计量和描述</t>
    <phoneticPr fontId="8" type="noConversion"/>
  </si>
  <si>
    <t>二、审计过程</t>
    <phoneticPr fontId="8" type="noConversion"/>
  </si>
  <si>
    <r>
      <t>1.</t>
    </r>
    <r>
      <rPr>
        <sz val="10"/>
        <rFont val="宋体"/>
        <family val="3"/>
        <charset val="134"/>
      </rPr>
      <t>结合收入来源和销售模式，按年度和月度分析不同产品类别的销售结构和毛利的变化。</t>
    </r>
    <phoneticPr fontId="4" type="noConversion"/>
  </si>
  <si>
    <r>
      <t>1.1</t>
    </r>
    <r>
      <rPr>
        <sz val="10"/>
        <rFont val="宋体"/>
        <family val="3"/>
        <charset val="134"/>
      </rPr>
      <t>分析被审计单位收入构成及变化情况是否符合行业和市场同期的变化情况。被审计单位产品或服务价格、销量及变动趋势与市场上相同或相近产品或服务的信息及其走势相比是否存在显著异常。</t>
    </r>
    <phoneticPr fontId="4" type="noConversion"/>
  </si>
  <si>
    <r>
      <t>1.2</t>
    </r>
    <r>
      <rPr>
        <sz val="10"/>
        <rFont val="宋体"/>
        <family val="3"/>
        <charset val="134"/>
      </rPr>
      <t>除分析主要产品和服务之外，还需要考虑被审计单位是否有联产品和副产品产出；如有，应同时分析联产品和副产品的毛利变化情况，并结合营业成本的审计，判断联产品和副产品的成本分摊是否正确。</t>
    </r>
    <phoneticPr fontId="11" type="noConversion"/>
  </si>
  <si>
    <r>
      <t>2.</t>
    </r>
    <r>
      <rPr>
        <sz val="10"/>
        <rFont val="宋体"/>
        <family val="3"/>
        <charset val="134"/>
      </rPr>
      <t>如异常与适当客户人员讨论重大差异。</t>
    </r>
    <phoneticPr fontId="4" type="noConversion"/>
  </si>
  <si>
    <r>
      <t>3.</t>
    </r>
    <r>
      <rPr>
        <sz val="10"/>
        <rFont val="宋体"/>
        <family val="3"/>
        <charset val="134"/>
      </rPr>
      <t>考虑管理层解释的可信度，并在适当情况下进行证实。</t>
    </r>
    <phoneticPr fontId="4" type="noConversion"/>
  </si>
  <si>
    <r>
      <t>4.</t>
    </r>
    <r>
      <rPr>
        <sz val="10"/>
        <rFont val="宋体"/>
        <family val="3"/>
        <charset val="134"/>
      </rPr>
      <t>确定执行上述程序的结果是否表明需要补充必要的审计程序，如果是，执行适当的应对程序。</t>
    </r>
    <phoneticPr fontId="4" type="noConversion"/>
  </si>
  <si>
    <t>(一）分析整体毛利率变动</t>
    <phoneticPr fontId="4" type="noConversion"/>
  </si>
  <si>
    <t xml:space="preserve">1.将报告期收入成本按产品列示，可知2021-2022年产品总毛利率增长 </t>
    <phoneticPr fontId="4" type="noConversion"/>
  </si>
  <si>
    <t>产品名称</t>
    <phoneticPr fontId="4" type="noConversion"/>
  </si>
  <si>
    <t>产品类别</t>
    <phoneticPr fontId="8" type="noConversion"/>
  </si>
  <si>
    <t>2022年度</t>
    <phoneticPr fontId="8" type="noConversion"/>
  </si>
  <si>
    <t>2021年度</t>
    <phoneticPr fontId="4" type="noConversion"/>
  </si>
  <si>
    <t>单位</t>
  </si>
  <si>
    <t>数量</t>
    <phoneticPr fontId="4" type="noConversion"/>
  </si>
  <si>
    <t>单价</t>
    <phoneticPr fontId="4" type="noConversion"/>
  </si>
  <si>
    <t>产品销售收入</t>
    <phoneticPr fontId="4" type="noConversion"/>
  </si>
  <si>
    <t>单位成本</t>
    <phoneticPr fontId="4" type="noConversion"/>
  </si>
  <si>
    <t>产品销售成本</t>
    <phoneticPr fontId="4" type="noConversion"/>
  </si>
  <si>
    <t>利润</t>
  </si>
  <si>
    <t>毛利率</t>
  </si>
  <si>
    <t>数量</t>
    <phoneticPr fontId="8" type="noConversion"/>
  </si>
  <si>
    <t>产品销售收入</t>
    <phoneticPr fontId="8" type="noConversion"/>
  </si>
  <si>
    <t>产品销售成本</t>
    <phoneticPr fontId="8" type="noConversion"/>
  </si>
  <si>
    <t>产品名称1</t>
  </si>
  <si>
    <t>产品类别A</t>
  </si>
  <si>
    <t>KG</t>
    <phoneticPr fontId="4" type="noConversion"/>
  </si>
  <si>
    <t>产品名称2</t>
  </si>
  <si>
    <t>KG</t>
    <phoneticPr fontId="4" type="noConversion"/>
  </si>
  <si>
    <t>产品名称3</t>
  </si>
  <si>
    <t>产品类别B</t>
  </si>
  <si>
    <t>KG</t>
    <phoneticPr fontId="4" type="noConversion"/>
  </si>
  <si>
    <t>产品名称4</t>
  </si>
  <si>
    <t>产品名称5</t>
  </si>
  <si>
    <t>产品类别C</t>
  </si>
  <si>
    <t>产品名称6</t>
  </si>
  <si>
    <t>产品名称7</t>
  </si>
  <si>
    <t>产品名称8</t>
  </si>
  <si>
    <r>
      <rPr>
        <sz val="10"/>
        <color theme="1"/>
        <rFont val="宋体"/>
        <family val="3"/>
        <charset val="134"/>
      </rPr>
      <t>瓶</t>
    </r>
    <phoneticPr fontId="4" type="noConversion"/>
  </si>
  <si>
    <r>
      <rPr>
        <sz val="10"/>
        <color theme="1"/>
        <rFont val="宋体"/>
        <family val="3"/>
        <charset val="134"/>
      </rPr>
      <t>瓶</t>
    </r>
    <phoneticPr fontId="4" type="noConversion"/>
  </si>
  <si>
    <t>产品名称9</t>
  </si>
  <si>
    <t>/</t>
    <phoneticPr fontId="4" type="noConversion"/>
  </si>
  <si>
    <t>产品名称10</t>
  </si>
  <si>
    <t>/</t>
    <phoneticPr fontId="4" type="noConversion"/>
  </si>
  <si>
    <t>合计</t>
    <phoneticPr fontId="4" type="noConversion"/>
  </si>
  <si>
    <t>账面数据</t>
    <phoneticPr fontId="4" type="noConversion"/>
  </si>
  <si>
    <t>核对差异</t>
    <phoneticPr fontId="4" type="noConversion"/>
  </si>
  <si>
    <t>毛利率变动</t>
    <phoneticPr fontId="4" type="noConversion"/>
  </si>
  <si>
    <t>2.各产品对整体毛利率的影响。</t>
    <phoneticPr fontId="4" type="noConversion"/>
  </si>
  <si>
    <t>换算标准</t>
    <phoneticPr fontId="4" type="noConversion"/>
  </si>
  <si>
    <t>产品类别</t>
    <phoneticPr fontId="4" type="noConversion"/>
  </si>
  <si>
    <t>2022年度</t>
    <phoneticPr fontId="4" type="noConversion"/>
  </si>
  <si>
    <t>2021年度</t>
    <phoneticPr fontId="4" type="noConversion"/>
  </si>
  <si>
    <t>对整体毛利率影响</t>
    <phoneticPr fontId="4" type="noConversion"/>
  </si>
  <si>
    <t>主营业务收入</t>
    <phoneticPr fontId="4" type="noConversion"/>
  </si>
  <si>
    <t>单位销售成本/元</t>
  </si>
  <si>
    <t>主营业务成本金额CD/元</t>
  </si>
  <si>
    <t>销售毛利/元</t>
  </si>
  <si>
    <t>主营业务收入金额RD/元</t>
  </si>
  <si>
    <t>合计</t>
    <phoneticPr fontId="4" type="noConversion"/>
  </si>
  <si>
    <t>3.按上表折算后销量如下：</t>
    <phoneticPr fontId="4" type="noConversion"/>
  </si>
  <si>
    <t>产品名称</t>
  </si>
  <si>
    <t>产品类别</t>
  </si>
  <si>
    <t>2022年</t>
    <phoneticPr fontId="4" type="noConversion"/>
  </si>
  <si>
    <t>2021年</t>
    <phoneticPr fontId="4" type="noConversion"/>
  </si>
  <si>
    <t>4.分别按销售价格、销售成本、销售机构分析对整体毛利率变动的影响。</t>
    <phoneticPr fontId="4" type="noConversion"/>
  </si>
  <si>
    <t>销售价格对毛利的影响</t>
  </si>
  <si>
    <t>销售成本对毛利的影响</t>
  </si>
  <si>
    <t>销售结构对毛利的影响</t>
  </si>
  <si>
    <t>对毛利的影响合计</t>
  </si>
  <si>
    <t>对整体毛利率影响</t>
  </si>
  <si>
    <t>合计</t>
    <phoneticPr fontId="4" type="noConversion"/>
  </si>
  <si>
    <t>上述分析可知，产品销售结构和销售价格对毛利率波动影响较大。</t>
    <phoneticPr fontId="4" type="noConversion"/>
  </si>
  <si>
    <t>三、审计说明</t>
    <phoneticPr fontId="4" type="noConversion"/>
  </si>
  <si>
    <t>四、审计结论</t>
    <phoneticPr fontId="4" type="noConversion"/>
  </si>
  <si>
    <t>提示：整体毛利率分析法示例,仅供参考。项目组需结合项目实际情况选择适用的方法</t>
    <phoneticPr fontId="20" type="noConversion"/>
  </si>
  <si>
    <t>产品组毛利毛利率影响因素包括产品组中每个产品的销售价格、每个产品的销售成本及产品组的销售结构。</t>
    <phoneticPr fontId="4" type="noConversion"/>
  </si>
  <si>
    <t>同时产品销售价格受到销售策略、促销活动及销售区域的影响，产品销售成本受到产品生产物料、车间人工及制造费用的影响，即构成生产成本的料、工、费的影响。</t>
    <phoneticPr fontId="4" type="noConversion"/>
  </si>
  <si>
    <t>产品的销售结构主要受不同毛利产品的销售占比变化的影响。</t>
    <phoneticPr fontId="4" type="noConversion"/>
  </si>
  <si>
    <t>毛利率分析方法推理</t>
  </si>
  <si>
    <t>1.毛利率分析方法的选择。本文中的毛利率分析方法主要采用因素分析中的连环替代法，连环替代法是根据因素之间的内在依存关系，</t>
  </si>
  <si>
    <t>依次测定各因素变动对经济指标差异影响的一种分析方法。连环替代法的主要作用在于分析计算综合经济指标变动的原因及其各因素的影响程度。</t>
  </si>
  <si>
    <t>连环替代法中各因素替换的顺序有一定的原则，可以按先换量再换质的原则进行排序，也可以按指标重要性程度进行替换。</t>
    <phoneticPr fontId="4" type="noConversion"/>
  </si>
  <si>
    <t>2.毛利率分析推理过程。产品组的毛利率用G表示，产品销售价格、产品销售数量、产品销售成本和产品销售结构分别用R、M、C、P表示，基数用j表示，当期用d表示，产品数量用n表示；</t>
    <phoneticPr fontId="4" type="noConversion"/>
  </si>
  <si>
    <t>2.1分析前数据整理。为简化毛利率分析过程，使毛利分析更直观。在实际的分析过程首先将分析期与基期的毛利转换为相同销售金额下数据。</t>
    <phoneticPr fontId="4" type="noConversion"/>
  </si>
  <si>
    <t>根据选择样本企业销售情况的分析，选择1亿含税收入作为毛利率折算的基准销售金额。</t>
    <phoneticPr fontId="4" type="noConversion"/>
  </si>
  <si>
    <t>折算成1亿销量下整体产品毛利率变动公式如下：</t>
    <phoneticPr fontId="4" type="noConversion"/>
  </si>
  <si>
    <t>从公式推导结果可以得出，销售收入折算为1亿销售收入后的毛利率与折算前的毛利率相同，说明折算不影响结果。</t>
    <phoneticPr fontId="4" type="noConversion"/>
  </si>
  <si>
    <t>从公式推导结果可以得出，无论是产品组还是单个产品折算为固定销售金额后的毛利率与折算前的毛利率相等，说明折算不影响分析结果。</t>
    <phoneticPr fontId="4" type="noConversion"/>
  </si>
  <si>
    <t>另外，折算为相同销售金额后，基期与分析期的毛利率拥有相同的除数，在计算毛利率变动差异时可直接进行加减运算，大大简化了分析的计算推理过程。</t>
    <phoneticPr fontId="4" type="noConversion"/>
  </si>
  <si>
    <t>2.2各因素对毛利率影响的推理。通过以上分析我们可知影响产品组毛利率变动的因素有产品销售价格、产品销售成本及产品的销售结构，</t>
    <phoneticPr fontId="4" type="noConversion"/>
  </si>
  <si>
    <t>其中，销售成本主要受企业研发水平及内部管理的控制，相对比较稳定，对毛利率的变动影响较少。而产品的销售结构受产品的销售价格和销售成本的影响。</t>
    <phoneticPr fontId="4" type="noConversion"/>
  </si>
  <si>
    <t>依照重要性原则本文选择连环替代法的替代顺序先是产品销售价格，然后是产品销售成本，最后是产品销售结构。</t>
    <phoneticPr fontId="4" type="noConversion"/>
  </si>
  <si>
    <t>（1）产品销售价格对毛利率的影响。在分析产品销售价格对毛利率影响时，主要体现以分析期产品销售数量为基准，产品销售成本的变动。其公式如下：</t>
    <phoneticPr fontId="4" type="noConversion"/>
  </si>
  <si>
    <t>（2）产品销售成本对毛利率的影响。在分析产品销售成本对产品毛利率影响时，主要体现在以分析期产品销售数量为基数，产品销售成本的变化。其影响公式如下：</t>
    <phoneticPr fontId="4" type="noConversion"/>
  </si>
  <si>
    <t>（3）产品销售结构对毛利率的影响。通过分析我们知道影响产品毛利率的因素有三个，现在我们已经推出产品销售价格及产品销售成本对整体毛利的影响公式，我们在整体毛利率变动公式上减去已知的影响因互公式就可以得出产品销售结构对毛利率的影响公式：</t>
    <phoneticPr fontId="4" type="noConversion"/>
  </si>
  <si>
    <t>致同会计师事务所</t>
    <phoneticPr fontId="4" type="noConversion"/>
  </si>
  <si>
    <t>合同履行检查表</t>
    <phoneticPr fontId="8" type="noConversion"/>
  </si>
  <si>
    <t>合同履行检查表</t>
    <phoneticPr fontId="4" type="noConversion"/>
  </si>
  <si>
    <t>索引号：</t>
    <phoneticPr fontId="8" type="noConversion"/>
  </si>
  <si>
    <t>D4-</t>
    <phoneticPr fontId="4" type="noConversion"/>
  </si>
  <si>
    <t>页次：</t>
    <phoneticPr fontId="8" type="noConversion"/>
  </si>
  <si>
    <t>一、审计目标：</t>
    <phoneticPr fontId="22" type="noConversion"/>
  </si>
  <si>
    <t>1.利润表中记录的营业收入已发生，且与被审计单位有关，已记录于恰当的账户。2.与营业收入有关的金额及其他数据已恰当记录，相关披露已得到恰当计量和描述</t>
    <phoneticPr fontId="8" type="noConversion"/>
  </si>
  <si>
    <t>二、审计过程：</t>
    <phoneticPr fontId="22" type="noConversion"/>
  </si>
  <si>
    <t>4.关注销售合同签署人向最终产品签收人是否相符，签名是否一致；</t>
    <phoneticPr fontId="8" type="noConversion"/>
  </si>
  <si>
    <t>5.关注销售内容披露情况与销售合同约定和实际情况是否一致。</t>
    <phoneticPr fontId="8" type="noConversion"/>
  </si>
  <si>
    <t>项目基本信息</t>
    <phoneticPr fontId="4" type="noConversion"/>
  </si>
  <si>
    <t>财务系统账面收入信息</t>
    <phoneticPr fontId="4" type="noConversion"/>
  </si>
  <si>
    <t>项目收款及质保信息</t>
    <phoneticPr fontId="4" type="noConversion"/>
  </si>
  <si>
    <t>出库信息</t>
    <phoneticPr fontId="4" type="noConversion"/>
  </si>
  <si>
    <t>货运物流信息</t>
    <phoneticPr fontId="4" type="noConversion"/>
  </si>
  <si>
    <t>收入确认政策及依据</t>
    <phoneticPr fontId="4" type="noConversion"/>
  </si>
  <si>
    <t>产品分类</t>
    <phoneticPr fontId="4" type="noConversion"/>
  </si>
  <si>
    <t>项目名称</t>
  </si>
  <si>
    <r>
      <t xml:space="preserve">关联关系
</t>
    </r>
    <r>
      <rPr>
        <b/>
        <sz val="10"/>
        <color theme="1"/>
        <rFont val="Arial Narrow"/>
        <family val="2"/>
      </rPr>
      <t/>
    </r>
    <phoneticPr fontId="20" type="noConversion"/>
  </si>
  <si>
    <t>合同客户（全称）</t>
    <phoneticPr fontId="4" type="noConversion"/>
  </si>
  <si>
    <t>最终客户（全称）</t>
    <phoneticPr fontId="4" type="noConversion"/>
  </si>
  <si>
    <t>合同签订日期</t>
  </si>
  <si>
    <t>合同金额</t>
    <phoneticPr fontId="4" type="noConversion"/>
  </si>
  <si>
    <t>补充协议金额</t>
  </si>
  <si>
    <t>收入确认时间</t>
    <phoneticPr fontId="4" type="noConversion"/>
  </si>
  <si>
    <t>账面收入金额</t>
  </si>
  <si>
    <t>账面成本金额</t>
    <phoneticPr fontId="4" type="noConversion"/>
  </si>
  <si>
    <t>毛利金额</t>
    <phoneticPr fontId="4" type="noConversion"/>
  </si>
  <si>
    <t>毛利率</t>
    <phoneticPr fontId="4" type="noConversion"/>
  </si>
  <si>
    <t>毛利率异常分析说明</t>
    <phoneticPr fontId="4" type="noConversion"/>
  </si>
  <si>
    <t>合同收款方式及进度约定</t>
    <phoneticPr fontId="4" type="noConversion"/>
  </si>
  <si>
    <t>截至收入确认当月累计收款金额</t>
    <phoneticPr fontId="4" type="noConversion"/>
  </si>
  <si>
    <t>截至收入确认当月累计收款进度</t>
    <phoneticPr fontId="4" type="noConversion"/>
  </si>
  <si>
    <t>截至收入确认当年末累计收款金额</t>
    <phoneticPr fontId="4" type="noConversion"/>
  </si>
  <si>
    <t>截至收入确认当年末收款进度</t>
    <phoneticPr fontId="4" type="noConversion"/>
  </si>
  <si>
    <t>截至审计报告日累计收款金额</t>
    <phoneticPr fontId="4" type="noConversion"/>
  </si>
  <si>
    <t>截至审计报告日累计收款进度</t>
    <phoneticPr fontId="4" type="noConversion"/>
  </si>
  <si>
    <t>合同质保约定</t>
    <phoneticPr fontId="4" type="noConversion"/>
  </si>
  <si>
    <t>质保期限（月）</t>
    <phoneticPr fontId="4" type="noConversion"/>
  </si>
  <si>
    <t>质保金比例</t>
    <phoneticPr fontId="4" type="noConversion"/>
  </si>
  <si>
    <t>质保到期日</t>
    <phoneticPr fontId="4" type="noConversion"/>
  </si>
  <si>
    <t>出库单号</t>
    <phoneticPr fontId="4" type="noConversion"/>
  </si>
  <si>
    <t>出库日期</t>
    <phoneticPr fontId="4" type="noConversion"/>
  </si>
  <si>
    <t>其他</t>
    <phoneticPr fontId="4" type="noConversion"/>
  </si>
  <si>
    <t>起运日期</t>
    <phoneticPr fontId="4" type="noConversion"/>
  </si>
  <si>
    <t>到货签收日期</t>
    <phoneticPr fontId="4" type="noConversion"/>
  </si>
  <si>
    <t>签收人</t>
    <phoneticPr fontId="4" type="noConversion"/>
  </si>
  <si>
    <t>签收单位</t>
    <phoneticPr fontId="4" type="noConversion"/>
  </si>
  <si>
    <t>收入确认政策（时点法/时段法）</t>
    <phoneticPr fontId="4" type="noConversion"/>
  </si>
  <si>
    <t>收入确认资料名称（验收单等）</t>
    <phoneticPr fontId="4" type="noConversion"/>
  </si>
  <si>
    <t>验收日期</t>
    <phoneticPr fontId="4" type="noConversion"/>
  </si>
  <si>
    <t>验收单签字人</t>
    <phoneticPr fontId="4" type="noConversion"/>
  </si>
  <si>
    <t>验收单盖章信息(公章/合同章/部门章)</t>
    <phoneticPr fontId="4" type="noConversion"/>
  </si>
  <si>
    <t>验收单盖章单位</t>
    <phoneticPr fontId="4" type="noConversion"/>
  </si>
  <si>
    <t>验收单索引</t>
    <phoneticPr fontId="4" type="noConversion"/>
  </si>
  <si>
    <t>致同会计师事务所</t>
    <phoneticPr fontId="8" type="noConversion"/>
  </si>
  <si>
    <t>致同会计师事务所</t>
    <phoneticPr fontId="4" type="noConversion"/>
  </si>
  <si>
    <t>工程施工收入检查表</t>
    <phoneticPr fontId="8" type="noConversion"/>
  </si>
  <si>
    <t>工程施工收入检查表</t>
    <phoneticPr fontId="4" type="noConversion"/>
  </si>
  <si>
    <t>工程施工收入检查表</t>
    <phoneticPr fontId="4" type="noConversion"/>
  </si>
  <si>
    <t>索引号：</t>
    <phoneticPr fontId="4" type="noConversion"/>
  </si>
  <si>
    <t>索引号：</t>
    <phoneticPr fontId="4" type="noConversion"/>
  </si>
  <si>
    <t>D4-</t>
    <phoneticPr fontId="4" type="noConversion"/>
  </si>
  <si>
    <t>页  次：</t>
    <phoneticPr fontId="4" type="noConversion"/>
  </si>
  <si>
    <t>页次：</t>
    <phoneticPr fontId="4" type="noConversion"/>
  </si>
  <si>
    <t>1.利润表中记录的营业收入已发生，且与被审计单位有关，已记录于恰当的账户。2.所有应当记录的营业收入均已记录，所有应当包括在财务报表中的相关披露均已包括。3.与营业收入有关的金额及其他数据已恰当记录，相关披露已得到恰当计量和描述</t>
    <phoneticPr fontId="8" type="noConversion"/>
  </si>
  <si>
    <r>
      <rPr>
        <b/>
        <sz val="10"/>
        <rFont val="宋体"/>
        <family val="3"/>
        <charset val="134"/>
      </rPr>
      <t>二、审计过程</t>
    </r>
    <phoneticPr fontId="22" type="noConversion"/>
  </si>
  <si>
    <t>1.获取工程施工项目台账，了解工程项目基本信息，并与企业明细账记录核对。</t>
    <phoneticPr fontId="8" type="noConversion"/>
  </si>
  <si>
    <t>2.获取履约进度审核报告、竣工验收报告、监理报告等核实工程进度情况。</t>
    <phoneticPr fontId="8" type="noConversion"/>
  </si>
  <si>
    <t>3.重新计算履约进度、收入、成本等，确认被审计单位计算是否正确。</t>
    <phoneticPr fontId="8" type="noConversion"/>
  </si>
  <si>
    <t>序号</t>
  </si>
  <si>
    <t>项目基本信息</t>
    <phoneticPr fontId="8" type="noConversion"/>
  </si>
  <si>
    <t>企业记录</t>
    <phoneticPr fontId="8" type="noConversion"/>
  </si>
  <si>
    <t>审计测算成本及收入</t>
    <phoneticPr fontId="8" type="noConversion"/>
  </si>
  <si>
    <t>审计调整</t>
    <phoneticPr fontId="20" type="noConversion"/>
  </si>
  <si>
    <t>审定数</t>
    <phoneticPr fontId="20" type="noConversion"/>
  </si>
  <si>
    <t>核对</t>
    <phoneticPr fontId="8" type="noConversion"/>
  </si>
  <si>
    <t>其他信息及资料</t>
    <phoneticPr fontId="8" type="noConversion"/>
  </si>
  <si>
    <t>索引号</t>
  </si>
  <si>
    <t>项目编码</t>
  </si>
  <si>
    <t>客户名称</t>
    <phoneticPr fontId="8" type="noConversion"/>
  </si>
  <si>
    <t>是否关联方</t>
    <phoneticPr fontId="8" type="noConversion"/>
  </si>
  <si>
    <t>合同金额（含税）</t>
    <phoneticPr fontId="8" type="noConversion"/>
  </si>
  <si>
    <t>合同预计总收入（不含税）</t>
    <phoneticPr fontId="8" type="noConversion"/>
  </si>
  <si>
    <t>实际开工日期</t>
  </si>
  <si>
    <t>实际完工日期</t>
    <phoneticPr fontId="8" type="noConversion"/>
  </si>
  <si>
    <t>合同预计总成本（不含税）</t>
    <phoneticPr fontId="8" type="noConversion"/>
  </si>
  <si>
    <t>合同成本调整</t>
    <phoneticPr fontId="20" type="noConversion"/>
  </si>
  <si>
    <t>调整时间</t>
    <phoneticPr fontId="20" type="noConversion"/>
  </si>
  <si>
    <t>项目预计毛利率</t>
    <phoneticPr fontId="8" type="noConversion"/>
  </si>
  <si>
    <t>期初累计成本</t>
    <phoneticPr fontId="8" type="noConversion"/>
  </si>
  <si>
    <t>本期实际成本金额</t>
    <phoneticPr fontId="8" type="noConversion"/>
  </si>
  <si>
    <t>期末累计成本</t>
    <phoneticPr fontId="8" type="noConversion"/>
  </si>
  <si>
    <t>履约进度</t>
    <phoneticPr fontId="8" type="noConversion"/>
  </si>
  <si>
    <t>累计结算金额</t>
    <phoneticPr fontId="8" type="noConversion"/>
  </si>
  <si>
    <t>当期结算金额</t>
    <phoneticPr fontId="8" type="noConversion"/>
  </si>
  <si>
    <t>累计收款</t>
    <phoneticPr fontId="8" type="noConversion"/>
  </si>
  <si>
    <t>当期收款</t>
    <phoneticPr fontId="8" type="noConversion"/>
  </si>
  <si>
    <t>期初累计确认收入</t>
    <phoneticPr fontId="8" type="noConversion"/>
  </si>
  <si>
    <t>期末累计确认收入</t>
    <phoneticPr fontId="8" type="noConversion"/>
  </si>
  <si>
    <t>当期确认收入</t>
    <phoneticPr fontId="8" type="noConversion"/>
  </si>
  <si>
    <t>期初审计确认累计发生成本</t>
    <phoneticPr fontId="8" type="noConversion"/>
  </si>
  <si>
    <t>本期审计确认成本</t>
    <phoneticPr fontId="8" type="noConversion"/>
  </si>
  <si>
    <t>期末审计确认累计总成本</t>
    <phoneticPr fontId="8" type="noConversion"/>
  </si>
  <si>
    <t>期初履约进度</t>
    <phoneticPr fontId="20" type="noConversion"/>
  </si>
  <si>
    <t>期末履约进度</t>
    <phoneticPr fontId="8" type="noConversion"/>
  </si>
  <si>
    <t>期初累计应确认收入</t>
    <phoneticPr fontId="8" type="noConversion"/>
  </si>
  <si>
    <t>期末累计应确认收入</t>
    <phoneticPr fontId="8" type="noConversion"/>
  </si>
  <si>
    <t>当期应确认收入金额</t>
    <phoneticPr fontId="8" type="noConversion"/>
  </si>
  <si>
    <t>期末应收余额</t>
    <phoneticPr fontId="8" type="noConversion"/>
  </si>
  <si>
    <t>期末合同资产余额</t>
    <phoneticPr fontId="20" type="noConversion"/>
  </si>
  <si>
    <t>期末合同负债余额</t>
    <phoneticPr fontId="8" type="noConversion"/>
  </si>
  <si>
    <t>期末预计负债-预计合同损失</t>
    <phoneticPr fontId="20" type="noConversion"/>
  </si>
  <si>
    <t>期末累计成本差异</t>
    <phoneticPr fontId="8" type="noConversion"/>
  </si>
  <si>
    <t>当期成本差异</t>
    <phoneticPr fontId="8" type="noConversion"/>
  </si>
  <si>
    <t>期末累计收入差异</t>
    <phoneticPr fontId="8" type="noConversion"/>
  </si>
  <si>
    <t>当期收入差异</t>
    <phoneticPr fontId="8" type="noConversion"/>
  </si>
  <si>
    <t>当期收入</t>
    <phoneticPr fontId="20" type="noConversion"/>
  </si>
  <si>
    <t>当期营业成本</t>
    <phoneticPr fontId="20" type="noConversion"/>
  </si>
  <si>
    <t>……</t>
    <phoneticPr fontId="20" type="noConversion"/>
  </si>
  <si>
    <t>当期营业收入</t>
    <phoneticPr fontId="8" type="noConversion"/>
  </si>
  <si>
    <t>当期营业成本</t>
    <phoneticPr fontId="8" type="noConversion"/>
  </si>
  <si>
    <t>账面期末累计成本与合同履约成本累计金额是否一致</t>
    <phoneticPr fontId="8" type="noConversion"/>
  </si>
  <si>
    <t>合同履约进度是否与实际检查信息相符</t>
    <phoneticPr fontId="8" type="noConversion"/>
  </si>
  <si>
    <t>经业主、监理确认工程进度情况</t>
    <phoneticPr fontId="8" type="noConversion"/>
  </si>
  <si>
    <t>项目是否竣工验收</t>
  </si>
  <si>
    <t>是否检查相关依据</t>
    <phoneticPr fontId="20" type="noConversion"/>
  </si>
  <si>
    <t>检查索引</t>
    <phoneticPr fontId="8" type="noConversion"/>
  </si>
  <si>
    <t>累计开票金额</t>
    <phoneticPr fontId="8" type="noConversion"/>
  </si>
  <si>
    <t>当期末票金额</t>
    <phoneticPr fontId="8" type="noConversion"/>
  </si>
  <si>
    <t>是否函证</t>
    <phoneticPr fontId="8" type="noConversion"/>
  </si>
  <si>
    <t>三、审计说明</t>
    <phoneticPr fontId="22" type="noConversion"/>
  </si>
  <si>
    <t>四、审计结论</t>
    <phoneticPr fontId="22" type="noConversion"/>
  </si>
  <si>
    <t>【项目组应根据实际情况进行增减】</t>
    <phoneticPr fontId="20" type="noConversion"/>
  </si>
  <si>
    <t>致同会计师事务所</t>
    <phoneticPr fontId="4" type="noConversion"/>
  </si>
  <si>
    <t>致同会计师事务所</t>
    <phoneticPr fontId="4" type="noConversion"/>
  </si>
  <si>
    <t>贸易收入检查</t>
    <phoneticPr fontId="8" type="noConversion"/>
  </si>
  <si>
    <t>贸易收入检查</t>
    <phoneticPr fontId="4" type="noConversion"/>
  </si>
  <si>
    <t>索引号：</t>
    <phoneticPr fontId="8" type="noConversion"/>
  </si>
  <si>
    <t>D4-</t>
    <phoneticPr fontId="4" type="noConversion"/>
  </si>
  <si>
    <t>D4-</t>
    <phoneticPr fontId="4" type="noConversion"/>
  </si>
  <si>
    <t>页次：</t>
    <phoneticPr fontId="8" type="noConversion"/>
  </si>
  <si>
    <t>一、审计目标：</t>
    <phoneticPr fontId="22" type="noConversion"/>
  </si>
  <si>
    <t>1.利润表中记录的营业收入已发生，且与被审计单位有关，已记录于恰当的账户。2.所有应当记录的营业收入均已记录，所有应当包括在财务报表中的相关披露均已包括。3.与营业收入有关的金额及其他数据已恰当记录，相关披露已得到恰当计量和描述</t>
    <phoneticPr fontId="8" type="noConversion"/>
  </si>
  <si>
    <t>二、审计过程：</t>
    <phoneticPr fontId="22" type="noConversion"/>
  </si>
  <si>
    <t>1.询问管理层开展贸易收入的背景以及相关业务流程。</t>
    <phoneticPr fontId="4" type="noConversion"/>
  </si>
  <si>
    <t>2.获取销售和采购清单、明细账等资料，核对采购和销售情况。</t>
    <phoneticPr fontId="4" type="noConversion"/>
  </si>
  <si>
    <t>3.分析毛利率是否合理，关注企业的销售价格与资金占用时间的长短是否存在关系。</t>
    <phoneticPr fontId="4" type="noConversion"/>
  </si>
  <si>
    <t>4.检查货物流转、资金流转情况，确定企业会计处理是否恰当，判断交易性质。</t>
    <phoneticPr fontId="4" type="noConversion"/>
  </si>
  <si>
    <t>收入记账凭证</t>
    <phoneticPr fontId="20" type="noConversion"/>
  </si>
  <si>
    <t>采购记账凭证</t>
    <phoneticPr fontId="20" type="noConversion"/>
  </si>
  <si>
    <t>销售合同（含税）</t>
    <phoneticPr fontId="20" type="noConversion"/>
  </si>
  <si>
    <t>客户性质</t>
    <phoneticPr fontId="20" type="noConversion"/>
  </si>
  <si>
    <t>控制权转移方式</t>
    <phoneticPr fontId="20" type="noConversion"/>
  </si>
  <si>
    <t>出库单</t>
    <phoneticPr fontId="20" type="noConversion"/>
  </si>
  <si>
    <t>发出库房名称</t>
    <phoneticPr fontId="20" type="noConversion"/>
  </si>
  <si>
    <t>运输单据</t>
    <phoneticPr fontId="20" type="noConversion"/>
  </si>
  <si>
    <t>货权转移（验收）证明/收货确认单/放货通知单</t>
    <phoneticPr fontId="20" type="noConversion"/>
  </si>
  <si>
    <t>收款凭证</t>
    <phoneticPr fontId="20" type="noConversion"/>
  </si>
  <si>
    <t>采购合同（含税）</t>
    <phoneticPr fontId="20" type="noConversion"/>
  </si>
  <si>
    <t>供应商性质</t>
    <phoneticPr fontId="20" type="noConversion"/>
  </si>
  <si>
    <t>控制权转移方式</t>
    <phoneticPr fontId="20" type="noConversion"/>
  </si>
  <si>
    <t>入库单</t>
    <phoneticPr fontId="20" type="noConversion"/>
  </si>
  <si>
    <t>收货库房名称</t>
    <phoneticPr fontId="20" type="noConversion"/>
  </si>
  <si>
    <t>付款凭证</t>
    <phoneticPr fontId="20" type="noConversion"/>
  </si>
  <si>
    <t>上、下游是否是关联方</t>
  </si>
  <si>
    <t>是否指定采购或销售</t>
    <phoneticPr fontId="20" type="noConversion"/>
  </si>
  <si>
    <t>是否成本加成</t>
  </si>
  <si>
    <t>日期</t>
    <phoneticPr fontId="20" type="noConversion"/>
  </si>
  <si>
    <t>编号</t>
    <phoneticPr fontId="20" type="noConversion"/>
  </si>
  <si>
    <t>收入确认金额</t>
    <phoneticPr fontId="20" type="noConversion"/>
  </si>
  <si>
    <t>日期</t>
    <phoneticPr fontId="20" type="noConversion"/>
  </si>
  <si>
    <t>编号</t>
    <phoneticPr fontId="20" type="noConversion"/>
  </si>
  <si>
    <t>成本结转金额</t>
    <phoneticPr fontId="20" type="noConversion"/>
  </si>
  <si>
    <t>日期</t>
  </si>
  <si>
    <t>合同号</t>
  </si>
  <si>
    <t>客户名称</t>
    <phoneticPr fontId="20" type="noConversion"/>
  </si>
  <si>
    <t>品种规格</t>
  </si>
  <si>
    <t>数量</t>
  </si>
  <si>
    <t>单价</t>
  </si>
  <si>
    <t>金额</t>
  </si>
  <si>
    <t>日期</t>
    <phoneticPr fontId="20" type="noConversion"/>
  </si>
  <si>
    <t>发货地</t>
    <phoneticPr fontId="20" type="noConversion"/>
  </si>
  <si>
    <t>收货地</t>
    <phoneticPr fontId="20" type="noConversion"/>
  </si>
  <si>
    <t>运输单位名称</t>
    <phoneticPr fontId="20" type="noConversion"/>
  </si>
  <si>
    <t>对方单位名称</t>
    <phoneticPr fontId="20" type="noConversion"/>
  </si>
  <si>
    <t>记账凭证号</t>
    <phoneticPr fontId="20" type="noConversion"/>
  </si>
  <si>
    <t>金额</t>
    <phoneticPr fontId="20" type="noConversion"/>
  </si>
  <si>
    <t>结算形式</t>
    <phoneticPr fontId="20" type="noConversion"/>
  </si>
  <si>
    <t>付款方</t>
    <phoneticPr fontId="20" type="noConversion"/>
  </si>
  <si>
    <t>供应商名称</t>
    <phoneticPr fontId="20" type="noConversion"/>
  </si>
  <si>
    <t>记账凭证号</t>
    <phoneticPr fontId="20" type="noConversion"/>
  </si>
  <si>
    <t>金额</t>
    <phoneticPr fontId="20" type="noConversion"/>
  </si>
  <si>
    <t>结算形式</t>
    <phoneticPr fontId="20" type="noConversion"/>
  </si>
  <si>
    <t>收款方</t>
    <phoneticPr fontId="20" type="noConversion"/>
  </si>
  <si>
    <t>三、审计说明</t>
    <phoneticPr fontId="22" type="noConversion"/>
  </si>
  <si>
    <t>四、审计结论</t>
    <phoneticPr fontId="22" type="noConversion"/>
  </si>
  <si>
    <t>提示：对于贸易收入相关审计关注要点请参见《审计提示第29号（7）——融资性贸易、“空转”“走单”业务的舞弊风险识别与审计应对》</t>
    <phoneticPr fontId="4" type="noConversion"/>
  </si>
  <si>
    <t>终端使用客户</t>
    <phoneticPr fontId="20" type="noConversion"/>
  </si>
  <si>
    <t>货未移动，通过货权转移单转移货权</t>
    <phoneticPr fontId="20" type="noConversion"/>
  </si>
  <si>
    <t>银行</t>
    <phoneticPr fontId="20" type="noConversion"/>
  </si>
  <si>
    <t>贸易商</t>
    <phoneticPr fontId="20" type="noConversion"/>
  </si>
  <si>
    <t>货由生产商仓库或供应商发给客户</t>
    <phoneticPr fontId="20" type="noConversion"/>
  </si>
  <si>
    <t>票据</t>
    <phoneticPr fontId="20" type="noConversion"/>
  </si>
  <si>
    <t>生产商</t>
    <phoneticPr fontId="4" type="noConversion"/>
  </si>
  <si>
    <t>货由公司发给客户</t>
    <phoneticPr fontId="20" type="noConversion"/>
  </si>
  <si>
    <t>货由供应商直接发给本单位</t>
    <phoneticPr fontId="4" type="noConversion"/>
  </si>
  <si>
    <t>货由生产商发给本单位</t>
    <phoneticPr fontId="4" type="noConversion"/>
  </si>
  <si>
    <t>致同会计师事务所</t>
    <phoneticPr fontId="4" type="noConversion"/>
  </si>
  <si>
    <r>
      <t>BOT</t>
    </r>
    <r>
      <rPr>
        <b/>
        <sz val="14"/>
        <color theme="1"/>
        <rFont val="宋体"/>
        <family val="3"/>
        <charset val="134"/>
      </rPr>
      <t>业务收入测算</t>
    </r>
    <phoneticPr fontId="8" type="noConversion"/>
  </si>
  <si>
    <t>D4-</t>
    <phoneticPr fontId="4" type="noConversion"/>
  </si>
  <si>
    <t>页 次：</t>
    <phoneticPr fontId="8" type="noConversion"/>
  </si>
  <si>
    <r>
      <rPr>
        <b/>
        <sz val="11"/>
        <color rgb="FFFFFFFF"/>
        <rFont val="微软雅黑"/>
        <family val="2"/>
        <charset val="134"/>
      </rPr>
      <t>服务</t>
    </r>
  </si>
  <si>
    <r>
      <rPr>
        <b/>
        <sz val="11"/>
        <color rgb="FFFFFFFF"/>
        <rFont val="微软雅黑"/>
        <family val="2"/>
        <charset val="134"/>
      </rPr>
      <t>年</t>
    </r>
  </si>
  <si>
    <r>
      <rPr>
        <b/>
        <sz val="11"/>
        <color rgb="FFFFFFFF"/>
        <rFont val="微软雅黑"/>
        <family val="2"/>
        <charset val="134"/>
      </rPr>
      <t>预计成本</t>
    </r>
  </si>
  <si>
    <r>
      <rPr>
        <b/>
        <sz val="11"/>
        <color rgb="FFFFFFFF"/>
        <rFont val="微软雅黑"/>
        <family val="2"/>
        <charset val="134"/>
      </rPr>
      <t>预计毛利率</t>
    </r>
  </si>
  <si>
    <r>
      <rPr>
        <b/>
        <sz val="11"/>
        <color rgb="FFFFFFFF"/>
        <rFont val="微软雅黑"/>
        <family val="2"/>
        <charset val="134"/>
      </rPr>
      <t>单独售价</t>
    </r>
  </si>
  <si>
    <t>（1）根据成本加成等方法确定单独售价；</t>
  </si>
  <si>
    <r>
      <rPr>
        <sz val="11"/>
        <color rgb="FF000000"/>
        <rFont val="微软雅黑"/>
        <family val="2"/>
        <charset val="134"/>
      </rPr>
      <t>建造服务</t>
    </r>
  </si>
  <si>
    <t>（2）单独售价合计应低于合同总额，差额部分是融资的利息收入；</t>
  </si>
  <si>
    <t>（3）根据收入确认进度确定合同资产与应收款项余额；</t>
  </si>
  <si>
    <r>
      <rPr>
        <sz val="11"/>
        <color rgb="FF000000"/>
        <rFont val="微软雅黑"/>
        <family val="2"/>
        <charset val="134"/>
      </rPr>
      <t>运营服务</t>
    </r>
  </si>
  <si>
    <t>‘3-10</t>
    <phoneticPr fontId="4" type="noConversion"/>
  </si>
  <si>
    <t>（4）使用插值法计算利率，使得总收入（含利息收入）等于合同总价。</t>
  </si>
  <si>
    <r>
      <rPr>
        <sz val="11"/>
        <color rgb="FF000000"/>
        <rFont val="微软雅黑"/>
        <family val="2"/>
        <charset val="134"/>
      </rPr>
      <t>大修服务</t>
    </r>
  </si>
  <si>
    <t>（5）注意质保金应列报为合同资产。</t>
  </si>
  <si>
    <r>
      <rPr>
        <b/>
        <sz val="11"/>
        <color rgb="FFFFFFFF"/>
        <rFont val="微软雅黑"/>
        <family val="2"/>
        <charset val="134"/>
      </rPr>
      <t>项目</t>
    </r>
  </si>
  <si>
    <r>
      <rPr>
        <b/>
        <sz val="11"/>
        <color rgb="FFFFFFFF"/>
        <rFont val="微软雅黑"/>
        <family val="2"/>
        <charset val="134"/>
      </rPr>
      <t>合计</t>
    </r>
  </si>
  <si>
    <t>成本</t>
    <phoneticPr fontId="4" type="noConversion"/>
  </si>
  <si>
    <t>收款</t>
  </si>
  <si>
    <t>建造收入</t>
  </si>
  <si>
    <t>运营收入</t>
    <phoneticPr fontId="4" type="noConversion"/>
  </si>
  <si>
    <t>大修收入</t>
    <phoneticPr fontId="4" type="noConversion"/>
  </si>
  <si>
    <t>合同资产</t>
    <phoneticPr fontId="4" type="noConversion"/>
  </si>
  <si>
    <t>应收款项</t>
    <phoneticPr fontId="4" type="noConversion"/>
  </si>
  <si>
    <t>利息收入</t>
  </si>
  <si>
    <t>收入合计</t>
    <phoneticPr fontId="4" type="noConversion"/>
  </si>
  <si>
    <t>现金缺口</t>
    <phoneticPr fontId="4" type="noConversion"/>
  </si>
  <si>
    <t>借款费用</t>
    <phoneticPr fontId="4" type="noConversion"/>
  </si>
  <si>
    <t>现金流</t>
    <phoneticPr fontId="4" type="noConversion"/>
  </si>
  <si>
    <t>净资产</t>
    <phoneticPr fontId="4" type="noConversion"/>
  </si>
  <si>
    <t>利润表：</t>
    <phoneticPr fontId="4" type="noConversion"/>
  </si>
  <si>
    <t>营业收入</t>
    <phoneticPr fontId="4" type="noConversion"/>
  </si>
  <si>
    <t>营业成本</t>
    <phoneticPr fontId="4" type="noConversion"/>
  </si>
  <si>
    <t>利息收入</t>
    <phoneticPr fontId="4" type="noConversion"/>
  </si>
  <si>
    <t>借款费用</t>
    <phoneticPr fontId="4" type="noConversion"/>
  </si>
  <si>
    <t>净利润</t>
    <phoneticPr fontId="4" type="noConversion"/>
  </si>
  <si>
    <t>合同号/索引</t>
    <phoneticPr fontId="20" type="noConversion"/>
  </si>
  <si>
    <t>监理确认日期</t>
    <phoneticPr fontId="4" type="noConversion"/>
  </si>
  <si>
    <t>监理单位盖章</t>
    <phoneticPr fontId="4" type="noConversion"/>
  </si>
  <si>
    <t>监理签字人</t>
    <phoneticPr fontId="4" type="noConversion"/>
  </si>
  <si>
    <t>D4-</t>
    <phoneticPr fontId="11" type="noConversion"/>
  </si>
  <si>
    <t>1.确定交易是否按合同条款履行（考虑直接与合同方函证合同条款）;</t>
    <phoneticPr fontId="8" type="noConversion"/>
  </si>
  <si>
    <t>2.确定对原始合同的修改以及增加均有签字确认;</t>
    <phoneticPr fontId="8" type="noConversion"/>
  </si>
  <si>
    <t>3.选取重要合同样本，测试收入确认时点及核算口径（总额、净额）是否正确;</t>
    <phoneticPr fontId="8" type="noConversion"/>
  </si>
  <si>
    <t>合计</t>
    <phoneticPr fontId="8" type="noConversion"/>
  </si>
  <si>
    <t>本期发生额</t>
    <phoneticPr fontId="8" type="noConversion"/>
  </si>
  <si>
    <t>检查比例</t>
    <phoneticPr fontId="8" type="noConversion"/>
  </si>
  <si>
    <t>合计</t>
    <phoneticPr fontId="8" type="noConversion"/>
  </si>
  <si>
    <r>
      <rPr>
        <b/>
        <sz val="10"/>
        <rFont val="宋体"/>
        <family val="3"/>
        <charset val="134"/>
      </rPr>
      <t>合计</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</si>
</sst>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 #,##0.00_ ;_ * \-#,##0.00_ ;_ * &quot;-&quot;??_ ;_ @_ "/>
    <numFmt numFmtId="176" formatCode="_([$€-2]* #,##0.00_);_([$€-2]* \(#,##0.00\);_([$€-2]* &quot;-&quot;??_)"/>
    <numFmt numFmtId="177" formatCode="#,##0.00_ "/>
    <numFmt numFmtId="178" formatCode="_(* #,##0.00_);_(* \(#,##0.00\);_(* &quot;-&quot;??_);_(@_)"/>
    <numFmt numFmtId="179" formatCode="&quot;$&quot;#,##0.00_);[Red]\(&quot;$&quot;#,##0.00\)"/>
    <numFmt numFmtId="180" formatCode="0.00_ "/>
    <numFmt numFmtId="181" formatCode="yyyy/m/d;@"/>
    <numFmt numFmtId="182" formatCode="#,##0.0000_ "/>
    <numFmt numFmtId="183" formatCode="#,##0.0"/>
    <numFmt numFmtId="184" formatCode="0.0"/>
    <numFmt numFmtId="185" formatCode="0.0%"/>
    <numFmt numFmtId="186" formatCode="#,##0.0_ "/>
  </numFmts>
  <fonts count="56">
    <font>
      <sz val="11"/>
      <color theme="1"/>
      <name val="等线"/>
      <family val="2"/>
      <charset val="134"/>
      <scheme val="minor"/>
    </font>
    <font>
      <sz val="11"/>
      <color theme="1"/>
      <name val="等线"/>
      <family val="2"/>
      <charset val="134"/>
      <scheme val="minor"/>
    </font>
    <font>
      <sz val="12"/>
      <name val="宋体"/>
      <family val="3"/>
      <charset val="134"/>
    </font>
    <font>
      <b/>
      <sz val="12"/>
      <name val="宋体"/>
      <family val="3"/>
      <charset val="134"/>
    </font>
    <font>
      <sz val="9"/>
      <name val="等线"/>
      <family val="2"/>
      <charset val="134"/>
      <scheme val="minor"/>
    </font>
    <font>
      <sz val="11"/>
      <color theme="1"/>
      <name val="等线"/>
      <family val="2"/>
      <scheme val="minor"/>
    </font>
    <font>
      <sz val="10"/>
      <color theme="1"/>
      <name val="宋体"/>
      <family val="3"/>
      <charset val="134"/>
    </font>
    <font>
      <b/>
      <sz val="14"/>
      <name val="宋体"/>
      <family val="3"/>
      <charset val="134"/>
    </font>
    <font>
      <sz val="9"/>
      <name val="宋体"/>
      <family val="3"/>
      <charset val="134"/>
    </font>
    <font>
      <sz val="10"/>
      <name val="宋体"/>
      <family val="3"/>
      <charset val="134"/>
    </font>
    <font>
      <sz val="10"/>
      <color rgb="FF0000FF"/>
      <name val="Arial Narrow"/>
      <family val="2"/>
    </font>
    <font>
      <sz val="11"/>
      <name val="楷体"/>
      <family val="3"/>
      <charset val="134"/>
    </font>
    <font>
      <b/>
      <sz val="10"/>
      <color indexed="8"/>
      <name val="宋体"/>
      <family val="3"/>
      <charset val="134"/>
    </font>
    <font>
      <b/>
      <sz val="10"/>
      <name val="宋体"/>
      <family val="3"/>
      <charset val="134"/>
    </font>
    <font>
      <sz val="10"/>
      <name val="Arial Narrow"/>
      <family val="2"/>
    </font>
    <font>
      <sz val="10"/>
      <color rgb="FFFF0000"/>
      <name val="Arial Narrow"/>
      <family val="2"/>
    </font>
    <font>
      <b/>
      <sz val="10"/>
      <color theme="1"/>
      <name val="宋体"/>
      <family val="3"/>
      <charset val="134"/>
    </font>
    <font>
      <sz val="10"/>
      <color theme="1"/>
      <name val="Arial Narrow"/>
      <family val="2"/>
    </font>
    <font>
      <sz val="10"/>
      <color theme="1"/>
      <name val="宋体"/>
      <family val="2"/>
      <charset val="134"/>
    </font>
    <font>
      <sz val="10"/>
      <color rgb="FF0000FF"/>
      <name val="宋体"/>
      <family val="3"/>
      <charset val="134"/>
    </font>
    <font>
      <sz val="9"/>
      <name val="等线"/>
      <family val="3"/>
      <charset val="134"/>
      <scheme val="minor"/>
    </font>
    <font>
      <b/>
      <sz val="10"/>
      <color rgb="FF0000FF"/>
      <name val="宋体"/>
      <family val="3"/>
      <charset val="134"/>
    </font>
    <font>
      <sz val="18"/>
      <color indexed="48"/>
      <name val="魏碑"/>
      <family val="3"/>
      <charset val="134"/>
    </font>
    <font>
      <sz val="10"/>
      <color theme="1"/>
      <name val="等线"/>
      <family val="3"/>
      <charset val="134"/>
      <scheme val="minor"/>
    </font>
    <font>
      <b/>
      <sz val="10"/>
      <color theme="1"/>
      <name val="Arial Narrow"/>
      <family val="2"/>
    </font>
    <font>
      <b/>
      <sz val="10"/>
      <name val="Arial Narrow"/>
      <family val="2"/>
    </font>
    <font>
      <sz val="10"/>
      <name val="等线"/>
      <family val="3"/>
      <charset val="134"/>
      <scheme val="minor"/>
    </font>
    <font>
      <u/>
      <sz val="12"/>
      <color indexed="12"/>
      <name val="宋体"/>
      <family val="3"/>
      <charset val="134"/>
    </font>
    <font>
      <u/>
      <sz val="10"/>
      <color indexed="12"/>
      <name val="Arial Narrow"/>
      <family val="2"/>
    </font>
    <font>
      <sz val="10"/>
      <color theme="1"/>
      <name val="等线"/>
      <family val="2"/>
      <scheme val="minor"/>
    </font>
    <font>
      <sz val="10"/>
      <name val="Arial"/>
      <family val="2"/>
    </font>
    <font>
      <sz val="11"/>
      <color theme="1"/>
      <name val="等线"/>
      <family val="3"/>
      <charset val="134"/>
      <scheme val="minor"/>
    </font>
    <font>
      <sz val="10"/>
      <color rgb="FF0000CC"/>
      <name val="等线"/>
      <family val="2"/>
      <scheme val="minor"/>
    </font>
    <font>
      <b/>
      <sz val="9"/>
      <color indexed="81"/>
      <name val="宋体"/>
      <family val="3"/>
      <charset val="134"/>
    </font>
    <font>
      <b/>
      <sz val="9"/>
      <color indexed="81"/>
      <name val="Tahoma"/>
      <family val="2"/>
    </font>
    <font>
      <sz val="9"/>
      <color indexed="81"/>
      <name val="Tahoma"/>
      <family val="2"/>
    </font>
    <font>
      <sz val="9"/>
      <color indexed="81"/>
      <name val="宋体"/>
      <family val="3"/>
      <charset val="134"/>
    </font>
    <font>
      <b/>
      <sz val="12"/>
      <color theme="1"/>
      <name val="宋体"/>
      <family val="3"/>
      <charset val="134"/>
    </font>
    <font>
      <b/>
      <sz val="12"/>
      <color theme="1"/>
      <name val="Arial"/>
      <family val="2"/>
    </font>
    <font>
      <sz val="11"/>
      <color theme="1"/>
      <name val="Arial"/>
      <family val="2"/>
    </font>
    <font>
      <b/>
      <sz val="14"/>
      <color theme="1"/>
      <name val="Arial"/>
      <family val="2"/>
    </font>
    <font>
      <b/>
      <sz val="14"/>
      <color theme="1"/>
      <name val="宋体"/>
      <family val="3"/>
      <charset val="134"/>
    </font>
    <font>
      <sz val="10"/>
      <color indexed="8"/>
      <name val="Arial"/>
      <family val="2"/>
    </font>
    <font>
      <sz val="10"/>
      <color indexed="9"/>
      <name val="宋体"/>
      <family val="3"/>
      <charset val="134"/>
    </font>
    <font>
      <b/>
      <sz val="11"/>
      <color rgb="FFFFFFFF"/>
      <name val="Arial"/>
      <family val="2"/>
    </font>
    <font>
      <b/>
      <sz val="11"/>
      <color rgb="FFFFFFFF"/>
      <name val="微软雅黑"/>
      <family val="2"/>
      <charset val="134"/>
    </font>
    <font>
      <sz val="10"/>
      <color rgb="FFC00000"/>
      <name val="黑体"/>
      <family val="3"/>
      <charset val="134"/>
    </font>
    <font>
      <sz val="11"/>
      <color rgb="FF000000"/>
      <name val="Arial"/>
      <family val="2"/>
    </font>
    <font>
      <sz val="11"/>
      <color rgb="FF000000"/>
      <name val="微软雅黑"/>
      <family val="2"/>
      <charset val="134"/>
    </font>
    <font>
      <sz val="11"/>
      <name val="Arial"/>
      <family val="2"/>
    </font>
    <font>
      <b/>
      <sz val="11"/>
      <color theme="1"/>
      <name val="Arial"/>
      <family val="2"/>
    </font>
    <font>
      <b/>
      <sz val="11"/>
      <name val="Arial"/>
      <family val="2"/>
    </font>
    <font>
      <sz val="11"/>
      <name val="微软雅黑"/>
      <family val="2"/>
      <charset val="134"/>
    </font>
    <font>
      <sz val="11"/>
      <color theme="1"/>
      <name val="微软雅黑"/>
      <family val="2"/>
      <charset val="134"/>
    </font>
    <font>
      <sz val="10"/>
      <color theme="1"/>
      <name val="Arial"/>
      <family val="2"/>
    </font>
    <font>
      <b/>
      <sz val="10"/>
      <color rgb="FFFF0000"/>
      <name val="宋体"/>
      <family val="3"/>
      <charset val="134"/>
    </font>
  </fonts>
  <fills count="8">
    <fill>
      <patternFill patternType="none"/>
    </fill>
    <fill>
      <patternFill patternType="gray125"/>
    </fill>
    <fill>
      <patternFill patternType="solid">
        <fgColor rgb="FFE4DFEC"/>
        <bgColor indexed="64"/>
      </patternFill>
    </fill>
    <fill>
      <patternFill patternType="solid">
        <fgColor rgb="FF4F2D7F"/>
        <bgColor indexed="64"/>
      </patternFill>
    </fill>
    <fill>
      <patternFill patternType="solid">
        <fgColor rgb="FFD0CDD8"/>
        <bgColor indexed="64"/>
      </patternFill>
    </fill>
    <fill>
      <patternFill patternType="solid">
        <fgColor rgb="FFE9E8EC"/>
        <bgColor indexed="64"/>
      </patternFill>
    </fill>
    <fill>
      <patternFill patternType="solid">
        <fgColor theme="8" tint="0.79998168889431442"/>
        <bgColor indexed="64"/>
      </patternFill>
    </fill>
    <fill>
      <patternFill patternType="solid">
        <fgColor theme="8" tint="0.39997558519241921"/>
        <bgColor indexed="64"/>
      </patternFill>
    </fill>
  </fills>
  <borders count="11">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auto="1"/>
      </top>
      <bottom style="hair">
        <color auto="1"/>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s>
  <cellStyleXfs count="32">
    <xf numFmtId="0" fontId="0" fillId="0" borderId="0">
      <alignment vertical="center"/>
    </xf>
    <xf numFmtId="0" fontId="2" fillId="0" borderId="0">
      <alignment vertical="center"/>
    </xf>
    <xf numFmtId="0" fontId="5" fillId="0" borderId="0"/>
    <xf numFmtId="0" fontId="2" fillId="0" borderId="0">
      <protection locked="0"/>
    </xf>
    <xf numFmtId="0" fontId="2" fillId="0" borderId="0"/>
    <xf numFmtId="43" fontId="2" fillId="0" borderId="0" applyFont="0" applyFill="0" applyBorder="0" applyAlignment="0" applyProtection="0"/>
    <xf numFmtId="0" fontId="5" fillId="0" borderId="0"/>
    <xf numFmtId="43" fontId="2" fillId="0" borderId="0" applyFont="0" applyFill="0" applyBorder="0" applyAlignment="0" applyProtection="0">
      <alignment vertical="center"/>
    </xf>
    <xf numFmtId="9" fontId="2" fillId="0" borderId="0" applyFont="0" applyFill="0" applyBorder="0" applyAlignment="0" applyProtection="0"/>
    <xf numFmtId="9" fontId="5" fillId="0" borderId="0" applyFont="0" applyFill="0" applyBorder="0" applyAlignment="0" applyProtection="0">
      <alignment vertical="center"/>
    </xf>
    <xf numFmtId="43" fontId="5" fillId="0" borderId="0" applyFont="0" applyFill="0" applyBorder="0" applyAlignment="0" applyProtection="0">
      <alignment vertical="center"/>
    </xf>
    <xf numFmtId="176" fontId="2" fillId="0" borderId="0">
      <protection locked="0"/>
    </xf>
    <xf numFmtId="176" fontId="2" fillId="0" borderId="0"/>
    <xf numFmtId="176" fontId="2" fillId="0" borderId="0" applyFill="0" applyBorder="0"/>
    <xf numFmtId="176" fontId="2" fillId="0" borderId="0">
      <protection locked="0"/>
    </xf>
    <xf numFmtId="176" fontId="2" fillId="0" borderId="0"/>
    <xf numFmtId="176" fontId="23" fillId="0" borderId="0">
      <alignment vertical="center"/>
    </xf>
    <xf numFmtId="43" fontId="2" fillId="0" borderId="0" applyFont="0" applyFill="0" applyBorder="0" applyAlignment="0" applyProtection="0"/>
    <xf numFmtId="176" fontId="2" fillId="0" borderId="0">
      <alignment vertical="center"/>
      <protection locked="0"/>
    </xf>
    <xf numFmtId="176" fontId="27" fillId="0" borderId="0" applyNumberFormat="0" applyFill="0" applyBorder="0" applyAlignment="0" applyProtection="0">
      <alignment vertical="top"/>
      <protection locked="0"/>
    </xf>
    <xf numFmtId="176" fontId="5" fillId="0" borderId="0"/>
    <xf numFmtId="176" fontId="30" fillId="0" borderId="0"/>
    <xf numFmtId="178" fontId="30" fillId="0" borderId="0" applyFont="0" applyFill="0" applyBorder="0" applyAlignment="0" applyProtection="0"/>
    <xf numFmtId="179" fontId="31" fillId="0" borderId="0" applyFont="0" applyFill="0" applyBorder="0" applyAlignment="0" applyProtection="0">
      <alignment vertical="center"/>
    </xf>
    <xf numFmtId="9" fontId="30" fillId="0" borderId="0" applyFont="0" applyFill="0" applyBorder="0" applyAlignment="0" applyProtection="0"/>
    <xf numFmtId="0" fontId="1" fillId="0" borderId="0">
      <alignment vertical="center"/>
    </xf>
    <xf numFmtId="0" fontId="2" fillId="0" borderId="0">
      <protection locked="0"/>
    </xf>
    <xf numFmtId="0" fontId="42" fillId="0" borderId="0">
      <alignment vertical="top"/>
      <protection locked="0"/>
    </xf>
    <xf numFmtId="0" fontId="2" fillId="0" borderId="0">
      <protection locked="0"/>
    </xf>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176" fontId="2" fillId="0" borderId="0">
      <protection locked="0"/>
    </xf>
  </cellStyleXfs>
  <cellXfs count="289">
    <xf numFmtId="0" fontId="0" fillId="0" borderId="0" xfId="0">
      <alignment vertical="center"/>
    </xf>
    <xf numFmtId="0" fontId="6" fillId="0" borderId="0" xfId="2" applyNumberFormat="1" applyFont="1" applyAlignment="1">
      <alignment vertical="center"/>
    </xf>
    <xf numFmtId="0" fontId="9" fillId="0" borderId="0" xfId="3" applyNumberFormat="1" applyFont="1" applyAlignment="1">
      <alignment vertical="center"/>
      <protection locked="0"/>
    </xf>
    <xf numFmtId="0" fontId="9" fillId="0" borderId="0" xfId="3" applyNumberFormat="1" applyFont="1" applyAlignment="1">
      <alignment horizontal="right" vertical="center"/>
      <protection locked="0"/>
    </xf>
    <xf numFmtId="0" fontId="10" fillId="0" borderId="0" xfId="3" applyNumberFormat="1" applyFont="1" applyAlignment="1">
      <alignment vertical="center"/>
      <protection locked="0"/>
    </xf>
    <xf numFmtId="0" fontId="12" fillId="0" borderId="0" xfId="3" applyNumberFormat="1" applyFont="1" applyAlignment="1" applyProtection="1">
      <alignment vertical="center"/>
    </xf>
    <xf numFmtId="0" fontId="9" fillId="0" borderId="0" xfId="4" applyNumberFormat="1" applyFont="1" applyAlignment="1">
      <alignment vertical="center"/>
    </xf>
    <xf numFmtId="0" fontId="13" fillId="0" borderId="0" xfId="3" applyNumberFormat="1" applyFont="1" applyAlignment="1" applyProtection="1">
      <alignment vertical="center"/>
    </xf>
    <xf numFmtId="0" fontId="14" fillId="0" borderId="0" xfId="4" applyFont="1" applyAlignment="1">
      <alignment horizontal="left" vertical="center" indent="1"/>
    </xf>
    <xf numFmtId="0" fontId="14" fillId="0" borderId="0" xfId="3" applyFont="1" applyAlignment="1">
      <alignment vertical="center"/>
      <protection locked="0"/>
    </xf>
    <xf numFmtId="0" fontId="14" fillId="0" borderId="0" xfId="3" applyFont="1" applyAlignment="1">
      <alignment horizontal="right" vertical="center"/>
      <protection locked="0"/>
    </xf>
    <xf numFmtId="0" fontId="0" fillId="0" borderId="0" xfId="0" applyAlignment="1"/>
    <xf numFmtId="0" fontId="15" fillId="0" borderId="0" xfId="3" applyFont="1" applyAlignment="1">
      <alignment vertical="center"/>
      <protection locked="0"/>
    </xf>
    <xf numFmtId="0" fontId="15" fillId="0" borderId="0" xfId="3" applyFont="1" applyAlignment="1">
      <alignment horizontal="right" vertical="center"/>
      <protection locked="0"/>
    </xf>
    <xf numFmtId="0" fontId="16" fillId="0" borderId="0" xfId="5" applyNumberFormat="1" applyFont="1" applyFill="1" applyBorder="1" applyAlignment="1" applyProtection="1">
      <alignment vertical="center"/>
      <protection locked="0"/>
    </xf>
    <xf numFmtId="0" fontId="6" fillId="0" borderId="0" xfId="5" applyNumberFormat="1" applyFont="1" applyFill="1" applyBorder="1" applyAlignment="1" applyProtection="1">
      <alignment vertical="center"/>
      <protection locked="0"/>
    </xf>
    <xf numFmtId="0" fontId="6" fillId="0" borderId="0" xfId="6" applyNumberFormat="1" applyFont="1" applyAlignment="1" applyProtection="1">
      <alignment vertical="center"/>
      <protection locked="0"/>
    </xf>
    <xf numFmtId="0" fontId="16" fillId="2" borderId="1" xfId="5" applyNumberFormat="1" applyFont="1" applyFill="1" applyBorder="1" applyAlignment="1" applyProtection="1">
      <alignment horizontal="center" vertical="center"/>
      <protection locked="0"/>
    </xf>
    <xf numFmtId="0" fontId="16" fillId="2" borderId="1" xfId="6" applyNumberFormat="1" applyFont="1" applyFill="1" applyBorder="1" applyAlignment="1" applyProtection="1">
      <alignment horizontal="center" vertical="center"/>
      <protection locked="0"/>
    </xf>
    <xf numFmtId="0" fontId="6" fillId="0" borderId="1" xfId="5" applyNumberFormat="1" applyFont="1" applyFill="1" applyBorder="1" applyAlignment="1" applyProtection="1">
      <alignment vertical="center"/>
      <protection locked="0"/>
    </xf>
    <xf numFmtId="0" fontId="17" fillId="0" borderId="1" xfId="5" applyNumberFormat="1" applyFont="1" applyFill="1" applyBorder="1" applyAlignment="1" applyProtection="1">
      <alignment vertical="center"/>
      <protection locked="0"/>
    </xf>
    <xf numFmtId="43" fontId="17" fillId="0" borderId="1" xfId="5" applyNumberFormat="1" applyFont="1" applyFill="1" applyBorder="1" applyAlignment="1" applyProtection="1">
      <alignment vertical="center"/>
      <protection locked="0"/>
    </xf>
    <xf numFmtId="43" fontId="14" fillId="2" borderId="1" xfId="7" applyNumberFormat="1" applyFont="1" applyFill="1" applyBorder="1" applyAlignment="1">
      <alignment vertical="center" wrapText="1"/>
    </xf>
    <xf numFmtId="43" fontId="17" fillId="2" borderId="1" xfId="5" applyNumberFormat="1" applyFont="1" applyFill="1" applyBorder="1" applyAlignment="1" applyProtection="1">
      <alignment vertical="center"/>
      <protection locked="0"/>
    </xf>
    <xf numFmtId="43" fontId="17" fillId="2" borderId="1" xfId="8" applyNumberFormat="1" applyFont="1" applyFill="1" applyBorder="1" applyAlignment="1">
      <alignment horizontal="center" vertical="center" wrapText="1"/>
    </xf>
    <xf numFmtId="43" fontId="17" fillId="0" borderId="1" xfId="6" applyNumberFormat="1" applyFont="1" applyBorder="1" applyAlignment="1" applyProtection="1">
      <alignment vertical="center"/>
      <protection locked="0"/>
    </xf>
    <xf numFmtId="43" fontId="18" fillId="0" borderId="1" xfId="5" applyNumberFormat="1" applyFont="1" applyFill="1" applyBorder="1" applyAlignment="1" applyProtection="1">
      <alignment vertical="center"/>
      <protection locked="0"/>
    </xf>
    <xf numFmtId="43" fontId="17" fillId="2" borderId="1" xfId="9" applyNumberFormat="1" applyFont="1" applyFill="1" applyBorder="1" applyAlignment="1" applyProtection="1">
      <alignment vertical="center"/>
      <protection locked="0"/>
    </xf>
    <xf numFmtId="0" fontId="6" fillId="0" borderId="0" xfId="9" applyNumberFormat="1" applyFont="1" applyFill="1" applyBorder="1" applyAlignment="1" applyProtection="1">
      <alignment vertical="center"/>
      <protection locked="0"/>
    </xf>
    <xf numFmtId="0" fontId="6" fillId="2" borderId="1" xfId="5" applyNumberFormat="1" applyFont="1" applyFill="1" applyBorder="1" applyAlignment="1" applyProtection="1">
      <alignment vertical="center"/>
      <protection locked="0"/>
    </xf>
    <xf numFmtId="0" fontId="6" fillId="0" borderId="1" xfId="9" applyNumberFormat="1" applyFont="1" applyFill="1" applyBorder="1" applyAlignment="1" applyProtection="1">
      <alignment vertical="center"/>
      <protection locked="0"/>
    </xf>
    <xf numFmtId="0" fontId="6" fillId="0" borderId="0" xfId="10" applyNumberFormat="1" applyFont="1" applyFill="1" applyBorder="1" applyAlignment="1" applyProtection="1">
      <alignment vertical="center"/>
      <protection locked="0"/>
    </xf>
    <xf numFmtId="43" fontId="17" fillId="2" borderId="1" xfId="10" applyNumberFormat="1" applyFont="1" applyFill="1" applyBorder="1" applyAlignment="1" applyProtection="1">
      <alignment vertical="center"/>
      <protection locked="0"/>
    </xf>
    <xf numFmtId="0" fontId="19" fillId="0" borderId="0" xfId="2" applyNumberFormat="1" applyFont="1" applyAlignment="1">
      <alignment vertical="center"/>
    </xf>
    <xf numFmtId="0" fontId="19" fillId="0" borderId="0" xfId="5" applyNumberFormat="1" applyFont="1" applyFill="1" applyBorder="1" applyAlignment="1" applyProtection="1">
      <alignment vertical="center"/>
      <protection locked="0"/>
    </xf>
    <xf numFmtId="0" fontId="21" fillId="0" borderId="0" xfId="5" applyNumberFormat="1" applyFont="1" applyFill="1" applyBorder="1" applyAlignment="1" applyProtection="1">
      <alignment vertical="center"/>
      <protection locked="0"/>
    </xf>
    <xf numFmtId="176" fontId="9" fillId="0" borderId="0" xfId="11" applyFont="1">
      <protection locked="0"/>
    </xf>
    <xf numFmtId="43" fontId="9" fillId="0" borderId="0" xfId="13" applyNumberFormat="1" applyFont="1" applyBorder="1" applyAlignment="1">
      <alignment vertical="center"/>
    </xf>
    <xf numFmtId="176" fontId="9" fillId="0" borderId="0" xfId="12" applyFont="1" applyAlignment="1">
      <alignment vertical="center"/>
    </xf>
    <xf numFmtId="176" fontId="14" fillId="0" borderId="0" xfId="14" applyFont="1" applyAlignment="1">
      <alignment vertical="center"/>
      <protection locked="0"/>
    </xf>
    <xf numFmtId="43" fontId="9" fillId="0" borderId="0" xfId="13" applyNumberFormat="1" applyFont="1" applyBorder="1" applyAlignment="1">
      <alignment horizontal="left" vertical="center"/>
    </xf>
    <xf numFmtId="177" fontId="9" fillId="0" borderId="0" xfId="12" applyNumberFormat="1" applyFont="1" applyAlignment="1">
      <alignment vertical="center"/>
    </xf>
    <xf numFmtId="176" fontId="9" fillId="0" borderId="0" xfId="12" applyFont="1" applyAlignment="1">
      <alignment horizontal="right" vertical="center"/>
    </xf>
    <xf numFmtId="176" fontId="9" fillId="0" borderId="0" xfId="11" applyFont="1" applyAlignment="1">
      <alignment vertical="center"/>
      <protection locked="0"/>
    </xf>
    <xf numFmtId="176" fontId="13" fillId="0" borderId="0" xfId="15" applyFont="1" applyAlignment="1">
      <alignment horizontal="left" vertical="center"/>
    </xf>
    <xf numFmtId="176" fontId="9" fillId="0" borderId="0" xfId="12" applyFont="1" applyAlignment="1">
      <alignment horizontal="left" vertical="center"/>
    </xf>
    <xf numFmtId="176" fontId="13" fillId="2" borderId="1" xfId="16" applyFont="1" applyFill="1" applyBorder="1" applyAlignment="1">
      <alignment horizontal="center" vertical="center" wrapText="1"/>
    </xf>
    <xf numFmtId="43" fontId="13" fillId="2" borderId="1" xfId="17" applyFont="1" applyFill="1" applyBorder="1" applyAlignment="1">
      <alignment horizontal="center" vertical="center" wrapText="1"/>
    </xf>
    <xf numFmtId="176" fontId="13" fillId="2" borderId="1" xfId="17" applyNumberFormat="1" applyFont="1" applyFill="1" applyBorder="1" applyAlignment="1">
      <alignment horizontal="center" vertical="center" wrapText="1"/>
    </xf>
    <xf numFmtId="10" fontId="13" fillId="2" borderId="1" xfId="8" applyNumberFormat="1" applyFont="1" applyFill="1" applyBorder="1" applyAlignment="1">
      <alignment horizontal="center" vertical="center" wrapText="1"/>
    </xf>
    <xf numFmtId="176" fontId="13" fillId="2" borderId="1" xfId="8" applyNumberFormat="1" applyFont="1" applyFill="1" applyBorder="1" applyAlignment="1">
      <alignment horizontal="center" vertical="center" wrapText="1"/>
    </xf>
    <xf numFmtId="176" fontId="13" fillId="2" borderId="1" xfId="17" applyNumberFormat="1" applyFont="1" applyFill="1" applyBorder="1" applyAlignment="1">
      <alignment vertical="center" wrapText="1"/>
    </xf>
    <xf numFmtId="10" fontId="13" fillId="2" borderId="1" xfId="8" applyNumberFormat="1" applyFont="1" applyFill="1" applyBorder="1" applyAlignment="1">
      <alignment vertical="center" wrapText="1"/>
    </xf>
    <xf numFmtId="10" fontId="13" fillId="2" borderId="1" xfId="8" applyNumberFormat="1" applyFont="1" applyFill="1" applyBorder="1" applyAlignment="1">
      <alignment vertical="center"/>
    </xf>
    <xf numFmtId="14" fontId="13" fillId="2" borderId="1" xfId="11" applyNumberFormat="1" applyFont="1" applyFill="1" applyBorder="1" applyAlignment="1" applyProtection="1">
      <alignment vertical="center" wrapText="1"/>
    </xf>
    <xf numFmtId="176" fontId="13" fillId="2" borderId="1" xfId="11" applyFont="1" applyFill="1" applyBorder="1" applyAlignment="1" applyProtection="1">
      <alignment horizontal="center" vertical="center" wrapText="1"/>
    </xf>
    <xf numFmtId="176" fontId="13" fillId="0" borderId="0" xfId="11" applyFont="1" applyAlignment="1">
      <alignment vertical="center"/>
      <protection locked="0"/>
    </xf>
    <xf numFmtId="176" fontId="25" fillId="0" borderId="0" xfId="14" applyFont="1" applyAlignment="1">
      <alignment vertical="center"/>
      <protection locked="0"/>
    </xf>
    <xf numFmtId="176" fontId="13" fillId="0" borderId="0" xfId="12" applyFont="1" applyAlignment="1">
      <alignment vertical="center"/>
    </xf>
    <xf numFmtId="176" fontId="26" fillId="0" borderId="0" xfId="18" applyNumberFormat="1" applyFont="1" applyAlignment="1">
      <alignment horizontal="right" vertical="center"/>
      <protection locked="0"/>
    </xf>
    <xf numFmtId="176" fontId="28" fillId="0" borderId="0" xfId="19" applyNumberFormat="1" applyFont="1" applyAlignment="1">
      <alignment horizontal="left" vertical="center"/>
      <protection locked="0"/>
    </xf>
    <xf numFmtId="176" fontId="9" fillId="0" borderId="0" xfId="18" applyNumberFormat="1" applyFont="1" applyAlignment="1">
      <alignment horizontal="right" vertical="center"/>
      <protection locked="0"/>
    </xf>
    <xf numFmtId="176" fontId="14" fillId="0" borderId="0" xfId="11" applyFont="1" applyAlignment="1">
      <alignment vertical="center"/>
      <protection locked="0"/>
    </xf>
    <xf numFmtId="176" fontId="26" fillId="0" borderId="0" xfId="18" applyNumberFormat="1" applyFont="1" applyAlignment="1">
      <alignment vertical="center"/>
      <protection locked="0"/>
    </xf>
    <xf numFmtId="176" fontId="6" fillId="0" borderId="0" xfId="20" applyFont="1" applyAlignment="1">
      <alignment vertical="center"/>
    </xf>
    <xf numFmtId="176" fontId="29" fillId="0" borderId="0" xfId="20" applyFont="1" applyAlignment="1" applyProtection="1">
      <alignment vertical="center"/>
      <protection locked="0"/>
    </xf>
    <xf numFmtId="176" fontId="13" fillId="0" borderId="0" xfId="15" applyFont="1" applyAlignment="1">
      <alignment vertical="center" wrapText="1"/>
    </xf>
    <xf numFmtId="176" fontId="13" fillId="0" borderId="0" xfId="15" applyFont="1" applyAlignment="1">
      <alignment horizontal="left" vertical="center" wrapText="1"/>
    </xf>
    <xf numFmtId="176" fontId="25" fillId="0" borderId="0" xfId="15" applyFont="1" applyAlignment="1">
      <alignment horizontal="left" vertical="center"/>
    </xf>
    <xf numFmtId="176" fontId="14" fillId="0" borderId="0" xfId="15" applyFont="1" applyAlignment="1" applyProtection="1">
      <alignment vertical="center"/>
      <protection locked="0"/>
    </xf>
    <xf numFmtId="176" fontId="29" fillId="0" borderId="0" xfId="20" applyFont="1" applyAlignment="1">
      <alignment vertical="center"/>
    </xf>
    <xf numFmtId="176" fontId="13" fillId="2" borderId="1" xfId="21" applyFont="1" applyFill="1" applyBorder="1" applyAlignment="1">
      <alignment horizontal="center" vertical="center"/>
    </xf>
    <xf numFmtId="176" fontId="14" fillId="0" borderId="0" xfId="21" applyFont="1" applyAlignment="1">
      <alignment vertical="center"/>
    </xf>
    <xf numFmtId="43" fontId="14" fillId="0" borderId="0" xfId="22" applyNumberFormat="1" applyFont="1" applyFill="1" applyAlignment="1">
      <alignment vertical="center"/>
    </xf>
    <xf numFmtId="176" fontId="13" fillId="2" borderId="1" xfId="21" applyFont="1" applyFill="1" applyBorder="1" applyAlignment="1">
      <alignment horizontal="center" vertical="center" wrapText="1"/>
    </xf>
    <xf numFmtId="178" fontId="13" fillId="2" borderId="1" xfId="22" applyFont="1" applyFill="1" applyBorder="1" applyAlignment="1">
      <alignment horizontal="center" vertical="center" wrapText="1"/>
    </xf>
    <xf numFmtId="180" fontId="13" fillId="2" borderId="1" xfId="23" applyNumberFormat="1" applyFont="1" applyFill="1" applyBorder="1" applyAlignment="1">
      <alignment horizontal="center" vertical="center" wrapText="1"/>
    </xf>
    <xf numFmtId="43" fontId="13" fillId="2" borderId="1" xfId="22" applyNumberFormat="1" applyFont="1" applyFill="1" applyBorder="1" applyAlignment="1">
      <alignment horizontal="center" vertical="center" wrapText="1"/>
    </xf>
    <xf numFmtId="0" fontId="13" fillId="0" borderId="0" xfId="15" applyNumberFormat="1" applyFont="1" applyAlignment="1">
      <alignment horizontal="left" vertical="center"/>
    </xf>
    <xf numFmtId="0" fontId="6" fillId="0" borderId="0" xfId="20" applyNumberFormat="1" applyFont="1" applyAlignment="1">
      <alignment vertical="center"/>
    </xf>
    <xf numFmtId="0" fontId="6" fillId="0" borderId="0" xfId="20" applyNumberFormat="1" applyFont="1" applyAlignment="1">
      <alignment horizontal="left" vertical="center"/>
    </xf>
    <xf numFmtId="0" fontId="32" fillId="0" borderId="0" xfId="20" applyNumberFormat="1" applyFont="1" applyAlignment="1">
      <alignment vertical="center"/>
    </xf>
    <xf numFmtId="0" fontId="14" fillId="0" borderId="0" xfId="21" applyNumberFormat="1" applyFont="1" applyBorder="1" applyAlignment="1">
      <alignment horizontal="center" vertical="center" wrapText="1"/>
    </xf>
    <xf numFmtId="0" fontId="9" fillId="0" borderId="0" xfId="21" applyNumberFormat="1" applyFont="1" applyBorder="1" applyAlignment="1">
      <alignment vertical="center" wrapText="1"/>
    </xf>
    <xf numFmtId="0" fontId="9" fillId="0" borderId="0" xfId="22" applyNumberFormat="1" applyFont="1" applyFill="1" applyBorder="1" applyAlignment="1">
      <alignment vertical="center" wrapText="1"/>
    </xf>
    <xf numFmtId="0" fontId="14" fillId="0" borderId="0" xfId="22" applyNumberFormat="1" applyFont="1" applyFill="1" applyBorder="1" applyAlignment="1">
      <alignment vertical="center" wrapText="1"/>
    </xf>
    <xf numFmtId="0" fontId="14" fillId="0" borderId="0" xfId="24" applyNumberFormat="1" applyFont="1" applyFill="1" applyBorder="1" applyAlignment="1">
      <alignment vertical="center" wrapText="1"/>
    </xf>
    <xf numFmtId="0" fontId="14" fillId="0" borderId="0" xfId="21" applyNumberFormat="1" applyFont="1" applyBorder="1" applyAlignment="1">
      <alignment vertical="center" wrapText="1"/>
    </xf>
    <xf numFmtId="0" fontId="14" fillId="2" borderId="0" xfId="21" applyNumberFormat="1" applyFont="1" applyFill="1" applyBorder="1" applyAlignment="1">
      <alignment vertical="center" wrapText="1"/>
    </xf>
    <xf numFmtId="0" fontId="14" fillId="2" borderId="0" xfId="22" applyNumberFormat="1" applyFont="1" applyFill="1" applyBorder="1" applyAlignment="1">
      <alignment vertical="center" wrapText="1"/>
    </xf>
    <xf numFmtId="0" fontId="14" fillId="2" borderId="0" xfId="21" applyNumberFormat="1" applyFont="1" applyFill="1" applyBorder="1" applyAlignment="1">
      <alignment horizontal="center" vertical="center" wrapText="1"/>
    </xf>
    <xf numFmtId="0" fontId="14" fillId="0" borderId="0" xfId="22" applyNumberFormat="1" applyFont="1" applyFill="1" applyAlignment="1">
      <alignment vertical="center"/>
    </xf>
    <xf numFmtId="0" fontId="14" fillId="0" borderId="0" xfId="21" applyNumberFormat="1" applyFont="1" applyAlignment="1">
      <alignment vertical="center"/>
    </xf>
    <xf numFmtId="0" fontId="29" fillId="0" borderId="0" xfId="20" applyNumberFormat="1" applyFont="1" applyAlignment="1">
      <alignment vertical="center"/>
    </xf>
    <xf numFmtId="176" fontId="2" fillId="0" borderId="0" xfId="11" applyFont="1" applyAlignment="1">
      <alignment vertical="center"/>
      <protection locked="0"/>
    </xf>
    <xf numFmtId="176" fontId="9" fillId="0" borderId="0" xfId="20" applyFont="1" applyAlignment="1">
      <alignment vertical="center"/>
    </xf>
    <xf numFmtId="177" fontId="13" fillId="2" borderId="1" xfId="14" applyNumberFormat="1" applyFont="1" applyFill="1" applyBorder="1" applyAlignment="1">
      <alignment horizontal="center" vertical="center" wrapText="1"/>
      <protection locked="0"/>
    </xf>
    <xf numFmtId="181" fontId="13" fillId="2" borderId="1" xfId="14" applyNumberFormat="1" applyFont="1" applyFill="1" applyBorder="1" applyAlignment="1">
      <alignment horizontal="center" vertical="center" wrapText="1"/>
      <protection locked="0"/>
    </xf>
    <xf numFmtId="176" fontId="13" fillId="2" borderId="1" xfId="14" applyFont="1" applyFill="1" applyBorder="1" applyAlignment="1">
      <alignment horizontal="center" vertical="center" wrapText="1"/>
      <protection locked="0"/>
    </xf>
    <xf numFmtId="176" fontId="19" fillId="0" borderId="0" xfId="20" applyFont="1" applyAlignment="1">
      <alignment vertical="center"/>
    </xf>
    <xf numFmtId="0" fontId="39" fillId="0" borderId="0" xfId="25" applyFont="1" applyAlignment="1">
      <alignment vertical="center"/>
    </xf>
    <xf numFmtId="0" fontId="9" fillId="0" borderId="0" xfId="27" applyFont="1" applyAlignment="1">
      <alignment vertical="center"/>
      <protection locked="0"/>
    </xf>
    <xf numFmtId="0" fontId="6" fillId="0" borderId="0" xfId="25" applyFont="1" applyAlignment="1">
      <alignment vertical="center"/>
    </xf>
    <xf numFmtId="0" fontId="43" fillId="0" borderId="0" xfId="27" applyFont="1" applyAlignment="1">
      <alignment vertical="center"/>
      <protection locked="0"/>
    </xf>
    <xf numFmtId="0" fontId="17" fillId="0" borderId="0" xfId="25" applyFont="1" applyAlignment="1">
      <alignment vertical="center"/>
    </xf>
    <xf numFmtId="0" fontId="44" fillId="3" borderId="7" xfId="25" applyFont="1" applyFill="1" applyBorder="1" applyAlignment="1">
      <alignment horizontal="center" vertical="center" wrapText="1"/>
    </xf>
    <xf numFmtId="0" fontId="46" fillId="0" borderId="0" xfId="25" applyFont="1" applyAlignment="1">
      <alignment vertical="center"/>
    </xf>
    <xf numFmtId="0" fontId="47" fillId="4" borderId="8" xfId="25" applyFont="1" applyFill="1" applyBorder="1" applyAlignment="1">
      <alignment horizontal="left" vertical="center" wrapText="1"/>
    </xf>
    <xf numFmtId="0" fontId="47" fillId="4" borderId="8" xfId="25" applyFont="1" applyFill="1" applyBorder="1" applyAlignment="1">
      <alignment horizontal="center" vertical="center" wrapText="1"/>
    </xf>
    <xf numFmtId="3" fontId="47" fillId="4" borderId="8" xfId="25" applyNumberFormat="1" applyFont="1" applyFill="1" applyBorder="1" applyAlignment="1">
      <alignment horizontal="center" vertical="center" wrapText="1"/>
    </xf>
    <xf numFmtId="9" fontId="47" fillId="4" borderId="8" xfId="25" applyNumberFormat="1" applyFont="1" applyFill="1" applyBorder="1" applyAlignment="1">
      <alignment horizontal="center" vertical="center" wrapText="1"/>
    </xf>
    <xf numFmtId="183" fontId="47" fillId="4" borderId="8" xfId="25" applyNumberFormat="1" applyFont="1" applyFill="1" applyBorder="1" applyAlignment="1">
      <alignment horizontal="center" vertical="center" wrapText="1"/>
    </xf>
    <xf numFmtId="4" fontId="46" fillId="0" borderId="0" xfId="25" applyNumberFormat="1" applyFont="1" applyAlignment="1">
      <alignment vertical="center"/>
    </xf>
    <xf numFmtId="0" fontId="49" fillId="5" borderId="9" xfId="25" applyFont="1" applyFill="1" applyBorder="1" applyAlignment="1">
      <alignment vertical="center" wrapText="1"/>
    </xf>
    <xf numFmtId="0" fontId="47" fillId="5" borderId="9" xfId="25" applyFont="1" applyFill="1" applyBorder="1" applyAlignment="1">
      <alignment horizontal="center" vertical="center" wrapText="1"/>
    </xf>
    <xf numFmtId="3" fontId="47" fillId="5" borderId="9" xfId="25" applyNumberFormat="1" applyFont="1" applyFill="1" applyBorder="1" applyAlignment="1">
      <alignment horizontal="center" vertical="center" wrapText="1"/>
    </xf>
    <xf numFmtId="9" fontId="47" fillId="5" borderId="9" xfId="25" applyNumberFormat="1" applyFont="1" applyFill="1" applyBorder="1" applyAlignment="1">
      <alignment horizontal="center" vertical="center" wrapText="1"/>
    </xf>
    <xf numFmtId="183" fontId="47" fillId="5" borderId="9" xfId="25" applyNumberFormat="1" applyFont="1" applyFill="1" applyBorder="1" applyAlignment="1">
      <alignment horizontal="center" vertical="center" wrapText="1"/>
    </xf>
    <xf numFmtId="0" fontId="47" fillId="4" borderId="9" xfId="25" applyFont="1" applyFill="1" applyBorder="1" applyAlignment="1">
      <alignment horizontal="left" vertical="center" wrapText="1"/>
    </xf>
    <xf numFmtId="58" fontId="47" fillId="4" borderId="9" xfId="25" applyNumberFormat="1" applyFont="1" applyFill="1" applyBorder="1" applyAlignment="1">
      <alignment horizontal="center" vertical="center" wrapText="1"/>
    </xf>
    <xf numFmtId="3" fontId="47" fillId="4" borderId="9" xfId="25" applyNumberFormat="1" applyFont="1" applyFill="1" applyBorder="1" applyAlignment="1">
      <alignment horizontal="center" vertical="center" wrapText="1"/>
    </xf>
    <xf numFmtId="9" fontId="47" fillId="4" borderId="9" xfId="25" applyNumberFormat="1" applyFont="1" applyFill="1" applyBorder="1" applyAlignment="1">
      <alignment horizontal="center" vertical="center" wrapText="1"/>
    </xf>
    <xf numFmtId="0" fontId="47" fillId="5" borderId="9" xfId="25" applyFont="1" applyFill="1" applyBorder="1" applyAlignment="1">
      <alignment horizontal="left" vertical="center" wrapText="1"/>
    </xf>
    <xf numFmtId="3" fontId="50" fillId="0" borderId="0" xfId="25" applyNumberFormat="1" applyFont="1" applyAlignment="1">
      <alignment horizontal="center" vertical="center"/>
    </xf>
    <xf numFmtId="0" fontId="50" fillId="0" borderId="0" xfId="25" applyFont="1" applyAlignment="1">
      <alignment vertical="center"/>
    </xf>
    <xf numFmtId="183" fontId="50" fillId="0" borderId="0" xfId="25" applyNumberFormat="1" applyFont="1" applyAlignment="1">
      <alignment horizontal="center" vertical="center"/>
    </xf>
    <xf numFmtId="3" fontId="50" fillId="0" borderId="0" xfId="25" applyNumberFormat="1" applyFont="1" applyAlignment="1">
      <alignment vertical="center"/>
    </xf>
    <xf numFmtId="0" fontId="48" fillId="4" borderId="8" xfId="25" applyFont="1" applyFill="1" applyBorder="1" applyAlignment="1">
      <alignment horizontal="left" vertical="center" wrapText="1"/>
    </xf>
    <xf numFmtId="0" fontId="49" fillId="4" borderId="9" xfId="25" applyFont="1" applyFill="1" applyBorder="1" applyAlignment="1">
      <alignment horizontal="center" vertical="center" wrapText="1"/>
    </xf>
    <xf numFmtId="0" fontId="51" fillId="4" borderId="9" xfId="25" applyFont="1" applyFill="1" applyBorder="1" applyAlignment="1">
      <alignment horizontal="center" vertical="center" wrapText="1"/>
    </xf>
    <xf numFmtId="0" fontId="49" fillId="4" borderId="8" xfId="25" applyFont="1" applyFill="1" applyBorder="1" applyAlignment="1">
      <alignment horizontal="center" vertical="center" wrapText="1"/>
    </xf>
    <xf numFmtId="0" fontId="51" fillId="4" borderId="8" xfId="25" applyFont="1" applyFill="1" applyBorder="1" applyAlignment="1">
      <alignment horizontal="center" vertical="center" wrapText="1"/>
    </xf>
    <xf numFmtId="0" fontId="48" fillId="5" borderId="9" xfId="25" applyFont="1" applyFill="1" applyBorder="1" applyAlignment="1">
      <alignment horizontal="left" vertical="center" wrapText="1"/>
    </xf>
    <xf numFmtId="183" fontId="49" fillId="5" borderId="9" xfId="25" applyNumberFormat="1" applyFont="1" applyFill="1" applyBorder="1" applyAlignment="1">
      <alignment horizontal="center" vertical="center" wrapText="1"/>
    </xf>
    <xf numFmtId="0" fontId="49" fillId="5" borderId="9" xfId="25" applyFont="1" applyFill="1" applyBorder="1" applyAlignment="1">
      <alignment horizontal="center" vertical="center" wrapText="1"/>
    </xf>
    <xf numFmtId="0" fontId="51" fillId="5" borderId="9" xfId="25" applyFont="1" applyFill="1" applyBorder="1" applyAlignment="1">
      <alignment horizontal="center" vertical="center" wrapText="1"/>
    </xf>
    <xf numFmtId="0" fontId="48" fillId="4" borderId="10" xfId="25" applyFont="1" applyFill="1" applyBorder="1" applyAlignment="1">
      <alignment horizontal="left" vertical="center" wrapText="1"/>
    </xf>
    <xf numFmtId="3" fontId="49" fillId="4" borderId="9" xfId="25" applyNumberFormat="1" applyFont="1" applyFill="1" applyBorder="1" applyAlignment="1">
      <alignment horizontal="center" vertical="center" wrapText="1"/>
    </xf>
    <xf numFmtId="183" fontId="49" fillId="4" borderId="9" xfId="25" applyNumberFormat="1" applyFont="1" applyFill="1" applyBorder="1" applyAlignment="1">
      <alignment horizontal="center" vertical="center" wrapText="1"/>
    </xf>
    <xf numFmtId="0" fontId="52" fillId="5" borderId="9" xfId="25" applyFont="1" applyFill="1" applyBorder="1" applyAlignment="1">
      <alignment vertical="center" wrapText="1"/>
    </xf>
    <xf numFmtId="1" fontId="49" fillId="5" borderId="9" xfId="25" applyNumberFormat="1" applyFont="1" applyFill="1" applyBorder="1" applyAlignment="1">
      <alignment horizontal="center" vertical="center" wrapText="1"/>
    </xf>
    <xf numFmtId="10" fontId="49" fillId="5" borderId="9" xfId="25" applyNumberFormat="1" applyFont="1" applyFill="1" applyBorder="1" applyAlignment="1">
      <alignment horizontal="center" vertical="center" wrapText="1"/>
    </xf>
    <xf numFmtId="184" fontId="49" fillId="5" borderId="9" xfId="25" applyNumberFormat="1" applyFont="1" applyFill="1" applyBorder="1" applyAlignment="1">
      <alignment horizontal="center" vertical="center" wrapText="1"/>
    </xf>
    <xf numFmtId="184" fontId="51" fillId="5" borderId="9" xfId="25" applyNumberFormat="1" applyFont="1" applyFill="1" applyBorder="1" applyAlignment="1">
      <alignment horizontal="center" vertical="center" wrapText="1"/>
    </xf>
    <xf numFmtId="184" fontId="49" fillId="4" borderId="9" xfId="25" applyNumberFormat="1" applyFont="1" applyFill="1" applyBorder="1" applyAlignment="1">
      <alignment horizontal="center" vertical="center" wrapText="1"/>
    </xf>
    <xf numFmtId="1" fontId="51" fillId="4" borderId="8" xfId="25" applyNumberFormat="1" applyFont="1" applyFill="1" applyBorder="1" applyAlignment="1">
      <alignment horizontal="center" vertical="center" wrapText="1"/>
    </xf>
    <xf numFmtId="0" fontId="48" fillId="6" borderId="10" xfId="25" applyFont="1" applyFill="1" applyBorder="1" applyAlignment="1">
      <alignment horizontal="left" vertical="center" wrapText="1"/>
    </xf>
    <xf numFmtId="0" fontId="49" fillId="6" borderId="9" xfId="25" applyFont="1" applyFill="1" applyBorder="1" applyAlignment="1">
      <alignment horizontal="center" vertical="center" wrapText="1"/>
    </xf>
    <xf numFmtId="1" fontId="49" fillId="6" borderId="9" xfId="25" applyNumberFormat="1" applyFont="1" applyFill="1" applyBorder="1" applyAlignment="1">
      <alignment horizontal="center" vertical="center" wrapText="1"/>
    </xf>
    <xf numFmtId="1" fontId="51" fillId="6" borderId="10" xfId="25" applyNumberFormat="1" applyFont="1" applyFill="1" applyBorder="1" applyAlignment="1">
      <alignment horizontal="center" vertical="center" wrapText="1"/>
    </xf>
    <xf numFmtId="185" fontId="49" fillId="6" borderId="9" xfId="25" applyNumberFormat="1" applyFont="1" applyFill="1" applyBorder="1" applyAlignment="1">
      <alignment horizontal="center" vertical="center" wrapText="1"/>
    </xf>
    <xf numFmtId="184" fontId="49" fillId="6" borderId="9" xfId="25" applyNumberFormat="1" applyFont="1" applyFill="1" applyBorder="1" applyAlignment="1">
      <alignment horizontal="center" vertical="center" wrapText="1"/>
    </xf>
    <xf numFmtId="184" fontId="51" fillId="6" borderId="8" xfId="25" applyNumberFormat="1" applyFont="1" applyFill="1" applyBorder="1" applyAlignment="1">
      <alignment horizontal="center" vertical="center" wrapText="1"/>
    </xf>
    <xf numFmtId="0" fontId="52" fillId="6" borderId="9" xfId="25" applyFont="1" applyFill="1" applyBorder="1" applyAlignment="1">
      <alignment vertical="center" wrapText="1"/>
    </xf>
    <xf numFmtId="184" fontId="51" fillId="6" borderId="9" xfId="25" applyNumberFormat="1" applyFont="1" applyFill="1" applyBorder="1" applyAlignment="1">
      <alignment horizontal="center" vertical="center" wrapText="1"/>
    </xf>
    <xf numFmtId="3" fontId="49" fillId="6" borderId="9" xfId="25" applyNumberFormat="1" applyFont="1" applyFill="1" applyBorder="1" applyAlignment="1">
      <alignment horizontal="center" vertical="center" wrapText="1"/>
    </xf>
    <xf numFmtId="9" fontId="39" fillId="0" borderId="0" xfId="25" applyNumberFormat="1" applyFont="1" applyAlignment="1">
      <alignment vertical="center"/>
    </xf>
    <xf numFmtId="0" fontId="53" fillId="0" borderId="0" xfId="25" applyFont="1" applyAlignment="1">
      <alignment vertical="center"/>
    </xf>
    <xf numFmtId="0" fontId="44" fillId="7" borderId="7" xfId="25" applyFont="1" applyFill="1" applyBorder="1" applyAlignment="1">
      <alignment horizontal="center" vertical="center" wrapText="1"/>
    </xf>
    <xf numFmtId="0" fontId="48" fillId="6" borderId="8" xfId="25" applyFont="1" applyFill="1" applyBorder="1" applyAlignment="1">
      <alignment horizontal="left" vertical="center" wrapText="1"/>
    </xf>
    <xf numFmtId="186" fontId="49" fillId="6" borderId="9" xfId="25" applyNumberFormat="1" applyFont="1" applyFill="1" applyBorder="1" applyAlignment="1">
      <alignment horizontal="center" vertical="center" wrapText="1"/>
    </xf>
    <xf numFmtId="0" fontId="51" fillId="6" borderId="9" xfId="25" applyFont="1" applyFill="1" applyBorder="1" applyAlignment="1">
      <alignment horizontal="center" vertical="center" wrapText="1"/>
    </xf>
    <xf numFmtId="0" fontId="49" fillId="6" borderId="8" xfId="25" applyFont="1" applyFill="1" applyBorder="1" applyAlignment="1">
      <alignment horizontal="center" vertical="center" wrapText="1"/>
    </xf>
    <xf numFmtId="0" fontId="51" fillId="6" borderId="8" xfId="25" applyFont="1" applyFill="1" applyBorder="1" applyAlignment="1">
      <alignment horizontal="center" vertical="center" wrapText="1"/>
    </xf>
    <xf numFmtId="0" fontId="48" fillId="6" borderId="9" xfId="25" applyFont="1" applyFill="1" applyBorder="1" applyAlignment="1">
      <alignment horizontal="left" vertical="center" wrapText="1"/>
    </xf>
    <xf numFmtId="184" fontId="49" fillId="6" borderId="8" xfId="25" applyNumberFormat="1" applyFont="1" applyFill="1" applyBorder="1" applyAlignment="1">
      <alignment horizontal="center" vertical="center" wrapText="1"/>
    </xf>
    <xf numFmtId="0" fontId="54" fillId="0" borderId="0" xfId="25" applyFont="1" applyAlignment="1">
      <alignment vertical="center"/>
    </xf>
    <xf numFmtId="176" fontId="55" fillId="2" borderId="1" xfId="11" applyFont="1" applyFill="1" applyBorder="1" applyAlignment="1" applyProtection="1">
      <alignment horizontal="center" vertical="center" wrapText="1"/>
    </xf>
    <xf numFmtId="43" fontId="17" fillId="0" borderId="1" xfId="29" applyFont="1" applyFill="1" applyBorder="1" applyAlignment="1">
      <alignment horizontal="center" vertical="center" wrapText="1"/>
    </xf>
    <xf numFmtId="43" fontId="24" fillId="2" borderId="1" xfId="29" applyFont="1" applyFill="1" applyBorder="1" applyAlignment="1">
      <alignment horizontal="center" vertical="center" wrapText="1"/>
    </xf>
    <xf numFmtId="176" fontId="13" fillId="2" borderId="0" xfId="11" applyFont="1" applyFill="1">
      <protection locked="0"/>
    </xf>
    <xf numFmtId="43" fontId="24" fillId="0" borderId="1" xfId="29" applyFont="1" applyFill="1" applyBorder="1" applyAlignment="1">
      <alignment horizontal="center" vertical="center" wrapText="1"/>
    </xf>
    <xf numFmtId="43" fontId="17" fillId="0" borderId="1" xfId="29" applyFont="1" applyFill="1" applyBorder="1" applyAlignment="1">
      <alignment vertical="center"/>
    </xf>
    <xf numFmtId="14" fontId="13" fillId="2" borderId="1" xfId="31" applyNumberFormat="1" applyFont="1" applyFill="1" applyBorder="1" applyAlignment="1">
      <alignment vertical="center"/>
      <protection locked="0"/>
    </xf>
    <xf numFmtId="176" fontId="17" fillId="2" borderId="1" xfId="20" applyFont="1" applyFill="1" applyBorder="1" applyAlignment="1">
      <alignment vertical="center"/>
    </xf>
    <xf numFmtId="176" fontId="6" fillId="2" borderId="1" xfId="20" applyFont="1" applyFill="1" applyBorder="1" applyAlignment="1">
      <alignment vertical="center"/>
    </xf>
    <xf numFmtId="176" fontId="6" fillId="2" borderId="0" xfId="20" applyFont="1" applyFill="1" applyAlignment="1">
      <alignment vertical="center"/>
    </xf>
    <xf numFmtId="43" fontId="17" fillId="0" borderId="1" xfId="29" applyFont="1" applyBorder="1" applyAlignment="1">
      <alignment vertical="center"/>
    </xf>
    <xf numFmtId="43" fontId="25" fillId="2" borderId="1" xfId="29" applyFont="1" applyFill="1" applyBorder="1" applyAlignment="1" applyProtection="1">
      <alignment vertical="center"/>
      <protection locked="0"/>
    </xf>
    <xf numFmtId="0" fontId="6" fillId="2" borderId="2" xfId="5" applyNumberFormat="1" applyFont="1" applyFill="1" applyBorder="1" applyAlignment="1" applyProtection="1">
      <alignment horizontal="center" vertical="center"/>
      <protection locked="0"/>
    </xf>
    <xf numFmtId="0" fontId="6" fillId="2" borderId="4" xfId="5" applyNumberFormat="1" applyFont="1" applyFill="1" applyBorder="1" applyAlignment="1" applyProtection="1">
      <alignment horizontal="center" vertical="center"/>
      <protection locked="0"/>
    </xf>
    <xf numFmtId="0" fontId="6" fillId="0" borderId="0" xfId="5" applyNumberFormat="1" applyFont="1" applyFill="1" applyBorder="1" applyAlignment="1" applyProtection="1">
      <alignment horizontal="center" vertical="center"/>
      <protection locked="0"/>
    </xf>
    <xf numFmtId="0" fontId="6" fillId="2" borderId="3" xfId="5" applyNumberFormat="1" applyFont="1" applyFill="1" applyBorder="1" applyAlignment="1" applyProtection="1">
      <alignment horizontal="center" vertical="center"/>
      <protection locked="0"/>
    </xf>
    <xf numFmtId="0" fontId="16" fillId="2" borderId="1" xfId="5" applyNumberFormat="1" applyFont="1" applyFill="1" applyBorder="1" applyAlignment="1" applyProtection="1">
      <alignment horizontal="center" vertical="center"/>
      <protection locked="0"/>
    </xf>
    <xf numFmtId="0" fontId="16" fillId="2" borderId="1" xfId="6" applyNumberFormat="1" applyFont="1" applyFill="1" applyBorder="1" applyAlignment="1" applyProtection="1">
      <alignment horizontal="center" vertical="center" wrapText="1"/>
      <protection locked="0"/>
    </xf>
    <xf numFmtId="0" fontId="3" fillId="0" borderId="0" xfId="1" applyNumberFormat="1" applyFont="1" applyAlignment="1">
      <alignment horizontal="center" vertical="center"/>
    </xf>
    <xf numFmtId="0" fontId="0" fillId="0" borderId="0" xfId="0" applyAlignment="1">
      <alignment vertical="center"/>
    </xf>
    <xf numFmtId="0" fontId="7" fillId="0" borderId="0" xfId="1" applyNumberFormat="1" applyFont="1" applyAlignment="1">
      <alignment horizontal="center" vertical="center"/>
    </xf>
    <xf numFmtId="176" fontId="3" fillId="0" borderId="0" xfId="11" applyFont="1" applyAlignment="1">
      <alignment horizontal="center" vertical="center"/>
      <protection locked="0"/>
    </xf>
    <xf numFmtId="176" fontId="7" fillId="0" borderId="0" xfId="12" applyFont="1" applyAlignment="1">
      <alignment horizontal="center" vertical="center"/>
    </xf>
    <xf numFmtId="176" fontId="13" fillId="2" borderId="1" xfId="16" applyFont="1" applyFill="1" applyBorder="1" applyAlignment="1">
      <alignment horizontal="center" vertical="center"/>
    </xf>
    <xf numFmtId="176" fontId="13" fillId="2" borderId="1" xfId="8" applyNumberFormat="1" applyFont="1" applyFill="1" applyBorder="1" applyAlignment="1">
      <alignment horizontal="center" vertical="center" wrapText="1"/>
    </xf>
    <xf numFmtId="176" fontId="13" fillId="2" borderId="1" xfId="11" applyFont="1" applyFill="1" applyBorder="1" applyAlignment="1" applyProtection="1">
      <alignment horizontal="center" vertical="center" wrapText="1"/>
    </xf>
    <xf numFmtId="176" fontId="13" fillId="2" borderId="1" xfId="21" applyFont="1" applyFill="1" applyBorder="1" applyAlignment="1">
      <alignment horizontal="center" vertical="center"/>
    </xf>
    <xf numFmtId="176" fontId="13" fillId="2" borderId="1" xfId="21" applyFont="1" applyFill="1" applyBorder="1" applyAlignment="1">
      <alignment horizontal="center" vertical="center" wrapText="1"/>
    </xf>
    <xf numFmtId="176" fontId="13" fillId="2" borderId="2" xfId="21" applyFont="1" applyFill="1" applyBorder="1" applyAlignment="1">
      <alignment horizontal="center" vertical="center"/>
    </xf>
    <xf numFmtId="176" fontId="13" fillId="2" borderId="3" xfId="21" applyFont="1" applyFill="1" applyBorder="1" applyAlignment="1">
      <alignment horizontal="center" vertical="center"/>
    </xf>
    <xf numFmtId="176" fontId="13" fillId="0" borderId="0" xfId="11" applyFont="1" applyAlignment="1">
      <alignment horizontal="center" vertical="center"/>
      <protection locked="0"/>
    </xf>
    <xf numFmtId="176" fontId="13" fillId="0" borderId="0" xfId="12" applyFont="1" applyAlignment="1">
      <alignment horizontal="center" vertical="center"/>
    </xf>
    <xf numFmtId="14" fontId="13" fillId="2" borderId="2" xfId="31" applyNumberFormat="1" applyFont="1" applyFill="1" applyBorder="1" applyAlignment="1">
      <alignment horizontal="center" vertical="center"/>
      <protection locked="0"/>
    </xf>
    <xf numFmtId="14" fontId="13" fillId="2" borderId="4" xfId="31" applyNumberFormat="1" applyFont="1" applyFill="1" applyBorder="1" applyAlignment="1">
      <alignment horizontal="center" vertical="center"/>
      <protection locked="0"/>
    </xf>
    <xf numFmtId="176" fontId="13" fillId="2" borderId="1" xfId="14" applyFont="1" applyFill="1" applyBorder="1" applyAlignment="1">
      <alignment horizontal="center" vertical="center" wrapText="1"/>
      <protection locked="0"/>
    </xf>
    <xf numFmtId="176" fontId="13" fillId="2" borderId="5" xfId="14" applyFont="1" applyFill="1" applyBorder="1" applyAlignment="1">
      <alignment horizontal="center" vertical="center" wrapText="1"/>
      <protection locked="0"/>
    </xf>
    <xf numFmtId="176" fontId="13" fillId="2" borderId="6" xfId="14" applyFont="1" applyFill="1" applyBorder="1" applyAlignment="1">
      <alignment horizontal="center" vertical="center" wrapText="1"/>
      <protection locked="0"/>
    </xf>
    <xf numFmtId="181" fontId="13" fillId="2" borderId="1" xfId="14" applyNumberFormat="1" applyFont="1" applyFill="1" applyBorder="1" applyAlignment="1">
      <alignment horizontal="center" vertical="center" wrapText="1"/>
      <protection locked="0"/>
    </xf>
    <xf numFmtId="182" fontId="13" fillId="2" borderId="1" xfId="14" applyNumberFormat="1" applyFont="1" applyFill="1" applyBorder="1" applyAlignment="1">
      <alignment horizontal="right" vertical="center" wrapText="1"/>
      <protection locked="0"/>
    </xf>
    <xf numFmtId="177" fontId="13" fillId="2" borderId="1" xfId="14" applyNumberFormat="1" applyFont="1" applyFill="1" applyBorder="1" applyAlignment="1">
      <alignment horizontal="center" vertical="center" wrapText="1"/>
      <protection locked="0"/>
    </xf>
    <xf numFmtId="177" fontId="13" fillId="2" borderId="1" xfId="14" applyNumberFormat="1" applyFont="1" applyFill="1" applyBorder="1" applyAlignment="1">
      <alignment horizontal="right" vertical="center" wrapText="1"/>
      <protection locked="0"/>
    </xf>
    <xf numFmtId="176" fontId="13" fillId="2" borderId="2" xfId="14" applyFont="1" applyFill="1" applyBorder="1" applyAlignment="1">
      <alignment horizontal="center" vertical="center" wrapText="1"/>
      <protection locked="0"/>
    </xf>
    <xf numFmtId="176" fontId="13" fillId="2" borderId="3" xfId="14" applyFont="1" applyFill="1" applyBorder="1" applyAlignment="1">
      <alignment horizontal="center" vertical="center" wrapText="1"/>
      <protection locked="0"/>
    </xf>
    <xf numFmtId="176" fontId="13" fillId="2" borderId="4" xfId="14" applyFont="1" applyFill="1" applyBorder="1" applyAlignment="1">
      <alignment horizontal="center" vertical="center" wrapText="1"/>
      <protection locked="0"/>
    </xf>
    <xf numFmtId="176" fontId="3" fillId="0" borderId="0" xfId="12" applyFont="1" applyAlignment="1">
      <alignment horizontal="center" vertical="center"/>
    </xf>
    <xf numFmtId="0" fontId="37" fillId="0" borderId="0" xfId="25" applyFont="1" applyAlignment="1">
      <alignment horizontal="center" vertical="center"/>
    </xf>
    <xf numFmtId="0" fontId="38" fillId="0" borderId="0" xfId="25" applyFont="1" applyAlignment="1">
      <alignment horizontal="center" vertical="center"/>
    </xf>
    <xf numFmtId="0" fontId="40" fillId="0" borderId="0" xfId="25" applyFont="1" applyAlignment="1">
      <alignment horizontal="center" vertical="center"/>
    </xf>
    <xf numFmtId="0" fontId="7" fillId="0" borderId="0" xfId="26" applyFont="1" applyAlignment="1">
      <alignment horizontal="center" vertical="center"/>
      <protection locked="0"/>
    </xf>
    <xf numFmtId="0" fontId="9" fillId="0" borderId="0" xfId="11" applyNumberFormat="1" applyFont="1">
      <protection locked="0"/>
    </xf>
    <xf numFmtId="0" fontId="9" fillId="0" borderId="0" xfId="12" applyNumberFormat="1" applyFont="1" applyAlignment="1">
      <alignment vertical="center"/>
    </xf>
    <xf numFmtId="0" fontId="9" fillId="0" borderId="0" xfId="13" applyNumberFormat="1" applyFont="1" applyBorder="1" applyAlignment="1">
      <alignment vertical="center"/>
    </xf>
    <xf numFmtId="0" fontId="9" fillId="0" borderId="0" xfId="12" applyNumberFormat="1" applyFont="1" applyAlignment="1">
      <alignment horizontal="left" vertical="center"/>
    </xf>
    <xf numFmtId="0" fontId="9" fillId="0" borderId="0" xfId="13" applyNumberFormat="1" applyFont="1" applyBorder="1" applyAlignment="1">
      <alignment horizontal="left" vertical="center"/>
    </xf>
    <xf numFmtId="0" fontId="6" fillId="0" borderId="1" xfId="11" applyNumberFormat="1" applyFont="1" applyBorder="1" applyAlignment="1" applyProtection="1">
      <alignment vertical="center"/>
    </xf>
    <xf numFmtId="0" fontId="6" fillId="0" borderId="1" xfId="17" applyNumberFormat="1" applyFont="1" applyFill="1" applyBorder="1" applyAlignment="1">
      <alignment vertical="center"/>
    </xf>
    <xf numFmtId="0" fontId="6" fillId="0" borderId="1" xfId="11" applyNumberFormat="1" applyFont="1" applyBorder="1" applyAlignment="1" applyProtection="1">
      <alignment horizontal="right" vertical="center"/>
    </xf>
    <xf numFmtId="0" fontId="17" fillId="0" borderId="1" xfId="8" applyNumberFormat="1" applyFont="1" applyFill="1" applyBorder="1" applyAlignment="1">
      <alignment vertical="center"/>
    </xf>
    <xf numFmtId="0" fontId="6" fillId="0" borderId="1" xfId="8" applyNumberFormat="1" applyFont="1" applyFill="1" applyBorder="1" applyAlignment="1">
      <alignment vertical="center"/>
    </xf>
    <xf numFmtId="0" fontId="17" fillId="0" borderId="1" xfId="29" applyNumberFormat="1" applyFont="1" applyFill="1" applyBorder="1" applyAlignment="1">
      <alignment vertical="center"/>
    </xf>
    <xf numFmtId="0" fontId="6" fillId="0" borderId="1" xfId="29" applyNumberFormat="1" applyFont="1" applyFill="1" applyBorder="1" applyAlignment="1">
      <alignment vertical="center"/>
    </xf>
    <xf numFmtId="0" fontId="13" fillId="2" borderId="1" xfId="31" applyNumberFormat="1" applyFont="1" applyFill="1" applyBorder="1" applyAlignment="1">
      <alignment horizontal="center" vertical="center"/>
      <protection locked="0"/>
    </xf>
    <xf numFmtId="0" fontId="16" fillId="2" borderId="1" xfId="17" applyNumberFormat="1" applyFont="1" applyFill="1" applyBorder="1" applyAlignment="1">
      <alignment vertical="center"/>
    </xf>
    <xf numFmtId="0" fontId="16" fillId="2" borderId="1" xfId="11" applyNumberFormat="1" applyFont="1" applyFill="1" applyBorder="1" applyAlignment="1" applyProtection="1">
      <alignment horizontal="right" vertical="center"/>
    </xf>
    <xf numFmtId="0" fontId="24" fillId="2" borderId="1" xfId="29" applyNumberFormat="1" applyFont="1" applyFill="1" applyBorder="1" applyAlignment="1">
      <alignment horizontal="center" vertical="center" wrapText="1"/>
    </xf>
    <xf numFmtId="0" fontId="16" fillId="2" borderId="1" xfId="8" applyNumberFormat="1" applyFont="1" applyFill="1" applyBorder="1" applyAlignment="1">
      <alignment vertical="center"/>
    </xf>
    <xf numFmtId="0" fontId="17" fillId="0" borderId="1" xfId="17" applyNumberFormat="1" applyFont="1" applyFill="1" applyBorder="1" applyAlignment="1">
      <alignment vertical="center"/>
    </xf>
    <xf numFmtId="0" fontId="17" fillId="0" borderId="1" xfId="11" applyNumberFormat="1" applyFont="1" applyBorder="1" applyAlignment="1" applyProtection="1">
      <alignment vertical="center"/>
    </xf>
    <xf numFmtId="0" fontId="24" fillId="2" borderId="1" xfId="17" applyNumberFormat="1" applyFont="1" applyFill="1" applyBorder="1" applyAlignment="1">
      <alignment vertical="center"/>
    </xf>
    <xf numFmtId="0" fontId="24" fillId="2" borderId="1" xfId="11" applyNumberFormat="1" applyFont="1" applyFill="1" applyBorder="1" applyAlignment="1" applyProtection="1">
      <alignment vertical="center"/>
    </xf>
    <xf numFmtId="0" fontId="24" fillId="2" borderId="1" xfId="8" applyNumberFormat="1" applyFont="1" applyFill="1" applyBorder="1" applyAlignment="1">
      <alignment vertical="center"/>
    </xf>
    <xf numFmtId="43" fontId="24" fillId="2" borderId="1" xfId="29" applyFont="1" applyFill="1" applyBorder="1" applyAlignment="1">
      <alignment vertical="center"/>
    </xf>
    <xf numFmtId="43" fontId="24" fillId="2" borderId="1" xfId="29" applyFont="1" applyFill="1" applyBorder="1" applyAlignment="1">
      <alignment horizontal="right" vertical="center" wrapText="1"/>
    </xf>
    <xf numFmtId="10" fontId="17" fillId="0" borderId="1" xfId="30" applyNumberFormat="1" applyFont="1" applyFill="1" applyBorder="1" applyAlignment="1">
      <alignment vertical="center"/>
    </xf>
    <xf numFmtId="10" fontId="24" fillId="2" borderId="1" xfId="30" applyNumberFormat="1" applyFont="1" applyFill="1" applyBorder="1" applyAlignment="1">
      <alignment vertical="center"/>
    </xf>
    <xf numFmtId="43" fontId="16" fillId="2" borderId="1" xfId="29" applyFont="1" applyFill="1" applyBorder="1" applyAlignment="1">
      <alignment vertical="center"/>
    </xf>
    <xf numFmtId="10" fontId="24" fillId="2" borderId="1" xfId="30" applyNumberFormat="1" applyFont="1" applyFill="1" applyBorder="1" applyAlignment="1">
      <alignment horizontal="center" vertical="center" wrapText="1"/>
    </xf>
    <xf numFmtId="10" fontId="16" fillId="2" borderId="1" xfId="30" applyNumberFormat="1" applyFont="1" applyFill="1" applyBorder="1" applyAlignment="1">
      <alignment vertical="center"/>
    </xf>
    <xf numFmtId="0" fontId="14" fillId="0" borderId="1" xfId="17" applyNumberFormat="1" applyFont="1" applyFill="1" applyBorder="1" applyAlignment="1">
      <alignment vertical="center"/>
    </xf>
    <xf numFmtId="0" fontId="25" fillId="2" borderId="1" xfId="17" applyNumberFormat="1" applyFont="1" applyFill="1" applyBorder="1" applyAlignment="1">
      <alignment vertical="center"/>
    </xf>
    <xf numFmtId="14" fontId="17" fillId="0" borderId="1" xfId="8" applyNumberFormat="1" applyFont="1" applyFill="1" applyBorder="1" applyAlignment="1">
      <alignment vertical="center"/>
    </xf>
    <xf numFmtId="14" fontId="24" fillId="2" borderId="1" xfId="8" applyNumberFormat="1" applyFont="1" applyFill="1" applyBorder="1" applyAlignment="1">
      <alignment vertical="center"/>
    </xf>
    <xf numFmtId="14" fontId="17" fillId="0" borderId="1" xfId="17" applyNumberFormat="1" applyFont="1" applyFill="1" applyBorder="1" applyAlignment="1">
      <alignment vertical="center"/>
    </xf>
    <xf numFmtId="14" fontId="24" fillId="2" borderId="1" xfId="17" applyNumberFormat="1" applyFont="1" applyFill="1" applyBorder="1" applyAlignment="1">
      <alignment vertical="center"/>
    </xf>
    <xf numFmtId="14" fontId="17" fillId="0" borderId="1" xfId="11" applyNumberFormat="1" applyFont="1" applyBorder="1" applyAlignment="1" applyProtection="1">
      <alignment vertical="center"/>
    </xf>
    <xf numFmtId="14" fontId="24" fillId="2" borderId="1" xfId="11" applyNumberFormat="1" applyFont="1" applyFill="1" applyBorder="1" applyAlignment="1" applyProtection="1">
      <alignment vertical="center"/>
    </xf>
    <xf numFmtId="14" fontId="17" fillId="0" borderId="1" xfId="11" applyNumberFormat="1" applyFont="1" applyBorder="1" applyAlignment="1" applyProtection="1">
      <alignment horizontal="right" vertical="center"/>
    </xf>
    <xf numFmtId="14" fontId="24" fillId="2" borderId="1" xfId="11" applyNumberFormat="1" applyFont="1" applyFill="1" applyBorder="1" applyAlignment="1" applyProtection="1">
      <alignment horizontal="right" vertical="center"/>
    </xf>
    <xf numFmtId="0" fontId="14" fillId="0" borderId="1" xfId="21" applyNumberFormat="1" applyFont="1" applyBorder="1" applyAlignment="1">
      <alignment horizontal="center" vertical="center" wrapText="1"/>
    </xf>
    <xf numFmtId="0" fontId="14" fillId="0" borderId="1" xfId="22" applyNumberFormat="1" applyFont="1" applyFill="1" applyBorder="1" applyAlignment="1">
      <alignment vertical="center" wrapText="1"/>
    </xf>
    <xf numFmtId="0" fontId="14" fillId="2" borderId="1" xfId="21" applyNumberFormat="1" applyFont="1" applyFill="1" applyBorder="1" applyAlignment="1">
      <alignment horizontal="center" vertical="center" wrapText="1"/>
    </xf>
    <xf numFmtId="0" fontId="14" fillId="2" borderId="0" xfId="21" applyNumberFormat="1" applyFont="1" applyFill="1" applyAlignment="1">
      <alignment vertical="center"/>
    </xf>
    <xf numFmtId="0" fontId="14" fillId="0" borderId="1" xfId="21" applyNumberFormat="1" applyFont="1" applyBorder="1" applyAlignment="1">
      <alignment vertical="center" wrapText="1"/>
    </xf>
    <xf numFmtId="0" fontId="25" fillId="2" borderId="1" xfId="31" applyNumberFormat="1" applyFont="1" applyFill="1" applyBorder="1" applyAlignment="1">
      <alignment horizontal="center" vertical="center"/>
      <protection locked="0"/>
    </xf>
    <xf numFmtId="0" fontId="25" fillId="2" borderId="1" xfId="22" applyNumberFormat="1" applyFont="1" applyFill="1" applyBorder="1" applyAlignment="1">
      <alignment vertical="center" wrapText="1"/>
    </xf>
    <xf numFmtId="0" fontId="25" fillId="2" borderId="1" xfId="21" applyNumberFormat="1" applyFont="1" applyFill="1" applyBorder="1" applyAlignment="1">
      <alignment vertical="center" wrapText="1"/>
    </xf>
    <xf numFmtId="0" fontId="25" fillId="2" borderId="1" xfId="21" applyNumberFormat="1" applyFont="1" applyFill="1" applyBorder="1" applyAlignment="1">
      <alignment horizontal="center" vertical="center" wrapText="1"/>
    </xf>
    <xf numFmtId="0" fontId="25" fillId="2" borderId="0" xfId="22" applyNumberFormat="1" applyFont="1" applyFill="1" applyAlignment="1">
      <alignment vertical="center"/>
    </xf>
    <xf numFmtId="0" fontId="25" fillId="2" borderId="0" xfId="21" applyNumberFormat="1" applyFont="1" applyFill="1" applyAlignment="1">
      <alignment vertical="center"/>
    </xf>
    <xf numFmtId="43" fontId="14" fillId="0" borderId="1" xfId="29" applyFont="1" applyFill="1" applyBorder="1" applyAlignment="1">
      <alignment horizontal="center" vertical="center" wrapText="1"/>
    </xf>
    <xf numFmtId="10" fontId="14" fillId="2" borderId="1" xfId="30" applyNumberFormat="1" applyFont="1" applyFill="1" applyBorder="1" applyAlignment="1">
      <alignment vertical="center" wrapText="1"/>
    </xf>
    <xf numFmtId="43" fontId="14" fillId="2" borderId="1" xfId="29" applyFont="1" applyFill="1" applyBorder="1" applyAlignment="1">
      <alignment vertical="center" wrapText="1"/>
    </xf>
    <xf numFmtId="43" fontId="25" fillId="2" borderId="1" xfId="29" applyFont="1" applyFill="1" applyBorder="1" applyAlignment="1">
      <alignment vertical="center" wrapText="1"/>
    </xf>
    <xf numFmtId="43" fontId="14" fillId="2" borderId="1" xfId="29" applyFont="1" applyFill="1" applyBorder="1" applyAlignment="1">
      <alignment horizontal="center" vertical="center" wrapText="1"/>
    </xf>
    <xf numFmtId="43" fontId="14" fillId="0" borderId="1" xfId="29" applyFont="1" applyBorder="1" applyAlignment="1">
      <alignment vertical="center" wrapText="1"/>
    </xf>
    <xf numFmtId="43" fontId="14" fillId="0" borderId="1" xfId="29" applyFont="1" applyBorder="1" applyAlignment="1">
      <alignment horizontal="center" vertical="center" wrapText="1"/>
    </xf>
    <xf numFmtId="0" fontId="9" fillId="0" borderId="1" xfId="21" applyNumberFormat="1" applyFont="1" applyBorder="1" applyAlignment="1">
      <alignment horizontal="center" vertical="center" wrapText="1"/>
    </xf>
    <xf numFmtId="43" fontId="14" fillId="0" borderId="1" xfId="29" applyFont="1" applyFill="1" applyBorder="1" applyAlignment="1">
      <alignment vertical="center" wrapText="1"/>
    </xf>
    <xf numFmtId="14" fontId="14" fillId="0" borderId="1" xfId="29" applyNumberFormat="1" applyFont="1" applyFill="1" applyBorder="1" applyAlignment="1">
      <alignment horizontal="center" vertical="center" wrapText="1"/>
    </xf>
    <xf numFmtId="14" fontId="14" fillId="0" borderId="1" xfId="29" applyNumberFormat="1" applyFont="1" applyFill="1" applyBorder="1" applyAlignment="1">
      <alignment vertical="center" wrapText="1"/>
    </xf>
    <xf numFmtId="14" fontId="25" fillId="2" borderId="1" xfId="29" applyNumberFormat="1" applyFont="1" applyFill="1" applyBorder="1" applyAlignment="1">
      <alignment vertical="center" wrapText="1"/>
    </xf>
    <xf numFmtId="14" fontId="14" fillId="0" borderId="1" xfId="29" applyNumberFormat="1" applyFont="1" applyBorder="1" applyAlignment="1">
      <alignment horizontal="center" vertical="center" wrapText="1"/>
    </xf>
    <xf numFmtId="10" fontId="14" fillId="0" borderId="1" xfId="30" applyNumberFormat="1" applyFont="1" applyBorder="1" applyAlignment="1">
      <alignment horizontal="center" vertical="center" wrapText="1"/>
    </xf>
    <xf numFmtId="10" fontId="14" fillId="0" borderId="1" xfId="30" applyNumberFormat="1" applyFont="1" applyBorder="1" applyAlignment="1">
      <alignment vertical="center" wrapText="1"/>
    </xf>
    <xf numFmtId="10" fontId="25" fillId="2" borderId="1" xfId="30" applyNumberFormat="1" applyFont="1" applyFill="1" applyBorder="1" applyAlignment="1">
      <alignment vertical="center" wrapText="1"/>
    </xf>
    <xf numFmtId="10" fontId="14" fillId="0" borderId="1" xfId="30" applyNumberFormat="1" applyFont="1" applyFill="1" applyBorder="1" applyAlignment="1">
      <alignment vertical="center" wrapText="1"/>
    </xf>
    <xf numFmtId="0" fontId="17" fillId="0" borderId="1" xfId="20" applyNumberFormat="1" applyFont="1" applyBorder="1" applyAlignment="1">
      <alignment vertical="center"/>
    </xf>
    <xf numFmtId="0" fontId="6" fillId="0" borderId="1" xfId="20" applyNumberFormat="1" applyFont="1" applyBorder="1" applyAlignment="1">
      <alignment vertical="center"/>
    </xf>
    <xf numFmtId="10" fontId="17" fillId="2" borderId="1" xfId="30" applyNumberFormat="1" applyFont="1" applyFill="1" applyBorder="1" applyAlignment="1">
      <alignment vertical="center"/>
    </xf>
    <xf numFmtId="14" fontId="17" fillId="0" borderId="1" xfId="20" applyNumberFormat="1" applyFont="1" applyBorder="1" applyAlignment="1">
      <alignment vertical="center"/>
    </xf>
    <xf numFmtId="43" fontId="17" fillId="2" borderId="1" xfId="29" applyFont="1" applyFill="1" applyBorder="1" applyAlignment="1">
      <alignment vertical="center"/>
    </xf>
    <xf numFmtId="0" fontId="9" fillId="0" borderId="0" xfId="15" applyNumberFormat="1" applyFont="1" applyAlignment="1">
      <alignment horizontal="left" vertical="center"/>
    </xf>
  </cellXfs>
  <cellStyles count="32">
    <cellStyle name="百分比" xfId="30" builtinId="5"/>
    <cellStyle name="百分比 2" xfId="8"/>
    <cellStyle name="百分比 3" xfId="9"/>
    <cellStyle name="百分比 6" xfId="24"/>
    <cellStyle name="常规" xfId="0" builtinId="0"/>
    <cellStyle name="常规 11 7" xfId="25"/>
    <cellStyle name="常规 113" xfId="21"/>
    <cellStyle name="常规 13" xfId="26"/>
    <cellStyle name="常规 2" xfId="20"/>
    <cellStyle name="常规 2 2" xfId="31"/>
    <cellStyle name="常规 2 2 2" xfId="6"/>
    <cellStyle name="常规 2 2 3" xfId="3"/>
    <cellStyle name="常规 2 4 3" xfId="18"/>
    <cellStyle name="常规 3" xfId="2"/>
    <cellStyle name="常规 3 2 2 2" xfId="28"/>
    <cellStyle name="常规 3 2 3" xfId="11"/>
    <cellStyle name="常规 3 2 4" xfId="14"/>
    <cellStyle name="常规 33 2" xfId="16"/>
    <cellStyle name="常规 4 2 2" xfId="12"/>
    <cellStyle name="常规 6 2" xfId="4"/>
    <cellStyle name="常规_2006年年报审计PBC表-XXX" xfId="27"/>
    <cellStyle name="常规_Book1 2" xfId="1"/>
    <cellStyle name="常规_进一步审计程序--销售与收款循环 2 2" xfId="15"/>
    <cellStyle name="常规_新审定表 2 2" xfId="13"/>
    <cellStyle name="超链接" xfId="19" builtinId="8"/>
    <cellStyle name="千位分隔" xfId="29" builtinId="3"/>
    <cellStyle name="千位分隔 10 2 2" xfId="23"/>
    <cellStyle name="千位分隔 11" xfId="5"/>
    <cellStyle name="千位分隔 2" xfId="10"/>
    <cellStyle name="千位分隔 2 2 2" xfId="7"/>
    <cellStyle name="千位分隔 24" xfId="22"/>
    <cellStyle name="千位分隔 3" xfId="17"/>
  </cellStyles>
  <dxfs count="0"/>
  <tableStyles count="0" defaultTableStyle="TableStyleMedium2" defaultPivotStyle="PivotStyleLight16"/>
  <colors>
    <mruColors>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4-1&#33267;D4-4%20&#33829;&#19994;&#25910;&#20837;%20-%20&#23457;&#23450;&#34920;&#26126;&#32454;&#34920;&#65288;Leap-&#24120;&#35268;&#31243;&#24207;&#6528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24213;&#31295;&#20462;&#35746;\D%20&#25910;&#20837;&#24490;&#29615;(4)\D%20&#25910;&#20837;&#24490;&#29615;\D4%20&#33829;&#19994;&#25910;&#20837;\D4-13&#33267;D4-20&#33829;&#19994;&#25910;&#20837;-&#26816;&#26597;&#65288;Leap&#24212;&#23545;&#25514;&#26045;-&#26816;&#2659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营业收入审计程序表D4A"/>
      <sheetName val="主营业务收入审计程序表D4A（修订前）"/>
      <sheetName val="营业收入审定表D4-1"/>
      <sheetName val="附注披露信息（上市公司）"/>
      <sheetName val="附注披露信息（国企）"/>
      <sheetName val="主营业务收入明细表D4-2"/>
      <sheetName val="其他业务收入明细表D4-3"/>
      <sheetName val="营业收入调整分录汇总D4-4"/>
      <sheetName val="GT_Custom"/>
    </sheetNames>
    <sheetDataSet>
      <sheetData sheetId="0">
        <row r="2">
          <cell r="A2" t="str">
            <v>被审计单位：</v>
          </cell>
        </row>
        <row r="3">
          <cell r="A3" t="str">
            <v>会计期间：202X年度</v>
          </cell>
        </row>
        <row r="4">
          <cell r="A4" t="str">
            <v>编制人：</v>
          </cell>
        </row>
        <row r="5">
          <cell r="A5" t="str">
            <v>编制日期：</v>
          </cell>
        </row>
        <row r="6">
          <cell r="A6" t="str">
            <v>复核人：</v>
          </cell>
        </row>
        <row r="7">
          <cell r="A7" t="str">
            <v>复核日期：</v>
          </cell>
        </row>
      </sheetData>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营业收入账面金额与ERP系统核对记录D4-13"/>
      <sheetName val="营业收入发生检查表D4-14"/>
      <sheetName val="营业收入完整性检查表D4-15"/>
      <sheetName val="营业收入截止测试（单据到账）D4-16"/>
      <sheetName val="营业收入截止测试（账到单据）D4-17"/>
      <sheetName val="销售折扣与折让检查D4-18"/>
      <sheetName val="销售退货款检查表 D4-19"/>
      <sheetName val="电子口岸系统核对D4-20"/>
    </sheetNames>
    <sheetDataSet>
      <sheetData sheetId="0">
        <row r="2">
          <cell r="A2" t="str">
            <v>被审计单位：</v>
          </cell>
        </row>
        <row r="3">
          <cell r="A3" t="str">
            <v>会计期间：</v>
          </cell>
        </row>
        <row r="4">
          <cell r="A4" t="str">
            <v>编制人：</v>
          </cell>
        </row>
        <row r="5">
          <cell r="A5" t="str">
            <v>编制日期：</v>
          </cell>
        </row>
        <row r="6">
          <cell r="A6" t="str">
            <v>复核人：</v>
          </cell>
        </row>
        <row r="7">
          <cell r="A7" t="str">
            <v>复核日期：</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B050"/>
  </sheetPr>
  <dimension ref="A1:R125"/>
  <sheetViews>
    <sheetView tabSelected="1" view="pageBreakPreview" zoomScaleNormal="100" zoomScaleSheetLayoutView="100" workbookViewId="0">
      <selection sqref="A1:R1"/>
    </sheetView>
  </sheetViews>
  <sheetFormatPr defaultColWidth="9" defaultRowHeight="20.100000000000001" customHeight="1"/>
  <cols>
    <col min="1" max="1" width="9.109375" style="1" bestFit="1" customWidth="1"/>
    <col min="2" max="2" width="8.88671875" style="1" customWidth="1"/>
    <col min="3" max="3" width="11.44140625" style="1" bestFit="1" customWidth="1"/>
    <col min="4" max="4" width="11.6640625" style="1" customWidth="1"/>
    <col min="5" max="5" width="12.44140625" style="1" bestFit="1" customWidth="1"/>
    <col min="6" max="6" width="14.21875" style="1" customWidth="1"/>
    <col min="7" max="7" width="12.44140625" style="1" bestFit="1" customWidth="1"/>
    <col min="8" max="8" width="14.109375" style="1" customWidth="1"/>
    <col min="9" max="9" width="12.109375" style="1" customWidth="1"/>
    <col min="10" max="10" width="11.33203125" style="1" customWidth="1"/>
    <col min="11" max="11" width="9.109375" style="1" bestFit="1" customWidth="1"/>
    <col min="12" max="12" width="11.77734375" style="1" customWidth="1"/>
    <col min="13" max="13" width="11.44140625" style="1" bestFit="1" customWidth="1"/>
    <col min="14" max="14" width="13.6640625" style="1" customWidth="1"/>
    <col min="15" max="15" width="11.44140625" style="1" customWidth="1"/>
    <col min="16" max="16" width="14.21875" style="1" customWidth="1"/>
    <col min="17" max="17" width="11.33203125" style="1" customWidth="1"/>
    <col min="18" max="18" width="7" style="1" customWidth="1"/>
    <col min="19" max="16384" width="9" style="1"/>
  </cols>
  <sheetData>
    <row r="1" spans="1:18" ht="20.100000000000001" customHeight="1">
      <c r="A1" s="185" t="s">
        <v>0</v>
      </c>
      <c r="B1" s="185"/>
      <c r="C1" s="185"/>
      <c r="D1" s="185"/>
      <c r="E1" s="185"/>
      <c r="F1" s="185"/>
      <c r="G1" s="185"/>
      <c r="H1" s="185"/>
      <c r="I1" s="185"/>
      <c r="J1" s="185"/>
      <c r="K1" s="185"/>
      <c r="L1" s="185"/>
      <c r="M1" s="185"/>
      <c r="N1" s="185"/>
      <c r="O1" s="185"/>
      <c r="P1" s="185"/>
      <c r="Q1" s="185"/>
      <c r="R1" s="186"/>
    </row>
    <row r="2" spans="1:18" ht="20.100000000000001" customHeight="1">
      <c r="A2" s="187" t="s">
        <v>1</v>
      </c>
      <c r="B2" s="187"/>
      <c r="C2" s="187"/>
      <c r="D2" s="187"/>
      <c r="E2" s="187"/>
      <c r="F2" s="187"/>
      <c r="G2" s="187"/>
      <c r="H2" s="187"/>
      <c r="I2" s="187"/>
      <c r="J2" s="187"/>
      <c r="K2" s="187"/>
      <c r="L2" s="187"/>
      <c r="M2" s="187"/>
      <c r="N2" s="187"/>
      <c r="O2" s="187"/>
      <c r="P2" s="187"/>
      <c r="Q2" s="187"/>
      <c r="R2" s="186"/>
    </row>
    <row r="3" spans="1:18" ht="20.100000000000001" customHeight="1">
      <c r="A3" s="2" t="str">
        <f>[1]底稿目录!$A$2</f>
        <v>被审计单位：</v>
      </c>
      <c r="B3" s="2"/>
      <c r="C3" s="2"/>
      <c r="D3" s="2"/>
      <c r="E3" s="2"/>
      <c r="G3" s="2"/>
      <c r="H3" s="2" t="str">
        <f>[1]底稿目录!$A$4</f>
        <v>编制人：</v>
      </c>
      <c r="I3" s="2"/>
      <c r="J3" s="2"/>
      <c r="L3" s="2"/>
      <c r="M3" s="2" t="str">
        <f>[1]底稿目录!$A$5</f>
        <v>编制日期：</v>
      </c>
      <c r="N3" s="2"/>
      <c r="O3" s="2"/>
      <c r="Q3" s="3" t="s">
        <v>2</v>
      </c>
      <c r="R3" s="4" t="s">
        <v>354</v>
      </c>
    </row>
    <row r="4" spans="1:18" ht="20.100000000000001" customHeight="1">
      <c r="A4" s="2" t="str">
        <f>[1]底稿目录!$A$3</f>
        <v>会计期间：202X年度</v>
      </c>
      <c r="B4" s="2"/>
      <c r="C4" s="2"/>
      <c r="D4" s="2"/>
      <c r="E4" s="2"/>
      <c r="G4" s="2"/>
      <c r="H4" s="2" t="str">
        <f>[1]底稿目录!$A$6</f>
        <v>复核人：</v>
      </c>
      <c r="I4" s="2"/>
      <c r="J4" s="2"/>
      <c r="L4" s="2"/>
      <c r="M4" s="2" t="str">
        <f>[1]底稿目录!$A$7</f>
        <v>复核日期：</v>
      </c>
      <c r="N4" s="2"/>
      <c r="O4" s="2"/>
      <c r="Q4" s="3" t="s">
        <v>3</v>
      </c>
      <c r="R4" s="2"/>
    </row>
    <row r="5" spans="1:18" ht="20.100000000000001" customHeight="1">
      <c r="A5" s="5" t="s">
        <v>4</v>
      </c>
      <c r="B5" s="2"/>
      <c r="C5" s="2"/>
      <c r="D5" s="2"/>
      <c r="E5" s="2"/>
      <c r="F5" s="2"/>
      <c r="G5" s="2"/>
      <c r="H5" s="2"/>
      <c r="I5" s="2"/>
      <c r="J5" s="2"/>
      <c r="K5" s="2"/>
      <c r="L5" s="2"/>
      <c r="M5" s="2"/>
      <c r="N5" s="2"/>
      <c r="O5" s="2"/>
      <c r="P5" s="3"/>
      <c r="Q5" s="2"/>
    </row>
    <row r="6" spans="1:18" ht="20.100000000000001" customHeight="1">
      <c r="A6" s="6" t="s">
        <v>5</v>
      </c>
      <c r="B6" s="2"/>
      <c r="C6" s="2"/>
      <c r="D6" s="2"/>
      <c r="E6" s="2"/>
      <c r="F6" s="2"/>
      <c r="G6" s="2"/>
      <c r="H6" s="2"/>
      <c r="I6" s="2"/>
      <c r="J6" s="2"/>
      <c r="K6" s="2"/>
      <c r="L6" s="2"/>
      <c r="M6" s="3"/>
      <c r="N6" s="3"/>
      <c r="O6" s="3"/>
      <c r="P6" s="3"/>
      <c r="Q6" s="2"/>
    </row>
    <row r="7" spans="1:18" ht="20.100000000000001" customHeight="1">
      <c r="A7" s="7" t="s">
        <v>6</v>
      </c>
      <c r="B7" s="2"/>
      <c r="C7" s="2"/>
      <c r="D7" s="2"/>
      <c r="E7" s="2"/>
      <c r="F7" s="2"/>
      <c r="G7" s="2"/>
      <c r="H7" s="2"/>
      <c r="I7" s="2"/>
      <c r="J7" s="2"/>
      <c r="K7" s="2"/>
      <c r="L7" s="2"/>
      <c r="M7" s="3"/>
      <c r="N7" s="3"/>
      <c r="O7" s="3"/>
      <c r="P7" s="3"/>
      <c r="Q7" s="2"/>
    </row>
    <row r="8" spans="1:18" s="11" customFormat="1" ht="20.100000000000001" customHeight="1">
      <c r="A8" s="8" t="s">
        <v>7</v>
      </c>
      <c r="B8" s="9"/>
      <c r="C8" s="9"/>
      <c r="D8" s="9"/>
      <c r="E8" s="9"/>
      <c r="F8" s="9"/>
      <c r="G8" s="9"/>
      <c r="H8" s="9"/>
      <c r="I8" s="9"/>
      <c r="J8" s="9"/>
      <c r="K8" s="9"/>
      <c r="L8" s="9"/>
      <c r="M8" s="3"/>
      <c r="N8" s="3"/>
      <c r="O8" s="3"/>
      <c r="P8" s="10"/>
      <c r="Q8" s="9"/>
    </row>
    <row r="9" spans="1:18" s="11" customFormat="1" ht="20.100000000000001" customHeight="1">
      <c r="A9" s="8" t="s">
        <v>8</v>
      </c>
      <c r="B9" s="9"/>
      <c r="C9" s="9"/>
      <c r="D9" s="9"/>
      <c r="E9" s="9"/>
      <c r="F9" s="9"/>
      <c r="G9" s="9"/>
      <c r="H9" s="9"/>
      <c r="I9" s="9"/>
      <c r="J9" s="9"/>
      <c r="K9" s="9"/>
      <c r="L9" s="9"/>
      <c r="M9" s="9"/>
      <c r="N9" s="9"/>
      <c r="O9" s="9"/>
      <c r="P9" s="10"/>
      <c r="Q9" s="9"/>
    </row>
    <row r="10" spans="1:18" s="11" customFormat="1" ht="20.100000000000001" customHeight="1">
      <c r="A10" s="8" t="s">
        <v>9</v>
      </c>
      <c r="B10" s="9"/>
      <c r="C10" s="9"/>
      <c r="D10" s="9"/>
      <c r="E10" s="9"/>
      <c r="F10" s="9"/>
      <c r="G10" s="9"/>
      <c r="H10" s="9"/>
      <c r="I10" s="9"/>
      <c r="J10" s="9"/>
      <c r="K10" s="9"/>
      <c r="L10" s="9"/>
      <c r="M10" s="9"/>
      <c r="N10" s="9"/>
      <c r="O10" s="9"/>
      <c r="P10" s="10"/>
      <c r="Q10" s="9"/>
    </row>
    <row r="11" spans="1:18" s="11" customFormat="1" ht="20.100000000000001" customHeight="1">
      <c r="A11" s="8" t="s">
        <v>10</v>
      </c>
      <c r="B11" s="12"/>
      <c r="C11" s="12"/>
      <c r="D11" s="12"/>
      <c r="E11" s="12"/>
      <c r="F11" s="12"/>
      <c r="G11" s="12"/>
      <c r="H11" s="12"/>
      <c r="I11" s="12"/>
      <c r="J11" s="12"/>
      <c r="K11" s="12"/>
      <c r="L11" s="12"/>
      <c r="M11" s="12"/>
      <c r="N11" s="12"/>
      <c r="O11" s="12"/>
      <c r="P11" s="13"/>
      <c r="Q11" s="12"/>
    </row>
    <row r="12" spans="1:18" s="11" customFormat="1" ht="20.100000000000001" customHeight="1">
      <c r="A12" s="8" t="s">
        <v>11</v>
      </c>
      <c r="B12" s="12"/>
      <c r="C12" s="12"/>
      <c r="D12" s="12"/>
      <c r="E12" s="12"/>
      <c r="F12" s="8" t="s">
        <v>12</v>
      </c>
      <c r="G12" s="12"/>
      <c r="H12" s="12"/>
      <c r="J12" s="12"/>
      <c r="K12" s="12"/>
      <c r="L12" s="12"/>
      <c r="M12" s="12"/>
      <c r="N12" s="12"/>
      <c r="O12" s="12"/>
      <c r="P12" s="13"/>
      <c r="Q12" s="12"/>
    </row>
    <row r="13" spans="1:18" ht="20.100000000000001" customHeight="1">
      <c r="A13" s="14" t="s">
        <v>13</v>
      </c>
      <c r="B13" s="15"/>
      <c r="C13" s="15"/>
      <c r="D13" s="15"/>
      <c r="E13" s="15"/>
      <c r="F13" s="15"/>
      <c r="G13" s="15"/>
      <c r="H13" s="15"/>
      <c r="I13" s="15"/>
      <c r="J13" s="15"/>
      <c r="K13" s="16"/>
      <c r="L13" s="15"/>
      <c r="M13" s="15"/>
      <c r="N13" s="15"/>
      <c r="O13" s="15"/>
      <c r="P13" s="15"/>
      <c r="Q13" s="15"/>
      <c r="R13" s="15"/>
    </row>
    <row r="14" spans="1:18" ht="20.100000000000001" customHeight="1">
      <c r="A14" s="14" t="s">
        <v>14</v>
      </c>
      <c r="B14" s="15"/>
      <c r="C14" s="15"/>
      <c r="D14" s="15"/>
      <c r="E14" s="15"/>
      <c r="F14" s="15"/>
      <c r="G14" s="15"/>
      <c r="H14" s="15"/>
      <c r="I14" s="15"/>
      <c r="J14" s="15"/>
      <c r="K14" s="16"/>
      <c r="L14" s="15"/>
      <c r="M14" s="15"/>
      <c r="N14" s="15"/>
      <c r="O14" s="15"/>
      <c r="P14" s="15"/>
      <c r="Q14" s="15"/>
      <c r="R14" s="15"/>
    </row>
    <row r="15" spans="1:18" ht="20.100000000000001" customHeight="1">
      <c r="A15" s="183" t="s">
        <v>15</v>
      </c>
      <c r="B15" s="183" t="s">
        <v>16</v>
      </c>
      <c r="C15" s="183" t="s">
        <v>17</v>
      </c>
      <c r="D15" s="183"/>
      <c r="E15" s="183"/>
      <c r="F15" s="183"/>
      <c r="G15" s="183"/>
      <c r="H15" s="183"/>
      <c r="I15" s="183"/>
      <c r="J15" s="183"/>
      <c r="K15" s="183" t="s">
        <v>18</v>
      </c>
      <c r="L15" s="183"/>
      <c r="M15" s="183"/>
      <c r="N15" s="183"/>
      <c r="O15" s="183"/>
      <c r="P15" s="183"/>
      <c r="Q15" s="183"/>
      <c r="R15" s="183"/>
    </row>
    <row r="16" spans="1:18" ht="20.100000000000001" customHeight="1">
      <c r="A16" s="183"/>
      <c r="B16" s="183"/>
      <c r="C16" s="17" t="s">
        <v>19</v>
      </c>
      <c r="D16" s="17" t="s">
        <v>20</v>
      </c>
      <c r="E16" s="17" t="s">
        <v>21</v>
      </c>
      <c r="F16" s="17" t="s">
        <v>22</v>
      </c>
      <c r="G16" s="17" t="s">
        <v>23</v>
      </c>
      <c r="H16" s="17" t="s">
        <v>24</v>
      </c>
      <c r="I16" s="17" t="s">
        <v>25</v>
      </c>
      <c r="J16" s="17" t="s">
        <v>26</v>
      </c>
      <c r="K16" s="18" t="s">
        <v>19</v>
      </c>
      <c r="L16" s="17" t="s">
        <v>27</v>
      </c>
      <c r="M16" s="17" t="s">
        <v>21</v>
      </c>
      <c r="N16" s="17" t="s">
        <v>28</v>
      </c>
      <c r="O16" s="17" t="s">
        <v>23</v>
      </c>
      <c r="P16" s="17" t="s">
        <v>29</v>
      </c>
      <c r="Q16" s="17" t="s">
        <v>25</v>
      </c>
      <c r="R16" s="17" t="s">
        <v>26</v>
      </c>
    </row>
    <row r="17" spans="1:18" ht="20.100000000000001" customHeight="1">
      <c r="A17" s="19" t="s">
        <v>30</v>
      </c>
      <c r="B17" s="19" t="s">
        <v>31</v>
      </c>
      <c r="C17" s="20" t="s">
        <v>32</v>
      </c>
      <c r="D17" s="21">
        <v>17648669.300000001</v>
      </c>
      <c r="E17" s="22">
        <f t="shared" ref="E17:E26" si="0">IFERROR(F17/D17,0)</f>
        <v>20.500291926258718</v>
      </c>
      <c r="F17" s="21">
        <v>361802872.76000011</v>
      </c>
      <c r="G17" s="22">
        <f t="shared" ref="G17:G26" si="1">IFERROR(H17/D17,0)</f>
        <v>17.073907531820534</v>
      </c>
      <c r="H17" s="21">
        <v>301331747.68787986</v>
      </c>
      <c r="I17" s="23">
        <f t="shared" ref="I17:I26" si="2">F17-H17</f>
        <v>60471125.072120249</v>
      </c>
      <c r="J17" s="24">
        <f t="shared" ref="J17:J26" si="3">IF(F17=0,0,I17/F17)</f>
        <v>0.16713832206698212</v>
      </c>
      <c r="K17" s="21" t="s">
        <v>32</v>
      </c>
      <c r="L17" s="21">
        <v>5481036.5</v>
      </c>
      <c r="M17" s="23">
        <f t="shared" ref="M17:M26" si="4">IFERROR(N17/L17,0)</f>
        <v>19.98304632527077</v>
      </c>
      <c r="N17" s="21">
        <v>109527806.28999996</v>
      </c>
      <c r="O17" s="23">
        <f t="shared" ref="O17:O26" si="5">IFERROR(P17/L17,0)</f>
        <v>17.112848954755197</v>
      </c>
      <c r="P17" s="21">
        <v>93796149.740000084</v>
      </c>
      <c r="Q17" s="23">
        <f t="shared" ref="Q17:Q26" si="6">N17-P17</f>
        <v>15731656.549999878</v>
      </c>
      <c r="R17" s="24">
        <f t="shared" ref="R17:R26" si="7">IF(N17=0,0,Q17/N17)</f>
        <v>0.1436316227163969</v>
      </c>
    </row>
    <row r="18" spans="1:18" ht="20.100000000000001" customHeight="1">
      <c r="A18" s="19" t="s">
        <v>33</v>
      </c>
      <c r="B18" s="19" t="s">
        <v>31</v>
      </c>
      <c r="C18" s="20" t="s">
        <v>32</v>
      </c>
      <c r="D18" s="21">
        <v>26447515</v>
      </c>
      <c r="E18" s="22">
        <f t="shared" si="0"/>
        <v>25.804503761128412</v>
      </c>
      <c r="F18" s="21">
        <v>682465000.29000008</v>
      </c>
      <c r="G18" s="22">
        <f t="shared" si="1"/>
        <v>15.625036187331787</v>
      </c>
      <c r="H18" s="21">
        <v>413243378.94000024</v>
      </c>
      <c r="I18" s="23">
        <f t="shared" si="2"/>
        <v>269221621.34999985</v>
      </c>
      <c r="J18" s="24">
        <f t="shared" si="3"/>
        <v>0.39448414385440927</v>
      </c>
      <c r="K18" s="21" t="s">
        <v>34</v>
      </c>
      <c r="L18" s="21">
        <v>22989950</v>
      </c>
      <c r="M18" s="23">
        <f t="shared" si="4"/>
        <v>29.632352606682492</v>
      </c>
      <c r="N18" s="21">
        <v>681246304.81000018</v>
      </c>
      <c r="O18" s="23">
        <f t="shared" si="5"/>
        <v>16.618693113730135</v>
      </c>
      <c r="P18" s="21">
        <v>382062923.75000012</v>
      </c>
      <c r="Q18" s="23">
        <f t="shared" si="6"/>
        <v>299183381.06000006</v>
      </c>
      <c r="R18" s="24">
        <f t="shared" si="7"/>
        <v>0.43917064789575982</v>
      </c>
    </row>
    <row r="19" spans="1:18" ht="20.100000000000001" customHeight="1">
      <c r="A19" s="19" t="s">
        <v>35</v>
      </c>
      <c r="B19" s="19" t="s">
        <v>36</v>
      </c>
      <c r="C19" s="20" t="s">
        <v>37</v>
      </c>
      <c r="D19" s="21">
        <v>13901504</v>
      </c>
      <c r="E19" s="22">
        <f t="shared" si="0"/>
        <v>4.2901319929124204</v>
      </c>
      <c r="F19" s="21">
        <v>59639287.05999998</v>
      </c>
      <c r="G19" s="22">
        <f t="shared" si="1"/>
        <v>3.8155124380786418</v>
      </c>
      <c r="H19" s="21">
        <v>53041361.419999994</v>
      </c>
      <c r="I19" s="23">
        <f t="shared" si="2"/>
        <v>6597925.6399999857</v>
      </c>
      <c r="J19" s="24">
        <f t="shared" si="3"/>
        <v>0.11063052503230222</v>
      </c>
      <c r="K19" s="21" t="s">
        <v>32</v>
      </c>
      <c r="L19" s="21">
        <v>28685843.600000001</v>
      </c>
      <c r="M19" s="23">
        <f t="shared" si="4"/>
        <v>3.7716922280089422</v>
      </c>
      <c r="N19" s="21">
        <v>108194173.36000006</v>
      </c>
      <c r="O19" s="23">
        <f t="shared" si="5"/>
        <v>3.4433922748571315</v>
      </c>
      <c r="P19" s="21">
        <v>98776612.249999896</v>
      </c>
      <c r="Q19" s="23">
        <f t="shared" si="6"/>
        <v>9417561.1100001633</v>
      </c>
      <c r="R19" s="24">
        <f t="shared" si="7"/>
        <v>8.7043144908225567E-2</v>
      </c>
    </row>
    <row r="20" spans="1:18" ht="20.100000000000001" customHeight="1">
      <c r="A20" s="19" t="s">
        <v>38</v>
      </c>
      <c r="B20" s="19" t="s">
        <v>31</v>
      </c>
      <c r="C20" s="20" t="s">
        <v>34</v>
      </c>
      <c r="D20" s="21">
        <v>2893621.5000000214</v>
      </c>
      <c r="E20" s="22">
        <f t="shared" si="0"/>
        <v>12.531499786686002</v>
      </c>
      <c r="F20" s="21">
        <v>36261417.210000299</v>
      </c>
      <c r="G20" s="22">
        <f t="shared" si="1"/>
        <v>19.566287651401158</v>
      </c>
      <c r="H20" s="21">
        <v>56617430.623279318</v>
      </c>
      <c r="I20" s="23">
        <f t="shared" si="2"/>
        <v>-20356013.413279019</v>
      </c>
      <c r="J20" s="24">
        <f t="shared" si="3"/>
        <v>-0.56136839041319009</v>
      </c>
      <c r="K20" s="21" t="s">
        <v>32</v>
      </c>
      <c r="L20" s="21">
        <v>2110131</v>
      </c>
      <c r="M20" s="23">
        <f t="shared" si="4"/>
        <v>10.95754389182472</v>
      </c>
      <c r="N20" s="21">
        <v>23121853.04999999</v>
      </c>
      <c r="O20" s="23">
        <f t="shared" si="5"/>
        <v>11.844569588333625</v>
      </c>
      <c r="P20" s="21">
        <v>24993593.470000021</v>
      </c>
      <c r="Q20" s="23">
        <f t="shared" si="6"/>
        <v>-1871740.4200000316</v>
      </c>
      <c r="R20" s="24">
        <f t="shared" si="7"/>
        <v>-8.0951142451795507E-2</v>
      </c>
    </row>
    <row r="21" spans="1:18" ht="20.100000000000001" customHeight="1">
      <c r="A21" s="19" t="s">
        <v>39</v>
      </c>
      <c r="B21" s="19" t="s">
        <v>40</v>
      </c>
      <c r="C21" s="20" t="s">
        <v>32</v>
      </c>
      <c r="D21" s="21">
        <v>816.65</v>
      </c>
      <c r="E21" s="22">
        <f t="shared" si="0"/>
        <v>460.80022041266147</v>
      </c>
      <c r="F21" s="21">
        <v>376312.5</v>
      </c>
      <c r="G21" s="22">
        <f t="shared" si="1"/>
        <v>753.0598910181842</v>
      </c>
      <c r="H21" s="21">
        <v>614986.3600000001</v>
      </c>
      <c r="I21" s="23">
        <f t="shared" si="2"/>
        <v>-238673.8600000001</v>
      </c>
      <c r="J21" s="24">
        <f t="shared" si="3"/>
        <v>-0.63424377345955851</v>
      </c>
      <c r="K21" s="21" t="s">
        <v>32</v>
      </c>
      <c r="L21" s="21">
        <v>1784.25</v>
      </c>
      <c r="M21" s="23">
        <f t="shared" si="4"/>
        <v>522.70421745831584</v>
      </c>
      <c r="N21" s="21">
        <v>932635</v>
      </c>
      <c r="O21" s="23">
        <f t="shared" si="5"/>
        <v>628.49036289757612</v>
      </c>
      <c r="P21" s="21">
        <v>1121383.9300000002</v>
      </c>
      <c r="Q21" s="23">
        <f t="shared" si="6"/>
        <v>-188748.93000000017</v>
      </c>
      <c r="R21" s="24">
        <f t="shared" si="7"/>
        <v>-0.20238242184777558</v>
      </c>
    </row>
    <row r="22" spans="1:18" ht="20.100000000000001" customHeight="1">
      <c r="A22" s="19" t="s">
        <v>41</v>
      </c>
      <c r="B22" s="19" t="s">
        <v>31</v>
      </c>
      <c r="C22" s="20" t="s">
        <v>34</v>
      </c>
      <c r="D22" s="21">
        <v>1951940.9999999993</v>
      </c>
      <c r="E22" s="22">
        <f t="shared" si="0"/>
        <v>34.312495044676062</v>
      </c>
      <c r="F22" s="21">
        <v>66975965.890000008</v>
      </c>
      <c r="G22" s="22">
        <f t="shared" si="1"/>
        <v>31.272513468260232</v>
      </c>
      <c r="H22" s="21">
        <v>61042101.211749323</v>
      </c>
      <c r="I22" s="23">
        <f t="shared" si="2"/>
        <v>5933864.6782506853</v>
      </c>
      <c r="J22" s="24">
        <f t="shared" si="3"/>
        <v>8.8596925768810064E-2</v>
      </c>
      <c r="K22" s="21" t="s">
        <v>32</v>
      </c>
      <c r="L22" s="21">
        <v>1384317.5</v>
      </c>
      <c r="M22" s="23">
        <f t="shared" si="4"/>
        <v>57.988744272899822</v>
      </c>
      <c r="N22" s="21">
        <v>80274833.5</v>
      </c>
      <c r="O22" s="23">
        <f t="shared" si="5"/>
        <v>29.591619075826202</v>
      </c>
      <c r="P22" s="21">
        <v>40964196.140000038</v>
      </c>
      <c r="Q22" s="23">
        <f t="shared" si="6"/>
        <v>39310637.359999962</v>
      </c>
      <c r="R22" s="24">
        <f t="shared" si="7"/>
        <v>0.48970064023863669</v>
      </c>
    </row>
    <row r="23" spans="1:18" ht="20.100000000000001" customHeight="1">
      <c r="A23" s="19" t="s">
        <v>42</v>
      </c>
      <c r="B23" s="19" t="s">
        <v>31</v>
      </c>
      <c r="C23" s="20" t="s">
        <v>32</v>
      </c>
      <c r="D23" s="21">
        <v>310909</v>
      </c>
      <c r="E23" s="22">
        <f t="shared" si="0"/>
        <v>28.865648469487859</v>
      </c>
      <c r="F23" s="21">
        <v>8974589.9000000004</v>
      </c>
      <c r="G23" s="22">
        <f t="shared" si="1"/>
        <v>16.289287853015118</v>
      </c>
      <c r="H23" s="21">
        <v>5064486.197093077</v>
      </c>
      <c r="I23" s="23">
        <f t="shared" si="2"/>
        <v>3910103.7029069234</v>
      </c>
      <c r="J23" s="24">
        <f t="shared" si="3"/>
        <v>0.43568605880330236</v>
      </c>
      <c r="K23" s="21" t="s">
        <v>34</v>
      </c>
      <c r="L23" s="21">
        <v>806841.5</v>
      </c>
      <c r="M23" s="23">
        <f t="shared" si="4"/>
        <v>59.419632021902657</v>
      </c>
      <c r="N23" s="21">
        <v>47942225.029999971</v>
      </c>
      <c r="O23" s="23">
        <f t="shared" si="5"/>
        <v>16.945975361951508</v>
      </c>
      <c r="P23" s="21">
        <v>13672716.179999996</v>
      </c>
      <c r="Q23" s="23">
        <f t="shared" si="6"/>
        <v>34269508.849999979</v>
      </c>
      <c r="R23" s="24">
        <f t="shared" si="7"/>
        <v>0.71480847683969084</v>
      </c>
    </row>
    <row r="24" spans="1:18" ht="20.100000000000001" customHeight="1">
      <c r="A24" s="19" t="s">
        <v>43</v>
      </c>
      <c r="B24" s="19" t="s">
        <v>40</v>
      </c>
      <c r="C24" s="20" t="s">
        <v>44</v>
      </c>
      <c r="D24" s="21">
        <v>422</v>
      </c>
      <c r="E24" s="22">
        <f t="shared" si="0"/>
        <v>44.241706161137444</v>
      </c>
      <c r="F24" s="21">
        <v>18670</v>
      </c>
      <c r="G24" s="22">
        <f t="shared" si="1"/>
        <v>67.986990521327016</v>
      </c>
      <c r="H24" s="21">
        <v>28690.51</v>
      </c>
      <c r="I24" s="23">
        <f t="shared" si="2"/>
        <v>-10020.509999999998</v>
      </c>
      <c r="J24" s="24">
        <f t="shared" si="3"/>
        <v>-0.53671719335832879</v>
      </c>
      <c r="K24" s="21" t="s">
        <v>45</v>
      </c>
      <c r="L24" s="21">
        <v>13773</v>
      </c>
      <c r="M24" s="23">
        <f t="shared" si="4"/>
        <v>34.94547302693676</v>
      </c>
      <c r="N24" s="21">
        <v>481304</v>
      </c>
      <c r="O24" s="23">
        <f t="shared" si="5"/>
        <v>33.613875698831045</v>
      </c>
      <c r="P24" s="21">
        <v>462963.91</v>
      </c>
      <c r="Q24" s="23">
        <f t="shared" si="6"/>
        <v>18340.090000000026</v>
      </c>
      <c r="R24" s="24">
        <f t="shared" si="7"/>
        <v>3.8105002243904111E-2</v>
      </c>
    </row>
    <row r="25" spans="1:18" ht="20.100000000000001" customHeight="1">
      <c r="A25" s="19" t="s">
        <v>46</v>
      </c>
      <c r="B25" s="19" t="s">
        <v>40</v>
      </c>
      <c r="C25" s="20" t="s">
        <v>47</v>
      </c>
      <c r="D25" s="21">
        <v>1</v>
      </c>
      <c r="E25" s="22">
        <f>IFERROR(F25/D25,0)</f>
        <v>152380.96000000002</v>
      </c>
      <c r="F25" s="21">
        <v>152380.96000000002</v>
      </c>
      <c r="G25" s="22">
        <f t="shared" si="1"/>
        <v>164610.13999999996</v>
      </c>
      <c r="H25" s="21">
        <v>164610.13999999996</v>
      </c>
      <c r="I25" s="23">
        <f t="shared" si="2"/>
        <v>-12229.179999999935</v>
      </c>
      <c r="J25" s="24">
        <f t="shared" si="3"/>
        <v>-8.025398973730008E-2</v>
      </c>
      <c r="K25" s="21" t="s">
        <v>47</v>
      </c>
      <c r="L25" s="21">
        <v>1</v>
      </c>
      <c r="M25" s="23">
        <f t="shared" si="4"/>
        <v>91743.12</v>
      </c>
      <c r="N25" s="21">
        <v>91743.12</v>
      </c>
      <c r="O25" s="23">
        <f t="shared" si="5"/>
        <v>164726.04000000004</v>
      </c>
      <c r="P25" s="21">
        <v>164726.04000000004</v>
      </c>
      <c r="Q25" s="23">
        <f t="shared" si="6"/>
        <v>-72982.920000000042</v>
      </c>
      <c r="R25" s="24">
        <f t="shared" si="7"/>
        <v>-0.79551382163588991</v>
      </c>
    </row>
    <row r="26" spans="1:18" ht="20.100000000000001" customHeight="1">
      <c r="A26" s="19" t="s">
        <v>48</v>
      </c>
      <c r="B26" s="19" t="s">
        <v>40</v>
      </c>
      <c r="C26" s="20" t="s">
        <v>49</v>
      </c>
      <c r="D26" s="21">
        <v>642.5</v>
      </c>
      <c r="E26" s="22">
        <f t="shared" si="0"/>
        <v>176.19852140077822</v>
      </c>
      <c r="F26" s="21">
        <v>113207.55</v>
      </c>
      <c r="G26" s="22">
        <f t="shared" si="1"/>
        <v>40.866723735408556</v>
      </c>
      <c r="H26" s="21">
        <v>26256.87</v>
      </c>
      <c r="I26" s="23">
        <f t="shared" si="2"/>
        <v>86950.680000000008</v>
      </c>
      <c r="J26" s="24">
        <f t="shared" si="3"/>
        <v>0.76806432079839204</v>
      </c>
      <c r="K26" s="21" t="s">
        <v>47</v>
      </c>
      <c r="L26" s="21">
        <v>0</v>
      </c>
      <c r="M26" s="23">
        <f t="shared" si="4"/>
        <v>0</v>
      </c>
      <c r="N26" s="21">
        <v>30220</v>
      </c>
      <c r="O26" s="23">
        <f t="shared" si="5"/>
        <v>0</v>
      </c>
      <c r="P26" s="21"/>
      <c r="Q26" s="23">
        <f t="shared" si="6"/>
        <v>30220</v>
      </c>
      <c r="R26" s="24">
        <f t="shared" si="7"/>
        <v>1</v>
      </c>
    </row>
    <row r="27" spans="1:18" ht="20.100000000000001" customHeight="1">
      <c r="A27" s="179" t="s">
        <v>50</v>
      </c>
      <c r="B27" s="182"/>
      <c r="C27" s="180"/>
      <c r="D27" s="23">
        <f>SUM(D17:D26)</f>
        <v>63156041.950000018</v>
      </c>
      <c r="E27" s="23"/>
      <c r="F27" s="23">
        <f>SUM(F17:F26)</f>
        <v>1216779704.1200006</v>
      </c>
      <c r="G27" s="23"/>
      <c r="H27" s="23">
        <f>SUM(H17:H26)</f>
        <v>891175049.96000183</v>
      </c>
      <c r="I27" s="23">
        <f>SUM(I17:I26)</f>
        <v>325604654.15999866</v>
      </c>
      <c r="J27" s="24">
        <f>(F27-H27)/F27</f>
        <v>0.267595402074431</v>
      </c>
      <c r="K27" s="23"/>
      <c r="L27" s="23">
        <f>SUM(L17:L26)</f>
        <v>61473678.350000001</v>
      </c>
      <c r="M27" s="23"/>
      <c r="N27" s="23">
        <f>SUM(N17:N26)</f>
        <v>1051843098.1600001</v>
      </c>
      <c r="O27" s="23"/>
      <c r="P27" s="23">
        <f>SUM(P17:P26)</f>
        <v>656015265.40999997</v>
      </c>
      <c r="Q27" s="23">
        <f>SUM(Q17:Q26)</f>
        <v>395827832.75</v>
      </c>
      <c r="R27" s="24">
        <f>(N27-P27)/N27</f>
        <v>0.37631832489315736</v>
      </c>
    </row>
    <row r="28" spans="1:18" ht="20.100000000000001" customHeight="1">
      <c r="A28" s="19"/>
      <c r="C28" s="20"/>
      <c r="D28" s="21"/>
      <c r="E28" s="19" t="s">
        <v>51</v>
      </c>
      <c r="F28" s="21">
        <v>1216779704.1200001</v>
      </c>
      <c r="G28" s="21"/>
      <c r="H28" s="21">
        <v>891175049.95999992</v>
      </c>
      <c r="I28" s="21"/>
      <c r="J28" s="21"/>
      <c r="K28" s="25"/>
      <c r="L28" s="21"/>
      <c r="M28" s="21"/>
      <c r="N28" s="21">
        <v>1051843098.1600003</v>
      </c>
      <c r="O28" s="21"/>
      <c r="P28" s="21">
        <v>656015265.41000032</v>
      </c>
      <c r="Q28" s="21"/>
      <c r="R28" s="20"/>
    </row>
    <row r="29" spans="1:18" ht="20.100000000000001" customHeight="1">
      <c r="A29" s="19"/>
      <c r="B29" s="19"/>
      <c r="C29" s="20"/>
      <c r="D29" s="21"/>
      <c r="E29" s="19" t="s">
        <v>52</v>
      </c>
      <c r="F29" s="21">
        <f>F27-F28</f>
        <v>0</v>
      </c>
      <c r="G29" s="21"/>
      <c r="H29" s="21">
        <f>H27-H28</f>
        <v>1.9073486328125E-6</v>
      </c>
      <c r="I29" s="21"/>
      <c r="J29" s="21"/>
      <c r="K29" s="25"/>
      <c r="L29" s="21"/>
      <c r="M29" s="21"/>
      <c r="N29" s="21">
        <f>N27-N28</f>
        <v>0</v>
      </c>
      <c r="O29" s="21"/>
      <c r="P29" s="21">
        <f>P27-P28</f>
        <v>0</v>
      </c>
      <c r="Q29" s="21"/>
      <c r="R29" s="20"/>
    </row>
    <row r="30" spans="1:18" ht="20.100000000000001" customHeight="1">
      <c r="A30" s="19"/>
      <c r="B30" s="19"/>
      <c r="C30" s="20"/>
      <c r="D30" s="21"/>
      <c r="E30" s="21"/>
      <c r="G30" s="21"/>
      <c r="H30" s="21"/>
      <c r="I30" s="26" t="s">
        <v>53</v>
      </c>
      <c r="J30" s="23">
        <f>J27-R27</f>
        <v>-0.10872292281872636</v>
      </c>
      <c r="K30" s="25"/>
      <c r="L30" s="21"/>
      <c r="M30" s="21"/>
      <c r="O30" s="21"/>
      <c r="P30" s="21"/>
      <c r="Q30" s="21"/>
      <c r="R30" s="20"/>
    </row>
    <row r="31" spans="1:18" ht="20.100000000000001" customHeight="1">
      <c r="A31" s="14" t="s">
        <v>54</v>
      </c>
      <c r="B31" s="15"/>
      <c r="C31" s="15"/>
      <c r="D31" s="15"/>
      <c r="E31" s="15" t="s">
        <v>55</v>
      </c>
      <c r="F31" s="21">
        <v>10000</v>
      </c>
      <c r="G31" s="15"/>
      <c r="H31" s="15"/>
      <c r="I31" s="15"/>
      <c r="J31" s="15"/>
      <c r="K31" s="16"/>
      <c r="L31" s="15"/>
      <c r="M31" s="15"/>
      <c r="N31" s="21">
        <v>10000</v>
      </c>
      <c r="O31" s="15"/>
      <c r="P31" s="15"/>
      <c r="Q31" s="15"/>
      <c r="R31" s="15"/>
    </row>
    <row r="32" spans="1:18" ht="20.100000000000001" customHeight="1">
      <c r="A32" s="183" t="s">
        <v>15</v>
      </c>
      <c r="B32" s="183" t="s">
        <v>56</v>
      </c>
      <c r="C32" s="183" t="s">
        <v>57</v>
      </c>
      <c r="D32" s="183"/>
      <c r="E32" s="183"/>
      <c r="F32" s="183"/>
      <c r="G32" s="183" t="s">
        <v>58</v>
      </c>
      <c r="H32" s="183"/>
      <c r="I32" s="183"/>
      <c r="J32" s="183"/>
      <c r="K32" s="184" t="s">
        <v>59</v>
      </c>
      <c r="L32" s="15"/>
      <c r="M32" s="15"/>
      <c r="N32" s="15"/>
      <c r="O32" s="15"/>
      <c r="P32" s="15"/>
      <c r="Q32" s="15"/>
      <c r="R32" s="15"/>
    </row>
    <row r="33" spans="1:18" ht="20.100000000000001" customHeight="1">
      <c r="A33" s="183"/>
      <c r="B33" s="183"/>
      <c r="C33" s="17" t="s">
        <v>60</v>
      </c>
      <c r="D33" s="17" t="s">
        <v>61</v>
      </c>
      <c r="E33" s="17" t="s">
        <v>62</v>
      </c>
      <c r="F33" s="17" t="s">
        <v>63</v>
      </c>
      <c r="G33" s="17" t="s">
        <v>64</v>
      </c>
      <c r="H33" s="17" t="s">
        <v>61</v>
      </c>
      <c r="I33" s="17" t="s">
        <v>62</v>
      </c>
      <c r="J33" s="17" t="s">
        <v>63</v>
      </c>
      <c r="K33" s="184"/>
      <c r="L33" s="15"/>
      <c r="M33" s="15"/>
      <c r="N33" s="15"/>
      <c r="O33" s="15"/>
      <c r="P33" s="15"/>
      <c r="Q33" s="15"/>
      <c r="R33" s="15"/>
    </row>
    <row r="34" spans="1:18" ht="20.100000000000001" customHeight="1">
      <c r="A34" s="19" t="str">
        <f t="shared" ref="A34:B43" si="8">A17</f>
        <v>产品名称1</v>
      </c>
      <c r="B34" s="19" t="str">
        <f t="shared" si="8"/>
        <v>产品类别A</v>
      </c>
      <c r="C34" s="23">
        <f t="shared" ref="C34:C43" si="9">F17/($F$27/$F$31)</f>
        <v>2973.4459864422474</v>
      </c>
      <c r="D34" s="23">
        <f t="shared" ref="D34:D43" si="10">IFERROR(H17/D17,0)</f>
        <v>17.073907531820534</v>
      </c>
      <c r="E34" s="23">
        <f t="shared" ref="E34:E43" si="11">H17/($F$27/$F$31)</f>
        <v>2476.4692135114879</v>
      </c>
      <c r="F34" s="23">
        <f t="shared" ref="F34:F43" si="12">C34-E34</f>
        <v>496.97677293075958</v>
      </c>
      <c r="G34" s="23">
        <f t="shared" ref="G34:G43" si="13">N17/($N$27/$N$31)</f>
        <v>1041.2941481633343</v>
      </c>
      <c r="H34" s="23">
        <f t="shared" ref="H34:H43" si="14">IFERROR(P17/L17,0)</f>
        <v>17.112848954755197</v>
      </c>
      <c r="I34" s="23">
        <f t="shared" ref="I34:I43" si="15">P17/($N$27/$N$31)</f>
        <v>891.73137993754631</v>
      </c>
      <c r="J34" s="23">
        <f t="shared" ref="J34:J43" si="16">G34-I34</f>
        <v>149.56276822578798</v>
      </c>
      <c r="K34" s="27">
        <f t="shared" ref="K34:K43" si="17">(F34-J34) /10000</f>
        <v>3.4741400470497161E-2</v>
      </c>
      <c r="L34" s="15"/>
      <c r="M34" s="15"/>
      <c r="N34" s="15"/>
      <c r="O34" s="15"/>
      <c r="P34" s="15"/>
      <c r="Q34" s="15"/>
      <c r="R34" s="15"/>
    </row>
    <row r="35" spans="1:18" ht="20.100000000000001" customHeight="1">
      <c r="A35" s="19" t="str">
        <f t="shared" si="8"/>
        <v>产品名称2</v>
      </c>
      <c r="B35" s="19" t="str">
        <f t="shared" si="8"/>
        <v>产品类别A</v>
      </c>
      <c r="C35" s="23">
        <f t="shared" si="9"/>
        <v>5608.7802745162689</v>
      </c>
      <c r="D35" s="23">
        <f t="shared" si="10"/>
        <v>15.625036187331787</v>
      </c>
      <c r="E35" s="23">
        <f t="shared" si="11"/>
        <v>3396.2053898562199</v>
      </c>
      <c r="F35" s="23">
        <f t="shared" si="12"/>
        <v>2212.5748846600491</v>
      </c>
      <c r="G35" s="23">
        <f t="shared" si="13"/>
        <v>6476.6913050217408</v>
      </c>
      <c r="H35" s="23">
        <f t="shared" si="14"/>
        <v>16.618693113730135</v>
      </c>
      <c r="I35" s="23">
        <f t="shared" si="15"/>
        <v>3632.3185883745086</v>
      </c>
      <c r="J35" s="23">
        <f t="shared" si="16"/>
        <v>2844.3727166472322</v>
      </c>
      <c r="K35" s="27">
        <f t="shared" si="17"/>
        <v>-6.3179783198718309E-2</v>
      </c>
      <c r="L35" s="15"/>
      <c r="M35" s="15"/>
      <c r="N35" s="15"/>
      <c r="O35" s="15"/>
      <c r="P35" s="15"/>
      <c r="Q35" s="15"/>
      <c r="R35" s="15"/>
    </row>
    <row r="36" spans="1:18" ht="20.100000000000001" customHeight="1">
      <c r="A36" s="19" t="str">
        <f t="shared" si="8"/>
        <v>产品名称3</v>
      </c>
      <c r="B36" s="19" t="str">
        <f t="shared" si="8"/>
        <v>产品类别B</v>
      </c>
      <c r="C36" s="23">
        <f t="shared" si="9"/>
        <v>490.14038332544595</v>
      </c>
      <c r="D36" s="23">
        <f t="shared" si="10"/>
        <v>3.8155124380786418</v>
      </c>
      <c r="E36" s="23">
        <f t="shared" si="11"/>
        <v>435.91589537861802</v>
      </c>
      <c r="F36" s="23">
        <f t="shared" si="12"/>
        <v>54.224487946827935</v>
      </c>
      <c r="G36" s="23">
        <f t="shared" si="13"/>
        <v>1028.6151380302369</v>
      </c>
      <c r="H36" s="23">
        <f t="shared" si="14"/>
        <v>3.4433922748571315</v>
      </c>
      <c r="I36" s="23">
        <f t="shared" si="15"/>
        <v>939.08124151587663</v>
      </c>
      <c r="J36" s="23">
        <f t="shared" si="16"/>
        <v>89.533896514360322</v>
      </c>
      <c r="K36" s="27">
        <f t="shared" si="17"/>
        <v>-3.5309408567532389E-3</v>
      </c>
      <c r="L36" s="15"/>
      <c r="M36" s="15"/>
      <c r="N36" s="15"/>
      <c r="O36" s="15"/>
      <c r="P36" s="15"/>
      <c r="Q36" s="15"/>
      <c r="R36" s="15"/>
    </row>
    <row r="37" spans="1:18" ht="20.100000000000001" customHeight="1">
      <c r="A37" s="19" t="str">
        <f t="shared" si="8"/>
        <v>产品名称4</v>
      </c>
      <c r="B37" s="19" t="str">
        <f t="shared" si="8"/>
        <v>产品类别A</v>
      </c>
      <c r="C37" s="23">
        <f t="shared" si="9"/>
        <v>298.01135807262074</v>
      </c>
      <c r="D37" s="23">
        <f t="shared" si="10"/>
        <v>19.566287651401158</v>
      </c>
      <c r="E37" s="23">
        <f t="shared" si="11"/>
        <v>465.30551447869669</v>
      </c>
      <c r="F37" s="23">
        <f t="shared" si="12"/>
        <v>-167.29415640607596</v>
      </c>
      <c r="G37" s="23">
        <f t="shared" si="13"/>
        <v>219.8222633247039</v>
      </c>
      <c r="H37" s="23">
        <f t="shared" si="14"/>
        <v>11.844569588333625</v>
      </c>
      <c r="I37" s="23">
        <f t="shared" si="15"/>
        <v>237.61712667717811</v>
      </c>
      <c r="J37" s="23">
        <f t="shared" si="16"/>
        <v>-17.794863352474209</v>
      </c>
      <c r="K37" s="27">
        <f t="shared" si="17"/>
        <v>-1.4949929305360175E-2</v>
      </c>
      <c r="L37" s="15"/>
      <c r="M37" s="15"/>
      <c r="N37" s="15"/>
      <c r="O37" s="15"/>
      <c r="P37" s="15"/>
      <c r="Q37" s="15"/>
      <c r="R37" s="15"/>
    </row>
    <row r="38" spans="1:18" ht="20.100000000000001" customHeight="1">
      <c r="A38" s="19" t="str">
        <f t="shared" si="8"/>
        <v>产品名称5</v>
      </c>
      <c r="B38" s="19" t="str">
        <f t="shared" si="8"/>
        <v>产品类别C</v>
      </c>
      <c r="C38" s="23">
        <f t="shared" si="9"/>
        <v>3.0926921177745705</v>
      </c>
      <c r="D38" s="23">
        <f t="shared" si="10"/>
        <v>753.0598910181842</v>
      </c>
      <c r="E38" s="23">
        <f t="shared" si="11"/>
        <v>5.0542128367005477</v>
      </c>
      <c r="F38" s="23">
        <f t="shared" si="12"/>
        <v>-1.9615207189259771</v>
      </c>
      <c r="G38" s="23">
        <f t="shared" si="13"/>
        <v>8.8666741420984554</v>
      </c>
      <c r="H38" s="23">
        <f t="shared" si="14"/>
        <v>628.49036289757612</v>
      </c>
      <c r="I38" s="23">
        <f t="shared" si="15"/>
        <v>10.661133128711388</v>
      </c>
      <c r="J38" s="23">
        <f t="shared" si="16"/>
        <v>-1.7944589866129323</v>
      </c>
      <c r="K38" s="27">
        <f t="shared" si="17"/>
        <v>-1.6706173231304476E-5</v>
      </c>
      <c r="L38" s="15"/>
      <c r="M38" s="15"/>
      <c r="N38" s="15"/>
      <c r="O38" s="15"/>
      <c r="P38" s="15"/>
      <c r="Q38" s="15"/>
      <c r="R38" s="15"/>
    </row>
    <row r="39" spans="1:18" ht="20.100000000000001" customHeight="1">
      <c r="A39" s="19" t="str">
        <f t="shared" si="8"/>
        <v>产品名称6</v>
      </c>
      <c r="B39" s="19" t="str">
        <f t="shared" si="8"/>
        <v>产品类别A</v>
      </c>
      <c r="C39" s="23">
        <f t="shared" si="9"/>
        <v>550.43625122296373</v>
      </c>
      <c r="D39" s="23">
        <f t="shared" si="10"/>
        <v>31.272513468260232</v>
      </c>
      <c r="E39" s="23">
        <f t="shared" si="11"/>
        <v>501.66929153290073</v>
      </c>
      <c r="F39" s="23">
        <f t="shared" si="12"/>
        <v>48.766959690063004</v>
      </c>
      <c r="G39" s="23">
        <f t="shared" si="13"/>
        <v>763.18258531548656</v>
      </c>
      <c r="H39" s="23">
        <f t="shared" si="14"/>
        <v>29.591619075826202</v>
      </c>
      <c r="I39" s="23">
        <f t="shared" si="15"/>
        <v>389.45158466751485</v>
      </c>
      <c r="J39" s="23">
        <f t="shared" si="16"/>
        <v>373.73100064797171</v>
      </c>
      <c r="K39" s="27">
        <f t="shared" si="17"/>
        <v>-3.2496404095790868E-2</v>
      </c>
      <c r="L39" s="15"/>
      <c r="M39" s="15"/>
      <c r="N39" s="15"/>
      <c r="O39" s="15"/>
      <c r="P39" s="15"/>
      <c r="Q39" s="15"/>
      <c r="R39" s="15"/>
    </row>
    <row r="40" spans="1:18" ht="20.100000000000001" customHeight="1">
      <c r="A40" s="19" t="str">
        <f t="shared" si="8"/>
        <v>产品名称7</v>
      </c>
      <c r="B40" s="19" t="str">
        <f t="shared" si="8"/>
        <v>产品类别A</v>
      </c>
      <c r="C40" s="23">
        <f t="shared" si="9"/>
        <v>73.756900033852915</v>
      </c>
      <c r="D40" s="23">
        <f t="shared" si="10"/>
        <v>16.289287853015118</v>
      </c>
      <c r="E40" s="23">
        <f t="shared" si="11"/>
        <v>41.622046948554377</v>
      </c>
      <c r="F40" s="23">
        <f t="shared" si="12"/>
        <v>32.134853085298538</v>
      </c>
      <c r="G40" s="23">
        <f t="shared" si="13"/>
        <v>455.79255227196717</v>
      </c>
      <c r="H40" s="23">
        <f t="shared" si="14"/>
        <v>16.945975361951508</v>
      </c>
      <c r="I40" s="23">
        <f t="shared" si="15"/>
        <v>129.98817222756719</v>
      </c>
      <c r="J40" s="23">
        <f t="shared" si="16"/>
        <v>325.80438004439998</v>
      </c>
      <c r="K40" s="27">
        <f t="shared" si="17"/>
        <v>-2.9366952695910147E-2</v>
      </c>
      <c r="L40" s="15"/>
      <c r="M40" s="15"/>
      <c r="N40" s="15"/>
      <c r="O40" s="15"/>
      <c r="P40" s="15"/>
      <c r="Q40" s="15"/>
      <c r="R40" s="15"/>
    </row>
    <row r="41" spans="1:18" ht="20.100000000000001" customHeight="1">
      <c r="A41" s="19" t="str">
        <f t="shared" si="8"/>
        <v>产品名称8</v>
      </c>
      <c r="B41" s="19" t="str">
        <f t="shared" si="8"/>
        <v>产品类别C</v>
      </c>
      <c r="C41" s="23">
        <f t="shared" si="9"/>
        <v>0.15343779927281512</v>
      </c>
      <c r="D41" s="23">
        <f t="shared" si="10"/>
        <v>67.986990521327016</v>
      </c>
      <c r="E41" s="23">
        <f t="shared" si="11"/>
        <v>0.23579050425359904</v>
      </c>
      <c r="F41" s="23">
        <f t="shared" si="12"/>
        <v>-8.2352704980783925E-2</v>
      </c>
      <c r="G41" s="23">
        <f t="shared" si="13"/>
        <v>4.5758155455119685</v>
      </c>
      <c r="H41" s="23">
        <f t="shared" si="14"/>
        <v>33.613875698831045</v>
      </c>
      <c r="I41" s="23">
        <f t="shared" si="15"/>
        <v>4.4014540838825438</v>
      </c>
      <c r="J41" s="23">
        <f t="shared" si="16"/>
        <v>0.17436146162942467</v>
      </c>
      <c r="K41" s="27">
        <f t="shared" si="17"/>
        <v>-2.5671416661020863E-5</v>
      </c>
      <c r="L41" s="15"/>
      <c r="M41" s="15"/>
      <c r="N41" s="15"/>
      <c r="O41" s="15"/>
      <c r="P41" s="15"/>
      <c r="Q41" s="15"/>
      <c r="R41" s="15"/>
    </row>
    <row r="42" spans="1:18" ht="20.100000000000001" customHeight="1">
      <c r="A42" s="19" t="str">
        <f t="shared" si="8"/>
        <v>产品名称9</v>
      </c>
      <c r="B42" s="19" t="str">
        <f t="shared" si="8"/>
        <v>产品类别C</v>
      </c>
      <c r="C42" s="23">
        <f t="shared" si="9"/>
        <v>1.2523298957407001</v>
      </c>
      <c r="D42" s="23">
        <f t="shared" si="10"/>
        <v>164610.13999999996</v>
      </c>
      <c r="E42" s="23">
        <f t="shared" si="11"/>
        <v>1.3528343663411884</v>
      </c>
      <c r="F42" s="23">
        <f t="shared" si="12"/>
        <v>-0.10050447060048828</v>
      </c>
      <c r="G42" s="23">
        <f t="shared" si="13"/>
        <v>0.87221297701612699</v>
      </c>
      <c r="H42" s="23">
        <f t="shared" si="14"/>
        <v>164726.04000000004</v>
      </c>
      <c r="I42" s="23">
        <f t="shared" si="15"/>
        <v>1.5660704556426428</v>
      </c>
      <c r="J42" s="23">
        <f t="shared" si="16"/>
        <v>-0.69385747862651581</v>
      </c>
      <c r="K42" s="27">
        <f t="shared" si="17"/>
        <v>5.933530080260275E-5</v>
      </c>
      <c r="L42" s="15"/>
      <c r="M42" s="15"/>
      <c r="N42" s="15"/>
      <c r="O42" s="15"/>
      <c r="P42" s="15"/>
      <c r="Q42" s="15"/>
      <c r="R42" s="15"/>
    </row>
    <row r="43" spans="1:18" ht="20.100000000000001" customHeight="1">
      <c r="A43" s="19" t="str">
        <f t="shared" si="8"/>
        <v>产品名称10</v>
      </c>
      <c r="B43" s="19" t="str">
        <f t="shared" si="8"/>
        <v>产品类别C</v>
      </c>
      <c r="C43" s="23">
        <f t="shared" si="9"/>
        <v>0.93038657381184686</v>
      </c>
      <c r="D43" s="23">
        <f t="shared" si="10"/>
        <v>40.866723735408556</v>
      </c>
      <c r="E43" s="23">
        <f t="shared" si="11"/>
        <v>0.21578984191710771</v>
      </c>
      <c r="F43" s="23">
        <f t="shared" si="12"/>
        <v>0.71459673189473916</v>
      </c>
      <c r="G43" s="23">
        <f t="shared" si="13"/>
        <v>0.28730520790471653</v>
      </c>
      <c r="H43" s="23">
        <f t="shared" si="14"/>
        <v>0</v>
      </c>
      <c r="I43" s="23">
        <f t="shared" si="15"/>
        <v>0</v>
      </c>
      <c r="J43" s="23">
        <f t="shared" si="16"/>
        <v>0.28730520790471653</v>
      </c>
      <c r="K43" s="27">
        <f t="shared" si="17"/>
        <v>4.2729152399002262E-5</v>
      </c>
      <c r="L43" s="15"/>
      <c r="M43" s="15"/>
      <c r="N43" s="15"/>
      <c r="O43" s="15"/>
      <c r="P43" s="15"/>
      <c r="Q43" s="15"/>
      <c r="R43" s="15"/>
    </row>
    <row r="44" spans="1:18" ht="20.100000000000001" customHeight="1">
      <c r="A44" s="179" t="s">
        <v>65</v>
      </c>
      <c r="B44" s="180"/>
      <c r="C44" s="23">
        <f>SUM(C34:C43)</f>
        <v>9999.9999999999982</v>
      </c>
      <c r="D44" s="23"/>
      <c r="E44" s="23">
        <f>SUM(E34:E43)</f>
        <v>7324.0459792556903</v>
      </c>
      <c r="F44" s="23">
        <f>SUM(F34:F43)</f>
        <v>2675.9540207443101</v>
      </c>
      <c r="G44" s="23">
        <f>SUM(G34:G43)</f>
        <v>10000</v>
      </c>
      <c r="H44" s="23"/>
      <c r="I44" s="23">
        <f>SUM(I34:I43)</f>
        <v>6236.8167510684289</v>
      </c>
      <c r="J44" s="23">
        <f>SUM(J34:J43)</f>
        <v>3763.1832489315725</v>
      </c>
      <c r="K44" s="27">
        <f>(F44-J44)/$C$44</f>
        <v>-0.10872292281872625</v>
      </c>
      <c r="L44" s="15"/>
      <c r="M44" s="15"/>
      <c r="N44" s="15"/>
      <c r="O44" s="15"/>
      <c r="P44" s="15"/>
      <c r="Q44" s="15"/>
      <c r="R44" s="15"/>
    </row>
    <row r="45" spans="1:18" ht="20.100000000000001" customHeight="1">
      <c r="A45" s="14" t="s">
        <v>66</v>
      </c>
      <c r="B45" s="15"/>
      <c r="C45" s="15"/>
      <c r="D45" s="15"/>
      <c r="E45" s="15"/>
      <c r="F45" s="15"/>
      <c r="G45" s="15"/>
      <c r="H45" s="15"/>
      <c r="I45" s="15"/>
      <c r="J45" s="15"/>
      <c r="K45" s="28"/>
      <c r="L45" s="15"/>
      <c r="M45" s="15"/>
      <c r="N45" s="15"/>
      <c r="O45" s="15"/>
      <c r="P45" s="15"/>
      <c r="Q45" s="15"/>
      <c r="R45" s="15"/>
    </row>
    <row r="46" spans="1:18" ht="20.100000000000001" customHeight="1">
      <c r="A46" s="17" t="s">
        <v>67</v>
      </c>
      <c r="B46" s="17" t="s">
        <v>68</v>
      </c>
      <c r="C46" s="17" t="s">
        <v>69</v>
      </c>
      <c r="D46" s="17" t="s">
        <v>70</v>
      </c>
      <c r="E46" s="15"/>
      <c r="F46" s="15"/>
      <c r="G46" s="15"/>
      <c r="H46" s="15"/>
      <c r="I46" s="15"/>
      <c r="J46" s="15"/>
      <c r="K46" s="16"/>
      <c r="L46" s="15"/>
      <c r="M46" s="15"/>
      <c r="N46" s="15"/>
      <c r="O46" s="15"/>
      <c r="P46" s="15"/>
      <c r="Q46" s="15"/>
      <c r="R46" s="15"/>
    </row>
    <row r="47" spans="1:18" ht="20.100000000000001" customHeight="1">
      <c r="A47" s="19" t="str">
        <f t="shared" ref="A47:B56" si="18">A17</f>
        <v>产品名称1</v>
      </c>
      <c r="B47" s="19" t="str">
        <f t="shared" si="18"/>
        <v>产品类别A</v>
      </c>
      <c r="C47" s="23">
        <f>IFERROR(E34/D34,0)</f>
        <v>145.04408020812505</v>
      </c>
      <c r="D47" s="23">
        <f t="shared" ref="D47:D56" si="19">IF(H34=0,0,I34/H34)</f>
        <v>52.108879257638648</v>
      </c>
      <c r="E47" s="15"/>
      <c r="F47" s="15"/>
      <c r="G47" s="15"/>
      <c r="H47" s="15"/>
      <c r="I47" s="15"/>
      <c r="J47" s="15"/>
      <c r="K47" s="16"/>
      <c r="L47" s="15"/>
      <c r="M47" s="15"/>
      <c r="N47" s="15"/>
      <c r="O47" s="15"/>
      <c r="P47" s="15"/>
      <c r="Q47" s="15"/>
      <c r="R47" s="15"/>
    </row>
    <row r="48" spans="1:18" ht="20.100000000000001" customHeight="1">
      <c r="A48" s="19" t="str">
        <f t="shared" si="18"/>
        <v>产品名称2</v>
      </c>
      <c r="B48" s="19" t="str">
        <f t="shared" si="18"/>
        <v>产品类别A</v>
      </c>
      <c r="C48" s="23">
        <f t="shared" ref="C48:C56" si="20">IFERROR(E35/D35,0)</f>
        <v>217.35664155515622</v>
      </c>
      <c r="D48" s="23">
        <f t="shared" si="19"/>
        <v>218.56824501882986</v>
      </c>
      <c r="E48" s="15"/>
      <c r="F48" s="15"/>
      <c r="G48" s="15"/>
      <c r="H48" s="15"/>
      <c r="I48" s="15"/>
      <c r="J48" s="15"/>
      <c r="K48" s="16"/>
      <c r="L48" s="15"/>
      <c r="M48" s="15"/>
      <c r="N48" s="15"/>
      <c r="O48" s="15"/>
      <c r="P48" s="15"/>
      <c r="Q48" s="15"/>
      <c r="R48" s="15"/>
    </row>
    <row r="49" spans="1:18" ht="20.100000000000001" customHeight="1">
      <c r="A49" s="19" t="str">
        <f t="shared" si="18"/>
        <v>产品名称3</v>
      </c>
      <c r="B49" s="19" t="str">
        <f t="shared" si="18"/>
        <v>产品类别B</v>
      </c>
      <c r="C49" s="23">
        <f t="shared" si="20"/>
        <v>114.24832246075182</v>
      </c>
      <c r="D49" s="23">
        <f t="shared" si="19"/>
        <v>272.71979680410931</v>
      </c>
      <c r="E49" s="15"/>
      <c r="F49" s="15"/>
      <c r="G49" s="15"/>
      <c r="H49" s="15"/>
      <c r="I49" s="15"/>
      <c r="J49" s="15"/>
      <c r="K49" s="16"/>
      <c r="L49" s="15"/>
      <c r="M49" s="15"/>
      <c r="N49" s="15"/>
      <c r="O49" s="15"/>
      <c r="P49" s="15"/>
      <c r="Q49" s="15"/>
      <c r="R49" s="15"/>
    </row>
    <row r="50" spans="1:18" ht="20.100000000000001" customHeight="1">
      <c r="A50" s="19" t="str">
        <f t="shared" si="18"/>
        <v>产品名称4</v>
      </c>
      <c r="B50" s="19" t="str">
        <f t="shared" si="18"/>
        <v>产品类别A</v>
      </c>
      <c r="C50" s="23">
        <f t="shared" si="20"/>
        <v>23.780980979566444</v>
      </c>
      <c r="D50" s="23">
        <f t="shared" si="19"/>
        <v>20.061271530813617</v>
      </c>
      <c r="E50" s="15"/>
      <c r="F50" s="15"/>
      <c r="G50" s="15"/>
      <c r="H50" s="15"/>
      <c r="I50" s="15"/>
      <c r="J50" s="15"/>
      <c r="K50" s="16"/>
      <c r="L50" s="15"/>
      <c r="M50" s="15"/>
      <c r="N50" s="15"/>
      <c r="O50" s="15"/>
      <c r="P50" s="15"/>
      <c r="Q50" s="15"/>
      <c r="R50" s="15"/>
    </row>
    <row r="51" spans="1:18" ht="20.100000000000001" customHeight="1">
      <c r="A51" s="19" t="str">
        <f t="shared" si="18"/>
        <v>产品名称5</v>
      </c>
      <c r="B51" s="19" t="str">
        <f t="shared" si="18"/>
        <v>产品类别C</v>
      </c>
      <c r="C51" s="23">
        <f t="shared" si="20"/>
        <v>6.7115682258245555E-3</v>
      </c>
      <c r="D51" s="23">
        <f t="shared" si="19"/>
        <v>1.6963081310522515E-2</v>
      </c>
      <c r="E51" s="15"/>
      <c r="F51" s="15"/>
      <c r="G51" s="15"/>
      <c r="H51" s="15"/>
      <c r="I51" s="15"/>
      <c r="J51" s="15"/>
      <c r="K51" s="16"/>
      <c r="L51" s="15"/>
      <c r="M51" s="15"/>
      <c r="N51" s="15"/>
      <c r="O51" s="15"/>
      <c r="P51" s="15"/>
      <c r="Q51" s="15"/>
      <c r="R51" s="15"/>
    </row>
    <row r="52" spans="1:18" ht="20.100000000000001" customHeight="1">
      <c r="A52" s="19" t="str">
        <f t="shared" si="18"/>
        <v>产品名称6</v>
      </c>
      <c r="B52" s="19" t="str">
        <f t="shared" si="18"/>
        <v>产品类别A</v>
      </c>
      <c r="C52" s="23">
        <f t="shared" si="20"/>
        <v>16.04186027586384</v>
      </c>
      <c r="D52" s="23">
        <f t="shared" si="19"/>
        <v>13.1608744918477</v>
      </c>
      <c r="E52" s="15"/>
      <c r="F52" s="15"/>
      <c r="G52" s="15"/>
      <c r="H52" s="15"/>
      <c r="I52" s="15"/>
      <c r="J52" s="15"/>
      <c r="K52" s="16"/>
      <c r="L52" s="15"/>
      <c r="M52" s="15"/>
      <c r="N52" s="15"/>
      <c r="O52" s="15"/>
      <c r="P52" s="15"/>
      <c r="Q52" s="15"/>
      <c r="R52" s="15"/>
    </row>
    <row r="53" spans="1:18" ht="20.100000000000001" customHeight="1">
      <c r="A53" s="19" t="str">
        <f t="shared" si="18"/>
        <v>产品名称7</v>
      </c>
      <c r="B53" s="19" t="str">
        <f t="shared" si="18"/>
        <v>产品类别A</v>
      </c>
      <c r="C53" s="23">
        <f t="shared" si="20"/>
        <v>2.5551790430697197</v>
      </c>
      <c r="D53" s="23">
        <f t="shared" si="19"/>
        <v>7.6707400696112948</v>
      </c>
      <c r="E53" s="15"/>
      <c r="F53" s="15"/>
      <c r="G53" s="15"/>
      <c r="H53" s="15"/>
      <c r="I53" s="15"/>
      <c r="J53" s="15"/>
      <c r="K53" s="16"/>
      <c r="L53" s="15"/>
      <c r="M53" s="15"/>
      <c r="N53" s="15"/>
      <c r="O53" s="15"/>
      <c r="P53" s="15"/>
      <c r="Q53" s="15"/>
      <c r="R53" s="15"/>
    </row>
    <row r="54" spans="1:18" ht="20.100000000000001" customHeight="1">
      <c r="A54" s="19" t="str">
        <f t="shared" si="18"/>
        <v>产品名称8</v>
      </c>
      <c r="B54" s="19" t="str">
        <f t="shared" si="18"/>
        <v>产品类别C</v>
      </c>
      <c r="C54" s="23">
        <f t="shared" si="20"/>
        <v>3.4681709316083538E-3</v>
      </c>
      <c r="D54" s="23">
        <f t="shared" si="19"/>
        <v>0.13094158267609732</v>
      </c>
      <c r="E54" s="15"/>
      <c r="F54" s="15"/>
      <c r="G54" s="15"/>
      <c r="H54" s="15"/>
      <c r="I54" s="15"/>
      <c r="J54" s="15"/>
      <c r="K54" s="16"/>
      <c r="L54" s="15"/>
      <c r="M54" s="15"/>
      <c r="N54" s="15"/>
      <c r="O54" s="15"/>
      <c r="P54" s="15"/>
      <c r="Q54" s="15"/>
      <c r="R54" s="15"/>
    </row>
    <row r="55" spans="1:18" ht="20.100000000000001" customHeight="1">
      <c r="A55" s="19" t="str">
        <f t="shared" si="18"/>
        <v>产品名称9</v>
      </c>
      <c r="B55" s="19" t="str">
        <f t="shared" si="18"/>
        <v>产品类别C</v>
      </c>
      <c r="C55" s="23">
        <f t="shared" si="20"/>
        <v>8.2184145298776172E-6</v>
      </c>
      <c r="D55" s="23">
        <f t="shared" si="19"/>
        <v>9.5071213734188132E-6</v>
      </c>
      <c r="E55" s="15"/>
      <c r="F55" s="15"/>
      <c r="G55" s="15"/>
      <c r="H55" s="15"/>
      <c r="I55" s="15"/>
      <c r="J55" s="15"/>
      <c r="K55" s="16"/>
      <c r="L55" s="15"/>
      <c r="M55" s="15"/>
      <c r="N55" s="15"/>
      <c r="O55" s="15"/>
      <c r="P55" s="15"/>
      <c r="Q55" s="15"/>
      <c r="R55" s="15"/>
    </row>
    <row r="56" spans="1:18" ht="20.100000000000001" customHeight="1">
      <c r="A56" s="19" t="str">
        <f t="shared" si="18"/>
        <v>产品名称10</v>
      </c>
      <c r="B56" s="19" t="str">
        <f t="shared" si="18"/>
        <v>产品类别C</v>
      </c>
      <c r="C56" s="23">
        <f t="shared" si="20"/>
        <v>5.2803313354463696E-3</v>
      </c>
      <c r="D56" s="23">
        <f t="shared" si="19"/>
        <v>0</v>
      </c>
      <c r="E56" s="15"/>
      <c r="F56" s="15"/>
      <c r="G56" s="15"/>
      <c r="H56" s="15"/>
      <c r="I56" s="15"/>
      <c r="J56" s="15"/>
      <c r="K56" s="16"/>
      <c r="L56" s="15"/>
      <c r="M56" s="15"/>
      <c r="N56" s="15"/>
      <c r="O56" s="15"/>
      <c r="P56" s="15"/>
      <c r="Q56" s="15"/>
      <c r="R56" s="15"/>
    </row>
    <row r="57" spans="1:18" ht="20.100000000000001" customHeight="1">
      <c r="A57" s="14" t="s">
        <v>71</v>
      </c>
      <c r="B57" s="15"/>
      <c r="C57" s="15"/>
      <c r="D57" s="15"/>
      <c r="E57" s="15"/>
      <c r="F57" s="15"/>
      <c r="G57" s="15"/>
      <c r="H57" s="15"/>
      <c r="I57" s="15"/>
      <c r="J57" s="15"/>
      <c r="K57" s="16"/>
      <c r="L57" s="15"/>
      <c r="M57" s="15"/>
      <c r="N57" s="15"/>
      <c r="O57" s="15"/>
      <c r="P57" s="15"/>
      <c r="Q57" s="15"/>
      <c r="R57" s="15"/>
    </row>
    <row r="58" spans="1:18" ht="20.100000000000001" customHeight="1">
      <c r="A58" s="29" t="s">
        <v>67</v>
      </c>
      <c r="B58" s="29" t="s">
        <v>68</v>
      </c>
      <c r="C58" s="29" t="s">
        <v>72</v>
      </c>
      <c r="D58" s="29" t="s">
        <v>73</v>
      </c>
      <c r="E58" s="29" t="s">
        <v>74</v>
      </c>
      <c r="F58" s="29" t="s">
        <v>75</v>
      </c>
      <c r="G58" s="29" t="s">
        <v>76</v>
      </c>
      <c r="H58" s="15"/>
      <c r="I58" s="15"/>
      <c r="J58" s="15"/>
      <c r="K58" s="15"/>
      <c r="L58" s="181"/>
      <c r="M58" s="181"/>
      <c r="N58" s="181"/>
      <c r="O58" s="181"/>
      <c r="P58" s="15"/>
      <c r="Q58" s="15"/>
      <c r="R58" s="15"/>
    </row>
    <row r="59" spans="1:18" ht="20.100000000000001" customHeight="1">
      <c r="A59" s="19" t="str">
        <f t="shared" ref="A59:B68" si="21">A17</f>
        <v>产品名称1</v>
      </c>
      <c r="B59" s="19" t="str">
        <f t="shared" si="21"/>
        <v>产品类别A</v>
      </c>
      <c r="C59" s="23">
        <f t="shared" ref="C59:C68" si="22">IF(L17*D17=0,0,(E17-M17)*D47)</f>
        <v>26.953088568425734</v>
      </c>
      <c r="D59" s="23">
        <f t="shared" ref="D59:D68" si="23">IF(L17*D17=0,0,D47*(O17-G17))</f>
        <v>2.0291939058229813</v>
      </c>
      <c r="E59" s="23">
        <f t="shared" ref="E59:E68" si="24">IF(L17*D17=0,((E17-M17)+(O17-G17))*C47+((E17-M17)+(O17-G17))*D47,C47*(E17-(H17/D17))-D47*(E17-(H17/D17)))</f>
        <v>318.43172223072327</v>
      </c>
      <c r="F59" s="23">
        <f t="shared" ref="F59:F68" si="25">C59+D59+E59</f>
        <v>347.414004704972</v>
      </c>
      <c r="G59" s="27">
        <f t="shared" ref="G59:G68" si="26">F59/$C$44</f>
        <v>3.4741400470497209E-2</v>
      </c>
      <c r="H59" s="28"/>
      <c r="I59" s="28"/>
      <c r="J59" s="28"/>
      <c r="K59" s="16"/>
      <c r="L59" s="15"/>
      <c r="M59" s="15"/>
      <c r="N59" s="15"/>
      <c r="O59" s="15"/>
      <c r="P59" s="15"/>
      <c r="Q59" s="15"/>
      <c r="R59" s="15"/>
    </row>
    <row r="60" spans="1:18" ht="20.100000000000001" customHeight="1">
      <c r="A60" s="19" t="str">
        <f t="shared" si="21"/>
        <v>产品名称2</v>
      </c>
      <c r="B60" s="19" t="str">
        <f t="shared" si="21"/>
        <v>产品类别A</v>
      </c>
      <c r="C60" s="23">
        <f t="shared" si="22"/>
        <v>-836.6462043701091</v>
      </c>
      <c r="D60" s="23">
        <f t="shared" si="23"/>
        <v>217.18185055369148</v>
      </c>
      <c r="E60" s="23">
        <f t="shared" si="24"/>
        <v>-12.333478170765829</v>
      </c>
      <c r="F60" s="23">
        <f t="shared" si="25"/>
        <v>-631.79783198718349</v>
      </c>
      <c r="G60" s="27">
        <f t="shared" si="26"/>
        <v>-6.3179783198718364E-2</v>
      </c>
      <c r="H60" s="28"/>
      <c r="I60" s="28"/>
      <c r="J60" s="28"/>
      <c r="K60" s="16"/>
      <c r="L60" s="15"/>
      <c r="M60" s="15"/>
      <c r="N60" s="15"/>
      <c r="O60" s="15"/>
      <c r="P60" s="15"/>
      <c r="Q60" s="15"/>
      <c r="R60" s="15"/>
    </row>
    <row r="61" spans="1:18" ht="20.100000000000001" customHeight="1">
      <c r="A61" s="19" t="str">
        <f t="shared" si="21"/>
        <v>产品名称3</v>
      </c>
      <c r="B61" s="19" t="str">
        <f t="shared" si="21"/>
        <v>产品类别B</v>
      </c>
      <c r="C61" s="23">
        <f t="shared" si="22"/>
        <v>141.38878733964677</v>
      </c>
      <c r="D61" s="23">
        <f t="shared" si="23"/>
        <v>-101.48453530048228</v>
      </c>
      <c r="E61" s="23">
        <f t="shared" si="24"/>
        <v>-75.213660606696891</v>
      </c>
      <c r="F61" s="23">
        <f t="shared" si="25"/>
        <v>-35.309408567532401</v>
      </c>
      <c r="G61" s="27">
        <f t="shared" si="26"/>
        <v>-3.5309408567532406E-3</v>
      </c>
      <c r="H61" s="28"/>
      <c r="I61" s="28"/>
      <c r="J61" s="28"/>
      <c r="K61" s="16"/>
      <c r="L61" s="15"/>
      <c r="M61" s="15"/>
      <c r="N61" s="15"/>
      <c r="O61" s="15"/>
      <c r="P61" s="15"/>
      <c r="Q61" s="15"/>
      <c r="R61" s="15"/>
    </row>
    <row r="62" spans="1:18" ht="20.100000000000001" customHeight="1">
      <c r="A62" s="19" t="str">
        <f t="shared" si="21"/>
        <v>产品名称4</v>
      </c>
      <c r="B62" s="19" t="str">
        <f t="shared" si="21"/>
        <v>产品类别A</v>
      </c>
      <c r="C62" s="23">
        <f t="shared" si="22"/>
        <v>31.575556584336901</v>
      </c>
      <c r="D62" s="23">
        <f t="shared" si="23"/>
        <v>-154.90748274758596</v>
      </c>
      <c r="E62" s="23">
        <f t="shared" si="24"/>
        <v>-26.167366890352696</v>
      </c>
      <c r="F62" s="23">
        <f t="shared" si="25"/>
        <v>-149.49929305360175</v>
      </c>
      <c r="G62" s="27">
        <f t="shared" si="26"/>
        <v>-1.4949929305360177E-2</v>
      </c>
      <c r="H62" s="28"/>
      <c r="I62" s="28"/>
      <c r="J62" s="28"/>
      <c r="K62" s="16"/>
      <c r="L62" s="15"/>
      <c r="M62" s="15"/>
      <c r="N62" s="15"/>
      <c r="O62" s="15"/>
      <c r="P62" s="15"/>
      <c r="Q62" s="15"/>
      <c r="R62" s="15"/>
    </row>
    <row r="63" spans="1:18" ht="20.100000000000001" customHeight="1">
      <c r="A63" s="19" t="str">
        <f t="shared" si="21"/>
        <v>产品名称5</v>
      </c>
      <c r="B63" s="19" t="str">
        <f t="shared" si="21"/>
        <v>产品类别C</v>
      </c>
      <c r="C63" s="23">
        <f t="shared" si="22"/>
        <v>-1.0500825353317806</v>
      </c>
      <c r="D63" s="23">
        <f t="shared" si="23"/>
        <v>-2.1130830343232958</v>
      </c>
      <c r="E63" s="23">
        <f t="shared" si="24"/>
        <v>2.9961038373420323</v>
      </c>
      <c r="F63" s="23">
        <f t="shared" si="25"/>
        <v>-0.16706173231304389</v>
      </c>
      <c r="G63" s="27">
        <f t="shared" si="26"/>
        <v>-1.6706173231304392E-5</v>
      </c>
      <c r="H63" s="28"/>
      <c r="I63" s="28"/>
      <c r="J63" s="28"/>
      <c r="K63" s="16"/>
      <c r="L63" s="15"/>
      <c r="M63" s="15"/>
      <c r="N63" s="15"/>
      <c r="O63" s="15"/>
      <c r="P63" s="15"/>
      <c r="Q63" s="15"/>
      <c r="R63" s="15"/>
    </row>
    <row r="64" spans="1:18" ht="20.100000000000001" customHeight="1">
      <c r="A64" s="19" t="str">
        <f t="shared" si="21"/>
        <v>产品名称6</v>
      </c>
      <c r="B64" s="19" t="str">
        <f t="shared" si="21"/>
        <v>产品类别A</v>
      </c>
      <c r="C64" s="23">
        <f t="shared" si="22"/>
        <v>-311.60014453035888</v>
      </c>
      <c r="D64" s="23">
        <f t="shared" si="23"/>
        <v>-22.122040132874869</v>
      </c>
      <c r="E64" s="23">
        <f t="shared" si="24"/>
        <v>8.7581437053249758</v>
      </c>
      <c r="F64" s="23">
        <f t="shared" si="25"/>
        <v>-324.96404095790876</v>
      </c>
      <c r="G64" s="27">
        <f t="shared" si="26"/>
        <v>-3.2496404095790882E-2</v>
      </c>
      <c r="H64" s="28"/>
      <c r="I64" s="28"/>
      <c r="J64" s="28"/>
      <c r="K64" s="16"/>
      <c r="L64" s="15"/>
      <c r="M64" s="15"/>
      <c r="N64" s="15"/>
      <c r="O64" s="15"/>
      <c r="P64" s="15"/>
      <c r="Q64" s="15"/>
      <c r="R64" s="15"/>
    </row>
    <row r="65" spans="1:18" ht="20.100000000000001" customHeight="1">
      <c r="A65" s="19" t="str">
        <f t="shared" si="21"/>
        <v>产品名称7</v>
      </c>
      <c r="B65" s="19" t="str">
        <f t="shared" si="21"/>
        <v>产品类别A</v>
      </c>
      <c r="C65" s="23">
        <f t="shared" si="22"/>
        <v>-234.37166592175265</v>
      </c>
      <c r="D65" s="23">
        <f t="shared" si="23"/>
        <v>5.0372791880115901</v>
      </c>
      <c r="E65" s="23">
        <f t="shared" si="24"/>
        <v>-64.335140225360334</v>
      </c>
      <c r="F65" s="23">
        <f t="shared" si="25"/>
        <v>-293.6695269591014</v>
      </c>
      <c r="G65" s="27">
        <f t="shared" si="26"/>
        <v>-2.9366952695910147E-2</v>
      </c>
      <c r="H65" s="28"/>
      <c r="I65" s="28"/>
      <c r="J65" s="28"/>
      <c r="K65" s="16"/>
      <c r="L65" s="15"/>
      <c r="M65" s="15"/>
      <c r="N65" s="15"/>
      <c r="O65" s="15"/>
      <c r="P65" s="15"/>
      <c r="Q65" s="15"/>
      <c r="R65" s="15"/>
    </row>
    <row r="66" spans="1:18" ht="20.100000000000001" customHeight="1">
      <c r="A66" s="19" t="str">
        <f t="shared" si="21"/>
        <v>产品名称8</v>
      </c>
      <c r="B66" s="19" t="str">
        <f t="shared" si="21"/>
        <v>产品类别C</v>
      </c>
      <c r="C66" s="23">
        <f t="shared" si="22"/>
        <v>1.217263479518214</v>
      </c>
      <c r="D66" s="23">
        <f t="shared" si="23"/>
        <v>-4.5008700563648425</v>
      </c>
      <c r="E66" s="23">
        <f t="shared" si="24"/>
        <v>3.0268924102364196</v>
      </c>
      <c r="F66" s="23">
        <f t="shared" si="25"/>
        <v>-0.25671416661020885</v>
      </c>
      <c r="G66" s="27">
        <f t="shared" si="26"/>
        <v>-2.567141666102089E-5</v>
      </c>
      <c r="H66" s="28"/>
      <c r="I66" s="28"/>
      <c r="J66" s="28"/>
      <c r="K66" s="16"/>
      <c r="L66" s="15"/>
      <c r="M66" s="15"/>
      <c r="N66" s="15"/>
      <c r="O66" s="15"/>
      <c r="P66" s="15"/>
      <c r="Q66" s="15"/>
      <c r="R66" s="15"/>
    </row>
    <row r="67" spans="1:18" ht="20.100000000000001" customHeight="1">
      <c r="A67" s="19" t="str">
        <f t="shared" si="21"/>
        <v>产品名称9</v>
      </c>
      <c r="B67" s="19" t="str">
        <f t="shared" si="21"/>
        <v>产品类别C</v>
      </c>
      <c r="C67" s="23">
        <f t="shared" si="22"/>
        <v>0.57649130470195054</v>
      </c>
      <c r="D67" s="23">
        <f t="shared" si="23"/>
        <v>1.1018753671800151E-3</v>
      </c>
      <c r="E67" s="23">
        <f t="shared" si="24"/>
        <v>1.5759827956897038E-2</v>
      </c>
      <c r="F67" s="23">
        <f t="shared" si="25"/>
        <v>0.59335300802602753</v>
      </c>
      <c r="G67" s="27">
        <f t="shared" si="26"/>
        <v>5.9335300802602763E-5</v>
      </c>
      <c r="H67" s="28"/>
      <c r="I67" s="28"/>
      <c r="J67" s="28"/>
      <c r="K67" s="16"/>
      <c r="L67" s="15"/>
      <c r="M67" s="15"/>
      <c r="N67" s="15"/>
      <c r="O67" s="15"/>
      <c r="P67" s="15"/>
      <c r="Q67" s="15"/>
      <c r="R67" s="15"/>
    </row>
    <row r="68" spans="1:18" ht="20.100000000000001" customHeight="1">
      <c r="A68" s="19" t="str">
        <f t="shared" si="21"/>
        <v>产品名称10</v>
      </c>
      <c r="B68" s="19" t="str">
        <f t="shared" si="21"/>
        <v>产品类别C</v>
      </c>
      <c r="C68" s="23">
        <f t="shared" si="22"/>
        <v>0</v>
      </c>
      <c r="D68" s="23">
        <f t="shared" si="23"/>
        <v>0</v>
      </c>
      <c r="E68" s="23">
        <f t="shared" si="24"/>
        <v>0.71459673189473927</v>
      </c>
      <c r="F68" s="23">
        <f t="shared" si="25"/>
        <v>0.71459673189473927</v>
      </c>
      <c r="G68" s="27">
        <f t="shared" si="26"/>
        <v>7.1459673189473941E-5</v>
      </c>
      <c r="H68" s="28"/>
      <c r="I68" s="28"/>
      <c r="J68" s="28"/>
      <c r="K68" s="16"/>
      <c r="L68" s="15"/>
      <c r="M68" s="15"/>
      <c r="N68" s="15"/>
      <c r="O68" s="15"/>
      <c r="P68" s="15"/>
      <c r="Q68" s="15"/>
      <c r="R68" s="15"/>
    </row>
    <row r="69" spans="1:18" ht="20.100000000000001" customHeight="1">
      <c r="A69" s="19"/>
      <c r="B69" s="19"/>
      <c r="C69" s="19"/>
      <c r="D69" s="19"/>
      <c r="E69" s="19"/>
      <c r="F69" s="19"/>
      <c r="G69" s="30"/>
      <c r="H69" s="28"/>
      <c r="I69" s="31"/>
      <c r="J69" s="15"/>
      <c r="K69" s="16"/>
      <c r="L69" s="15"/>
      <c r="M69" s="15"/>
      <c r="N69" s="15"/>
      <c r="O69" s="15"/>
      <c r="P69" s="15"/>
      <c r="Q69" s="15"/>
      <c r="R69" s="15"/>
    </row>
    <row r="70" spans="1:18" ht="20.100000000000001" customHeight="1">
      <c r="A70" s="179" t="s">
        <v>77</v>
      </c>
      <c r="B70" s="180"/>
      <c r="C70" s="32">
        <f>SUM(C59:C69)</f>
        <v>-1181.9569100809229</v>
      </c>
      <c r="D70" s="32">
        <f>SUM(D59:D69)</f>
        <v>-60.878585748738018</v>
      </c>
      <c r="E70" s="32">
        <f>SUM(E59:E69)</f>
        <v>155.89357285030258</v>
      </c>
      <c r="F70" s="32">
        <f>SUM(F59:F69)</f>
        <v>-1086.9419229793582</v>
      </c>
      <c r="G70" s="32">
        <f>SUM(G59:G69)</f>
        <v>-0.10869419229793585</v>
      </c>
      <c r="H70" s="31"/>
      <c r="I70" s="31"/>
      <c r="J70" s="15"/>
      <c r="K70" s="16"/>
      <c r="L70" s="15"/>
      <c r="M70" s="15"/>
      <c r="N70" s="15"/>
      <c r="O70" s="15"/>
      <c r="P70" s="15"/>
      <c r="Q70" s="15"/>
      <c r="R70" s="15"/>
    </row>
    <row r="71" spans="1:18" ht="20.100000000000001" customHeight="1">
      <c r="A71" s="15" t="s">
        <v>78</v>
      </c>
      <c r="B71" s="15"/>
      <c r="C71" s="15"/>
      <c r="D71" s="15"/>
      <c r="E71" s="15"/>
      <c r="F71" s="15"/>
      <c r="G71" s="28"/>
      <c r="H71" s="31"/>
      <c r="I71" s="15"/>
      <c r="J71" s="15"/>
      <c r="K71" s="16"/>
      <c r="L71" s="15"/>
      <c r="M71" s="15"/>
      <c r="N71" s="15"/>
      <c r="O71" s="15"/>
      <c r="P71" s="15"/>
      <c r="Q71" s="15"/>
      <c r="R71" s="15"/>
    </row>
    <row r="72" spans="1:18" ht="20.100000000000001" customHeight="1">
      <c r="A72" s="14" t="s">
        <v>79</v>
      </c>
      <c r="B72" s="15"/>
      <c r="C72" s="15"/>
      <c r="D72" s="15"/>
      <c r="E72" s="15"/>
      <c r="F72" s="15"/>
      <c r="G72" s="28"/>
      <c r="H72" s="31"/>
      <c r="I72" s="15"/>
      <c r="J72" s="15"/>
      <c r="K72" s="16"/>
      <c r="L72" s="15"/>
      <c r="M72" s="15"/>
      <c r="N72" s="15"/>
      <c r="O72" s="15"/>
      <c r="P72" s="15"/>
      <c r="Q72" s="15"/>
      <c r="R72" s="15"/>
    </row>
    <row r="73" spans="1:18" ht="20.100000000000001" customHeight="1">
      <c r="A73" s="14"/>
      <c r="B73" s="15"/>
      <c r="C73" s="15"/>
      <c r="D73" s="15"/>
      <c r="E73" s="15"/>
      <c r="F73" s="15"/>
      <c r="G73" s="28"/>
      <c r="H73" s="31"/>
      <c r="I73" s="15"/>
      <c r="J73" s="15"/>
      <c r="K73" s="16"/>
      <c r="L73" s="15"/>
      <c r="M73" s="15"/>
      <c r="N73" s="15"/>
      <c r="O73" s="15"/>
      <c r="P73" s="15"/>
      <c r="Q73" s="15"/>
      <c r="R73" s="15"/>
    </row>
    <row r="74" spans="1:18" ht="20.100000000000001" customHeight="1">
      <c r="A74" s="15"/>
      <c r="B74" s="15"/>
      <c r="C74" s="15"/>
      <c r="D74" s="15"/>
      <c r="E74" s="15"/>
      <c r="F74" s="15"/>
      <c r="G74" s="28"/>
      <c r="H74" s="31"/>
      <c r="I74" s="15"/>
      <c r="J74" s="15"/>
      <c r="K74" s="16"/>
      <c r="L74" s="15"/>
      <c r="M74" s="15"/>
      <c r="N74" s="15"/>
      <c r="O74" s="15"/>
      <c r="P74" s="15"/>
      <c r="Q74" s="15"/>
      <c r="R74" s="15"/>
    </row>
    <row r="75" spans="1:18" ht="20.100000000000001" customHeight="1">
      <c r="A75" s="15"/>
      <c r="B75" s="15"/>
      <c r="C75" s="15"/>
      <c r="D75" s="15"/>
      <c r="E75" s="15"/>
      <c r="F75" s="15"/>
      <c r="G75" s="28"/>
      <c r="H75" s="31"/>
      <c r="I75" s="15"/>
      <c r="J75" s="15"/>
      <c r="K75" s="16"/>
      <c r="L75" s="15"/>
      <c r="M75" s="15"/>
      <c r="N75" s="15"/>
      <c r="O75" s="15"/>
      <c r="P75" s="15"/>
      <c r="Q75" s="15"/>
      <c r="R75" s="15"/>
    </row>
    <row r="76" spans="1:18" ht="20.100000000000001" customHeight="1">
      <c r="A76" s="14" t="s">
        <v>80</v>
      </c>
      <c r="B76" s="15"/>
      <c r="C76" s="15"/>
      <c r="D76" s="15"/>
      <c r="E76" s="15"/>
      <c r="F76" s="15"/>
      <c r="G76" s="28"/>
      <c r="H76" s="31"/>
      <c r="I76" s="15"/>
      <c r="J76" s="15"/>
      <c r="K76" s="16"/>
      <c r="L76" s="15"/>
      <c r="M76" s="15"/>
      <c r="N76" s="15"/>
      <c r="O76" s="15"/>
      <c r="P76" s="15"/>
      <c r="Q76" s="15"/>
      <c r="R76" s="15"/>
    </row>
    <row r="77" spans="1:18" ht="20.100000000000001" customHeight="1">
      <c r="A77" s="14"/>
      <c r="B77" s="15"/>
      <c r="C77" s="15"/>
      <c r="D77" s="15"/>
      <c r="E77" s="15"/>
      <c r="F77" s="15"/>
      <c r="G77" s="28"/>
      <c r="H77" s="31"/>
      <c r="I77" s="15"/>
      <c r="J77" s="15"/>
      <c r="K77" s="16"/>
      <c r="L77" s="15"/>
      <c r="M77" s="15"/>
      <c r="N77" s="15"/>
      <c r="O77" s="15"/>
      <c r="P77" s="15"/>
      <c r="Q77" s="15"/>
      <c r="R77" s="15"/>
    </row>
    <row r="78" spans="1:18" ht="20.100000000000001" customHeight="1">
      <c r="A78" s="33" t="s">
        <v>81</v>
      </c>
      <c r="B78" s="34"/>
      <c r="C78" s="34"/>
      <c r="D78" s="34"/>
      <c r="E78" s="15"/>
      <c r="F78" s="15"/>
      <c r="G78" s="15"/>
      <c r="H78" s="15"/>
      <c r="I78" s="15"/>
      <c r="J78" s="15"/>
      <c r="K78" s="16"/>
      <c r="L78" s="15"/>
      <c r="M78" s="15"/>
      <c r="N78" s="15"/>
      <c r="O78" s="15"/>
      <c r="P78" s="15"/>
      <c r="Q78" s="15"/>
      <c r="R78" s="15"/>
    </row>
    <row r="79" spans="1:18" ht="20.100000000000001" customHeight="1">
      <c r="A79" s="34" t="s">
        <v>82</v>
      </c>
      <c r="B79" s="34"/>
      <c r="C79" s="34"/>
      <c r="D79" s="34"/>
      <c r="E79" s="15"/>
      <c r="F79" s="15"/>
      <c r="G79" s="15"/>
      <c r="H79" s="15"/>
      <c r="I79" s="15"/>
      <c r="J79" s="15"/>
      <c r="K79" s="16"/>
      <c r="L79" s="15"/>
      <c r="M79" s="15"/>
      <c r="N79" s="15"/>
      <c r="O79" s="15"/>
      <c r="P79" s="15"/>
      <c r="Q79" s="15"/>
      <c r="R79" s="15"/>
    </row>
    <row r="80" spans="1:18" ht="20.100000000000001" customHeight="1">
      <c r="A80" s="34" t="s">
        <v>83</v>
      </c>
      <c r="B80" s="34"/>
      <c r="C80" s="34"/>
      <c r="D80" s="34"/>
      <c r="E80" s="15"/>
      <c r="F80" s="15"/>
      <c r="G80" s="15"/>
      <c r="H80" s="15"/>
      <c r="I80" s="15"/>
      <c r="J80" s="15"/>
      <c r="K80" s="16"/>
      <c r="L80" s="15"/>
      <c r="M80" s="15"/>
      <c r="N80" s="15"/>
      <c r="O80" s="15"/>
      <c r="P80" s="15"/>
      <c r="Q80" s="15"/>
      <c r="R80" s="15"/>
    </row>
    <row r="81" spans="1:18" ht="20.100000000000001" customHeight="1">
      <c r="A81" s="34" t="s">
        <v>84</v>
      </c>
      <c r="B81" s="34"/>
      <c r="C81" s="34"/>
      <c r="D81" s="34"/>
      <c r="E81" s="15"/>
      <c r="F81" s="15"/>
      <c r="G81" s="15"/>
      <c r="H81" s="15"/>
      <c r="I81" s="15"/>
      <c r="J81" s="15"/>
      <c r="K81" s="16"/>
      <c r="L81" s="15"/>
      <c r="M81" s="15"/>
      <c r="N81" s="15"/>
      <c r="O81" s="15"/>
      <c r="P81" s="15"/>
      <c r="Q81" s="15"/>
      <c r="R81" s="15"/>
    </row>
    <row r="82" spans="1:18" ht="20.100000000000001" customHeight="1">
      <c r="A82" s="35" t="s">
        <v>85</v>
      </c>
      <c r="B82" s="34"/>
      <c r="C82" s="34"/>
      <c r="D82" s="34"/>
      <c r="E82" s="15"/>
      <c r="F82" s="15"/>
      <c r="G82" s="15"/>
      <c r="H82" s="15"/>
      <c r="I82" s="15"/>
      <c r="J82" s="15"/>
      <c r="K82" s="16"/>
      <c r="L82" s="15"/>
      <c r="M82" s="15"/>
      <c r="N82" s="15"/>
      <c r="O82" s="15"/>
      <c r="P82" s="15"/>
      <c r="Q82" s="15"/>
      <c r="R82" s="15"/>
    </row>
    <row r="83" spans="1:18" ht="20.100000000000001" customHeight="1">
      <c r="A83" s="34" t="s">
        <v>86</v>
      </c>
      <c r="B83" s="34"/>
      <c r="C83" s="34"/>
      <c r="D83" s="34"/>
      <c r="E83" s="15"/>
      <c r="F83" s="15"/>
      <c r="G83" s="15"/>
      <c r="H83" s="15"/>
      <c r="I83" s="15"/>
      <c r="J83" s="15"/>
      <c r="K83" s="16"/>
      <c r="L83" s="15"/>
      <c r="M83" s="15"/>
      <c r="N83" s="15"/>
      <c r="O83" s="15"/>
      <c r="P83" s="15"/>
      <c r="Q83" s="15"/>
      <c r="R83" s="15"/>
    </row>
    <row r="84" spans="1:18" ht="20.100000000000001" customHeight="1">
      <c r="A84" s="34" t="s">
        <v>87</v>
      </c>
      <c r="B84" s="34"/>
      <c r="C84" s="34"/>
      <c r="D84" s="34"/>
      <c r="E84" s="15"/>
      <c r="F84" s="15"/>
      <c r="G84" s="15"/>
      <c r="H84" s="15"/>
      <c r="I84" s="15"/>
      <c r="J84" s="15"/>
      <c r="K84" s="16"/>
      <c r="L84" s="15"/>
      <c r="M84" s="15"/>
      <c r="N84" s="15"/>
      <c r="O84" s="15"/>
      <c r="P84" s="15"/>
      <c r="Q84" s="15"/>
      <c r="R84" s="15"/>
    </row>
    <row r="85" spans="1:18" ht="20.100000000000001" customHeight="1">
      <c r="A85" s="34" t="s">
        <v>88</v>
      </c>
      <c r="B85" s="34"/>
      <c r="C85" s="34"/>
      <c r="D85" s="34"/>
      <c r="E85" s="15"/>
      <c r="F85" s="15"/>
      <c r="G85" s="15"/>
      <c r="H85" s="15"/>
      <c r="I85" s="15"/>
      <c r="J85" s="15"/>
      <c r="K85" s="16"/>
      <c r="L85" s="15"/>
      <c r="M85" s="15"/>
      <c r="N85" s="15"/>
      <c r="O85" s="15"/>
      <c r="P85" s="15"/>
      <c r="Q85" s="15"/>
      <c r="R85" s="15"/>
    </row>
    <row r="86" spans="1:18" ht="20.100000000000001" customHeight="1">
      <c r="A86" s="34" t="s">
        <v>89</v>
      </c>
      <c r="B86" s="34"/>
      <c r="C86" s="34"/>
      <c r="D86" s="34"/>
      <c r="E86" s="15"/>
      <c r="F86" s="15"/>
      <c r="G86" s="15"/>
      <c r="H86" s="15"/>
      <c r="I86" s="15"/>
      <c r="J86" s="15"/>
      <c r="K86" s="16"/>
      <c r="L86" s="15"/>
      <c r="M86" s="15"/>
      <c r="N86" s="15"/>
      <c r="O86" s="15"/>
      <c r="P86" s="15"/>
      <c r="Q86" s="15"/>
      <c r="R86" s="15"/>
    </row>
    <row r="87" spans="1:18" ht="20.100000000000001" customHeight="1">
      <c r="A87" s="34" t="s">
        <v>90</v>
      </c>
      <c r="B87" s="34"/>
      <c r="C87" s="34"/>
      <c r="D87" s="34"/>
      <c r="E87" s="15"/>
      <c r="F87" s="15"/>
      <c r="G87" s="15"/>
      <c r="H87" s="15"/>
      <c r="I87" s="15"/>
      <c r="J87" s="15"/>
      <c r="K87" s="16"/>
      <c r="L87" s="15"/>
      <c r="M87" s="15"/>
      <c r="N87" s="15"/>
      <c r="O87" s="15"/>
      <c r="P87" s="15"/>
      <c r="Q87" s="15"/>
      <c r="R87" s="15"/>
    </row>
    <row r="88" spans="1:18" ht="20.100000000000001" customHeight="1">
      <c r="A88" s="34" t="s">
        <v>91</v>
      </c>
      <c r="B88" s="34"/>
      <c r="C88" s="34"/>
      <c r="D88" s="34"/>
      <c r="E88" s="15"/>
      <c r="F88" s="15"/>
      <c r="G88" s="15"/>
      <c r="H88" s="15"/>
      <c r="I88" s="15"/>
      <c r="J88" s="15"/>
      <c r="K88" s="16"/>
      <c r="L88" s="15"/>
      <c r="M88" s="15"/>
      <c r="N88" s="15"/>
      <c r="O88" s="15"/>
      <c r="P88" s="15"/>
      <c r="Q88" s="15"/>
      <c r="R88" s="15"/>
    </row>
    <row r="89" spans="1:18" ht="20.100000000000001" customHeight="1">
      <c r="A89" s="34" t="s">
        <v>92</v>
      </c>
      <c r="B89" s="34"/>
      <c r="C89" s="34"/>
      <c r="D89" s="34"/>
      <c r="E89" s="15"/>
      <c r="F89" s="15"/>
      <c r="G89" s="15"/>
      <c r="H89" s="15"/>
      <c r="I89" s="15"/>
      <c r="J89" s="15"/>
      <c r="K89" s="16"/>
      <c r="L89" s="15"/>
      <c r="M89" s="15"/>
      <c r="N89" s="15"/>
      <c r="O89" s="15"/>
      <c r="P89" s="15"/>
      <c r="Q89" s="15"/>
      <c r="R89" s="15"/>
    </row>
    <row r="90" spans="1:18" ht="20.100000000000001" customHeight="1">
      <c r="A90" s="34" t="s">
        <v>93</v>
      </c>
      <c r="B90" s="34"/>
      <c r="C90" s="34"/>
      <c r="D90" s="34"/>
      <c r="E90" s="15"/>
      <c r="F90" s="15"/>
      <c r="G90" s="15"/>
      <c r="H90" s="15"/>
      <c r="I90" s="15"/>
      <c r="J90" s="15"/>
      <c r="K90" s="16"/>
      <c r="L90" s="15"/>
      <c r="M90" s="15"/>
      <c r="N90" s="15"/>
      <c r="O90" s="15"/>
      <c r="P90" s="15"/>
      <c r="Q90" s="15"/>
      <c r="R90" s="15"/>
    </row>
    <row r="91" spans="1:18" ht="20.100000000000001" customHeight="1">
      <c r="A91" s="34" t="s">
        <v>94</v>
      </c>
      <c r="B91" s="34"/>
      <c r="C91" s="34"/>
      <c r="D91" s="34"/>
      <c r="E91" s="15"/>
      <c r="F91" s="15"/>
      <c r="G91" s="15"/>
      <c r="H91" s="15"/>
      <c r="I91" s="15"/>
      <c r="J91" s="15"/>
      <c r="K91" s="16"/>
      <c r="L91" s="15"/>
      <c r="M91" s="15"/>
      <c r="N91" s="15"/>
      <c r="O91" s="15"/>
      <c r="P91" s="15"/>
      <c r="Q91" s="15"/>
      <c r="R91" s="15"/>
    </row>
    <row r="92" spans="1:18" ht="20.100000000000001" customHeight="1">
      <c r="A92" s="34" t="s">
        <v>95</v>
      </c>
      <c r="B92" s="34"/>
      <c r="C92" s="34"/>
      <c r="D92" s="34"/>
      <c r="E92" s="15"/>
      <c r="F92" s="15"/>
      <c r="G92" s="15"/>
      <c r="H92" s="15"/>
      <c r="I92" s="15"/>
      <c r="J92" s="15"/>
      <c r="K92" s="16"/>
      <c r="L92" s="15"/>
      <c r="M92" s="15"/>
      <c r="N92" s="15"/>
      <c r="O92" s="15"/>
      <c r="P92" s="15"/>
      <c r="Q92" s="15"/>
      <c r="R92" s="15"/>
    </row>
    <row r="93" spans="1:18" ht="20.100000000000001" customHeight="1">
      <c r="A93" s="34" t="s">
        <v>96</v>
      </c>
      <c r="B93" s="34"/>
      <c r="C93" s="34"/>
      <c r="D93" s="34"/>
      <c r="E93" s="15"/>
      <c r="F93" s="15"/>
      <c r="G93" s="15"/>
      <c r="H93" s="15"/>
      <c r="I93" s="15"/>
      <c r="J93" s="15"/>
      <c r="K93" s="16"/>
      <c r="L93" s="15"/>
      <c r="M93" s="15"/>
      <c r="N93" s="15"/>
      <c r="O93" s="15"/>
      <c r="P93" s="15"/>
      <c r="Q93" s="15"/>
      <c r="R93" s="15"/>
    </row>
    <row r="94" spans="1:18" ht="20.100000000000001" customHeight="1">
      <c r="A94" s="34" t="s">
        <v>97</v>
      </c>
      <c r="B94" s="34"/>
      <c r="C94" s="34"/>
      <c r="D94" s="34"/>
      <c r="E94" s="15"/>
      <c r="F94" s="15"/>
      <c r="G94" s="15"/>
      <c r="H94" s="15"/>
      <c r="I94" s="15"/>
      <c r="J94" s="15"/>
      <c r="K94" s="16"/>
      <c r="L94" s="15"/>
      <c r="M94" s="15"/>
      <c r="N94" s="15"/>
      <c r="O94" s="15"/>
      <c r="P94" s="15"/>
      <c r="Q94" s="15"/>
      <c r="R94" s="15"/>
    </row>
    <row r="95" spans="1:18" ht="20.100000000000001" customHeight="1">
      <c r="A95" s="34" t="s">
        <v>98</v>
      </c>
      <c r="B95" s="34"/>
      <c r="C95" s="34"/>
      <c r="D95" s="34"/>
      <c r="E95" s="15"/>
      <c r="F95" s="15"/>
      <c r="G95" s="15"/>
      <c r="H95" s="15"/>
      <c r="I95" s="15"/>
      <c r="J95" s="15"/>
      <c r="K95" s="16"/>
      <c r="L95" s="15"/>
      <c r="M95" s="15"/>
      <c r="N95" s="15"/>
      <c r="O95" s="15"/>
      <c r="P95" s="15"/>
      <c r="Q95" s="15"/>
      <c r="R95" s="15"/>
    </row>
    <row r="96" spans="1:18" ht="20.100000000000001" customHeight="1">
      <c r="A96" s="34" t="s">
        <v>99</v>
      </c>
      <c r="B96" s="34"/>
      <c r="C96" s="34"/>
      <c r="D96" s="34"/>
      <c r="E96" s="15"/>
      <c r="F96" s="15"/>
      <c r="G96" s="15"/>
      <c r="H96" s="15"/>
      <c r="I96" s="15"/>
      <c r="J96" s="15"/>
      <c r="K96" s="16"/>
      <c r="L96" s="15"/>
      <c r="M96" s="15"/>
      <c r="N96" s="15"/>
      <c r="O96" s="15"/>
      <c r="P96" s="15"/>
      <c r="Q96" s="15"/>
      <c r="R96" s="15"/>
    </row>
    <row r="97" spans="1:18" ht="20.100000000000001" customHeight="1">
      <c r="A97" s="34" t="s">
        <v>100</v>
      </c>
      <c r="B97" s="34"/>
      <c r="C97" s="34"/>
      <c r="D97" s="34"/>
      <c r="E97" s="15"/>
      <c r="F97" s="15"/>
      <c r="G97" s="15"/>
      <c r="H97" s="15"/>
      <c r="I97" s="15"/>
      <c r="J97" s="15"/>
      <c r="K97" s="16"/>
      <c r="L97" s="15"/>
      <c r="M97" s="15"/>
      <c r="N97" s="15"/>
      <c r="O97" s="15"/>
      <c r="P97" s="15"/>
      <c r="Q97" s="15"/>
      <c r="R97" s="15"/>
    </row>
    <row r="98" spans="1:18" ht="20.100000000000001" customHeight="1">
      <c r="A98" s="34" t="s">
        <v>101</v>
      </c>
      <c r="B98" s="34"/>
      <c r="C98" s="34"/>
      <c r="D98" s="34"/>
      <c r="E98" s="15"/>
      <c r="F98" s="15"/>
      <c r="G98" s="15"/>
      <c r="H98" s="15"/>
      <c r="I98" s="15"/>
      <c r="J98" s="15"/>
      <c r="K98" s="16"/>
      <c r="L98" s="15"/>
      <c r="M98" s="15"/>
      <c r="N98" s="15"/>
      <c r="O98" s="15"/>
      <c r="P98" s="15"/>
      <c r="Q98" s="15"/>
      <c r="R98" s="15"/>
    </row>
    <row r="99" spans="1:18" ht="20.100000000000001" customHeight="1">
      <c r="A99" s="15"/>
      <c r="B99" s="15"/>
      <c r="C99" s="15"/>
      <c r="D99" s="15"/>
      <c r="E99" s="15"/>
      <c r="F99" s="15"/>
      <c r="G99" s="15"/>
      <c r="H99" s="15"/>
      <c r="I99" s="15"/>
      <c r="J99" s="15"/>
      <c r="K99" s="16"/>
      <c r="L99" s="15"/>
      <c r="M99" s="15"/>
      <c r="N99" s="15"/>
      <c r="O99" s="15"/>
      <c r="P99" s="15"/>
      <c r="Q99" s="15"/>
      <c r="R99" s="15"/>
    </row>
    <row r="100" spans="1:18" ht="20.100000000000001" customHeight="1">
      <c r="A100" s="15"/>
      <c r="B100" s="15"/>
      <c r="C100" s="15"/>
      <c r="D100" s="15"/>
      <c r="E100" s="15"/>
      <c r="F100" s="15"/>
      <c r="G100" s="15"/>
      <c r="H100" s="15"/>
      <c r="I100" s="15"/>
      <c r="J100" s="15"/>
      <c r="K100" s="16"/>
      <c r="L100" s="15"/>
      <c r="M100" s="15"/>
      <c r="N100" s="15"/>
      <c r="O100" s="15"/>
      <c r="P100" s="15"/>
      <c r="Q100" s="15"/>
      <c r="R100" s="15"/>
    </row>
    <row r="101" spans="1:18" ht="20.100000000000001" customHeight="1">
      <c r="A101" s="15"/>
      <c r="B101" s="15"/>
      <c r="C101" s="15"/>
      <c r="D101" s="15"/>
      <c r="E101" s="15"/>
      <c r="F101" s="15"/>
      <c r="G101" s="15"/>
      <c r="H101" s="15"/>
      <c r="I101" s="15"/>
      <c r="J101" s="15"/>
      <c r="K101" s="16"/>
      <c r="L101" s="15"/>
      <c r="M101" s="15"/>
      <c r="N101" s="15"/>
      <c r="O101" s="15"/>
      <c r="P101" s="15"/>
      <c r="Q101" s="15"/>
      <c r="R101" s="15"/>
    </row>
    <row r="102" spans="1:18" ht="20.100000000000001" customHeight="1">
      <c r="A102" s="15"/>
      <c r="B102" s="15"/>
      <c r="C102" s="15"/>
      <c r="D102" s="15"/>
      <c r="E102" s="15"/>
      <c r="F102" s="15"/>
      <c r="G102" s="15"/>
      <c r="H102" s="15"/>
      <c r="I102" s="15"/>
      <c r="J102" s="15"/>
      <c r="K102" s="16"/>
      <c r="L102" s="15"/>
      <c r="M102" s="15"/>
      <c r="N102" s="15"/>
      <c r="O102" s="15"/>
      <c r="P102" s="15"/>
      <c r="Q102" s="15"/>
      <c r="R102" s="15"/>
    </row>
    <row r="103" spans="1:18" ht="20.100000000000001" customHeight="1">
      <c r="A103" s="15"/>
      <c r="B103" s="15"/>
      <c r="C103" s="15"/>
      <c r="D103" s="15"/>
      <c r="E103" s="15"/>
      <c r="F103" s="15"/>
      <c r="G103" s="15"/>
      <c r="H103" s="15"/>
      <c r="I103" s="15"/>
      <c r="J103" s="15"/>
      <c r="K103" s="16"/>
      <c r="L103" s="15"/>
      <c r="M103" s="15"/>
      <c r="N103" s="15"/>
      <c r="O103" s="15"/>
      <c r="P103" s="15"/>
      <c r="Q103" s="15"/>
      <c r="R103" s="15"/>
    </row>
    <row r="104" spans="1:18" ht="20.100000000000001" customHeight="1">
      <c r="A104" s="15"/>
      <c r="B104" s="15"/>
      <c r="C104" s="15"/>
      <c r="D104" s="15"/>
      <c r="E104" s="15"/>
      <c r="F104" s="15"/>
      <c r="G104" s="15"/>
      <c r="H104" s="15"/>
      <c r="I104" s="15"/>
      <c r="J104" s="15"/>
      <c r="K104" s="16"/>
      <c r="L104" s="15"/>
      <c r="M104" s="15"/>
      <c r="N104" s="15"/>
      <c r="O104" s="15"/>
      <c r="P104" s="15"/>
      <c r="Q104" s="15"/>
      <c r="R104" s="15"/>
    </row>
    <row r="105" spans="1:18" ht="20.100000000000001" customHeight="1">
      <c r="A105" s="15"/>
      <c r="B105" s="15"/>
      <c r="C105" s="15"/>
      <c r="D105" s="15"/>
      <c r="E105" s="15"/>
      <c r="F105" s="15"/>
      <c r="G105" s="15"/>
      <c r="H105" s="15"/>
      <c r="I105" s="15"/>
      <c r="J105" s="15"/>
      <c r="K105" s="16"/>
      <c r="L105" s="15"/>
      <c r="M105" s="15"/>
      <c r="N105" s="15"/>
      <c r="O105" s="15"/>
      <c r="P105" s="15"/>
      <c r="Q105" s="15"/>
      <c r="R105" s="15"/>
    </row>
    <row r="106" spans="1:18" ht="20.100000000000001" customHeight="1">
      <c r="A106" s="15"/>
      <c r="B106" s="15"/>
      <c r="C106" s="15"/>
      <c r="D106" s="15"/>
      <c r="E106" s="15"/>
      <c r="F106" s="15"/>
      <c r="G106" s="15"/>
      <c r="H106" s="15"/>
      <c r="I106" s="15"/>
      <c r="J106" s="15"/>
      <c r="K106" s="16"/>
      <c r="L106" s="15"/>
      <c r="M106" s="15"/>
      <c r="N106" s="15"/>
      <c r="O106" s="15"/>
      <c r="P106" s="15"/>
      <c r="Q106" s="15"/>
      <c r="R106" s="15"/>
    </row>
    <row r="107" spans="1:18" ht="20.100000000000001" customHeight="1">
      <c r="A107" s="15"/>
      <c r="B107" s="15"/>
      <c r="C107" s="15"/>
      <c r="D107" s="15"/>
      <c r="E107" s="15"/>
      <c r="F107" s="15"/>
      <c r="G107" s="15"/>
      <c r="H107" s="15"/>
      <c r="I107" s="15"/>
      <c r="J107" s="15"/>
      <c r="K107" s="16"/>
      <c r="L107" s="15"/>
      <c r="M107" s="15"/>
      <c r="N107" s="15"/>
      <c r="O107" s="15"/>
      <c r="P107" s="15"/>
      <c r="Q107" s="15"/>
      <c r="R107" s="15"/>
    </row>
    <row r="108" spans="1:18" ht="20.100000000000001" customHeight="1">
      <c r="A108" s="15"/>
      <c r="B108" s="15"/>
      <c r="C108" s="15"/>
      <c r="D108" s="15"/>
      <c r="E108" s="15"/>
      <c r="F108" s="15"/>
      <c r="G108" s="15"/>
      <c r="H108" s="15"/>
      <c r="I108" s="15"/>
      <c r="J108" s="15"/>
      <c r="K108" s="16"/>
      <c r="L108" s="15"/>
      <c r="M108" s="15"/>
      <c r="N108" s="15"/>
      <c r="O108" s="15"/>
      <c r="P108" s="15"/>
      <c r="Q108" s="15"/>
      <c r="R108" s="15"/>
    </row>
    <row r="109" spans="1:18" ht="20.100000000000001" customHeight="1">
      <c r="A109" s="15"/>
      <c r="B109" s="15"/>
      <c r="C109" s="15"/>
      <c r="D109" s="15"/>
      <c r="E109" s="15"/>
      <c r="F109" s="15"/>
      <c r="G109" s="15"/>
      <c r="H109" s="15"/>
      <c r="I109" s="15"/>
      <c r="J109" s="15"/>
      <c r="K109" s="16"/>
      <c r="L109" s="15"/>
      <c r="M109" s="15"/>
      <c r="N109" s="15"/>
      <c r="O109" s="15"/>
      <c r="P109" s="15"/>
      <c r="Q109" s="15"/>
      <c r="R109" s="15"/>
    </row>
    <row r="110" spans="1:18" ht="20.100000000000001" customHeight="1">
      <c r="A110" s="15"/>
      <c r="B110" s="15"/>
      <c r="C110" s="15"/>
      <c r="D110" s="15"/>
      <c r="E110" s="15"/>
      <c r="F110" s="15"/>
      <c r="G110" s="15"/>
      <c r="H110" s="15"/>
      <c r="I110" s="15"/>
      <c r="J110" s="15"/>
      <c r="K110" s="16"/>
      <c r="L110" s="15"/>
      <c r="M110" s="15"/>
      <c r="N110" s="15"/>
      <c r="O110" s="15"/>
      <c r="P110" s="15"/>
      <c r="Q110" s="15"/>
      <c r="R110" s="15"/>
    </row>
    <row r="111" spans="1:18" ht="20.100000000000001" customHeight="1">
      <c r="A111" s="15"/>
      <c r="B111" s="15"/>
      <c r="C111" s="15"/>
      <c r="D111" s="15"/>
      <c r="E111" s="15"/>
      <c r="F111" s="15"/>
      <c r="G111" s="15"/>
      <c r="H111" s="15"/>
      <c r="I111" s="15"/>
      <c r="J111" s="15"/>
      <c r="K111" s="16"/>
      <c r="L111" s="15"/>
      <c r="M111" s="15"/>
      <c r="N111" s="15"/>
      <c r="O111" s="15"/>
      <c r="P111" s="15"/>
      <c r="Q111" s="15"/>
      <c r="R111" s="15"/>
    </row>
    <row r="112" spans="1:18" ht="20.100000000000001" customHeight="1">
      <c r="A112" s="15"/>
      <c r="B112" s="15"/>
      <c r="C112" s="15"/>
      <c r="D112" s="15"/>
      <c r="E112" s="15"/>
      <c r="F112" s="15"/>
      <c r="G112" s="15"/>
      <c r="H112" s="15"/>
      <c r="I112" s="15"/>
      <c r="J112" s="15"/>
      <c r="K112" s="16"/>
      <c r="L112" s="15"/>
      <c r="M112" s="15"/>
      <c r="N112" s="15"/>
      <c r="O112" s="15"/>
      <c r="P112" s="15"/>
      <c r="Q112" s="15"/>
      <c r="R112" s="15"/>
    </row>
    <row r="113" spans="1:18" ht="20.100000000000001" customHeight="1">
      <c r="A113" s="15"/>
      <c r="B113" s="15"/>
      <c r="C113" s="15"/>
      <c r="D113" s="15"/>
      <c r="E113" s="15"/>
      <c r="F113" s="15"/>
      <c r="G113" s="15"/>
      <c r="H113" s="15"/>
      <c r="I113" s="15"/>
      <c r="J113" s="15"/>
      <c r="K113" s="16"/>
      <c r="L113" s="15"/>
      <c r="M113" s="15"/>
      <c r="N113" s="15"/>
      <c r="O113" s="15"/>
      <c r="P113" s="15"/>
      <c r="Q113" s="15"/>
      <c r="R113" s="15"/>
    </row>
    <row r="114" spans="1:18" ht="20.100000000000001" customHeight="1">
      <c r="A114" s="15"/>
      <c r="B114" s="15"/>
      <c r="C114" s="15"/>
      <c r="D114" s="15"/>
      <c r="E114" s="15"/>
      <c r="F114" s="15"/>
      <c r="G114" s="15"/>
      <c r="H114" s="15"/>
      <c r="I114" s="15"/>
      <c r="J114" s="15"/>
      <c r="K114" s="16"/>
      <c r="L114" s="15"/>
      <c r="M114" s="15"/>
      <c r="N114" s="15"/>
      <c r="O114" s="15"/>
      <c r="P114" s="15"/>
      <c r="Q114" s="15"/>
      <c r="R114" s="15"/>
    </row>
    <row r="115" spans="1:18" ht="20.100000000000001" customHeight="1">
      <c r="A115" s="15"/>
      <c r="B115" s="15"/>
      <c r="C115" s="15"/>
      <c r="D115" s="15"/>
      <c r="E115" s="15"/>
      <c r="F115" s="15"/>
      <c r="G115" s="15"/>
      <c r="H115" s="15"/>
      <c r="I115" s="15"/>
      <c r="J115" s="15"/>
      <c r="K115" s="16"/>
      <c r="L115" s="15"/>
      <c r="M115" s="15"/>
      <c r="N115" s="15"/>
      <c r="O115" s="15"/>
      <c r="P115" s="15"/>
      <c r="Q115" s="15"/>
      <c r="R115" s="15"/>
    </row>
    <row r="116" spans="1:18" ht="20.100000000000001" customHeight="1">
      <c r="A116" s="15"/>
      <c r="B116" s="15"/>
      <c r="C116" s="15"/>
      <c r="D116" s="15"/>
      <c r="E116" s="15"/>
      <c r="F116" s="15"/>
      <c r="G116" s="15"/>
      <c r="H116" s="15"/>
      <c r="I116" s="15"/>
      <c r="J116" s="15"/>
      <c r="K116" s="16"/>
      <c r="L116" s="15"/>
      <c r="M116" s="15"/>
      <c r="N116" s="15"/>
      <c r="O116" s="15"/>
      <c r="P116" s="15"/>
      <c r="Q116" s="15"/>
      <c r="R116" s="15"/>
    </row>
    <row r="117" spans="1:18" ht="20.100000000000001" customHeight="1">
      <c r="A117" s="15"/>
      <c r="B117" s="15"/>
      <c r="C117" s="15"/>
      <c r="D117" s="15"/>
      <c r="E117" s="15"/>
      <c r="F117" s="15"/>
      <c r="G117" s="15"/>
      <c r="H117" s="15"/>
      <c r="I117" s="15"/>
      <c r="J117" s="15"/>
      <c r="K117" s="16"/>
      <c r="L117" s="15"/>
      <c r="M117" s="15"/>
      <c r="N117" s="15"/>
      <c r="O117" s="15"/>
      <c r="P117" s="15"/>
      <c r="Q117" s="15"/>
      <c r="R117" s="15"/>
    </row>
    <row r="118" spans="1:18" ht="20.100000000000001" customHeight="1">
      <c r="A118" s="15"/>
      <c r="B118" s="15"/>
      <c r="C118" s="15"/>
      <c r="D118" s="15"/>
      <c r="E118" s="15"/>
      <c r="F118" s="15"/>
      <c r="G118" s="15"/>
      <c r="H118" s="15"/>
      <c r="I118" s="15"/>
      <c r="J118" s="15"/>
      <c r="K118" s="16"/>
      <c r="L118" s="15"/>
      <c r="M118" s="15"/>
      <c r="N118" s="15"/>
      <c r="O118" s="15"/>
      <c r="P118" s="15"/>
      <c r="Q118" s="15"/>
      <c r="R118" s="15"/>
    </row>
    <row r="119" spans="1:18" ht="20.100000000000001" customHeight="1">
      <c r="A119" s="15"/>
      <c r="B119" s="15"/>
      <c r="C119" s="15"/>
      <c r="D119" s="15"/>
      <c r="E119" s="15"/>
      <c r="F119" s="15"/>
      <c r="G119" s="15"/>
      <c r="H119" s="15"/>
      <c r="I119" s="15"/>
      <c r="J119" s="15"/>
      <c r="K119" s="16"/>
      <c r="L119" s="15"/>
      <c r="M119" s="15"/>
      <c r="N119" s="15"/>
      <c r="O119" s="15"/>
      <c r="P119" s="15"/>
      <c r="Q119" s="15"/>
      <c r="R119" s="15"/>
    </row>
    <row r="120" spans="1:18" ht="20.100000000000001" customHeight="1">
      <c r="A120" s="15"/>
      <c r="B120" s="15"/>
      <c r="C120" s="15"/>
      <c r="D120" s="15"/>
      <c r="E120" s="15"/>
      <c r="F120" s="15"/>
      <c r="G120" s="15"/>
      <c r="H120" s="15"/>
      <c r="I120" s="15"/>
      <c r="J120" s="15"/>
      <c r="K120" s="16"/>
      <c r="L120" s="15"/>
      <c r="M120" s="15"/>
      <c r="N120" s="15"/>
      <c r="O120" s="15"/>
      <c r="P120" s="15"/>
      <c r="Q120" s="15"/>
      <c r="R120" s="15"/>
    </row>
    <row r="121" spans="1:18" ht="20.100000000000001" customHeight="1">
      <c r="A121" s="15"/>
      <c r="B121" s="15"/>
      <c r="C121" s="15"/>
      <c r="D121" s="15"/>
      <c r="E121" s="15"/>
      <c r="F121" s="15"/>
      <c r="G121" s="15"/>
      <c r="H121" s="15"/>
      <c r="I121" s="15"/>
      <c r="J121" s="15"/>
      <c r="K121" s="16"/>
      <c r="L121" s="15"/>
      <c r="M121" s="15"/>
      <c r="N121" s="15"/>
      <c r="O121" s="15"/>
      <c r="P121" s="15"/>
      <c r="Q121" s="15"/>
      <c r="R121" s="15"/>
    </row>
    <row r="122" spans="1:18" ht="20.100000000000001" customHeight="1">
      <c r="A122" s="15"/>
      <c r="B122" s="15"/>
      <c r="C122" s="15"/>
      <c r="D122" s="15"/>
      <c r="E122" s="15"/>
      <c r="F122" s="15"/>
      <c r="G122" s="15"/>
      <c r="H122" s="15"/>
      <c r="I122" s="15"/>
      <c r="J122" s="15"/>
      <c r="K122" s="16"/>
      <c r="L122" s="15"/>
      <c r="M122" s="15"/>
      <c r="N122" s="15"/>
      <c r="O122" s="15"/>
      <c r="P122" s="15"/>
      <c r="Q122" s="15"/>
      <c r="R122" s="15"/>
    </row>
    <row r="123" spans="1:18" ht="20.100000000000001" customHeight="1">
      <c r="A123" s="15"/>
      <c r="B123" s="15"/>
      <c r="C123" s="15"/>
      <c r="D123" s="15"/>
      <c r="E123" s="15"/>
      <c r="F123" s="15"/>
      <c r="G123" s="15"/>
      <c r="H123" s="15"/>
      <c r="I123" s="15"/>
      <c r="J123" s="15"/>
      <c r="K123" s="16"/>
      <c r="L123" s="15"/>
      <c r="M123" s="15"/>
      <c r="N123" s="15"/>
      <c r="O123" s="15"/>
      <c r="P123" s="15"/>
      <c r="Q123" s="15"/>
      <c r="R123" s="15"/>
    </row>
    <row r="124" spans="1:18" ht="20.100000000000001" customHeight="1">
      <c r="A124" s="15"/>
      <c r="B124" s="15"/>
      <c r="C124" s="15"/>
      <c r="D124" s="15"/>
      <c r="E124" s="15"/>
      <c r="F124" s="15"/>
      <c r="G124" s="15"/>
      <c r="H124" s="15"/>
      <c r="I124" s="15"/>
      <c r="J124" s="15"/>
      <c r="K124" s="16"/>
      <c r="L124" s="15"/>
      <c r="M124" s="15"/>
      <c r="N124" s="15"/>
      <c r="O124" s="15"/>
      <c r="P124" s="15"/>
      <c r="Q124" s="15"/>
      <c r="R124" s="15"/>
    </row>
    <row r="125" spans="1:18" ht="20.100000000000001" customHeight="1">
      <c r="A125" s="15"/>
      <c r="B125" s="15"/>
      <c r="C125" s="15"/>
      <c r="D125" s="15"/>
      <c r="E125" s="15"/>
      <c r="F125" s="15"/>
      <c r="G125" s="15"/>
      <c r="H125" s="15"/>
      <c r="I125" s="15"/>
      <c r="J125" s="15"/>
      <c r="K125" s="16"/>
      <c r="L125" s="15"/>
      <c r="M125" s="15"/>
      <c r="N125" s="15"/>
      <c r="O125" s="15"/>
      <c r="P125" s="15"/>
      <c r="Q125" s="15"/>
      <c r="R125" s="15"/>
    </row>
  </sheetData>
  <mergeCells count="15">
    <mergeCell ref="A1:R1"/>
    <mergeCell ref="A2:R2"/>
    <mergeCell ref="A15:A16"/>
    <mergeCell ref="B15:B16"/>
    <mergeCell ref="C15:J15"/>
    <mergeCell ref="K15:R15"/>
    <mergeCell ref="A44:B44"/>
    <mergeCell ref="L58:O58"/>
    <mergeCell ref="A70:B70"/>
    <mergeCell ref="A27:C27"/>
    <mergeCell ref="A32:A33"/>
    <mergeCell ref="B32:B33"/>
    <mergeCell ref="C32:F32"/>
    <mergeCell ref="G32:J32"/>
    <mergeCell ref="K32:K33"/>
  </mergeCells>
  <phoneticPr fontId="4" type="noConversion"/>
  <pageMargins left="0.7" right="0.7" top="0.75" bottom="0.75" header="0.3" footer="0.3"/>
  <pageSetup paperSize="9"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B050"/>
  </sheetPr>
  <dimension ref="A1:AQ35"/>
  <sheetViews>
    <sheetView view="pageBreakPreview" topLeftCell="C1" zoomScaleNormal="100" zoomScaleSheetLayoutView="100" workbookViewId="0">
      <selection sqref="A1:V1"/>
    </sheetView>
  </sheetViews>
  <sheetFormatPr defaultColWidth="9" defaultRowHeight="20.100000000000001" customHeight="1"/>
  <cols>
    <col min="1" max="1" width="9" style="36"/>
    <col min="2" max="2" width="13.77734375" style="36" bestFit="1" customWidth="1"/>
    <col min="3" max="3" width="9" style="36"/>
    <col min="4" max="4" width="9.44140625" style="36" bestFit="1" customWidth="1"/>
    <col min="5" max="5" width="9" style="36"/>
    <col min="6" max="6" width="9.109375" style="36" bestFit="1" customWidth="1"/>
    <col min="7" max="7" width="9.21875" style="36" customWidth="1"/>
    <col min="8" max="8" width="10.33203125" style="36" customWidth="1"/>
    <col min="9" max="10" width="9" style="36"/>
    <col min="11" max="11" width="9.5546875" style="36" bestFit="1" customWidth="1"/>
    <col min="12" max="12" width="9" style="36"/>
    <col min="13" max="14" width="9.109375" style="36" bestFit="1" customWidth="1"/>
    <col min="15" max="17" width="9" style="36"/>
    <col min="18" max="18" width="9.109375" style="36" bestFit="1" customWidth="1"/>
    <col min="19" max="19" width="9" style="36"/>
    <col min="20" max="20" width="9.109375" style="36" bestFit="1" customWidth="1"/>
    <col min="21" max="21" width="9" style="36"/>
    <col min="22" max="22" width="9.109375" style="36" bestFit="1" customWidth="1"/>
    <col min="23" max="24" width="9" style="36"/>
    <col min="25" max="25" width="7" style="36" customWidth="1"/>
    <col min="26" max="28" width="9" style="36"/>
    <col min="29" max="29" width="5.88671875" style="36" customWidth="1"/>
    <col min="30" max="35" width="9" style="36"/>
    <col min="36" max="36" width="9.44140625" style="36" bestFit="1" customWidth="1"/>
    <col min="37" max="39" width="9" style="36"/>
    <col min="40" max="42" width="8.109375" style="36" customWidth="1"/>
    <col min="43" max="43" width="6.88671875" style="36" customWidth="1"/>
    <col min="44" max="16384" width="9" style="36"/>
  </cols>
  <sheetData>
    <row r="1" spans="1:43" ht="20.100000000000001" customHeight="1">
      <c r="A1" s="188" t="s">
        <v>0</v>
      </c>
      <c r="B1" s="188"/>
      <c r="C1" s="188"/>
      <c r="D1" s="188"/>
      <c r="E1" s="188"/>
      <c r="F1" s="188"/>
      <c r="G1" s="188"/>
      <c r="H1" s="188"/>
      <c r="I1" s="188"/>
      <c r="J1" s="188"/>
      <c r="K1" s="188"/>
      <c r="L1" s="188"/>
      <c r="M1" s="188"/>
      <c r="N1" s="188"/>
      <c r="O1" s="188"/>
      <c r="P1" s="188"/>
      <c r="Q1" s="188"/>
      <c r="R1" s="188"/>
      <c r="S1" s="188"/>
      <c r="T1" s="188"/>
      <c r="U1" s="188"/>
      <c r="V1" s="188"/>
      <c r="W1" s="188" t="s">
        <v>102</v>
      </c>
      <c r="X1" s="188"/>
      <c r="Y1" s="188"/>
      <c r="Z1" s="188"/>
      <c r="AA1" s="188"/>
      <c r="AB1" s="188"/>
      <c r="AC1" s="188"/>
      <c r="AD1" s="188"/>
      <c r="AE1" s="188"/>
      <c r="AF1" s="188"/>
      <c r="AG1" s="188"/>
      <c r="AH1" s="188"/>
      <c r="AI1" s="188"/>
      <c r="AJ1" s="188"/>
      <c r="AK1" s="188"/>
      <c r="AL1" s="188"/>
      <c r="AM1" s="188"/>
      <c r="AN1" s="188"/>
      <c r="AO1" s="188"/>
      <c r="AP1" s="188"/>
      <c r="AQ1" s="188"/>
    </row>
    <row r="2" spans="1:43" ht="20.100000000000001" customHeight="1">
      <c r="A2" s="189" t="s">
        <v>103</v>
      </c>
      <c r="B2" s="189"/>
      <c r="C2" s="189"/>
      <c r="D2" s="189"/>
      <c r="E2" s="189"/>
      <c r="F2" s="189"/>
      <c r="G2" s="189"/>
      <c r="H2" s="189"/>
      <c r="I2" s="189"/>
      <c r="J2" s="189"/>
      <c r="K2" s="189"/>
      <c r="L2" s="189"/>
      <c r="M2" s="189"/>
      <c r="N2" s="189"/>
      <c r="O2" s="189"/>
      <c r="P2" s="189"/>
      <c r="Q2" s="189"/>
      <c r="R2" s="189"/>
      <c r="S2" s="189"/>
      <c r="T2" s="189"/>
      <c r="U2" s="189"/>
      <c r="V2" s="189"/>
      <c r="W2" s="189" t="s">
        <v>104</v>
      </c>
      <c r="X2" s="189"/>
      <c r="Y2" s="189"/>
      <c r="Z2" s="189"/>
      <c r="AA2" s="189"/>
      <c r="AB2" s="189"/>
      <c r="AC2" s="189"/>
      <c r="AD2" s="189"/>
      <c r="AE2" s="189"/>
      <c r="AF2" s="189"/>
      <c r="AG2" s="189"/>
      <c r="AH2" s="189"/>
      <c r="AI2" s="189"/>
      <c r="AJ2" s="189"/>
      <c r="AK2" s="189"/>
      <c r="AL2" s="189"/>
      <c r="AM2" s="189"/>
      <c r="AN2" s="189"/>
      <c r="AO2" s="189"/>
      <c r="AP2" s="189"/>
      <c r="AQ2" s="189"/>
    </row>
    <row r="3" spans="1:43" ht="20.100000000000001" customHeight="1">
      <c r="A3" s="37" t="str">
        <f>[1]底稿目录!$A$2</f>
        <v>被审计单位：</v>
      </c>
      <c r="H3" s="36" t="str">
        <f>[1]底稿目录!$A$4</f>
        <v>编制人：</v>
      </c>
      <c r="N3" s="38"/>
      <c r="O3" s="39"/>
      <c r="P3" s="40" t="str">
        <f>[1]底稿目录!$A$5</f>
        <v>编制日期：</v>
      </c>
      <c r="R3" s="41"/>
      <c r="U3" s="42" t="s">
        <v>105</v>
      </c>
      <c r="V3" s="43" t="s">
        <v>106</v>
      </c>
      <c r="W3" s="37" t="str">
        <f>[1]底稿目录!$A$2</f>
        <v>被审计单位：</v>
      </c>
      <c r="AD3" s="36" t="str">
        <f>[1]底稿目录!$A$4</f>
        <v>编制人：</v>
      </c>
      <c r="AI3" s="40" t="str">
        <f>[1]底稿目录!$A$5</f>
        <v>编制日期：</v>
      </c>
      <c r="AJ3" s="38"/>
      <c r="AK3" s="39"/>
      <c r="AP3" s="42" t="s">
        <v>105</v>
      </c>
      <c r="AQ3" s="43" t="s">
        <v>106</v>
      </c>
    </row>
    <row r="4" spans="1:43" ht="20.100000000000001" customHeight="1">
      <c r="A4" s="37" t="str">
        <f>[1]底稿目录!$A$3</f>
        <v>会计期间：202X年度</v>
      </c>
      <c r="H4" s="36" t="str">
        <f>[1]底稿目录!$A$6</f>
        <v>复核人：</v>
      </c>
      <c r="N4" s="38"/>
      <c r="O4" s="39"/>
      <c r="P4" s="40" t="str">
        <f>[1]底稿目录!$A$7</f>
        <v>复核日期：</v>
      </c>
      <c r="R4" s="41"/>
      <c r="U4" s="42" t="s">
        <v>107</v>
      </c>
      <c r="W4" s="37" t="str">
        <f>[1]底稿目录!$A$3</f>
        <v>会计期间：202X年度</v>
      </c>
      <c r="AD4" s="36" t="str">
        <f>[1]底稿目录!$A$6</f>
        <v>复核人：</v>
      </c>
      <c r="AI4" s="40" t="str">
        <f>[1]底稿目录!$A$7</f>
        <v>复核日期：</v>
      </c>
      <c r="AJ4" s="38"/>
      <c r="AK4" s="39"/>
      <c r="AP4" s="42" t="s">
        <v>107</v>
      </c>
    </row>
    <row r="5" spans="1:43" s="216" customFormat="1" ht="20.100000000000001" customHeight="1">
      <c r="A5" s="78" t="s">
        <v>108</v>
      </c>
      <c r="B5" s="217"/>
      <c r="C5" s="217"/>
      <c r="D5" s="217"/>
      <c r="E5" s="218"/>
      <c r="F5" s="217"/>
      <c r="G5" s="217"/>
      <c r="H5" s="217"/>
      <c r="I5" s="219"/>
      <c r="J5" s="219"/>
    </row>
    <row r="6" spans="1:43" s="216" customFormat="1" ht="20.100000000000001" customHeight="1">
      <c r="A6" s="6" t="s">
        <v>109</v>
      </c>
      <c r="B6" s="217"/>
      <c r="C6" s="217"/>
      <c r="D6" s="217"/>
      <c r="E6" s="218"/>
      <c r="F6" s="217"/>
      <c r="G6" s="217"/>
      <c r="H6" s="217"/>
      <c r="I6" s="219"/>
      <c r="J6" s="219"/>
    </row>
    <row r="7" spans="1:43" s="216" customFormat="1" ht="20.100000000000001" customHeight="1">
      <c r="A7" s="78" t="s">
        <v>110</v>
      </c>
      <c r="B7" s="217"/>
      <c r="C7" s="217"/>
      <c r="D7" s="217"/>
      <c r="E7" s="218"/>
      <c r="F7" s="217"/>
      <c r="G7" s="217"/>
      <c r="H7" s="217"/>
      <c r="I7" s="219"/>
      <c r="J7" s="219"/>
    </row>
    <row r="8" spans="1:43" s="216" customFormat="1" ht="20.100000000000001" customHeight="1">
      <c r="A8" s="220" t="s">
        <v>355</v>
      </c>
      <c r="B8" s="217"/>
      <c r="E8" s="217"/>
      <c r="F8" s="217"/>
      <c r="G8" s="218"/>
      <c r="H8" s="218" t="s">
        <v>356</v>
      </c>
      <c r="I8" s="219"/>
      <c r="J8" s="219"/>
      <c r="K8" s="220"/>
      <c r="N8" s="220" t="s">
        <v>357</v>
      </c>
    </row>
    <row r="9" spans="1:43" s="216" customFormat="1" ht="20.100000000000001" customHeight="1">
      <c r="A9" s="218" t="s">
        <v>111</v>
      </c>
      <c r="B9" s="217"/>
      <c r="E9" s="217"/>
      <c r="F9" s="217"/>
      <c r="G9" s="220"/>
      <c r="H9" s="220" t="s">
        <v>112</v>
      </c>
      <c r="I9" s="217"/>
    </row>
    <row r="10" spans="1:43" ht="20.100000000000001" customHeight="1">
      <c r="A10" s="190" t="s">
        <v>113</v>
      </c>
      <c r="B10" s="190"/>
      <c r="C10" s="190"/>
      <c r="D10" s="190"/>
      <c r="E10" s="190"/>
      <c r="F10" s="190" t="s">
        <v>114</v>
      </c>
      <c r="G10" s="190"/>
      <c r="H10" s="190"/>
      <c r="I10" s="190"/>
      <c r="J10" s="190"/>
      <c r="K10" s="190"/>
      <c r="L10" s="190"/>
      <c r="M10" s="190"/>
      <c r="N10" s="190"/>
      <c r="O10" s="190"/>
      <c r="P10" s="191" t="s">
        <v>115</v>
      </c>
      <c r="Q10" s="191"/>
      <c r="R10" s="191"/>
      <c r="S10" s="191"/>
      <c r="T10" s="191"/>
      <c r="U10" s="191"/>
      <c r="V10" s="191"/>
      <c r="W10" s="191"/>
      <c r="X10" s="191"/>
      <c r="Y10" s="191"/>
      <c r="Z10" s="191"/>
      <c r="AA10" s="191" t="s">
        <v>116</v>
      </c>
      <c r="AB10" s="191"/>
      <c r="AC10" s="191"/>
      <c r="AD10" s="191" t="s">
        <v>117</v>
      </c>
      <c r="AE10" s="191"/>
      <c r="AF10" s="191"/>
      <c r="AG10" s="191"/>
      <c r="AH10" s="192" t="s">
        <v>118</v>
      </c>
      <c r="AI10" s="192"/>
      <c r="AJ10" s="192"/>
      <c r="AK10" s="192"/>
      <c r="AL10" s="192"/>
      <c r="AM10" s="192"/>
      <c r="AN10" s="192"/>
      <c r="AO10" s="192"/>
      <c r="AP10" s="192"/>
      <c r="AQ10" s="192"/>
    </row>
    <row r="11" spans="1:43" ht="63" customHeight="1">
      <c r="A11" s="46" t="s">
        <v>119</v>
      </c>
      <c r="B11" s="47" t="s">
        <v>120</v>
      </c>
      <c r="C11" s="48" t="s">
        <v>121</v>
      </c>
      <c r="D11" s="48" t="s">
        <v>122</v>
      </c>
      <c r="E11" s="47" t="s">
        <v>123</v>
      </c>
      <c r="F11" s="46" t="s">
        <v>124</v>
      </c>
      <c r="G11" s="46" t="s">
        <v>350</v>
      </c>
      <c r="H11" s="46" t="s">
        <v>125</v>
      </c>
      <c r="I11" s="46" t="s">
        <v>126</v>
      </c>
      <c r="J11" s="46" t="s">
        <v>127</v>
      </c>
      <c r="K11" s="47" t="s">
        <v>128</v>
      </c>
      <c r="L11" s="47" t="s">
        <v>129</v>
      </c>
      <c r="M11" s="47" t="s">
        <v>130</v>
      </c>
      <c r="N11" s="49" t="s">
        <v>131</v>
      </c>
      <c r="O11" s="50" t="s">
        <v>132</v>
      </c>
      <c r="P11" s="50" t="s">
        <v>133</v>
      </c>
      <c r="Q11" s="51" t="s">
        <v>134</v>
      </c>
      <c r="R11" s="52" t="s">
        <v>135</v>
      </c>
      <c r="S11" s="51" t="s">
        <v>136</v>
      </c>
      <c r="T11" s="52" t="s">
        <v>137</v>
      </c>
      <c r="U11" s="52" t="s">
        <v>138</v>
      </c>
      <c r="V11" s="52" t="s">
        <v>139</v>
      </c>
      <c r="W11" s="51" t="s">
        <v>140</v>
      </c>
      <c r="X11" s="51" t="s">
        <v>141</v>
      </c>
      <c r="Y11" s="52" t="s">
        <v>142</v>
      </c>
      <c r="Z11" s="53" t="s">
        <v>143</v>
      </c>
      <c r="AA11" s="53" t="s">
        <v>144</v>
      </c>
      <c r="AB11" s="53" t="s">
        <v>145</v>
      </c>
      <c r="AC11" s="53" t="s">
        <v>146</v>
      </c>
      <c r="AD11" s="53" t="s">
        <v>147</v>
      </c>
      <c r="AE11" s="53" t="s">
        <v>148</v>
      </c>
      <c r="AF11" s="53" t="s">
        <v>149</v>
      </c>
      <c r="AG11" s="53" t="s">
        <v>150</v>
      </c>
      <c r="AH11" s="54" t="s">
        <v>151</v>
      </c>
      <c r="AI11" s="54" t="s">
        <v>152</v>
      </c>
      <c r="AJ11" s="55" t="s">
        <v>153</v>
      </c>
      <c r="AK11" s="55" t="s">
        <v>154</v>
      </c>
      <c r="AL11" s="55" t="s">
        <v>155</v>
      </c>
      <c r="AM11" s="55" t="s">
        <v>156</v>
      </c>
      <c r="AN11" s="167" t="s">
        <v>351</v>
      </c>
      <c r="AO11" s="167" t="s">
        <v>353</v>
      </c>
      <c r="AP11" s="167" t="s">
        <v>352</v>
      </c>
      <c r="AQ11" s="55" t="s">
        <v>157</v>
      </c>
    </row>
    <row r="12" spans="1:43" ht="20.100000000000001" customHeight="1">
      <c r="A12" s="221"/>
      <c r="B12" s="222"/>
      <c r="C12" s="222"/>
      <c r="D12" s="222"/>
      <c r="E12" s="222"/>
      <c r="F12" s="253"/>
      <c r="G12" s="223"/>
      <c r="H12" s="168"/>
      <c r="I12" s="172"/>
      <c r="J12" s="251"/>
      <c r="K12" s="168"/>
      <c r="L12" s="168"/>
      <c r="M12" s="168"/>
      <c r="N12" s="240"/>
      <c r="O12" s="225"/>
      <c r="P12" s="225"/>
      <c r="Q12" s="172"/>
      <c r="R12" s="240"/>
      <c r="S12" s="172"/>
      <c r="T12" s="240"/>
      <c r="U12" s="172"/>
      <c r="V12" s="240"/>
      <c r="W12" s="227"/>
      <c r="X12" s="224"/>
      <c r="Y12" s="240"/>
      <c r="Z12" s="224"/>
      <c r="AA12" s="224"/>
      <c r="AB12" s="247"/>
      <c r="AC12" s="224"/>
      <c r="AD12" s="247"/>
      <c r="AE12" s="224"/>
      <c r="AF12" s="224"/>
      <c r="AG12" s="224"/>
      <c r="AH12" s="234"/>
      <c r="AI12" s="234"/>
      <c r="AJ12" s="249"/>
      <c r="AK12" s="233"/>
      <c r="AL12" s="233"/>
      <c r="AM12" s="233"/>
      <c r="AN12" s="249"/>
      <c r="AO12" s="233"/>
      <c r="AP12" s="233"/>
      <c r="AQ12" s="233"/>
    </row>
    <row r="13" spans="1:43" ht="20.100000000000001" customHeight="1">
      <c r="A13" s="221"/>
      <c r="B13" s="222"/>
      <c r="C13" s="222"/>
      <c r="D13" s="222"/>
      <c r="E13" s="222"/>
      <c r="F13" s="253"/>
      <c r="G13" s="223"/>
      <c r="H13" s="168"/>
      <c r="I13" s="172"/>
      <c r="J13" s="251"/>
      <c r="K13" s="168"/>
      <c r="L13" s="168"/>
      <c r="M13" s="168"/>
      <c r="N13" s="240"/>
      <c r="O13" s="225"/>
      <c r="P13" s="225"/>
      <c r="Q13" s="172"/>
      <c r="R13" s="240"/>
      <c r="S13" s="172"/>
      <c r="T13" s="240"/>
      <c r="U13" s="172"/>
      <c r="V13" s="240"/>
      <c r="W13" s="226"/>
      <c r="X13" s="233"/>
      <c r="Y13" s="240"/>
      <c r="Z13" s="224"/>
      <c r="AA13" s="224"/>
      <c r="AB13" s="247"/>
      <c r="AC13" s="224"/>
      <c r="AD13" s="247"/>
      <c r="AE13" s="224"/>
      <c r="AF13" s="224"/>
      <c r="AG13" s="224"/>
      <c r="AH13" s="234"/>
      <c r="AI13" s="234"/>
      <c r="AJ13" s="249"/>
      <c r="AK13" s="233"/>
      <c r="AL13" s="233"/>
      <c r="AM13" s="233"/>
      <c r="AN13" s="249"/>
      <c r="AO13" s="233"/>
      <c r="AP13" s="233"/>
      <c r="AQ13" s="245"/>
    </row>
    <row r="14" spans="1:43" ht="20.100000000000001" customHeight="1">
      <c r="A14" s="221"/>
      <c r="B14" s="222"/>
      <c r="C14" s="222"/>
      <c r="D14" s="222"/>
      <c r="E14" s="222"/>
      <c r="F14" s="253"/>
      <c r="G14" s="223"/>
      <c r="H14" s="168"/>
      <c r="I14" s="172"/>
      <c r="J14" s="251"/>
      <c r="K14" s="168"/>
      <c r="L14" s="168"/>
      <c r="M14" s="168"/>
      <c r="N14" s="240"/>
      <c r="O14" s="225"/>
      <c r="P14" s="225"/>
      <c r="Q14" s="172"/>
      <c r="R14" s="240"/>
      <c r="S14" s="172"/>
      <c r="T14" s="240"/>
      <c r="U14" s="172"/>
      <c r="V14" s="240"/>
      <c r="W14" s="226"/>
      <c r="X14" s="233"/>
      <c r="Y14" s="240"/>
      <c r="Z14" s="224"/>
      <c r="AA14" s="224"/>
      <c r="AB14" s="247"/>
      <c r="AC14" s="224"/>
      <c r="AD14" s="247"/>
      <c r="AE14" s="224"/>
      <c r="AF14" s="224"/>
      <c r="AG14" s="224"/>
      <c r="AH14" s="234"/>
      <c r="AI14" s="234"/>
      <c r="AJ14" s="249"/>
      <c r="AK14" s="233"/>
      <c r="AL14" s="233"/>
      <c r="AM14" s="233"/>
      <c r="AN14" s="249"/>
      <c r="AO14" s="233"/>
      <c r="AP14" s="233"/>
      <c r="AQ14" s="233"/>
    </row>
    <row r="15" spans="1:43" ht="20.100000000000001" customHeight="1">
      <c r="A15" s="221"/>
      <c r="B15" s="222"/>
      <c r="C15" s="222"/>
      <c r="D15" s="222"/>
      <c r="E15" s="222"/>
      <c r="F15" s="253"/>
      <c r="G15" s="223"/>
      <c r="H15" s="168"/>
      <c r="I15" s="172"/>
      <c r="J15" s="251"/>
      <c r="K15" s="168"/>
      <c r="L15" s="168"/>
      <c r="M15" s="168"/>
      <c r="N15" s="240"/>
      <c r="O15" s="225"/>
      <c r="P15" s="225"/>
      <c r="Q15" s="172"/>
      <c r="R15" s="240"/>
      <c r="S15" s="172"/>
      <c r="T15" s="240"/>
      <c r="U15" s="172"/>
      <c r="V15" s="240"/>
      <c r="W15" s="226"/>
      <c r="X15" s="233"/>
      <c r="Y15" s="240"/>
      <c r="Z15" s="224"/>
      <c r="AA15" s="224"/>
      <c r="AB15" s="247"/>
      <c r="AC15" s="224"/>
      <c r="AD15" s="247"/>
      <c r="AE15" s="224"/>
      <c r="AF15" s="224"/>
      <c r="AG15" s="224"/>
      <c r="AH15" s="234"/>
      <c r="AI15" s="234"/>
      <c r="AJ15" s="249"/>
      <c r="AK15" s="233"/>
      <c r="AL15" s="233"/>
      <c r="AM15" s="233"/>
      <c r="AN15" s="249"/>
      <c r="AO15" s="233"/>
      <c r="AP15" s="233"/>
      <c r="AQ15" s="233"/>
    </row>
    <row r="16" spans="1:43" ht="20.100000000000001" customHeight="1">
      <c r="A16" s="221"/>
      <c r="B16" s="222"/>
      <c r="C16" s="222"/>
      <c r="D16" s="222"/>
      <c r="E16" s="222"/>
      <c r="F16" s="253"/>
      <c r="G16" s="223"/>
      <c r="H16" s="168"/>
      <c r="I16" s="172"/>
      <c r="J16" s="251"/>
      <c r="K16" s="168"/>
      <c r="L16" s="168"/>
      <c r="M16" s="168"/>
      <c r="N16" s="240"/>
      <c r="O16" s="225"/>
      <c r="P16" s="225"/>
      <c r="Q16" s="172"/>
      <c r="R16" s="240"/>
      <c r="S16" s="172"/>
      <c r="T16" s="240"/>
      <c r="U16" s="172"/>
      <c r="V16" s="240"/>
      <c r="W16" s="226"/>
      <c r="X16" s="233"/>
      <c r="Y16" s="240"/>
      <c r="Z16" s="224"/>
      <c r="AA16" s="224"/>
      <c r="AB16" s="247"/>
      <c r="AC16" s="224"/>
      <c r="AD16" s="247"/>
      <c r="AE16" s="224"/>
      <c r="AF16" s="224"/>
      <c r="AG16" s="224"/>
      <c r="AH16" s="234"/>
      <c r="AI16" s="234"/>
      <c r="AJ16" s="249"/>
      <c r="AK16" s="233"/>
      <c r="AL16" s="233"/>
      <c r="AM16" s="233"/>
      <c r="AN16" s="249"/>
      <c r="AO16" s="233"/>
      <c r="AP16" s="233"/>
      <c r="AQ16" s="233"/>
    </row>
    <row r="17" spans="1:43" ht="20.100000000000001" customHeight="1">
      <c r="A17" s="221"/>
      <c r="B17" s="222"/>
      <c r="C17" s="222"/>
      <c r="D17" s="222"/>
      <c r="E17" s="222"/>
      <c r="F17" s="253"/>
      <c r="G17" s="223"/>
      <c r="H17" s="168"/>
      <c r="I17" s="172"/>
      <c r="J17" s="251"/>
      <c r="K17" s="168"/>
      <c r="L17" s="168"/>
      <c r="M17" s="168"/>
      <c r="N17" s="240"/>
      <c r="O17" s="225"/>
      <c r="P17" s="225"/>
      <c r="Q17" s="172"/>
      <c r="R17" s="240"/>
      <c r="S17" s="172"/>
      <c r="T17" s="240"/>
      <c r="U17" s="172"/>
      <c r="V17" s="240"/>
      <c r="W17" s="226"/>
      <c r="X17" s="233"/>
      <c r="Y17" s="240"/>
      <c r="Z17" s="224"/>
      <c r="AA17" s="224"/>
      <c r="AB17" s="247"/>
      <c r="AC17" s="224"/>
      <c r="AD17" s="247"/>
      <c r="AE17" s="224"/>
      <c r="AF17" s="224"/>
      <c r="AG17" s="224"/>
      <c r="AH17" s="234"/>
      <c r="AI17" s="234"/>
      <c r="AJ17" s="249"/>
      <c r="AK17" s="233"/>
      <c r="AL17" s="233"/>
      <c r="AM17" s="233"/>
      <c r="AN17" s="249"/>
      <c r="AO17" s="233"/>
      <c r="AP17" s="233"/>
      <c r="AQ17" s="233"/>
    </row>
    <row r="18" spans="1:43" ht="20.100000000000001" customHeight="1">
      <c r="A18" s="221"/>
      <c r="B18" s="222"/>
      <c r="C18" s="222"/>
      <c r="D18" s="222"/>
      <c r="E18" s="222"/>
      <c r="F18" s="253"/>
      <c r="G18" s="223"/>
      <c r="H18" s="168"/>
      <c r="I18" s="172"/>
      <c r="J18" s="251"/>
      <c r="K18" s="168"/>
      <c r="L18" s="168"/>
      <c r="M18" s="168"/>
      <c r="N18" s="240"/>
      <c r="O18" s="225"/>
      <c r="P18" s="225"/>
      <c r="Q18" s="172"/>
      <c r="R18" s="240"/>
      <c r="S18" s="172"/>
      <c r="T18" s="240"/>
      <c r="U18" s="172"/>
      <c r="V18" s="240"/>
      <c r="W18" s="226"/>
      <c r="X18" s="233"/>
      <c r="Y18" s="240"/>
      <c r="Z18" s="224"/>
      <c r="AA18" s="224"/>
      <c r="AB18" s="247"/>
      <c r="AC18" s="224"/>
      <c r="AD18" s="247"/>
      <c r="AE18" s="224"/>
      <c r="AF18" s="224"/>
      <c r="AG18" s="224"/>
      <c r="AH18" s="234"/>
      <c r="AI18" s="234"/>
      <c r="AJ18" s="249"/>
      <c r="AK18" s="233"/>
      <c r="AL18" s="233"/>
      <c r="AM18" s="233"/>
      <c r="AN18" s="249"/>
      <c r="AO18" s="233"/>
      <c r="AP18" s="233"/>
      <c r="AQ18" s="233"/>
    </row>
    <row r="19" spans="1:43" ht="20.100000000000001" customHeight="1">
      <c r="A19" s="221"/>
      <c r="B19" s="222"/>
      <c r="C19" s="222"/>
      <c r="D19" s="222"/>
      <c r="E19" s="222"/>
      <c r="F19" s="253"/>
      <c r="G19" s="223"/>
      <c r="H19" s="168"/>
      <c r="I19" s="172"/>
      <c r="J19" s="251"/>
      <c r="K19" s="168"/>
      <c r="L19" s="168"/>
      <c r="M19" s="168"/>
      <c r="N19" s="240"/>
      <c r="O19" s="225"/>
      <c r="P19" s="225"/>
      <c r="Q19" s="172"/>
      <c r="R19" s="240"/>
      <c r="S19" s="172"/>
      <c r="T19" s="240"/>
      <c r="U19" s="172"/>
      <c r="V19" s="240"/>
      <c r="W19" s="226"/>
      <c r="X19" s="233"/>
      <c r="Y19" s="240"/>
      <c r="Z19" s="224"/>
      <c r="AA19" s="224"/>
      <c r="AB19" s="247"/>
      <c r="AC19" s="224"/>
      <c r="AD19" s="247"/>
      <c r="AE19" s="224"/>
      <c r="AF19" s="224"/>
      <c r="AG19" s="224"/>
      <c r="AH19" s="234"/>
      <c r="AI19" s="234"/>
      <c r="AJ19" s="249"/>
      <c r="AK19" s="233"/>
      <c r="AL19" s="233"/>
      <c r="AM19" s="233"/>
      <c r="AN19" s="249"/>
      <c r="AO19" s="233"/>
      <c r="AP19" s="233"/>
      <c r="AQ19" s="233"/>
    </row>
    <row r="20" spans="1:43" ht="20.100000000000001" customHeight="1">
      <c r="A20" s="221"/>
      <c r="B20" s="222"/>
      <c r="C20" s="222"/>
      <c r="D20" s="222"/>
      <c r="E20" s="222"/>
      <c r="F20" s="253"/>
      <c r="G20" s="223"/>
      <c r="H20" s="168"/>
      <c r="I20" s="172"/>
      <c r="J20" s="251"/>
      <c r="K20" s="168"/>
      <c r="L20" s="168"/>
      <c r="M20" s="168"/>
      <c r="N20" s="240"/>
      <c r="O20" s="225"/>
      <c r="P20" s="225"/>
      <c r="Q20" s="172"/>
      <c r="R20" s="240"/>
      <c r="S20" s="172"/>
      <c r="T20" s="240"/>
      <c r="U20" s="172"/>
      <c r="V20" s="240"/>
      <c r="W20" s="226"/>
      <c r="X20" s="233"/>
      <c r="Y20" s="240"/>
      <c r="Z20" s="224"/>
      <c r="AA20" s="224"/>
      <c r="AB20" s="247"/>
      <c r="AC20" s="224"/>
      <c r="AD20" s="247"/>
      <c r="AE20" s="224"/>
      <c r="AF20" s="224"/>
      <c r="AG20" s="224"/>
      <c r="AH20" s="234"/>
      <c r="AI20" s="234"/>
      <c r="AJ20" s="249"/>
      <c r="AK20" s="233"/>
      <c r="AL20" s="233"/>
      <c r="AM20" s="233"/>
      <c r="AN20" s="249"/>
      <c r="AO20" s="233"/>
      <c r="AP20" s="233"/>
      <c r="AQ20" s="233"/>
    </row>
    <row r="21" spans="1:43" ht="20.100000000000001" customHeight="1">
      <c r="A21" s="221"/>
      <c r="B21" s="222"/>
      <c r="C21" s="222"/>
      <c r="D21" s="222"/>
      <c r="E21" s="222"/>
      <c r="F21" s="253"/>
      <c r="G21" s="223"/>
      <c r="H21" s="168"/>
      <c r="I21" s="172"/>
      <c r="J21" s="251"/>
      <c r="K21" s="168"/>
      <c r="L21" s="168"/>
      <c r="M21" s="168"/>
      <c r="N21" s="240"/>
      <c r="O21" s="225"/>
      <c r="P21" s="225"/>
      <c r="Q21" s="172"/>
      <c r="R21" s="240"/>
      <c r="S21" s="172"/>
      <c r="T21" s="240"/>
      <c r="U21" s="172"/>
      <c r="V21" s="240"/>
      <c r="W21" s="226"/>
      <c r="X21" s="233"/>
      <c r="Y21" s="240"/>
      <c r="Z21" s="224"/>
      <c r="AA21" s="224"/>
      <c r="AB21" s="247"/>
      <c r="AC21" s="224"/>
      <c r="AD21" s="247"/>
      <c r="AE21" s="224"/>
      <c r="AF21" s="224"/>
      <c r="AG21" s="224"/>
      <c r="AH21" s="234"/>
      <c r="AI21" s="234"/>
      <c r="AJ21" s="249"/>
      <c r="AK21" s="233"/>
      <c r="AL21" s="233"/>
      <c r="AM21" s="233"/>
      <c r="AN21" s="249"/>
      <c r="AO21" s="233"/>
      <c r="AP21" s="233"/>
      <c r="AQ21" s="233"/>
    </row>
    <row r="22" spans="1:43" ht="20.100000000000001" customHeight="1">
      <c r="A22" s="221"/>
      <c r="B22" s="222"/>
      <c r="C22" s="222"/>
      <c r="D22" s="222"/>
      <c r="E22" s="222"/>
      <c r="F22" s="253"/>
      <c r="G22" s="223"/>
      <c r="H22" s="168"/>
      <c r="I22" s="172"/>
      <c r="J22" s="251"/>
      <c r="K22" s="168"/>
      <c r="L22" s="168"/>
      <c r="M22" s="168"/>
      <c r="N22" s="240"/>
      <c r="O22" s="225"/>
      <c r="P22" s="225"/>
      <c r="Q22" s="172"/>
      <c r="R22" s="240"/>
      <c r="S22" s="172"/>
      <c r="T22" s="240"/>
      <c r="U22" s="172"/>
      <c r="V22" s="240"/>
      <c r="W22" s="226"/>
      <c r="X22" s="233"/>
      <c r="Y22" s="240"/>
      <c r="Z22" s="224"/>
      <c r="AA22" s="224"/>
      <c r="AB22" s="247"/>
      <c r="AC22" s="224"/>
      <c r="AD22" s="247"/>
      <c r="AE22" s="224"/>
      <c r="AF22" s="224"/>
      <c r="AG22" s="224"/>
      <c r="AH22" s="234"/>
      <c r="AI22" s="234"/>
      <c r="AJ22" s="249"/>
      <c r="AK22" s="233"/>
      <c r="AL22" s="233"/>
      <c r="AM22" s="233"/>
      <c r="AN22" s="249"/>
      <c r="AO22" s="233"/>
      <c r="AP22" s="233"/>
      <c r="AQ22" s="233"/>
    </row>
    <row r="23" spans="1:43" ht="20.100000000000001" customHeight="1">
      <c r="A23" s="221"/>
      <c r="B23" s="222"/>
      <c r="C23" s="222"/>
      <c r="D23" s="222"/>
      <c r="E23" s="222"/>
      <c r="F23" s="253"/>
      <c r="G23" s="223"/>
      <c r="H23" s="168"/>
      <c r="I23" s="172"/>
      <c r="J23" s="251"/>
      <c r="K23" s="168"/>
      <c r="L23" s="168"/>
      <c r="M23" s="168"/>
      <c r="N23" s="240"/>
      <c r="O23" s="225"/>
      <c r="P23" s="225"/>
      <c r="Q23" s="172"/>
      <c r="R23" s="240"/>
      <c r="S23" s="172"/>
      <c r="T23" s="240"/>
      <c r="U23" s="172"/>
      <c r="V23" s="240"/>
      <c r="W23" s="226"/>
      <c r="X23" s="233"/>
      <c r="Y23" s="240"/>
      <c r="Z23" s="224"/>
      <c r="AA23" s="224"/>
      <c r="AB23" s="247"/>
      <c r="AC23" s="224"/>
      <c r="AD23" s="247"/>
      <c r="AE23" s="224"/>
      <c r="AF23" s="224"/>
      <c r="AG23" s="224"/>
      <c r="AH23" s="234"/>
      <c r="AI23" s="234"/>
      <c r="AJ23" s="249"/>
      <c r="AK23" s="233"/>
      <c r="AL23" s="233"/>
      <c r="AM23" s="233"/>
      <c r="AN23" s="249"/>
      <c r="AO23" s="233"/>
      <c r="AP23" s="233"/>
      <c r="AQ23" s="233"/>
    </row>
    <row r="24" spans="1:43" ht="20.100000000000001" customHeight="1">
      <c r="A24" s="221"/>
      <c r="B24" s="222"/>
      <c r="C24" s="222"/>
      <c r="D24" s="222"/>
      <c r="E24" s="222"/>
      <c r="F24" s="253"/>
      <c r="G24" s="223"/>
      <c r="H24" s="168"/>
      <c r="I24" s="172"/>
      <c r="J24" s="251"/>
      <c r="K24" s="168"/>
      <c r="L24" s="168"/>
      <c r="M24" s="168"/>
      <c r="N24" s="240"/>
      <c r="O24" s="225"/>
      <c r="P24" s="225"/>
      <c r="Q24" s="172"/>
      <c r="R24" s="240"/>
      <c r="S24" s="172"/>
      <c r="T24" s="240"/>
      <c r="U24" s="172"/>
      <c r="V24" s="240"/>
      <c r="W24" s="226"/>
      <c r="X24" s="233"/>
      <c r="Y24" s="240"/>
      <c r="Z24" s="224"/>
      <c r="AA24" s="224"/>
      <c r="AB24" s="247"/>
      <c r="AC24" s="224"/>
      <c r="AD24" s="247"/>
      <c r="AE24" s="224"/>
      <c r="AF24" s="224"/>
      <c r="AG24" s="224"/>
      <c r="AH24" s="234"/>
      <c r="AI24" s="234"/>
      <c r="AJ24" s="249"/>
      <c r="AK24" s="233"/>
      <c r="AL24" s="233"/>
      <c r="AM24" s="233"/>
      <c r="AN24" s="249"/>
      <c r="AO24" s="233"/>
      <c r="AP24" s="233"/>
      <c r="AQ24" s="233"/>
    </row>
    <row r="25" spans="1:43" ht="20.100000000000001" customHeight="1">
      <c r="A25" s="221"/>
      <c r="B25" s="222"/>
      <c r="C25" s="222"/>
      <c r="D25" s="222"/>
      <c r="E25" s="222"/>
      <c r="F25" s="253"/>
      <c r="G25" s="223"/>
      <c r="H25" s="168"/>
      <c r="I25" s="172"/>
      <c r="J25" s="251"/>
      <c r="K25" s="168"/>
      <c r="L25" s="168"/>
      <c r="M25" s="168"/>
      <c r="N25" s="240"/>
      <c r="O25" s="225"/>
      <c r="P25" s="225"/>
      <c r="Q25" s="172"/>
      <c r="R25" s="240"/>
      <c r="S25" s="172"/>
      <c r="T25" s="240"/>
      <c r="U25" s="172"/>
      <c r="V25" s="240"/>
      <c r="W25" s="226"/>
      <c r="X25" s="233"/>
      <c r="Y25" s="240"/>
      <c r="Z25" s="224"/>
      <c r="AA25" s="224"/>
      <c r="AB25" s="247"/>
      <c r="AC25" s="224"/>
      <c r="AD25" s="247"/>
      <c r="AE25" s="224"/>
      <c r="AF25" s="224"/>
      <c r="AG25" s="224"/>
      <c r="AH25" s="234"/>
      <c r="AI25" s="234"/>
      <c r="AJ25" s="249"/>
      <c r="AK25" s="233"/>
      <c r="AL25" s="233"/>
      <c r="AM25" s="233"/>
      <c r="AN25" s="249"/>
      <c r="AO25" s="233"/>
      <c r="AP25" s="233"/>
      <c r="AQ25" s="233"/>
    </row>
    <row r="26" spans="1:43" ht="20.100000000000001" customHeight="1">
      <c r="A26" s="221"/>
      <c r="B26" s="222"/>
      <c r="C26" s="222"/>
      <c r="D26" s="222"/>
      <c r="E26" s="222"/>
      <c r="F26" s="253"/>
      <c r="G26" s="223"/>
      <c r="H26" s="168"/>
      <c r="I26" s="172"/>
      <c r="J26" s="251"/>
      <c r="K26" s="168"/>
      <c r="L26" s="168"/>
      <c r="M26" s="168"/>
      <c r="N26" s="240"/>
      <c r="O26" s="225"/>
      <c r="P26" s="225"/>
      <c r="Q26" s="172"/>
      <c r="R26" s="240"/>
      <c r="S26" s="172"/>
      <c r="T26" s="240"/>
      <c r="U26" s="172"/>
      <c r="V26" s="240"/>
      <c r="W26" s="226"/>
      <c r="X26" s="224"/>
      <c r="Y26" s="240"/>
      <c r="Z26" s="224"/>
      <c r="AA26" s="224"/>
      <c r="AB26" s="247"/>
      <c r="AC26" s="224"/>
      <c r="AD26" s="247"/>
      <c r="AE26" s="224"/>
      <c r="AF26" s="224"/>
      <c r="AG26" s="224"/>
      <c r="AH26" s="234"/>
      <c r="AI26" s="234"/>
      <c r="AJ26" s="249"/>
      <c r="AK26" s="233"/>
      <c r="AL26" s="233"/>
      <c r="AM26" s="233"/>
      <c r="AN26" s="249"/>
      <c r="AO26" s="233"/>
      <c r="AP26" s="233"/>
      <c r="AQ26" s="233"/>
    </row>
    <row r="27" spans="1:43" s="170" customFormat="1" ht="20.100000000000001" customHeight="1">
      <c r="A27" s="228" t="s">
        <v>358</v>
      </c>
      <c r="B27" s="228"/>
      <c r="C27" s="228"/>
      <c r="D27" s="228"/>
      <c r="E27" s="229"/>
      <c r="F27" s="254"/>
      <c r="G27" s="230"/>
      <c r="H27" s="169">
        <f>SUM(H12:H26)</f>
        <v>0</v>
      </c>
      <c r="I27" s="238"/>
      <c r="J27" s="252"/>
      <c r="K27" s="169">
        <f>SUM(K12:K26)</f>
        <v>0</v>
      </c>
      <c r="L27" s="169">
        <f t="shared" ref="L27:M27" si="0">SUM(L12:L26)</f>
        <v>0</v>
      </c>
      <c r="M27" s="169">
        <f t="shared" si="0"/>
        <v>0</v>
      </c>
      <c r="N27" s="241"/>
      <c r="O27" s="232"/>
      <c r="P27" s="232"/>
      <c r="Q27" s="169">
        <f>SUM(Q12:Q26)</f>
        <v>0</v>
      </c>
      <c r="R27" s="243"/>
      <c r="S27" s="169">
        <f>SUM(S12:S26)</f>
        <v>0</v>
      </c>
      <c r="T27" s="243"/>
      <c r="U27" s="169">
        <f>SUM(U12:U26)</f>
        <v>0</v>
      </c>
      <c r="V27" s="244"/>
      <c r="W27" s="231"/>
      <c r="X27" s="235"/>
      <c r="Y27" s="241"/>
      <c r="Z27" s="237"/>
      <c r="AA27" s="237"/>
      <c r="AB27" s="248"/>
      <c r="AC27" s="237"/>
      <c r="AD27" s="248"/>
      <c r="AE27" s="237"/>
      <c r="AF27" s="237"/>
      <c r="AG27" s="237"/>
      <c r="AH27" s="236"/>
      <c r="AI27" s="236"/>
      <c r="AJ27" s="250"/>
      <c r="AK27" s="235"/>
      <c r="AL27" s="235"/>
      <c r="AM27" s="235"/>
      <c r="AN27" s="250"/>
      <c r="AO27" s="235"/>
      <c r="AP27" s="235"/>
      <c r="AQ27" s="246"/>
    </row>
    <row r="28" spans="1:43" s="170" customFormat="1" ht="20.100000000000001" customHeight="1">
      <c r="A28" s="228" t="s">
        <v>359</v>
      </c>
      <c r="B28" s="228"/>
      <c r="C28" s="228"/>
      <c r="D28" s="228"/>
      <c r="E28" s="229"/>
      <c r="F28" s="254"/>
      <c r="G28" s="230"/>
      <c r="H28" s="238"/>
      <c r="I28" s="238"/>
      <c r="J28" s="252"/>
      <c r="K28" s="171"/>
      <c r="L28" s="171"/>
      <c r="M28" s="169"/>
      <c r="N28" s="241"/>
      <c r="O28" s="232"/>
      <c r="P28" s="232"/>
      <c r="Q28" s="242"/>
      <c r="R28" s="244"/>
      <c r="S28" s="242"/>
      <c r="T28" s="244"/>
      <c r="U28" s="242"/>
      <c r="V28" s="244"/>
      <c r="W28" s="235"/>
      <c r="X28" s="235"/>
      <c r="Y28" s="241"/>
      <c r="Z28" s="237"/>
      <c r="AA28" s="237"/>
      <c r="AB28" s="248"/>
      <c r="AC28" s="237"/>
      <c r="AD28" s="248"/>
      <c r="AE28" s="237"/>
      <c r="AF28" s="237"/>
      <c r="AG28" s="237"/>
      <c r="AH28" s="236"/>
      <c r="AI28" s="236"/>
      <c r="AJ28" s="250"/>
      <c r="AK28" s="235"/>
      <c r="AL28" s="235"/>
      <c r="AM28" s="235"/>
      <c r="AN28" s="250"/>
      <c r="AO28" s="235"/>
      <c r="AP28" s="235"/>
      <c r="AQ28" s="235"/>
    </row>
    <row r="29" spans="1:43" s="170" customFormat="1" ht="20.100000000000001" customHeight="1">
      <c r="A29" s="228" t="s">
        <v>360</v>
      </c>
      <c r="B29" s="228"/>
      <c r="C29" s="228"/>
      <c r="D29" s="228"/>
      <c r="E29" s="229"/>
      <c r="F29" s="254"/>
      <c r="G29" s="230"/>
      <c r="H29" s="238"/>
      <c r="I29" s="238"/>
      <c r="J29" s="252"/>
      <c r="K29" s="239" t="e">
        <f>K27/K28</f>
        <v>#DIV/0!</v>
      </c>
      <c r="L29" s="169"/>
      <c r="M29" s="169"/>
      <c r="N29" s="241"/>
      <c r="O29" s="232"/>
      <c r="P29" s="232"/>
      <c r="Q29" s="242"/>
      <c r="R29" s="244"/>
      <c r="S29" s="242"/>
      <c r="T29" s="244"/>
      <c r="U29" s="242"/>
      <c r="V29" s="244"/>
      <c r="W29" s="235"/>
      <c r="X29" s="235"/>
      <c r="Y29" s="241"/>
      <c r="Z29" s="237"/>
      <c r="AA29" s="237"/>
      <c r="AB29" s="248"/>
      <c r="AC29" s="237"/>
      <c r="AD29" s="248"/>
      <c r="AE29" s="237"/>
      <c r="AF29" s="237"/>
      <c r="AG29" s="237"/>
      <c r="AH29" s="236"/>
      <c r="AI29" s="236"/>
      <c r="AJ29" s="250"/>
      <c r="AK29" s="235"/>
      <c r="AL29" s="235"/>
      <c r="AM29" s="235"/>
      <c r="AN29" s="250"/>
      <c r="AO29" s="235"/>
      <c r="AP29" s="235"/>
      <c r="AQ29" s="235"/>
    </row>
    <row r="30" spans="1:43" s="216" customFormat="1" ht="20.100000000000001" customHeight="1"/>
    <row r="31" spans="1:43" s="216" customFormat="1" ht="20.100000000000001" customHeight="1">
      <c r="A31" s="14" t="s">
        <v>79</v>
      </c>
    </row>
    <row r="32" spans="1:43" s="216" customFormat="1" ht="20.100000000000001" customHeight="1">
      <c r="A32" s="14"/>
    </row>
    <row r="33" spans="1:1" s="216" customFormat="1" ht="20.100000000000001" customHeight="1">
      <c r="A33" s="15"/>
    </row>
    <row r="34" spans="1:1" s="216" customFormat="1" ht="20.100000000000001" customHeight="1">
      <c r="A34" s="14" t="s">
        <v>80</v>
      </c>
    </row>
    <row r="35" spans="1:1" s="216" customFormat="1" ht="20.100000000000001" customHeight="1">
      <c r="A35" s="14"/>
    </row>
  </sheetData>
  <mergeCells count="13">
    <mergeCell ref="A27:D27"/>
    <mergeCell ref="A28:D28"/>
    <mergeCell ref="A29:D29"/>
    <mergeCell ref="A1:V1"/>
    <mergeCell ref="W1:AQ1"/>
    <mergeCell ref="A2:V2"/>
    <mergeCell ref="W2:AQ2"/>
    <mergeCell ref="A10:E10"/>
    <mergeCell ref="F10:O10"/>
    <mergeCell ref="P10:Z10"/>
    <mergeCell ref="AA10:AC10"/>
    <mergeCell ref="AD10:AG10"/>
    <mergeCell ref="AH10:AQ10"/>
  </mergeCells>
  <phoneticPr fontId="4" type="noConversion"/>
  <pageMargins left="0.70866141732283472" right="0.70866141732283472" top="0.74803149606299213" bottom="0.74803149606299213" header="0.31496062992125984" footer="0.31496062992125984"/>
  <pageSetup paperSize="9" scale="60" orientation="landscape" blackAndWhite="1" r:id="rId1"/>
  <headerFooter>
    <oddFooter>&amp;C&amp;P&amp;N</oddFooter>
  </headerFooter>
  <colBreaks count="1" manualBreakCount="1">
    <brk id="22" max="25"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rgb="FF00B050"/>
  </sheetPr>
  <dimension ref="A1:BM35"/>
  <sheetViews>
    <sheetView view="pageBreakPreview" zoomScaleNormal="100" zoomScaleSheetLayoutView="100" workbookViewId="0">
      <selection sqref="A1:X1"/>
    </sheetView>
  </sheetViews>
  <sheetFormatPr defaultColWidth="9" defaultRowHeight="20.100000000000001" customHeight="1"/>
  <cols>
    <col min="1" max="1" width="4.77734375" style="70" customWidth="1"/>
    <col min="2" max="5" width="9" style="70"/>
    <col min="6" max="6" width="10.44140625" style="70" bestFit="1" customWidth="1"/>
    <col min="7" max="7" width="9" style="70"/>
    <col min="8" max="8" width="8.5546875" style="70" customWidth="1"/>
    <col min="9" max="11" width="9" style="70"/>
    <col min="12" max="12" width="8.21875" style="70" customWidth="1"/>
    <col min="13" max="13" width="9" style="70"/>
    <col min="14" max="14" width="7.88671875" style="70" customWidth="1"/>
    <col min="15" max="15" width="9" style="70"/>
    <col min="16" max="16" width="7.33203125" style="70" customWidth="1"/>
    <col min="17" max="27" width="9" style="70"/>
    <col min="28" max="28" width="9.88671875" style="70" customWidth="1"/>
    <col min="29" max="31" width="10.77734375" style="70" bestFit="1" customWidth="1"/>
    <col min="32" max="32" width="8.5546875" style="70" customWidth="1"/>
    <col min="33" max="53" width="9" style="70"/>
    <col min="54" max="54" width="9.33203125" style="70" customWidth="1"/>
    <col min="55" max="55" width="9" style="70"/>
    <col min="56" max="56" width="7.33203125" style="70" customWidth="1"/>
    <col min="57" max="16384" width="9" style="70"/>
  </cols>
  <sheetData>
    <row r="1" spans="1:65" s="57" customFormat="1" ht="20.100000000000001" customHeight="1">
      <c r="A1" s="197" t="s">
        <v>158</v>
      </c>
      <c r="B1" s="197"/>
      <c r="C1" s="197"/>
      <c r="D1" s="197"/>
      <c r="E1" s="197"/>
      <c r="F1" s="197"/>
      <c r="G1" s="197"/>
      <c r="H1" s="197"/>
      <c r="I1" s="197"/>
      <c r="J1" s="197"/>
      <c r="K1" s="197"/>
      <c r="L1" s="197"/>
      <c r="M1" s="197"/>
      <c r="N1" s="197"/>
      <c r="O1" s="197"/>
      <c r="P1" s="197"/>
      <c r="Q1" s="197"/>
      <c r="R1" s="197"/>
      <c r="S1" s="197"/>
      <c r="T1" s="197"/>
      <c r="U1" s="197"/>
      <c r="V1" s="197"/>
      <c r="W1" s="197"/>
      <c r="X1" s="197"/>
      <c r="Y1" s="197" t="s">
        <v>159</v>
      </c>
      <c r="Z1" s="197"/>
      <c r="AA1" s="197"/>
      <c r="AB1" s="197"/>
      <c r="AC1" s="197"/>
      <c r="AD1" s="197"/>
      <c r="AE1" s="197"/>
      <c r="AF1" s="197"/>
      <c r="AG1" s="197"/>
      <c r="AH1" s="197"/>
      <c r="AI1" s="197"/>
      <c r="AJ1" s="197"/>
      <c r="AK1" s="197"/>
      <c r="AL1" s="197"/>
      <c r="AM1" s="197"/>
      <c r="AN1" s="197"/>
      <c r="AO1" s="197" t="s">
        <v>159</v>
      </c>
      <c r="AP1" s="197"/>
      <c r="AQ1" s="197"/>
      <c r="AR1" s="197"/>
      <c r="AS1" s="197"/>
      <c r="AT1" s="197"/>
      <c r="AU1" s="197"/>
      <c r="AV1" s="197"/>
      <c r="AW1" s="197"/>
      <c r="AX1" s="197"/>
      <c r="AY1" s="197"/>
      <c r="AZ1" s="197"/>
      <c r="BA1" s="197"/>
      <c r="BB1" s="197"/>
      <c r="BC1" s="197"/>
      <c r="BD1" s="197"/>
      <c r="BE1" s="56"/>
      <c r="BF1" s="56"/>
      <c r="BG1" s="56"/>
      <c r="BH1" s="56"/>
      <c r="BI1" s="56"/>
      <c r="BJ1" s="56"/>
      <c r="BK1" s="56"/>
      <c r="BL1" s="56"/>
      <c r="BM1" s="56"/>
    </row>
    <row r="2" spans="1:65" s="57" customFormat="1" ht="20.100000000000001" customHeight="1">
      <c r="A2" s="198" t="s">
        <v>160</v>
      </c>
      <c r="B2" s="198"/>
      <c r="C2" s="198"/>
      <c r="D2" s="198"/>
      <c r="E2" s="198"/>
      <c r="F2" s="198"/>
      <c r="G2" s="198"/>
      <c r="H2" s="198"/>
      <c r="I2" s="198"/>
      <c r="J2" s="198"/>
      <c r="K2" s="198"/>
      <c r="L2" s="198"/>
      <c r="M2" s="198"/>
      <c r="N2" s="198"/>
      <c r="O2" s="198"/>
      <c r="P2" s="198"/>
      <c r="Q2" s="198"/>
      <c r="R2" s="198"/>
      <c r="S2" s="198"/>
      <c r="T2" s="198"/>
      <c r="U2" s="198"/>
      <c r="V2" s="198"/>
      <c r="W2" s="198"/>
      <c r="X2" s="198"/>
      <c r="Y2" s="198" t="s">
        <v>161</v>
      </c>
      <c r="Z2" s="198"/>
      <c r="AA2" s="198"/>
      <c r="AB2" s="198"/>
      <c r="AC2" s="198"/>
      <c r="AD2" s="198"/>
      <c r="AE2" s="198"/>
      <c r="AF2" s="198"/>
      <c r="AG2" s="198"/>
      <c r="AH2" s="198"/>
      <c r="AI2" s="198"/>
      <c r="AJ2" s="198"/>
      <c r="AK2" s="198"/>
      <c r="AL2" s="198"/>
      <c r="AM2" s="198"/>
      <c r="AN2" s="198"/>
      <c r="AO2" s="198" t="s">
        <v>162</v>
      </c>
      <c r="AP2" s="198"/>
      <c r="AQ2" s="198"/>
      <c r="AR2" s="198"/>
      <c r="AS2" s="198"/>
      <c r="AT2" s="198"/>
      <c r="AU2" s="198"/>
      <c r="AV2" s="198"/>
      <c r="AW2" s="198"/>
      <c r="AX2" s="198"/>
      <c r="AY2" s="198"/>
      <c r="AZ2" s="198"/>
      <c r="BA2" s="198"/>
      <c r="BB2" s="198"/>
      <c r="BC2" s="198"/>
      <c r="BD2" s="198"/>
      <c r="BE2" s="58"/>
      <c r="BF2" s="58"/>
      <c r="BG2" s="58"/>
      <c r="BH2" s="58"/>
      <c r="BI2" s="58"/>
      <c r="BJ2" s="58"/>
      <c r="BK2" s="58"/>
      <c r="BL2" s="58"/>
      <c r="BM2" s="58"/>
    </row>
    <row r="3" spans="1:65" s="39" customFormat="1" ht="20.100000000000001" customHeight="1">
      <c r="A3" s="37" t="str">
        <f>[1]底稿目录!$A$2</f>
        <v>被审计单位：</v>
      </c>
      <c r="B3" s="43"/>
      <c r="C3" s="43"/>
      <c r="D3" s="43"/>
      <c r="E3" s="43"/>
      <c r="F3" s="43"/>
      <c r="G3" s="43"/>
      <c r="H3" s="43"/>
      <c r="I3" s="43"/>
      <c r="J3" s="2" t="str">
        <f>[1]底稿目录!$A$4</f>
        <v>编制人：</v>
      </c>
      <c r="K3" s="43"/>
      <c r="L3" s="43"/>
      <c r="M3" s="43"/>
      <c r="N3" s="38"/>
      <c r="P3" s="40" t="str">
        <f>[1]底稿目录!$A$5</f>
        <v>编制日期：</v>
      </c>
      <c r="R3" s="41"/>
      <c r="S3" s="43"/>
      <c r="T3" s="43"/>
      <c r="U3" s="43"/>
      <c r="V3" s="43"/>
      <c r="W3" s="59" t="s">
        <v>163</v>
      </c>
      <c r="X3" s="60" t="s">
        <v>106</v>
      </c>
      <c r="Y3" s="37" t="str">
        <f>[1]底稿目录!$A$2</f>
        <v>被审计单位：</v>
      </c>
      <c r="Z3" s="43"/>
      <c r="AA3" s="43"/>
      <c r="AB3" s="43"/>
      <c r="AC3" s="43"/>
      <c r="AD3" s="43" t="str">
        <f>[1]底稿目录!$A$4</f>
        <v>编制人：</v>
      </c>
      <c r="AE3" s="43"/>
      <c r="AF3" s="43"/>
      <c r="AG3" s="43"/>
      <c r="AH3" s="40" t="str">
        <f>[1]底稿目录!$A$5</f>
        <v>编制日期：</v>
      </c>
      <c r="AI3" s="43"/>
      <c r="AJ3" s="43"/>
      <c r="AK3" s="43"/>
      <c r="AL3" s="38"/>
      <c r="AM3" s="61" t="s">
        <v>164</v>
      </c>
      <c r="AN3" s="60" t="s">
        <v>106</v>
      </c>
      <c r="AO3" s="37" t="str">
        <f>[1]底稿目录!$A$2</f>
        <v>被审计单位：</v>
      </c>
      <c r="AP3" s="43"/>
      <c r="AQ3" s="43"/>
      <c r="AR3" s="43"/>
      <c r="AS3" s="43"/>
      <c r="AT3" s="43" t="str">
        <f>[1]底稿目录!$A$4</f>
        <v>编制人：</v>
      </c>
      <c r="AU3" s="43"/>
      <c r="AV3" s="43"/>
      <c r="AW3" s="43"/>
      <c r="AX3" s="40" t="str">
        <f>[1]底稿目录!$A$5</f>
        <v>编制日期：</v>
      </c>
      <c r="AY3" s="43"/>
      <c r="AZ3" s="43"/>
      <c r="BA3" s="43"/>
      <c r="BB3" s="43"/>
      <c r="BC3" s="42" t="s">
        <v>105</v>
      </c>
      <c r="BD3" s="62" t="s">
        <v>165</v>
      </c>
      <c r="BE3" s="43"/>
      <c r="BF3" s="43"/>
      <c r="BG3" s="43"/>
      <c r="BH3" s="43"/>
      <c r="BI3" s="43"/>
      <c r="BJ3" s="43"/>
      <c r="BK3" s="43"/>
      <c r="BL3" s="45"/>
      <c r="BM3" s="62"/>
    </row>
    <row r="4" spans="1:65" s="39" customFormat="1" ht="20.100000000000001" customHeight="1">
      <c r="A4" s="37" t="str">
        <f>[1]底稿目录!$A$3</f>
        <v>会计期间：202X年度</v>
      </c>
      <c r="B4" s="43"/>
      <c r="C4" s="43"/>
      <c r="D4" s="43"/>
      <c r="E4" s="43"/>
      <c r="F4" s="43"/>
      <c r="G4" s="43"/>
      <c r="H4" s="43"/>
      <c r="I4" s="43"/>
      <c r="J4" s="2" t="str">
        <f>[1]底稿目录!$A$6</f>
        <v>复核人：</v>
      </c>
      <c r="K4" s="43"/>
      <c r="L4" s="43"/>
      <c r="M4" s="43"/>
      <c r="N4" s="38"/>
      <c r="P4" s="40" t="str">
        <f>[1]底稿目录!$A$7</f>
        <v>复核日期：</v>
      </c>
      <c r="R4" s="41"/>
      <c r="S4" s="43"/>
      <c r="T4" s="43"/>
      <c r="U4" s="43"/>
      <c r="V4" s="43"/>
      <c r="W4" s="59" t="s">
        <v>166</v>
      </c>
      <c r="X4" s="63"/>
      <c r="Y4" s="37" t="str">
        <f>[1]底稿目录!$A$3</f>
        <v>会计期间：202X年度</v>
      </c>
      <c r="Z4" s="43"/>
      <c r="AA4" s="43"/>
      <c r="AB4" s="43"/>
      <c r="AC4" s="43"/>
      <c r="AD4" s="43" t="str">
        <f>[1]底稿目录!$A$6</f>
        <v>复核人：</v>
      </c>
      <c r="AE4" s="43"/>
      <c r="AF4" s="43"/>
      <c r="AG4" s="43"/>
      <c r="AH4" s="40" t="str">
        <f>[1]底稿目录!$A$7</f>
        <v>复核日期：</v>
      </c>
      <c r="AI4" s="43"/>
      <c r="AJ4" s="43"/>
      <c r="AK4" s="43"/>
      <c r="AL4" s="38"/>
      <c r="AM4" s="61" t="s">
        <v>167</v>
      </c>
      <c r="AN4" s="63"/>
      <c r="AO4" s="37" t="str">
        <f>[1]底稿目录!$A$3</f>
        <v>会计期间：202X年度</v>
      </c>
      <c r="AP4" s="43"/>
      <c r="AQ4" s="43"/>
      <c r="AR4" s="43"/>
      <c r="AS4" s="43"/>
      <c r="AT4" s="43" t="str">
        <f>[1]底稿目录!$A$6</f>
        <v>复核人：</v>
      </c>
      <c r="AU4" s="43"/>
      <c r="AV4" s="43"/>
      <c r="AW4" s="43"/>
      <c r="AX4" s="40" t="str">
        <f>[1]底稿目录!$A$7</f>
        <v>复核日期：</v>
      </c>
      <c r="AY4" s="43"/>
      <c r="AZ4" s="43"/>
      <c r="BA4" s="43"/>
      <c r="BB4" s="43"/>
      <c r="BC4" s="42" t="s">
        <v>107</v>
      </c>
      <c r="BD4" s="43"/>
      <c r="BE4" s="43"/>
      <c r="BF4" s="43"/>
      <c r="BG4" s="43"/>
      <c r="BH4" s="43"/>
      <c r="BI4" s="43"/>
      <c r="BJ4" s="43"/>
      <c r="BK4" s="43"/>
      <c r="BL4" s="45"/>
      <c r="BM4" s="43"/>
    </row>
    <row r="5" spans="1:65" s="65" customFormat="1" ht="20.100000000000001" customHeight="1">
      <c r="A5" s="44" t="s">
        <v>108</v>
      </c>
      <c r="B5" s="64"/>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row>
    <row r="6" spans="1:65" s="65" customFormat="1" ht="20.100000000000001" customHeight="1">
      <c r="A6" s="6" t="s">
        <v>168</v>
      </c>
      <c r="B6" s="66"/>
      <c r="C6" s="66"/>
      <c r="D6" s="66"/>
      <c r="E6" s="66"/>
      <c r="F6" s="66"/>
      <c r="G6" s="66"/>
      <c r="H6" s="66"/>
      <c r="I6" s="66"/>
      <c r="J6" s="66"/>
      <c r="K6" s="66"/>
      <c r="L6" s="66"/>
      <c r="M6" s="66"/>
      <c r="N6" s="66"/>
      <c r="O6" s="66"/>
      <c r="P6" s="66"/>
      <c r="Q6" s="66"/>
      <c r="R6" s="67"/>
      <c r="S6" s="67"/>
      <c r="T6" s="67"/>
      <c r="U6" s="67"/>
    </row>
    <row r="7" spans="1:65" s="69" customFormat="1" ht="20.100000000000001" customHeight="1">
      <c r="A7" s="68" t="s">
        <v>169</v>
      </c>
      <c r="B7" s="68"/>
      <c r="C7" s="68"/>
      <c r="D7" s="68"/>
      <c r="E7" s="68"/>
      <c r="F7" s="68"/>
      <c r="G7" s="68"/>
      <c r="H7" s="68"/>
      <c r="N7" s="65"/>
      <c r="O7" s="65"/>
      <c r="P7" s="65"/>
      <c r="Q7" s="65"/>
      <c r="R7" s="65"/>
      <c r="S7" s="65"/>
      <c r="T7" s="65"/>
      <c r="U7" s="65"/>
    </row>
    <row r="8" spans="1:65" ht="20.100000000000001" customHeight="1">
      <c r="A8" s="6" t="s">
        <v>170</v>
      </c>
    </row>
    <row r="9" spans="1:65" ht="20.100000000000001" customHeight="1">
      <c r="A9" s="6" t="s">
        <v>171</v>
      </c>
    </row>
    <row r="10" spans="1:65" ht="20.100000000000001" customHeight="1">
      <c r="A10" s="6" t="s">
        <v>172</v>
      </c>
    </row>
    <row r="11" spans="1:65" s="72" customFormat="1" ht="20.100000000000001" customHeight="1">
      <c r="A11" s="194" t="s">
        <v>173</v>
      </c>
      <c r="B11" s="193" t="s">
        <v>174</v>
      </c>
      <c r="C11" s="193"/>
      <c r="D11" s="193"/>
      <c r="E11" s="193"/>
      <c r="F11" s="193"/>
      <c r="G11" s="193"/>
      <c r="H11" s="193"/>
      <c r="I11" s="193"/>
      <c r="J11" s="193"/>
      <c r="K11" s="193"/>
      <c r="L11" s="193"/>
      <c r="M11" s="193"/>
      <c r="N11" s="193" t="s">
        <v>175</v>
      </c>
      <c r="O11" s="193"/>
      <c r="P11" s="193"/>
      <c r="Q11" s="193"/>
      <c r="R11" s="193"/>
      <c r="S11" s="193"/>
      <c r="T11" s="193"/>
      <c r="U11" s="193"/>
      <c r="V11" s="193"/>
      <c r="W11" s="193"/>
      <c r="X11" s="193"/>
      <c r="Y11" s="193" t="s">
        <v>176</v>
      </c>
      <c r="Z11" s="193"/>
      <c r="AA11" s="193"/>
      <c r="AB11" s="193"/>
      <c r="AC11" s="193"/>
      <c r="AD11" s="193"/>
      <c r="AE11" s="193"/>
      <c r="AF11" s="193"/>
      <c r="AG11" s="193"/>
      <c r="AH11" s="193"/>
      <c r="AI11" s="193"/>
      <c r="AJ11" s="193"/>
      <c r="AK11" s="193"/>
      <c r="AL11" s="193"/>
      <c r="AM11" s="193"/>
      <c r="AN11" s="193"/>
      <c r="AO11" s="195" t="s">
        <v>177</v>
      </c>
      <c r="AP11" s="196"/>
      <c r="AQ11" s="196"/>
      <c r="AR11" s="193" t="s">
        <v>178</v>
      </c>
      <c r="AS11" s="193"/>
      <c r="AT11" s="71"/>
      <c r="AU11" s="193" t="s">
        <v>179</v>
      </c>
      <c r="AV11" s="193"/>
      <c r="AW11" s="193" t="s">
        <v>180</v>
      </c>
      <c r="AX11" s="193"/>
      <c r="AY11" s="193"/>
      <c r="AZ11" s="193"/>
      <c r="BA11" s="193"/>
      <c r="BB11" s="193"/>
      <c r="BC11" s="193"/>
      <c r="BD11" s="194" t="s">
        <v>181</v>
      </c>
      <c r="BJ11" s="73"/>
    </row>
    <row r="12" spans="1:65" s="72" customFormat="1" ht="82.5" customHeight="1">
      <c r="A12" s="194"/>
      <c r="B12" s="74" t="s">
        <v>182</v>
      </c>
      <c r="C12" s="74" t="s">
        <v>120</v>
      </c>
      <c r="D12" s="74" t="s">
        <v>183</v>
      </c>
      <c r="E12" s="74" t="s">
        <v>184</v>
      </c>
      <c r="F12" s="75" t="s">
        <v>185</v>
      </c>
      <c r="G12" s="75" t="s">
        <v>186</v>
      </c>
      <c r="H12" s="76" t="s">
        <v>187</v>
      </c>
      <c r="I12" s="76" t="s">
        <v>188</v>
      </c>
      <c r="J12" s="74" t="s">
        <v>189</v>
      </c>
      <c r="K12" s="74" t="s">
        <v>190</v>
      </c>
      <c r="L12" s="74" t="s">
        <v>191</v>
      </c>
      <c r="M12" s="74" t="s">
        <v>192</v>
      </c>
      <c r="N12" s="74" t="s">
        <v>193</v>
      </c>
      <c r="O12" s="74" t="s">
        <v>194</v>
      </c>
      <c r="P12" s="74" t="s">
        <v>195</v>
      </c>
      <c r="Q12" s="74" t="s">
        <v>196</v>
      </c>
      <c r="R12" s="74" t="s">
        <v>197</v>
      </c>
      <c r="S12" s="74" t="s">
        <v>198</v>
      </c>
      <c r="T12" s="74" t="s">
        <v>199</v>
      </c>
      <c r="U12" s="74" t="s">
        <v>200</v>
      </c>
      <c r="V12" s="74" t="s">
        <v>201</v>
      </c>
      <c r="W12" s="74" t="s">
        <v>202</v>
      </c>
      <c r="X12" s="77" t="s">
        <v>203</v>
      </c>
      <c r="Y12" s="74" t="s">
        <v>204</v>
      </c>
      <c r="Z12" s="74" t="s">
        <v>205</v>
      </c>
      <c r="AA12" s="74" t="s">
        <v>206</v>
      </c>
      <c r="AB12" s="74" t="s">
        <v>207</v>
      </c>
      <c r="AC12" s="74" t="s">
        <v>208</v>
      </c>
      <c r="AD12" s="74" t="s">
        <v>209</v>
      </c>
      <c r="AE12" s="74" t="s">
        <v>210</v>
      </c>
      <c r="AF12" s="77" t="s">
        <v>211</v>
      </c>
      <c r="AG12" s="74" t="s">
        <v>212</v>
      </c>
      <c r="AH12" s="74" t="s">
        <v>213</v>
      </c>
      <c r="AI12" s="74" t="s">
        <v>214</v>
      </c>
      <c r="AJ12" s="74" t="s">
        <v>215</v>
      </c>
      <c r="AK12" s="74" t="s">
        <v>216</v>
      </c>
      <c r="AL12" s="74" t="s">
        <v>217</v>
      </c>
      <c r="AM12" s="74" t="s">
        <v>218</v>
      </c>
      <c r="AN12" s="74" t="s">
        <v>219</v>
      </c>
      <c r="AO12" s="74" t="s">
        <v>220</v>
      </c>
      <c r="AP12" s="74" t="s">
        <v>221</v>
      </c>
      <c r="AQ12" s="74" t="s">
        <v>222</v>
      </c>
      <c r="AR12" s="74" t="s">
        <v>223</v>
      </c>
      <c r="AS12" s="74" t="s">
        <v>224</v>
      </c>
      <c r="AT12" s="74" t="s">
        <v>222</v>
      </c>
      <c r="AU12" s="74" t="s">
        <v>225</v>
      </c>
      <c r="AV12" s="74" t="s">
        <v>226</v>
      </c>
      <c r="AW12" s="74" t="s">
        <v>227</v>
      </c>
      <c r="AX12" s="74" t="s">
        <v>228</v>
      </c>
      <c r="AY12" s="74" t="s">
        <v>229</v>
      </c>
      <c r="AZ12" s="74" t="s">
        <v>230</v>
      </c>
      <c r="BA12" s="74" t="s">
        <v>231</v>
      </c>
      <c r="BB12" s="74" t="s">
        <v>232</v>
      </c>
      <c r="BC12" s="74" t="s">
        <v>233</v>
      </c>
      <c r="BD12" s="194"/>
      <c r="BE12" s="73"/>
      <c r="BJ12" s="73"/>
    </row>
    <row r="13" spans="1:65" s="92" customFormat="1" ht="20.100000000000001" customHeight="1">
      <c r="A13" s="255"/>
      <c r="B13" s="255"/>
      <c r="C13" s="255"/>
      <c r="D13" s="273"/>
      <c r="E13" s="256"/>
      <c r="F13" s="266"/>
      <c r="G13" s="266"/>
      <c r="H13" s="275"/>
      <c r="I13" s="275"/>
      <c r="J13" s="272"/>
      <c r="K13" s="272"/>
      <c r="L13" s="278"/>
      <c r="M13" s="279"/>
      <c r="N13" s="272"/>
      <c r="O13" s="272"/>
      <c r="P13" s="272"/>
      <c r="Q13" s="279"/>
      <c r="R13" s="272"/>
      <c r="S13" s="272"/>
      <c r="T13" s="272"/>
      <c r="U13" s="272"/>
      <c r="V13" s="272"/>
      <c r="W13" s="272"/>
      <c r="X13" s="266"/>
      <c r="Y13" s="272"/>
      <c r="Z13" s="272"/>
      <c r="AA13" s="272"/>
      <c r="AB13" s="257"/>
      <c r="AC13" s="257"/>
      <c r="AD13" s="257"/>
      <c r="AE13" s="257"/>
      <c r="AF13" s="257"/>
      <c r="AG13" s="258"/>
      <c r="AH13" s="258"/>
      <c r="AI13" s="258"/>
      <c r="AJ13" s="257"/>
      <c r="AK13" s="257"/>
      <c r="AL13" s="257"/>
      <c r="AM13" s="257"/>
      <c r="AN13" s="257"/>
      <c r="AO13" s="255"/>
      <c r="AP13" s="255"/>
      <c r="AQ13" s="255"/>
      <c r="AR13" s="268">
        <f t="shared" ref="AR13:AR25" si="0">AO13+X13</f>
        <v>0</v>
      </c>
      <c r="AS13" s="268">
        <f t="shared" ref="AS13:AS25" si="1">AP13+Z13</f>
        <v>0</v>
      </c>
      <c r="AT13" s="255"/>
      <c r="AU13" s="255"/>
      <c r="AV13" s="255"/>
      <c r="AW13" s="255"/>
      <c r="AX13" s="255"/>
      <c r="AY13" s="255"/>
      <c r="AZ13" s="255"/>
      <c r="BA13" s="272"/>
      <c r="BB13" s="272"/>
      <c r="BC13" s="255"/>
      <c r="BD13" s="255"/>
      <c r="BE13" s="91"/>
      <c r="BJ13" s="91"/>
    </row>
    <row r="14" spans="1:65" s="92" customFormat="1" ht="20.100000000000001" customHeight="1">
      <c r="A14" s="259"/>
      <c r="B14" s="255"/>
      <c r="C14" s="259"/>
      <c r="D14" s="256"/>
      <c r="E14" s="256"/>
      <c r="F14" s="266"/>
      <c r="G14" s="266"/>
      <c r="H14" s="275"/>
      <c r="I14" s="275"/>
      <c r="J14" s="272"/>
      <c r="K14" s="272"/>
      <c r="L14" s="278"/>
      <c r="M14" s="279"/>
      <c r="N14" s="272"/>
      <c r="O14" s="272"/>
      <c r="P14" s="272"/>
      <c r="Q14" s="279"/>
      <c r="R14" s="272"/>
      <c r="S14" s="272"/>
      <c r="T14" s="272"/>
      <c r="U14" s="272"/>
      <c r="V14" s="272"/>
      <c r="W14" s="272"/>
      <c r="X14" s="266"/>
      <c r="Y14" s="272"/>
      <c r="Z14" s="272"/>
      <c r="AA14" s="272"/>
      <c r="AB14" s="267" t="e">
        <f>Y14/J14</f>
        <v>#DIV/0!</v>
      </c>
      <c r="AC14" s="267" t="e">
        <f>AA14/J14</f>
        <v>#DIV/0!</v>
      </c>
      <c r="AD14" s="268" t="e">
        <f>AB14*G14</f>
        <v>#DIV/0!</v>
      </c>
      <c r="AE14" s="268" t="e">
        <f>AC14*G14</f>
        <v>#DIV/0!</v>
      </c>
      <c r="AF14" s="268" t="e">
        <f>AE14-AD14</f>
        <v>#DIV/0!</v>
      </c>
      <c r="AG14" s="270">
        <f>R14*1-T14</f>
        <v>0</v>
      </c>
      <c r="AH14" s="270" t="e">
        <f t="shared" ref="AH14:AH25" si="2">IF(AE14-R14&gt;0,AE14-R14,0)</f>
        <v>#DIV/0!</v>
      </c>
      <c r="AI14" s="270" t="e">
        <f t="shared" ref="AI14:AI25" si="3">IF(R14-AE14&lt;0,0,R14-AE14)</f>
        <v>#DIV/0!</v>
      </c>
      <c r="AJ14" s="270">
        <f t="shared" ref="AJ14:AJ25" si="4">IF(G14-J14&lt;0,(J14-G14)*(1-AC14),0)</f>
        <v>0</v>
      </c>
      <c r="AK14" s="270">
        <f t="shared" ref="AK14:AK25" si="5">AA14-P14</f>
        <v>0</v>
      </c>
      <c r="AL14" s="270">
        <f t="shared" ref="AL14:AL25" si="6">Z14-O14</f>
        <v>0</v>
      </c>
      <c r="AM14" s="268" t="e">
        <f t="shared" ref="AM14:AN25" si="7">AE14-W14</f>
        <v>#DIV/0!</v>
      </c>
      <c r="AN14" s="268" t="e">
        <f t="shared" si="7"/>
        <v>#DIV/0!</v>
      </c>
      <c r="AO14" s="271"/>
      <c r="AP14" s="271"/>
      <c r="AQ14" s="271"/>
      <c r="AR14" s="268">
        <f t="shared" si="0"/>
        <v>0</v>
      </c>
      <c r="AS14" s="268">
        <f t="shared" si="1"/>
        <v>0</v>
      </c>
      <c r="AT14" s="259"/>
      <c r="AU14" s="256"/>
      <c r="AV14" s="256"/>
      <c r="AW14" s="256"/>
      <c r="AX14" s="256"/>
      <c r="AY14" s="256"/>
      <c r="AZ14" s="256"/>
      <c r="BA14" s="272"/>
      <c r="BB14" s="272"/>
      <c r="BC14" s="256"/>
      <c r="BD14" s="255"/>
      <c r="BE14" s="91"/>
      <c r="BJ14" s="91"/>
    </row>
    <row r="15" spans="1:65" s="92" customFormat="1" ht="20.100000000000001" customHeight="1">
      <c r="A15" s="259"/>
      <c r="B15" s="255"/>
      <c r="C15" s="259"/>
      <c r="D15" s="256"/>
      <c r="E15" s="256"/>
      <c r="F15" s="274"/>
      <c r="G15" s="274"/>
      <c r="H15" s="276"/>
      <c r="I15" s="276"/>
      <c r="J15" s="274"/>
      <c r="K15" s="274"/>
      <c r="L15" s="276"/>
      <c r="M15" s="282"/>
      <c r="N15" s="274"/>
      <c r="O15" s="271"/>
      <c r="P15" s="271"/>
      <c r="Q15" s="280"/>
      <c r="R15" s="271"/>
      <c r="S15" s="271"/>
      <c r="T15" s="271"/>
      <c r="U15" s="271"/>
      <c r="V15" s="274"/>
      <c r="W15" s="274"/>
      <c r="X15" s="274"/>
      <c r="Y15" s="274"/>
      <c r="Z15" s="274"/>
      <c r="AA15" s="274"/>
      <c r="AB15" s="267" t="e">
        <f>Y15/J15</f>
        <v>#DIV/0!</v>
      </c>
      <c r="AC15" s="267" t="e">
        <f t="shared" ref="AC15:AC25" si="8">AA15/J15</f>
        <v>#DIV/0!</v>
      </c>
      <c r="AD15" s="268" t="e">
        <f t="shared" ref="AD14:AD25" si="9">AB15*G15</f>
        <v>#DIV/0!</v>
      </c>
      <c r="AE15" s="268" t="e">
        <f t="shared" ref="AE14:AE25" si="10">AC15*G15</f>
        <v>#DIV/0!</v>
      </c>
      <c r="AF15" s="268" t="e">
        <f t="shared" ref="AF14:AF25" si="11">AE15-AD15</f>
        <v>#DIV/0!</v>
      </c>
      <c r="AG15" s="270">
        <f t="shared" ref="AG15:AG25" si="12">R15*1.1-T15</f>
        <v>0</v>
      </c>
      <c r="AH15" s="270" t="e">
        <f t="shared" si="2"/>
        <v>#DIV/0!</v>
      </c>
      <c r="AI15" s="270" t="e">
        <f t="shared" si="3"/>
        <v>#DIV/0!</v>
      </c>
      <c r="AJ15" s="270">
        <f t="shared" si="4"/>
        <v>0</v>
      </c>
      <c r="AK15" s="270">
        <f t="shared" si="5"/>
        <v>0</v>
      </c>
      <c r="AL15" s="270">
        <f t="shared" si="6"/>
        <v>0</v>
      </c>
      <c r="AM15" s="268" t="e">
        <f t="shared" si="7"/>
        <v>#DIV/0!</v>
      </c>
      <c r="AN15" s="268" t="e">
        <f t="shared" si="7"/>
        <v>#DIV/0!</v>
      </c>
      <c r="AO15" s="271"/>
      <c r="AP15" s="271"/>
      <c r="AQ15" s="271"/>
      <c r="AR15" s="268">
        <f t="shared" si="0"/>
        <v>0</v>
      </c>
      <c r="AS15" s="268">
        <f t="shared" si="1"/>
        <v>0</v>
      </c>
      <c r="AT15" s="259"/>
      <c r="AU15" s="256"/>
      <c r="AV15" s="256"/>
      <c r="AW15" s="256"/>
      <c r="AX15" s="256"/>
      <c r="AY15" s="256"/>
      <c r="AZ15" s="256"/>
      <c r="BA15" s="272"/>
      <c r="BB15" s="272"/>
      <c r="BC15" s="256"/>
      <c r="BD15" s="255"/>
      <c r="BE15" s="91"/>
      <c r="BJ15" s="91"/>
    </row>
    <row r="16" spans="1:65" s="92" customFormat="1" ht="20.100000000000001" customHeight="1">
      <c r="A16" s="259"/>
      <c r="B16" s="255"/>
      <c r="C16" s="259"/>
      <c r="D16" s="256"/>
      <c r="E16" s="256"/>
      <c r="F16" s="274"/>
      <c r="G16" s="274"/>
      <c r="H16" s="276"/>
      <c r="I16" s="276"/>
      <c r="J16" s="274"/>
      <c r="K16" s="274"/>
      <c r="L16" s="276"/>
      <c r="M16" s="282"/>
      <c r="N16" s="274"/>
      <c r="O16" s="271"/>
      <c r="P16" s="271"/>
      <c r="Q16" s="280"/>
      <c r="R16" s="271"/>
      <c r="S16" s="271"/>
      <c r="T16" s="271"/>
      <c r="U16" s="271"/>
      <c r="V16" s="274"/>
      <c r="W16" s="274"/>
      <c r="X16" s="274"/>
      <c r="Y16" s="274"/>
      <c r="Z16" s="274"/>
      <c r="AA16" s="274"/>
      <c r="AB16" s="267" t="e">
        <f t="shared" ref="AB15:AB25" si="13">Y16/J16</f>
        <v>#DIV/0!</v>
      </c>
      <c r="AC16" s="267" t="e">
        <f t="shared" si="8"/>
        <v>#DIV/0!</v>
      </c>
      <c r="AD16" s="268" t="e">
        <f t="shared" si="9"/>
        <v>#DIV/0!</v>
      </c>
      <c r="AE16" s="268" t="e">
        <f t="shared" si="10"/>
        <v>#DIV/0!</v>
      </c>
      <c r="AF16" s="268" t="e">
        <f t="shared" si="11"/>
        <v>#DIV/0!</v>
      </c>
      <c r="AG16" s="270">
        <f t="shared" si="12"/>
        <v>0</v>
      </c>
      <c r="AH16" s="270" t="e">
        <f t="shared" si="2"/>
        <v>#DIV/0!</v>
      </c>
      <c r="AI16" s="270" t="e">
        <f t="shared" si="3"/>
        <v>#DIV/0!</v>
      </c>
      <c r="AJ16" s="270">
        <f t="shared" si="4"/>
        <v>0</v>
      </c>
      <c r="AK16" s="270">
        <f t="shared" si="5"/>
        <v>0</v>
      </c>
      <c r="AL16" s="270">
        <f t="shared" si="6"/>
        <v>0</v>
      </c>
      <c r="AM16" s="268" t="e">
        <f t="shared" si="7"/>
        <v>#DIV/0!</v>
      </c>
      <c r="AN16" s="268" t="e">
        <f t="shared" si="7"/>
        <v>#DIV/0!</v>
      </c>
      <c r="AO16" s="271"/>
      <c r="AP16" s="271"/>
      <c r="AQ16" s="271"/>
      <c r="AR16" s="268">
        <f t="shared" si="0"/>
        <v>0</v>
      </c>
      <c r="AS16" s="268">
        <f t="shared" si="1"/>
        <v>0</v>
      </c>
      <c r="AT16" s="259"/>
      <c r="AU16" s="256"/>
      <c r="AV16" s="256"/>
      <c r="AW16" s="256"/>
      <c r="AX16" s="256"/>
      <c r="AY16" s="256"/>
      <c r="AZ16" s="256"/>
      <c r="BA16" s="272"/>
      <c r="BB16" s="272"/>
      <c r="BC16" s="256"/>
      <c r="BD16" s="255"/>
      <c r="BE16" s="91"/>
      <c r="BJ16" s="91"/>
    </row>
    <row r="17" spans="1:62" s="92" customFormat="1" ht="20.100000000000001" customHeight="1">
      <c r="A17" s="259"/>
      <c r="B17" s="255"/>
      <c r="C17" s="259"/>
      <c r="D17" s="256"/>
      <c r="E17" s="256"/>
      <c r="F17" s="274"/>
      <c r="G17" s="274"/>
      <c r="H17" s="276"/>
      <c r="I17" s="276"/>
      <c r="J17" s="274"/>
      <c r="K17" s="274"/>
      <c r="L17" s="276"/>
      <c r="M17" s="282"/>
      <c r="N17" s="274"/>
      <c r="O17" s="271"/>
      <c r="P17" s="271"/>
      <c r="Q17" s="280"/>
      <c r="R17" s="271"/>
      <c r="S17" s="271"/>
      <c r="T17" s="271"/>
      <c r="U17" s="271"/>
      <c r="V17" s="274"/>
      <c r="W17" s="274"/>
      <c r="X17" s="274"/>
      <c r="Y17" s="274"/>
      <c r="Z17" s="274"/>
      <c r="AA17" s="274"/>
      <c r="AB17" s="267" t="e">
        <f t="shared" si="13"/>
        <v>#DIV/0!</v>
      </c>
      <c r="AC17" s="267" t="e">
        <f t="shared" si="8"/>
        <v>#DIV/0!</v>
      </c>
      <c r="AD17" s="268" t="e">
        <f t="shared" si="9"/>
        <v>#DIV/0!</v>
      </c>
      <c r="AE17" s="268" t="e">
        <f t="shared" si="10"/>
        <v>#DIV/0!</v>
      </c>
      <c r="AF17" s="268" t="e">
        <f t="shared" si="11"/>
        <v>#DIV/0!</v>
      </c>
      <c r="AG17" s="270">
        <f t="shared" si="12"/>
        <v>0</v>
      </c>
      <c r="AH17" s="270" t="e">
        <f t="shared" si="2"/>
        <v>#DIV/0!</v>
      </c>
      <c r="AI17" s="270" t="e">
        <f t="shared" si="3"/>
        <v>#DIV/0!</v>
      </c>
      <c r="AJ17" s="270">
        <f t="shared" si="4"/>
        <v>0</v>
      </c>
      <c r="AK17" s="270">
        <f t="shared" si="5"/>
        <v>0</v>
      </c>
      <c r="AL17" s="270">
        <f t="shared" si="6"/>
        <v>0</v>
      </c>
      <c r="AM17" s="268" t="e">
        <f t="shared" si="7"/>
        <v>#DIV/0!</v>
      </c>
      <c r="AN17" s="268" t="e">
        <f t="shared" si="7"/>
        <v>#DIV/0!</v>
      </c>
      <c r="AO17" s="271"/>
      <c r="AP17" s="271"/>
      <c r="AQ17" s="271"/>
      <c r="AR17" s="268">
        <f t="shared" si="0"/>
        <v>0</v>
      </c>
      <c r="AS17" s="268">
        <f t="shared" si="1"/>
        <v>0</v>
      </c>
      <c r="AT17" s="259"/>
      <c r="AU17" s="256"/>
      <c r="AV17" s="256"/>
      <c r="AW17" s="256"/>
      <c r="AX17" s="256"/>
      <c r="AY17" s="256"/>
      <c r="AZ17" s="256"/>
      <c r="BA17" s="272"/>
      <c r="BB17" s="272"/>
      <c r="BC17" s="256"/>
      <c r="BD17" s="255"/>
      <c r="BE17" s="91"/>
      <c r="BJ17" s="91"/>
    </row>
    <row r="18" spans="1:62" s="92" customFormat="1" ht="20.100000000000001" customHeight="1">
      <c r="A18" s="259"/>
      <c r="B18" s="255"/>
      <c r="C18" s="259"/>
      <c r="D18" s="256"/>
      <c r="E18" s="256"/>
      <c r="F18" s="274"/>
      <c r="G18" s="274"/>
      <c r="H18" s="276"/>
      <c r="I18" s="276"/>
      <c r="J18" s="274"/>
      <c r="K18" s="274"/>
      <c r="L18" s="276"/>
      <c r="M18" s="282"/>
      <c r="N18" s="274"/>
      <c r="O18" s="271"/>
      <c r="P18" s="271"/>
      <c r="Q18" s="280"/>
      <c r="R18" s="271"/>
      <c r="S18" s="271"/>
      <c r="T18" s="271"/>
      <c r="U18" s="271"/>
      <c r="V18" s="274"/>
      <c r="W18" s="274"/>
      <c r="X18" s="274"/>
      <c r="Y18" s="274"/>
      <c r="Z18" s="274"/>
      <c r="AA18" s="274"/>
      <c r="AB18" s="267" t="e">
        <f t="shared" si="13"/>
        <v>#DIV/0!</v>
      </c>
      <c r="AC18" s="267" t="e">
        <f t="shared" si="8"/>
        <v>#DIV/0!</v>
      </c>
      <c r="AD18" s="268" t="e">
        <f t="shared" si="9"/>
        <v>#DIV/0!</v>
      </c>
      <c r="AE18" s="268" t="e">
        <f t="shared" si="10"/>
        <v>#DIV/0!</v>
      </c>
      <c r="AF18" s="268" t="e">
        <f t="shared" si="11"/>
        <v>#DIV/0!</v>
      </c>
      <c r="AG18" s="270">
        <f t="shared" si="12"/>
        <v>0</v>
      </c>
      <c r="AH18" s="270" t="e">
        <f t="shared" si="2"/>
        <v>#DIV/0!</v>
      </c>
      <c r="AI18" s="270" t="e">
        <f t="shared" si="3"/>
        <v>#DIV/0!</v>
      </c>
      <c r="AJ18" s="270">
        <f t="shared" si="4"/>
        <v>0</v>
      </c>
      <c r="AK18" s="270">
        <f t="shared" si="5"/>
        <v>0</v>
      </c>
      <c r="AL18" s="270">
        <f t="shared" si="6"/>
        <v>0</v>
      </c>
      <c r="AM18" s="268" t="e">
        <f t="shared" si="7"/>
        <v>#DIV/0!</v>
      </c>
      <c r="AN18" s="268" t="e">
        <f t="shared" si="7"/>
        <v>#DIV/0!</v>
      </c>
      <c r="AO18" s="271"/>
      <c r="AP18" s="271"/>
      <c r="AQ18" s="271"/>
      <c r="AR18" s="268">
        <f t="shared" si="0"/>
        <v>0</v>
      </c>
      <c r="AS18" s="268">
        <f t="shared" si="1"/>
        <v>0</v>
      </c>
      <c r="AT18" s="259"/>
      <c r="AU18" s="256"/>
      <c r="AV18" s="256"/>
      <c r="AW18" s="256"/>
      <c r="AX18" s="256"/>
      <c r="AY18" s="256"/>
      <c r="AZ18" s="256"/>
      <c r="BA18" s="272"/>
      <c r="BB18" s="272"/>
      <c r="BC18" s="256"/>
      <c r="BD18" s="255"/>
      <c r="BE18" s="91"/>
      <c r="BJ18" s="91"/>
    </row>
    <row r="19" spans="1:62" s="92" customFormat="1" ht="20.100000000000001" customHeight="1">
      <c r="A19" s="259"/>
      <c r="B19" s="255"/>
      <c r="C19" s="259"/>
      <c r="D19" s="256"/>
      <c r="E19" s="256"/>
      <c r="F19" s="274"/>
      <c r="G19" s="274"/>
      <c r="H19" s="276"/>
      <c r="I19" s="276"/>
      <c r="J19" s="274"/>
      <c r="K19" s="274"/>
      <c r="L19" s="276"/>
      <c r="M19" s="282"/>
      <c r="N19" s="274"/>
      <c r="O19" s="271"/>
      <c r="P19" s="271"/>
      <c r="Q19" s="280"/>
      <c r="R19" s="271"/>
      <c r="S19" s="271"/>
      <c r="T19" s="271"/>
      <c r="U19" s="271"/>
      <c r="V19" s="274"/>
      <c r="W19" s="274"/>
      <c r="X19" s="274"/>
      <c r="Y19" s="274"/>
      <c r="Z19" s="274"/>
      <c r="AA19" s="274"/>
      <c r="AB19" s="267" t="e">
        <f t="shared" si="13"/>
        <v>#DIV/0!</v>
      </c>
      <c r="AC19" s="267" t="e">
        <f t="shared" si="8"/>
        <v>#DIV/0!</v>
      </c>
      <c r="AD19" s="268" t="e">
        <f t="shared" si="9"/>
        <v>#DIV/0!</v>
      </c>
      <c r="AE19" s="268" t="e">
        <f t="shared" si="10"/>
        <v>#DIV/0!</v>
      </c>
      <c r="AF19" s="268" t="e">
        <f t="shared" si="11"/>
        <v>#DIV/0!</v>
      </c>
      <c r="AG19" s="270">
        <f t="shared" si="12"/>
        <v>0</v>
      </c>
      <c r="AH19" s="270" t="e">
        <f t="shared" si="2"/>
        <v>#DIV/0!</v>
      </c>
      <c r="AI19" s="270" t="e">
        <f t="shared" si="3"/>
        <v>#DIV/0!</v>
      </c>
      <c r="AJ19" s="270">
        <f t="shared" si="4"/>
        <v>0</v>
      </c>
      <c r="AK19" s="270">
        <f t="shared" si="5"/>
        <v>0</v>
      </c>
      <c r="AL19" s="270">
        <f t="shared" si="6"/>
        <v>0</v>
      </c>
      <c r="AM19" s="268" t="e">
        <f t="shared" si="7"/>
        <v>#DIV/0!</v>
      </c>
      <c r="AN19" s="268" t="e">
        <f t="shared" si="7"/>
        <v>#DIV/0!</v>
      </c>
      <c r="AO19" s="271"/>
      <c r="AP19" s="271"/>
      <c r="AQ19" s="271"/>
      <c r="AR19" s="268">
        <f t="shared" si="0"/>
        <v>0</v>
      </c>
      <c r="AS19" s="268">
        <f t="shared" si="1"/>
        <v>0</v>
      </c>
      <c r="AT19" s="259"/>
      <c r="AU19" s="256"/>
      <c r="AV19" s="256"/>
      <c r="AW19" s="256"/>
      <c r="AX19" s="256"/>
      <c r="AY19" s="256"/>
      <c r="AZ19" s="256"/>
      <c r="BA19" s="272"/>
      <c r="BB19" s="272"/>
      <c r="BC19" s="256"/>
      <c r="BD19" s="255"/>
      <c r="BE19" s="91"/>
      <c r="BJ19" s="91"/>
    </row>
    <row r="20" spans="1:62" s="92" customFormat="1" ht="20.100000000000001" customHeight="1">
      <c r="A20" s="259"/>
      <c r="B20" s="255"/>
      <c r="C20" s="259"/>
      <c r="D20" s="256"/>
      <c r="E20" s="256"/>
      <c r="F20" s="274"/>
      <c r="G20" s="274"/>
      <c r="H20" s="276"/>
      <c r="I20" s="276"/>
      <c r="J20" s="274"/>
      <c r="K20" s="274"/>
      <c r="L20" s="276"/>
      <c r="M20" s="282"/>
      <c r="N20" s="274"/>
      <c r="O20" s="271"/>
      <c r="P20" s="271"/>
      <c r="Q20" s="280"/>
      <c r="R20" s="271"/>
      <c r="S20" s="271"/>
      <c r="T20" s="271"/>
      <c r="U20" s="271"/>
      <c r="V20" s="274"/>
      <c r="W20" s="274"/>
      <c r="X20" s="274"/>
      <c r="Y20" s="274"/>
      <c r="Z20" s="274"/>
      <c r="AA20" s="274"/>
      <c r="AB20" s="267" t="e">
        <f t="shared" si="13"/>
        <v>#DIV/0!</v>
      </c>
      <c r="AC20" s="267" t="e">
        <f t="shared" si="8"/>
        <v>#DIV/0!</v>
      </c>
      <c r="AD20" s="268" t="e">
        <f t="shared" si="9"/>
        <v>#DIV/0!</v>
      </c>
      <c r="AE20" s="268" t="e">
        <f t="shared" si="10"/>
        <v>#DIV/0!</v>
      </c>
      <c r="AF20" s="268" t="e">
        <f t="shared" si="11"/>
        <v>#DIV/0!</v>
      </c>
      <c r="AG20" s="270">
        <f t="shared" si="12"/>
        <v>0</v>
      </c>
      <c r="AH20" s="270" t="e">
        <f t="shared" si="2"/>
        <v>#DIV/0!</v>
      </c>
      <c r="AI20" s="270" t="e">
        <f t="shared" si="3"/>
        <v>#DIV/0!</v>
      </c>
      <c r="AJ20" s="270">
        <f t="shared" si="4"/>
        <v>0</v>
      </c>
      <c r="AK20" s="270">
        <f t="shared" si="5"/>
        <v>0</v>
      </c>
      <c r="AL20" s="270">
        <f t="shared" si="6"/>
        <v>0</v>
      </c>
      <c r="AM20" s="268" t="e">
        <f t="shared" si="7"/>
        <v>#DIV/0!</v>
      </c>
      <c r="AN20" s="268" t="e">
        <f t="shared" si="7"/>
        <v>#DIV/0!</v>
      </c>
      <c r="AO20" s="271"/>
      <c r="AP20" s="271"/>
      <c r="AQ20" s="271"/>
      <c r="AR20" s="268">
        <f t="shared" si="0"/>
        <v>0</v>
      </c>
      <c r="AS20" s="268">
        <f t="shared" si="1"/>
        <v>0</v>
      </c>
      <c r="AT20" s="259"/>
      <c r="AU20" s="256"/>
      <c r="AV20" s="256"/>
      <c r="AW20" s="256"/>
      <c r="AX20" s="256"/>
      <c r="AY20" s="256"/>
      <c r="AZ20" s="256"/>
      <c r="BA20" s="272"/>
      <c r="BB20" s="272"/>
      <c r="BC20" s="256"/>
      <c r="BD20" s="255"/>
      <c r="BE20" s="91"/>
      <c r="BJ20" s="91"/>
    </row>
    <row r="21" spans="1:62" s="92" customFormat="1" ht="20.100000000000001" customHeight="1">
      <c r="A21" s="259"/>
      <c r="B21" s="255"/>
      <c r="C21" s="259"/>
      <c r="D21" s="256"/>
      <c r="E21" s="256"/>
      <c r="F21" s="274"/>
      <c r="G21" s="274"/>
      <c r="H21" s="276"/>
      <c r="I21" s="276"/>
      <c r="J21" s="274"/>
      <c r="K21" s="274"/>
      <c r="L21" s="276"/>
      <c r="M21" s="282"/>
      <c r="N21" s="274"/>
      <c r="O21" s="271"/>
      <c r="P21" s="271"/>
      <c r="Q21" s="280"/>
      <c r="R21" s="271"/>
      <c r="S21" s="271"/>
      <c r="T21" s="271"/>
      <c r="U21" s="271"/>
      <c r="V21" s="274"/>
      <c r="W21" s="274"/>
      <c r="X21" s="274"/>
      <c r="Y21" s="274"/>
      <c r="Z21" s="274"/>
      <c r="AA21" s="274"/>
      <c r="AB21" s="267" t="e">
        <f t="shared" si="13"/>
        <v>#DIV/0!</v>
      </c>
      <c r="AC21" s="267" t="e">
        <f t="shared" si="8"/>
        <v>#DIV/0!</v>
      </c>
      <c r="AD21" s="268" t="e">
        <f t="shared" si="9"/>
        <v>#DIV/0!</v>
      </c>
      <c r="AE21" s="268" t="e">
        <f t="shared" si="10"/>
        <v>#DIV/0!</v>
      </c>
      <c r="AF21" s="268" t="e">
        <f t="shared" si="11"/>
        <v>#DIV/0!</v>
      </c>
      <c r="AG21" s="270">
        <f t="shared" si="12"/>
        <v>0</v>
      </c>
      <c r="AH21" s="270" t="e">
        <f t="shared" si="2"/>
        <v>#DIV/0!</v>
      </c>
      <c r="AI21" s="270" t="e">
        <f t="shared" si="3"/>
        <v>#DIV/0!</v>
      </c>
      <c r="AJ21" s="270">
        <f t="shared" si="4"/>
        <v>0</v>
      </c>
      <c r="AK21" s="270">
        <f t="shared" si="5"/>
        <v>0</v>
      </c>
      <c r="AL21" s="270">
        <f t="shared" si="6"/>
        <v>0</v>
      </c>
      <c r="AM21" s="268" t="e">
        <f t="shared" si="7"/>
        <v>#DIV/0!</v>
      </c>
      <c r="AN21" s="268" t="e">
        <f t="shared" si="7"/>
        <v>#DIV/0!</v>
      </c>
      <c r="AO21" s="271"/>
      <c r="AP21" s="271"/>
      <c r="AQ21" s="271"/>
      <c r="AR21" s="268">
        <f t="shared" si="0"/>
        <v>0</v>
      </c>
      <c r="AS21" s="268">
        <f t="shared" si="1"/>
        <v>0</v>
      </c>
      <c r="AT21" s="259"/>
      <c r="AU21" s="256"/>
      <c r="AV21" s="256"/>
      <c r="AW21" s="256"/>
      <c r="AX21" s="256"/>
      <c r="AY21" s="256"/>
      <c r="AZ21" s="256"/>
      <c r="BA21" s="272"/>
      <c r="BB21" s="272"/>
      <c r="BC21" s="256"/>
      <c r="BD21" s="255"/>
      <c r="BE21" s="91"/>
      <c r="BJ21" s="91"/>
    </row>
    <row r="22" spans="1:62" s="92" customFormat="1" ht="20.100000000000001" customHeight="1">
      <c r="A22" s="259"/>
      <c r="B22" s="255"/>
      <c r="C22" s="259"/>
      <c r="D22" s="256"/>
      <c r="E22" s="256"/>
      <c r="F22" s="274"/>
      <c r="G22" s="274"/>
      <c r="H22" s="276"/>
      <c r="I22" s="276"/>
      <c r="J22" s="274"/>
      <c r="K22" s="274"/>
      <c r="L22" s="276"/>
      <c r="M22" s="282"/>
      <c r="N22" s="274"/>
      <c r="O22" s="271"/>
      <c r="P22" s="271"/>
      <c r="Q22" s="280"/>
      <c r="R22" s="271"/>
      <c r="S22" s="271"/>
      <c r="T22" s="271"/>
      <c r="U22" s="271"/>
      <c r="V22" s="274"/>
      <c r="W22" s="274"/>
      <c r="X22" s="274"/>
      <c r="Y22" s="274"/>
      <c r="Z22" s="274"/>
      <c r="AA22" s="274"/>
      <c r="AB22" s="267" t="e">
        <f t="shared" si="13"/>
        <v>#DIV/0!</v>
      </c>
      <c r="AC22" s="267" t="e">
        <f t="shared" si="8"/>
        <v>#DIV/0!</v>
      </c>
      <c r="AD22" s="268" t="e">
        <f t="shared" si="9"/>
        <v>#DIV/0!</v>
      </c>
      <c r="AE22" s="268" t="e">
        <f t="shared" si="10"/>
        <v>#DIV/0!</v>
      </c>
      <c r="AF22" s="268" t="e">
        <f t="shared" si="11"/>
        <v>#DIV/0!</v>
      </c>
      <c r="AG22" s="270">
        <f t="shared" si="12"/>
        <v>0</v>
      </c>
      <c r="AH22" s="270" t="e">
        <f t="shared" si="2"/>
        <v>#DIV/0!</v>
      </c>
      <c r="AI22" s="270" t="e">
        <f t="shared" si="3"/>
        <v>#DIV/0!</v>
      </c>
      <c r="AJ22" s="270">
        <f t="shared" si="4"/>
        <v>0</v>
      </c>
      <c r="AK22" s="270">
        <f t="shared" si="5"/>
        <v>0</v>
      </c>
      <c r="AL22" s="270">
        <f t="shared" si="6"/>
        <v>0</v>
      </c>
      <c r="AM22" s="268" t="e">
        <f t="shared" si="7"/>
        <v>#DIV/0!</v>
      </c>
      <c r="AN22" s="268" t="e">
        <f t="shared" si="7"/>
        <v>#DIV/0!</v>
      </c>
      <c r="AO22" s="271"/>
      <c r="AP22" s="271"/>
      <c r="AQ22" s="271"/>
      <c r="AR22" s="268">
        <f t="shared" si="0"/>
        <v>0</v>
      </c>
      <c r="AS22" s="268">
        <f t="shared" si="1"/>
        <v>0</v>
      </c>
      <c r="AT22" s="259"/>
      <c r="AU22" s="256"/>
      <c r="AV22" s="256"/>
      <c r="AW22" s="256"/>
      <c r="AX22" s="256"/>
      <c r="AY22" s="256"/>
      <c r="AZ22" s="256"/>
      <c r="BA22" s="272"/>
      <c r="BB22" s="272"/>
      <c r="BC22" s="256"/>
      <c r="BD22" s="255"/>
      <c r="BE22" s="91"/>
      <c r="BJ22" s="91"/>
    </row>
    <row r="23" spans="1:62" s="92" customFormat="1" ht="20.100000000000001" customHeight="1">
      <c r="A23" s="259"/>
      <c r="B23" s="255"/>
      <c r="C23" s="259"/>
      <c r="D23" s="256"/>
      <c r="E23" s="256"/>
      <c r="F23" s="274"/>
      <c r="G23" s="274"/>
      <c r="H23" s="276"/>
      <c r="I23" s="276"/>
      <c r="J23" s="274"/>
      <c r="K23" s="274"/>
      <c r="L23" s="276"/>
      <c r="M23" s="282"/>
      <c r="N23" s="274"/>
      <c r="O23" s="271"/>
      <c r="P23" s="271"/>
      <c r="Q23" s="280"/>
      <c r="R23" s="271"/>
      <c r="S23" s="271"/>
      <c r="T23" s="271"/>
      <c r="U23" s="271"/>
      <c r="V23" s="274"/>
      <c r="W23" s="274"/>
      <c r="X23" s="274"/>
      <c r="Y23" s="274"/>
      <c r="Z23" s="274"/>
      <c r="AA23" s="274"/>
      <c r="AB23" s="267" t="e">
        <f t="shared" si="13"/>
        <v>#DIV/0!</v>
      </c>
      <c r="AC23" s="267" t="e">
        <f t="shared" si="8"/>
        <v>#DIV/0!</v>
      </c>
      <c r="AD23" s="268" t="e">
        <f t="shared" si="9"/>
        <v>#DIV/0!</v>
      </c>
      <c r="AE23" s="268" t="e">
        <f t="shared" si="10"/>
        <v>#DIV/0!</v>
      </c>
      <c r="AF23" s="268" t="e">
        <f t="shared" si="11"/>
        <v>#DIV/0!</v>
      </c>
      <c r="AG23" s="270">
        <f t="shared" si="12"/>
        <v>0</v>
      </c>
      <c r="AH23" s="270" t="e">
        <f t="shared" si="2"/>
        <v>#DIV/0!</v>
      </c>
      <c r="AI23" s="270" t="e">
        <f t="shared" si="3"/>
        <v>#DIV/0!</v>
      </c>
      <c r="AJ23" s="270">
        <f t="shared" si="4"/>
        <v>0</v>
      </c>
      <c r="AK23" s="270">
        <f t="shared" si="5"/>
        <v>0</v>
      </c>
      <c r="AL23" s="270">
        <f t="shared" si="6"/>
        <v>0</v>
      </c>
      <c r="AM23" s="268" t="e">
        <f t="shared" si="7"/>
        <v>#DIV/0!</v>
      </c>
      <c r="AN23" s="268" t="e">
        <f t="shared" si="7"/>
        <v>#DIV/0!</v>
      </c>
      <c r="AO23" s="271"/>
      <c r="AP23" s="271"/>
      <c r="AQ23" s="271"/>
      <c r="AR23" s="268">
        <f t="shared" si="0"/>
        <v>0</v>
      </c>
      <c r="AS23" s="268">
        <f t="shared" si="1"/>
        <v>0</v>
      </c>
      <c r="AT23" s="259"/>
      <c r="AU23" s="256"/>
      <c r="AV23" s="256"/>
      <c r="AW23" s="256"/>
      <c r="AX23" s="256"/>
      <c r="AY23" s="256"/>
      <c r="AZ23" s="256"/>
      <c r="BA23" s="272"/>
      <c r="BB23" s="272"/>
      <c r="BC23" s="256"/>
      <c r="BD23" s="255"/>
      <c r="BE23" s="91"/>
      <c r="BJ23" s="91"/>
    </row>
    <row r="24" spans="1:62" s="92" customFormat="1" ht="20.100000000000001" customHeight="1">
      <c r="A24" s="259"/>
      <c r="B24" s="255"/>
      <c r="C24" s="259"/>
      <c r="D24" s="256"/>
      <c r="E24" s="256"/>
      <c r="F24" s="274"/>
      <c r="G24" s="274"/>
      <c r="H24" s="276"/>
      <c r="I24" s="276"/>
      <c r="J24" s="274"/>
      <c r="K24" s="274"/>
      <c r="L24" s="276"/>
      <c r="M24" s="282"/>
      <c r="N24" s="274"/>
      <c r="O24" s="271"/>
      <c r="P24" s="271"/>
      <c r="Q24" s="280"/>
      <c r="R24" s="271"/>
      <c r="S24" s="271"/>
      <c r="T24" s="271"/>
      <c r="U24" s="271"/>
      <c r="V24" s="274"/>
      <c r="W24" s="274"/>
      <c r="X24" s="274"/>
      <c r="Y24" s="274"/>
      <c r="Z24" s="274"/>
      <c r="AA24" s="274"/>
      <c r="AB24" s="267" t="e">
        <f t="shared" si="13"/>
        <v>#DIV/0!</v>
      </c>
      <c r="AC24" s="267" t="e">
        <f t="shared" si="8"/>
        <v>#DIV/0!</v>
      </c>
      <c r="AD24" s="268" t="e">
        <f t="shared" si="9"/>
        <v>#DIV/0!</v>
      </c>
      <c r="AE24" s="268" t="e">
        <f t="shared" si="10"/>
        <v>#DIV/0!</v>
      </c>
      <c r="AF24" s="268" t="e">
        <f t="shared" si="11"/>
        <v>#DIV/0!</v>
      </c>
      <c r="AG24" s="270">
        <f t="shared" si="12"/>
        <v>0</v>
      </c>
      <c r="AH24" s="270" t="e">
        <f t="shared" si="2"/>
        <v>#DIV/0!</v>
      </c>
      <c r="AI24" s="270" t="e">
        <f t="shared" si="3"/>
        <v>#DIV/0!</v>
      </c>
      <c r="AJ24" s="270">
        <f t="shared" si="4"/>
        <v>0</v>
      </c>
      <c r="AK24" s="270">
        <f t="shared" si="5"/>
        <v>0</v>
      </c>
      <c r="AL24" s="270">
        <f t="shared" si="6"/>
        <v>0</v>
      </c>
      <c r="AM24" s="268" t="e">
        <f t="shared" si="7"/>
        <v>#DIV/0!</v>
      </c>
      <c r="AN24" s="268" t="e">
        <f t="shared" si="7"/>
        <v>#DIV/0!</v>
      </c>
      <c r="AO24" s="271"/>
      <c r="AP24" s="271"/>
      <c r="AQ24" s="271"/>
      <c r="AR24" s="268">
        <f t="shared" si="0"/>
        <v>0</v>
      </c>
      <c r="AS24" s="268">
        <f t="shared" si="1"/>
        <v>0</v>
      </c>
      <c r="AT24" s="259"/>
      <c r="AU24" s="256"/>
      <c r="AV24" s="256"/>
      <c r="AW24" s="256"/>
      <c r="AX24" s="256"/>
      <c r="AY24" s="256"/>
      <c r="AZ24" s="256"/>
      <c r="BA24" s="272"/>
      <c r="BB24" s="272"/>
      <c r="BC24" s="256"/>
      <c r="BD24" s="255"/>
      <c r="BE24" s="91"/>
      <c r="BJ24" s="91"/>
    </row>
    <row r="25" spans="1:62" s="92" customFormat="1" ht="20.100000000000001" customHeight="1">
      <c r="A25" s="259"/>
      <c r="B25" s="255"/>
      <c r="C25" s="259"/>
      <c r="D25" s="256"/>
      <c r="E25" s="256"/>
      <c r="F25" s="274"/>
      <c r="G25" s="274"/>
      <c r="H25" s="276"/>
      <c r="I25" s="276"/>
      <c r="J25" s="274"/>
      <c r="K25" s="274"/>
      <c r="L25" s="276"/>
      <c r="M25" s="282"/>
      <c r="N25" s="274"/>
      <c r="O25" s="271"/>
      <c r="P25" s="271"/>
      <c r="Q25" s="280"/>
      <c r="R25" s="271"/>
      <c r="S25" s="271"/>
      <c r="T25" s="271"/>
      <c r="U25" s="271"/>
      <c r="V25" s="274"/>
      <c r="W25" s="274"/>
      <c r="X25" s="274"/>
      <c r="Y25" s="274"/>
      <c r="Z25" s="274"/>
      <c r="AA25" s="274"/>
      <c r="AB25" s="267" t="e">
        <f t="shared" si="13"/>
        <v>#DIV/0!</v>
      </c>
      <c r="AC25" s="267" t="e">
        <f t="shared" si="8"/>
        <v>#DIV/0!</v>
      </c>
      <c r="AD25" s="268" t="e">
        <f t="shared" si="9"/>
        <v>#DIV/0!</v>
      </c>
      <c r="AE25" s="268" t="e">
        <f t="shared" si="10"/>
        <v>#DIV/0!</v>
      </c>
      <c r="AF25" s="268" t="e">
        <f t="shared" si="11"/>
        <v>#DIV/0!</v>
      </c>
      <c r="AG25" s="270">
        <f t="shared" si="12"/>
        <v>0</v>
      </c>
      <c r="AH25" s="270" t="e">
        <f t="shared" si="2"/>
        <v>#DIV/0!</v>
      </c>
      <c r="AI25" s="270" t="e">
        <f t="shared" si="3"/>
        <v>#DIV/0!</v>
      </c>
      <c r="AJ25" s="270">
        <f t="shared" si="4"/>
        <v>0</v>
      </c>
      <c r="AK25" s="270">
        <f t="shared" si="5"/>
        <v>0</v>
      </c>
      <c r="AL25" s="270">
        <f t="shared" si="6"/>
        <v>0</v>
      </c>
      <c r="AM25" s="268" t="e">
        <f t="shared" si="7"/>
        <v>#DIV/0!</v>
      </c>
      <c r="AN25" s="268" t="e">
        <f t="shared" si="7"/>
        <v>#DIV/0!</v>
      </c>
      <c r="AO25" s="271"/>
      <c r="AP25" s="271"/>
      <c r="AQ25" s="271"/>
      <c r="AR25" s="268">
        <f t="shared" si="0"/>
        <v>0</v>
      </c>
      <c r="AS25" s="268">
        <f t="shared" si="1"/>
        <v>0</v>
      </c>
      <c r="AT25" s="259"/>
      <c r="AU25" s="256"/>
      <c r="AV25" s="256"/>
      <c r="AW25" s="256"/>
      <c r="AX25" s="256"/>
      <c r="AY25" s="256"/>
      <c r="AZ25" s="256"/>
      <c r="BA25" s="272"/>
      <c r="BB25" s="272"/>
      <c r="BC25" s="256"/>
      <c r="BD25" s="255"/>
      <c r="BE25" s="91"/>
      <c r="BJ25" s="91"/>
    </row>
    <row r="26" spans="1:62" s="265" customFormat="1" ht="20.100000000000001" customHeight="1">
      <c r="A26" s="260" t="s">
        <v>362</v>
      </c>
      <c r="B26" s="260"/>
      <c r="C26" s="260"/>
      <c r="D26" s="260"/>
      <c r="E26" s="261"/>
      <c r="F26" s="269">
        <f>SUM(F13:F25)</f>
        <v>0</v>
      </c>
      <c r="G26" s="269"/>
      <c r="H26" s="277"/>
      <c r="I26" s="277"/>
      <c r="J26" s="269"/>
      <c r="K26" s="269"/>
      <c r="L26" s="277"/>
      <c r="M26" s="281"/>
      <c r="N26" s="269">
        <f>SUM(N13:N25)</f>
        <v>0</v>
      </c>
      <c r="O26" s="269">
        <f>SUM(O13:O25)</f>
        <v>0</v>
      </c>
      <c r="P26" s="269">
        <f>SUM(P13:P25)</f>
        <v>0</v>
      </c>
      <c r="Q26" s="281"/>
      <c r="R26" s="269">
        <f>SUM(R13:R25)</f>
        <v>0</v>
      </c>
      <c r="S26" s="269">
        <f>SUM(S13:S25)</f>
        <v>0</v>
      </c>
      <c r="T26" s="269">
        <f>SUM(T13:T25)</f>
        <v>0</v>
      </c>
      <c r="U26" s="269">
        <f>SUM(U13:U25)</f>
        <v>0</v>
      </c>
      <c r="V26" s="269">
        <f>SUM(V13:V25)</f>
        <v>0</v>
      </c>
      <c r="W26" s="269">
        <f t="shared" ref="W26:AA26" si="14">SUM(W13:W25)</f>
        <v>0</v>
      </c>
      <c r="X26" s="269">
        <f t="shared" si="14"/>
        <v>0</v>
      </c>
      <c r="Y26" s="269">
        <f t="shared" si="14"/>
        <v>0</v>
      </c>
      <c r="Z26" s="269">
        <f t="shared" si="14"/>
        <v>0</v>
      </c>
      <c r="AA26" s="269">
        <f t="shared" si="14"/>
        <v>0</v>
      </c>
      <c r="AB26" s="262"/>
      <c r="AC26" s="262"/>
      <c r="AD26" s="269" t="e">
        <f t="shared" ref="AD26:AH26" si="15">SUM(AD13:AD25)</f>
        <v>#DIV/0!</v>
      </c>
      <c r="AE26" s="269" t="e">
        <f t="shared" si="15"/>
        <v>#DIV/0!</v>
      </c>
      <c r="AF26" s="269" t="e">
        <f t="shared" si="15"/>
        <v>#DIV/0!</v>
      </c>
      <c r="AG26" s="269">
        <f t="shared" si="15"/>
        <v>0</v>
      </c>
      <c r="AH26" s="269" t="e">
        <f t="shared" si="15"/>
        <v>#DIV/0!</v>
      </c>
      <c r="AI26" s="269" t="e">
        <f t="shared" ref="AI26:AS26" si="16">SUM(AI13:AI25)</f>
        <v>#DIV/0!</v>
      </c>
      <c r="AJ26" s="269">
        <f t="shared" si="16"/>
        <v>0</v>
      </c>
      <c r="AK26" s="269">
        <f t="shared" si="16"/>
        <v>0</v>
      </c>
      <c r="AL26" s="269">
        <f t="shared" si="16"/>
        <v>0</v>
      </c>
      <c r="AM26" s="269" t="e">
        <f t="shared" si="16"/>
        <v>#DIV/0!</v>
      </c>
      <c r="AN26" s="269" t="e">
        <f t="shared" si="16"/>
        <v>#DIV/0!</v>
      </c>
      <c r="AO26" s="269">
        <f t="shared" si="16"/>
        <v>0</v>
      </c>
      <c r="AP26" s="269">
        <f t="shared" si="16"/>
        <v>0</v>
      </c>
      <c r="AQ26" s="269">
        <f t="shared" si="16"/>
        <v>0</v>
      </c>
      <c r="AR26" s="269">
        <f t="shared" si="16"/>
        <v>0</v>
      </c>
      <c r="AS26" s="269">
        <f t="shared" si="16"/>
        <v>0</v>
      </c>
      <c r="AT26" s="262"/>
      <c r="AU26" s="261"/>
      <c r="AV26" s="261"/>
      <c r="AW26" s="261"/>
      <c r="AX26" s="261"/>
      <c r="AY26" s="261"/>
      <c r="AZ26" s="261"/>
      <c r="BA26" s="269">
        <f>SUM(BA13:BA25)</f>
        <v>0</v>
      </c>
      <c r="BB26" s="269">
        <f>SUM(BB13:BB25)</f>
        <v>0</v>
      </c>
      <c r="BC26" s="261"/>
      <c r="BD26" s="263"/>
      <c r="BE26" s="264"/>
      <c r="BJ26" s="264"/>
    </row>
    <row r="27" spans="1:62" s="79" customFormat="1" ht="20.100000000000001" customHeight="1">
      <c r="A27" s="78" t="s">
        <v>234</v>
      </c>
    </row>
    <row r="28" spans="1:62" s="79" customFormat="1" ht="20.100000000000001" customHeight="1">
      <c r="A28" s="80"/>
    </row>
    <row r="29" spans="1:62" s="79" customFormat="1" ht="20.100000000000001" customHeight="1"/>
    <row r="30" spans="1:62" s="79" customFormat="1" ht="20.100000000000001" customHeight="1"/>
    <row r="31" spans="1:62" s="79" customFormat="1" ht="20.100000000000001" customHeight="1">
      <c r="A31" s="78" t="s">
        <v>235</v>
      </c>
    </row>
    <row r="32" spans="1:62" s="79" customFormat="1" ht="20.100000000000001" customHeight="1"/>
    <row r="33" spans="1:62" s="92" customFormat="1" ht="20.100000000000001" customHeight="1">
      <c r="A33" s="81" t="s">
        <v>236</v>
      </c>
      <c r="B33" s="82"/>
      <c r="C33" s="83"/>
      <c r="D33" s="84"/>
      <c r="E33" s="84"/>
      <c r="F33" s="85"/>
      <c r="G33" s="85"/>
      <c r="H33" s="85"/>
      <c r="I33" s="85"/>
      <c r="J33" s="85"/>
      <c r="K33" s="85"/>
      <c r="L33" s="85"/>
      <c r="M33" s="85"/>
      <c r="N33" s="86"/>
      <c r="O33" s="87"/>
      <c r="P33" s="87"/>
      <c r="Q33" s="87"/>
      <c r="R33" s="87"/>
      <c r="S33" s="87"/>
      <c r="T33" s="87"/>
      <c r="U33" s="87"/>
      <c r="V33" s="85"/>
      <c r="W33" s="85"/>
      <c r="X33" s="85"/>
      <c r="Y33" s="86"/>
      <c r="Z33" s="86"/>
      <c r="AA33" s="86"/>
      <c r="AB33" s="88"/>
      <c r="AC33" s="88"/>
      <c r="AD33" s="89"/>
      <c r="AE33" s="89"/>
      <c r="AF33" s="89"/>
      <c r="AG33" s="90"/>
      <c r="AH33" s="90"/>
      <c r="AI33" s="90"/>
      <c r="AJ33" s="90"/>
      <c r="AK33" s="90"/>
      <c r="AL33" s="90"/>
      <c r="AM33" s="89"/>
      <c r="AN33" s="89"/>
      <c r="AO33" s="87"/>
      <c r="AP33" s="87"/>
      <c r="AQ33" s="87"/>
      <c r="AR33" s="88"/>
      <c r="AS33" s="88"/>
      <c r="AT33" s="87"/>
      <c r="AU33" s="85"/>
      <c r="AV33" s="85"/>
      <c r="AW33" s="85"/>
      <c r="AX33" s="85"/>
      <c r="AY33" s="85"/>
      <c r="AZ33" s="85"/>
      <c r="BA33" s="82"/>
      <c r="BB33" s="82"/>
      <c r="BC33" s="85"/>
      <c r="BD33" s="82"/>
      <c r="BE33" s="91"/>
      <c r="BJ33" s="91"/>
    </row>
    <row r="34" spans="1:62" s="93" customFormat="1" ht="20.100000000000001" customHeight="1"/>
    <row r="35" spans="1:62" s="93" customFormat="1" ht="20.100000000000001" customHeight="1"/>
  </sheetData>
  <mergeCells count="16">
    <mergeCell ref="A1:X1"/>
    <mergeCell ref="Y1:AN1"/>
    <mergeCell ref="AO1:BD1"/>
    <mergeCell ref="A2:X2"/>
    <mergeCell ref="Y2:AN2"/>
    <mergeCell ref="AO2:BD2"/>
    <mergeCell ref="A26:D26"/>
    <mergeCell ref="AU11:AV11"/>
    <mergeCell ref="AW11:BC11"/>
    <mergeCell ref="BD11:BD12"/>
    <mergeCell ref="A11:A12"/>
    <mergeCell ref="B11:M11"/>
    <mergeCell ref="N11:X11"/>
    <mergeCell ref="Y11:AN11"/>
    <mergeCell ref="AO11:AQ11"/>
    <mergeCell ref="AR11:AS11"/>
  </mergeCells>
  <phoneticPr fontId="8" type="noConversion"/>
  <dataValidations count="1">
    <dataValidation type="list" allowBlank="1" showInputMessage="1" showErrorMessage="1" sqref="BC14:BC33 AX14:AY33 AU14:AV33 E13:E33">
      <formula1>"是,否"</formula1>
    </dataValidation>
  </dataValidations>
  <hyperlinks>
    <hyperlink ref="X3" location="底稿目录!Print_Area" display="D4A"/>
    <hyperlink ref="AN3" location="底稿目录!Print_Area" display="D4A"/>
  </hyperlinks>
  <pageMargins left="0.70866141732283472" right="0.70866141732283472" top="0.74803149606299213" bottom="0.74803149606299213" header="0.31496062992125984" footer="0.31496062992125984"/>
  <pageSetup paperSize="9" scale="55" orientation="landscape" blackAndWhite="1" r:id="rId1"/>
  <colBreaks count="2" manualBreakCount="2">
    <brk id="24" max="38" man="1"/>
    <brk id="40" max="38"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00B050"/>
  </sheetPr>
  <dimension ref="A1:BM40"/>
  <sheetViews>
    <sheetView view="pageBreakPreview" zoomScaleNormal="100" zoomScaleSheetLayoutView="100" workbookViewId="0">
      <selection sqref="A1:AA1"/>
    </sheetView>
  </sheetViews>
  <sheetFormatPr defaultColWidth="9" defaultRowHeight="20.100000000000001" customHeight="1"/>
  <cols>
    <col min="1" max="1" width="6.21875" style="64" customWidth="1"/>
    <col min="2" max="2" width="11.5546875" style="64" bestFit="1" customWidth="1"/>
    <col min="3" max="11" width="9" style="64"/>
    <col min="12" max="12" width="8.88671875" style="64" customWidth="1"/>
    <col min="13" max="13" width="8.77734375" style="64" customWidth="1"/>
    <col min="14" max="14" width="7.88671875" style="64" customWidth="1"/>
    <col min="15" max="15" width="7" style="64" customWidth="1"/>
    <col min="16" max="16" width="9.109375" style="64" customWidth="1"/>
    <col min="17" max="17" width="8.88671875" style="64" customWidth="1"/>
    <col min="18" max="18" width="7.88671875" style="64" customWidth="1"/>
    <col min="19" max="19" width="9.6640625" style="64" customWidth="1"/>
    <col min="20" max="20" width="9.109375" style="64" customWidth="1"/>
    <col min="21" max="21" width="9" style="64" customWidth="1"/>
    <col min="22" max="22" width="8.21875" style="64" customWidth="1"/>
    <col min="23" max="23" width="8.33203125" style="64" customWidth="1"/>
    <col min="24" max="24" width="9.21875" style="64" customWidth="1"/>
    <col min="25" max="25" width="8.33203125" style="64" customWidth="1"/>
    <col min="26" max="26" width="9.6640625" style="64" customWidth="1"/>
    <col min="27" max="27" width="9.21875" style="64" customWidth="1"/>
    <col min="28" max="28" width="9.6640625" style="64" customWidth="1"/>
    <col min="29" max="29" width="12.21875" style="64" customWidth="1"/>
    <col min="30" max="30" width="10.109375" style="64" customWidth="1"/>
    <col min="31" max="31" width="9" style="64" customWidth="1"/>
    <col min="32" max="32" width="9.33203125" style="64" customWidth="1"/>
    <col min="33" max="33" width="10" style="64" customWidth="1"/>
    <col min="34" max="34" width="9.6640625" style="64" customWidth="1"/>
    <col min="35" max="35" width="9.88671875" style="64" customWidth="1"/>
    <col min="36" max="36" width="10.109375" style="64" customWidth="1"/>
    <col min="37" max="37" width="11" style="64" customWidth="1"/>
    <col min="38" max="38" width="9.88671875" style="64" customWidth="1"/>
    <col min="39" max="44" width="9" style="64"/>
    <col min="45" max="45" width="9.44140625" style="64" bestFit="1" customWidth="1"/>
    <col min="46" max="16384" width="9" style="64"/>
  </cols>
  <sheetData>
    <row r="1" spans="1:65" s="94" customFormat="1" ht="20.100000000000001" customHeight="1">
      <c r="A1" s="188" t="s">
        <v>237</v>
      </c>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t="s">
        <v>237</v>
      </c>
      <c r="AC1" s="188"/>
      <c r="AD1" s="188"/>
      <c r="AE1" s="188"/>
      <c r="AF1" s="188"/>
      <c r="AG1" s="188"/>
      <c r="AH1" s="188"/>
      <c r="AI1" s="188"/>
      <c r="AJ1" s="188"/>
      <c r="AK1" s="188"/>
      <c r="AL1" s="188"/>
      <c r="AM1" s="188"/>
      <c r="AN1" s="188"/>
      <c r="AO1" s="188"/>
      <c r="AP1" s="188"/>
      <c r="AQ1" s="188"/>
      <c r="AR1" s="188"/>
      <c r="AS1" s="188"/>
      <c r="AT1" s="188" t="s">
        <v>238</v>
      </c>
      <c r="AU1" s="188"/>
      <c r="AV1" s="188"/>
      <c r="AW1" s="188"/>
      <c r="AX1" s="188"/>
      <c r="AY1" s="188"/>
      <c r="AZ1" s="188"/>
      <c r="BA1" s="188"/>
      <c r="BB1" s="188"/>
      <c r="BC1" s="188"/>
      <c r="BD1" s="188"/>
      <c r="BE1" s="188"/>
      <c r="BF1" s="188"/>
      <c r="BG1" s="188"/>
      <c r="BH1" s="188"/>
      <c r="BI1" s="188"/>
      <c r="BJ1" s="188"/>
      <c r="BK1" s="188"/>
      <c r="BL1" s="188"/>
      <c r="BM1" s="188"/>
    </row>
    <row r="2" spans="1:65" s="94" customFormat="1" ht="20.100000000000001" customHeight="1">
      <c r="A2" s="211" t="s">
        <v>239</v>
      </c>
      <c r="B2" s="211"/>
      <c r="C2" s="211"/>
      <c r="D2" s="211"/>
      <c r="E2" s="211"/>
      <c r="F2" s="211"/>
      <c r="G2" s="211"/>
      <c r="H2" s="211"/>
      <c r="I2" s="211"/>
      <c r="J2" s="211"/>
      <c r="K2" s="211"/>
      <c r="L2" s="211"/>
      <c r="M2" s="211"/>
      <c r="N2" s="211"/>
      <c r="O2" s="211"/>
      <c r="P2" s="211"/>
      <c r="Q2" s="211"/>
      <c r="R2" s="211"/>
      <c r="S2" s="211"/>
      <c r="T2" s="211"/>
      <c r="U2" s="211"/>
      <c r="V2" s="211"/>
      <c r="W2" s="211"/>
      <c r="X2" s="211"/>
      <c r="Y2" s="211"/>
      <c r="Z2" s="211"/>
      <c r="AA2" s="211"/>
      <c r="AB2" s="189" t="s">
        <v>240</v>
      </c>
      <c r="AC2" s="189"/>
      <c r="AD2" s="189"/>
      <c r="AE2" s="189"/>
      <c r="AF2" s="189"/>
      <c r="AG2" s="189"/>
      <c r="AH2" s="189"/>
      <c r="AI2" s="189"/>
      <c r="AJ2" s="189"/>
      <c r="AK2" s="189"/>
      <c r="AL2" s="189"/>
      <c r="AM2" s="189"/>
      <c r="AN2" s="189"/>
      <c r="AO2" s="189"/>
      <c r="AP2" s="189"/>
      <c r="AQ2" s="189"/>
      <c r="AR2" s="189"/>
      <c r="AS2" s="189"/>
      <c r="AT2" s="189" t="s">
        <v>240</v>
      </c>
      <c r="AU2" s="189"/>
      <c r="AV2" s="189"/>
      <c r="AW2" s="189"/>
      <c r="AX2" s="189"/>
      <c r="AY2" s="189"/>
      <c r="AZ2" s="189"/>
      <c r="BA2" s="189"/>
      <c r="BB2" s="189"/>
      <c r="BC2" s="189"/>
      <c r="BD2" s="189"/>
      <c r="BE2" s="189"/>
      <c r="BF2" s="189"/>
      <c r="BG2" s="189"/>
      <c r="BH2" s="189"/>
      <c r="BI2" s="189"/>
      <c r="BJ2" s="189"/>
      <c r="BK2" s="189"/>
      <c r="BL2" s="189"/>
      <c r="BM2" s="189"/>
    </row>
    <row r="3" spans="1:65" s="94" customFormat="1" ht="20.100000000000001" customHeight="1">
      <c r="A3" s="2" t="str">
        <f>[1]底稿目录!$A$2</f>
        <v>被审计单位：</v>
      </c>
      <c r="I3" s="2" t="str">
        <f>[1]底稿目录!$A$4</f>
        <v>编制人：</v>
      </c>
      <c r="N3" s="38"/>
      <c r="P3" s="38"/>
      <c r="R3" s="2" t="str">
        <f>[1]底稿目录!$A$5</f>
        <v>编制日期：</v>
      </c>
      <c r="Z3" s="42" t="s">
        <v>241</v>
      </c>
      <c r="AA3" s="62" t="s">
        <v>242</v>
      </c>
      <c r="AB3" s="37" t="str">
        <f>[2]底稿目录!$A$2</f>
        <v>被审计单位：</v>
      </c>
      <c r="AF3" s="40" t="str">
        <f>[2]底稿目录!$A$4</f>
        <v>编制人：</v>
      </c>
      <c r="AK3" s="37" t="str">
        <f>[2]底稿目录!$A$5</f>
        <v>编制日期：</v>
      </c>
      <c r="AO3" s="38"/>
      <c r="AQ3" s="38"/>
      <c r="AT3" s="37" t="str">
        <f>[2]底稿目录!$A$2</f>
        <v>被审计单位：</v>
      </c>
      <c r="BA3" s="40" t="str">
        <f>[2]底稿目录!$A$4</f>
        <v>编制人：</v>
      </c>
      <c r="BG3" s="37" t="str">
        <f>[2]底稿目录!$A$5</f>
        <v>编制日期：</v>
      </c>
      <c r="BI3" s="38"/>
      <c r="BL3" s="42" t="s">
        <v>241</v>
      </c>
      <c r="BM3" s="62" t="s">
        <v>243</v>
      </c>
    </row>
    <row r="4" spans="1:65" s="94" customFormat="1" ht="20.100000000000001" customHeight="1">
      <c r="A4" s="2" t="str">
        <f>[1]底稿目录!$A$3</f>
        <v>会计期间：202X年度</v>
      </c>
      <c r="I4" s="2" t="str">
        <f>[1]底稿目录!$A$6</f>
        <v>复核人：</v>
      </c>
      <c r="N4" s="38"/>
      <c r="P4" s="38"/>
      <c r="R4" s="2" t="str">
        <f>[1]底稿目录!$A$7</f>
        <v>复核日期：</v>
      </c>
      <c r="Z4" s="42" t="s">
        <v>244</v>
      </c>
      <c r="AB4" s="37" t="str">
        <f>[2]底稿目录!$A$3</f>
        <v>会计期间：</v>
      </c>
      <c r="AF4" s="40" t="str">
        <f>[2]底稿目录!$A$6</f>
        <v>复核人：</v>
      </c>
      <c r="AK4" s="37" t="str">
        <f>[2]底稿目录!$A$7</f>
        <v>复核日期：</v>
      </c>
      <c r="AO4" s="38"/>
      <c r="AQ4" s="38"/>
      <c r="AT4" s="37" t="str">
        <f>[2]底稿目录!$A$3</f>
        <v>会计期间：</v>
      </c>
      <c r="BA4" s="40" t="str">
        <f>[2]底稿目录!$A$6</f>
        <v>复核人：</v>
      </c>
      <c r="BG4" s="37" t="str">
        <f>[2]底稿目录!$A$7</f>
        <v>复核日期：</v>
      </c>
      <c r="BI4" s="38"/>
      <c r="BL4" s="42" t="s">
        <v>244</v>
      </c>
    </row>
    <row r="5" spans="1:65" s="79" customFormat="1" ht="20.100000000000001" customHeight="1">
      <c r="A5" s="78" t="s">
        <v>245</v>
      </c>
    </row>
    <row r="6" spans="1:65" s="79" customFormat="1" ht="20.100000000000001" customHeight="1">
      <c r="A6" s="6" t="s">
        <v>246</v>
      </c>
    </row>
    <row r="7" spans="1:65" s="79" customFormat="1" ht="20.100000000000001" customHeight="1">
      <c r="A7" s="78" t="s">
        <v>247</v>
      </c>
    </row>
    <row r="8" spans="1:65" s="79" customFormat="1" ht="20.100000000000001" customHeight="1">
      <c r="A8" s="288" t="s">
        <v>248</v>
      </c>
    </row>
    <row r="9" spans="1:65" s="79" customFormat="1" ht="20.100000000000001" customHeight="1">
      <c r="A9" s="288" t="s">
        <v>249</v>
      </c>
    </row>
    <row r="10" spans="1:65" s="79" customFormat="1" ht="20.100000000000001" customHeight="1">
      <c r="A10" s="288" t="s">
        <v>250</v>
      </c>
    </row>
    <row r="11" spans="1:65" s="79" customFormat="1" ht="20.100000000000001" customHeight="1">
      <c r="A11" s="288" t="s">
        <v>251</v>
      </c>
    </row>
    <row r="12" spans="1:65" s="95" customFormat="1" ht="20.100000000000001" customHeight="1">
      <c r="A12" s="201" t="s">
        <v>173</v>
      </c>
      <c r="B12" s="201" t="s">
        <v>252</v>
      </c>
      <c r="C12" s="201"/>
      <c r="D12" s="201"/>
      <c r="E12" s="201" t="s">
        <v>253</v>
      </c>
      <c r="F12" s="201"/>
      <c r="G12" s="201"/>
      <c r="H12" s="201" t="s">
        <v>26</v>
      </c>
      <c r="I12" s="204" t="s">
        <v>254</v>
      </c>
      <c r="J12" s="201"/>
      <c r="K12" s="201"/>
      <c r="L12" s="201"/>
      <c r="M12" s="205"/>
      <c r="N12" s="206"/>
      <c r="O12" s="207"/>
      <c r="P12" s="206" t="s">
        <v>255</v>
      </c>
      <c r="Q12" s="201" t="s">
        <v>256</v>
      </c>
      <c r="R12" s="201" t="s">
        <v>257</v>
      </c>
      <c r="S12" s="201"/>
      <c r="T12" s="201"/>
      <c r="U12" s="201" t="s">
        <v>258</v>
      </c>
      <c r="V12" s="208" t="s">
        <v>259</v>
      </c>
      <c r="W12" s="209"/>
      <c r="X12" s="209"/>
      <c r="Y12" s="209"/>
      <c r="Z12" s="209"/>
      <c r="AA12" s="210"/>
      <c r="AB12" s="201" t="s">
        <v>260</v>
      </c>
      <c r="AC12" s="201"/>
      <c r="AD12" s="201"/>
      <c r="AE12" s="201"/>
      <c r="AF12" s="201"/>
      <c r="AG12" s="201"/>
      <c r="AH12" s="201" t="s">
        <v>261</v>
      </c>
      <c r="AI12" s="201"/>
      <c r="AJ12" s="201"/>
      <c r="AK12" s="201"/>
      <c r="AL12" s="201"/>
      <c r="AM12" s="204" t="s">
        <v>262</v>
      </c>
      <c r="AN12" s="201"/>
      <c r="AO12" s="201"/>
      <c r="AP12" s="201"/>
      <c r="AQ12" s="205"/>
      <c r="AR12" s="206"/>
      <c r="AS12" s="207"/>
      <c r="AT12" s="206" t="s">
        <v>263</v>
      </c>
      <c r="AU12" s="201" t="s">
        <v>264</v>
      </c>
      <c r="AV12" s="201" t="s">
        <v>265</v>
      </c>
      <c r="AW12" s="201"/>
      <c r="AX12" s="201"/>
      <c r="AY12" s="201" t="s">
        <v>266</v>
      </c>
      <c r="AZ12" s="201" t="s">
        <v>260</v>
      </c>
      <c r="BA12" s="201"/>
      <c r="BB12" s="201"/>
      <c r="BC12" s="201"/>
      <c r="BD12" s="201"/>
      <c r="BE12" s="201"/>
      <c r="BF12" s="201" t="s">
        <v>267</v>
      </c>
      <c r="BG12" s="201"/>
      <c r="BH12" s="201"/>
      <c r="BI12" s="201"/>
      <c r="BJ12" s="201"/>
      <c r="BK12" s="201" t="s">
        <v>268</v>
      </c>
      <c r="BL12" s="202" t="s">
        <v>269</v>
      </c>
      <c r="BM12" s="201" t="s">
        <v>270</v>
      </c>
    </row>
    <row r="13" spans="1:65" s="95" customFormat="1" ht="28.95" customHeight="1">
      <c r="A13" s="201"/>
      <c r="B13" s="96" t="s">
        <v>271</v>
      </c>
      <c r="C13" s="96" t="s">
        <v>272</v>
      </c>
      <c r="D13" s="96" t="s">
        <v>273</v>
      </c>
      <c r="E13" s="96" t="s">
        <v>274</v>
      </c>
      <c r="F13" s="96" t="s">
        <v>275</v>
      </c>
      <c r="G13" s="96" t="s">
        <v>276</v>
      </c>
      <c r="H13" s="201"/>
      <c r="I13" s="97" t="s">
        <v>277</v>
      </c>
      <c r="J13" s="98" t="s">
        <v>278</v>
      </c>
      <c r="K13" s="98" t="s">
        <v>279</v>
      </c>
      <c r="L13" s="98" t="s">
        <v>280</v>
      </c>
      <c r="M13" s="98" t="s">
        <v>281</v>
      </c>
      <c r="N13" s="96" t="s">
        <v>282</v>
      </c>
      <c r="O13" s="96" t="s">
        <v>283</v>
      </c>
      <c r="P13" s="206"/>
      <c r="Q13" s="201"/>
      <c r="R13" s="98" t="s">
        <v>271</v>
      </c>
      <c r="S13" s="98" t="s">
        <v>280</v>
      </c>
      <c r="T13" s="98" t="s">
        <v>281</v>
      </c>
      <c r="U13" s="201"/>
      <c r="V13" s="98" t="s">
        <v>284</v>
      </c>
      <c r="W13" s="98" t="s">
        <v>285</v>
      </c>
      <c r="X13" s="98" t="s">
        <v>286</v>
      </c>
      <c r="Y13" s="98" t="s">
        <v>287</v>
      </c>
      <c r="Z13" s="98" t="s">
        <v>280</v>
      </c>
      <c r="AA13" s="98" t="s">
        <v>281</v>
      </c>
      <c r="AB13" s="96" t="s">
        <v>274</v>
      </c>
      <c r="AC13" s="96" t="s">
        <v>288</v>
      </c>
      <c r="AD13" s="98" t="s">
        <v>280</v>
      </c>
      <c r="AE13" s="98" t="s">
        <v>281</v>
      </c>
      <c r="AF13" s="96" t="s">
        <v>282</v>
      </c>
      <c r="AG13" s="96" t="s">
        <v>283</v>
      </c>
      <c r="AH13" s="96" t="s">
        <v>277</v>
      </c>
      <c r="AI13" s="98" t="s">
        <v>289</v>
      </c>
      <c r="AJ13" s="96" t="s">
        <v>290</v>
      </c>
      <c r="AK13" s="96" t="s">
        <v>291</v>
      </c>
      <c r="AL13" s="96" t="s">
        <v>292</v>
      </c>
      <c r="AM13" s="97" t="s">
        <v>277</v>
      </c>
      <c r="AN13" s="98" t="s">
        <v>278</v>
      </c>
      <c r="AO13" s="98" t="s">
        <v>293</v>
      </c>
      <c r="AP13" s="98" t="s">
        <v>280</v>
      </c>
      <c r="AQ13" s="98" t="s">
        <v>281</v>
      </c>
      <c r="AR13" s="96" t="s">
        <v>282</v>
      </c>
      <c r="AS13" s="96" t="s">
        <v>283</v>
      </c>
      <c r="AT13" s="206"/>
      <c r="AU13" s="201"/>
      <c r="AV13" s="98" t="s">
        <v>271</v>
      </c>
      <c r="AW13" s="98" t="s">
        <v>280</v>
      </c>
      <c r="AX13" s="98" t="s">
        <v>281</v>
      </c>
      <c r="AY13" s="201"/>
      <c r="AZ13" s="96" t="s">
        <v>271</v>
      </c>
      <c r="BA13" s="96" t="s">
        <v>288</v>
      </c>
      <c r="BB13" s="98" t="s">
        <v>280</v>
      </c>
      <c r="BC13" s="98" t="s">
        <v>281</v>
      </c>
      <c r="BD13" s="96" t="s">
        <v>282</v>
      </c>
      <c r="BE13" s="96" t="s">
        <v>283</v>
      </c>
      <c r="BF13" s="96" t="s">
        <v>277</v>
      </c>
      <c r="BG13" s="98" t="s">
        <v>294</v>
      </c>
      <c r="BH13" s="96" t="s">
        <v>295</v>
      </c>
      <c r="BI13" s="96" t="s">
        <v>296</v>
      </c>
      <c r="BJ13" s="96" t="s">
        <v>297</v>
      </c>
      <c r="BK13" s="201"/>
      <c r="BL13" s="203"/>
      <c r="BM13" s="201"/>
    </row>
    <row r="14" spans="1:65" s="79" customFormat="1" ht="20.100000000000001" customHeight="1">
      <c r="A14" s="283"/>
      <c r="B14" s="286"/>
      <c r="C14" s="283"/>
      <c r="D14" s="177"/>
      <c r="E14" s="286"/>
      <c r="F14" s="283"/>
      <c r="G14" s="177"/>
      <c r="H14" s="285" t="e">
        <f>(D14-G14)/D14</f>
        <v>#DIV/0!</v>
      </c>
      <c r="I14" s="286"/>
      <c r="J14" s="283"/>
      <c r="K14" s="284"/>
      <c r="L14" s="283"/>
      <c r="M14" s="177"/>
      <c r="N14" s="177"/>
      <c r="O14" s="177"/>
      <c r="P14" s="284"/>
      <c r="Q14" s="284"/>
      <c r="R14" s="286"/>
      <c r="S14" s="283"/>
      <c r="T14" s="177"/>
      <c r="U14" s="284"/>
      <c r="V14" s="286"/>
      <c r="W14" s="284"/>
      <c r="X14" s="284"/>
      <c r="Y14" s="284"/>
      <c r="Z14" s="283"/>
      <c r="AA14" s="177"/>
      <c r="AB14" s="286"/>
      <c r="AC14" s="284"/>
      <c r="AD14" s="283"/>
      <c r="AE14" s="177"/>
      <c r="AF14" s="177"/>
      <c r="AG14" s="177"/>
      <c r="AH14" s="286"/>
      <c r="AI14" s="283"/>
      <c r="AJ14" s="177"/>
      <c r="AK14" s="284"/>
      <c r="AL14" s="283"/>
      <c r="AM14" s="286"/>
      <c r="AN14" s="283"/>
      <c r="AO14" s="284"/>
      <c r="AP14" s="283"/>
      <c r="AQ14" s="177"/>
      <c r="AR14" s="177"/>
      <c r="AS14" s="177"/>
      <c r="AT14" s="283"/>
      <c r="AU14" s="283"/>
      <c r="AV14" s="286"/>
      <c r="AW14" s="283"/>
      <c r="AX14" s="177"/>
      <c r="AY14" s="284"/>
      <c r="AZ14" s="286"/>
      <c r="BA14" s="284"/>
      <c r="BB14" s="283"/>
      <c r="BC14" s="177"/>
      <c r="BD14" s="177"/>
      <c r="BE14" s="177"/>
      <c r="BF14" s="286"/>
      <c r="BG14" s="283"/>
      <c r="BH14" s="177"/>
      <c r="BI14" s="284"/>
      <c r="BJ14" s="284"/>
      <c r="BK14" s="284"/>
      <c r="BL14" s="284"/>
      <c r="BM14" s="284"/>
    </row>
    <row r="15" spans="1:65" s="79" customFormat="1" ht="20.100000000000001" customHeight="1">
      <c r="A15" s="283"/>
      <c r="B15" s="286"/>
      <c r="C15" s="283"/>
      <c r="D15" s="177"/>
      <c r="E15" s="286"/>
      <c r="F15" s="283"/>
      <c r="G15" s="177"/>
      <c r="H15" s="285" t="e">
        <f t="shared" ref="H15:H29" si="0">(D15-G15)/D15</f>
        <v>#DIV/0!</v>
      </c>
      <c r="I15" s="286"/>
      <c r="J15" s="283"/>
      <c r="K15" s="284"/>
      <c r="L15" s="283"/>
      <c r="M15" s="177"/>
      <c r="N15" s="177"/>
      <c r="O15" s="177"/>
      <c r="P15" s="284"/>
      <c r="Q15" s="284"/>
      <c r="R15" s="286"/>
      <c r="S15" s="283"/>
      <c r="T15" s="177"/>
      <c r="U15" s="284"/>
      <c r="V15" s="286"/>
      <c r="W15" s="284"/>
      <c r="X15" s="284"/>
      <c r="Y15" s="284"/>
      <c r="Z15" s="283"/>
      <c r="AA15" s="177"/>
      <c r="AB15" s="286"/>
      <c r="AC15" s="284"/>
      <c r="AD15" s="283"/>
      <c r="AE15" s="177"/>
      <c r="AF15" s="177"/>
      <c r="AG15" s="177"/>
      <c r="AH15" s="286"/>
      <c r="AI15" s="283"/>
      <c r="AJ15" s="177"/>
      <c r="AK15" s="284"/>
      <c r="AL15" s="283"/>
      <c r="AM15" s="286"/>
      <c r="AN15" s="283"/>
      <c r="AO15" s="284"/>
      <c r="AP15" s="283"/>
      <c r="AQ15" s="177"/>
      <c r="AR15" s="177"/>
      <c r="AS15" s="177"/>
      <c r="AT15" s="283"/>
      <c r="AU15" s="283"/>
      <c r="AV15" s="286"/>
      <c r="AW15" s="283"/>
      <c r="AX15" s="177"/>
      <c r="AY15" s="284"/>
      <c r="AZ15" s="286"/>
      <c r="BA15" s="284"/>
      <c r="BB15" s="283"/>
      <c r="BC15" s="177"/>
      <c r="BD15" s="177"/>
      <c r="BE15" s="177"/>
      <c r="BF15" s="286"/>
      <c r="BG15" s="283"/>
      <c r="BH15" s="177"/>
      <c r="BI15" s="284"/>
      <c r="BJ15" s="284"/>
      <c r="BK15" s="284"/>
      <c r="BL15" s="284"/>
      <c r="BM15" s="284"/>
    </row>
    <row r="16" spans="1:65" s="79" customFormat="1" ht="20.100000000000001" customHeight="1">
      <c r="A16" s="283"/>
      <c r="B16" s="286"/>
      <c r="C16" s="283"/>
      <c r="D16" s="177"/>
      <c r="E16" s="286"/>
      <c r="F16" s="283"/>
      <c r="G16" s="177"/>
      <c r="H16" s="285" t="e">
        <f t="shared" si="0"/>
        <v>#DIV/0!</v>
      </c>
      <c r="I16" s="286"/>
      <c r="J16" s="283"/>
      <c r="K16" s="284"/>
      <c r="L16" s="283"/>
      <c r="M16" s="177"/>
      <c r="N16" s="177"/>
      <c r="O16" s="177"/>
      <c r="P16" s="284"/>
      <c r="Q16" s="284"/>
      <c r="R16" s="286"/>
      <c r="S16" s="283"/>
      <c r="T16" s="177"/>
      <c r="U16" s="284"/>
      <c r="V16" s="286"/>
      <c r="W16" s="284"/>
      <c r="X16" s="284"/>
      <c r="Y16" s="284"/>
      <c r="Z16" s="283"/>
      <c r="AA16" s="177"/>
      <c r="AB16" s="286"/>
      <c r="AC16" s="284"/>
      <c r="AD16" s="283"/>
      <c r="AE16" s="177"/>
      <c r="AF16" s="177"/>
      <c r="AG16" s="177"/>
      <c r="AH16" s="286"/>
      <c r="AI16" s="283"/>
      <c r="AJ16" s="177"/>
      <c r="AK16" s="284"/>
      <c r="AL16" s="283"/>
      <c r="AM16" s="286"/>
      <c r="AN16" s="283"/>
      <c r="AO16" s="284"/>
      <c r="AP16" s="283"/>
      <c r="AQ16" s="177"/>
      <c r="AR16" s="177"/>
      <c r="AS16" s="177"/>
      <c r="AT16" s="283"/>
      <c r="AU16" s="283"/>
      <c r="AV16" s="286"/>
      <c r="AW16" s="283"/>
      <c r="AX16" s="177"/>
      <c r="AY16" s="284"/>
      <c r="AZ16" s="286"/>
      <c r="BA16" s="284"/>
      <c r="BB16" s="283"/>
      <c r="BC16" s="177"/>
      <c r="BD16" s="177"/>
      <c r="BE16" s="177"/>
      <c r="BF16" s="286"/>
      <c r="BG16" s="283"/>
      <c r="BH16" s="177"/>
      <c r="BI16" s="284"/>
      <c r="BJ16" s="284"/>
      <c r="BK16" s="284"/>
      <c r="BL16" s="284"/>
      <c r="BM16" s="284"/>
    </row>
    <row r="17" spans="1:65" s="79" customFormat="1" ht="20.100000000000001" customHeight="1">
      <c r="A17" s="283"/>
      <c r="B17" s="286"/>
      <c r="C17" s="283"/>
      <c r="D17" s="177"/>
      <c r="E17" s="286"/>
      <c r="F17" s="283"/>
      <c r="G17" s="177"/>
      <c r="H17" s="285" t="e">
        <f t="shared" si="0"/>
        <v>#DIV/0!</v>
      </c>
      <c r="I17" s="286"/>
      <c r="J17" s="283"/>
      <c r="K17" s="284"/>
      <c r="L17" s="283"/>
      <c r="M17" s="177"/>
      <c r="N17" s="177"/>
      <c r="O17" s="177"/>
      <c r="P17" s="284"/>
      <c r="Q17" s="284"/>
      <c r="R17" s="286"/>
      <c r="S17" s="283"/>
      <c r="T17" s="177"/>
      <c r="U17" s="284"/>
      <c r="V17" s="286"/>
      <c r="W17" s="284"/>
      <c r="X17" s="284"/>
      <c r="Y17" s="284"/>
      <c r="Z17" s="283"/>
      <c r="AA17" s="177"/>
      <c r="AB17" s="286"/>
      <c r="AC17" s="284"/>
      <c r="AD17" s="283"/>
      <c r="AE17" s="177"/>
      <c r="AF17" s="177"/>
      <c r="AG17" s="177"/>
      <c r="AH17" s="286"/>
      <c r="AI17" s="283"/>
      <c r="AJ17" s="177"/>
      <c r="AK17" s="284"/>
      <c r="AL17" s="283"/>
      <c r="AM17" s="286"/>
      <c r="AN17" s="283"/>
      <c r="AO17" s="284"/>
      <c r="AP17" s="283"/>
      <c r="AQ17" s="177"/>
      <c r="AR17" s="177"/>
      <c r="AS17" s="177"/>
      <c r="AT17" s="283"/>
      <c r="AU17" s="283"/>
      <c r="AV17" s="286"/>
      <c r="AW17" s="283"/>
      <c r="AX17" s="177"/>
      <c r="AY17" s="284"/>
      <c r="AZ17" s="286"/>
      <c r="BA17" s="284"/>
      <c r="BB17" s="283"/>
      <c r="BC17" s="177"/>
      <c r="BD17" s="177"/>
      <c r="BE17" s="177"/>
      <c r="BF17" s="286"/>
      <c r="BG17" s="283"/>
      <c r="BH17" s="177"/>
      <c r="BI17" s="284"/>
      <c r="BJ17" s="284"/>
      <c r="BK17" s="284"/>
      <c r="BL17" s="284"/>
      <c r="BM17" s="284"/>
    </row>
    <row r="18" spans="1:65" s="79" customFormat="1" ht="20.100000000000001" customHeight="1">
      <c r="A18" s="283"/>
      <c r="B18" s="286"/>
      <c r="C18" s="283"/>
      <c r="D18" s="177"/>
      <c r="E18" s="286"/>
      <c r="F18" s="283"/>
      <c r="G18" s="177"/>
      <c r="H18" s="285" t="e">
        <f t="shared" si="0"/>
        <v>#DIV/0!</v>
      </c>
      <c r="I18" s="286"/>
      <c r="J18" s="283"/>
      <c r="K18" s="284"/>
      <c r="L18" s="283"/>
      <c r="M18" s="177"/>
      <c r="N18" s="177"/>
      <c r="O18" s="177"/>
      <c r="P18" s="284"/>
      <c r="Q18" s="284"/>
      <c r="R18" s="286"/>
      <c r="S18" s="283"/>
      <c r="T18" s="177"/>
      <c r="U18" s="284"/>
      <c r="V18" s="286"/>
      <c r="W18" s="284"/>
      <c r="X18" s="284"/>
      <c r="Y18" s="284"/>
      <c r="Z18" s="283"/>
      <c r="AA18" s="177"/>
      <c r="AB18" s="286"/>
      <c r="AC18" s="284"/>
      <c r="AD18" s="283"/>
      <c r="AE18" s="177"/>
      <c r="AF18" s="177"/>
      <c r="AG18" s="177"/>
      <c r="AH18" s="286"/>
      <c r="AI18" s="283"/>
      <c r="AJ18" s="177"/>
      <c r="AK18" s="284"/>
      <c r="AL18" s="283"/>
      <c r="AM18" s="286"/>
      <c r="AN18" s="283"/>
      <c r="AO18" s="284"/>
      <c r="AP18" s="283"/>
      <c r="AQ18" s="177"/>
      <c r="AR18" s="177"/>
      <c r="AS18" s="177"/>
      <c r="AT18" s="283"/>
      <c r="AU18" s="283"/>
      <c r="AV18" s="286"/>
      <c r="AW18" s="283"/>
      <c r="AX18" s="177"/>
      <c r="AY18" s="284"/>
      <c r="AZ18" s="286"/>
      <c r="BA18" s="284"/>
      <c r="BB18" s="283"/>
      <c r="BC18" s="177"/>
      <c r="BD18" s="177"/>
      <c r="BE18" s="177"/>
      <c r="BF18" s="286"/>
      <c r="BG18" s="283"/>
      <c r="BH18" s="177"/>
      <c r="BI18" s="284"/>
      <c r="BJ18" s="284"/>
      <c r="BK18" s="284"/>
      <c r="BL18" s="284"/>
      <c r="BM18" s="284"/>
    </row>
    <row r="19" spans="1:65" s="79" customFormat="1" ht="20.100000000000001" customHeight="1">
      <c r="A19" s="283"/>
      <c r="B19" s="286"/>
      <c r="C19" s="283"/>
      <c r="D19" s="177"/>
      <c r="E19" s="286"/>
      <c r="F19" s="283"/>
      <c r="G19" s="177"/>
      <c r="H19" s="285" t="e">
        <f t="shared" si="0"/>
        <v>#DIV/0!</v>
      </c>
      <c r="I19" s="286"/>
      <c r="J19" s="283"/>
      <c r="K19" s="284"/>
      <c r="L19" s="283"/>
      <c r="M19" s="177"/>
      <c r="N19" s="177"/>
      <c r="O19" s="177"/>
      <c r="P19" s="284"/>
      <c r="Q19" s="284"/>
      <c r="R19" s="286"/>
      <c r="S19" s="283"/>
      <c r="T19" s="177"/>
      <c r="U19" s="284"/>
      <c r="V19" s="286"/>
      <c r="W19" s="284"/>
      <c r="X19" s="284"/>
      <c r="Y19" s="284"/>
      <c r="Z19" s="283"/>
      <c r="AA19" s="177"/>
      <c r="AB19" s="286"/>
      <c r="AC19" s="284"/>
      <c r="AD19" s="283"/>
      <c r="AE19" s="177"/>
      <c r="AF19" s="177"/>
      <c r="AG19" s="177"/>
      <c r="AH19" s="286"/>
      <c r="AI19" s="283"/>
      <c r="AJ19" s="177"/>
      <c r="AK19" s="284"/>
      <c r="AL19" s="283"/>
      <c r="AM19" s="286"/>
      <c r="AN19" s="283"/>
      <c r="AO19" s="284"/>
      <c r="AP19" s="283"/>
      <c r="AQ19" s="177"/>
      <c r="AR19" s="177"/>
      <c r="AS19" s="177"/>
      <c r="AT19" s="283"/>
      <c r="AU19" s="283"/>
      <c r="AV19" s="286"/>
      <c r="AW19" s="283"/>
      <c r="AX19" s="177"/>
      <c r="AY19" s="284"/>
      <c r="AZ19" s="286"/>
      <c r="BA19" s="284"/>
      <c r="BB19" s="283"/>
      <c r="BC19" s="177"/>
      <c r="BD19" s="177"/>
      <c r="BE19" s="177"/>
      <c r="BF19" s="286"/>
      <c r="BG19" s="283"/>
      <c r="BH19" s="177"/>
      <c r="BI19" s="284"/>
      <c r="BJ19" s="284"/>
      <c r="BK19" s="284"/>
      <c r="BL19" s="284"/>
      <c r="BM19" s="284"/>
    </row>
    <row r="20" spans="1:65" s="79" customFormat="1" ht="20.100000000000001" customHeight="1">
      <c r="A20" s="283"/>
      <c r="B20" s="286"/>
      <c r="C20" s="283"/>
      <c r="D20" s="177"/>
      <c r="E20" s="286"/>
      <c r="F20" s="283"/>
      <c r="G20" s="177"/>
      <c r="H20" s="285" t="e">
        <f t="shared" si="0"/>
        <v>#DIV/0!</v>
      </c>
      <c r="I20" s="286"/>
      <c r="J20" s="283"/>
      <c r="K20" s="284"/>
      <c r="L20" s="283"/>
      <c r="M20" s="177"/>
      <c r="N20" s="177"/>
      <c r="O20" s="177"/>
      <c r="P20" s="284"/>
      <c r="Q20" s="284"/>
      <c r="R20" s="286"/>
      <c r="S20" s="283"/>
      <c r="T20" s="177"/>
      <c r="U20" s="284"/>
      <c r="V20" s="286"/>
      <c r="W20" s="284"/>
      <c r="X20" s="284"/>
      <c r="Y20" s="284"/>
      <c r="Z20" s="283"/>
      <c r="AA20" s="177"/>
      <c r="AB20" s="286"/>
      <c r="AC20" s="284"/>
      <c r="AD20" s="283"/>
      <c r="AE20" s="177"/>
      <c r="AF20" s="177"/>
      <c r="AG20" s="177"/>
      <c r="AH20" s="286"/>
      <c r="AI20" s="283"/>
      <c r="AJ20" s="177"/>
      <c r="AK20" s="284"/>
      <c r="AL20" s="283"/>
      <c r="AM20" s="286"/>
      <c r="AN20" s="283"/>
      <c r="AO20" s="284"/>
      <c r="AP20" s="283"/>
      <c r="AQ20" s="177"/>
      <c r="AR20" s="177"/>
      <c r="AS20" s="177"/>
      <c r="AT20" s="283"/>
      <c r="AU20" s="283"/>
      <c r="AV20" s="286"/>
      <c r="AW20" s="283"/>
      <c r="AX20" s="177"/>
      <c r="AY20" s="284"/>
      <c r="AZ20" s="286"/>
      <c r="BA20" s="284"/>
      <c r="BB20" s="283"/>
      <c r="BC20" s="177"/>
      <c r="BD20" s="177"/>
      <c r="BE20" s="177"/>
      <c r="BF20" s="286"/>
      <c r="BG20" s="283"/>
      <c r="BH20" s="177"/>
      <c r="BI20" s="284"/>
      <c r="BJ20" s="284"/>
      <c r="BK20" s="284"/>
      <c r="BL20" s="284"/>
      <c r="BM20" s="284"/>
    </row>
    <row r="21" spans="1:65" s="79" customFormat="1" ht="20.100000000000001" customHeight="1">
      <c r="A21" s="283"/>
      <c r="B21" s="286"/>
      <c r="C21" s="283"/>
      <c r="D21" s="177"/>
      <c r="E21" s="286"/>
      <c r="F21" s="283"/>
      <c r="G21" s="177"/>
      <c r="H21" s="285" t="e">
        <f t="shared" si="0"/>
        <v>#DIV/0!</v>
      </c>
      <c r="I21" s="286"/>
      <c r="J21" s="283"/>
      <c r="K21" s="284"/>
      <c r="L21" s="283"/>
      <c r="M21" s="177"/>
      <c r="N21" s="177"/>
      <c r="O21" s="177"/>
      <c r="P21" s="284"/>
      <c r="Q21" s="284"/>
      <c r="R21" s="286"/>
      <c r="S21" s="283"/>
      <c r="T21" s="177"/>
      <c r="U21" s="284"/>
      <c r="V21" s="286"/>
      <c r="W21" s="284"/>
      <c r="X21" s="284"/>
      <c r="Y21" s="284"/>
      <c r="Z21" s="283"/>
      <c r="AA21" s="177"/>
      <c r="AB21" s="286"/>
      <c r="AC21" s="284"/>
      <c r="AD21" s="283"/>
      <c r="AE21" s="177"/>
      <c r="AF21" s="177"/>
      <c r="AG21" s="177"/>
      <c r="AH21" s="286"/>
      <c r="AI21" s="283"/>
      <c r="AJ21" s="177"/>
      <c r="AK21" s="284"/>
      <c r="AL21" s="283"/>
      <c r="AM21" s="286"/>
      <c r="AN21" s="283"/>
      <c r="AO21" s="284"/>
      <c r="AP21" s="283"/>
      <c r="AQ21" s="177"/>
      <c r="AR21" s="177"/>
      <c r="AS21" s="177"/>
      <c r="AT21" s="283"/>
      <c r="AU21" s="283"/>
      <c r="AV21" s="286"/>
      <c r="AW21" s="283"/>
      <c r="AX21" s="177"/>
      <c r="AY21" s="284"/>
      <c r="AZ21" s="286"/>
      <c r="BA21" s="284"/>
      <c r="BB21" s="283"/>
      <c r="BC21" s="177"/>
      <c r="BD21" s="177"/>
      <c r="BE21" s="177"/>
      <c r="BF21" s="286"/>
      <c r="BG21" s="283"/>
      <c r="BH21" s="177"/>
      <c r="BI21" s="284"/>
      <c r="BJ21" s="284"/>
      <c r="BK21" s="284"/>
      <c r="BL21" s="284"/>
      <c r="BM21" s="284"/>
    </row>
    <row r="22" spans="1:65" s="79" customFormat="1" ht="20.100000000000001" customHeight="1">
      <c r="A22" s="283"/>
      <c r="B22" s="286"/>
      <c r="C22" s="283"/>
      <c r="D22" s="177"/>
      <c r="E22" s="286"/>
      <c r="F22" s="283"/>
      <c r="G22" s="177"/>
      <c r="H22" s="285" t="e">
        <f t="shared" si="0"/>
        <v>#DIV/0!</v>
      </c>
      <c r="I22" s="286"/>
      <c r="J22" s="283"/>
      <c r="K22" s="284"/>
      <c r="L22" s="283"/>
      <c r="M22" s="177"/>
      <c r="N22" s="177"/>
      <c r="O22" s="177"/>
      <c r="P22" s="284"/>
      <c r="Q22" s="284"/>
      <c r="R22" s="286"/>
      <c r="S22" s="283"/>
      <c r="T22" s="177"/>
      <c r="U22" s="284"/>
      <c r="V22" s="286"/>
      <c r="W22" s="284"/>
      <c r="X22" s="284"/>
      <c r="Y22" s="284"/>
      <c r="Z22" s="283"/>
      <c r="AA22" s="177"/>
      <c r="AB22" s="286"/>
      <c r="AC22" s="284"/>
      <c r="AD22" s="283"/>
      <c r="AE22" s="177"/>
      <c r="AF22" s="177"/>
      <c r="AG22" s="177"/>
      <c r="AH22" s="286"/>
      <c r="AI22" s="283"/>
      <c r="AJ22" s="177"/>
      <c r="AK22" s="284"/>
      <c r="AL22" s="283"/>
      <c r="AM22" s="286"/>
      <c r="AN22" s="283"/>
      <c r="AO22" s="284"/>
      <c r="AP22" s="283"/>
      <c r="AQ22" s="177"/>
      <c r="AR22" s="177"/>
      <c r="AS22" s="177"/>
      <c r="AT22" s="283"/>
      <c r="AU22" s="283"/>
      <c r="AV22" s="286"/>
      <c r="AW22" s="283"/>
      <c r="AX22" s="177"/>
      <c r="AY22" s="284"/>
      <c r="AZ22" s="286"/>
      <c r="BA22" s="284"/>
      <c r="BB22" s="283"/>
      <c r="BC22" s="177"/>
      <c r="BD22" s="177"/>
      <c r="BE22" s="177"/>
      <c r="BF22" s="286"/>
      <c r="BG22" s="283"/>
      <c r="BH22" s="177"/>
      <c r="BI22" s="284"/>
      <c r="BJ22" s="284"/>
      <c r="BK22" s="284"/>
      <c r="BL22" s="284"/>
      <c r="BM22" s="284"/>
    </row>
    <row r="23" spans="1:65" s="79" customFormat="1" ht="20.100000000000001" customHeight="1">
      <c r="A23" s="283"/>
      <c r="B23" s="286"/>
      <c r="C23" s="283"/>
      <c r="D23" s="177"/>
      <c r="E23" s="286"/>
      <c r="F23" s="283"/>
      <c r="G23" s="177"/>
      <c r="H23" s="285" t="e">
        <f t="shared" si="0"/>
        <v>#DIV/0!</v>
      </c>
      <c r="I23" s="286"/>
      <c r="J23" s="283"/>
      <c r="K23" s="284"/>
      <c r="L23" s="283"/>
      <c r="M23" s="177"/>
      <c r="N23" s="177"/>
      <c r="O23" s="177"/>
      <c r="P23" s="284"/>
      <c r="Q23" s="284"/>
      <c r="R23" s="286"/>
      <c r="S23" s="283"/>
      <c r="T23" s="177"/>
      <c r="U23" s="284"/>
      <c r="V23" s="286"/>
      <c r="W23" s="284"/>
      <c r="X23" s="284"/>
      <c r="Y23" s="284"/>
      <c r="Z23" s="283"/>
      <c r="AA23" s="177"/>
      <c r="AB23" s="286"/>
      <c r="AC23" s="284"/>
      <c r="AD23" s="283"/>
      <c r="AE23" s="177"/>
      <c r="AF23" s="177"/>
      <c r="AG23" s="177"/>
      <c r="AH23" s="286"/>
      <c r="AI23" s="283"/>
      <c r="AJ23" s="177"/>
      <c r="AK23" s="284"/>
      <c r="AL23" s="283"/>
      <c r="AM23" s="286"/>
      <c r="AN23" s="283"/>
      <c r="AO23" s="284"/>
      <c r="AP23" s="283"/>
      <c r="AQ23" s="177"/>
      <c r="AR23" s="177"/>
      <c r="AS23" s="177"/>
      <c r="AT23" s="283"/>
      <c r="AU23" s="283"/>
      <c r="AV23" s="286"/>
      <c r="AW23" s="283"/>
      <c r="AX23" s="177"/>
      <c r="AY23" s="284"/>
      <c r="AZ23" s="286"/>
      <c r="BA23" s="284"/>
      <c r="BB23" s="283"/>
      <c r="BC23" s="177"/>
      <c r="BD23" s="177"/>
      <c r="BE23" s="177"/>
      <c r="BF23" s="286"/>
      <c r="BG23" s="283"/>
      <c r="BH23" s="177"/>
      <c r="BI23" s="284"/>
      <c r="BJ23" s="284"/>
      <c r="BK23" s="284"/>
      <c r="BL23" s="284"/>
      <c r="BM23" s="284"/>
    </row>
    <row r="24" spans="1:65" s="79" customFormat="1" ht="20.100000000000001" customHeight="1">
      <c r="A24" s="283"/>
      <c r="B24" s="286"/>
      <c r="C24" s="283"/>
      <c r="D24" s="177"/>
      <c r="E24" s="286"/>
      <c r="F24" s="283"/>
      <c r="G24" s="177"/>
      <c r="H24" s="285" t="e">
        <f t="shared" si="0"/>
        <v>#DIV/0!</v>
      </c>
      <c r="I24" s="286"/>
      <c r="J24" s="283"/>
      <c r="K24" s="284"/>
      <c r="L24" s="283"/>
      <c r="M24" s="177"/>
      <c r="N24" s="177"/>
      <c r="O24" s="177"/>
      <c r="P24" s="284"/>
      <c r="Q24" s="284"/>
      <c r="R24" s="286"/>
      <c r="S24" s="283"/>
      <c r="T24" s="177"/>
      <c r="U24" s="284"/>
      <c r="V24" s="286"/>
      <c r="W24" s="284"/>
      <c r="X24" s="284"/>
      <c r="Y24" s="284"/>
      <c r="Z24" s="283"/>
      <c r="AA24" s="177"/>
      <c r="AB24" s="286"/>
      <c r="AC24" s="284"/>
      <c r="AD24" s="283"/>
      <c r="AE24" s="177"/>
      <c r="AF24" s="177"/>
      <c r="AG24" s="177"/>
      <c r="AH24" s="286"/>
      <c r="AI24" s="283"/>
      <c r="AJ24" s="177"/>
      <c r="AK24" s="284"/>
      <c r="AL24" s="283"/>
      <c r="AM24" s="286"/>
      <c r="AN24" s="283"/>
      <c r="AO24" s="284"/>
      <c r="AP24" s="283"/>
      <c r="AQ24" s="177"/>
      <c r="AR24" s="177"/>
      <c r="AS24" s="177"/>
      <c r="AT24" s="283"/>
      <c r="AU24" s="283"/>
      <c r="AV24" s="286"/>
      <c r="AW24" s="283"/>
      <c r="AX24" s="177"/>
      <c r="AY24" s="284"/>
      <c r="AZ24" s="286"/>
      <c r="BA24" s="284"/>
      <c r="BB24" s="283"/>
      <c r="BC24" s="177"/>
      <c r="BD24" s="177"/>
      <c r="BE24" s="177"/>
      <c r="BF24" s="286"/>
      <c r="BG24" s="283"/>
      <c r="BH24" s="177"/>
      <c r="BI24" s="284"/>
      <c r="BJ24" s="284"/>
      <c r="BK24" s="284"/>
      <c r="BL24" s="284"/>
      <c r="BM24" s="284"/>
    </row>
    <row r="25" spans="1:65" s="79" customFormat="1" ht="20.100000000000001" customHeight="1">
      <c r="A25" s="283"/>
      <c r="B25" s="286"/>
      <c r="C25" s="283"/>
      <c r="D25" s="177"/>
      <c r="E25" s="286"/>
      <c r="F25" s="283"/>
      <c r="G25" s="177"/>
      <c r="H25" s="285" t="e">
        <f t="shared" si="0"/>
        <v>#DIV/0!</v>
      </c>
      <c r="I25" s="286"/>
      <c r="J25" s="283"/>
      <c r="K25" s="284"/>
      <c r="L25" s="283"/>
      <c r="M25" s="177"/>
      <c r="N25" s="177"/>
      <c r="O25" s="177"/>
      <c r="P25" s="284"/>
      <c r="Q25" s="284"/>
      <c r="R25" s="286"/>
      <c r="S25" s="283"/>
      <c r="T25" s="177"/>
      <c r="U25" s="284"/>
      <c r="V25" s="286"/>
      <c r="W25" s="284"/>
      <c r="X25" s="284"/>
      <c r="Y25" s="284"/>
      <c r="Z25" s="283"/>
      <c r="AA25" s="177"/>
      <c r="AB25" s="286"/>
      <c r="AC25" s="284"/>
      <c r="AD25" s="283"/>
      <c r="AE25" s="177"/>
      <c r="AF25" s="177"/>
      <c r="AG25" s="177"/>
      <c r="AH25" s="286"/>
      <c r="AI25" s="283"/>
      <c r="AJ25" s="177"/>
      <c r="AK25" s="284"/>
      <c r="AL25" s="283"/>
      <c r="AM25" s="286"/>
      <c r="AN25" s="283"/>
      <c r="AO25" s="284"/>
      <c r="AP25" s="283"/>
      <c r="AQ25" s="177"/>
      <c r="AR25" s="177"/>
      <c r="AS25" s="177"/>
      <c r="AT25" s="283"/>
      <c r="AU25" s="283"/>
      <c r="AV25" s="286"/>
      <c r="AW25" s="283"/>
      <c r="AX25" s="177"/>
      <c r="AY25" s="284"/>
      <c r="AZ25" s="286"/>
      <c r="BA25" s="284"/>
      <c r="BB25" s="283"/>
      <c r="BC25" s="177"/>
      <c r="BD25" s="177"/>
      <c r="BE25" s="177"/>
      <c r="BF25" s="286"/>
      <c r="BG25" s="283"/>
      <c r="BH25" s="177"/>
      <c r="BI25" s="284"/>
      <c r="BJ25" s="284"/>
      <c r="BK25" s="284"/>
      <c r="BL25" s="284"/>
      <c r="BM25" s="284"/>
    </row>
    <row r="26" spans="1:65" s="79" customFormat="1" ht="20.100000000000001" customHeight="1">
      <c r="A26" s="283"/>
      <c r="B26" s="286"/>
      <c r="C26" s="283"/>
      <c r="D26" s="177"/>
      <c r="E26" s="286"/>
      <c r="F26" s="283"/>
      <c r="G26" s="177"/>
      <c r="H26" s="285" t="e">
        <f t="shared" si="0"/>
        <v>#DIV/0!</v>
      </c>
      <c r="I26" s="286"/>
      <c r="J26" s="283"/>
      <c r="K26" s="284"/>
      <c r="L26" s="283"/>
      <c r="M26" s="177"/>
      <c r="N26" s="177"/>
      <c r="O26" s="177"/>
      <c r="P26" s="284"/>
      <c r="Q26" s="284"/>
      <c r="R26" s="286"/>
      <c r="S26" s="283"/>
      <c r="T26" s="177"/>
      <c r="U26" s="284"/>
      <c r="V26" s="286"/>
      <c r="W26" s="284"/>
      <c r="X26" s="284"/>
      <c r="Y26" s="284"/>
      <c r="Z26" s="283"/>
      <c r="AA26" s="177"/>
      <c r="AB26" s="286"/>
      <c r="AC26" s="284"/>
      <c r="AD26" s="283"/>
      <c r="AE26" s="177"/>
      <c r="AF26" s="177"/>
      <c r="AG26" s="177"/>
      <c r="AH26" s="286"/>
      <c r="AI26" s="283"/>
      <c r="AJ26" s="177"/>
      <c r="AK26" s="284"/>
      <c r="AL26" s="283"/>
      <c r="AM26" s="286"/>
      <c r="AN26" s="283"/>
      <c r="AO26" s="284"/>
      <c r="AP26" s="283"/>
      <c r="AQ26" s="177"/>
      <c r="AR26" s="177"/>
      <c r="AS26" s="177"/>
      <c r="AT26" s="283"/>
      <c r="AU26" s="283"/>
      <c r="AV26" s="286"/>
      <c r="AW26" s="283"/>
      <c r="AX26" s="177"/>
      <c r="AY26" s="284"/>
      <c r="AZ26" s="286"/>
      <c r="BA26" s="284"/>
      <c r="BB26" s="283"/>
      <c r="BC26" s="177"/>
      <c r="BD26" s="177"/>
      <c r="BE26" s="177"/>
      <c r="BF26" s="286"/>
      <c r="BG26" s="283"/>
      <c r="BH26" s="177"/>
      <c r="BI26" s="284"/>
      <c r="BJ26" s="284"/>
      <c r="BK26" s="284"/>
      <c r="BL26" s="284"/>
      <c r="BM26" s="284"/>
    </row>
    <row r="27" spans="1:65" s="79" customFormat="1" ht="20.100000000000001" customHeight="1">
      <c r="A27" s="283"/>
      <c r="B27" s="286"/>
      <c r="C27" s="283"/>
      <c r="D27" s="177"/>
      <c r="E27" s="286"/>
      <c r="F27" s="283"/>
      <c r="G27" s="177"/>
      <c r="H27" s="285" t="e">
        <f t="shared" si="0"/>
        <v>#DIV/0!</v>
      </c>
      <c r="I27" s="286"/>
      <c r="J27" s="283"/>
      <c r="K27" s="284"/>
      <c r="L27" s="283"/>
      <c r="M27" s="177"/>
      <c r="N27" s="177"/>
      <c r="O27" s="177"/>
      <c r="P27" s="284"/>
      <c r="Q27" s="284"/>
      <c r="R27" s="286"/>
      <c r="S27" s="283"/>
      <c r="T27" s="177"/>
      <c r="U27" s="284"/>
      <c r="V27" s="286"/>
      <c r="W27" s="284"/>
      <c r="X27" s="284"/>
      <c r="Y27" s="284"/>
      <c r="Z27" s="283"/>
      <c r="AA27" s="177"/>
      <c r="AB27" s="286"/>
      <c r="AC27" s="284"/>
      <c r="AD27" s="283"/>
      <c r="AE27" s="177"/>
      <c r="AF27" s="177"/>
      <c r="AG27" s="177"/>
      <c r="AH27" s="286"/>
      <c r="AI27" s="283"/>
      <c r="AJ27" s="177"/>
      <c r="AK27" s="284"/>
      <c r="AL27" s="283"/>
      <c r="AM27" s="286"/>
      <c r="AN27" s="283"/>
      <c r="AO27" s="284"/>
      <c r="AP27" s="283"/>
      <c r="AQ27" s="177"/>
      <c r="AR27" s="177"/>
      <c r="AS27" s="177"/>
      <c r="AT27" s="283"/>
      <c r="AU27" s="283"/>
      <c r="AV27" s="286"/>
      <c r="AW27" s="283"/>
      <c r="AX27" s="177"/>
      <c r="AY27" s="284"/>
      <c r="AZ27" s="286"/>
      <c r="BA27" s="284"/>
      <c r="BB27" s="283"/>
      <c r="BC27" s="177"/>
      <c r="BD27" s="177"/>
      <c r="BE27" s="177"/>
      <c r="BF27" s="286"/>
      <c r="BG27" s="283"/>
      <c r="BH27" s="177"/>
      <c r="BI27" s="284"/>
      <c r="BJ27" s="284"/>
      <c r="BK27" s="284"/>
      <c r="BL27" s="284"/>
      <c r="BM27" s="284"/>
    </row>
    <row r="28" spans="1:65" s="79" customFormat="1" ht="20.100000000000001" customHeight="1">
      <c r="A28" s="283"/>
      <c r="B28" s="286"/>
      <c r="C28" s="283"/>
      <c r="D28" s="177"/>
      <c r="E28" s="286"/>
      <c r="F28" s="283"/>
      <c r="G28" s="177"/>
      <c r="H28" s="285" t="e">
        <f t="shared" si="0"/>
        <v>#DIV/0!</v>
      </c>
      <c r="I28" s="286"/>
      <c r="J28" s="283"/>
      <c r="K28" s="284"/>
      <c r="L28" s="283"/>
      <c r="M28" s="177"/>
      <c r="N28" s="177"/>
      <c r="O28" s="177"/>
      <c r="P28" s="284"/>
      <c r="Q28" s="284"/>
      <c r="R28" s="286"/>
      <c r="S28" s="283"/>
      <c r="T28" s="177"/>
      <c r="U28" s="284"/>
      <c r="V28" s="286"/>
      <c r="W28" s="284"/>
      <c r="X28" s="284"/>
      <c r="Y28" s="284"/>
      <c r="Z28" s="283"/>
      <c r="AA28" s="177"/>
      <c r="AB28" s="286"/>
      <c r="AC28" s="284"/>
      <c r="AD28" s="283"/>
      <c r="AE28" s="177"/>
      <c r="AF28" s="177"/>
      <c r="AG28" s="177"/>
      <c r="AH28" s="286"/>
      <c r="AI28" s="283"/>
      <c r="AJ28" s="177"/>
      <c r="AK28" s="284"/>
      <c r="AL28" s="283"/>
      <c r="AM28" s="286"/>
      <c r="AN28" s="283"/>
      <c r="AO28" s="284"/>
      <c r="AP28" s="283"/>
      <c r="AQ28" s="177"/>
      <c r="AR28" s="177"/>
      <c r="AS28" s="177"/>
      <c r="AT28" s="283"/>
      <c r="AU28" s="283"/>
      <c r="AV28" s="286"/>
      <c r="AW28" s="283"/>
      <c r="AX28" s="177"/>
      <c r="AY28" s="284"/>
      <c r="AZ28" s="286"/>
      <c r="BA28" s="284"/>
      <c r="BB28" s="283"/>
      <c r="BC28" s="177"/>
      <c r="BD28" s="177"/>
      <c r="BE28" s="177"/>
      <c r="BF28" s="286"/>
      <c r="BG28" s="283"/>
      <c r="BH28" s="177"/>
      <c r="BI28" s="284"/>
      <c r="BJ28" s="284"/>
      <c r="BK28" s="284"/>
      <c r="BL28" s="284"/>
      <c r="BM28" s="284"/>
    </row>
    <row r="29" spans="1:65" s="176" customFormat="1" ht="20.100000000000001" customHeight="1">
      <c r="A29" s="199" t="s">
        <v>361</v>
      </c>
      <c r="B29" s="200"/>
      <c r="C29" s="173"/>
      <c r="D29" s="178">
        <f>SUM(D14:D28)</f>
        <v>0</v>
      </c>
      <c r="E29" s="174"/>
      <c r="F29" s="174"/>
      <c r="G29" s="178">
        <f>SUM(G14:G28)</f>
        <v>0</v>
      </c>
      <c r="H29" s="285" t="e">
        <f t="shared" si="0"/>
        <v>#DIV/0!</v>
      </c>
      <c r="I29" s="174"/>
      <c r="J29" s="174"/>
      <c r="K29" s="175"/>
      <c r="L29" s="174"/>
      <c r="M29" s="287"/>
      <c r="N29" s="287"/>
      <c r="O29" s="178">
        <f>SUM(O14:O28)</f>
        <v>0</v>
      </c>
      <c r="P29" s="175"/>
      <c r="Q29" s="175"/>
      <c r="R29" s="174"/>
      <c r="S29" s="174"/>
      <c r="T29" s="287"/>
      <c r="U29" s="175"/>
      <c r="V29" s="174"/>
      <c r="W29" s="175"/>
      <c r="X29" s="175"/>
      <c r="Y29" s="175"/>
      <c r="Z29" s="174"/>
      <c r="AA29" s="287"/>
      <c r="AB29" s="174"/>
      <c r="AC29" s="175"/>
      <c r="AD29" s="174"/>
      <c r="AE29" s="287"/>
      <c r="AF29" s="287"/>
      <c r="AG29" s="178">
        <f>SUM(AG14:AG28)</f>
        <v>0</v>
      </c>
      <c r="AH29" s="174"/>
      <c r="AI29" s="174"/>
      <c r="AJ29" s="178">
        <f>SUM(AJ14:AJ28)</f>
        <v>0</v>
      </c>
      <c r="AK29" s="175"/>
      <c r="AL29" s="174"/>
      <c r="AM29" s="174"/>
      <c r="AN29" s="174"/>
      <c r="AO29" s="175"/>
      <c r="AP29" s="174"/>
      <c r="AQ29" s="287"/>
      <c r="AR29" s="287"/>
      <c r="AS29" s="178">
        <f>SUM(AS14:AS28)</f>
        <v>0</v>
      </c>
      <c r="AT29" s="174"/>
      <c r="AU29" s="174"/>
      <c r="AV29" s="174"/>
      <c r="AW29" s="174"/>
      <c r="AX29" s="287"/>
      <c r="AY29" s="175"/>
      <c r="AZ29" s="174"/>
      <c r="BA29" s="175"/>
      <c r="BB29" s="174"/>
      <c r="BC29" s="287"/>
      <c r="BD29" s="287"/>
      <c r="BE29" s="178">
        <f>SUM(BE14:BE28)</f>
        <v>0</v>
      </c>
      <c r="BF29" s="174"/>
      <c r="BG29" s="174"/>
      <c r="BH29" s="178">
        <f>SUM(BH14:BH28)</f>
        <v>0</v>
      </c>
      <c r="BI29" s="175"/>
      <c r="BJ29" s="175"/>
      <c r="BK29" s="175"/>
      <c r="BL29" s="175"/>
      <c r="BM29" s="175"/>
    </row>
    <row r="30" spans="1:65" s="79" customFormat="1" ht="20.100000000000001" customHeight="1">
      <c r="A30" s="78" t="s">
        <v>298</v>
      </c>
    </row>
    <row r="31" spans="1:65" s="79" customFormat="1" ht="20.100000000000001" customHeight="1"/>
    <row r="32" spans="1:65" s="79" customFormat="1" ht="20.100000000000001" customHeight="1"/>
    <row r="33" spans="1:37" s="79" customFormat="1" ht="20.100000000000001" customHeight="1"/>
    <row r="34" spans="1:37" s="79" customFormat="1" ht="20.100000000000001" customHeight="1">
      <c r="A34" s="78" t="s">
        <v>299</v>
      </c>
    </row>
    <row r="35" spans="1:37" s="79" customFormat="1" ht="20.100000000000001" customHeight="1"/>
    <row r="36" spans="1:37" ht="20.100000000000001" customHeight="1">
      <c r="A36" s="99" t="s">
        <v>300</v>
      </c>
      <c r="P36" s="64" t="s">
        <v>301</v>
      </c>
      <c r="Q36" s="64" t="s">
        <v>302</v>
      </c>
      <c r="AK36" s="64" t="s">
        <v>303</v>
      </c>
    </row>
    <row r="37" spans="1:37" ht="20.100000000000001" customHeight="1">
      <c r="P37" s="64" t="s">
        <v>304</v>
      </c>
      <c r="Q37" s="64" t="s">
        <v>305</v>
      </c>
      <c r="AK37" s="64" t="s">
        <v>306</v>
      </c>
    </row>
    <row r="38" spans="1:37" ht="20.100000000000001" customHeight="1">
      <c r="P38" s="64" t="s">
        <v>307</v>
      </c>
      <c r="Q38" s="64" t="s">
        <v>308</v>
      </c>
    </row>
    <row r="39" spans="1:37" ht="20.100000000000001" customHeight="1">
      <c r="Q39" s="64" t="s">
        <v>309</v>
      </c>
    </row>
    <row r="40" spans="1:37" ht="20.100000000000001" customHeight="1">
      <c r="Q40" s="64" t="s">
        <v>310</v>
      </c>
    </row>
  </sheetData>
  <mergeCells count="29">
    <mergeCell ref="V12:AA12"/>
    <mergeCell ref="AB12:AG12"/>
    <mergeCell ref="A1:AA1"/>
    <mergeCell ref="AB1:AS1"/>
    <mergeCell ref="AT1:BM1"/>
    <mergeCell ref="A2:AA2"/>
    <mergeCell ref="AB2:AS2"/>
    <mergeCell ref="AT2:BM2"/>
    <mergeCell ref="I12:O12"/>
    <mergeCell ref="P12:P13"/>
    <mergeCell ref="Q12:Q13"/>
    <mergeCell ref="R12:T12"/>
    <mergeCell ref="U12:U13"/>
    <mergeCell ref="A29:B29"/>
    <mergeCell ref="BF12:BJ12"/>
    <mergeCell ref="BK12:BK13"/>
    <mergeCell ref="BL12:BL13"/>
    <mergeCell ref="BM12:BM13"/>
    <mergeCell ref="AM12:AS12"/>
    <mergeCell ref="AT12:AT13"/>
    <mergeCell ref="AU12:AU13"/>
    <mergeCell ref="AV12:AX12"/>
    <mergeCell ref="AY12:AY13"/>
    <mergeCell ref="AZ12:BE12"/>
    <mergeCell ref="AH12:AL12"/>
    <mergeCell ref="A12:A13"/>
    <mergeCell ref="B12:D12"/>
    <mergeCell ref="E12:G12"/>
    <mergeCell ref="H12:H13"/>
  </mergeCells>
  <phoneticPr fontId="4" type="noConversion"/>
  <dataValidations count="5">
    <dataValidation type="list" allowBlank="1" showInputMessage="1" showErrorMessage="1" sqref="AU14:AU29">
      <formula1>$Q$36:$Q$40</formula1>
    </dataValidation>
    <dataValidation type="list" allowBlank="1" showInputMessage="1" showErrorMessage="1" sqref="AT14:AT29">
      <formula1>$P$36:$P$38</formula1>
    </dataValidation>
    <dataValidation type="list" allowBlank="1" showInputMessage="1" showErrorMessage="1" sqref="AK14:AK29 BI14">
      <formula1>$AK$36:$AK$37</formula1>
    </dataValidation>
    <dataValidation type="list" allowBlank="1" showInputMessage="1" showErrorMessage="1" sqref="P14:P29">
      <formula1>$P$36:$P$37</formula1>
    </dataValidation>
    <dataValidation type="list" allowBlank="1" showInputMessage="1" showErrorMessage="1" sqref="Q14:Q29">
      <formula1>$Q$36:$Q$38</formula1>
    </dataValidation>
  </dataValidations>
  <pageMargins left="0.70866141732283472" right="0.70866141732283472" top="0.74803149606299213" bottom="0.74803149606299213" header="0.31496062992125984" footer="0.31496062992125984"/>
  <pageSetup paperSize="9" scale="54" orientation="landscape" blackAndWhite="1" r:id="rId1"/>
  <colBreaks count="2" manualBreakCount="2">
    <brk id="27" max="1048575" man="1"/>
    <brk id="45" max="3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rgb="FF00B050"/>
  </sheetPr>
  <dimension ref="A1:L41"/>
  <sheetViews>
    <sheetView view="pageBreakPreview" topLeftCell="A19" zoomScaleNormal="100" zoomScaleSheetLayoutView="100" workbookViewId="0">
      <selection sqref="A1:L1"/>
    </sheetView>
  </sheetViews>
  <sheetFormatPr defaultColWidth="9" defaultRowHeight="20.100000000000001" customHeight="1"/>
  <cols>
    <col min="1" max="1" width="10.21875" style="100" customWidth="1"/>
    <col min="2" max="2" width="9.44140625" style="100" customWidth="1"/>
    <col min="3" max="3" width="10.44140625" style="100" bestFit="1" customWidth="1"/>
    <col min="4" max="4" width="11.21875" style="100" bestFit="1" customWidth="1"/>
    <col min="5" max="6" width="11.21875" style="100" customWidth="1"/>
    <col min="7" max="11" width="9" style="100"/>
    <col min="12" max="12" width="11.21875" style="100" customWidth="1"/>
    <col min="13" max="13" width="1.44140625" style="100" customWidth="1"/>
    <col min="14" max="16384" width="9" style="100"/>
  </cols>
  <sheetData>
    <row r="1" spans="1:12" ht="20.100000000000001" customHeight="1">
      <c r="A1" s="212" t="s">
        <v>311</v>
      </c>
      <c r="B1" s="213"/>
      <c r="C1" s="213"/>
      <c r="D1" s="213"/>
      <c r="E1" s="213"/>
      <c r="F1" s="213"/>
      <c r="G1" s="213"/>
      <c r="H1" s="213"/>
      <c r="I1" s="213"/>
      <c r="J1" s="213"/>
      <c r="K1" s="213"/>
      <c r="L1" s="213"/>
    </row>
    <row r="2" spans="1:12" ht="20.100000000000001" customHeight="1">
      <c r="A2" s="214" t="s">
        <v>312</v>
      </c>
      <c r="B2" s="215"/>
      <c r="C2" s="215"/>
      <c r="D2" s="215"/>
      <c r="E2" s="215"/>
      <c r="F2" s="215"/>
      <c r="G2" s="215"/>
      <c r="H2" s="215"/>
      <c r="I2" s="215"/>
      <c r="J2" s="215"/>
      <c r="K2" s="215"/>
      <c r="L2" s="215"/>
    </row>
    <row r="3" spans="1:12" ht="20.100000000000001" customHeight="1">
      <c r="A3" s="2" t="str">
        <f>[1]底稿目录!$A$2</f>
        <v>被审计单位：</v>
      </c>
      <c r="B3" s="101"/>
      <c r="C3" s="101"/>
      <c r="D3" s="2" t="str">
        <f>[1]底稿目录!$A$4</f>
        <v>编制人：</v>
      </c>
      <c r="E3" s="101"/>
      <c r="F3" s="102"/>
      <c r="G3" s="2" t="str">
        <f>[1]底稿目录!$A$5</f>
        <v>编制日期：</v>
      </c>
      <c r="H3" s="101"/>
      <c r="I3" s="103"/>
      <c r="J3" s="101"/>
      <c r="K3" s="101" t="s">
        <v>241</v>
      </c>
      <c r="L3" s="104" t="s">
        <v>313</v>
      </c>
    </row>
    <row r="4" spans="1:12" ht="20.100000000000001" customHeight="1">
      <c r="A4" s="2" t="str">
        <f>[1]底稿目录!$A$3</f>
        <v>会计期间：202X年度</v>
      </c>
      <c r="B4" s="101"/>
      <c r="C4" s="101"/>
      <c r="D4" s="2" t="str">
        <f>[1]底稿目录!$A$6</f>
        <v>复核人：</v>
      </c>
      <c r="E4" s="101"/>
      <c r="F4" s="102"/>
      <c r="G4" s="2" t="str">
        <f>[1]底稿目录!$A$7</f>
        <v>复核日期：</v>
      </c>
      <c r="H4" s="101"/>
      <c r="I4" s="101"/>
      <c r="J4" s="101"/>
      <c r="K4" s="101" t="s">
        <v>314</v>
      </c>
    </row>
    <row r="5" spans="1:12" ht="20.100000000000001" customHeight="1" thickBot="1"/>
    <row r="6" spans="1:12" ht="20.100000000000001" customHeight="1" thickBot="1">
      <c r="A6" s="105" t="s">
        <v>315</v>
      </c>
      <c r="B6" s="105" t="s">
        <v>316</v>
      </c>
      <c r="C6" s="105" t="s">
        <v>317</v>
      </c>
      <c r="D6" s="105" t="s">
        <v>318</v>
      </c>
      <c r="E6" s="105" t="s">
        <v>319</v>
      </c>
      <c r="F6" s="106" t="s">
        <v>320</v>
      </c>
    </row>
    <row r="7" spans="1:12" ht="20.100000000000001" customHeight="1" thickTop="1" thickBot="1">
      <c r="A7" s="107" t="s">
        <v>321</v>
      </c>
      <c r="B7" s="108">
        <v>1</v>
      </c>
      <c r="C7" s="109">
        <v>50</v>
      </c>
      <c r="D7" s="110">
        <v>0.05</v>
      </c>
      <c r="E7" s="111">
        <f>C7*(1+D7)</f>
        <v>52.5</v>
      </c>
      <c r="F7" s="112" t="s">
        <v>322</v>
      </c>
    </row>
    <row r="8" spans="1:12" ht="20.100000000000001" customHeight="1" thickBot="1">
      <c r="A8" s="113"/>
      <c r="B8" s="114">
        <v>2</v>
      </c>
      <c r="C8" s="115">
        <v>50</v>
      </c>
      <c r="D8" s="116">
        <v>0.05</v>
      </c>
      <c r="E8" s="117">
        <f>C8*(1+D8)</f>
        <v>52.5</v>
      </c>
      <c r="F8" s="112" t="s">
        <v>323</v>
      </c>
    </row>
    <row r="9" spans="1:12" ht="20.100000000000001" customHeight="1" thickTop="1" thickBot="1">
      <c r="A9" s="118" t="s">
        <v>324</v>
      </c>
      <c r="B9" s="119" t="s">
        <v>325</v>
      </c>
      <c r="C9" s="120">
        <v>1</v>
      </c>
      <c r="D9" s="121">
        <v>0.2</v>
      </c>
      <c r="E9" s="111">
        <f>C9*(1+D9)</f>
        <v>1.2</v>
      </c>
      <c r="F9" s="112" t="s">
        <v>326</v>
      </c>
    </row>
    <row r="10" spans="1:12" ht="20.100000000000001" customHeight="1" thickBot="1">
      <c r="A10" s="122" t="s">
        <v>327</v>
      </c>
      <c r="B10" s="114">
        <v>8</v>
      </c>
      <c r="C10" s="115">
        <v>10</v>
      </c>
      <c r="D10" s="116">
        <v>0.1</v>
      </c>
      <c r="E10" s="115">
        <f>C10*(1+D10)</f>
        <v>11</v>
      </c>
      <c r="F10" s="112" t="s">
        <v>328</v>
      </c>
    </row>
    <row r="11" spans="1:12" ht="20.100000000000001" customHeight="1">
      <c r="C11" s="123">
        <f>C7+C8+C9*8+C10</f>
        <v>118</v>
      </c>
      <c r="D11" s="124"/>
      <c r="E11" s="125">
        <f>E7+E8+E9*8+E10</f>
        <v>125.6</v>
      </c>
      <c r="F11" s="126"/>
    </row>
    <row r="12" spans="1:12" ht="20.100000000000001" customHeight="1" thickBot="1"/>
    <row r="13" spans="1:12" ht="20.100000000000001" customHeight="1" thickBot="1">
      <c r="A13" s="105" t="s">
        <v>329</v>
      </c>
      <c r="B13" s="105">
        <v>1</v>
      </c>
      <c r="C13" s="105">
        <v>2</v>
      </c>
      <c r="D13" s="105">
        <v>3</v>
      </c>
      <c r="E13" s="105">
        <v>4</v>
      </c>
      <c r="F13" s="105">
        <v>5</v>
      </c>
      <c r="G13" s="105">
        <v>6</v>
      </c>
      <c r="H13" s="105">
        <v>7</v>
      </c>
      <c r="I13" s="105">
        <v>8</v>
      </c>
      <c r="J13" s="105">
        <v>9</v>
      </c>
      <c r="K13" s="105">
        <v>10</v>
      </c>
      <c r="L13" s="105" t="s">
        <v>330</v>
      </c>
    </row>
    <row r="14" spans="1:12" ht="20.100000000000001" customHeight="1" thickTop="1" thickBot="1">
      <c r="A14" s="127" t="s">
        <v>331</v>
      </c>
      <c r="B14" s="128">
        <v>50</v>
      </c>
      <c r="C14" s="128">
        <v>50</v>
      </c>
      <c r="D14" s="128">
        <v>1</v>
      </c>
      <c r="E14" s="128">
        <v>1</v>
      </c>
      <c r="F14" s="128">
        <v>1</v>
      </c>
      <c r="G14" s="128">
        <v>1</v>
      </c>
      <c r="H14" s="128">
        <v>1</v>
      </c>
      <c r="I14" s="128">
        <v>11</v>
      </c>
      <c r="J14" s="128">
        <v>1</v>
      </c>
      <c r="K14" s="128">
        <v>1</v>
      </c>
      <c r="L14" s="129">
        <f>SUM(B14:K14)</f>
        <v>118</v>
      </c>
    </row>
    <row r="15" spans="1:12" ht="20.100000000000001" customHeight="1" thickTop="1" thickBot="1">
      <c r="A15" s="127" t="s">
        <v>332</v>
      </c>
      <c r="B15" s="130"/>
      <c r="C15" s="130"/>
      <c r="D15" s="108">
        <v>20</v>
      </c>
      <c r="E15" s="108">
        <v>20</v>
      </c>
      <c r="F15" s="108">
        <v>20</v>
      </c>
      <c r="G15" s="108">
        <v>20</v>
      </c>
      <c r="H15" s="108">
        <v>20</v>
      </c>
      <c r="I15" s="108">
        <v>20</v>
      </c>
      <c r="J15" s="108">
        <v>20</v>
      </c>
      <c r="K15" s="108">
        <v>20</v>
      </c>
      <c r="L15" s="131">
        <f>SUM(B15:K15)</f>
        <v>160</v>
      </c>
    </row>
    <row r="16" spans="1:12" ht="20.100000000000001" customHeight="1" thickBot="1">
      <c r="A16" s="132" t="s">
        <v>333</v>
      </c>
      <c r="B16" s="133">
        <f>E7</f>
        <v>52.5</v>
      </c>
      <c r="C16" s="133">
        <f>E8</f>
        <v>52.5</v>
      </c>
      <c r="D16" s="134"/>
      <c r="E16" s="134"/>
      <c r="F16" s="134"/>
      <c r="G16" s="134"/>
      <c r="H16" s="134"/>
      <c r="I16" s="134"/>
      <c r="J16" s="134"/>
      <c r="K16" s="134"/>
      <c r="L16" s="135">
        <f>SUM(B16:K16)</f>
        <v>105</v>
      </c>
    </row>
    <row r="17" spans="1:12" ht="20.100000000000001" customHeight="1" thickTop="1" thickBot="1">
      <c r="A17" s="127" t="s">
        <v>334</v>
      </c>
      <c r="B17" s="128"/>
      <c r="C17" s="128"/>
      <c r="D17" s="128">
        <v>1.2</v>
      </c>
      <c r="E17" s="128">
        <v>1.2</v>
      </c>
      <c r="F17" s="128">
        <v>1.2</v>
      </c>
      <c r="G17" s="128">
        <v>1.2</v>
      </c>
      <c r="H17" s="128">
        <v>1.2</v>
      </c>
      <c r="I17" s="128">
        <v>1.2</v>
      </c>
      <c r="J17" s="128">
        <v>1.2</v>
      </c>
      <c r="K17" s="128">
        <v>1.2</v>
      </c>
      <c r="L17" s="131">
        <f>SUM(B17:K17)</f>
        <v>9.6</v>
      </c>
    </row>
    <row r="18" spans="1:12" ht="20.100000000000001" customHeight="1" thickTop="1" thickBot="1">
      <c r="A18" s="136" t="s">
        <v>335</v>
      </c>
      <c r="B18" s="128"/>
      <c r="C18" s="128"/>
      <c r="D18" s="128"/>
      <c r="E18" s="128"/>
      <c r="F18" s="128"/>
      <c r="G18" s="128"/>
      <c r="H18" s="128"/>
      <c r="I18" s="137">
        <f>E10</f>
        <v>11</v>
      </c>
      <c r="J18" s="128"/>
      <c r="K18" s="128"/>
      <c r="L18" s="131">
        <f>SUM(B18:K18)</f>
        <v>11</v>
      </c>
    </row>
    <row r="19" spans="1:12" ht="20.100000000000001" customHeight="1" thickTop="1" thickBot="1">
      <c r="A19" s="127" t="s">
        <v>336</v>
      </c>
      <c r="B19" s="138">
        <f>B16</f>
        <v>52.5</v>
      </c>
      <c r="C19" s="128"/>
      <c r="D19" s="128"/>
      <c r="E19" s="128"/>
      <c r="F19" s="128"/>
      <c r="G19" s="128"/>
      <c r="H19" s="128"/>
      <c r="I19" s="128"/>
      <c r="J19" s="128"/>
      <c r="K19" s="128"/>
      <c r="L19" s="129"/>
    </row>
    <row r="20" spans="1:12" ht="20.100000000000001" customHeight="1" thickBot="1">
      <c r="A20" s="139" t="s">
        <v>337</v>
      </c>
      <c r="B20" s="134"/>
      <c r="C20" s="140">
        <f>B19*(1+$B$21)+C16</f>
        <v>108.24409929000618</v>
      </c>
      <c r="D20" s="140">
        <f t="shared" ref="D20:K20" si="0">C20*(1+$B$21)-(D15-D17-D18)</f>
        <v>96.132758445321727</v>
      </c>
      <c r="E20" s="140">
        <f t="shared" si="0"/>
        <v>83.273029177108441</v>
      </c>
      <c r="F20" s="140">
        <f t="shared" si="0"/>
        <v>69.618666792920251</v>
      </c>
      <c r="G20" s="140">
        <f t="shared" si="0"/>
        <v>55.12056903128385</v>
      </c>
      <c r="H20" s="140">
        <f t="shared" si="0"/>
        <v>39.72659948574335</v>
      </c>
      <c r="I20" s="140">
        <f t="shared" si="0"/>
        <v>34.38140011785876</v>
      </c>
      <c r="J20" s="140">
        <f t="shared" si="0"/>
        <v>17.705908226654255</v>
      </c>
      <c r="K20" s="140">
        <f t="shared" si="0"/>
        <v>-1.7865456811705371E-6</v>
      </c>
      <c r="L20" s="135"/>
    </row>
    <row r="21" spans="1:12" ht="20.100000000000001" customHeight="1" thickBot="1">
      <c r="A21" s="132" t="s">
        <v>338</v>
      </c>
      <c r="B21" s="141">
        <v>6.1792367428688891E-2</v>
      </c>
      <c r="C21" s="142">
        <f t="shared" ref="C21:K21" si="1">(B19+B20)*$B$21</f>
        <v>3.2440992900061669</v>
      </c>
      <c r="D21" s="142">
        <f t="shared" si="1"/>
        <v>6.6886591553155439</v>
      </c>
      <c r="E21" s="142">
        <f t="shared" si="1"/>
        <v>5.9402707317867156</v>
      </c>
      <c r="F21" s="142">
        <f t="shared" si="1"/>
        <v>5.1456376158118156</v>
      </c>
      <c r="G21" s="142">
        <f t="shared" si="1"/>
        <v>4.3019022383635903</v>
      </c>
      <c r="H21" s="142">
        <f t="shared" si="1"/>
        <v>3.4060304544595019</v>
      </c>
      <c r="I21" s="142">
        <f t="shared" si="1"/>
        <v>2.4548006321154161</v>
      </c>
      <c r="J21" s="142">
        <f t="shared" si="1"/>
        <v>2.1245081087954962</v>
      </c>
      <c r="K21" s="142">
        <f t="shared" si="1"/>
        <v>1.0940899868000651</v>
      </c>
      <c r="L21" s="143">
        <f>SUM(C21:K21)</f>
        <v>34.39999821345431</v>
      </c>
    </row>
    <row r="22" spans="1:12" ht="20.100000000000001" customHeight="1" thickTop="1" thickBot="1">
      <c r="A22" s="127" t="s">
        <v>339</v>
      </c>
      <c r="B22" s="128">
        <f>B16+B17+B18</f>
        <v>52.5</v>
      </c>
      <c r="C22" s="144">
        <f t="shared" ref="C22:K22" si="2">C16+C17+C18+C21</f>
        <v>55.744099290006169</v>
      </c>
      <c r="D22" s="144">
        <f t="shared" si="2"/>
        <v>7.8886591553155441</v>
      </c>
      <c r="E22" s="144">
        <f t="shared" si="2"/>
        <v>7.1402707317867158</v>
      </c>
      <c r="F22" s="144">
        <f t="shared" si="2"/>
        <v>6.3456376158118157</v>
      </c>
      <c r="G22" s="144">
        <f t="shared" si="2"/>
        <v>5.5019022383635905</v>
      </c>
      <c r="H22" s="144">
        <f t="shared" si="2"/>
        <v>4.6060304544595017</v>
      </c>
      <c r="I22" s="144">
        <f t="shared" si="2"/>
        <v>14.654800632115416</v>
      </c>
      <c r="J22" s="144">
        <f t="shared" si="2"/>
        <v>3.324508108795496</v>
      </c>
      <c r="K22" s="144">
        <f t="shared" si="2"/>
        <v>2.2940899868000653</v>
      </c>
      <c r="L22" s="145">
        <f>SUM(B22:K22)</f>
        <v>159.99999821345429</v>
      </c>
    </row>
    <row r="23" spans="1:12" ht="20.100000000000001" customHeight="1" thickBot="1">
      <c r="A23" s="146" t="s">
        <v>340</v>
      </c>
      <c r="B23" s="147">
        <f>-B14</f>
        <v>-50</v>
      </c>
      <c r="C23" s="148">
        <f t="shared" ref="C23:K23" si="3">B23-C14+C15-C24</f>
        <v>-103.35</v>
      </c>
      <c r="D23" s="148">
        <f t="shared" si="3"/>
        <v>-91.274450000000002</v>
      </c>
      <c r="E23" s="148">
        <f t="shared" si="3"/>
        <v>-78.389838150000003</v>
      </c>
      <c r="F23" s="148">
        <f t="shared" si="3"/>
        <v>-64.641957306050003</v>
      </c>
      <c r="G23" s="148">
        <f t="shared" si="3"/>
        <v>-49.972968445555352</v>
      </c>
      <c r="H23" s="148">
        <f t="shared" si="3"/>
        <v>-34.321157331407562</v>
      </c>
      <c r="I23" s="148">
        <f t="shared" si="3"/>
        <v>-27.620674872611868</v>
      </c>
      <c r="J23" s="148">
        <f t="shared" si="3"/>
        <v>-10.471260089076864</v>
      </c>
      <c r="K23" s="148">
        <f t="shared" si="3"/>
        <v>7.8271654849549863</v>
      </c>
      <c r="L23" s="149"/>
    </row>
    <row r="24" spans="1:12" ht="20.100000000000001" customHeight="1" thickTop="1" thickBot="1">
      <c r="A24" s="146" t="s">
        <v>341</v>
      </c>
      <c r="B24" s="150">
        <v>6.7000000000000004E-2</v>
      </c>
      <c r="C24" s="151">
        <f t="shared" ref="C24:K24" si="4">-B23*$B$24</f>
        <v>3.35</v>
      </c>
      <c r="D24" s="151">
        <f t="shared" si="4"/>
        <v>6.9244500000000002</v>
      </c>
      <c r="E24" s="151">
        <f t="shared" si="4"/>
        <v>6.1153881500000002</v>
      </c>
      <c r="F24" s="151">
        <f t="shared" si="4"/>
        <v>5.2521191560500009</v>
      </c>
      <c r="G24" s="151">
        <f t="shared" si="4"/>
        <v>4.3310111395053505</v>
      </c>
      <c r="H24" s="151">
        <f t="shared" si="4"/>
        <v>3.3481888858522089</v>
      </c>
      <c r="I24" s="151">
        <f t="shared" si="4"/>
        <v>2.299517541204307</v>
      </c>
      <c r="J24" s="151">
        <f t="shared" si="4"/>
        <v>1.8505852164649952</v>
      </c>
      <c r="K24" s="151">
        <f t="shared" si="4"/>
        <v>0.7015744259681499</v>
      </c>
      <c r="L24" s="152">
        <f>SUM(C24:K24)</f>
        <v>34.172834515045004</v>
      </c>
    </row>
    <row r="25" spans="1:12" ht="20.100000000000001" customHeight="1" thickBot="1">
      <c r="A25" s="153" t="s">
        <v>342</v>
      </c>
      <c r="B25" s="147">
        <f>-B14+B15</f>
        <v>-50</v>
      </c>
      <c r="C25" s="148">
        <f t="shared" ref="C25:K25" si="5">-C14+C15-C24</f>
        <v>-53.35</v>
      </c>
      <c r="D25" s="148">
        <f t="shared" si="5"/>
        <v>12.07555</v>
      </c>
      <c r="E25" s="148">
        <f t="shared" si="5"/>
        <v>12.884611849999999</v>
      </c>
      <c r="F25" s="148">
        <f t="shared" si="5"/>
        <v>13.74788084395</v>
      </c>
      <c r="G25" s="148">
        <f t="shared" si="5"/>
        <v>14.66898886049465</v>
      </c>
      <c r="H25" s="148">
        <f t="shared" si="5"/>
        <v>15.65181111414779</v>
      </c>
      <c r="I25" s="148">
        <f t="shared" si="5"/>
        <v>6.700482458795693</v>
      </c>
      <c r="J25" s="148">
        <f t="shared" si="5"/>
        <v>17.149414783535004</v>
      </c>
      <c r="K25" s="148">
        <f t="shared" si="5"/>
        <v>18.29842557403185</v>
      </c>
      <c r="L25" s="154">
        <f>SUM(B25:K25)</f>
        <v>7.8271654849549854</v>
      </c>
    </row>
    <row r="26" spans="1:12" ht="20.100000000000001" customHeight="1" thickBot="1">
      <c r="A26" s="153" t="s">
        <v>343</v>
      </c>
      <c r="B26" s="155">
        <f t="shared" ref="B26:K26" si="6">B19+B20+B23</f>
        <v>2.5</v>
      </c>
      <c r="C26" s="155">
        <f t="shared" si="6"/>
        <v>4.8940992900061815</v>
      </c>
      <c r="D26" s="155">
        <f t="shared" si="6"/>
        <v>4.8583084453217253</v>
      </c>
      <c r="E26" s="155">
        <f t="shared" si="6"/>
        <v>4.8831910271084382</v>
      </c>
      <c r="F26" s="155">
        <f t="shared" si="6"/>
        <v>4.9767094868702486</v>
      </c>
      <c r="G26" s="155">
        <f t="shared" si="6"/>
        <v>5.1476005857284974</v>
      </c>
      <c r="H26" s="155">
        <f t="shared" si="6"/>
        <v>5.4054421543357876</v>
      </c>
      <c r="I26" s="155">
        <f t="shared" si="6"/>
        <v>6.760725245246892</v>
      </c>
      <c r="J26" s="155">
        <f t="shared" si="6"/>
        <v>7.2346481375773912</v>
      </c>
      <c r="K26" s="155">
        <f t="shared" si="6"/>
        <v>7.8271636984093051</v>
      </c>
      <c r="L26" s="154">
        <f>K26</f>
        <v>7.8271636984093051</v>
      </c>
    </row>
    <row r="27" spans="1:12" ht="20.100000000000001" customHeight="1">
      <c r="C27" s="156"/>
    </row>
    <row r="28" spans="1:12" ht="20.100000000000001" customHeight="1" thickBot="1">
      <c r="A28" s="157" t="s">
        <v>344</v>
      </c>
    </row>
    <row r="29" spans="1:12" ht="20.100000000000001" customHeight="1" thickBot="1">
      <c r="A29" s="158" t="s">
        <v>329</v>
      </c>
      <c r="B29" s="158">
        <v>1</v>
      </c>
      <c r="C29" s="158">
        <v>2</v>
      </c>
      <c r="D29" s="158">
        <v>3</v>
      </c>
      <c r="E29" s="158">
        <v>4</v>
      </c>
      <c r="F29" s="158">
        <v>5</v>
      </c>
      <c r="G29" s="158">
        <v>6</v>
      </c>
      <c r="H29" s="158">
        <v>7</v>
      </c>
      <c r="I29" s="158">
        <v>8</v>
      </c>
      <c r="J29" s="158">
        <v>9</v>
      </c>
      <c r="K29" s="158">
        <v>10</v>
      </c>
      <c r="L29" s="158" t="s">
        <v>330</v>
      </c>
    </row>
    <row r="30" spans="1:12" ht="20.100000000000001" customHeight="1" thickTop="1" thickBot="1">
      <c r="A30" s="159" t="s">
        <v>345</v>
      </c>
      <c r="B30" s="160">
        <f t="shared" ref="B30:K30" si="7">B16+B17+B18</f>
        <v>52.5</v>
      </c>
      <c r="C30" s="147">
        <f t="shared" si="7"/>
        <v>52.5</v>
      </c>
      <c r="D30" s="147">
        <f t="shared" si="7"/>
        <v>1.2</v>
      </c>
      <c r="E30" s="147">
        <f t="shared" si="7"/>
        <v>1.2</v>
      </c>
      <c r="F30" s="147">
        <f t="shared" si="7"/>
        <v>1.2</v>
      </c>
      <c r="G30" s="147">
        <f t="shared" si="7"/>
        <v>1.2</v>
      </c>
      <c r="H30" s="147">
        <f t="shared" si="7"/>
        <v>1.2</v>
      </c>
      <c r="I30" s="147">
        <f t="shared" si="7"/>
        <v>12.2</v>
      </c>
      <c r="J30" s="147">
        <f t="shared" si="7"/>
        <v>1.2</v>
      </c>
      <c r="K30" s="147">
        <f t="shared" si="7"/>
        <v>1.2</v>
      </c>
      <c r="L30" s="161">
        <f>SUM(B30:K30)</f>
        <v>125.60000000000002</v>
      </c>
    </row>
    <row r="31" spans="1:12" ht="20.100000000000001" customHeight="1" thickTop="1" thickBot="1">
      <c r="A31" s="159" t="s">
        <v>346</v>
      </c>
      <c r="B31" s="162">
        <f t="shared" ref="B31:K31" si="8">B14</f>
        <v>50</v>
      </c>
      <c r="C31" s="162">
        <f t="shared" si="8"/>
        <v>50</v>
      </c>
      <c r="D31" s="162">
        <f t="shared" si="8"/>
        <v>1</v>
      </c>
      <c r="E31" s="162">
        <f t="shared" si="8"/>
        <v>1</v>
      </c>
      <c r="F31" s="162">
        <f t="shared" si="8"/>
        <v>1</v>
      </c>
      <c r="G31" s="162">
        <f t="shared" si="8"/>
        <v>1</v>
      </c>
      <c r="H31" s="162">
        <f t="shared" si="8"/>
        <v>1</v>
      </c>
      <c r="I31" s="162">
        <f t="shared" si="8"/>
        <v>11</v>
      </c>
      <c r="J31" s="162">
        <f t="shared" si="8"/>
        <v>1</v>
      </c>
      <c r="K31" s="162">
        <f t="shared" si="8"/>
        <v>1</v>
      </c>
      <c r="L31" s="163">
        <f>SUM(B31:K31)</f>
        <v>118</v>
      </c>
    </row>
    <row r="32" spans="1:12" ht="20.100000000000001" customHeight="1" thickBot="1">
      <c r="A32" s="164" t="s">
        <v>347</v>
      </c>
      <c r="B32" s="147"/>
      <c r="C32" s="151">
        <f t="shared" ref="C32:K32" si="9">C21</f>
        <v>3.2440992900061669</v>
      </c>
      <c r="D32" s="151">
        <f t="shared" si="9"/>
        <v>6.6886591553155439</v>
      </c>
      <c r="E32" s="151">
        <f t="shared" si="9"/>
        <v>5.9402707317867156</v>
      </c>
      <c r="F32" s="151">
        <f t="shared" si="9"/>
        <v>5.1456376158118156</v>
      </c>
      <c r="G32" s="151">
        <f t="shared" si="9"/>
        <v>4.3019022383635903</v>
      </c>
      <c r="H32" s="151">
        <f t="shared" si="9"/>
        <v>3.4060304544595019</v>
      </c>
      <c r="I32" s="151">
        <f t="shared" si="9"/>
        <v>2.4548006321154161</v>
      </c>
      <c r="J32" s="151">
        <f t="shared" si="9"/>
        <v>2.1245081087954962</v>
      </c>
      <c r="K32" s="151">
        <f t="shared" si="9"/>
        <v>1.0940899868000651</v>
      </c>
      <c r="L32" s="154">
        <f>SUM(B32:K32)</f>
        <v>34.39999821345431</v>
      </c>
    </row>
    <row r="33" spans="1:12" ht="20.100000000000001" customHeight="1" thickBot="1">
      <c r="A33" s="164" t="s">
        <v>348</v>
      </c>
      <c r="B33" s="147"/>
      <c r="C33" s="151">
        <f t="shared" ref="C33:K33" si="10">C24</f>
        <v>3.35</v>
      </c>
      <c r="D33" s="151">
        <f t="shared" si="10"/>
        <v>6.9244500000000002</v>
      </c>
      <c r="E33" s="151">
        <f t="shared" si="10"/>
        <v>6.1153881500000002</v>
      </c>
      <c r="F33" s="151">
        <f t="shared" si="10"/>
        <v>5.2521191560500009</v>
      </c>
      <c r="G33" s="151">
        <f t="shared" si="10"/>
        <v>4.3310111395053505</v>
      </c>
      <c r="H33" s="151">
        <f t="shared" si="10"/>
        <v>3.3481888858522089</v>
      </c>
      <c r="I33" s="151">
        <f t="shared" si="10"/>
        <v>2.299517541204307</v>
      </c>
      <c r="J33" s="151">
        <f t="shared" si="10"/>
        <v>1.8505852164649952</v>
      </c>
      <c r="K33" s="151">
        <f t="shared" si="10"/>
        <v>0.7015744259681499</v>
      </c>
      <c r="L33" s="154">
        <f>SUM(B33:K33)</f>
        <v>34.172834515045004</v>
      </c>
    </row>
    <row r="34" spans="1:12" ht="20.100000000000001" customHeight="1" thickTop="1" thickBot="1">
      <c r="A34" s="159" t="s">
        <v>349</v>
      </c>
      <c r="B34" s="165">
        <f t="shared" ref="B34:K34" si="11">B30-B31+B32-B33</f>
        <v>2.5</v>
      </c>
      <c r="C34" s="165">
        <f t="shared" si="11"/>
        <v>2.3940992900061668</v>
      </c>
      <c r="D34" s="165">
        <f t="shared" si="11"/>
        <v>-3.5790844684456147E-2</v>
      </c>
      <c r="E34" s="165">
        <f t="shared" si="11"/>
        <v>2.4882581786715541E-2</v>
      </c>
      <c r="F34" s="165">
        <f t="shared" si="11"/>
        <v>9.3518459761814832E-2</v>
      </c>
      <c r="G34" s="165">
        <f t="shared" si="11"/>
        <v>0.17089109885823994</v>
      </c>
      <c r="H34" s="165">
        <f t="shared" si="11"/>
        <v>0.25784156860729279</v>
      </c>
      <c r="I34" s="165">
        <f t="shared" si="11"/>
        <v>1.3552830909111084</v>
      </c>
      <c r="J34" s="165">
        <f t="shared" si="11"/>
        <v>0.47392289233050078</v>
      </c>
      <c r="K34" s="165">
        <f t="shared" si="11"/>
        <v>0.59251556083191514</v>
      </c>
      <c r="L34" s="152">
        <f>SUM(B34:K34)</f>
        <v>7.8271636984092989</v>
      </c>
    </row>
    <row r="35" spans="1:12" ht="20.100000000000001" customHeight="1">
      <c r="A35" s="166"/>
      <c r="B35" s="166"/>
      <c r="C35" s="166"/>
      <c r="D35" s="166"/>
      <c r="E35" s="166"/>
      <c r="F35" s="166"/>
      <c r="G35" s="166"/>
      <c r="H35" s="166"/>
      <c r="I35" s="166"/>
      <c r="J35" s="166"/>
      <c r="K35" s="166"/>
      <c r="L35" s="166"/>
    </row>
    <row r="36" spans="1:12" ht="20.100000000000001" customHeight="1">
      <c r="A36" s="102"/>
      <c r="B36" s="166"/>
      <c r="C36" s="166"/>
      <c r="D36" s="166"/>
      <c r="E36" s="166"/>
      <c r="F36" s="166"/>
      <c r="G36" s="166"/>
      <c r="H36" s="166"/>
      <c r="I36" s="166"/>
      <c r="J36" s="166"/>
      <c r="K36" s="166"/>
      <c r="L36" s="166"/>
    </row>
    <row r="37" spans="1:12" ht="20.100000000000001" customHeight="1">
      <c r="A37" s="166"/>
      <c r="B37" s="166"/>
      <c r="C37" s="166"/>
      <c r="D37" s="166"/>
      <c r="E37" s="166"/>
      <c r="F37" s="166"/>
      <c r="G37" s="166"/>
      <c r="H37" s="166"/>
      <c r="I37" s="166"/>
      <c r="J37" s="166"/>
      <c r="K37" s="166"/>
      <c r="L37" s="166"/>
    </row>
    <row r="38" spans="1:12" ht="20.100000000000001" customHeight="1">
      <c r="A38" s="166"/>
      <c r="B38" s="166"/>
      <c r="C38" s="166"/>
      <c r="D38" s="166"/>
      <c r="E38" s="166"/>
      <c r="F38" s="166"/>
      <c r="G38" s="166"/>
      <c r="H38" s="166"/>
      <c r="I38" s="166"/>
      <c r="J38" s="166"/>
      <c r="K38" s="166"/>
      <c r="L38" s="166"/>
    </row>
    <row r="39" spans="1:12" ht="20.100000000000001" customHeight="1">
      <c r="A39" s="166"/>
      <c r="B39" s="166"/>
      <c r="C39" s="166"/>
      <c r="D39" s="166"/>
      <c r="E39" s="166"/>
      <c r="F39" s="166"/>
      <c r="G39" s="166"/>
      <c r="H39" s="166"/>
      <c r="I39" s="166"/>
      <c r="J39" s="166"/>
      <c r="K39" s="166"/>
      <c r="L39" s="166"/>
    </row>
    <row r="40" spans="1:12" ht="20.100000000000001" customHeight="1">
      <c r="A40" s="166"/>
      <c r="B40" s="166"/>
      <c r="C40" s="166"/>
      <c r="D40" s="166"/>
      <c r="E40" s="166"/>
      <c r="F40" s="166"/>
      <c r="G40" s="166"/>
      <c r="H40" s="166"/>
      <c r="I40" s="166"/>
      <c r="J40" s="166"/>
      <c r="K40" s="166"/>
      <c r="L40" s="166"/>
    </row>
    <row r="41" spans="1:12" ht="20.100000000000001" customHeight="1">
      <c r="A41" s="166"/>
      <c r="B41" s="166"/>
      <c r="C41" s="166"/>
      <c r="D41" s="166"/>
      <c r="E41" s="166"/>
      <c r="F41" s="166"/>
      <c r="G41" s="166"/>
      <c r="H41" s="166"/>
      <c r="I41" s="166"/>
      <c r="J41" s="166"/>
      <c r="K41" s="166"/>
      <c r="L41" s="166"/>
    </row>
  </sheetData>
  <mergeCells count="2">
    <mergeCell ref="A1:L1"/>
    <mergeCell ref="A2:L2"/>
  </mergeCells>
  <phoneticPr fontId="4" type="noConversion"/>
  <pageMargins left="0.7" right="0.7" top="0.75" bottom="0.75" header="0.3" footer="0.3"/>
  <pageSetup paperSize="9"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收入毛利分析D4-（整体毛利率因素分析法示例）</vt:lpstr>
      <vt:lpstr>合同履行检查表（示例）D4-</vt:lpstr>
      <vt:lpstr>工程施工收入检查表（示例）D4-</vt:lpstr>
      <vt:lpstr>贸易收入检查（示例）D4-</vt:lpstr>
      <vt:lpstr>BOT收入测算（示例）D4-</vt:lpstr>
      <vt:lpstr>'工程施工收入检查表（示例）D4-'!Print_Area</vt:lpstr>
      <vt:lpstr>'合同履行检查表（示例）D4-'!Print_Area</vt:lpstr>
      <vt:lpstr>'贸易收入检查（示例）D4-'!Print_Area</vt:lpstr>
      <vt:lpstr>'收入毛利分析D4-（整体毛利率因素分析法示例）'!Print_Area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何先琴</cp:lastModifiedBy>
  <cp:lastPrinted>2025-10-30T07:30:44Z</cp:lastPrinted>
  <dcterms:created xsi:type="dcterms:W3CDTF">2025-09-26T07:18:52Z</dcterms:created>
  <dcterms:modified xsi:type="dcterms:W3CDTF">2025-12-02T08:32:18Z</dcterms:modified>
</cp:coreProperties>
</file>