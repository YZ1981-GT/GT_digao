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D 收入循环\D4 营业收入\"/>
    </mc:Choice>
  </mc:AlternateContent>
  <bookViews>
    <workbookView xWindow="0" yWindow="0" windowWidth="22188" windowHeight="9180" tabRatio="912"/>
  </bookViews>
  <sheets>
    <sheet name="底稿目录" sheetId="10" r:id="rId1"/>
    <sheet name="重要指标分析D4-6" sheetId="14" r:id="rId2"/>
    <sheet name="毛利率分析表D4-7" sheetId="2" r:id="rId3"/>
    <sheet name="重要产品毛利分析D4-8" sheetId="13" r:id="rId4"/>
    <sheet name="重要客户结构分析D4-9" sheetId="6" r:id="rId5"/>
    <sheet name="重要客户销售价格分析D4-10" sheetId="15" r:id="rId6"/>
    <sheet name="产品销售价格分析D4-11" sheetId="16" r:id="rId7"/>
  </sheets>
  <definedNames>
    <definedName name="_xlnm.Print_Area" localSheetId="6">'产品销售价格分析D4-11'!$A$1:$O$26</definedName>
    <definedName name="_xlnm.Print_Area" localSheetId="2">'毛利率分析表D4-7'!$A$1:$W$31</definedName>
    <definedName name="_xlnm.Print_Area" localSheetId="3">'重要产品毛利分析D4-8'!$A$1:$X$39</definedName>
    <definedName name="_xlnm.Print_Area" localSheetId="4">'重要客户结构分析D4-9'!$A$1:$G$45</definedName>
    <definedName name="_xlnm.Print_Area" localSheetId="5">'重要客户销售价格分析D4-10'!$A$1:$N$39</definedName>
    <definedName name="_xlnm.Print_Area" localSheetId="1">'重要指标分析D4-6'!$A$1:$H$29</definedName>
    <definedName name="_xlnm.Print_Titles" localSheetId="2">'毛利率分析表D4-7'!$1:$4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4" l="1"/>
  <c r="G18" i="14"/>
  <c r="G19" i="14"/>
  <c r="G20" i="14"/>
  <c r="G21" i="14"/>
  <c r="G22" i="14"/>
  <c r="G23" i="14"/>
  <c r="G24" i="14"/>
  <c r="D18" i="14"/>
  <c r="D19" i="14"/>
  <c r="D20" i="14"/>
  <c r="D21" i="14"/>
  <c r="D22" i="14"/>
  <c r="D23" i="14"/>
  <c r="D24" i="14"/>
  <c r="O14" i="2" l="1"/>
  <c r="O15" i="2" s="1"/>
  <c r="N13" i="2"/>
  <c r="P13" i="2" s="1"/>
  <c r="N12" i="2"/>
  <c r="P12" i="2" s="1"/>
  <c r="C14" i="2"/>
  <c r="C15" i="2" s="1"/>
  <c r="D14" i="2"/>
  <c r="D15" i="2" s="1"/>
  <c r="E14" i="2"/>
  <c r="E15" i="2" s="1"/>
  <c r="F14" i="2"/>
  <c r="G14" i="2"/>
  <c r="G15" i="2" s="1"/>
  <c r="H14" i="2"/>
  <c r="H15" i="2" s="1"/>
  <c r="I14" i="2"/>
  <c r="I15" i="2" s="1"/>
  <c r="J14" i="2"/>
  <c r="J15" i="2" s="1"/>
  <c r="K14" i="2"/>
  <c r="K15" i="2" s="1"/>
  <c r="L14" i="2"/>
  <c r="L15" i="2" s="1"/>
  <c r="M14" i="2"/>
  <c r="M15" i="2" s="1"/>
  <c r="F15" i="2"/>
  <c r="B14" i="2"/>
  <c r="B15" i="2" s="1"/>
  <c r="N14" i="2" l="1"/>
  <c r="N15" i="2" s="1"/>
  <c r="P14" i="2" l="1"/>
  <c r="O3" i="16" l="1"/>
  <c r="N3" i="15"/>
  <c r="G3" i="6"/>
  <c r="X3" i="13"/>
  <c r="W3" i="2"/>
  <c r="H3" i="14"/>
  <c r="J4" i="16" l="1"/>
  <c r="F4" i="16"/>
  <c r="A4" i="16"/>
  <c r="J3" i="16"/>
  <c r="F3" i="16"/>
  <c r="A3" i="16"/>
  <c r="M33" i="15"/>
  <c r="J33" i="15"/>
  <c r="G33" i="15"/>
  <c r="E33" i="15"/>
  <c r="M32" i="15"/>
  <c r="J32" i="15"/>
  <c r="G32" i="15"/>
  <c r="E32" i="15"/>
  <c r="M31" i="15"/>
  <c r="J31" i="15"/>
  <c r="G31" i="15"/>
  <c r="E31" i="15"/>
  <c r="M30" i="15"/>
  <c r="J30" i="15"/>
  <c r="G30" i="15"/>
  <c r="E30" i="15"/>
  <c r="M29" i="15"/>
  <c r="J29" i="15"/>
  <c r="G29" i="15"/>
  <c r="E29" i="15"/>
  <c r="M28" i="15"/>
  <c r="J28" i="15"/>
  <c r="G28" i="15"/>
  <c r="E28" i="15"/>
  <c r="M27" i="15"/>
  <c r="J27" i="15"/>
  <c r="G27" i="15"/>
  <c r="E27" i="15"/>
  <c r="M26" i="15"/>
  <c r="J26" i="15"/>
  <c r="G26" i="15"/>
  <c r="E26" i="15"/>
  <c r="M25" i="15"/>
  <c r="J25" i="15"/>
  <c r="G25" i="15"/>
  <c r="E25" i="15"/>
  <c r="M24" i="15"/>
  <c r="J24" i="15"/>
  <c r="G24" i="15"/>
  <c r="E24" i="15"/>
  <c r="M23" i="15"/>
  <c r="J23" i="15"/>
  <c r="G23" i="15"/>
  <c r="E23" i="15"/>
  <c r="M22" i="15"/>
  <c r="J22" i="15"/>
  <c r="G22" i="15"/>
  <c r="E22" i="15"/>
  <c r="M21" i="15"/>
  <c r="J21" i="15"/>
  <c r="G21" i="15"/>
  <c r="E21" i="15"/>
  <c r="M20" i="15"/>
  <c r="J20" i="15"/>
  <c r="G20" i="15"/>
  <c r="E20" i="15"/>
  <c r="M19" i="15"/>
  <c r="J19" i="15"/>
  <c r="G19" i="15"/>
  <c r="E19" i="15"/>
  <c r="M18" i="15"/>
  <c r="J18" i="15"/>
  <c r="G18" i="15"/>
  <c r="E18" i="15"/>
  <c r="M17" i="15"/>
  <c r="J17" i="15"/>
  <c r="G17" i="15"/>
  <c r="E17" i="15"/>
  <c r="M16" i="15"/>
  <c r="J16" i="15"/>
  <c r="G16" i="15"/>
  <c r="E16" i="15"/>
  <c r="M15" i="15"/>
  <c r="J15" i="15"/>
  <c r="G15" i="15"/>
  <c r="E15" i="15"/>
  <c r="M14" i="15"/>
  <c r="J14" i="15"/>
  <c r="G14" i="15"/>
  <c r="E14" i="15"/>
  <c r="M13" i="15"/>
  <c r="J13" i="15"/>
  <c r="G13" i="15"/>
  <c r="E13" i="15"/>
  <c r="F37" i="6"/>
  <c r="E37" i="6"/>
  <c r="D37" i="6"/>
  <c r="C37" i="6"/>
  <c r="F36" i="6"/>
  <c r="D36" i="6"/>
  <c r="F35" i="6"/>
  <c r="D35" i="6"/>
  <c r="F34" i="6"/>
  <c r="D34" i="6"/>
  <c r="F33" i="6"/>
  <c r="D33" i="6"/>
  <c r="F32" i="6"/>
  <c r="D32" i="6"/>
  <c r="F31" i="6"/>
  <c r="D31" i="6"/>
  <c r="F30" i="6"/>
  <c r="D30" i="6"/>
  <c r="F29" i="6"/>
  <c r="D29" i="6"/>
  <c r="F28" i="6"/>
  <c r="D28" i="6"/>
  <c r="F27" i="6"/>
  <c r="D27" i="6"/>
  <c r="F23" i="6"/>
  <c r="E23" i="6"/>
  <c r="D23" i="6"/>
  <c r="C23" i="6"/>
  <c r="F22" i="6"/>
  <c r="D22" i="6"/>
  <c r="F21" i="6"/>
  <c r="D21" i="6"/>
  <c r="F20" i="6"/>
  <c r="D20" i="6"/>
  <c r="F19" i="6"/>
  <c r="D19" i="6"/>
  <c r="F18" i="6"/>
  <c r="D18" i="6"/>
  <c r="F17" i="6"/>
  <c r="D17" i="6"/>
  <c r="F16" i="6"/>
  <c r="D16" i="6"/>
  <c r="F15" i="6"/>
  <c r="D15" i="6"/>
  <c r="F14" i="6"/>
  <c r="D14" i="6"/>
  <c r="F13" i="6"/>
  <c r="D13" i="6"/>
  <c r="E4" i="6"/>
  <c r="C4" i="6"/>
  <c r="A4" i="6"/>
  <c r="E3" i="6"/>
  <c r="C3" i="6"/>
  <c r="A3" i="6"/>
  <c r="W31" i="13"/>
  <c r="V31" i="13"/>
  <c r="U31" i="13"/>
  <c r="T31" i="13"/>
  <c r="S31" i="13"/>
  <c r="R31" i="13"/>
  <c r="Q31" i="13"/>
  <c r="P31" i="13"/>
  <c r="I31" i="13"/>
  <c r="H31" i="13"/>
  <c r="W30" i="13"/>
  <c r="V30" i="13"/>
  <c r="U30" i="13"/>
  <c r="T30" i="13"/>
  <c r="S30" i="13"/>
  <c r="R30" i="13"/>
  <c r="Q30" i="13"/>
  <c r="P30" i="13"/>
  <c r="I30" i="13"/>
  <c r="H30" i="13"/>
  <c r="W29" i="13"/>
  <c r="V29" i="13"/>
  <c r="U29" i="13"/>
  <c r="T29" i="13"/>
  <c r="S29" i="13"/>
  <c r="R29" i="13"/>
  <c r="Q29" i="13"/>
  <c r="P29" i="13"/>
  <c r="I29" i="13"/>
  <c r="H29" i="13"/>
  <c r="W28" i="13"/>
  <c r="V28" i="13"/>
  <c r="U28" i="13"/>
  <c r="T28" i="13"/>
  <c r="S28" i="13"/>
  <c r="R28" i="13"/>
  <c r="Q28" i="13"/>
  <c r="P28" i="13"/>
  <c r="O28" i="13"/>
  <c r="N28" i="13"/>
  <c r="M28" i="13"/>
  <c r="L28" i="13"/>
  <c r="K28" i="13"/>
  <c r="J28" i="13"/>
  <c r="I28" i="13"/>
  <c r="H28" i="13"/>
  <c r="G28" i="13"/>
  <c r="F28" i="13"/>
  <c r="E28" i="13"/>
  <c r="D28" i="13"/>
  <c r="C28" i="13"/>
  <c r="B28" i="13"/>
  <c r="W27" i="13"/>
  <c r="V27" i="13"/>
  <c r="U27" i="13"/>
  <c r="T27" i="13"/>
  <c r="S27" i="13"/>
  <c r="R27" i="13"/>
  <c r="Q27" i="13"/>
  <c r="P27" i="13"/>
  <c r="I27" i="13"/>
  <c r="H27" i="13"/>
  <c r="W26" i="13"/>
  <c r="V26" i="13"/>
  <c r="U26" i="13"/>
  <c r="T26" i="13"/>
  <c r="S26" i="13"/>
  <c r="R26" i="13"/>
  <c r="Q26" i="13"/>
  <c r="P26" i="13"/>
  <c r="I26" i="13"/>
  <c r="H26" i="13"/>
  <c r="W25" i="13"/>
  <c r="V25" i="13"/>
  <c r="U25" i="13"/>
  <c r="T25" i="13"/>
  <c r="S25" i="13"/>
  <c r="R25" i="13"/>
  <c r="Q25" i="13"/>
  <c r="P25" i="13"/>
  <c r="I25" i="13"/>
  <c r="H25" i="13"/>
  <c r="W24" i="13"/>
  <c r="V24" i="13"/>
  <c r="U24" i="13"/>
  <c r="T24" i="13"/>
  <c r="S24" i="13"/>
  <c r="R24" i="13"/>
  <c r="Q24" i="13"/>
  <c r="P24" i="13"/>
  <c r="I24" i="13"/>
  <c r="H24" i="13"/>
  <c r="W23" i="13"/>
  <c r="V23" i="13"/>
  <c r="U23" i="13"/>
  <c r="T23" i="13"/>
  <c r="S23" i="13"/>
  <c r="R23" i="13"/>
  <c r="Q23" i="13"/>
  <c r="P23" i="13"/>
  <c r="I23" i="13"/>
  <c r="H23" i="13"/>
  <c r="W22" i="13"/>
  <c r="V22" i="13"/>
  <c r="U22" i="13"/>
  <c r="T22" i="13"/>
  <c r="S22" i="13"/>
  <c r="R22" i="13"/>
  <c r="Q22" i="13"/>
  <c r="P22" i="13"/>
  <c r="I22" i="13"/>
  <c r="H22" i="13"/>
  <c r="W21" i="13"/>
  <c r="V21" i="13"/>
  <c r="U21" i="13"/>
  <c r="T21" i="13"/>
  <c r="S21" i="13"/>
  <c r="R21" i="13"/>
  <c r="Q21" i="13"/>
  <c r="P21" i="13"/>
  <c r="I21" i="13"/>
  <c r="H21" i="13"/>
  <c r="W20" i="13"/>
  <c r="V20" i="13"/>
  <c r="U20" i="13"/>
  <c r="T20" i="13"/>
  <c r="S20" i="13"/>
  <c r="R20" i="13"/>
  <c r="Q20" i="13"/>
  <c r="P20" i="13"/>
  <c r="I20" i="13"/>
  <c r="H20" i="13"/>
  <c r="W19" i="13"/>
  <c r="V19" i="13"/>
  <c r="U19" i="13"/>
  <c r="T19" i="13"/>
  <c r="S19" i="13"/>
  <c r="R19" i="13"/>
  <c r="Q19" i="13"/>
  <c r="P19" i="13"/>
  <c r="I19" i="13"/>
  <c r="H19" i="13"/>
  <c r="W18" i="13"/>
  <c r="V18" i="13"/>
  <c r="U18" i="13"/>
  <c r="T18" i="13"/>
  <c r="S18" i="13"/>
  <c r="R18" i="13"/>
  <c r="Q18" i="13"/>
  <c r="P18" i="13"/>
  <c r="I18" i="13"/>
  <c r="H18" i="13"/>
  <c r="W17" i="13"/>
  <c r="V17" i="13"/>
  <c r="U17" i="13"/>
  <c r="T17" i="13"/>
  <c r="S17" i="13"/>
  <c r="R17" i="13"/>
  <c r="Q17" i="13"/>
  <c r="P17" i="13"/>
  <c r="I17" i="13"/>
  <c r="H17" i="13"/>
  <c r="W16" i="13"/>
  <c r="V16" i="13"/>
  <c r="U16" i="13"/>
  <c r="T16" i="13"/>
  <c r="S16" i="13"/>
  <c r="R16" i="13"/>
  <c r="Q16" i="13"/>
  <c r="P16" i="13"/>
  <c r="I16" i="13"/>
  <c r="H16" i="13"/>
  <c r="N4" i="13"/>
  <c r="H4" i="13"/>
  <c r="A4" i="13"/>
  <c r="N3" i="13"/>
  <c r="H3" i="13"/>
  <c r="A3" i="13"/>
  <c r="O26" i="2"/>
  <c r="U26" i="2" s="1"/>
  <c r="M26" i="2"/>
  <c r="L26" i="2"/>
  <c r="J26" i="2"/>
  <c r="E38" i="6" s="1"/>
  <c r="G26" i="2"/>
  <c r="F26" i="2" s="1"/>
  <c r="D26" i="2"/>
  <c r="I26" i="2" s="1"/>
  <c r="C26" i="2"/>
  <c r="B26" i="2"/>
  <c r="E24" i="6" s="1"/>
  <c r="U25" i="2"/>
  <c r="T25" i="2"/>
  <c r="Q25" i="2"/>
  <c r="V25" i="2" s="1"/>
  <c r="P25" i="2"/>
  <c r="N25" i="2"/>
  <c r="M25" i="2"/>
  <c r="K25" i="2"/>
  <c r="R25" i="2" s="1"/>
  <c r="I25" i="2"/>
  <c r="H25" i="2"/>
  <c r="F25" i="2"/>
  <c r="C25" i="2"/>
  <c r="U24" i="2"/>
  <c r="T24" i="2"/>
  <c r="Q24" i="2"/>
  <c r="V24" i="2" s="1"/>
  <c r="P24" i="2"/>
  <c r="N24" i="2"/>
  <c r="M24" i="2"/>
  <c r="K24" i="2"/>
  <c r="R24" i="2" s="1"/>
  <c r="I24" i="2"/>
  <c r="H24" i="2"/>
  <c r="F24" i="2"/>
  <c r="S24" i="2" s="1"/>
  <c r="E24" i="2"/>
  <c r="C24" i="2"/>
  <c r="U23" i="2"/>
  <c r="T23" i="2"/>
  <c r="Q23" i="2"/>
  <c r="V23" i="2" s="1"/>
  <c r="P23" i="2"/>
  <c r="N23" i="2"/>
  <c r="M23" i="2"/>
  <c r="K23" i="2"/>
  <c r="I23" i="2"/>
  <c r="H23" i="2"/>
  <c r="F23" i="2"/>
  <c r="C23" i="2"/>
  <c r="R23" i="2" s="1"/>
  <c r="U22" i="2"/>
  <c r="T22" i="2"/>
  <c r="Q22" i="2"/>
  <c r="P22" i="2"/>
  <c r="N22" i="2"/>
  <c r="M22" i="2"/>
  <c r="K22" i="2"/>
  <c r="R22" i="2" s="1"/>
  <c r="I22" i="2"/>
  <c r="H22" i="2"/>
  <c r="F22" i="2"/>
  <c r="S22" i="2" s="1"/>
  <c r="C22" i="2"/>
  <c r="U21" i="2"/>
  <c r="T21" i="2"/>
  <c r="Q21" i="2"/>
  <c r="V21" i="2" s="1"/>
  <c r="P21" i="2"/>
  <c r="N21" i="2"/>
  <c r="M21" i="2"/>
  <c r="K21" i="2"/>
  <c r="I21" i="2"/>
  <c r="H21" i="2"/>
  <c r="F21" i="2"/>
  <c r="E21" i="2"/>
  <c r="C21" i="2"/>
  <c r="U20" i="2"/>
  <c r="T20" i="2"/>
  <c r="Q20" i="2"/>
  <c r="P20" i="2"/>
  <c r="N20" i="2"/>
  <c r="M20" i="2"/>
  <c r="K20" i="2"/>
  <c r="R20" i="2" s="1"/>
  <c r="I20" i="2"/>
  <c r="H20" i="2"/>
  <c r="F20" i="2"/>
  <c r="S20" i="2" s="1"/>
  <c r="C20" i="2"/>
  <c r="Q4" i="2"/>
  <c r="I4" i="2"/>
  <c r="A4" i="2"/>
  <c r="Q3" i="2"/>
  <c r="I3" i="2"/>
  <c r="A3" i="2"/>
  <c r="D17" i="14"/>
  <c r="G16" i="14"/>
  <c r="D16" i="14"/>
  <c r="G15" i="14"/>
  <c r="D15" i="14"/>
  <c r="G14" i="14"/>
  <c r="D14" i="14"/>
  <c r="G13" i="14"/>
  <c r="D13" i="14"/>
  <c r="E4" i="14"/>
  <c r="B4" i="14"/>
  <c r="A4" i="14"/>
  <c r="E3" i="14"/>
  <c r="B3" i="14"/>
  <c r="A3" i="14"/>
  <c r="T26" i="2" l="1"/>
  <c r="N26" i="2"/>
  <c r="S26" i="2" s="1"/>
  <c r="E26" i="2"/>
  <c r="S23" i="2"/>
  <c r="E25" i="2"/>
  <c r="E23" i="2"/>
  <c r="P26" i="2"/>
  <c r="E20" i="2"/>
  <c r="V20" i="2"/>
  <c r="S25" i="2"/>
  <c r="R21" i="2"/>
  <c r="S21" i="2"/>
  <c r="H26" i="2"/>
  <c r="E22" i="2"/>
  <c r="V22" i="2"/>
  <c r="K26" i="2"/>
  <c r="R26" i="2" s="1"/>
  <c r="C24" i="6"/>
  <c r="Q26" i="2"/>
  <c r="V26" i="2" s="1"/>
  <c r="C38" i="6"/>
</calcChain>
</file>

<file path=xl/sharedStrings.xml><?xml version="1.0" encoding="utf-8"?>
<sst xmlns="http://schemas.openxmlformats.org/spreadsheetml/2006/main" count="304" uniqueCount="177">
  <si>
    <t>1.底稿开列时，可先在以下单元格填写有关内容，以便其他底稿引用有关数据：</t>
  </si>
  <si>
    <t>被审计单位名称：</t>
  </si>
  <si>
    <t>序号</t>
  </si>
  <si>
    <t>内容</t>
  </si>
  <si>
    <t>索引号</t>
  </si>
  <si>
    <t>重要指标分析</t>
  </si>
  <si>
    <t>编制人：</t>
  </si>
  <si>
    <t>毛利率分析表</t>
  </si>
  <si>
    <t>编制日期：</t>
  </si>
  <si>
    <t>重要产品毛利分析</t>
  </si>
  <si>
    <t>D4-7</t>
  </si>
  <si>
    <t>复核人：</t>
  </si>
  <si>
    <t>重要客户结构分析</t>
  </si>
  <si>
    <t>D4-8</t>
  </si>
  <si>
    <t>复核日期：</t>
  </si>
  <si>
    <t>重要客户销售价格分析</t>
  </si>
  <si>
    <t>D4-9</t>
  </si>
  <si>
    <t>产品销售价格分析</t>
  </si>
  <si>
    <t>D4-10</t>
  </si>
  <si>
    <t>致同会计师事务所</t>
  </si>
  <si>
    <t>重要指标分析表</t>
  </si>
  <si>
    <t>索引号：</t>
  </si>
  <si>
    <t>页次：</t>
  </si>
  <si>
    <t>一、审计目标</t>
  </si>
  <si>
    <t>1.利润表中记录的营业收入已发生，且与被审计单位有关；2.所有应当记录的营业收入均已记录；</t>
  </si>
  <si>
    <t>3.与营业收入有关的金额及其他数据已恰当记录，相关披露已得到恰当计量和描述。</t>
  </si>
  <si>
    <t>二、审计过程</t>
  </si>
  <si>
    <t>1.……</t>
  </si>
  <si>
    <t>指标名称</t>
  </si>
  <si>
    <t>本期</t>
  </si>
  <si>
    <t>上期</t>
  </si>
  <si>
    <t>差异1</t>
  </si>
  <si>
    <t>变化原因及合理性分析1</t>
  </si>
  <si>
    <t>同行业公司平均值</t>
  </si>
  <si>
    <t>差异2</t>
  </si>
  <si>
    <t>变化原因及合理性分析2</t>
  </si>
  <si>
    <t>①</t>
  </si>
  <si>
    <t>②</t>
  </si>
  <si>
    <t>③=(①-②)/②</t>
  </si>
  <si>
    <t>④</t>
  </si>
  <si>
    <t>⑤</t>
  </si>
  <si>
    <t>⑥=（①-⑤）/⑤</t>
  </si>
  <si>
    <t>⑦</t>
  </si>
  <si>
    <t>应收账款/总资产</t>
  </si>
  <si>
    <t>应收账款周转天数=应收账款平均余额/(销售收入/365)</t>
  </si>
  <si>
    <t>应收账款周转次数=销售收入/应收账款平均余额</t>
  </si>
  <si>
    <r>
      <rPr>
        <sz val="10"/>
        <color rgb="FFFF0000"/>
        <rFont val="宋体"/>
        <family val="3"/>
        <charset val="134"/>
      </rPr>
      <t>(末月/最后一个季度）</t>
    </r>
    <r>
      <rPr>
        <sz val="10"/>
        <rFont val="宋体"/>
        <family val="3"/>
        <charset val="134"/>
      </rPr>
      <t>销售情况/当期销售</t>
    </r>
    <r>
      <rPr>
        <sz val="10"/>
        <color rgb="FFFF0000"/>
        <rFont val="宋体"/>
        <family val="3"/>
        <charset val="134"/>
      </rPr>
      <t>（金额或销量）</t>
    </r>
  </si>
  <si>
    <t>销售折扣/销售额</t>
  </si>
  <si>
    <t>销售折让/销售额</t>
  </si>
  <si>
    <t>销货退回/销售额</t>
  </si>
  <si>
    <t>坏账准备余额/应收账款余额</t>
  </si>
  <si>
    <t>当期销售金额/主要原材料采购金额</t>
  </si>
  <si>
    <t>三、审计说明</t>
  </si>
  <si>
    <t>四、审计结论</t>
  </si>
  <si>
    <t>一、审计目标：</t>
  </si>
  <si>
    <t>利润表中记录的营业收入已发生，且与被审计单位有关。</t>
  </si>
  <si>
    <t>产品名称</t>
  </si>
  <si>
    <t>变动比例</t>
  </si>
  <si>
    <t>备注</t>
  </si>
  <si>
    <t>数量</t>
  </si>
  <si>
    <t>平均单价</t>
  </si>
  <si>
    <t>主营业务收入</t>
  </si>
  <si>
    <t>结构比</t>
  </si>
  <si>
    <t>单位成本</t>
  </si>
  <si>
    <t>主营业务成本</t>
  </si>
  <si>
    <t>毛利</t>
  </si>
  <si>
    <t>毛利率</t>
  </si>
  <si>
    <t>合计</t>
  </si>
  <si>
    <t>1.毛利率变动异常原因：</t>
  </si>
  <si>
    <t>2.XX产品单价变动异常，采用审计抽样方法检查该类型产品单价变动的合理性，判断销售给关联方或关系密切的重要客户的产品价格是否合理，有无以低价或高价结算的方法，相互之间有无转移利润的现象，见&lt;产品销售价格分析D4-1&gt;。</t>
  </si>
  <si>
    <t>提示：除分析主要产品和服务之外，还需要考虑被审计单位是否有联产品和副产品产出；如有，应同时分析联产品和副产品的毛利变化情况，并结合营业成本的审计，判断联产品和副产品的成本分摊是否正确。</t>
  </si>
  <si>
    <t>重要产品/服务毛利率分析表</t>
  </si>
  <si>
    <t xml:space="preserve">产品A： </t>
  </si>
  <si>
    <t>月份</t>
  </si>
  <si>
    <t>本期数</t>
  </si>
  <si>
    <t>上期数</t>
  </si>
  <si>
    <t>本期比上期增减变动分析</t>
  </si>
  <si>
    <t>营业收入</t>
  </si>
  <si>
    <t>营业成本</t>
  </si>
  <si>
    <t>销量</t>
  </si>
  <si>
    <t>金额</t>
  </si>
  <si>
    <t>平均单位成本</t>
  </si>
  <si>
    <t>同行业A企业</t>
  </si>
  <si>
    <t>同行业B企业</t>
  </si>
  <si>
    <t>行业平均水平</t>
  </si>
  <si>
    <t xml:space="preserve">产品B……（略）： </t>
  </si>
  <si>
    <t>重要客户结构分析表</t>
  </si>
  <si>
    <t>本期：</t>
  </si>
  <si>
    <t>客户名称</t>
  </si>
  <si>
    <t>销售金额</t>
  </si>
  <si>
    <t>销售金额占比</t>
  </si>
  <si>
    <t>销售数量</t>
  </si>
  <si>
    <t>销售数量占比</t>
  </si>
  <si>
    <t>上期排名</t>
  </si>
  <si>
    <t>本期销售总额</t>
  </si>
  <si>
    <t>上期：</t>
  </si>
  <si>
    <t>本年前十名客户的销售额较去年增加%，大于本年营业收入比去年营业收入增加的比率%</t>
  </si>
  <si>
    <t>主要是因为…………</t>
  </si>
  <si>
    <t>本年前十名客户的销售额较去年减少%，小于本年营业收入比去年营业收入减少的比率%</t>
  </si>
  <si>
    <r>
      <rPr>
        <sz val="10"/>
        <color rgb="FF0000FF"/>
        <rFont val="宋体"/>
        <family val="3"/>
        <charset val="134"/>
      </rPr>
      <t>提示：对于</t>
    </r>
    <r>
      <rPr>
        <sz val="10"/>
        <color rgb="FF0000FF"/>
        <rFont val="Arial Narrow"/>
        <family val="2"/>
      </rPr>
      <t>IPO</t>
    </r>
    <r>
      <rPr>
        <sz val="10"/>
        <color rgb="FF0000FF"/>
        <rFont val="宋体"/>
        <family val="3"/>
        <charset val="134"/>
      </rPr>
      <t>、上市公司等审计业务，考虑：</t>
    </r>
  </si>
  <si>
    <r>
      <rPr>
        <sz val="10"/>
        <color rgb="FF0000FF"/>
        <rFont val="Arial Narrow"/>
        <family val="2"/>
      </rPr>
      <t xml:space="preserve">1. </t>
    </r>
    <r>
      <rPr>
        <sz val="10"/>
        <color rgb="FF0000FF"/>
        <rFont val="宋体"/>
        <family val="3"/>
        <charset val="134"/>
      </rPr>
      <t>如果发行人的客户为公众公司，可获取客户的信息披露文件，与客户披露的采购金额核对，同时分析客户的偿债能力；</t>
    </r>
  </si>
  <si>
    <r>
      <rPr>
        <sz val="10"/>
        <color rgb="FF0000FF"/>
        <rFont val="Arial Narrow"/>
        <family val="2"/>
      </rPr>
      <t>2.</t>
    </r>
    <r>
      <rPr>
        <sz val="10"/>
        <color rgb="FF0000FF"/>
        <rFont val="宋体"/>
        <family val="3"/>
        <charset val="134"/>
      </rPr>
      <t>结合发行人业务特点和主要客户基本经营信息，分析客户购买力、结算周期和销售波动情况，是否存在客户异常采购的情况；</t>
    </r>
  </si>
  <si>
    <r>
      <rPr>
        <sz val="10"/>
        <color rgb="FF0000FF"/>
        <rFont val="Arial Narrow"/>
        <family val="2"/>
      </rPr>
      <t>3.</t>
    </r>
    <r>
      <rPr>
        <sz val="10"/>
        <color rgb="FF0000FF"/>
        <rFont val="宋体"/>
        <family val="3"/>
        <charset val="134"/>
      </rPr>
      <t>对当期销售占比较大的客户，了解大客户大量采购的原因，以及最终销售情况；对于重要客户为经销商的情况，关注终端客户同经销商地域的匹配性。</t>
    </r>
  </si>
  <si>
    <r>
      <rPr>
        <sz val="10"/>
        <color rgb="FF0000FF"/>
        <rFont val="Arial Narrow"/>
        <family val="2"/>
      </rPr>
      <t>4.</t>
    </r>
    <r>
      <rPr>
        <sz val="10"/>
        <color rgb="FF0000FF"/>
        <rFont val="宋体"/>
        <family val="3"/>
        <charset val="134"/>
      </rPr>
      <t>关注公司及其实际控制人与大客户是否存在除购销关系外的其他关系。</t>
    </r>
  </si>
  <si>
    <t>会计期间：2024年度</t>
  </si>
  <si>
    <t>利润表中记录的营业收入已发生，且与被审计单位有关，已记录于恰当的账户。</t>
  </si>
  <si>
    <t>产品种类</t>
  </si>
  <si>
    <t>销售情况</t>
  </si>
  <si>
    <t>销售单价分析</t>
  </si>
  <si>
    <r>
      <rPr>
        <b/>
        <sz val="10"/>
        <color indexed="8"/>
        <rFont val="宋体"/>
        <family val="3"/>
        <charset val="134"/>
      </rPr>
      <t>销售金额</t>
    </r>
  </si>
  <si>
    <r>
      <rPr>
        <b/>
        <sz val="10"/>
        <color indexed="8"/>
        <rFont val="宋体"/>
        <family val="3"/>
        <charset val="134"/>
      </rPr>
      <t>占比</t>
    </r>
  </si>
  <si>
    <r>
      <rPr>
        <b/>
        <sz val="10"/>
        <color indexed="8"/>
        <rFont val="宋体"/>
        <family val="3"/>
        <charset val="134"/>
      </rPr>
      <t>销售数量</t>
    </r>
  </si>
  <si>
    <r>
      <rPr>
        <b/>
        <sz val="10"/>
        <color indexed="8"/>
        <rFont val="宋体"/>
        <family val="3"/>
        <charset val="134"/>
      </rPr>
      <t>销售单价</t>
    </r>
  </si>
  <si>
    <t>年度均价
（或销售指导价格）</t>
  </si>
  <si>
    <r>
      <rPr>
        <b/>
        <sz val="10"/>
        <color indexed="8"/>
        <rFont val="宋体"/>
        <family val="3"/>
        <charset val="134"/>
      </rPr>
      <t>与均价差异</t>
    </r>
  </si>
  <si>
    <t>差异原因</t>
  </si>
  <si>
    <t>市场价格</t>
  </si>
  <si>
    <t>大额客户一</t>
  </si>
  <si>
    <t>产品1</t>
  </si>
  <si>
    <t>产品2</t>
  </si>
  <si>
    <t>产品3</t>
  </si>
  <si>
    <t>大额客户二</t>
  </si>
  <si>
    <t>大额客户三</t>
  </si>
  <si>
    <t>大额客户四</t>
  </si>
  <si>
    <t>大额客户五</t>
  </si>
  <si>
    <r>
      <rPr>
        <sz val="10"/>
        <color rgb="FFFF0000"/>
        <rFont val="宋体"/>
        <family val="3"/>
        <charset val="134"/>
      </rPr>
      <t>异常客户</t>
    </r>
    <r>
      <rPr>
        <sz val="10"/>
        <color rgb="FFFF0000"/>
        <rFont val="Arial Narrow"/>
        <family val="2"/>
      </rPr>
      <t>X</t>
    </r>
  </si>
  <si>
    <r>
      <rPr>
        <sz val="10"/>
        <color rgb="FFFF0000"/>
        <rFont val="宋体"/>
        <family val="3"/>
        <charset val="134"/>
      </rPr>
      <t>异常客户</t>
    </r>
    <r>
      <rPr>
        <sz val="10"/>
        <color rgb="FFFF0000"/>
        <rFont val="Arial Narrow"/>
        <family val="2"/>
      </rPr>
      <t>Y</t>
    </r>
  </si>
  <si>
    <r>
      <rPr>
        <b/>
        <sz val="10"/>
        <color indexed="8"/>
        <rFont val="宋体"/>
        <family val="3"/>
        <charset val="134"/>
      </rPr>
      <t>本期销售总额</t>
    </r>
  </si>
  <si>
    <t>--</t>
  </si>
  <si>
    <t>品种/规格</t>
  </si>
  <si>
    <t>销售单价</t>
  </si>
  <si>
    <t>开票日期</t>
  </si>
  <si>
    <t>销售订单
（销售凭证）</t>
  </si>
  <si>
    <t>订单日期</t>
  </si>
  <si>
    <t>商品销售价格表所列单价</t>
  </si>
  <si>
    <t>与定价政策差异</t>
  </si>
  <si>
    <t>同期市场价格</t>
  </si>
  <si>
    <t>与市价差异</t>
  </si>
  <si>
    <t>差异原因分析</t>
  </si>
  <si>
    <t>同期市场价格来源（索引号）</t>
  </si>
  <si>
    <t>D4-6</t>
    <phoneticPr fontId="28" type="noConversion"/>
  </si>
  <si>
    <t>D4-11</t>
  </si>
  <si>
    <t>主营业务收入毛利率分析表</t>
    <phoneticPr fontId="28" type="noConversion"/>
  </si>
  <si>
    <t>1.了解公司各月毛利、收入的构成及变化情况是否符合行业和市场同期的变化情况。了解公司的产品或服务价格、销量及变动趋势，了解市场上具有代表性企业的价格信息和趋势、行业协会发布的统计数据，并进行比较，确定是否存在显著异常</t>
    <phoneticPr fontId="28" type="noConversion"/>
  </si>
  <si>
    <t>（二）按产品毛利分析</t>
    <phoneticPr fontId="28" type="noConversion"/>
  </si>
  <si>
    <t>（一）月度毛利分析</t>
    <phoneticPr fontId="28" type="noConversion"/>
  </si>
  <si>
    <t>月份</t>
    <phoneticPr fontId="28" type="noConversion"/>
  </si>
  <si>
    <t>主营业务收入</t>
    <phoneticPr fontId="28" type="noConversion"/>
  </si>
  <si>
    <t>主营业务成本</t>
    <phoneticPr fontId="28" type="noConversion"/>
  </si>
  <si>
    <t>毛利</t>
    <phoneticPr fontId="28" type="noConversion"/>
  </si>
  <si>
    <t>毛利率</t>
    <phoneticPr fontId="28" type="noConversion"/>
  </si>
  <si>
    <r>
      <t>1</t>
    </r>
    <r>
      <rPr>
        <b/>
        <sz val="10"/>
        <rFont val="宋体"/>
        <family val="3"/>
        <charset val="134"/>
      </rPr>
      <t>月</t>
    </r>
    <phoneticPr fontId="28" type="noConversion"/>
  </si>
  <si>
    <r>
      <t>2</t>
    </r>
    <r>
      <rPr>
        <b/>
        <sz val="10"/>
        <rFont val="宋体"/>
        <family val="3"/>
        <charset val="134"/>
      </rPr>
      <t>月</t>
    </r>
  </si>
  <si>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</si>
  <si>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</si>
  <si>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</si>
  <si>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</si>
  <si>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</si>
  <si>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</si>
  <si>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</si>
  <si>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</si>
  <si>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</si>
  <si>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</si>
  <si>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r>
      <rPr>
        <b/>
        <sz val="10"/>
        <rFont val="宋体"/>
        <family val="3"/>
        <charset val="134"/>
      </rPr>
      <t>合计</t>
    </r>
    <phoneticPr fontId="28" type="noConversion"/>
  </si>
  <si>
    <r>
      <rPr>
        <b/>
        <sz val="10"/>
        <rFont val="宋体"/>
        <family val="3"/>
        <charset val="134"/>
      </rPr>
      <t>上期</t>
    </r>
    <phoneticPr fontId="28" type="noConversion"/>
  </si>
  <si>
    <r>
      <rPr>
        <b/>
        <sz val="10"/>
        <rFont val="宋体"/>
        <family val="3"/>
        <charset val="134"/>
      </rPr>
      <t>变动比例</t>
    </r>
    <phoneticPr fontId="28" type="noConversion"/>
  </si>
  <si>
    <t>销售净利率=净利润/销售收入</t>
    <phoneticPr fontId="28" type="noConversion"/>
  </si>
  <si>
    <t>人均创利=净利润/员工总数</t>
    <phoneticPr fontId="28" type="noConversion"/>
  </si>
  <si>
    <t>人均创收=销售收入/员工总数</t>
    <phoneticPr fontId="28" type="noConversion"/>
  </si>
  <si>
    <r>
      <rPr>
        <sz val="10"/>
        <rFont val="宋体"/>
        <family val="3"/>
        <charset val="134"/>
      </rPr>
      <t>会计期间：</t>
    </r>
    <r>
      <rPr>
        <sz val="10"/>
        <rFont val="Arial Narrow"/>
        <family val="2"/>
      </rPr>
      <t>202X</t>
    </r>
    <r>
      <rPr>
        <sz val="10"/>
        <rFont val="宋体"/>
        <family val="3"/>
        <charset val="134"/>
      </rPr>
      <t>年度</t>
    </r>
    <phoneticPr fontId="30" type="noConversion"/>
  </si>
  <si>
    <t>关于工作底稿与审计程序索引号对应的说明</t>
    <phoneticPr fontId="30" type="noConversion"/>
  </si>
  <si>
    <r>
      <t>1.</t>
    </r>
    <r>
      <rPr>
        <b/>
        <sz val="12"/>
        <rFont val="宋体"/>
        <family val="3"/>
        <charset val="134"/>
      </rPr>
      <t>编制的审计工作底稿应与审计程序对应。</t>
    </r>
    <r>
      <rPr>
        <sz val="11"/>
        <color theme="1"/>
        <rFont val="等线"/>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30" type="noConversion"/>
  </si>
  <si>
    <r>
      <t>2.</t>
    </r>
    <r>
      <rPr>
        <b/>
        <sz val="12"/>
        <rFont val="宋体"/>
        <family val="3"/>
        <charset val="134"/>
      </rPr>
      <t>获取的支持性证据应与审计底稿或程序对应。</t>
    </r>
    <r>
      <rPr>
        <sz val="11"/>
        <color theme="1"/>
        <rFont val="等线"/>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3"/>
        <charset val="134"/>
        <scheme val="minor"/>
      </rPr>
      <t>、</t>
    </r>
    <r>
      <rPr>
        <sz val="12"/>
        <rFont val="Arial Narrow"/>
        <family val="2"/>
      </rPr>
      <t>D1-2-2</t>
    </r>
    <r>
      <rPr>
        <sz val="11"/>
        <color theme="1"/>
        <rFont val="等线"/>
        <family val="3"/>
        <charset val="134"/>
        <scheme val="minor"/>
      </rPr>
      <t>、</t>
    </r>
    <r>
      <rPr>
        <sz val="12"/>
        <rFont val="Arial Narrow"/>
        <family val="2"/>
      </rPr>
      <t>……</t>
    </r>
    <r>
      <rPr>
        <sz val="11"/>
        <color theme="1"/>
        <rFont val="等线"/>
        <family val="3"/>
        <charset val="134"/>
        <scheme val="minor"/>
      </rPr>
      <t>），并在底稿中说明引用的支持性证据、关联索引号。</t>
    </r>
    <phoneticPr fontId="30" type="noConversion"/>
  </si>
  <si>
    <r>
      <rPr>
        <b/>
        <sz val="12"/>
        <rFont val="Arial Narrow"/>
        <family val="2"/>
      </rPr>
      <t>3.</t>
    </r>
    <r>
      <rPr>
        <b/>
        <sz val="12"/>
        <rFont val="宋体"/>
        <family val="3"/>
        <charset val="134"/>
      </rPr>
      <t>工作底稿索引号的编码规则：</t>
    </r>
    <r>
      <rPr>
        <sz val="11"/>
        <color theme="1"/>
        <rFont val="等线"/>
        <family val="3"/>
        <charset val="134"/>
        <scheme val="minor"/>
      </rPr>
      <t>实质性程序索引号按循环从</t>
    </r>
    <r>
      <rPr>
        <sz val="12"/>
        <rFont val="Arial Narrow"/>
        <family val="2"/>
      </rPr>
      <t>“D”</t>
    </r>
    <r>
      <rPr>
        <sz val="11"/>
        <color theme="1"/>
        <rFont val="等线"/>
        <family val="3"/>
        <charset val="134"/>
        <scheme val="minor"/>
      </rPr>
      <t>到</t>
    </r>
    <r>
      <rPr>
        <sz val="12"/>
        <rFont val="Arial Narrow"/>
        <family val="2"/>
      </rPr>
      <t>“N”,</t>
    </r>
    <r>
      <rPr>
        <sz val="11"/>
        <color theme="1"/>
        <rFont val="等线"/>
        <family val="3"/>
        <charset val="134"/>
        <scheme val="minor"/>
      </rPr>
      <t>循环内账户以顺序号排列，模板中底稿索引号按账户顺序</t>
    </r>
    <r>
      <rPr>
        <sz val="12"/>
        <rFont val="Arial Narrow"/>
        <family val="2"/>
      </rPr>
      <t>+</t>
    </r>
    <r>
      <rPr>
        <sz val="11"/>
        <color theme="1"/>
        <rFont val="等线"/>
        <family val="3"/>
        <charset val="134"/>
        <scheme val="minor"/>
      </rPr>
      <t>自然数顺序（即模板中索引号按二级自然顺序排列，如</t>
    </r>
    <r>
      <rPr>
        <sz val="12"/>
        <rFont val="Arial Narrow"/>
        <family val="2"/>
      </rPr>
      <t>D1-1</t>
    </r>
    <r>
      <rPr>
        <sz val="11"/>
        <color theme="1"/>
        <rFont val="等线"/>
        <family val="3"/>
        <charset val="134"/>
        <scheme val="minor"/>
      </rPr>
      <t>、</t>
    </r>
    <r>
      <rPr>
        <sz val="12"/>
        <rFont val="Arial Narrow"/>
        <family val="2"/>
      </rPr>
      <t>D1-2</t>
    </r>
    <r>
      <rPr>
        <sz val="11"/>
        <color theme="1"/>
        <rFont val="等线"/>
        <family val="3"/>
        <charset val="134"/>
        <scheme val="minor"/>
      </rPr>
      <t>、</t>
    </r>
    <r>
      <rPr>
        <sz val="12"/>
        <rFont val="Arial Narrow"/>
        <family val="2"/>
      </rPr>
      <t>D1-3</t>
    </r>
    <r>
      <rPr>
        <sz val="11"/>
        <color theme="1"/>
        <rFont val="等线"/>
        <family val="3"/>
        <charset val="134"/>
        <scheme val="minor"/>
      </rPr>
      <t>、</t>
    </r>
    <r>
      <rPr>
        <sz val="12"/>
        <rFont val="Arial Narrow"/>
        <family val="2"/>
      </rPr>
      <t>……D1-N</t>
    </r>
    <r>
      <rPr>
        <sz val="11"/>
        <color theme="1"/>
        <rFont val="等线"/>
        <family val="3"/>
        <charset val="134"/>
        <scheme val="minor"/>
      </rPr>
      <t>）。</t>
    </r>
    <phoneticPr fontId="30" type="noConversion"/>
  </si>
  <si>
    <t>提示：根据《中国注册会计师审计准则问题解答第18号——识别和应对第三方配合实施财务舞弊》，项目组在分析主要客户销售产品价格时关注：</t>
    <phoneticPr fontId="28" type="noConversion"/>
  </si>
  <si>
    <t>在第三方配合下，进行显失公允的交易。例如，以明显高于其他客户的价格向第三方销售商品。再如，与同一客户或同受一方控制的多个客户在各期发生多次交易，</t>
    <phoneticPr fontId="28" type="noConversion"/>
  </si>
  <si>
    <t>在客户配合下，通过调节各次交易的商品销售价格，调节各期销售收入金额。</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</si>
</sst>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6" formatCode="_([$€-2]* #,##0.00_);_([$€-2]* \(#,##0.00\);_([$€-2]* &quot;-&quot;??_)"/>
    <numFmt numFmtId="177" formatCode="0.00_);[Red]\(0.00\)"/>
  </numFmts>
  <fonts count="33" x14ac:knownFonts="1">
    <font>
      <sz val="11"/>
      <color theme="1"/>
      <name val="等线"/>
      <charset val="134"/>
      <scheme val="minor"/>
    </font>
    <font>
      <sz val="10"/>
      <name val="宋体"/>
      <family val="3"/>
      <charset val="134"/>
    </font>
    <font>
      <sz val="10"/>
      <color theme="1"/>
      <name val="宋体"/>
      <family val="3"/>
      <charset val="134"/>
    </font>
    <font>
      <b/>
      <sz val="12"/>
      <name val="宋体"/>
      <family val="3"/>
      <charset val="134"/>
    </font>
    <font>
      <b/>
      <sz val="14"/>
      <name val="宋体"/>
      <family val="3"/>
      <charset val="134"/>
    </font>
    <font>
      <b/>
      <sz val="10"/>
      <color indexed="8"/>
      <name val="宋体"/>
      <family val="3"/>
      <charset val="134"/>
    </font>
    <font>
      <sz val="10"/>
      <color indexed="8"/>
      <name val="宋体"/>
      <family val="3"/>
      <charset val="134"/>
    </font>
    <font>
      <sz val="10"/>
      <color rgb="FFFF0000"/>
      <name val="宋体"/>
      <family val="3"/>
      <charset val="134"/>
    </font>
    <font>
      <sz val="10"/>
      <name val="Arial Narrow"/>
      <family val="2"/>
    </font>
    <font>
      <b/>
      <sz val="10"/>
      <color indexed="8"/>
      <name val="Arial Narrow"/>
      <family val="2"/>
    </font>
    <font>
      <sz val="10"/>
      <color rgb="FF0000FF"/>
      <name val="宋体"/>
      <family val="3"/>
      <charset val="134"/>
    </font>
    <font>
      <u/>
      <sz val="10"/>
      <color rgb="FF0000FF"/>
      <name val="Arial Narrow"/>
      <family val="2"/>
    </font>
    <font>
      <sz val="10"/>
      <color indexed="8"/>
      <name val="Arial Narrow"/>
      <family val="2"/>
    </font>
    <font>
      <sz val="10"/>
      <color rgb="FFFF0000"/>
      <name val="Arial Narrow"/>
      <family val="2"/>
    </font>
    <font>
      <b/>
      <sz val="10"/>
      <name val="宋体"/>
      <family val="3"/>
      <charset val="134"/>
    </font>
    <font>
      <sz val="10"/>
      <color rgb="FF0000FF"/>
      <name val="Arial Narrow"/>
      <family val="2"/>
    </font>
    <font>
      <sz val="12"/>
      <name val="宋体"/>
      <family val="3"/>
      <charset val="134"/>
    </font>
    <font>
      <b/>
      <sz val="10"/>
      <name val="Arial Narrow"/>
      <family val="2"/>
    </font>
    <font>
      <b/>
      <sz val="10"/>
      <color rgb="FFFF0000"/>
      <name val="宋体"/>
      <family val="3"/>
      <charset val="134"/>
    </font>
    <font>
      <u/>
      <sz val="10"/>
      <color theme="10"/>
      <name val="宋体"/>
      <family val="3"/>
      <charset val="134"/>
    </font>
    <font>
      <sz val="10"/>
      <color indexed="62"/>
      <name val="宋体"/>
      <family val="3"/>
      <charset val="134"/>
    </font>
    <font>
      <sz val="10"/>
      <color theme="1"/>
      <name val="Arial Narrow"/>
      <family val="2"/>
    </font>
    <font>
      <u/>
      <sz val="11"/>
      <color theme="10"/>
      <name val="等线"/>
      <family val="3"/>
      <charset val="134"/>
      <scheme val="minor"/>
    </font>
    <font>
      <sz val="12"/>
      <color indexed="8"/>
      <name val="宋体"/>
      <family val="3"/>
      <charset val="134"/>
    </font>
    <font>
      <sz val="11"/>
      <color indexed="8"/>
      <name val="宋体"/>
      <family val="3"/>
      <charset val="134"/>
    </font>
    <font>
      <sz val="10"/>
      <color theme="1"/>
      <name val="等线"/>
      <family val="3"/>
      <charset val="134"/>
      <scheme val="minor"/>
    </font>
    <font>
      <sz val="12"/>
      <name val="楷体"/>
      <family val="3"/>
      <charset val="134"/>
    </font>
    <font>
      <sz val="11"/>
      <color theme="1"/>
      <name val="等线"/>
      <family val="3"/>
      <charset val="134"/>
      <scheme val="minor"/>
    </font>
    <font>
      <sz val="9"/>
      <name val="等线"/>
      <family val="3"/>
      <charset val="134"/>
      <scheme val="minor"/>
    </font>
    <font>
      <sz val="10"/>
      <color rgb="FF0000CC"/>
      <name val="Arial Narrow"/>
      <family val="2"/>
    </font>
    <font>
      <sz val="9"/>
      <name val="宋体"/>
      <family val="3"/>
      <charset val="134"/>
    </font>
    <font>
      <b/>
      <sz val="12"/>
      <name val="Arial Narrow"/>
      <family val="2"/>
    </font>
    <font>
      <sz val="12"/>
      <name val="Arial Narrow"/>
      <family val="2"/>
    </font>
  </fonts>
  <fills count="4">
    <fill>
      <patternFill patternType="none"/>
    </fill>
    <fill>
      <patternFill patternType="gray125"/>
    </fill>
    <fill>
      <patternFill patternType="solid">
        <fgColor rgb="FFE4DFEC"/>
        <bgColor indexed="64"/>
      </patternFill>
    </fill>
    <fill>
      <patternFill patternType="solid">
        <fgColor indexed="14"/>
        <bgColor indexed="64"/>
      </patternFill>
    </fill>
  </fills>
  <borders count="10">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58">
    <xf numFmtId="0" fontId="0" fillId="0" borderId="0"/>
    <xf numFmtId="43" fontId="27" fillId="0" borderId="0" applyFont="0" applyFill="0" applyBorder="0" applyAlignment="0" applyProtection="0">
      <alignment vertical="center"/>
    </xf>
    <xf numFmtId="0" fontId="22" fillId="0" borderId="0" applyNumberForma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76" fontId="16" fillId="0" borderId="0">
      <alignment vertical="center"/>
    </xf>
    <xf numFmtId="0" fontId="16" fillId="0" borderId="0">
      <protection locked="0"/>
    </xf>
    <xf numFmtId="0" fontId="27" fillId="0" borderId="0"/>
    <xf numFmtId="0" fontId="27" fillId="0" borderId="0"/>
    <xf numFmtId="176" fontId="27" fillId="0" borderId="0"/>
    <xf numFmtId="0" fontId="16" fillId="0" borderId="0">
      <protection locked="0"/>
    </xf>
    <xf numFmtId="176" fontId="23" fillId="0" borderId="0" applyNumberFormat="0" applyBorder="0" applyAlignment="0">
      <alignment vertical="center"/>
      <protection locked="0"/>
    </xf>
    <xf numFmtId="176" fontId="16" fillId="0" borderId="0">
      <protection locked="0"/>
    </xf>
    <xf numFmtId="0" fontId="16" fillId="0" borderId="0"/>
    <xf numFmtId="176" fontId="16" fillId="0" borderId="0"/>
    <xf numFmtId="0" fontId="16" fillId="0" borderId="0">
      <protection locked="0"/>
    </xf>
    <xf numFmtId="176" fontId="16" fillId="0" borderId="0">
      <protection locked="0"/>
    </xf>
    <xf numFmtId="176" fontId="16" fillId="0" borderId="0">
      <alignment vertical="center"/>
      <protection locked="0"/>
    </xf>
    <xf numFmtId="176" fontId="27" fillId="0" borderId="0">
      <alignment vertical="center"/>
    </xf>
    <xf numFmtId="176" fontId="24" fillId="0" borderId="0" applyNumberFormat="0" applyBorder="0" applyProtection="0">
      <alignment vertical="center"/>
    </xf>
    <xf numFmtId="176" fontId="1" fillId="0" borderId="0"/>
    <xf numFmtId="0" fontId="16" fillId="0" borderId="0">
      <protection locked="0"/>
    </xf>
    <xf numFmtId="176" fontId="16" fillId="0" borderId="0">
      <protection locked="0"/>
    </xf>
    <xf numFmtId="176" fontId="25" fillId="0" borderId="0">
      <alignment vertical="center"/>
    </xf>
    <xf numFmtId="176" fontId="16" fillId="0" borderId="0">
      <protection locked="0"/>
    </xf>
    <xf numFmtId="176" fontId="16" fillId="0" borderId="0"/>
    <xf numFmtId="0" fontId="27" fillId="0" borderId="0"/>
    <xf numFmtId="176" fontId="27" fillId="0" borderId="0">
      <alignment vertical="center"/>
    </xf>
    <xf numFmtId="176" fontId="27" fillId="0" borderId="0"/>
    <xf numFmtId="0" fontId="16" fillId="0" borderId="0"/>
    <xf numFmtId="0" fontId="16" fillId="0" borderId="0"/>
    <xf numFmtId="176" fontId="16" fillId="0" borderId="0"/>
    <xf numFmtId="176" fontId="23" fillId="0" borderId="0" applyNumberFormat="0" applyBorder="0" applyAlignment="0" applyProtection="0">
      <alignment vertical="center"/>
    </xf>
    <xf numFmtId="176" fontId="27" fillId="0" borderId="0">
      <alignment vertical="center"/>
    </xf>
    <xf numFmtId="176" fontId="27" fillId="0" borderId="0">
      <alignment vertical="center"/>
    </xf>
    <xf numFmtId="176" fontId="27" fillId="0" borderId="0"/>
    <xf numFmtId="176" fontId="27" fillId="0" borderId="0"/>
    <xf numFmtId="0" fontId="26" fillId="0" borderId="0">
      <alignment horizontal="centerContinuous"/>
    </xf>
    <xf numFmtId="0" fontId="16" fillId="0" borderId="0">
      <alignment vertical="center"/>
    </xf>
    <xf numFmtId="0" fontId="16" fillId="0" borderId="0">
      <alignment vertical="center"/>
    </xf>
    <xf numFmtId="176" fontId="16" fillId="0" borderId="0">
      <alignment vertical="center"/>
    </xf>
    <xf numFmtId="0" fontId="16" fillId="0" borderId="0"/>
    <xf numFmtId="0" fontId="16" fillId="0" borderId="0">
      <protection locked="0"/>
    </xf>
    <xf numFmtId="176" fontId="16" fillId="0" borderId="0">
      <alignment vertical="center"/>
    </xf>
    <xf numFmtId="0" fontId="22" fillId="0" borderId="0" applyNumberFormat="0" applyFill="0" applyBorder="0" applyAlignment="0" applyProtection="0"/>
    <xf numFmtId="176" fontId="22" fillId="0" borderId="0" applyNumberFormat="0" applyFill="0" applyBorder="0" applyAlignment="0" applyProtection="0"/>
    <xf numFmtId="176" fontId="22" fillId="0" borderId="0" applyNumberFormat="0" applyFill="0" applyBorder="0" applyAlignment="0" applyProtection="0"/>
    <xf numFmtId="0" fontId="26" fillId="0" borderId="0"/>
    <xf numFmtId="176" fontId="26" fillId="0" borderId="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alignment vertical="center"/>
    </xf>
    <xf numFmtId="43" fontId="16" fillId="0" borderId="0" applyFont="0" applyFill="0" applyBorder="0" applyAlignment="0" applyProtection="0">
      <alignment vertical="center"/>
    </xf>
    <xf numFmtId="43" fontId="16" fillId="0" borderId="0" applyFont="0" applyFill="0" applyBorder="0" applyAlignment="0" applyProtection="0"/>
    <xf numFmtId="43" fontId="16" fillId="0" borderId="0" applyFont="0" applyFill="0" applyBorder="0" applyAlignment="0" applyProtection="0"/>
    <xf numFmtId="43" fontId="27" fillId="0" borderId="0" applyFont="0" applyFill="0" applyBorder="0" applyAlignment="0" applyProtection="0">
      <alignment vertical="center"/>
    </xf>
  </cellStyleXfs>
  <cellXfs count="233">
    <xf numFmtId="0" fontId="0" fillId="0" borderId="0" xfId="0"/>
    <xf numFmtId="0" fontId="1" fillId="0" borderId="0" xfId="39" applyNumberFormat="1" applyFont="1" applyAlignment="1">
      <alignment vertical="center"/>
    </xf>
    <xf numFmtId="0" fontId="1" fillId="0" borderId="0" xfId="21" applyNumberFormat="1" applyFont="1" applyAlignment="1">
      <alignment vertical="center"/>
      <protection locked="0"/>
    </xf>
    <xf numFmtId="0" fontId="1" fillId="0" borderId="0" xfId="6" applyNumberFormat="1" applyFont="1" applyAlignment="1">
      <alignment vertical="center"/>
      <protection locked="0"/>
    </xf>
    <xf numFmtId="0" fontId="2" fillId="0" borderId="0" xfId="0" applyFont="1"/>
    <xf numFmtId="0" fontId="5" fillId="0" borderId="0" xfId="6" applyNumberFormat="1" applyFont="1" applyAlignment="1" applyProtection="1">
      <alignment vertical="center"/>
    </xf>
    <xf numFmtId="0" fontId="6" fillId="0" borderId="0" xfId="6" applyNumberFormat="1" applyFont="1" applyAlignment="1" applyProtection="1">
      <alignment vertical="center"/>
    </xf>
    <xf numFmtId="0" fontId="7" fillId="0" borderId="0" xfId="6" applyNumberFormat="1" applyFont="1" applyAlignment="1" applyProtection="1">
      <alignment vertical="center"/>
    </xf>
    <xf numFmtId="0" fontId="1" fillId="0" borderId="0" xfId="6" applyFont="1" applyAlignment="1" applyProtection="1">
      <alignment vertical="center"/>
    </xf>
    <xf numFmtId="0" fontId="5" fillId="2" borderId="1" xfId="6" applyFont="1" applyFill="1" applyBorder="1" applyAlignment="1" applyProtection="1">
      <alignment horizontal="center" vertical="center"/>
    </xf>
    <xf numFmtId="0" fontId="5" fillId="2" borderId="1" xfId="6" applyFont="1" applyFill="1" applyBorder="1" applyAlignment="1" applyProtection="1">
      <alignment horizontal="center" vertical="center" wrapText="1"/>
    </xf>
    <xf numFmtId="0" fontId="8" fillId="0" borderId="1" xfId="6" applyFont="1" applyBorder="1" applyAlignment="1" applyProtection="1">
      <alignment horizontal="center" vertical="center"/>
    </xf>
    <xf numFmtId="0" fontId="1" fillId="0" borderId="1" xfId="56" applyNumberFormat="1" applyFont="1" applyFill="1" applyBorder="1" applyAlignment="1">
      <alignment vertical="center"/>
    </xf>
    <xf numFmtId="0" fontId="1" fillId="0" borderId="1" xfId="6" applyFont="1" applyBorder="1" applyAlignment="1" applyProtection="1">
      <alignment horizontal="center" vertical="center"/>
    </xf>
    <xf numFmtId="43" fontId="8" fillId="0" borderId="1" xfId="56" applyFont="1" applyFill="1" applyBorder="1" applyAlignment="1" applyProtection="1">
      <alignment horizontal="center" vertical="center"/>
    </xf>
    <xf numFmtId="177" fontId="8" fillId="0" borderId="1" xfId="6" applyNumberFormat="1" applyFont="1" applyBorder="1" applyAlignment="1" applyProtection="1">
      <alignment horizontal="center" vertical="center"/>
    </xf>
    <xf numFmtId="14" fontId="1" fillId="0" borderId="1" xfId="6" applyNumberFormat="1" applyFont="1" applyBorder="1" applyAlignment="1" applyProtection="1">
      <alignment horizontal="center" vertical="center"/>
    </xf>
    <xf numFmtId="176" fontId="5" fillId="0" borderId="0" xfId="12" applyNumberFormat="1" applyFont="1" applyAlignment="1" applyProtection="1">
      <alignment vertical="center"/>
    </xf>
    <xf numFmtId="176" fontId="6" fillId="0" borderId="0" xfId="12" applyNumberFormat="1" applyFont="1" applyAlignment="1" applyProtection="1">
      <alignment horizontal="center" vertical="center"/>
    </xf>
    <xf numFmtId="0" fontId="10" fillId="0" borderId="0" xfId="0" applyFont="1"/>
    <xf numFmtId="0" fontId="1" fillId="0" borderId="0" xfId="21" applyNumberFormat="1" applyFont="1" applyAlignment="1">
      <alignment horizontal="right" vertical="center"/>
      <protection locked="0"/>
    </xf>
    <xf numFmtId="43" fontId="12" fillId="2" borderId="1" xfId="56" applyNumberFormat="1" applyFont="1" applyFill="1" applyBorder="1" applyAlignment="1" applyProtection="1">
      <alignment vertical="center" shrinkToFit="1"/>
    </xf>
    <xf numFmtId="43" fontId="6" fillId="0" borderId="1" xfId="56" applyFont="1" applyFill="1" applyBorder="1" applyAlignment="1" applyProtection="1">
      <alignment vertical="center" shrinkToFit="1"/>
    </xf>
    <xf numFmtId="43" fontId="1" fillId="0" borderId="1" xfId="6" applyNumberFormat="1" applyFont="1" applyBorder="1" applyAlignment="1" applyProtection="1">
      <alignment horizontal="center" vertical="center"/>
    </xf>
    <xf numFmtId="176" fontId="1" fillId="0" borderId="0" xfId="12" applyNumberFormat="1" applyFont="1" applyAlignment="1">
      <alignment vertical="center"/>
      <protection locked="0"/>
    </xf>
    <xf numFmtId="176" fontId="27" fillId="0" borderId="0" xfId="36"/>
    <xf numFmtId="176" fontId="6" fillId="0" borderId="0" xfId="12" applyNumberFormat="1" applyFont="1" applyAlignment="1" applyProtection="1">
      <alignment vertical="center"/>
    </xf>
    <xf numFmtId="0" fontId="12" fillId="0" borderId="0" xfId="6" applyFont="1" applyAlignment="1" applyProtection="1">
      <alignment vertical="center"/>
    </xf>
    <xf numFmtId="0" fontId="9" fillId="2" borderId="1" xfId="6" applyFont="1" applyFill="1" applyBorder="1" applyAlignment="1" applyProtection="1">
      <alignment horizontal="center" vertical="center"/>
    </xf>
    <xf numFmtId="0" fontId="12" fillId="0" borderId="1" xfId="6" applyFont="1" applyBorder="1" applyAlignment="1" applyProtection="1">
      <alignment horizontal="center" vertical="center"/>
    </xf>
    <xf numFmtId="0" fontId="7" fillId="0" borderId="1" xfId="6" applyFont="1" applyBorder="1" applyAlignment="1" applyProtection="1">
      <alignment vertical="center"/>
    </xf>
    <xf numFmtId="0" fontId="12" fillId="0" borderId="1" xfId="6" applyFont="1" applyBorder="1" applyAlignment="1" applyProtection="1">
      <alignment vertical="center"/>
    </xf>
    <xf numFmtId="43" fontId="12" fillId="0" borderId="1" xfId="56" applyFont="1" applyBorder="1" applyAlignment="1" applyProtection="1">
      <alignment vertical="center"/>
    </xf>
    <xf numFmtId="10" fontId="12" fillId="2" borderId="1" xfId="4" applyNumberFormat="1" applyFont="1" applyFill="1" applyBorder="1" applyAlignment="1" applyProtection="1">
      <alignment vertical="center" shrinkToFit="1"/>
    </xf>
    <xf numFmtId="177" fontId="12" fillId="0" borderId="1" xfId="56" applyNumberFormat="1" applyFont="1" applyBorder="1" applyAlignment="1" applyProtection="1">
      <alignment vertical="center"/>
    </xf>
    <xf numFmtId="43" fontId="12" fillId="2" borderId="1" xfId="56" applyFont="1" applyFill="1" applyBorder="1" applyAlignment="1" applyProtection="1">
      <alignment vertical="center" shrinkToFit="1"/>
    </xf>
    <xf numFmtId="0" fontId="13" fillId="0" borderId="1" xfId="6" applyFont="1" applyBorder="1" applyAlignment="1" applyProtection="1">
      <alignment vertical="center"/>
    </xf>
    <xf numFmtId="0" fontId="12" fillId="0" borderId="1" xfId="6" applyFont="1" applyBorder="1" applyAlignment="1" applyProtection="1">
      <alignment horizontal="right" vertical="center"/>
    </xf>
    <xf numFmtId="176" fontId="7" fillId="0" borderId="0" xfId="12" applyNumberFormat="1" applyFont="1" applyAlignment="1" applyProtection="1">
      <alignment vertical="center"/>
    </xf>
    <xf numFmtId="176" fontId="11" fillId="0" borderId="0" xfId="46" applyNumberFormat="1" applyFont="1" applyAlignment="1" applyProtection="1">
      <alignment vertical="center"/>
      <protection locked="0"/>
    </xf>
    <xf numFmtId="176" fontId="1" fillId="0" borderId="0" xfId="12" applyNumberFormat="1" applyFont="1" applyAlignment="1">
      <alignment horizontal="right" vertical="center"/>
      <protection locked="0"/>
    </xf>
    <xf numFmtId="43" fontId="12" fillId="0" borderId="1" xfId="56" applyFont="1" applyBorder="1" applyAlignment="1" applyProtection="1">
      <alignment vertical="center" shrinkToFit="1"/>
    </xf>
    <xf numFmtId="10" fontId="12" fillId="2" borderId="1" xfId="4" applyNumberFormat="1" applyFont="1" applyFill="1" applyBorder="1" applyAlignment="1" applyProtection="1">
      <alignment vertical="center"/>
    </xf>
    <xf numFmtId="0" fontId="12" fillId="0" borderId="1" xfId="56" applyNumberFormat="1" applyFont="1" applyBorder="1" applyAlignment="1" applyProtection="1">
      <alignment vertical="center" shrinkToFit="1"/>
    </xf>
    <xf numFmtId="0" fontId="12" fillId="0" borderId="0" xfId="56" applyNumberFormat="1" applyFont="1" applyBorder="1" applyAlignment="1" applyProtection="1">
      <alignment vertical="center" shrinkToFit="1"/>
    </xf>
    <xf numFmtId="0" fontId="14" fillId="0" borderId="0" xfId="6" applyNumberFormat="1" applyFont="1" applyAlignment="1" applyProtection="1">
      <alignment vertical="center"/>
    </xf>
    <xf numFmtId="0" fontId="5" fillId="2" borderId="1" xfId="6" applyNumberFormat="1" applyFont="1" applyFill="1" applyBorder="1" applyAlignment="1" applyProtection="1">
      <alignment horizontal="center" vertical="center"/>
    </xf>
    <xf numFmtId="0" fontId="5" fillId="2" borderId="1" xfId="6" applyNumberFormat="1" applyFont="1" applyFill="1" applyBorder="1" applyAlignment="1" applyProtection="1">
      <alignment horizontal="center" vertical="center" wrapText="1"/>
    </xf>
    <xf numFmtId="0" fontId="12" fillId="0" borderId="1" xfId="6" applyNumberFormat="1" applyFont="1" applyBorder="1" applyAlignment="1" applyProtection="1">
      <alignment horizontal="center" vertical="center"/>
    </xf>
    <xf numFmtId="0" fontId="6" fillId="0" borderId="1" xfId="6" applyNumberFormat="1" applyFont="1" applyBorder="1" applyAlignment="1" applyProtection="1">
      <alignment vertical="center"/>
    </xf>
    <xf numFmtId="43" fontId="12" fillId="0" borderId="1" xfId="55" applyNumberFormat="1" applyFont="1" applyBorder="1" applyAlignment="1" applyProtection="1">
      <alignment vertical="center"/>
    </xf>
    <xf numFmtId="0" fontId="12" fillId="0" borderId="1" xfId="6" applyNumberFormat="1" applyFont="1" applyBorder="1" applyAlignment="1" applyProtection="1">
      <alignment vertical="center"/>
    </xf>
    <xf numFmtId="43" fontId="9" fillId="2" borderId="1" xfId="55" applyNumberFormat="1" applyFont="1" applyFill="1" applyBorder="1" applyAlignment="1" applyProtection="1">
      <alignment vertical="center" shrinkToFit="1"/>
    </xf>
    <xf numFmtId="10" fontId="9" fillId="2" borderId="1" xfId="4" applyNumberFormat="1" applyFont="1" applyFill="1" applyBorder="1" applyAlignment="1" applyProtection="1">
      <alignment vertical="center" shrinkToFit="1"/>
    </xf>
    <xf numFmtId="43" fontId="9" fillId="2" borderId="1" xfId="55" applyNumberFormat="1" applyFont="1" applyFill="1" applyBorder="1" applyAlignment="1" applyProtection="1">
      <alignment vertical="center"/>
    </xf>
    <xf numFmtId="0" fontId="12" fillId="2" borderId="1" xfId="6" applyNumberFormat="1" applyFont="1" applyFill="1" applyBorder="1" applyAlignment="1" applyProtection="1">
      <alignment vertical="center"/>
    </xf>
    <xf numFmtId="43" fontId="6" fillId="2" borderId="0" xfId="4" applyNumberFormat="1" applyFont="1" applyFill="1" applyBorder="1" applyAlignment="1" applyProtection="1">
      <alignment horizontal="right" vertical="center" shrinkToFit="1"/>
    </xf>
    <xf numFmtId="0" fontId="6" fillId="0" borderId="0" xfId="4" applyNumberFormat="1" applyFont="1" applyFill="1" applyBorder="1" applyAlignment="1" applyProtection="1">
      <alignment horizontal="right" vertical="center" shrinkToFit="1"/>
    </xf>
    <xf numFmtId="43" fontId="12" fillId="2" borderId="0" xfId="4" applyNumberFormat="1" applyFont="1" applyFill="1" applyBorder="1" applyAlignment="1" applyProtection="1">
      <alignment horizontal="right" vertical="center" shrinkToFit="1"/>
    </xf>
    <xf numFmtId="0" fontId="6" fillId="0" borderId="0" xfId="6" applyNumberFormat="1" applyFont="1" applyBorder="1" applyAlignment="1" applyProtection="1">
      <alignment vertical="center"/>
    </xf>
    <xf numFmtId="0" fontId="6" fillId="0" borderId="1" xfId="6" applyNumberFormat="1" applyFont="1" applyBorder="1" applyAlignment="1" applyProtection="1">
      <alignment horizontal="center" vertical="center"/>
    </xf>
    <xf numFmtId="43" fontId="6" fillId="0" borderId="1" xfId="55" applyNumberFormat="1" applyFont="1" applyBorder="1" applyAlignment="1" applyProtection="1">
      <alignment vertical="center"/>
    </xf>
    <xf numFmtId="10" fontId="6" fillId="2" borderId="1" xfId="4" applyNumberFormat="1" applyFont="1" applyFill="1" applyBorder="1" applyAlignment="1" applyProtection="1">
      <alignment vertical="center" shrinkToFit="1"/>
    </xf>
    <xf numFmtId="0" fontId="6" fillId="2" borderId="1" xfId="6" applyNumberFormat="1" applyFont="1" applyFill="1" applyBorder="1" applyAlignment="1" applyProtection="1">
      <alignment vertical="center"/>
    </xf>
    <xf numFmtId="0" fontId="6" fillId="0" borderId="1" xfId="4" applyNumberFormat="1" applyFont="1" applyFill="1" applyBorder="1" applyAlignment="1" applyProtection="1">
      <alignment horizontal="right" vertical="center" shrinkToFit="1"/>
    </xf>
    <xf numFmtId="0" fontId="15" fillId="0" borderId="0" xfId="6" applyFont="1" applyAlignment="1" applyProtection="1">
      <alignment vertical="center"/>
    </xf>
    <xf numFmtId="0" fontId="6" fillId="0" borderId="0" xfId="21" applyNumberFormat="1" applyFont="1" applyAlignment="1" applyProtection="1">
      <alignment vertical="center"/>
    </xf>
    <xf numFmtId="0" fontId="6" fillId="0" borderId="0" xfId="4" applyNumberFormat="1" applyFont="1" applyBorder="1" applyAlignment="1">
      <alignment vertical="center"/>
    </xf>
    <xf numFmtId="0" fontId="6" fillId="0" borderId="0" xfId="55" applyNumberFormat="1" applyFont="1" applyBorder="1" applyAlignment="1">
      <alignment vertical="center"/>
    </xf>
    <xf numFmtId="176" fontId="1" fillId="0" borderId="0" xfId="40" applyFont="1">
      <alignment vertical="center"/>
    </xf>
    <xf numFmtId="176" fontId="16" fillId="0" borderId="0" xfId="40" applyFont="1">
      <alignment vertical="center"/>
    </xf>
    <xf numFmtId="176" fontId="1" fillId="0" borderId="0" xfId="12" applyFont="1" applyAlignment="1">
      <alignment vertical="center"/>
      <protection locked="0"/>
    </xf>
    <xf numFmtId="176" fontId="1" fillId="0" borderId="0" xfId="43" applyFont="1">
      <alignment vertical="center"/>
    </xf>
    <xf numFmtId="176" fontId="14" fillId="2" borderId="1" xfId="12" applyFont="1" applyFill="1" applyBorder="1" applyAlignment="1">
      <alignment horizontal="center" vertical="center" wrapText="1"/>
      <protection locked="0"/>
    </xf>
    <xf numFmtId="176" fontId="14" fillId="2" borderId="1" xfId="48" applyFont="1" applyFill="1" applyBorder="1" applyAlignment="1">
      <alignment horizontal="center" vertical="center" wrapText="1"/>
    </xf>
    <xf numFmtId="0" fontId="8" fillId="0" borderId="1" xfId="48" applyNumberFormat="1" applyFont="1" applyBorder="1" applyAlignment="1">
      <alignment horizontal="center" vertical="center" wrapText="1"/>
    </xf>
    <xf numFmtId="43" fontId="8" fillId="0" borderId="1" xfId="48" applyNumberFormat="1" applyFont="1" applyBorder="1" applyAlignment="1">
      <alignment horizontal="center" vertical="center" wrapText="1"/>
    </xf>
    <xf numFmtId="43" fontId="8" fillId="0" borderId="1" xfId="55" applyNumberFormat="1" applyFont="1" applyBorder="1" applyAlignment="1">
      <alignment vertical="center" wrapText="1"/>
    </xf>
    <xf numFmtId="43" fontId="8" fillId="2" borderId="1" xfId="55" applyNumberFormat="1" applyFont="1" applyFill="1" applyBorder="1" applyAlignment="1">
      <alignment vertical="center" wrapText="1"/>
    </xf>
    <xf numFmtId="43" fontId="17" fillId="2" borderId="1" xfId="55" applyNumberFormat="1" applyFont="1" applyFill="1" applyBorder="1" applyAlignment="1">
      <alignment horizontal="center" vertical="center" wrapText="1"/>
    </xf>
    <xf numFmtId="176" fontId="14" fillId="0" borderId="1" xfId="12" applyFont="1" applyBorder="1" applyAlignment="1">
      <alignment horizontal="left" vertical="center"/>
      <protection locked="0"/>
    </xf>
    <xf numFmtId="43" fontId="17" fillId="0" borderId="1" xfId="12" applyNumberFormat="1" applyFont="1" applyBorder="1" applyAlignment="1">
      <alignment horizontal="center" vertical="center" wrapText="1"/>
      <protection locked="0"/>
    </xf>
    <xf numFmtId="43" fontId="8" fillId="0" borderId="1" xfId="12" applyNumberFormat="1" applyFont="1" applyBorder="1" applyAlignment="1">
      <alignment vertical="center"/>
      <protection locked="0"/>
    </xf>
    <xf numFmtId="43" fontId="17" fillId="0" borderId="1" xfId="12" applyNumberFormat="1" applyFont="1" applyBorder="1" applyAlignment="1">
      <alignment horizontal="center" vertical="center"/>
      <protection locked="0"/>
    </xf>
    <xf numFmtId="10" fontId="8" fillId="2" borderId="1" xfId="4" applyNumberFormat="1" applyFont="1" applyFill="1" applyBorder="1" applyAlignment="1">
      <alignment horizontal="right" vertical="center" wrapText="1"/>
    </xf>
    <xf numFmtId="10" fontId="17" fillId="2" borderId="1" xfId="4" applyNumberFormat="1" applyFont="1" applyFill="1" applyBorder="1" applyAlignment="1">
      <alignment horizontal="right" vertical="center" wrapText="1"/>
    </xf>
    <xf numFmtId="176" fontId="1" fillId="0" borderId="0" xfId="12" applyFont="1" applyAlignment="1">
      <alignment horizontal="right" vertical="center"/>
      <protection locked="0"/>
    </xf>
    <xf numFmtId="0" fontId="8" fillId="2" borderId="1" xfId="4" applyNumberFormat="1" applyFont="1" applyFill="1" applyBorder="1" applyAlignment="1">
      <alignment horizontal="right" vertical="center" wrapText="1"/>
    </xf>
    <xf numFmtId="0" fontId="8" fillId="2" borderId="1" xfId="55" applyNumberFormat="1" applyFont="1" applyFill="1" applyBorder="1" applyAlignment="1">
      <alignment horizontal="right" vertical="center"/>
    </xf>
    <xf numFmtId="10" fontId="8" fillId="2" borderId="1" xfId="4" applyNumberFormat="1" applyFont="1" applyFill="1" applyBorder="1" applyAlignment="1">
      <alignment horizontal="right" vertical="center"/>
    </xf>
    <xf numFmtId="0" fontId="8" fillId="0" borderId="1" xfId="55" applyNumberFormat="1" applyFont="1" applyBorder="1" applyAlignment="1">
      <alignment horizontal="center" vertical="center" wrapText="1"/>
    </xf>
    <xf numFmtId="0" fontId="17" fillId="0" borderId="1" xfId="55" applyNumberFormat="1" applyFont="1" applyBorder="1" applyAlignment="1">
      <alignment horizontal="center" vertical="center" wrapText="1"/>
    </xf>
    <xf numFmtId="0" fontId="8" fillId="0" borderId="1" xfId="6" applyFont="1" applyBorder="1" applyAlignment="1">
      <alignment vertical="center"/>
      <protection locked="0"/>
    </xf>
    <xf numFmtId="0" fontId="1" fillId="0" borderId="0" xfId="38" applyNumberFormat="1" applyFont="1">
      <alignment vertical="center"/>
    </xf>
    <xf numFmtId="0" fontId="7" fillId="0" borderId="0" xfId="6" applyNumberFormat="1" applyFont="1" applyAlignment="1">
      <alignment vertical="center"/>
      <protection locked="0"/>
    </xf>
    <xf numFmtId="0" fontId="14" fillId="0" borderId="0" xfId="6" applyNumberFormat="1" applyFont="1" applyAlignment="1">
      <alignment vertical="center"/>
      <protection locked="0"/>
    </xf>
    <xf numFmtId="0" fontId="7" fillId="0" borderId="0" xfId="29" applyNumberFormat="1" applyFont="1" applyAlignment="1">
      <alignment vertical="center"/>
    </xf>
    <xf numFmtId="0" fontId="1" fillId="0" borderId="0" xfId="29" applyNumberFormat="1" applyFont="1" applyAlignment="1">
      <alignment horizontal="left" vertical="center" indent="1"/>
    </xf>
    <xf numFmtId="0" fontId="14" fillId="2" borderId="1" xfId="37" applyNumberFormat="1" applyFont="1" applyFill="1" applyBorder="1" applyAlignment="1">
      <alignment horizontal="center" vertical="center"/>
    </xf>
    <xf numFmtId="0" fontId="14" fillId="2" borderId="1" xfId="47" applyNumberFormat="1" applyFont="1" applyFill="1" applyBorder="1" applyAlignment="1">
      <alignment horizontal="center" vertical="center" wrapText="1"/>
    </xf>
    <xf numFmtId="0" fontId="14" fillId="2" borderId="1" xfId="41" applyNumberFormat="1" applyFont="1" applyFill="1" applyBorder="1" applyAlignment="1">
      <alignment horizontal="center" vertical="center"/>
    </xf>
    <xf numFmtId="0" fontId="7" fillId="0" borderId="5" xfId="47" applyNumberFormat="1" applyFont="1" applyBorder="1" applyAlignment="1">
      <alignment horizontal="center" vertical="center" wrapText="1"/>
    </xf>
    <xf numFmtId="43" fontId="8" fillId="0" borderId="5" xfId="47" applyNumberFormat="1" applyFont="1" applyBorder="1" applyAlignment="1">
      <alignment horizontal="right" vertical="center" wrapText="1"/>
    </xf>
    <xf numFmtId="43" fontId="8" fillId="2" borderId="5" xfId="47" applyNumberFormat="1" applyFont="1" applyFill="1" applyBorder="1" applyAlignment="1">
      <alignment horizontal="right" vertical="center" wrapText="1"/>
    </xf>
    <xf numFmtId="43" fontId="8" fillId="0" borderId="1" xfId="55" applyNumberFormat="1" applyFont="1" applyBorder="1" applyAlignment="1">
      <alignment horizontal="right" vertical="center" wrapText="1"/>
    </xf>
    <xf numFmtId="10" fontId="8" fillId="2" borderId="1" xfId="55" applyNumberFormat="1" applyFont="1" applyFill="1" applyBorder="1" applyAlignment="1">
      <alignment horizontal="right" vertical="center" wrapText="1"/>
    </xf>
    <xf numFmtId="43" fontId="8" fillId="2" borderId="1" xfId="55" applyNumberFormat="1" applyFont="1" applyFill="1" applyBorder="1" applyAlignment="1">
      <alignment horizontal="right" vertical="center" wrapText="1"/>
    </xf>
    <xf numFmtId="0" fontId="7" fillId="0" borderId="1" xfId="47" applyNumberFormat="1" applyFont="1" applyBorder="1" applyAlignment="1">
      <alignment horizontal="center" vertical="center" wrapText="1"/>
    </xf>
    <xf numFmtId="0" fontId="7" fillId="0" borderId="7" xfId="47" applyNumberFormat="1" applyFont="1" applyBorder="1" applyAlignment="1">
      <alignment horizontal="center" vertical="center" wrapText="1"/>
    </xf>
    <xf numFmtId="43" fontId="17" fillId="2" borderId="1" xfId="55" applyNumberFormat="1" applyFont="1" applyFill="1" applyBorder="1" applyAlignment="1">
      <alignment horizontal="right" vertical="center" wrapText="1"/>
    </xf>
    <xf numFmtId="43" fontId="17" fillId="2" borderId="1" xfId="47" applyNumberFormat="1" applyFont="1" applyFill="1" applyBorder="1" applyAlignment="1">
      <alignment horizontal="right" vertical="center" wrapText="1"/>
    </xf>
    <xf numFmtId="10" fontId="17" fillId="2" borderId="1" xfId="55" applyNumberFormat="1" applyFont="1" applyFill="1" applyBorder="1" applyAlignment="1">
      <alignment horizontal="right" vertical="center" wrapText="1"/>
    </xf>
    <xf numFmtId="0" fontId="10" fillId="0" borderId="0" xfId="29" applyNumberFormat="1" applyFont="1" applyAlignment="1">
      <alignment vertical="center"/>
    </xf>
    <xf numFmtId="0" fontId="10" fillId="0" borderId="0" xfId="29" applyNumberFormat="1" applyFont="1" applyAlignment="1">
      <alignment horizontal="left" vertical="center"/>
    </xf>
    <xf numFmtId="0" fontId="1" fillId="0" borderId="0" xfId="6" applyNumberFormat="1" applyFont="1" applyAlignment="1">
      <alignment vertical="center" wrapText="1"/>
      <protection locked="0"/>
    </xf>
    <xf numFmtId="0" fontId="1" fillId="0" borderId="0" xfId="6" applyNumberFormat="1" applyFont="1" applyAlignment="1">
      <alignment horizontal="right" vertical="center"/>
      <protection locked="0"/>
    </xf>
    <xf numFmtId="10" fontId="8" fillId="2" borderId="1" xfId="1" applyNumberFormat="1" applyFont="1" applyFill="1" applyBorder="1" applyAlignment="1">
      <alignment horizontal="right" vertical="center" wrapText="1"/>
    </xf>
    <xf numFmtId="0" fontId="1" fillId="0" borderId="1" xfId="3" applyNumberFormat="1" applyFont="1" applyBorder="1" applyAlignment="1">
      <alignment vertical="center" wrapText="1"/>
    </xf>
    <xf numFmtId="0" fontId="14" fillId="2" borderId="1" xfId="3" applyNumberFormat="1" applyFont="1" applyFill="1" applyBorder="1" applyAlignment="1">
      <alignment vertical="center" wrapText="1"/>
    </xf>
    <xf numFmtId="176" fontId="14" fillId="0" borderId="0" xfId="12" applyFont="1" applyAlignment="1">
      <alignment horizontal="center" vertical="center"/>
      <protection locked="0"/>
    </xf>
    <xf numFmtId="176" fontId="7" fillId="0" borderId="0" xfId="31" applyFont="1" applyAlignment="1">
      <alignment vertical="center"/>
    </xf>
    <xf numFmtId="43" fontId="14" fillId="2" borderId="1" xfId="55" applyFont="1" applyFill="1" applyBorder="1" applyAlignment="1">
      <alignment horizontal="center" vertical="center" wrapText="1"/>
    </xf>
    <xf numFmtId="176" fontId="1" fillId="0" borderId="5" xfId="12" applyFont="1" applyBorder="1" applyAlignment="1">
      <alignment vertical="center"/>
      <protection locked="0"/>
    </xf>
    <xf numFmtId="43" fontId="8" fillId="0" borderId="1" xfId="55" applyNumberFormat="1" applyFont="1" applyBorder="1" applyAlignment="1">
      <alignment horizontal="right" vertical="center"/>
    </xf>
    <xf numFmtId="43" fontId="8" fillId="2" borderId="1" xfId="55" applyNumberFormat="1" applyFont="1" applyFill="1" applyBorder="1" applyAlignment="1">
      <alignment horizontal="right" vertical="center"/>
    </xf>
    <xf numFmtId="43" fontId="1" fillId="0" borderId="1" xfId="55" applyFont="1" applyBorder="1" applyAlignment="1">
      <alignment horizontal="right" vertical="center"/>
    </xf>
    <xf numFmtId="176" fontId="1" fillId="0" borderId="1" xfId="12" applyFont="1" applyBorder="1" applyAlignment="1">
      <alignment vertical="center"/>
      <protection locked="0"/>
    </xf>
    <xf numFmtId="176" fontId="1" fillId="0" borderId="7" xfId="12" applyFont="1" applyBorder="1" applyAlignment="1">
      <alignment vertical="center"/>
      <protection locked="0"/>
    </xf>
    <xf numFmtId="0" fontId="14" fillId="0" borderId="0" xfId="42" applyFont="1" applyAlignment="1">
      <alignment vertical="center"/>
      <protection locked="0"/>
    </xf>
    <xf numFmtId="0" fontId="1" fillId="0" borderId="0" xfId="42" applyFont="1" applyAlignment="1">
      <alignment vertical="center"/>
      <protection locked="0"/>
    </xf>
    <xf numFmtId="0" fontId="1" fillId="3" borderId="0" xfId="42" applyFont="1" applyFill="1" applyAlignment="1">
      <alignment horizontal="justify" vertical="center" wrapText="1"/>
      <protection locked="0"/>
    </xf>
    <xf numFmtId="0" fontId="1" fillId="0" borderId="0" xfId="42" applyFont="1" applyAlignment="1">
      <alignment horizontal="justify" wrapText="1"/>
      <protection locked="0"/>
    </xf>
    <xf numFmtId="0" fontId="14" fillId="0" borderId="0" xfId="42" applyFont="1" applyAlignment="1">
      <alignment horizontal="center" vertical="center"/>
      <protection locked="0"/>
    </xf>
    <xf numFmtId="0" fontId="21" fillId="0" borderId="8" xfId="2" applyFont="1" applyBorder="1" applyAlignment="1" applyProtection="1">
      <alignment horizontal="center" vertical="center"/>
      <protection locked="0"/>
    </xf>
    <xf numFmtId="0" fontId="1" fillId="0" borderId="0" xfId="42" applyFont="1" applyAlignment="1">
      <alignment horizontal="justify"/>
      <protection locked="0"/>
    </xf>
    <xf numFmtId="0" fontId="1" fillId="0" borderId="0" xfId="42" applyFont="1">
      <protection locked="0"/>
    </xf>
    <xf numFmtId="0" fontId="1" fillId="3" borderId="0" xfId="0" applyFont="1" applyFill="1" applyAlignment="1" applyProtection="1">
      <alignment horizontal="justify" vertical="center" wrapText="1"/>
      <protection locked="0"/>
    </xf>
    <xf numFmtId="0" fontId="14" fillId="0" borderId="0" xfId="0" applyFont="1" applyAlignment="1" applyProtection="1">
      <alignment horizontal="justify"/>
      <protection locked="0"/>
    </xf>
    <xf numFmtId="0" fontId="19" fillId="0" borderId="0" xfId="2" applyFont="1" applyBorder="1" applyAlignment="1" applyProtection="1">
      <alignment vertical="center"/>
      <protection locked="0"/>
    </xf>
    <xf numFmtId="0" fontId="1" fillId="0" borderId="0" xfId="2" applyFont="1" applyBorder="1" applyAlignment="1" applyProtection="1">
      <alignment horizontal="center" vertical="center"/>
      <protection locked="0"/>
    </xf>
    <xf numFmtId="176" fontId="14" fillId="2" borderId="1" xfId="12" quotePrefix="1" applyFont="1" applyFill="1" applyBorder="1" applyAlignment="1">
      <alignment horizontal="center" vertical="center" wrapText="1"/>
      <protection locked="0"/>
    </xf>
    <xf numFmtId="0" fontId="12" fillId="0" borderId="1" xfId="6" quotePrefix="1" applyFont="1" applyBorder="1" applyAlignment="1" applyProtection="1">
      <alignment horizontal="right" vertical="center"/>
    </xf>
    <xf numFmtId="0" fontId="15" fillId="0" borderId="0" xfId="2" applyNumberFormat="1" applyFont="1" applyAlignment="1" applyProtection="1">
      <alignment horizontal="left" vertical="center"/>
      <protection locked="0"/>
    </xf>
    <xf numFmtId="176" fontId="15" fillId="0" borderId="0" xfId="2" applyNumberFormat="1" applyFont="1" applyAlignment="1" applyProtection="1">
      <alignment vertical="center"/>
      <protection locked="0"/>
    </xf>
    <xf numFmtId="0" fontId="15" fillId="0" borderId="0" xfId="2" applyNumberFormat="1" applyFont="1" applyAlignment="1" applyProtection="1">
      <alignment vertical="center"/>
      <protection locked="0"/>
    </xf>
    <xf numFmtId="176" fontId="29" fillId="0" borderId="0" xfId="2" applyNumberFormat="1" applyFont="1" applyAlignment="1" applyProtection="1">
      <alignment horizontal="left" vertical="center"/>
      <protection locked="0"/>
    </xf>
    <xf numFmtId="0" fontId="1" fillId="0" borderId="8" xfId="42" applyFont="1" applyBorder="1" applyAlignment="1">
      <alignment horizontal="center" vertical="center" wrapText="1"/>
      <protection locked="0"/>
    </xf>
    <xf numFmtId="0" fontId="22" fillId="0" borderId="8" xfId="2" applyBorder="1" applyAlignment="1" applyProtection="1">
      <alignment vertical="center"/>
      <protection locked="0"/>
    </xf>
    <xf numFmtId="0" fontId="14" fillId="2" borderId="1" xfId="37" applyNumberFormat="1" applyFont="1" applyFill="1" applyBorder="1" applyAlignment="1">
      <alignment horizontal="center" vertical="center"/>
    </xf>
    <xf numFmtId="0" fontId="1" fillId="0" borderId="1" xfId="29" applyNumberFormat="1" applyFont="1" applyBorder="1" applyAlignment="1">
      <alignment vertical="center"/>
    </xf>
    <xf numFmtId="43" fontId="8" fillId="2" borderId="1" xfId="47" applyNumberFormat="1" applyFont="1" applyFill="1" applyBorder="1" applyAlignment="1">
      <alignment horizontal="right" vertical="center" wrapText="1"/>
    </xf>
    <xf numFmtId="0" fontId="1" fillId="0" borderId="0" xfId="29" applyNumberFormat="1" applyFont="1" applyAlignment="1">
      <alignment vertical="center"/>
    </xf>
    <xf numFmtId="0" fontId="17" fillId="2" borderId="1" xfId="37" applyNumberFormat="1" applyFont="1" applyFill="1" applyBorder="1" applyAlignment="1">
      <alignment horizontal="center" vertical="center"/>
    </xf>
    <xf numFmtId="0" fontId="8" fillId="0" borderId="1" xfId="29" applyNumberFormat="1" applyFont="1" applyBorder="1" applyAlignment="1">
      <alignment horizontal="left" vertical="center" indent="1"/>
    </xf>
    <xf numFmtId="0" fontId="8" fillId="0" borderId="1" xfId="6" applyNumberFormat="1" applyFont="1" applyBorder="1" applyAlignment="1">
      <alignment vertical="center"/>
      <protection locked="0"/>
    </xf>
    <xf numFmtId="0" fontId="8" fillId="0" borderId="1" xfId="6" applyNumberFormat="1" applyFont="1" applyBorder="1" applyAlignment="1">
      <alignment vertical="center" wrapText="1"/>
      <protection locked="0"/>
    </xf>
    <xf numFmtId="0" fontId="8" fillId="2" borderId="1" xfId="47" applyNumberFormat="1" applyFont="1" applyFill="1" applyBorder="1" applyAlignment="1">
      <alignment horizontal="right" vertical="center" wrapText="1"/>
    </xf>
    <xf numFmtId="0" fontId="8" fillId="3" borderId="0" xfId="0" applyFont="1" applyFill="1" applyAlignment="1" applyProtection="1">
      <alignment horizontal="justify" vertical="center" wrapText="1"/>
      <protection locked="0"/>
    </xf>
    <xf numFmtId="0" fontId="4" fillId="0" borderId="0" xfId="0" applyFont="1" applyAlignment="1" applyProtection="1">
      <alignment horizontal="center" vertical="center"/>
      <protection locked="0"/>
    </xf>
    <xf numFmtId="0" fontId="20" fillId="0" borderId="9" xfId="42" applyFont="1" applyBorder="1" applyAlignment="1">
      <alignment horizontal="center" vertical="center" wrapText="1"/>
      <protection locked="0"/>
    </xf>
    <xf numFmtId="0" fontId="19" fillId="0" borderId="9" xfId="2" applyFont="1" applyBorder="1" applyAlignment="1" applyProtection="1">
      <alignment vertical="center"/>
      <protection locked="0"/>
    </xf>
    <xf numFmtId="0" fontId="1" fillId="0" borderId="9" xfId="2" applyFont="1" applyBorder="1" applyAlignment="1" applyProtection="1">
      <alignment horizontal="center" vertical="center"/>
      <protection locked="0"/>
    </xf>
    <xf numFmtId="0" fontId="20" fillId="0" borderId="0" xfId="42" applyFont="1" applyBorder="1" applyAlignment="1">
      <alignment horizontal="center" vertical="center" wrapText="1"/>
      <protection locked="0"/>
    </xf>
    <xf numFmtId="0" fontId="2" fillId="0" borderId="0" xfId="0" applyFont="1" applyBorder="1"/>
    <xf numFmtId="0" fontId="2" fillId="0" borderId="0" xfId="0" applyFont="1" applyBorder="1" applyAlignment="1">
      <alignment horizontal="center"/>
    </xf>
    <xf numFmtId="0" fontId="10" fillId="0" borderId="0" xfId="0" applyFont="1" applyAlignment="1">
      <alignment vertical="center"/>
    </xf>
    <xf numFmtId="0" fontId="31" fillId="0" borderId="0" xfId="0" applyFont="1" applyAlignment="1" applyProtection="1">
      <alignment horizontal="left" vertical="center" wrapText="1"/>
      <protection locked="0"/>
    </xf>
    <xf numFmtId="0" fontId="32" fillId="0" borderId="0" xfId="0" applyFont="1" applyAlignment="1" applyProtection="1">
      <alignment horizontal="left" vertical="center" wrapText="1"/>
      <protection locked="0"/>
    </xf>
    <xf numFmtId="176" fontId="3" fillId="0" borderId="0" xfId="40" applyFont="1" applyAlignment="1">
      <alignment horizontal="center" vertical="center"/>
    </xf>
    <xf numFmtId="176" fontId="4" fillId="0" borderId="0" xfId="40" applyFont="1" applyAlignment="1">
      <alignment horizontal="center" vertical="center"/>
    </xf>
    <xf numFmtId="176" fontId="14" fillId="2" borderId="5" xfId="12" applyFont="1" applyFill="1" applyBorder="1" applyAlignment="1">
      <alignment horizontal="center" vertical="center"/>
      <protection locked="0"/>
    </xf>
    <xf numFmtId="176" fontId="14" fillId="2" borderId="7" xfId="12" applyFont="1" applyFill="1" applyBorder="1" applyAlignment="1">
      <alignment horizontal="center" vertical="center"/>
      <protection locked="0"/>
    </xf>
    <xf numFmtId="0" fontId="3" fillId="0" borderId="0" xfId="38" applyNumberFormat="1" applyFont="1" applyAlignment="1">
      <alignment horizontal="center" vertical="center"/>
    </xf>
    <xf numFmtId="0" fontId="4" fillId="0" borderId="0" xfId="38" applyNumberFormat="1" applyFont="1" applyAlignment="1">
      <alignment horizontal="center" vertical="center"/>
    </xf>
    <xf numFmtId="0" fontId="14" fillId="2" borderId="2" xfId="47" applyNumberFormat="1" applyFont="1" applyFill="1" applyBorder="1" applyAlignment="1">
      <alignment horizontal="center" vertical="center"/>
    </xf>
    <xf numFmtId="0" fontId="14" fillId="2" borderId="3" xfId="47" applyNumberFormat="1" applyFont="1" applyFill="1" applyBorder="1" applyAlignment="1">
      <alignment horizontal="center" vertical="center"/>
    </xf>
    <xf numFmtId="0" fontId="14" fillId="2" borderId="4" xfId="47" applyNumberFormat="1" applyFont="1" applyFill="1" applyBorder="1" applyAlignment="1">
      <alignment horizontal="center" vertical="center"/>
    </xf>
    <xf numFmtId="0" fontId="14" fillId="2" borderId="1" xfId="47" applyNumberFormat="1" applyFont="1" applyFill="1" applyBorder="1" applyAlignment="1">
      <alignment horizontal="center" vertical="center"/>
    </xf>
    <xf numFmtId="0" fontId="14" fillId="2" borderId="1" xfId="37" applyNumberFormat="1" applyFont="1" applyFill="1" applyBorder="1" applyAlignment="1">
      <alignment horizontal="center" vertical="center"/>
    </xf>
    <xf numFmtId="0" fontId="14" fillId="2" borderId="1" xfId="47" applyNumberFormat="1" applyFont="1" applyFill="1" applyBorder="1" applyAlignment="1">
      <alignment horizontal="center" vertical="center" wrapText="1"/>
    </xf>
    <xf numFmtId="176" fontId="14" fillId="2" borderId="1" xfId="12" applyFont="1" applyFill="1" applyBorder="1" applyAlignment="1">
      <alignment horizontal="center" vertical="center"/>
      <protection locked="0"/>
    </xf>
    <xf numFmtId="176" fontId="14" fillId="2" borderId="2" xfId="12" applyFont="1" applyFill="1" applyBorder="1" applyAlignment="1">
      <alignment horizontal="center" vertical="center"/>
      <protection locked="0"/>
    </xf>
    <xf numFmtId="176" fontId="14" fillId="2" borderId="3" xfId="12" applyFont="1" applyFill="1" applyBorder="1" applyAlignment="1">
      <alignment horizontal="center" vertical="center"/>
      <protection locked="0"/>
    </xf>
    <xf numFmtId="176" fontId="14" fillId="2" borderId="4" xfId="12" applyFont="1" applyFill="1" applyBorder="1" applyAlignment="1">
      <alignment horizontal="center" vertical="center"/>
      <protection locked="0"/>
    </xf>
    <xf numFmtId="176" fontId="14" fillId="2" borderId="1" xfId="12" applyFont="1" applyFill="1" applyBorder="1" applyAlignment="1">
      <alignment horizontal="center" vertical="center" wrapText="1"/>
      <protection locked="0"/>
    </xf>
    <xf numFmtId="176" fontId="14" fillId="2" borderId="1" xfId="48" applyFont="1" applyFill="1" applyBorder="1" applyAlignment="1">
      <alignment horizontal="center" vertical="center" wrapText="1"/>
    </xf>
    <xf numFmtId="0" fontId="14" fillId="2" borderId="5" xfId="47" applyFont="1" applyFill="1" applyBorder="1" applyAlignment="1">
      <alignment horizontal="center" vertical="center" wrapText="1"/>
    </xf>
    <xf numFmtId="0" fontId="14" fillId="2" borderId="7" xfId="47" applyFont="1" applyFill="1" applyBorder="1" applyAlignment="1">
      <alignment horizontal="center" vertical="center" wrapText="1"/>
    </xf>
    <xf numFmtId="0" fontId="14" fillId="2" borderId="5" xfId="47" applyFont="1" applyFill="1" applyBorder="1" applyAlignment="1">
      <alignment horizontal="center" vertical="center"/>
    </xf>
    <xf numFmtId="0" fontId="14" fillId="2" borderId="7" xfId="47" applyFont="1" applyFill="1" applyBorder="1" applyAlignment="1">
      <alignment horizontal="center" vertical="center"/>
    </xf>
    <xf numFmtId="0" fontId="14" fillId="2" borderId="5" xfId="6" applyFont="1" applyFill="1" applyBorder="1" applyAlignment="1">
      <alignment horizontal="center" vertical="center"/>
      <protection locked="0"/>
    </xf>
    <xf numFmtId="0" fontId="14" fillId="2" borderId="6" xfId="6" applyFont="1" applyFill="1" applyBorder="1" applyAlignment="1">
      <alignment horizontal="center" vertical="center"/>
      <protection locked="0"/>
    </xf>
    <xf numFmtId="0" fontId="14" fillId="2" borderId="7" xfId="6" applyFont="1" applyFill="1" applyBorder="1" applyAlignment="1">
      <alignment horizontal="center" vertical="center"/>
      <protection locked="0"/>
    </xf>
    <xf numFmtId="0" fontId="14" fillId="2" borderId="5" xfId="37" applyNumberFormat="1" applyFont="1" applyFill="1" applyBorder="1" applyAlignment="1">
      <alignment horizontal="center" vertical="center"/>
    </xf>
    <xf numFmtId="0" fontId="14" fillId="2" borderId="7" xfId="37" applyNumberFormat="1" applyFont="1" applyFill="1" applyBorder="1" applyAlignment="1">
      <alignment horizontal="center" vertical="center"/>
    </xf>
    <xf numFmtId="0" fontId="14" fillId="2" borderId="5" xfId="47" applyNumberFormat="1" applyFont="1" applyFill="1" applyBorder="1" applyAlignment="1">
      <alignment horizontal="center" vertical="center" wrapText="1"/>
    </xf>
    <xf numFmtId="0" fontId="14" fillId="2" borderId="7" xfId="47" applyNumberFormat="1" applyFont="1" applyFill="1" applyBorder="1" applyAlignment="1">
      <alignment horizontal="center" vertical="center" wrapText="1"/>
    </xf>
    <xf numFmtId="0" fontId="5" fillId="0" borderId="1" xfId="6" applyNumberFormat="1" applyFont="1" applyBorder="1" applyAlignment="1" applyProtection="1">
      <alignment horizontal="center" vertical="center"/>
    </xf>
    <xf numFmtId="0" fontId="3" fillId="0" borderId="0" xfId="39" applyNumberFormat="1" applyFont="1" applyAlignment="1">
      <alignment horizontal="center" vertical="center"/>
    </xf>
    <xf numFmtId="0" fontId="4" fillId="0" borderId="0" xfId="39" applyNumberFormat="1" applyFont="1" applyAlignment="1">
      <alignment horizontal="center" vertical="center"/>
    </xf>
    <xf numFmtId="0" fontId="5" fillId="2" borderId="1" xfId="6" applyNumberFormat="1" applyFont="1" applyFill="1" applyBorder="1" applyAlignment="1" applyProtection="1">
      <alignment horizontal="center" vertical="center"/>
    </xf>
    <xf numFmtId="0" fontId="5" fillId="0" borderId="0" xfId="6" applyNumberFormat="1" applyFont="1" applyBorder="1" applyAlignment="1" applyProtection="1">
      <alignment horizontal="center" vertical="center"/>
    </xf>
    <xf numFmtId="176" fontId="3" fillId="0" borderId="0" xfId="40" applyNumberFormat="1" applyFont="1" applyAlignment="1">
      <alignment horizontal="center" vertical="center"/>
    </xf>
    <xf numFmtId="176" fontId="4" fillId="0" borderId="0" xfId="40" applyNumberFormat="1" applyFont="1" applyAlignment="1">
      <alignment horizontal="center" vertical="center"/>
    </xf>
    <xf numFmtId="0" fontId="5" fillId="2" borderId="1" xfId="6" applyFont="1" applyFill="1" applyBorder="1" applyAlignment="1" applyProtection="1">
      <alignment horizontal="center" vertical="center"/>
    </xf>
    <xf numFmtId="0" fontId="9" fillId="2" borderId="1" xfId="6" applyFont="1" applyFill="1" applyBorder="1" applyAlignment="1" applyProtection="1">
      <alignment horizontal="center" vertical="center"/>
    </xf>
    <xf numFmtId="0" fontId="9" fillId="0" borderId="1" xfId="6" applyFont="1" applyBorder="1" applyAlignment="1" applyProtection="1">
      <alignment horizontal="center" vertical="center"/>
    </xf>
    <xf numFmtId="0" fontId="5" fillId="2" borderId="1" xfId="6" applyFont="1" applyFill="1" applyBorder="1" applyAlignment="1" applyProtection="1">
      <alignment horizontal="center" vertical="center" wrapText="1"/>
    </xf>
    <xf numFmtId="0" fontId="9" fillId="2" borderId="1" xfId="6" applyFont="1" applyFill="1" applyBorder="1" applyAlignment="1" applyProtection="1">
      <alignment horizontal="center" vertical="center" wrapText="1"/>
    </xf>
    <xf numFmtId="0" fontId="5" fillId="0" borderId="0" xfId="12" applyNumberFormat="1" applyFont="1" applyAlignment="1" applyProtection="1">
      <alignment vertical="center"/>
    </xf>
    <xf numFmtId="0" fontId="6" fillId="0" borderId="0" xfId="12" applyNumberFormat="1" applyFont="1" applyAlignment="1" applyProtection="1">
      <alignment vertical="center"/>
    </xf>
    <xf numFmtId="0" fontId="1" fillId="0" borderId="0" xfId="43" applyNumberFormat="1" applyFont="1">
      <alignment vertical="center"/>
    </xf>
    <xf numFmtId="0" fontId="1" fillId="0" borderId="0" xfId="12" applyNumberFormat="1" applyFont="1" applyAlignment="1">
      <alignment vertical="center"/>
      <protection locked="0"/>
    </xf>
    <xf numFmtId="0" fontId="1" fillId="0" borderId="0" xfId="12" applyNumberFormat="1" applyFont="1" applyAlignment="1">
      <alignment horizontal="right" vertical="center"/>
      <protection locked="0"/>
    </xf>
    <xf numFmtId="0" fontId="1" fillId="0" borderId="0" xfId="31" applyNumberFormat="1" applyFont="1" applyAlignment="1">
      <alignment vertical="center"/>
    </xf>
    <xf numFmtId="0" fontId="14" fillId="0" borderId="0" xfId="12" applyNumberFormat="1" applyFont="1" applyAlignment="1" applyProtection="1">
      <alignment vertical="center"/>
    </xf>
    <xf numFmtId="0" fontId="7" fillId="0" borderId="0" xfId="31" applyNumberFormat="1" applyFont="1" applyAlignment="1">
      <alignment vertical="center"/>
    </xf>
    <xf numFmtId="0" fontId="1" fillId="0" borderId="0" xfId="12" applyNumberFormat="1" applyFont="1" applyAlignment="1">
      <alignment horizontal="left" vertical="center" indent="1"/>
      <protection locked="0"/>
    </xf>
    <xf numFmtId="0" fontId="14" fillId="0" borderId="0" xfId="12" applyNumberFormat="1" applyFont="1" applyAlignment="1">
      <alignment vertical="center"/>
      <protection locked="0"/>
    </xf>
    <xf numFmtId="0" fontId="7" fillId="0" borderId="0" xfId="12" applyNumberFormat="1" applyFont="1" applyAlignment="1">
      <alignment vertical="center"/>
      <protection locked="0"/>
    </xf>
    <xf numFmtId="0" fontId="1" fillId="0" borderId="0" xfId="31" applyNumberFormat="1" applyFont="1" applyAlignment="1">
      <alignment horizontal="left" vertical="center" indent="1"/>
    </xf>
    <xf numFmtId="0" fontId="18" fillId="0" borderId="0" xfId="12" applyNumberFormat="1" applyFont="1" applyAlignment="1">
      <alignment vertical="center"/>
      <protection locked="0"/>
    </xf>
    <xf numFmtId="0" fontId="12" fillId="2" borderId="1" xfId="4" applyNumberFormat="1" applyFont="1" applyFill="1" applyBorder="1" applyAlignment="1" applyProtection="1">
      <alignment horizontal="right" vertical="center" shrinkToFit="1"/>
    </xf>
    <xf numFmtId="0" fontId="0" fillId="0" borderId="0" xfId="0" applyNumberFormat="1"/>
    <xf numFmtId="0" fontId="12" fillId="0" borderId="0" xfId="6" applyNumberFormat="1" applyFont="1" applyAlignment="1" applyProtection="1">
      <alignment vertical="center"/>
    </xf>
    <xf numFmtId="0" fontId="9" fillId="0" borderId="0" xfId="6" applyNumberFormat="1" applyFont="1" applyBorder="1" applyAlignment="1" applyProtection="1">
      <alignment horizontal="center" vertical="center"/>
    </xf>
    <xf numFmtId="0" fontId="12" fillId="0" borderId="0" xfId="6" applyNumberFormat="1" applyFont="1" applyBorder="1" applyAlignment="1" applyProtection="1">
      <alignment horizontal="right" vertical="center"/>
    </xf>
    <xf numFmtId="0" fontId="6" fillId="0" borderId="0" xfId="12" applyNumberFormat="1" applyFont="1" applyAlignment="1" applyProtection="1">
      <alignment horizontal="center" vertical="center"/>
    </xf>
    <xf numFmtId="0" fontId="7" fillId="0" borderId="0" xfId="12" applyNumberFormat="1" applyFont="1" applyAlignment="1" applyProtection="1">
      <alignment vertical="center"/>
    </xf>
    <xf numFmtId="0" fontId="7" fillId="0" borderId="0" xfId="56" applyNumberFormat="1" applyFont="1" applyFill="1" applyAlignment="1">
      <alignment vertical="center"/>
    </xf>
    <xf numFmtId="0" fontId="6" fillId="0" borderId="0" xfId="6" applyNumberFormat="1" applyFont="1" applyAlignment="1" applyProtection="1">
      <alignment horizontal="center" vertical="center"/>
    </xf>
    <xf numFmtId="0" fontId="6" fillId="0" borderId="0" xfId="56" applyNumberFormat="1" applyFont="1" applyFill="1" applyAlignment="1">
      <alignment vertical="center"/>
    </xf>
    <xf numFmtId="0" fontId="2" fillId="0" borderId="0" xfId="0" applyNumberFormat="1" applyFont="1"/>
  </cellXfs>
  <cellStyles count="58">
    <cellStyle name="百分比 2" xfId="3"/>
    <cellStyle name="百分比 3" xfId="4"/>
    <cellStyle name="常规" xfId="0" builtinId="0"/>
    <cellStyle name="常规 11 2" xfId="5"/>
    <cellStyle name="常规 2" xfId="6"/>
    <cellStyle name="常规 2 2" xfId="7"/>
    <cellStyle name="常规 2 2 2" xfId="8"/>
    <cellStyle name="常规 2 2 2 2" xfId="9"/>
    <cellStyle name="常规 2 2 3" xfId="10"/>
    <cellStyle name="常规 2 2 3 2" xfId="11"/>
    <cellStyle name="常规 2 2 4" xfId="12"/>
    <cellStyle name="常规 2 3" xfId="13"/>
    <cellStyle name="常规 2 3 2" xfId="14"/>
    <cellStyle name="常规 2 4" xfId="15"/>
    <cellStyle name="常规 2 4 2" xfId="16"/>
    <cellStyle name="常规 2 4 3" xfId="17"/>
    <cellStyle name="常规 2 5" xfId="18"/>
    <cellStyle name="常规 2 7" xfId="19"/>
    <cellStyle name="常规 3" xfId="20"/>
    <cellStyle name="常规 3 2" xfId="21"/>
    <cellStyle name="常规 3 2 2" xfId="22"/>
    <cellStyle name="常规 33 2" xfId="23"/>
    <cellStyle name="常规 4" xfId="24"/>
    <cellStyle name="常规 4 2" xfId="25"/>
    <cellStyle name="常规 5" xfId="26"/>
    <cellStyle name="常规 5 2" xfId="27"/>
    <cellStyle name="常规 5 3" xfId="28"/>
    <cellStyle name="常规 6" xfId="29"/>
    <cellStyle name="常规 6 2" xfId="30"/>
    <cellStyle name="常规 6 2 2" xfId="31"/>
    <cellStyle name="常规 6 3" xfId="32"/>
    <cellStyle name="常规 6 5" xfId="33"/>
    <cellStyle name="常规 7" xfId="34"/>
    <cellStyle name="常规 8" xfId="35"/>
    <cellStyle name="常规 9" xfId="36"/>
    <cellStyle name="常规_2销售循环导引表(217-230)" xfId="37"/>
    <cellStyle name="常规_Book1" xfId="38"/>
    <cellStyle name="常规_Book1 2" xfId="39"/>
    <cellStyle name="常规_Book1 2 2" xfId="40"/>
    <cellStyle name="常规_SA-主营业务收入" xfId="41"/>
    <cellStyle name="常规_通用表" xfId="42"/>
    <cellStyle name="常规_制造费用" xfId="43"/>
    <cellStyle name="超链接" xfId="2" builtinId="8"/>
    <cellStyle name="超链接 2" xfId="44"/>
    <cellStyle name="超链接 2 2" xfId="45"/>
    <cellStyle name="超链接 3" xfId="46"/>
    <cellStyle name="普通_附23_PBC4" xfId="47"/>
    <cellStyle name="普通_附23_PBC4 2" xfId="48"/>
    <cellStyle name="千位分隔" xfId="1" builtinId="3"/>
    <cellStyle name="千位分隔 11" xfId="49"/>
    <cellStyle name="千位分隔 11 2" xfId="50"/>
    <cellStyle name="千位分隔 15" xfId="51"/>
    <cellStyle name="千位分隔 2" xfId="52"/>
    <cellStyle name="千位分隔 2 2 2" xfId="53"/>
    <cellStyle name="千位分隔 2 2 2 2" xfId="54"/>
    <cellStyle name="千位分隔 3" xfId="55"/>
    <cellStyle name="千位分隔 3 2" xfId="56"/>
    <cellStyle name="千位分隔 4" xfId="57"/>
  </cellStyles>
  <dxfs count="0"/>
  <tableStyles count="0" defaultTableStyle="TableStyleMedium2" defaultPivotStyle="PivotStyleLight16"/>
  <colors>
    <mruColors>
      <color rgb="FF0000FF"/>
      <color rgb="FFE4DFEC"/>
      <color rgb="FF0066FF"/>
      <color rgb="FFFFFF99"/>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3"/>
  <sheetViews>
    <sheetView tabSelected="1" zoomScaleNormal="100" zoomScaleSheetLayoutView="100" workbookViewId="0"/>
  </sheetViews>
  <sheetFormatPr defaultColWidth="9" defaultRowHeight="17.100000000000001" customHeight="1" x14ac:dyDescent="0.15"/>
  <cols>
    <col min="1" max="1" width="93.5546875" style="4" customWidth="1"/>
    <col min="2" max="2" width="2.77734375" style="4" customWidth="1"/>
    <col min="3" max="3" width="2.44140625" style="4" customWidth="1"/>
    <col min="4" max="4" width="4.77734375" style="4" customWidth="1"/>
    <col min="5" max="5" width="24.77734375" style="4" customWidth="1"/>
    <col min="6" max="6" width="10" style="4" customWidth="1"/>
    <col min="7" max="16384" width="9" style="4"/>
  </cols>
  <sheetData>
    <row r="1" spans="1:7" ht="19.95" customHeight="1" x14ac:dyDescent="0.15">
      <c r="A1" s="128" t="s">
        <v>0</v>
      </c>
      <c r="B1" s="129"/>
      <c r="C1" s="129"/>
      <c r="D1" s="129"/>
      <c r="E1" s="129"/>
      <c r="F1" s="129"/>
      <c r="G1" s="129"/>
    </row>
    <row r="2" spans="1:7" ht="19.95" customHeight="1" x14ac:dyDescent="0.15">
      <c r="A2" s="130" t="s">
        <v>1</v>
      </c>
      <c r="B2" s="131"/>
      <c r="C2" s="131"/>
      <c r="D2" s="132" t="s">
        <v>2</v>
      </c>
      <c r="E2" s="132" t="s">
        <v>3</v>
      </c>
      <c r="F2" s="132" t="s">
        <v>4</v>
      </c>
      <c r="G2" s="131"/>
    </row>
    <row r="3" spans="1:7" ht="19.95" customHeight="1" x14ac:dyDescent="0.15">
      <c r="A3" s="157" t="s">
        <v>169</v>
      </c>
      <c r="B3" s="131"/>
      <c r="C3" s="131"/>
      <c r="D3" s="146">
        <v>1</v>
      </c>
      <c r="E3" s="147" t="s">
        <v>5</v>
      </c>
      <c r="F3" s="133" t="s">
        <v>140</v>
      </c>
      <c r="G3" s="134"/>
    </row>
    <row r="4" spans="1:7" ht="19.95" customHeight="1" x14ac:dyDescent="0.15">
      <c r="A4" s="130" t="s">
        <v>6</v>
      </c>
      <c r="B4" s="135"/>
      <c r="C4" s="135"/>
      <c r="D4" s="146">
        <v>2</v>
      </c>
      <c r="E4" s="147" t="s">
        <v>7</v>
      </c>
      <c r="F4" s="133" t="s">
        <v>10</v>
      </c>
      <c r="G4" s="135"/>
    </row>
    <row r="5" spans="1:7" ht="19.95" customHeight="1" x14ac:dyDescent="0.15">
      <c r="A5" s="130" t="s">
        <v>8</v>
      </c>
      <c r="B5" s="135"/>
      <c r="C5" s="135"/>
      <c r="D5" s="146">
        <v>3</v>
      </c>
      <c r="E5" s="147" t="s">
        <v>9</v>
      </c>
      <c r="F5" s="133" t="s">
        <v>13</v>
      </c>
      <c r="G5" s="135"/>
    </row>
    <row r="6" spans="1:7" ht="19.95" customHeight="1" x14ac:dyDescent="0.15">
      <c r="A6" s="136" t="s">
        <v>11</v>
      </c>
      <c r="B6" s="135"/>
      <c r="C6" s="135"/>
      <c r="D6" s="146">
        <v>4</v>
      </c>
      <c r="E6" s="147" t="s">
        <v>12</v>
      </c>
      <c r="F6" s="133" t="s">
        <v>16</v>
      </c>
      <c r="G6" s="135"/>
    </row>
    <row r="7" spans="1:7" ht="19.95" customHeight="1" x14ac:dyDescent="0.15">
      <c r="A7" s="136" t="s">
        <v>14</v>
      </c>
      <c r="B7" s="135"/>
      <c r="C7" s="135"/>
      <c r="D7" s="146">
        <v>5</v>
      </c>
      <c r="E7" s="147" t="s">
        <v>15</v>
      </c>
      <c r="F7" s="133" t="s">
        <v>18</v>
      </c>
      <c r="G7" s="135"/>
    </row>
    <row r="8" spans="1:7" ht="19.95" customHeight="1" x14ac:dyDescent="0.15">
      <c r="A8" s="137"/>
      <c r="B8" s="135"/>
      <c r="C8" s="135"/>
      <c r="D8" s="146">
        <v>6</v>
      </c>
      <c r="E8" s="147" t="s">
        <v>17</v>
      </c>
      <c r="F8" s="133" t="s">
        <v>141</v>
      </c>
      <c r="G8" s="135"/>
    </row>
    <row r="9" spans="1:7" ht="19.95" customHeight="1" x14ac:dyDescent="0.15">
      <c r="A9" s="158" t="s">
        <v>170</v>
      </c>
      <c r="B9" s="135"/>
      <c r="C9" s="135"/>
      <c r="D9" s="159"/>
      <c r="E9" s="160"/>
      <c r="F9" s="161"/>
      <c r="G9" s="135"/>
    </row>
    <row r="10" spans="1:7" ht="19.95" customHeight="1" x14ac:dyDescent="0.15">
      <c r="A10" s="166" t="s">
        <v>171</v>
      </c>
      <c r="B10" s="135"/>
      <c r="C10" s="135"/>
      <c r="D10" s="162"/>
      <c r="E10" s="138"/>
      <c r="F10" s="139"/>
      <c r="G10" s="135"/>
    </row>
    <row r="11" spans="1:7" ht="19.95" customHeight="1" x14ac:dyDescent="0.15">
      <c r="A11" s="166"/>
      <c r="B11" s="135"/>
      <c r="C11" s="135"/>
      <c r="D11" s="162"/>
      <c r="E11" s="138"/>
      <c r="F11" s="139"/>
      <c r="G11" s="135"/>
    </row>
    <row r="12" spans="1:7" ht="19.95" customHeight="1" x14ac:dyDescent="0.15">
      <c r="A12" s="166"/>
      <c r="B12" s="135"/>
      <c r="C12" s="135"/>
      <c r="D12" s="162"/>
      <c r="E12" s="138"/>
      <c r="F12" s="139"/>
      <c r="G12" s="134"/>
    </row>
    <row r="13" spans="1:7" ht="19.95" customHeight="1" x14ac:dyDescent="0.15">
      <c r="A13" s="166"/>
      <c r="B13" s="135"/>
      <c r="C13" s="135"/>
      <c r="D13" s="162"/>
      <c r="E13" s="138"/>
      <c r="F13" s="139"/>
      <c r="G13" s="134"/>
    </row>
    <row r="14" spans="1:7" ht="19.95" customHeight="1" x14ac:dyDescent="0.15">
      <c r="A14" s="166" t="s">
        <v>172</v>
      </c>
      <c r="B14" s="135"/>
      <c r="C14" s="135"/>
      <c r="D14" s="163"/>
      <c r="E14" s="163"/>
      <c r="F14" s="163"/>
    </row>
    <row r="15" spans="1:7" ht="19.95" customHeight="1" x14ac:dyDescent="0.15">
      <c r="A15" s="166"/>
      <c r="B15" s="135"/>
      <c r="C15" s="135"/>
      <c r="D15" s="163"/>
      <c r="E15" s="163"/>
      <c r="F15" s="163"/>
    </row>
    <row r="16" spans="1:7" ht="19.95" customHeight="1" x14ac:dyDescent="0.15">
      <c r="A16" s="166"/>
      <c r="B16" s="135"/>
      <c r="C16" s="135"/>
      <c r="D16" s="163"/>
      <c r="E16" s="163"/>
      <c r="F16" s="163"/>
    </row>
    <row r="17" spans="1:6" ht="19.95" customHeight="1" x14ac:dyDescent="0.15">
      <c r="A17" s="167" t="s">
        <v>173</v>
      </c>
      <c r="B17" s="135"/>
      <c r="C17" s="135"/>
      <c r="D17" s="163"/>
      <c r="E17" s="163"/>
      <c r="F17" s="163"/>
    </row>
    <row r="18" spans="1:6" ht="19.95" customHeight="1" x14ac:dyDescent="0.15">
      <c r="A18" s="167"/>
      <c r="B18" s="135"/>
      <c r="C18" s="135"/>
      <c r="D18" s="163"/>
      <c r="E18" s="163"/>
      <c r="F18" s="163"/>
    </row>
    <row r="19" spans="1:6" ht="19.95" customHeight="1" x14ac:dyDescent="0.15">
      <c r="A19" s="167"/>
      <c r="B19" s="135"/>
      <c r="C19" s="135"/>
      <c r="D19" s="163"/>
      <c r="E19" s="163"/>
      <c r="F19" s="163"/>
    </row>
    <row r="20" spans="1:6" ht="19.95" customHeight="1" x14ac:dyDescent="0.15">
      <c r="A20" s="135"/>
      <c r="B20" s="135"/>
      <c r="C20" s="135"/>
      <c r="D20" s="163"/>
      <c r="E20" s="163"/>
      <c r="F20" s="163"/>
    </row>
    <row r="21" spans="1:6" ht="19.95" customHeight="1" x14ac:dyDescent="0.15">
      <c r="A21" s="135"/>
      <c r="B21" s="135"/>
      <c r="C21" s="135"/>
      <c r="D21" s="163"/>
      <c r="E21" s="163"/>
      <c r="F21" s="163"/>
    </row>
    <row r="22" spans="1:6" ht="19.95" customHeight="1" x14ac:dyDescent="0.15">
      <c r="A22" s="135"/>
      <c r="B22" s="135"/>
      <c r="C22" s="135"/>
      <c r="D22" s="164"/>
      <c r="E22" s="163"/>
      <c r="F22" s="163"/>
    </row>
    <row r="23" spans="1:6" ht="19.95" customHeight="1" x14ac:dyDescent="0.15">
      <c r="A23" s="135"/>
      <c r="B23" s="135"/>
      <c r="C23" s="135"/>
    </row>
  </sheetData>
  <mergeCells count="3">
    <mergeCell ref="A10:A13"/>
    <mergeCell ref="A14:A16"/>
    <mergeCell ref="A17:A19"/>
  </mergeCells>
  <phoneticPr fontId="28" type="noConversion"/>
  <hyperlinks>
    <hyperlink ref="E3" location="'重要指标分析D4-6'!A1" display="重要指标分析"/>
    <hyperlink ref="E4" location="'毛利率分析表D4-7'!A1" display="毛利率分析表"/>
    <hyperlink ref="E5" location="'重要产品毛利分析D4-8'!A1" display="重要产品毛利分析"/>
    <hyperlink ref="E6" location="'重要客户结构分析D4-9'!A1" display="重要客户结构分析"/>
    <hyperlink ref="E7" location="'重要客户销售价格分析D4-10'!A1" display="重要客户销售价格分析"/>
    <hyperlink ref="E8" location="'产品销售价格分析D4-11'!A1" display="产品销售价格分析"/>
  </hyperlinks>
  <pageMargins left="0.70866141732283472" right="0.70866141732283472" top="0.74803149606299213" bottom="0.74803149606299213" header="0.31496062992125984" footer="0.31496062992125984"/>
  <pageSetup paperSize="9" scale="75" orientation="portrait" blackAndWhite="1" r:id="rId1"/>
  <headerFooter>
    <oddFooter>&amp;C&amp;P/&amp;N</oddFooter>
  </headerFooter>
  <colBreaks count="1" manualBreakCount="1">
    <brk id="6" max="1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29"/>
  <sheetViews>
    <sheetView view="pageBreakPreview" zoomScaleNormal="100" workbookViewId="0">
      <selection sqref="A1:H1"/>
    </sheetView>
  </sheetViews>
  <sheetFormatPr defaultColWidth="9" defaultRowHeight="20.100000000000001" customHeight="1" x14ac:dyDescent="0.25"/>
  <cols>
    <col min="1" max="1" width="50.33203125" style="71" customWidth="1"/>
    <col min="2" max="2" width="11.21875" style="71" customWidth="1"/>
    <col min="3" max="3" width="11.44140625" style="71" customWidth="1"/>
    <col min="4" max="4" width="11.77734375" style="71" customWidth="1"/>
    <col min="5" max="5" width="10.33203125" style="71" customWidth="1"/>
    <col min="6" max="6" width="10.44140625" style="71" customWidth="1"/>
    <col min="7" max="7" width="12.33203125" style="71" customWidth="1"/>
    <col min="8" max="8" width="13.77734375" style="71" customWidth="1"/>
    <col min="9" max="16384" width="9" style="71"/>
  </cols>
  <sheetData>
    <row r="1" spans="1:10" s="69" customFormat="1" ht="20.100000000000001" customHeight="1" x14ac:dyDescent="0.25">
      <c r="A1" s="168" t="s">
        <v>19</v>
      </c>
      <c r="B1" s="168"/>
      <c r="C1" s="168"/>
      <c r="D1" s="168"/>
      <c r="E1" s="168"/>
      <c r="F1" s="168"/>
      <c r="G1" s="168"/>
      <c r="H1" s="168"/>
    </row>
    <row r="2" spans="1:10" s="69" customFormat="1" ht="20.100000000000001" customHeight="1" x14ac:dyDescent="0.25">
      <c r="A2" s="169" t="s">
        <v>20</v>
      </c>
      <c r="B2" s="169"/>
      <c r="C2" s="169"/>
      <c r="D2" s="169"/>
      <c r="E2" s="169"/>
      <c r="F2" s="169"/>
      <c r="G2" s="169"/>
      <c r="H2" s="169"/>
    </row>
    <row r="3" spans="1:10" ht="20.100000000000001" customHeight="1" x14ac:dyDescent="0.25">
      <c r="A3" s="71" t="str">
        <f>底稿目录!A2</f>
        <v>被审计单位名称：</v>
      </c>
      <c r="B3" s="71" t="str">
        <f>底稿目录!A4</f>
        <v>编制人：</v>
      </c>
      <c r="C3" s="72"/>
      <c r="E3" s="71" t="str">
        <f>底稿目录!A5</f>
        <v>编制日期：</v>
      </c>
      <c r="G3" s="86" t="s">
        <v>21</v>
      </c>
      <c r="H3" s="145" t="str">
        <f>底稿目录!F3</f>
        <v>D4-6</v>
      </c>
    </row>
    <row r="4" spans="1:10" ht="20.100000000000001" customHeight="1" x14ac:dyDescent="0.25">
      <c r="A4" s="71" t="str">
        <f>底稿目录!A3</f>
        <v>会计期间：202X年度</v>
      </c>
      <c r="B4" s="71" t="str">
        <f>底稿目录!A6</f>
        <v>复核人：</v>
      </c>
      <c r="C4" s="72"/>
      <c r="E4" s="71" t="str">
        <f>底稿目录!A7</f>
        <v>复核日期：</v>
      </c>
      <c r="G4" s="86" t="s">
        <v>22</v>
      </c>
    </row>
    <row r="5" spans="1:10" ht="20.100000000000001" customHeight="1" x14ac:dyDescent="0.25">
      <c r="A5" s="209" t="s">
        <v>23</v>
      </c>
      <c r="B5" s="210"/>
      <c r="C5" s="211"/>
      <c r="D5" s="212"/>
      <c r="E5" s="212"/>
      <c r="F5" s="212"/>
      <c r="G5" s="213"/>
      <c r="H5" s="213"/>
    </row>
    <row r="6" spans="1:10" ht="20.100000000000001" customHeight="1" x14ac:dyDescent="0.25">
      <c r="A6" s="212" t="s">
        <v>24</v>
      </c>
      <c r="B6" s="214"/>
      <c r="C6" s="211"/>
      <c r="D6" s="212"/>
      <c r="E6" s="212"/>
      <c r="F6" s="212"/>
      <c r="G6" s="212"/>
      <c r="H6" s="213"/>
    </row>
    <row r="7" spans="1:10" ht="20.100000000000001" customHeight="1" x14ac:dyDescent="0.25">
      <c r="A7" s="212" t="s">
        <v>25</v>
      </c>
      <c r="B7" s="214"/>
      <c r="C7" s="211"/>
      <c r="D7" s="212"/>
      <c r="E7" s="212"/>
      <c r="F7" s="212"/>
      <c r="G7" s="212"/>
      <c r="H7" s="213"/>
    </row>
    <row r="8" spans="1:10" ht="20.100000000000001" customHeight="1" x14ac:dyDescent="0.25">
      <c r="A8" s="215" t="s">
        <v>26</v>
      </c>
      <c r="B8" s="212"/>
      <c r="C8" s="211"/>
      <c r="D8" s="212"/>
      <c r="E8" s="212"/>
      <c r="F8" s="212"/>
      <c r="G8" s="212"/>
      <c r="H8" s="213"/>
    </row>
    <row r="9" spans="1:10" ht="20.100000000000001" customHeight="1" x14ac:dyDescent="0.25">
      <c r="A9" s="216" t="s">
        <v>27</v>
      </c>
      <c r="B9" s="212"/>
      <c r="C9" s="211"/>
      <c r="D9" s="212"/>
      <c r="E9" s="212"/>
      <c r="F9" s="212"/>
      <c r="G9" s="212"/>
      <c r="H9" s="213"/>
    </row>
    <row r="10" spans="1:10" ht="20.100000000000001" customHeight="1" x14ac:dyDescent="0.25">
      <c r="A10" s="217"/>
      <c r="B10" s="212"/>
      <c r="C10" s="211"/>
      <c r="D10" s="212"/>
      <c r="E10" s="212"/>
      <c r="F10" s="212"/>
      <c r="G10" s="212"/>
      <c r="H10" s="213"/>
    </row>
    <row r="11" spans="1:10" s="119" customFormat="1" ht="31.5" customHeight="1" x14ac:dyDescent="0.25">
      <c r="A11" s="170" t="s">
        <v>28</v>
      </c>
      <c r="B11" s="73" t="s">
        <v>29</v>
      </c>
      <c r="C11" s="73" t="s">
        <v>30</v>
      </c>
      <c r="D11" s="73" t="s">
        <v>31</v>
      </c>
      <c r="E11" s="121" t="s">
        <v>32</v>
      </c>
      <c r="F11" s="121" t="s">
        <v>33</v>
      </c>
      <c r="G11" s="73" t="s">
        <v>34</v>
      </c>
      <c r="H11" s="121" t="s">
        <v>35</v>
      </c>
      <c r="J11" s="120"/>
    </row>
    <row r="12" spans="1:10" s="119" customFormat="1" ht="31.95" customHeight="1" x14ac:dyDescent="0.25">
      <c r="A12" s="171"/>
      <c r="B12" s="140" t="s">
        <v>36</v>
      </c>
      <c r="C12" s="140" t="s">
        <v>37</v>
      </c>
      <c r="D12" s="140" t="s">
        <v>38</v>
      </c>
      <c r="E12" s="140" t="s">
        <v>39</v>
      </c>
      <c r="F12" s="140" t="s">
        <v>40</v>
      </c>
      <c r="G12" s="140" t="s">
        <v>41</v>
      </c>
      <c r="H12" s="140" t="s">
        <v>42</v>
      </c>
      <c r="J12" s="120"/>
    </row>
    <row r="13" spans="1:10" ht="20.100000000000001" customHeight="1" x14ac:dyDescent="0.25">
      <c r="A13" s="122" t="s">
        <v>43</v>
      </c>
      <c r="B13" s="123"/>
      <c r="C13" s="123"/>
      <c r="D13" s="124">
        <f t="shared" ref="D13:D24" si="0">IF(C13=0,0,(B13-C13)/C13)</f>
        <v>0</v>
      </c>
      <c r="E13" s="123"/>
      <c r="F13" s="123"/>
      <c r="G13" s="124">
        <f>IF(F13=0,0,(B13-F13)/F13)</f>
        <v>0</v>
      </c>
      <c r="H13" s="125"/>
    </row>
    <row r="14" spans="1:10" ht="20.100000000000001" customHeight="1" x14ac:dyDescent="0.25">
      <c r="A14" s="126" t="s">
        <v>44</v>
      </c>
      <c r="B14" s="123"/>
      <c r="C14" s="123"/>
      <c r="D14" s="124">
        <f t="shared" si="0"/>
        <v>0</v>
      </c>
      <c r="E14" s="123"/>
      <c r="F14" s="123"/>
      <c r="G14" s="124">
        <f t="shared" ref="G14:G24" si="1">IF(F14=0,0,(B14-F14)/F14)</f>
        <v>0</v>
      </c>
      <c r="H14" s="125"/>
    </row>
    <row r="15" spans="1:10" ht="20.100000000000001" customHeight="1" x14ac:dyDescent="0.25">
      <c r="A15" s="126" t="s">
        <v>45</v>
      </c>
      <c r="B15" s="123"/>
      <c r="C15" s="123"/>
      <c r="D15" s="124">
        <f t="shared" si="0"/>
        <v>0</v>
      </c>
      <c r="E15" s="123"/>
      <c r="F15" s="123"/>
      <c r="G15" s="124">
        <f t="shared" si="1"/>
        <v>0</v>
      </c>
      <c r="H15" s="125"/>
    </row>
    <row r="16" spans="1:10" ht="20.100000000000001" customHeight="1" x14ac:dyDescent="0.25">
      <c r="A16" s="126" t="s">
        <v>46</v>
      </c>
      <c r="B16" s="123"/>
      <c r="C16" s="123"/>
      <c r="D16" s="124">
        <f t="shared" si="0"/>
        <v>0</v>
      </c>
      <c r="E16" s="123"/>
      <c r="F16" s="123"/>
      <c r="G16" s="124">
        <f t="shared" si="1"/>
        <v>0</v>
      </c>
      <c r="H16" s="125"/>
    </row>
    <row r="17" spans="1:8" ht="20.100000000000001" customHeight="1" x14ac:dyDescent="0.25">
      <c r="A17" s="126" t="s">
        <v>47</v>
      </c>
      <c r="B17" s="123"/>
      <c r="C17" s="123"/>
      <c r="D17" s="124">
        <f t="shared" si="0"/>
        <v>0</v>
      </c>
      <c r="E17" s="123"/>
      <c r="F17" s="123"/>
      <c r="G17" s="124">
        <f t="shared" si="1"/>
        <v>0</v>
      </c>
      <c r="H17" s="125"/>
    </row>
    <row r="18" spans="1:8" ht="20.100000000000001" customHeight="1" x14ac:dyDescent="0.25">
      <c r="A18" s="126" t="s">
        <v>48</v>
      </c>
      <c r="B18" s="123"/>
      <c r="C18" s="123"/>
      <c r="D18" s="124">
        <f t="shared" si="0"/>
        <v>0</v>
      </c>
      <c r="E18" s="123"/>
      <c r="F18" s="123"/>
      <c r="G18" s="124">
        <f t="shared" si="1"/>
        <v>0</v>
      </c>
      <c r="H18" s="125"/>
    </row>
    <row r="19" spans="1:8" ht="20.100000000000001" customHeight="1" x14ac:dyDescent="0.25">
      <c r="A19" s="126" t="s">
        <v>49</v>
      </c>
      <c r="B19" s="123"/>
      <c r="C19" s="123"/>
      <c r="D19" s="124">
        <f t="shared" si="0"/>
        <v>0</v>
      </c>
      <c r="E19" s="123"/>
      <c r="F19" s="123"/>
      <c r="G19" s="124">
        <f t="shared" si="1"/>
        <v>0</v>
      </c>
      <c r="H19" s="125"/>
    </row>
    <row r="20" spans="1:8" ht="20.100000000000001" customHeight="1" x14ac:dyDescent="0.25">
      <c r="A20" s="126" t="s">
        <v>50</v>
      </c>
      <c r="B20" s="123"/>
      <c r="C20" s="123"/>
      <c r="D20" s="124">
        <f t="shared" si="0"/>
        <v>0</v>
      </c>
      <c r="E20" s="123"/>
      <c r="F20" s="123"/>
      <c r="G20" s="124">
        <f t="shared" si="1"/>
        <v>0</v>
      </c>
      <c r="H20" s="125"/>
    </row>
    <row r="21" spans="1:8" ht="20.100000000000001" customHeight="1" x14ac:dyDescent="0.25">
      <c r="A21" s="127" t="s">
        <v>168</v>
      </c>
      <c r="B21" s="123"/>
      <c r="C21" s="123"/>
      <c r="D21" s="124">
        <f t="shared" si="0"/>
        <v>0</v>
      </c>
      <c r="E21" s="123"/>
      <c r="F21" s="123"/>
      <c r="G21" s="124">
        <f t="shared" si="1"/>
        <v>0</v>
      </c>
      <c r="H21" s="125"/>
    </row>
    <row r="22" spans="1:8" ht="20.100000000000001" customHeight="1" x14ac:dyDescent="0.25">
      <c r="A22" s="127" t="s">
        <v>166</v>
      </c>
      <c r="B22" s="123"/>
      <c r="C22" s="123"/>
      <c r="D22" s="124">
        <f t="shared" si="0"/>
        <v>0</v>
      </c>
      <c r="E22" s="123"/>
      <c r="F22" s="123"/>
      <c r="G22" s="124">
        <f t="shared" si="1"/>
        <v>0</v>
      </c>
      <c r="H22" s="125"/>
    </row>
    <row r="23" spans="1:8" ht="20.100000000000001" customHeight="1" x14ac:dyDescent="0.25">
      <c r="A23" s="127" t="s">
        <v>167</v>
      </c>
      <c r="B23" s="123"/>
      <c r="C23" s="123"/>
      <c r="D23" s="124">
        <f t="shared" si="0"/>
        <v>0</v>
      </c>
      <c r="E23" s="123"/>
      <c r="F23" s="123"/>
      <c r="G23" s="124">
        <f t="shared" si="1"/>
        <v>0</v>
      </c>
      <c r="H23" s="125"/>
    </row>
    <row r="24" spans="1:8" ht="20.100000000000001" customHeight="1" x14ac:dyDescent="0.25">
      <c r="A24" s="127" t="s">
        <v>51</v>
      </c>
      <c r="B24" s="123"/>
      <c r="C24" s="123"/>
      <c r="D24" s="124">
        <f t="shared" si="0"/>
        <v>0</v>
      </c>
      <c r="E24" s="123"/>
      <c r="F24" s="123"/>
      <c r="G24" s="124">
        <f t="shared" si="1"/>
        <v>0</v>
      </c>
      <c r="H24" s="125"/>
    </row>
    <row r="25" spans="1:8" ht="20.100000000000001" customHeight="1" x14ac:dyDescent="0.25">
      <c r="A25" s="218" t="s">
        <v>52</v>
      </c>
      <c r="B25" s="212"/>
      <c r="C25" s="212"/>
      <c r="D25" s="212"/>
      <c r="E25" s="212"/>
      <c r="F25" s="212"/>
      <c r="G25" s="212"/>
      <c r="H25" s="212"/>
    </row>
    <row r="26" spans="1:8" ht="20.100000000000001" customHeight="1" x14ac:dyDescent="0.25">
      <c r="A26" s="212"/>
      <c r="B26" s="212"/>
      <c r="C26" s="212"/>
      <c r="D26" s="212"/>
      <c r="E26" s="212"/>
      <c r="F26" s="212"/>
      <c r="G26" s="212"/>
      <c r="H26" s="212"/>
    </row>
    <row r="27" spans="1:8" ht="20.100000000000001" customHeight="1" x14ac:dyDescent="0.25">
      <c r="A27" s="212"/>
      <c r="B27" s="212"/>
      <c r="C27" s="212"/>
      <c r="D27" s="212"/>
      <c r="E27" s="212"/>
      <c r="F27" s="212"/>
      <c r="G27" s="212"/>
      <c r="H27" s="212"/>
    </row>
    <row r="28" spans="1:8" ht="20.100000000000001" customHeight="1" x14ac:dyDescent="0.25">
      <c r="A28" s="218" t="s">
        <v>53</v>
      </c>
      <c r="B28" s="212"/>
      <c r="C28" s="212"/>
      <c r="D28" s="212"/>
      <c r="E28" s="212"/>
      <c r="F28" s="212"/>
      <c r="G28" s="212"/>
      <c r="H28" s="212"/>
    </row>
    <row r="29" spans="1:8" ht="20.100000000000001" customHeight="1" x14ac:dyDescent="0.25">
      <c r="A29" s="218"/>
      <c r="B29" s="212"/>
      <c r="C29" s="212"/>
      <c r="D29" s="212"/>
      <c r="E29" s="212"/>
      <c r="F29" s="212"/>
      <c r="G29" s="212"/>
      <c r="H29" s="212"/>
    </row>
  </sheetData>
  <mergeCells count="3">
    <mergeCell ref="A1:H1"/>
    <mergeCell ref="A2:H2"/>
    <mergeCell ref="A11:A12"/>
  </mergeCells>
  <phoneticPr fontId="28" type="noConversion"/>
  <hyperlinks>
    <hyperlink ref="H3" location="底稿目录!A1" display="D4-5"/>
  </hyperlinks>
  <pageMargins left="0.70833333333333304" right="0.70833333333333304" top="0.74791666666666701" bottom="0.74791666666666701" header="0.31458333333333299" footer="0.31458333333333299"/>
  <pageSetup paperSize="9" scale="64" orientation="portrait" blackAndWhite="1"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W32"/>
  <sheetViews>
    <sheetView showZeros="0" view="pageBreakPreview" zoomScaleNormal="100" workbookViewId="0">
      <selection sqref="A1:W1"/>
    </sheetView>
  </sheetViews>
  <sheetFormatPr defaultColWidth="9" defaultRowHeight="20.100000000000001" customHeight="1" x14ac:dyDescent="0.25"/>
  <cols>
    <col min="1" max="1" width="15.77734375" style="3" customWidth="1"/>
    <col min="2" max="16" width="9.21875" style="3" customWidth="1"/>
    <col min="17" max="17" width="8.33203125" style="3" customWidth="1"/>
    <col min="18" max="18" width="8.6640625" style="3" customWidth="1"/>
    <col min="19" max="19" width="11.21875" style="3" customWidth="1"/>
    <col min="20" max="20" width="12.88671875" style="3" customWidth="1"/>
    <col min="21" max="21" width="12.44140625" style="3" customWidth="1"/>
    <col min="22" max="22" width="8" style="3" customWidth="1"/>
    <col min="23" max="23" width="7.44140625" style="3" customWidth="1"/>
    <col min="24" max="16384" width="9" style="3"/>
  </cols>
  <sheetData>
    <row r="1" spans="1:23" s="93" customFormat="1" ht="20.100000000000001" customHeight="1" x14ac:dyDescent="0.25">
      <c r="A1" s="172" t="s">
        <v>19</v>
      </c>
      <c r="B1" s="172"/>
      <c r="C1" s="172"/>
      <c r="D1" s="172"/>
      <c r="E1" s="172"/>
      <c r="F1" s="172"/>
      <c r="G1" s="172"/>
      <c r="H1" s="172"/>
      <c r="I1" s="172"/>
      <c r="J1" s="172"/>
      <c r="K1" s="172"/>
      <c r="L1" s="172"/>
      <c r="M1" s="172"/>
      <c r="N1" s="172"/>
      <c r="O1" s="172"/>
      <c r="P1" s="172"/>
      <c r="Q1" s="172"/>
      <c r="R1" s="172"/>
      <c r="S1" s="172"/>
      <c r="T1" s="172"/>
      <c r="U1" s="172"/>
      <c r="V1" s="172"/>
      <c r="W1" s="172"/>
    </row>
    <row r="2" spans="1:23" s="93" customFormat="1" ht="20.100000000000001" customHeight="1" x14ac:dyDescent="0.25">
      <c r="A2" s="173" t="s">
        <v>142</v>
      </c>
      <c r="B2" s="173"/>
      <c r="C2" s="173"/>
      <c r="D2" s="173"/>
      <c r="E2" s="173"/>
      <c r="F2" s="173"/>
      <c r="G2" s="173"/>
      <c r="H2" s="173"/>
      <c r="I2" s="173"/>
      <c r="J2" s="173"/>
      <c r="K2" s="173"/>
      <c r="L2" s="173"/>
      <c r="M2" s="173"/>
      <c r="N2" s="173"/>
      <c r="O2" s="173"/>
      <c r="P2" s="173"/>
      <c r="Q2" s="173"/>
      <c r="R2" s="173"/>
      <c r="S2" s="173"/>
      <c r="T2" s="173"/>
      <c r="U2" s="173"/>
      <c r="V2" s="173"/>
      <c r="W2" s="173"/>
    </row>
    <row r="3" spans="1:23" ht="20.100000000000001" customHeight="1" x14ac:dyDescent="0.25">
      <c r="A3" s="3" t="str">
        <f>底稿目录!A2</f>
        <v>被审计单位名称：</v>
      </c>
      <c r="I3" s="3" t="str">
        <f>底稿目录!A4</f>
        <v>编制人：</v>
      </c>
      <c r="Q3" s="3" t="str">
        <f>底稿目录!A5</f>
        <v>编制日期：</v>
      </c>
      <c r="V3" s="115" t="s">
        <v>21</v>
      </c>
      <c r="W3" s="144" t="str">
        <f>底稿目录!F4</f>
        <v>D4-7</v>
      </c>
    </row>
    <row r="4" spans="1:23" ht="20.100000000000001" customHeight="1" x14ac:dyDescent="0.25">
      <c r="A4" s="3" t="str">
        <f>底稿目录!A3</f>
        <v>会计期间：202X年度</v>
      </c>
      <c r="I4" s="3" t="str">
        <f>底稿目录!A6</f>
        <v>复核人：</v>
      </c>
      <c r="Q4" s="3" t="str">
        <f>底稿目录!A7</f>
        <v>复核日期：</v>
      </c>
      <c r="V4" s="115" t="s">
        <v>22</v>
      </c>
    </row>
    <row r="5" spans="1:23" ht="20.100000000000001" customHeight="1" x14ac:dyDescent="0.25">
      <c r="A5" s="5" t="s">
        <v>54</v>
      </c>
      <c r="B5" s="5"/>
      <c r="C5" s="5"/>
      <c r="V5" s="115"/>
    </row>
    <row r="6" spans="1:23" ht="20.100000000000001" customHeight="1" x14ac:dyDescent="0.25">
      <c r="A6" s="3" t="s">
        <v>55</v>
      </c>
      <c r="V6" s="115"/>
    </row>
    <row r="7" spans="1:23" ht="20.100000000000001" customHeight="1" x14ac:dyDescent="0.25">
      <c r="A7" s="45" t="s">
        <v>26</v>
      </c>
      <c r="B7" s="45"/>
      <c r="C7" s="45"/>
      <c r="V7" s="115"/>
    </row>
    <row r="8" spans="1:23" ht="20.100000000000001" customHeight="1" x14ac:dyDescent="0.25">
      <c r="A8" s="96" t="s">
        <v>143</v>
      </c>
      <c r="B8" s="97"/>
      <c r="C8" s="97"/>
      <c r="I8" s="114"/>
      <c r="J8" s="114"/>
      <c r="K8" s="114"/>
      <c r="V8" s="115"/>
    </row>
    <row r="9" spans="1:23" ht="20.100000000000001" customHeight="1" x14ac:dyDescent="0.25">
      <c r="A9" s="96"/>
      <c r="B9" s="97"/>
      <c r="C9" s="97"/>
      <c r="I9" s="114"/>
      <c r="J9" s="114"/>
      <c r="K9" s="114"/>
      <c r="V9" s="115"/>
    </row>
    <row r="10" spans="1:23" ht="20.100000000000001" customHeight="1" x14ac:dyDescent="0.25">
      <c r="A10" s="151" t="s">
        <v>145</v>
      </c>
      <c r="B10" s="97"/>
      <c r="C10" s="97"/>
      <c r="I10" s="114"/>
      <c r="J10" s="114"/>
      <c r="K10" s="114"/>
      <c r="V10" s="115"/>
    </row>
    <row r="11" spans="1:23" ht="20.100000000000001" customHeight="1" x14ac:dyDescent="0.25">
      <c r="A11" s="148" t="s">
        <v>146</v>
      </c>
      <c r="B11" s="152" t="s">
        <v>151</v>
      </c>
      <c r="C11" s="152" t="s">
        <v>152</v>
      </c>
      <c r="D11" s="152" t="s">
        <v>153</v>
      </c>
      <c r="E11" s="152" t="s">
        <v>154</v>
      </c>
      <c r="F11" s="152" t="s">
        <v>155</v>
      </c>
      <c r="G11" s="152" t="s">
        <v>156</v>
      </c>
      <c r="H11" s="152" t="s">
        <v>157</v>
      </c>
      <c r="I11" s="152" t="s">
        <v>158</v>
      </c>
      <c r="J11" s="152" t="s">
        <v>159</v>
      </c>
      <c r="K11" s="152" t="s">
        <v>160</v>
      </c>
      <c r="L11" s="152" t="s">
        <v>161</v>
      </c>
      <c r="M11" s="152" t="s">
        <v>162</v>
      </c>
      <c r="N11" s="152" t="s">
        <v>163</v>
      </c>
      <c r="O11" s="152" t="s">
        <v>164</v>
      </c>
      <c r="P11" s="152" t="s">
        <v>165</v>
      </c>
      <c r="V11" s="115"/>
    </row>
    <row r="12" spans="1:23" ht="20.100000000000001" customHeight="1" x14ac:dyDescent="0.25">
      <c r="A12" s="149" t="s">
        <v>147</v>
      </c>
      <c r="B12" s="153"/>
      <c r="C12" s="153"/>
      <c r="D12" s="154"/>
      <c r="E12" s="154"/>
      <c r="F12" s="154"/>
      <c r="G12" s="154"/>
      <c r="H12" s="154"/>
      <c r="I12" s="155"/>
      <c r="J12" s="155"/>
      <c r="K12" s="155"/>
      <c r="L12" s="154"/>
      <c r="M12" s="154"/>
      <c r="N12" s="150">
        <f>SUM(B12:M12)</f>
        <v>0</v>
      </c>
      <c r="O12" s="154"/>
      <c r="P12" s="150" t="e">
        <f>(N12-O12)/N12</f>
        <v>#DIV/0!</v>
      </c>
      <c r="V12" s="115"/>
    </row>
    <row r="13" spans="1:23" ht="20.100000000000001" customHeight="1" x14ac:dyDescent="0.25">
      <c r="A13" s="149" t="s">
        <v>148</v>
      </c>
      <c r="B13" s="153"/>
      <c r="C13" s="153"/>
      <c r="D13" s="154"/>
      <c r="E13" s="154"/>
      <c r="F13" s="154"/>
      <c r="G13" s="154"/>
      <c r="H13" s="154"/>
      <c r="I13" s="155"/>
      <c r="J13" s="155"/>
      <c r="K13" s="155"/>
      <c r="L13" s="154"/>
      <c r="M13" s="154"/>
      <c r="N13" s="150">
        <f>SUM(B13:M13)</f>
        <v>0</v>
      </c>
      <c r="O13" s="154"/>
      <c r="P13" s="150" t="e">
        <f t="shared" ref="P13:P14" si="0">(N13-O13)/N13</f>
        <v>#DIV/0!</v>
      </c>
      <c r="V13" s="115"/>
    </row>
    <row r="14" spans="1:23" ht="20.100000000000001" customHeight="1" x14ac:dyDescent="0.25">
      <c r="A14" s="149" t="s">
        <v>149</v>
      </c>
      <c r="B14" s="150">
        <f>B12-B13</f>
        <v>0</v>
      </c>
      <c r="C14" s="150">
        <f t="shared" ref="C14:O14" si="1">C12-C13</f>
        <v>0</v>
      </c>
      <c r="D14" s="150">
        <f t="shared" si="1"/>
        <v>0</v>
      </c>
      <c r="E14" s="150">
        <f t="shared" si="1"/>
        <v>0</v>
      </c>
      <c r="F14" s="150">
        <f t="shared" si="1"/>
        <v>0</v>
      </c>
      <c r="G14" s="150">
        <f t="shared" si="1"/>
        <v>0</v>
      </c>
      <c r="H14" s="150">
        <f t="shared" si="1"/>
        <v>0</v>
      </c>
      <c r="I14" s="150">
        <f t="shared" si="1"/>
        <v>0</v>
      </c>
      <c r="J14" s="150">
        <f t="shared" si="1"/>
        <v>0</v>
      </c>
      <c r="K14" s="150">
        <f t="shared" si="1"/>
        <v>0</v>
      </c>
      <c r="L14" s="150">
        <f t="shared" si="1"/>
        <v>0</v>
      </c>
      <c r="M14" s="150">
        <f t="shared" si="1"/>
        <v>0</v>
      </c>
      <c r="N14" s="150">
        <f t="shared" si="1"/>
        <v>0</v>
      </c>
      <c r="O14" s="150">
        <f t="shared" si="1"/>
        <v>0</v>
      </c>
      <c r="P14" s="150" t="e">
        <f t="shared" si="0"/>
        <v>#DIV/0!</v>
      </c>
      <c r="V14" s="115"/>
    </row>
    <row r="15" spans="1:23" ht="20.100000000000001" customHeight="1" x14ac:dyDescent="0.25">
      <c r="A15" s="149" t="s">
        <v>150</v>
      </c>
      <c r="B15" s="156" t="e">
        <f>B14/B12</f>
        <v>#DIV/0!</v>
      </c>
      <c r="C15" s="150" t="e">
        <f t="shared" ref="C15:O15" si="2">C14/C12</f>
        <v>#DIV/0!</v>
      </c>
      <c r="D15" s="150" t="e">
        <f t="shared" si="2"/>
        <v>#DIV/0!</v>
      </c>
      <c r="E15" s="150" t="e">
        <f t="shared" si="2"/>
        <v>#DIV/0!</v>
      </c>
      <c r="F15" s="150" t="e">
        <f t="shared" si="2"/>
        <v>#DIV/0!</v>
      </c>
      <c r="G15" s="150" t="e">
        <f t="shared" si="2"/>
        <v>#DIV/0!</v>
      </c>
      <c r="H15" s="150" t="e">
        <f t="shared" si="2"/>
        <v>#DIV/0!</v>
      </c>
      <c r="I15" s="150" t="e">
        <f t="shared" si="2"/>
        <v>#DIV/0!</v>
      </c>
      <c r="J15" s="150" t="e">
        <f t="shared" si="2"/>
        <v>#DIV/0!</v>
      </c>
      <c r="K15" s="150" t="e">
        <f t="shared" si="2"/>
        <v>#DIV/0!</v>
      </c>
      <c r="L15" s="150" t="e">
        <f t="shared" si="2"/>
        <v>#DIV/0!</v>
      </c>
      <c r="M15" s="150" t="e">
        <f t="shared" si="2"/>
        <v>#DIV/0!</v>
      </c>
      <c r="N15" s="150" t="e">
        <f t="shared" si="2"/>
        <v>#DIV/0!</v>
      </c>
      <c r="O15" s="150" t="e">
        <f t="shared" si="2"/>
        <v>#DIV/0!</v>
      </c>
      <c r="P15" s="150"/>
      <c r="V15" s="115"/>
    </row>
    <row r="16" spans="1:23" ht="20.100000000000001" customHeight="1" x14ac:dyDescent="0.25">
      <c r="A16" s="96"/>
      <c r="B16" s="97"/>
      <c r="C16" s="97"/>
      <c r="I16" s="114"/>
      <c r="J16" s="114"/>
      <c r="K16" s="114"/>
      <c r="V16" s="115"/>
    </row>
    <row r="17" spans="1:23" s="94" customFormat="1" ht="20.100000000000001" customHeight="1" x14ac:dyDescent="0.25">
      <c r="A17" s="3" t="s">
        <v>144</v>
      </c>
    </row>
    <row r="18" spans="1:23" s="95" customFormat="1" ht="20.100000000000001" customHeight="1" x14ac:dyDescent="0.25">
      <c r="A18" s="177" t="s">
        <v>56</v>
      </c>
      <c r="B18" s="174" t="s">
        <v>29</v>
      </c>
      <c r="C18" s="175"/>
      <c r="D18" s="175"/>
      <c r="E18" s="175"/>
      <c r="F18" s="175"/>
      <c r="G18" s="175"/>
      <c r="H18" s="175"/>
      <c r="I18" s="176"/>
      <c r="J18" s="174" t="s">
        <v>30</v>
      </c>
      <c r="K18" s="175"/>
      <c r="L18" s="175"/>
      <c r="M18" s="175"/>
      <c r="N18" s="175"/>
      <c r="O18" s="175"/>
      <c r="P18" s="175"/>
      <c r="Q18" s="176"/>
      <c r="R18" s="174" t="s">
        <v>57</v>
      </c>
      <c r="S18" s="175"/>
      <c r="T18" s="175"/>
      <c r="U18" s="175"/>
      <c r="V18" s="176"/>
      <c r="W18" s="179" t="s">
        <v>58</v>
      </c>
    </row>
    <row r="19" spans="1:23" s="95" customFormat="1" ht="28.05" customHeight="1" x14ac:dyDescent="0.25">
      <c r="A19" s="178"/>
      <c r="B19" s="98" t="s">
        <v>59</v>
      </c>
      <c r="C19" s="98" t="s">
        <v>60</v>
      </c>
      <c r="D19" s="99" t="s">
        <v>61</v>
      </c>
      <c r="E19" s="100" t="s">
        <v>62</v>
      </c>
      <c r="F19" s="99" t="s">
        <v>63</v>
      </c>
      <c r="G19" s="99" t="s">
        <v>64</v>
      </c>
      <c r="H19" s="99" t="s">
        <v>65</v>
      </c>
      <c r="I19" s="99" t="s">
        <v>66</v>
      </c>
      <c r="J19" s="98" t="s">
        <v>59</v>
      </c>
      <c r="K19" s="98" t="s">
        <v>60</v>
      </c>
      <c r="L19" s="99" t="s">
        <v>61</v>
      </c>
      <c r="M19" s="100" t="s">
        <v>62</v>
      </c>
      <c r="N19" s="99" t="s">
        <v>63</v>
      </c>
      <c r="O19" s="99" t="s">
        <v>64</v>
      </c>
      <c r="P19" s="99" t="s">
        <v>65</v>
      </c>
      <c r="Q19" s="99" t="s">
        <v>66</v>
      </c>
      <c r="R19" s="98" t="s">
        <v>60</v>
      </c>
      <c r="S19" s="99" t="s">
        <v>63</v>
      </c>
      <c r="T19" s="99" t="s">
        <v>61</v>
      </c>
      <c r="U19" s="99" t="s">
        <v>64</v>
      </c>
      <c r="V19" s="99" t="s">
        <v>66</v>
      </c>
      <c r="W19" s="179"/>
    </row>
    <row r="20" spans="1:23" ht="20.100000000000001" customHeight="1" x14ac:dyDescent="0.25">
      <c r="A20" s="101"/>
      <c r="B20" s="102"/>
      <c r="C20" s="103" t="e">
        <f>D20/B20</f>
        <v>#DIV/0!</v>
      </c>
      <c r="D20" s="104"/>
      <c r="E20" s="105" t="e">
        <f>D20/$D$26</f>
        <v>#DIV/0!</v>
      </c>
      <c r="F20" s="106" t="e">
        <f>G20/B20</f>
        <v>#DIV/0!</v>
      </c>
      <c r="G20" s="104"/>
      <c r="H20" s="106">
        <f>D20-G20</f>
        <v>0</v>
      </c>
      <c r="I20" s="84">
        <f>IF(D20=0,0,H20/D20)</f>
        <v>0</v>
      </c>
      <c r="J20" s="104"/>
      <c r="K20" s="103" t="e">
        <f>L20/J20</f>
        <v>#DIV/0!</v>
      </c>
      <c r="L20" s="104"/>
      <c r="M20" s="105" t="e">
        <f>L20/$L$26</f>
        <v>#DIV/0!</v>
      </c>
      <c r="N20" s="106" t="e">
        <f>O20/J20</f>
        <v>#DIV/0!</v>
      </c>
      <c r="O20" s="104"/>
      <c r="P20" s="106">
        <f t="shared" ref="P20:P25" si="3">L20-O20</f>
        <v>0</v>
      </c>
      <c r="Q20" s="84">
        <f>IF(L20=0,0,P20/L20)</f>
        <v>0</v>
      </c>
      <c r="R20" s="84" t="e">
        <f>(K20-C20)/K20</f>
        <v>#DIV/0!</v>
      </c>
      <c r="S20" s="84" t="e">
        <f>(F20-N20)/N20</f>
        <v>#DIV/0!</v>
      </c>
      <c r="T20" s="116" t="e">
        <f>(L20-D20)/L20</f>
        <v>#DIV/0!</v>
      </c>
      <c r="U20" s="116" t="e">
        <f>(O20-G20)/O20</f>
        <v>#DIV/0!</v>
      </c>
      <c r="V20" s="84">
        <f>Q20-I20</f>
        <v>0</v>
      </c>
      <c r="W20" s="117"/>
    </row>
    <row r="21" spans="1:23" ht="20.100000000000001" customHeight="1" x14ac:dyDescent="0.25">
      <c r="A21" s="101"/>
      <c r="B21" s="102"/>
      <c r="C21" s="103" t="e">
        <f t="shared" ref="C21:C26" si="4">D21/B21</f>
        <v>#DIV/0!</v>
      </c>
      <c r="D21" s="104"/>
      <c r="E21" s="105" t="e">
        <f t="shared" ref="E21:E26" si="5">D21/$D$26</f>
        <v>#DIV/0!</v>
      </c>
      <c r="F21" s="106" t="e">
        <f t="shared" ref="F21:F26" si="6">G21/B21</f>
        <v>#DIV/0!</v>
      </c>
      <c r="G21" s="104"/>
      <c r="H21" s="106">
        <f t="shared" ref="H21:H25" si="7">D21-G21</f>
        <v>0</v>
      </c>
      <c r="I21" s="84">
        <f t="shared" ref="I21:I26" si="8">IF(D21=0,0,H21/D21)</f>
        <v>0</v>
      </c>
      <c r="J21" s="104"/>
      <c r="K21" s="103" t="e">
        <f t="shared" ref="K21:K26" si="9">L21/J21</f>
        <v>#DIV/0!</v>
      </c>
      <c r="L21" s="104"/>
      <c r="M21" s="105" t="e">
        <f t="shared" ref="M21:M26" si="10">L21/$L$26</f>
        <v>#DIV/0!</v>
      </c>
      <c r="N21" s="106" t="e">
        <f t="shared" ref="N21:N26" si="11">O21/J21</f>
        <v>#DIV/0!</v>
      </c>
      <c r="O21" s="104"/>
      <c r="P21" s="106">
        <f t="shared" si="3"/>
        <v>0</v>
      </c>
      <c r="Q21" s="84">
        <f t="shared" ref="Q21:Q26" si="12">IF(L21=0,0,P21/L21)</f>
        <v>0</v>
      </c>
      <c r="R21" s="84" t="e">
        <f t="shared" ref="R21:R25" si="13">(K21-C21)/K21</f>
        <v>#DIV/0!</v>
      </c>
      <c r="S21" s="84" t="e">
        <f t="shared" ref="S21:S25" si="14">(F21-N21)/N21</f>
        <v>#DIV/0!</v>
      </c>
      <c r="T21" s="116" t="e">
        <f t="shared" ref="T21:T25" si="15">(L21-D21)/L21</f>
        <v>#DIV/0!</v>
      </c>
      <c r="U21" s="116" t="e">
        <f t="shared" ref="U21:U25" si="16">(O21-G21)/O21</f>
        <v>#DIV/0!</v>
      </c>
      <c r="V21" s="84">
        <f t="shared" ref="V21:V25" si="17">Q21-I21</f>
        <v>0</v>
      </c>
      <c r="W21" s="117"/>
    </row>
    <row r="22" spans="1:23" ht="20.100000000000001" customHeight="1" x14ac:dyDescent="0.25">
      <c r="A22" s="101"/>
      <c r="B22" s="102"/>
      <c r="C22" s="103" t="e">
        <f t="shared" si="4"/>
        <v>#DIV/0!</v>
      </c>
      <c r="D22" s="104"/>
      <c r="E22" s="105" t="e">
        <f t="shared" si="5"/>
        <v>#DIV/0!</v>
      </c>
      <c r="F22" s="106" t="e">
        <f t="shared" si="6"/>
        <v>#DIV/0!</v>
      </c>
      <c r="G22" s="104"/>
      <c r="H22" s="106">
        <f t="shared" si="7"/>
        <v>0</v>
      </c>
      <c r="I22" s="84">
        <f t="shared" si="8"/>
        <v>0</v>
      </c>
      <c r="J22" s="104"/>
      <c r="K22" s="103" t="e">
        <f t="shared" si="9"/>
        <v>#DIV/0!</v>
      </c>
      <c r="L22" s="104"/>
      <c r="M22" s="105" t="e">
        <f t="shared" si="10"/>
        <v>#DIV/0!</v>
      </c>
      <c r="N22" s="106" t="e">
        <f t="shared" si="11"/>
        <v>#DIV/0!</v>
      </c>
      <c r="O22" s="104"/>
      <c r="P22" s="106">
        <f t="shared" si="3"/>
        <v>0</v>
      </c>
      <c r="Q22" s="84">
        <f t="shared" si="12"/>
        <v>0</v>
      </c>
      <c r="R22" s="84" t="e">
        <f t="shared" si="13"/>
        <v>#DIV/0!</v>
      </c>
      <c r="S22" s="84" t="e">
        <f t="shared" si="14"/>
        <v>#DIV/0!</v>
      </c>
      <c r="T22" s="116" t="e">
        <f t="shared" si="15"/>
        <v>#DIV/0!</v>
      </c>
      <c r="U22" s="116" t="e">
        <f t="shared" si="16"/>
        <v>#DIV/0!</v>
      </c>
      <c r="V22" s="84">
        <f t="shared" si="17"/>
        <v>0</v>
      </c>
      <c r="W22" s="117"/>
    </row>
    <row r="23" spans="1:23" ht="20.100000000000001" customHeight="1" x14ac:dyDescent="0.25">
      <c r="A23" s="107"/>
      <c r="B23" s="102"/>
      <c r="C23" s="103" t="e">
        <f t="shared" si="4"/>
        <v>#DIV/0!</v>
      </c>
      <c r="D23" s="104"/>
      <c r="E23" s="105" t="e">
        <f t="shared" si="5"/>
        <v>#DIV/0!</v>
      </c>
      <c r="F23" s="106" t="e">
        <f t="shared" si="6"/>
        <v>#DIV/0!</v>
      </c>
      <c r="G23" s="104"/>
      <c r="H23" s="106">
        <f t="shared" si="7"/>
        <v>0</v>
      </c>
      <c r="I23" s="84">
        <f t="shared" si="8"/>
        <v>0</v>
      </c>
      <c r="J23" s="104"/>
      <c r="K23" s="103" t="e">
        <f t="shared" si="9"/>
        <v>#DIV/0!</v>
      </c>
      <c r="L23" s="104"/>
      <c r="M23" s="105" t="e">
        <f t="shared" si="10"/>
        <v>#DIV/0!</v>
      </c>
      <c r="N23" s="106" t="e">
        <f t="shared" si="11"/>
        <v>#DIV/0!</v>
      </c>
      <c r="O23" s="104"/>
      <c r="P23" s="106">
        <f t="shared" si="3"/>
        <v>0</v>
      </c>
      <c r="Q23" s="84">
        <f t="shared" si="12"/>
        <v>0</v>
      </c>
      <c r="R23" s="84" t="e">
        <f t="shared" si="13"/>
        <v>#DIV/0!</v>
      </c>
      <c r="S23" s="84" t="e">
        <f t="shared" si="14"/>
        <v>#DIV/0!</v>
      </c>
      <c r="T23" s="116" t="e">
        <f t="shared" si="15"/>
        <v>#DIV/0!</v>
      </c>
      <c r="U23" s="116" t="e">
        <f t="shared" si="16"/>
        <v>#DIV/0!</v>
      </c>
      <c r="V23" s="84">
        <f t="shared" si="17"/>
        <v>0</v>
      </c>
      <c r="W23" s="117"/>
    </row>
    <row r="24" spans="1:23" ht="20.100000000000001" customHeight="1" x14ac:dyDescent="0.25">
      <c r="A24" s="107"/>
      <c r="B24" s="102"/>
      <c r="C24" s="103" t="e">
        <f t="shared" si="4"/>
        <v>#DIV/0!</v>
      </c>
      <c r="D24" s="104"/>
      <c r="E24" s="105" t="e">
        <f t="shared" si="5"/>
        <v>#DIV/0!</v>
      </c>
      <c r="F24" s="106" t="e">
        <f t="shared" si="6"/>
        <v>#DIV/0!</v>
      </c>
      <c r="G24" s="104"/>
      <c r="H24" s="106">
        <f t="shared" si="7"/>
        <v>0</v>
      </c>
      <c r="I24" s="84">
        <f t="shared" si="8"/>
        <v>0</v>
      </c>
      <c r="J24" s="104"/>
      <c r="K24" s="103" t="e">
        <f t="shared" si="9"/>
        <v>#DIV/0!</v>
      </c>
      <c r="L24" s="104"/>
      <c r="M24" s="105" t="e">
        <f t="shared" si="10"/>
        <v>#DIV/0!</v>
      </c>
      <c r="N24" s="106" t="e">
        <f t="shared" si="11"/>
        <v>#DIV/0!</v>
      </c>
      <c r="O24" s="104"/>
      <c r="P24" s="106">
        <f t="shared" si="3"/>
        <v>0</v>
      </c>
      <c r="Q24" s="84">
        <f t="shared" si="12"/>
        <v>0</v>
      </c>
      <c r="R24" s="84" t="e">
        <f t="shared" si="13"/>
        <v>#DIV/0!</v>
      </c>
      <c r="S24" s="84" t="e">
        <f t="shared" si="14"/>
        <v>#DIV/0!</v>
      </c>
      <c r="T24" s="116" t="e">
        <f t="shared" si="15"/>
        <v>#DIV/0!</v>
      </c>
      <c r="U24" s="116" t="e">
        <f t="shared" si="16"/>
        <v>#DIV/0!</v>
      </c>
      <c r="V24" s="84">
        <f t="shared" si="17"/>
        <v>0</v>
      </c>
      <c r="W24" s="117"/>
    </row>
    <row r="25" spans="1:23" ht="20.100000000000001" customHeight="1" x14ac:dyDescent="0.25">
      <c r="A25" s="108"/>
      <c r="B25" s="102"/>
      <c r="C25" s="103" t="e">
        <f t="shared" si="4"/>
        <v>#DIV/0!</v>
      </c>
      <c r="D25" s="104"/>
      <c r="E25" s="105" t="e">
        <f t="shared" si="5"/>
        <v>#DIV/0!</v>
      </c>
      <c r="F25" s="106" t="e">
        <f t="shared" si="6"/>
        <v>#DIV/0!</v>
      </c>
      <c r="G25" s="104"/>
      <c r="H25" s="106">
        <f t="shared" si="7"/>
        <v>0</v>
      </c>
      <c r="I25" s="84">
        <f t="shared" si="8"/>
        <v>0</v>
      </c>
      <c r="J25" s="104"/>
      <c r="K25" s="103" t="e">
        <f t="shared" si="9"/>
        <v>#DIV/0!</v>
      </c>
      <c r="L25" s="104"/>
      <c r="M25" s="105" t="e">
        <f t="shared" si="10"/>
        <v>#DIV/0!</v>
      </c>
      <c r="N25" s="106" t="e">
        <f t="shared" si="11"/>
        <v>#DIV/0!</v>
      </c>
      <c r="O25" s="104"/>
      <c r="P25" s="106">
        <f t="shared" si="3"/>
        <v>0</v>
      </c>
      <c r="Q25" s="84">
        <f t="shared" si="12"/>
        <v>0</v>
      </c>
      <c r="R25" s="84" t="e">
        <f t="shared" si="13"/>
        <v>#DIV/0!</v>
      </c>
      <c r="S25" s="84" t="e">
        <f t="shared" si="14"/>
        <v>#DIV/0!</v>
      </c>
      <c r="T25" s="116" t="e">
        <f t="shared" si="15"/>
        <v>#DIV/0!</v>
      </c>
      <c r="U25" s="116" t="e">
        <f t="shared" si="16"/>
        <v>#DIV/0!</v>
      </c>
      <c r="V25" s="84">
        <f t="shared" si="17"/>
        <v>0</v>
      </c>
      <c r="W25" s="117"/>
    </row>
    <row r="26" spans="1:23" s="95" customFormat="1" ht="20.100000000000001" customHeight="1" x14ac:dyDescent="0.25">
      <c r="A26" s="99" t="s">
        <v>67</v>
      </c>
      <c r="B26" s="109">
        <f>SUM(B20:B25)</f>
        <v>0</v>
      </c>
      <c r="C26" s="110" t="e">
        <f t="shared" si="4"/>
        <v>#DIV/0!</v>
      </c>
      <c r="D26" s="109">
        <f>SUM(D20:D25)</f>
        <v>0</v>
      </c>
      <c r="E26" s="111" t="e">
        <f t="shared" si="5"/>
        <v>#DIV/0!</v>
      </c>
      <c r="F26" s="109" t="e">
        <f t="shared" si="6"/>
        <v>#DIV/0!</v>
      </c>
      <c r="G26" s="109">
        <f>SUM(G20:G25)</f>
        <v>0</v>
      </c>
      <c r="H26" s="109">
        <f>SUM(H20:H25)</f>
        <v>0</v>
      </c>
      <c r="I26" s="85">
        <f t="shared" si="8"/>
        <v>0</v>
      </c>
      <c r="J26" s="109">
        <f>SUM(J20:J25)</f>
        <v>0</v>
      </c>
      <c r="K26" s="110" t="e">
        <f t="shared" si="9"/>
        <v>#DIV/0!</v>
      </c>
      <c r="L26" s="109">
        <f>SUM(L20:L25)</f>
        <v>0</v>
      </c>
      <c r="M26" s="111" t="e">
        <f t="shared" si="10"/>
        <v>#DIV/0!</v>
      </c>
      <c r="N26" s="109" t="e">
        <f t="shared" si="11"/>
        <v>#DIV/0!</v>
      </c>
      <c r="O26" s="109">
        <f>SUM(O20:O25)</f>
        <v>0</v>
      </c>
      <c r="P26" s="109">
        <f>SUM(P20:P25)</f>
        <v>0</v>
      </c>
      <c r="Q26" s="85">
        <f t="shared" si="12"/>
        <v>0</v>
      </c>
      <c r="R26" s="84" t="e">
        <f t="shared" ref="R26" si="18">(K26-C26)/K26</f>
        <v>#DIV/0!</v>
      </c>
      <c r="S26" s="85" t="e">
        <f t="shared" ref="S26" si="19">(F26-N26)/N26</f>
        <v>#DIV/0!</v>
      </c>
      <c r="T26" s="111" t="e">
        <f t="shared" ref="T26" si="20">(L26-D26)/L26</f>
        <v>#DIV/0!</v>
      </c>
      <c r="U26" s="111" t="e">
        <f t="shared" ref="U26" si="21">(O26-G26)/O26</f>
        <v>#DIV/0!</v>
      </c>
      <c r="V26" s="85">
        <f t="shared" ref="V26" si="22">Q26-I26</f>
        <v>0</v>
      </c>
      <c r="W26" s="118"/>
    </row>
    <row r="27" spans="1:23" ht="20.100000000000001" customHeight="1" x14ac:dyDescent="0.25">
      <c r="A27" s="5" t="s">
        <v>52</v>
      </c>
      <c r="B27" s="95"/>
      <c r="C27" s="95"/>
    </row>
    <row r="28" spans="1:23" ht="20.100000000000001" customHeight="1" x14ac:dyDescent="0.25">
      <c r="A28" s="94" t="s">
        <v>68</v>
      </c>
    </row>
    <row r="29" spans="1:23" ht="20.100000000000001" customHeight="1" x14ac:dyDescent="0.25">
      <c r="A29" s="94" t="s">
        <v>69</v>
      </c>
    </row>
    <row r="30" spans="1:23" ht="20.100000000000001" customHeight="1" x14ac:dyDescent="0.25">
      <c r="A30" s="95" t="s">
        <v>53</v>
      </c>
    </row>
    <row r="32" spans="1:23" ht="20.100000000000001" customHeight="1" x14ac:dyDescent="0.25">
      <c r="A32" s="112" t="s">
        <v>70</v>
      </c>
      <c r="B32" s="113"/>
      <c r="C32" s="97"/>
      <c r="V32" s="115"/>
    </row>
  </sheetData>
  <mergeCells count="7">
    <mergeCell ref="A1:W1"/>
    <mergeCell ref="A2:W2"/>
    <mergeCell ref="B18:I18"/>
    <mergeCell ref="J18:Q18"/>
    <mergeCell ref="R18:V18"/>
    <mergeCell ref="A18:A19"/>
    <mergeCell ref="W18:W19"/>
  </mergeCells>
  <phoneticPr fontId="28" type="noConversion"/>
  <hyperlinks>
    <hyperlink ref="W3" location="底稿目录!A1" display="D4-6"/>
  </hyperlinks>
  <pageMargins left="0.70833333333333304" right="0.70833333333333304" top="0.74791666666666701" bottom="0.74791666666666701" header="0.31458333333333299" footer="0.31458333333333299"/>
  <pageSetup paperSize="9" scale="54"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40"/>
  <sheetViews>
    <sheetView showZeros="0" view="pageBreakPreview" zoomScale="90" zoomScaleNormal="100" workbookViewId="0">
      <selection sqref="A1:X1"/>
    </sheetView>
  </sheetViews>
  <sheetFormatPr defaultColWidth="9" defaultRowHeight="20.100000000000001" customHeight="1" x14ac:dyDescent="0.25"/>
  <cols>
    <col min="1" max="1" width="6.109375" style="71" customWidth="1"/>
    <col min="2" max="2" width="8.77734375" style="71" customWidth="1"/>
    <col min="3" max="3" width="9.77734375" style="71" customWidth="1"/>
    <col min="4" max="4" width="10" style="71" customWidth="1"/>
    <col min="5" max="5" width="9.21875" style="71" customWidth="1"/>
    <col min="6" max="6" width="9.33203125" style="71" customWidth="1"/>
    <col min="7" max="8" width="9.77734375" style="71" customWidth="1"/>
    <col min="9" max="9" width="7.6640625" style="71" customWidth="1"/>
    <col min="10" max="10" width="9" style="71" customWidth="1"/>
    <col min="11" max="16" width="9" style="71"/>
    <col min="17" max="17" width="7.109375" style="71" customWidth="1"/>
    <col min="18" max="22" width="9" style="71"/>
    <col min="23" max="23" width="6.88671875" style="71" customWidth="1"/>
    <col min="24" max="16384" width="9" style="71"/>
  </cols>
  <sheetData>
    <row r="1" spans="1:24" s="69" customFormat="1" ht="20.100000000000001" customHeight="1" x14ac:dyDescent="0.25">
      <c r="A1" s="168" t="s">
        <v>19</v>
      </c>
      <c r="B1" s="168"/>
      <c r="C1" s="168"/>
      <c r="D1" s="168"/>
      <c r="E1" s="168"/>
      <c r="F1" s="168"/>
      <c r="G1" s="168"/>
      <c r="H1" s="168"/>
      <c r="I1" s="168"/>
      <c r="J1" s="168"/>
      <c r="K1" s="168"/>
      <c r="L1" s="168"/>
      <c r="M1" s="168"/>
      <c r="N1" s="168"/>
      <c r="O1" s="168"/>
      <c r="P1" s="168"/>
      <c r="Q1" s="168"/>
      <c r="R1" s="168"/>
      <c r="S1" s="168"/>
      <c r="T1" s="168"/>
      <c r="U1" s="168"/>
      <c r="V1" s="168"/>
      <c r="W1" s="168"/>
      <c r="X1" s="168"/>
    </row>
    <row r="2" spans="1:24" s="70" customFormat="1" ht="20.100000000000001" customHeight="1" x14ac:dyDescent="0.25">
      <c r="A2" s="169" t="s">
        <v>71</v>
      </c>
      <c r="B2" s="169"/>
      <c r="C2" s="169"/>
      <c r="D2" s="169"/>
      <c r="E2" s="169"/>
      <c r="F2" s="169"/>
      <c r="G2" s="169"/>
      <c r="H2" s="169"/>
      <c r="I2" s="169"/>
      <c r="J2" s="169"/>
      <c r="K2" s="169"/>
      <c r="L2" s="169"/>
      <c r="M2" s="169"/>
      <c r="N2" s="169"/>
      <c r="O2" s="169"/>
      <c r="P2" s="169"/>
      <c r="Q2" s="169"/>
      <c r="R2" s="169"/>
      <c r="S2" s="169"/>
      <c r="T2" s="169"/>
      <c r="U2" s="169"/>
      <c r="V2" s="169"/>
      <c r="W2" s="169"/>
      <c r="X2" s="169"/>
    </row>
    <row r="3" spans="1:24" ht="20.100000000000001" customHeight="1" x14ac:dyDescent="0.25">
      <c r="A3" s="71" t="str">
        <f>底稿目录!A2</f>
        <v>被审计单位名称：</v>
      </c>
      <c r="H3" s="71" t="str">
        <f>底稿目录!A4</f>
        <v>编制人：</v>
      </c>
      <c r="N3" s="71" t="str">
        <f>底稿目录!A5</f>
        <v>编制日期：</v>
      </c>
      <c r="O3" s="72"/>
      <c r="W3" s="86" t="s">
        <v>21</v>
      </c>
      <c r="X3" s="143" t="str">
        <f>底稿目录!F5</f>
        <v>D4-8</v>
      </c>
    </row>
    <row r="4" spans="1:24" ht="20.100000000000001" customHeight="1" x14ac:dyDescent="0.25">
      <c r="A4" s="71" t="str">
        <f>底稿目录!A3</f>
        <v>会计期间：202X年度</v>
      </c>
      <c r="H4" s="71" t="str">
        <f>底稿目录!A6</f>
        <v>复核人：</v>
      </c>
      <c r="N4" s="71" t="str">
        <f>底稿目录!A7</f>
        <v>复核日期：</v>
      </c>
      <c r="O4" s="72"/>
      <c r="W4" s="86" t="s">
        <v>22</v>
      </c>
    </row>
    <row r="5" spans="1:24" s="212" customFormat="1" ht="20.100000000000001" customHeight="1" x14ac:dyDescent="0.25">
      <c r="A5" s="209" t="s">
        <v>23</v>
      </c>
      <c r="C5" s="209"/>
      <c r="G5" s="211"/>
    </row>
    <row r="6" spans="1:24" s="212" customFormat="1" ht="20.100000000000001" customHeight="1" x14ac:dyDescent="0.25">
      <c r="A6" s="210" t="s">
        <v>24</v>
      </c>
      <c r="B6" s="210"/>
      <c r="C6" s="209"/>
      <c r="G6" s="211"/>
    </row>
    <row r="7" spans="1:24" s="212" customFormat="1" ht="20.100000000000001" customHeight="1" x14ac:dyDescent="0.25">
      <c r="A7" s="210" t="s">
        <v>25</v>
      </c>
      <c r="B7" s="210"/>
      <c r="C7" s="209"/>
      <c r="G7" s="211"/>
    </row>
    <row r="8" spans="1:24" s="212" customFormat="1" ht="20.100000000000001" customHeight="1" x14ac:dyDescent="0.25">
      <c r="A8" s="215" t="s">
        <v>26</v>
      </c>
      <c r="B8" s="214"/>
      <c r="C8" s="215"/>
      <c r="G8" s="211"/>
    </row>
    <row r="9" spans="1:24" s="212" customFormat="1" ht="20.100000000000001" customHeight="1" x14ac:dyDescent="0.25">
      <c r="A9" s="219" t="s">
        <v>27</v>
      </c>
      <c r="B9" s="220"/>
      <c r="C9" s="220"/>
      <c r="G9" s="211"/>
    </row>
    <row r="10" spans="1:24" s="212" customFormat="1" ht="20.100000000000001" customHeight="1" x14ac:dyDescent="0.25">
      <c r="A10" s="220"/>
      <c r="B10" s="220"/>
      <c r="C10" s="220"/>
      <c r="G10" s="211"/>
    </row>
    <row r="11" spans="1:24" s="212" customFormat="1" ht="20.100000000000001" customHeight="1" x14ac:dyDescent="0.25">
      <c r="G11" s="211"/>
    </row>
    <row r="12" spans="1:24" s="212" customFormat="1" ht="20.100000000000001" customHeight="1" x14ac:dyDescent="0.25">
      <c r="A12" s="218" t="s">
        <v>72</v>
      </c>
      <c r="B12" s="218"/>
      <c r="C12" s="218"/>
      <c r="G12" s="211"/>
    </row>
    <row r="13" spans="1:24" ht="20.100000000000001" customHeight="1" x14ac:dyDescent="0.25">
      <c r="A13" s="180" t="s">
        <v>73</v>
      </c>
      <c r="B13" s="180" t="s">
        <v>74</v>
      </c>
      <c r="C13" s="180"/>
      <c r="D13" s="180"/>
      <c r="E13" s="180"/>
      <c r="F13" s="180"/>
      <c r="G13" s="180"/>
      <c r="H13" s="180"/>
      <c r="I13" s="180"/>
      <c r="J13" s="180" t="s">
        <v>75</v>
      </c>
      <c r="K13" s="180"/>
      <c r="L13" s="180"/>
      <c r="M13" s="180"/>
      <c r="N13" s="180"/>
      <c r="O13" s="180"/>
      <c r="P13" s="180"/>
      <c r="Q13" s="180"/>
      <c r="R13" s="181" t="s">
        <v>76</v>
      </c>
      <c r="S13" s="182"/>
      <c r="T13" s="182"/>
      <c r="U13" s="182"/>
      <c r="V13" s="182"/>
      <c r="W13" s="183"/>
      <c r="X13" s="190" t="s">
        <v>58</v>
      </c>
    </row>
    <row r="14" spans="1:24" ht="20.100000000000001" customHeight="1" x14ac:dyDescent="0.25">
      <c r="A14" s="180"/>
      <c r="B14" s="184" t="s">
        <v>77</v>
      </c>
      <c r="C14" s="184"/>
      <c r="D14" s="184"/>
      <c r="E14" s="184" t="s">
        <v>78</v>
      </c>
      <c r="F14" s="184"/>
      <c r="G14" s="184"/>
      <c r="H14" s="185" t="s">
        <v>65</v>
      </c>
      <c r="I14" s="185" t="s">
        <v>66</v>
      </c>
      <c r="J14" s="184" t="s">
        <v>77</v>
      </c>
      <c r="K14" s="184"/>
      <c r="L14" s="184"/>
      <c r="M14" s="184" t="s">
        <v>78</v>
      </c>
      <c r="N14" s="184"/>
      <c r="O14" s="184"/>
      <c r="P14" s="185" t="s">
        <v>65</v>
      </c>
      <c r="Q14" s="185" t="s">
        <v>66</v>
      </c>
      <c r="R14" s="193" t="s">
        <v>60</v>
      </c>
      <c r="S14" s="195" t="s">
        <v>63</v>
      </c>
      <c r="T14" s="186" t="s">
        <v>61</v>
      </c>
      <c r="U14" s="186" t="s">
        <v>64</v>
      </c>
      <c r="V14" s="188" t="s">
        <v>65</v>
      </c>
      <c r="W14" s="186" t="s">
        <v>66</v>
      </c>
      <c r="X14" s="191"/>
    </row>
    <row r="15" spans="1:24" ht="36" customHeight="1" x14ac:dyDescent="0.25">
      <c r="A15" s="180"/>
      <c r="B15" s="73" t="s">
        <v>79</v>
      </c>
      <c r="C15" s="74" t="s">
        <v>60</v>
      </c>
      <c r="D15" s="74" t="s">
        <v>80</v>
      </c>
      <c r="E15" s="73" t="s">
        <v>79</v>
      </c>
      <c r="F15" s="74" t="s">
        <v>81</v>
      </c>
      <c r="G15" s="74" t="s">
        <v>80</v>
      </c>
      <c r="H15" s="185"/>
      <c r="I15" s="185"/>
      <c r="J15" s="73" t="s">
        <v>79</v>
      </c>
      <c r="K15" s="74" t="s">
        <v>60</v>
      </c>
      <c r="L15" s="74" t="s">
        <v>80</v>
      </c>
      <c r="M15" s="73" t="s">
        <v>79</v>
      </c>
      <c r="N15" s="74" t="s">
        <v>81</v>
      </c>
      <c r="O15" s="74" t="s">
        <v>80</v>
      </c>
      <c r="P15" s="185"/>
      <c r="Q15" s="185"/>
      <c r="R15" s="194"/>
      <c r="S15" s="196"/>
      <c r="T15" s="187"/>
      <c r="U15" s="187"/>
      <c r="V15" s="189"/>
      <c r="W15" s="187"/>
      <c r="X15" s="192"/>
    </row>
    <row r="16" spans="1:24" ht="20.100000000000001" customHeight="1" x14ac:dyDescent="0.25">
      <c r="A16" s="75">
        <v>1</v>
      </c>
      <c r="B16" s="76"/>
      <c r="C16" s="76"/>
      <c r="D16" s="77"/>
      <c r="E16" s="76"/>
      <c r="F16" s="76"/>
      <c r="G16" s="77"/>
      <c r="H16" s="78">
        <f>D16-G16</f>
        <v>0</v>
      </c>
      <c r="I16" s="84">
        <f>IF(D16=0,0,H16/D16)</f>
        <v>0</v>
      </c>
      <c r="J16" s="76"/>
      <c r="K16" s="76"/>
      <c r="L16" s="77"/>
      <c r="M16" s="76"/>
      <c r="N16" s="76"/>
      <c r="O16" s="77"/>
      <c r="P16" s="78">
        <f>L16-O16</f>
        <v>0</v>
      </c>
      <c r="Q16" s="84">
        <f>IF(L16=0,0,P16/L16)</f>
        <v>0</v>
      </c>
      <c r="R16" s="87" t="e">
        <f>(C16-K16)/K16</f>
        <v>#DIV/0!</v>
      </c>
      <c r="S16" s="87" t="e">
        <f>(F16-N16)/N16</f>
        <v>#DIV/0!</v>
      </c>
      <c r="T16" s="88" t="e">
        <f>(D16-L16)/L16</f>
        <v>#DIV/0!</v>
      </c>
      <c r="U16" s="88" t="e">
        <f>(G16-O16)/O16</f>
        <v>#DIV/0!</v>
      </c>
      <c r="V16" s="88" t="e">
        <f>(H16-P16)/P16</f>
        <v>#DIV/0!</v>
      </c>
      <c r="W16" s="89">
        <f>I16-Q16</f>
        <v>0</v>
      </c>
      <c r="X16" s="90"/>
    </row>
    <row r="17" spans="1:24" ht="20.100000000000001" customHeight="1" x14ac:dyDescent="0.25">
      <c r="A17" s="75">
        <v>2</v>
      </c>
      <c r="B17" s="76"/>
      <c r="C17" s="76"/>
      <c r="D17" s="77"/>
      <c r="E17" s="76"/>
      <c r="F17" s="77"/>
      <c r="G17" s="77"/>
      <c r="H17" s="78">
        <f>D17-G17</f>
        <v>0</v>
      </c>
      <c r="I17" s="84">
        <f>IF(D17=0,0,H17/D17)</f>
        <v>0</v>
      </c>
      <c r="J17" s="76"/>
      <c r="K17" s="76"/>
      <c r="L17" s="77"/>
      <c r="M17" s="76"/>
      <c r="N17" s="77"/>
      <c r="O17" s="77"/>
      <c r="P17" s="78">
        <f>L17-O17</f>
        <v>0</v>
      </c>
      <c r="Q17" s="84">
        <f>IF(L17=0,0,P17/L17)</f>
        <v>0</v>
      </c>
      <c r="R17" s="87" t="e">
        <f t="shared" ref="R17:R28" si="0">(C17-K17)/K17</f>
        <v>#DIV/0!</v>
      </c>
      <c r="S17" s="87" t="e">
        <f t="shared" ref="S17:S28" si="1">(F17-N17)/N17</f>
        <v>#DIV/0!</v>
      </c>
      <c r="T17" s="88" t="e">
        <f t="shared" ref="T17:T28" si="2">(D17-L17)/L17</f>
        <v>#DIV/0!</v>
      </c>
      <c r="U17" s="88" t="e">
        <f t="shared" ref="U17:U28" si="3">(G17-O17)/O17</f>
        <v>#DIV/0!</v>
      </c>
      <c r="V17" s="88" t="e">
        <f t="shared" ref="V17:V28" si="4">(H17-P17)/P17</f>
        <v>#DIV/0!</v>
      </c>
      <c r="W17" s="89">
        <f t="shared" ref="W17:W28" si="5">I17-Q17</f>
        <v>0</v>
      </c>
      <c r="X17" s="90"/>
    </row>
    <row r="18" spans="1:24" ht="20.100000000000001" customHeight="1" x14ac:dyDescent="0.25">
      <c r="A18" s="75">
        <v>3</v>
      </c>
      <c r="B18" s="76"/>
      <c r="C18" s="76"/>
      <c r="D18" s="77"/>
      <c r="E18" s="76"/>
      <c r="F18" s="77"/>
      <c r="G18" s="77"/>
      <c r="H18" s="78">
        <f t="shared" ref="H18:H27" si="6">D18-G18</f>
        <v>0</v>
      </c>
      <c r="I18" s="84">
        <f t="shared" ref="I18:I30" si="7">IF(D18=0,0,H18/D18)</f>
        <v>0</v>
      </c>
      <c r="J18" s="76"/>
      <c r="K18" s="76"/>
      <c r="L18" s="77"/>
      <c r="M18" s="76"/>
      <c r="N18" s="77"/>
      <c r="O18" s="77"/>
      <c r="P18" s="78">
        <f t="shared" ref="P18:P27" si="8">L18-O18</f>
        <v>0</v>
      </c>
      <c r="Q18" s="84">
        <f t="shared" ref="Q18:Q29" si="9">IF(L18=0,0,P18/L18)</f>
        <v>0</v>
      </c>
      <c r="R18" s="87" t="e">
        <f t="shared" si="0"/>
        <v>#DIV/0!</v>
      </c>
      <c r="S18" s="87" t="e">
        <f t="shared" si="1"/>
        <v>#DIV/0!</v>
      </c>
      <c r="T18" s="88" t="e">
        <f t="shared" si="2"/>
        <v>#DIV/0!</v>
      </c>
      <c r="U18" s="88" t="e">
        <f t="shared" si="3"/>
        <v>#DIV/0!</v>
      </c>
      <c r="V18" s="88" t="e">
        <f t="shared" si="4"/>
        <v>#DIV/0!</v>
      </c>
      <c r="W18" s="89">
        <f t="shared" si="5"/>
        <v>0</v>
      </c>
      <c r="X18" s="90"/>
    </row>
    <row r="19" spans="1:24" ht="20.100000000000001" customHeight="1" x14ac:dyDescent="0.25">
      <c r="A19" s="75">
        <v>4</v>
      </c>
      <c r="B19" s="76"/>
      <c r="C19" s="76"/>
      <c r="D19" s="77"/>
      <c r="E19" s="76"/>
      <c r="F19" s="77"/>
      <c r="G19" s="77"/>
      <c r="H19" s="78">
        <f t="shared" si="6"/>
        <v>0</v>
      </c>
      <c r="I19" s="84">
        <f t="shared" si="7"/>
        <v>0</v>
      </c>
      <c r="J19" s="76"/>
      <c r="K19" s="76"/>
      <c r="L19" s="77"/>
      <c r="M19" s="76"/>
      <c r="N19" s="77"/>
      <c r="O19" s="77"/>
      <c r="P19" s="78">
        <f t="shared" si="8"/>
        <v>0</v>
      </c>
      <c r="Q19" s="84">
        <f t="shared" si="9"/>
        <v>0</v>
      </c>
      <c r="R19" s="87" t="e">
        <f t="shared" si="0"/>
        <v>#DIV/0!</v>
      </c>
      <c r="S19" s="87" t="e">
        <f t="shared" si="1"/>
        <v>#DIV/0!</v>
      </c>
      <c r="T19" s="88" t="e">
        <f t="shared" si="2"/>
        <v>#DIV/0!</v>
      </c>
      <c r="U19" s="88" t="e">
        <f t="shared" si="3"/>
        <v>#DIV/0!</v>
      </c>
      <c r="V19" s="88" t="e">
        <f t="shared" si="4"/>
        <v>#DIV/0!</v>
      </c>
      <c r="W19" s="89">
        <f t="shared" si="5"/>
        <v>0</v>
      </c>
      <c r="X19" s="90"/>
    </row>
    <row r="20" spans="1:24" ht="20.100000000000001" customHeight="1" x14ac:dyDescent="0.25">
      <c r="A20" s="75">
        <v>5</v>
      </c>
      <c r="B20" s="76"/>
      <c r="C20" s="76"/>
      <c r="D20" s="77"/>
      <c r="E20" s="76"/>
      <c r="F20" s="77"/>
      <c r="G20" s="77"/>
      <c r="H20" s="78">
        <f t="shared" si="6"/>
        <v>0</v>
      </c>
      <c r="I20" s="84">
        <f t="shared" si="7"/>
        <v>0</v>
      </c>
      <c r="J20" s="76"/>
      <c r="K20" s="76"/>
      <c r="L20" s="77"/>
      <c r="M20" s="76"/>
      <c r="N20" s="77"/>
      <c r="O20" s="77"/>
      <c r="P20" s="78">
        <f t="shared" si="8"/>
        <v>0</v>
      </c>
      <c r="Q20" s="84">
        <f t="shared" si="9"/>
        <v>0</v>
      </c>
      <c r="R20" s="87" t="e">
        <f t="shared" si="0"/>
        <v>#DIV/0!</v>
      </c>
      <c r="S20" s="87" t="e">
        <f t="shared" si="1"/>
        <v>#DIV/0!</v>
      </c>
      <c r="T20" s="88" t="e">
        <f t="shared" si="2"/>
        <v>#DIV/0!</v>
      </c>
      <c r="U20" s="88" t="e">
        <f t="shared" si="3"/>
        <v>#DIV/0!</v>
      </c>
      <c r="V20" s="88" t="e">
        <f t="shared" si="4"/>
        <v>#DIV/0!</v>
      </c>
      <c r="W20" s="89">
        <f t="shared" si="5"/>
        <v>0</v>
      </c>
      <c r="X20" s="90"/>
    </row>
    <row r="21" spans="1:24" ht="20.100000000000001" customHeight="1" x14ac:dyDescent="0.25">
      <c r="A21" s="75">
        <v>6</v>
      </c>
      <c r="B21" s="76"/>
      <c r="C21" s="76"/>
      <c r="D21" s="77"/>
      <c r="E21" s="76"/>
      <c r="F21" s="77"/>
      <c r="G21" s="77"/>
      <c r="H21" s="78">
        <f t="shared" si="6"/>
        <v>0</v>
      </c>
      <c r="I21" s="84">
        <f t="shared" si="7"/>
        <v>0</v>
      </c>
      <c r="J21" s="76"/>
      <c r="K21" s="76"/>
      <c r="L21" s="77"/>
      <c r="M21" s="76"/>
      <c r="N21" s="77"/>
      <c r="O21" s="77"/>
      <c r="P21" s="78">
        <f t="shared" si="8"/>
        <v>0</v>
      </c>
      <c r="Q21" s="84">
        <f t="shared" si="9"/>
        <v>0</v>
      </c>
      <c r="R21" s="87" t="e">
        <f t="shared" si="0"/>
        <v>#DIV/0!</v>
      </c>
      <c r="S21" s="87" t="e">
        <f t="shared" si="1"/>
        <v>#DIV/0!</v>
      </c>
      <c r="T21" s="88" t="e">
        <f t="shared" si="2"/>
        <v>#DIV/0!</v>
      </c>
      <c r="U21" s="88" t="e">
        <f t="shared" si="3"/>
        <v>#DIV/0!</v>
      </c>
      <c r="V21" s="88" t="e">
        <f t="shared" si="4"/>
        <v>#DIV/0!</v>
      </c>
      <c r="W21" s="89">
        <f t="shared" si="5"/>
        <v>0</v>
      </c>
      <c r="X21" s="90"/>
    </row>
    <row r="22" spans="1:24" ht="20.100000000000001" customHeight="1" x14ac:dyDescent="0.25">
      <c r="A22" s="75">
        <v>7</v>
      </c>
      <c r="B22" s="76"/>
      <c r="C22" s="76"/>
      <c r="D22" s="77"/>
      <c r="E22" s="76"/>
      <c r="F22" s="77"/>
      <c r="G22" s="77"/>
      <c r="H22" s="78">
        <f t="shared" si="6"/>
        <v>0</v>
      </c>
      <c r="I22" s="84">
        <f t="shared" si="7"/>
        <v>0</v>
      </c>
      <c r="J22" s="76"/>
      <c r="K22" s="76"/>
      <c r="L22" s="77"/>
      <c r="M22" s="76"/>
      <c r="N22" s="77"/>
      <c r="O22" s="77"/>
      <c r="P22" s="78">
        <f t="shared" si="8"/>
        <v>0</v>
      </c>
      <c r="Q22" s="84">
        <f t="shared" si="9"/>
        <v>0</v>
      </c>
      <c r="R22" s="87" t="e">
        <f t="shared" si="0"/>
        <v>#DIV/0!</v>
      </c>
      <c r="S22" s="87" t="e">
        <f t="shared" si="1"/>
        <v>#DIV/0!</v>
      </c>
      <c r="T22" s="88" t="e">
        <f t="shared" si="2"/>
        <v>#DIV/0!</v>
      </c>
      <c r="U22" s="88" t="e">
        <f t="shared" si="3"/>
        <v>#DIV/0!</v>
      </c>
      <c r="V22" s="88" t="e">
        <f t="shared" si="4"/>
        <v>#DIV/0!</v>
      </c>
      <c r="W22" s="89">
        <f t="shared" si="5"/>
        <v>0</v>
      </c>
      <c r="X22" s="90"/>
    </row>
    <row r="23" spans="1:24" ht="20.100000000000001" customHeight="1" x14ac:dyDescent="0.25">
      <c r="A23" s="75">
        <v>8</v>
      </c>
      <c r="B23" s="76"/>
      <c r="C23" s="76"/>
      <c r="D23" s="77"/>
      <c r="E23" s="76"/>
      <c r="F23" s="77"/>
      <c r="G23" s="77"/>
      <c r="H23" s="78">
        <f t="shared" si="6"/>
        <v>0</v>
      </c>
      <c r="I23" s="84">
        <f t="shared" si="7"/>
        <v>0</v>
      </c>
      <c r="J23" s="76"/>
      <c r="K23" s="76"/>
      <c r="L23" s="77"/>
      <c r="M23" s="76"/>
      <c r="N23" s="77"/>
      <c r="O23" s="77"/>
      <c r="P23" s="78">
        <f t="shared" si="8"/>
        <v>0</v>
      </c>
      <c r="Q23" s="84">
        <f t="shared" si="9"/>
        <v>0</v>
      </c>
      <c r="R23" s="87" t="e">
        <f t="shared" si="0"/>
        <v>#DIV/0!</v>
      </c>
      <c r="S23" s="87" t="e">
        <f t="shared" si="1"/>
        <v>#DIV/0!</v>
      </c>
      <c r="T23" s="88" t="e">
        <f t="shared" si="2"/>
        <v>#DIV/0!</v>
      </c>
      <c r="U23" s="88" t="e">
        <f t="shared" si="3"/>
        <v>#DIV/0!</v>
      </c>
      <c r="V23" s="88" t="e">
        <f t="shared" si="4"/>
        <v>#DIV/0!</v>
      </c>
      <c r="W23" s="89">
        <f t="shared" si="5"/>
        <v>0</v>
      </c>
      <c r="X23" s="90"/>
    </row>
    <row r="24" spans="1:24" ht="20.100000000000001" customHeight="1" x14ac:dyDescent="0.25">
      <c r="A24" s="75">
        <v>9</v>
      </c>
      <c r="B24" s="76"/>
      <c r="C24" s="76"/>
      <c r="D24" s="77"/>
      <c r="E24" s="76"/>
      <c r="F24" s="77"/>
      <c r="G24" s="77"/>
      <c r="H24" s="78">
        <f t="shared" si="6"/>
        <v>0</v>
      </c>
      <c r="I24" s="84">
        <f t="shared" si="7"/>
        <v>0</v>
      </c>
      <c r="J24" s="76"/>
      <c r="K24" s="76"/>
      <c r="L24" s="77"/>
      <c r="M24" s="76"/>
      <c r="N24" s="77"/>
      <c r="O24" s="77"/>
      <c r="P24" s="78">
        <f t="shared" si="8"/>
        <v>0</v>
      </c>
      <c r="Q24" s="84">
        <f t="shared" si="9"/>
        <v>0</v>
      </c>
      <c r="R24" s="87" t="e">
        <f t="shared" si="0"/>
        <v>#DIV/0!</v>
      </c>
      <c r="S24" s="87" t="e">
        <f t="shared" si="1"/>
        <v>#DIV/0!</v>
      </c>
      <c r="T24" s="88" t="e">
        <f t="shared" si="2"/>
        <v>#DIV/0!</v>
      </c>
      <c r="U24" s="88" t="e">
        <f t="shared" si="3"/>
        <v>#DIV/0!</v>
      </c>
      <c r="V24" s="88" t="e">
        <f t="shared" si="4"/>
        <v>#DIV/0!</v>
      </c>
      <c r="W24" s="89">
        <f t="shared" si="5"/>
        <v>0</v>
      </c>
      <c r="X24" s="90"/>
    </row>
    <row r="25" spans="1:24" ht="20.100000000000001" customHeight="1" x14ac:dyDescent="0.25">
      <c r="A25" s="75">
        <v>10</v>
      </c>
      <c r="B25" s="76"/>
      <c r="C25" s="76"/>
      <c r="D25" s="77"/>
      <c r="E25" s="76"/>
      <c r="F25" s="77"/>
      <c r="G25" s="77"/>
      <c r="H25" s="78">
        <f t="shared" si="6"/>
        <v>0</v>
      </c>
      <c r="I25" s="84">
        <f t="shared" si="7"/>
        <v>0</v>
      </c>
      <c r="J25" s="76"/>
      <c r="K25" s="76"/>
      <c r="L25" s="77"/>
      <c r="M25" s="76"/>
      <c r="N25" s="77"/>
      <c r="O25" s="77"/>
      <c r="P25" s="78">
        <f t="shared" si="8"/>
        <v>0</v>
      </c>
      <c r="Q25" s="84">
        <f t="shared" si="9"/>
        <v>0</v>
      </c>
      <c r="R25" s="87" t="e">
        <f t="shared" si="0"/>
        <v>#DIV/0!</v>
      </c>
      <c r="S25" s="87" t="e">
        <f t="shared" si="1"/>
        <v>#DIV/0!</v>
      </c>
      <c r="T25" s="88" t="e">
        <f t="shared" si="2"/>
        <v>#DIV/0!</v>
      </c>
      <c r="U25" s="88" t="e">
        <f t="shared" si="3"/>
        <v>#DIV/0!</v>
      </c>
      <c r="V25" s="88" t="e">
        <f t="shared" si="4"/>
        <v>#DIV/0!</v>
      </c>
      <c r="W25" s="89">
        <f t="shared" si="5"/>
        <v>0</v>
      </c>
      <c r="X25" s="90"/>
    </row>
    <row r="26" spans="1:24" ht="20.100000000000001" customHeight="1" x14ac:dyDescent="0.25">
      <c r="A26" s="75">
        <v>11</v>
      </c>
      <c r="B26" s="76"/>
      <c r="C26" s="76"/>
      <c r="D26" s="77"/>
      <c r="E26" s="76"/>
      <c r="F26" s="77"/>
      <c r="G26" s="77"/>
      <c r="H26" s="78">
        <f t="shared" si="6"/>
        <v>0</v>
      </c>
      <c r="I26" s="84">
        <f t="shared" si="7"/>
        <v>0</v>
      </c>
      <c r="J26" s="76"/>
      <c r="K26" s="76"/>
      <c r="L26" s="77"/>
      <c r="M26" s="76"/>
      <c r="N26" s="77"/>
      <c r="O26" s="77"/>
      <c r="P26" s="78">
        <f t="shared" si="8"/>
        <v>0</v>
      </c>
      <c r="Q26" s="84">
        <f t="shared" si="9"/>
        <v>0</v>
      </c>
      <c r="R26" s="87" t="e">
        <f t="shared" si="0"/>
        <v>#DIV/0!</v>
      </c>
      <c r="S26" s="87" t="e">
        <f t="shared" si="1"/>
        <v>#DIV/0!</v>
      </c>
      <c r="T26" s="88" t="e">
        <f t="shared" si="2"/>
        <v>#DIV/0!</v>
      </c>
      <c r="U26" s="88" t="e">
        <f t="shared" si="3"/>
        <v>#DIV/0!</v>
      </c>
      <c r="V26" s="88" t="e">
        <f t="shared" si="4"/>
        <v>#DIV/0!</v>
      </c>
      <c r="W26" s="89">
        <f t="shared" si="5"/>
        <v>0</v>
      </c>
      <c r="X26" s="90"/>
    </row>
    <row r="27" spans="1:24" ht="20.100000000000001" customHeight="1" x14ac:dyDescent="0.25">
      <c r="A27" s="75">
        <v>12</v>
      </c>
      <c r="B27" s="76"/>
      <c r="C27" s="76"/>
      <c r="D27" s="77"/>
      <c r="E27" s="76"/>
      <c r="F27" s="77"/>
      <c r="G27" s="77"/>
      <c r="H27" s="78">
        <f t="shared" si="6"/>
        <v>0</v>
      </c>
      <c r="I27" s="84">
        <f t="shared" si="7"/>
        <v>0</v>
      </c>
      <c r="J27" s="76"/>
      <c r="K27" s="76"/>
      <c r="L27" s="77"/>
      <c r="M27" s="76"/>
      <c r="N27" s="77"/>
      <c r="O27" s="77"/>
      <c r="P27" s="78">
        <f t="shared" si="8"/>
        <v>0</v>
      </c>
      <c r="Q27" s="84">
        <f t="shared" si="9"/>
        <v>0</v>
      </c>
      <c r="R27" s="87" t="e">
        <f t="shared" si="0"/>
        <v>#DIV/0!</v>
      </c>
      <c r="S27" s="87" t="e">
        <f t="shared" si="1"/>
        <v>#DIV/0!</v>
      </c>
      <c r="T27" s="88" t="e">
        <f t="shared" si="2"/>
        <v>#DIV/0!</v>
      </c>
      <c r="U27" s="88" t="e">
        <f t="shared" si="3"/>
        <v>#DIV/0!</v>
      </c>
      <c r="V27" s="88" t="e">
        <f t="shared" si="4"/>
        <v>#DIV/0!</v>
      </c>
      <c r="W27" s="89">
        <f t="shared" si="5"/>
        <v>0</v>
      </c>
      <c r="X27" s="91"/>
    </row>
    <row r="28" spans="1:24" ht="20.100000000000001" customHeight="1" x14ac:dyDescent="0.25">
      <c r="A28" s="74" t="s">
        <v>67</v>
      </c>
      <c r="B28" s="79">
        <f>SUM(B16:B27)</f>
        <v>0</v>
      </c>
      <c r="C28" s="79">
        <f>IF(B28&lt;&gt;0,D28/B28,0)</f>
        <v>0</v>
      </c>
      <c r="D28" s="79">
        <f>SUM(D16:D27)</f>
        <v>0</v>
      </c>
      <c r="E28" s="79">
        <f>SUM(E16:E27)</f>
        <v>0</v>
      </c>
      <c r="F28" s="79">
        <f>IF(E28&lt;&gt;0,G28/E28,0)</f>
        <v>0</v>
      </c>
      <c r="G28" s="79">
        <f>SUM(G16:G27)</f>
        <v>0</v>
      </c>
      <c r="H28" s="79">
        <f>SUM(H16:H27)</f>
        <v>0</v>
      </c>
      <c r="I28" s="85">
        <f t="shared" si="7"/>
        <v>0</v>
      </c>
      <c r="J28" s="79">
        <f>SUM(J16:J27)</f>
        <v>0</v>
      </c>
      <c r="K28" s="79">
        <f>IF(J28&lt;&gt;0,L28/J28,0)</f>
        <v>0</v>
      </c>
      <c r="L28" s="79">
        <f>SUM(L16:L27)</f>
        <v>0</v>
      </c>
      <c r="M28" s="79">
        <f>SUM(M16:M27)</f>
        <v>0</v>
      </c>
      <c r="N28" s="79">
        <f>IF(M28&lt;&gt;0,O28/M28,0)</f>
        <v>0</v>
      </c>
      <c r="O28" s="79">
        <f>SUM(O16:O27)</f>
        <v>0</v>
      </c>
      <c r="P28" s="79">
        <f>SUM(P16:P27)</f>
        <v>0</v>
      </c>
      <c r="Q28" s="85">
        <f t="shared" si="9"/>
        <v>0</v>
      </c>
      <c r="R28" s="87" t="e">
        <f t="shared" si="0"/>
        <v>#DIV/0!</v>
      </c>
      <c r="S28" s="87" t="e">
        <f t="shared" si="1"/>
        <v>#DIV/0!</v>
      </c>
      <c r="T28" s="88" t="e">
        <f t="shared" si="2"/>
        <v>#DIV/0!</v>
      </c>
      <c r="U28" s="88" t="e">
        <f t="shared" si="3"/>
        <v>#DIV/0!</v>
      </c>
      <c r="V28" s="88" t="e">
        <f t="shared" si="4"/>
        <v>#DIV/0!</v>
      </c>
      <c r="W28" s="89">
        <f t="shared" si="5"/>
        <v>0</v>
      </c>
      <c r="X28" s="92"/>
    </row>
    <row r="29" spans="1:24" ht="27" customHeight="1" x14ac:dyDescent="0.25">
      <c r="A29" s="80" t="s">
        <v>82</v>
      </c>
      <c r="B29" s="81"/>
      <c r="C29" s="81"/>
      <c r="D29" s="82"/>
      <c r="E29" s="82"/>
      <c r="F29" s="82"/>
      <c r="G29" s="82"/>
      <c r="H29" s="78">
        <f>D29-G29</f>
        <v>0</v>
      </c>
      <c r="I29" s="84">
        <f t="shared" si="7"/>
        <v>0</v>
      </c>
      <c r="J29" s="81"/>
      <c r="K29" s="81"/>
      <c r="L29" s="82"/>
      <c r="M29" s="82"/>
      <c r="N29" s="82"/>
      <c r="O29" s="82"/>
      <c r="P29" s="78">
        <f>L29-O29</f>
        <v>0</v>
      </c>
      <c r="Q29" s="84">
        <f t="shared" si="9"/>
        <v>0</v>
      </c>
      <c r="R29" s="87" t="e">
        <f t="shared" ref="R29:R31" si="10">(C29-K29)/K29</f>
        <v>#DIV/0!</v>
      </c>
      <c r="S29" s="87" t="e">
        <f t="shared" ref="S29:S31" si="11">(F29-N29)/N29</f>
        <v>#DIV/0!</v>
      </c>
      <c r="T29" s="88" t="e">
        <f t="shared" ref="T29:T31" si="12">(D29-L29)/L29</f>
        <v>#DIV/0!</v>
      </c>
      <c r="U29" s="88" t="e">
        <f t="shared" ref="U29:U31" si="13">(G29-O29)/O29</f>
        <v>#DIV/0!</v>
      </c>
      <c r="V29" s="88" t="e">
        <f t="shared" ref="V29:V31" si="14">(H29-P29)/P29</f>
        <v>#DIV/0!</v>
      </c>
      <c r="W29" s="89">
        <f t="shared" ref="W29:W31" si="15">I29-Q29</f>
        <v>0</v>
      </c>
      <c r="X29" s="92"/>
    </row>
    <row r="30" spans="1:24" ht="28.5" customHeight="1" x14ac:dyDescent="0.25">
      <c r="A30" s="80" t="s">
        <v>83</v>
      </c>
      <c r="B30" s="81"/>
      <c r="C30" s="81"/>
      <c r="D30" s="82"/>
      <c r="E30" s="82"/>
      <c r="F30" s="82"/>
      <c r="G30" s="82"/>
      <c r="H30" s="78">
        <f>D30-G30</f>
        <v>0</v>
      </c>
      <c r="I30" s="84">
        <f t="shared" si="7"/>
        <v>0</v>
      </c>
      <c r="J30" s="81"/>
      <c r="K30" s="81"/>
      <c r="L30" s="82"/>
      <c r="M30" s="82"/>
      <c r="N30" s="82"/>
      <c r="O30" s="82"/>
      <c r="P30" s="78">
        <f>L30-O30</f>
        <v>0</v>
      </c>
      <c r="Q30" s="84">
        <f t="shared" ref="Q30:Q31" si="16">IF(L30=0,0,P30/L30)</f>
        <v>0</v>
      </c>
      <c r="R30" s="87" t="e">
        <f t="shared" si="10"/>
        <v>#DIV/0!</v>
      </c>
      <c r="S30" s="87" t="e">
        <f t="shared" si="11"/>
        <v>#DIV/0!</v>
      </c>
      <c r="T30" s="88" t="e">
        <f t="shared" si="12"/>
        <v>#DIV/0!</v>
      </c>
      <c r="U30" s="88" t="e">
        <f t="shared" si="13"/>
        <v>#DIV/0!</v>
      </c>
      <c r="V30" s="88" t="e">
        <f t="shared" si="14"/>
        <v>#DIV/0!</v>
      </c>
      <c r="W30" s="89">
        <f t="shared" si="15"/>
        <v>0</v>
      </c>
      <c r="X30" s="92"/>
    </row>
    <row r="31" spans="1:24" ht="20.100000000000001" customHeight="1" x14ac:dyDescent="0.25">
      <c r="A31" s="80" t="s">
        <v>84</v>
      </c>
      <c r="B31" s="83"/>
      <c r="C31" s="83"/>
      <c r="D31" s="82"/>
      <c r="E31" s="82"/>
      <c r="F31" s="82"/>
      <c r="G31" s="82"/>
      <c r="H31" s="78">
        <f t="shared" ref="H31" si="17">D31-G31</f>
        <v>0</v>
      </c>
      <c r="I31" s="84">
        <f t="shared" ref="I31" si="18">IF(D31=0,0,H31/D31)</f>
        <v>0</v>
      </c>
      <c r="J31" s="83"/>
      <c r="K31" s="83"/>
      <c r="L31" s="82"/>
      <c r="M31" s="82"/>
      <c r="N31" s="82"/>
      <c r="O31" s="82"/>
      <c r="P31" s="78">
        <f t="shared" ref="P31" si="19">L31-O31</f>
        <v>0</v>
      </c>
      <c r="Q31" s="84">
        <f t="shared" si="16"/>
        <v>0</v>
      </c>
      <c r="R31" s="87" t="e">
        <f t="shared" si="10"/>
        <v>#DIV/0!</v>
      </c>
      <c r="S31" s="87" t="e">
        <f t="shared" si="11"/>
        <v>#DIV/0!</v>
      </c>
      <c r="T31" s="88" t="e">
        <f t="shared" si="12"/>
        <v>#DIV/0!</v>
      </c>
      <c r="U31" s="88" t="e">
        <f t="shared" si="13"/>
        <v>#DIV/0!</v>
      </c>
      <c r="V31" s="88" t="e">
        <f t="shared" si="14"/>
        <v>#DIV/0!</v>
      </c>
      <c r="W31" s="89">
        <f t="shared" si="15"/>
        <v>0</v>
      </c>
      <c r="X31" s="92"/>
    </row>
    <row r="32" spans="1:24" s="212" customFormat="1" ht="20.100000000000001" customHeight="1" x14ac:dyDescent="0.25">
      <c r="A32" s="221" t="s">
        <v>85</v>
      </c>
      <c r="B32" s="218"/>
      <c r="C32" s="218"/>
      <c r="G32" s="211"/>
    </row>
    <row r="33" spans="1:7" s="212" customFormat="1" ht="20.100000000000001" customHeight="1" x14ac:dyDescent="0.25">
      <c r="A33" s="218"/>
      <c r="B33" s="218"/>
      <c r="C33" s="218"/>
      <c r="G33" s="211"/>
    </row>
    <row r="34" spans="1:7" s="212" customFormat="1" ht="20.100000000000001" customHeight="1" x14ac:dyDescent="0.25">
      <c r="A34" s="218"/>
      <c r="B34" s="218"/>
      <c r="C34" s="218"/>
      <c r="G34" s="211"/>
    </row>
    <row r="35" spans="1:7" s="212" customFormat="1" ht="20.100000000000001" customHeight="1" x14ac:dyDescent="0.25">
      <c r="A35" s="218" t="s">
        <v>52</v>
      </c>
      <c r="B35" s="218"/>
      <c r="C35" s="218"/>
    </row>
    <row r="36" spans="1:7" s="212" customFormat="1" ht="20.100000000000001" customHeight="1" x14ac:dyDescent="0.25"/>
    <row r="37" spans="1:7" s="212" customFormat="1" ht="20.100000000000001" customHeight="1" x14ac:dyDescent="0.25"/>
    <row r="38" spans="1:7" s="212" customFormat="1" ht="20.100000000000001" customHeight="1" x14ac:dyDescent="0.25">
      <c r="A38" s="215" t="s">
        <v>53</v>
      </c>
      <c r="B38" s="218"/>
      <c r="C38" s="218"/>
    </row>
    <row r="39" spans="1:7" s="212" customFormat="1" ht="20.100000000000001" customHeight="1" x14ac:dyDescent="0.25">
      <c r="A39" s="218"/>
      <c r="B39" s="218"/>
      <c r="C39" s="218"/>
    </row>
    <row r="40" spans="1:7" ht="20.100000000000001" customHeight="1" x14ac:dyDescent="0.25">
      <c r="A40" s="3"/>
    </row>
  </sheetData>
  <mergeCells count="21">
    <mergeCell ref="U14:U15"/>
    <mergeCell ref="V14:V15"/>
    <mergeCell ref="W14:W15"/>
    <mergeCell ref="X13:X15"/>
    <mergeCell ref="P14:P15"/>
    <mergeCell ref="Q14:Q15"/>
    <mergeCell ref="R14:R15"/>
    <mergeCell ref="S14:S15"/>
    <mergeCell ref="T14:T15"/>
    <mergeCell ref="B14:D14"/>
    <mergeCell ref="E14:G14"/>
    <mergeCell ref="J14:L14"/>
    <mergeCell ref="M14:O14"/>
    <mergeCell ref="A13:A15"/>
    <mergeCell ref="H14:H15"/>
    <mergeCell ref="I14:I15"/>
    <mergeCell ref="A1:X1"/>
    <mergeCell ref="A2:X2"/>
    <mergeCell ref="B13:I13"/>
    <mergeCell ref="J13:Q13"/>
    <mergeCell ref="R13:W13"/>
  </mergeCells>
  <phoneticPr fontId="28" type="noConversion"/>
  <hyperlinks>
    <hyperlink ref="X3" location="底稿目录!A1" display="D4-7"/>
  </hyperlinks>
  <pageMargins left="0.70833333333333304" right="0.70833333333333304" top="0.74791666666666701" bottom="0.74791666666666701" header="0.31458333333333299" footer="0.31458333333333299"/>
  <pageSetup paperSize="9" scale="6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62"/>
  <sheetViews>
    <sheetView view="pageBreakPreview" zoomScaleNormal="100" zoomScaleSheetLayoutView="100" workbookViewId="0">
      <selection sqref="A1:G1"/>
    </sheetView>
  </sheetViews>
  <sheetFormatPr defaultColWidth="9" defaultRowHeight="20.100000000000001" customHeight="1" x14ac:dyDescent="0.25"/>
  <cols>
    <col min="1" max="1" width="8.44140625" style="2" customWidth="1"/>
    <col min="2" max="2" width="13.44140625" style="2" customWidth="1"/>
    <col min="3" max="3" width="12" style="2" customWidth="1"/>
    <col min="4" max="4" width="11.77734375" style="2" customWidth="1"/>
    <col min="5" max="5" width="11.44140625" style="2" customWidth="1"/>
    <col min="6" max="7" width="11.77734375" style="2" customWidth="1"/>
    <col min="8" max="16384" width="9" style="2"/>
  </cols>
  <sheetData>
    <row r="1" spans="1:8" s="1" customFormat="1" ht="20.100000000000001" customHeight="1" x14ac:dyDescent="0.25">
      <c r="A1" s="198" t="s">
        <v>19</v>
      </c>
      <c r="B1" s="198"/>
      <c r="C1" s="198"/>
      <c r="D1" s="198"/>
      <c r="E1" s="198"/>
      <c r="F1" s="198"/>
      <c r="G1" s="198"/>
    </row>
    <row r="2" spans="1:8" s="1" customFormat="1" ht="20.100000000000001" customHeight="1" x14ac:dyDescent="0.25">
      <c r="A2" s="199" t="s">
        <v>86</v>
      </c>
      <c r="B2" s="199"/>
      <c r="C2" s="199"/>
      <c r="D2" s="199"/>
      <c r="E2" s="199"/>
      <c r="F2" s="199"/>
      <c r="G2" s="199"/>
    </row>
    <row r="3" spans="1:8" ht="20.100000000000001" customHeight="1" x14ac:dyDescent="0.25">
      <c r="A3" s="3" t="str">
        <f>底稿目录!A2</f>
        <v>被审计单位名称：</v>
      </c>
      <c r="C3" s="3" t="str">
        <f>底稿目录!A4</f>
        <v>编制人：</v>
      </c>
      <c r="E3" s="3" t="str">
        <f>底稿目录!A5</f>
        <v>编制日期：</v>
      </c>
      <c r="F3" s="20" t="s">
        <v>21</v>
      </c>
      <c r="G3" s="142" t="str">
        <f>底稿目录!F6</f>
        <v>D4-9</v>
      </c>
    </row>
    <row r="4" spans="1:8" ht="20.100000000000001" customHeight="1" x14ac:dyDescent="0.25">
      <c r="A4" s="3" t="str">
        <f>底稿目录!A3</f>
        <v>会计期间：202X年度</v>
      </c>
      <c r="C4" s="3" t="str">
        <f>底稿目录!A6</f>
        <v>复核人：</v>
      </c>
      <c r="E4" s="3" t="str">
        <f>底稿目录!A7</f>
        <v>复核日期：</v>
      </c>
      <c r="F4" s="20" t="s">
        <v>22</v>
      </c>
    </row>
    <row r="5" spans="1:8" s="3" customFormat="1" ht="20.100000000000001" customHeight="1" x14ac:dyDescent="0.25">
      <c r="A5" s="5" t="s">
        <v>23</v>
      </c>
      <c r="B5" s="6"/>
      <c r="C5" s="6"/>
      <c r="D5" s="6"/>
      <c r="E5" s="6"/>
      <c r="F5" s="6"/>
      <c r="G5" s="6"/>
      <c r="H5" s="6"/>
    </row>
    <row r="6" spans="1:8" s="3" customFormat="1" ht="20.100000000000001" customHeight="1" x14ac:dyDescent="0.25">
      <c r="A6" s="3" t="s">
        <v>55</v>
      </c>
      <c r="C6" s="6"/>
      <c r="D6" s="6"/>
      <c r="E6" s="6"/>
      <c r="F6" s="6"/>
      <c r="G6" s="6"/>
      <c r="H6" s="6"/>
    </row>
    <row r="7" spans="1:8" s="3" customFormat="1" ht="20.100000000000001" customHeight="1" x14ac:dyDescent="0.25">
      <c r="A7" s="5" t="s">
        <v>26</v>
      </c>
      <c r="B7" s="6"/>
      <c r="C7" s="6"/>
      <c r="D7" s="6"/>
      <c r="E7" s="6"/>
      <c r="F7" s="6"/>
      <c r="G7" s="6"/>
      <c r="H7" s="6"/>
    </row>
    <row r="8" spans="1:8" s="3" customFormat="1" ht="20.100000000000001" customHeight="1" x14ac:dyDescent="0.25">
      <c r="A8" s="7" t="s">
        <v>27</v>
      </c>
      <c r="B8" s="6"/>
      <c r="C8" s="6"/>
      <c r="D8" s="6"/>
      <c r="E8" s="6"/>
      <c r="F8" s="6"/>
      <c r="G8" s="6"/>
      <c r="H8" s="6"/>
    </row>
    <row r="9" spans="1:8" s="3" customFormat="1" ht="20.100000000000001" customHeight="1" x14ac:dyDescent="0.25">
      <c r="A9" s="7"/>
      <c r="B9" s="6"/>
      <c r="C9" s="6"/>
      <c r="D9" s="6"/>
      <c r="E9" s="6"/>
      <c r="F9" s="6"/>
      <c r="G9" s="6"/>
      <c r="H9" s="6"/>
    </row>
    <row r="10" spans="1:8" s="3" customFormat="1" ht="20.100000000000001" customHeight="1" x14ac:dyDescent="0.25">
      <c r="A10" s="7"/>
      <c r="B10" s="6"/>
      <c r="C10" s="6"/>
      <c r="D10" s="6"/>
      <c r="E10" s="6"/>
      <c r="F10" s="6"/>
      <c r="G10" s="6"/>
      <c r="H10" s="6"/>
    </row>
    <row r="11" spans="1:8" s="3" customFormat="1" ht="20.100000000000001" customHeight="1" x14ac:dyDescent="0.25">
      <c r="A11" s="45" t="s">
        <v>87</v>
      </c>
      <c r="B11" s="6"/>
      <c r="C11" s="6"/>
      <c r="D11" s="6"/>
      <c r="E11" s="6"/>
      <c r="F11" s="6"/>
      <c r="G11" s="6"/>
      <c r="H11" s="6"/>
    </row>
    <row r="12" spans="1:8" s="3" customFormat="1" ht="20.100000000000001" customHeight="1" x14ac:dyDescent="0.25">
      <c r="A12" s="46" t="s">
        <v>2</v>
      </c>
      <c r="B12" s="47" t="s">
        <v>88</v>
      </c>
      <c r="C12" s="46" t="s">
        <v>89</v>
      </c>
      <c r="D12" s="46" t="s">
        <v>90</v>
      </c>
      <c r="E12" s="46" t="s">
        <v>91</v>
      </c>
      <c r="F12" s="46" t="s">
        <v>92</v>
      </c>
      <c r="G12" s="46" t="s">
        <v>93</v>
      </c>
      <c r="H12" s="6"/>
    </row>
    <row r="13" spans="1:8" s="3" customFormat="1" ht="20.100000000000001" customHeight="1" x14ac:dyDescent="0.25">
      <c r="A13" s="48">
        <v>1</v>
      </c>
      <c r="B13" s="49"/>
      <c r="C13" s="50"/>
      <c r="D13" s="33">
        <f t="shared" ref="D13:D23" si="0">IF(C13=0,0,C13/$C$24)</f>
        <v>0</v>
      </c>
      <c r="E13" s="50"/>
      <c r="F13" s="33">
        <f t="shared" ref="F13:F23" si="1">IF(E13=0,0,E13/$E$24)</f>
        <v>0</v>
      </c>
      <c r="G13" s="51"/>
      <c r="H13" s="6"/>
    </row>
    <row r="14" spans="1:8" s="3" customFormat="1" ht="20.100000000000001" customHeight="1" x14ac:dyDescent="0.25">
      <c r="A14" s="48">
        <v>2</v>
      </c>
      <c r="B14" s="49"/>
      <c r="C14" s="50"/>
      <c r="D14" s="33">
        <f t="shared" si="0"/>
        <v>0</v>
      </c>
      <c r="E14" s="50"/>
      <c r="F14" s="33">
        <f t="shared" si="1"/>
        <v>0</v>
      </c>
      <c r="G14" s="51"/>
      <c r="H14" s="6"/>
    </row>
    <row r="15" spans="1:8" s="3" customFormat="1" ht="20.100000000000001" customHeight="1" x14ac:dyDescent="0.25">
      <c r="A15" s="48">
        <v>3</v>
      </c>
      <c r="B15" s="49"/>
      <c r="C15" s="50"/>
      <c r="D15" s="33">
        <f t="shared" si="0"/>
        <v>0</v>
      </c>
      <c r="E15" s="50"/>
      <c r="F15" s="33">
        <f t="shared" si="1"/>
        <v>0</v>
      </c>
      <c r="G15" s="51"/>
      <c r="H15" s="6"/>
    </row>
    <row r="16" spans="1:8" s="3" customFormat="1" ht="20.100000000000001" customHeight="1" x14ac:dyDescent="0.25">
      <c r="A16" s="48">
        <v>4</v>
      </c>
      <c r="B16" s="49"/>
      <c r="C16" s="50"/>
      <c r="D16" s="33">
        <f t="shared" si="0"/>
        <v>0</v>
      </c>
      <c r="E16" s="50"/>
      <c r="F16" s="33">
        <f t="shared" si="1"/>
        <v>0</v>
      </c>
      <c r="G16" s="51"/>
      <c r="H16" s="6"/>
    </row>
    <row r="17" spans="1:8" s="3" customFormat="1" ht="20.100000000000001" customHeight="1" x14ac:dyDescent="0.25">
      <c r="A17" s="48">
        <v>5</v>
      </c>
      <c r="B17" s="49"/>
      <c r="C17" s="50"/>
      <c r="D17" s="33">
        <f t="shared" si="0"/>
        <v>0</v>
      </c>
      <c r="E17" s="50"/>
      <c r="F17" s="33">
        <f t="shared" si="1"/>
        <v>0</v>
      </c>
      <c r="G17" s="51"/>
      <c r="H17" s="6"/>
    </row>
    <row r="18" spans="1:8" s="3" customFormat="1" ht="20.100000000000001" customHeight="1" x14ac:dyDescent="0.25">
      <c r="A18" s="48">
        <v>6</v>
      </c>
      <c r="B18" s="49"/>
      <c r="C18" s="50"/>
      <c r="D18" s="33">
        <f t="shared" si="0"/>
        <v>0</v>
      </c>
      <c r="E18" s="50"/>
      <c r="F18" s="33">
        <f t="shared" si="1"/>
        <v>0</v>
      </c>
      <c r="G18" s="51"/>
      <c r="H18" s="6"/>
    </row>
    <row r="19" spans="1:8" s="3" customFormat="1" ht="20.100000000000001" customHeight="1" x14ac:dyDescent="0.25">
      <c r="A19" s="48">
        <v>7</v>
      </c>
      <c r="B19" s="49"/>
      <c r="C19" s="50"/>
      <c r="D19" s="33">
        <f t="shared" si="0"/>
        <v>0</v>
      </c>
      <c r="E19" s="50"/>
      <c r="F19" s="33">
        <f t="shared" si="1"/>
        <v>0</v>
      </c>
      <c r="G19" s="51"/>
      <c r="H19" s="6"/>
    </row>
    <row r="20" spans="1:8" s="3" customFormat="1" ht="20.100000000000001" customHeight="1" x14ac:dyDescent="0.25">
      <c r="A20" s="48">
        <v>8</v>
      </c>
      <c r="B20" s="49"/>
      <c r="C20" s="50"/>
      <c r="D20" s="33">
        <f t="shared" si="0"/>
        <v>0</v>
      </c>
      <c r="E20" s="50"/>
      <c r="F20" s="33">
        <f t="shared" si="1"/>
        <v>0</v>
      </c>
      <c r="G20" s="51"/>
      <c r="H20" s="6"/>
    </row>
    <row r="21" spans="1:8" s="3" customFormat="1" ht="20.100000000000001" customHeight="1" x14ac:dyDescent="0.25">
      <c r="A21" s="48">
        <v>9</v>
      </c>
      <c r="B21" s="49"/>
      <c r="C21" s="50"/>
      <c r="D21" s="33">
        <f t="shared" si="0"/>
        <v>0</v>
      </c>
      <c r="E21" s="50"/>
      <c r="F21" s="33">
        <f t="shared" si="1"/>
        <v>0</v>
      </c>
      <c r="G21" s="51"/>
      <c r="H21" s="6"/>
    </row>
    <row r="22" spans="1:8" s="3" customFormat="1" ht="20.100000000000001" customHeight="1" x14ac:dyDescent="0.25">
      <c r="A22" s="48">
        <v>10</v>
      </c>
      <c r="B22" s="49"/>
      <c r="C22" s="50"/>
      <c r="D22" s="33">
        <f t="shared" si="0"/>
        <v>0</v>
      </c>
      <c r="E22" s="50"/>
      <c r="F22" s="33">
        <f t="shared" si="1"/>
        <v>0</v>
      </c>
      <c r="G22" s="51"/>
      <c r="H22" s="6"/>
    </row>
    <row r="23" spans="1:8" s="3" customFormat="1" ht="20.100000000000001" customHeight="1" x14ac:dyDescent="0.25">
      <c r="A23" s="200" t="s">
        <v>67</v>
      </c>
      <c r="B23" s="200"/>
      <c r="C23" s="52">
        <f>SUM(C13:C22)</f>
        <v>0</v>
      </c>
      <c r="D23" s="53">
        <f t="shared" si="0"/>
        <v>0</v>
      </c>
      <c r="E23" s="54">
        <f>SUM(E13:E22)</f>
        <v>0</v>
      </c>
      <c r="F23" s="53">
        <f t="shared" si="1"/>
        <v>0</v>
      </c>
      <c r="G23" s="55"/>
      <c r="H23" s="6"/>
    </row>
    <row r="24" spans="1:8" s="3" customFormat="1" ht="20.100000000000001" customHeight="1" x14ac:dyDescent="0.25">
      <c r="A24" s="201" t="s">
        <v>94</v>
      </c>
      <c r="B24" s="201"/>
      <c r="C24" s="56">
        <f>'毛利率分析表D4-7'!D26</f>
        <v>0</v>
      </c>
      <c r="D24" s="57"/>
      <c r="E24" s="58">
        <f>'毛利率分析表D4-7'!B26</f>
        <v>0</v>
      </c>
      <c r="F24" s="57"/>
      <c r="G24" s="59"/>
      <c r="H24" s="6"/>
    </row>
    <row r="25" spans="1:8" s="3" customFormat="1" ht="20.100000000000001" customHeight="1" x14ac:dyDescent="0.25">
      <c r="A25" s="45" t="s">
        <v>95</v>
      </c>
      <c r="B25" s="6"/>
      <c r="C25" s="6"/>
      <c r="D25" s="6"/>
      <c r="E25" s="6"/>
      <c r="F25" s="6"/>
      <c r="G25" s="6"/>
      <c r="H25" s="6"/>
    </row>
    <row r="26" spans="1:8" s="3" customFormat="1" ht="20.100000000000001" customHeight="1" x14ac:dyDescent="0.25">
      <c r="A26" s="46" t="s">
        <v>2</v>
      </c>
      <c r="B26" s="47" t="s">
        <v>88</v>
      </c>
      <c r="C26" s="46" t="s">
        <v>89</v>
      </c>
      <c r="D26" s="46" t="s">
        <v>90</v>
      </c>
      <c r="E26" s="46" t="s">
        <v>91</v>
      </c>
      <c r="F26" s="46" t="s">
        <v>92</v>
      </c>
      <c r="G26" s="46" t="s">
        <v>93</v>
      </c>
      <c r="H26" s="6"/>
    </row>
    <row r="27" spans="1:8" s="3" customFormat="1" ht="20.100000000000001" customHeight="1" x14ac:dyDescent="0.25">
      <c r="A27" s="60">
        <v>1</v>
      </c>
      <c r="B27" s="49"/>
      <c r="C27" s="61"/>
      <c r="D27" s="33">
        <f t="shared" ref="D27:D37" si="2">IF(C27=0,0,C27/$C$38)</f>
        <v>0</v>
      </c>
      <c r="E27" s="61"/>
      <c r="F27" s="62">
        <f t="shared" ref="F27:F37" si="3">IF(E27=0,0,E27/$E$38)</f>
        <v>0</v>
      </c>
      <c r="G27" s="49"/>
      <c r="H27" s="6"/>
    </row>
    <row r="28" spans="1:8" s="3" customFormat="1" ht="20.100000000000001" customHeight="1" x14ac:dyDescent="0.25">
      <c r="A28" s="60">
        <v>2</v>
      </c>
      <c r="B28" s="49"/>
      <c r="C28" s="61"/>
      <c r="D28" s="33">
        <f t="shared" si="2"/>
        <v>0</v>
      </c>
      <c r="E28" s="61"/>
      <c r="F28" s="62">
        <f t="shared" si="3"/>
        <v>0</v>
      </c>
      <c r="G28" s="49"/>
      <c r="H28" s="6"/>
    </row>
    <row r="29" spans="1:8" s="3" customFormat="1" ht="20.100000000000001" customHeight="1" x14ac:dyDescent="0.25">
      <c r="A29" s="60">
        <v>3</v>
      </c>
      <c r="B29" s="49"/>
      <c r="C29" s="61"/>
      <c r="D29" s="33">
        <f t="shared" si="2"/>
        <v>0</v>
      </c>
      <c r="E29" s="61"/>
      <c r="F29" s="62">
        <f t="shared" si="3"/>
        <v>0</v>
      </c>
      <c r="G29" s="49"/>
      <c r="H29" s="6"/>
    </row>
    <row r="30" spans="1:8" s="3" customFormat="1" ht="20.100000000000001" customHeight="1" x14ac:dyDescent="0.25">
      <c r="A30" s="60">
        <v>4</v>
      </c>
      <c r="B30" s="49"/>
      <c r="C30" s="61"/>
      <c r="D30" s="33">
        <f t="shared" si="2"/>
        <v>0</v>
      </c>
      <c r="E30" s="61"/>
      <c r="F30" s="62">
        <f t="shared" si="3"/>
        <v>0</v>
      </c>
      <c r="G30" s="49"/>
      <c r="H30" s="6"/>
    </row>
    <row r="31" spans="1:8" s="3" customFormat="1" ht="20.100000000000001" customHeight="1" x14ac:dyDescent="0.25">
      <c r="A31" s="60">
        <v>5</v>
      </c>
      <c r="B31" s="49"/>
      <c r="C31" s="61"/>
      <c r="D31" s="33">
        <f t="shared" si="2"/>
        <v>0</v>
      </c>
      <c r="E31" s="61"/>
      <c r="F31" s="62">
        <f t="shared" si="3"/>
        <v>0</v>
      </c>
      <c r="G31" s="49"/>
      <c r="H31" s="6"/>
    </row>
    <row r="32" spans="1:8" s="3" customFormat="1" ht="20.100000000000001" customHeight="1" x14ac:dyDescent="0.25">
      <c r="A32" s="60">
        <v>6</v>
      </c>
      <c r="B32" s="49"/>
      <c r="C32" s="61"/>
      <c r="D32" s="33">
        <f t="shared" si="2"/>
        <v>0</v>
      </c>
      <c r="E32" s="61"/>
      <c r="F32" s="62">
        <f t="shared" si="3"/>
        <v>0</v>
      </c>
      <c r="G32" s="49"/>
      <c r="H32" s="6"/>
    </row>
    <row r="33" spans="1:8" s="3" customFormat="1" ht="20.100000000000001" customHeight="1" x14ac:dyDescent="0.25">
      <c r="A33" s="60">
        <v>7</v>
      </c>
      <c r="B33" s="49"/>
      <c r="C33" s="61"/>
      <c r="D33" s="33">
        <f t="shared" si="2"/>
        <v>0</v>
      </c>
      <c r="E33" s="61"/>
      <c r="F33" s="62">
        <f t="shared" si="3"/>
        <v>0</v>
      </c>
      <c r="G33" s="49"/>
      <c r="H33" s="6"/>
    </row>
    <row r="34" spans="1:8" s="3" customFormat="1" ht="20.100000000000001" customHeight="1" x14ac:dyDescent="0.25">
      <c r="A34" s="60">
        <v>8</v>
      </c>
      <c r="B34" s="49"/>
      <c r="C34" s="61"/>
      <c r="D34" s="33">
        <f t="shared" si="2"/>
        <v>0</v>
      </c>
      <c r="E34" s="61"/>
      <c r="F34" s="62">
        <f t="shared" si="3"/>
        <v>0</v>
      </c>
      <c r="G34" s="49"/>
      <c r="H34" s="6"/>
    </row>
    <row r="35" spans="1:8" s="3" customFormat="1" ht="20.100000000000001" customHeight="1" x14ac:dyDescent="0.25">
      <c r="A35" s="60">
        <v>9</v>
      </c>
      <c r="B35" s="49"/>
      <c r="C35" s="61"/>
      <c r="D35" s="33">
        <f t="shared" si="2"/>
        <v>0</v>
      </c>
      <c r="E35" s="61"/>
      <c r="F35" s="62">
        <f t="shared" si="3"/>
        <v>0</v>
      </c>
      <c r="G35" s="49"/>
      <c r="H35" s="6"/>
    </row>
    <row r="36" spans="1:8" s="3" customFormat="1" ht="20.100000000000001" customHeight="1" x14ac:dyDescent="0.25">
      <c r="A36" s="60">
        <v>10</v>
      </c>
      <c r="B36" s="49"/>
      <c r="C36" s="61"/>
      <c r="D36" s="33">
        <f t="shared" si="2"/>
        <v>0</v>
      </c>
      <c r="E36" s="61"/>
      <c r="F36" s="62">
        <f t="shared" si="3"/>
        <v>0</v>
      </c>
      <c r="G36" s="49"/>
      <c r="H36" s="6"/>
    </row>
    <row r="37" spans="1:8" s="3" customFormat="1" ht="20.100000000000001" customHeight="1" x14ac:dyDescent="0.25">
      <c r="A37" s="200" t="s">
        <v>67</v>
      </c>
      <c r="B37" s="200"/>
      <c r="C37" s="52">
        <f>SUM(C27:C36)</f>
        <v>0</v>
      </c>
      <c r="D37" s="53">
        <f t="shared" si="2"/>
        <v>0</v>
      </c>
      <c r="E37" s="54">
        <f>SUM(E27:E36)</f>
        <v>0</v>
      </c>
      <c r="F37" s="53">
        <f t="shared" si="3"/>
        <v>0</v>
      </c>
      <c r="G37" s="63"/>
      <c r="H37" s="6"/>
    </row>
    <row r="38" spans="1:8" s="3" customFormat="1" ht="20.100000000000001" customHeight="1" x14ac:dyDescent="0.25">
      <c r="A38" s="197" t="s">
        <v>94</v>
      </c>
      <c r="B38" s="197"/>
      <c r="C38" s="222">
        <f>'毛利率分析表D4-7'!L26</f>
        <v>0</v>
      </c>
      <c r="D38" s="64"/>
      <c r="E38" s="222">
        <f>'毛利率分析表D4-7'!J26</f>
        <v>0</v>
      </c>
      <c r="F38" s="64"/>
      <c r="G38" s="49"/>
      <c r="H38" s="6"/>
    </row>
    <row r="39" spans="1:8" s="3" customFormat="1" ht="20.100000000000001" customHeight="1" x14ac:dyDescent="0.25">
      <c r="A39" s="5" t="s">
        <v>52</v>
      </c>
      <c r="B39" s="6"/>
      <c r="C39" s="6"/>
      <c r="D39" s="6"/>
      <c r="E39" s="6"/>
      <c r="F39" s="6"/>
      <c r="G39" s="6"/>
      <c r="H39" s="6"/>
    </row>
    <row r="40" spans="1:8" s="3" customFormat="1" ht="20.100000000000001" customHeight="1" x14ac:dyDescent="0.25">
      <c r="A40" s="6" t="s">
        <v>96</v>
      </c>
      <c r="C40" s="6"/>
      <c r="D40" s="6"/>
      <c r="E40" s="6"/>
      <c r="F40" s="6"/>
      <c r="G40" s="6"/>
      <c r="H40" s="6"/>
    </row>
    <row r="41" spans="1:8" s="3" customFormat="1" ht="20.100000000000001" customHeight="1" x14ac:dyDescent="0.25">
      <c r="A41" s="7" t="s">
        <v>97</v>
      </c>
      <c r="C41" s="6"/>
      <c r="D41" s="6"/>
      <c r="E41" s="6"/>
      <c r="F41" s="6"/>
      <c r="G41" s="6"/>
      <c r="H41" s="6"/>
    </row>
    <row r="42" spans="1:8" s="3" customFormat="1" ht="20.100000000000001" customHeight="1" x14ac:dyDescent="0.25">
      <c r="A42" s="6" t="s">
        <v>98</v>
      </c>
      <c r="C42" s="6"/>
      <c r="D42" s="6"/>
      <c r="E42" s="6"/>
      <c r="F42" s="6"/>
      <c r="G42" s="6"/>
      <c r="H42" s="6"/>
    </row>
    <row r="43" spans="1:8" s="3" customFormat="1" ht="20.100000000000001" customHeight="1" x14ac:dyDescent="0.25">
      <c r="A43" s="7" t="s">
        <v>97</v>
      </c>
      <c r="C43" s="6"/>
      <c r="D43" s="6"/>
      <c r="E43" s="6"/>
      <c r="F43" s="6"/>
      <c r="G43" s="6"/>
      <c r="H43" s="6"/>
    </row>
    <row r="44" spans="1:8" s="3" customFormat="1" ht="20.100000000000001" customHeight="1" x14ac:dyDescent="0.25">
      <c r="A44" s="5" t="s">
        <v>53</v>
      </c>
      <c r="B44" s="6"/>
      <c r="C44" s="6"/>
      <c r="D44" s="6"/>
      <c r="E44" s="6"/>
      <c r="F44" s="6"/>
      <c r="G44" s="6"/>
      <c r="H44" s="6"/>
    </row>
    <row r="45" spans="1:8" s="3" customFormat="1" ht="20.100000000000001" customHeight="1" x14ac:dyDescent="0.25">
      <c r="A45" s="5"/>
      <c r="B45" s="6"/>
      <c r="C45" s="6"/>
      <c r="D45" s="6"/>
      <c r="E45" s="6"/>
      <c r="F45" s="6"/>
      <c r="G45" s="6"/>
      <c r="H45" s="6"/>
    </row>
    <row r="46" spans="1:8" ht="20.100000000000001" customHeight="1" x14ac:dyDescent="0.25">
      <c r="A46" s="65" t="s">
        <v>99</v>
      </c>
      <c r="B46" s="66"/>
      <c r="C46" s="67"/>
      <c r="D46" s="68"/>
      <c r="E46" s="67"/>
      <c r="F46" s="68"/>
      <c r="G46" s="68"/>
    </row>
    <row r="47" spans="1:8" ht="20.100000000000001" customHeight="1" x14ac:dyDescent="0.25">
      <c r="A47" s="65" t="s">
        <v>100</v>
      </c>
      <c r="B47" s="66"/>
      <c r="C47" s="68"/>
      <c r="D47" s="68"/>
      <c r="E47" s="68"/>
      <c r="F47" s="68"/>
      <c r="G47" s="68"/>
    </row>
    <row r="48" spans="1:8" ht="20.100000000000001" customHeight="1" x14ac:dyDescent="0.25">
      <c r="A48" s="65" t="s">
        <v>101</v>
      </c>
    </row>
    <row r="49" spans="1:19" ht="20.100000000000001" customHeight="1" x14ac:dyDescent="0.25">
      <c r="A49" s="65" t="s">
        <v>102</v>
      </c>
    </row>
    <row r="50" spans="1:19" ht="20.100000000000001" customHeight="1" x14ac:dyDescent="0.25">
      <c r="A50" s="65" t="s">
        <v>103</v>
      </c>
    </row>
    <row r="51" spans="1:19" ht="20.100000000000001" customHeight="1" x14ac:dyDescent="0.25">
      <c r="A51" s="27"/>
    </row>
    <row r="52" spans="1:19" ht="20.100000000000001" customHeight="1" x14ac:dyDescent="0.25">
      <c r="A52" s="27"/>
    </row>
    <row r="53" spans="1:19" ht="20.100000000000001" customHeight="1" x14ac:dyDescent="0.25">
      <c r="B53" s="27"/>
      <c r="C53" s="27"/>
      <c r="D53" s="27"/>
      <c r="E53" s="27"/>
      <c r="F53"/>
      <c r="G53" s="27"/>
      <c r="H53"/>
      <c r="I53"/>
      <c r="J53"/>
      <c r="K53"/>
      <c r="L53"/>
      <c r="M53"/>
      <c r="N53"/>
      <c r="O53"/>
      <c r="P53"/>
      <c r="Q53"/>
      <c r="R53"/>
      <c r="S53"/>
    </row>
    <row r="54" spans="1:19" ht="20.100000000000001" customHeight="1" x14ac:dyDescent="0.25">
      <c r="B54" s="27"/>
      <c r="C54" s="27"/>
      <c r="D54" s="27"/>
      <c r="E54" s="27"/>
      <c r="G54" s="27"/>
      <c r="H54"/>
      <c r="I54"/>
      <c r="J54"/>
      <c r="K54"/>
      <c r="L54"/>
      <c r="M54"/>
      <c r="N54"/>
      <c r="O54"/>
      <c r="P54"/>
      <c r="Q54"/>
      <c r="R54"/>
      <c r="S54"/>
    </row>
    <row r="55" spans="1:19" ht="20.100000000000001" customHeight="1" x14ac:dyDescent="0.25">
      <c r="B55" s="27"/>
      <c r="C55" s="27"/>
      <c r="D55" s="27"/>
      <c r="E55" s="27"/>
      <c r="G55" s="27"/>
      <c r="H55"/>
      <c r="I55"/>
      <c r="J55"/>
      <c r="K55"/>
      <c r="L55"/>
      <c r="M55"/>
      <c r="N55"/>
      <c r="O55"/>
      <c r="P55"/>
      <c r="Q55"/>
      <c r="R55"/>
      <c r="S55"/>
    </row>
    <row r="56" spans="1:19" ht="20.100000000000001" customHeight="1" x14ac:dyDescent="0.25">
      <c r="B56" s="27"/>
      <c r="C56" s="27"/>
      <c r="D56" s="27"/>
      <c r="E56" s="27"/>
      <c r="F56" s="27"/>
      <c r="G56" s="27"/>
      <c r="H56"/>
      <c r="I56"/>
      <c r="J56"/>
      <c r="K56"/>
      <c r="L56"/>
      <c r="M56"/>
      <c r="N56"/>
      <c r="O56"/>
      <c r="P56"/>
      <c r="Q56"/>
      <c r="R56"/>
      <c r="S56"/>
    </row>
    <row r="57" spans="1:19" ht="20.100000000000001" customHeight="1" x14ac:dyDescent="0.25">
      <c r="B57"/>
      <c r="C57"/>
      <c r="D57"/>
      <c r="E57"/>
      <c r="F57"/>
      <c r="G57"/>
      <c r="H57"/>
      <c r="I57"/>
      <c r="J57"/>
      <c r="K57"/>
      <c r="L57"/>
      <c r="M57"/>
      <c r="N57"/>
      <c r="O57"/>
      <c r="P57"/>
      <c r="Q57"/>
      <c r="R57"/>
      <c r="S57"/>
    </row>
    <row r="58" spans="1:19" ht="20.100000000000001" customHeight="1" x14ac:dyDescent="0.25">
      <c r="A58" s="38"/>
      <c r="B58" s="26"/>
    </row>
    <row r="59" spans="1:19" ht="20.100000000000001" customHeight="1" x14ac:dyDescent="0.25">
      <c r="A59" s="38"/>
      <c r="B59" s="26"/>
    </row>
    <row r="60" spans="1:19" ht="20.100000000000001" customHeight="1" x14ac:dyDescent="0.25">
      <c r="A60" s="38"/>
      <c r="B60" s="26"/>
    </row>
    <row r="61" spans="1:19" ht="20.100000000000001" customHeight="1" x14ac:dyDescent="0.25">
      <c r="A61" s="38"/>
      <c r="B61" s="26"/>
    </row>
    <row r="62" spans="1:19" ht="20.100000000000001" customHeight="1" x14ac:dyDescent="0.25">
      <c r="A62"/>
      <c r="B62"/>
    </row>
  </sheetData>
  <mergeCells count="6">
    <mergeCell ref="A38:B38"/>
    <mergeCell ref="A1:G1"/>
    <mergeCell ref="A2:G2"/>
    <mergeCell ref="A23:B23"/>
    <mergeCell ref="A24:B24"/>
    <mergeCell ref="A37:B37"/>
  </mergeCells>
  <phoneticPr fontId="28" type="noConversion"/>
  <hyperlinks>
    <hyperlink ref="G3" location="底稿目录!A1" display="D4-8"/>
  </hyperlinks>
  <pageMargins left="0.70833333333333304" right="0.70833333333333304" top="0.74791666666666701" bottom="0.74791666666666701" header="0.31458333333333299" footer="0.31458333333333299"/>
  <pageSetup paperSize="9"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49"/>
  <sheetViews>
    <sheetView view="pageBreakPreview" zoomScaleNormal="100" workbookViewId="0">
      <selection sqref="A1:N1"/>
    </sheetView>
  </sheetViews>
  <sheetFormatPr defaultColWidth="9" defaultRowHeight="20.100000000000001" customHeight="1" x14ac:dyDescent="0.25"/>
  <cols>
    <col min="2" max="2" width="10.44140625" customWidth="1"/>
    <col min="7" max="7" width="12.21875" customWidth="1"/>
    <col min="8" max="8" width="10.109375" customWidth="1"/>
    <col min="9" max="9" width="12" customWidth="1"/>
  </cols>
  <sheetData>
    <row r="1" spans="1:20" ht="20.100000000000001" customHeight="1" x14ac:dyDescent="0.25">
      <c r="A1" s="202" t="s">
        <v>19</v>
      </c>
      <c r="B1" s="202"/>
      <c r="C1" s="202"/>
      <c r="D1" s="202"/>
      <c r="E1" s="202"/>
      <c r="F1" s="202"/>
      <c r="G1" s="202"/>
      <c r="H1" s="202"/>
      <c r="I1" s="202"/>
      <c r="J1" s="202"/>
      <c r="K1" s="202"/>
      <c r="L1" s="202"/>
      <c r="M1" s="202"/>
      <c r="N1" s="202"/>
    </row>
    <row r="2" spans="1:20" ht="20.100000000000001" customHeight="1" x14ac:dyDescent="0.25">
      <c r="A2" s="203" t="s">
        <v>15</v>
      </c>
      <c r="B2" s="203"/>
      <c r="C2" s="203"/>
      <c r="D2" s="203"/>
      <c r="E2" s="203"/>
      <c r="F2" s="203"/>
      <c r="G2" s="203"/>
      <c r="H2" s="203"/>
      <c r="I2" s="203"/>
      <c r="J2" s="203"/>
      <c r="K2" s="203"/>
      <c r="L2" s="203"/>
      <c r="M2" s="203"/>
      <c r="N2" s="203"/>
    </row>
    <row r="3" spans="1:20" ht="20.100000000000001" customHeight="1" x14ac:dyDescent="0.25">
      <c r="A3" s="24" t="s">
        <v>1</v>
      </c>
      <c r="B3" s="25"/>
      <c r="C3" s="25"/>
      <c r="F3" s="24" t="s">
        <v>6</v>
      </c>
      <c r="G3" s="25"/>
      <c r="H3" s="25"/>
      <c r="I3" s="24" t="s">
        <v>8</v>
      </c>
      <c r="L3" s="39"/>
      <c r="M3" s="40" t="s">
        <v>21</v>
      </c>
      <c r="N3" s="143" t="str">
        <f>底稿目录!F7</f>
        <v>D4-10</v>
      </c>
    </row>
    <row r="4" spans="1:20" ht="20.100000000000001" customHeight="1" x14ac:dyDescent="0.25">
      <c r="A4" s="24" t="s">
        <v>104</v>
      </c>
      <c r="B4" s="25"/>
      <c r="C4" s="25"/>
      <c r="F4" s="24" t="s">
        <v>11</v>
      </c>
      <c r="G4" s="25"/>
      <c r="H4" s="25"/>
      <c r="I4" s="24" t="s">
        <v>14</v>
      </c>
      <c r="L4" s="25"/>
      <c r="M4" s="40" t="s">
        <v>22</v>
      </c>
      <c r="N4" s="25"/>
    </row>
    <row r="5" spans="1:20" s="223" customFormat="1" ht="20.100000000000001" customHeight="1" x14ac:dyDescent="0.25">
      <c r="A5" s="209" t="s">
        <v>54</v>
      </c>
      <c r="B5" s="210"/>
      <c r="C5" s="210"/>
      <c r="D5" s="210"/>
      <c r="E5" s="210"/>
      <c r="F5" s="210"/>
      <c r="G5" s="210"/>
      <c r="H5" s="210"/>
      <c r="I5" s="210"/>
      <c r="J5" s="210"/>
      <c r="K5" s="210"/>
      <c r="L5" s="210"/>
      <c r="M5" s="210"/>
      <c r="N5" s="210"/>
    </row>
    <row r="6" spans="1:20" s="223" customFormat="1" ht="20.100000000000001" customHeight="1" x14ac:dyDescent="0.25">
      <c r="A6" s="210" t="s">
        <v>105</v>
      </c>
      <c r="B6" s="210"/>
      <c r="C6" s="210"/>
      <c r="D6" s="210"/>
      <c r="E6" s="210"/>
      <c r="F6" s="210"/>
      <c r="G6" s="210"/>
      <c r="H6" s="210"/>
      <c r="I6" s="210"/>
      <c r="J6" s="210"/>
      <c r="K6" s="210"/>
      <c r="L6" s="210"/>
      <c r="M6" s="210"/>
      <c r="N6" s="210"/>
    </row>
    <row r="7" spans="1:20" s="223" customFormat="1" ht="20.100000000000001" customHeight="1" x14ac:dyDescent="0.25">
      <c r="A7" s="209" t="s">
        <v>26</v>
      </c>
      <c r="B7" s="210"/>
      <c r="C7" s="210"/>
      <c r="D7" s="210"/>
      <c r="E7" s="210"/>
      <c r="F7" s="210"/>
      <c r="G7" s="210"/>
      <c r="H7" s="210"/>
      <c r="I7" s="210"/>
      <c r="J7" s="210"/>
      <c r="K7" s="210"/>
      <c r="L7" s="210"/>
      <c r="M7" s="210"/>
      <c r="N7" s="210"/>
    </row>
    <row r="8" spans="1:20" s="223" customFormat="1" ht="20.100000000000001" customHeight="1" x14ac:dyDescent="0.25">
      <c r="A8" s="224" t="s">
        <v>27</v>
      </c>
      <c r="B8" s="212"/>
      <c r="C8" s="210"/>
      <c r="D8" s="210"/>
      <c r="E8" s="210"/>
      <c r="F8" s="210"/>
      <c r="G8" s="210"/>
      <c r="H8" s="210"/>
      <c r="I8" s="210"/>
      <c r="J8" s="210"/>
      <c r="K8" s="210"/>
      <c r="L8" s="210"/>
      <c r="M8" s="210"/>
      <c r="N8" s="210"/>
    </row>
    <row r="9" spans="1:20" s="223" customFormat="1" ht="20.100000000000001" customHeight="1" x14ac:dyDescent="0.25">
      <c r="A9" s="224"/>
      <c r="B9" s="210"/>
      <c r="C9" s="210"/>
      <c r="D9" s="210"/>
      <c r="E9" s="210"/>
      <c r="F9" s="210"/>
      <c r="G9" s="210"/>
      <c r="H9" s="210"/>
      <c r="I9" s="210"/>
      <c r="J9" s="210"/>
      <c r="K9" s="210"/>
      <c r="L9" s="210"/>
      <c r="M9" s="210"/>
      <c r="N9" s="210"/>
    </row>
    <row r="10" spans="1:20" s="223" customFormat="1" ht="20.100000000000001" customHeight="1" x14ac:dyDescent="0.25">
      <c r="A10" s="210"/>
      <c r="B10" s="210"/>
      <c r="C10" s="210"/>
      <c r="D10" s="210"/>
      <c r="E10" s="210"/>
      <c r="F10" s="210"/>
      <c r="G10" s="210"/>
      <c r="H10" s="210"/>
      <c r="I10" s="210"/>
      <c r="J10" s="210"/>
      <c r="K10" s="210"/>
      <c r="L10" s="210"/>
      <c r="M10" s="210"/>
      <c r="N10" s="210"/>
    </row>
    <row r="11" spans="1:20" ht="20.100000000000001" customHeight="1" x14ac:dyDescent="0.25">
      <c r="A11" s="204" t="s">
        <v>2</v>
      </c>
      <c r="B11" s="207" t="s">
        <v>88</v>
      </c>
      <c r="C11" s="204" t="s">
        <v>106</v>
      </c>
      <c r="D11" s="204" t="s">
        <v>107</v>
      </c>
      <c r="E11" s="205"/>
      <c r="F11" s="205"/>
      <c r="G11" s="205"/>
      <c r="H11" s="204" t="s">
        <v>108</v>
      </c>
      <c r="I11" s="204"/>
      <c r="J11" s="204"/>
      <c r="K11" s="204"/>
      <c r="L11" s="204"/>
      <c r="M11" s="204"/>
      <c r="N11" s="204"/>
    </row>
    <row r="12" spans="1:20" ht="27" customHeight="1" x14ac:dyDescent="0.25">
      <c r="A12" s="204"/>
      <c r="B12" s="208"/>
      <c r="C12" s="204"/>
      <c r="D12" s="28" t="s">
        <v>109</v>
      </c>
      <c r="E12" s="28" t="s">
        <v>110</v>
      </c>
      <c r="F12" s="28" t="s">
        <v>111</v>
      </c>
      <c r="G12" s="28" t="s">
        <v>110</v>
      </c>
      <c r="H12" s="28" t="s">
        <v>112</v>
      </c>
      <c r="I12" s="10" t="s">
        <v>113</v>
      </c>
      <c r="J12" s="28" t="s">
        <v>114</v>
      </c>
      <c r="K12" s="9" t="s">
        <v>115</v>
      </c>
      <c r="L12" s="9" t="s">
        <v>116</v>
      </c>
      <c r="M12" s="28" t="s">
        <v>114</v>
      </c>
      <c r="N12" s="9" t="s">
        <v>115</v>
      </c>
      <c r="R12" s="27"/>
      <c r="S12" s="27"/>
      <c r="T12" s="27"/>
    </row>
    <row r="13" spans="1:20" ht="20.100000000000001" customHeight="1" x14ac:dyDescent="0.25">
      <c r="A13" s="29">
        <v>1</v>
      </c>
      <c r="B13" s="30" t="s">
        <v>117</v>
      </c>
      <c r="C13" s="31" t="s">
        <v>118</v>
      </c>
      <c r="D13" s="32"/>
      <c r="E13" s="33">
        <f>IF(D13=0,0,D13/$D$34)</f>
        <v>0</v>
      </c>
      <c r="F13" s="34"/>
      <c r="G13" s="33">
        <f>IF(F13=0,0,F13/$F$34)</f>
        <v>0</v>
      </c>
      <c r="H13" s="35">
        <v>0</v>
      </c>
      <c r="I13" s="41"/>
      <c r="J13" s="42">
        <f>IF(AND(I13=0,H13=0),0,IF(AND(I13=0,H13&gt;0),1,(H13-I13)/I13))</f>
        <v>0</v>
      </c>
      <c r="K13" s="43"/>
      <c r="L13" s="43"/>
      <c r="M13" s="42">
        <f>IF(AND(L13=0,H13=0),0,IF(AND(L13=0,H13&gt;0),1,(H13-L13)/L13))</f>
        <v>0</v>
      </c>
      <c r="N13" s="43"/>
      <c r="R13" s="27"/>
      <c r="S13" s="27"/>
      <c r="T13" s="27"/>
    </row>
    <row r="14" spans="1:20" ht="20.100000000000001" customHeight="1" x14ac:dyDescent="0.25">
      <c r="A14" s="29"/>
      <c r="B14" s="36"/>
      <c r="C14" s="31" t="s">
        <v>119</v>
      </c>
      <c r="D14" s="32"/>
      <c r="E14" s="33">
        <f t="shared" ref="E14:E33" si="0">IF(D14=0,0,D14/$D$34)</f>
        <v>0</v>
      </c>
      <c r="F14" s="34"/>
      <c r="G14" s="33">
        <f t="shared" ref="G14:G33" si="1">IF(F14=0,0,F14/$F$34)</f>
        <v>0</v>
      </c>
      <c r="H14" s="35">
        <v>0</v>
      </c>
      <c r="I14" s="41"/>
      <c r="J14" s="42">
        <f t="shared" ref="J14:J33" si="2">IF(AND(I14=0,H14=0),0,IF(AND(I14=0,H14&gt;0),1,(H14-I14)/I14))</f>
        <v>0</v>
      </c>
      <c r="K14" s="43"/>
      <c r="L14" s="43"/>
      <c r="M14" s="42">
        <f t="shared" ref="M14:M33" si="3">IF(AND(L14=0,H14=0),0,IF(AND(L14=0,H14&gt;0),1,(H14-L14)/L14))</f>
        <v>0</v>
      </c>
      <c r="N14" s="43"/>
      <c r="R14" s="27"/>
      <c r="S14" s="27"/>
      <c r="T14" s="27"/>
    </row>
    <row r="15" spans="1:20" ht="20.100000000000001" customHeight="1" x14ac:dyDescent="0.25">
      <c r="A15" s="29"/>
      <c r="B15" s="36"/>
      <c r="C15" s="31" t="s">
        <v>120</v>
      </c>
      <c r="D15" s="32"/>
      <c r="E15" s="33">
        <f t="shared" si="0"/>
        <v>0</v>
      </c>
      <c r="F15" s="34"/>
      <c r="G15" s="33">
        <f t="shared" si="1"/>
        <v>0</v>
      </c>
      <c r="H15" s="35">
        <v>0</v>
      </c>
      <c r="I15" s="41"/>
      <c r="J15" s="42">
        <f t="shared" si="2"/>
        <v>0</v>
      </c>
      <c r="K15" s="43"/>
      <c r="L15" s="43"/>
      <c r="M15" s="42">
        <f t="shared" si="3"/>
        <v>0</v>
      </c>
      <c r="N15" s="43"/>
      <c r="R15" s="27"/>
      <c r="S15" s="27"/>
      <c r="T15" s="27"/>
    </row>
    <row r="16" spans="1:20" ht="20.100000000000001" customHeight="1" x14ac:dyDescent="0.25">
      <c r="A16" s="29">
        <v>2</v>
      </c>
      <c r="B16" s="30" t="s">
        <v>121</v>
      </c>
      <c r="C16" s="31" t="s">
        <v>118</v>
      </c>
      <c r="D16" s="32"/>
      <c r="E16" s="33">
        <f t="shared" si="0"/>
        <v>0</v>
      </c>
      <c r="F16" s="34"/>
      <c r="G16" s="33">
        <f t="shared" si="1"/>
        <v>0</v>
      </c>
      <c r="H16" s="35">
        <v>0</v>
      </c>
      <c r="I16" s="41"/>
      <c r="J16" s="42">
        <f t="shared" si="2"/>
        <v>0</v>
      </c>
      <c r="K16" s="43"/>
      <c r="L16" s="43"/>
      <c r="M16" s="42">
        <f t="shared" si="3"/>
        <v>0</v>
      </c>
      <c r="N16" s="43"/>
    </row>
    <row r="17" spans="1:14" ht="20.100000000000001" customHeight="1" x14ac:dyDescent="0.25">
      <c r="A17" s="29"/>
      <c r="B17" s="36"/>
      <c r="C17" s="31" t="s">
        <v>119</v>
      </c>
      <c r="D17" s="32"/>
      <c r="E17" s="33">
        <f t="shared" si="0"/>
        <v>0</v>
      </c>
      <c r="F17" s="34"/>
      <c r="G17" s="33">
        <f t="shared" si="1"/>
        <v>0</v>
      </c>
      <c r="H17" s="35">
        <v>0</v>
      </c>
      <c r="I17" s="41"/>
      <c r="J17" s="42">
        <f t="shared" si="2"/>
        <v>0</v>
      </c>
      <c r="K17" s="43"/>
      <c r="L17" s="43"/>
      <c r="M17" s="42">
        <f t="shared" si="3"/>
        <v>0</v>
      </c>
      <c r="N17" s="43"/>
    </row>
    <row r="18" spans="1:14" ht="20.100000000000001" customHeight="1" x14ac:dyDescent="0.25">
      <c r="A18" s="29"/>
      <c r="B18" s="36"/>
      <c r="C18" s="31" t="s">
        <v>120</v>
      </c>
      <c r="D18" s="32"/>
      <c r="E18" s="33">
        <f t="shared" si="0"/>
        <v>0</v>
      </c>
      <c r="F18" s="34"/>
      <c r="G18" s="33">
        <f t="shared" si="1"/>
        <v>0</v>
      </c>
      <c r="H18" s="35">
        <v>0</v>
      </c>
      <c r="I18" s="41"/>
      <c r="J18" s="42">
        <f t="shared" si="2"/>
        <v>0</v>
      </c>
      <c r="K18" s="43"/>
      <c r="L18" s="43"/>
      <c r="M18" s="42">
        <f t="shared" si="3"/>
        <v>0</v>
      </c>
      <c r="N18" s="43"/>
    </row>
    <row r="19" spans="1:14" ht="20.100000000000001" customHeight="1" x14ac:dyDescent="0.25">
      <c r="A19" s="29">
        <v>3</v>
      </c>
      <c r="B19" s="30" t="s">
        <v>122</v>
      </c>
      <c r="C19" s="31" t="s">
        <v>118</v>
      </c>
      <c r="D19" s="32"/>
      <c r="E19" s="33">
        <f t="shared" si="0"/>
        <v>0</v>
      </c>
      <c r="F19" s="34"/>
      <c r="G19" s="33">
        <f t="shared" si="1"/>
        <v>0</v>
      </c>
      <c r="H19" s="35">
        <v>0</v>
      </c>
      <c r="I19" s="41"/>
      <c r="J19" s="42">
        <f t="shared" si="2"/>
        <v>0</v>
      </c>
      <c r="K19" s="43"/>
      <c r="L19" s="43"/>
      <c r="M19" s="42">
        <f t="shared" si="3"/>
        <v>0</v>
      </c>
      <c r="N19" s="43"/>
    </row>
    <row r="20" spans="1:14" ht="20.100000000000001" customHeight="1" x14ac:dyDescent="0.25">
      <c r="A20" s="29"/>
      <c r="B20" s="36"/>
      <c r="C20" s="31" t="s">
        <v>119</v>
      </c>
      <c r="D20" s="32"/>
      <c r="E20" s="33">
        <f t="shared" si="0"/>
        <v>0</v>
      </c>
      <c r="F20" s="34"/>
      <c r="G20" s="33">
        <f t="shared" si="1"/>
        <v>0</v>
      </c>
      <c r="H20" s="35">
        <v>0</v>
      </c>
      <c r="I20" s="41"/>
      <c r="J20" s="42">
        <f t="shared" si="2"/>
        <v>0</v>
      </c>
      <c r="K20" s="43"/>
      <c r="L20" s="43"/>
      <c r="M20" s="42">
        <f t="shared" si="3"/>
        <v>0</v>
      </c>
      <c r="N20" s="43"/>
    </row>
    <row r="21" spans="1:14" ht="20.100000000000001" customHeight="1" x14ac:dyDescent="0.25">
      <c r="A21" s="29"/>
      <c r="B21" s="36"/>
      <c r="C21" s="31" t="s">
        <v>120</v>
      </c>
      <c r="D21" s="32"/>
      <c r="E21" s="33">
        <f t="shared" si="0"/>
        <v>0</v>
      </c>
      <c r="F21" s="34"/>
      <c r="G21" s="33">
        <f t="shared" si="1"/>
        <v>0</v>
      </c>
      <c r="H21" s="35">
        <v>0</v>
      </c>
      <c r="I21" s="41"/>
      <c r="J21" s="42">
        <f t="shared" si="2"/>
        <v>0</v>
      </c>
      <c r="K21" s="43"/>
      <c r="L21" s="43"/>
      <c r="M21" s="42">
        <f t="shared" si="3"/>
        <v>0</v>
      </c>
      <c r="N21" s="43"/>
    </row>
    <row r="22" spans="1:14" ht="20.100000000000001" customHeight="1" x14ac:dyDescent="0.25">
      <c r="A22" s="29">
        <v>4</v>
      </c>
      <c r="B22" s="30" t="s">
        <v>123</v>
      </c>
      <c r="C22" s="31" t="s">
        <v>118</v>
      </c>
      <c r="D22" s="32"/>
      <c r="E22" s="33">
        <f t="shared" si="0"/>
        <v>0</v>
      </c>
      <c r="F22" s="34"/>
      <c r="G22" s="33">
        <f t="shared" si="1"/>
        <v>0</v>
      </c>
      <c r="H22" s="35">
        <v>0</v>
      </c>
      <c r="I22" s="41"/>
      <c r="J22" s="42">
        <f t="shared" si="2"/>
        <v>0</v>
      </c>
      <c r="K22" s="43"/>
      <c r="L22" s="43"/>
      <c r="M22" s="42">
        <f t="shared" si="3"/>
        <v>0</v>
      </c>
      <c r="N22" s="43"/>
    </row>
    <row r="23" spans="1:14" ht="20.100000000000001" customHeight="1" x14ac:dyDescent="0.25">
      <c r="A23" s="29"/>
      <c r="B23" s="36"/>
      <c r="C23" s="31" t="s">
        <v>119</v>
      </c>
      <c r="D23" s="32"/>
      <c r="E23" s="33">
        <f t="shared" si="0"/>
        <v>0</v>
      </c>
      <c r="F23" s="34"/>
      <c r="G23" s="33">
        <f t="shared" si="1"/>
        <v>0</v>
      </c>
      <c r="H23" s="35">
        <v>0</v>
      </c>
      <c r="I23" s="41"/>
      <c r="J23" s="42">
        <f t="shared" si="2"/>
        <v>0</v>
      </c>
      <c r="K23" s="43"/>
      <c r="L23" s="43"/>
      <c r="M23" s="42">
        <f t="shared" si="3"/>
        <v>0</v>
      </c>
      <c r="N23" s="43"/>
    </row>
    <row r="24" spans="1:14" ht="20.100000000000001" customHeight="1" x14ac:dyDescent="0.25">
      <c r="A24" s="29"/>
      <c r="B24" s="36"/>
      <c r="C24" s="31" t="s">
        <v>120</v>
      </c>
      <c r="D24" s="32"/>
      <c r="E24" s="33">
        <f t="shared" si="0"/>
        <v>0</v>
      </c>
      <c r="F24" s="34"/>
      <c r="G24" s="33">
        <f t="shared" si="1"/>
        <v>0</v>
      </c>
      <c r="H24" s="35">
        <v>0</v>
      </c>
      <c r="I24" s="41"/>
      <c r="J24" s="42">
        <f t="shared" si="2"/>
        <v>0</v>
      </c>
      <c r="K24" s="43"/>
      <c r="L24" s="43"/>
      <c r="M24" s="42">
        <f t="shared" si="3"/>
        <v>0</v>
      </c>
      <c r="N24" s="43"/>
    </row>
    <row r="25" spans="1:14" ht="20.100000000000001" customHeight="1" x14ac:dyDescent="0.25">
      <c r="A25" s="29">
        <v>5</v>
      </c>
      <c r="B25" s="30" t="s">
        <v>124</v>
      </c>
      <c r="C25" s="31" t="s">
        <v>118</v>
      </c>
      <c r="D25" s="32"/>
      <c r="E25" s="33">
        <f t="shared" si="0"/>
        <v>0</v>
      </c>
      <c r="F25" s="34"/>
      <c r="G25" s="33">
        <f t="shared" si="1"/>
        <v>0</v>
      </c>
      <c r="H25" s="35">
        <v>0</v>
      </c>
      <c r="I25" s="41"/>
      <c r="J25" s="42">
        <f t="shared" si="2"/>
        <v>0</v>
      </c>
      <c r="K25" s="43"/>
      <c r="L25" s="43"/>
      <c r="M25" s="42">
        <f t="shared" si="3"/>
        <v>0</v>
      </c>
      <c r="N25" s="43"/>
    </row>
    <row r="26" spans="1:14" ht="20.100000000000001" customHeight="1" x14ac:dyDescent="0.25">
      <c r="A26" s="29"/>
      <c r="B26" s="36"/>
      <c r="C26" s="31" t="s">
        <v>119</v>
      </c>
      <c r="D26" s="32"/>
      <c r="E26" s="33">
        <f t="shared" si="0"/>
        <v>0</v>
      </c>
      <c r="F26" s="34"/>
      <c r="G26" s="33">
        <f t="shared" si="1"/>
        <v>0</v>
      </c>
      <c r="H26" s="35">
        <v>0</v>
      </c>
      <c r="I26" s="41"/>
      <c r="J26" s="42">
        <f t="shared" si="2"/>
        <v>0</v>
      </c>
      <c r="K26" s="43"/>
      <c r="L26" s="43"/>
      <c r="M26" s="42">
        <f t="shared" si="3"/>
        <v>0</v>
      </c>
      <c r="N26" s="43"/>
    </row>
    <row r="27" spans="1:14" ht="20.100000000000001" customHeight="1" x14ac:dyDescent="0.25">
      <c r="A27" s="29"/>
      <c r="B27" s="36"/>
      <c r="C27" s="31" t="s">
        <v>120</v>
      </c>
      <c r="D27" s="32"/>
      <c r="E27" s="33">
        <f t="shared" si="0"/>
        <v>0</v>
      </c>
      <c r="F27" s="34"/>
      <c r="G27" s="33">
        <f t="shared" si="1"/>
        <v>0</v>
      </c>
      <c r="H27" s="35">
        <v>0</v>
      </c>
      <c r="I27" s="41"/>
      <c r="J27" s="42">
        <f t="shared" si="2"/>
        <v>0</v>
      </c>
      <c r="K27" s="43"/>
      <c r="L27" s="43"/>
      <c r="M27" s="42">
        <f t="shared" si="3"/>
        <v>0</v>
      </c>
      <c r="N27" s="43"/>
    </row>
    <row r="28" spans="1:14" ht="20.100000000000001" customHeight="1" x14ac:dyDescent="0.25">
      <c r="A28" s="29">
        <v>6</v>
      </c>
      <c r="B28" s="36" t="s">
        <v>125</v>
      </c>
      <c r="C28" s="31" t="s">
        <v>118</v>
      </c>
      <c r="D28" s="32"/>
      <c r="E28" s="33">
        <f t="shared" si="0"/>
        <v>0</v>
      </c>
      <c r="F28" s="34"/>
      <c r="G28" s="33">
        <f t="shared" si="1"/>
        <v>0</v>
      </c>
      <c r="H28" s="35">
        <v>0</v>
      </c>
      <c r="I28" s="41"/>
      <c r="J28" s="42">
        <f t="shared" si="2"/>
        <v>0</v>
      </c>
      <c r="K28" s="43"/>
      <c r="L28" s="43"/>
      <c r="M28" s="42">
        <f t="shared" si="3"/>
        <v>0</v>
      </c>
      <c r="N28" s="43"/>
    </row>
    <row r="29" spans="1:14" ht="20.100000000000001" customHeight="1" x14ac:dyDescent="0.25">
      <c r="A29" s="29"/>
      <c r="B29" s="36"/>
      <c r="C29" s="31" t="s">
        <v>119</v>
      </c>
      <c r="D29" s="32"/>
      <c r="E29" s="33">
        <f t="shared" si="0"/>
        <v>0</v>
      </c>
      <c r="F29" s="34"/>
      <c r="G29" s="33">
        <f t="shared" si="1"/>
        <v>0</v>
      </c>
      <c r="H29" s="35">
        <v>0</v>
      </c>
      <c r="I29" s="41"/>
      <c r="J29" s="42">
        <f t="shared" si="2"/>
        <v>0</v>
      </c>
      <c r="K29" s="43"/>
      <c r="L29" s="43"/>
      <c r="M29" s="42">
        <f t="shared" si="3"/>
        <v>0</v>
      </c>
      <c r="N29" s="43"/>
    </row>
    <row r="30" spans="1:14" ht="20.100000000000001" customHeight="1" x14ac:dyDescent="0.25">
      <c r="A30" s="29"/>
      <c r="B30" s="36"/>
      <c r="C30" s="31" t="s">
        <v>120</v>
      </c>
      <c r="D30" s="32"/>
      <c r="E30" s="33">
        <f t="shared" si="0"/>
        <v>0</v>
      </c>
      <c r="F30" s="34"/>
      <c r="G30" s="33">
        <f t="shared" si="1"/>
        <v>0</v>
      </c>
      <c r="H30" s="35">
        <v>0</v>
      </c>
      <c r="I30" s="41"/>
      <c r="J30" s="42">
        <f t="shared" si="2"/>
        <v>0</v>
      </c>
      <c r="K30" s="43"/>
      <c r="L30" s="43"/>
      <c r="M30" s="42">
        <f t="shared" si="3"/>
        <v>0</v>
      </c>
      <c r="N30" s="43"/>
    </row>
    <row r="31" spans="1:14" ht="20.100000000000001" customHeight="1" x14ac:dyDescent="0.25">
      <c r="A31" s="29">
        <v>7</v>
      </c>
      <c r="B31" s="36" t="s">
        <v>126</v>
      </c>
      <c r="C31" s="31" t="s">
        <v>118</v>
      </c>
      <c r="D31" s="32"/>
      <c r="E31" s="33">
        <f t="shared" si="0"/>
        <v>0</v>
      </c>
      <c r="F31" s="34"/>
      <c r="G31" s="33">
        <f t="shared" si="1"/>
        <v>0</v>
      </c>
      <c r="H31" s="35">
        <v>0</v>
      </c>
      <c r="I31" s="41"/>
      <c r="J31" s="42">
        <f t="shared" si="2"/>
        <v>0</v>
      </c>
      <c r="K31" s="43"/>
      <c r="L31" s="43"/>
      <c r="M31" s="42">
        <f t="shared" si="3"/>
        <v>0</v>
      </c>
      <c r="N31" s="43"/>
    </row>
    <row r="32" spans="1:14" ht="20.100000000000001" customHeight="1" x14ac:dyDescent="0.25">
      <c r="A32" s="29"/>
      <c r="B32" s="36"/>
      <c r="C32" s="31" t="s">
        <v>119</v>
      </c>
      <c r="D32" s="32"/>
      <c r="E32" s="33">
        <f t="shared" si="0"/>
        <v>0</v>
      </c>
      <c r="F32" s="34"/>
      <c r="G32" s="33">
        <f t="shared" si="1"/>
        <v>0</v>
      </c>
      <c r="H32" s="35">
        <v>0</v>
      </c>
      <c r="I32" s="41"/>
      <c r="J32" s="42">
        <f t="shared" si="2"/>
        <v>0</v>
      </c>
      <c r="K32" s="43"/>
      <c r="L32" s="43"/>
      <c r="M32" s="42">
        <f t="shared" si="3"/>
        <v>0</v>
      </c>
      <c r="N32" s="43"/>
    </row>
    <row r="33" spans="1:14" ht="20.100000000000001" customHeight="1" x14ac:dyDescent="0.25">
      <c r="A33" s="29"/>
      <c r="B33" s="31"/>
      <c r="C33" s="31" t="s">
        <v>120</v>
      </c>
      <c r="D33" s="32"/>
      <c r="E33" s="33">
        <f t="shared" si="0"/>
        <v>0</v>
      </c>
      <c r="F33" s="34"/>
      <c r="G33" s="33">
        <f t="shared" si="1"/>
        <v>0</v>
      </c>
      <c r="H33" s="35">
        <v>0</v>
      </c>
      <c r="I33" s="41"/>
      <c r="J33" s="42">
        <f t="shared" si="2"/>
        <v>0</v>
      </c>
      <c r="K33" s="43"/>
      <c r="L33" s="43"/>
      <c r="M33" s="42">
        <f t="shared" si="3"/>
        <v>0</v>
      </c>
      <c r="N33" s="43"/>
    </row>
    <row r="34" spans="1:14" ht="20.100000000000001" customHeight="1" x14ac:dyDescent="0.25">
      <c r="A34" s="206" t="s">
        <v>127</v>
      </c>
      <c r="B34" s="206"/>
      <c r="C34" s="206"/>
      <c r="D34" s="141" t="s">
        <v>128</v>
      </c>
      <c r="E34" s="37"/>
      <c r="F34" s="141" t="s">
        <v>128</v>
      </c>
      <c r="G34" s="37"/>
      <c r="H34" s="37"/>
      <c r="I34" s="37"/>
      <c r="J34" s="37"/>
      <c r="K34" s="43"/>
      <c r="L34" s="43"/>
      <c r="M34" s="43"/>
      <c r="N34" s="43"/>
    </row>
    <row r="35" spans="1:14" s="223" customFormat="1" ht="20.100000000000001" customHeight="1" x14ac:dyDescent="0.25">
      <c r="A35" s="209" t="s">
        <v>52</v>
      </c>
      <c r="B35" s="225"/>
      <c r="C35" s="225"/>
      <c r="D35" s="226"/>
      <c r="E35" s="226"/>
      <c r="F35" s="226"/>
      <c r="G35" s="226"/>
      <c r="H35" s="226"/>
      <c r="I35" s="226"/>
      <c r="J35" s="226"/>
      <c r="K35" s="44"/>
      <c r="L35" s="44"/>
      <c r="M35" s="44"/>
      <c r="N35" s="44"/>
    </row>
    <row r="36" spans="1:14" s="223" customFormat="1" ht="20.100000000000001" customHeight="1" x14ac:dyDescent="0.25">
      <c r="A36" s="225"/>
      <c r="B36" s="225"/>
      <c r="C36" s="225"/>
      <c r="D36" s="226"/>
      <c r="E36" s="226"/>
      <c r="F36" s="226"/>
      <c r="G36" s="226"/>
      <c r="H36" s="226"/>
      <c r="I36" s="226"/>
      <c r="J36" s="226"/>
      <c r="K36" s="44"/>
      <c r="L36" s="44"/>
      <c r="M36" s="44"/>
      <c r="N36" s="44"/>
    </row>
    <row r="37" spans="1:14" s="223" customFormat="1" ht="20.100000000000001" customHeight="1" x14ac:dyDescent="0.25">
      <c r="A37" s="227"/>
      <c r="B37" s="212"/>
      <c r="C37" s="212"/>
      <c r="D37" s="210"/>
      <c r="E37" s="210"/>
      <c r="F37" s="210"/>
      <c r="G37" s="210"/>
      <c r="H37" s="210"/>
      <c r="I37" s="210"/>
      <c r="J37" s="210"/>
      <c r="K37" s="210"/>
      <c r="L37" s="210"/>
      <c r="M37" s="210"/>
      <c r="N37" s="210"/>
    </row>
    <row r="38" spans="1:14" s="223" customFormat="1" ht="20.100000000000001" customHeight="1" x14ac:dyDescent="0.25">
      <c r="A38" s="209" t="s">
        <v>53</v>
      </c>
      <c r="B38" s="212"/>
      <c r="C38" s="212"/>
      <c r="D38" s="210"/>
      <c r="E38" s="210"/>
      <c r="F38" s="210"/>
      <c r="G38" s="210"/>
      <c r="H38" s="210"/>
      <c r="I38" s="210"/>
      <c r="J38" s="210"/>
      <c r="K38" s="210"/>
      <c r="L38" s="210"/>
      <c r="M38" s="210"/>
      <c r="N38" s="210"/>
    </row>
    <row r="39" spans="1:14" s="223" customFormat="1" ht="20.100000000000001" customHeight="1" x14ac:dyDescent="0.25">
      <c r="A39" s="227"/>
      <c r="B39" s="228"/>
      <c r="C39" s="210"/>
      <c r="D39" s="210"/>
      <c r="E39" s="210"/>
      <c r="F39" s="210"/>
      <c r="G39" s="210"/>
      <c r="H39" s="210"/>
      <c r="I39" s="210"/>
      <c r="J39" s="210"/>
      <c r="K39" s="210"/>
      <c r="L39" s="210"/>
      <c r="M39" s="210"/>
      <c r="N39" s="210"/>
    </row>
    <row r="40" spans="1:14" ht="20.100000000000001" customHeight="1" x14ac:dyDescent="0.25">
      <c r="A40" s="165" t="s">
        <v>174</v>
      </c>
    </row>
    <row r="41" spans="1:14" ht="20.100000000000001" customHeight="1" x14ac:dyDescent="0.25">
      <c r="A41" s="165" t="s">
        <v>175</v>
      </c>
    </row>
    <row r="42" spans="1:14" ht="20.100000000000001" customHeight="1" x14ac:dyDescent="0.25">
      <c r="A42" s="165" t="s">
        <v>176</v>
      </c>
    </row>
    <row r="44" spans="1:14" ht="20.100000000000001" customHeight="1" x14ac:dyDescent="0.25">
      <c r="A44" s="18"/>
      <c r="B44" s="38"/>
      <c r="C44" s="26"/>
      <c r="D44" s="26"/>
      <c r="E44" s="26"/>
      <c r="F44" s="26"/>
      <c r="G44" s="26"/>
      <c r="H44" s="26"/>
      <c r="I44" s="26"/>
      <c r="J44" s="26"/>
      <c r="K44" s="26"/>
      <c r="L44" s="26"/>
      <c r="M44" s="26"/>
      <c r="N44" s="26"/>
    </row>
    <row r="45" spans="1:14" ht="20.100000000000001" customHeight="1" x14ac:dyDescent="0.25">
      <c r="A45" s="17"/>
      <c r="B45" s="26"/>
      <c r="C45" s="26"/>
      <c r="D45" s="26"/>
      <c r="E45" s="26"/>
      <c r="F45" s="26"/>
      <c r="G45" s="26"/>
      <c r="H45" s="26"/>
      <c r="I45" s="26"/>
      <c r="J45" s="26"/>
      <c r="K45" s="26"/>
      <c r="L45" s="26"/>
      <c r="M45" s="26"/>
      <c r="N45" s="26"/>
    </row>
    <row r="46" spans="1:14" ht="20.100000000000001" customHeight="1" x14ac:dyDescent="0.25">
      <c r="C46" s="26"/>
      <c r="D46" s="26"/>
      <c r="E46" s="26"/>
      <c r="F46" s="26"/>
      <c r="G46" s="26"/>
      <c r="H46" s="26"/>
      <c r="I46" s="26"/>
      <c r="J46" s="26"/>
      <c r="K46" s="26"/>
      <c r="L46" s="26"/>
      <c r="M46" s="26"/>
      <c r="N46" s="26"/>
    </row>
    <row r="47" spans="1:14" ht="20.100000000000001" customHeight="1" x14ac:dyDescent="0.25">
      <c r="C47" s="24"/>
      <c r="D47" s="24"/>
      <c r="E47" s="24"/>
      <c r="F47" s="24"/>
      <c r="G47" s="24"/>
      <c r="H47" s="24"/>
      <c r="I47" s="24"/>
      <c r="J47" s="24"/>
      <c r="K47" s="24"/>
      <c r="L47" s="24"/>
      <c r="M47" s="24"/>
      <c r="N47" s="24"/>
    </row>
    <row r="48" spans="1:14" ht="20.100000000000001" customHeight="1" x14ac:dyDescent="0.25">
      <c r="C48" s="25"/>
      <c r="D48" s="25"/>
      <c r="E48" s="25"/>
      <c r="F48" s="25"/>
      <c r="G48" s="25"/>
      <c r="H48" s="25"/>
      <c r="I48" s="25"/>
      <c r="J48" s="25"/>
      <c r="K48" s="25"/>
      <c r="L48" s="25"/>
      <c r="M48" s="25"/>
      <c r="N48" s="25"/>
    </row>
    <row r="49" spans="3:14" ht="20.100000000000001" customHeight="1" x14ac:dyDescent="0.25">
      <c r="C49" s="25"/>
      <c r="D49" s="25"/>
      <c r="E49" s="25"/>
      <c r="F49" s="25"/>
      <c r="G49" s="25"/>
      <c r="H49" s="25"/>
      <c r="I49" s="25"/>
      <c r="J49" s="25"/>
      <c r="K49" s="25"/>
      <c r="L49" s="25"/>
      <c r="M49" s="25"/>
      <c r="N49" s="25"/>
    </row>
  </sheetData>
  <mergeCells count="8">
    <mergeCell ref="A1:N1"/>
    <mergeCell ref="A2:N2"/>
    <mergeCell ref="D11:G11"/>
    <mergeCell ref="H11:N11"/>
    <mergeCell ref="A34:C34"/>
    <mergeCell ref="A11:A12"/>
    <mergeCell ref="B11:B12"/>
    <mergeCell ref="C11:C12"/>
  </mergeCells>
  <phoneticPr fontId="28" type="noConversion"/>
  <hyperlinks>
    <hyperlink ref="N3" location="底稿目录!A1" display="D4-9"/>
  </hyperlinks>
  <pageMargins left="0.70833333333333304" right="0.70833333333333304" top="0.74791666666666701" bottom="0.74791666666666701" header="0.31458333333333299" footer="0.31458333333333299"/>
  <pageSetup paperSize="9" scale="63"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O27"/>
  <sheetViews>
    <sheetView view="pageBreakPreview" zoomScaleNormal="100" workbookViewId="0">
      <selection sqref="A1:O1"/>
    </sheetView>
  </sheetViews>
  <sheetFormatPr defaultColWidth="9" defaultRowHeight="20.100000000000001" customHeight="1" x14ac:dyDescent="0.15"/>
  <cols>
    <col min="1" max="13" width="9" style="4"/>
    <col min="14" max="14" width="10.77734375" style="4" customWidth="1"/>
    <col min="15" max="16384" width="9" style="4"/>
  </cols>
  <sheetData>
    <row r="1" spans="1:15" s="1" customFormat="1" ht="20.100000000000001" customHeight="1" x14ac:dyDescent="0.25">
      <c r="A1" s="198" t="s">
        <v>19</v>
      </c>
      <c r="B1" s="198"/>
      <c r="C1" s="198"/>
      <c r="D1" s="198"/>
      <c r="E1" s="198"/>
      <c r="F1" s="198"/>
      <c r="G1" s="198"/>
      <c r="H1" s="198"/>
      <c r="I1" s="198"/>
      <c r="J1" s="198"/>
      <c r="K1" s="198"/>
      <c r="L1" s="198"/>
      <c r="M1" s="198"/>
      <c r="N1" s="198"/>
      <c r="O1" s="198"/>
    </row>
    <row r="2" spans="1:15" s="1" customFormat="1" ht="20.100000000000001" customHeight="1" x14ac:dyDescent="0.25">
      <c r="A2" s="199" t="s">
        <v>17</v>
      </c>
      <c r="B2" s="199"/>
      <c r="C2" s="199"/>
      <c r="D2" s="199"/>
      <c r="E2" s="199"/>
      <c r="F2" s="199"/>
      <c r="G2" s="199"/>
      <c r="H2" s="199"/>
      <c r="I2" s="199"/>
      <c r="J2" s="199"/>
      <c r="K2" s="199"/>
      <c r="L2" s="199"/>
      <c r="M2" s="199"/>
      <c r="N2" s="199"/>
      <c r="O2" s="199"/>
    </row>
    <row r="3" spans="1:15" s="2" customFormat="1" ht="20.100000000000001" customHeight="1" x14ac:dyDescent="0.25">
      <c r="A3" s="3" t="str">
        <f>底稿目录!A2</f>
        <v>被审计单位名称：</v>
      </c>
      <c r="F3" s="3" t="str">
        <f>底稿目录!A4</f>
        <v>编制人：</v>
      </c>
      <c r="J3" s="3" t="str">
        <f>底稿目录!A5</f>
        <v>编制日期：</v>
      </c>
      <c r="N3" s="20" t="s">
        <v>21</v>
      </c>
      <c r="O3" s="142" t="str">
        <f>底稿目录!F8</f>
        <v>D4-11</v>
      </c>
    </row>
    <row r="4" spans="1:15" s="2" customFormat="1" ht="20.100000000000001" customHeight="1" x14ac:dyDescent="0.25">
      <c r="A4" s="3" t="str">
        <f>底稿目录!A3</f>
        <v>会计期间：202X年度</v>
      </c>
      <c r="F4" s="3" t="str">
        <f>底稿目录!A6</f>
        <v>复核人：</v>
      </c>
      <c r="J4" s="3" t="str">
        <f>底稿目录!A7</f>
        <v>复核日期：</v>
      </c>
      <c r="N4" s="20" t="s">
        <v>22</v>
      </c>
    </row>
    <row r="5" spans="1:15" s="3" customFormat="1" ht="20.100000000000001" customHeight="1" x14ac:dyDescent="0.25">
      <c r="A5" s="5" t="s">
        <v>23</v>
      </c>
      <c r="B5" s="6"/>
      <c r="C5" s="6"/>
      <c r="D5" s="6"/>
      <c r="E5" s="6"/>
      <c r="F5" s="6"/>
      <c r="G5" s="6"/>
      <c r="H5" s="6"/>
    </row>
    <row r="6" spans="1:15" s="3" customFormat="1" ht="20.100000000000001" customHeight="1" x14ac:dyDescent="0.25">
      <c r="A6" s="3" t="s">
        <v>55</v>
      </c>
      <c r="C6" s="6"/>
      <c r="D6" s="6"/>
      <c r="E6" s="6"/>
      <c r="F6" s="6"/>
      <c r="G6" s="6"/>
      <c r="H6" s="6"/>
    </row>
    <row r="7" spans="1:15" s="3" customFormat="1" ht="20.100000000000001" customHeight="1" x14ac:dyDescent="0.25">
      <c r="A7" s="5" t="s">
        <v>26</v>
      </c>
      <c r="B7" s="6"/>
      <c r="C7" s="6"/>
      <c r="D7" s="6"/>
      <c r="E7" s="6"/>
      <c r="F7" s="6"/>
      <c r="G7" s="6"/>
      <c r="H7" s="6"/>
    </row>
    <row r="8" spans="1:15" s="3" customFormat="1" ht="20.100000000000001" customHeight="1" x14ac:dyDescent="0.25">
      <c r="A8" s="7" t="s">
        <v>27</v>
      </c>
      <c r="B8" s="6"/>
      <c r="C8" s="6"/>
      <c r="D8" s="6"/>
      <c r="E8" s="6"/>
      <c r="F8" s="6"/>
      <c r="G8" s="6"/>
      <c r="H8" s="6"/>
    </row>
    <row r="9" spans="1:15" ht="20.100000000000001" customHeight="1" x14ac:dyDescent="0.15">
      <c r="A9" s="8"/>
      <c r="C9" s="8"/>
      <c r="D9" s="8"/>
      <c r="E9" s="8"/>
    </row>
    <row r="10" spans="1:15" ht="20.100000000000001" customHeight="1" x14ac:dyDescent="0.15">
      <c r="A10" s="8"/>
      <c r="C10" s="8"/>
      <c r="D10" s="8"/>
      <c r="E10" s="8"/>
    </row>
    <row r="11" spans="1:15" ht="51" customHeight="1" x14ac:dyDescent="0.15">
      <c r="A11" s="9" t="s">
        <v>2</v>
      </c>
      <c r="B11" s="9" t="s">
        <v>88</v>
      </c>
      <c r="C11" s="9" t="s">
        <v>129</v>
      </c>
      <c r="D11" s="9" t="s">
        <v>130</v>
      </c>
      <c r="E11" s="9" t="s">
        <v>91</v>
      </c>
      <c r="F11" s="9" t="s">
        <v>131</v>
      </c>
      <c r="G11" s="10" t="s">
        <v>132</v>
      </c>
      <c r="H11" s="9" t="s">
        <v>133</v>
      </c>
      <c r="I11" s="10" t="s">
        <v>134</v>
      </c>
      <c r="J11" s="10" t="s">
        <v>135</v>
      </c>
      <c r="K11" s="10" t="s">
        <v>136</v>
      </c>
      <c r="L11" s="10" t="s">
        <v>137</v>
      </c>
      <c r="M11" s="10" t="s">
        <v>138</v>
      </c>
      <c r="N11" s="10" t="s">
        <v>139</v>
      </c>
      <c r="O11" s="9" t="s">
        <v>58</v>
      </c>
    </row>
    <row r="12" spans="1:15" ht="20.100000000000001" customHeight="1" x14ac:dyDescent="0.15">
      <c r="A12" s="11">
        <v>1</v>
      </c>
      <c r="B12" s="12"/>
      <c r="C12" s="13"/>
      <c r="D12" s="14"/>
      <c r="E12" s="15"/>
      <c r="F12" s="16"/>
      <c r="G12" s="13"/>
      <c r="H12" s="16"/>
      <c r="I12" s="15"/>
      <c r="J12" s="21">
        <v>0</v>
      </c>
      <c r="K12" s="15"/>
      <c r="L12" s="21">
        <v>0</v>
      </c>
      <c r="M12" s="22"/>
      <c r="N12" s="22"/>
      <c r="O12" s="23"/>
    </row>
    <row r="13" spans="1:15" ht="20.100000000000001" customHeight="1" x14ac:dyDescent="0.15">
      <c r="A13" s="11">
        <v>2</v>
      </c>
      <c r="B13" s="12"/>
      <c r="C13" s="13"/>
      <c r="D13" s="14"/>
      <c r="E13" s="15"/>
      <c r="F13" s="16"/>
      <c r="G13" s="13"/>
      <c r="H13" s="16"/>
      <c r="I13" s="15"/>
      <c r="J13" s="21">
        <v>0</v>
      </c>
      <c r="K13" s="15"/>
      <c r="L13" s="21">
        <v>0</v>
      </c>
      <c r="M13" s="22"/>
      <c r="N13" s="22"/>
      <c r="O13" s="23"/>
    </row>
    <row r="14" spans="1:15" ht="20.100000000000001" customHeight="1" x14ac:dyDescent="0.15">
      <c r="A14" s="11">
        <v>3</v>
      </c>
      <c r="B14" s="12"/>
      <c r="C14" s="13"/>
      <c r="D14" s="14"/>
      <c r="E14" s="15"/>
      <c r="F14" s="16"/>
      <c r="G14" s="13"/>
      <c r="H14" s="16"/>
      <c r="I14" s="15"/>
      <c r="J14" s="21">
        <v>0</v>
      </c>
      <c r="K14" s="15"/>
      <c r="L14" s="21">
        <v>0</v>
      </c>
      <c r="M14" s="22"/>
      <c r="N14" s="22"/>
      <c r="O14" s="23"/>
    </row>
    <row r="15" spans="1:15" ht="20.100000000000001" customHeight="1" x14ac:dyDescent="0.15">
      <c r="A15" s="11">
        <v>4</v>
      </c>
      <c r="B15" s="12"/>
      <c r="C15" s="13"/>
      <c r="D15" s="14"/>
      <c r="E15" s="15"/>
      <c r="F15" s="16"/>
      <c r="G15" s="13"/>
      <c r="H15" s="16"/>
      <c r="I15" s="15"/>
      <c r="J15" s="21">
        <v>0</v>
      </c>
      <c r="K15" s="15"/>
      <c r="L15" s="21">
        <v>0</v>
      </c>
      <c r="M15" s="22"/>
      <c r="N15" s="22"/>
      <c r="O15" s="23"/>
    </row>
    <row r="16" spans="1:15" ht="20.100000000000001" customHeight="1" x14ac:dyDescent="0.15">
      <c r="A16" s="11">
        <v>5</v>
      </c>
      <c r="B16" s="12"/>
      <c r="C16" s="13"/>
      <c r="D16" s="14"/>
      <c r="E16" s="15"/>
      <c r="F16" s="16"/>
      <c r="G16" s="13"/>
      <c r="H16" s="16"/>
      <c r="I16" s="15"/>
      <c r="J16" s="21">
        <v>0</v>
      </c>
      <c r="K16" s="15"/>
      <c r="L16" s="21">
        <v>0</v>
      </c>
      <c r="M16" s="22"/>
      <c r="N16" s="22"/>
      <c r="O16" s="23"/>
    </row>
    <row r="17" spans="1:15" ht="20.100000000000001" customHeight="1" x14ac:dyDescent="0.15">
      <c r="A17" s="11">
        <v>6</v>
      </c>
      <c r="B17" s="12"/>
      <c r="C17" s="13"/>
      <c r="D17" s="14"/>
      <c r="E17" s="15"/>
      <c r="F17" s="16"/>
      <c r="G17" s="13"/>
      <c r="H17" s="16"/>
      <c r="I17" s="15"/>
      <c r="J17" s="21">
        <v>0</v>
      </c>
      <c r="K17" s="15"/>
      <c r="L17" s="21">
        <v>0</v>
      </c>
      <c r="M17" s="22"/>
      <c r="N17" s="22"/>
      <c r="O17" s="23"/>
    </row>
    <row r="18" spans="1:15" ht="20.100000000000001" customHeight="1" x14ac:dyDescent="0.15">
      <c r="A18" s="11">
        <v>7</v>
      </c>
      <c r="B18" s="12"/>
      <c r="C18" s="13"/>
      <c r="D18" s="14"/>
      <c r="E18" s="15"/>
      <c r="F18" s="16"/>
      <c r="G18" s="13"/>
      <c r="H18" s="16"/>
      <c r="I18" s="15"/>
      <c r="J18" s="21">
        <v>0</v>
      </c>
      <c r="K18" s="15"/>
      <c r="L18" s="21">
        <v>0</v>
      </c>
      <c r="M18" s="22"/>
      <c r="N18" s="22"/>
      <c r="O18" s="23"/>
    </row>
    <row r="19" spans="1:15" ht="20.100000000000001" customHeight="1" x14ac:dyDescent="0.15">
      <c r="A19" s="11">
        <v>8</v>
      </c>
      <c r="B19" s="12"/>
      <c r="C19" s="13"/>
      <c r="D19" s="14"/>
      <c r="E19" s="15"/>
      <c r="F19" s="16"/>
      <c r="G19" s="13"/>
      <c r="H19" s="16"/>
      <c r="I19" s="15"/>
      <c r="J19" s="21">
        <v>0</v>
      </c>
      <c r="K19" s="15"/>
      <c r="L19" s="21">
        <v>0</v>
      </c>
      <c r="M19" s="22"/>
      <c r="N19" s="22"/>
      <c r="O19" s="23"/>
    </row>
    <row r="20" spans="1:15" ht="20.100000000000001" customHeight="1" x14ac:dyDescent="0.15">
      <c r="A20" s="11">
        <v>9</v>
      </c>
      <c r="B20" s="12"/>
      <c r="C20" s="13"/>
      <c r="D20" s="14"/>
      <c r="E20" s="15"/>
      <c r="F20" s="16"/>
      <c r="G20" s="13"/>
      <c r="H20" s="16"/>
      <c r="I20" s="15"/>
      <c r="J20" s="21">
        <v>0</v>
      </c>
      <c r="K20" s="15"/>
      <c r="L20" s="21">
        <v>0</v>
      </c>
      <c r="M20" s="22"/>
      <c r="N20" s="22"/>
      <c r="O20" s="23"/>
    </row>
    <row r="21" spans="1:15" ht="20.100000000000001" customHeight="1" x14ac:dyDescent="0.15">
      <c r="A21" s="11">
        <v>10</v>
      </c>
      <c r="B21" s="12"/>
      <c r="C21" s="13"/>
      <c r="D21" s="14"/>
      <c r="E21" s="15"/>
      <c r="F21" s="16"/>
      <c r="G21" s="13"/>
      <c r="H21" s="16"/>
      <c r="I21" s="15"/>
      <c r="J21" s="21">
        <v>0</v>
      </c>
      <c r="K21" s="15"/>
      <c r="L21" s="21">
        <v>0</v>
      </c>
      <c r="M21" s="22"/>
      <c r="N21" s="22"/>
      <c r="O21" s="23"/>
    </row>
    <row r="22" spans="1:15" s="232" customFormat="1" ht="20.100000000000001" customHeight="1" x14ac:dyDescent="0.15">
      <c r="A22" s="209" t="s">
        <v>52</v>
      </c>
      <c r="B22" s="229"/>
      <c r="C22" s="230"/>
      <c r="D22" s="230"/>
      <c r="E22" s="230"/>
      <c r="F22" s="230"/>
      <c r="G22" s="230"/>
      <c r="H22" s="230"/>
      <c r="I22" s="230"/>
      <c r="J22" s="230"/>
      <c r="K22" s="230"/>
      <c r="L22" s="230"/>
      <c r="M22" s="230"/>
      <c r="N22" s="230"/>
      <c r="O22" s="231"/>
    </row>
    <row r="23" spans="1:15" s="232" customFormat="1" ht="20.100000000000001" customHeight="1" x14ac:dyDescent="0.15">
      <c r="A23" s="225"/>
      <c r="B23" s="229"/>
      <c r="C23" s="230"/>
      <c r="D23" s="230"/>
      <c r="E23" s="230"/>
      <c r="F23" s="230"/>
      <c r="G23" s="230"/>
      <c r="H23" s="230"/>
      <c r="I23" s="230"/>
      <c r="J23" s="230"/>
      <c r="K23" s="230"/>
      <c r="L23" s="230"/>
      <c r="M23" s="230"/>
      <c r="N23" s="230"/>
      <c r="O23" s="231"/>
    </row>
    <row r="24" spans="1:15" s="232" customFormat="1" ht="20.100000000000001" customHeight="1" x14ac:dyDescent="0.15">
      <c r="A24" s="227"/>
    </row>
    <row r="25" spans="1:15" s="232" customFormat="1" ht="20.100000000000001" customHeight="1" x14ac:dyDescent="0.15">
      <c r="A25" s="209" t="s">
        <v>53</v>
      </c>
    </row>
    <row r="26" spans="1:15" s="232" customFormat="1" ht="20.100000000000001" customHeight="1" x14ac:dyDescent="0.15"/>
    <row r="27" spans="1:15" ht="20.100000000000001" customHeight="1" x14ac:dyDescent="0.15">
      <c r="A27" s="19"/>
    </row>
  </sheetData>
  <mergeCells count="2">
    <mergeCell ref="A1:O1"/>
    <mergeCell ref="A2:O2"/>
  </mergeCells>
  <phoneticPr fontId="28" type="noConversion"/>
  <hyperlinks>
    <hyperlink ref="O3" location="底稿目录!A1" display="D4-10"/>
  </hyperlinks>
  <pageMargins left="0.70833333333333304" right="0.70833333333333304" top="0.74791666666666701" bottom="0.74791666666666701" header="0.31458333333333299" footer="0.31458333333333299"/>
  <pageSetup paperSize="9" scale="62"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7</vt:i4>
      </vt:variant>
    </vt:vector>
  </HeadingPairs>
  <TitlesOfParts>
    <vt:vector size="14" baseType="lpstr">
      <vt:lpstr>底稿目录</vt:lpstr>
      <vt:lpstr>重要指标分析D4-6</vt:lpstr>
      <vt:lpstr>毛利率分析表D4-7</vt:lpstr>
      <vt:lpstr>重要产品毛利分析D4-8</vt:lpstr>
      <vt:lpstr>重要客户结构分析D4-9</vt:lpstr>
      <vt:lpstr>重要客户销售价格分析D4-10</vt:lpstr>
      <vt:lpstr>产品销售价格分析D4-11</vt:lpstr>
      <vt:lpstr>'产品销售价格分析D4-11'!Print_Area</vt:lpstr>
      <vt:lpstr>'毛利率分析表D4-7'!Print_Area</vt:lpstr>
      <vt:lpstr>'重要产品毛利分析D4-8'!Print_Area</vt:lpstr>
      <vt:lpstr>'重要客户结构分析D4-9'!Print_Area</vt:lpstr>
      <vt:lpstr>'重要客户销售价格分析D4-10'!Print_Area</vt:lpstr>
      <vt:lpstr>'重要指标分析D4-6'!Print_Area</vt:lpstr>
      <vt:lpstr>'毛利率分析表D4-7'!Print_Titles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Juan 张娟</dc:creator>
  <cp:lastModifiedBy>何先琴</cp:lastModifiedBy>
  <cp:lastPrinted>2025-10-30T06:12:18Z</cp:lastPrinted>
  <dcterms:created xsi:type="dcterms:W3CDTF">2015-06-05T18:19:00Z</dcterms:created>
  <dcterms:modified xsi:type="dcterms:W3CDTF">2025-12-02T07:59:55Z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E5FD25FA6F4743578B189FB70BE8EA8A_12</vt:lpwstr>
  </property>
  <property fmtid="{D5CDD505-2E9C-101B-9397-08002B2CF9AE}" pid="3" name="KSOProductBuildVer">
    <vt:lpwstr>2052-12.1.0.22529</vt:lpwstr>
  </property>
</Properties>
</file>