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8736" tabRatio="771" firstSheet="3" activeTab="3"/>
  </bookViews>
  <sheets>
    <sheet name="底稿目录" sheetId="1" r:id="rId1"/>
    <sheet name="营业收入审计程序表D4A" sheetId="90" r:id="rId2"/>
    <sheet name="主营业务收入审计程序表D4A（修订前）" sheetId="92" state="hidden" r:id="rId3"/>
    <sheet name="营业收入审定表D4-1" sheetId="23" r:id="rId4"/>
    <sheet name="附注披露信息（上市公司）" sheetId="94" r:id="rId5"/>
    <sheet name="附注披露信息（国企）" sheetId="95" r:id="rId6"/>
    <sheet name="主营业务收入明细表D4-2" sheetId="65" r:id="rId7"/>
    <sheet name="其他业务收入明细表D4-3" sheetId="97" r:id="rId8"/>
    <sheet name="营业收入调整分录汇总D4-4" sheetId="91" r:id="rId9"/>
    <sheet name="GT_Custom" sheetId="40" state="hidden" r:id="rId10"/>
  </sheets>
  <externalReferences>
    <externalReference r:id="rId11"/>
    <externalReference r:id="rId12"/>
    <externalReference r:id="rId13"/>
    <externalReference r:id="rId14"/>
  </externalReferences>
  <definedNames>
    <definedName name="_xlnm._FilterDatabase" localSheetId="7" hidden="1">#REF!</definedName>
    <definedName name="_xlnm._FilterDatabase" localSheetId="1" hidden="1">营业收入审计程序表D4A!$A$15:$J$39</definedName>
    <definedName name="_xlnm._FilterDatabase" localSheetId="2" hidden="1">'主营业务收入审计程序表D4A（修订前）'!$A$16:$J$219</definedName>
    <definedName name="_xlnm._FilterDatabase" hidden="1">#REF!</definedName>
    <definedName name="AFV" localSheetId="7" hidden="1">#REF!</definedName>
    <definedName name="AFV" localSheetId="1" hidden="1">#REF!</definedName>
    <definedName name="AFV" localSheetId="2" hidden="1">#REF!</definedName>
    <definedName name="AFV" hidden="1">#REF!</definedName>
    <definedName name="AS2DocOpenMode" hidden="1">"AS2DocumentEdit"</definedName>
    <definedName name="b" localSheetId="7" hidden="1">#REF!</definedName>
    <definedName name="b" localSheetId="1" hidden="1">#REF!</definedName>
    <definedName name="b" localSheetId="2" hidden="1">#REF!</definedName>
    <definedName name="bs" localSheetId="7" hidden="1">{#N/A,#N/A,FALSE,"BBPREP"}</definedName>
    <definedName name="bs" localSheetId="1" hidden="1">{#N/A,#N/A,FALSE,"BBPREP"}</definedName>
    <definedName name="bs" localSheetId="2" hidden="1">{#N/A,#N/A,FALSE,"BBPREP"}</definedName>
    <definedName name="bs" hidden="1">{#N/A,#N/A,FALSE,"BBPREP"}</definedName>
    <definedName name="bs_1" localSheetId="7" hidden="1">{#N/A,#N/A,FALSE,"BBPREP"}</definedName>
    <definedName name="bs_1" localSheetId="1" hidden="1">{#N/A,#N/A,FALSE,"BBPREP"}</definedName>
    <definedName name="bs_1" localSheetId="2" hidden="1">{#N/A,#N/A,FALSE,"BBPREP"}</definedName>
    <definedName name="bs_1" hidden="1">{#N/A,#N/A,FALSE,"BBPREP"}</definedName>
    <definedName name="CCD" localSheetId="7" hidden="1">#REF!</definedName>
    <definedName name="CCD" localSheetId="2" hidden="1">#REF!</definedName>
    <definedName name="CCD" hidden="1">#REF!</definedName>
    <definedName name="CDE" localSheetId="7" hidden="1">#REF!</definedName>
    <definedName name="CDE" localSheetId="2" hidden="1">#REF!</definedName>
    <definedName name="CDE" hidden="1">#REF!</definedName>
    <definedName name="DEX" localSheetId="7" hidden="1">#REF!</definedName>
    <definedName name="DEX" localSheetId="2" hidden="1">#REF!</definedName>
    <definedName name="DEX" hidden="1">#REF!</definedName>
    <definedName name="EDC" localSheetId="7" hidden="1">#REF!</definedName>
    <definedName name="EDC" localSheetId="2" hidden="1">#REF!</definedName>
    <definedName name="EDC" hidden="1">#REF!</definedName>
    <definedName name="FAD" localSheetId="7" hidden="1">[1]Breakdown!#REF!</definedName>
    <definedName name="FAD" localSheetId="2" hidden="1">[1]Breakdown!#REF!</definedName>
    <definedName name="FAD" hidden="1">[1]Breakdown!#REF!</definedName>
    <definedName name="FASD" localSheetId="7" hidden="1">#REF!</definedName>
    <definedName name="FASD" localSheetId="1" hidden="1">#REF!</definedName>
    <definedName name="FASD" localSheetId="2" hidden="1">#REF!</definedName>
    <definedName name="FASD" hidden="1">#REF!</definedName>
    <definedName name="FEDC" localSheetId="7" hidden="1">'[2]2004'!#REF!</definedName>
    <definedName name="FEDC" localSheetId="1" hidden="1">'[2]2004'!#REF!</definedName>
    <definedName name="FEDC" localSheetId="2" hidden="1">'[2]2004'!#REF!</definedName>
    <definedName name="FEDC" hidden="1">'[2]2004'!#REF!</definedName>
    <definedName name="L" localSheetId="2" hidden="1">{#N/A,#N/A,FALSE,"BBPREP"}</definedName>
    <definedName name="L" hidden="1">{#N/A,#N/A,FALSE,"BBPREP"}</definedName>
    <definedName name="_xlnm.Print_Area" localSheetId="5">'附注披露信息（国企）'!$A$1:$I$74</definedName>
    <definedName name="_xlnm.Print_Area" localSheetId="4">'附注披露信息（上市公司）'!$A$1:$I$88</definedName>
    <definedName name="_xlnm.Print_Area" localSheetId="7">'其他业务收入明细表D4-3'!$A$1:$N$28</definedName>
    <definedName name="_xlnm.Print_Area" localSheetId="8">'营业收入调整分录汇总D4-4'!$A$1:$J$20</definedName>
    <definedName name="_xlnm.Print_Area" localSheetId="3">'营业收入审定表D4-1'!$A$1:$I$37</definedName>
    <definedName name="_xlnm.Print_Area" localSheetId="1">营业收入审计程序表D4A!$A$1:$J$39</definedName>
    <definedName name="_xlnm.Print_Area" localSheetId="6">'主营业务收入明细表D4-2'!$A$1:$V$31</definedName>
    <definedName name="_xlnm.Print_Area" localSheetId="2">'主营业务收入审计程序表D4A（修订前）'!$A$1:$J$16</definedName>
    <definedName name="_xlnm.Print_Titles" localSheetId="1">营业收入审计程序表D4A!$15:$16</definedName>
    <definedName name="_xlnm.Print_Titles" localSheetId="2">'主营业务收入审计程序表D4A（修订前）'!$16:$16</definedName>
    <definedName name="RDES" localSheetId="7" hidden="1">#REF!</definedName>
    <definedName name="RDES" localSheetId="2" hidden="1">#REF!</definedName>
    <definedName name="RDES" hidden="1">#REF!</definedName>
    <definedName name="s" localSheetId="2" hidden="1">{#N/A,#N/A,FALSE,"BBPREP"}</definedName>
    <definedName name="s" hidden="1">{#N/A,#N/A,FALSE,"BBPREP"}</definedName>
    <definedName name="t" localSheetId="2" hidden="1">{#N/A,#N/A,FALSE,"BBPREP"}</definedName>
    <definedName name="t" hidden="1">{#N/A,#N/A,FALSE,"BBPREP"}</definedName>
    <definedName name="TextRefCopyRangeCount" hidden="1">136</definedName>
    <definedName name="VFE" localSheetId="7" hidden="1">#REF!</definedName>
    <definedName name="VFE" localSheetId="2" hidden="1">#REF!</definedName>
    <definedName name="VFE" hidden="1">#REF!</definedName>
    <definedName name="XAP" localSheetId="7" hidden="1">#REF!</definedName>
    <definedName name="XAP" localSheetId="2" hidden="1">#REF!</definedName>
    <definedName name="XAP" hidden="1">#REF!</definedName>
    <definedName name="XAQ" localSheetId="7" hidden="1">#REF!</definedName>
    <definedName name="XAQ" localSheetId="2" hidden="1">#REF!</definedName>
    <definedName name="XAQ" hidden="1">#REF!</definedName>
    <definedName name="XCD" localSheetId="7" hidden="1">#REF!</definedName>
    <definedName name="XCD" localSheetId="2" hidden="1">#REF!</definedName>
    <definedName name="XCD" hidden="1">#REF!</definedName>
    <definedName name="XREF_COLUMN_1" localSheetId="7" hidden="1">#REF!</definedName>
    <definedName name="XREF_COLUMN_1" localSheetId="1" hidden="1">#REF!</definedName>
    <definedName name="XREF_COLUMN_1" localSheetId="2" hidden="1">#REF!</definedName>
    <definedName name="XREF_COLUMN_1" hidden="1">#REF!</definedName>
    <definedName name="XREF_COLUMN_2" localSheetId="7" hidden="1">[1]Breakdown!#REF!</definedName>
    <definedName name="XREF_COLUMN_2" localSheetId="1" hidden="1">[1]Breakdown!#REF!</definedName>
    <definedName name="XREF_COLUMN_2" localSheetId="2" hidden="1">[1]Breakdown!#REF!</definedName>
    <definedName name="XREF_COLUMN_2" hidden="1">[1]Breakdown!#REF!</definedName>
    <definedName name="XREF_COLUMN_3" localSheetId="7" hidden="1">#REF!</definedName>
    <definedName name="XREF_COLUMN_3" localSheetId="1" hidden="1">#REF!</definedName>
    <definedName name="XREF_COLUMN_3" localSheetId="2" hidden="1">#REF!</definedName>
    <definedName name="XREF_COLUMN_3" hidden="1">#REF!</definedName>
    <definedName name="XREF_COLUMN_5" localSheetId="7" hidden="1">'[2]2004'!#REF!</definedName>
    <definedName name="XREF_COLUMN_5" localSheetId="1" hidden="1">'[2]2004'!#REF!</definedName>
    <definedName name="XREF_COLUMN_5" localSheetId="2" hidden="1">'[2]2004'!#REF!</definedName>
    <definedName name="XREF_COLUMN_5" hidden="1">'[2]2004'!#REF!</definedName>
    <definedName name="XRefActiveRow" localSheetId="7" hidden="1">#REF!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7" hidden="1">#REF!</definedName>
    <definedName name="XRefCopy1" localSheetId="1" hidden="1">#REF!</definedName>
    <definedName name="XRefCopy1" localSheetId="2" hidden="1">#REF!</definedName>
    <definedName name="XRefCopy1" hidden="1">#REF!</definedName>
    <definedName name="XRefCopy1Row" localSheetId="7" hidden="1">#REF!</definedName>
    <definedName name="XRefCopy1Row" localSheetId="1" hidden="1">#REF!</definedName>
    <definedName name="XRefCopy1Row" localSheetId="2" hidden="1">#REF!</definedName>
    <definedName name="XRefCopy1Row" hidden="1">#REF!</definedName>
    <definedName name="XRefCopy2Row" localSheetId="7"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7" hidden="1">#REF!</definedName>
    <definedName name="XRefPaste1" localSheetId="1" hidden="1">#REF!</definedName>
    <definedName name="XRefPaste1" localSheetId="2" hidden="1">#REF!</definedName>
    <definedName name="XRefPaste1" hidden="1">#REF!</definedName>
    <definedName name="XRefPaste1Row" localSheetId="7" hidden="1">#REF!</definedName>
    <definedName name="XRefPaste1Row" localSheetId="1" hidden="1">#REF!</definedName>
    <definedName name="XRefPaste1Row" localSheetId="2" hidden="1">#REF!</definedName>
    <definedName name="XRefPaste1Row" hidden="1">#REF!</definedName>
    <definedName name="XRefPaste2" localSheetId="7" hidden="1">#REF!</definedName>
    <definedName name="XRefPaste2" localSheetId="1" hidden="1">#REF!</definedName>
    <definedName name="XRefPaste2" localSheetId="2" hidden="1">#REF!</definedName>
    <definedName name="XRefPaste2" hidden="1">#REF!</definedName>
    <definedName name="XRefPaste2Row" localSheetId="7" hidden="1">#REF!</definedName>
    <definedName name="XRefPaste2Row" localSheetId="1" hidden="1">#REF!</definedName>
    <definedName name="XRefPaste2Row" localSheetId="2" hidden="1">#REF!</definedName>
    <definedName name="XRefPaste2Row" hidden="1">#REF!</definedName>
    <definedName name="XRefPaste3" localSheetId="7" hidden="1">#REF!</definedName>
    <definedName name="XRefPaste3" localSheetId="1" hidden="1">#REF!</definedName>
    <definedName name="XRefPaste3" localSheetId="2" hidden="1">#REF!</definedName>
    <definedName name="XRefPaste3" hidden="1">#REF!</definedName>
    <definedName name="XRefPaste3Row" localSheetId="7" hidden="1">#REF!</definedName>
    <definedName name="XRefPaste3Row" localSheetId="1" hidden="1">#REF!</definedName>
    <definedName name="XRefPaste3Row" localSheetId="2" hidden="1">#REF!</definedName>
    <definedName name="XRefPaste3Row" hidden="1">#REF!</definedName>
    <definedName name="XRefPasteRangeCount" hidden="1">2</definedName>
    <definedName name="本循环科目" localSheetId="7" hidden="1">[3]索引!$D$15:$D$76</definedName>
    <definedName name="本循环科目" localSheetId="1" hidden="1">[3]索引!$D$15:$D$76</definedName>
    <definedName name="本循环科目" localSheetId="2" hidden="1">[3]索引!$D$15:$D$76</definedName>
    <definedName name="本循环科目" hidden="1">[4]索引!$D$15:$D$76</definedName>
    <definedName name="底稿目录" localSheetId="7" hidden="1">#REF!</definedName>
    <definedName name="底稿目录" localSheetId="1" hidden="1">#REF!</definedName>
    <definedName name="底稿目录" localSheetId="2" hidden="1">#REF!</definedName>
    <definedName name="底稿目录" hidden="1">#REF!</definedName>
    <definedName name="去" localSheetId="7" hidden="1">#REF!</definedName>
    <definedName name="去" localSheetId="2" hidden="1">#REF!</definedName>
    <definedName name="去" hidden="1">#REF!</definedName>
    <definedName name="新目录" localSheetId="7" hidden="1">#REF!</definedName>
    <definedName name="新目录" localSheetId="1" hidden="1">#REF!</definedName>
    <definedName name="新目录" localSheetId="2"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97" l="1"/>
  <c r="I3" i="97"/>
  <c r="E4" i="97"/>
  <c r="E3" i="97"/>
  <c r="A4" i="97"/>
  <c r="A3" i="97"/>
  <c r="G4" i="91" l="1"/>
  <c r="D4" i="91"/>
  <c r="A4" i="91"/>
  <c r="G3" i="91"/>
  <c r="D3" i="91"/>
  <c r="A3" i="91"/>
  <c r="K20" i="97"/>
  <c r="J20" i="97"/>
  <c r="I20" i="97"/>
  <c r="H20" i="97"/>
  <c r="G20" i="97"/>
  <c r="D20" i="97"/>
  <c r="C20" i="97"/>
  <c r="B20" i="97"/>
  <c r="M19" i="97"/>
  <c r="L19" i="97"/>
  <c r="K19" i="97"/>
  <c r="J19" i="97"/>
  <c r="F19" i="97"/>
  <c r="E19" i="97"/>
  <c r="M18" i="97"/>
  <c r="L18" i="97"/>
  <c r="K18" i="97"/>
  <c r="J18" i="97"/>
  <c r="F18" i="97"/>
  <c r="E18" i="97"/>
  <c r="M17" i="97"/>
  <c r="L17" i="97"/>
  <c r="K17" i="97"/>
  <c r="J17" i="97"/>
  <c r="F17" i="97"/>
  <c r="E17" i="97"/>
  <c r="M16" i="97"/>
  <c r="L16" i="97"/>
  <c r="K16" i="97"/>
  <c r="J16" i="97"/>
  <c r="F16" i="97"/>
  <c r="E16" i="97"/>
  <c r="M15" i="97"/>
  <c r="L15" i="97"/>
  <c r="K15" i="97"/>
  <c r="J15" i="97"/>
  <c r="F15" i="97"/>
  <c r="E15" i="97"/>
  <c r="M14" i="97"/>
  <c r="L14" i="97"/>
  <c r="K14" i="97"/>
  <c r="J14" i="97"/>
  <c r="F14" i="97"/>
  <c r="E14" i="97"/>
  <c r="K13" i="97"/>
  <c r="J13" i="97"/>
  <c r="E13" i="97"/>
  <c r="S24" i="65"/>
  <c r="R24" i="65"/>
  <c r="Q24" i="65"/>
  <c r="O24" i="65"/>
  <c r="M24" i="65"/>
  <c r="L24" i="65"/>
  <c r="K24" i="65"/>
  <c r="J24" i="65"/>
  <c r="I24" i="65"/>
  <c r="H24" i="65"/>
  <c r="G24" i="65"/>
  <c r="F24" i="65"/>
  <c r="E24" i="65"/>
  <c r="D24" i="65"/>
  <c r="C24" i="65"/>
  <c r="B24" i="65"/>
  <c r="U23" i="65"/>
  <c r="T23" i="65"/>
  <c r="S23" i="65"/>
  <c r="P23" i="65"/>
  <c r="N23" i="65"/>
  <c r="U22" i="65"/>
  <c r="T22" i="65"/>
  <c r="S22" i="65"/>
  <c r="P22" i="65"/>
  <c r="N22" i="65"/>
  <c r="U21" i="65"/>
  <c r="T21" i="65"/>
  <c r="S21" i="65"/>
  <c r="P21" i="65"/>
  <c r="N21" i="65"/>
  <c r="U20" i="65"/>
  <c r="T20" i="65"/>
  <c r="S20" i="65"/>
  <c r="P20" i="65"/>
  <c r="N20" i="65"/>
  <c r="U19" i="65"/>
  <c r="T19" i="65"/>
  <c r="S19" i="65"/>
  <c r="P19" i="65"/>
  <c r="N19" i="65"/>
  <c r="U18" i="65"/>
  <c r="T18" i="65"/>
  <c r="S18" i="65"/>
  <c r="P18" i="65"/>
  <c r="N18" i="65"/>
  <c r="U17" i="65"/>
  <c r="T17" i="65"/>
  <c r="S17" i="65"/>
  <c r="P17" i="65"/>
  <c r="N17" i="65"/>
  <c r="U16" i="65"/>
  <c r="T16" i="65"/>
  <c r="S16" i="65"/>
  <c r="P16" i="65"/>
  <c r="N16" i="65"/>
  <c r="U15" i="65"/>
  <c r="T15" i="65"/>
  <c r="S15" i="65"/>
  <c r="P15" i="65"/>
  <c r="N15" i="65"/>
  <c r="U14" i="65"/>
  <c r="T14" i="65"/>
  <c r="S14" i="65"/>
  <c r="P14" i="65"/>
  <c r="N14" i="65"/>
  <c r="U13" i="65"/>
  <c r="T13" i="65"/>
  <c r="S13" i="65"/>
  <c r="P13" i="65"/>
  <c r="N13" i="65"/>
  <c r="S12" i="65"/>
  <c r="N12" i="65"/>
  <c r="N24" i="65" s="1"/>
  <c r="O4" i="65"/>
  <c r="I4" i="65"/>
  <c r="A4" i="65"/>
  <c r="O3" i="65"/>
  <c r="I3" i="65"/>
  <c r="A3" i="65"/>
  <c r="I49" i="95"/>
  <c r="F49" i="95"/>
  <c r="C49" i="95"/>
  <c r="B49" i="95"/>
  <c r="I45" i="95"/>
  <c r="F45" i="95"/>
  <c r="C45" i="95"/>
  <c r="B45" i="95"/>
  <c r="I41" i="95"/>
  <c r="F41" i="95"/>
  <c r="C41" i="95"/>
  <c r="B41" i="95"/>
  <c r="E36" i="95"/>
  <c r="D36" i="95"/>
  <c r="C36" i="95"/>
  <c r="B36" i="95"/>
  <c r="E28" i="95"/>
  <c r="D28" i="95"/>
  <c r="C28" i="95"/>
  <c r="B28" i="95"/>
  <c r="E27" i="95"/>
  <c r="D27" i="95"/>
  <c r="C27" i="95"/>
  <c r="B27" i="95"/>
  <c r="E23" i="95"/>
  <c r="D23" i="95"/>
  <c r="C23" i="95"/>
  <c r="B23" i="95"/>
  <c r="E11" i="95"/>
  <c r="D11" i="95"/>
  <c r="C11" i="95"/>
  <c r="B11" i="95"/>
  <c r="D70" i="94"/>
  <c r="D69" i="94"/>
  <c r="I56" i="94"/>
  <c r="F56" i="94"/>
  <c r="C56" i="94"/>
  <c r="B56" i="94"/>
  <c r="I52" i="94"/>
  <c r="F52" i="94"/>
  <c r="C52" i="94"/>
  <c r="B52" i="94"/>
  <c r="I48" i="94"/>
  <c r="F48" i="94"/>
  <c r="C48" i="94"/>
  <c r="B48" i="94"/>
  <c r="E43" i="94"/>
  <c r="D43" i="94"/>
  <c r="C43" i="94"/>
  <c r="B43" i="94"/>
  <c r="E34" i="94"/>
  <c r="D34" i="94"/>
  <c r="C34" i="94"/>
  <c r="B34" i="94"/>
  <c r="E33" i="94"/>
  <c r="D33" i="94"/>
  <c r="C33" i="94"/>
  <c r="B33" i="94"/>
  <c r="E29" i="94"/>
  <c r="D29" i="94"/>
  <c r="C29" i="94"/>
  <c r="B29" i="94"/>
  <c r="E12" i="94"/>
  <c r="D12" i="94"/>
  <c r="C12" i="94"/>
  <c r="B12" i="94"/>
  <c r="I21" i="23"/>
  <c r="I19" i="23"/>
  <c r="H19" i="23"/>
  <c r="G19" i="23"/>
  <c r="F19" i="23"/>
  <c r="D19" i="23"/>
  <c r="C19" i="23"/>
  <c r="I18" i="23"/>
  <c r="H18" i="23"/>
  <c r="G18" i="23"/>
  <c r="F18" i="23"/>
  <c r="E18" i="23"/>
  <c r="D18" i="23"/>
  <c r="C18" i="23"/>
  <c r="B18" i="23"/>
  <c r="I17" i="23"/>
  <c r="E17" i="23"/>
  <c r="I16" i="23"/>
  <c r="E16" i="23"/>
  <c r="I15" i="23"/>
  <c r="E15" i="23"/>
  <c r="I14" i="23"/>
  <c r="E14" i="23"/>
  <c r="I12" i="23"/>
  <c r="H12" i="23"/>
  <c r="G12" i="23"/>
  <c r="F12" i="23"/>
  <c r="D12" i="23"/>
  <c r="C12" i="23"/>
  <c r="B12" i="23"/>
  <c r="E12" i="23" s="1"/>
  <c r="E19" i="23" s="1"/>
  <c r="E21" i="23" s="1"/>
  <c r="I11" i="23"/>
  <c r="E11" i="23"/>
  <c r="I10" i="23"/>
  <c r="E10" i="23"/>
  <c r="I9" i="23"/>
  <c r="E9" i="23"/>
  <c r="I8" i="23"/>
  <c r="E8" i="23"/>
  <c r="F4" i="23"/>
  <c r="C4" i="23"/>
  <c r="A4" i="23"/>
  <c r="F3" i="23"/>
  <c r="C3" i="23"/>
  <c r="A3" i="23"/>
  <c r="B22" i="92"/>
  <c r="B21" i="92"/>
  <c r="B20" i="92"/>
  <c r="B18" i="92"/>
  <c r="F4" i="90"/>
  <c r="D4" i="90"/>
  <c r="A4" i="90"/>
  <c r="F3" i="90"/>
  <c r="D3" i="90"/>
  <c r="A3" i="90"/>
  <c r="B19" i="23" l="1"/>
  <c r="E20" i="97"/>
  <c r="L13" i="97"/>
  <c r="M13" i="97" s="1"/>
  <c r="P12" i="65"/>
  <c r="U12" i="65" s="1"/>
  <c r="T12" i="65"/>
  <c r="J25" i="65"/>
  <c r="B25" i="65"/>
  <c r="I25" i="65"/>
  <c r="H25" i="65"/>
  <c r="T24" i="65"/>
  <c r="E25" i="65"/>
  <c r="G25" i="65"/>
  <c r="F25" i="65"/>
  <c r="N25" i="65"/>
  <c r="M25" i="65"/>
  <c r="L25" i="65"/>
  <c r="D25" i="65"/>
  <c r="K25" i="65"/>
  <c r="C25" i="65"/>
  <c r="P24" i="65"/>
  <c r="U24" i="65" s="1"/>
  <c r="F20" i="97" l="1"/>
  <c r="L20" i="97"/>
  <c r="M20" i="97" s="1"/>
  <c r="F13" i="97"/>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<sst xmlns="http://schemas.openxmlformats.org/spreadsheetml/2006/main" count="1651" uniqueCount="723">
  <si>
    <t>底稿开列时，可先在以下单元格填写有关内容，以便其他底稿引用有关数据：</t>
  </si>
  <si>
    <t>被审计单位：</t>
  </si>
  <si>
    <t>序号</t>
  </si>
  <si>
    <t>内容</t>
  </si>
  <si>
    <t>索引号</t>
  </si>
  <si>
    <t>会计期间：2024年度</t>
  </si>
  <si>
    <t>营业收入审计程序表</t>
  </si>
  <si>
    <t>D4A</t>
  </si>
  <si>
    <t>编制人：</t>
  </si>
  <si>
    <t>营业收入审定表</t>
  </si>
  <si>
    <t>D4-1</t>
  </si>
  <si>
    <t>编制日期：</t>
  </si>
  <si>
    <t>附注披露信息（上市公司）</t>
  </si>
  <si>
    <t>无需打印</t>
  </si>
  <si>
    <t>复核人：</t>
  </si>
  <si>
    <t>附注披露信息（国企）</t>
  </si>
  <si>
    <t>复核日期：</t>
  </si>
  <si>
    <t>主营业务收入月度明细表</t>
  </si>
  <si>
    <t>D4-2</t>
  </si>
  <si>
    <t>其他业务收入明细表</t>
  </si>
  <si>
    <t>D4-3</t>
  </si>
  <si>
    <t>调整分录汇总表</t>
  </si>
  <si>
    <t>D4-4</t>
  </si>
  <si>
    <t>致同会计师事务所</t>
  </si>
  <si>
    <t>营业收入实质性程序表</t>
  </si>
  <si>
    <t>索引号：</t>
  </si>
  <si>
    <t>页  次：</t>
  </si>
  <si>
    <t>一、本账户涉及的科目</t>
  </si>
  <si>
    <t>主营业务收入、其他业务收入</t>
  </si>
  <si>
    <t>二、审计目标与财务报表认定</t>
  </si>
  <si>
    <t>审计目标</t>
  </si>
  <si>
    <t>财务报表的认定</t>
  </si>
  <si>
    <t>A.利润表中记录的营业收入已发生，且与被审计单位有关，已记录于恰当的账户</t>
  </si>
  <si>
    <t>发生</t>
  </si>
  <si>
    <t>B.所有应当记录的营业收入均已记录，所有应当包括在财务报表中的相关披露均已包括</t>
  </si>
  <si>
    <t>完整性</t>
  </si>
  <si>
    <t>C.与营业收入有关的金额及其他数据已恰当记录，相关披露已得到恰当计量和描述</t>
  </si>
  <si>
    <t>准确性</t>
  </si>
  <si>
    <t>D.与营业收入有关的交易和事项已记录于正确的会计期间</t>
  </si>
  <si>
    <t>截止性</t>
  </si>
  <si>
    <t>E.营业收入已被恰当地汇总或分解且表述清楚，相关披露在按照企业会计准则的编制基础下是相关的、可理解的</t>
  </si>
  <si>
    <t>列报</t>
  </si>
  <si>
    <t>三、计划实施的实质性程序</t>
  </si>
  <si>
    <t>对应Leap程序</t>
  </si>
  <si>
    <t>程序分类</t>
  </si>
  <si>
    <t>财务报表认定</t>
  </si>
  <si>
    <t>底稿索引号</t>
  </si>
  <si>
    <t>1</t>
  </si>
  <si>
    <t xml:space="preserve">常规程序 </t>
  </si>
  <si>
    <t>常规★</t>
  </si>
  <si>
    <t>√</t>
  </si>
  <si>
    <t>2</t>
  </si>
  <si>
    <t>IPE程序</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</si>
  <si>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</si>
  <si>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b/>
        <sz val="10"/>
        <rFont val="宋体"/>
        <family val="3"/>
        <charset val="134"/>
      </rPr>
      <t>√</t>
    </r>
  </si>
  <si>
    <r>
      <rPr>
        <sz val="10"/>
        <rFont val="宋体"/>
        <family val="3"/>
        <charset val="134"/>
      </rPr>
      <t>√</t>
    </r>
  </si>
  <si>
    <t>T1</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</si>
  <si>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</si>
  <si>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</si>
  <si>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t>期初余额</t>
  </si>
  <si>
    <t>备选</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</si>
  <si>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</si>
  <si>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</si>
  <si>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 xml:space="preserve">常规程序/应对措施-会计估计 </t>
  </si>
  <si>
    <t>了解被审计单位收入类型，充分了解公司经销售模式，针对不同业务或模式，检查收入确认政策的合理性及与前期的一致性。关注周期性、偶然性的收入是否符合既定的收入确认原则、方法。必要时，与同行业其他公司的会计政策进行对比。</t>
  </si>
  <si>
    <t>D4-10</t>
  </si>
  <si>
    <t>营业收入中由被审计单位生成的信息例如：在使用被审计单位提供的发票清单、销售价格表、运输清单等被审计单位提供信息</t>
  </si>
  <si>
    <t>5</t>
  </si>
  <si>
    <t xml:space="preserve">应对措施-实质性/非实质性分析程序 </t>
  </si>
  <si>
    <t>实施分析程序：
（1）计算本期重要的比率指标：赊销率、应收账款周转率、末月销售情况/当期销售（金额或销量）、重要客户的销售额/销售额等，与可比期间数据、预算数或同行业其他企业数据进行比较；
（2）结合收入来源和销售模式，按照产品类别、业务模式、销售区域（如境内、海外）等将本期的主营业务收入与上期的主营业务收入进行比较，分析销售收入结构和价格变动是否异常，是否符合行业和市场同期的变化情况；
（3）分月或分季度比较本期主营业务收入波动情况，分析其变动趋势是否正常，是否符合被审计单位季节性、周期性的经营规律，查明异常现象和重大波动的原因；
(4）计算本期重要产品的各月毛利率，与上期毛利率进行比较，分析变动原因，关注是否存在显著异常，必要时应与同行业比较；
（5）就不同业务模式比较分析主要客户的销售数量、销售金额及占比的变动以及原因，关注是否存在异常。
（6）比较主要客户主要产品销售单价与销售平均价格（或指导价）、同类产品市场价格差异，分析价格合理性，判断有无以低价或高价结算的方法，相互之间有无转移利润的现象。
（7）比较关联方客户销售价格与非关联方销售价格的差异，分析关联方销售价格合理性，判断有无以低价或高价结算的方法，相互之间有无转移利润的现象。
(8)获取产品销售价格目录，与上期末相关文件进行对比分析，选取定价有较大或异常变化的产品进行测试，检查售价变动是否符合定价政策，价格变动是否合理。</t>
  </si>
  <si>
    <t>6</t>
  </si>
  <si>
    <t xml:space="preserve">常规程序(选择“存在重大合同”)  </t>
  </si>
  <si>
    <t>选取重要合同进行检查：
（1）了解与重要合同相关的交易，包括商业理由（或缺乏商业理由）和经济实质；
（2）检查重要合同并记录关键条款和条件，判断合同条款的合理性，考虑是否可能存在抽屉协议等；
（3）检查重要合同价格，确定是否符合销售及信用管理政策，并测试交易价格的确定是否正确。考虑代第三方收取的款项、预期将退还给客户的款项，以及可变对价（如现金折扣、数量折扣、价格折让等）、合同中存在的重大融资成分、非现金对价、应付客户对价等因素的影响。
（4）判断履约义务识别、交易价格的确定、交易价格分摊、收入控制权转移时点或期间等是否恰当。
（5）判断是否涉及特定交易，例如：附有质量保证条款的销售、附有销售退回条款的销售、主要责任人和代理人、售后回购交易、分期收款销售、寄售商品、以旧换新、授予知识产权，客户未行使的权利等；
（6）确定合同是否表明存在以前未识别或未披露的关联方或重大关联方交易、超过被审计单位正常经营过程的交易以及与审计有关的其他问题；
（7）确定交易是否按合同条款履行。</t>
  </si>
  <si>
    <t>7</t>
  </si>
  <si>
    <t xml:space="preserve">应对措施-检查  </t>
  </si>
  <si>
    <t>采用恰当的抽样方法，选择样本检查时点法收入确认依据（出库单、验收单、物流运输单、发票等）是否充分，记账是否正确；检查时段法的履约进度确认方法是否恰当，前后期是否一致，检查履约进度确认收入依据（监理报告、履约进度审核报告、竣工验收报告、结算资料等）是否充分，记账是否正确。</t>
  </si>
  <si>
    <t>D4-14</t>
  </si>
  <si>
    <t>8</t>
  </si>
  <si>
    <t>针对重要出口业务收入：
（1）将销售记录与合同、报关单、装箱单、提单、发票、结汇单、物流运输单等出口销售单据进行核对；
（2）使用电子口岸卡登陆电子口岸的信息系统，查询交易记录。
（3）必要时，向海关函证出口交易信息。</t>
  </si>
  <si>
    <t>9</t>
  </si>
  <si>
    <t>针对电商、游戏等互联网行业等，应充分了解其具体的运营模式、盈利模式、不同参与主体间的责任分担等情况，结合IT审计检查收入数据、结算数据的真实性、完整性、准确性。</t>
  </si>
  <si>
    <t>10</t>
  </si>
  <si>
    <t>针对大额现金交易：
（1）分析现金收付合理性，是否与行业特征和实际生产经营情况一致。
（2）获取公司报告期内存在现金销售的原因分析，分析被审计单位关于现金交易的相关说明是否合理。与对公司关键人员访谈、生产销售流程观察等程序获取的信息核对。
（3）逐月统计最近三年内现金销售收款金额，核查现金收款异常波动的原因，根据被审计单位情况分层统计分析，并对最近一年现金销售收入进行概要分析；
（4）选择大额或异常现金交易，进行测试，核对付款方和付款金额与合同、订单、出库单是否一致，款项是否确实由客户支付。记录主要信息，必要的留存复印件；未见异常的项目，按照随机抽样的原则抽取一定比例，进行测试。必要时，实施函证程序。</t>
  </si>
  <si>
    <t>11</t>
  </si>
  <si>
    <t xml:space="preserve">常规程序(选择“存在关联交易”)    </t>
  </si>
  <si>
    <t>12</t>
  </si>
  <si>
    <t>13</t>
  </si>
  <si>
    <t>销售折扣与折让：
(1)获取或编制销售折扣与折让明细表，复核加计正确，并与明细账合计数核对相符；
(2)取得被审计单位有关折扣与折让的具体规定和其他文件资料，并抽查较大的折扣发生额的授权批准情况，与实际执行情况进行核对；
(3)检查折扣与折让是否及时足额提交对方，有无虚设中介、转移收入、私设账外“小金库”等情况；
(4)检查折扣与折让的会计处理是否正确。</t>
  </si>
  <si>
    <t>14</t>
  </si>
  <si>
    <t>存在销货退回的，分析被审计单位对于退货率的估计是否合理，应付退货款、应收退货成本的会计处理是否正确；检查手续是否符合规定，结合原始销售凭证检查其会计处理是否正确；结合存货项目审计关注其真实性。</t>
  </si>
  <si>
    <t>针对其他业务收入，考虑执行以下程序：</t>
  </si>
  <si>
    <t>了解其他业务收入的业务内容，判断其分类为其他业务收入是否恰当。获取并了解被审计单位其他业务收入确认相关的会计政策，并与上年相比较是否存在重大差异变化。</t>
  </si>
  <si>
    <t>获取其他业务收入合同，检查合同主要条款，考虑商业实质和合理性；重新计算出租、咨询等服务合同收入金额是否正确。</t>
  </si>
  <si>
    <t>对于大额其他业务收入，检查支持性文件，分析交易实质，确定是否符合收入确认条件、会计处理是否正确。</t>
  </si>
  <si>
    <t xml:space="preserve">应对措施-检查    </t>
  </si>
  <si>
    <t>针对评估的舞弊风险等因素增加的审计程序。</t>
  </si>
  <si>
    <t>检查营业收入是否已按企业会计准则或其他适用的规定在财务报表中做出恰当列报和披露。</t>
  </si>
  <si>
    <r>
      <rPr>
        <sz val="10"/>
        <rFont val="Arial Narrow"/>
        <family val="2"/>
      </rPr>
      <t>A 1-1</t>
    </r>
    <r>
      <rPr>
        <sz val="10"/>
        <color rgb="FFFF0000"/>
        <rFont val="Arial Narrow"/>
        <family val="2"/>
      </rPr>
      <t>/A1-15 /A1-16</t>
    </r>
  </si>
  <si>
    <r>
      <rPr>
        <b/>
        <sz val="10"/>
        <rFont val="宋体"/>
        <family val="3"/>
        <charset val="134"/>
      </rPr>
      <t>致同会计师事务所</t>
    </r>
  </si>
  <si>
    <t>主营业务收入实质性程序表</t>
  </si>
  <si>
    <r>
      <rPr>
        <sz val="10"/>
        <rFont val="宋体"/>
        <family val="3"/>
        <charset val="134"/>
      </rPr>
      <t>索引号：</t>
    </r>
    <r>
      <rPr>
        <sz val="10"/>
        <rFont val="Arial"/>
        <family val="2"/>
      </rPr>
      <t>D4A</t>
    </r>
  </si>
  <si>
    <r>
      <rPr>
        <sz val="10"/>
        <rFont val="宋体"/>
        <family val="3"/>
        <charset val="134"/>
      </rPr>
      <t>页</t>
    </r>
    <r>
      <rPr>
        <sz val="10"/>
        <rFont val="Arial"/>
        <family val="2"/>
      </rPr>
      <t xml:space="preserve">  </t>
    </r>
    <r>
      <rPr>
        <sz val="10"/>
        <rFont val="宋体"/>
        <family val="3"/>
        <charset val="134"/>
      </rPr>
      <t>次：</t>
    </r>
  </si>
  <si>
    <r>
      <rPr>
        <b/>
        <sz val="10"/>
        <rFont val="宋体"/>
        <family val="3"/>
        <charset val="134"/>
      </rPr>
      <t>一、本账户涉及的科目</t>
    </r>
  </si>
  <si>
    <t>主营业务收入</t>
  </si>
  <si>
    <t>二、重大错报风险需从实质性程序获取的保证程度</t>
  </si>
  <si>
    <t>按照统一格式修改</t>
  </si>
  <si>
    <r>
      <rPr>
        <b/>
        <sz val="10"/>
        <rFont val="宋体"/>
        <family val="3"/>
        <charset val="134"/>
      </rPr>
      <t>审计目标与认定对应关系</t>
    </r>
  </si>
  <si>
    <r>
      <rPr>
        <b/>
        <sz val="10"/>
        <rFont val="宋体"/>
        <family val="3"/>
        <charset val="134"/>
      </rPr>
      <t>财务报表的认定　</t>
    </r>
  </si>
  <si>
    <t>信赖/不信赖/不适用</t>
  </si>
  <si>
    <r>
      <rPr>
        <sz val="10"/>
        <rFont val="宋体"/>
        <family val="3"/>
        <charset val="134"/>
      </rPr>
      <t>索引号</t>
    </r>
  </si>
  <si>
    <r>
      <rPr>
        <sz val="10"/>
        <rFont val="宋体"/>
        <family val="3"/>
        <charset val="134"/>
      </rPr>
      <t>完整性</t>
    </r>
  </si>
  <si>
    <t>分类</t>
  </si>
  <si>
    <r>
      <rPr>
        <sz val="10"/>
        <rFont val="宋体"/>
        <family val="3"/>
        <charset val="134"/>
      </rPr>
      <t>列报与披露</t>
    </r>
  </si>
  <si>
    <t>A. 利润表中记录的主营业务收入已发生，且与被审计单位有关。</t>
  </si>
  <si>
    <t>B. 所有应当记录的主营业务收入均已记录。</t>
  </si>
  <si>
    <t>C. 与主营业务收入有关的金额及其他数据已恰当记录于正确的会计期间。</t>
  </si>
  <si>
    <t>D. 主营业务收入已记录于恰当的账户。</t>
  </si>
  <si>
    <t>E. 主营业务收入已按照企业会计准则的规定在财务报表中作出恰当的列报和披露。</t>
  </si>
  <si>
    <r>
      <rPr>
        <b/>
        <sz val="10"/>
        <rFont val="宋体"/>
        <family val="3"/>
        <charset val="134"/>
      </rPr>
      <t>序号</t>
    </r>
  </si>
  <si>
    <r>
      <rPr>
        <b/>
        <sz val="10"/>
        <rFont val="微软雅黑"/>
        <family val="2"/>
        <charset val="134"/>
      </rPr>
      <t>对应</t>
    </r>
    <r>
      <rPr>
        <b/>
        <sz val="10"/>
        <rFont val="Arial Narrow"/>
        <family val="2"/>
      </rPr>
      <t>Leap</t>
    </r>
    <r>
      <rPr>
        <b/>
        <sz val="10"/>
        <rFont val="微软雅黑"/>
        <family val="2"/>
        <charset val="134"/>
      </rPr>
      <t>程序</t>
    </r>
  </si>
  <si>
    <r>
      <rPr>
        <b/>
        <sz val="10"/>
        <rFont val="宋体"/>
        <family val="3"/>
        <charset val="134"/>
      </rPr>
      <t>审计程序</t>
    </r>
  </si>
  <si>
    <r>
      <rPr>
        <b/>
        <sz val="10"/>
        <rFont val="宋体"/>
        <family val="3"/>
        <charset val="134"/>
      </rPr>
      <t>执行情况说明
（含底稿索引）</t>
    </r>
  </si>
  <si>
    <t>（一）</t>
  </si>
  <si>
    <t xml:space="preserve">常规程序  </t>
  </si>
  <si>
    <t>编制审定表</t>
  </si>
  <si>
    <t>B</t>
  </si>
  <si>
    <t>D4</t>
  </si>
  <si>
    <t>编制审定表，将主营业务收入、其他业务收入与报表数核对相符。</t>
  </si>
  <si>
    <r>
      <rPr>
        <sz val="10"/>
        <rFont val="宋体"/>
        <family val="3"/>
        <charset val="134"/>
      </rPr>
      <t>结合其他业务收入科目，将主营业务收入与报表数核对相符</t>
    </r>
  </si>
  <si>
    <t>E</t>
  </si>
  <si>
    <t>D5-1</t>
  </si>
  <si>
    <t>（二）</t>
  </si>
  <si>
    <t>获取或编制主营业务收入明细表。</t>
  </si>
  <si>
    <t>整合成一条</t>
  </si>
  <si>
    <t>获取或编制主营业务收入明细表，并完成以下工作：复核加计正确；将总金额与总账、明细账合计数核对相符；检查以非记账本位币结算的主营业务收入的折算汇率及折算是否正确。</t>
  </si>
  <si>
    <t>复核加计正确。</t>
  </si>
  <si>
    <t>将总金额与总账、明细账合计数核对相符。</t>
  </si>
  <si>
    <t>检查以非记账本位币结算的主营业务收入的折算汇率及折算是否正确。</t>
  </si>
  <si>
    <r>
      <rPr>
        <sz val="10"/>
        <color indexed="8"/>
        <rFont val="宋体"/>
        <family val="3"/>
        <charset val="134"/>
      </rPr>
      <t>常规</t>
    </r>
  </si>
  <si>
    <r>
      <rPr>
        <sz val="10"/>
        <rFont val="Arial Narrow"/>
        <family val="2"/>
      </rPr>
      <t>C</t>
    </r>
  </si>
  <si>
    <t>（三）</t>
  </si>
  <si>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</si>
  <si>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r>
      <rPr>
        <b/>
        <sz val="10"/>
        <color theme="1"/>
        <rFont val="宋体"/>
        <family val="3"/>
        <charset val="134"/>
      </rPr>
      <t>常规★</t>
    </r>
  </si>
  <si>
    <t>BC</t>
  </si>
  <si>
    <t>修改</t>
  </si>
  <si>
    <t>IPE写的不具体，建议要么写具体或者作为审计提示，要么就删除，仅在T1中做</t>
  </si>
  <si>
    <r>
      <rPr>
        <sz val="10"/>
        <rFont val="宋体"/>
        <family val="3"/>
        <charset val="134"/>
      </rPr>
      <t>获取有关信息准确性和完整性的审计证据。</t>
    </r>
  </si>
  <si>
    <r>
      <rPr>
        <sz val="10"/>
        <rFont val="宋体"/>
        <family val="3"/>
        <charset val="134"/>
      </rPr>
      <t>评价信息对实现审计目的是否足够准确和详细。</t>
    </r>
  </si>
  <si>
    <t>（四）</t>
  </si>
  <si>
    <t>测试上期主营业务收入发生额。（适用于首次承接）</t>
  </si>
  <si>
    <r>
      <rPr>
        <sz val="10"/>
        <color indexed="8"/>
        <rFont val="宋体"/>
        <family val="3"/>
        <charset val="134"/>
      </rPr>
      <t>备选</t>
    </r>
  </si>
  <si>
    <t>A</t>
  </si>
  <si>
    <t>S3</t>
  </si>
  <si>
    <t>整合</t>
  </si>
  <si>
    <r>
      <rPr>
        <sz val="10"/>
        <rFont val="宋体"/>
        <family val="3"/>
        <charset val="134"/>
      </rPr>
      <t>对上期发生额的审计（适用于首次承接）：
（</t>
    </r>
    <r>
      <rPr>
        <sz val="10"/>
        <rFont val="Arial"/>
        <family val="2"/>
      </rPr>
      <t>1</t>
    </r>
    <r>
      <rPr>
        <sz val="10"/>
        <rFont val="宋体"/>
        <family val="3"/>
        <charset val="134"/>
      </rPr>
      <t>）向被审计单位人员询问前期期末关于收入截止的相关处理；
（</t>
    </r>
    <r>
      <rPr>
        <sz val="10"/>
        <rFont val="Arial"/>
        <family val="2"/>
      </rPr>
      <t>2</t>
    </r>
    <r>
      <rPr>
        <sz val="10"/>
        <rFont val="宋体"/>
        <family val="3"/>
        <charset val="134"/>
      </rPr>
      <t>）复核资产负债表日前后一段合理期间里的销售分录，调查任何异常分录。
（</t>
    </r>
    <r>
      <rPr>
        <sz val="10"/>
        <rFont val="Arial"/>
        <family val="2"/>
      </rPr>
      <t>3</t>
    </r>
    <r>
      <rPr>
        <sz val="10"/>
        <rFont val="宋体"/>
        <family val="3"/>
        <charset val="134"/>
      </rPr>
      <t>）复核资产负债表日前后一段合理期间里销售退回或销售折扣的记录。
（</t>
    </r>
    <r>
      <rPr>
        <sz val="10"/>
        <rFont val="Arial"/>
        <family val="2"/>
      </rPr>
      <t>4</t>
    </r>
    <r>
      <rPr>
        <sz val="10"/>
        <rFont val="宋体"/>
        <family val="3"/>
        <charset val="134"/>
      </rPr>
      <t xml:space="preserve">）调查接近前期期末发生的大额或异常的销售交易。
</t>
    </r>
    <r>
      <rPr>
        <sz val="10"/>
        <color rgb="FFFF0000"/>
        <rFont val="宋体"/>
        <family val="3"/>
        <charset val="134"/>
      </rPr>
      <t>（</t>
    </r>
    <r>
      <rPr>
        <sz val="10"/>
        <color rgb="FFFF0000"/>
        <rFont val="Arial"/>
        <family val="2"/>
      </rPr>
      <t>5</t>
    </r>
    <r>
      <rPr>
        <sz val="10"/>
        <color rgb="FFFF0000"/>
        <rFont val="宋体"/>
        <family val="3"/>
        <charset val="134"/>
      </rPr>
      <t>）必要时，对上期收入函证。</t>
    </r>
    <r>
      <rPr>
        <sz val="10"/>
        <color rgb="FFFF0000"/>
        <rFont val="Arial"/>
        <family val="2"/>
      </rPr>
      <t xml:space="preserve">  </t>
    </r>
  </si>
  <si>
    <r>
      <rPr>
        <sz val="10"/>
        <rFont val="宋体"/>
        <family val="3"/>
        <charset val="134"/>
      </rPr>
      <t>向被审计单位人员询问前期期末关于收入截止的相关处理。</t>
    </r>
    <r>
      <rPr>
        <sz val="10"/>
        <rFont val="Arial Narrow"/>
        <family val="2"/>
      </rPr>
      <t xml:space="preserve"> </t>
    </r>
  </si>
  <si>
    <t>复核资产负债表日前后一段合理期间里的销售分录，调查任何异常分录。</t>
  </si>
  <si>
    <r>
      <rPr>
        <sz val="10"/>
        <rFont val="宋体"/>
        <family val="3"/>
        <charset val="134"/>
      </rPr>
      <t>复核资产负债表日前后一段合理期间里销售退回或销售折扣的记录。</t>
    </r>
    <r>
      <rPr>
        <sz val="10"/>
        <rFont val="Arial Narrow"/>
        <family val="2"/>
      </rPr>
      <t xml:space="preserve"> </t>
    </r>
  </si>
  <si>
    <r>
      <rPr>
        <sz val="10"/>
        <rFont val="宋体"/>
        <family val="3"/>
        <charset val="134"/>
      </rPr>
      <t>调查接近前期期末发生的大额或异常的销售交易。</t>
    </r>
    <r>
      <rPr>
        <sz val="10"/>
        <rFont val="Arial Narrow"/>
        <family val="2"/>
      </rPr>
      <t xml:space="preserve"> </t>
    </r>
  </si>
  <si>
    <t>（五）</t>
  </si>
  <si>
    <t>对主营业务收入实施分析程序：</t>
  </si>
  <si>
    <t>结合被审计单位业务特点和其主要客户基本经营信息，分析其客户购买力、结构变化和销售波动情况，是否存在客户异常采购的情况；与其客户信息披露核对。</t>
  </si>
  <si>
    <t>舞弊</t>
  </si>
  <si>
    <r>
      <rPr>
        <sz val="10"/>
        <color rgb="FFFF0000"/>
        <rFont val="宋体"/>
        <family val="3"/>
        <charset val="134"/>
      </rPr>
      <t>实施分析性程序：</t>
    </r>
    <r>
      <rPr>
        <sz val="10"/>
        <rFont val="宋体"/>
        <family val="3"/>
        <charset val="134"/>
      </rPr>
      <t xml:space="preserve">
</t>
    </r>
    <r>
      <rPr>
        <sz val="10"/>
        <rFont val="Arial"/>
        <family val="2"/>
      </rPr>
      <t>(1)</t>
    </r>
    <r>
      <rPr>
        <sz val="10"/>
        <rFont val="宋体"/>
        <family val="3"/>
        <charset val="134"/>
      </rPr>
      <t xml:space="preserve">结合收入来源和销售模式，按照产品类别、业务模式、销售区域（如境内、海外）等将本期的主营业务收入与上期的主营业务收入进行比较，分析销售收入结构和价格变动是否异常，是否符合行业和市场同期的变化情况；；
</t>
    </r>
    <r>
      <rPr>
        <sz val="10"/>
        <rFont val="Arial"/>
        <family val="2"/>
      </rPr>
      <t>(2)</t>
    </r>
    <r>
      <rPr>
        <sz val="10"/>
        <rFont val="宋体"/>
        <family val="3"/>
        <charset val="134"/>
      </rPr>
      <t xml:space="preserve">计算本期重要产品的毛利率，与上期和同行业进行比较，分析变动原因，关注是否存在显著异常。
</t>
    </r>
    <r>
      <rPr>
        <sz val="10"/>
        <rFont val="Arial"/>
        <family val="2"/>
      </rPr>
      <t>(3)</t>
    </r>
    <r>
      <rPr>
        <sz val="10"/>
        <rFont val="宋体"/>
        <family val="3"/>
        <charset val="134"/>
      </rPr>
      <t>分月或分季度比较本期各类主营业务收入、毛利率等波动情况，分析其变动趋势是否正常，是否符合被审计单位季节性、周期性的经营规律，查明异常现象和重大波动的原因
（</t>
    </r>
    <r>
      <rPr>
        <sz val="10"/>
        <rFont val="Arial"/>
        <family val="2"/>
      </rPr>
      <t>4</t>
    </r>
    <r>
      <rPr>
        <sz val="10"/>
        <rFont val="宋体"/>
        <family val="3"/>
        <charset val="134"/>
      </rPr>
      <t>）计算本期重要的比率指标：赊销率、应收账款周转率、末月销售情况</t>
    </r>
    <r>
      <rPr>
        <sz val="10"/>
        <rFont val="Arial"/>
        <family val="2"/>
      </rPr>
      <t>/</t>
    </r>
    <r>
      <rPr>
        <sz val="10"/>
        <rFont val="宋体"/>
        <family val="3"/>
        <charset val="134"/>
      </rPr>
      <t>当期销售（金额或销量）、重要客户的销售额</t>
    </r>
    <r>
      <rPr>
        <sz val="10"/>
        <rFont val="Arial"/>
        <family val="2"/>
      </rPr>
      <t>/</t>
    </r>
    <r>
      <rPr>
        <sz val="10"/>
        <rFont val="宋体"/>
        <family val="3"/>
        <charset val="134"/>
      </rPr>
      <t>销售额等，</t>
    </r>
    <r>
      <rPr>
        <sz val="10"/>
        <color rgb="FFFF0000"/>
        <rFont val="宋体"/>
        <family val="3"/>
        <charset val="134"/>
      </rPr>
      <t>与可比期间数据、预算数或同行业其他企业数据进行比较</t>
    </r>
    <r>
      <rPr>
        <sz val="10"/>
        <rFont val="宋体"/>
        <family val="3"/>
        <charset val="134"/>
      </rPr>
      <t>。
（</t>
    </r>
    <r>
      <rPr>
        <sz val="10"/>
        <rFont val="Arial"/>
        <family val="2"/>
      </rPr>
      <t>5</t>
    </r>
    <r>
      <rPr>
        <sz val="10"/>
        <rFont val="宋体"/>
        <family val="3"/>
        <charset val="134"/>
      </rPr>
      <t>）就不同业务模式比较分析主要客户的销售数量、销售金额及占比的变动以及原因，关注是否存在异常。
（</t>
    </r>
    <r>
      <rPr>
        <sz val="10"/>
        <rFont val="Arial"/>
        <family val="2"/>
      </rPr>
      <t>6</t>
    </r>
    <r>
      <rPr>
        <sz val="10"/>
        <rFont val="宋体"/>
        <family val="3"/>
        <charset val="134"/>
      </rPr>
      <t>）比较主要客户主要产品销售单价与销售平均价格（或指导价）、同类产品市场价格差异，分析价格合理性，判断有无以低价或高价结算的方法，相互之间有无转移利润的现象。
（</t>
    </r>
    <r>
      <rPr>
        <sz val="10"/>
        <rFont val="Arial"/>
        <family val="2"/>
      </rPr>
      <t>7</t>
    </r>
    <r>
      <rPr>
        <sz val="10"/>
        <rFont val="宋体"/>
        <family val="3"/>
        <charset val="134"/>
      </rPr>
      <t xml:space="preserve">）比较关联方客户销售价格与非关联方销售价格的差异，分析关联方销售价格合理性，判断有无以低价或高价结算的方法，相互之间有无转移利润的现象。
</t>
    </r>
    <r>
      <rPr>
        <sz val="10"/>
        <rFont val="Arial"/>
        <family val="2"/>
      </rPr>
      <t>(8)</t>
    </r>
    <r>
      <rPr>
        <sz val="10"/>
        <rFont val="宋体"/>
        <family val="3"/>
        <charset val="134"/>
      </rPr>
      <t xml:space="preserve">获取产品销售价格目录，与上期末相关文件进行对比分析，选取定价有较大或异常变化的产品进行测试，检查售价变动是否符合定价政策，价格变动是否合理。
</t>
    </r>
  </si>
  <si>
    <t>第一段话来源于审计准则应用指南《分析性程序》</t>
  </si>
  <si>
    <t>结合收入来源和销售模式，按照业务模式或销售区域（如境内、海外）对报告期内年度及各月产品销售结构和毛利的变化进行分析，并和同行业比较。</t>
  </si>
  <si>
    <t>这三句有重复，应整合，标红字是否需要保留？</t>
  </si>
  <si>
    <r>
      <rPr>
        <sz val="10"/>
        <rFont val="宋体"/>
        <family val="3"/>
        <charset val="134"/>
      </rPr>
      <t>（</t>
    </r>
    <r>
      <rPr>
        <sz val="10"/>
        <rFont val="Arial Narrow"/>
        <family val="2"/>
      </rPr>
      <t>1</t>
    </r>
    <r>
      <rPr>
        <sz val="10"/>
        <rFont val="宋体"/>
        <family val="3"/>
        <charset val="134"/>
      </rPr>
      <t>）</t>
    </r>
  </si>
  <si>
    <r>
      <rPr>
        <sz val="10"/>
        <rFont val="宋体"/>
        <family val="3"/>
        <charset val="134"/>
      </rPr>
      <t>按产品类别（按产品应用场景）分析被审计单位收入构成及变化（包括具体产品名称、单价、销售数量、报告期各年销售金额和占比情况）情况是否符合行业和市场同期的变化情况；</t>
    </r>
    <r>
      <rPr>
        <sz val="10"/>
        <color rgb="FFFF0000"/>
        <rFont val="宋体"/>
        <family val="3"/>
        <charset val="134"/>
      </rPr>
      <t>是否存在放宽信用政策增加销售收入的情形。</t>
    </r>
  </si>
  <si>
    <r>
      <rPr>
        <sz val="10"/>
        <rFont val="宋体"/>
        <family val="3"/>
        <charset val="134"/>
      </rPr>
      <t>（</t>
    </r>
    <r>
      <rPr>
        <sz val="10"/>
        <rFont val="Arial Narrow"/>
        <family val="2"/>
      </rPr>
      <t>2）</t>
    </r>
  </si>
  <si>
    <t>分析被审计单位产品或服务价格、销量及变动趋势与市场上相同或相近产品或服务的信息及其走势相比是否存在显著异常。</t>
  </si>
  <si>
    <r>
      <rPr>
        <sz val="10"/>
        <rFont val="宋体"/>
        <family val="3"/>
        <charset val="134"/>
      </rPr>
      <t>（</t>
    </r>
    <r>
      <rPr>
        <sz val="10"/>
        <rFont val="Arial Narrow"/>
        <family val="2"/>
      </rPr>
      <t>3）</t>
    </r>
  </si>
  <si>
    <t>计算本期重要产品的毛利率，与上期和同行业进行比较，关注其走势相比是否存在显著异常。</t>
  </si>
  <si>
    <t>保留</t>
  </si>
  <si>
    <t>就不同业务模式分别分析大额前十名销售客户的名单，和前期相比是否发生变化，分析重要客户的销售数量、销售金额额、销售单价及产品毛利率。</t>
  </si>
  <si>
    <r>
      <rPr>
        <sz val="10"/>
        <rFont val="宋体"/>
        <family val="3"/>
        <charset val="134"/>
      </rPr>
      <t>计算本期重要的比率指标，例如：赊销率、应收账款周转率、末月销售情况</t>
    </r>
    <r>
      <rPr>
        <sz val="10"/>
        <rFont val="Arial Narrow"/>
        <family val="2"/>
      </rPr>
      <t>/</t>
    </r>
    <r>
      <rPr>
        <sz val="10"/>
        <rFont val="宋体"/>
        <family val="3"/>
        <charset val="134"/>
      </rPr>
      <t>当期销售（金额或销量）、重要客户的销售额</t>
    </r>
    <r>
      <rPr>
        <sz val="10"/>
        <rFont val="Arial Narrow"/>
        <family val="2"/>
      </rPr>
      <t>/</t>
    </r>
    <r>
      <rPr>
        <sz val="10"/>
        <rFont val="宋体"/>
        <family val="3"/>
        <charset val="134"/>
      </rPr>
      <t>销售额等。针对</t>
    </r>
    <r>
      <rPr>
        <sz val="10"/>
        <rFont val="Arial Narrow"/>
        <family val="2"/>
      </rPr>
      <t>IPO/</t>
    </r>
    <r>
      <rPr>
        <sz val="10"/>
        <rFont val="宋体"/>
        <family val="3"/>
        <charset val="134"/>
      </rPr>
      <t>上市公司</t>
    </r>
    <r>
      <rPr>
        <sz val="10"/>
        <rFont val="Arial Narrow"/>
        <family val="2"/>
      </rPr>
      <t>/</t>
    </r>
    <r>
      <rPr>
        <sz val="10"/>
        <rFont val="宋体"/>
        <family val="3"/>
        <charset val="134"/>
      </rPr>
      <t>新三板和高风险客户，还需要分析产能利用率、水电能耗、投入增长率、劳动生产率、产销率、经营性现金流量等指标。</t>
    </r>
  </si>
  <si>
    <t>了解期末在手订单情况，分析销售与采购是否配比，以及重要客户大量采购的原因、最终销售情况、终端客户同经销商地域的匹配性。</t>
  </si>
  <si>
    <r>
      <rPr>
        <sz val="10"/>
        <rFont val="宋体"/>
        <family val="3"/>
        <charset val="134"/>
      </rPr>
      <t>移到</t>
    </r>
    <r>
      <rPr>
        <sz val="10"/>
        <rFont val="Arial"/>
        <family val="2"/>
      </rPr>
      <t>IPO</t>
    </r>
    <r>
      <rPr>
        <sz val="10"/>
        <rFont val="宋体"/>
        <family val="3"/>
        <charset val="134"/>
      </rPr>
      <t>等特殊考虑</t>
    </r>
  </si>
  <si>
    <t>获取产品销售价格目录，与上期末相关文件进行对比分析，选取定价有较大或异常变化的产品进行测试，检查售价变动是否符合定价政策，价格变动是否合理。</t>
  </si>
  <si>
    <t>C</t>
  </si>
  <si>
    <t>（六）</t>
  </si>
  <si>
    <t>重大会计政策、会计估计合理性检查</t>
  </si>
  <si>
    <r>
      <rPr>
        <sz val="10"/>
        <rFont val="Arial Narrow"/>
        <family val="2"/>
      </rPr>
      <t>AC</t>
    </r>
  </si>
  <si>
    <t>D4-3.D4-4</t>
  </si>
  <si>
    <t>应该先了解政策、模式等，因此调整顺序至分析性程序前面</t>
  </si>
  <si>
    <t>了解被审计单位业务类型、经营模式，针对不同业务或模式，检查收入确认政策的合理性及与前期的一致性。必要时，与同行业其他公司的会计政策进行对比。</t>
  </si>
  <si>
    <r>
      <rPr>
        <sz val="10"/>
        <rFont val="宋体"/>
        <family val="3"/>
        <charset val="134"/>
      </rPr>
      <t>针对不同收入来源（或销售模式）和重大、异常交易，复核收入确认政策的合理性及与前期的一致性</t>
    </r>
    <r>
      <rPr>
        <sz val="10"/>
        <rFont val="Arial Narrow"/>
        <family val="2"/>
      </rPr>
      <t>,</t>
    </r>
    <r>
      <rPr>
        <sz val="10"/>
        <rFont val="宋体"/>
        <family val="3"/>
        <charset val="134"/>
      </rPr>
      <t>与同行业其他公司的会计政策进行对比，关注其是否利用会计政策和会计估计变更操纵利润。
需要考虑：履约义务的识别、可变对价、重大融资成分、非现金对价、应付客户对价，以及验收条款、运输条款、销售退回条款、质量保证条款、亏损合同、主要责任人与代理人、客户额外购买选择权、售后回购、预收款项（客户未行使的权利）、无需退回的初始费等。</t>
    </r>
  </si>
  <si>
    <t>删除会计提示内容，程序表应简洁明了</t>
  </si>
  <si>
    <t>针对附有销售退回条款的销售、客户额外购买选择权（奖励积分、常旅客计划等）、向客户预收销售款项（预售卡打折）、无需退回的初始费（如俱乐部的入会费等）等情况，检查收入确认政策，确定预计负债、合同负债的会计处理是否正确。</t>
  </si>
  <si>
    <r>
      <rPr>
        <sz val="10"/>
        <rFont val="Arial Narrow"/>
        <family val="2"/>
      </rPr>
      <t>A</t>
    </r>
  </si>
  <si>
    <t>对于特殊交易整合放在后面合同具体检查程序中</t>
  </si>
  <si>
    <t>根据执行程序的结果，包括回顾上期估计值与当期结果，考虑管理层在作出会计估计时的判断和决策时，是否表明存在管理层偏向的迹象。</t>
  </si>
  <si>
    <t>常规</t>
  </si>
  <si>
    <t>AC</t>
  </si>
  <si>
    <t>待定</t>
  </si>
  <si>
    <t>（七）</t>
  </si>
  <si>
    <t xml:space="preserve">应对措施-函证 </t>
  </si>
  <si>
    <t>使用积极式函证方式对应收账款、合同资产、合同负债、交易（及重要合同条款）进行函证</t>
  </si>
  <si>
    <t>ABCD</t>
  </si>
  <si>
    <t>D4-34,D4-35,D4-36,D4-37,D4-38</t>
  </si>
  <si>
    <t>按照统一格式修改，保留最关键的程序，将具体程序在函证底稿程序中</t>
  </si>
  <si>
    <r>
      <rPr>
        <sz val="10"/>
        <rFont val="宋体"/>
        <family val="3"/>
        <charset val="134"/>
      </rPr>
      <t>实施函证程序：
（</t>
    </r>
    <r>
      <rPr>
        <sz val="10"/>
        <rFont val="Arial"/>
        <family val="2"/>
      </rPr>
      <t>1</t>
    </r>
    <r>
      <rPr>
        <sz val="10"/>
        <rFont val="宋体"/>
        <family val="3"/>
        <charset val="134"/>
      </rPr>
      <t>）以积极方式对预付账款进行函证，设计询证函、发函前核实被函证单位信息；
（</t>
    </r>
    <r>
      <rPr>
        <sz val="10"/>
        <rFont val="Arial"/>
        <family val="2"/>
      </rPr>
      <t>2</t>
    </r>
    <r>
      <rPr>
        <sz val="10"/>
        <rFont val="宋体"/>
        <family val="3"/>
        <charset val="134"/>
      </rPr>
      <t>）注册会计师独立收发询证函，利用第三方电子函证平台收发函证的，应当评估第三方电子函证平台服务的可靠性，了解资质认证或有关控制设计及运行的有效性；
（</t>
    </r>
    <r>
      <rPr>
        <sz val="10"/>
        <rFont val="Arial"/>
        <family val="2"/>
      </rPr>
      <t>3</t>
    </r>
    <r>
      <rPr>
        <sz val="10"/>
        <rFont val="宋体"/>
        <family val="3"/>
        <charset val="134"/>
      </rPr>
      <t>）编制函证结果汇总表，检查发函、回函物流信息和轨迹、比对回函印章和签字以核实回函的真实性，检查回函是否相符，对不符事项查明原因确定是否存在错报；
（</t>
    </r>
    <r>
      <rPr>
        <sz val="10"/>
        <rFont val="Arial"/>
        <family val="2"/>
      </rPr>
      <t>4</t>
    </r>
    <r>
      <rPr>
        <sz val="10"/>
        <rFont val="宋体"/>
        <family val="3"/>
        <charset val="134"/>
      </rPr>
      <t>）如果未收到回函，应当考虑与被询证者联系，要求对方作出回应或再次寄发询证函，无法收到回函的实施替代程序；
（</t>
    </r>
    <r>
      <rPr>
        <sz val="10"/>
        <rFont val="Arial"/>
        <family val="2"/>
      </rPr>
      <t>4</t>
    </r>
    <r>
      <rPr>
        <sz val="10"/>
        <rFont val="宋体"/>
        <family val="3"/>
        <charset val="134"/>
      </rPr>
      <t>）如果管理层不允许寄发询证函的，询问管理层不允许寄发的原因，并就其原因的正当、合理性收集证据；考虑实施替代审计程序以获取相关、可靠的审计证据；
（</t>
    </r>
    <r>
      <rPr>
        <sz val="10"/>
        <rFont val="Arial"/>
        <family val="2"/>
      </rPr>
      <t>5</t>
    </r>
    <r>
      <rPr>
        <sz val="10"/>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</si>
  <si>
    <t>样本的选择：
对总体中特定项目（金额重大、性质特殊）全部进行函证，对于剩余项目，如果总体重要，则选用抽样方法，如果总体不重要的，仅执行分析程序；。</t>
  </si>
  <si>
    <r>
      <rPr>
        <sz val="10"/>
        <rFont val="宋体"/>
        <family val="3"/>
        <charset val="134"/>
      </rPr>
      <t>抽样方法：使用</t>
    </r>
    <r>
      <rPr>
        <sz val="10"/>
        <rFont val="Arial Narrow"/>
        <family val="2"/>
      </rPr>
      <t>IDEA</t>
    </r>
    <r>
      <rPr>
        <sz val="10"/>
        <rFont val="宋体"/>
        <family val="3"/>
        <charset val="134"/>
      </rPr>
      <t>选择</t>
    </r>
    <r>
      <rPr>
        <sz val="10"/>
        <rFont val="Arial Narrow"/>
        <family val="2"/>
      </rPr>
      <t>%</t>
    </r>
    <r>
      <rPr>
        <sz val="10"/>
        <rFont val="宋体"/>
        <family val="3"/>
        <charset val="134"/>
      </rPr>
      <t>样本，并记录选样标准。</t>
    </r>
  </si>
  <si>
    <t>（2）</t>
  </si>
  <si>
    <t>记录函证抽样的依据及比例。</t>
  </si>
  <si>
    <t>设计询证函（可以采用事务所的模板，或根据需要在模板基础上修改），考虑制作询证函防伪标识，并在发函前核实被函证单位信息（函证科目、客户名称、通讯地址、联系人、联系电话、邮政编码、函证人等），对于函证地址与注册地址、办公地址等不一致，不同客户或供应商的函证地址相近、电话号段相邻，函证联系人并非被询证单位员工等情况，需核查并记录原因。</t>
  </si>
  <si>
    <t>对函证过程实施控制：验证被函证对象信息；询证函须由注册会计师独立收发，跟函时观察实地场所以及函证核对过程，确认处理函证的人员身份和权限，防范询证函被拦截、篡改或发生串通舞弊；在底稿中记录控制过程；保存发函回执及收函的相关证据。</t>
  </si>
  <si>
    <t>（1）</t>
  </si>
  <si>
    <t>核实快递物流信息、比对回函印章和签字，确认回函联系人及回函地址的真实性。</t>
  </si>
  <si>
    <t>分析核实未回函、回函不符及回函率较低的原因，必要时实施再次发函、现场走访等程序，获取账面记录与外部证据矛盾的审计证据。</t>
  </si>
  <si>
    <t>（3）</t>
  </si>
  <si>
    <t>回函情况较好时，应结合风险评估情况及各类风险迹象，考虑串通舞弊、伪造交易的可能性等。</t>
  </si>
  <si>
    <t>如果被询证者以传真、电子邮件等方式回函，审计项目组应当直接接收，并要求被询证者在审计报告日之前寄回询证函原件。如果审计项目组在审计报告日之前未收到询证函原件，应当实施以下程序：</t>
  </si>
  <si>
    <r>
      <rPr>
        <sz val="10"/>
        <rFont val="宋体"/>
        <family val="3"/>
        <charset val="134"/>
      </rPr>
      <t>对于以传真方式收到的回函，需致电被询证者并与其确认回函的真实性。并将执行上述确认过程的审计人员姓名及日期、获得被询证者电话的方式、被询证者联络人员姓名及所属部门、沟通的过程及其结果等内容清晰地记录在审计工作底稿中。</t>
    </r>
  </si>
  <si>
    <t>对于以电子邮件方式收到的回函，审计项目组应当采用与上条中所述相同的方式与被询者确认回函的真实性，并在审计工作底稿中予以记录。采用电子邮件方式收到函证的控制要点详见函证技术提示4号，链接为：https://www.gt-china.com.cn/article_view.php?id=9691。</t>
  </si>
  <si>
    <t>利用第三方电子函证平台收发函证的，项目组应当评估第三方电子函证平台服务的可靠性，了解资质认证或有关控制设计及运行的有效性。第三方电子询证函平台的安全性评估内容相关要点详见函证技术提示3号，链接为：https://www.gt-china.com.cn/article_view.php?id=9682</t>
  </si>
  <si>
    <t>调查那些退回、无法寄到的函证，确定相关账户是否真实。</t>
  </si>
  <si>
    <t>对未回应客户执行二次发函。</t>
  </si>
  <si>
    <t>针对最终未回函的全部账户实施替代审计程序。</t>
  </si>
  <si>
    <r>
      <rPr>
        <sz val="10"/>
        <rFont val="宋体"/>
        <family val="3"/>
        <charset val="134"/>
      </rPr>
      <t>编制</t>
    </r>
    <r>
      <rPr>
        <sz val="10"/>
        <rFont val="Arial Narrow"/>
        <family val="2"/>
      </rPr>
      <t>“</t>
    </r>
    <r>
      <rPr>
        <sz val="10"/>
        <rFont val="宋体"/>
        <family val="3"/>
        <charset val="134"/>
      </rPr>
      <t>主营业务收入函证结果汇总表</t>
    </r>
    <r>
      <rPr>
        <sz val="10"/>
        <rFont val="Arial Narrow"/>
        <family val="2"/>
      </rPr>
      <t>”</t>
    </r>
    <r>
      <rPr>
        <sz val="10"/>
        <rFont val="宋体"/>
        <family val="3"/>
        <charset val="134"/>
      </rPr>
      <t>，对函证结果进行评价。</t>
    </r>
  </si>
  <si>
    <r>
      <rPr>
        <sz val="10"/>
        <rFont val="宋体"/>
        <family val="3"/>
        <charset val="134"/>
      </rPr>
      <t>分析不符事项原因，编制</t>
    </r>
    <r>
      <rPr>
        <sz val="10"/>
        <rFont val="Arial Narrow"/>
        <family val="2"/>
      </rPr>
      <t>“</t>
    </r>
    <r>
      <rPr>
        <sz val="10"/>
        <rFont val="宋体"/>
        <family val="3"/>
        <charset val="134"/>
      </rPr>
      <t>主营业务收入函证结果调节表</t>
    </r>
    <r>
      <rPr>
        <sz val="10"/>
        <rFont val="Arial Narrow"/>
        <family val="2"/>
      </rPr>
      <t>”</t>
    </r>
    <r>
      <rPr>
        <sz val="10"/>
        <rFont val="宋体"/>
        <family val="3"/>
        <charset val="134"/>
      </rPr>
      <t>进行调节，并检查支持凭证；如果不符事项构成错报，重新考虑所实施审计程序的性质、时间和范围。</t>
    </r>
  </si>
  <si>
    <r>
      <rPr>
        <sz val="10"/>
        <rFont val="宋体"/>
        <family val="3"/>
        <charset val="134"/>
      </rPr>
      <t>（</t>
    </r>
    <r>
      <rPr>
        <sz val="10"/>
        <rFont val="Arial Narrow"/>
        <family val="2"/>
      </rPr>
      <t>2</t>
    </r>
    <r>
      <rPr>
        <sz val="10"/>
        <rFont val="宋体"/>
        <family val="3"/>
        <charset val="134"/>
      </rPr>
      <t>）</t>
    </r>
  </si>
  <si>
    <t>用样本评估工具推算总体误差，在“未更正错报汇总表”中记录推断的误差。</t>
  </si>
  <si>
    <r>
      <rPr>
        <sz val="10"/>
        <rFont val="宋体"/>
        <family val="3"/>
        <charset val="134"/>
      </rPr>
      <t>对于管理层不允许寄发询证函的，列出客户清单，询问管理层不允许寄发的原因，并就其原因的正当、合理性收集证据。</t>
    </r>
  </si>
  <si>
    <t>评价管理层不允许寄发询证函对评估的重大错报风险（包括舞弊风险）的影响，考虑对其他审计程序的性质、时间安排和范围的影响。</t>
  </si>
  <si>
    <t>实施替代审计程序，以获取相关、可靠的审计证据。</t>
  </si>
  <si>
    <t>如果认为管理层不允许寄发询证函的原因不合理，或实施替代程序无法获取相关、可靠的审计证据，考虑是否表明存在舞弊或错报，与治理层进行沟通，并确定其对审计工作和审计意见的影响。</t>
  </si>
  <si>
    <r>
      <rPr>
        <sz val="10"/>
        <color indexed="8"/>
        <rFont val="宋体"/>
        <family val="3"/>
        <charset val="134"/>
      </rPr>
      <t>选择样本对重要交易和合同条款进行函证。函证内容包括但不限于：主要合同条款、交易额、债权</t>
    </r>
    <r>
      <rPr>
        <sz val="10"/>
        <color indexed="8"/>
        <rFont val="Arial Narrow"/>
        <family val="2"/>
      </rPr>
      <t>/</t>
    </r>
    <r>
      <rPr>
        <sz val="10"/>
        <color indexed="8"/>
        <rFont val="宋体"/>
        <family val="3"/>
        <charset val="134"/>
      </rPr>
      <t>债务余额、是否为关联关系及项目组认为必要的其他信息。</t>
    </r>
  </si>
  <si>
    <t>考虑在执行函证程序时所发现的例外情况是否表明可能存在滚动收取的情况。</t>
  </si>
  <si>
    <t>对于冲销的重大余额或交易，考虑与客户函证已冲销的交易或款项。</t>
  </si>
  <si>
    <t>（八）</t>
  </si>
  <si>
    <t>抽取（   ）张记账凭证，审查入账日期、编号、数量、品名等是否与发票、出库单相符。</t>
  </si>
  <si>
    <t>D4-42</t>
  </si>
  <si>
    <t>整合修改</t>
  </si>
  <si>
    <t xml:space="preserve">采用恰当的抽样方法，选择样本检查收入确认依据是否充分，收入确认方法是否恰当，计算是否正确：
（1）检查在某一时点履行履约义务业务控制权转移时点的依据是否充分，会计处理是否正确。
（2）检查一段时间履行履约义务业务的履约进度确认方法是否恰当，前后期是否一致；检查履约进度确认收入依据是否充分，计算是否正确
</t>
  </si>
  <si>
    <t>（九）</t>
  </si>
  <si>
    <t>抽取（   ）张出库单，审查出库日期、编号、品名、数量等是否与发票、记账凭证所载信息相符。</t>
  </si>
  <si>
    <t>D4-44</t>
  </si>
  <si>
    <t>（十）</t>
  </si>
  <si>
    <t>重要合同（包括涉及特定交易的合同）及其履行情况检查：</t>
  </si>
  <si>
    <t>D4-46</t>
  </si>
  <si>
    <r>
      <rPr>
        <sz val="10"/>
        <rFont val="宋体"/>
        <family val="3"/>
        <charset val="134"/>
      </rPr>
      <t>选取重要合同进行检查：
（</t>
    </r>
    <r>
      <rPr>
        <sz val="10"/>
        <rFont val="Arial"/>
        <family val="2"/>
      </rPr>
      <t>1</t>
    </r>
    <r>
      <rPr>
        <sz val="10"/>
        <rFont val="宋体"/>
        <family val="3"/>
        <charset val="134"/>
      </rPr>
      <t>）了解与重要合同相关的交易，包括商业理由（或缺乏商业理由）和经济实质；
（</t>
    </r>
    <r>
      <rPr>
        <sz val="10"/>
        <rFont val="Arial"/>
        <family val="2"/>
      </rPr>
      <t>2</t>
    </r>
    <r>
      <rPr>
        <sz val="10"/>
        <rFont val="宋体"/>
        <family val="3"/>
        <charset val="134"/>
      </rPr>
      <t>）检查重要合同并记录关键条款和条件，判断合同条款的合理性，考虑是否可能存在抽屉协议等；
（</t>
    </r>
    <r>
      <rPr>
        <sz val="10"/>
        <rFont val="Arial"/>
        <family val="2"/>
      </rPr>
      <t>3</t>
    </r>
    <r>
      <rPr>
        <sz val="10"/>
        <rFont val="宋体"/>
        <family val="3"/>
        <charset val="134"/>
      </rPr>
      <t>）检查重要合同价格，确定是否符合销售及信用管理政策，并测试交易价格的确定是否正确。考虑代第三方收取的款项、预期将退还给客户的款项，以及可变对价（如现金折扣、数量折扣、价格折让等）、合同中存在的重大融资成分、非现金对价、应付客户对价等因素的影响。</t>
    </r>
    <r>
      <rPr>
        <sz val="10"/>
        <rFont val="Arial"/>
        <family val="2"/>
      </rPr>
      <t xml:space="preserve">
</t>
    </r>
    <r>
      <rPr>
        <sz val="10"/>
        <rFont val="宋体"/>
        <family val="3"/>
        <charset val="134"/>
      </rPr>
      <t>（</t>
    </r>
    <r>
      <rPr>
        <sz val="10"/>
        <rFont val="Arial"/>
        <family val="2"/>
      </rPr>
      <t>4</t>
    </r>
    <r>
      <rPr>
        <sz val="10"/>
        <rFont val="宋体"/>
        <family val="3"/>
        <charset val="134"/>
      </rPr>
      <t>）判断履约义务识别、交易价格确认、交易价格分摊、收入控制权转移时点或期间等是否恰当。</t>
    </r>
    <r>
      <rPr>
        <sz val="10"/>
        <rFont val="Arial"/>
        <family val="2"/>
      </rPr>
      <t xml:space="preserve">
</t>
    </r>
    <r>
      <rPr>
        <sz val="10"/>
        <rFont val="宋体"/>
        <family val="3"/>
        <charset val="134"/>
      </rPr>
      <t>（</t>
    </r>
    <r>
      <rPr>
        <sz val="10"/>
        <rFont val="Arial"/>
        <family val="2"/>
      </rPr>
      <t>5</t>
    </r>
    <r>
      <rPr>
        <sz val="10"/>
        <rFont val="宋体"/>
        <family val="3"/>
        <charset val="134"/>
      </rPr>
      <t>）判断特定交易会计处理是否正确，例如：附有质量保证条款的销售，附有销售退回条款的销售；主要责任人和代理人，售后回购交易，授予知识产权，客户未行使的权利等；
（</t>
    </r>
    <r>
      <rPr>
        <sz val="10"/>
        <rFont val="Arial"/>
        <family val="2"/>
      </rPr>
      <t>3</t>
    </r>
    <r>
      <rPr>
        <sz val="10"/>
        <rFont val="宋体"/>
        <family val="3"/>
        <charset val="134"/>
      </rPr>
      <t>）确定合同是否表明存在以前未识别或未披露的关联方或重大关联方交易、超过被审计单位正常经营过程的交易以及与审计有关的其他问题；
（</t>
    </r>
    <r>
      <rPr>
        <sz val="10"/>
        <rFont val="Arial"/>
        <family val="2"/>
      </rPr>
      <t>6</t>
    </r>
    <r>
      <rPr>
        <sz val="10"/>
        <rFont val="宋体"/>
        <family val="3"/>
        <charset val="134"/>
      </rPr>
      <t>）确定交易是否按合同条款履行。</t>
    </r>
  </si>
  <si>
    <r>
      <rPr>
        <sz val="10"/>
        <rFont val="宋体"/>
        <family val="3"/>
        <charset val="134"/>
      </rPr>
      <t>（</t>
    </r>
    <r>
      <rPr>
        <sz val="10"/>
        <rFont val="Arial"/>
        <family val="2"/>
      </rPr>
      <t>1</t>
    </r>
    <r>
      <rPr>
        <sz val="10"/>
        <rFont val="宋体"/>
        <family val="3"/>
        <charset val="134"/>
      </rPr>
      <t>）（</t>
    </r>
    <r>
      <rPr>
        <sz val="10"/>
        <rFont val="Arial"/>
        <family val="2"/>
      </rPr>
      <t>2</t>
    </r>
    <r>
      <rPr>
        <sz val="10"/>
        <rFont val="宋体"/>
        <family val="3"/>
        <charset val="134"/>
      </rPr>
      <t>）（</t>
    </r>
    <r>
      <rPr>
        <sz val="10"/>
        <rFont val="Arial"/>
        <family val="2"/>
      </rPr>
      <t>3</t>
    </r>
    <r>
      <rPr>
        <sz val="10"/>
        <rFont val="宋体"/>
        <family val="3"/>
        <charset val="134"/>
      </rPr>
      <t>）（</t>
    </r>
    <r>
      <rPr>
        <sz val="10"/>
        <rFont val="Arial"/>
        <family val="2"/>
      </rPr>
      <t>6</t>
    </r>
    <r>
      <rPr>
        <sz val="10"/>
        <rFont val="宋体"/>
        <family val="3"/>
        <charset val="134"/>
      </rPr>
      <t>）来自于</t>
    </r>
    <r>
      <rPr>
        <sz val="10"/>
        <rFont val="Arial"/>
        <family val="2"/>
      </rPr>
      <t>LEAP</t>
    </r>
    <r>
      <rPr>
        <sz val="10"/>
        <rFont val="宋体"/>
        <family val="3"/>
        <charset val="134"/>
      </rPr>
      <t>中程序描述</t>
    </r>
  </si>
  <si>
    <t>分业务类型选取重要合同样本，分析合同是否成立（同时满足合同成立的五项条件）。</t>
  </si>
  <si>
    <t>属于会计准则具体要求，应简化整合</t>
  </si>
  <si>
    <t>判断被审计单位对合同所包含的各单项履约义务（客户能够从该商品本身或从该商品与其他易于获得资源一起使用中受益；企业向客户转让该商品的承诺与合同中其他承诺可单独区分）的评估是否恰当。</t>
  </si>
  <si>
    <t>检查重要销售或服务合同的定价和条款，确定是否符合销售及信用管理政策，并测试交易价格的确定是否正确。
考虑代第三方收取的款项、预期将退还给客户的款项，以及可变对价（如现金折扣、数量折扣、价格折让等）、合同中存在的重大融资成分、非现金对价、应付客户对价等因素的影响。</t>
  </si>
  <si>
    <t>查看重要合同条款，判断质量标准、交货与付款条件、退货、撤销、技术指导等特定条款的合理性，是否存在抽屉协议等</t>
  </si>
  <si>
    <r>
      <rPr>
        <sz val="10"/>
        <rFont val="宋体"/>
        <family val="3"/>
        <charset val="134"/>
      </rPr>
      <t>参考</t>
    </r>
    <r>
      <rPr>
        <sz val="10"/>
        <rFont val="Arial"/>
        <family val="2"/>
      </rPr>
      <t>LEAP</t>
    </r>
    <r>
      <rPr>
        <sz val="10"/>
        <rFont val="宋体"/>
        <family val="3"/>
        <charset val="134"/>
      </rPr>
      <t>程序简化</t>
    </r>
  </si>
  <si>
    <t>检查临近资产负债表日签订的大额销售合同和开具的发票是否异常，分析合同、发票、物流等单据编号异常以及日期前后矛盾的原因，评价不同证据之间是否相互印证以及律师对合同的专业意见等。</t>
  </si>
  <si>
    <t>调整至特殊程序</t>
  </si>
  <si>
    <t>合同中包含两项或多项履约义务的，测试交易价格的分摊是否正确。考虑单独售价的估计方法、合同折扣的分摊、可变对价后续变动额的分摊是否合理。</t>
  </si>
  <si>
    <t>属于会计准则具体要求，应删除</t>
  </si>
  <si>
    <r>
      <rPr>
        <sz val="10"/>
        <color indexed="8"/>
        <rFont val="宋体"/>
        <family val="3"/>
        <charset val="134"/>
      </rPr>
      <t>判断收入的确认（在某一时点履行履约义务、在某一时段内履行履约义务）及控制权转移时点或期间的判断是否恰当。</t>
    </r>
    <r>
      <rPr>
        <sz val="10"/>
        <color indexed="8"/>
        <rFont val="Arial Narrow"/>
        <family val="2"/>
      </rPr>
      <t xml:space="preserve"> </t>
    </r>
  </si>
  <si>
    <t>保留，整合简化</t>
  </si>
  <si>
    <r>
      <rPr>
        <sz val="10"/>
        <rFont val="宋体"/>
        <family val="3"/>
        <charset val="134"/>
      </rPr>
      <t>确定交易是否按合同条款履行（考虑直接与合同方函证合同条款）。</t>
    </r>
  </si>
  <si>
    <t>对于被审计单位与同一客户（或该客户的关联方）同时订立或在相近时间内先后订立的两份或多份合同，分析会计处理是否正确。</t>
  </si>
  <si>
    <t>确定对原始合同的修改以及增加均有签字确认，分析合同变更的会计处理是否正确。</t>
  </si>
  <si>
    <t>判断特定交易的会计处理是否正确。</t>
  </si>
  <si>
    <t>对于附有质量保证条款的销售，分析被审计单位对于质量保证性质（保证类或服务类）的判断是否合理，相应会计处理是否正确。</t>
  </si>
  <si>
    <t>均属于特殊交易，应精简整合</t>
  </si>
  <si>
    <t>对于附有销售退回条款的销售，分析被审计单位对于退货率的估计是否合理，应付退货款、应收退货成本的会计处理是否正确。</t>
  </si>
  <si>
    <t>对于有其他方参与向客户提供产品或服务的合同，分析被审计单位对于其自身属于主要责任人还是代理人的判断是否正确，相应会计处理（总额法、净额法）是否正确。</t>
  </si>
  <si>
    <r>
      <rPr>
        <sz val="10"/>
        <rFont val="宋体"/>
        <family val="3"/>
        <charset val="134"/>
      </rPr>
      <t>（</t>
    </r>
    <r>
      <rPr>
        <sz val="10"/>
        <rFont val="Arial Narrow"/>
        <family val="2"/>
      </rPr>
      <t>4）</t>
    </r>
  </si>
  <si>
    <t>对于附有客户额外购买选择权（如销售激励、客户奖励积分、续约选择权、未来商品或服务的其他折扣等）的销售，分析被审计单位对于该选择权是否向客户提供了一项重大权利的评估是否恰当，客户额外购买选择权的单独售价的估计是否合理，相应会计处理是否正确。</t>
  </si>
  <si>
    <r>
      <rPr>
        <sz val="10"/>
        <rFont val="宋体"/>
        <family val="3"/>
        <charset val="134"/>
      </rPr>
      <t>（</t>
    </r>
    <r>
      <rPr>
        <sz val="10"/>
        <rFont val="Arial Narrow"/>
        <family val="2"/>
      </rPr>
      <t>5）</t>
    </r>
  </si>
  <si>
    <t>对于售后回购交易，分析被审计单位的会计处理是否正确。</t>
  </si>
  <si>
    <r>
      <rPr>
        <sz val="10"/>
        <rFont val="宋体"/>
        <family val="3"/>
        <charset val="134"/>
      </rPr>
      <t>（</t>
    </r>
    <r>
      <rPr>
        <sz val="10"/>
        <rFont val="Arial Narrow"/>
        <family val="2"/>
      </rPr>
      <t>6）</t>
    </r>
  </si>
  <si>
    <t>对于向客户预收款项的销售，分析被审计单位对于其预期将有权获得与客户所放弃的合同权利相关的金额的判断是否合理，相应会计处理是否正确。</t>
  </si>
  <si>
    <r>
      <rPr>
        <sz val="10"/>
        <rFont val="宋体"/>
        <family val="3"/>
        <charset val="134"/>
      </rPr>
      <t>（</t>
    </r>
    <r>
      <rPr>
        <sz val="10"/>
        <rFont val="Arial Narrow"/>
        <family val="2"/>
      </rPr>
      <t>7）</t>
    </r>
  </si>
  <si>
    <t>对于向客户收取的无需退回的初始费，分析被审计单位对于该初始费是否与向客户转让已承诺的商品或服务相关的评估是否合理，相应会计处理是否正确。</t>
  </si>
  <si>
    <r>
      <rPr>
        <sz val="10"/>
        <rFont val="宋体"/>
        <family val="3"/>
        <charset val="134"/>
      </rPr>
      <t>（</t>
    </r>
    <r>
      <rPr>
        <sz val="10"/>
        <rFont val="Arial Narrow"/>
        <family val="2"/>
      </rPr>
      <t>8）</t>
    </r>
  </si>
  <si>
    <t>对于向客户授予知识产权许可，分析被审计单位对于该知识产权许可是否构成单项履约义务、履约义务是在某一时段内履行还是在某一时点履行的判断是否合理，收入确认是否正确。</t>
  </si>
  <si>
    <t>（十一）</t>
  </si>
  <si>
    <t>销售的截止测试：</t>
  </si>
  <si>
    <t>D4-50</t>
  </si>
  <si>
    <t>销售的截止测试：
（1）获取资产负债表日前后（______）且金额大于（）的会计记录，与发货单证等信息核对，确定收入是否记入了恰当的期间。
（2）获取资产负债表日前后（______）且金额大于（）的发货单，与会计记录信息核对，确定是否存在收入跨期。 
（3）复核资产负债表日前后的销售和发货水平，与正常水平相比是否存在异常，并考虑是否追加截止性测试。
（4）对期后的大宗或异常的销售退货进行检查，以确定是否提前确认收入。</t>
  </si>
  <si>
    <r>
      <rPr>
        <sz val="10"/>
        <rFont val="宋体"/>
        <family val="3"/>
        <charset val="134"/>
      </rPr>
      <t>获取资产负债表日前后（</t>
    </r>
    <r>
      <rPr>
        <sz val="10"/>
        <rFont val="Arial Narrow"/>
        <family val="2"/>
      </rPr>
      <t>______</t>
    </r>
    <r>
      <rPr>
        <sz val="10"/>
        <rFont val="宋体"/>
        <family val="3"/>
        <charset val="134"/>
      </rPr>
      <t>）天且金额大于（）的会计记录，与发货单证等信息核对，确定收入是否记入了恰当的期间。</t>
    </r>
  </si>
  <si>
    <r>
      <rPr>
        <sz val="10"/>
        <color theme="1"/>
        <rFont val="宋体"/>
        <family val="3"/>
        <charset val="134"/>
      </rPr>
      <t>获取资产负债表日前后（</t>
    </r>
    <r>
      <rPr>
        <sz val="10"/>
        <color theme="1"/>
        <rFont val="Arial Narrow"/>
        <family val="2"/>
      </rPr>
      <t>______</t>
    </r>
    <r>
      <rPr>
        <sz val="10"/>
        <color theme="1"/>
        <rFont val="宋体"/>
        <family val="3"/>
        <charset val="134"/>
      </rPr>
      <t>）天且金额大于（）的发货单，与会计记录信息核对，确定是否存在收入跨期。</t>
    </r>
    <r>
      <rPr>
        <sz val="10"/>
        <color theme="1"/>
        <rFont val="Arial Narrow"/>
        <family val="2"/>
      </rPr>
      <t xml:space="preserve"> </t>
    </r>
  </si>
  <si>
    <t>复核资产负债表日前后的销售和发货水平，与正常水平相比是否存在异常，并考虑是否追加截止性测试。</t>
  </si>
  <si>
    <t>对期后的大宗或异常的销售退货进行检查，以确定是否提前确认收入。</t>
  </si>
  <si>
    <t>作为退货检查</t>
  </si>
  <si>
    <t>结合存货监盘，对于尚未发运的销售（如开出账单但保管商品），查核支持性文件，与客户适当人员讨论，检查是否满足收入确认条件及会计处理的正确性。</t>
  </si>
  <si>
    <t>（十二）</t>
  </si>
  <si>
    <r>
      <rPr>
        <b/>
        <sz val="10"/>
        <rFont val="微软雅黑"/>
        <family val="2"/>
        <charset val="134"/>
      </rPr>
      <t>考虑与关联方之间的交易是否进行了恰当的会计处理。</t>
    </r>
    <r>
      <rPr>
        <b/>
        <sz val="10"/>
        <rFont val="Arial Narrow"/>
        <family val="2"/>
      </rPr>
      <t xml:space="preserve"> </t>
    </r>
  </si>
  <si>
    <t>D4-66</t>
  </si>
  <si>
    <r>
      <rPr>
        <sz val="10"/>
        <rFont val="宋体"/>
        <family val="3"/>
        <charset val="134"/>
      </rPr>
      <t xml:space="preserve">考虑与关联方之间的交易是否进行了恰当的会计处理：
</t>
    </r>
    <r>
      <rPr>
        <sz val="10"/>
        <rFont val="Arial"/>
        <family val="2"/>
      </rPr>
      <t>(1)</t>
    </r>
    <r>
      <rPr>
        <sz val="10"/>
        <rFont val="宋体"/>
        <family val="3"/>
        <charset val="134"/>
      </rPr>
      <t xml:space="preserve">了解交易目的（商业实质）
</t>
    </r>
    <r>
      <rPr>
        <sz val="10"/>
        <rFont val="Arial"/>
        <family val="2"/>
      </rPr>
      <t>(2</t>
    </r>
    <r>
      <rPr>
        <sz val="10"/>
        <rFont val="宋体"/>
        <family val="3"/>
        <charset val="134"/>
      </rPr>
      <t>）检查证实交易的支持性文件（例如合同、发票、运输单据等），</t>
    </r>
    <r>
      <rPr>
        <sz val="10"/>
        <color rgb="FFFF0000"/>
        <rFont val="宋体"/>
        <family val="3"/>
        <charset val="134"/>
      </rPr>
      <t>检查价格公允性，合同条款是否与非关联方一致；</t>
    </r>
    <r>
      <rPr>
        <sz val="10"/>
        <rFont val="宋体"/>
        <family val="3"/>
        <charset val="134"/>
      </rPr>
      <t xml:space="preserve">
（</t>
    </r>
    <r>
      <rPr>
        <sz val="10"/>
        <rFont val="Arial"/>
        <family val="2"/>
      </rPr>
      <t>3</t>
    </r>
    <r>
      <rPr>
        <sz val="10"/>
        <rFont val="宋体"/>
        <family val="3"/>
        <charset val="134"/>
      </rPr>
      <t>）必要时，向关联方函证。
（</t>
    </r>
    <r>
      <rPr>
        <sz val="10"/>
        <rFont val="Arial"/>
        <family val="2"/>
      </rPr>
      <t>4</t>
    </r>
    <r>
      <rPr>
        <sz val="10"/>
        <rFont val="宋体"/>
        <family val="3"/>
        <charset val="134"/>
      </rPr>
      <t>）对于超出被审计单位正常经营过程的关联交易，应认定为特别风险，除函证外，还应考虑直接取得该关联方的相关财务信息，用以佐证关联方与被审计单位之间交易的真实性和合理性。</t>
    </r>
  </si>
  <si>
    <t>识别客户是否存在与被审计单位存在疑似关联关系的信息，选取重要客户，获取关联方关系确认函。</t>
  </si>
  <si>
    <t>这个应调整至识别关联方中</t>
  </si>
  <si>
    <t>了解交易目的（商业实质），检查价格公允性，检查条款是否与非关联方一致。</t>
  </si>
  <si>
    <t>对于超出被审计单位正常经营过程的关联交易，应认定为特别风险，除函证外，还应考虑直接取得该关联方的相关财务信息，用以佐证关联方与被审计单位之间交易的真实性和合理性。</t>
  </si>
  <si>
    <t>（十三）</t>
  </si>
  <si>
    <t xml:space="preserve">收入程序  </t>
  </si>
  <si>
    <t>对于在某一时段内履行的履约义务，测试会计处理是否正确。</t>
  </si>
  <si>
    <t>已在合同检查和收入确认依据检查程序中考虑一段时间的会计确认方法正确性，这里应体现检查会计处理正确、真实的审计程序</t>
  </si>
  <si>
    <t>整合至检查程序</t>
  </si>
  <si>
    <r>
      <rPr>
        <sz val="10"/>
        <rFont val="宋体"/>
        <family val="3"/>
        <charset val="134"/>
      </rPr>
      <t>收入程序</t>
    </r>
    <r>
      <rPr>
        <sz val="10"/>
        <rFont val="Arial Narrow"/>
        <family val="2"/>
      </rPr>
      <t xml:space="preserve">  </t>
    </r>
  </si>
  <si>
    <t>分析被审计单位对于相关合同属于在某一时段内履行的履约义务的判断是否正确。</t>
  </si>
  <si>
    <t>分析被审计单位履约进度的确定方法是否恰当。</t>
  </si>
  <si>
    <t>重新计算履约进度，与被审计单位已记录的结果进行比较，调整差异。</t>
  </si>
  <si>
    <t>当履约进度不能合理确定时，收入确认是否正确。</t>
  </si>
  <si>
    <t>对于亏损合同，合同预计损失的会计处理是否正确。</t>
  </si>
  <si>
    <t>（十四）</t>
  </si>
  <si>
    <t xml:space="preserve">常规程序（选择“存在超过被审计单位正常经营范围的交易”）  </t>
  </si>
  <si>
    <t>考虑大额或异常的交易是否表明存在一个先前没有披露的关联方。</t>
  </si>
  <si>
    <r>
      <rPr>
        <sz val="10"/>
        <color indexed="8"/>
        <rFont val="Arial Narrow"/>
        <family val="2"/>
      </rPr>
      <t>IPO/</t>
    </r>
    <r>
      <rPr>
        <sz val="10"/>
        <rFont val="宋体"/>
        <family val="3"/>
        <charset val="134"/>
      </rPr>
      <t>上市公司</t>
    </r>
    <r>
      <rPr>
        <sz val="10"/>
        <rFont val="Arial Narrow"/>
        <family val="2"/>
      </rPr>
      <t>/</t>
    </r>
    <r>
      <rPr>
        <sz val="10"/>
        <rFont val="宋体"/>
        <family val="3"/>
        <charset val="134"/>
      </rPr>
      <t>新三板</t>
    </r>
  </si>
  <si>
    <t>D4-60</t>
  </si>
  <si>
    <t>特殊程序，是否不应在收入底稿单独出现？在执行收入检查程序时，提及关联方识别是不是更合适</t>
  </si>
  <si>
    <t xml:space="preserve"> 选择大额、异常的客户或交易。
查询客户工商、银行、税务信息资料，关注其地址、法定代表人等信息，并与其相关发票信息、网站信息进行核对，识别客户是否存在与被审计单位存在疑似关联关系的信息。
选取重要客户，获取关联方关系确认函。
取得发行人实际控制人、董高监及其密切家庭人员的对外投资清单，与重要客户的股东和关键经办人员进行比对，关注与发行人实际控制人、董事、监事、高级管理人员关系密切的家庭成员与发行人的客户是否存在关联方关系。
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
获取发行人主要股东、董事、监事、关键管理人员及上述利益相关方的确认函，确认除其本人在被审计单位领取薪酬或分得股利外，其本人及其关系密切的家庭成员未与被审计单位有任何形式的交易。</t>
  </si>
  <si>
    <r>
      <rPr>
        <sz val="10"/>
        <rFont val="宋体"/>
        <family val="3"/>
        <charset val="134"/>
      </rPr>
      <t>常规程序（选择“存在超过被审计单位正常经营范围的交易”）</t>
    </r>
    <r>
      <rPr>
        <sz val="10"/>
        <rFont val="Arial Narrow"/>
        <family val="2"/>
      </rPr>
      <t xml:space="preserve">  </t>
    </r>
  </si>
  <si>
    <r>
      <rPr>
        <sz val="10"/>
        <rFont val="Arial Narrow"/>
        <family val="2"/>
      </rPr>
      <t xml:space="preserve"> </t>
    </r>
    <r>
      <rPr>
        <sz val="10"/>
        <rFont val="宋体"/>
        <family val="3"/>
        <charset val="134"/>
      </rPr>
      <t>选择大额、异常的客户或交易。</t>
    </r>
  </si>
  <si>
    <r>
      <rPr>
        <sz val="10"/>
        <color indexed="8"/>
        <rFont val="Arial Narrow"/>
        <family val="2"/>
      </rPr>
      <t>IPO/</t>
    </r>
    <r>
      <rPr>
        <sz val="10"/>
        <rFont val="宋体"/>
        <family val="3"/>
        <charset val="134"/>
      </rPr>
      <t>上市公司</t>
    </r>
  </si>
  <si>
    <t>AE</t>
  </si>
  <si>
    <r>
      <rPr>
        <sz val="10"/>
        <rFont val="宋体"/>
        <family val="3"/>
        <charset val="134"/>
      </rPr>
      <t>查询客户工商、银行、税务信息资料，关注其地址、法定代表人等信息，并与其相关发票信息、网站信息进行核对，识别客户是否存在与被审计单位存在疑似关联关系的信息。</t>
    </r>
    <r>
      <rPr>
        <sz val="10"/>
        <rFont val="Arial Narrow"/>
        <family val="2"/>
      </rPr>
      <t>&lt;CSRC551-2&gt;&lt;CSRC14-4&gt;</t>
    </r>
  </si>
  <si>
    <r>
      <rPr>
        <sz val="10"/>
        <rFont val="宋体"/>
        <family val="3"/>
        <charset val="134"/>
      </rPr>
      <t>选取重要客户，获取关联方关系确认函。</t>
    </r>
    <r>
      <rPr>
        <sz val="10"/>
        <rFont val="Arial Narrow"/>
        <family val="2"/>
      </rPr>
      <t>&lt;CSRC551-2&gt;&lt;CSRC14-4&gt;</t>
    </r>
  </si>
  <si>
    <r>
      <rPr>
        <sz val="10"/>
        <rFont val="宋体"/>
        <family val="3"/>
        <charset val="134"/>
      </rPr>
      <t>取得发行人实际控制人、董高监及其密切家庭人员的对外投资清单，与重要客户的股东和关键经办人员进行比对，关注与发行人实际控制人、董事、监事、高级管理人员关系密切的家庭成员与发行人的客户是否存在关联方关系。</t>
    </r>
    <r>
      <rPr>
        <sz val="10"/>
        <rFont val="Arial Narrow"/>
        <family val="2"/>
      </rPr>
      <t>&lt;CSRC551-2&gt;&lt;CSRC14-4&gt;</t>
    </r>
  </si>
  <si>
    <r>
      <rPr>
        <sz val="10"/>
        <rFont val="宋体"/>
        <family val="3"/>
        <charset val="134"/>
      </rPr>
      <t>取得保荐机构及其关联方、</t>
    </r>
    <r>
      <rPr>
        <sz val="10"/>
        <rFont val="Arial Narrow"/>
        <family val="2"/>
      </rPr>
      <t>PE</t>
    </r>
    <r>
      <rPr>
        <sz val="10"/>
        <rFont val="宋体"/>
        <family val="3"/>
        <charset val="134"/>
      </rPr>
      <t>投资机构及其关联方、</t>
    </r>
    <r>
      <rPr>
        <sz val="10"/>
        <rFont val="Arial Narrow"/>
        <family val="2"/>
      </rPr>
      <t>PE</t>
    </r>
    <r>
      <rPr>
        <sz val="10"/>
        <rFont val="宋体"/>
        <family val="3"/>
        <charset val="134"/>
      </rPr>
      <t>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t>
    </r>
    <r>
      <rPr>
        <sz val="10"/>
        <rFont val="Arial Narrow"/>
        <family val="2"/>
      </rPr>
      <t>&lt;CSRC551-4&gt;</t>
    </r>
  </si>
  <si>
    <r>
      <rPr>
        <sz val="10"/>
        <rFont val="宋体"/>
        <family val="3"/>
        <charset val="134"/>
      </rPr>
      <t>获取发行人主要股东、董事、监事、关键管理人员及上述利益相关方的确认函，确认除其本人在被审计单位领取薪酬或分得股利外，其本人及其关系密切的家庭成员未与被审计单位有任何形式的交易。</t>
    </r>
    <r>
      <rPr>
        <sz val="10"/>
        <rFont val="Arial Narrow"/>
        <family val="2"/>
      </rPr>
      <t>&lt;CSRC551-2&gt;&lt;CSRC14-4&gt;</t>
    </r>
  </si>
  <si>
    <t>（十五）</t>
  </si>
  <si>
    <t xml:space="preserve">应对措施-检查（检查程序中选择是否执行延伸检查）  </t>
  </si>
  <si>
    <r>
      <rPr>
        <b/>
        <sz val="10"/>
        <color theme="1"/>
        <rFont val="宋体"/>
        <family val="3"/>
        <charset val="134"/>
      </rPr>
      <t>针对</t>
    </r>
    <r>
      <rPr>
        <b/>
        <sz val="10"/>
        <color theme="1"/>
        <rFont val="Arial Narrow"/>
        <family val="2"/>
      </rPr>
      <t>IPO/</t>
    </r>
    <r>
      <rPr>
        <b/>
        <sz val="10"/>
        <color theme="1"/>
        <rFont val="宋体"/>
        <family val="3"/>
        <charset val="134"/>
      </rPr>
      <t>上市公司</t>
    </r>
    <r>
      <rPr>
        <b/>
        <sz val="10"/>
        <color theme="1"/>
        <rFont val="Arial Narrow"/>
        <family val="2"/>
      </rPr>
      <t>/</t>
    </r>
    <r>
      <rPr>
        <b/>
        <sz val="10"/>
        <color theme="1"/>
        <rFont val="宋体"/>
        <family val="3"/>
        <charset val="134"/>
      </rPr>
      <t>新三板和评估为高风险的业务，实施以下程序：</t>
    </r>
  </si>
  <si>
    <r>
      <rPr>
        <sz val="10"/>
        <color indexed="8"/>
        <rFont val="Arial Narrow"/>
        <family val="2"/>
      </rPr>
      <t>IPO/</t>
    </r>
    <r>
      <rPr>
        <sz val="10"/>
        <color indexed="8"/>
        <rFont val="宋体"/>
        <family val="3"/>
        <charset val="134"/>
      </rPr>
      <t>上市公司</t>
    </r>
    <r>
      <rPr>
        <sz val="10"/>
        <color indexed="8"/>
        <rFont val="Arial Narrow"/>
        <family val="2"/>
      </rPr>
      <t>/</t>
    </r>
    <r>
      <rPr>
        <sz val="10"/>
        <color indexed="8"/>
        <rFont val="宋体"/>
        <family val="3"/>
        <charset val="134"/>
      </rPr>
      <t>新三板</t>
    </r>
  </si>
  <si>
    <t>D4-74,D4-84</t>
  </si>
  <si>
    <t>增加</t>
  </si>
  <si>
    <r>
      <rPr>
        <sz val="10"/>
        <color rgb="FFFF0000"/>
        <rFont val="宋体"/>
        <family val="3"/>
        <charset val="134"/>
      </rPr>
      <t xml:space="preserve">了解公司不同销售模式下的收入确认方式，判断不同销售模式对公司收入核算的影响，评价收入确认的真实性、合规性
</t>
    </r>
    <r>
      <rPr>
        <sz val="10"/>
        <color rgb="FFFF0000"/>
        <rFont val="Arial"/>
        <family val="2"/>
      </rPr>
      <t>(1</t>
    </r>
    <r>
      <rPr>
        <sz val="10"/>
        <color rgb="FFFF0000"/>
        <rFont val="宋体"/>
        <family val="3"/>
        <charset val="134"/>
      </rPr>
      <t xml:space="preserve">）经销商或加盟商模式，检查是否存在频繁发生经销商或加盟商加入及退出的情况，以及报告期内经销商或加盟商收入的最终销售实现情况，并检查对不稳定经销商或加盟商的收入确认是否适当、退换货损失的处理是否适当
</t>
    </r>
    <r>
      <rPr>
        <sz val="10"/>
        <color rgb="FFFF0000"/>
        <rFont val="Arial"/>
        <family val="2"/>
      </rPr>
      <t>(2)</t>
    </r>
    <r>
      <rPr>
        <sz val="10"/>
        <color rgb="FFFF0000"/>
        <rFont val="宋体"/>
        <family val="3"/>
        <charset val="134"/>
      </rPr>
      <t xml:space="preserve">直销模式，检查销售协议中收入确认条件、退换货条件、款项支付条件等是否能够证明与商品所有权相关的控制权已经发生转移，与公司确定的会计政策是否一致
</t>
    </r>
    <r>
      <rPr>
        <sz val="10"/>
        <color rgb="FFFF0000"/>
        <rFont val="Arial"/>
        <family val="2"/>
      </rPr>
      <t>(3)</t>
    </r>
    <r>
      <rPr>
        <sz val="10"/>
        <color rgb="FFFF0000"/>
        <rFont val="宋体"/>
        <family val="3"/>
        <charset val="134"/>
      </rPr>
      <t>其他特殊交易模式或创新交易模式，应当合理分析盈利模式和交易方式创新对经济实质和收入确认的影响。</t>
    </r>
  </si>
  <si>
    <t>来自于《审计问题解答》，其中还有提及检查相关依据，由于检查底稿中已经有检查内容，是否这里可以不提及
是否具体内容还是过细？</t>
  </si>
  <si>
    <t>收入分析性程序：
（1）将销售收入变动幅度与销售商品及提供劳务收到的现金、应收账款/合同资产、存货、税金等项目的变动幅度进行比较，分析具体原因。
（2）分析销售收入等财务信息与投入产出率、劳动生产率、产能、水电能耗、运输数量等非财务信息之间的关系。
（3）了解期末在手订单情况，分析销售与采购是否配比，以及重要客户大量采购的原因、最终销售情况、终端客户同经销商地域的匹配性。
（4）分析销售收入与销售费用之间的关系，包括销售人员的人均业绩指标、销售人员薪酬、广告费、差旅费，以及销售机构的设置、规模、数量、分布等。</t>
  </si>
  <si>
    <t>来自于《审计问题解答》以及原底稿中的在手订单分析程序</t>
  </si>
  <si>
    <r>
      <rPr>
        <sz val="10"/>
        <rFont val="宋体"/>
        <family val="3"/>
        <charset val="134"/>
      </rPr>
      <t>核查主要客户及交易真实性，包括调查交易对手背景和商业目的等。</t>
    </r>
    <r>
      <rPr>
        <sz val="10"/>
        <rFont val="Arial Narrow"/>
        <family val="2"/>
      </rPr>
      <t>&lt;CSRC14-6&gt;&lt;CSRC551-1&gt;&lt;CSRC551-2&gt;&lt;CSRC4-7&gt;</t>
    </r>
  </si>
  <si>
    <r>
      <rPr>
        <sz val="10"/>
        <rFont val="宋体"/>
        <family val="3"/>
        <charset val="134"/>
      </rPr>
      <t xml:space="preserve">核查主要客户及交易真实性，包括调查交易对手背景和商业目的等：
（1）对比历年主要客户清单，找出报告期新增的主要客户、原有主要客户交易额大幅减少或合作关系取消的情况，重点关注变化原因。
（2）查询客户工商、银行、税务资料，关注其注册资本、地址、成立时间、经营范围、法定代表人等信息，并与其相关发票信息、网站信息进行核对；
</t>
    </r>
    <r>
      <rPr>
        <sz val="10"/>
        <color rgb="FFFF0000"/>
        <rFont val="宋体"/>
        <family val="3"/>
        <charset val="134"/>
      </rPr>
      <t>（3）利用企业信息查询工具查询公司注册资本、地址、成立时间、经营范围、法定代表人、股东、最终控制人等，了解公司经营范围，判断客户所购产品是否具有合理用途，识别相关供应商和客户与被审计单位是否存在关联方关系。</t>
    </r>
    <r>
      <rPr>
        <sz val="10"/>
        <rFont val="宋体"/>
        <family val="3"/>
        <charset val="134"/>
      </rPr>
      <t xml:space="preserve">
（5）根据具体情况现场走访客户的办公场所、经营场所，访谈客户关键经办人员，或电话访谈关键经办人员。
（6）检查主要客户及其实际控制人以及关键经办人员与公司是否存在关联方关系；检查与公司的实际控制人、董事、监事、高级管理人员关系密切的家庭成员与公司的主要客户是否存在关联方关系。</t>
    </r>
  </si>
  <si>
    <r>
      <rPr>
        <sz val="10"/>
        <rFont val="宋体"/>
        <family val="3"/>
        <charset val="134"/>
      </rPr>
      <t>对比历年主要客户清单，找出报告期新增的主要客户、原有主要客户交易额大幅减少或合作关系取消的情况，重点关注变化原因。项目组根据客户集中度和风险情况，抽取报告期各期（</t>
    </r>
    <r>
      <rPr>
        <sz val="10"/>
        <rFont val="Arial Narrow"/>
        <family val="2"/>
      </rPr>
      <t>_______</t>
    </r>
    <r>
      <rPr>
        <sz val="10"/>
        <rFont val="宋体"/>
        <family val="3"/>
        <charset val="134"/>
      </rPr>
      <t>）个客户</t>
    </r>
    <r>
      <rPr>
        <sz val="10"/>
        <rFont val="Arial Narrow"/>
        <family val="2"/>
      </rPr>
      <t>/</t>
    </r>
    <r>
      <rPr>
        <sz val="10"/>
        <rFont val="宋体"/>
        <family val="3"/>
        <charset val="134"/>
      </rPr>
      <t>项目考虑实施包括查询工商资料、互联网查询、电话访谈关键经办人员、实地走访客户等程序，并编制执行结果汇总表。</t>
    </r>
  </si>
  <si>
    <t>保留，其中部分内容和其他程序有重复，应精简整合</t>
  </si>
  <si>
    <t>通过互联网搜索客户的基本信息，初步了解客户的经营范围、规模、判断客户所购货物是否有合理用途。</t>
  </si>
  <si>
    <t>修改成企查查工具，来源于审计职业问题解答</t>
  </si>
  <si>
    <t>查询客户工商、银行、税务资料，关注其注册资本、地址、成立时间、经营范围、法定代表人等信息，并与其相关发票信息、网站信息进行核对。</t>
  </si>
  <si>
    <t>电话访谈主要客户的关键经办人员。</t>
  </si>
  <si>
    <r>
      <rPr>
        <sz val="10"/>
        <rFont val="宋体"/>
        <family val="3"/>
        <charset val="134"/>
      </rPr>
      <t>现场走访客户的办公场所、经营场所，访谈客户关键经办人员，核实被访谈人员身份身份。</t>
    </r>
    <r>
      <rPr>
        <sz val="10"/>
        <rFont val="Arial Narrow"/>
        <family val="2"/>
      </rPr>
      <t>&lt;CSRC4-17&gt;</t>
    </r>
  </si>
  <si>
    <t>针对经销商、代理商或加盟商销售占比较高的，询问或检查经销或加盟商最终销售的大致去向。</t>
  </si>
  <si>
    <r>
      <rPr>
        <sz val="10"/>
        <color indexed="8"/>
        <rFont val="Arial Narrow"/>
        <family val="2"/>
      </rPr>
      <t>IPO/</t>
    </r>
    <r>
      <rPr>
        <sz val="10"/>
        <color indexed="8"/>
        <rFont val="宋体"/>
        <family val="3"/>
        <charset val="134"/>
      </rPr>
      <t>上市公司</t>
    </r>
  </si>
  <si>
    <t>按照职业问题解答调整</t>
  </si>
  <si>
    <r>
      <rPr>
        <sz val="10"/>
        <rFont val="宋体"/>
        <family val="3"/>
        <charset val="134"/>
      </rPr>
      <t>对于超出被审计单位正常经营过程的重大交易，或基于对被审计单位及其环境的了解以及在审计过程中获取的其他信息而显得异常的重大交易：</t>
    </r>
  </si>
  <si>
    <r>
      <rPr>
        <sz val="10"/>
        <rFont val="宋体"/>
        <family val="3"/>
        <charset val="134"/>
      </rPr>
      <t>应当评价其商业理由（或缺乏商业理由）是否表明被审计单位从事交易的目的是为了对财务信息作出虚假报告或掩盖侵占资产的行为。应识别并记录是否存在以自我交易的方式实现收入的虚假增长。</t>
    </r>
  </si>
  <si>
    <t>核查支持性证据的真实性，包括核查合同、货物交付凭据、收款等资料；重点关注相关签字及印章是否前后一致，以及客户资质和注册资本的大小与其业务量的匹配性。</t>
  </si>
  <si>
    <r>
      <rPr>
        <sz val="10"/>
        <rFont val="宋体"/>
        <family val="3"/>
        <charset val="134"/>
      </rPr>
      <t>选取适量交易样本检查客户的信用期和付款条件前后各期是否发生变化，分析是否存在以这些方式促进销售短期增长达到粉饰业绩的目的。</t>
    </r>
    <r>
      <rPr>
        <sz val="10"/>
        <rFont val="Arial Narrow"/>
        <family val="2"/>
      </rPr>
      <t>&lt;CSRC551-2&gt;&lt;CSRC514-9&gt;</t>
    </r>
  </si>
  <si>
    <t>新增</t>
  </si>
  <si>
    <r>
      <rPr>
        <sz val="10"/>
        <color rgb="FFFF0000"/>
        <rFont val="宋体"/>
        <family val="3"/>
        <charset val="134"/>
      </rPr>
      <t>主要客户交易及变化情况
（</t>
    </r>
    <r>
      <rPr>
        <sz val="10"/>
        <color rgb="FFFF0000"/>
        <rFont val="Arial"/>
        <family val="2"/>
      </rPr>
      <t>1</t>
    </r>
    <r>
      <rPr>
        <sz val="10"/>
        <color rgb="FFFF0000"/>
        <rFont val="宋体"/>
        <family val="3"/>
        <charset val="134"/>
      </rPr>
      <t xml:space="preserve">）比较分析主要客户的销售数量、销售金额额、销售单价及产品毛利率的变动以及原因。
</t>
    </r>
    <r>
      <rPr>
        <sz val="10"/>
        <color rgb="FFFF0000"/>
        <rFont val="Arial"/>
        <family val="2"/>
      </rPr>
      <t>(2</t>
    </r>
    <r>
      <rPr>
        <sz val="10"/>
        <color rgb="FFFF0000"/>
        <rFont val="宋体"/>
        <family val="3"/>
        <charset val="134"/>
      </rPr>
      <t xml:space="preserve">分析并检查公司的主要客户及变化情况，与新增和异常客户交易的合理性及持续性，会计期末是否存在突击确认销售以及期后是否存在大量销售退回的情况
</t>
    </r>
    <r>
      <rPr>
        <sz val="10"/>
        <color rgb="FFFF0000"/>
        <rFont val="Arial"/>
        <family val="2"/>
      </rPr>
      <t>(2)</t>
    </r>
    <r>
      <rPr>
        <sz val="10"/>
        <color rgb="FFFF0000"/>
        <rFont val="宋体"/>
        <family val="3"/>
        <charset val="134"/>
      </rPr>
      <t xml:space="preserve">检查公司主要合同的签订及履行情况，报告期各期主要客户的销售金额与公司销售增长是否匹配，是否远大于实际销售金额
</t>
    </r>
    <r>
      <rPr>
        <sz val="10"/>
        <color rgb="FFFF0000"/>
        <rFont val="Arial"/>
        <family val="2"/>
      </rPr>
      <t>(3)</t>
    </r>
    <r>
      <rPr>
        <sz val="10"/>
        <color rgb="FFFF0000"/>
        <rFont val="宋体"/>
        <family val="3"/>
        <charset val="134"/>
      </rPr>
      <t xml:space="preserve">检查报告期公司应收账款（含余额及发生额）主要客户与公司主要客户是否匹配，各期新增客户的应收账款余额与向该客户的销售是否匹配
</t>
    </r>
    <r>
      <rPr>
        <sz val="10"/>
        <color rgb="FFFF0000"/>
        <rFont val="Arial"/>
        <family val="2"/>
      </rPr>
      <t>(4)</t>
    </r>
    <r>
      <rPr>
        <sz val="10"/>
        <color rgb="FFFF0000"/>
        <rFont val="宋体"/>
        <family val="3"/>
        <charset val="134"/>
      </rPr>
      <t>检查大额应收款项是否能够按合同约定期收回以及期末收到的销售款项是否存在期后不正常流出的情况</t>
    </r>
  </si>
  <si>
    <t>当注意到存在关联方（例如被审计单位控股股东、实际控制人、关键管理人员）配合被审计单位虚构收入的迹象时，获取并检查相关关联方的银行账户资金流水，关注是否存在与被审计单位相关供应商或客户的异常资金往来。</t>
  </si>
  <si>
    <t>审计问题解答</t>
  </si>
  <si>
    <t>对重要客户的货款回收进行测试，关注是否存在通过第三方账户，包括员工账户和其他个人账户回款的情况。</t>
  </si>
  <si>
    <t>结合出库单及销售费用中的运输费等明细，检查货物运输单和提单，必要时向运输单位进行函证或走访，关注货物的流动是否真实发生，从而确定交易的真实性。</t>
  </si>
  <si>
    <t>结合销售合同中与收款、验收相关的主要条款，对于大额应收账款/合同资产长期未收回的客户，分析被审计单位仍向其进行销售的合理性和真实性。</t>
  </si>
  <si>
    <t xml:space="preserve">结合货币资金项目审计，关注是否存在异常的资金流动，包括不具有真实商业背景的大额现金收入、“一收一付金额相同”、“收款人和付款人为同一方”等异常资金流水。
</t>
  </si>
  <si>
    <t>（十六）</t>
  </si>
  <si>
    <r>
      <rPr>
        <b/>
        <sz val="10"/>
        <rFont val="宋体"/>
        <family val="3"/>
        <charset val="134"/>
      </rPr>
      <t>对于复杂的合同（如需要计量履约进度、主要责任人与代理人的判断、向客户授予知识产权许可、售后代管）或特殊行业（如网游），请参考</t>
    </r>
    <r>
      <rPr>
        <b/>
        <sz val="10"/>
        <rFont val="Arial Narrow"/>
        <family val="2"/>
      </rPr>
      <t>"</t>
    </r>
    <r>
      <rPr>
        <b/>
        <sz val="10"/>
        <rFont val="宋体"/>
        <family val="3"/>
        <charset val="134"/>
      </rPr>
      <t>特定行业或业务审计程序</t>
    </r>
    <r>
      <rPr>
        <b/>
        <sz val="10"/>
        <rFont val="Arial Narrow"/>
        <family val="2"/>
      </rPr>
      <t>"</t>
    </r>
    <r>
      <rPr>
        <b/>
        <sz val="10"/>
        <rFont val="宋体"/>
        <family val="3"/>
        <charset val="134"/>
      </rPr>
      <t>。</t>
    </r>
  </si>
  <si>
    <r>
      <rPr>
        <sz val="10"/>
        <color indexed="8"/>
        <rFont val="Arial Narrow"/>
        <family val="2"/>
      </rPr>
      <t>B</t>
    </r>
  </si>
  <si>
    <t>合同检查中已提及，删除</t>
  </si>
  <si>
    <t>（十七）</t>
  </si>
  <si>
    <t>确定已完成的合同是否负有担保或其他后继义务，会计核算是否正确。</t>
  </si>
  <si>
    <t>（十八）</t>
  </si>
  <si>
    <t xml:space="preserve">常规程序（选择“存在嵌入式衍生工具”）  </t>
  </si>
  <si>
    <r>
      <rPr>
        <b/>
        <sz val="10"/>
        <rFont val="微软雅黑"/>
        <family val="2"/>
        <charset val="134"/>
      </rPr>
      <t>确定销售合同中是否包括嵌入式衍生工具。如果是，完成金融工具审计程序。</t>
    </r>
    <r>
      <rPr>
        <b/>
        <sz val="10"/>
        <rFont val="Arial Narrow"/>
        <family val="2"/>
      </rPr>
      <t xml:space="preserve"> </t>
    </r>
  </si>
  <si>
    <t>整合到合同检查中</t>
  </si>
  <si>
    <r>
      <rPr>
        <sz val="10"/>
        <rFont val="宋体"/>
        <family val="3"/>
        <charset val="134"/>
      </rPr>
      <t>常规程序（选择</t>
    </r>
    <r>
      <rPr>
        <sz val="10"/>
        <rFont val="Arial Narrow"/>
        <family val="2"/>
      </rPr>
      <t>“</t>
    </r>
    <r>
      <rPr>
        <sz val="10"/>
        <rFont val="宋体"/>
        <family val="3"/>
        <charset val="134"/>
      </rPr>
      <t>存在嵌入式衍生工具</t>
    </r>
    <r>
      <rPr>
        <sz val="10"/>
        <rFont val="Arial Narrow"/>
        <family val="2"/>
      </rPr>
      <t>”</t>
    </r>
    <r>
      <rPr>
        <sz val="10"/>
        <rFont val="宋体"/>
        <family val="3"/>
        <charset val="134"/>
      </rPr>
      <t>）</t>
    </r>
    <r>
      <rPr>
        <sz val="10"/>
        <rFont val="Arial Narrow"/>
        <family val="2"/>
      </rPr>
      <t xml:space="preserve">  </t>
    </r>
  </si>
  <si>
    <t>确定哪些合同（不包括金融资产）包括或可能包括嵌入式衍生工具（确定需要测试的合同）</t>
  </si>
  <si>
    <t>作为提示</t>
  </si>
  <si>
    <t>确定需要测试的合同，并记录是否：存在嵌入式衍生工具；嵌入的衍生产品与主合同密切相关或不相关。管理层将嵌入式衍生工具与主合同分离或不分离的决定符合财务报告编制基础的规定</t>
  </si>
  <si>
    <t>如管理层决定将嵌入衍生产品分类，复核初始分离会计处理以及分离衍生品的后续计量</t>
  </si>
  <si>
    <t>评价获取的证据并确定是否需要执行追加程序</t>
  </si>
  <si>
    <t>（十九）</t>
  </si>
  <si>
    <r>
      <rPr>
        <b/>
        <sz val="10"/>
        <color theme="1"/>
        <rFont val="宋体"/>
        <family val="3"/>
        <charset val="134"/>
      </rPr>
      <t>针对重要出口业务收入，追加以下审计程序：</t>
    </r>
    <r>
      <rPr>
        <b/>
        <sz val="10"/>
        <color theme="1"/>
        <rFont val="Arial Narrow"/>
        <family val="2"/>
      </rPr>
      <t>&lt;CSRC14-5&gt;</t>
    </r>
  </si>
  <si>
    <t>D4-82</t>
  </si>
  <si>
    <r>
      <rPr>
        <sz val="10"/>
        <color theme="1"/>
        <rFont val="宋体"/>
        <family val="3"/>
        <charset val="134"/>
      </rPr>
      <t>将销售记录与出口合同（或订单）、出口报关单、装箱单、货运提单、销售发票、结汇单、物流运输记录、发货验收单据等出口销售单据进行核对，</t>
    </r>
    <r>
      <rPr>
        <sz val="10"/>
        <color rgb="FFFF0000"/>
        <rFont val="宋体"/>
        <family val="3"/>
        <charset val="134"/>
      </rPr>
      <t>分析出口信用保险数据、出口退税金额与收入匹配性，关注是否存在虚假出口情况。</t>
    </r>
  </si>
  <si>
    <t>简化，红字特殊程序</t>
  </si>
  <si>
    <t>分析企业汇兑损益与收入匹配性</t>
  </si>
  <si>
    <t>特殊程序</t>
  </si>
  <si>
    <t>检查境外业务结算方式，如存在第三方回款，分析其必要性及商业合理性</t>
  </si>
  <si>
    <t>使用电子口岸卡登陆电子口岸的信息系统，查询交易记录。</t>
  </si>
  <si>
    <t>向海关函证出口交易信息的真实性。</t>
  </si>
  <si>
    <t>根据重要性原则对公司主管海关进行走访，将海关出口金额，与当期出口收入进行核对。</t>
  </si>
  <si>
    <t>（二十）</t>
  </si>
  <si>
    <r>
      <rPr>
        <b/>
        <sz val="10"/>
        <color theme="1"/>
        <rFont val="宋体"/>
        <family val="3"/>
        <charset val="134"/>
      </rPr>
      <t>针对大额现金交易，追加以下审计程序：</t>
    </r>
    <r>
      <rPr>
        <b/>
        <sz val="10"/>
        <color theme="1"/>
        <rFont val="Arial Narrow"/>
        <family val="2"/>
      </rPr>
      <t>&lt;CSRC14-8&gt;</t>
    </r>
  </si>
  <si>
    <t>AB</t>
  </si>
  <si>
    <t>S34-15</t>
  </si>
  <si>
    <r>
      <rPr>
        <sz val="10"/>
        <rFont val="宋体"/>
        <family val="3"/>
        <charset val="134"/>
      </rPr>
      <t>常规程序</t>
    </r>
    <r>
      <rPr>
        <sz val="10"/>
        <rFont val="Arial Narrow"/>
        <family val="2"/>
      </rPr>
      <t xml:space="preserve">  </t>
    </r>
  </si>
  <si>
    <t>分析现金收付合理性，是否与行业特征和实际生产经营情况一致。</t>
  </si>
  <si>
    <t>获取公司报告期内存在现金销售的原因分析，分析被审计单位关于现金交易的相关说明是否合理。与对公司关键人员访谈、生产销售流程观察等程序获取的信息核对。</t>
  </si>
  <si>
    <r>
      <rPr>
        <sz val="10"/>
        <color theme="1"/>
        <rFont val="宋体"/>
        <family val="3"/>
        <charset val="134"/>
      </rPr>
      <t>获取被审计单位报告期内各年现金交易总体情况；获得现金交易明细；关注现金退回情况。</t>
    </r>
  </si>
  <si>
    <t>逐月统计最近三年内现金销售收款金额，核查现金收款异常波动的原因，根据被审计单位情况分层统计分析，并对最近一年现金销售收入进行概要分析；</t>
  </si>
  <si>
    <r>
      <rPr>
        <sz val="10"/>
        <color theme="1"/>
        <rFont val="宋体"/>
        <family val="3"/>
        <charset val="134"/>
      </rPr>
      <t>选择大额或异常现金交易，进行测试，核对付款方和付款金额与合同、订单、出库单是否一致，款项是否确实由客户支付。记录主要信息，必要的留存复印件；未见异常的项目，按照随机抽样的原则抽取一定比例，进行测试。</t>
    </r>
    <r>
      <rPr>
        <sz val="10"/>
        <rFont val="宋体"/>
        <family val="3"/>
        <charset val="134"/>
      </rPr>
      <t>必要时，实施函证程序。</t>
    </r>
  </si>
  <si>
    <t>（二十一）</t>
  </si>
  <si>
    <t>（二十二）</t>
  </si>
  <si>
    <r>
      <rPr>
        <b/>
        <sz val="10"/>
        <rFont val="宋体"/>
        <family val="3"/>
        <charset val="134"/>
      </rPr>
      <t>确定需在财务报表中单独披露的信息已被记录。</t>
    </r>
    <r>
      <rPr>
        <b/>
        <sz val="10"/>
        <rFont val="Arial Narrow"/>
        <family val="2"/>
      </rPr>
      <t xml:space="preserve"> </t>
    </r>
  </si>
  <si>
    <t>检查与收入有关的信息是否恰当披露。</t>
  </si>
  <si>
    <t>以下为针对特定行业或业务可能需要实施的审计程序：</t>
  </si>
  <si>
    <t>Ⅰ</t>
  </si>
  <si>
    <t>对于涉及主要责任人与代理人判断的合同,请执行本条程序</t>
  </si>
  <si>
    <r>
      <rPr>
        <sz val="10"/>
        <color indexed="8"/>
        <rFont val="Arial Narrow"/>
        <family val="2"/>
      </rPr>
      <t>C</t>
    </r>
  </si>
  <si>
    <t>均是会计准则的内容，应作为合同检查具体底稿的提示性文字</t>
  </si>
  <si>
    <t>如果另一方参与向客户提供产品或服务，分析被审计单位对其承诺的性质（被审计单位本身提供特定商品或服务，或者为另一方安排提供此类商品或服务）的判断是否正确。</t>
  </si>
  <si>
    <t>对于被审计单位判断自身是主要责任人的合同，分析属于哪种向客户转让商品前能够控制的情形：</t>
  </si>
  <si>
    <t>被审计单位自第三方取得商品或其他资产控制权后，再转让给客户（如果被审计单位在特定商品的法定所有权转移给客户之前只是暂时性地取得该商品的法定所有权，则被审计单位不一定（does not necessarily）控制该商品）；</t>
  </si>
  <si>
    <t>被审计单位能够主导第三方代表本企业向客户提供服务（可以是对由另一方提供的商品或服务享有的权利）；</t>
  </si>
  <si>
    <t>被审计单位自第三方取得商品控制权后，通过提供重大的服务将该商品与其他商品整合成某组合产出转让给客户。</t>
  </si>
  <si>
    <t>对于被审计单位判断自身是主要责任人的合同，判断被审计单位是否综合考虑所有相关事实和情况（但这些指标既不能取代也不应凌驾于对控制的评估之上），包括：</t>
  </si>
  <si>
    <t>被审计单位承担向客户转让商品的主要责任（通常包括对可接受性承担责任，应当从客户角度进行评估）；</t>
  </si>
  <si>
    <t>被审计单位在转让商品之前或之后承担了该商品的存货风险；</t>
  </si>
  <si>
    <t>被审计单位有权自主决定所交易商品的价格（在某些情况下，代理人可能在一定程度上也拥有定价权）；</t>
  </si>
  <si>
    <t>其他相关事实和情况。</t>
  </si>
  <si>
    <t>分析被审计单位是否不恰当地考虑了某些因素，例如信用风险（通常不太相关或完全无关；原准则下某些企业试图用信用风险敞口推翻更强有力的反映代理人的证据）和佣金形式（尽管该指标有时对于评估企业是否为代理人可能会有所帮助，但对评估企业是否为主要责任人没有助益）。</t>
  </si>
  <si>
    <t>判断被审计单位的会计处理是否正确（企业在向客户转让商品前能够控制该商品的，该企业为主要责任人，应当按照已收或应收对价总额确认收入；否则，该企业为代理人，应当按照预期有权收取的佣金或手续费的金额确认收入，该金额应当按照已收或应收对价总额扣除应支付给其他相关方的价款后的净额，或者按照既定的佣金金额或比例等确定）</t>
  </si>
  <si>
    <t>Ⅱ</t>
  </si>
  <si>
    <t>如果涉及履约进度，请执行本条程序</t>
  </si>
  <si>
    <t>简化，整合到检查程序中，并将细节内容作为提示和以检查底稿形式体现检查要点</t>
  </si>
  <si>
    <t>对于在某一时段内履行的履约义务，若履约进度能合理确定，被审计单位用于确定履约进度的防范是否考虑了承诺向客户转让的商品或服务的性质，反映了企业向客户转让已承诺商品或服务的履约情况。</t>
  </si>
  <si>
    <t>2.2</t>
  </si>
  <si>
    <t>对于类似情况下的类似履约义务，检查被审计单位是否采用相同的方法确定履约进度。</t>
  </si>
  <si>
    <t>2.3</t>
  </si>
  <si>
    <t>获取正在执行的合同的履约进度估计，执行以下程序以确认计算的准确性：</t>
  </si>
  <si>
    <t>2.3.1</t>
  </si>
  <si>
    <r>
      <rPr>
        <sz val="10"/>
        <rFont val="宋体"/>
        <family val="3"/>
        <charset val="134"/>
      </rPr>
      <t>将实际成本与合同成本核对；</t>
    </r>
  </si>
  <si>
    <t>2.3.2</t>
  </si>
  <si>
    <r>
      <rPr>
        <sz val="10"/>
        <rFont val="宋体"/>
        <family val="3"/>
        <charset val="134"/>
      </rPr>
      <t>将合同收入与合同条款核对；</t>
    </r>
  </si>
  <si>
    <t>2.3.3</t>
  </si>
  <si>
    <t>判断被审计单位在运用以成本为基础的投入法时，是否对履约进度的计量作出恰当调整，考虑：已发生的成本无助于推进主体履行履约义务的进度；已发生的成本与主体履行履约义务的进度不成比例。</t>
  </si>
  <si>
    <t>通过以下方式确认企业已完成的成本估计是否准确：</t>
  </si>
  <si>
    <t>2.4.1</t>
  </si>
  <si>
    <r>
      <rPr>
        <sz val="10"/>
        <rFont val="宋体"/>
        <family val="3"/>
        <charset val="134"/>
      </rPr>
      <t>选取此期间完成的合同，通过将估计总成本与实际总成本进行比较，来评价该企业前期对完工成本的估计是否准确；</t>
    </r>
  </si>
  <si>
    <t>2.4.2</t>
  </si>
  <si>
    <t>实地考察施工现场，询问现场管理人员对完工进度的估计，并实地查看完工进度，和原估计的履约进度对比。</t>
  </si>
  <si>
    <t>被审计单位使用里程碑法（milestones reached）时，判断是否恰当，执行以下程序：</t>
  </si>
  <si>
    <t>2.5.1</t>
  </si>
  <si>
    <t>评估在合同约定的各个里程碑之间是否向客户转移了重大的商品的控制权（如果企业在合同约定的各个里程碑之间向客户转移了重大的商品的控制权，则很可能表明基于已达到的里程碑确定履约进度的方法是不恰当的）；</t>
  </si>
  <si>
    <t>2.5.2</t>
  </si>
  <si>
    <t>评估是否存在客户控制的重要在产品或产成品未包括在进度计量中（如果会导致由客户控制的重要的在产品或产成品未包括在进度计量中，则使用里程碑法是不恰当的）。</t>
  </si>
  <si>
    <t>2.6</t>
  </si>
  <si>
    <t>当履约进度不能合理确定时，判断已经发生的成本的会计处理及收入确认是否正确。</t>
  </si>
  <si>
    <t>2.7</t>
  </si>
  <si>
    <t>确定对合同预计损失的确认是否合理，会计处理是否正确。</t>
  </si>
  <si>
    <t>2.8</t>
  </si>
  <si>
    <r>
      <rPr>
        <sz val="10"/>
        <rFont val="宋体"/>
        <family val="3"/>
        <charset val="134"/>
      </rPr>
      <t>实施审计程序的结果或者本期经营活动的结果，是否显示管理层在以前年度运用的重大判断和估计存在不合理的情形。如果存在，确认企业以前年度是否存在重大的会计差错，记录下管理层在本年如何选用了更为准确的判断和假设。</t>
    </r>
    <r>
      <rPr>
        <sz val="10"/>
        <rFont val="Arial Narrow"/>
        <family val="2"/>
      </rPr>
      <t>Determine whether the results of these procedures or the current year activity indicate that management's judgments and assumptions used in the prior year were not reasonable. If so, document how management will achieve a more accurate estimate in the current year.</t>
    </r>
  </si>
  <si>
    <t>Ⅲ</t>
  </si>
  <si>
    <t>对于向客户授予知识产权许可的合同,请执行本条程序</t>
  </si>
  <si>
    <t>D4-15</t>
  </si>
  <si>
    <t>均是会计准则的内容，应作为后面合同检查底稿的提示性文字</t>
  </si>
  <si>
    <t>判断被审计单位对于知识产权许可构成单项履约义务的判断是否正确，考虑是否属于以下情形从而表明不可明确区分：</t>
  </si>
  <si>
    <t>知识产权许可构成有形商品的组成部分并且是该商品正常使用所不可缺少的使用许可；</t>
  </si>
  <si>
    <t>属于客户仅在同时使用相关服务（例如，由被审计单位提供的在线服务，通过授予使用许可使客户能够访问相关内容）时才能获益的使用许可。</t>
  </si>
  <si>
    <t>判断被审计单位对于知识产权许可属于在某一时段内履行的履约义务的判断是否正确，是否同时满足下列条件：</t>
  </si>
  <si>
    <t>合同要求或客户能够合理预期（如根据被审计单位的商业惯例、已公布的政策或特定声明等判断）企业将从事对该项知识产权有重大影响的活动（例如，这些活动预期将显著改变该项知识产权的形式（如知识产权的设计、内容）或者功能（如执行某任务的能力） ；客户从该项知识产权中获益的能力在很大程度上来源于或者取决于这些活动，即，这些活动会改变该项知识产权的价值）；</t>
  </si>
  <si>
    <t>该活动对客户将产生有利或不利影响；</t>
  </si>
  <si>
    <t>该活动不会导致向客户转让某项商品或服务。</t>
  </si>
  <si>
    <t>判断被审计单位与知识产权许可相关的收入确认时点是否正确（与提供企业知识产权的使用权的许可相关的收入不得在客户能够使用许可并从中获益的期间开始之前确认）。</t>
  </si>
  <si>
    <t>对于约定按客户实际销售或使用情况收取特许权使用费的合同，收入确认时点是否正确（直至不确定性消除（即，在客户发生后续销售或使用）之前，企业不应就不确定的金额确认任何收入）。</t>
  </si>
  <si>
    <t>Ⅳ</t>
  </si>
  <si>
    <t>针对网游企业，考虑增加本程序。</t>
  </si>
  <si>
    <t>D4-78</t>
  </si>
  <si>
    <t>删除</t>
  </si>
  <si>
    <t>行业无法穷尽，以审计案例、审计提示的形式更好</t>
  </si>
  <si>
    <r>
      <rPr>
        <sz val="10"/>
        <rFont val="宋体"/>
        <family val="3"/>
        <charset val="134"/>
      </rPr>
      <t>检查线上线下充值活动。</t>
    </r>
  </si>
  <si>
    <r>
      <rPr>
        <sz val="10"/>
        <rFont val="宋体"/>
        <family val="3"/>
        <charset val="134"/>
      </rPr>
      <t>了解实物卡销售和充值流程，关注收入确认的时点是否适当。</t>
    </r>
  </si>
  <si>
    <r>
      <rPr>
        <sz val="10"/>
        <rFont val="宋体"/>
        <family val="3"/>
        <charset val="134"/>
      </rPr>
      <t>对线上及线下渠道充值情况、实物卡销售情况进行分析性复核。</t>
    </r>
  </si>
  <si>
    <r>
      <rPr>
        <sz val="10"/>
        <rFont val="宋体"/>
        <family val="3"/>
        <charset val="134"/>
      </rPr>
      <t>对金额较大的线下和线上渠道商进行背景调查并实地访谈。</t>
    </r>
  </si>
  <si>
    <r>
      <rPr>
        <sz val="10"/>
        <rFont val="宋体"/>
        <family val="3"/>
        <charset val="134"/>
      </rPr>
      <t>对于玩家的真实进行调查。</t>
    </r>
  </si>
  <si>
    <r>
      <rPr>
        <sz val="10"/>
        <rFont val="宋体"/>
        <family val="3"/>
        <charset val="134"/>
      </rPr>
      <t>电话或面对面访谈玩家验证身份真实性、登录情况、充值及消费情况，对充值超过一定金额的玩家进行面对面访谈。</t>
    </r>
  </si>
  <si>
    <r>
      <rPr>
        <sz val="10"/>
        <rFont val="宋体"/>
        <family val="3"/>
        <charset val="134"/>
      </rPr>
      <t>具备条件的实施玩家</t>
    </r>
    <r>
      <rPr>
        <sz val="10"/>
        <rFont val="Arial Narrow"/>
        <family val="2"/>
      </rPr>
      <t>MAC</t>
    </r>
    <r>
      <rPr>
        <sz val="10"/>
        <rFont val="宋体"/>
        <family val="3"/>
        <charset val="134"/>
      </rPr>
      <t>分析。</t>
    </r>
  </si>
  <si>
    <r>
      <rPr>
        <sz val="10"/>
        <rFont val="宋体"/>
        <family val="3"/>
        <charset val="134"/>
      </rPr>
      <t>实施网络流量或费用分析，关注流量费用和收入、玩家数量的匹配关系，与行业指标背离的异常情况。</t>
    </r>
  </si>
  <si>
    <r>
      <rPr>
        <sz val="10"/>
        <rFont val="宋体"/>
        <family val="3"/>
        <charset val="134"/>
      </rPr>
      <t>分析玩家地域分布的合理性，是否存在玩家分布与收入分布不匹配情况。</t>
    </r>
  </si>
  <si>
    <r>
      <rPr>
        <sz val="10"/>
        <rFont val="宋体"/>
        <family val="3"/>
        <charset val="134"/>
      </rPr>
      <t>登录游戏社区了解用户评价。</t>
    </r>
  </si>
  <si>
    <r>
      <rPr>
        <sz val="10"/>
        <rFont val="宋体"/>
        <family val="3"/>
        <charset val="134"/>
      </rPr>
      <t>其他财务与非财务信息的印证。</t>
    </r>
  </si>
  <si>
    <r>
      <rPr>
        <sz val="10"/>
        <rFont val="宋体"/>
        <family val="3"/>
        <charset val="134"/>
      </rPr>
      <t>对平均在线人数、峰值在线人数、付费人数、人均消费金额等指标与收入的匹配关系进行分析性复核，关注异常情况。</t>
    </r>
  </si>
  <si>
    <r>
      <rPr>
        <sz val="10"/>
        <rFont val="Arial Narrow"/>
        <family val="2"/>
      </rPr>
      <t xml:space="preserve"> </t>
    </r>
    <r>
      <rPr>
        <sz val="10"/>
        <rFont val="宋体"/>
        <family val="3"/>
        <charset val="134"/>
      </rPr>
      <t>将交易量（业务量）与访问量、互动量进行对比，关注是否存在不匹配情况。</t>
    </r>
    <r>
      <rPr>
        <sz val="10"/>
        <rFont val="Arial Narrow"/>
        <family val="2"/>
      </rPr>
      <t xml:space="preserve"> </t>
    </r>
  </si>
  <si>
    <r>
      <rPr>
        <sz val="10"/>
        <rFont val="宋体"/>
        <family val="3"/>
        <charset val="134"/>
      </rPr>
      <t>分析是否存在异常交易的客户（如交易时间集中、同时进行若干笔交易、交易地点集中、交易时间过长、频繁交易等）。必要时，利用</t>
    </r>
    <r>
      <rPr>
        <sz val="10"/>
        <rFont val="Arial Narrow"/>
        <family val="2"/>
      </rPr>
      <t>IT</t>
    </r>
    <r>
      <rPr>
        <sz val="10"/>
        <rFont val="宋体"/>
        <family val="3"/>
        <charset val="134"/>
      </rPr>
      <t>专家工作。</t>
    </r>
  </si>
  <si>
    <t>Ⅴ</t>
  </si>
  <si>
    <t>针对售后代管业务，考虑增加本程序。</t>
  </si>
  <si>
    <t>整合到特殊交易中</t>
  </si>
  <si>
    <t>检查合同中有关收入确认的关键条款，查看主要交易内容、合同中的权利和义务约定、信用政策等条款，评价收入确认依据是否准确、充分，是否符合企业会计准则的规定和核算要求；</t>
  </si>
  <si>
    <t>了解客户委托代管的原因， 取得上述项目的代管协议或说明</t>
  </si>
  <si>
    <t>确认客户对于委托代管项目的验收时点即为权利义务转移时点，项目验收后，商品的所有权归客户所有。</t>
  </si>
  <si>
    <t>实地查看相关货物的存放情况。</t>
  </si>
  <si>
    <t>跟进项目的后续转移情况并取得相关记录文件</t>
  </si>
  <si>
    <t>查阅对比同行业上市公司售后代管商品收入确认时点与发行人是否存在差异，判断发行人售后代管商品收入确认时点的准确性，以及是否符合行业惯例；</t>
  </si>
  <si>
    <t>提示：</t>
  </si>
  <si>
    <t>根据具体情况，按下述5条所述流程，执行分析程序：</t>
  </si>
  <si>
    <r>
      <rPr>
        <sz val="10"/>
        <rFont val="宋体"/>
        <family val="3"/>
        <charset val="134"/>
      </rPr>
      <t>证实分析性程序中使用的基础性数据是正确的，对已记录的金额作出预期，评价预期值是否足够精确以识别重大错报。</t>
    </r>
    <r>
      <rPr>
        <sz val="10"/>
        <rFont val="Arial Narrow"/>
        <family val="2"/>
      </rPr>
      <t xml:space="preserve"> </t>
    </r>
  </si>
  <si>
    <r>
      <rPr>
        <sz val="10"/>
        <rFont val="宋体"/>
        <family val="3"/>
        <charset val="134"/>
      </rPr>
      <t>与可比前期（及预期）结果相比较。</t>
    </r>
    <r>
      <rPr>
        <sz val="10"/>
        <rFont val="Arial Narrow"/>
        <family val="2"/>
      </rPr>
      <t xml:space="preserve"> </t>
    </r>
  </si>
  <si>
    <r>
      <rPr>
        <sz val="10"/>
        <rFont val="宋体"/>
        <family val="3"/>
        <charset val="134"/>
      </rPr>
      <t>与适当客户人员讨论重大的非预期的差异。</t>
    </r>
    <r>
      <rPr>
        <sz val="10"/>
        <rFont val="Arial Narrow"/>
        <family val="2"/>
      </rPr>
      <t xml:space="preserve"> </t>
    </r>
  </si>
  <si>
    <r>
      <rPr>
        <sz val="10"/>
        <rFont val="宋体"/>
        <family val="3"/>
        <charset val="134"/>
      </rPr>
      <t>考虑管理层解释的可信度，并在适当情况下进行证实。</t>
    </r>
    <r>
      <rPr>
        <sz val="10"/>
        <rFont val="Arial Narrow"/>
        <family val="2"/>
      </rPr>
      <t xml:space="preserve"> </t>
    </r>
  </si>
  <si>
    <r>
      <rPr>
        <sz val="10"/>
        <rFont val="宋体"/>
        <family val="3"/>
        <charset val="134"/>
      </rPr>
      <t>确定执行上述程序的结果是否表明需要补充必要的审计程序，如果是，执行适当的应对程序。</t>
    </r>
    <r>
      <rPr>
        <sz val="10"/>
        <rFont val="Arial Narrow"/>
        <family val="2"/>
      </rPr>
      <t xml:space="preserve"> </t>
    </r>
  </si>
  <si>
    <t>页次：</t>
  </si>
  <si>
    <t>项目</t>
  </si>
  <si>
    <t>本期数</t>
  </si>
  <si>
    <t>上期数</t>
  </si>
  <si>
    <t>未审数</t>
  </si>
  <si>
    <t>账项调整</t>
  </si>
  <si>
    <t>重分类调整</t>
  </si>
  <si>
    <t>审定数</t>
  </si>
  <si>
    <t>主营业务收入：</t>
  </si>
  <si>
    <t>小计</t>
  </si>
  <si>
    <t>其他业务收入：</t>
  </si>
  <si>
    <t>合计</t>
  </si>
  <si>
    <t>试算平衡表数</t>
  </si>
  <si>
    <t>差异数</t>
  </si>
  <si>
    <r>
      <rPr>
        <b/>
        <sz val="10"/>
        <rFont val="宋体"/>
        <family val="3"/>
        <charset val="134"/>
      </rPr>
      <t>1.审计说明</t>
    </r>
  </si>
  <si>
    <t>2.审计结论</t>
  </si>
  <si>
    <t>（1）营业收入本期较上期增加（负数为减少）：</t>
  </si>
  <si>
    <r>
      <rPr>
        <sz val="10"/>
        <rFont val="宋体"/>
        <family val="3"/>
        <charset val="134"/>
      </rPr>
      <t>主要原因</t>
    </r>
    <r>
      <rPr>
        <sz val="10"/>
        <color indexed="10"/>
        <rFont val="宋体"/>
        <family val="3"/>
        <charset val="134"/>
      </rPr>
      <t>（比例超过30%的）</t>
    </r>
    <r>
      <rPr>
        <sz val="10"/>
        <rFont val="宋体"/>
        <family val="3"/>
        <charset val="134"/>
      </rPr>
      <t>：</t>
    </r>
  </si>
  <si>
    <t>（2）公司前五名客户营业收入总额为 元，占公司全部主营业务收入的比例为 %。</t>
  </si>
  <si>
    <t>出租固定资产</t>
  </si>
  <si>
    <t>出租无形资产</t>
  </si>
  <si>
    <t>出租包装物和商品</t>
  </si>
  <si>
    <t>销售材料</t>
  </si>
  <si>
    <t>用材料进行非货币性交换</t>
  </si>
  <si>
    <t>用材料进行债务重组</t>
  </si>
  <si>
    <t>投资性房地产租金收入</t>
  </si>
  <si>
    <r>
      <rPr>
        <sz val="10"/>
        <rFont val="宋体"/>
        <family val="3"/>
        <charset val="134"/>
      </rPr>
      <t>页</t>
    </r>
    <r>
      <rPr>
        <sz val="10"/>
        <rFont val="Arial Narrow"/>
        <family val="2"/>
      </rPr>
      <t xml:space="preserve">  </t>
    </r>
    <r>
      <rPr>
        <sz val="10"/>
        <rFont val="宋体"/>
        <family val="3"/>
        <charset val="134"/>
      </rPr>
      <t>次：</t>
    </r>
    <r>
      <rPr>
        <sz val="10"/>
        <rFont val="Arial Narrow"/>
        <family val="2"/>
      </rPr>
      <t>1</t>
    </r>
  </si>
  <si>
    <t>营业收入附注汇总</t>
  </si>
  <si>
    <t>（1）营业收入和营业成本</t>
  </si>
  <si>
    <t>项  目</t>
  </si>
  <si>
    <t>本期发生额</t>
  </si>
  <si>
    <t>上期发生额</t>
  </si>
  <si>
    <t>收入</t>
  </si>
  <si>
    <t>成本</t>
  </si>
  <si>
    <t>主营业务</t>
  </si>
  <si>
    <t>其他业务</t>
  </si>
  <si>
    <t>合  计</t>
  </si>
  <si>
    <t>说明：</t>
  </si>
  <si>
    <t xml:space="preserve">[披露本公司前期已经履行 (或部分履行) 的履约义务在本期调整的收入。例如： </t>
  </si>
  <si>
    <t xml:space="preserve">本公司在2023年确认的、源自前期已经履行 (或部分履行) 的履约义务的收入金额为人民币XX元，主要是由于与XX客户签订的XX合同的估计完工进度发生了变化。] </t>
  </si>
  <si>
    <t>【提示：</t>
  </si>
  <si>
    <t>1.处置投资性房地产（无论采用公允价值模式计量还是成本模式计量）的收入，在“其他业务收入”列示，相应结转成本至“其他业务成本”；</t>
  </si>
  <si>
    <r>
      <rPr>
        <sz val="12"/>
        <color rgb="FF0000FF"/>
        <rFont val="Arial Narrow"/>
        <family val="2"/>
      </rPr>
      <t>2.</t>
    </r>
    <r>
      <rPr>
        <sz val="12"/>
        <color rgb="FF0000FF"/>
        <rFont val="微软雅黑"/>
        <family val="2"/>
        <charset val="134"/>
      </rPr>
      <t>单项的投资性房地产的处置，无论是直接出售还是先划分为持有待售资产再出售，处置损益均计入“其他业务收入</t>
    </r>
    <r>
      <rPr>
        <sz val="12"/>
        <color rgb="FF0000FF"/>
        <rFont val="Arial Narrow"/>
        <family val="2"/>
      </rPr>
      <t>/</t>
    </r>
    <r>
      <rPr>
        <sz val="12"/>
        <color rgb="FF0000FF"/>
        <rFont val="微软雅黑"/>
        <family val="2"/>
        <charset val="134"/>
      </rPr>
      <t>成本”，不计入“资产处置损益”</t>
    </r>
  </si>
  <si>
    <r>
      <rPr>
        <sz val="12"/>
        <color rgb="FF0000FF"/>
        <rFont val="Arial Narrow"/>
        <family val="2"/>
      </rPr>
      <t>3.</t>
    </r>
    <r>
      <rPr>
        <sz val="12"/>
        <color rgb="FF0000FF"/>
        <rFont val="微软雅黑"/>
        <family val="2"/>
        <charset val="134"/>
      </rPr>
      <t>在停工停产期间继续计提固定资产折旧和无形资产摊销，并根据用途计入相关资产的成本或当期损益。例如，企业因需求不足而停产或因事故而停工检修等，相关生产设备应当继续计提折旧，并计入营业成本。】</t>
    </r>
  </si>
  <si>
    <t>（2）营业收入、营业成本按行业（或产品类型）划分</t>
  </si>
  <si>
    <t>主要产品类型（或行业）</t>
  </si>
  <si>
    <t>主营业务：</t>
  </si>
  <si>
    <t>消费品</t>
  </si>
  <si>
    <t>汽车</t>
  </si>
  <si>
    <t>能源</t>
  </si>
  <si>
    <t>......</t>
  </si>
  <si>
    <t>小  计</t>
  </si>
  <si>
    <t>其他业务：</t>
  </si>
  <si>
    <t>租赁收入</t>
  </si>
  <si>
    <r>
      <rPr>
        <sz val="12"/>
        <rFont val="微软雅黑"/>
        <family val="2"/>
        <charset val="134"/>
      </rPr>
      <t>（</t>
    </r>
    <r>
      <rPr>
        <sz val="12"/>
        <rFont val="Arial Narrow"/>
        <family val="2"/>
      </rPr>
      <t>3</t>
    </r>
    <r>
      <rPr>
        <sz val="12"/>
        <rFont val="微软雅黑"/>
        <family val="2"/>
        <charset val="134"/>
      </rPr>
      <t>）营业收入、营业成本按地区划分（不适用的，删除）</t>
    </r>
  </si>
  <si>
    <t>主要经营地区</t>
  </si>
  <si>
    <t>主营业务成本</t>
  </si>
  <si>
    <t>东北</t>
  </si>
  <si>
    <t>华北</t>
  </si>
  <si>
    <t>西北</t>
  </si>
  <si>
    <r>
      <rPr>
        <sz val="12"/>
        <rFont val="微软雅黑"/>
        <family val="2"/>
        <charset val="134"/>
      </rPr>
      <t>（</t>
    </r>
    <r>
      <rPr>
        <sz val="12"/>
        <rFont val="Arial Narrow"/>
        <family val="2"/>
      </rPr>
      <t>4</t>
    </r>
    <r>
      <rPr>
        <sz val="12"/>
        <rFont val="微软雅黑"/>
        <family val="2"/>
        <charset val="134"/>
      </rPr>
      <t>）营业收入、</t>
    </r>
    <r>
      <rPr>
        <sz val="12"/>
        <rFont val="宋体"/>
        <family val="3"/>
        <charset val="134"/>
      </rPr>
      <t>营业成本按</t>
    </r>
    <r>
      <rPr>
        <sz val="12"/>
        <rFont val="微软雅黑"/>
        <family val="2"/>
        <charset val="134"/>
      </rPr>
      <t>分解信息</t>
    </r>
  </si>
  <si>
    <t>其他</t>
  </si>
  <si>
    <t>其中：在某一时点确认</t>
  </si>
  <si>
    <t xml:space="preserve">      在某一时段确认</t>
  </si>
  <si>
    <t xml:space="preserve">      租赁收入</t>
  </si>
  <si>
    <t>【提示：在确定对收入进行分解的类别时，企业应当考虑其在下列情况下是如何列报和披露与收入有关的信息：</t>
  </si>
  <si>
    <t>①在财务报表之外披露的信息，例如，在企业的业绩公告、年报或向投资者报送的相关资料中披露的收入信息；</t>
  </si>
  <si>
    <t>②管理层为评价经营分部的财务业绩所定期复核的信息；以及</t>
  </si>
  <si>
    <t>③企业或企业的财务报表使用者在评价企业的财务业绩或作出资源分配决策时，所使用的类似于上述①和②的信息类型的其他信息。</t>
  </si>
  <si>
    <t>企业在对收入信息进行分解时，可以采用的类别包括但不限于：商品类型、经营地区、市场或客户类型、合同类型（例如，固定造价合同、成本加成合同等）、商品转让的时间（例如，在某一时点转让或在某一时段内转让）、合同期限（例如，长期合同、短期合同等）、销售渠道（例如，直接销售或通过经销商销售等）等。</t>
  </si>
  <si>
    <t>④租赁收入需单独披露。】</t>
  </si>
  <si>
    <t>（5）履约义务的说明</t>
  </si>
  <si>
    <t>（披露与履约义务相关的信息，包括履约义务通常的履行时间、重要的支付条款、企业承诺转让的商品的性质（包括说明企业是否作为代理人）、企业承担的预期将退还给客户的款项等类似义务、质量保证的类型及相关义务等。）</t>
  </si>
  <si>
    <t>（6）与剩余履约义务有关的信息</t>
  </si>
  <si>
    <t>【披露与剩余履约义务有关的下列信息：①分摊至本期末尚未履行（或部分未履行）履约义务的交易价格总额；②上述金额确认为收入的预计时间，企业可以按照对于剩余履约义务的期间而言最恰当的时间段为基础提供有关预计时间的定量信息，或者使用定性信息进行说明。】</t>
  </si>
  <si>
    <t>分摊至尚未履行的履约义务的交易价格为xxx元，截止xx年xx月xx日，对于上述金额确认为收入的预计时间如下：</t>
  </si>
  <si>
    <t>年  度</t>
  </si>
  <si>
    <r>
      <rPr>
        <b/>
        <sz val="12"/>
        <color rgb="FF0000FF"/>
        <rFont val="Arial Narrow"/>
        <family val="2"/>
      </rPr>
      <t>2024</t>
    </r>
    <r>
      <rPr>
        <b/>
        <sz val="12"/>
        <color rgb="FF0000FF"/>
        <rFont val="微软雅黑"/>
        <family val="2"/>
        <charset val="134"/>
      </rPr>
      <t>年</t>
    </r>
  </si>
  <si>
    <r>
      <rPr>
        <b/>
        <sz val="12"/>
        <color rgb="FF0000FF"/>
        <rFont val="Arial Narrow"/>
        <family val="2"/>
      </rPr>
      <t>2025</t>
    </r>
    <r>
      <rPr>
        <b/>
        <sz val="12"/>
        <color rgb="FF0000FF"/>
        <rFont val="微软雅黑"/>
        <family val="2"/>
        <charset val="134"/>
      </rPr>
      <t>年</t>
    </r>
  </si>
  <si>
    <t>xx合同预计将确认的收入</t>
  </si>
  <si>
    <t>【说明：是否存在任何对价金额未纳入交易价格，从而未纳入对于分摊至剩余履约义务的交易价格所需披露的信息之中，例如，由于将可变对价计入交易价格的限制要求而未计入交易价格的可变对价。】</t>
  </si>
  <si>
    <t>【如果公司采用了简化操作方法，该方法满足下列条件之一可适用：</t>
  </si>
  <si>
    <t>一是该项履约义务是原预计合同期限不超过一年的合同中的一部分。</t>
  </si>
  <si>
    <t>二是企业有权对该履约义务下已转让的商品向客户发出账单，且账单金额能够代表企业累计至今已履约部分转移给客户的价值。</t>
  </si>
  <si>
    <t>企业应当提供定性信息以说明采用了上述简化操作方法。</t>
  </si>
  <si>
    <t>例如：</t>
  </si>
  <si>
    <t>本公司与客户签订合同，为客户建造一栋办公楼，合同对价为500万元。本公司在2023年对该合同确认的收入金额为240万元。2023年12月31日，分摊至剩余履约义务的交易价格为260万元，本公司预计该金额将随着工程的完工进度，在未来12-15个月内确认为收入。】</t>
  </si>
  <si>
    <t>（7）重大合同变更【或重大交易价格调整】</t>
  </si>
  <si>
    <t>（披露重大合同变更或重大交易价格调整相关的信息、会计处理方法及对收入的影响金额。）</t>
  </si>
  <si>
    <t>（8）试运行销售收入</t>
  </si>
  <si>
    <t>【提示：企业会计准则解释第15号规定，企业应当按照《企业会计准则第1号——存货》、《企业会计准则第14号——收入》、《企业会计准则第30号——财务报表列报》等规定，判断试运行销售是否属于企业的日常活动，并在财务报表中分别日常活动和非日常活动列示试运行销售的相关收入和成本，属于日常活动的，在“营业收入”和“营业成本”项目列示；属于非日常活动的，在“资产处置收益”等项目列示。同时企业应当在附注中单独披露试运行销售的相关收入和成本金额、具体列报项目以及确定试运行销售相关成本时采用的重要会计估计等相关信息。】</t>
  </si>
  <si>
    <t>固定资产试运行收入</t>
  </si>
  <si>
    <t>研发样品销售收入</t>
  </si>
  <si>
    <t>附注披露信息（国有企业）</t>
  </si>
  <si>
    <t>营业收入、营业成本附注</t>
  </si>
  <si>
    <t>（1）营业收入、营业成本</t>
  </si>
  <si>
    <t>2.单项的投资性房地产的处置，无论是直接出售还是先划分为持有待售资产再出售，处置损益均计入“其他业务收入/成本”，不计入“资产处置损益”</t>
  </si>
  <si>
    <t>3.在停工停产期间继续计提固定资产折旧和无形资产摊销，并根据用途计入相关资产的成本或当期损益。例如，企业因需求不足而停产或因事故而停工检修等，相关生产设备应当继续计提折旧，并计入营业成本。</t>
  </si>
  <si>
    <t>（2）按行业（或产品类型）划分</t>
  </si>
  <si>
    <t>（3）营业收入、营业成本按地区划分（不适用的，删除）</t>
  </si>
  <si>
    <t>（4）营业收入分解信息</t>
  </si>
  <si>
    <t>【提示：在确定对收入、成本进行分解的类别时，企业应当考虑其在下列情况下是如何列报和披露与收入有关的信息：</t>
  </si>
  <si>
    <t>（5）履约义务相关信息</t>
  </si>
  <si>
    <t>【履约义务相关的信息，包括但不限于：履行履约义务的时间、重要的支付条款、公司承诺转让商品的性质、是否为主要责任人、公司承担的预期将退还给客户的款项等类似义务、公司提供的质量保证类型及相关义务等。】</t>
  </si>
  <si>
    <t>【与分摊至剩余履约义务的交易价格相关的信息，包括分摊至本期末尚未履行履约义务的交易价格总额及其确认为收入的预计时间、可变对价等。】</t>
  </si>
  <si>
    <t>2024年</t>
  </si>
  <si>
    <t>2025年</t>
  </si>
  <si>
    <t>【说明是否存在任何对价金额未纳入交易价格，从而未纳入对于分摊至剩余履约义务的交易价格所需披露的信息之中，例如，由于将可变对价计入交易价格的限制要求而未计入交易价格的可变对价。】</t>
  </si>
  <si>
    <t>（重大合同变更或重大交易价格调整相关的信息、会计处理方法及对收入的影响金额。）</t>
  </si>
  <si>
    <r>
      <rPr>
        <b/>
        <sz val="14"/>
        <rFont val="宋体"/>
        <family val="3"/>
        <charset val="134"/>
      </rPr>
      <t>主营业务收入</t>
    </r>
    <r>
      <rPr>
        <b/>
        <sz val="14"/>
        <rFont val="宋体"/>
        <family val="3"/>
        <charset val="134"/>
      </rPr>
      <t>明细表</t>
    </r>
  </si>
  <si>
    <t>一、审计目标</t>
  </si>
  <si>
    <t>与主营业务收入有关的金额及其他数据已恰当记录，相关披露已得到恰当计量和描述。</t>
  </si>
  <si>
    <t>二、审计过程</t>
  </si>
  <si>
    <t>1.……</t>
  </si>
  <si>
    <r>
      <rPr>
        <b/>
        <sz val="10"/>
        <rFont val="Arial Narrow"/>
        <family val="2"/>
      </rPr>
      <t>1</t>
    </r>
    <r>
      <rPr>
        <b/>
        <sz val="10"/>
        <rFont val="宋体"/>
        <family val="3"/>
        <charset val="134"/>
      </rPr>
      <t>月</t>
    </r>
  </si>
  <si>
    <r>
      <rPr>
        <b/>
        <sz val="10"/>
        <rFont val="Arial Narrow"/>
        <family val="2"/>
      </rPr>
      <t>2月</t>
    </r>
  </si>
  <si>
    <r>
      <rPr>
        <b/>
        <sz val="10"/>
        <rFont val="Arial Narrow"/>
        <family val="2"/>
      </rPr>
      <t>3月</t>
    </r>
  </si>
  <si>
    <r>
      <rPr>
        <b/>
        <sz val="10"/>
        <rFont val="Arial Narrow"/>
        <family val="2"/>
      </rPr>
      <t>4月</t>
    </r>
  </si>
  <si>
    <r>
      <rPr>
        <b/>
        <sz val="10"/>
        <rFont val="Arial Narrow"/>
        <family val="2"/>
      </rPr>
      <t>5月</t>
    </r>
  </si>
  <si>
    <r>
      <rPr>
        <b/>
        <sz val="10"/>
        <rFont val="Arial Narrow"/>
        <family val="2"/>
      </rPr>
      <t>6月</t>
    </r>
  </si>
  <si>
    <r>
      <rPr>
        <b/>
        <sz val="10"/>
        <rFont val="Arial Narrow"/>
        <family val="2"/>
      </rPr>
      <t>7月</t>
    </r>
  </si>
  <si>
    <r>
      <rPr>
        <b/>
        <sz val="10"/>
        <rFont val="Arial Narrow"/>
        <family val="2"/>
      </rPr>
      <t>8月</t>
    </r>
  </si>
  <si>
    <r>
      <rPr>
        <b/>
        <sz val="10"/>
        <rFont val="Arial Narrow"/>
        <family val="2"/>
      </rPr>
      <t>9月</t>
    </r>
  </si>
  <si>
    <r>
      <rPr>
        <b/>
        <sz val="10"/>
        <rFont val="Arial Narrow"/>
        <family val="2"/>
      </rPr>
      <t>10月</t>
    </r>
  </si>
  <si>
    <r>
      <rPr>
        <b/>
        <sz val="10"/>
        <rFont val="Arial Narrow"/>
        <family val="2"/>
      </rPr>
      <t>11月</t>
    </r>
  </si>
  <si>
    <r>
      <rPr>
        <b/>
        <sz val="10"/>
        <rFont val="Arial Narrow"/>
        <family val="2"/>
      </rPr>
      <t>12月</t>
    </r>
  </si>
  <si>
    <t>本期未审数合计</t>
  </si>
  <si>
    <t>本期审计调整</t>
  </si>
  <si>
    <t>本期审定数</t>
  </si>
  <si>
    <t>上期未审数</t>
  </si>
  <si>
    <t>上期审计调整</t>
  </si>
  <si>
    <t>上期审定数</t>
  </si>
  <si>
    <t>未审变动比例</t>
  </si>
  <si>
    <t>审定变动比例</t>
  </si>
  <si>
    <t>备注</t>
  </si>
  <si>
    <t>各月比例</t>
  </si>
  <si>
    <t>三、审计说明</t>
  </si>
  <si>
    <t>1.XX公司收入主要集中在第二季度和第四季度，主要原因是……，经查询同行业数据&lt;  &gt;，收入季节变化符合行业周期季节变化，季节性因素对公司各季度收入的影响合理。</t>
  </si>
  <si>
    <t>四、审计结论</t>
  </si>
  <si>
    <t>提示1：根据项目需要，按照区域、品种等进行分类汇总。</t>
  </si>
  <si>
    <t>一、审计目标：</t>
  </si>
  <si>
    <t>与其他业务收入有关的金额及其他数据已恰当记录，相关披露已得到恰当计量和描述。</t>
  </si>
  <si>
    <t>二、审计过程:</t>
  </si>
  <si>
    <t>本期数比上期增加（减少）</t>
  </si>
  <si>
    <t>本期未审数</t>
  </si>
  <si>
    <t>结构比</t>
  </si>
  <si>
    <t>上期审定额</t>
  </si>
  <si>
    <t>变动额</t>
  </si>
  <si>
    <t>变动率</t>
  </si>
  <si>
    <t>……</t>
  </si>
  <si>
    <t>三、审计说明：</t>
  </si>
  <si>
    <t>四、审计结论：</t>
  </si>
  <si>
    <t>本科目核算企业确认的除主营业务活动以外的其他经营活动实现的收入，包括出租固定资产、出租无形资产、出租包装物和商品、销售材料、用材料进行非货币性交换（非货币性资产交换具有商业实质且公允价值能够可靠计量）或债务重组等实现的收入。</t>
  </si>
  <si>
    <t>企业（保险）经营受托管理业务收取的管理费收入，也通过本科目核算。</t>
  </si>
  <si>
    <t>营业收入调整分录汇总表</t>
  </si>
  <si>
    <t>调整事项说明</t>
  </si>
  <si>
    <t>类别（报表调整/账项调整/其他）</t>
  </si>
  <si>
    <t>报表项目</t>
  </si>
  <si>
    <t>科目名称</t>
  </si>
  <si>
    <t>附注项目</t>
  </si>
  <si>
    <t>借方调整金额</t>
  </si>
  <si>
    <t>贷方调整金额</t>
  </si>
  <si>
    <t>索引</t>
  </si>
  <si>
    <t>提示：本底稿适用于调整分录较多、较复杂的项目，且仅列示与本报表项目相关的审计调整。项目组可根据项目实际情况选择是否使用该底稿。</t>
  </si>
  <si>
    <t>C1</t>
  </si>
  <si>
    <t>Custom 1</t>
  </si>
  <si>
    <t>C2</t>
  </si>
  <si>
    <t>Custom 2</t>
  </si>
  <si>
    <t>C3</t>
  </si>
  <si>
    <t>Custom 3</t>
  </si>
  <si>
    <t>C4</t>
  </si>
  <si>
    <t>Custom 4</t>
  </si>
  <si>
    <t>C5</t>
  </si>
  <si>
    <t>Custom 5</t>
  </si>
  <si>
    <t>C6</t>
  </si>
  <si>
    <t>Custom 6</t>
  </si>
  <si>
    <t>C7</t>
  </si>
  <si>
    <t>Custom 7</t>
  </si>
  <si>
    <t>C8</t>
  </si>
  <si>
    <t>Custom 8</t>
  </si>
  <si>
    <t>获取或编制主营业务收入、其他业务收入明细表编制审定表，并完成以下工作：
（1）复核加计正确，将总金额与总账、明细账合计数核对相符；
（2）检查以非记账本位币结算的营业收入的折算汇率及折算是否正确。</t>
    <phoneticPr fontId="172" type="noConversion"/>
  </si>
  <si>
    <t>D4-1
/D4-2
/D4-3</t>
    <phoneticPr fontId="172" type="noConversion"/>
  </si>
  <si>
    <t>D4-5</t>
    <phoneticPr fontId="172" type="noConversion"/>
  </si>
  <si>
    <t>D4-6
/D4-7
/D4-8
/D4-9
/D4-10
/D4-11</t>
    <phoneticPr fontId="172" type="noConversion"/>
  </si>
  <si>
    <t>D4-12</t>
    <phoneticPr fontId="172" type="noConversion"/>
  </si>
  <si>
    <t xml:space="preserve">如果被审计单位存在销售业务系统，核对财务账面记录的营业收入数据与销售系统（ERP业务数据）记录是否相符（双向核对）。 </t>
    <phoneticPr fontId="172" type="noConversion"/>
  </si>
  <si>
    <t>备选</t>
    <phoneticPr fontId="172" type="noConversion"/>
  </si>
  <si>
    <t>√</t>
    <phoneticPr fontId="172" type="noConversion"/>
  </si>
  <si>
    <t>√</t>
    <phoneticPr fontId="172" type="noConversion"/>
  </si>
  <si>
    <t>D4-14</t>
    <phoneticPr fontId="172" type="noConversion"/>
  </si>
  <si>
    <t>D4-13</t>
    <phoneticPr fontId="172" type="noConversion"/>
  </si>
  <si>
    <t>D4-14
/D4-16</t>
    <phoneticPr fontId="172" type="noConversion"/>
  </si>
  <si>
    <t>D4-17
/D4-18</t>
    <phoneticPr fontId="172" type="noConversion"/>
  </si>
  <si>
    <t>D4-19</t>
    <phoneticPr fontId="172" type="noConversion"/>
  </si>
  <si>
    <t>D4-20</t>
    <phoneticPr fontId="172" type="noConversion"/>
  </si>
  <si>
    <t>检查关联交易：
(1)了解交易的商业理由、交易事项的目的、价格和条件，考虑对关联方销售的合理性、合法性；
(2）检查证实交易的支持性文件（例如合同、发票、运输单据等），检查价格公允性，合同条款是否与非关联方一致；
（考虑向关联方或其他注册会计师函证重大的关联采购交易和余额（包括担保和其他重要信息）；
（4）必要时，向与交易相关的人员和机构（如银行、律师）函证或与其讨论有关信息；
（5）考虑是否存在未识别的关联方，关联交易和余额披露是否正确。</t>
    <phoneticPr fontId="172" type="noConversion"/>
  </si>
  <si>
    <t>D4-21</t>
    <phoneticPr fontId="172" type="noConversion"/>
  </si>
  <si>
    <t>根据评估的舞弊风险等因素增加的审计程序。</t>
    <phoneticPr fontId="172" type="noConversion"/>
  </si>
  <si>
    <t>IPO/上市/新三板/重组/舞弊应对</t>
    <phoneticPr fontId="173" type="noConversion"/>
  </si>
  <si>
    <t>D4-22A</t>
    <phoneticPr fontId="172" type="noConversion"/>
  </si>
  <si>
    <t>D4-3
/D4-5</t>
    <phoneticPr fontId="172" type="noConversion"/>
  </si>
  <si>
    <t>计算本期其他业务收入与其他业务成本的比率和毛利率,并与上期该比率比较，检查是否有重大波动，如有，应查明原因。</t>
    <phoneticPr fontId="172" type="noConversion"/>
  </si>
  <si>
    <t>D4-33</t>
    <phoneticPr fontId="172" type="noConversion"/>
  </si>
  <si>
    <t>D4-34</t>
    <phoneticPr fontId="172" type="noConversion"/>
  </si>
  <si>
    <t>D4-35</t>
    <phoneticPr fontId="172" type="noConversion"/>
  </si>
  <si>
    <t>D4-36</t>
    <phoneticPr fontId="172" type="noConversion"/>
  </si>
  <si>
    <t>销售的截止测试：
（1）获取资产负债表日前后若干笔会计记录，与发货单证等信息核对，确定收入是否记入了恰当的期间。
（2）获取资产负债表日前后若干张发货单，与会计记录信息核对，确定是否存在收入跨期。 
（3）复核资产负债表日前后的销售和发货水平，与正常水平相比是否存在异常，并考虑是否追加截止性测试。
（4）浏览期后一定时间的总账和明细账，以发现是否存在销售收
入冲回或大额销售退回的情况，对期后的大宗或异常的销售退货、冲回进行检查，以确定是否提前确认收入。
（5）结合存货监盘，对于尚未发运的销售（如开出账单但保管商品），查核支持性文件，与客户适当人员讨论，检查是否满足收入确认条件及会计处理的正确性。</t>
    <phoneticPr fontId="172" type="noConversion"/>
  </si>
  <si>
    <t>抽取资产负债表日前后若干天、一定金额以上的其他业务收入记账凭证与发货单等信息核对，确定其他业务收入是否记入了恰当的期间；抽取资产负债表日前后若干天、一定金额以上的发货单等与记账凭证核对，确定其他业务收入是否记入了恰当的期间；</t>
    <phoneticPr fontId="172" type="noConversion"/>
  </si>
  <si>
    <t>15</t>
  </si>
  <si>
    <t>16</t>
  </si>
  <si>
    <t>17</t>
  </si>
  <si>
    <t>客户名称：</t>
  </si>
  <si>
    <t>会计期间：201x年度</t>
  </si>
  <si>
    <t>索引号：</t>
    <phoneticPr fontId="172" type="noConversion"/>
  </si>
  <si>
    <t>索引号：</t>
    <phoneticPr fontId="172" type="noConversion"/>
  </si>
  <si>
    <t>关于工作底稿与审计程序索引号对应的说明</t>
    <phoneticPr fontId="172"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</si>
  <si>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2"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</si>
  <si>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72"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</si>
  <si>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72" type="noConversion"/>
  </si>
  <si>
    <r>
      <t>对上期发生额的审计：</t>
    </r>
    <r>
      <rPr>
        <sz val="10"/>
        <color rgb="FFFF0000"/>
        <rFont val="宋体"/>
        <family val="3"/>
        <charset val="134"/>
        <scheme val="minor"/>
      </rPr>
      <t>（适用于首次承接）</t>
    </r>
    <r>
      <rPr>
        <sz val="10"/>
        <rFont val="宋体"/>
        <family val="3"/>
        <charset val="134"/>
        <scheme val="minor"/>
      </rPr>
      <t>：
（1）向被审计单位人员询问前期期末关于收入截止的相关处理；
（2）复核资产负债表日前后一段合理期间里的销售分录，调查任何异常分录。
（3）复核资产负债表日前后一段合理期间里销售退回或销售折扣的记录。
（4）调查接近前期期末发生的大额或异常的销售交易。  
（5）必要时执行函证程序。</t>
    </r>
    <phoneticPr fontId="172" type="noConversion"/>
  </si>
  <si>
    <t>根据被审计单位实际情况和风险评估情况裁剪、修改或增加审计程序</t>
    <phoneticPr fontId="172" type="noConversion"/>
  </si>
  <si>
    <t>审计程序</t>
    <phoneticPr fontId="173" type="noConversion"/>
  </si>
  <si>
    <t>项目</t>
    <phoneticPr fontId="172" type="noConversion"/>
  </si>
  <si>
    <r>
      <rPr>
        <sz val="10"/>
        <rFont val="宋体"/>
        <family val="3"/>
        <charset val="134"/>
      </rPr>
      <t>会计期间：</t>
    </r>
    <r>
      <rPr>
        <sz val="10"/>
        <rFont val="Arial Narrow"/>
        <family val="2"/>
      </rPr>
      <t>202X</t>
    </r>
    <r>
      <rPr>
        <sz val="10"/>
        <rFont val="宋体"/>
        <family val="3"/>
        <charset val="134"/>
      </rPr>
      <t>年度</t>
    </r>
    <phoneticPr fontId="172" type="noConversion"/>
  </si>
  <si>
    <t>（3）实际执行的审计程序和完成的底稿概述</t>
    <phoneticPr fontId="172" type="noConversion"/>
  </si>
  <si>
    <t>实施的实质性程序概述</t>
    <phoneticPr fontId="172" type="noConversion"/>
  </si>
  <si>
    <t>执行结果</t>
    <phoneticPr fontId="172" type="noConversion"/>
  </si>
  <si>
    <t>底稿索引号</t>
    <phoneticPr fontId="172" type="noConversion"/>
  </si>
  <si>
    <t>性损益披露的真实性、准确性、完整性出具专项核查意见。</t>
    <phoneticPr fontId="172" type="noConversion"/>
  </si>
  <si>
    <t>提示2：针对最近一个会计年度经审计营业收入低于 3亿元（沪深主板）/1亿元（科创板、创业板）但利润总额、净利润及扣除非经常性损益后的净利润均为正值的公司，会计师事务所应当对其非经常</t>
    <phoneticPr fontId="172" type="noConversion"/>
  </si>
  <si>
    <t>提示1：根据2024年沪深北交易所修订的《上市规则》：公司最近一个会计年度经审计的利润总额、净利润或者扣除非经常性损益后的净利润孰低者为负值的，公司应当在年度报告或者更正公告中披露</t>
    <phoneticPr fontId="172" type="noConversion"/>
  </si>
  <si>
    <t>注：根据2024年沪深北交易所修订的《上市规则》：公司最近一个会计年度经审计的利润总额、净利润或者扣除非经常性损益后的净利润孰低者为负值的，公司应当在年度报告或者更正公告中披露</t>
    <phoneticPr fontId="172" type="noConversion"/>
  </si>
  <si>
    <t>营业收入扣除情况及扣除后的营业收入金额；负责审计的会计师事务所应当就公司营业收入扣除事项是否符合本条规定及扣除后的营业收入金额出具专项核查意见。项目需完成营业收入扣除情况核查底稿&lt;S20&gt;</t>
    <phoneticPr fontId="172" type="noConversion"/>
  </si>
  <si>
    <t xml:space="preserve">营业收入扣除情况及扣除后的营业收入金额；负责审计的会计师事务所应当就公司营业收入扣除事项是否符合本条规定及扣除后的营业收入金额出具专项核查意见。项目需完成营业收入扣除情况核查底稿&lt;S20&gt;
</t>
    <phoneticPr fontId="1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</si>
</sst>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3">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_-;\-* #,##0\¥_-;_-* &quot;-&quot;\¥_-;_-@_-"/>
    <numFmt numFmtId="215" formatCode="0%_);\(0%\)"/>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_(* #,##0.00_);_(* \(#,##0.00\);_(* &quot;-&quot;??_);_(@_)"/>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5" formatCode="0.00_);[Red]\(0.00\)"/>
    <numFmt numFmtId="236" formatCode="#,##0_ "/>
  </numFmts>
  <fonts count="178">
    <font>
      <sz val="12"/>
      <name val="宋体"/>
      <charset val="134"/>
    </font>
    <font>
      <sz val="10"/>
      <name val="宋体"/>
      <family val="3"/>
      <charset val="134"/>
    </font>
    <font>
      <b/>
      <sz val="12"/>
      <name val="宋体"/>
      <family val="3"/>
      <charset val="134"/>
    </font>
    <font>
      <b/>
      <sz val="14"/>
      <name val="宋体"/>
      <family val="3"/>
      <charset val="134"/>
    </font>
    <font>
      <b/>
      <sz val="10"/>
      <color indexed="8"/>
      <name val="宋体"/>
      <family val="3"/>
      <charset val="134"/>
    </font>
    <font>
      <b/>
      <sz val="10"/>
      <name val="宋体"/>
      <family val="3"/>
      <charset val="134"/>
    </font>
    <font>
      <b/>
      <sz val="10"/>
      <color rgb="FFE92841"/>
      <name val="宋体"/>
      <family val="3"/>
      <charset val="134"/>
    </font>
    <font>
      <sz val="10"/>
      <color indexed="8"/>
      <name val="宋体"/>
      <family val="3"/>
      <charset val="134"/>
    </font>
    <font>
      <sz val="10"/>
      <color indexed="8"/>
      <name val="Arial Narrow"/>
      <family val="2"/>
    </font>
    <font>
      <sz val="10"/>
      <color indexed="12"/>
      <name val="宋体"/>
      <family val="3"/>
      <charset val="134"/>
    </font>
    <font>
      <sz val="10"/>
      <color theme="1"/>
      <name val="宋体"/>
      <family val="3"/>
      <charset val="134"/>
    </font>
    <font>
      <sz val="10"/>
      <color rgb="FFFF0000"/>
      <name val="宋体"/>
      <family val="3"/>
      <charset val="134"/>
    </font>
    <font>
      <sz val="10"/>
      <name val="Arial Narrow"/>
      <family val="2"/>
    </font>
    <font>
      <b/>
      <sz val="10"/>
      <name val="Arial Narrow"/>
      <family val="2"/>
    </font>
    <font>
      <i/>
      <sz val="10"/>
      <color indexed="12"/>
      <name val="宋体"/>
      <family val="3"/>
      <charset val="134"/>
    </font>
    <font>
      <sz val="10"/>
      <color rgb="FF0070C0"/>
      <name val="宋体"/>
      <family val="3"/>
      <charset val="134"/>
    </font>
    <font>
      <sz val="10"/>
      <color rgb="FF0000FF"/>
      <name val="宋体"/>
      <family val="3"/>
      <charset val="134"/>
    </font>
    <font>
      <b/>
      <sz val="10"/>
      <name val="宋体"/>
      <family val="3"/>
      <charset val="134"/>
      <scheme val="major"/>
    </font>
    <font>
      <sz val="10"/>
      <name val="仿宋_GB2312"/>
      <family val="3"/>
      <charset val="134"/>
    </font>
    <font>
      <b/>
      <sz val="12"/>
      <name val="Arial Narrow"/>
      <family val="2"/>
    </font>
    <font>
      <b/>
      <sz val="12"/>
      <name val="宋体"/>
      <family val="3"/>
      <charset val="134"/>
      <scheme val="major"/>
    </font>
    <font>
      <b/>
      <u/>
      <sz val="10"/>
      <color indexed="12"/>
      <name val="宋体"/>
      <family val="3"/>
      <charset val="134"/>
      <scheme val="major"/>
    </font>
    <font>
      <sz val="12"/>
      <name val="仿宋_GB2312"/>
      <family val="3"/>
      <charset val="134"/>
    </font>
    <font>
      <b/>
      <sz val="10.5"/>
      <name val="仿宋_GB2312"/>
      <family val="3"/>
      <charset val="134"/>
    </font>
    <font>
      <sz val="10.5"/>
      <name val="仿宋_GB2312"/>
      <family val="3"/>
      <charset val="134"/>
    </font>
    <font>
      <sz val="12"/>
      <color rgb="FF0000FF"/>
      <name val="仿宋_GB2312"/>
      <family val="3"/>
      <charset val="134"/>
    </font>
    <font>
      <b/>
      <sz val="10.5"/>
      <color rgb="FF000000"/>
      <name val="仿宋_GB2312"/>
      <family val="3"/>
      <charset val="134"/>
    </font>
    <font>
      <sz val="10.5"/>
      <color rgb="FFFF0000"/>
      <name val="仿宋_GB2312"/>
      <family val="3"/>
      <charset val="134"/>
    </font>
    <font>
      <b/>
      <sz val="12"/>
      <color rgb="FF000000"/>
      <name val="仿宋_GB2312"/>
      <family val="3"/>
      <charset val="134"/>
    </font>
    <font>
      <b/>
      <sz val="12"/>
      <color rgb="FFFF0000"/>
      <name val="仿宋_GB2312"/>
      <family val="3"/>
      <charset val="134"/>
    </font>
    <font>
      <b/>
      <sz val="11"/>
      <color rgb="FFFF0000"/>
      <name val="宋体"/>
      <family val="3"/>
      <charset val="134"/>
    </font>
    <font>
      <b/>
      <sz val="12"/>
      <color theme="1"/>
      <name val="仿宋_GB2312"/>
      <family val="3"/>
      <charset val="134"/>
    </font>
    <font>
      <sz val="12"/>
      <name val="Arial Narrow"/>
      <family val="2"/>
    </font>
    <font>
      <b/>
      <sz val="12"/>
      <name val="仿宋_GB2312"/>
      <family val="3"/>
      <charset val="134"/>
    </font>
    <font>
      <b/>
      <sz val="12"/>
      <color rgb="FF0000FF"/>
      <name val="仿宋_GB2312"/>
      <family val="3"/>
      <charset val="134"/>
    </font>
    <font>
      <b/>
      <sz val="10.5"/>
      <color rgb="FF0000FF"/>
      <name val="仿宋_GB2312"/>
      <family val="3"/>
      <charset val="134"/>
    </font>
    <font>
      <b/>
      <sz val="12"/>
      <name val="宋体"/>
      <family val="3"/>
      <charset val="134"/>
      <scheme val="minor"/>
    </font>
    <font>
      <sz val="12"/>
      <name val="Times New Roman"/>
      <family val="1"/>
    </font>
    <font>
      <sz val="12"/>
      <name val="宋体"/>
      <family val="3"/>
      <charset val="134"/>
      <scheme val="minor"/>
    </font>
    <font>
      <u/>
      <sz val="12"/>
      <color indexed="12"/>
      <name val="Arial Narrow"/>
      <family val="2"/>
    </font>
    <font>
      <u/>
      <sz val="10"/>
      <color indexed="12"/>
      <name val="宋体"/>
      <family val="3"/>
      <charset val="134"/>
    </font>
    <font>
      <sz val="12"/>
      <color rgb="FF0000FF"/>
      <name val="Arial Narrow"/>
      <family val="2"/>
    </font>
    <font>
      <sz val="12"/>
      <color rgb="FFFF0000"/>
      <name val="仿宋_GB2312"/>
      <family val="3"/>
      <charset val="134"/>
    </font>
    <font>
      <sz val="12"/>
      <color rgb="FFFF0000"/>
      <name val="Arial Narrow"/>
      <family val="2"/>
    </font>
    <font>
      <sz val="12"/>
      <color rgb="FF0000FF"/>
      <name val="微软雅黑"/>
      <family val="2"/>
      <charset val="134"/>
    </font>
    <font>
      <b/>
      <sz val="12"/>
      <color rgb="FF0000FF"/>
      <name val="微软雅黑"/>
      <family val="2"/>
      <charset val="134"/>
    </font>
    <font>
      <b/>
      <sz val="12"/>
      <color rgb="FF0000FF"/>
      <name val="Arial Narrow"/>
      <family val="2"/>
    </font>
    <font>
      <sz val="12"/>
      <name val="微软雅黑"/>
      <family val="2"/>
      <charset val="134"/>
    </font>
    <font>
      <b/>
      <sz val="12"/>
      <color theme="1"/>
      <name val="宋体"/>
      <family val="3"/>
      <charset val="134"/>
    </font>
    <font>
      <b/>
      <sz val="10"/>
      <color indexed="8"/>
      <name val="Arial Narrow"/>
      <family val="2"/>
    </font>
    <font>
      <i/>
      <u/>
      <sz val="10"/>
      <color indexed="12"/>
      <name val="宋体"/>
      <family val="3"/>
      <charset val="134"/>
    </font>
    <font>
      <b/>
      <sz val="10"/>
      <color indexed="12"/>
      <name val="宋体"/>
      <family val="3"/>
      <charset val="134"/>
    </font>
    <font>
      <sz val="10"/>
      <color rgb="FF0000FF"/>
      <name val="Arial Narrow"/>
      <family val="2"/>
    </font>
    <font>
      <sz val="10"/>
      <name val="Arial"/>
      <family val="2"/>
    </font>
    <font>
      <b/>
      <sz val="10"/>
      <name val="Arial"/>
      <family val="2"/>
    </font>
    <font>
      <b/>
      <sz val="12"/>
      <name val="Arial"/>
      <family val="2"/>
    </font>
    <font>
      <b/>
      <sz val="10"/>
      <color theme="1"/>
      <name val="Arial"/>
      <family val="2"/>
    </font>
    <font>
      <sz val="10"/>
      <color indexed="10"/>
      <name val="Arial"/>
      <family val="2"/>
    </font>
    <font>
      <sz val="10"/>
      <color theme="1"/>
      <name val="Arial Narrow"/>
      <family val="2"/>
    </font>
    <font>
      <b/>
      <sz val="10"/>
      <color theme="1"/>
      <name val="Arial Narrow"/>
      <family val="2"/>
    </font>
    <font>
      <sz val="10"/>
      <color rgb="FFFF0000"/>
      <name val="Arial"/>
      <family val="2"/>
    </font>
    <font>
      <b/>
      <i/>
      <sz val="10"/>
      <name val="宋体"/>
      <family val="3"/>
      <charset val="134"/>
    </font>
    <font>
      <b/>
      <sz val="10"/>
      <name val="Arial Unicode MS"/>
      <family val="2"/>
    </font>
    <font>
      <b/>
      <sz val="10"/>
      <color rgb="FF0070C0"/>
      <name val="Arial Narrow"/>
      <family val="2"/>
    </font>
    <font>
      <b/>
      <sz val="12"/>
      <color rgb="FF0000FF"/>
      <name val="宋体"/>
      <family val="3"/>
      <charset val="134"/>
    </font>
    <font>
      <sz val="10"/>
      <name val="宋体"/>
      <family val="3"/>
      <charset val="134"/>
      <scheme val="minor"/>
    </font>
    <font>
      <b/>
      <sz val="10"/>
      <name val="宋体"/>
      <family val="3"/>
      <charset val="134"/>
      <scheme val="minor"/>
    </font>
    <font>
      <b/>
      <sz val="14"/>
      <name val="宋体"/>
      <family val="3"/>
      <charset val="134"/>
      <scheme val="minor"/>
    </font>
    <font>
      <b/>
      <sz val="10"/>
      <color theme="1"/>
      <name val="宋体"/>
      <family val="3"/>
      <charset val="134"/>
    </font>
    <font>
      <sz val="10"/>
      <color rgb="FF0000FF"/>
      <name val="宋体"/>
      <family val="3"/>
      <charset val="134"/>
      <scheme val="minor"/>
    </font>
    <font>
      <sz val="11"/>
      <color theme="1"/>
      <name val="宋体"/>
      <family val="3"/>
      <charset val="134"/>
      <scheme val="minor"/>
    </font>
    <font>
      <u/>
      <sz val="12"/>
      <color indexed="12"/>
      <name val="宋体"/>
      <family val="3"/>
      <charset val="134"/>
    </font>
    <font>
      <sz val="11"/>
      <name val="ＭＳ Ｐゴシック"/>
      <family val="2"/>
    </font>
    <font>
      <sz val="12"/>
      <name val="???"/>
      <family val="1"/>
    </font>
    <font>
      <sz val="10"/>
      <name val="Times New Roman"/>
      <family val="1"/>
    </font>
    <font>
      <sz val="10"/>
      <color indexed="8"/>
      <name val="Arial"/>
      <family val="2"/>
    </font>
    <font>
      <sz val="10"/>
      <name val="Helv"/>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sz val="10"/>
      <color theme="1"/>
      <name val="宋体"/>
      <family val="3"/>
      <charset val="134"/>
      <scheme val="minor"/>
    </font>
    <font>
      <sz val="10"/>
      <color indexed="8"/>
      <name val="Tahoma"/>
      <family val="2"/>
    </font>
    <font>
      <u/>
      <sz val="9"/>
      <color indexed="12"/>
      <name val="Times New Roman"/>
      <family val="1"/>
    </font>
    <font>
      <u/>
      <sz val="11"/>
      <color theme="10"/>
      <name val="宋体"/>
      <family val="3"/>
      <charset val="134"/>
      <scheme val="minor"/>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family val="2"/>
    </font>
    <font>
      <sz val="10"/>
      <name val="奔覆眉"/>
      <family val="2"/>
    </font>
    <font>
      <b/>
      <sz val="12"/>
      <color indexed="8"/>
      <name val="宋体"/>
      <family val="3"/>
      <charset val="134"/>
    </font>
    <font>
      <sz val="12"/>
      <name val="柧挬"/>
      <family val="2"/>
    </font>
    <font>
      <sz val="12"/>
      <name val="바탕체"/>
      <family val="3"/>
    </font>
    <font>
      <sz val="10"/>
      <color rgb="FFFF0000"/>
      <name val="宋体"/>
      <family val="3"/>
      <charset val="134"/>
      <scheme val="minor"/>
    </font>
    <font>
      <b/>
      <sz val="10"/>
      <name val="微软雅黑"/>
      <family val="2"/>
      <charset val="134"/>
    </font>
    <font>
      <sz val="10"/>
      <color indexed="10"/>
      <name val="宋体"/>
      <family val="3"/>
      <charset val="134"/>
    </font>
    <font>
      <sz val="10"/>
      <color rgb="FFFF0000"/>
      <name val="Arial Narrow"/>
      <family val="2"/>
    </font>
    <font>
      <sz val="12"/>
      <name val="宋体"/>
      <family val="3"/>
      <charset val="134"/>
    </font>
    <font>
      <sz val="9"/>
      <name val="宋体"/>
      <family val="3"/>
      <charset val="134"/>
    </font>
    <font>
      <sz val="9"/>
      <name val="宋体"/>
      <family val="2"/>
      <charset val="134"/>
      <scheme val="minor"/>
    </font>
    <font>
      <u/>
      <sz val="10"/>
      <color rgb="FF0000FF"/>
      <name val="宋体"/>
      <family val="3"/>
      <charset val="134"/>
    </font>
    <font>
      <b/>
      <sz val="9"/>
      <color indexed="81"/>
      <name val="宋体"/>
      <family val="3"/>
      <charset val="134"/>
    </font>
    <font>
      <sz val="9"/>
      <color indexed="81"/>
      <name val="宋体"/>
      <family val="3"/>
      <charset val="134"/>
    </font>
    <font>
      <sz val="10"/>
      <color indexed="12"/>
      <name val="Arial Narrow"/>
      <family val="2"/>
    </font>
  </fonts>
  <fills count="61">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theme="0" tint="-0.14996795556505021"/>
        <bgColor indexed="64"/>
      </patternFill>
    </fill>
    <fill>
      <patternFill patternType="solid">
        <fgColor rgb="FFFBD4D9"/>
        <bgColor indexed="64"/>
      </patternFill>
    </fill>
    <fill>
      <patternFill patternType="solid">
        <fgColor theme="8" tint="0.79995117038483843"/>
        <bgColor indexed="64"/>
      </patternFill>
    </fill>
    <fill>
      <patternFill patternType="solid">
        <fgColor rgb="FFFFFF00"/>
        <bgColor indexed="64"/>
      </patternFill>
    </fill>
    <fill>
      <patternFill patternType="solid">
        <fgColor indexed="9"/>
        <bgColor indexed="64"/>
      </patternFill>
    </fill>
    <fill>
      <patternFill patternType="solid">
        <fgColor theme="4" tint="0.39994506668294322"/>
        <bgColor indexed="64"/>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36">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style="medium">
        <color rgb="FF000000"/>
      </top>
      <bottom style="medium">
        <color rgb="FF000000"/>
      </bottom>
      <diagonal/>
    </border>
    <border>
      <left/>
      <right/>
      <top style="medium">
        <color auto="1"/>
      </top>
      <bottom style="medium">
        <color rgb="FF000000"/>
      </bottom>
      <diagonal/>
    </border>
    <border>
      <left/>
      <right/>
      <top/>
      <bottom style="medium">
        <color rgb="FF000000"/>
      </bottom>
      <diagonal/>
    </border>
    <border>
      <left style="hair">
        <color indexed="8"/>
      </left>
      <right style="hair">
        <color indexed="8"/>
      </right>
      <top style="hair">
        <color indexed="8"/>
      </top>
      <bottom style="hair">
        <color indexed="8"/>
      </bottom>
      <diagonal/>
    </border>
    <border>
      <left style="hair">
        <color auto="1"/>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1105">
    <xf numFmtId="176" fontId="0" fillId="0" borderId="0">
      <protection locked="0"/>
    </xf>
    <xf numFmtId="43" fontId="171" fillId="0" borderId="0" applyFont="0" applyFill="0" applyBorder="0" applyAlignment="0" applyProtection="0"/>
    <xf numFmtId="9" fontId="171" fillId="0" borderId="0" applyFont="0" applyFill="0" applyBorder="0" applyAlignment="0" applyProtection="0"/>
    <xf numFmtId="176" fontId="71" fillId="0" borderId="0" applyNumberFormat="0" applyFill="0" applyBorder="0" applyAlignment="0" applyProtection="0">
      <alignment vertical="top"/>
      <protection locked="0"/>
    </xf>
    <xf numFmtId="176" fontId="53" fillId="0" borderId="0"/>
    <xf numFmtId="176" fontId="53" fillId="0" borderId="0"/>
    <xf numFmtId="176" fontId="171" fillId="0" borderId="0" applyNumberFormat="0" applyFill="0" applyBorder="0" applyAlignment="0" applyProtection="0"/>
    <xf numFmtId="176" fontId="171" fillId="0" borderId="0" applyNumberFormat="0" applyFill="0" applyBorder="0" applyAlignment="0" applyProtection="0"/>
    <xf numFmtId="176" fontId="53" fillId="0" borderId="0"/>
    <xf numFmtId="176" fontId="53" fillId="0" borderId="0"/>
    <xf numFmtId="176" fontId="53" fillId="0" borderId="0"/>
    <xf numFmtId="176" fontId="53" fillId="0" borderId="0"/>
    <xf numFmtId="176" fontId="53" fillId="0" borderId="0">
      <alignment vertical="center"/>
    </xf>
    <xf numFmtId="176" fontId="72" fillId="0" borderId="0" applyFont="0" applyFill="0" applyBorder="0" applyAlignment="0" applyProtection="0"/>
    <xf numFmtId="176" fontId="72" fillId="0" borderId="0" applyFont="0" applyFill="0" applyBorder="0" applyAlignment="0" applyProtection="0"/>
    <xf numFmtId="176" fontId="72" fillId="0" borderId="0" applyFont="0" applyFill="0" applyBorder="0" applyAlignment="0" applyProtection="0"/>
    <xf numFmtId="176" fontId="73" fillId="0" borderId="0"/>
    <xf numFmtId="176" fontId="53" fillId="0" borderId="0"/>
    <xf numFmtId="176" fontId="53" fillId="0" borderId="0"/>
    <xf numFmtId="176" fontId="53" fillId="0" borderId="0"/>
    <xf numFmtId="176" fontId="53" fillId="0" borderId="0">
      <alignment vertical="center"/>
    </xf>
    <xf numFmtId="176" fontId="53" fillId="0" borderId="0"/>
    <xf numFmtId="176" fontId="53" fillId="0" borderId="0"/>
    <xf numFmtId="176" fontId="53" fillId="0" borderId="0"/>
    <xf numFmtId="176" fontId="53" fillId="0" borderId="0">
      <alignment vertical="center"/>
    </xf>
    <xf numFmtId="176" fontId="53" fillId="0" borderId="0"/>
    <xf numFmtId="176" fontId="53" fillId="0" borderId="0"/>
    <xf numFmtId="176" fontId="53" fillId="0" borderId="0"/>
    <xf numFmtId="176" fontId="53" fillId="0" borderId="0">
      <alignment vertical="center"/>
    </xf>
    <xf numFmtId="49" fontId="74" fillId="0" borderId="0" applyProtection="0">
      <alignment horizontal="left"/>
    </xf>
    <xf numFmtId="49" fontId="74" fillId="0" borderId="0" applyProtection="0">
      <alignment horizontal="left"/>
    </xf>
    <xf numFmtId="176" fontId="75" fillId="0" borderId="0">
      <alignment vertical="top"/>
      <protection locked="0"/>
    </xf>
    <xf numFmtId="176" fontId="75" fillId="0" borderId="0">
      <alignment vertical="top"/>
    </xf>
    <xf numFmtId="176" fontId="75" fillId="0" borderId="0">
      <alignment vertical="top"/>
    </xf>
    <xf numFmtId="176" fontId="53" fillId="0" borderId="0" applyNumberFormat="0" applyFill="0" applyBorder="0" applyAlignment="0">
      <protection locked="0"/>
    </xf>
    <xf numFmtId="176" fontId="53" fillId="0" borderId="0" applyNumberFormat="0" applyFill="0" applyBorder="0" applyAlignment="0">
      <protection locked="0"/>
    </xf>
    <xf numFmtId="176" fontId="75" fillId="0" borderId="0">
      <alignment vertical="top"/>
      <protection locked="0"/>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53" fillId="0" borderId="0" applyNumberFormat="0" applyFill="0" applyBorder="0" applyAlignment="0">
      <protection locked="0"/>
    </xf>
    <xf numFmtId="176" fontId="76" fillId="0" borderId="0"/>
    <xf numFmtId="176" fontId="76" fillId="0" borderId="0"/>
    <xf numFmtId="176" fontId="76" fillId="0" borderId="0"/>
    <xf numFmtId="176" fontId="76" fillId="0" borderId="0"/>
    <xf numFmtId="176" fontId="76" fillId="0" borderId="0"/>
    <xf numFmtId="176" fontId="76" fillId="0" borderId="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6" fillId="0" borderId="0"/>
    <xf numFmtId="176" fontId="76" fillId="0" borderId="0"/>
    <xf numFmtId="176" fontId="76" fillId="0" borderId="0"/>
    <xf numFmtId="176" fontId="76" fillId="0" borderId="0"/>
    <xf numFmtId="176" fontId="76" fillId="0" borderId="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6" fillId="0" borderId="0"/>
    <xf numFmtId="176" fontId="76" fillId="0" borderId="0"/>
    <xf numFmtId="176" fontId="76" fillId="0" borderId="0"/>
    <xf numFmtId="176" fontId="76" fillId="0" borderId="0"/>
    <xf numFmtId="176" fontId="76" fillId="0" borderId="0"/>
    <xf numFmtId="176" fontId="75" fillId="0" borderId="0">
      <alignment vertical="top"/>
    </xf>
    <xf numFmtId="176" fontId="53" fillId="0" borderId="0" applyNumberFormat="0" applyFill="0" applyBorder="0" applyAlignment="0" applyProtection="0"/>
    <xf numFmtId="176" fontId="53" fillId="0" borderId="0" applyNumberFormat="0" applyFill="0" applyBorder="0" applyAlignment="0" applyProtection="0"/>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xf>
    <xf numFmtId="176" fontId="75" fillId="0" borderId="0">
      <alignment vertical="top"/>
    </xf>
    <xf numFmtId="176" fontId="37" fillId="0" borderId="0"/>
    <xf numFmtId="176" fontId="37" fillId="0" borderId="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6" fillId="0" borderId="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6" fillId="0" borderId="0"/>
    <xf numFmtId="176" fontId="76" fillId="0" borderId="0"/>
    <xf numFmtId="176" fontId="76" fillId="0" borderId="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6" fillId="0" borderId="0"/>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6" fillId="0" borderId="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xf>
    <xf numFmtId="176" fontId="75" fillId="0" borderId="0">
      <alignment vertical="top"/>
      <protection locked="0"/>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6" fillId="0" borderId="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5" fillId="0" borderId="0">
      <alignment vertical="top"/>
      <protection locked="0"/>
    </xf>
    <xf numFmtId="176" fontId="76" fillId="0" borderId="0"/>
    <xf numFmtId="177" fontId="74" fillId="0" borderId="0" applyFill="0" applyBorder="0" applyProtection="0">
      <alignment horizontal="right"/>
    </xf>
    <xf numFmtId="178" fontId="74" fillId="0" borderId="0" applyFill="0" applyBorder="0" applyProtection="0">
      <alignment horizontal="right"/>
    </xf>
    <xf numFmtId="179" fontId="77" fillId="0" borderId="0" applyFill="0" applyBorder="0" applyProtection="0">
      <alignment horizontal="center"/>
    </xf>
    <xf numFmtId="180" fontId="77" fillId="0" borderId="0" applyFill="0" applyBorder="0" applyProtection="0">
      <alignment horizontal="center"/>
    </xf>
    <xf numFmtId="181" fontId="78" fillId="0" borderId="0" applyFill="0" applyBorder="0" applyProtection="0">
      <alignment horizontal="right"/>
    </xf>
    <xf numFmtId="182" fontId="74" fillId="0" borderId="0" applyFill="0" applyBorder="0" applyProtection="0">
      <alignment horizontal="right"/>
    </xf>
    <xf numFmtId="183" fontId="74" fillId="0" borderId="0" applyFill="0" applyBorder="0" applyProtection="0">
      <alignment horizontal="right"/>
    </xf>
    <xf numFmtId="184" fontId="74" fillId="0" borderId="0" applyFill="0" applyBorder="0" applyProtection="0">
      <alignment horizontal="right"/>
    </xf>
    <xf numFmtId="185" fontId="74" fillId="0" borderId="0" applyFill="0" applyBorder="0" applyProtection="0">
      <alignment horizontal="right"/>
    </xf>
    <xf numFmtId="186" fontId="79" fillId="0" borderId="0" applyFont="0" applyFill="0" applyBorder="0" applyAlignment="0" applyProtection="0"/>
    <xf numFmtId="186" fontId="171" fillId="0" borderId="0" applyFont="0" applyFill="0" applyBorder="0" applyAlignment="0" applyProtection="0">
      <alignment vertical="center"/>
    </xf>
    <xf numFmtId="176" fontId="37" fillId="0" borderId="0"/>
    <xf numFmtId="176" fontId="75" fillId="0" borderId="0">
      <alignment vertical="top"/>
      <protection locked="0"/>
    </xf>
    <xf numFmtId="187" fontId="79" fillId="0" borderId="0" applyFont="0" applyFill="0" applyBorder="0" applyAlignment="0" applyProtection="0"/>
    <xf numFmtId="187" fontId="171" fillId="0" borderId="0" applyFont="0" applyFill="0" applyBorder="0" applyAlignment="0" applyProtection="0">
      <alignment vertical="center"/>
    </xf>
    <xf numFmtId="10" fontId="79" fillId="0" borderId="0" applyFont="0" applyFill="0" applyBorder="0" applyAlignment="0" applyProtection="0"/>
    <xf numFmtId="10" fontId="171" fillId="0" borderId="0" applyFont="0" applyFill="0" applyBorder="0" applyAlignment="0" applyProtection="0">
      <alignment vertical="center"/>
    </xf>
    <xf numFmtId="188" fontId="171" fillId="0" borderId="0" applyFont="0" applyFill="0" applyBorder="0" applyAlignment="0" applyProtection="0"/>
    <xf numFmtId="188" fontId="171" fillId="0" borderId="0" applyFont="0" applyFill="0" applyBorder="0" applyAlignment="0" applyProtection="0"/>
    <xf numFmtId="176" fontId="80" fillId="13" borderId="0" applyNumberFormat="0" applyBorder="0" applyAlignment="0" applyProtection="0"/>
    <xf numFmtId="176" fontId="80" fillId="13" borderId="0" applyNumberFormat="0" applyBorder="0" applyAlignment="0" applyProtection="0"/>
    <xf numFmtId="176" fontId="80" fillId="14" borderId="0" applyNumberFormat="0" applyBorder="0" applyAlignment="0" applyProtection="0"/>
    <xf numFmtId="176" fontId="80" fillId="14" borderId="0" applyNumberFormat="0" applyBorder="0" applyAlignment="0" applyProtection="0"/>
    <xf numFmtId="176" fontId="80" fillId="15" borderId="0" applyNumberFormat="0" applyBorder="0" applyAlignment="0" applyProtection="0"/>
    <xf numFmtId="176" fontId="80" fillId="15" borderId="0" applyNumberFormat="0" applyBorder="0" applyAlignment="0" applyProtection="0"/>
    <xf numFmtId="176" fontId="80" fillId="16" borderId="0" applyNumberFormat="0" applyBorder="0" applyAlignment="0" applyProtection="0"/>
    <xf numFmtId="176" fontId="80" fillId="16" borderId="0" applyNumberFormat="0" applyBorder="0" applyAlignment="0" applyProtection="0"/>
    <xf numFmtId="176" fontId="80" fillId="17" borderId="0" applyNumberFormat="0" applyBorder="0" applyAlignment="0" applyProtection="0"/>
    <xf numFmtId="176" fontId="80" fillId="17" borderId="0" applyNumberFormat="0" applyBorder="0" applyAlignment="0" applyProtection="0"/>
    <xf numFmtId="176" fontId="80" fillId="18" borderId="0" applyNumberFormat="0" applyBorder="0" applyAlignment="0" applyProtection="0"/>
    <xf numFmtId="176" fontId="80" fillId="18" borderId="0" applyNumberFormat="0" applyBorder="0" applyAlignment="0" applyProtection="0"/>
    <xf numFmtId="176" fontId="80" fillId="19" borderId="0" applyNumberFormat="0" applyBorder="0" applyAlignment="0" applyProtection="0"/>
    <xf numFmtId="176" fontId="80" fillId="19" borderId="0" applyNumberFormat="0" applyBorder="0" applyAlignment="0" applyProtection="0"/>
    <xf numFmtId="176" fontId="80" fillId="20" borderId="0" applyNumberFormat="0" applyBorder="0" applyAlignment="0" applyProtection="0"/>
    <xf numFmtId="176" fontId="80" fillId="20" borderId="0" applyNumberFormat="0" applyBorder="0" applyAlignment="0" applyProtection="0"/>
    <xf numFmtId="176" fontId="80" fillId="21" borderId="0" applyNumberFormat="0" applyBorder="0" applyAlignment="0" applyProtection="0"/>
    <xf numFmtId="176" fontId="80" fillId="21" borderId="0" applyNumberFormat="0" applyBorder="0" applyAlignment="0" applyProtection="0"/>
    <xf numFmtId="176" fontId="80" fillId="16" borderId="0" applyNumberFormat="0" applyBorder="0" applyAlignment="0" applyProtection="0"/>
    <xf numFmtId="176" fontId="80" fillId="19" borderId="0" applyNumberFormat="0" applyBorder="0" applyAlignment="0" applyProtection="0"/>
    <xf numFmtId="176" fontId="80" fillId="22" borderId="0" applyNumberFormat="0" applyBorder="0" applyAlignment="0" applyProtection="0"/>
    <xf numFmtId="176" fontId="80" fillId="22" borderId="0" applyNumberFormat="0" applyBorder="0" applyAlignment="0" applyProtection="0"/>
    <xf numFmtId="176" fontId="81" fillId="23" borderId="0" applyNumberFormat="0" applyBorder="0" applyAlignment="0" applyProtection="0"/>
    <xf numFmtId="176" fontId="81" fillId="23" borderId="0" applyNumberFormat="0" applyBorder="0" applyAlignment="0" applyProtection="0"/>
    <xf numFmtId="176" fontId="81" fillId="20" borderId="0" applyNumberFormat="0" applyBorder="0" applyAlignment="0" applyProtection="0"/>
    <xf numFmtId="176" fontId="81" fillId="20" borderId="0" applyNumberFormat="0" applyBorder="0" applyAlignment="0" applyProtection="0"/>
    <xf numFmtId="176" fontId="81" fillId="21" borderId="0" applyNumberFormat="0" applyBorder="0" applyAlignment="0" applyProtection="0"/>
    <xf numFmtId="176" fontId="81" fillId="21" borderId="0" applyNumberFormat="0" applyBorder="0" applyAlignment="0" applyProtection="0"/>
    <xf numFmtId="176" fontId="81" fillId="24" borderId="0" applyNumberFormat="0" applyBorder="0" applyAlignment="0" applyProtection="0"/>
    <xf numFmtId="176" fontId="81" fillId="24" borderId="0" applyNumberFormat="0" applyBorder="0" applyAlignment="0" applyProtection="0"/>
    <xf numFmtId="176" fontId="81" fillId="25" borderId="0" applyNumberFormat="0" applyBorder="0" applyAlignment="0" applyProtection="0"/>
    <xf numFmtId="176" fontId="81" fillId="25" borderId="0" applyNumberFormat="0" applyBorder="0" applyAlignment="0" applyProtection="0"/>
    <xf numFmtId="176" fontId="81" fillId="26" borderId="0" applyNumberFormat="0" applyBorder="0" applyAlignment="0" applyProtection="0"/>
    <xf numFmtId="176" fontId="81" fillId="26" borderId="0" applyNumberFormat="0" applyBorder="0" applyAlignment="0" applyProtection="0"/>
    <xf numFmtId="176" fontId="82" fillId="0" borderId="17">
      <alignment horizontal="center"/>
    </xf>
    <xf numFmtId="176" fontId="82" fillId="0" borderId="17">
      <alignment horizontal="center"/>
    </xf>
    <xf numFmtId="176" fontId="82" fillId="0" borderId="17">
      <alignment horizontal="center"/>
    </xf>
    <xf numFmtId="176" fontId="83" fillId="0" borderId="0"/>
    <xf numFmtId="176" fontId="83" fillId="0" borderId="0"/>
    <xf numFmtId="176" fontId="83" fillId="0" borderId="11" applyFill="0">
      <alignment horizontal="center"/>
      <protection locked="0"/>
    </xf>
    <xf numFmtId="176" fontId="83" fillId="0" borderId="11" applyFill="0">
      <alignment horizontal="center"/>
      <protection locked="0"/>
    </xf>
    <xf numFmtId="176" fontId="82" fillId="0" borderId="0" applyFill="0">
      <alignment horizontal="center"/>
      <protection locked="0"/>
    </xf>
    <xf numFmtId="176" fontId="82" fillId="0" borderId="0" applyFill="0">
      <alignment horizontal="center"/>
      <protection locked="0"/>
    </xf>
    <xf numFmtId="176" fontId="82" fillId="27" borderId="0"/>
    <xf numFmtId="176" fontId="82" fillId="27" borderId="0"/>
    <xf numFmtId="176" fontId="82" fillId="0" borderId="0">
      <protection locked="0"/>
    </xf>
    <xf numFmtId="176" fontId="82" fillId="0" borderId="0">
      <protection locked="0"/>
    </xf>
    <xf numFmtId="176" fontId="82" fillId="0" borderId="0"/>
    <xf numFmtId="176" fontId="82" fillId="0" borderId="0"/>
    <xf numFmtId="189" fontId="82" fillId="0" borderId="0"/>
    <xf numFmtId="190" fontId="82" fillId="0" borderId="0"/>
    <xf numFmtId="176" fontId="83" fillId="28" borderId="0">
      <alignment horizontal="right"/>
    </xf>
    <xf numFmtId="176" fontId="83" fillId="28" borderId="0">
      <alignment horizontal="right"/>
    </xf>
    <xf numFmtId="176" fontId="82" fillId="0" borderId="0"/>
    <xf numFmtId="176" fontId="81" fillId="29" borderId="0" applyNumberFormat="0" applyBorder="0" applyAlignment="0" applyProtection="0"/>
    <xf numFmtId="176" fontId="84" fillId="30" borderId="0" applyNumberFormat="0" applyBorder="0" applyAlignment="0" applyProtection="0"/>
    <xf numFmtId="176" fontId="84" fillId="30" borderId="0" applyNumberFormat="0" applyBorder="0" applyAlignment="0" applyProtection="0"/>
    <xf numFmtId="176" fontId="84" fillId="30" borderId="0" applyNumberFormat="0" applyBorder="0" applyAlignment="0" applyProtection="0"/>
    <xf numFmtId="176" fontId="85" fillId="31" borderId="0" applyNumberFormat="0" applyBorder="0" applyAlignment="0" applyProtection="0"/>
    <xf numFmtId="176" fontId="85" fillId="31" borderId="0" applyNumberFormat="0" applyBorder="0" applyAlignment="0" applyProtection="0"/>
    <xf numFmtId="176" fontId="81" fillId="29" borderId="0" applyNumberFormat="0" applyBorder="0" applyAlignment="0" applyProtection="0"/>
    <xf numFmtId="176" fontId="81" fillId="32" borderId="0" applyNumberFormat="0" applyBorder="0" applyAlignment="0" applyProtection="0"/>
    <xf numFmtId="176" fontId="84" fillId="33" borderId="0" applyNumberFormat="0" applyBorder="0" applyAlignment="0" applyProtection="0"/>
    <xf numFmtId="176" fontId="84" fillId="33" borderId="0" applyNumberFormat="0" applyBorder="0" applyAlignment="0" applyProtection="0"/>
    <xf numFmtId="176" fontId="84" fillId="34" borderId="0" applyNumberFormat="0" applyBorder="0" applyAlignment="0" applyProtection="0"/>
    <xf numFmtId="176" fontId="84" fillId="34" borderId="0" applyNumberFormat="0" applyBorder="0" applyAlignment="0" applyProtection="0"/>
    <xf numFmtId="176" fontId="85" fillId="35" borderId="0" applyNumberFormat="0" applyBorder="0" applyAlignment="0" applyProtection="0"/>
    <xf numFmtId="176" fontId="85" fillId="35" borderId="0" applyNumberFormat="0" applyBorder="0" applyAlignment="0" applyProtection="0"/>
    <xf numFmtId="176" fontId="81" fillId="32" borderId="0" applyNumberFormat="0" applyBorder="0" applyAlignment="0" applyProtection="0"/>
    <xf numFmtId="176" fontId="81" fillId="36" borderId="0" applyNumberFormat="0" applyBorder="0" applyAlignment="0" applyProtection="0"/>
    <xf numFmtId="176" fontId="84" fillId="33" borderId="0" applyNumberFormat="0" applyBorder="0" applyAlignment="0" applyProtection="0"/>
    <xf numFmtId="176" fontId="84" fillId="37" borderId="0" applyNumberFormat="0" applyBorder="0" applyAlignment="0" applyProtection="0"/>
    <xf numFmtId="176" fontId="84" fillId="37" borderId="0" applyNumberFormat="0" applyBorder="0" applyAlignment="0" applyProtection="0"/>
    <xf numFmtId="176" fontId="85" fillId="34" borderId="0" applyNumberFormat="0" applyBorder="0" applyAlignment="0" applyProtection="0"/>
    <xf numFmtId="176" fontId="85" fillId="34" borderId="0" applyNumberFormat="0" applyBorder="0" applyAlignment="0" applyProtection="0"/>
    <xf numFmtId="176" fontId="81" fillId="36" borderId="0" applyNumberFormat="0" applyBorder="0" applyAlignment="0" applyProtection="0"/>
    <xf numFmtId="176" fontId="81" fillId="24" borderId="0" applyNumberFormat="0" applyBorder="0" applyAlignment="0" applyProtection="0"/>
    <xf numFmtId="176" fontId="84" fillId="30" borderId="0" applyNumberFormat="0" applyBorder="0" applyAlignment="0" applyProtection="0"/>
    <xf numFmtId="176" fontId="84" fillId="34" borderId="0" applyNumberFormat="0" applyBorder="0" applyAlignment="0" applyProtection="0"/>
    <xf numFmtId="176" fontId="85" fillId="34" borderId="0" applyNumberFormat="0" applyBorder="0" applyAlignment="0" applyProtection="0"/>
    <xf numFmtId="176" fontId="81" fillId="25" borderId="0" applyNumberFormat="0" applyBorder="0" applyAlignment="0" applyProtection="0"/>
    <xf numFmtId="176" fontId="84" fillId="38" borderId="0" applyNumberFormat="0" applyBorder="0" applyAlignment="0" applyProtection="0"/>
    <xf numFmtId="176" fontId="84" fillId="38" borderId="0" applyNumberFormat="0" applyBorder="0" applyAlignment="0" applyProtection="0"/>
    <xf numFmtId="176" fontId="84" fillId="30" borderId="0" applyNumberFormat="0" applyBorder="0" applyAlignment="0" applyProtection="0"/>
    <xf numFmtId="176" fontId="85" fillId="31" borderId="0" applyNumberFormat="0" applyBorder="0" applyAlignment="0" applyProtection="0"/>
    <xf numFmtId="176" fontId="81" fillId="39" borderId="0" applyNumberFormat="0" applyBorder="0" applyAlignment="0" applyProtection="0"/>
    <xf numFmtId="176" fontId="84" fillId="33" borderId="0" applyNumberFormat="0" applyBorder="0" applyAlignment="0" applyProtection="0"/>
    <xf numFmtId="176" fontId="84" fillId="40" borderId="0" applyNumberFormat="0" applyBorder="0" applyAlignment="0" applyProtection="0"/>
    <xf numFmtId="176" fontId="84" fillId="40" borderId="0" applyNumberFormat="0" applyBorder="0" applyAlignment="0" applyProtection="0"/>
    <xf numFmtId="176" fontId="85" fillId="40" borderId="0" applyNumberFormat="0" applyBorder="0" applyAlignment="0" applyProtection="0"/>
    <xf numFmtId="176" fontId="85" fillId="40" borderId="0" applyNumberFormat="0" applyBorder="0" applyAlignment="0" applyProtection="0"/>
    <xf numFmtId="176" fontId="81" fillId="39" borderId="0" applyNumberFormat="0" applyBorder="0" applyAlignment="0" applyProtection="0"/>
    <xf numFmtId="176" fontId="86" fillId="0" borderId="0">
      <alignment horizontal="center" wrapText="1"/>
      <protection locked="0"/>
    </xf>
    <xf numFmtId="176" fontId="86" fillId="0" borderId="0">
      <alignment horizontal="center" wrapText="1"/>
      <protection locked="0"/>
    </xf>
    <xf numFmtId="176" fontId="87" fillId="14" borderId="0" applyNumberFormat="0" applyBorder="0" applyAlignment="0" applyProtection="0"/>
    <xf numFmtId="176" fontId="87" fillId="14" borderId="0" applyNumberFormat="0" applyBorder="0" applyAlignment="0" applyProtection="0"/>
    <xf numFmtId="3" fontId="88" fillId="0" borderId="0"/>
    <xf numFmtId="191" fontId="89" fillId="0" borderId="18" applyAlignment="0" applyProtection="0"/>
    <xf numFmtId="191" fontId="89" fillId="0" borderId="18" applyAlignment="0" applyProtection="0"/>
    <xf numFmtId="191" fontId="89" fillId="0" borderId="18" applyAlignment="0" applyProtection="0"/>
    <xf numFmtId="192" fontId="75" fillId="0" borderId="0" applyFill="0" applyBorder="0" applyAlignment="0"/>
    <xf numFmtId="192" fontId="75" fillId="0" borderId="0" applyFill="0" applyBorder="0" applyAlignment="0">
      <alignment vertical="center"/>
    </xf>
    <xf numFmtId="193" fontId="53" fillId="0" borderId="0" applyFill="0" applyBorder="0" applyAlignment="0"/>
    <xf numFmtId="194" fontId="53" fillId="0" borderId="0" applyFill="0" applyBorder="0" applyAlignment="0"/>
    <xf numFmtId="195" fontId="53" fillId="0" borderId="0" applyFill="0" applyBorder="0" applyAlignment="0"/>
    <xf numFmtId="196" fontId="53" fillId="0" borderId="0" applyFill="0" applyBorder="0" applyAlignment="0"/>
    <xf numFmtId="197" fontId="53" fillId="0" borderId="0" applyFill="0" applyBorder="0" applyAlignment="0"/>
    <xf numFmtId="198" fontId="53" fillId="0" borderId="0" applyFill="0" applyBorder="0" applyAlignment="0"/>
    <xf numFmtId="193" fontId="53" fillId="0" borderId="0" applyFill="0" applyBorder="0" applyAlignment="0"/>
    <xf numFmtId="176" fontId="90" fillId="41" borderId="19" applyNumberFormat="0" applyAlignment="0" applyProtection="0"/>
    <xf numFmtId="176" fontId="90" fillId="41" borderId="19" applyNumberFormat="0" applyAlignment="0" applyProtection="0"/>
    <xf numFmtId="176" fontId="90" fillId="41" borderId="19" applyNumberFormat="0" applyAlignment="0" applyProtection="0"/>
    <xf numFmtId="176" fontId="91" fillId="0" borderId="0"/>
    <xf numFmtId="176" fontId="91" fillId="0" borderId="0"/>
    <xf numFmtId="176" fontId="92" fillId="42" borderId="20" applyNumberFormat="0" applyAlignment="0" applyProtection="0"/>
    <xf numFmtId="176" fontId="92" fillId="42" borderId="20" applyNumberFormat="0" applyAlignment="0" applyProtection="0"/>
    <xf numFmtId="176" fontId="93" fillId="0" borderId="21" applyNumberFormat="0" applyFill="0" applyProtection="0">
      <alignment horizontal="center"/>
    </xf>
    <xf numFmtId="176" fontId="93" fillId="0" borderId="21" applyNumberFormat="0" applyFill="0" applyProtection="0">
      <alignment horizontal="center" vertical="center"/>
    </xf>
    <xf numFmtId="176" fontId="93" fillId="0" borderId="21" applyNumberFormat="0" applyFill="0" applyProtection="0">
      <alignment horizontal="center"/>
    </xf>
    <xf numFmtId="176" fontId="94" fillId="0" borderId="22">
      <alignment horizontal="center"/>
    </xf>
    <xf numFmtId="199" fontId="53" fillId="0" borderId="0"/>
    <xf numFmtId="199" fontId="53" fillId="0" borderId="0">
      <alignment vertical="center"/>
    </xf>
    <xf numFmtId="199" fontId="53" fillId="0" borderId="0"/>
    <xf numFmtId="199" fontId="53" fillId="0" borderId="0">
      <alignment vertical="center"/>
    </xf>
    <xf numFmtId="199" fontId="53" fillId="0" borderId="0"/>
    <xf numFmtId="199" fontId="53" fillId="0" borderId="0">
      <alignment vertical="center"/>
    </xf>
    <xf numFmtId="199" fontId="53" fillId="0" borderId="0"/>
    <xf numFmtId="199" fontId="53" fillId="0" borderId="0">
      <alignment vertical="center"/>
    </xf>
    <xf numFmtId="199" fontId="53" fillId="0" borderId="0"/>
    <xf numFmtId="199" fontId="53" fillId="0" borderId="0">
      <alignment vertical="center"/>
    </xf>
    <xf numFmtId="199" fontId="53" fillId="0" borderId="0"/>
    <xf numFmtId="199" fontId="53" fillId="0" borderId="0">
      <alignment vertical="center"/>
    </xf>
    <xf numFmtId="199" fontId="53" fillId="0" borderId="0"/>
    <xf numFmtId="199" fontId="53" fillId="0" borderId="0">
      <alignment vertical="center"/>
    </xf>
    <xf numFmtId="199" fontId="53" fillId="0" borderId="0"/>
    <xf numFmtId="199" fontId="53" fillId="0" borderId="0">
      <alignment vertical="center"/>
    </xf>
    <xf numFmtId="200" fontId="171" fillId="0" borderId="0" applyFont="0" applyFill="0" applyBorder="0" applyAlignment="0" applyProtection="0"/>
    <xf numFmtId="197" fontId="53"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201" fontId="74" fillId="0" borderId="0"/>
    <xf numFmtId="37" fontId="79" fillId="0" borderId="0" applyFont="0" applyFill="0" applyBorder="0" applyAlignment="0" applyProtection="0"/>
    <xf numFmtId="37" fontId="171" fillId="0" borderId="0" applyFont="0" applyFill="0" applyBorder="0" applyAlignment="0" applyProtection="0">
      <alignment vertical="center"/>
    </xf>
    <xf numFmtId="202" fontId="79" fillId="0" borderId="0" applyFont="0" applyFill="0" applyBorder="0" applyAlignment="0" applyProtection="0"/>
    <xf numFmtId="202" fontId="171" fillId="0" borderId="0" applyFont="0" applyFill="0" applyBorder="0" applyAlignment="0" applyProtection="0">
      <alignment vertical="center"/>
    </xf>
    <xf numFmtId="39" fontId="79" fillId="0" borderId="0" applyFont="0" applyFill="0" applyBorder="0" applyAlignment="0" applyProtection="0"/>
    <xf numFmtId="39" fontId="171" fillId="0" borderId="0" applyFont="0" applyFill="0" applyBorder="0" applyAlignment="0" applyProtection="0">
      <alignment vertical="center"/>
    </xf>
    <xf numFmtId="40" fontId="95" fillId="0" borderId="0" applyFont="0" applyFill="0" applyBorder="0" applyAlignment="0" applyProtection="0"/>
    <xf numFmtId="176" fontId="96" fillId="0" borderId="0" applyNumberFormat="0" applyAlignment="0">
      <alignment horizontal="left"/>
    </xf>
    <xf numFmtId="176" fontId="96" fillId="0" borderId="0" applyNumberFormat="0" applyAlignment="0">
      <alignment horizontal="left"/>
    </xf>
    <xf numFmtId="176" fontId="97" fillId="0" borderId="0" applyNumberFormat="0" applyAlignment="0"/>
    <xf numFmtId="176" fontId="97" fillId="0" borderId="0" applyNumberFormat="0" applyAlignment="0"/>
    <xf numFmtId="200" fontId="98" fillId="0" borderId="0" applyFont="0" applyFill="0" applyBorder="0" applyAlignment="0" applyProtection="0"/>
    <xf numFmtId="193" fontId="53" fillId="0" borderId="0" applyFont="0" applyFill="0" applyBorder="0" applyAlignment="0" applyProtection="0"/>
    <xf numFmtId="191" fontId="79" fillId="0" borderId="0" applyFont="0" applyFill="0" applyBorder="0" applyAlignment="0" applyProtection="0"/>
    <xf numFmtId="191" fontId="171" fillId="0" borderId="0" applyFont="0" applyFill="0" applyBorder="0" applyAlignment="0" applyProtection="0">
      <alignment vertical="center"/>
    </xf>
    <xf numFmtId="203" fontId="79" fillId="0" borderId="0" applyFont="0" applyFill="0" applyBorder="0" applyAlignment="0" applyProtection="0"/>
    <xf numFmtId="203" fontId="171" fillId="0" borderId="0" applyFont="0" applyFill="0" applyBorder="0" applyAlignment="0" applyProtection="0">
      <alignment vertical="center"/>
    </xf>
    <xf numFmtId="204" fontId="171" fillId="0" borderId="0" applyFont="0" applyFill="0" applyBorder="0" applyAlignment="0" applyProtection="0"/>
    <xf numFmtId="205" fontId="74" fillId="0" borderId="0"/>
    <xf numFmtId="206" fontId="53" fillId="0" borderId="0">
      <protection locked="0"/>
    </xf>
    <xf numFmtId="15" fontId="95" fillId="0" borderId="0"/>
    <xf numFmtId="14" fontId="75" fillId="0" borderId="0" applyFill="0" applyBorder="0" applyAlignment="0"/>
    <xf numFmtId="206" fontId="53" fillId="0" borderId="0">
      <protection locked="0"/>
    </xf>
    <xf numFmtId="41" fontId="53" fillId="0" borderId="0" applyFont="0" applyFill="0" applyBorder="0" applyAlignment="0" applyProtection="0"/>
    <xf numFmtId="43" fontId="53" fillId="0" borderId="0" applyFont="0" applyFill="0" applyBorder="0" applyAlignment="0" applyProtection="0"/>
    <xf numFmtId="207" fontId="74" fillId="0" borderId="0"/>
    <xf numFmtId="176" fontId="99" fillId="0" borderId="0" applyNumberFormat="0" applyFill="0" applyBorder="0" applyAlignment="0" applyProtection="0"/>
    <xf numFmtId="176" fontId="99" fillId="0" borderId="0" applyNumberFormat="0" applyFill="0" applyBorder="0" applyAlignment="0" applyProtection="0"/>
    <xf numFmtId="197" fontId="53" fillId="0" borderId="0" applyFill="0" applyBorder="0" applyAlignment="0"/>
    <xf numFmtId="193" fontId="53" fillId="0" borderId="0" applyFill="0" applyBorder="0" applyAlignment="0"/>
    <xf numFmtId="197" fontId="53" fillId="0" borderId="0" applyFill="0" applyBorder="0" applyAlignment="0"/>
    <xf numFmtId="198" fontId="53" fillId="0" borderId="0" applyFill="0" applyBorder="0" applyAlignment="0"/>
    <xf numFmtId="193" fontId="53" fillId="0" borderId="0" applyFill="0" applyBorder="0" applyAlignment="0"/>
    <xf numFmtId="176" fontId="100" fillId="0" borderId="0" applyNumberFormat="0" applyAlignment="0">
      <alignment horizontal="left"/>
    </xf>
    <xf numFmtId="176" fontId="100" fillId="0" borderId="0" applyNumberFormat="0" applyAlignment="0">
      <alignment horizontal="left"/>
    </xf>
    <xf numFmtId="176" fontId="101" fillId="0" borderId="0">
      <alignment horizontal="left"/>
    </xf>
    <xf numFmtId="176" fontId="101" fillId="0" borderId="0">
      <alignment horizontal="left"/>
    </xf>
    <xf numFmtId="176" fontId="101" fillId="0" borderId="0">
      <alignment horizontal="left"/>
    </xf>
    <xf numFmtId="176" fontId="101" fillId="0" borderId="0">
      <alignment horizontal="left" vertical="center"/>
    </xf>
    <xf numFmtId="176" fontId="101" fillId="0" borderId="0">
      <alignment horizontal="left"/>
    </xf>
    <xf numFmtId="176" fontId="102" fillId="43" borderId="17"/>
    <xf numFmtId="176" fontId="102" fillId="43" borderId="17"/>
    <xf numFmtId="176" fontId="102" fillId="43" borderId="17"/>
    <xf numFmtId="176" fontId="102" fillId="43" borderId="17"/>
    <xf numFmtId="176" fontId="102" fillId="43" borderId="17"/>
    <xf numFmtId="176" fontId="102" fillId="43" borderId="17"/>
    <xf numFmtId="176" fontId="102" fillId="43" borderId="17">
      <alignment vertical="center"/>
    </xf>
    <xf numFmtId="176" fontId="102" fillId="43" borderId="17"/>
    <xf numFmtId="176" fontId="74" fillId="0" borderId="0" applyFont="0" applyFill="0" applyBorder="0" applyAlignment="0" applyProtection="0"/>
    <xf numFmtId="176" fontId="103" fillId="0" borderId="0" applyNumberFormat="0" applyFill="0" applyBorder="0" applyAlignment="0" applyProtection="0"/>
    <xf numFmtId="206" fontId="53" fillId="0" borderId="0">
      <protection locked="0"/>
    </xf>
    <xf numFmtId="206" fontId="53" fillId="0" borderId="0">
      <protection locked="0"/>
    </xf>
    <xf numFmtId="206" fontId="53" fillId="0" borderId="0">
      <protection locked="0"/>
    </xf>
    <xf numFmtId="206" fontId="53" fillId="0" borderId="0">
      <protection locked="0"/>
    </xf>
    <xf numFmtId="206" fontId="53" fillId="0" borderId="0">
      <protection locked="0"/>
    </xf>
    <xf numFmtId="206" fontId="53" fillId="0" borderId="0">
      <protection locked="0"/>
    </xf>
    <xf numFmtId="206" fontId="53" fillId="0" borderId="0">
      <protection locked="0"/>
    </xf>
    <xf numFmtId="206" fontId="53" fillId="0" borderId="0">
      <protection locked="0"/>
    </xf>
    <xf numFmtId="176" fontId="104" fillId="0" borderId="0" applyNumberFormat="0" applyFill="0" applyBorder="0" applyAlignment="0" applyProtection="0">
      <alignment vertical="top"/>
      <protection locked="0"/>
    </xf>
    <xf numFmtId="176" fontId="105" fillId="15" borderId="0" applyNumberFormat="0" applyBorder="0" applyAlignment="0" applyProtection="0"/>
    <xf numFmtId="176" fontId="105" fillId="15" borderId="0" applyNumberFormat="0" applyBorder="0" applyAlignment="0" applyProtection="0"/>
    <xf numFmtId="38" fontId="102" fillId="41" borderId="0" applyNumberFormat="0" applyBorder="0" applyAlignment="0" applyProtection="0"/>
    <xf numFmtId="176" fontId="106" fillId="0" borderId="0">
      <alignment horizontal="left"/>
    </xf>
    <xf numFmtId="176" fontId="106" fillId="0" borderId="0">
      <alignment horizontal="left"/>
    </xf>
    <xf numFmtId="176" fontId="55" fillId="0" borderId="9" applyNumberFormat="0" applyAlignment="0" applyProtection="0">
      <alignment horizontal="left" vertical="center"/>
    </xf>
    <xf numFmtId="176" fontId="55" fillId="0" borderId="9" applyNumberFormat="0" applyAlignment="0" applyProtection="0">
      <alignment horizontal="left" vertical="center"/>
    </xf>
    <xf numFmtId="176" fontId="55" fillId="0" borderId="9" applyNumberFormat="0" applyAlignment="0" applyProtection="0">
      <alignment horizontal="left" vertical="center"/>
    </xf>
    <xf numFmtId="176" fontId="55" fillId="0" borderId="9" applyNumberFormat="0" applyAlignment="0" applyProtection="0">
      <alignment horizontal="left" vertical="center"/>
    </xf>
    <xf numFmtId="176" fontId="55" fillId="0" borderId="9" applyNumberFormat="0" applyAlignment="0" applyProtection="0">
      <alignment horizontal="left" vertical="center"/>
    </xf>
    <xf numFmtId="176" fontId="55" fillId="0" borderId="23">
      <alignment horizontal="left" vertical="center"/>
    </xf>
    <xf numFmtId="176" fontId="55" fillId="0" borderId="23">
      <alignment horizontal="left" vertical="center"/>
    </xf>
    <xf numFmtId="176" fontId="55" fillId="0" borderId="23">
      <alignment horizontal="left" vertical="center"/>
    </xf>
    <xf numFmtId="176" fontId="55" fillId="0" borderId="23">
      <alignment horizontal="left" vertical="center"/>
    </xf>
    <xf numFmtId="176" fontId="55" fillId="0" borderId="23">
      <alignment horizontal="left" vertical="center"/>
    </xf>
    <xf numFmtId="176" fontId="55" fillId="0" borderId="23">
      <alignment horizontal="left" vertical="center"/>
    </xf>
    <xf numFmtId="14" fontId="54" fillId="17" borderId="11">
      <alignment horizontal="center" vertical="center" wrapText="1"/>
    </xf>
    <xf numFmtId="176" fontId="107" fillId="0" borderId="24" applyNumberFormat="0" applyFill="0" applyAlignment="0" applyProtection="0"/>
    <xf numFmtId="176" fontId="108" fillId="0" borderId="25" applyNumberFormat="0" applyFill="0" applyAlignment="0" applyProtection="0"/>
    <xf numFmtId="176" fontId="109" fillId="0" borderId="26" applyNumberFormat="0" applyFill="0" applyAlignment="0" applyProtection="0"/>
    <xf numFmtId="176" fontId="109" fillId="0" borderId="0" applyNumberFormat="0" applyFill="0" applyBorder="0" applyAlignment="0" applyProtection="0"/>
    <xf numFmtId="14" fontId="54" fillId="17" borderId="11">
      <alignment horizontal="center" vertical="center" wrapText="1"/>
    </xf>
    <xf numFmtId="14" fontId="54" fillId="17" borderId="11">
      <alignment horizontal="center" vertical="center" wrapText="1"/>
    </xf>
    <xf numFmtId="206" fontId="53" fillId="0" borderId="0">
      <protection locked="0"/>
    </xf>
    <xf numFmtId="206" fontId="53" fillId="0" borderId="0">
      <protection locked="0"/>
    </xf>
    <xf numFmtId="176" fontId="110" fillId="0" borderId="0" applyNumberFormat="0" applyFill="0" applyBorder="0" applyAlignment="0" applyProtection="0">
      <alignment vertical="top"/>
      <protection locked="0"/>
    </xf>
    <xf numFmtId="176" fontId="111" fillId="18" borderId="19" applyNumberFormat="0" applyAlignment="0" applyProtection="0"/>
    <xf numFmtId="10" fontId="102" fillId="44" borderId="17" applyNumberFormat="0" applyBorder="0" applyAlignment="0" applyProtection="0"/>
    <xf numFmtId="10" fontId="102" fillId="44" borderId="17" applyNumberFormat="0" applyBorder="0" applyAlignment="0" applyProtection="0"/>
    <xf numFmtId="176" fontId="111" fillId="18" borderId="19" applyNumberFormat="0" applyAlignment="0" applyProtection="0"/>
    <xf numFmtId="176" fontId="111" fillId="18" borderId="19" applyNumberFormat="0" applyAlignment="0" applyProtection="0"/>
    <xf numFmtId="202" fontId="112" fillId="45" borderId="0"/>
    <xf numFmtId="208" fontId="171" fillId="45" borderId="0"/>
    <xf numFmtId="208" fontId="171" fillId="45" borderId="0"/>
    <xf numFmtId="202" fontId="112" fillId="45" borderId="0"/>
    <xf numFmtId="176" fontId="74" fillId="0" borderId="0" applyNumberFormat="0" applyFont="0" applyFill="0" applyBorder="0" applyProtection="0">
      <alignment horizontal="left" vertical="center"/>
    </xf>
    <xf numFmtId="176" fontId="74" fillId="0" borderId="0" applyNumberFormat="0" applyFont="0" applyFill="0" applyBorder="0" applyProtection="0">
      <alignment horizontal="left" vertical="center"/>
    </xf>
    <xf numFmtId="176" fontId="74" fillId="0" borderId="0" applyNumberFormat="0" applyFont="0" applyFill="0" applyBorder="0" applyProtection="0">
      <alignment horizontal="left" vertical="center"/>
    </xf>
    <xf numFmtId="176" fontId="171" fillId="0" borderId="0" applyNumberFormat="0" applyFont="0" applyFill="0" applyBorder="0" applyProtection="0">
      <alignment horizontal="left" vertical="center"/>
    </xf>
    <xf numFmtId="176" fontId="74" fillId="0" borderId="0" applyNumberFormat="0" applyFont="0" applyFill="0" applyBorder="0" applyProtection="0">
      <alignment horizontal="left" vertical="center"/>
    </xf>
    <xf numFmtId="197" fontId="53" fillId="0" borderId="0" applyFill="0" applyBorder="0" applyAlignment="0"/>
    <xf numFmtId="193" fontId="53" fillId="0" borderId="0" applyFill="0" applyBorder="0" applyAlignment="0"/>
    <xf numFmtId="197" fontId="53" fillId="0" borderId="0" applyFill="0" applyBorder="0" applyAlignment="0"/>
    <xf numFmtId="198" fontId="53" fillId="0" borderId="0" applyFill="0" applyBorder="0" applyAlignment="0"/>
    <xf numFmtId="193" fontId="53" fillId="0" borderId="0" applyFill="0" applyBorder="0" applyAlignment="0"/>
    <xf numFmtId="176" fontId="113" fillId="0" borderId="27" applyNumberFormat="0" applyFill="0" applyAlignment="0" applyProtection="0"/>
    <xf numFmtId="202" fontId="114" fillId="46" borderId="0"/>
    <xf numFmtId="208" fontId="171" fillId="46" borderId="0"/>
    <xf numFmtId="208" fontId="171" fillId="46" borderId="0"/>
    <xf numFmtId="202" fontId="114" fillId="46" borderId="0"/>
    <xf numFmtId="41" fontId="53" fillId="0" borderId="0" applyFont="0" applyFill="0" applyBorder="0" applyAlignment="0" applyProtection="0"/>
    <xf numFmtId="43"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115" fillId="0" borderId="11"/>
    <xf numFmtId="176" fontId="115" fillId="0" borderId="11"/>
    <xf numFmtId="176" fontId="115" fillId="0" borderId="11"/>
    <xf numFmtId="200" fontId="53" fillId="0" borderId="0" applyFont="0" applyFill="0" applyBorder="0" applyAlignment="0" applyProtection="0"/>
    <xf numFmtId="209"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210" fontId="53" fillId="0" borderId="0" applyFont="0" applyFill="0" applyBorder="0" applyAlignment="0" applyProtection="0"/>
    <xf numFmtId="211" fontId="171" fillId="0" borderId="0" applyFont="0" applyFill="0" applyBorder="0" applyAlignment="0" applyProtection="0"/>
    <xf numFmtId="176" fontId="116" fillId="47" borderId="0" applyNumberFormat="0" applyBorder="0" applyAlignment="0" applyProtection="0"/>
    <xf numFmtId="176" fontId="116" fillId="47" borderId="0" applyNumberFormat="0" applyBorder="0" applyAlignment="0" applyProtection="0"/>
    <xf numFmtId="176" fontId="74" fillId="0" borderId="0"/>
    <xf numFmtId="176" fontId="74" fillId="0" borderId="0"/>
    <xf numFmtId="37" fontId="117" fillId="0" borderId="0"/>
    <xf numFmtId="37" fontId="117" fillId="0" borderId="0">
      <alignment vertical="center"/>
    </xf>
    <xf numFmtId="176" fontId="97" fillId="0" borderId="0"/>
    <xf numFmtId="176" fontId="97" fillId="0" borderId="0"/>
    <xf numFmtId="212" fontId="171" fillId="0" borderId="0"/>
    <xf numFmtId="212" fontId="171" fillId="0" borderId="0"/>
    <xf numFmtId="176" fontId="53" fillId="0" borderId="0"/>
    <xf numFmtId="176" fontId="53" fillId="0" borderId="0"/>
    <xf numFmtId="176" fontId="53" fillId="0" borderId="0"/>
    <xf numFmtId="176" fontId="53" fillId="0" borderId="0"/>
    <xf numFmtId="176" fontId="171" fillId="0" borderId="0"/>
    <xf numFmtId="176" fontId="171" fillId="0" borderId="0"/>
    <xf numFmtId="176" fontId="171" fillId="0" borderId="0"/>
    <xf numFmtId="176" fontId="171" fillId="0" borderId="0">
      <alignment vertical="center"/>
    </xf>
    <xf numFmtId="176" fontId="171" fillId="0" borderId="0">
      <alignment vertical="center"/>
    </xf>
    <xf numFmtId="176" fontId="95" fillId="0" borderId="0"/>
    <xf numFmtId="176" fontId="118" fillId="0" borderId="0"/>
    <xf numFmtId="176" fontId="53" fillId="44" borderId="28" applyNumberFormat="0" applyFont="0" applyAlignment="0" applyProtection="0"/>
    <xf numFmtId="176" fontId="53" fillId="44" borderId="28" applyNumberFormat="0" applyFont="0" applyAlignment="0" applyProtection="0"/>
    <xf numFmtId="176" fontId="53" fillId="44" borderId="28" applyNumberFormat="0" applyFont="0" applyAlignment="0" applyProtection="0"/>
    <xf numFmtId="213" fontId="171" fillId="0" borderId="0" applyFont="0" applyFill="0" applyBorder="0" applyAlignment="0" applyProtection="0"/>
    <xf numFmtId="214" fontId="171" fillId="0" borderId="0" applyFont="0" applyFill="0" applyBorder="0" applyAlignment="0" applyProtection="0"/>
    <xf numFmtId="176" fontId="119" fillId="41" borderId="29" applyNumberFormat="0" applyAlignment="0" applyProtection="0"/>
    <xf numFmtId="176" fontId="119" fillId="41" borderId="29" applyNumberFormat="0" applyAlignment="0" applyProtection="0"/>
    <xf numFmtId="176" fontId="119" fillId="41" borderId="29" applyNumberFormat="0" applyAlignment="0" applyProtection="0"/>
    <xf numFmtId="14" fontId="86" fillId="0" borderId="0">
      <alignment horizontal="center" wrapText="1"/>
      <protection locked="0"/>
    </xf>
    <xf numFmtId="215" fontId="53" fillId="0" borderId="0" applyFont="0" applyFill="0" applyBorder="0" applyAlignment="0" applyProtection="0"/>
    <xf numFmtId="215" fontId="171" fillId="0" borderId="0" applyFont="0" applyFill="0" applyBorder="0" applyAlignment="0" applyProtection="0">
      <alignment vertical="center"/>
    </xf>
    <xf numFmtId="196" fontId="53" fillId="0" borderId="0" applyFont="0" applyFill="0" applyBorder="0" applyAlignment="0" applyProtection="0"/>
    <xf numFmtId="186" fontId="53" fillId="0" borderId="0" applyFont="0" applyFill="0" applyBorder="0" applyAlignment="0" applyProtection="0"/>
    <xf numFmtId="10" fontId="53" fillId="0" borderId="0" applyFont="0" applyFill="0" applyBorder="0" applyAlignment="0" applyProtection="0"/>
    <xf numFmtId="9" fontId="76" fillId="0" borderId="0" applyFont="0" applyFill="0" applyBorder="0" applyAlignment="0" applyProtection="0"/>
    <xf numFmtId="13" fontId="53" fillId="0" borderId="0" applyFont="0" applyFill="0" applyProtection="0"/>
    <xf numFmtId="176" fontId="102" fillId="41" borderId="17"/>
    <xf numFmtId="176" fontId="102" fillId="41" borderId="17"/>
    <xf numFmtId="176" fontId="102" fillId="41" borderId="17"/>
    <xf numFmtId="176" fontId="102" fillId="41" borderId="17"/>
    <xf numFmtId="176" fontId="102" fillId="41" borderId="17"/>
    <xf numFmtId="176" fontId="102" fillId="41" borderId="17"/>
    <xf numFmtId="176" fontId="102" fillId="41" borderId="17">
      <alignment vertical="center"/>
    </xf>
    <xf numFmtId="176" fontId="102" fillId="41" borderId="17"/>
    <xf numFmtId="197" fontId="53" fillId="0" borderId="0" applyFill="0" applyBorder="0" applyAlignment="0"/>
    <xf numFmtId="193" fontId="53" fillId="0" borderId="0" applyFill="0" applyBorder="0" applyAlignment="0"/>
    <xf numFmtId="197" fontId="53" fillId="0" borderId="0" applyFill="0" applyBorder="0" applyAlignment="0"/>
    <xf numFmtId="198" fontId="53" fillId="0" borderId="0" applyFill="0" applyBorder="0" applyAlignment="0"/>
    <xf numFmtId="193" fontId="53" fillId="0" borderId="0" applyFill="0" applyBorder="0" applyAlignment="0"/>
    <xf numFmtId="4" fontId="101" fillId="0" borderId="0">
      <alignment horizontal="right"/>
    </xf>
    <xf numFmtId="4" fontId="101" fillId="0" borderId="0">
      <alignment horizontal="right" vertical="center"/>
    </xf>
    <xf numFmtId="216" fontId="120" fillId="0" borderId="0"/>
    <xf numFmtId="188" fontId="120" fillId="0" borderId="0"/>
    <xf numFmtId="188" fontId="120" fillId="0" borderId="0"/>
    <xf numFmtId="176" fontId="95" fillId="0" borderId="0" applyNumberFormat="0" applyFont="0" applyFill="0" applyBorder="0" applyAlignment="0" applyProtection="0">
      <alignment horizontal="left"/>
    </xf>
    <xf numFmtId="176" fontId="95" fillId="0" borderId="0" applyNumberFormat="0" applyFont="0" applyFill="0" applyBorder="0" applyAlignment="0" applyProtection="0">
      <alignment horizontal="left"/>
    </xf>
    <xf numFmtId="176" fontId="89" fillId="0" borderId="11">
      <alignment horizontal="center"/>
    </xf>
    <xf numFmtId="176" fontId="89" fillId="0" borderId="11">
      <alignment horizontal="center"/>
    </xf>
    <xf numFmtId="3" fontId="121" fillId="0" borderId="0"/>
    <xf numFmtId="4" fontId="122" fillId="0" borderId="0">
      <alignment horizontal="right"/>
    </xf>
    <xf numFmtId="4" fontId="122" fillId="0" borderId="0">
      <alignment horizontal="right" vertical="center"/>
    </xf>
    <xf numFmtId="217" fontId="37" fillId="0" borderId="0" applyNumberFormat="0" applyFill="0" applyBorder="0" applyAlignment="0" applyProtection="0">
      <alignment horizontal="left"/>
    </xf>
    <xf numFmtId="218" fontId="171" fillId="0" borderId="0" applyNumberFormat="0" applyFill="0" applyBorder="0" applyAlignment="0" applyProtection="0">
      <alignment horizontal="left"/>
    </xf>
    <xf numFmtId="218" fontId="171" fillId="0" borderId="0" applyNumberFormat="0" applyFill="0" applyBorder="0" applyAlignment="0" applyProtection="0">
      <alignment horizontal="left"/>
    </xf>
    <xf numFmtId="41" fontId="74" fillId="0" borderId="0" applyFont="0" applyFill="0" applyBorder="0" applyAlignment="0" applyProtection="0"/>
    <xf numFmtId="176" fontId="123" fillId="8" borderId="0">
      <alignment horizontal="left" vertical="center"/>
    </xf>
    <xf numFmtId="176" fontId="123" fillId="8" borderId="0">
      <alignment horizontal="left" vertical="center"/>
    </xf>
    <xf numFmtId="176" fontId="123" fillId="8" borderId="0">
      <alignment horizontal="right" vertical="center"/>
    </xf>
    <xf numFmtId="176" fontId="123" fillId="8" borderId="0">
      <alignment horizontal="right" vertical="center"/>
    </xf>
    <xf numFmtId="4" fontId="124" fillId="47" borderId="30" applyNumberFormat="0" applyProtection="0">
      <alignment vertical="center"/>
    </xf>
    <xf numFmtId="4" fontId="124" fillId="47" borderId="30" applyNumberFormat="0" applyProtection="0">
      <alignment vertical="center"/>
    </xf>
    <xf numFmtId="4" fontId="125" fillId="47" borderId="30" applyNumberFormat="0" applyProtection="0">
      <alignment vertical="center"/>
    </xf>
    <xf numFmtId="4" fontId="125" fillId="47" borderId="30" applyNumberFormat="0" applyProtection="0">
      <alignment vertical="center"/>
    </xf>
    <xf numFmtId="4" fontId="124" fillId="47" borderId="30" applyNumberFormat="0" applyProtection="0">
      <alignment horizontal="left" vertical="center" indent="1"/>
    </xf>
    <xf numFmtId="4" fontId="124" fillId="47" borderId="30" applyNumberFormat="0" applyProtection="0">
      <alignment horizontal="left" vertical="center" indent="1"/>
    </xf>
    <xf numFmtId="176" fontId="124" fillId="47" borderId="30" applyNumberFormat="0" applyProtection="0">
      <alignment horizontal="left" vertical="top" indent="1"/>
    </xf>
    <xf numFmtId="176" fontId="124" fillId="47" borderId="30" applyNumberFormat="0" applyProtection="0">
      <alignment horizontal="left" vertical="top" indent="1"/>
    </xf>
    <xf numFmtId="4" fontId="124" fillId="48" borderId="0" applyNumberFormat="0" applyProtection="0">
      <alignment horizontal="left" vertical="center" indent="1"/>
    </xf>
    <xf numFmtId="4" fontId="75" fillId="14" borderId="30" applyNumberFormat="0" applyProtection="0">
      <alignment horizontal="right" vertical="center"/>
    </xf>
    <xf numFmtId="4" fontId="75" fillId="14" borderId="30" applyNumberFormat="0" applyProtection="0">
      <alignment horizontal="right" vertical="center"/>
    </xf>
    <xf numFmtId="4" fontId="75" fillId="20" borderId="30" applyNumberFormat="0" applyProtection="0">
      <alignment horizontal="right" vertical="center"/>
    </xf>
    <xf numFmtId="4" fontId="75" fillId="20" borderId="30" applyNumberFormat="0" applyProtection="0">
      <alignment horizontal="right" vertical="center"/>
    </xf>
    <xf numFmtId="4" fontId="75" fillId="32" borderId="30" applyNumberFormat="0" applyProtection="0">
      <alignment horizontal="right" vertical="center"/>
    </xf>
    <xf numFmtId="4" fontId="75" fillId="32" borderId="30" applyNumberFormat="0" applyProtection="0">
      <alignment horizontal="right" vertical="center"/>
    </xf>
    <xf numFmtId="4" fontId="75" fillId="22" borderId="30" applyNumberFormat="0" applyProtection="0">
      <alignment horizontal="right" vertical="center"/>
    </xf>
    <xf numFmtId="4" fontId="75" fillId="22" borderId="30" applyNumberFormat="0" applyProtection="0">
      <alignment horizontal="right" vertical="center"/>
    </xf>
    <xf numFmtId="4" fontId="75" fillId="26" borderId="30" applyNumberFormat="0" applyProtection="0">
      <alignment horizontal="right" vertical="center"/>
    </xf>
    <xf numFmtId="4" fontId="75" fillId="26" borderId="30" applyNumberFormat="0" applyProtection="0">
      <alignment horizontal="right" vertical="center"/>
    </xf>
    <xf numFmtId="4" fontId="75" fillId="39" borderId="30" applyNumberFormat="0" applyProtection="0">
      <alignment horizontal="right" vertical="center"/>
    </xf>
    <xf numFmtId="4" fontId="75" fillId="39" borderId="30" applyNumberFormat="0" applyProtection="0">
      <alignment horizontal="right" vertical="center"/>
    </xf>
    <xf numFmtId="4" fontId="75" fillId="36" borderId="30" applyNumberFormat="0" applyProtection="0">
      <alignment horizontal="right" vertical="center"/>
    </xf>
    <xf numFmtId="4" fontId="75" fillId="36" borderId="30" applyNumberFormat="0" applyProtection="0">
      <alignment horizontal="right" vertical="center"/>
    </xf>
    <xf numFmtId="4" fontId="75" fillId="49" borderId="30" applyNumberFormat="0" applyProtection="0">
      <alignment horizontal="right" vertical="center"/>
    </xf>
    <xf numFmtId="4" fontId="75" fillId="49" borderId="30" applyNumberFormat="0" applyProtection="0">
      <alignment horizontal="right" vertical="center"/>
    </xf>
    <xf numFmtId="4" fontId="75" fillId="21" borderId="30" applyNumberFormat="0" applyProtection="0">
      <alignment horizontal="right" vertical="center"/>
    </xf>
    <xf numFmtId="4" fontId="75" fillId="21" borderId="30" applyNumberFormat="0" applyProtection="0">
      <alignment horizontal="right" vertical="center"/>
    </xf>
    <xf numFmtId="4" fontId="124" fillId="50" borderId="31" applyNumberFormat="0" applyProtection="0">
      <alignment horizontal="left" vertical="center" indent="1"/>
    </xf>
    <xf numFmtId="4" fontId="75" fillId="51" borderId="0" applyNumberFormat="0" applyProtection="0">
      <alignment horizontal="left" vertical="center" indent="1"/>
    </xf>
    <xf numFmtId="4" fontId="75" fillId="51" borderId="0" applyNumberFormat="0" applyProtection="0">
      <alignment horizontal="left" vertical="center" indent="1"/>
    </xf>
    <xf numFmtId="4" fontId="126" fillId="52" borderId="0" applyNumberFormat="0" applyProtection="0">
      <alignment horizontal="left" vertical="center" indent="1"/>
    </xf>
    <xf numFmtId="4" fontId="75" fillId="48" borderId="30" applyNumberFormat="0" applyProtection="0">
      <alignment horizontal="right" vertical="center"/>
    </xf>
    <xf numFmtId="4" fontId="75" fillId="48" borderId="30" applyNumberFormat="0" applyProtection="0">
      <alignment horizontal="right" vertical="center"/>
    </xf>
    <xf numFmtId="4" fontId="75" fillId="51" borderId="0" applyNumberFormat="0" applyProtection="0">
      <alignment horizontal="left" vertical="center" indent="1"/>
    </xf>
    <xf numFmtId="4" fontId="75" fillId="48" borderId="0" applyNumberFormat="0" applyProtection="0">
      <alignment horizontal="left" vertical="center" indent="1"/>
    </xf>
    <xf numFmtId="176" fontId="53" fillId="52" borderId="30" applyNumberFormat="0" applyProtection="0">
      <alignment horizontal="left" vertical="center" indent="1"/>
    </xf>
    <xf numFmtId="176" fontId="53" fillId="52" borderId="30" applyNumberFormat="0" applyProtection="0">
      <alignment horizontal="left" vertical="center" indent="1"/>
    </xf>
    <xf numFmtId="176" fontId="53" fillId="52" borderId="30" applyNumberFormat="0" applyProtection="0">
      <alignment horizontal="left" vertical="top" indent="1"/>
    </xf>
    <xf numFmtId="176" fontId="53" fillId="52" borderId="30" applyNumberFormat="0" applyProtection="0">
      <alignment horizontal="left" vertical="top" indent="1"/>
    </xf>
    <xf numFmtId="176" fontId="53" fillId="48" borderId="30" applyNumberFormat="0" applyProtection="0">
      <alignment horizontal="left" vertical="center" indent="1"/>
    </xf>
    <xf numFmtId="176" fontId="53" fillId="48" borderId="30" applyNumberFormat="0" applyProtection="0">
      <alignment horizontal="left" vertical="center" indent="1"/>
    </xf>
    <xf numFmtId="176" fontId="53" fillId="48" borderId="30" applyNumberFormat="0" applyProtection="0">
      <alignment horizontal="left" vertical="top" indent="1"/>
    </xf>
    <xf numFmtId="176" fontId="53" fillId="48" borderId="30" applyNumberFormat="0" applyProtection="0">
      <alignment horizontal="left" vertical="top" indent="1"/>
    </xf>
    <xf numFmtId="176" fontId="53" fillId="19" borderId="30" applyNumberFormat="0" applyProtection="0">
      <alignment horizontal="left" vertical="center" indent="1"/>
    </xf>
    <xf numFmtId="176" fontId="53" fillId="19" borderId="30" applyNumberFormat="0" applyProtection="0">
      <alignment horizontal="left" vertical="center" indent="1"/>
    </xf>
    <xf numFmtId="176" fontId="53" fillId="19" borderId="30" applyNumberFormat="0" applyProtection="0">
      <alignment horizontal="left" vertical="top" indent="1"/>
    </xf>
    <xf numFmtId="176" fontId="53" fillId="19" borderId="30" applyNumberFormat="0" applyProtection="0">
      <alignment horizontal="left" vertical="top" indent="1"/>
    </xf>
    <xf numFmtId="176" fontId="53" fillId="51" borderId="30" applyNumberFormat="0" applyProtection="0">
      <alignment horizontal="left" vertical="center" indent="1"/>
    </xf>
    <xf numFmtId="176" fontId="53" fillId="51" borderId="30" applyNumberFormat="0" applyProtection="0">
      <alignment horizontal="left" vertical="center" indent="1"/>
    </xf>
    <xf numFmtId="176" fontId="53" fillId="51" borderId="30" applyNumberFormat="0" applyProtection="0">
      <alignment horizontal="left" vertical="top" indent="1"/>
    </xf>
    <xf numFmtId="176" fontId="53" fillId="51" borderId="30" applyNumberFormat="0" applyProtection="0">
      <alignment horizontal="left" vertical="top" indent="1"/>
    </xf>
    <xf numFmtId="4" fontId="75" fillId="44" borderId="30" applyNumberFormat="0" applyProtection="0">
      <alignment vertical="center"/>
    </xf>
    <xf numFmtId="4" fontId="75" fillId="44" borderId="30" applyNumberFormat="0" applyProtection="0">
      <alignment vertical="center"/>
    </xf>
    <xf numFmtId="4" fontId="127" fillId="44" borderId="30" applyNumberFormat="0" applyProtection="0">
      <alignment vertical="center"/>
    </xf>
    <xf numFmtId="4" fontId="127" fillId="44" borderId="30" applyNumberFormat="0" applyProtection="0">
      <alignment vertical="center"/>
    </xf>
    <xf numFmtId="4" fontId="75" fillId="44" borderId="30" applyNumberFormat="0" applyProtection="0">
      <alignment horizontal="left" vertical="center" indent="1"/>
    </xf>
    <xf numFmtId="4" fontId="75" fillId="44" borderId="30" applyNumberFormat="0" applyProtection="0">
      <alignment horizontal="left" vertical="center" indent="1"/>
    </xf>
    <xf numFmtId="176" fontId="75" fillId="44" borderId="30" applyNumberFormat="0" applyProtection="0">
      <alignment horizontal="left" vertical="top" indent="1"/>
    </xf>
    <xf numFmtId="176" fontId="75" fillId="44" borderId="30" applyNumberFormat="0" applyProtection="0">
      <alignment horizontal="left" vertical="top" indent="1"/>
    </xf>
    <xf numFmtId="4" fontId="75" fillId="51" borderId="30" applyNumberFormat="0" applyProtection="0">
      <alignment horizontal="right" vertical="center"/>
    </xf>
    <xf numFmtId="4" fontId="75" fillId="51" borderId="30" applyNumberFormat="0" applyProtection="0">
      <alignment horizontal="right" vertical="center"/>
    </xf>
    <xf numFmtId="4" fontId="127" fillId="51" borderId="30" applyNumberFormat="0" applyProtection="0">
      <alignment horizontal="right" vertical="center"/>
    </xf>
    <xf numFmtId="4" fontId="127" fillId="51" borderId="30" applyNumberFormat="0" applyProtection="0">
      <alignment horizontal="right" vertical="center"/>
    </xf>
    <xf numFmtId="4" fontId="75" fillId="48" borderId="30" applyNumberFormat="0" applyProtection="0">
      <alignment horizontal="left" vertical="center" indent="1"/>
    </xf>
    <xf numFmtId="4" fontId="75" fillId="48" borderId="30" applyNumberFormat="0" applyProtection="0">
      <alignment horizontal="left" vertical="center" indent="1"/>
    </xf>
    <xf numFmtId="176" fontId="75" fillId="48" borderId="30" applyNumberFormat="0" applyProtection="0">
      <alignment horizontal="left" vertical="top" indent="1"/>
    </xf>
    <xf numFmtId="176" fontId="75" fillId="48" borderId="30" applyNumberFormat="0" applyProtection="0">
      <alignment horizontal="left" vertical="top" indent="1"/>
    </xf>
    <xf numFmtId="4" fontId="128" fillId="45" borderId="0" applyNumberFormat="0" applyProtection="0">
      <alignment horizontal="left" vertical="center" indent="1"/>
    </xf>
    <xf numFmtId="4" fontId="128" fillId="45" borderId="0" applyNumberFormat="0" applyProtection="0">
      <alignment horizontal="left" vertical="center" indent="1"/>
    </xf>
    <xf numFmtId="4" fontId="57" fillId="51" borderId="30" applyNumberFormat="0" applyProtection="0">
      <alignment horizontal="right" vertical="center"/>
    </xf>
    <xf numFmtId="4" fontId="57" fillId="51" borderId="30" applyNumberFormat="0" applyProtection="0">
      <alignment horizontal="right" vertical="center"/>
    </xf>
    <xf numFmtId="176" fontId="129" fillId="0" borderId="0">
      <alignment horizontal="left"/>
    </xf>
    <xf numFmtId="176" fontId="129" fillId="0" borderId="0">
      <alignment horizontal="left"/>
    </xf>
    <xf numFmtId="176" fontId="129" fillId="0" borderId="0">
      <alignment horizontal="left"/>
    </xf>
    <xf numFmtId="176" fontId="129" fillId="0" borderId="0">
      <alignment horizontal="left" vertical="center"/>
    </xf>
    <xf numFmtId="176" fontId="129" fillId="0" borderId="0">
      <alignment horizontal="left"/>
    </xf>
    <xf numFmtId="43" fontId="102" fillId="0" borderId="1"/>
    <xf numFmtId="43" fontId="102" fillId="0" borderId="1"/>
    <xf numFmtId="176" fontId="118" fillId="0" borderId="0"/>
    <xf numFmtId="176" fontId="130" fillId="0" borderId="17">
      <alignment horizontal="center"/>
    </xf>
    <xf numFmtId="176" fontId="130" fillId="0" borderId="17">
      <alignment horizontal="center"/>
    </xf>
    <xf numFmtId="176" fontId="130" fillId="0" borderId="17">
      <alignment horizontal="center"/>
    </xf>
    <xf numFmtId="176" fontId="130" fillId="0" borderId="17">
      <alignment horizontal="center"/>
    </xf>
    <xf numFmtId="176" fontId="130" fillId="0" borderId="17">
      <alignment horizontal="center"/>
    </xf>
    <xf numFmtId="176" fontId="130" fillId="0" borderId="17">
      <alignment horizontal="center"/>
    </xf>
    <xf numFmtId="176" fontId="130" fillId="0" borderId="17">
      <alignment horizontal="center" vertical="center"/>
    </xf>
    <xf numFmtId="176" fontId="130" fillId="0" borderId="17">
      <alignment horizontal="center"/>
    </xf>
    <xf numFmtId="176" fontId="130" fillId="0" borderId="0">
      <alignment horizontal="center" vertical="center"/>
    </xf>
    <xf numFmtId="176" fontId="130" fillId="0" borderId="0">
      <alignment horizontal="center" vertical="center"/>
    </xf>
    <xf numFmtId="176" fontId="130" fillId="0" borderId="0">
      <alignment horizontal="center" vertical="center"/>
    </xf>
    <xf numFmtId="176" fontId="130" fillId="0" borderId="0">
      <alignment horizontal="center" vertical="center"/>
    </xf>
    <xf numFmtId="176" fontId="130" fillId="0" borderId="0">
      <alignment horizontal="center" vertical="center"/>
    </xf>
    <xf numFmtId="176" fontId="131" fillId="0" borderId="0" applyNumberFormat="0" applyFill="0">
      <alignment horizontal="left" vertical="center"/>
    </xf>
    <xf numFmtId="176" fontId="131" fillId="0" borderId="0" applyNumberFormat="0" applyFill="0">
      <alignment horizontal="left" vertical="center"/>
    </xf>
    <xf numFmtId="176" fontId="131" fillId="0" borderId="0" applyNumberFormat="0" applyFill="0">
      <alignment horizontal="left" vertical="center"/>
    </xf>
    <xf numFmtId="176" fontId="131" fillId="0" borderId="0" applyNumberFormat="0" applyFill="0">
      <alignment horizontal="left" vertical="center"/>
    </xf>
    <xf numFmtId="176" fontId="131" fillId="0" borderId="0" applyNumberFormat="0" applyFill="0">
      <alignment horizontal="left" vertical="center"/>
    </xf>
    <xf numFmtId="176" fontId="131" fillId="0" borderId="0" applyNumberFormat="0" applyFill="0">
      <alignment horizontal="left" vertical="center"/>
    </xf>
    <xf numFmtId="176" fontId="115" fillId="0" borderId="0"/>
    <xf numFmtId="176" fontId="115" fillId="0" borderId="0"/>
    <xf numFmtId="40" fontId="132" fillId="0" borderId="0" applyBorder="0">
      <alignment horizontal="right"/>
    </xf>
    <xf numFmtId="49" fontId="75" fillId="0" borderId="0" applyFill="0" applyBorder="0" applyAlignment="0"/>
    <xf numFmtId="219" fontId="75" fillId="0" borderId="0" applyFill="0" applyBorder="0" applyAlignment="0"/>
    <xf numFmtId="220" fontId="53" fillId="0" borderId="0" applyFill="0" applyBorder="0" applyAlignment="0"/>
    <xf numFmtId="176" fontId="133" fillId="0" borderId="0" applyFill="0" applyBorder="0" applyProtection="0">
      <alignment horizontal="left" vertical="top"/>
    </xf>
    <xf numFmtId="176" fontId="133" fillId="0" borderId="0" applyFill="0" applyBorder="0" applyProtection="0">
      <alignment horizontal="left" vertical="top"/>
    </xf>
    <xf numFmtId="176" fontId="133" fillId="0" borderId="0" applyFill="0" applyBorder="0" applyProtection="0">
      <alignment horizontal="left" vertical="top"/>
    </xf>
    <xf numFmtId="176" fontId="133" fillId="0" borderId="0" applyFill="0" applyBorder="0" applyProtection="0">
      <alignment horizontal="left" vertical="top"/>
    </xf>
    <xf numFmtId="176" fontId="133" fillId="0" borderId="0" applyFill="0" applyBorder="0" applyProtection="0">
      <alignment horizontal="left" vertical="top"/>
    </xf>
    <xf numFmtId="176" fontId="134" fillId="0" borderId="0">
      <alignment horizontal="center"/>
    </xf>
    <xf numFmtId="176" fontId="134" fillId="0" borderId="0">
      <alignment horizontal="center"/>
    </xf>
    <xf numFmtId="176" fontId="134" fillId="0" borderId="0">
      <alignment horizontal="center"/>
    </xf>
    <xf numFmtId="176" fontId="134" fillId="0" borderId="0">
      <alignment horizontal="center" vertical="center"/>
    </xf>
    <xf numFmtId="176" fontId="134" fillId="0" borderId="0">
      <alignment horizontal="center"/>
    </xf>
    <xf numFmtId="176" fontId="135" fillId="0" borderId="32" applyNumberFormat="0" applyFill="0" applyAlignment="0" applyProtection="0"/>
    <xf numFmtId="176" fontId="135" fillId="0" borderId="32" applyNumberFormat="0" applyFill="0" applyAlignment="0" applyProtection="0"/>
    <xf numFmtId="176" fontId="135" fillId="0" borderId="32" applyNumberFormat="0" applyFill="0" applyAlignment="0" applyProtection="0"/>
    <xf numFmtId="221" fontId="53" fillId="0" borderId="0" applyFont="0" applyFill="0" applyBorder="0" applyAlignment="0" applyProtection="0"/>
    <xf numFmtId="222" fontId="53" fillId="0" borderId="0" applyFont="0" applyFill="0" applyBorder="0" applyAlignment="0" applyProtection="0"/>
    <xf numFmtId="223" fontId="171" fillId="0" borderId="0" applyFont="0" applyFill="0" applyBorder="0" applyAlignment="0" applyProtection="0"/>
    <xf numFmtId="224" fontId="171" fillId="0" borderId="0" applyFont="0" applyFill="0" applyBorder="0" applyAlignment="0" applyProtection="0"/>
    <xf numFmtId="176" fontId="136" fillId="0" borderId="0" applyNumberFormat="0" applyFill="0" applyBorder="0" applyAlignment="0" applyProtection="0"/>
    <xf numFmtId="176" fontId="137" fillId="0" borderId="0" applyNumberFormat="0" applyFont="0" applyFill="0" applyBorder="0" applyProtection="0">
      <alignment horizontal="center" vertical="center" wrapText="1"/>
    </xf>
    <xf numFmtId="176" fontId="137" fillId="0" borderId="0" applyNumberFormat="0" applyFont="0" applyFill="0" applyBorder="0" applyProtection="0">
      <alignment horizontal="center" vertical="center" wrapText="1"/>
    </xf>
    <xf numFmtId="176" fontId="137" fillId="0" borderId="0" applyNumberFormat="0" applyFont="0" applyFill="0" applyBorder="0" applyProtection="0">
      <alignment horizontal="center" vertical="center" wrapText="1"/>
    </xf>
    <xf numFmtId="176" fontId="137" fillId="0" borderId="0" applyNumberFormat="0" applyFont="0" applyFill="0" applyBorder="0" applyProtection="0">
      <alignment horizontal="center" vertical="center" wrapText="1"/>
    </xf>
    <xf numFmtId="176" fontId="171" fillId="0" borderId="0" applyNumberFormat="0" applyFont="0" applyFill="0" applyBorder="0" applyProtection="0">
      <alignment horizontal="center" vertical="center" wrapText="1"/>
    </xf>
    <xf numFmtId="176" fontId="137" fillId="0" borderId="0" applyNumberFormat="0" applyFont="0" applyFill="0" applyBorder="0" applyProtection="0">
      <alignment horizontal="center" vertical="center" wrapText="1"/>
    </xf>
    <xf numFmtId="9" fontId="138" fillId="0" borderId="0" applyFont="0" applyFill="0" applyBorder="0" applyAlignment="0" applyProtection="0"/>
    <xf numFmtId="176" fontId="37" fillId="0" borderId="0"/>
    <xf numFmtId="176" fontId="12" fillId="0" borderId="0"/>
    <xf numFmtId="225" fontId="37" fillId="0" borderId="0" applyFont="0" applyFill="0" applyBorder="0" applyAlignment="0" applyProtection="0"/>
    <xf numFmtId="226" fontId="37" fillId="0" borderId="0" applyFont="0" applyFill="0" applyBorder="0" applyAlignment="0" applyProtection="0"/>
    <xf numFmtId="41" fontId="53" fillId="0" borderId="0" applyFont="0" applyFill="0" applyBorder="0" applyAlignment="0" applyProtection="0"/>
    <xf numFmtId="9" fontId="37" fillId="0" borderId="0" applyFont="0" applyFill="0" applyBorder="0" applyAlignment="0" applyProtection="0"/>
    <xf numFmtId="9" fontId="171" fillId="0" borderId="0" applyFont="0" applyFill="0" applyBorder="0" applyAlignment="0" applyProtection="0">
      <alignment vertical="center"/>
    </xf>
    <xf numFmtId="9" fontId="171" fillId="0" borderId="0" applyFont="0" applyFill="0" applyBorder="0" applyAlignment="0" applyProtection="0">
      <alignment vertical="center"/>
    </xf>
    <xf numFmtId="9" fontId="171" fillId="0" borderId="0" applyFont="0" applyFill="0" applyBorder="0" applyAlignment="0" applyProtection="0"/>
    <xf numFmtId="9" fontId="53" fillId="0" borderId="0" applyFont="0" applyFill="0" applyBorder="0" applyAlignment="0" applyProtection="0"/>
    <xf numFmtId="9" fontId="171" fillId="0" borderId="0" applyFont="0" applyFill="0" applyBorder="0" applyAlignment="0" applyProtection="0"/>
    <xf numFmtId="181" fontId="78" fillId="0" borderId="0" applyFill="0" applyBorder="0" applyProtection="0">
      <alignment horizontal="right"/>
    </xf>
    <xf numFmtId="176" fontId="139" fillId="0" borderId="0" applyFont="0" applyFill="0" applyBorder="0" applyAlignment="0" applyProtection="0"/>
    <xf numFmtId="176" fontId="139" fillId="0" borderId="0" applyFont="0" applyFill="0" applyBorder="0" applyAlignment="0" applyProtection="0"/>
    <xf numFmtId="4" fontId="140" fillId="0" borderId="0">
      <alignment horizontal="right"/>
    </xf>
    <xf numFmtId="176" fontId="141" fillId="0" borderId="0" applyNumberFormat="0" applyFill="0" applyBorder="0" applyAlignment="0" applyProtection="0"/>
    <xf numFmtId="176" fontId="141" fillId="0" borderId="0" applyNumberFormat="0" applyFill="0" applyBorder="0" applyAlignment="0" applyProtection="0"/>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2" fillId="22" borderId="0" applyNumberFormat="0" applyBorder="0" applyAlignment="0" applyProtection="0">
      <alignment vertical="center"/>
    </xf>
    <xf numFmtId="176" fontId="144" fillId="53" borderId="0" applyNumberFormat="0" applyBorder="0" applyAlignment="0" applyProtection="0"/>
    <xf numFmtId="176" fontId="144" fillId="53" borderId="0" applyNumberFormat="0" applyBorder="0" applyAlignment="0" applyProtection="0"/>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3" fillId="14"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5" fillId="43" borderId="0" applyNumberFormat="0" applyBorder="0" applyAlignment="0" applyProtection="0">
      <alignment vertical="center"/>
    </xf>
    <xf numFmtId="176" fontId="145" fillId="43" borderId="0" applyNumberFormat="0" applyBorder="0" applyAlignment="0" applyProtection="0">
      <alignment vertical="center"/>
    </xf>
    <xf numFmtId="176" fontId="143" fillId="14" borderId="0" applyNumberFormat="0" applyBorder="0" applyAlignment="0" applyProtection="0">
      <alignment vertical="center"/>
    </xf>
    <xf numFmtId="176" fontId="146" fillId="12" borderId="0" applyNumberFormat="0" applyBorder="0" applyAlignment="0" applyProtection="0">
      <alignment vertical="center"/>
    </xf>
    <xf numFmtId="176" fontId="146" fillId="12" borderId="0" applyNumberFormat="0" applyBorder="0" applyAlignment="0" applyProtection="0">
      <alignment vertical="center"/>
    </xf>
    <xf numFmtId="176" fontId="147" fillId="14" borderId="0" applyNumberFormat="0" applyBorder="0" applyAlignment="0" applyProtection="0">
      <alignment vertical="center"/>
    </xf>
    <xf numFmtId="176" fontId="147" fillId="14" borderId="0" applyNumberFormat="0" applyBorder="0" applyAlignment="0" applyProtection="0">
      <alignment vertical="center"/>
    </xf>
    <xf numFmtId="176" fontId="147" fillId="14" borderId="0" applyNumberFormat="0" applyBorder="0" applyAlignment="0" applyProtection="0">
      <alignment vertical="center"/>
    </xf>
    <xf numFmtId="176" fontId="147" fillId="14"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5" fillId="43"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3" fillId="14" borderId="0" applyNumberFormat="0" applyBorder="0" applyAlignment="0" applyProtection="0">
      <alignment vertical="center"/>
    </xf>
    <xf numFmtId="176" fontId="142" fillId="22" borderId="0" applyNumberFormat="0" applyBorder="0" applyAlignment="0" applyProtection="0">
      <alignment vertical="center"/>
    </xf>
    <xf numFmtId="176" fontId="143" fillId="14"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2" fillId="39" borderId="0" applyNumberFormat="0" applyBorder="0" applyAlignment="0" applyProtection="0">
      <alignment vertical="center"/>
    </xf>
    <xf numFmtId="176" fontId="142" fillId="39" borderId="0" applyNumberFormat="0" applyBorder="0" applyAlignment="0" applyProtection="0">
      <alignment vertical="center"/>
    </xf>
    <xf numFmtId="176" fontId="142" fillId="22" borderId="0" applyNumberFormat="0" applyBorder="0" applyAlignment="0" applyProtection="0">
      <alignment vertical="center"/>
    </xf>
    <xf numFmtId="176" fontId="142" fillId="22" borderId="0" applyNumberFormat="0" applyBorder="0" applyAlignment="0" applyProtection="0">
      <alignment vertical="center"/>
    </xf>
    <xf numFmtId="176" fontId="148" fillId="16" borderId="0" applyNumberFormat="0" applyBorder="0" applyAlignment="0" applyProtection="0">
      <alignment vertical="center"/>
    </xf>
    <xf numFmtId="176" fontId="148" fillId="16" borderId="0" applyNumberFormat="0" applyBorder="0" applyAlignment="0" applyProtection="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1" fillId="0" borderId="0">
      <alignment vertical="center"/>
    </xf>
    <xf numFmtId="176" fontId="70" fillId="0" borderId="0">
      <alignment vertical="center"/>
    </xf>
    <xf numFmtId="176" fontId="70" fillId="0" borderId="0">
      <alignment vertical="center"/>
    </xf>
    <xf numFmtId="176" fontId="171" fillId="0" borderId="0">
      <protection locked="0"/>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171" fillId="0" borderId="0">
      <protection locked="0"/>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xf numFmtId="176" fontId="70" fillId="0" borderId="0">
      <alignment vertical="center"/>
    </xf>
    <xf numFmtId="176" fontId="53" fillId="0" borderId="0"/>
    <xf numFmtId="176" fontId="70" fillId="0" borderId="0">
      <alignment vertical="center"/>
    </xf>
    <xf numFmtId="176" fontId="70" fillId="0" borderId="0"/>
    <xf numFmtId="176" fontId="84" fillId="0" borderId="0" applyNumberFormat="0" applyBorder="0" applyAlignment="0">
      <alignment vertical="center"/>
      <protection locked="0"/>
    </xf>
    <xf numFmtId="176" fontId="171" fillId="0" borderId="0">
      <alignment vertical="center"/>
      <protection locked="0"/>
    </xf>
    <xf numFmtId="176" fontId="171" fillId="0" borderId="0">
      <alignment vertical="center"/>
      <protection locked="0"/>
    </xf>
    <xf numFmtId="176" fontId="84" fillId="0" borderId="0" applyNumberFormat="0" applyBorder="0" applyAlignment="0">
      <alignment vertical="center"/>
      <protection locked="0"/>
    </xf>
    <xf numFmtId="176" fontId="70" fillId="0" borderId="0">
      <alignment vertical="center"/>
    </xf>
    <xf numFmtId="176" fontId="171" fillId="0" borderId="0">
      <protection locked="0"/>
    </xf>
    <xf numFmtId="176" fontId="171" fillId="0" borderId="0">
      <alignment vertical="center"/>
      <protection locked="0"/>
    </xf>
    <xf numFmtId="176" fontId="70" fillId="0" borderId="0"/>
    <xf numFmtId="176" fontId="149" fillId="0" borderId="0">
      <alignment vertical="center"/>
    </xf>
    <xf numFmtId="176" fontId="70" fillId="0" borderId="0">
      <alignment vertical="center"/>
    </xf>
    <xf numFmtId="176" fontId="171" fillId="0" borderId="0">
      <protection locked="0"/>
    </xf>
    <xf numFmtId="176" fontId="70" fillId="0" borderId="0"/>
    <xf numFmtId="176" fontId="171" fillId="0" borderId="0">
      <protection locked="0"/>
    </xf>
    <xf numFmtId="176" fontId="149" fillId="0" borderId="0">
      <alignment vertical="center"/>
    </xf>
    <xf numFmtId="0" fontId="171" fillId="0" borderId="0"/>
    <xf numFmtId="176" fontId="171" fillId="0" borderId="0">
      <alignment vertical="center"/>
    </xf>
    <xf numFmtId="176" fontId="70" fillId="0" borderId="0"/>
    <xf numFmtId="176" fontId="171" fillId="0" borderId="0">
      <alignment vertical="center"/>
      <protection locked="0"/>
    </xf>
    <xf numFmtId="176" fontId="171" fillId="0" borderId="0">
      <alignment vertical="center"/>
    </xf>
    <xf numFmtId="0" fontId="171" fillId="0" borderId="0">
      <protection locked="0"/>
    </xf>
    <xf numFmtId="176" fontId="171"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149" fillId="0" borderId="0" applyNumberFormat="0" applyBorder="0" applyProtection="0">
      <alignment vertical="center"/>
    </xf>
    <xf numFmtId="176" fontId="149" fillId="0" borderId="0" applyNumberFormat="0" applyBorder="0" applyProtection="0">
      <alignment vertical="center"/>
    </xf>
    <xf numFmtId="176" fontId="171" fillId="0" borderId="0">
      <protection locked="0"/>
    </xf>
    <xf numFmtId="176" fontId="171" fillId="0" borderId="0">
      <protection locked="0"/>
    </xf>
    <xf numFmtId="176" fontId="70" fillId="0" borderId="0">
      <alignment vertical="center"/>
    </xf>
    <xf numFmtId="176" fontId="171" fillId="0" borderId="0"/>
    <xf numFmtId="176" fontId="171" fillId="0" borderId="0">
      <alignment vertical="center"/>
      <protection locked="0"/>
    </xf>
    <xf numFmtId="176" fontId="171" fillId="0" borderId="0">
      <protection locked="0"/>
    </xf>
    <xf numFmtId="176" fontId="171" fillId="0" borderId="0">
      <protection locked="0"/>
    </xf>
    <xf numFmtId="176" fontId="171" fillId="0" borderId="0">
      <protection locked="0"/>
    </xf>
    <xf numFmtId="176" fontId="171" fillId="0" borderId="0">
      <protection locked="0"/>
    </xf>
    <xf numFmtId="176" fontId="1" fillId="0" borderId="0"/>
    <xf numFmtId="176" fontId="1" fillId="0" borderId="0"/>
    <xf numFmtId="176" fontId="70" fillId="0" borderId="0">
      <alignment vertical="center"/>
    </xf>
    <xf numFmtId="176" fontId="171" fillId="0" borderId="0">
      <protection locked="0"/>
    </xf>
    <xf numFmtId="176" fontId="53" fillId="0" borderId="0"/>
    <xf numFmtId="176" fontId="171" fillId="0" borderId="0">
      <protection locked="0"/>
    </xf>
    <xf numFmtId="176" fontId="53" fillId="0" borderId="0"/>
    <xf numFmtId="176" fontId="171" fillId="0" borderId="0">
      <alignment vertical="center"/>
    </xf>
    <xf numFmtId="176" fontId="171" fillId="0" borderId="0">
      <alignment vertical="center"/>
      <protection locked="0"/>
    </xf>
    <xf numFmtId="176" fontId="171" fillId="0" borderId="0">
      <alignment vertical="center"/>
    </xf>
    <xf numFmtId="176" fontId="1" fillId="0" borderId="0"/>
    <xf numFmtId="176" fontId="150" fillId="0" borderId="0">
      <alignment vertical="center"/>
    </xf>
    <xf numFmtId="176" fontId="171" fillId="0" borderId="0"/>
    <xf numFmtId="176" fontId="171" fillId="0" borderId="0"/>
    <xf numFmtId="176" fontId="171" fillId="0" borderId="0"/>
    <xf numFmtId="176" fontId="70" fillId="0" borderId="0">
      <alignment vertical="center"/>
    </xf>
    <xf numFmtId="176" fontId="171" fillId="0" borderId="0">
      <alignment vertical="center"/>
    </xf>
    <xf numFmtId="176" fontId="171" fillId="0" borderId="0">
      <protection locked="0"/>
    </xf>
    <xf numFmtId="176" fontId="171" fillId="0" borderId="0">
      <alignment vertical="center"/>
    </xf>
    <xf numFmtId="176" fontId="171" fillId="0" borderId="0">
      <alignment vertical="center"/>
    </xf>
    <xf numFmtId="176" fontId="171" fillId="0" borderId="0">
      <alignment vertical="center"/>
    </xf>
    <xf numFmtId="176" fontId="171" fillId="0" borderId="0"/>
    <xf numFmtId="176" fontId="70" fillId="0" borderId="0">
      <alignment vertical="center"/>
    </xf>
    <xf numFmtId="176" fontId="149" fillId="0" borderId="0">
      <alignment vertical="center"/>
    </xf>
    <xf numFmtId="176" fontId="70" fillId="0" borderId="0">
      <alignment vertical="center"/>
    </xf>
    <xf numFmtId="176" fontId="70" fillId="0" borderId="0">
      <alignment vertical="center"/>
    </xf>
    <xf numFmtId="176" fontId="70" fillId="0" borderId="0">
      <alignment vertical="center"/>
    </xf>
    <xf numFmtId="176" fontId="149" fillId="0" borderId="0">
      <alignment vertical="center"/>
    </xf>
    <xf numFmtId="176" fontId="70" fillId="0" borderId="0">
      <alignment vertical="center"/>
    </xf>
    <xf numFmtId="176" fontId="70" fillId="0" borderId="0">
      <alignment vertical="center"/>
    </xf>
    <xf numFmtId="176" fontId="70" fillId="0" borderId="0">
      <alignment vertical="center"/>
    </xf>
    <xf numFmtId="176" fontId="171" fillId="0" borderId="0">
      <alignment vertical="center"/>
      <protection locked="0"/>
    </xf>
    <xf numFmtId="176" fontId="151" fillId="0" borderId="0">
      <alignment vertical="center"/>
    </xf>
    <xf numFmtId="0" fontId="70" fillId="0" borderId="0"/>
    <xf numFmtId="176" fontId="171" fillId="0" borderId="0"/>
    <xf numFmtId="176" fontId="171" fillId="0" borderId="0"/>
    <xf numFmtId="176" fontId="171" fillId="0" borderId="0" applyNumberFormat="0" applyFill="0" applyBorder="0" applyAlignment="0" applyProtection="0"/>
    <xf numFmtId="176" fontId="171" fillId="0" borderId="0"/>
    <xf numFmtId="176" fontId="70" fillId="0" borderId="0">
      <alignment vertical="center"/>
    </xf>
    <xf numFmtId="176" fontId="70" fillId="0" borderId="0">
      <alignment vertical="center"/>
    </xf>
    <xf numFmtId="176" fontId="171" fillId="0" borderId="0"/>
    <xf numFmtId="176" fontId="84" fillId="0" borderId="0" applyNumberFormat="0" applyBorder="0" applyAlignment="0" applyProtection="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84" fillId="0" borderId="0" applyNumberFormat="0" applyBorder="0" applyAlignment="0" applyProtection="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53" fillId="0" borderId="0"/>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171" fillId="0" borderId="0"/>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70"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171" fillId="0" borderId="0">
      <alignment vertical="center"/>
    </xf>
    <xf numFmtId="176" fontId="37" fillId="0" borderId="0"/>
    <xf numFmtId="176" fontId="53" fillId="0" borderId="0"/>
    <xf numFmtId="176" fontId="171" fillId="0" borderId="0">
      <protection locked="0"/>
    </xf>
    <xf numFmtId="176" fontId="171" fillId="0" borderId="0" applyFill="0" applyBorder="0"/>
    <xf numFmtId="176" fontId="171" fillId="0" borderId="0">
      <alignment vertical="center"/>
    </xf>
    <xf numFmtId="176" fontId="171" fillId="0" borderId="0">
      <alignment vertical="center"/>
    </xf>
    <xf numFmtId="176" fontId="152" fillId="0" borderId="0" applyNumberFormat="0" applyFill="0" applyBorder="0" applyAlignment="0" applyProtection="0">
      <alignment vertical="top"/>
      <protection locked="0"/>
    </xf>
    <xf numFmtId="176" fontId="71" fillId="0" borderId="0" applyNumberFormat="0" applyFill="0" applyBorder="0" applyAlignment="0" applyProtection="0">
      <alignment vertical="top"/>
      <protection locked="0"/>
    </xf>
    <xf numFmtId="176" fontId="71" fillId="0" borderId="0" applyNumberFormat="0" applyFill="0" applyBorder="0" applyAlignment="0" applyProtection="0">
      <alignment vertical="top"/>
      <protection locked="0"/>
    </xf>
    <xf numFmtId="176" fontId="71" fillId="0" borderId="0" applyNumberFormat="0" applyFill="0" applyBorder="0" applyAlignment="0" applyProtection="0">
      <alignment vertical="top"/>
      <protection locked="0"/>
    </xf>
    <xf numFmtId="176" fontId="71" fillId="0" borderId="0" applyNumberFormat="0" applyFill="0" applyBorder="0" applyAlignment="0" applyProtection="0">
      <alignment vertical="top"/>
      <protection locked="0"/>
    </xf>
    <xf numFmtId="0" fontId="153" fillId="0" borderId="0" applyNumberFormat="0" applyFill="0" applyBorder="0" applyAlignment="0" applyProtection="0"/>
    <xf numFmtId="176" fontId="154" fillId="0" borderId="0" applyNumberFormat="0" applyFill="0" applyBorder="0" applyAlignment="0" applyProtection="0">
      <alignment vertical="top"/>
      <protection locked="0"/>
    </xf>
    <xf numFmtId="176" fontId="40" fillId="0" borderId="0">
      <alignment vertical="top"/>
      <protection locked="0"/>
    </xf>
    <xf numFmtId="176" fontId="154" fillId="0" borderId="0" applyNumberFormat="0" applyFill="0" applyBorder="0" applyAlignment="0" applyProtection="0">
      <alignment vertical="top"/>
      <protection locked="0"/>
    </xf>
    <xf numFmtId="176" fontId="71" fillId="0" borderId="0" applyNumberFormat="0" applyFill="0" applyBorder="0" applyAlignment="0" applyProtection="0">
      <alignment vertical="top"/>
      <protection locked="0"/>
    </xf>
    <xf numFmtId="176" fontId="153" fillId="0" borderId="0" applyNumberFormat="0" applyFill="0" applyBorder="0" applyAlignment="0" applyProtection="0"/>
    <xf numFmtId="176" fontId="89" fillId="0" borderId="0" applyNumberFormat="0" applyFill="0" applyBorder="0" applyAlignment="0" applyProtection="0"/>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54" borderId="0" applyNumberFormat="0" applyBorder="0" applyAlignment="0" applyProtection="0">
      <alignment vertical="center"/>
    </xf>
    <xf numFmtId="176" fontId="156" fillId="54" borderId="0" applyNumberFormat="0" applyBorder="0" applyAlignment="0" applyProtection="0">
      <alignment vertical="center"/>
    </xf>
    <xf numFmtId="176" fontId="156" fillId="54" borderId="0" applyNumberFormat="0" applyBorder="0" applyAlignment="0" applyProtection="0">
      <alignment vertical="center"/>
    </xf>
    <xf numFmtId="176" fontId="156" fillId="54" borderId="0" applyNumberFormat="0" applyBorder="0" applyAlignment="0" applyProtection="0">
      <alignment vertical="center"/>
    </xf>
    <xf numFmtId="176" fontId="156" fillId="15" borderId="0" applyNumberFormat="0" applyBorder="0" applyAlignment="0" applyProtection="0">
      <alignment vertical="center"/>
    </xf>
    <xf numFmtId="176" fontId="155" fillId="54" borderId="0" applyNumberFormat="0" applyBorder="0" applyAlignment="0" applyProtection="0">
      <alignment vertical="center"/>
    </xf>
    <xf numFmtId="176" fontId="157" fillId="37" borderId="0" applyNumberFormat="0" applyBorder="0" applyAlignment="0" applyProtection="0"/>
    <xf numFmtId="176" fontId="157" fillId="37" borderId="0" applyNumberFormat="0" applyBorder="0" applyAlignment="0" applyProtection="0"/>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15"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15" borderId="0" applyNumberFormat="0" applyBorder="0" applyAlignment="0" applyProtection="0">
      <alignment vertical="center"/>
    </xf>
    <xf numFmtId="176" fontId="158" fillId="11" borderId="0" applyNumberFormat="0" applyBorder="0" applyAlignment="0" applyProtection="0">
      <alignment vertical="center"/>
    </xf>
    <xf numFmtId="176" fontId="158" fillId="11" borderId="0" applyNumberFormat="0" applyBorder="0" applyAlignment="0" applyProtection="0">
      <alignment vertical="center"/>
    </xf>
    <xf numFmtId="176" fontId="159" fillId="15" borderId="0" applyNumberFormat="0" applyBorder="0" applyAlignment="0" applyProtection="0">
      <alignment vertical="center"/>
    </xf>
    <xf numFmtId="176" fontId="159" fillId="15" borderId="0" applyNumberFormat="0" applyBorder="0" applyAlignment="0" applyProtection="0">
      <alignment vertical="center"/>
    </xf>
    <xf numFmtId="176" fontId="159" fillId="15" borderId="0" applyNumberFormat="0" applyBorder="0" applyAlignment="0" applyProtection="0">
      <alignment vertical="center"/>
    </xf>
    <xf numFmtId="176" fontId="157" fillId="15" borderId="0" applyNumberFormat="0" applyBorder="0" applyAlignment="0" applyProtection="0">
      <alignment vertical="center"/>
    </xf>
    <xf numFmtId="176" fontId="157" fillId="15" borderId="0" applyNumberFormat="0" applyBorder="0" applyAlignment="0" applyProtection="0">
      <alignment vertical="center"/>
    </xf>
    <xf numFmtId="176" fontId="155" fillId="54"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60" fillId="55" borderId="0" applyNumberFormat="0" applyBorder="0" applyAlignment="0" applyProtection="0">
      <alignment vertical="center"/>
    </xf>
    <xf numFmtId="176" fontId="160" fillId="55" borderId="0" applyNumberFormat="0" applyBorder="0" applyAlignment="0" applyProtection="0">
      <alignment vertical="center"/>
    </xf>
    <xf numFmtId="176" fontId="155" fillId="54" borderId="0" applyNumberFormat="0" applyBorder="0" applyAlignment="0" applyProtection="0">
      <alignment vertical="center"/>
    </xf>
    <xf numFmtId="176" fontId="160" fillId="55"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15" borderId="0" applyNumberFormat="0" applyBorder="0" applyAlignment="0" applyProtection="0">
      <alignment vertical="center"/>
    </xf>
    <xf numFmtId="176" fontId="155" fillId="54" borderId="0" applyNumberFormat="0" applyBorder="0" applyAlignment="0" applyProtection="0">
      <alignment vertical="center"/>
    </xf>
    <xf numFmtId="176" fontId="156" fillId="15" borderId="0" applyNumberFormat="0" applyBorder="0" applyAlignment="0" applyProtection="0">
      <alignment vertical="center"/>
    </xf>
    <xf numFmtId="176" fontId="155" fillId="54"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54" borderId="0" applyNumberFormat="0" applyBorder="0" applyAlignment="0" applyProtection="0">
      <alignment vertical="center"/>
    </xf>
    <xf numFmtId="176" fontId="155" fillId="54" borderId="0" applyNumberFormat="0" applyBorder="0" applyAlignment="0" applyProtection="0">
      <alignment vertical="center"/>
    </xf>
    <xf numFmtId="176" fontId="156" fillId="56" borderId="0" applyNumberFormat="0" applyBorder="0" applyAlignment="0" applyProtection="0">
      <alignment vertical="center"/>
    </xf>
    <xf numFmtId="176" fontId="156" fillId="56" borderId="0" applyNumberFormat="0" applyBorder="0" applyAlignment="0" applyProtection="0">
      <alignment vertical="center"/>
    </xf>
    <xf numFmtId="176" fontId="155" fillId="54" borderId="0" applyNumberFormat="0" applyBorder="0" applyAlignment="0" applyProtection="0">
      <alignment vertical="center"/>
    </xf>
    <xf numFmtId="176" fontId="160" fillId="55" borderId="0" applyNumberFormat="0" applyBorder="0" applyAlignment="0" applyProtection="0">
      <alignment vertical="center"/>
    </xf>
    <xf numFmtId="176" fontId="155" fillId="54" borderId="0" applyNumberFormat="0" applyBorder="0" applyAlignment="0" applyProtection="0">
      <alignment vertical="center"/>
    </xf>
    <xf numFmtId="176" fontId="160" fillId="55" borderId="0" applyNumberFormat="0" applyBorder="0" applyAlignment="0" applyProtection="0">
      <alignment vertical="center"/>
    </xf>
    <xf numFmtId="176" fontId="156" fillId="54" borderId="0" applyNumberFormat="0" applyBorder="0" applyAlignment="0" applyProtection="0">
      <alignment vertical="center"/>
    </xf>
    <xf numFmtId="176" fontId="159" fillId="17" borderId="0" applyNumberFormat="0" applyBorder="0" applyAlignment="0" applyProtection="0">
      <alignment vertical="center"/>
    </xf>
    <xf numFmtId="176" fontId="159" fillId="17" borderId="0" applyNumberFormat="0" applyBorder="0" applyAlignment="0" applyProtection="0">
      <alignment vertical="center"/>
    </xf>
    <xf numFmtId="4" fontId="137" fillId="0" borderId="0" applyFont="0" applyFill="0" applyBorder="0" applyAlignment="0" applyProtection="0"/>
    <xf numFmtId="41" fontId="53" fillId="0" borderId="0" applyFont="0" applyFill="0" applyBorder="0" applyAlignment="0" applyProtection="0"/>
    <xf numFmtId="227" fontId="161" fillId="0" borderId="0" applyFont="0" applyFill="0" applyBorder="0" applyAlignment="0" applyProtection="0"/>
    <xf numFmtId="228" fontId="161" fillId="0" borderId="0" applyFont="0" applyFill="0" applyBorder="0" applyAlignment="0" applyProtection="0"/>
    <xf numFmtId="229" fontId="53" fillId="0" borderId="0" applyFont="0" applyFill="0" applyBorder="0" applyAlignment="0" applyProtection="0"/>
    <xf numFmtId="230" fontId="53" fillId="0" borderId="0" applyFont="0" applyFill="0" applyBorder="0" applyAlignment="0" applyProtection="0"/>
    <xf numFmtId="176" fontId="37" fillId="0" borderId="0"/>
    <xf numFmtId="1" fontId="37" fillId="0" borderId="0"/>
    <xf numFmtId="231" fontId="162" fillId="0" borderId="0" applyFont="0" applyFill="0" applyBorder="0" applyAlignment="0" applyProtection="0"/>
    <xf numFmtId="232" fontId="162" fillId="0" borderId="0" applyFont="0" applyFill="0" applyBorder="0" applyAlignment="0" applyProtection="0"/>
    <xf numFmtId="227" fontId="37" fillId="0" borderId="0" applyFont="0" applyFill="0" applyBorder="0" applyAlignment="0" applyProtection="0"/>
    <xf numFmtId="228" fontId="37" fillId="0" borderId="0" applyFont="0" applyFill="0" applyBorder="0" applyAlignment="0" applyProtection="0"/>
    <xf numFmtId="176" fontId="74" fillId="0" borderId="0"/>
    <xf numFmtId="41" fontId="74" fillId="0" borderId="0" applyFont="0" applyFill="0" applyBorder="0" applyAlignment="0" applyProtection="0"/>
    <xf numFmtId="43" fontId="74" fillId="0" borderId="0" applyFont="0" applyFill="0" applyBorder="0" applyAlignment="0" applyProtection="0"/>
    <xf numFmtId="41" fontId="37" fillId="0" borderId="0" applyFont="0" applyFill="0" applyBorder="0" applyAlignment="0" applyProtection="0"/>
    <xf numFmtId="43" fontId="37"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alignment vertical="center"/>
    </xf>
    <xf numFmtId="43" fontId="171" fillId="0" borderId="0" applyFont="0" applyFill="0" applyBorder="0" applyAlignment="0" applyProtection="0"/>
    <xf numFmtId="43" fontId="171" fillId="0" borderId="0" applyFont="0" applyFill="0" applyBorder="0" applyAlignment="0" applyProtection="0">
      <alignment vertical="center"/>
    </xf>
    <xf numFmtId="43" fontId="171" fillId="0" borderId="0" applyFont="0" applyFill="0" applyBorder="0" applyAlignment="0" applyProtection="0">
      <alignment vertical="center"/>
    </xf>
    <xf numFmtId="43" fontId="171" fillId="0" borderId="0" applyFont="0" applyFill="0" applyBorder="0" applyAlignment="0" applyProtection="0">
      <alignment vertical="center"/>
    </xf>
    <xf numFmtId="43" fontId="171" fillId="0" borderId="0" applyFont="0" applyFill="0" applyBorder="0" applyAlignment="0" applyProtection="0">
      <alignment vertical="center"/>
    </xf>
    <xf numFmtId="43" fontId="17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1" fillId="0" borderId="0" applyFont="0" applyFill="0" applyBorder="0" applyAlignment="0" applyProtection="0"/>
    <xf numFmtId="176" fontId="53"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171" fillId="0" borderId="0" applyFont="0" applyFill="0" applyBorder="0" applyAlignment="0" applyProtection="0"/>
    <xf numFmtId="43" fontId="70" fillId="0" borderId="0" applyFont="0" applyFill="0" applyBorder="0" applyAlignment="0" applyProtection="0">
      <alignment vertical="center"/>
    </xf>
    <xf numFmtId="233" fontId="1" fillId="0" borderId="0">
      <alignment vertical="center"/>
    </xf>
    <xf numFmtId="43" fontId="70" fillId="0" borderId="0" applyFont="0" applyFill="0" applyBorder="0" applyAlignment="0" applyProtection="0">
      <alignment vertical="center"/>
    </xf>
    <xf numFmtId="43" fontId="171" fillId="0" borderId="0" applyFont="0" applyFill="0" applyBorder="0" applyAlignment="0" applyProtection="0"/>
    <xf numFmtId="41" fontId="171" fillId="0" borderId="0" applyFont="0" applyFill="0" applyBorder="0" applyAlignment="0" applyProtection="0"/>
    <xf numFmtId="41" fontId="171" fillId="0" borderId="0" applyFont="0" applyFill="0" applyBorder="0" applyAlignment="0" applyProtection="0"/>
    <xf numFmtId="176" fontId="163" fillId="0" borderId="0"/>
    <xf numFmtId="176" fontId="164" fillId="57" borderId="0" applyNumberFormat="0" applyBorder="0" applyAlignment="0" applyProtection="0"/>
    <xf numFmtId="176" fontId="164" fillId="57" borderId="0" applyNumberFormat="0" applyBorder="0" applyAlignment="0" applyProtection="0"/>
    <xf numFmtId="176" fontId="164" fillId="58" borderId="0" applyNumberFormat="0" applyBorder="0" applyAlignment="0" applyProtection="0"/>
    <xf numFmtId="176" fontId="164" fillId="58" borderId="0" applyNumberFormat="0" applyBorder="0" applyAlignment="0" applyProtection="0"/>
    <xf numFmtId="176" fontId="164" fillId="59" borderId="0" applyNumberFormat="0" applyBorder="0" applyAlignment="0" applyProtection="0"/>
    <xf numFmtId="176" fontId="164" fillId="59" borderId="0" applyNumberFormat="0" applyBorder="0" applyAlignment="0" applyProtection="0"/>
    <xf numFmtId="209" fontId="53" fillId="0" borderId="0" applyFont="0" applyFill="0" applyBorder="0" applyAlignment="0" applyProtection="0"/>
    <xf numFmtId="234" fontId="137" fillId="0" borderId="0" applyFont="0" applyFill="0" applyBorder="0" applyAlignment="0" applyProtection="0"/>
    <xf numFmtId="176" fontId="75" fillId="0" borderId="0">
      <alignment vertical="top"/>
    </xf>
    <xf numFmtId="176" fontId="75" fillId="0" borderId="0">
      <alignment vertical="top"/>
    </xf>
    <xf numFmtId="176" fontId="75" fillId="0" borderId="0">
      <alignment vertical="top"/>
    </xf>
    <xf numFmtId="176" fontId="75" fillId="0" borderId="0">
      <alignment vertical="top"/>
    </xf>
    <xf numFmtId="176" fontId="161" fillId="0" borderId="0"/>
    <xf numFmtId="176" fontId="165" fillId="0" borderId="0"/>
    <xf numFmtId="40" fontId="139" fillId="0" borderId="0" applyFont="0" applyFill="0" applyBorder="0" applyAlignment="0" applyProtection="0"/>
    <xf numFmtId="38" fontId="139" fillId="0" borderId="0" applyFont="0" applyFill="0" applyBorder="0" applyAlignment="0" applyProtection="0"/>
    <xf numFmtId="226" fontId="53" fillId="0" borderId="17" applyNumberFormat="0"/>
    <xf numFmtId="226" fontId="53" fillId="0" borderId="17" applyNumberFormat="0"/>
    <xf numFmtId="38" fontId="72" fillId="0" borderId="0" applyFont="0" applyFill="0" applyBorder="0" applyAlignment="0" applyProtection="0"/>
    <xf numFmtId="40" fontId="72" fillId="0" borderId="0" applyFont="0" applyFill="0" applyBorder="0" applyAlignment="0" applyProtection="0"/>
    <xf numFmtId="176" fontId="72" fillId="0" borderId="0" applyFont="0" applyFill="0" applyBorder="0" applyAlignment="0" applyProtection="0"/>
    <xf numFmtId="176" fontId="72" fillId="0" borderId="0" applyFont="0" applyFill="0" applyBorder="0" applyAlignment="0" applyProtection="0"/>
    <xf numFmtId="176" fontId="166" fillId="0" borderId="0"/>
    <xf numFmtId="0" fontId="171" fillId="0" borderId="0" applyFill="0" applyBorder="0"/>
  </cellStyleXfs>
  <cellXfs count="473">
    <xf numFmtId="176" fontId="0" fillId="0" borderId="0" xfId="0">
      <protection locked="0"/>
    </xf>
    <xf numFmtId="176" fontId="1" fillId="0" borderId="0" xfId="0" applyNumberFormat="1" applyFont="1" applyAlignment="1">
      <alignment vertical="center"/>
      <protection locked="0"/>
    </xf>
    <xf numFmtId="176" fontId="1" fillId="0" borderId="0" xfId="956" applyNumberFormat="1" applyFont="1" applyBorder="1" applyAlignment="1">
      <alignment vertical="center"/>
    </xf>
    <xf numFmtId="176" fontId="1" fillId="0" borderId="0" xfId="956" applyNumberFormat="1" applyFont="1" applyBorder="1" applyAlignment="1">
      <alignment horizontal="left" vertical="center"/>
    </xf>
    <xf numFmtId="176" fontId="4" fillId="2" borderId="1" xfId="820" applyNumberFormat="1" applyFont="1" applyFill="1" applyBorder="1" applyAlignment="1">
      <alignment horizontal="center" vertical="center"/>
    </xf>
    <xf numFmtId="176" fontId="4" fillId="2" borderId="1" xfId="820" applyNumberFormat="1" applyFont="1" applyFill="1" applyBorder="1" applyAlignment="1">
      <alignment horizontal="center" vertical="center" wrapText="1"/>
    </xf>
    <xf numFmtId="176" fontId="5" fillId="2" borderId="1" xfId="820" applyNumberFormat="1" applyFont="1" applyFill="1" applyBorder="1" applyAlignment="1">
      <alignment horizontal="center" vertical="center" wrapText="1"/>
    </xf>
    <xf numFmtId="176" fontId="5" fillId="2" borderId="1" xfId="874" applyNumberFormat="1" applyFont="1" applyFill="1" applyBorder="1" applyAlignment="1" applyProtection="1">
      <alignment horizontal="center" vertical="center" wrapText="1"/>
      <protection locked="0"/>
    </xf>
    <xf numFmtId="176" fontId="6" fillId="2" borderId="1" xfId="874" applyNumberFormat="1" applyFont="1" applyFill="1" applyBorder="1" applyAlignment="1" applyProtection="1">
      <alignment horizontal="center" vertical="center" wrapText="1"/>
      <protection locked="0"/>
    </xf>
    <xf numFmtId="176" fontId="9" fillId="0" borderId="0" xfId="820" applyNumberFormat="1" applyFont="1" applyAlignment="1" applyProtection="1">
      <alignment vertical="center"/>
      <protection locked="0"/>
    </xf>
    <xf numFmtId="176" fontId="1" fillId="0" borderId="0" xfId="820" applyNumberFormat="1" applyFont="1" applyAlignment="1" applyProtection="1">
      <alignment vertical="center" wrapText="1"/>
      <protection locked="0"/>
    </xf>
    <xf numFmtId="176" fontId="10" fillId="0" borderId="0" xfId="820" applyNumberFormat="1" applyFont="1" applyAlignment="1" applyProtection="1">
      <alignment vertical="center"/>
      <protection locked="0"/>
    </xf>
    <xf numFmtId="176" fontId="1" fillId="0" borderId="0" xfId="956" applyNumberFormat="1" applyFont="1" applyBorder="1" applyAlignment="1">
      <alignment horizontal="right" vertical="center"/>
    </xf>
    <xf numFmtId="176" fontId="1" fillId="0" borderId="0" xfId="952" applyNumberFormat="1" applyFont="1">
      <alignment vertical="center"/>
    </xf>
    <xf numFmtId="176" fontId="5" fillId="0" borderId="0" xfId="812" applyNumberFormat="1" applyFont="1" applyAlignment="1">
      <alignment horizontal="center" vertical="center"/>
      <protection locked="0"/>
    </xf>
    <xf numFmtId="176" fontId="1" fillId="0" borderId="0" xfId="812" applyNumberFormat="1" applyFont="1" applyAlignment="1">
      <alignment vertical="center"/>
      <protection locked="0"/>
    </xf>
    <xf numFmtId="176" fontId="5" fillId="2" borderId="1" xfId="812" applyNumberFormat="1" applyFont="1" applyFill="1" applyBorder="1" applyAlignment="1">
      <alignment horizontal="center" vertical="center"/>
      <protection locked="0"/>
    </xf>
    <xf numFmtId="176" fontId="5" fillId="2" borderId="1" xfId="812" applyNumberFormat="1" applyFont="1" applyFill="1" applyBorder="1" applyAlignment="1">
      <alignment horizontal="centerContinuous" vertical="center"/>
      <protection locked="0"/>
    </xf>
    <xf numFmtId="176" fontId="1" fillId="0" borderId="1" xfId="949" applyNumberFormat="1" applyFont="1" applyBorder="1" applyAlignment="1">
      <alignment horizontal="left" vertical="center" wrapText="1"/>
    </xf>
    <xf numFmtId="43" fontId="12" fillId="0" borderId="1" xfId="949" applyNumberFormat="1" applyFont="1" applyBorder="1" applyAlignment="1">
      <alignment horizontal="left" vertical="center" wrapText="1"/>
    </xf>
    <xf numFmtId="43" fontId="12" fillId="3" borderId="1" xfId="1061" applyNumberFormat="1" applyFont="1" applyFill="1" applyBorder="1" applyAlignment="1">
      <alignment vertical="center"/>
    </xf>
    <xf numFmtId="10" fontId="12" fillId="3" borderId="1" xfId="724" applyNumberFormat="1" applyFont="1" applyFill="1" applyBorder="1" applyAlignment="1">
      <alignment horizontal="right" vertical="center"/>
    </xf>
    <xf numFmtId="43" fontId="12" fillId="0" borderId="1" xfId="724" applyNumberFormat="1" applyFont="1" applyBorder="1" applyAlignment="1">
      <alignment horizontal="center" vertical="center"/>
    </xf>
    <xf numFmtId="176" fontId="1" fillId="0" borderId="1" xfId="812" applyNumberFormat="1" applyFont="1" applyBorder="1" applyAlignment="1">
      <alignment horizontal="center" vertical="center"/>
      <protection locked="0"/>
    </xf>
    <xf numFmtId="43" fontId="13" fillId="3" borderId="1" xfId="1061" applyNumberFormat="1" applyFont="1" applyFill="1" applyBorder="1" applyAlignment="1">
      <alignment vertical="center"/>
    </xf>
    <xf numFmtId="10" fontId="13" fillId="3" borderId="1" xfId="724" applyNumberFormat="1" applyFont="1" applyFill="1" applyBorder="1" applyAlignment="1">
      <alignment horizontal="right" vertical="center"/>
    </xf>
    <xf numFmtId="176" fontId="9" fillId="0" borderId="0" xfId="812" applyNumberFormat="1" applyFont="1" applyAlignment="1">
      <alignment vertical="center"/>
      <protection locked="0"/>
    </xf>
    <xf numFmtId="176" fontId="14" fillId="0" borderId="0" xfId="812" applyNumberFormat="1" applyFont="1" applyAlignment="1">
      <alignment vertical="center"/>
      <protection locked="0"/>
    </xf>
    <xf numFmtId="43" fontId="12" fillId="3" borderId="1" xfId="724" applyNumberFormat="1" applyFont="1" applyFill="1" applyBorder="1" applyAlignment="1">
      <alignment horizontal="right" vertical="center"/>
    </xf>
    <xf numFmtId="176" fontId="1" fillId="0" borderId="1" xfId="1061" applyNumberFormat="1" applyFont="1" applyBorder="1" applyAlignment="1">
      <alignment vertical="center"/>
    </xf>
    <xf numFmtId="43" fontId="13" fillId="3" borderId="1" xfId="724" applyNumberFormat="1" applyFont="1" applyFill="1" applyBorder="1" applyAlignment="1">
      <alignment horizontal="right" vertical="center"/>
    </xf>
    <xf numFmtId="176" fontId="5" fillId="0" borderId="1" xfId="1061" applyNumberFormat="1" applyFont="1" applyBorder="1" applyAlignment="1">
      <alignment vertical="center"/>
    </xf>
    <xf numFmtId="176" fontId="1" fillId="0" borderId="0" xfId="950" applyNumberFormat="1" applyFont="1">
      <alignment vertical="center"/>
    </xf>
    <xf numFmtId="176" fontId="5" fillId="0" borderId="0" xfId="0" applyNumberFormat="1" applyFont="1" applyAlignment="1">
      <alignment vertical="center"/>
      <protection locked="0"/>
    </xf>
    <xf numFmtId="43" fontId="12" fillId="0" borderId="1" xfId="1066" applyNumberFormat="1" applyFont="1" applyBorder="1" applyAlignment="1">
      <alignment horizontal="right" vertical="center"/>
    </xf>
    <xf numFmtId="176" fontId="1" fillId="0" borderId="5" xfId="0" applyNumberFormat="1" applyFont="1" applyBorder="1" applyAlignment="1">
      <alignment horizontal="center" vertical="center"/>
      <protection locked="0"/>
    </xf>
    <xf numFmtId="176" fontId="1" fillId="0" borderId="1" xfId="0" applyNumberFormat="1" applyFont="1" applyBorder="1" applyAlignment="1">
      <alignment horizontal="center" vertical="center"/>
      <protection locked="0"/>
    </xf>
    <xf numFmtId="176" fontId="1" fillId="0" borderId="6" xfId="0" applyNumberFormat="1" applyFont="1" applyBorder="1" applyAlignment="1">
      <alignment horizontal="center" vertical="center"/>
      <protection locked="0"/>
    </xf>
    <xf numFmtId="176" fontId="5" fillId="3" borderId="1" xfId="0" applyNumberFormat="1" applyFont="1" applyFill="1" applyBorder="1" applyAlignment="1">
      <alignment horizontal="center" vertical="center"/>
      <protection locked="0"/>
    </xf>
    <xf numFmtId="43" fontId="13" fillId="3" borderId="1" xfId="1066" applyNumberFormat="1" applyFont="1" applyFill="1" applyBorder="1" applyAlignment="1">
      <alignment horizontal="right" vertical="center"/>
    </xf>
    <xf numFmtId="176" fontId="5" fillId="3" borderId="7" xfId="0" applyNumberFormat="1" applyFont="1" applyFill="1" applyBorder="1" applyAlignment="1">
      <alignment horizontal="center" vertical="center"/>
      <protection locked="0"/>
    </xf>
    <xf numFmtId="10" fontId="13" fillId="3" borderId="1" xfId="726" applyNumberFormat="1" applyFont="1" applyFill="1" applyBorder="1" applyAlignment="1">
      <alignment horizontal="right" vertical="center"/>
    </xf>
    <xf numFmtId="176" fontId="16" fillId="0" borderId="0" xfId="0" applyNumberFormat="1" applyFont="1" applyAlignment="1">
      <alignment vertical="center"/>
      <protection locked="0"/>
    </xf>
    <xf numFmtId="176" fontId="1" fillId="0" borderId="0" xfId="0" applyNumberFormat="1" applyFont="1" applyAlignment="1">
      <alignment horizontal="right" vertical="center"/>
      <protection locked="0"/>
    </xf>
    <xf numFmtId="176" fontId="5" fillId="3" borderId="5" xfId="1" applyNumberFormat="1" applyFont="1" applyFill="1" applyBorder="1" applyAlignment="1">
      <alignment horizontal="center" vertical="center" wrapText="1"/>
    </xf>
    <xf numFmtId="176" fontId="5" fillId="3" borderId="5" xfId="1" applyNumberFormat="1" applyFont="1" applyFill="1" applyBorder="1" applyAlignment="1">
      <alignment horizontal="center" vertical="center"/>
    </xf>
    <xf numFmtId="43" fontId="12" fillId="3" borderId="1" xfId="1066" applyNumberFormat="1" applyFont="1" applyFill="1" applyBorder="1" applyAlignment="1">
      <alignment horizontal="right" vertical="center"/>
    </xf>
    <xf numFmtId="43" fontId="13" fillId="0" borderId="1" xfId="1066" applyNumberFormat="1" applyFont="1" applyFill="1" applyBorder="1" applyAlignment="1">
      <alignment horizontal="right" vertical="center"/>
    </xf>
    <xf numFmtId="176" fontId="13" fillId="0" borderId="1" xfId="726" applyNumberFormat="1" applyFont="1" applyBorder="1" applyAlignment="1">
      <alignment horizontal="right" vertical="center"/>
    </xf>
    <xf numFmtId="176" fontId="5" fillId="3" borderId="5" xfId="2" applyNumberFormat="1" applyFont="1" applyFill="1" applyBorder="1" applyAlignment="1">
      <alignment horizontal="center" vertical="center"/>
    </xf>
    <xf numFmtId="176" fontId="5" fillId="3" borderId="5" xfId="0" applyNumberFormat="1" applyFont="1" applyFill="1" applyBorder="1" applyAlignment="1">
      <alignment horizontal="center" vertical="center"/>
      <protection locked="0"/>
    </xf>
    <xf numFmtId="10" fontId="12" fillId="3" borderId="1" xfId="726" applyNumberFormat="1" applyFont="1" applyFill="1" applyBorder="1" applyAlignment="1">
      <alignment horizontal="right" vertical="center"/>
    </xf>
    <xf numFmtId="176" fontId="1" fillId="0" borderId="1" xfId="1" applyNumberFormat="1" applyFont="1" applyBorder="1" applyAlignment="1">
      <alignment horizontal="center" vertical="center"/>
    </xf>
    <xf numFmtId="176" fontId="5" fillId="3" borderId="1" xfId="1" applyNumberFormat="1" applyFont="1" applyFill="1" applyBorder="1" applyAlignment="1">
      <alignment horizontal="center" vertical="center"/>
    </xf>
    <xf numFmtId="176" fontId="1" fillId="0" borderId="1" xfId="2" applyNumberFormat="1" applyFont="1" applyBorder="1" applyAlignment="1">
      <alignment horizontal="center" vertical="center"/>
    </xf>
    <xf numFmtId="43" fontId="17" fillId="0" borderId="0" xfId="802" applyNumberFormat="1" applyFont="1">
      <alignment vertical="center"/>
    </xf>
    <xf numFmtId="43" fontId="18" fillId="0" borderId="0" xfId="802" applyNumberFormat="1" applyFont="1">
      <alignment vertical="center"/>
    </xf>
    <xf numFmtId="176" fontId="12" fillId="0" borderId="0" xfId="805" applyFont="1" applyAlignment="1">
      <alignment vertical="center"/>
      <protection locked="0"/>
    </xf>
    <xf numFmtId="43" fontId="20" fillId="0" borderId="0" xfId="802" applyNumberFormat="1" applyFont="1">
      <alignment vertical="center"/>
    </xf>
    <xf numFmtId="43" fontId="21" fillId="0" borderId="0" xfId="966" applyNumberFormat="1" applyFont="1" applyAlignment="1" applyProtection="1">
      <alignment horizontal="center" vertical="center"/>
    </xf>
    <xf numFmtId="43" fontId="22" fillId="0" borderId="0" xfId="802" applyNumberFormat="1" applyFont="1" applyAlignment="1">
      <alignment horizontal="justify" vertical="center"/>
    </xf>
    <xf numFmtId="43" fontId="23" fillId="0" borderId="11" xfId="802" applyNumberFormat="1" applyFont="1" applyBorder="1" applyAlignment="1">
      <alignment horizontal="right" vertical="center" wrapText="1"/>
    </xf>
    <xf numFmtId="43" fontId="24" fillId="0" borderId="0" xfId="802" applyNumberFormat="1" applyFont="1" applyAlignment="1">
      <alignment horizontal="justify" vertical="center" wrapText="1"/>
    </xf>
    <xf numFmtId="43" fontId="23" fillId="0" borderId="12" xfId="802" applyNumberFormat="1" applyFont="1" applyBorder="1" applyAlignment="1">
      <alignment horizontal="justify" vertical="center" wrapText="1"/>
    </xf>
    <xf numFmtId="43" fontId="23" fillId="0" borderId="12" xfId="802" applyNumberFormat="1" applyFont="1" applyBorder="1" applyAlignment="1">
      <alignment horizontal="right" vertical="center" wrapText="1"/>
    </xf>
    <xf numFmtId="43" fontId="25" fillId="0" borderId="0" xfId="802" applyNumberFormat="1" applyFont="1" applyAlignment="1">
      <alignment horizontal="left" vertical="center"/>
    </xf>
    <xf numFmtId="43" fontId="22" fillId="0" borderId="0" xfId="802" applyNumberFormat="1" applyFont="1" applyAlignment="1">
      <alignment horizontal="left" vertical="center"/>
    </xf>
    <xf numFmtId="43" fontId="26" fillId="0" borderId="11" xfId="802" applyNumberFormat="1" applyFont="1" applyBorder="1" applyAlignment="1">
      <alignment horizontal="right" vertical="center"/>
    </xf>
    <xf numFmtId="43" fontId="26" fillId="0" borderId="11" xfId="802" applyNumberFormat="1" applyFont="1" applyBorder="1" applyAlignment="1">
      <alignment horizontal="right" vertical="center" wrapText="1"/>
    </xf>
    <xf numFmtId="43" fontId="24" fillId="0" borderId="0" xfId="802" applyNumberFormat="1" applyFont="1" applyAlignment="1">
      <alignment horizontal="justify" vertical="center"/>
    </xf>
    <xf numFmtId="43" fontId="24" fillId="0" borderId="0" xfId="802" applyNumberFormat="1" applyFont="1" applyAlignment="1">
      <alignment horizontal="right" vertical="center"/>
    </xf>
    <xf numFmtId="43" fontId="24" fillId="0" borderId="0" xfId="802" applyNumberFormat="1" applyFont="1" applyAlignment="1">
      <alignment horizontal="right" vertical="center" wrapText="1"/>
    </xf>
    <xf numFmtId="43" fontId="27" fillId="0" borderId="0" xfId="802" applyNumberFormat="1" applyFont="1" applyAlignment="1">
      <alignment horizontal="justify" vertical="center"/>
    </xf>
    <xf numFmtId="43" fontId="24" fillId="0" borderId="11" xfId="802" applyNumberFormat="1" applyFont="1" applyBorder="1" applyAlignment="1">
      <alignment horizontal="justify" vertical="center"/>
    </xf>
    <xf numFmtId="43" fontId="24" fillId="0" borderId="11" xfId="802" applyNumberFormat="1" applyFont="1" applyBorder="1" applyAlignment="1">
      <alignment horizontal="right" vertical="center"/>
    </xf>
    <xf numFmtId="43" fontId="23" fillId="0" borderId="11" xfId="802" applyNumberFormat="1" applyFont="1" applyBorder="1" applyAlignment="1">
      <alignment horizontal="justify" vertical="center"/>
    </xf>
    <xf numFmtId="43" fontId="23" fillId="0" borderId="11" xfId="802" applyNumberFormat="1" applyFont="1" applyBorder="1" applyAlignment="1">
      <alignment horizontal="right" vertical="center"/>
    </xf>
    <xf numFmtId="43" fontId="27" fillId="0" borderId="11" xfId="802" applyNumberFormat="1" applyFont="1" applyBorder="1" applyAlignment="1">
      <alignment horizontal="justify" vertical="center"/>
    </xf>
    <xf numFmtId="43" fontId="24" fillId="0" borderId="11" xfId="802" applyNumberFormat="1" applyFont="1" applyBorder="1" applyAlignment="1">
      <alignment horizontal="right" vertical="center" wrapText="1"/>
    </xf>
    <xf numFmtId="176" fontId="31" fillId="0" borderId="11" xfId="802" applyFont="1" applyBorder="1" applyAlignment="1">
      <alignment horizontal="right" vertical="center"/>
    </xf>
    <xf numFmtId="176" fontId="22" fillId="0" borderId="0" xfId="802" applyFont="1" applyAlignment="1">
      <alignment horizontal="left" vertical="center"/>
    </xf>
    <xf numFmtId="43" fontId="32" fillId="0" borderId="0" xfId="1075" applyNumberFormat="1" applyFont="1" applyAlignment="1">
      <alignment horizontal="right" vertical="center"/>
    </xf>
    <xf numFmtId="176" fontId="32" fillId="0" borderId="0" xfId="802" applyFont="1" applyAlignment="1">
      <alignment horizontal="right" vertical="center"/>
    </xf>
    <xf numFmtId="176" fontId="33" fillId="0" borderId="9" xfId="802" applyFont="1" applyBorder="1" applyAlignment="1">
      <alignment horizontal="left" vertical="center"/>
    </xf>
    <xf numFmtId="43" fontId="19" fillId="0" borderId="9" xfId="1075" applyNumberFormat="1" applyFont="1" applyBorder="1" applyAlignment="1">
      <alignment horizontal="right" vertical="center"/>
    </xf>
    <xf numFmtId="43" fontId="34" fillId="0" borderId="0" xfId="802" applyNumberFormat="1" applyFont="1" applyAlignment="1">
      <alignment horizontal="left" vertical="center"/>
    </xf>
    <xf numFmtId="43" fontId="23" fillId="0" borderId="9" xfId="802" applyNumberFormat="1" applyFont="1" applyBorder="1" applyAlignment="1">
      <alignment horizontal="left" vertical="center"/>
    </xf>
    <xf numFmtId="43" fontId="35" fillId="0" borderId="9" xfId="802" applyNumberFormat="1" applyFont="1" applyBorder="1" applyAlignment="1">
      <alignment horizontal="right" vertical="center"/>
    </xf>
    <xf numFmtId="43" fontId="23" fillId="0" borderId="9" xfId="802" applyNumberFormat="1" applyFont="1" applyBorder="1" applyAlignment="1">
      <alignment horizontal="right" vertical="center"/>
    </xf>
    <xf numFmtId="43" fontId="24" fillId="0" borderId="0" xfId="802" applyNumberFormat="1" applyFont="1" applyAlignment="1">
      <alignment horizontal="left" vertical="center"/>
    </xf>
    <xf numFmtId="43" fontId="24" fillId="0" borderId="11" xfId="802" applyNumberFormat="1" applyFont="1" applyBorder="1" applyAlignment="1">
      <alignment horizontal="left" vertical="center"/>
    </xf>
    <xf numFmtId="176" fontId="12" fillId="0" borderId="0" xfId="805" applyFont="1" applyAlignment="1">
      <alignment horizontal="right" vertical="center"/>
      <protection locked="0"/>
    </xf>
    <xf numFmtId="176" fontId="25" fillId="0" borderId="0" xfId="802" applyFont="1" applyAlignment="1">
      <alignment horizontal="left" vertical="center"/>
    </xf>
    <xf numFmtId="43" fontId="36" fillId="0" borderId="0" xfId="1075" applyNumberFormat="1" applyFont="1" applyAlignment="1">
      <alignment horizontal="center" vertical="center"/>
    </xf>
    <xf numFmtId="43" fontId="37" fillId="0" borderId="0" xfId="1075" applyNumberFormat="1" applyFont="1">
      <alignment vertical="center"/>
    </xf>
    <xf numFmtId="176" fontId="38" fillId="0" borderId="0" xfId="802" applyFont="1">
      <alignment vertical="center"/>
    </xf>
    <xf numFmtId="176" fontId="0" fillId="0" borderId="0" xfId="802" applyFont="1" applyAlignment="1">
      <alignment horizontal="left" vertical="center"/>
    </xf>
    <xf numFmtId="176" fontId="0" fillId="0" borderId="0" xfId="802" applyFont="1">
      <alignment vertical="center"/>
    </xf>
    <xf numFmtId="176" fontId="19" fillId="0" borderId="0" xfId="802" applyFont="1" applyAlignment="1">
      <alignment horizontal="left" vertical="center"/>
    </xf>
    <xf numFmtId="176" fontId="19" fillId="0" borderId="0" xfId="802" applyFont="1">
      <alignment vertical="center"/>
    </xf>
    <xf numFmtId="176" fontId="39" fillId="0" borderId="0" xfId="966" applyFont="1" applyAlignment="1" applyProtection="1">
      <alignment horizontal="center" vertical="center"/>
    </xf>
    <xf numFmtId="176" fontId="40" fillId="0" borderId="0" xfId="966" applyAlignment="1" applyProtection="1">
      <alignment horizontal="center" vertical="center"/>
    </xf>
    <xf numFmtId="176" fontId="2" fillId="0" borderId="0" xfId="802" applyFont="1">
      <alignment vertical="center"/>
    </xf>
    <xf numFmtId="176" fontId="32" fillId="0" borderId="0" xfId="802" applyFont="1" applyAlignment="1">
      <alignment horizontal="left" vertical="center"/>
    </xf>
    <xf numFmtId="176" fontId="28" fillId="0" borderId="11" xfId="802" applyFont="1" applyBorder="1" applyAlignment="1">
      <alignment horizontal="right" vertical="center" wrapText="1"/>
    </xf>
    <xf numFmtId="176" fontId="2" fillId="0" borderId="0" xfId="802" applyFont="1" applyAlignment="1">
      <alignment horizontal="center" vertical="center"/>
    </xf>
    <xf numFmtId="176" fontId="22" fillId="0" borderId="0" xfId="802" applyFont="1" applyAlignment="1">
      <alignment horizontal="left" vertical="center" wrapText="1"/>
    </xf>
    <xf numFmtId="176" fontId="22" fillId="0" borderId="11" xfId="802" applyFont="1" applyBorder="1" applyAlignment="1">
      <alignment horizontal="left" vertical="center" wrapText="1"/>
    </xf>
    <xf numFmtId="176" fontId="33" fillId="0" borderId="11" xfId="802" applyFont="1" applyBorder="1" applyAlignment="1">
      <alignment horizontal="left" vertical="center" wrapText="1"/>
    </xf>
    <xf numFmtId="43" fontId="19" fillId="0" borderId="11" xfId="1075" applyNumberFormat="1" applyFont="1" applyBorder="1" applyAlignment="1">
      <alignment horizontal="right" vertical="center" wrapText="1"/>
    </xf>
    <xf numFmtId="176" fontId="41" fillId="0" borderId="0" xfId="802" applyFont="1" applyAlignment="1">
      <alignment horizontal="left" vertical="center"/>
    </xf>
    <xf numFmtId="176" fontId="28" fillId="0" borderId="11" xfId="802" applyFont="1" applyBorder="1" applyAlignment="1">
      <alignment horizontal="right" vertical="center"/>
    </xf>
    <xf numFmtId="176" fontId="32" fillId="0" borderId="0" xfId="802" applyFont="1" applyAlignment="1">
      <alignment horizontal="right" vertical="center" wrapText="1"/>
    </xf>
    <xf numFmtId="176" fontId="42" fillId="0" borderId="0" xfId="802" applyFont="1" applyAlignment="1">
      <alignment horizontal="left" vertical="center"/>
    </xf>
    <xf numFmtId="233" fontId="1" fillId="0" borderId="0" xfId="1075">
      <alignment vertical="center"/>
    </xf>
    <xf numFmtId="176" fontId="43" fillId="0" borderId="0" xfId="802" applyFont="1" applyAlignment="1">
      <alignment horizontal="left" vertical="center"/>
    </xf>
    <xf numFmtId="176" fontId="22" fillId="0" borderId="11" xfId="802" applyFont="1" applyBorder="1" applyAlignment="1">
      <alignment horizontal="left" vertical="center"/>
    </xf>
    <xf numFmtId="43" fontId="32" fillId="0" borderId="11" xfId="1075" applyNumberFormat="1" applyFont="1" applyBorder="1" applyAlignment="1">
      <alignment horizontal="right" vertical="center"/>
    </xf>
    <xf numFmtId="176" fontId="33" fillId="0" borderId="11" xfId="802" applyFont="1" applyBorder="1" applyAlignment="1">
      <alignment horizontal="left" vertical="center"/>
    </xf>
    <xf numFmtId="43" fontId="19" fillId="0" borderId="11" xfId="802" applyNumberFormat="1" applyFont="1" applyBorder="1" applyAlignment="1">
      <alignment horizontal="right" vertical="center"/>
    </xf>
    <xf numFmtId="176" fontId="43" fillId="0" borderId="11" xfId="802" applyFont="1" applyBorder="1" applyAlignment="1">
      <alignment horizontal="left" vertical="center"/>
    </xf>
    <xf numFmtId="176" fontId="32" fillId="0" borderId="11" xfId="802" applyFont="1" applyBorder="1" applyAlignment="1">
      <alignment horizontal="right" vertical="center"/>
    </xf>
    <xf numFmtId="176" fontId="32" fillId="0" borderId="11" xfId="802" applyFont="1" applyBorder="1" applyAlignment="1">
      <alignment horizontal="right" vertical="center" wrapText="1"/>
    </xf>
    <xf numFmtId="43" fontId="19" fillId="0" borderId="11" xfId="1075" applyNumberFormat="1" applyFont="1" applyBorder="1" applyAlignment="1">
      <alignment horizontal="right" vertical="center"/>
    </xf>
    <xf numFmtId="176" fontId="44" fillId="0" borderId="0" xfId="802" applyFont="1" applyAlignment="1">
      <alignment horizontal="left" vertical="center"/>
    </xf>
    <xf numFmtId="176" fontId="45" fillId="0" borderId="0" xfId="802" applyFont="1" applyAlignment="1">
      <alignment horizontal="left" vertical="center"/>
    </xf>
    <xf numFmtId="176" fontId="46" fillId="0" borderId="9" xfId="802" applyFont="1" applyBorder="1" applyAlignment="1">
      <alignment horizontal="right" vertical="center"/>
    </xf>
    <xf numFmtId="176" fontId="33" fillId="0" borderId="9" xfId="802" applyFont="1" applyBorder="1" applyAlignment="1">
      <alignment horizontal="right" vertical="center"/>
    </xf>
    <xf numFmtId="43" fontId="32" fillId="0" borderId="10" xfId="1075" applyNumberFormat="1" applyFont="1" applyBorder="1" applyAlignment="1">
      <alignment horizontal="right" vertical="center"/>
    </xf>
    <xf numFmtId="176" fontId="0" fillId="0" borderId="11" xfId="802" applyFont="1" applyBorder="1">
      <alignment vertical="center"/>
    </xf>
    <xf numFmtId="176" fontId="48" fillId="0" borderId="11" xfId="802" applyFont="1" applyBorder="1" applyAlignment="1">
      <alignment horizontal="center" vertical="center"/>
    </xf>
    <xf numFmtId="43" fontId="1" fillId="0" borderId="0" xfId="956" applyNumberFormat="1" applyFont="1" applyFill="1" applyBorder="1" applyAlignment="1">
      <alignment vertical="center"/>
    </xf>
    <xf numFmtId="43" fontId="9" fillId="0" borderId="0" xfId="956" applyNumberFormat="1" applyFont="1" applyBorder="1" applyAlignment="1">
      <alignment vertical="center"/>
    </xf>
    <xf numFmtId="43" fontId="1" fillId="0" borderId="0" xfId="956" applyNumberFormat="1" applyFont="1" applyBorder="1" applyAlignment="1">
      <alignment vertical="center"/>
    </xf>
    <xf numFmtId="43" fontId="1" fillId="0" borderId="0" xfId="956" applyNumberFormat="1" applyFont="1" applyBorder="1" applyAlignment="1">
      <alignment horizontal="left" vertical="center"/>
    </xf>
    <xf numFmtId="43" fontId="1" fillId="0" borderId="0" xfId="956" applyNumberFormat="1" applyFont="1" applyBorder="1" applyAlignment="1">
      <alignment horizontal="right" vertical="center"/>
    </xf>
    <xf numFmtId="43" fontId="5" fillId="2" borderId="15" xfId="1066" applyFont="1" applyFill="1" applyBorder="1" applyAlignment="1">
      <alignment horizontal="center" vertical="center"/>
    </xf>
    <xf numFmtId="43" fontId="1" fillId="3" borderId="15" xfId="1066" applyFont="1" applyFill="1" applyBorder="1" applyAlignment="1">
      <alignment vertical="center"/>
    </xf>
    <xf numFmtId="43" fontId="1" fillId="3" borderId="15" xfId="1066" applyFont="1" applyFill="1" applyBorder="1" applyAlignment="1">
      <alignment horizontal="center" vertical="center"/>
    </xf>
    <xf numFmtId="43" fontId="7" fillId="3" borderId="15" xfId="1061" applyFont="1" applyFill="1" applyBorder="1" applyAlignment="1">
      <alignment horizontal="right" vertical="center"/>
    </xf>
    <xf numFmtId="43" fontId="1" fillId="0" borderId="15" xfId="1066" applyFont="1" applyFill="1" applyBorder="1" applyAlignment="1">
      <alignment vertical="center"/>
    </xf>
    <xf numFmtId="43" fontId="12" fillId="0" borderId="15" xfId="1066" applyNumberFormat="1" applyFont="1" applyFill="1" applyBorder="1" applyAlignment="1">
      <alignment horizontal="center" vertical="center"/>
    </xf>
    <xf numFmtId="43" fontId="8" fillId="2" borderId="15" xfId="1061" applyNumberFormat="1" applyFont="1" applyFill="1" applyBorder="1" applyAlignment="1">
      <alignment horizontal="right" vertical="center"/>
    </xf>
    <xf numFmtId="43" fontId="1" fillId="0" borderId="15" xfId="1066" applyFont="1" applyFill="1" applyBorder="1" applyAlignment="1">
      <alignment horizontal="left" vertical="center"/>
    </xf>
    <xf numFmtId="43" fontId="4" fillId="2" borderId="15" xfId="1061" applyFont="1" applyFill="1" applyBorder="1" applyAlignment="1">
      <alignment horizontal="center" vertical="center"/>
    </xf>
    <xf numFmtId="43" fontId="49" fillId="2" borderId="15" xfId="1061" applyNumberFormat="1" applyFont="1" applyFill="1" applyBorder="1" applyAlignment="1">
      <alignment horizontal="right" vertical="center"/>
    </xf>
    <xf numFmtId="43" fontId="12" fillId="3" borderId="15" xfId="1066" applyNumberFormat="1" applyFont="1" applyFill="1" applyBorder="1" applyAlignment="1">
      <alignment horizontal="center" vertical="center"/>
    </xf>
    <xf numFmtId="43" fontId="8" fillId="3" borderId="15" xfId="1061" applyNumberFormat="1" applyFont="1" applyFill="1" applyBorder="1" applyAlignment="1">
      <alignment horizontal="right" vertical="center"/>
    </xf>
    <xf numFmtId="43" fontId="5" fillId="0" borderId="0" xfId="956" applyNumberFormat="1" applyFont="1" applyFill="1" applyBorder="1" applyAlignment="1">
      <alignment vertical="center"/>
    </xf>
    <xf numFmtId="43" fontId="1" fillId="0" borderId="0" xfId="1066" applyFont="1" applyFill="1" applyBorder="1" applyAlignment="1">
      <alignment horizontal="center" vertical="center"/>
    </xf>
    <xf numFmtId="43" fontId="12" fillId="3" borderId="0" xfId="1066" applyFont="1" applyFill="1" applyBorder="1" applyAlignment="1">
      <alignment horizontal="center" vertical="center"/>
    </xf>
    <xf numFmtId="43" fontId="5" fillId="0" borderId="0" xfId="956" applyNumberFormat="1" applyFont="1" applyBorder="1" applyAlignment="1">
      <alignment horizontal="left" vertical="center"/>
    </xf>
    <xf numFmtId="176" fontId="5" fillId="0" borderId="0" xfId="953" applyFont="1" applyAlignment="1">
      <alignment vertical="center"/>
    </xf>
    <xf numFmtId="43" fontId="50" fillId="0" borderId="0" xfId="3" applyNumberFormat="1" applyFont="1" applyBorder="1" applyAlignment="1" applyProtection="1">
      <alignment horizontal="center" vertical="center"/>
    </xf>
    <xf numFmtId="176" fontId="1" fillId="0" borderId="0" xfId="953" applyFont="1" applyAlignment="1">
      <alignment vertical="center"/>
    </xf>
    <xf numFmtId="43" fontId="51" fillId="0" borderId="0" xfId="956" applyNumberFormat="1" applyFont="1" applyBorder="1" applyAlignment="1">
      <alignment vertical="center"/>
    </xf>
    <xf numFmtId="43" fontId="9" fillId="0" borderId="0" xfId="956" applyNumberFormat="1" applyFont="1" applyBorder="1" applyAlignment="1">
      <alignment horizontal="right" vertical="center"/>
    </xf>
    <xf numFmtId="43" fontId="52" fillId="0" borderId="0" xfId="956" applyNumberFormat="1" applyFont="1" applyBorder="1" applyAlignment="1">
      <alignment vertical="center"/>
    </xf>
    <xf numFmtId="176" fontId="1" fillId="0" borderId="1" xfId="948" applyFont="1" applyBorder="1" applyAlignment="1">
      <alignment horizontal="left" vertical="center" wrapText="1"/>
    </xf>
    <xf numFmtId="176" fontId="53" fillId="0" borderId="0" xfId="951" applyFont="1">
      <alignment vertical="center"/>
    </xf>
    <xf numFmtId="176" fontId="53" fillId="0" borderId="0" xfId="842" applyFont="1">
      <alignment vertical="center"/>
      <protection locked="0"/>
    </xf>
    <xf numFmtId="49" fontId="54" fillId="0" borderId="0" xfId="958" applyNumberFormat="1" applyFont="1" applyAlignment="1">
      <alignment horizontal="left" vertical="center"/>
    </xf>
    <xf numFmtId="176" fontId="53" fillId="0" borderId="0" xfId="958" applyFont="1">
      <alignment vertical="center"/>
    </xf>
    <xf numFmtId="176" fontId="53" fillId="0" borderId="0" xfId="842" applyFont="1" applyAlignment="1">
      <alignment horizontal="left" vertical="center"/>
      <protection locked="0"/>
    </xf>
    <xf numFmtId="176" fontId="54" fillId="0" borderId="0" xfId="842" applyFont="1" applyAlignment="1">
      <alignment horizontal="left" vertical="center"/>
      <protection locked="0"/>
    </xf>
    <xf numFmtId="49" fontId="5" fillId="0" borderId="0" xfId="842" applyNumberFormat="1" applyFont="1" applyAlignment="1">
      <alignment horizontal="left" vertical="center"/>
      <protection locked="0"/>
    </xf>
    <xf numFmtId="49" fontId="54" fillId="0" borderId="0" xfId="842" applyNumberFormat="1" applyFont="1" applyAlignment="1">
      <alignment horizontal="left" vertical="center"/>
      <protection locked="0"/>
    </xf>
    <xf numFmtId="176" fontId="54" fillId="0" borderId="0" xfId="842" applyFont="1" applyAlignment="1">
      <alignment horizontal="justify" vertical="center"/>
      <protection locked="0"/>
    </xf>
    <xf numFmtId="176" fontId="1" fillId="0" borderId="1" xfId="842" applyFont="1" applyBorder="1" applyAlignment="1">
      <alignment horizontal="center" vertical="center" wrapText="1"/>
      <protection locked="0"/>
    </xf>
    <xf numFmtId="176" fontId="53" fillId="0" borderId="1" xfId="842" applyFont="1" applyBorder="1" applyAlignment="1">
      <alignment horizontal="center" vertical="center" wrapText="1"/>
      <protection locked="0"/>
    </xf>
    <xf numFmtId="176" fontId="53" fillId="0" borderId="1" xfId="842" applyFont="1" applyBorder="1" applyAlignment="1">
      <alignment horizontal="left" vertical="center" wrapText="1"/>
      <protection locked="0"/>
    </xf>
    <xf numFmtId="49" fontId="13" fillId="5" borderId="1" xfId="851" applyNumberFormat="1" applyFont="1" applyFill="1" applyBorder="1" applyAlignment="1">
      <alignment horizontal="left" vertical="center"/>
      <protection locked="0"/>
    </xf>
    <xf numFmtId="176" fontId="13" fillId="5" borderId="1" xfId="851" applyFont="1" applyFill="1" applyBorder="1" applyAlignment="1">
      <alignment horizontal="center" vertical="center" wrapText="1"/>
      <protection locked="0"/>
    </xf>
    <xf numFmtId="176" fontId="5" fillId="5" borderId="1" xfId="851" applyFont="1" applyFill="1" applyBorder="1" applyAlignment="1">
      <alignment horizontal="center" vertical="center" wrapText="1"/>
      <protection locked="0"/>
    </xf>
    <xf numFmtId="49" fontId="5" fillId="2" borderId="1" xfId="851" applyNumberFormat="1" applyFont="1" applyFill="1" applyBorder="1" applyAlignment="1">
      <alignment horizontal="left" vertical="center"/>
      <protection locked="0"/>
    </xf>
    <xf numFmtId="176" fontId="5" fillId="2" borderId="1" xfId="851" applyFont="1" applyFill="1" applyBorder="1" applyAlignment="1">
      <alignment horizontal="left" vertical="center" wrapText="1"/>
      <protection locked="0"/>
    </xf>
    <xf numFmtId="176" fontId="8" fillId="2" borderId="1" xfId="851" applyFont="1" applyFill="1" applyBorder="1" applyAlignment="1">
      <alignment horizontal="center" vertical="center" wrapText="1"/>
      <protection locked="0"/>
    </xf>
    <xf numFmtId="176" fontId="12" fillId="2" borderId="1" xfId="851" applyFont="1" applyFill="1" applyBorder="1" applyAlignment="1">
      <alignment horizontal="center" vertical="center" wrapText="1"/>
      <protection locked="0"/>
    </xf>
    <xf numFmtId="49" fontId="12" fillId="0" borderId="1" xfId="958" applyNumberFormat="1" applyFont="1" applyBorder="1" applyAlignment="1">
      <alignment horizontal="left" vertical="center" indent="1"/>
    </xf>
    <xf numFmtId="235" fontId="12" fillId="0" borderId="1" xfId="958" applyNumberFormat="1" applyFont="1" applyBorder="1">
      <alignment vertical="center"/>
    </xf>
    <xf numFmtId="176" fontId="12" fillId="0" borderId="1" xfId="851" applyFont="1" applyBorder="1" applyAlignment="1">
      <alignment horizontal="left" vertical="center" wrapText="1"/>
      <protection locked="0"/>
    </xf>
    <xf numFmtId="176" fontId="10" fillId="0" borderId="1" xfId="851" applyFont="1" applyBorder="1" applyAlignment="1" applyProtection="1">
      <alignment horizontal="center" vertical="center" wrapText="1"/>
    </xf>
    <xf numFmtId="49" fontId="5" fillId="5" borderId="1" xfId="958" applyNumberFormat="1" applyFont="1" applyFill="1" applyBorder="1" applyAlignment="1">
      <alignment horizontal="left" vertical="center"/>
    </xf>
    <xf numFmtId="235" fontId="5" fillId="5" borderId="1" xfId="958" applyNumberFormat="1" applyFont="1" applyFill="1" applyBorder="1" applyAlignment="1">
      <alignment horizontal="left" vertical="center"/>
    </xf>
    <xf numFmtId="176" fontId="5" fillId="5" borderId="1" xfId="851" applyFont="1" applyFill="1" applyBorder="1" applyAlignment="1">
      <alignment horizontal="left" vertical="center" wrapText="1"/>
      <protection locked="0"/>
    </xf>
    <xf numFmtId="176" fontId="8" fillId="5" borderId="1" xfId="851" applyFont="1" applyFill="1" applyBorder="1" applyAlignment="1">
      <alignment horizontal="center" vertical="center" wrapText="1"/>
      <protection locked="0"/>
    </xf>
    <xf numFmtId="235" fontId="12" fillId="0" borderId="2" xfId="958" applyNumberFormat="1" applyFont="1" applyBorder="1">
      <alignment vertical="center"/>
    </xf>
    <xf numFmtId="176" fontId="10" fillId="0" borderId="2" xfId="851" applyFont="1" applyBorder="1" applyAlignment="1" applyProtection="1">
      <alignment vertical="center" wrapText="1"/>
    </xf>
    <xf numFmtId="176" fontId="12" fillId="0" borderId="5" xfId="851" applyFont="1" applyBorder="1" applyAlignment="1">
      <alignment horizontal="center" vertical="center" wrapText="1"/>
      <protection locked="0"/>
    </xf>
    <xf numFmtId="176" fontId="10" fillId="0" borderId="1" xfId="851" applyFont="1" applyBorder="1" applyAlignment="1" applyProtection="1">
      <alignment horizontal="left" vertical="center" wrapText="1"/>
    </xf>
    <xf numFmtId="176" fontId="8" fillId="0" borderId="1" xfId="851" applyFont="1" applyBorder="1" applyAlignment="1">
      <alignment horizontal="center" vertical="center" wrapText="1"/>
      <protection locked="0"/>
    </xf>
    <xf numFmtId="49" fontId="5" fillId="2" borderId="1" xfId="958" applyNumberFormat="1" applyFont="1" applyFill="1" applyBorder="1" applyAlignment="1">
      <alignment horizontal="left" vertical="center"/>
    </xf>
    <xf numFmtId="235" fontId="5" fillId="2" borderId="1" xfId="958" applyNumberFormat="1" applyFont="1" applyFill="1" applyBorder="1" applyAlignment="1">
      <alignment horizontal="left" vertical="center"/>
    </xf>
    <xf numFmtId="176" fontId="54" fillId="2" borderId="1" xfId="842" applyFont="1" applyFill="1" applyBorder="1" applyAlignment="1">
      <alignment horizontal="left" vertical="center" wrapText="1"/>
      <protection locked="0"/>
    </xf>
    <xf numFmtId="176" fontId="56" fillId="2" borderId="1" xfId="842" applyFont="1" applyFill="1" applyBorder="1" applyAlignment="1" applyProtection="1">
      <alignment horizontal="center" vertical="center" wrapText="1"/>
    </xf>
    <xf numFmtId="49" fontId="54" fillId="0" borderId="1" xfId="958" applyNumberFormat="1" applyFont="1" applyBorder="1" applyAlignment="1">
      <alignment horizontal="left" vertical="center" indent="1"/>
    </xf>
    <xf numFmtId="176" fontId="5" fillId="5" borderId="1" xfId="851" applyFont="1" applyFill="1" applyBorder="1" applyAlignment="1">
      <alignment horizontal="justify" vertical="center" wrapText="1"/>
      <protection locked="0"/>
    </xf>
    <xf numFmtId="176" fontId="12" fillId="0" borderId="1" xfId="851" applyFont="1" applyBorder="1" applyAlignment="1">
      <alignment horizontal="justify" vertical="center" wrapText="1"/>
      <protection locked="0"/>
    </xf>
    <xf numFmtId="176" fontId="1" fillId="0" borderId="1" xfId="851" applyFont="1" applyBorder="1" applyAlignment="1">
      <alignment horizontal="justify" vertical="center" wrapText="1"/>
      <protection locked="0"/>
    </xf>
    <xf numFmtId="49" fontId="5" fillId="6" borderId="1" xfId="958" applyNumberFormat="1" applyFont="1" applyFill="1" applyBorder="1" applyAlignment="1">
      <alignment horizontal="left" vertical="center"/>
    </xf>
    <xf numFmtId="235" fontId="5" fillId="6" borderId="1" xfId="958" applyNumberFormat="1" applyFont="1" applyFill="1" applyBorder="1" applyAlignment="1">
      <alignment horizontal="left" vertical="center"/>
    </xf>
    <xf numFmtId="176" fontId="5" fillId="6" borderId="1" xfId="851" applyFont="1" applyFill="1" applyBorder="1" applyAlignment="1">
      <alignment horizontal="justify" vertical="center" wrapText="1"/>
      <protection locked="0"/>
    </xf>
    <xf numFmtId="176" fontId="8" fillId="6" borderId="1" xfId="851" applyFont="1" applyFill="1" applyBorder="1" applyAlignment="1">
      <alignment horizontal="center" vertical="center" wrapText="1"/>
      <protection locked="0"/>
    </xf>
    <xf numFmtId="176" fontId="1" fillId="7" borderId="1" xfId="851" applyFont="1" applyFill="1" applyBorder="1" applyAlignment="1">
      <alignment vertical="center" wrapText="1"/>
      <protection locked="0"/>
    </xf>
    <xf numFmtId="176" fontId="1" fillId="0" borderId="1" xfId="851" applyFont="1" applyBorder="1" applyAlignment="1">
      <alignment vertical="center" wrapText="1"/>
      <protection locked="0"/>
    </xf>
    <xf numFmtId="176" fontId="1" fillId="8" borderId="1" xfId="851" applyFont="1" applyFill="1" applyBorder="1" applyAlignment="1">
      <alignment vertical="center" wrapText="1"/>
      <protection locked="0"/>
    </xf>
    <xf numFmtId="176" fontId="1" fillId="9" borderId="1" xfId="851" applyFont="1" applyFill="1" applyBorder="1" applyAlignment="1">
      <alignment vertical="center" wrapText="1"/>
      <protection locked="0"/>
    </xf>
    <xf numFmtId="176" fontId="12" fillId="0" borderId="1" xfId="851" applyFont="1" applyBorder="1" applyAlignment="1">
      <alignment vertical="center" wrapText="1"/>
      <protection locked="0"/>
    </xf>
    <xf numFmtId="176" fontId="5" fillId="5" borderId="1" xfId="851" applyFont="1" applyFill="1" applyBorder="1" applyAlignment="1">
      <alignment vertical="center" wrapText="1"/>
      <protection locked="0"/>
    </xf>
    <xf numFmtId="49" fontId="1" fillId="0" borderId="1" xfId="958" applyNumberFormat="1" applyFont="1" applyBorder="1" applyAlignment="1">
      <alignment horizontal="left" vertical="center" indent="1"/>
    </xf>
    <xf numFmtId="176" fontId="10" fillId="0" borderId="1" xfId="851" applyFont="1" applyBorder="1" applyAlignment="1">
      <alignment vertical="center" wrapText="1"/>
      <protection locked="0"/>
    </xf>
    <xf numFmtId="49" fontId="12" fillId="8" borderId="1" xfId="958" applyNumberFormat="1" applyFont="1" applyFill="1" applyBorder="1" applyAlignment="1">
      <alignment horizontal="left" vertical="center" indent="1"/>
    </xf>
    <xf numFmtId="176" fontId="1" fillId="0" borderId="1" xfId="851" applyFont="1" applyBorder="1" applyAlignment="1">
      <alignment horizontal="left" vertical="center" wrapText="1"/>
      <protection locked="0"/>
    </xf>
    <xf numFmtId="176" fontId="1" fillId="8" borderId="1" xfId="851" applyFont="1" applyFill="1" applyBorder="1" applyAlignment="1">
      <alignment horizontal="left" vertical="center" wrapText="1"/>
      <protection locked="0"/>
    </xf>
    <xf numFmtId="176" fontId="53" fillId="0" borderId="0" xfId="842" applyFont="1" applyAlignment="1">
      <alignment horizontal="right" vertical="center"/>
      <protection locked="0"/>
    </xf>
    <xf numFmtId="176" fontId="1" fillId="0" borderId="0" xfId="958" applyFont="1">
      <alignment vertical="center"/>
    </xf>
    <xf numFmtId="176" fontId="57" fillId="0" borderId="1" xfId="842" applyFont="1" applyBorder="1" applyAlignment="1">
      <alignment horizontal="center" vertical="center" wrapText="1"/>
      <protection locked="0"/>
    </xf>
    <xf numFmtId="176" fontId="1" fillId="0" borderId="0" xfId="958" applyFont="1" applyAlignment="1">
      <alignment vertical="center" wrapText="1"/>
    </xf>
    <xf numFmtId="176" fontId="8" fillId="0" borderId="1" xfId="851" applyFont="1" applyBorder="1" applyAlignment="1">
      <alignment horizontal="left" vertical="center" wrapText="1"/>
      <protection locked="0"/>
    </xf>
    <xf numFmtId="176" fontId="7" fillId="0" borderId="1" xfId="851" applyFont="1" applyBorder="1" applyAlignment="1">
      <alignment horizontal="left" vertical="center" wrapText="1"/>
      <protection locked="0"/>
    </xf>
    <xf numFmtId="176" fontId="1" fillId="9" borderId="1" xfId="851" applyFont="1" applyFill="1" applyBorder="1" applyAlignment="1">
      <alignment horizontal="left" vertical="center" wrapText="1"/>
      <protection locked="0"/>
    </xf>
    <xf numFmtId="176" fontId="12" fillId="0" borderId="2" xfId="851" applyFont="1" applyBorder="1" applyAlignment="1">
      <alignment horizontal="center" vertical="center" wrapText="1"/>
      <protection locked="0"/>
    </xf>
    <xf numFmtId="176" fontId="12" fillId="0" borderId="3" xfId="851" applyFont="1" applyBorder="1" applyAlignment="1">
      <alignment horizontal="center" vertical="center" wrapText="1"/>
      <protection locked="0"/>
    </xf>
    <xf numFmtId="176" fontId="12" fillId="0" borderId="4" xfId="851" applyFont="1" applyBorder="1" applyAlignment="1">
      <alignment horizontal="center" vertical="center" wrapText="1"/>
      <protection locked="0"/>
    </xf>
    <xf numFmtId="176" fontId="5" fillId="2" borderId="1" xfId="851" applyFont="1" applyFill="1" applyBorder="1" applyAlignment="1">
      <alignment horizontal="justify" vertical="center" wrapText="1"/>
      <protection locked="0"/>
    </xf>
    <xf numFmtId="176" fontId="58" fillId="0" borderId="1" xfId="851" applyFont="1" applyBorder="1" applyAlignment="1">
      <alignment horizontal="left" vertical="center" wrapText="1"/>
      <protection locked="0"/>
    </xf>
    <xf numFmtId="176" fontId="10" fillId="0" borderId="1" xfId="851" applyFont="1" applyBorder="1" applyAlignment="1">
      <alignment horizontal="left" vertical="center" wrapText="1"/>
      <protection locked="0"/>
    </xf>
    <xf numFmtId="176" fontId="13" fillId="5" borderId="1" xfId="851" applyFont="1" applyFill="1" applyBorder="1" applyAlignment="1">
      <alignment horizontal="justify" vertical="center" wrapText="1"/>
      <protection locked="0"/>
    </xf>
    <xf numFmtId="49" fontId="12" fillId="0" borderId="1" xfId="958" applyNumberFormat="1" applyFont="1" applyBorder="1">
      <alignment vertical="center"/>
    </xf>
    <xf numFmtId="176" fontId="7" fillId="0" borderId="1" xfId="851" applyFont="1" applyBorder="1" applyAlignment="1" applyProtection="1">
      <alignment horizontal="left" vertical="center" wrapText="1"/>
    </xf>
    <xf numFmtId="176" fontId="1" fillId="0" borderId="1" xfId="851" applyFont="1" applyBorder="1" applyAlignment="1" applyProtection="1">
      <alignment horizontal="left" vertical="center" wrapText="1"/>
    </xf>
    <xf numFmtId="176" fontId="59" fillId="2" borderId="1" xfId="851" applyFont="1" applyFill="1" applyBorder="1" applyAlignment="1">
      <alignment horizontal="left" vertical="center" wrapText="1"/>
      <protection locked="0"/>
    </xf>
    <xf numFmtId="49" fontId="1" fillId="0" borderId="1" xfId="958" applyNumberFormat="1" applyFont="1" applyBorder="1">
      <alignment vertical="center"/>
    </xf>
    <xf numFmtId="176" fontId="12" fillId="7" borderId="1" xfId="851" applyFont="1" applyFill="1" applyBorder="1" applyAlignment="1">
      <alignment horizontal="left" vertical="center" wrapText="1"/>
      <protection locked="0"/>
    </xf>
    <xf numFmtId="176" fontId="1" fillId="7" borderId="1" xfId="851" applyFont="1" applyFill="1" applyBorder="1" applyAlignment="1">
      <alignment horizontal="left" vertical="center" wrapText="1"/>
      <protection locked="0"/>
    </xf>
    <xf numFmtId="176" fontId="12" fillId="2" borderId="1" xfId="851" applyFont="1" applyFill="1" applyBorder="1" applyAlignment="1">
      <alignment horizontal="center" vertical="center"/>
      <protection locked="0"/>
    </xf>
    <xf numFmtId="176" fontId="60" fillId="0" borderId="0" xfId="958" applyFont="1" applyAlignment="1">
      <alignment vertical="center" wrapText="1"/>
    </xf>
    <xf numFmtId="176" fontId="11" fillId="0" borderId="0" xfId="958" applyFont="1" applyAlignment="1">
      <alignment vertical="center" wrapText="1"/>
    </xf>
    <xf numFmtId="176" fontId="53" fillId="0" borderId="0" xfId="958" applyFont="1" applyAlignment="1">
      <alignment vertical="center" wrapText="1"/>
    </xf>
    <xf numFmtId="176" fontId="12" fillId="0" borderId="2" xfId="851" applyFont="1" applyBorder="1" applyAlignment="1">
      <alignment horizontal="center" vertical="center"/>
      <protection locked="0"/>
    </xf>
    <xf numFmtId="176" fontId="12" fillId="0" borderId="4" xfId="851" applyFont="1" applyBorder="1" applyAlignment="1">
      <alignment horizontal="center" vertical="center"/>
      <protection locked="0"/>
    </xf>
    <xf numFmtId="176" fontId="13" fillId="5" borderId="1" xfId="851" applyFont="1" applyFill="1" applyBorder="1" applyAlignment="1">
      <alignment horizontal="left" vertical="center" wrapText="1"/>
      <protection locked="0"/>
    </xf>
    <xf numFmtId="176" fontId="13" fillId="2" borderId="1" xfId="851" applyFont="1" applyFill="1" applyBorder="1" applyAlignment="1">
      <alignment vertical="center" wrapText="1"/>
      <protection locked="0"/>
    </xf>
    <xf numFmtId="176" fontId="59" fillId="2" borderId="1" xfId="851" applyFont="1" applyFill="1" applyBorder="1" applyAlignment="1" applyProtection="1">
      <alignment vertical="center" wrapText="1"/>
    </xf>
    <xf numFmtId="176" fontId="10" fillId="0" borderId="1" xfId="851" applyFont="1" applyBorder="1" applyAlignment="1" applyProtection="1">
      <alignment vertical="center" wrapText="1"/>
    </xf>
    <xf numFmtId="176" fontId="58" fillId="0" borderId="1" xfId="851" applyFont="1" applyBorder="1" applyAlignment="1" applyProtection="1">
      <alignment horizontal="left" vertical="center" wrapText="1"/>
    </xf>
    <xf numFmtId="176" fontId="5" fillId="2" borderId="1" xfId="851" applyFont="1" applyFill="1" applyBorder="1" applyAlignment="1">
      <alignment vertical="center" wrapText="1"/>
      <protection locked="0"/>
    </xf>
    <xf numFmtId="176" fontId="13" fillId="2" borderId="1" xfId="851" applyFont="1" applyFill="1" applyBorder="1" applyAlignment="1">
      <alignment horizontal="justify" vertical="center" wrapText="1"/>
      <protection locked="0"/>
    </xf>
    <xf numFmtId="49" fontId="61" fillId="0" borderId="0" xfId="958" applyNumberFormat="1" applyFont="1">
      <alignment vertical="center"/>
    </xf>
    <xf numFmtId="176" fontId="1" fillId="0" borderId="0" xfId="851" applyFont="1" applyAlignment="1">
      <alignment horizontal="justify" vertical="center" wrapText="1"/>
      <protection locked="0"/>
    </xf>
    <xf numFmtId="176" fontId="8" fillId="0" borderId="0" xfId="851" applyFont="1" applyAlignment="1">
      <alignment horizontal="center" vertical="center" wrapText="1"/>
      <protection locked="0"/>
    </xf>
    <xf numFmtId="176" fontId="12" fillId="0" borderId="0" xfId="851" applyFont="1" applyAlignment="1">
      <alignment horizontal="center" vertical="center" wrapText="1"/>
      <protection locked="0"/>
    </xf>
    <xf numFmtId="49" fontId="62" fillId="5" borderId="1" xfId="958" applyNumberFormat="1" applyFont="1" applyFill="1" applyBorder="1" applyAlignment="1">
      <alignment horizontal="center" vertical="center"/>
    </xf>
    <xf numFmtId="49" fontId="12" fillId="0" borderId="1" xfId="958" applyNumberFormat="1" applyFont="1" applyBorder="1" applyAlignment="1">
      <alignment horizontal="center" vertical="center"/>
    </xf>
    <xf numFmtId="49" fontId="13" fillId="0" borderId="0" xfId="958" applyNumberFormat="1" applyFont="1" applyAlignment="1">
      <alignment horizontal="left" vertical="center"/>
    </xf>
    <xf numFmtId="176" fontId="13" fillId="0" borderId="0" xfId="851" applyFont="1" applyAlignment="1">
      <alignment horizontal="justify" vertical="center" wrapText="1"/>
      <protection locked="0"/>
    </xf>
    <xf numFmtId="176" fontId="13" fillId="0" borderId="0" xfId="851" applyFont="1" applyAlignment="1">
      <alignment vertical="center" wrapText="1"/>
      <protection locked="0"/>
    </xf>
    <xf numFmtId="49" fontId="63" fillId="0" borderId="0" xfId="958" applyNumberFormat="1" applyFont="1" applyAlignment="1">
      <alignment horizontal="left" vertical="center"/>
    </xf>
    <xf numFmtId="176" fontId="46" fillId="0" borderId="0" xfId="958" applyFont="1">
      <alignment vertical="center"/>
    </xf>
    <xf numFmtId="176" fontId="63" fillId="0" borderId="0" xfId="958" applyFont="1">
      <alignment vertical="center"/>
    </xf>
    <xf numFmtId="176" fontId="64" fillId="0" borderId="0" xfId="958" applyFont="1">
      <alignment vertical="center"/>
    </xf>
    <xf numFmtId="49" fontId="12" fillId="0" borderId="0" xfId="958" applyNumberFormat="1" applyFont="1" applyAlignment="1">
      <alignment horizontal="left" vertical="center"/>
    </xf>
    <xf numFmtId="176" fontId="12" fillId="0" borderId="0" xfId="958" applyFont="1">
      <alignment vertical="center"/>
    </xf>
    <xf numFmtId="176" fontId="65" fillId="0" borderId="0" xfId="951" applyNumberFormat="1" applyFont="1">
      <alignment vertical="center"/>
    </xf>
    <xf numFmtId="176" fontId="65" fillId="0" borderId="0" xfId="842" applyNumberFormat="1" applyFont="1">
      <alignment vertical="center"/>
      <protection locked="0"/>
    </xf>
    <xf numFmtId="176" fontId="65" fillId="0" borderId="0" xfId="958" applyNumberFormat="1" applyFont="1" applyFill="1">
      <alignment vertical="center"/>
    </xf>
    <xf numFmtId="176" fontId="66" fillId="0" borderId="0" xfId="958" applyNumberFormat="1" applyFont="1" applyAlignment="1">
      <alignment horizontal="left" vertical="center"/>
    </xf>
    <xf numFmtId="176" fontId="65" fillId="0" borderId="0" xfId="958" applyNumberFormat="1" applyFont="1">
      <alignment vertical="center"/>
    </xf>
    <xf numFmtId="176" fontId="66" fillId="0" borderId="0" xfId="842" applyNumberFormat="1" applyFont="1" applyAlignment="1">
      <alignment horizontal="left" vertical="center"/>
      <protection locked="0"/>
    </xf>
    <xf numFmtId="176" fontId="66" fillId="0" borderId="0" xfId="842" applyNumberFormat="1" applyFont="1" applyAlignment="1">
      <alignment horizontal="justify" vertical="center"/>
      <protection locked="0"/>
    </xf>
    <xf numFmtId="176" fontId="66" fillId="3" borderId="1" xfId="842" applyNumberFormat="1" applyFont="1" applyFill="1" applyBorder="1" applyAlignment="1">
      <alignment horizontal="center" vertical="center" wrapText="1"/>
      <protection locked="0"/>
    </xf>
    <xf numFmtId="176" fontId="66" fillId="3" borderId="1" xfId="0" applyNumberFormat="1" applyFont="1" applyFill="1" applyBorder="1" applyAlignment="1">
      <alignment horizontal="center" vertical="center"/>
      <protection locked="0"/>
    </xf>
    <xf numFmtId="176" fontId="12" fillId="0" borderId="1" xfId="957" applyNumberFormat="1" applyFont="1" applyBorder="1" applyAlignment="1">
      <alignment horizontal="center" vertical="center"/>
    </xf>
    <xf numFmtId="176" fontId="65" fillId="0" borderId="1" xfId="957" applyNumberFormat="1" applyFont="1" applyFill="1" applyBorder="1" applyAlignment="1">
      <alignment horizontal="left" vertical="center" wrapText="1"/>
    </xf>
    <xf numFmtId="176" fontId="65" fillId="0" borderId="1" xfId="0" applyNumberFormat="1" applyFont="1" applyFill="1" applyBorder="1" applyAlignment="1">
      <alignment horizontal="left" vertical="center" wrapText="1"/>
      <protection locked="0"/>
    </xf>
    <xf numFmtId="176" fontId="65" fillId="0" borderId="1" xfId="0" applyNumberFormat="1" applyFont="1" applyFill="1" applyBorder="1" applyAlignment="1">
      <alignment horizontal="center" vertical="center" wrapText="1"/>
      <protection locked="0"/>
    </xf>
    <xf numFmtId="176" fontId="10" fillId="0" borderId="1" xfId="929" applyFont="1" applyFill="1" applyBorder="1" applyAlignment="1">
      <alignment horizontal="center" vertical="center" wrapText="1"/>
    </xf>
    <xf numFmtId="176" fontId="68" fillId="0" borderId="1" xfId="929" applyFont="1" applyFill="1" applyBorder="1" applyAlignment="1">
      <alignment horizontal="center" vertical="center" wrapText="1"/>
    </xf>
    <xf numFmtId="176" fontId="65" fillId="0" borderId="1" xfId="958" applyNumberFormat="1" applyFont="1" applyFill="1" applyBorder="1" applyAlignment="1">
      <alignment horizontal="left" vertical="center" wrapText="1"/>
    </xf>
    <xf numFmtId="176" fontId="10" fillId="0" borderId="1" xfId="929" applyFont="1" applyFill="1" applyBorder="1" applyAlignment="1">
      <alignment vertical="center" wrapText="1"/>
    </xf>
    <xf numFmtId="176" fontId="65" fillId="0" borderId="1" xfId="842" applyNumberFormat="1" applyFont="1" applyFill="1" applyBorder="1" applyAlignment="1" applyProtection="1">
      <alignment horizontal="center" vertical="center" wrapText="1"/>
    </xf>
    <xf numFmtId="176" fontId="12" fillId="0" borderId="1" xfId="842" applyNumberFormat="1" applyFont="1" applyFill="1" applyBorder="1" applyAlignment="1">
      <alignment horizontal="center" vertical="center" wrapText="1"/>
      <protection locked="0"/>
    </xf>
    <xf numFmtId="176" fontId="13" fillId="0" borderId="1" xfId="0" applyNumberFormat="1" applyFont="1" applyFill="1" applyBorder="1" applyAlignment="1">
      <alignment horizontal="center" vertical="center" wrapText="1"/>
      <protection locked="0"/>
    </xf>
    <xf numFmtId="176" fontId="12" fillId="0" borderId="1" xfId="0" applyNumberFormat="1" applyFont="1" applyFill="1" applyBorder="1" applyAlignment="1">
      <alignment horizontal="center" vertical="center" wrapText="1"/>
      <protection locked="0"/>
    </xf>
    <xf numFmtId="176" fontId="65" fillId="0" borderId="1" xfId="0" applyNumberFormat="1" applyFont="1" applyFill="1" applyBorder="1" applyAlignment="1">
      <alignment horizontal="justify" vertical="center" wrapText="1"/>
      <protection locked="0"/>
    </xf>
    <xf numFmtId="176" fontId="65" fillId="0" borderId="1" xfId="958" applyNumberFormat="1" applyFont="1" applyFill="1" applyBorder="1" applyAlignment="1">
      <alignment vertical="center" wrapText="1"/>
    </xf>
    <xf numFmtId="176" fontId="65" fillId="0" borderId="1" xfId="0" applyNumberFormat="1" applyFont="1" applyFill="1" applyBorder="1" applyAlignment="1" applyProtection="1">
      <alignment vertical="center" wrapText="1"/>
    </xf>
    <xf numFmtId="176" fontId="65" fillId="0" borderId="1" xfId="958" applyNumberFormat="1" applyFont="1" applyBorder="1" applyAlignment="1">
      <alignment vertical="center" wrapText="1"/>
    </xf>
    <xf numFmtId="176" fontId="1" fillId="0" borderId="1" xfId="0" applyNumberFormat="1" applyFont="1" applyFill="1" applyBorder="1" applyAlignment="1">
      <alignment horizontal="center" vertical="center" wrapText="1"/>
      <protection locked="0"/>
    </xf>
    <xf numFmtId="176" fontId="5" fillId="0" borderId="1" xfId="0" applyNumberFormat="1" applyFont="1" applyFill="1" applyBorder="1" applyAlignment="1">
      <alignment horizontal="center" vertical="center" wrapText="1"/>
      <protection locked="0"/>
    </xf>
    <xf numFmtId="176" fontId="66" fillId="0" borderId="1" xfId="0" applyNumberFormat="1" applyFont="1" applyFill="1" applyBorder="1" applyAlignment="1">
      <alignment horizontal="justify" vertical="center" wrapText="1"/>
      <protection locked="0"/>
    </xf>
    <xf numFmtId="0" fontId="12" fillId="0" borderId="1" xfId="957" applyNumberFormat="1" applyFont="1" applyBorder="1" applyAlignment="1">
      <alignment horizontal="center" vertical="center"/>
    </xf>
    <xf numFmtId="176" fontId="10" fillId="0" borderId="1" xfId="919" applyFont="1" applyFill="1" applyBorder="1" applyAlignment="1">
      <alignment horizontal="center" vertical="center" wrapText="1"/>
    </xf>
    <xf numFmtId="176" fontId="65" fillId="0" borderId="0" xfId="958" applyNumberFormat="1" applyFont="1" applyAlignment="1">
      <alignment horizontal="left" vertical="center"/>
    </xf>
    <xf numFmtId="176" fontId="65" fillId="0" borderId="0" xfId="842" applyNumberFormat="1" applyFont="1" applyAlignment="1">
      <alignment horizontal="right" vertical="center"/>
      <protection locked="0"/>
    </xf>
    <xf numFmtId="176" fontId="58" fillId="0" borderId="1" xfId="929" applyFont="1" applyFill="1" applyBorder="1" applyAlignment="1">
      <alignment horizontal="center" vertical="center" wrapText="1"/>
    </xf>
    <xf numFmtId="176" fontId="52" fillId="4" borderId="0" xfId="929" applyFont="1" applyFill="1" applyAlignment="1" applyProtection="1">
      <alignment horizontal="left" vertical="center" wrapText="1"/>
      <protection locked="0"/>
    </xf>
    <xf numFmtId="176" fontId="69" fillId="0" borderId="0" xfId="958" applyNumberFormat="1" applyFont="1" applyFill="1">
      <alignment vertical="center"/>
    </xf>
    <xf numFmtId="176" fontId="12" fillId="0" borderId="1" xfId="0" applyNumberFormat="1" applyFont="1" applyFill="1" applyBorder="1" applyAlignment="1">
      <alignment horizontal="center" vertical="center"/>
      <protection locked="0"/>
    </xf>
    <xf numFmtId="176" fontId="12" fillId="0" borderId="1" xfId="0" applyFont="1" applyFill="1" applyBorder="1" applyAlignment="1">
      <alignment horizontal="center" vertical="center" wrapText="1"/>
      <protection locked="0"/>
    </xf>
    <xf numFmtId="176" fontId="1" fillId="0" borderId="0" xfId="955" applyFont="1" applyAlignment="1">
      <alignment vertical="center"/>
      <protection locked="0"/>
    </xf>
    <xf numFmtId="176" fontId="1" fillId="0" borderId="0" xfId="955" applyFont="1">
      <protection locked="0"/>
    </xf>
    <xf numFmtId="176" fontId="5" fillId="0" borderId="0" xfId="955" applyFont="1" applyAlignment="1">
      <alignment vertical="center"/>
      <protection locked="0"/>
    </xf>
    <xf numFmtId="176" fontId="1" fillId="10" borderId="0" xfId="955" applyFont="1" applyFill="1" applyAlignment="1">
      <alignment horizontal="justify" vertical="center" wrapText="1"/>
      <protection locked="0"/>
    </xf>
    <xf numFmtId="176" fontId="1" fillId="0" borderId="0" xfId="955" applyFont="1" applyAlignment="1">
      <alignment horizontal="justify" wrapText="1"/>
      <protection locked="0"/>
    </xf>
    <xf numFmtId="176" fontId="5" fillId="0" borderId="0" xfId="955" applyFont="1" applyAlignment="1">
      <alignment horizontal="center" vertical="center"/>
      <protection locked="0"/>
    </xf>
    <xf numFmtId="176" fontId="12" fillId="0" borderId="17" xfId="3" applyFont="1" applyBorder="1" applyAlignment="1">
      <alignment horizontal="center" vertical="center"/>
      <protection locked="0"/>
    </xf>
    <xf numFmtId="176" fontId="1" fillId="0" borderId="0" xfId="955" applyFont="1" applyAlignment="1">
      <alignment horizontal="justify" vertical="top" wrapText="1"/>
      <protection locked="0"/>
    </xf>
    <xf numFmtId="176" fontId="16" fillId="0" borderId="0" xfId="955" applyFont="1">
      <protection locked="0"/>
    </xf>
    <xf numFmtId="176" fontId="1" fillId="10" borderId="0" xfId="0" applyFont="1" applyFill="1" applyAlignment="1">
      <alignment horizontal="justify" vertical="center" wrapText="1"/>
      <protection locked="0"/>
    </xf>
    <xf numFmtId="176" fontId="1" fillId="0" borderId="0" xfId="955" applyFont="1" applyAlignment="1">
      <alignment horizontal="justify"/>
      <protection locked="0"/>
    </xf>
    <xf numFmtId="176" fontId="5" fillId="0" borderId="0" xfId="0" applyFont="1" applyAlignment="1">
      <alignment horizontal="justify"/>
      <protection locked="0"/>
    </xf>
    <xf numFmtId="176" fontId="5" fillId="0" borderId="0" xfId="955" applyFont="1">
      <protection locked="0"/>
    </xf>
    <xf numFmtId="176" fontId="170" fillId="0" borderId="1" xfId="0" applyNumberFormat="1" applyFont="1" applyFill="1" applyBorder="1" applyAlignment="1">
      <alignment horizontal="center" vertical="center" wrapText="1"/>
      <protection locked="0"/>
    </xf>
    <xf numFmtId="176" fontId="68" fillId="0" borderId="1" xfId="919" applyFont="1" applyFill="1" applyBorder="1" applyAlignment="1">
      <alignment horizontal="center" vertical="center" wrapText="1"/>
    </xf>
    <xf numFmtId="176" fontId="65" fillId="0" borderId="0" xfId="958" applyNumberFormat="1" applyFont="1" applyAlignment="1">
      <alignment vertical="center" wrapText="1"/>
    </xf>
    <xf numFmtId="236" fontId="12" fillId="0" borderId="17" xfId="955" applyNumberFormat="1" applyFont="1" applyBorder="1" applyAlignment="1">
      <alignment horizontal="center" vertical="center" wrapText="1"/>
      <protection locked="0"/>
    </xf>
    <xf numFmtId="43" fontId="32" fillId="0" borderId="0" xfId="802" applyNumberFormat="1" applyFont="1" applyFill="1" applyAlignment="1">
      <alignment horizontal="right" vertical="center" wrapText="1"/>
    </xf>
    <xf numFmtId="43" fontId="32" fillId="0" borderId="11" xfId="802" applyNumberFormat="1" applyFont="1" applyFill="1" applyBorder="1" applyAlignment="1">
      <alignment horizontal="right" vertical="center" wrapText="1"/>
    </xf>
    <xf numFmtId="43" fontId="24" fillId="0" borderId="0" xfId="802" applyNumberFormat="1" applyFont="1" applyFill="1" applyAlignment="1">
      <alignment horizontal="right" vertical="center" wrapText="1"/>
    </xf>
    <xf numFmtId="176" fontId="1" fillId="0" borderId="0" xfId="805" applyFont="1" applyAlignment="1">
      <alignment horizontal="right" vertical="center"/>
      <protection locked="0"/>
    </xf>
    <xf numFmtId="176" fontId="3" fillId="0" borderId="0" xfId="0" applyFont="1" applyAlignment="1">
      <alignment horizontal="center" vertical="center"/>
      <protection locked="0"/>
    </xf>
    <xf numFmtId="176" fontId="174" fillId="0" borderId="17" xfId="3" applyFont="1" applyBorder="1" applyAlignment="1">
      <alignment vertical="center"/>
      <protection locked="0"/>
    </xf>
    <xf numFmtId="176" fontId="16" fillId="0" borderId="0" xfId="802" applyFont="1" applyFill="1" applyAlignment="1">
      <alignment horizontal="left" vertical="center"/>
    </xf>
    <xf numFmtId="176" fontId="5" fillId="3" borderId="33" xfId="0" applyNumberFormat="1" applyFont="1" applyFill="1" applyBorder="1" applyAlignment="1">
      <alignment horizontal="center" vertical="center" wrapText="1"/>
      <protection locked="0"/>
    </xf>
    <xf numFmtId="176" fontId="13" fillId="3" borderId="33" xfId="0" applyNumberFormat="1" applyFont="1" applyFill="1" applyBorder="1" applyAlignment="1">
      <alignment horizontal="center" vertical="center" wrapText="1"/>
      <protection locked="0"/>
    </xf>
    <xf numFmtId="176" fontId="1" fillId="0" borderId="33" xfId="0" applyNumberFormat="1" applyFont="1" applyBorder="1" applyAlignment="1">
      <alignment vertical="center"/>
      <protection locked="0"/>
    </xf>
    <xf numFmtId="43" fontId="12" fillId="0" borderId="33" xfId="1066" applyNumberFormat="1" applyFont="1" applyBorder="1" applyAlignment="1">
      <alignment horizontal="right" vertical="center"/>
    </xf>
    <xf numFmtId="176" fontId="1" fillId="0" borderId="33" xfId="0" applyNumberFormat="1" applyFont="1" applyBorder="1" applyAlignment="1">
      <alignment horizontal="center" vertical="center"/>
      <protection locked="0"/>
    </xf>
    <xf numFmtId="176" fontId="177" fillId="0" borderId="0" xfId="3" applyNumberFormat="1" applyFont="1" applyAlignment="1">
      <alignment horizontal="left" vertical="center"/>
      <protection locked="0"/>
    </xf>
    <xf numFmtId="176" fontId="12" fillId="10" borderId="0" xfId="0" applyFont="1" applyFill="1" applyAlignment="1" applyProtection="1">
      <alignment horizontal="justify" vertical="center" wrapText="1"/>
      <protection locked="0"/>
    </xf>
    <xf numFmtId="43" fontId="9" fillId="0" borderId="0" xfId="956" applyNumberFormat="1" applyFont="1" applyBorder="1" applyAlignment="1">
      <alignment horizontal="left" vertical="center"/>
    </xf>
    <xf numFmtId="43" fontId="170" fillId="0" borderId="0" xfId="1104" applyNumberFormat="1" applyFont="1" applyBorder="1" applyAlignment="1">
      <alignment horizontal="left" vertical="center"/>
    </xf>
    <xf numFmtId="43" fontId="170" fillId="0" borderId="0" xfId="1104" applyNumberFormat="1" applyFont="1" applyBorder="1" applyAlignment="1">
      <alignment horizontal="center" vertical="center"/>
    </xf>
    <xf numFmtId="43" fontId="170" fillId="0" borderId="0" xfId="1104" applyNumberFormat="1" applyFont="1" applyBorder="1" applyAlignment="1">
      <alignment vertical="center"/>
    </xf>
    <xf numFmtId="43" fontId="11" fillId="0" borderId="0" xfId="1104" applyNumberFormat="1" applyFont="1" applyBorder="1" applyAlignment="1">
      <alignment horizontal="left" vertical="center"/>
    </xf>
    <xf numFmtId="176" fontId="11" fillId="0" borderId="0" xfId="953" applyFont="1" applyAlignment="1">
      <alignment vertical="center"/>
    </xf>
    <xf numFmtId="0" fontId="1" fillId="0" borderId="0" xfId="953" applyNumberFormat="1" applyFont="1" applyAlignment="1">
      <alignment vertical="center"/>
    </xf>
    <xf numFmtId="0" fontId="1" fillId="0" borderId="0" xfId="953" applyNumberFormat="1" applyFont="1" applyAlignment="1">
      <alignment horizontal="left" vertical="center"/>
    </xf>
    <xf numFmtId="0" fontId="11" fillId="0" borderId="0" xfId="1104" applyNumberFormat="1" applyFont="1" applyBorder="1" applyAlignment="1">
      <alignment vertical="center"/>
    </xf>
    <xf numFmtId="0" fontId="12" fillId="0" borderId="0" xfId="1104" applyNumberFormat="1" applyFont="1" applyBorder="1" applyAlignment="1">
      <alignment vertical="center"/>
    </xf>
    <xf numFmtId="0" fontId="11" fillId="0" borderId="33" xfId="1104" applyNumberFormat="1" applyFont="1" applyBorder="1" applyAlignment="1">
      <alignment vertical="center"/>
    </xf>
    <xf numFmtId="0" fontId="170" fillId="0" borderId="33" xfId="1104" applyNumberFormat="1" applyFont="1" applyBorder="1" applyAlignment="1">
      <alignment vertical="center"/>
    </xf>
    <xf numFmtId="0" fontId="50" fillId="0" borderId="0" xfId="3" applyNumberFormat="1" applyFont="1" applyBorder="1" applyAlignment="1" applyProtection="1">
      <alignment horizontal="center" vertical="center"/>
    </xf>
    <xf numFmtId="176" fontId="19" fillId="0" borderId="0" xfId="0" applyFont="1" applyAlignment="1">
      <alignment horizontal="left" vertical="center" wrapText="1"/>
      <protection locked="0"/>
    </xf>
    <xf numFmtId="176" fontId="32" fillId="0" borderId="0" xfId="0" applyFont="1" applyAlignment="1">
      <alignment horizontal="left" vertical="center" wrapText="1"/>
      <protection locked="0"/>
    </xf>
    <xf numFmtId="176" fontId="36" fillId="0" borderId="0" xfId="951" applyNumberFormat="1" applyFont="1" applyAlignment="1">
      <alignment horizontal="center" vertical="center"/>
    </xf>
    <xf numFmtId="176" fontId="67" fillId="0" borderId="0" xfId="951" applyNumberFormat="1" applyFont="1" applyAlignment="1">
      <alignment horizontal="center" vertical="center"/>
    </xf>
    <xf numFmtId="176" fontId="65" fillId="0" borderId="0" xfId="842" applyNumberFormat="1" applyFont="1" applyAlignment="1">
      <alignment horizontal="left" vertical="center"/>
      <protection locked="0"/>
    </xf>
    <xf numFmtId="176" fontId="66" fillId="0" borderId="0" xfId="842" applyNumberFormat="1" applyFont="1" applyAlignment="1">
      <alignment horizontal="left" vertical="center"/>
      <protection locked="0"/>
    </xf>
    <xf numFmtId="176" fontId="65" fillId="0" borderId="1" xfId="842" applyNumberFormat="1" applyFont="1" applyBorder="1" applyAlignment="1">
      <alignment horizontal="left" vertical="center" wrapText="1"/>
      <protection locked="0"/>
    </xf>
    <xf numFmtId="176" fontId="65" fillId="0" borderId="0" xfId="842" applyNumberFormat="1" applyFont="1" applyBorder="1" applyAlignment="1">
      <alignment horizontal="left" vertical="center" wrapText="1"/>
      <protection locked="0"/>
    </xf>
    <xf numFmtId="176" fontId="66" fillId="3" borderId="1" xfId="842" applyNumberFormat="1" applyFont="1" applyFill="1" applyBorder="1" applyAlignment="1">
      <alignment horizontal="center" vertical="center" wrapText="1"/>
      <protection locked="0"/>
    </xf>
    <xf numFmtId="176" fontId="66" fillId="3" borderId="1" xfId="0" applyNumberFormat="1" applyFont="1" applyFill="1" applyBorder="1" applyAlignment="1">
      <alignment horizontal="center" vertical="center"/>
      <protection locked="0"/>
    </xf>
    <xf numFmtId="176" fontId="66" fillId="3" borderId="1" xfId="0" applyNumberFormat="1" applyFont="1" applyFill="1" applyBorder="1" applyAlignment="1">
      <alignment horizontal="center" vertical="center" wrapText="1"/>
      <protection locked="0"/>
    </xf>
    <xf numFmtId="176" fontId="5" fillId="60" borderId="33" xfId="919" applyFont="1" applyFill="1" applyBorder="1" applyAlignment="1" applyProtection="1">
      <alignment horizontal="center" vertical="center" wrapText="1"/>
      <protection locked="0"/>
    </xf>
    <xf numFmtId="176" fontId="5" fillId="2" borderId="1" xfId="919" applyFont="1" applyFill="1" applyBorder="1" applyAlignment="1" applyProtection="1">
      <alignment horizontal="center" vertical="center" wrapText="1"/>
      <protection locked="0"/>
    </xf>
    <xf numFmtId="176" fontId="13" fillId="2" borderId="1" xfId="919" applyFont="1" applyFill="1" applyBorder="1" applyAlignment="1" applyProtection="1">
      <alignment horizontal="center" vertical="center" wrapText="1"/>
      <protection locked="0"/>
    </xf>
    <xf numFmtId="176" fontId="66" fillId="3" borderId="1" xfId="842" applyNumberFormat="1" applyFont="1" applyFill="1" applyBorder="1" applyAlignment="1">
      <alignment horizontal="center" vertical="center"/>
      <protection locked="0"/>
    </xf>
    <xf numFmtId="176" fontId="65" fillId="0" borderId="1" xfId="842" applyNumberFormat="1" applyFont="1" applyBorder="1" applyAlignment="1">
      <alignment horizontal="center" vertical="center" wrapText="1"/>
      <protection locked="0"/>
    </xf>
    <xf numFmtId="176" fontId="54" fillId="0" borderId="0" xfId="951" applyFont="1" applyAlignment="1">
      <alignment horizontal="center" vertical="center"/>
    </xf>
    <xf numFmtId="176" fontId="2" fillId="0" borderId="0" xfId="951" applyFont="1" applyAlignment="1">
      <alignment horizontal="center" vertical="center"/>
    </xf>
    <xf numFmtId="176" fontId="55" fillId="0" borderId="0" xfId="951" applyFont="1" applyAlignment="1">
      <alignment horizontal="center" vertical="center"/>
    </xf>
    <xf numFmtId="176" fontId="53" fillId="0" borderId="0" xfId="842" applyFont="1" applyAlignment="1">
      <alignment horizontal="left" vertical="center"/>
      <protection locked="0"/>
    </xf>
    <xf numFmtId="176" fontId="54" fillId="0" borderId="0" xfId="842" applyFont="1" applyAlignment="1">
      <alignment horizontal="left" vertical="center"/>
      <protection locked="0"/>
    </xf>
    <xf numFmtId="176" fontId="1" fillId="0" borderId="2" xfId="842" applyFont="1" applyBorder="1" applyAlignment="1">
      <alignment horizontal="left" vertical="center" wrapText="1"/>
      <protection locked="0"/>
    </xf>
    <xf numFmtId="176" fontId="1" fillId="0" borderId="3" xfId="842" applyFont="1" applyBorder="1" applyAlignment="1">
      <alignment horizontal="left" vertical="center" wrapText="1"/>
      <protection locked="0"/>
    </xf>
    <xf numFmtId="176" fontId="53" fillId="0" borderId="3" xfId="842" applyFont="1" applyBorder="1" applyAlignment="1">
      <alignment horizontal="left" vertical="center" wrapText="1"/>
      <protection locked="0"/>
    </xf>
    <xf numFmtId="176" fontId="53" fillId="0" borderId="4" xfId="842" applyFont="1" applyBorder="1" applyAlignment="1">
      <alignment horizontal="left" vertical="center" wrapText="1"/>
      <protection locked="0"/>
    </xf>
    <xf numFmtId="176" fontId="54" fillId="0" borderId="1" xfId="842" applyFont="1" applyBorder="1" applyAlignment="1">
      <alignment horizontal="center" vertical="center"/>
      <protection locked="0"/>
    </xf>
    <xf numFmtId="176" fontId="53" fillId="0" borderId="1" xfId="842" applyFont="1" applyBorder="1" applyAlignment="1">
      <alignment horizontal="left" vertical="center" wrapText="1"/>
      <protection locked="0"/>
    </xf>
    <xf numFmtId="176" fontId="5" fillId="0" borderId="0" xfId="842" applyFont="1" applyAlignment="1">
      <alignment horizontal="left" vertical="center"/>
      <protection locked="0"/>
    </xf>
    <xf numFmtId="176" fontId="5" fillId="5" borderId="2" xfId="851" applyFont="1" applyFill="1" applyBorder="1" applyAlignment="1">
      <alignment horizontal="center" vertical="center"/>
      <protection locked="0"/>
    </xf>
    <xf numFmtId="176" fontId="13" fillId="5" borderId="3" xfId="851" applyFont="1" applyFill="1" applyBorder="1" applyAlignment="1">
      <alignment horizontal="center" vertical="center"/>
      <protection locked="0"/>
    </xf>
    <xf numFmtId="176" fontId="13" fillId="5" borderId="4" xfId="851" applyFont="1" applyFill="1" applyBorder="1" applyAlignment="1">
      <alignment horizontal="center" vertical="center"/>
      <protection locked="0"/>
    </xf>
    <xf numFmtId="176" fontId="13" fillId="5" borderId="1" xfId="851" applyFont="1" applyFill="1" applyBorder="1" applyAlignment="1">
      <alignment horizontal="center" vertical="center" wrapText="1"/>
      <protection locked="0"/>
    </xf>
    <xf numFmtId="176" fontId="12" fillId="2" borderId="1" xfId="851" applyFont="1" applyFill="1" applyBorder="1" applyAlignment="1">
      <alignment horizontal="center" vertical="center" wrapText="1"/>
      <protection locked="0"/>
    </xf>
    <xf numFmtId="176" fontId="12" fillId="0" borderId="1" xfId="851" applyFont="1" applyBorder="1" applyAlignment="1">
      <alignment horizontal="center" vertical="center" wrapText="1"/>
      <protection locked="0"/>
    </xf>
    <xf numFmtId="176" fontId="12" fillId="5" borderId="1" xfId="851" applyFont="1" applyFill="1" applyBorder="1" applyAlignment="1">
      <alignment horizontal="center" vertical="center" wrapText="1"/>
      <protection locked="0"/>
    </xf>
    <xf numFmtId="176" fontId="53" fillId="2" borderId="1" xfId="842" applyFont="1" applyFill="1" applyBorder="1" applyAlignment="1">
      <alignment horizontal="center" vertical="center" wrapText="1"/>
      <protection locked="0"/>
    </xf>
    <xf numFmtId="176" fontId="53" fillId="0" borderId="1" xfId="842" applyFont="1" applyBorder="1" applyAlignment="1">
      <alignment horizontal="center" vertical="center" wrapText="1"/>
      <protection locked="0"/>
    </xf>
    <xf numFmtId="176" fontId="53" fillId="0" borderId="2" xfId="842" applyFont="1" applyBorder="1" applyAlignment="1">
      <alignment horizontal="center" vertical="center" wrapText="1"/>
      <protection locked="0"/>
    </xf>
    <xf numFmtId="176" fontId="53" fillId="0" borderId="4" xfId="842" applyFont="1" applyBorder="1" applyAlignment="1">
      <alignment horizontal="center" vertical="center" wrapText="1"/>
      <protection locked="0"/>
    </xf>
    <xf numFmtId="176" fontId="12" fillId="6" borderId="1" xfId="851" applyFont="1" applyFill="1" applyBorder="1" applyAlignment="1">
      <alignment horizontal="center" vertical="center" wrapText="1"/>
      <protection locked="0"/>
    </xf>
    <xf numFmtId="176" fontId="12" fillId="6" borderId="2" xfId="851" applyFont="1" applyFill="1" applyBorder="1" applyAlignment="1">
      <alignment horizontal="center" vertical="center" wrapText="1"/>
      <protection locked="0"/>
    </xf>
    <xf numFmtId="176" fontId="12" fillId="6" borderId="4" xfId="851" applyFont="1" applyFill="1" applyBorder="1" applyAlignment="1">
      <alignment horizontal="center" vertical="center" wrapText="1"/>
      <protection locked="0"/>
    </xf>
    <xf numFmtId="176" fontId="12" fillId="0" borderId="1" xfId="851" applyFont="1" applyBorder="1" applyAlignment="1">
      <alignment horizontal="center" vertical="center"/>
      <protection locked="0"/>
    </xf>
    <xf numFmtId="176" fontId="12" fillId="8" borderId="1" xfId="851" applyFont="1" applyFill="1" applyBorder="1" applyAlignment="1">
      <alignment horizontal="center" vertical="center"/>
      <protection locked="0"/>
    </xf>
    <xf numFmtId="176" fontId="12" fillId="2" borderId="1" xfId="851" applyFont="1" applyFill="1" applyBorder="1" applyAlignment="1">
      <alignment horizontal="center" vertical="center"/>
      <protection locked="0"/>
    </xf>
    <xf numFmtId="176" fontId="12" fillId="5" borderId="1" xfId="851" applyFont="1" applyFill="1" applyBorder="1" applyAlignment="1">
      <alignment horizontal="center" vertical="center"/>
      <protection locked="0"/>
    </xf>
    <xf numFmtId="176" fontId="12" fillId="0" borderId="2" xfId="851" applyFont="1" applyBorder="1" applyAlignment="1">
      <alignment horizontal="center" vertical="center" wrapText="1"/>
      <protection locked="0"/>
    </xf>
    <xf numFmtId="176" fontId="12" fillId="0" borderId="3" xfId="851" applyFont="1" applyBorder="1" applyAlignment="1">
      <alignment horizontal="center" vertical="center" wrapText="1"/>
      <protection locked="0"/>
    </xf>
    <xf numFmtId="176" fontId="12" fillId="0" borderId="4" xfId="851" applyFont="1" applyBorder="1" applyAlignment="1">
      <alignment horizontal="center" vertical="center" wrapText="1"/>
      <protection locked="0"/>
    </xf>
    <xf numFmtId="176" fontId="8" fillId="5" borderId="1" xfId="851" applyFont="1" applyFill="1" applyBorder="1" applyAlignment="1">
      <alignment horizontal="center" vertical="center" wrapText="1"/>
      <protection locked="0"/>
    </xf>
    <xf numFmtId="176" fontId="8" fillId="0" borderId="1" xfId="851" applyFont="1" applyBorder="1" applyAlignment="1">
      <alignment horizontal="center" vertical="center" wrapText="1"/>
      <protection locked="0"/>
    </xf>
    <xf numFmtId="176" fontId="12" fillId="0" borderId="2" xfId="851" applyFont="1" applyBorder="1" applyAlignment="1">
      <alignment horizontal="center" vertical="center"/>
      <protection locked="0"/>
    </xf>
    <xf numFmtId="176" fontId="12" fillId="0" borderId="4" xfId="851" applyFont="1" applyBorder="1" applyAlignment="1">
      <alignment horizontal="center" vertical="center"/>
      <protection locked="0"/>
    </xf>
    <xf numFmtId="176" fontId="8" fillId="5" borderId="2" xfId="851" applyFont="1" applyFill="1" applyBorder="1" applyAlignment="1">
      <alignment horizontal="center" vertical="center" wrapText="1"/>
      <protection locked="0"/>
    </xf>
    <xf numFmtId="176" fontId="8" fillId="5" borderId="3" xfId="851" applyFont="1" applyFill="1" applyBorder="1" applyAlignment="1">
      <alignment horizontal="center" vertical="center" wrapText="1"/>
      <protection locked="0"/>
    </xf>
    <xf numFmtId="176" fontId="8" fillId="5" borderId="4" xfId="851" applyFont="1" applyFill="1" applyBorder="1" applyAlignment="1">
      <alignment horizontal="center" vertical="center" wrapText="1"/>
      <protection locked="0"/>
    </xf>
    <xf numFmtId="176" fontId="12" fillId="5" borderId="2" xfId="851" applyFont="1" applyFill="1" applyBorder="1" applyAlignment="1">
      <alignment horizontal="center" vertical="center"/>
      <protection locked="0"/>
    </xf>
    <xf numFmtId="176" fontId="12" fillId="5" borderId="4" xfId="851" applyFont="1" applyFill="1" applyBorder="1" applyAlignment="1">
      <alignment horizontal="center" vertical="center"/>
      <protection locked="0"/>
    </xf>
    <xf numFmtId="176" fontId="1" fillId="0" borderId="1" xfId="842" applyFont="1" applyBorder="1" applyAlignment="1">
      <alignment horizontal="center" vertical="center" wrapText="1"/>
      <protection locked="0"/>
    </xf>
    <xf numFmtId="176" fontId="1" fillId="0" borderId="16" xfId="958" applyFont="1" applyBorder="1" applyAlignment="1">
      <alignment horizontal="center" vertical="center"/>
    </xf>
    <xf numFmtId="176" fontId="53" fillId="0" borderId="16" xfId="958" applyFont="1" applyBorder="1" applyAlignment="1">
      <alignment horizontal="center" vertical="center"/>
    </xf>
    <xf numFmtId="176" fontId="1" fillId="0" borderId="0" xfId="958" applyFont="1" applyAlignment="1">
      <alignment horizontal="left" vertical="center" wrapText="1"/>
    </xf>
    <xf numFmtId="176" fontId="1" fillId="0" borderId="0" xfId="958" applyFont="1" applyAlignment="1">
      <alignment horizontal="center" vertical="center" wrapText="1"/>
    </xf>
    <xf numFmtId="176" fontId="54" fillId="0" borderId="1" xfId="842" applyFont="1" applyBorder="1" applyAlignment="1">
      <alignment horizontal="left" vertical="center" wrapText="1"/>
      <protection locked="0"/>
    </xf>
    <xf numFmtId="176" fontId="53" fillId="0" borderId="0" xfId="958" applyFont="1" applyAlignment="1">
      <alignment horizontal="center" vertical="center" wrapText="1"/>
    </xf>
    <xf numFmtId="176" fontId="53" fillId="0" borderId="0" xfId="958" applyFont="1" applyAlignment="1">
      <alignment horizontal="left" vertical="center" wrapText="1"/>
    </xf>
    <xf numFmtId="0" fontId="170" fillId="0" borderId="34" xfId="1104" applyNumberFormat="1" applyFont="1" applyBorder="1" applyAlignment="1">
      <alignment horizontal="left" vertical="center"/>
    </xf>
    <xf numFmtId="0" fontId="170" fillId="0" borderId="35" xfId="1104" applyNumberFormat="1" applyFont="1" applyBorder="1" applyAlignment="1">
      <alignment horizontal="left" vertical="center"/>
    </xf>
    <xf numFmtId="0" fontId="170" fillId="0" borderId="34" xfId="1104" applyNumberFormat="1" applyFont="1" applyBorder="1" applyAlignment="1">
      <alignment horizontal="center" vertical="center"/>
    </xf>
    <xf numFmtId="0" fontId="170" fillId="0" borderId="35" xfId="1104" applyNumberFormat="1" applyFont="1" applyBorder="1" applyAlignment="1">
      <alignment horizontal="center" vertical="center"/>
    </xf>
    <xf numFmtId="0" fontId="11" fillId="0" borderId="33" xfId="1104" applyNumberFormat="1" applyFont="1" applyBorder="1" applyAlignment="1">
      <alignment horizontal="center" vertical="center"/>
    </xf>
    <xf numFmtId="43" fontId="2" fillId="0" borderId="0" xfId="956" applyNumberFormat="1" applyFont="1" applyBorder="1" applyAlignment="1">
      <alignment horizontal="center" vertical="center"/>
    </xf>
    <xf numFmtId="43" fontId="3" fillId="0" borderId="0" xfId="956" applyNumberFormat="1" applyFont="1" applyBorder="1" applyAlignment="1">
      <alignment horizontal="center" vertical="center"/>
    </xf>
    <xf numFmtId="43" fontId="5" fillId="2" borderId="15" xfId="956" applyNumberFormat="1" applyFont="1" applyFill="1" applyBorder="1" applyAlignment="1">
      <alignment horizontal="center" vertical="center"/>
    </xf>
    <xf numFmtId="43" fontId="5" fillId="2" borderId="15" xfId="1066" applyFont="1" applyFill="1" applyBorder="1" applyAlignment="1">
      <alignment horizontal="center" vertical="center"/>
    </xf>
    <xf numFmtId="176" fontId="13" fillId="0" borderId="0" xfId="805" applyFont="1" applyAlignment="1">
      <alignment horizontal="center" vertical="center"/>
      <protection locked="0"/>
    </xf>
    <xf numFmtId="176" fontId="2" fillId="0" borderId="0" xfId="805" applyFont="1" applyAlignment="1">
      <alignment horizontal="center" vertical="center"/>
      <protection locked="0"/>
    </xf>
    <xf numFmtId="176" fontId="19" fillId="0" borderId="0" xfId="805" applyFont="1" applyAlignment="1">
      <alignment horizontal="center" vertical="center"/>
      <protection locked="0"/>
    </xf>
    <xf numFmtId="176" fontId="28" fillId="0" borderId="10" xfId="802" applyFont="1" applyBorder="1" applyAlignment="1">
      <alignment horizontal="center" vertical="center" wrapText="1"/>
    </xf>
    <xf numFmtId="176" fontId="1" fillId="0" borderId="10" xfId="802" applyBorder="1" applyAlignment="1"/>
    <xf numFmtId="176" fontId="33" fillId="0" borderId="10" xfId="802" applyFont="1" applyBorder="1" applyAlignment="1">
      <alignment horizontal="center" vertical="center"/>
    </xf>
    <xf numFmtId="176" fontId="48" fillId="0" borderId="10" xfId="802" applyFont="1" applyBorder="1" applyAlignment="1">
      <alignment horizontal="center" vertical="center"/>
    </xf>
    <xf numFmtId="176" fontId="33" fillId="0" borderId="9" xfId="802" applyFont="1" applyBorder="1" applyAlignment="1">
      <alignment horizontal="left" vertical="center" wrapText="1"/>
    </xf>
    <xf numFmtId="176" fontId="1" fillId="0" borderId="11" xfId="802" applyBorder="1" applyAlignment="1"/>
    <xf numFmtId="176" fontId="33" fillId="0" borderId="9" xfId="802" applyFont="1" applyBorder="1" applyAlignment="1">
      <alignment horizontal="left" vertical="center"/>
    </xf>
    <xf numFmtId="176" fontId="2" fillId="0" borderId="13" xfId="802" applyFont="1" applyBorder="1" applyAlignment="1">
      <alignment horizontal="left" vertical="center"/>
    </xf>
    <xf numFmtId="176" fontId="2" fillId="0" borderId="14" xfId="802" applyFont="1" applyBorder="1" applyAlignment="1">
      <alignment horizontal="left" vertical="center"/>
    </xf>
    <xf numFmtId="176" fontId="1" fillId="0" borderId="14" xfId="802" applyBorder="1" applyAlignment="1"/>
    <xf numFmtId="176" fontId="47" fillId="0" borderId="10" xfId="802" applyFont="1" applyBorder="1" applyAlignment="1">
      <alignment horizontal="center" vertical="center"/>
    </xf>
    <xf numFmtId="176" fontId="171" fillId="0" borderId="11" xfId="805" applyBorder="1" applyAlignment="1">
      <alignment horizontal="center" vertical="center"/>
      <protection locked="0"/>
    </xf>
    <xf numFmtId="176" fontId="28" fillId="0" borderId="10" xfId="802" applyFont="1" applyBorder="1" applyAlignment="1">
      <alignment horizontal="center" vertical="center"/>
    </xf>
    <xf numFmtId="176" fontId="29" fillId="0" borderId="0" xfId="802" applyFont="1" applyAlignment="1">
      <alignment horizontal="center" vertical="center"/>
    </xf>
    <xf numFmtId="176" fontId="30" fillId="0" borderId="0" xfId="802" applyFont="1" applyAlignment="1">
      <alignment horizontal="center"/>
    </xf>
    <xf numFmtId="43" fontId="23" fillId="0" borderId="10" xfId="802" applyNumberFormat="1" applyFont="1" applyBorder="1" applyAlignment="1">
      <alignment horizontal="center" vertical="center" wrapText="1"/>
    </xf>
    <xf numFmtId="43" fontId="23" fillId="0" borderId="10" xfId="802" applyNumberFormat="1" applyFont="1" applyBorder="1" applyAlignment="1">
      <alignment horizontal="center" vertical="center"/>
    </xf>
    <xf numFmtId="43" fontId="23" fillId="0" borderId="9" xfId="802" applyNumberFormat="1" applyFont="1" applyBorder="1" applyAlignment="1">
      <alignment horizontal="justify" vertical="center" wrapText="1"/>
    </xf>
    <xf numFmtId="43" fontId="23" fillId="0" borderId="9" xfId="802" applyNumberFormat="1" applyFont="1" applyBorder="1" applyAlignment="1">
      <alignment horizontal="justify" vertical="center"/>
    </xf>
    <xf numFmtId="176" fontId="2" fillId="0" borderId="0" xfId="950" applyNumberFormat="1" applyFont="1" applyAlignment="1">
      <alignment horizontal="center" vertical="center"/>
    </xf>
    <xf numFmtId="176" fontId="3" fillId="0" borderId="0" xfId="950" applyNumberFormat="1" applyFont="1" applyAlignment="1">
      <alignment horizontal="center" vertical="center"/>
    </xf>
    <xf numFmtId="176" fontId="5" fillId="0" borderId="0" xfId="952" applyNumberFormat="1" applyFont="1" applyAlignment="1">
      <alignment horizontal="center" vertical="center"/>
    </xf>
    <xf numFmtId="176" fontId="5" fillId="2" borderId="2" xfId="812" applyNumberFormat="1" applyFont="1" applyFill="1" applyBorder="1" applyAlignment="1">
      <alignment horizontal="center" vertical="center"/>
      <protection locked="0"/>
    </xf>
    <xf numFmtId="176" fontId="5" fillId="2" borderId="3" xfId="812" applyNumberFormat="1" applyFont="1" applyFill="1" applyBorder="1" applyAlignment="1">
      <alignment horizontal="center" vertical="center"/>
      <protection locked="0"/>
    </xf>
    <xf numFmtId="176" fontId="5" fillId="2" borderId="4" xfId="812" applyNumberFormat="1" applyFont="1" applyFill="1" applyBorder="1" applyAlignment="1">
      <alignment horizontal="center" vertical="center"/>
      <protection locked="0"/>
    </xf>
    <xf numFmtId="176" fontId="5" fillId="2" borderId="1" xfId="812" applyNumberFormat="1" applyFont="1" applyFill="1" applyBorder="1" applyAlignment="1">
      <alignment horizontal="center" vertical="center"/>
      <protection locked="0"/>
    </xf>
    <xf numFmtId="176" fontId="5" fillId="2" borderId="5" xfId="812" applyNumberFormat="1" applyFont="1" applyFill="1" applyBorder="1" applyAlignment="1">
      <alignment horizontal="center" vertical="center"/>
      <protection locked="0"/>
    </xf>
    <xf numFmtId="176" fontId="5" fillId="2" borderId="6" xfId="812" applyNumberFormat="1" applyFont="1" applyFill="1" applyBorder="1" applyAlignment="1">
      <alignment horizontal="center" vertical="center"/>
      <protection locked="0"/>
    </xf>
    <xf numFmtId="176" fontId="2" fillId="0" borderId="0" xfId="956" applyNumberFormat="1" applyFont="1" applyBorder="1" applyAlignment="1">
      <alignment horizontal="center" vertical="center"/>
    </xf>
    <xf numFmtId="176" fontId="3" fillId="0" borderId="0" xfId="956" applyNumberFormat="1" applyFont="1" applyBorder="1" applyAlignment="1">
      <alignment horizontal="center" vertical="center"/>
    </xf>
    <xf numFmtId="0" fontId="5" fillId="0" borderId="8" xfId="0" applyNumberFormat="1" applyFont="1" applyBorder="1" applyAlignment="1">
      <alignment vertical="center"/>
      <protection locked="0"/>
    </xf>
    <xf numFmtId="0" fontId="1" fillId="0" borderId="8" xfId="0" applyNumberFormat="1" applyFont="1" applyBorder="1" applyAlignment="1">
      <alignment vertical="center"/>
      <protection locked="0"/>
    </xf>
    <xf numFmtId="0" fontId="1" fillId="0" borderId="0" xfId="0" applyNumberFormat="1" applyFont="1" applyAlignment="1">
      <alignment vertical="center"/>
      <protection locked="0"/>
    </xf>
    <xf numFmtId="0" fontId="11" fillId="0" borderId="0" xfId="0" applyNumberFormat="1" applyFont="1" applyAlignment="1">
      <alignment vertical="center"/>
      <protection locked="0"/>
    </xf>
    <xf numFmtId="0" fontId="5" fillId="0" borderId="0" xfId="0" applyNumberFormat="1" applyFont="1" applyAlignment="1">
      <alignment vertical="center"/>
      <protection locked="0"/>
    </xf>
    <xf numFmtId="0" fontId="4" fillId="0" borderId="0" xfId="0" applyNumberFormat="1" applyFont="1" applyAlignment="1" applyProtection="1">
      <alignment vertical="center"/>
    </xf>
    <xf numFmtId="0" fontId="1" fillId="0" borderId="0" xfId="954" applyNumberFormat="1" applyFont="1" applyAlignment="1">
      <alignment vertical="center"/>
    </xf>
    <xf numFmtId="0" fontId="1" fillId="0" borderId="0" xfId="0" applyNumberFormat="1" applyFont="1" applyAlignment="1">
      <alignment horizontal="right" vertical="center"/>
      <protection locked="0"/>
    </xf>
    <xf numFmtId="0" fontId="1" fillId="0" borderId="0" xfId="894" applyNumberFormat="1" applyFont="1" applyFill="1" applyAlignment="1">
      <alignment vertical="center"/>
    </xf>
    <xf numFmtId="0" fontId="1" fillId="0" borderId="0" xfId="0" applyNumberFormat="1" applyFont="1" applyFill="1" applyAlignment="1">
      <alignment vertical="center"/>
      <protection locked="0"/>
    </xf>
    <xf numFmtId="0" fontId="11" fillId="0" borderId="0" xfId="894" applyNumberFormat="1" applyFont="1" applyFill="1" applyAlignment="1">
      <alignment vertical="center"/>
    </xf>
    <xf numFmtId="0" fontId="15" fillId="0" borderId="0" xfId="0" applyNumberFormat="1" applyFont="1" applyFill="1" applyAlignment="1">
      <alignment vertical="center"/>
      <protection locked="0"/>
    </xf>
    <xf numFmtId="0" fontId="15" fillId="0" borderId="0" xfId="894" applyNumberFormat="1" applyFont="1" applyFill="1" applyAlignment="1">
      <alignment horizontal="left" vertical="center" indent="1"/>
    </xf>
    <xf numFmtId="0" fontId="5" fillId="0" borderId="0" xfId="812" applyNumberFormat="1" applyFont="1" applyAlignment="1">
      <alignment vertical="center"/>
      <protection locked="0"/>
    </xf>
    <xf numFmtId="0" fontId="1" fillId="0" borderId="0" xfId="812" applyNumberFormat="1" applyFont="1" applyAlignment="1">
      <alignment vertical="center"/>
      <protection locked="0"/>
    </xf>
    <xf numFmtId="0" fontId="4" fillId="0" borderId="0" xfId="812" applyNumberFormat="1" applyFont="1" applyAlignment="1" applyProtection="1">
      <alignment vertical="center"/>
    </xf>
    <xf numFmtId="0" fontId="1" fillId="0" borderId="0" xfId="900" applyNumberFormat="1" applyFont="1" applyAlignment="1">
      <alignment vertical="center"/>
    </xf>
    <xf numFmtId="0" fontId="4" fillId="0" borderId="0" xfId="812" applyNumberFormat="1" applyFont="1" applyAlignment="1" applyProtection="1">
      <alignment horizontal="left" vertical="center"/>
    </xf>
    <xf numFmtId="0" fontId="7" fillId="0" borderId="1" xfId="820" applyNumberFormat="1" applyFont="1" applyBorder="1" applyAlignment="1">
      <alignment vertical="center"/>
    </xf>
    <xf numFmtId="0" fontId="8" fillId="0" borderId="1" xfId="820" applyNumberFormat="1" applyFont="1" applyBorder="1" applyAlignment="1">
      <alignment vertical="center"/>
    </xf>
    <xf numFmtId="43" fontId="8" fillId="0" borderId="1" xfId="1" applyFont="1" applyBorder="1" applyAlignment="1">
      <alignment vertical="center"/>
    </xf>
  </cellXfs>
  <cellStyles count="1105">
    <cellStyle name="_x000a_mouse.drv=lm" xfId="4"/>
    <cellStyle name="%" xfId="5"/>
    <cellStyle name="% 2" xfId="6"/>
    <cellStyle name="% 2 2" xfId="7"/>
    <cellStyle name="% 3" xfId="8"/>
    <cellStyle name="?" xfId="9"/>
    <cellStyle name="? 2" xfId="10"/>
    <cellStyle name="? 3" xfId="11"/>
    <cellStyle name="? 4" xfId="12"/>
    <cellStyle name="??" xfId="13"/>
    <cellStyle name="?? [0]" xfId="14"/>
    <cellStyle name="?? 2" xfId="15"/>
    <cellStyle name="??_0N-HANDLING " xfId="16"/>
    <cellStyle name="?餡_x000c_k" xfId="17"/>
    <cellStyle name="?餡_x000c_k 2" xfId="18"/>
    <cellStyle name="?餡_x000c_k 3" xfId="19"/>
    <cellStyle name="?餡_x000c_k 4" xfId="20"/>
    <cellStyle name="?餡_x000c_k?_x000d_^" xfId="21"/>
    <cellStyle name="?餡_x000c_k?_x000d_^ 2" xfId="22"/>
    <cellStyle name="?餡_x000c_k?_x000d_^ 3" xfId="23"/>
    <cellStyle name="?餡_x000c_k?_x000d_^ 4" xfId="24"/>
    <cellStyle name="?餡_x000c_k?_x000d_^黇_x0001_??_x0007__x0001__x0001_" xfId="25"/>
    <cellStyle name="?餡_x000c_k?_x000d_^黇_x0001_??_x0007__x0001__x0001_ 2" xfId="26"/>
    <cellStyle name="?餡_x000c_k?_x000d_^黇_x0001_??_x0007__x0001__x0001_ 3" xfId="27"/>
    <cellStyle name="?餡_x000c_k?_x000d_^黇_x0001_??_x0007__x0001__x0001_ 4" xfId="28"/>
    <cellStyle name="@_text" xfId="29"/>
    <cellStyle name="@_text_子公司附注汇总(房开公司)" xfId="30"/>
    <cellStyle name="_(本部)2006年年报审计PBC表" xfId="31"/>
    <cellStyle name="_07930建造合同" xfId="32"/>
    <cellStyle name="_07930建造合同 2" xfId="33"/>
    <cellStyle name="_12月项目部访问及审计-德勤" xfId="34"/>
    <cellStyle name="_12月项目部访问及审计-德勤 2" xfId="35"/>
    <cellStyle name="_2005-08-31审计底稿－李" xfId="36"/>
    <cellStyle name="_2005年工作底稿" xfId="37"/>
    <cellStyle name="_2005年工作底稿_3-2-A1B-银行存款" xfId="38"/>
    <cellStyle name="_2005年工作底稿_3-2-Z17A-固定资产" xfId="39"/>
    <cellStyle name="_2005年工作底稿_Sheet1" xfId="40"/>
    <cellStyle name="_2005审计报表及附注-中国建材股份模板（房屋）" xfId="41"/>
    <cellStyle name="_2005审计报表及附注-中国建材股份模板（房屋） 2" xfId="42"/>
    <cellStyle name="_2005审计报表及附注-中国建材股份模板（房屋） 3" xfId="43"/>
    <cellStyle name="_2005审计报表及附注-中国建材股份模板（房屋） 4" xfId="44"/>
    <cellStyle name="_2006年年报审计PBC表（合并）" xfId="45"/>
    <cellStyle name="_2006年年报审计PBC表-XX" xfId="46"/>
    <cellStyle name="_2006年年报审计PBC表-XXX" xfId="47"/>
    <cellStyle name="_2006年年报审计PBC表-XXX 2" xfId="48"/>
    <cellStyle name="_2006年年报审计PBC表-XXX 3" xfId="49"/>
    <cellStyle name="_2006年年报审计PBC表-XXX 4" xfId="50"/>
    <cellStyle name="_2006年年报审计PBC表-福州分公司" xfId="51"/>
    <cellStyle name="_2006年年报审计PBC表-云南分公司" xfId="52"/>
    <cellStyle name="_2006年年报审计填报资料" xfId="53"/>
    <cellStyle name="_2006年年报审计填报资料 2" xfId="54"/>
    <cellStyle name="_2006年年报审计填报资料 3" xfId="55"/>
    <cellStyle name="_2006年年报审计填报资料 4" xfId="56"/>
    <cellStyle name="_2007调整分录-鲁佳" xfId="57"/>
    <cellStyle name="_3-2-A22-无形资产" xfId="58"/>
    <cellStyle name="_3-2-A22-无形资产 2" xfId="59"/>
    <cellStyle name="_3-2-A4-应收账款" xfId="60"/>
    <cellStyle name="_A17固定资产" xfId="61"/>
    <cellStyle name="_A23无形资产" xfId="62"/>
    <cellStyle name="_A3应收票据" xfId="63"/>
    <cellStyle name="_A6应收账款" xfId="64"/>
    <cellStyle name="_A6应收账款_3-2-A1B-银行存款" xfId="65"/>
    <cellStyle name="_A6应收账款_3-2-Z17A-固定资产" xfId="66"/>
    <cellStyle name="_A6应收账款_Sheet1" xfId="67"/>
    <cellStyle name="_B10其他未交款" xfId="68"/>
    <cellStyle name="_B13预收账款2005" xfId="69"/>
    <cellStyle name="_B6应付工资" xfId="70"/>
    <cellStyle name="_B7应付福利费" xfId="71"/>
    <cellStyle name="_B9应交税金2005" xfId="72"/>
    <cellStyle name="_Book1" xfId="73"/>
    <cellStyle name="_Book1 2" xfId="74"/>
    <cellStyle name="_Book1 3" xfId="75"/>
    <cellStyle name="_Book1 4" xfId="76"/>
    <cellStyle name="_CREC(Huo" xfId="77"/>
    <cellStyle name="_D11营业外支出" xfId="78"/>
    <cellStyle name="_D12所得税2005" xfId="79"/>
    <cellStyle name="_D1主营业务收入" xfId="80"/>
    <cellStyle name="_D3主营业务税金及附加" xfId="81"/>
    <cellStyle name="_D4其他业务利润" xfId="82"/>
    <cellStyle name="_ET_STYLE_NoName_00_" xfId="83"/>
    <cellStyle name="_ET_STYLE_NoName_00__2007调整分录-鲁佳" xfId="84"/>
    <cellStyle name="_ET_STYLE_NoName_00__2007调整分录-鲁佳 2" xfId="85"/>
    <cellStyle name="_ET_STYLE_NoName_00__股份本部" xfId="86"/>
    <cellStyle name="_ET_STYLE_NoName_00__股份本部_1" xfId="87"/>
    <cellStyle name="_ET_STYLE_NoName_00__股份本部_3" xfId="88"/>
    <cellStyle name="_ET_STYLE_NoName_00__股份本部_6_股份本部_2" xfId="89"/>
    <cellStyle name="_ET_STYLE_NoName_00__股份本部_7_股份本部_3" xfId="90"/>
    <cellStyle name="_J1000-存货-ZHHG" xfId="91"/>
    <cellStyle name="_J1000-存货-ZHHG 2" xfId="92"/>
    <cellStyle name="_PBC审核提示" xfId="93"/>
    <cellStyle name="_PBC审核提示 2" xfId="94"/>
    <cellStyle name="_PBC审核提示 3" xfId="95"/>
    <cellStyle name="_PBC审核提示 4" xfId="96"/>
    <cellStyle name="_Sheet1" xfId="97"/>
    <cellStyle name="_宝丽华房地产20051231" xfId="98"/>
    <cellStyle name="_宝丽华房地产20051231 2" xfId="99"/>
    <cellStyle name="_宝丽华房地产20051231 3" xfId="100"/>
    <cellStyle name="_宝丽华房地产20051231 4" xfId="101"/>
    <cellStyle name="_保证金-企业填写部分" xfId="102"/>
    <cellStyle name="_保证金-企业填写部分 2" xfId="103"/>
    <cellStyle name="_保证金-企业填写部分 3" xfId="104"/>
    <cellStyle name="_保证金-企业填写部分 4" xfId="105"/>
    <cellStyle name="_北新房屋2004年审-刘" xfId="106"/>
    <cellStyle name="_北新房屋2004年审-刘 2" xfId="107"/>
    <cellStyle name="_北新房屋2004年审-刘 3" xfId="108"/>
    <cellStyle name="_北新房屋2004年审-刘 4" xfId="109"/>
    <cellStyle name="_北新股份2005年审工作底稿" xfId="110"/>
    <cellStyle name="_北新股份2005年审工作底稿 2" xfId="111"/>
    <cellStyle name="_北新股份2005年审工作底稿 3" xfId="112"/>
    <cellStyle name="_北新股份2005年审工作底稿 4" xfId="113"/>
    <cellStyle name="_北新建材关连交易基础表051230（10－12月版）更新稿" xfId="114"/>
    <cellStyle name="_北新建材关连交易基础表051230（10－12月版）更新稿 2" xfId="115"/>
    <cellStyle name="_北新建材关连交易基础表051230（10－12月版）更新稿 3" xfId="116"/>
    <cellStyle name="_北新建材关连交易基础表051230（10－12月版）更新稿 4" xfId="117"/>
    <cellStyle name="_北新建材-会计报表附注模版" xfId="118"/>
    <cellStyle name="_北新建材-会计报表附注模版 2" xfId="119"/>
    <cellStyle name="_北新建材-会计报表附注模版 3" xfId="120"/>
    <cellStyle name="_北新建材-会计报表附注模版 4" xfId="121"/>
    <cellStyle name="_北新龙之星2004年审工作底稿" xfId="122"/>
    <cellStyle name="_北新龙之星2004年审工作底稿 2" xfId="123"/>
    <cellStyle name="_北新龙之星2004年审工作底稿 3" xfId="124"/>
    <cellStyle name="_北新龙之星2004年审工作底稿 4" xfId="125"/>
    <cellStyle name="_北新物流2005底稿-刘" xfId="126"/>
    <cellStyle name="_北新物流2005底稿-刘 2" xfId="127"/>
    <cellStyle name="_北新物流2005底稿-刘 3" xfId="128"/>
    <cellStyle name="_北新物流2005底稿-刘 4" xfId="129"/>
    <cellStyle name="_北新置换memo" xfId="130"/>
    <cellStyle name="_北新置换memo 2" xfId="131"/>
    <cellStyle name="_北新置换memo 3" xfId="132"/>
    <cellStyle name="_北新置换memo 4" xfId="133"/>
    <cellStyle name="_本部其他应收应付年审底稿--鲁佳pb" xfId="134"/>
    <cellStyle name="_存货结转测试" xfId="135"/>
    <cellStyle name="_存货结转测试 2" xfId="136"/>
    <cellStyle name="_存货结转测试 3" xfId="137"/>
    <cellStyle name="_存货结转测试 4" xfId="138"/>
    <cellStyle name="_存货数量与明细05.12" xfId="139"/>
    <cellStyle name="_存货数量与明细05.12 2" xfId="140"/>
    <cellStyle name="_存货数量与明细05.12 3" xfId="141"/>
    <cellStyle name="_存货数量与明细05.12 4" xfId="142"/>
    <cellStyle name="_动力厂2004年审工作底稿-刘" xfId="143"/>
    <cellStyle name="_动力厂2004年审工作底稿-刘 2" xfId="144"/>
    <cellStyle name="_动力厂2004年审工作底稿-刘 3" xfId="145"/>
    <cellStyle name="_动力厂2004年审工作底稿-刘 4" xfId="146"/>
    <cellStyle name="_分工" xfId="147"/>
    <cellStyle name="_分工 2" xfId="148"/>
    <cellStyle name="_分工 3" xfId="149"/>
    <cellStyle name="_分工 4" xfId="150"/>
    <cellStyle name="_封面" xfId="151"/>
    <cellStyle name="_工程施工项目现场审计提示" xfId="152"/>
    <cellStyle name="_工程施工项目现场审计提示 2" xfId="153"/>
    <cellStyle name="_工程施工项目现场审计提示 3" xfId="154"/>
    <cellStyle name="_工程施工项目现场审计提示 4" xfId="155"/>
    <cellStyle name="_公司填表" xfId="156"/>
    <cellStyle name="_公司填表-2005蔡" xfId="157"/>
    <cellStyle name="_公司填表-2005李志刚" xfId="158"/>
    <cellStyle name="_公司填表2005-吴" xfId="159"/>
    <cellStyle name="_公司填表2005-吴_3-2-A1B-银行存款" xfId="160"/>
    <cellStyle name="_公司填表2005-吴_3-2-Z17A-固定资产" xfId="161"/>
    <cellStyle name="_公司填表2005-吴_Sheet1" xfId="162"/>
    <cellStyle name="_公司填表2005-修改" xfId="163"/>
    <cellStyle name="_公司填表2005-修改_3-2-A1B-银行存款" xfId="164"/>
    <cellStyle name="_公司填表2005-修改_3-2-Z17A-固定资产" xfId="165"/>
    <cellStyle name="_公司填表2005-修改_Sheet1" xfId="166"/>
    <cellStyle name="_公司填表2005-修改后" xfId="167"/>
    <cellStyle name="_公司填表2005-修改后_3-2-A1B-银行存款" xfId="168"/>
    <cellStyle name="_公司填表2005-修改后_3-2-Z17A-固定资产" xfId="169"/>
    <cellStyle name="_公司填表2005-修改后_Sheet1" xfId="170"/>
    <cellStyle name="_公司填表-2005杨" xfId="171"/>
    <cellStyle name="_关联交易" xfId="172"/>
    <cellStyle name="_关联交易 2" xfId="173"/>
    <cellStyle name="_关联交易 3" xfId="174"/>
    <cellStyle name="_关联交易 4" xfId="175"/>
    <cellStyle name="_关联交易、往来统计表" xfId="176"/>
    <cellStyle name="_关联交易、往来统计表 2" xfId="177"/>
    <cellStyle name="_关联交易、往来统计表 3" xfId="178"/>
    <cellStyle name="_关联交易、往来统计表 4" xfId="179"/>
    <cellStyle name="_合并报表审计调整模板(CREC)" xfId="180"/>
    <cellStyle name="_合并公司2006年度科目明细表(定稿)" xfId="181"/>
    <cellStyle name="_建造合同-宜万指（正式版）" xfId="182"/>
    <cellStyle name="_建造合同-宜万指（正式版） 2" xfId="183"/>
    <cellStyle name="_建造合同-宜万指（正式版） 3" xfId="184"/>
    <cellStyle name="_建造合同-宜万指（正式版） 4" xfId="185"/>
    <cellStyle name="_科目核对表" xfId="186"/>
    <cellStyle name="_科目核对表 2" xfId="187"/>
    <cellStyle name="_科目核对表 3" xfId="188"/>
    <cellStyle name="_科目核对表 4" xfId="189"/>
    <cellStyle name="_刘青分工填列信息统计" xfId="190"/>
    <cellStyle name="_刘青分工－子公司审计模板-电务" xfId="191"/>
    <cellStyle name="_刘青分工－子公司审计模板－铁达本部" xfId="192"/>
    <cellStyle name="_母PL" xfId="193"/>
    <cellStyle name="_母PL 2" xfId="194"/>
    <cellStyle name="_母PL 3" xfId="195"/>
    <cellStyle name="_母PL 4" xfId="196"/>
    <cellStyle name="_母公司底稿-鲁佳" xfId="197"/>
    <cellStyle name="_年审筹资循环资料清单" xfId="198"/>
    <cellStyle name="_凭证抽查-05年" xfId="199"/>
    <cellStyle name="_人员分工备忘录" xfId="200"/>
    <cellStyle name="_人员分工备忘录 2" xfId="201"/>
    <cellStyle name="_人员分工备忘录 3" xfId="202"/>
    <cellStyle name="_人员分工备忘录 4" xfId="203"/>
    <cellStyle name="_审计底稿-轩" xfId="204"/>
    <cellStyle name="_审计所需资料清单－子公司" xfId="205"/>
    <cellStyle name="_审计所需资料清单－子公司 2" xfId="206"/>
    <cellStyle name="_审计所需资料清单－子公司 3" xfId="207"/>
    <cellStyle name="_审计所需资料清单－子公司 4" xfId="208"/>
    <cellStyle name="_审计提示模版" xfId="209"/>
    <cellStyle name="_审计提示模版-母公司部分" xfId="210"/>
    <cellStyle name="_铁鸿源－刘青分工－子公司审计模板" xfId="211"/>
    <cellStyle name="_兴华审计成本" xfId="212"/>
    <cellStyle name="_岩土长投--急0121报王占学" xfId="213"/>
    <cellStyle name="_一公司建造合同前5名" xfId="214"/>
    <cellStyle name="_一公司建造合同前5名 2" xfId="215"/>
    <cellStyle name="_一公司建造合同前5名 3" xfId="216"/>
    <cellStyle name="_一公司建造合同前5名 4" xfId="217"/>
    <cellStyle name="_一公司－刘丰收" xfId="218"/>
    <cellStyle name="_一公司－刘丰收 2" xfId="219"/>
    <cellStyle name="_一公司－刘丰收 3" xfId="220"/>
    <cellStyle name="_一公司－刘丰收 4" xfId="221"/>
    <cellStyle name="_银行询证函统计－大表" xfId="222"/>
    <cellStyle name="_应收账款账龄--04、05" xfId="223"/>
    <cellStyle name="_长期借款－江阴" xfId="224"/>
    <cellStyle name="_长期借款－江阴 2" xfId="225"/>
    <cellStyle name="_长期借款－江阴 3" xfId="226"/>
    <cellStyle name="_长期借款－江阴 4" xfId="227"/>
    <cellStyle name="_子公司筹资循环－刘青" xfId="228"/>
    <cellStyle name="_子公司审计提示模版-Liufs" xfId="229"/>
    <cellStyle name="_子公司审计提示模版-Liufs 2" xfId="230"/>
    <cellStyle name="_子公司审计提示模版-Liufs 3" xfId="231"/>
    <cellStyle name="_子公司审计提示模版-Liufs 4" xfId="232"/>
    <cellStyle name="_子公司填表" xfId="233"/>
    <cellStyle name="{Comma [0]}" xfId="234"/>
    <cellStyle name="{Comma}" xfId="235"/>
    <cellStyle name="{Date}" xfId="236"/>
    <cellStyle name="{Month}" xfId="237"/>
    <cellStyle name="{Percent}" xfId="238"/>
    <cellStyle name="{Thousand [0]}" xfId="239"/>
    <cellStyle name="{Thousand}" xfId="240"/>
    <cellStyle name="{Z'0000(1 dec)}" xfId="241"/>
    <cellStyle name="{Z'0000(4 dec)}" xfId="242"/>
    <cellStyle name="0%" xfId="243"/>
    <cellStyle name="0% 2" xfId="244"/>
    <cellStyle name="0,0_x000d__x000a_NA_x000d__x000a_" xfId="245"/>
    <cellStyle name="0,0_x000d__x000a_NA_x000d__x000a_ 2" xfId="246"/>
    <cellStyle name="0.0%" xfId="247"/>
    <cellStyle name="0.0% 2" xfId="248"/>
    <cellStyle name="0.00%" xfId="249"/>
    <cellStyle name="0.00% 2" xfId="250"/>
    <cellStyle name="00" xfId="251"/>
    <cellStyle name="00 2" xfId="252"/>
    <cellStyle name="20% - Accent1" xfId="253"/>
    <cellStyle name="20% - Accent1 2" xfId="254"/>
    <cellStyle name="20% - Accent2" xfId="255"/>
    <cellStyle name="20% - Accent2 2" xfId="256"/>
    <cellStyle name="20% - Accent3" xfId="257"/>
    <cellStyle name="20% - Accent3 2" xfId="258"/>
    <cellStyle name="20% - Accent4" xfId="259"/>
    <cellStyle name="20% - Accent4 2" xfId="260"/>
    <cellStyle name="20% - Accent5" xfId="261"/>
    <cellStyle name="20% - Accent5 2" xfId="262"/>
    <cellStyle name="20% - Accent6" xfId="263"/>
    <cellStyle name="20% - Accent6 2" xfId="264"/>
    <cellStyle name="40% - Accent1" xfId="265"/>
    <cellStyle name="40% - Accent1 2" xfId="266"/>
    <cellStyle name="40% - Accent2" xfId="267"/>
    <cellStyle name="40% - Accent2 2" xfId="268"/>
    <cellStyle name="40% - Accent3" xfId="269"/>
    <cellStyle name="40% - Accent3 2" xfId="270"/>
    <cellStyle name="40% - Accent4" xfId="271"/>
    <cellStyle name="40% - Accent5" xfId="272"/>
    <cellStyle name="40% - Accent6" xfId="273"/>
    <cellStyle name="40% - Accent6 2" xfId="274"/>
    <cellStyle name="60% - Accent1" xfId="275"/>
    <cellStyle name="60% - Accent1 2" xfId="276"/>
    <cellStyle name="60% - Accent2" xfId="277"/>
    <cellStyle name="60% - Accent2 2" xfId="278"/>
    <cellStyle name="60% - Accent3" xfId="279"/>
    <cellStyle name="60% - Accent3 2" xfId="280"/>
    <cellStyle name="60% - Accent4" xfId="281"/>
    <cellStyle name="60% - Accent4 2" xfId="282"/>
    <cellStyle name="60% - Accent5" xfId="283"/>
    <cellStyle name="60% - Accent5 2" xfId="284"/>
    <cellStyle name="60% - Accent6" xfId="285"/>
    <cellStyle name="60% - Accent6 2" xfId="286"/>
    <cellStyle name="AA FRAME" xfId="287"/>
    <cellStyle name="AA FRAME 2" xfId="288"/>
    <cellStyle name="AA FRAME 3" xfId="289"/>
    <cellStyle name="AA HEADING" xfId="290"/>
    <cellStyle name="AA HEADING 2" xfId="291"/>
    <cellStyle name="AA INITIALS" xfId="292"/>
    <cellStyle name="AA INITIALS 2" xfId="293"/>
    <cellStyle name="AA INPUT" xfId="294"/>
    <cellStyle name="AA INPUT 2" xfId="295"/>
    <cellStyle name="AA LOCK" xfId="296"/>
    <cellStyle name="AA LOCK 2" xfId="297"/>
    <cellStyle name="AA MGR NAME" xfId="298"/>
    <cellStyle name="AA MGR NAME 2" xfId="299"/>
    <cellStyle name="AA NORMAL" xfId="300"/>
    <cellStyle name="AA NORMAL 2" xfId="301"/>
    <cellStyle name="AA NUMBER" xfId="302"/>
    <cellStyle name="AA NUMBER2" xfId="303"/>
    <cellStyle name="AA QUESTION" xfId="304"/>
    <cellStyle name="AA QUESTION 2" xfId="305"/>
    <cellStyle name="AA SHADE" xfId="306"/>
    <cellStyle name="Accent1" xfId="307"/>
    <cellStyle name="Accent1 - 20%" xfId="308"/>
    <cellStyle name="Accent1 - 20% 2" xfId="309"/>
    <cellStyle name="Accent1 - 40%" xfId="310"/>
    <cellStyle name="Accent1 - 60%" xfId="311"/>
    <cellStyle name="Accent1 - 60% 2" xfId="312"/>
    <cellStyle name="Accent1 2" xfId="313"/>
    <cellStyle name="Accent2" xfId="314"/>
    <cellStyle name="Accent2 - 20%" xfId="315"/>
    <cellStyle name="Accent2 - 20% 2" xfId="316"/>
    <cellStyle name="Accent2 - 40%" xfId="317"/>
    <cellStyle name="Accent2 - 40% 2" xfId="318"/>
    <cellStyle name="Accent2 - 60%" xfId="319"/>
    <cellStyle name="Accent2 - 60% 2" xfId="320"/>
    <cellStyle name="Accent2 2" xfId="321"/>
    <cellStyle name="Accent3" xfId="322"/>
    <cellStyle name="Accent3 - 20%" xfId="323"/>
    <cellStyle name="Accent3 - 40%" xfId="324"/>
    <cellStyle name="Accent3 - 40% 2" xfId="325"/>
    <cellStyle name="Accent3 - 60%" xfId="326"/>
    <cellStyle name="Accent3 - 60% 2" xfId="327"/>
    <cellStyle name="Accent3 2" xfId="328"/>
    <cellStyle name="Accent4" xfId="329"/>
    <cellStyle name="Accent4 - 20%" xfId="330"/>
    <cellStyle name="Accent4 - 40%" xfId="331"/>
    <cellStyle name="Accent4 - 60%" xfId="332"/>
    <cellStyle name="Accent5" xfId="333"/>
    <cellStyle name="Accent5 - 20%" xfId="334"/>
    <cellStyle name="Accent5 - 20% 2" xfId="335"/>
    <cellStyle name="Accent5 - 40%" xfId="336"/>
    <cellStyle name="Accent5 - 60%" xfId="337"/>
    <cellStyle name="Accent6" xfId="338"/>
    <cellStyle name="Accent6 - 20%" xfId="339"/>
    <cellStyle name="Accent6 - 40%" xfId="340"/>
    <cellStyle name="Accent6 - 40% 2" xfId="341"/>
    <cellStyle name="Accent6 - 60%" xfId="342"/>
    <cellStyle name="Accent6 - 60% 2" xfId="343"/>
    <cellStyle name="Accent6 2" xfId="344"/>
    <cellStyle name="args.style" xfId="345"/>
    <cellStyle name="args.style 2" xfId="346"/>
    <cellStyle name="Bad" xfId="347"/>
    <cellStyle name="Bad 2" xfId="348"/>
    <cellStyle name="Black" xfId="349"/>
    <cellStyle name="Border" xfId="350"/>
    <cellStyle name="Border 2" xfId="351"/>
    <cellStyle name="Border 3" xfId="352"/>
    <cellStyle name="Calc Currency (0)" xfId="353"/>
    <cellStyle name="Calc Currency (0) 2" xfId="354"/>
    <cellStyle name="Calc Currency (2)" xfId="355"/>
    <cellStyle name="Calc Percent (0)" xfId="356"/>
    <cellStyle name="Calc Percent (1)" xfId="357"/>
    <cellStyle name="Calc Percent (2)" xfId="358"/>
    <cellStyle name="Calc Units (0)" xfId="359"/>
    <cellStyle name="Calc Units (1)" xfId="360"/>
    <cellStyle name="Calc Units (2)" xfId="361"/>
    <cellStyle name="Calculation" xfId="362"/>
    <cellStyle name="Calculation 2" xfId="363"/>
    <cellStyle name="Calculation 3" xfId="364"/>
    <cellStyle name="category" xfId="365"/>
    <cellStyle name="category 2" xfId="366"/>
    <cellStyle name="Check Cell" xfId="367"/>
    <cellStyle name="Check Cell 2" xfId="368"/>
    <cellStyle name="Col Heads" xfId="369"/>
    <cellStyle name="Col Heads 2" xfId="370"/>
    <cellStyle name="Col Heads 3" xfId="371"/>
    <cellStyle name="Column_Title" xfId="372"/>
    <cellStyle name="Comma  - Style1" xfId="373"/>
    <cellStyle name="Comma  - Style1 2" xfId="374"/>
    <cellStyle name="Comma  - Style2" xfId="375"/>
    <cellStyle name="Comma  - Style2 2" xfId="376"/>
    <cellStyle name="Comma  - Style3" xfId="377"/>
    <cellStyle name="Comma  - Style3 2" xfId="378"/>
    <cellStyle name="Comma  - Style4" xfId="379"/>
    <cellStyle name="Comma  - Style4 2" xfId="380"/>
    <cellStyle name="Comma  - Style5" xfId="381"/>
    <cellStyle name="Comma  - Style5 2" xfId="382"/>
    <cellStyle name="Comma  - Style6" xfId="383"/>
    <cellStyle name="Comma  - Style6 2" xfId="384"/>
    <cellStyle name="Comma  - Style7" xfId="385"/>
    <cellStyle name="Comma  - Style7 2" xfId="386"/>
    <cellStyle name="Comma  - Style8" xfId="387"/>
    <cellStyle name="Comma  - Style8 2" xfId="388"/>
    <cellStyle name="Comma [0]" xfId="389"/>
    <cellStyle name="Comma [00]" xfId="390"/>
    <cellStyle name="Comma 28" xfId="391"/>
    <cellStyle name="Comma 28 2" xfId="392"/>
    <cellStyle name="Comma 28 3" xfId="393"/>
    <cellStyle name="comma zerodec" xfId="394"/>
    <cellStyle name="Comma,0" xfId="395"/>
    <cellStyle name="Comma,0 2" xfId="396"/>
    <cellStyle name="Comma,1" xfId="397"/>
    <cellStyle name="Comma,1 2" xfId="398"/>
    <cellStyle name="Comma,2" xfId="399"/>
    <cellStyle name="Comma,2 2" xfId="400"/>
    <cellStyle name="Comma_ rislugp" xfId="401"/>
    <cellStyle name="Copied" xfId="402"/>
    <cellStyle name="Copied 2" xfId="403"/>
    <cellStyle name="COST1" xfId="404"/>
    <cellStyle name="COST1 2" xfId="405"/>
    <cellStyle name="Currency [0]" xfId="406"/>
    <cellStyle name="Currency [00]" xfId="407"/>
    <cellStyle name="Currency,0" xfId="408"/>
    <cellStyle name="Currency,0 2" xfId="409"/>
    <cellStyle name="Currency,2" xfId="410"/>
    <cellStyle name="Currency,2 2" xfId="411"/>
    <cellStyle name="Currency_ rislugp" xfId="412"/>
    <cellStyle name="Currency1" xfId="413"/>
    <cellStyle name="Date" xfId="414"/>
    <cellStyle name="Date 2" xfId="415"/>
    <cellStyle name="Date Short" xfId="416"/>
    <cellStyle name="Date_ A1-货币资金审定表" xfId="417"/>
    <cellStyle name="Dezimal [0]_laroux" xfId="418"/>
    <cellStyle name="Dezimal_laroux" xfId="419"/>
    <cellStyle name="Dollar (zero dec)" xfId="420"/>
    <cellStyle name="E&amp;Y House" xfId="421"/>
    <cellStyle name="E&amp;Y House 2" xfId="422"/>
    <cellStyle name="Enter Currency (0)" xfId="423"/>
    <cellStyle name="Enter Currency (2)" xfId="424"/>
    <cellStyle name="Enter Units (0)" xfId="425"/>
    <cellStyle name="Enter Units (1)" xfId="426"/>
    <cellStyle name="Enter Units (2)" xfId="427"/>
    <cellStyle name="Entered" xfId="428"/>
    <cellStyle name="Entered 2" xfId="429"/>
    <cellStyle name="entry" xfId="430"/>
    <cellStyle name="entry 2" xfId="431"/>
    <cellStyle name="entry 3" xfId="432"/>
    <cellStyle name="entry 4" xfId="433"/>
    <cellStyle name="entry 5" xfId="434"/>
    <cellStyle name="entry box" xfId="435"/>
    <cellStyle name="entry box 2" xfId="436"/>
    <cellStyle name="entry box 2 2" xfId="437"/>
    <cellStyle name="entry box 3" xfId="438"/>
    <cellStyle name="entry box 3 2" xfId="439"/>
    <cellStyle name="entry box 4" xfId="440"/>
    <cellStyle name="entry box 5" xfId="441"/>
    <cellStyle name="entry box 6" xfId="442"/>
    <cellStyle name="Euro" xfId="443"/>
    <cellStyle name="Explanatory Text" xfId="444"/>
    <cellStyle name="F2" xfId="445"/>
    <cellStyle name="F3" xfId="446"/>
    <cellStyle name="F4" xfId="447"/>
    <cellStyle name="F5" xfId="448"/>
    <cellStyle name="F6" xfId="449"/>
    <cellStyle name="F7" xfId="450"/>
    <cellStyle name="F8" xfId="451"/>
    <cellStyle name="Fixed" xfId="452"/>
    <cellStyle name="Followed Hyperlink_AheadBehind.xls Chart 23" xfId="453"/>
    <cellStyle name="Good" xfId="454"/>
    <cellStyle name="Good 2" xfId="455"/>
    <cellStyle name="Grey" xfId="456"/>
    <cellStyle name="HEADER" xfId="457"/>
    <cellStyle name="HEADER 2" xfId="458"/>
    <cellStyle name="Header1" xfId="459"/>
    <cellStyle name="Header1 2" xfId="460"/>
    <cellStyle name="Header1 3" xfId="461"/>
    <cellStyle name="Header1 4" xfId="462"/>
    <cellStyle name="Header1 5" xfId="463"/>
    <cellStyle name="Header2" xfId="464"/>
    <cellStyle name="Header2 2" xfId="465"/>
    <cellStyle name="Header2 3" xfId="466"/>
    <cellStyle name="Header2 3 2" xfId="467"/>
    <cellStyle name="Header2 4" xfId="468"/>
    <cellStyle name="Header2 5" xfId="469"/>
    <cellStyle name="Heading" xfId="470"/>
    <cellStyle name="Heading 1" xfId="471"/>
    <cellStyle name="Heading 2" xfId="472"/>
    <cellStyle name="Heading 3" xfId="473"/>
    <cellStyle name="Heading 4" xfId="474"/>
    <cellStyle name="Heading 5" xfId="475"/>
    <cellStyle name="Heading 6" xfId="476"/>
    <cellStyle name="Heading1" xfId="477"/>
    <cellStyle name="Heading2" xfId="478"/>
    <cellStyle name="Hyperlink_AheadBehind.xls Chart 23" xfId="479"/>
    <cellStyle name="Input" xfId="480"/>
    <cellStyle name="Input [yellow]" xfId="481"/>
    <cellStyle name="Input [yellow] 2" xfId="482"/>
    <cellStyle name="Input 2" xfId="483"/>
    <cellStyle name="Input 3" xfId="484"/>
    <cellStyle name="Input Cells" xfId="485"/>
    <cellStyle name="Input Cells 2" xfId="486"/>
    <cellStyle name="Input Cells 2 2" xfId="487"/>
    <cellStyle name="Input Cells 3" xfId="488"/>
    <cellStyle name="left" xfId="489"/>
    <cellStyle name="left 2" xfId="490"/>
    <cellStyle name="left 3" xfId="491"/>
    <cellStyle name="left 4" xfId="492"/>
    <cellStyle name="left 5" xfId="493"/>
    <cellStyle name="Link Currency (0)" xfId="494"/>
    <cellStyle name="Link Currency (2)" xfId="495"/>
    <cellStyle name="Link Units (0)" xfId="496"/>
    <cellStyle name="Link Units (1)" xfId="497"/>
    <cellStyle name="Link Units (2)" xfId="498"/>
    <cellStyle name="Linked Cell" xfId="499"/>
    <cellStyle name="Linked Cells" xfId="500"/>
    <cellStyle name="Linked Cells 2" xfId="501"/>
    <cellStyle name="Linked Cells 2 2" xfId="502"/>
    <cellStyle name="Linked Cells 3" xfId="503"/>
    <cellStyle name="Millares [0]_laroux" xfId="504"/>
    <cellStyle name="Millares_laroux" xfId="505"/>
    <cellStyle name="Milliers [0]_!!!GO" xfId="506"/>
    <cellStyle name="Milliers_!!!GO" xfId="507"/>
    <cellStyle name="Model" xfId="508"/>
    <cellStyle name="Model 2" xfId="509"/>
    <cellStyle name="Model 3" xfId="510"/>
    <cellStyle name="Moneda [0]_laroux" xfId="511"/>
    <cellStyle name="Moneda_laroux" xfId="512"/>
    <cellStyle name="Monétaire [0]_!!!GO" xfId="513"/>
    <cellStyle name="Monétaire_!!!GO" xfId="514"/>
    <cellStyle name="Mon閠aire [0]_laroux" xfId="515"/>
    <cellStyle name="Mon閠aire_laroux" xfId="516"/>
    <cellStyle name="Neutral" xfId="517"/>
    <cellStyle name="Neutral 2" xfId="518"/>
    <cellStyle name="New Times Roman" xfId="519"/>
    <cellStyle name="New Times Roman 2" xfId="520"/>
    <cellStyle name="no dec" xfId="521"/>
    <cellStyle name="no dec 2" xfId="522"/>
    <cellStyle name="Non défini" xfId="523"/>
    <cellStyle name="Non défini 2" xfId="524"/>
    <cellStyle name="Normal - Style1" xfId="525"/>
    <cellStyle name="Normal - Style1 2" xfId="526"/>
    <cellStyle name="Normal 2" xfId="527"/>
    <cellStyle name="Normal 2 2" xfId="528"/>
    <cellStyle name="Normal 2 2 2" xfId="529"/>
    <cellStyle name="Normal 2 3" xfId="530"/>
    <cellStyle name="Normal 21" xfId="531"/>
    <cellStyle name="Normal 21 2" xfId="532"/>
    <cellStyle name="Normal 21 3" xfId="533"/>
    <cellStyle name="Normal 3 2" xfId="534"/>
    <cellStyle name="Normal 3 2 2" xfId="535"/>
    <cellStyle name="Normal_ rislugp" xfId="536"/>
    <cellStyle name="Normalny_Arkusz1" xfId="537"/>
    <cellStyle name="Note" xfId="538"/>
    <cellStyle name="Note 2" xfId="539"/>
    <cellStyle name="Note 3" xfId="540"/>
    <cellStyle name="Œ…‹æØ‚è [0.00]_Region Orders (2)" xfId="541"/>
    <cellStyle name="Œ…‹æØ‚è_Region Orders (2)" xfId="542"/>
    <cellStyle name="Output" xfId="543"/>
    <cellStyle name="Output 2" xfId="544"/>
    <cellStyle name="Output 3" xfId="545"/>
    <cellStyle name="per.style" xfId="546"/>
    <cellStyle name="Percent (0)" xfId="547"/>
    <cellStyle name="Percent (0) 2" xfId="548"/>
    <cellStyle name="Percent [0]" xfId="549"/>
    <cellStyle name="Percent [00]" xfId="550"/>
    <cellStyle name="Percent [2]" xfId="551"/>
    <cellStyle name="Percent_!!!GO" xfId="552"/>
    <cellStyle name="Pourcentage_pldt" xfId="553"/>
    <cellStyle name="Prefilled" xfId="554"/>
    <cellStyle name="Prefilled 2" xfId="555"/>
    <cellStyle name="Prefilled 2 2" xfId="556"/>
    <cellStyle name="Prefilled 3" xfId="557"/>
    <cellStyle name="Prefilled 3 2" xfId="558"/>
    <cellStyle name="Prefilled 4" xfId="559"/>
    <cellStyle name="Prefilled 5" xfId="560"/>
    <cellStyle name="Prefilled 6" xfId="561"/>
    <cellStyle name="PrePop Currency (0)" xfId="562"/>
    <cellStyle name="PrePop Currency (2)" xfId="563"/>
    <cellStyle name="PrePop Units (0)" xfId="564"/>
    <cellStyle name="PrePop Units (1)" xfId="565"/>
    <cellStyle name="PrePop Units (2)" xfId="566"/>
    <cellStyle name="price" xfId="567"/>
    <cellStyle name="price 2" xfId="568"/>
    <cellStyle name="pricing" xfId="569"/>
    <cellStyle name="pricing 2" xfId="570"/>
    <cellStyle name="pricing 2 2" xfId="571"/>
    <cellStyle name="PSChar" xfId="572"/>
    <cellStyle name="PSChar 2" xfId="573"/>
    <cellStyle name="PSHeading" xfId="574"/>
    <cellStyle name="PSHeading 2" xfId="575"/>
    <cellStyle name="Red" xfId="576"/>
    <cellStyle name="revised" xfId="577"/>
    <cellStyle name="revised 2" xfId="578"/>
    <cellStyle name="RevList" xfId="579"/>
    <cellStyle name="RevList 2" xfId="580"/>
    <cellStyle name="RevList 2 2" xfId="581"/>
    <cellStyle name="row_def_array" xfId="582"/>
    <cellStyle name="S4" xfId="583"/>
    <cellStyle name="S4 2" xfId="584"/>
    <cellStyle name="S5" xfId="585"/>
    <cellStyle name="S5 2" xfId="586"/>
    <cellStyle name="SAPBEXaggData" xfId="587"/>
    <cellStyle name="SAPBEXaggData 2" xfId="588"/>
    <cellStyle name="SAPBEXaggDataEmph" xfId="589"/>
    <cellStyle name="SAPBEXaggDataEmph 2" xfId="590"/>
    <cellStyle name="SAPBEXaggItem" xfId="591"/>
    <cellStyle name="SAPBEXaggItem 2" xfId="592"/>
    <cellStyle name="SAPBEXaggItemX" xfId="593"/>
    <cellStyle name="SAPBEXaggItemX 2" xfId="594"/>
    <cellStyle name="SAPBEXchaText" xfId="595"/>
    <cellStyle name="SAPBEXexcBad7" xfId="596"/>
    <cellStyle name="SAPBEXexcBad7 2" xfId="597"/>
    <cellStyle name="SAPBEXexcBad8" xfId="598"/>
    <cellStyle name="SAPBEXexcBad8 2" xfId="599"/>
    <cellStyle name="SAPBEXexcBad9" xfId="600"/>
    <cellStyle name="SAPBEXexcBad9 2" xfId="601"/>
    <cellStyle name="SAPBEXexcCritical4" xfId="602"/>
    <cellStyle name="SAPBEXexcCritical4 2" xfId="603"/>
    <cellStyle name="SAPBEXexcCritical5" xfId="604"/>
    <cellStyle name="SAPBEXexcCritical5 2" xfId="605"/>
    <cellStyle name="SAPBEXexcCritical6" xfId="606"/>
    <cellStyle name="SAPBEXexcCritical6 2" xfId="607"/>
    <cellStyle name="SAPBEXexcGood1" xfId="608"/>
    <cellStyle name="SAPBEXexcGood1 2" xfId="609"/>
    <cellStyle name="SAPBEXexcGood2" xfId="610"/>
    <cellStyle name="SAPBEXexcGood2 2" xfId="611"/>
    <cellStyle name="SAPBEXexcGood3" xfId="612"/>
    <cellStyle name="SAPBEXexcGood3 2" xfId="613"/>
    <cellStyle name="SAPBEXfilterDrill" xfId="614"/>
    <cellStyle name="SAPBEXfilterItem" xfId="615"/>
    <cellStyle name="SAPBEXfilterItem 2" xfId="616"/>
    <cellStyle name="SAPBEXfilterText" xfId="617"/>
    <cellStyle name="SAPBEXformats" xfId="618"/>
    <cellStyle name="SAPBEXformats 2" xfId="619"/>
    <cellStyle name="SAPBEXheaderItem" xfId="620"/>
    <cellStyle name="SAPBEXheaderText" xfId="621"/>
    <cellStyle name="SAPBEXHLevel0" xfId="622"/>
    <cellStyle name="SAPBEXHLevel0 2" xfId="623"/>
    <cellStyle name="SAPBEXHLevel0X" xfId="624"/>
    <cellStyle name="SAPBEXHLevel0X 2" xfId="625"/>
    <cellStyle name="SAPBEXHLevel1" xfId="626"/>
    <cellStyle name="SAPBEXHLevel1 2" xfId="627"/>
    <cellStyle name="SAPBEXHLevel1X" xfId="628"/>
    <cellStyle name="SAPBEXHLevel1X 2" xfId="629"/>
    <cellStyle name="SAPBEXHLevel2" xfId="630"/>
    <cellStyle name="SAPBEXHLevel2 2" xfId="631"/>
    <cellStyle name="SAPBEXHLevel2X" xfId="632"/>
    <cellStyle name="SAPBEXHLevel2X 2" xfId="633"/>
    <cellStyle name="SAPBEXHLevel3" xfId="634"/>
    <cellStyle name="SAPBEXHLevel3 2" xfId="635"/>
    <cellStyle name="SAPBEXHLevel3X" xfId="636"/>
    <cellStyle name="SAPBEXHLevel3X 2" xfId="637"/>
    <cellStyle name="SAPBEXresData" xfId="638"/>
    <cellStyle name="SAPBEXresData 2" xfId="639"/>
    <cellStyle name="SAPBEXresDataEmph" xfId="640"/>
    <cellStyle name="SAPBEXresDataEmph 2" xfId="641"/>
    <cellStyle name="SAPBEXresItem" xfId="642"/>
    <cellStyle name="SAPBEXresItem 2" xfId="643"/>
    <cellStyle name="SAPBEXresItemX" xfId="644"/>
    <cellStyle name="SAPBEXresItemX 2" xfId="645"/>
    <cellStyle name="SAPBEXstdData" xfId="646"/>
    <cellStyle name="SAPBEXstdData 2" xfId="647"/>
    <cellStyle name="SAPBEXstdDataEmph" xfId="648"/>
    <cellStyle name="SAPBEXstdDataEmph 2" xfId="649"/>
    <cellStyle name="SAPBEXstdItem" xfId="650"/>
    <cellStyle name="SAPBEXstdItem 2" xfId="651"/>
    <cellStyle name="SAPBEXstdItemX" xfId="652"/>
    <cellStyle name="SAPBEXstdItemX 2" xfId="653"/>
    <cellStyle name="SAPBEXtitle" xfId="654"/>
    <cellStyle name="SAPBEXtitle 2" xfId="655"/>
    <cellStyle name="SAPBEXundefined" xfId="656"/>
    <cellStyle name="SAPBEXundefined 2" xfId="657"/>
    <cellStyle name="section" xfId="658"/>
    <cellStyle name="section 2" xfId="659"/>
    <cellStyle name="section 3" xfId="660"/>
    <cellStyle name="section 4" xfId="661"/>
    <cellStyle name="section 5" xfId="662"/>
    <cellStyle name="SOR" xfId="663"/>
    <cellStyle name="SOR 2" xfId="664"/>
    <cellStyle name="Standard_AREAS" xfId="665"/>
    <cellStyle name="style" xfId="666"/>
    <cellStyle name="style 2" xfId="667"/>
    <cellStyle name="style 2 2" xfId="668"/>
    <cellStyle name="style 3" xfId="669"/>
    <cellStyle name="style 3 2" xfId="670"/>
    <cellStyle name="style 4" xfId="671"/>
    <cellStyle name="style 5" xfId="672"/>
    <cellStyle name="style 6" xfId="673"/>
    <cellStyle name="style1" xfId="674"/>
    <cellStyle name="style1 2" xfId="675"/>
    <cellStyle name="style1 3" xfId="676"/>
    <cellStyle name="style1 4" xfId="677"/>
    <cellStyle name="style1 5" xfId="678"/>
    <cellStyle name="style2" xfId="679"/>
    <cellStyle name="style2 2" xfId="680"/>
    <cellStyle name="style2 3" xfId="681"/>
    <cellStyle name="style2 3 2" xfId="682"/>
    <cellStyle name="style2 4" xfId="683"/>
    <cellStyle name="style2 5" xfId="684"/>
    <cellStyle name="subhead" xfId="685"/>
    <cellStyle name="subhead 2" xfId="686"/>
    <cellStyle name="Subtotal" xfId="687"/>
    <cellStyle name="Text Indent A" xfId="688"/>
    <cellStyle name="Text Indent B" xfId="689"/>
    <cellStyle name="Text Indent C" xfId="690"/>
    <cellStyle name="Tickmark" xfId="691"/>
    <cellStyle name="Tickmark 2" xfId="692"/>
    <cellStyle name="Tickmark 3" xfId="693"/>
    <cellStyle name="Tickmark 4" xfId="694"/>
    <cellStyle name="Tickmark 5" xfId="695"/>
    <cellStyle name="title" xfId="696"/>
    <cellStyle name="title 2" xfId="697"/>
    <cellStyle name="title 3" xfId="698"/>
    <cellStyle name="title 4" xfId="699"/>
    <cellStyle name="title 5" xfId="700"/>
    <cellStyle name="Total" xfId="701"/>
    <cellStyle name="Total 2" xfId="702"/>
    <cellStyle name="Total 3" xfId="703"/>
    <cellStyle name="Tusental (0)_pldt" xfId="704"/>
    <cellStyle name="Tusental_pldt" xfId="705"/>
    <cellStyle name="Valuta (0)_pldt" xfId="706"/>
    <cellStyle name="Valuta_pldt" xfId="707"/>
    <cellStyle name="Warning Text" xfId="708"/>
    <cellStyle name="wrap" xfId="709"/>
    <cellStyle name="wrap 2" xfId="710"/>
    <cellStyle name="wrap 3" xfId="711"/>
    <cellStyle name="wrap 3 2" xfId="712"/>
    <cellStyle name="wrap 4" xfId="713"/>
    <cellStyle name="wrap 5" xfId="714"/>
    <cellStyle name="パーセント_laroux" xfId="715"/>
    <cellStyle name="_PLDT" xfId="716"/>
    <cellStyle name="_laroux" xfId="717"/>
    <cellStyle name="だ[0]_PLDT" xfId="718"/>
    <cellStyle name="だ_PLDT" xfId="719"/>
    <cellStyle name="だ[0]_Total (2)" xfId="720"/>
    <cellStyle name="だ_laroux" xfId="721"/>
    <cellStyle name="百分比" xfId="2" builtinId="5"/>
    <cellStyle name="百分比 2" xfId="722"/>
    <cellStyle name="百分比 2 2" xfId="723"/>
    <cellStyle name="百分比 2 2 2" xfId="724"/>
    <cellStyle name="百分比 2 3" xfId="725"/>
    <cellStyle name="百分比 3" xfId="726"/>
    <cellStyle name="百分比 4" xfId="727"/>
    <cellStyle name="捠壿 [0.00]_PRODUCT DETAIL Q1" xfId="728"/>
    <cellStyle name="捠壿_PRODUCT DETAIL Q1" xfId="729"/>
    <cellStyle name="標準_１１月価格表" xfId="730"/>
    <cellStyle name="表标题" xfId="731"/>
    <cellStyle name="表标题 2" xfId="732"/>
    <cellStyle name="差_10存货" xfId="733"/>
    <cellStyle name="差_10存货 2" xfId="734"/>
    <cellStyle name="差_19-无形资产（空白模板）" xfId="735"/>
    <cellStyle name="差_19-无形资产（空白模板） 2" xfId="736"/>
    <cellStyle name="差_2-交易性金融资产（空白模板）" xfId="737"/>
    <cellStyle name="差_2应收账款" xfId="738"/>
    <cellStyle name="差_3-2 进一步审计程序-采购与付款循环" xfId="739"/>
    <cellStyle name="差_3-2 进一步审计程序-采购与付款循环 2" xfId="740"/>
    <cellStyle name="差_3-3 进一步审计程序-存货与生产循环" xfId="741"/>
    <cellStyle name="差_37-长期借款（空白模板）" xfId="742"/>
    <cellStyle name="差_49-营业收入（空白模板）" xfId="743"/>
    <cellStyle name="差_4-应收账款（空白模板）" xfId="744"/>
    <cellStyle name="差_50-营业成本（空白模板）" xfId="745"/>
    <cellStyle name="差_51-营业税金及附加（空白模板）" xfId="746"/>
    <cellStyle name="差_54-财务费用（空白模板）" xfId="747"/>
    <cellStyle name="差_55-资产减值损失（空白模板）" xfId="748"/>
    <cellStyle name="差_9管理费用" xfId="749"/>
    <cellStyle name="差_Book2" xfId="750"/>
    <cellStyle name="差_dxn底稿目录" xfId="751"/>
    <cellStyle name="差_dxn底稿目录 2" xfId="752"/>
    <cellStyle name="差_Sheet1" xfId="753"/>
    <cellStyle name="差_StartUp" xfId="754"/>
    <cellStyle name="差_StartUp 2" xfId="755"/>
    <cellStyle name="差_T1000-主营业务收入-LJCH" xfId="756"/>
    <cellStyle name="差_T1000-主营业务收入-LJCH 2" xfId="757"/>
    <cellStyle name="差_T1000-主营业务收入-LJCH 3" xfId="758"/>
    <cellStyle name="差_Z14-长期应收款（函证汇总表样本）" xfId="759"/>
    <cellStyle name="差_ZA0货币资金审定表 " xfId="760"/>
    <cellStyle name="差_财务费用" xfId="761"/>
    <cellStyle name="差_程序表模版" xfId="762"/>
    <cellStyle name="差_存货" xfId="763"/>
    <cellStyle name="差_大信底稿目录" xfId="764"/>
    <cellStyle name="差_底稿设置宏" xfId="765"/>
    <cellStyle name="差_管理费用" xfId="766"/>
    <cellStyle name="差_货币资金" xfId="767"/>
    <cellStyle name="差_货币资金 天职" xfId="768"/>
    <cellStyle name="差_货币资金 岳华" xfId="769"/>
    <cellStyle name="差_其他应付款" xfId="770"/>
    <cellStyle name="差_其他应付款—YH" xfId="771"/>
    <cellStyle name="差_未分配利润" xfId="772"/>
    <cellStyle name="差_无形资产" xfId="773"/>
    <cellStyle name="差_应付账款" xfId="774"/>
    <cellStyle name="差_应付职工薪酬" xfId="775"/>
    <cellStyle name="差_应收账款" xfId="776"/>
    <cellStyle name="差_盈余公积" xfId="777"/>
    <cellStyle name="差_长期应付款" xfId="778"/>
    <cellStyle name="差_账项明细表" xfId="779"/>
    <cellStyle name="差_资本公积" xfId="780"/>
    <cellStyle name="差_资本公积 2" xfId="781"/>
    <cellStyle name="差_资产负债标准底稿" xfId="782"/>
    <cellStyle name="差_资产负债类底稿模版" xfId="783"/>
    <cellStyle name="差_子公司附注汇总(房开公司)" xfId="784"/>
    <cellStyle name="差_子公司附注汇总(房开公司) 2" xfId="785"/>
    <cellStyle name="常规" xfId="0" builtinId="0"/>
    <cellStyle name="常规 10" xfId="786"/>
    <cellStyle name="常规 10 2" xfId="787"/>
    <cellStyle name="常规 10 2 2" xfId="788"/>
    <cellStyle name="常规 10 3" xfId="789"/>
    <cellStyle name="常规 10 3 2" xfId="790"/>
    <cellStyle name="常规 10 4" xfId="791"/>
    <cellStyle name="常规 10 4 2" xfId="792"/>
    <cellStyle name="常规 10 5" xfId="793"/>
    <cellStyle name="常规 10 6" xfId="794"/>
    <cellStyle name="常规 11" xfId="795"/>
    <cellStyle name="常规 11 2" xfId="796"/>
    <cellStyle name="常规 11 2 2" xfId="797"/>
    <cellStyle name="常规 11 3" xfId="798"/>
    <cellStyle name="常规 11 3 2" xfId="799"/>
    <cellStyle name="常规 11 4" xfId="800"/>
    <cellStyle name="常规 11 4 2" xfId="801"/>
    <cellStyle name="常规 11 5" xfId="802"/>
    <cellStyle name="常规 11 6" xfId="803"/>
    <cellStyle name="常规 11 7" xfId="804"/>
    <cellStyle name="常规 12" xfId="805"/>
    <cellStyle name="常规 12 2" xfId="806"/>
    <cellStyle name="常规 12 2 2" xfId="807"/>
    <cellStyle name="常规 12 3" xfId="808"/>
    <cellStyle name="常规 12 3 2" xfId="809"/>
    <cellStyle name="常规 12 4" xfId="810"/>
    <cellStyle name="常规 12 4 2" xfId="811"/>
    <cellStyle name="常规 13" xfId="812"/>
    <cellStyle name="常规 13 2" xfId="813"/>
    <cellStyle name="常规 13 2 2" xfId="814"/>
    <cellStyle name="常规 13 3" xfId="815"/>
    <cellStyle name="常规 13 3 2" xfId="816"/>
    <cellStyle name="常规 13 4" xfId="817"/>
    <cellStyle name="常规 13 4 2" xfId="818"/>
    <cellStyle name="常规 2" xfId="819"/>
    <cellStyle name="常规 2 2" xfId="820"/>
    <cellStyle name="常规 2 2 2" xfId="821"/>
    <cellStyle name="常规 2 2 2 2" xfId="822"/>
    <cellStyle name="常规 2 2 2 3" xfId="823"/>
    <cellStyle name="常规 2 2 2 4" xfId="824"/>
    <cellStyle name="常规 2 2 3" xfId="825"/>
    <cellStyle name="常规 2 2 3 2" xfId="826"/>
    <cellStyle name="常规 2 2 3 2 2" xfId="827"/>
    <cellStyle name="常规 2 2 3 3" xfId="828"/>
    <cellStyle name="常规 2 2 4" xfId="829"/>
    <cellStyle name="常规 2 2 4 2" xfId="830"/>
    <cellStyle name="常规 2 2 5" xfId="831"/>
    <cellStyle name="常规 2 2 6" xfId="832"/>
    <cellStyle name="常规 2 3" xfId="833"/>
    <cellStyle name="常规 2 3 2" xfId="834"/>
    <cellStyle name="常规 2 3 2 2" xfId="835"/>
    <cellStyle name="常规 2 3 3" xfId="836"/>
    <cellStyle name="常规 2 3 4" xfId="837"/>
    <cellStyle name="常规 2 3 5" xfId="838"/>
    <cellStyle name="常规 2 3 6" xfId="839"/>
    <cellStyle name="常规 2 4" xfId="840"/>
    <cellStyle name="常规 2 4 2" xfId="841"/>
    <cellStyle name="常规 2 4 3" xfId="842"/>
    <cellStyle name="常规 2 4 4" xfId="843"/>
    <cellStyle name="常规 2 4 5" xfId="844"/>
    <cellStyle name="常规 2 5" xfId="845"/>
    <cellStyle name="常规 2 5 2" xfId="846"/>
    <cellStyle name="常规 2 6" xfId="847"/>
    <cellStyle name="常规 2 6 2" xfId="848"/>
    <cellStyle name="常规 2 7" xfId="849"/>
    <cellStyle name="常规 2 7 2" xfId="850"/>
    <cellStyle name="常规 2 8" xfId="851"/>
    <cellStyle name="常规 2 8 2" xfId="852"/>
    <cellStyle name="常规 2 9" xfId="853"/>
    <cellStyle name="常规 2_10存货" xfId="854"/>
    <cellStyle name="常规 3" xfId="855"/>
    <cellStyle name="常规 3 2" xfId="856"/>
    <cellStyle name="常规 3 2 2" xfId="857"/>
    <cellStyle name="常规 3 2 2 2" xfId="858"/>
    <cellStyle name="常规 3 2 3" xfId="859"/>
    <cellStyle name="常规 3 2 4" xfId="860"/>
    <cellStyle name="常规 3 2 4 2" xfId="861"/>
    <cellStyle name="常规 3 2 5" xfId="862"/>
    <cellStyle name="常规 3 2 6" xfId="863"/>
    <cellStyle name="常规 3 3" xfId="864"/>
    <cellStyle name="常规 3 3 2" xfId="865"/>
    <cellStyle name="常规 3 3 3" xfId="866"/>
    <cellStyle name="常规 3 4" xfId="867"/>
    <cellStyle name="常规 3 4 2" xfId="868"/>
    <cellStyle name="常规 3 4 3" xfId="869"/>
    <cellStyle name="常规 3_10存货" xfId="870"/>
    <cellStyle name="常规 33 2" xfId="871"/>
    <cellStyle name="常规 4" xfId="872"/>
    <cellStyle name="常规 4 2" xfId="873"/>
    <cellStyle name="常规 4 2 2" xfId="874"/>
    <cellStyle name="常规 4 2 3" xfId="875"/>
    <cellStyle name="常规 4 3" xfId="876"/>
    <cellStyle name="常规 4 3 2" xfId="877"/>
    <cellStyle name="常规 4 3 3" xfId="878"/>
    <cellStyle name="常规 4 4" xfId="879"/>
    <cellStyle name="常规 4 4 2" xfId="880"/>
    <cellStyle name="常规 4 5" xfId="881"/>
    <cellStyle name="常规 4 6" xfId="882"/>
    <cellStyle name="常规 5" xfId="883"/>
    <cellStyle name="常规 5 2" xfId="884"/>
    <cellStyle name="常规 5 2 2" xfId="885"/>
    <cellStyle name="常规 5 3" xfId="886"/>
    <cellStyle name="常规 5 3 2" xfId="887"/>
    <cellStyle name="常规 5 3 3" xfId="888"/>
    <cellStyle name="常规 5 4" xfId="889"/>
    <cellStyle name="常规 5 4 2" xfId="890"/>
    <cellStyle name="常规 5 5" xfId="891"/>
    <cellStyle name="常规 5 6" xfId="892"/>
    <cellStyle name="常规 5 7" xfId="893"/>
    <cellStyle name="常规 6" xfId="894"/>
    <cellStyle name="常规 6 2" xfId="895"/>
    <cellStyle name="常规 6 2 2" xfId="896"/>
    <cellStyle name="常规 6 2 2 2" xfId="897"/>
    <cellStyle name="常规 6 2 3" xfId="898"/>
    <cellStyle name="常规 6 2 4" xfId="899"/>
    <cellStyle name="常规 6 2 5" xfId="900"/>
    <cellStyle name="常规 6 3" xfId="901"/>
    <cellStyle name="常规 6 3 2" xfId="902"/>
    <cellStyle name="常规 6 3 2 2" xfId="903"/>
    <cellStyle name="常规 6 3 3" xfId="904"/>
    <cellStyle name="常规 6 3 4" xfId="905"/>
    <cellStyle name="常规 6 3 5" xfId="906"/>
    <cellStyle name="常规 6 4" xfId="907"/>
    <cellStyle name="常规 6 4 2" xfId="908"/>
    <cellStyle name="常规 6 4 3" xfId="909"/>
    <cellStyle name="常规 6 4 4" xfId="910"/>
    <cellStyle name="常规 6 5" xfId="911"/>
    <cellStyle name="常规 6 5 2" xfId="912"/>
    <cellStyle name="常规 6 5 3" xfId="913"/>
    <cellStyle name="常规 6 5 4" xfId="914"/>
    <cellStyle name="常规 6 5 5" xfId="915"/>
    <cellStyle name="常规 6 6" xfId="916"/>
    <cellStyle name="常规 6 7" xfId="917"/>
    <cellStyle name="常规 6 8" xfId="918"/>
    <cellStyle name="常规 7" xfId="919"/>
    <cellStyle name="常规 7 2" xfId="920"/>
    <cellStyle name="常规 7 2 2" xfId="921"/>
    <cellStyle name="常规 7 2 3" xfId="922"/>
    <cellStyle name="常规 7 2 4" xfId="923"/>
    <cellStyle name="常规 7 3" xfId="924"/>
    <cellStyle name="常规 7 3 2" xfId="925"/>
    <cellStyle name="常规 7 3 3" xfId="926"/>
    <cellStyle name="常规 7 4" xfId="927"/>
    <cellStyle name="常规 7 4 2" xfId="928"/>
    <cellStyle name="常规 7 5" xfId="929"/>
    <cellStyle name="常规 7 6" xfId="930"/>
    <cellStyle name="常规 8" xfId="931"/>
    <cellStyle name="常规 8 2" xfId="932"/>
    <cellStyle name="常规 8 2 2" xfId="933"/>
    <cellStyle name="常规 8 3" xfId="934"/>
    <cellStyle name="常规 8 3 2" xfId="935"/>
    <cellStyle name="常规 8 4" xfId="936"/>
    <cellStyle name="常规 8 4 2" xfId="937"/>
    <cellStyle name="常规 8 5" xfId="938"/>
    <cellStyle name="常规 9" xfId="939"/>
    <cellStyle name="常规 9 2" xfId="940"/>
    <cellStyle name="常规 9 2 2" xfId="941"/>
    <cellStyle name="常规 9 3" xfId="942"/>
    <cellStyle name="常规 9 3 2" xfId="943"/>
    <cellStyle name="常规 9 4" xfId="944"/>
    <cellStyle name="常规 9 4 2" xfId="945"/>
    <cellStyle name="常规 9 5" xfId="946"/>
    <cellStyle name="常规 9 6" xfId="947"/>
    <cellStyle name="常规_2-1项目审定表－模板" xfId="948"/>
    <cellStyle name="常规_2-1项目审定表－模板 2" xfId="949"/>
    <cellStyle name="常规_Book1" xfId="950"/>
    <cellStyle name="常规_Book1 2 2" xfId="951"/>
    <cellStyle name="常规_Book1 2 2 2" xfId="952"/>
    <cellStyle name="常规_c-资产类" xfId="953"/>
    <cellStyle name="常规_T1000-主营业务收入" xfId="954"/>
    <cellStyle name="常规_通用表" xfId="955"/>
    <cellStyle name="常规_新审定表" xfId="1104"/>
    <cellStyle name="常规_新审定表 2" xfId="956"/>
    <cellStyle name="常规_制造费用" xfId="957"/>
    <cellStyle name="常规_制造费用 2" xfId="958"/>
    <cellStyle name="超级链接_A4应收账款" xfId="959"/>
    <cellStyle name="超链接" xfId="3" builtinId="8"/>
    <cellStyle name="超链接 2" xfId="960"/>
    <cellStyle name="超链接 2 2" xfId="961"/>
    <cellStyle name="超链接 2 3" xfId="962"/>
    <cellStyle name="超链接 2 3 2" xfId="963"/>
    <cellStyle name="超链接 2 4" xfId="964"/>
    <cellStyle name="超链接 3" xfId="965"/>
    <cellStyle name="超链接 3 2" xfId="966"/>
    <cellStyle name="超链接 3 3" xfId="967"/>
    <cellStyle name="超链接 4" xfId="968"/>
    <cellStyle name="超链接 5" xfId="969"/>
    <cellStyle name="分级显示行_1_4附件二凯旋评估表" xfId="970"/>
    <cellStyle name="好_10存货" xfId="971"/>
    <cellStyle name="好_10存货 2" xfId="972"/>
    <cellStyle name="好_19-无形资产（空白模板）" xfId="973"/>
    <cellStyle name="好_19-无形资产（空白模板） 2" xfId="974"/>
    <cellStyle name="好_1财务费用" xfId="975"/>
    <cellStyle name="好_1财务费用 2" xfId="976"/>
    <cellStyle name="好_1营业收入" xfId="977"/>
    <cellStyle name="好_1资产减值损失" xfId="978"/>
    <cellStyle name="好_2-交易性金融资产（空白模板）" xfId="979"/>
    <cellStyle name="好_2应收账款" xfId="980"/>
    <cellStyle name="好_3-2 进一步审计程序-采购与付款循环" xfId="981"/>
    <cellStyle name="好_3-2 进一步审计程序-采购与付款循环 2" xfId="982"/>
    <cellStyle name="好_3-3 进一步审计程序-存货与生产循环" xfId="983"/>
    <cellStyle name="好_37-长期借款（空白模板）" xfId="984"/>
    <cellStyle name="好_49-营业收入（空白模板）" xfId="985"/>
    <cellStyle name="好_4-应收账款（空白模板）" xfId="986"/>
    <cellStyle name="好_50-营业成本（空白模板）" xfId="987"/>
    <cellStyle name="好_51-营业税金及附加（空白模板）" xfId="988"/>
    <cellStyle name="好_54-财务费用（空白模板）" xfId="989"/>
    <cellStyle name="好_55-资产减值损失（空白模板）" xfId="990"/>
    <cellStyle name="好_9管理费用" xfId="991"/>
    <cellStyle name="好_Book2" xfId="992"/>
    <cellStyle name="好_Sheet1" xfId="993"/>
    <cellStyle name="好_StartUp" xfId="994"/>
    <cellStyle name="好_StartUp 2" xfId="995"/>
    <cellStyle name="好_T1000-主营业务收入" xfId="996"/>
    <cellStyle name="好_T1000-主营业务收入 2" xfId="997"/>
    <cellStyle name="好_T1000-主营业务收入 3" xfId="998"/>
    <cellStyle name="好_Z14-长期应收款（函证汇总表样本）" xfId="999"/>
    <cellStyle name="好_Z14-长期应收款（函证汇总表样本） 2" xfId="1000"/>
    <cellStyle name="好_ZA0货币资金审定表 " xfId="1001"/>
    <cellStyle name="好_财务费用" xfId="1002"/>
    <cellStyle name="好_程序表模版" xfId="1003"/>
    <cellStyle name="好_存货" xfId="1004"/>
    <cellStyle name="好_存货 - 复制" xfId="1005"/>
    <cellStyle name="好_大信底稿目录" xfId="1006"/>
    <cellStyle name="好_大信底稿目录 2" xfId="1007"/>
    <cellStyle name="好_底稿设置宏" xfId="1008"/>
    <cellStyle name="好_底稿设置宏_大信底稿目录" xfId="1009"/>
    <cellStyle name="好_管理费用" xfId="1010"/>
    <cellStyle name="好_货币资金" xfId="1011"/>
    <cellStyle name="好_货币资金 天职" xfId="1012"/>
    <cellStyle name="好_货币资金 岳华" xfId="1013"/>
    <cellStyle name="好_其他应付款" xfId="1014"/>
    <cellStyle name="好_其他应付款—YH" xfId="1015"/>
    <cellStyle name="好_其他应收款" xfId="1016"/>
    <cellStyle name="好_实收资本(股本)" xfId="1017"/>
    <cellStyle name="好_未分配利润" xfId="1018"/>
    <cellStyle name="好_无形资产" xfId="1019"/>
    <cellStyle name="好_银行函证结果汇总表" xfId="1020"/>
    <cellStyle name="好_应付债券" xfId="1021"/>
    <cellStyle name="好_应付账款" xfId="1022"/>
    <cellStyle name="好_应付职工薪酬" xfId="1023"/>
    <cellStyle name="好_应收利息" xfId="1024"/>
    <cellStyle name="好_应收账款" xfId="1025"/>
    <cellStyle name="好_盈余公积" xfId="1026"/>
    <cellStyle name="好_营业收入" xfId="1027"/>
    <cellStyle name="好_预收款项" xfId="1028"/>
    <cellStyle name="好_长期借款—TZ" xfId="1029"/>
    <cellStyle name="好_长期应付款" xfId="1030"/>
    <cellStyle name="好_账项明细表" xfId="1031"/>
    <cellStyle name="好_资本公积" xfId="1032"/>
    <cellStyle name="好_资本公积 2" xfId="1033"/>
    <cellStyle name="好_资产负债标准底稿" xfId="1034"/>
    <cellStyle name="好_资产负债标准底稿_大信底稿目录" xfId="1035"/>
    <cellStyle name="好_资产负债类底稿模版" xfId="1036"/>
    <cellStyle name="好_资产负债类底稿模版_大信底稿目录" xfId="1037"/>
    <cellStyle name="好_资产减值损失" xfId="1038"/>
    <cellStyle name="好_子公司附注汇总(房开公司)" xfId="1039"/>
    <cellStyle name="好_子公司附注汇总(房开公司) 2" xfId="1040"/>
    <cellStyle name="桁区切り [0.00]_１１月価格表" xfId="1041"/>
    <cellStyle name="桁区切り_１１月価格表" xfId="1042"/>
    <cellStyle name="貨幣 [0]_SGV" xfId="1043"/>
    <cellStyle name="貨幣_SGV" xfId="1044"/>
    <cellStyle name="霓付 [0]_1202" xfId="1045"/>
    <cellStyle name="霓付_1202" xfId="1046"/>
    <cellStyle name="妞" xfId="1047"/>
    <cellStyle name="欧" xfId="1048"/>
    <cellStyle name="烹拳 [0]_1202" xfId="1049"/>
    <cellStyle name="烹拳_1202" xfId="1050"/>
    <cellStyle name="砯刽 [0]_PLDT" xfId="1051"/>
    <cellStyle name="砯刽_PLDT" xfId="1052"/>
    <cellStyle name="普通_ 白土" xfId="1053"/>
    <cellStyle name="千分位[0]_ 白土" xfId="1054"/>
    <cellStyle name="千分位_ 白土" xfId="1055"/>
    <cellStyle name="千位[0]_ 应交税金审定表" xfId="1056"/>
    <cellStyle name="千位_ 应交税金审定表" xfId="1057"/>
    <cellStyle name="千位分隔" xfId="1" builtinId="3"/>
    <cellStyle name="千位分隔 11" xfId="1058"/>
    <cellStyle name="千位分隔 15" xfId="1059"/>
    <cellStyle name="千位分隔 2" xfId="1060"/>
    <cellStyle name="千位分隔 2 2" xfId="1061"/>
    <cellStyle name="千位分隔 2 2 2" xfId="1062"/>
    <cellStyle name="千位分隔 2 3" xfId="1063"/>
    <cellStyle name="千位分隔 2 4" xfId="1064"/>
    <cellStyle name="千位分隔 2 5" xfId="1065"/>
    <cellStyle name="千位分隔 3" xfId="1066"/>
    <cellStyle name="千位分隔 3 2" xfId="1067"/>
    <cellStyle name="千位分隔 3 2 2" xfId="1068"/>
    <cellStyle name="千位分隔 3 3" xfId="1069"/>
    <cellStyle name="千位分隔 3 4" xfId="1070"/>
    <cellStyle name="千位分隔 3 5" xfId="1071"/>
    <cellStyle name="千位分隔 3 6" xfId="1072"/>
    <cellStyle name="千位分隔 4" xfId="1073"/>
    <cellStyle name="千位分隔 5" xfId="1074"/>
    <cellStyle name="千位分隔 5 2" xfId="1075"/>
    <cellStyle name="千位分隔 5 3" xfId="1076"/>
    <cellStyle name="千位分隔 6" xfId="1077"/>
    <cellStyle name="千位分隔[0] 2" xfId="1078"/>
    <cellStyle name="千位分隔[0] 2 2" xfId="1079"/>
    <cellStyle name="钎霖_(沥焊何巩)岿喊牢盔拌裙" xfId="1080"/>
    <cellStyle name="强调 1" xfId="1081"/>
    <cellStyle name="强调 1 2" xfId="1082"/>
    <cellStyle name="强调 2" xfId="1083"/>
    <cellStyle name="强调 2 2" xfId="1084"/>
    <cellStyle name="强调 3" xfId="1085"/>
    <cellStyle name="强调 3 2" xfId="1086"/>
    <cellStyle name="通貨 [0.00]_１１月価格表" xfId="1087"/>
    <cellStyle name="通貨_１１月価格表" xfId="1088"/>
    <cellStyle name="样式 1" xfId="1089"/>
    <cellStyle name="样式 1 2" xfId="1090"/>
    <cellStyle name="样式 1 3" xfId="1091"/>
    <cellStyle name="样式 1 4" xfId="1092"/>
    <cellStyle name="一般_SGV" xfId="1093"/>
    <cellStyle name="昗弨_BOOKSHIP" xfId="1094"/>
    <cellStyle name="寘嬫愗傝 [0.00]_PRODUCT DETAIL Q1" xfId="1095"/>
    <cellStyle name="寘嬫愗傝_PRODUCT DETAIL Q1" xfId="1096"/>
    <cellStyle name="资产" xfId="1097"/>
    <cellStyle name="资产 2" xfId="1098"/>
    <cellStyle name="콤마 [0]_BOILER-CO1" xfId="1099"/>
    <cellStyle name="콤마_BOILER-CO1" xfId="1100"/>
    <cellStyle name="통화 [0]_BOILER-CO1" xfId="1101"/>
    <cellStyle name="통화_BOILER-CO1" xfId="1102"/>
    <cellStyle name="표준_0N-HANDLING " xfId="1103"/>
  </cellStyles>
  <dxfs count="0"/>
  <tableStyles count="0" defaultTableStyle="TableStyleMedium9" defaultPivotStyle="PivotStyleLight16"/>
  <colors>
    <mruColors>
      <color rgb="FF0000FF"/>
      <color rgb="FFE4DFEC"/>
      <color rgb="FFDCD5E5"/>
      <color rgb="FFEAEAEA"/>
      <color rgb="FFFFFF99"/>
      <color rgb="FFFFFFCC"/>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213;&#31295;&#20462;&#35746;/D%20&#25910;&#20837;&#24490;&#29615;/D4&#20027;&#33829;&#19994;&#21153;&#25910;&#20837;/D4%20&#20027;&#33829;&#19994;&#21153;&#25910;&#20837;%20-%20&#23457;&#23450;&#34920;&#26126;&#32454;&#34920;&#65288;Leap-&#24120;&#35268;&#31243;&#24207;&#65289;&#20462;&#35746;&#35760;&#244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 val="名称（勿删）"/>
      <sheetName val="基础信息"/>
      <sheetName val="UFPrn20050930091710"/>
      <sheetName val="UFPrn20050930204109"/>
      <sheetName val="自定义名称"/>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投资性房地产Dy"/>
      <sheetName val="原材料"/>
      <sheetName val="IMPORT"/>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主营业务收入审计程序表D4A"/>
      <sheetName val="主营业务收入审定表D4"/>
      <sheetName val="收入分解信息D4-2"/>
      <sheetName val="调整分录汇总表_D4-2-1"/>
      <sheetName val="履约进度审核表D4-10"/>
      <sheetName val="BOT收入测算（示例）D4-13"/>
      <sheetName val="明细表D4-20(品种）"/>
      <sheetName val="合同成本D4-18"/>
      <sheetName val="GT_Custom"/>
      <sheetName val="索引"/>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zoomScaleNormal="100" zoomScaleSheetLayoutView="100" workbookViewId="0"/>
  </sheetViews>
  <sheetFormatPr defaultColWidth="9" defaultRowHeight="20.100000000000001" customHeight="1"/>
  <cols>
    <col min="1" max="1" width="76.3984375" style="301" customWidth="1"/>
    <col min="2" max="2" width="2" style="301" customWidth="1"/>
    <col min="3" max="3" width="2.09765625" style="301" customWidth="1"/>
    <col min="4" max="4" width="6.09765625" style="300" customWidth="1"/>
    <col min="5" max="5" width="26.59765625" style="300" customWidth="1"/>
    <col min="6" max="6" width="11" style="300" customWidth="1"/>
    <col min="7" max="7" width="26.09765625" style="301" customWidth="1"/>
    <col min="8" max="16384" width="9" style="301"/>
  </cols>
  <sheetData>
    <row r="1" spans="1:8" s="300" customFormat="1" ht="20.100000000000001" customHeight="1">
      <c r="A1" s="302" t="s">
        <v>0</v>
      </c>
    </row>
    <row r="2" spans="1:8" ht="20.100000000000001" customHeight="1">
      <c r="A2" s="303" t="s">
        <v>1</v>
      </c>
      <c r="B2" s="304"/>
      <c r="C2" s="304"/>
      <c r="D2" s="305" t="s">
        <v>2</v>
      </c>
      <c r="E2" s="305" t="s">
        <v>3</v>
      </c>
      <c r="F2" s="305" t="s">
        <v>4</v>
      </c>
      <c r="G2" s="304"/>
      <c r="H2" s="304"/>
    </row>
    <row r="3" spans="1:8" ht="20.100000000000001" customHeight="1">
      <c r="A3" s="330" t="s">
        <v>712</v>
      </c>
      <c r="B3" s="304"/>
      <c r="C3" s="304"/>
      <c r="D3" s="316">
        <v>1</v>
      </c>
      <c r="E3" s="322" t="s">
        <v>6</v>
      </c>
      <c r="F3" s="306" t="s">
        <v>7</v>
      </c>
      <c r="G3" s="304"/>
      <c r="H3" s="307"/>
    </row>
    <row r="4" spans="1:8" ht="20.100000000000001" customHeight="1">
      <c r="A4" s="303" t="s">
        <v>8</v>
      </c>
      <c r="D4" s="316">
        <v>2</v>
      </c>
      <c r="E4" s="322" t="s">
        <v>9</v>
      </c>
      <c r="F4" s="306" t="s">
        <v>10</v>
      </c>
      <c r="G4" s="304"/>
      <c r="H4" s="304"/>
    </row>
    <row r="5" spans="1:8" ht="20.100000000000001" customHeight="1">
      <c r="A5" s="303" t="s">
        <v>11</v>
      </c>
      <c r="D5" s="316">
        <v>3</v>
      </c>
      <c r="E5" s="322" t="s">
        <v>12</v>
      </c>
      <c r="F5" s="306"/>
      <c r="G5" s="308" t="s">
        <v>13</v>
      </c>
    </row>
    <row r="6" spans="1:8" ht="20.100000000000001" customHeight="1">
      <c r="A6" s="309" t="s">
        <v>14</v>
      </c>
      <c r="D6" s="316">
        <v>4</v>
      </c>
      <c r="E6" s="322" t="s">
        <v>15</v>
      </c>
      <c r="F6" s="306"/>
      <c r="G6" s="308" t="s">
        <v>13</v>
      </c>
    </row>
    <row r="7" spans="1:8" ht="20.100000000000001" customHeight="1">
      <c r="A7" s="309" t="s">
        <v>16</v>
      </c>
      <c r="D7" s="316">
        <v>5</v>
      </c>
      <c r="E7" s="322" t="s">
        <v>17</v>
      </c>
      <c r="F7" s="306" t="s">
        <v>18</v>
      </c>
      <c r="G7" s="310"/>
    </row>
    <row r="8" spans="1:8" ht="20.100000000000001" customHeight="1">
      <c r="A8" s="311"/>
      <c r="D8" s="316">
        <v>6</v>
      </c>
      <c r="E8" s="322" t="s">
        <v>19</v>
      </c>
      <c r="F8" s="306" t="s">
        <v>20</v>
      </c>
      <c r="G8" s="310"/>
    </row>
    <row r="9" spans="1:8" ht="20.100000000000001" customHeight="1">
      <c r="A9" s="321" t="s">
        <v>704</v>
      </c>
      <c r="D9" s="316">
        <v>7</v>
      </c>
      <c r="E9" s="322" t="s">
        <v>21</v>
      </c>
      <c r="F9" s="306" t="s">
        <v>22</v>
      </c>
      <c r="G9" s="310"/>
    </row>
    <row r="10" spans="1:8" ht="20.100000000000001" customHeight="1">
      <c r="A10" s="344" t="s">
        <v>705</v>
      </c>
      <c r="G10" s="310"/>
    </row>
    <row r="11" spans="1:8" ht="20.100000000000001" customHeight="1">
      <c r="A11" s="344"/>
      <c r="G11" s="310"/>
    </row>
    <row r="12" spans="1:8" ht="20.100000000000001" customHeight="1">
      <c r="A12" s="344"/>
    </row>
    <row r="13" spans="1:8" ht="20.100000000000001" customHeight="1">
      <c r="A13" s="344"/>
      <c r="G13" s="312"/>
    </row>
    <row r="14" spans="1:8" ht="20.100000000000001" customHeight="1">
      <c r="A14" s="344" t="s">
        <v>706</v>
      </c>
    </row>
    <row r="15" spans="1:8" ht="20.100000000000001" customHeight="1">
      <c r="A15" s="344"/>
    </row>
    <row r="16" spans="1:8" ht="20.100000000000001" customHeight="1">
      <c r="A16" s="344"/>
    </row>
    <row r="17" spans="1:1" ht="20.100000000000001" customHeight="1">
      <c r="A17" s="345" t="s">
        <v>707</v>
      </c>
    </row>
    <row r="18" spans="1:1" ht="20.100000000000001" customHeight="1">
      <c r="A18" s="345"/>
    </row>
    <row r="19" spans="1:1" ht="20.100000000000001" customHeight="1">
      <c r="A19" s="345"/>
    </row>
  </sheetData>
  <mergeCells count="3">
    <mergeCell ref="A10:A13"/>
    <mergeCell ref="A14:A16"/>
    <mergeCell ref="A17:A19"/>
  </mergeCells>
  <phoneticPr fontId="172" type="noConversion"/>
  <hyperlinks>
    <hyperlink ref="E4" location="'营业收入审定表D4-1'!A1" display="营业收入审定表"/>
    <hyperlink ref="E8" location="'其他业务收入明细表D4-3'!A1" display="其他业务收入明细表"/>
    <hyperlink ref="E3" location="营业收入审计程序表D4A!A1" display="营业收入审计程序表"/>
    <hyperlink ref="E7" location="'主营业务收入明细表D4-2'!Print_Area" display="主营业务收入月度明细表"/>
    <hyperlink ref="E5" location="'附注披露信息（上市公司）'!A1" display="附注披露信息（上市公司）"/>
    <hyperlink ref="E6" location="'附注披露信息（上市公司）'!A1" display="附注披露信息（国企）"/>
    <hyperlink ref="E9" location="'营业收入调整分录汇总D4-4'!A1" display="调整分录汇总表"/>
  </hyperlinks>
  <pageMargins left="0.70833333333333304" right="0.70833333333333304" top="0.74791666666666701" bottom="0.74791666666666701" header="0.31458333333333299" footer="0.31458333333333299"/>
  <pageSetup paperSize="9" scale="73" orientation="portrait" blackAndWhite="1" horizontalDpi="1200" verticalDpi="1200"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O43"/>
  <sheetViews>
    <sheetView view="pageBreakPreview" zoomScaleNormal="100" workbookViewId="0">
      <selection activeCell="A2" sqref="A2:J2"/>
    </sheetView>
  </sheetViews>
  <sheetFormatPr defaultColWidth="9" defaultRowHeight="20.100000000000001" customHeight="1"/>
  <cols>
    <col min="1" max="1" width="5" style="266" customWidth="1"/>
    <col min="2" max="2" width="8.8984375" style="266" customWidth="1"/>
    <col min="3" max="3" width="61.5" style="267" customWidth="1"/>
    <col min="4" max="4" width="10.296875" style="267" customWidth="1"/>
    <col min="5" max="5" width="5.5" style="267" customWidth="1"/>
    <col min="6" max="6" width="6.3984375" style="267" customWidth="1"/>
    <col min="7" max="7" width="6.19921875" style="267" customWidth="1"/>
    <col min="8" max="8" width="6.3984375" style="267" customWidth="1"/>
    <col min="9" max="9" width="5.09765625" style="267" customWidth="1"/>
    <col min="10" max="10" width="7" style="267" customWidth="1"/>
    <col min="11" max="11" width="61.19921875" style="267" customWidth="1"/>
    <col min="12" max="16384" width="9" style="267"/>
  </cols>
  <sheetData>
    <row r="1" spans="1:11" s="263" customFormat="1" ht="20.100000000000001" customHeight="1">
      <c r="A1" s="346" t="s">
        <v>23</v>
      </c>
      <c r="B1" s="346"/>
      <c r="C1" s="346"/>
      <c r="D1" s="346"/>
      <c r="E1" s="346"/>
      <c r="F1" s="346"/>
      <c r="G1" s="346"/>
      <c r="H1" s="346"/>
      <c r="I1" s="346"/>
      <c r="J1" s="346"/>
    </row>
    <row r="2" spans="1:11" s="263" customFormat="1" ht="20.100000000000001" customHeight="1">
      <c r="A2" s="347" t="s">
        <v>24</v>
      </c>
      <c r="B2" s="347"/>
      <c r="C2" s="347"/>
      <c r="D2" s="347"/>
      <c r="E2" s="347"/>
      <c r="F2" s="347"/>
      <c r="G2" s="347"/>
      <c r="H2" s="347"/>
      <c r="I2" s="347"/>
      <c r="J2" s="347"/>
    </row>
    <row r="3" spans="1:11" s="264" customFormat="1" ht="20.100000000000001" customHeight="1">
      <c r="A3" s="348" t="str">
        <f>底稿目录!A2</f>
        <v>被审计单位：</v>
      </c>
      <c r="B3" s="348"/>
      <c r="C3" s="348"/>
      <c r="D3" s="264" t="str">
        <f>底稿目录!A4</f>
        <v>编制人：</v>
      </c>
      <c r="F3" s="264" t="str">
        <f>底稿目录!A5</f>
        <v>编制日期：</v>
      </c>
      <c r="I3" s="294" t="s">
        <v>25</v>
      </c>
      <c r="J3" s="329" t="s">
        <v>7</v>
      </c>
    </row>
    <row r="4" spans="1:11" s="264" customFormat="1" ht="20.100000000000001" customHeight="1">
      <c r="A4" s="348" t="str">
        <f>底稿目录!A3</f>
        <v>会计期间：202X年度</v>
      </c>
      <c r="B4" s="348"/>
      <c r="C4" s="348"/>
      <c r="D4" s="264" t="str">
        <f>底稿目录!A6</f>
        <v>复核人：</v>
      </c>
      <c r="F4" s="264" t="str">
        <f>底稿目录!A7</f>
        <v>复核日期：</v>
      </c>
      <c r="I4" s="294" t="s">
        <v>26</v>
      </c>
    </row>
    <row r="5" spans="1:11" ht="20.100000000000001" customHeight="1">
      <c r="A5" s="349" t="s">
        <v>27</v>
      </c>
      <c r="B5" s="349"/>
      <c r="C5" s="349"/>
    </row>
    <row r="6" spans="1:11" ht="20.100000000000001" customHeight="1">
      <c r="A6" s="351" t="s">
        <v>28</v>
      </c>
      <c r="B6" s="351"/>
      <c r="C6" s="351"/>
      <c r="D6" s="351"/>
      <c r="E6" s="351"/>
      <c r="F6" s="351"/>
      <c r="G6" s="351"/>
      <c r="H6" s="351"/>
      <c r="I6" s="351"/>
      <c r="J6" s="351"/>
    </row>
    <row r="7" spans="1:11" s="264" customFormat="1" ht="20.100000000000001" customHeight="1">
      <c r="A7" s="268" t="s">
        <v>29</v>
      </c>
      <c r="B7" s="268"/>
      <c r="C7" s="268"/>
      <c r="D7" s="269"/>
    </row>
    <row r="8" spans="1:11" s="264" customFormat="1" ht="19.95" customHeight="1">
      <c r="A8" s="352" t="s">
        <v>30</v>
      </c>
      <c r="B8" s="352"/>
      <c r="C8" s="352"/>
      <c r="D8" s="352"/>
      <c r="E8" s="352"/>
      <c r="F8" s="352"/>
      <c r="G8" s="352"/>
      <c r="H8" s="358" t="s">
        <v>31</v>
      </c>
      <c r="I8" s="358"/>
      <c r="J8" s="358"/>
    </row>
    <row r="9" spans="1:11" s="264" customFormat="1" ht="19.95" customHeight="1">
      <c r="A9" s="350" t="s">
        <v>32</v>
      </c>
      <c r="B9" s="350"/>
      <c r="C9" s="350"/>
      <c r="D9" s="350"/>
      <c r="E9" s="350"/>
      <c r="F9" s="350"/>
      <c r="G9" s="350"/>
      <c r="H9" s="359" t="s">
        <v>33</v>
      </c>
      <c r="I9" s="359"/>
      <c r="J9" s="359"/>
    </row>
    <row r="10" spans="1:11" s="264" customFormat="1" ht="19.95" customHeight="1">
      <c r="A10" s="350" t="s">
        <v>34</v>
      </c>
      <c r="B10" s="350"/>
      <c r="C10" s="350"/>
      <c r="D10" s="350"/>
      <c r="E10" s="350"/>
      <c r="F10" s="350"/>
      <c r="G10" s="350"/>
      <c r="H10" s="359" t="s">
        <v>35</v>
      </c>
      <c r="I10" s="359"/>
      <c r="J10" s="359"/>
    </row>
    <row r="11" spans="1:11" s="264" customFormat="1" ht="19.95" customHeight="1">
      <c r="A11" s="350" t="s">
        <v>36</v>
      </c>
      <c r="B11" s="350"/>
      <c r="C11" s="350"/>
      <c r="D11" s="350"/>
      <c r="E11" s="350"/>
      <c r="F11" s="350"/>
      <c r="G11" s="350"/>
      <c r="H11" s="359" t="s">
        <v>37</v>
      </c>
      <c r="I11" s="359"/>
      <c r="J11" s="359"/>
    </row>
    <row r="12" spans="1:11" s="264" customFormat="1" ht="19.95" customHeight="1">
      <c r="A12" s="350" t="s">
        <v>38</v>
      </c>
      <c r="B12" s="350"/>
      <c r="C12" s="350"/>
      <c r="D12" s="350"/>
      <c r="E12" s="350"/>
      <c r="F12" s="350"/>
      <c r="G12" s="350"/>
      <c r="H12" s="359" t="s">
        <v>39</v>
      </c>
      <c r="I12" s="359"/>
      <c r="J12" s="359"/>
    </row>
    <row r="13" spans="1:11" s="264" customFormat="1" ht="19.95" customHeight="1">
      <c r="A13" s="350" t="s">
        <v>40</v>
      </c>
      <c r="B13" s="350"/>
      <c r="C13" s="350"/>
      <c r="D13" s="350"/>
      <c r="E13" s="350"/>
      <c r="F13" s="350"/>
      <c r="G13" s="350"/>
      <c r="H13" s="359" t="s">
        <v>41</v>
      </c>
      <c r="I13" s="359"/>
      <c r="J13" s="359"/>
    </row>
    <row r="14" spans="1:11" s="264" customFormat="1" ht="20.100000000000001" customHeight="1">
      <c r="A14" s="349" t="s">
        <v>42</v>
      </c>
      <c r="B14" s="349"/>
      <c r="C14" s="349"/>
      <c r="D14" s="269"/>
    </row>
    <row r="15" spans="1:11" s="264" customFormat="1" ht="20.100000000000001" customHeight="1">
      <c r="A15" s="353" t="s">
        <v>2</v>
      </c>
      <c r="B15" s="354" t="s">
        <v>43</v>
      </c>
      <c r="C15" s="355" t="s">
        <v>710</v>
      </c>
      <c r="D15" s="354" t="s">
        <v>44</v>
      </c>
      <c r="E15" s="353" t="s">
        <v>45</v>
      </c>
      <c r="F15" s="353"/>
      <c r="G15" s="353"/>
      <c r="H15" s="353"/>
      <c r="I15" s="271"/>
      <c r="J15" s="356" t="s">
        <v>46</v>
      </c>
    </row>
    <row r="16" spans="1:11" s="264" customFormat="1" ht="20.100000000000001" customHeight="1">
      <c r="A16" s="353"/>
      <c r="B16" s="354"/>
      <c r="C16" s="355"/>
      <c r="D16" s="354"/>
      <c r="E16" s="270" t="s">
        <v>33</v>
      </c>
      <c r="F16" s="270" t="s">
        <v>35</v>
      </c>
      <c r="G16" s="270" t="s">
        <v>37</v>
      </c>
      <c r="H16" s="270" t="s">
        <v>39</v>
      </c>
      <c r="I16" s="270" t="s">
        <v>41</v>
      </c>
      <c r="J16" s="357"/>
      <c r="K16" s="323" t="s">
        <v>709</v>
      </c>
    </row>
    <row r="17" spans="1:15" ht="60.6" customHeight="1">
      <c r="A17" s="272" t="s">
        <v>47</v>
      </c>
      <c r="B17" s="273" t="s">
        <v>48</v>
      </c>
      <c r="C17" s="274" t="s">
        <v>669</v>
      </c>
      <c r="D17" s="275" t="s">
        <v>49</v>
      </c>
      <c r="E17" s="276" t="s">
        <v>50</v>
      </c>
      <c r="F17" s="276" t="s">
        <v>50</v>
      </c>
      <c r="G17" s="277" t="s">
        <v>50</v>
      </c>
      <c r="H17" s="276"/>
      <c r="I17" s="295"/>
      <c r="J17" s="283" t="s">
        <v>670</v>
      </c>
    </row>
    <row r="18" spans="1:15" ht="38.4" customHeight="1">
      <c r="A18" s="272" t="s">
        <v>51</v>
      </c>
      <c r="B18" s="273" t="s">
        <v>48</v>
      </c>
      <c r="C18" s="274" t="s">
        <v>674</v>
      </c>
      <c r="D18" s="275" t="s">
        <v>675</v>
      </c>
      <c r="E18" s="314" t="s">
        <v>676</v>
      </c>
      <c r="F18" s="314" t="s">
        <v>677</v>
      </c>
      <c r="G18" s="292" t="s">
        <v>676</v>
      </c>
      <c r="H18" s="292"/>
      <c r="I18" s="295"/>
      <c r="J18" s="283" t="s">
        <v>679</v>
      </c>
    </row>
    <row r="19" spans="1:15" ht="55.2" customHeight="1">
      <c r="A19" s="272" t="s">
        <v>58</v>
      </c>
      <c r="B19" s="278" t="s">
        <v>52</v>
      </c>
      <c r="C19" s="279" t="s">
        <v>53</v>
      </c>
      <c r="D19" s="280" t="s">
        <v>49</v>
      </c>
      <c r="E19" s="281"/>
      <c r="F19" s="282" t="s">
        <v>54</v>
      </c>
      <c r="G19" s="283" t="s">
        <v>55</v>
      </c>
      <c r="H19" s="283"/>
      <c r="I19" s="281"/>
      <c r="J19" s="313" t="s">
        <v>56</v>
      </c>
      <c r="K19" s="296" t="s">
        <v>57</v>
      </c>
    </row>
    <row r="20" spans="1:15" ht="73.8" customHeight="1">
      <c r="A20" s="272" t="s">
        <v>62</v>
      </c>
      <c r="B20" s="273" t="s">
        <v>59</v>
      </c>
      <c r="C20" s="284" t="s">
        <v>708</v>
      </c>
      <c r="D20" s="275" t="s">
        <v>60</v>
      </c>
      <c r="E20" s="282" t="s">
        <v>54</v>
      </c>
      <c r="F20" s="283" t="s">
        <v>55</v>
      </c>
      <c r="G20" s="283" t="s">
        <v>55</v>
      </c>
      <c r="H20" s="282" t="s">
        <v>54</v>
      </c>
      <c r="I20" s="283"/>
      <c r="J20" s="283"/>
      <c r="K20" s="296" t="s">
        <v>61</v>
      </c>
    </row>
    <row r="21" spans="1:15" s="265" customFormat="1" ht="55.5" customHeight="1">
      <c r="A21" s="272" t="s">
        <v>67</v>
      </c>
      <c r="B21" s="273" t="s">
        <v>63</v>
      </c>
      <c r="C21" s="274" t="s">
        <v>64</v>
      </c>
      <c r="D21" s="275" t="s">
        <v>49</v>
      </c>
      <c r="E21" s="283" t="s">
        <v>55</v>
      </c>
      <c r="F21" s="283"/>
      <c r="G21" s="282" t="s">
        <v>54</v>
      </c>
      <c r="H21" s="283"/>
      <c r="I21" s="283"/>
      <c r="J21" s="283" t="s">
        <v>671</v>
      </c>
      <c r="K21" s="297" t="s">
        <v>66</v>
      </c>
    </row>
    <row r="22" spans="1:15" ht="273" customHeight="1">
      <c r="A22" s="272" t="s">
        <v>70</v>
      </c>
      <c r="B22" s="273" t="s">
        <v>68</v>
      </c>
      <c r="C22" s="284" t="s">
        <v>69</v>
      </c>
      <c r="D22" s="275" t="s">
        <v>49</v>
      </c>
      <c r="E22" s="282" t="s">
        <v>54</v>
      </c>
      <c r="F22" s="283" t="s">
        <v>55</v>
      </c>
      <c r="G22" s="283" t="s">
        <v>55</v>
      </c>
      <c r="H22" s="283"/>
      <c r="I22" s="283"/>
      <c r="J22" s="283" t="s">
        <v>672</v>
      </c>
    </row>
    <row r="23" spans="1:15" s="265" customFormat="1" ht="208.8" customHeight="1">
      <c r="A23" s="272" t="s">
        <v>73</v>
      </c>
      <c r="B23" s="273" t="s">
        <v>71</v>
      </c>
      <c r="C23" s="284" t="s">
        <v>72</v>
      </c>
      <c r="D23" s="275" t="s">
        <v>49</v>
      </c>
      <c r="E23" s="282" t="s">
        <v>54</v>
      </c>
      <c r="F23" s="283"/>
      <c r="G23" s="283" t="s">
        <v>55</v>
      </c>
      <c r="H23" s="283"/>
      <c r="I23" s="283"/>
      <c r="J23" s="283" t="s">
        <v>673</v>
      </c>
      <c r="L23" s="267"/>
      <c r="M23" s="267"/>
      <c r="N23" s="267"/>
      <c r="O23" s="267"/>
    </row>
    <row r="24" spans="1:15" s="265" customFormat="1" ht="56.4" customHeight="1">
      <c r="A24" s="272" t="s">
        <v>77</v>
      </c>
      <c r="B24" s="273" t="s">
        <v>74</v>
      </c>
      <c r="C24" s="285" t="s">
        <v>75</v>
      </c>
      <c r="D24" s="275" t="s">
        <v>49</v>
      </c>
      <c r="E24" s="282" t="s">
        <v>54</v>
      </c>
      <c r="F24" s="283"/>
      <c r="G24" s="283" t="s">
        <v>55</v>
      </c>
      <c r="H24" s="283" t="s">
        <v>55</v>
      </c>
      <c r="I24" s="283"/>
      <c r="J24" s="298" t="s">
        <v>678</v>
      </c>
      <c r="L24" s="267"/>
      <c r="M24" s="267"/>
      <c r="N24" s="267"/>
      <c r="O24" s="267"/>
    </row>
    <row r="25" spans="1:15" ht="67.8" customHeight="1">
      <c r="A25" s="272" t="s">
        <v>79</v>
      </c>
      <c r="B25" s="273" t="s">
        <v>74</v>
      </c>
      <c r="C25" s="286" t="s">
        <v>78</v>
      </c>
      <c r="D25" s="275" t="s">
        <v>60</v>
      </c>
      <c r="E25" s="282" t="s">
        <v>54</v>
      </c>
      <c r="F25" s="283"/>
      <c r="G25" s="283" t="s">
        <v>55</v>
      </c>
      <c r="H25" s="283" t="s">
        <v>55</v>
      </c>
      <c r="I25" s="283"/>
      <c r="J25" s="283" t="s">
        <v>680</v>
      </c>
      <c r="K25" s="265"/>
    </row>
    <row r="26" spans="1:15" s="265" customFormat="1" ht="42" customHeight="1">
      <c r="A26" s="272" t="s">
        <v>81</v>
      </c>
      <c r="B26" s="273" t="s">
        <v>74</v>
      </c>
      <c r="C26" s="287" t="s">
        <v>80</v>
      </c>
      <c r="D26" s="275" t="s">
        <v>60</v>
      </c>
      <c r="E26" s="282" t="s">
        <v>54</v>
      </c>
      <c r="F26" s="283"/>
      <c r="G26" s="288" t="s">
        <v>50</v>
      </c>
      <c r="H26" s="283"/>
      <c r="I26" s="283"/>
      <c r="J26" s="298"/>
      <c r="L26" s="267"/>
      <c r="M26" s="267"/>
      <c r="N26" s="267"/>
      <c r="O26" s="267"/>
    </row>
    <row r="27" spans="1:15" s="265" customFormat="1" ht="136.80000000000001" customHeight="1">
      <c r="A27" s="272" t="s">
        <v>83</v>
      </c>
      <c r="B27" s="273" t="s">
        <v>74</v>
      </c>
      <c r="C27" s="286" t="s">
        <v>82</v>
      </c>
      <c r="D27" s="275" t="s">
        <v>60</v>
      </c>
      <c r="E27" s="282" t="s">
        <v>54</v>
      </c>
      <c r="F27" s="283"/>
      <c r="G27" s="288" t="s">
        <v>50</v>
      </c>
      <c r="H27" s="283" t="s">
        <v>55</v>
      </c>
      <c r="I27" s="283"/>
      <c r="J27" s="298"/>
      <c r="L27" s="267"/>
      <c r="M27" s="267"/>
      <c r="N27" s="267"/>
      <c r="O27" s="267"/>
    </row>
    <row r="28" spans="1:15" s="265" customFormat="1" ht="160.5" customHeight="1">
      <c r="A28" s="272" t="s">
        <v>85</v>
      </c>
      <c r="B28" s="273" t="s">
        <v>74</v>
      </c>
      <c r="C28" s="284" t="s">
        <v>695</v>
      </c>
      <c r="D28" s="275" t="s">
        <v>49</v>
      </c>
      <c r="E28" s="283"/>
      <c r="F28" s="283"/>
      <c r="G28" s="283"/>
      <c r="H28" s="282" t="s">
        <v>54</v>
      </c>
      <c r="I28" s="283"/>
      <c r="J28" s="283" t="s">
        <v>681</v>
      </c>
      <c r="L28" s="267"/>
      <c r="M28" s="267"/>
      <c r="N28" s="267"/>
      <c r="O28" s="267"/>
    </row>
    <row r="29" spans="1:15" s="265" customFormat="1" ht="102.75" customHeight="1">
      <c r="A29" s="272" t="s">
        <v>86</v>
      </c>
      <c r="B29" s="273" t="s">
        <v>74</v>
      </c>
      <c r="C29" s="284" t="s">
        <v>87</v>
      </c>
      <c r="D29" s="275" t="s">
        <v>49</v>
      </c>
      <c r="E29" s="283"/>
      <c r="F29" s="283"/>
      <c r="G29" s="289" t="s">
        <v>50</v>
      </c>
      <c r="H29" s="282"/>
      <c r="I29" s="283"/>
      <c r="J29" s="283" t="s">
        <v>682</v>
      </c>
    </row>
    <row r="30" spans="1:15" s="265" customFormat="1" ht="57" customHeight="1">
      <c r="A30" s="272" t="s">
        <v>88</v>
      </c>
      <c r="B30" s="273" t="s">
        <v>74</v>
      </c>
      <c r="C30" s="284" t="s">
        <v>89</v>
      </c>
      <c r="D30" s="275" t="s">
        <v>49</v>
      </c>
      <c r="E30" s="289" t="s">
        <v>50</v>
      </c>
      <c r="F30" s="283"/>
      <c r="G30" s="288" t="s">
        <v>50</v>
      </c>
      <c r="H30" s="288" t="s">
        <v>50</v>
      </c>
      <c r="I30" s="283"/>
      <c r="J30" s="298" t="s">
        <v>683</v>
      </c>
    </row>
    <row r="31" spans="1:15" s="265" customFormat="1" ht="125.4" customHeight="1">
      <c r="A31" s="272" t="s">
        <v>697</v>
      </c>
      <c r="B31" s="273" t="s">
        <v>84</v>
      </c>
      <c r="C31" s="287" t="s">
        <v>684</v>
      </c>
      <c r="D31" s="275" t="s">
        <v>49</v>
      </c>
      <c r="E31" s="282" t="s">
        <v>54</v>
      </c>
      <c r="F31" s="283" t="s">
        <v>55</v>
      </c>
      <c r="G31" s="282" t="s">
        <v>54</v>
      </c>
      <c r="H31" s="283"/>
      <c r="I31" s="283" t="s">
        <v>55</v>
      </c>
      <c r="J31" s="298" t="s">
        <v>685</v>
      </c>
      <c r="L31" s="267"/>
      <c r="M31" s="267"/>
      <c r="N31" s="267"/>
      <c r="O31" s="267"/>
    </row>
    <row r="32" spans="1:15" s="265" customFormat="1" ht="37.799999999999997" customHeight="1">
      <c r="A32" s="272" t="s">
        <v>698</v>
      </c>
      <c r="B32" s="273"/>
      <c r="C32" s="287" t="s">
        <v>686</v>
      </c>
      <c r="D32" s="292" t="s">
        <v>687</v>
      </c>
      <c r="E32" s="282"/>
      <c r="F32" s="283"/>
      <c r="G32" s="282"/>
      <c r="H32" s="283"/>
      <c r="I32" s="283"/>
      <c r="J32" s="298" t="s">
        <v>688</v>
      </c>
      <c r="L32" s="267"/>
      <c r="M32" s="267"/>
      <c r="N32" s="267"/>
      <c r="O32" s="267"/>
    </row>
    <row r="33" spans="1:15" s="265" customFormat="1" ht="36" customHeight="1">
      <c r="A33" s="272" t="s">
        <v>699</v>
      </c>
      <c r="B33" s="273"/>
      <c r="C33" s="284" t="s">
        <v>96</v>
      </c>
      <c r="D33" s="275" t="s">
        <v>49</v>
      </c>
      <c r="E33" s="283"/>
      <c r="F33" s="283"/>
      <c r="G33" s="283"/>
      <c r="H33" s="283"/>
      <c r="I33" s="283" t="s">
        <v>55</v>
      </c>
      <c r="J33" s="299" t="s">
        <v>97</v>
      </c>
      <c r="L33" s="267"/>
      <c r="M33" s="267"/>
      <c r="N33" s="267"/>
      <c r="O33" s="267"/>
    </row>
    <row r="34" spans="1:15" s="265" customFormat="1" ht="20.100000000000001" customHeight="1">
      <c r="A34" s="272"/>
      <c r="B34" s="273"/>
      <c r="C34" s="290" t="s">
        <v>90</v>
      </c>
      <c r="D34" s="275"/>
      <c r="E34" s="283"/>
      <c r="F34" s="283"/>
      <c r="G34" s="283"/>
      <c r="H34" s="282"/>
      <c r="I34" s="283"/>
      <c r="J34" s="298"/>
    </row>
    <row r="35" spans="1:15" s="265" customFormat="1" ht="45.75" customHeight="1">
      <c r="A35" s="291">
        <v>18</v>
      </c>
      <c r="B35" s="273" t="s">
        <v>63</v>
      </c>
      <c r="C35" s="284" t="s">
        <v>91</v>
      </c>
      <c r="D35" s="275" t="s">
        <v>49</v>
      </c>
      <c r="E35" s="282" t="s">
        <v>54</v>
      </c>
      <c r="F35" s="283"/>
      <c r="G35" s="283"/>
      <c r="H35" s="282"/>
      <c r="I35" s="283"/>
      <c r="J35" s="283" t="s">
        <v>689</v>
      </c>
    </row>
    <row r="36" spans="1:15" s="265" customFormat="1" ht="44.4" customHeight="1">
      <c r="A36" s="291">
        <v>19</v>
      </c>
      <c r="B36" s="273" t="s">
        <v>68</v>
      </c>
      <c r="C36" s="284" t="s">
        <v>690</v>
      </c>
      <c r="D36" s="275" t="s">
        <v>49</v>
      </c>
      <c r="E36" s="282" t="s">
        <v>54</v>
      </c>
      <c r="F36" s="283" t="s">
        <v>55</v>
      </c>
      <c r="G36" s="288" t="s">
        <v>50</v>
      </c>
      <c r="H36" s="283"/>
      <c r="I36" s="283"/>
      <c r="J36" s="298" t="s">
        <v>691</v>
      </c>
    </row>
    <row r="37" spans="1:15" s="265" customFormat="1" ht="30.75" customHeight="1">
      <c r="A37" s="291">
        <v>20</v>
      </c>
      <c r="B37" s="273" t="s">
        <v>74</v>
      </c>
      <c r="C37" s="284" t="s">
        <v>92</v>
      </c>
      <c r="D37" s="275" t="s">
        <v>49</v>
      </c>
      <c r="E37" s="282" t="s">
        <v>54</v>
      </c>
      <c r="F37" s="283" t="s">
        <v>55</v>
      </c>
      <c r="G37" s="289" t="s">
        <v>50</v>
      </c>
      <c r="H37" s="283" t="s">
        <v>55</v>
      </c>
      <c r="I37" s="283"/>
      <c r="J37" s="298" t="s">
        <v>692</v>
      </c>
    </row>
    <row r="38" spans="1:15" s="265" customFormat="1" ht="30.75" customHeight="1">
      <c r="A38" s="291">
        <v>21</v>
      </c>
      <c r="B38" s="273" t="s">
        <v>74</v>
      </c>
      <c r="C38" s="284" t="s">
        <v>93</v>
      </c>
      <c r="D38" s="275" t="s">
        <v>49</v>
      </c>
      <c r="E38" s="282" t="s">
        <v>54</v>
      </c>
      <c r="F38" s="283"/>
      <c r="G38" s="282" t="s">
        <v>54</v>
      </c>
      <c r="H38" s="283" t="s">
        <v>55</v>
      </c>
      <c r="I38" s="283"/>
      <c r="J38" s="298" t="s">
        <v>693</v>
      </c>
    </row>
    <row r="39" spans="1:15" s="265" customFormat="1" ht="55.8" customHeight="1">
      <c r="A39" s="291">
        <v>22</v>
      </c>
      <c r="B39" s="273" t="s">
        <v>74</v>
      </c>
      <c r="C39" s="284" t="s">
        <v>696</v>
      </c>
      <c r="D39" s="275" t="s">
        <v>49</v>
      </c>
      <c r="E39" s="283"/>
      <c r="F39" s="283"/>
      <c r="G39" s="283"/>
      <c r="H39" s="282" t="s">
        <v>54</v>
      </c>
      <c r="I39" s="283"/>
      <c r="J39" s="298" t="s">
        <v>694</v>
      </c>
    </row>
    <row r="40" spans="1:15" ht="20.100000000000001" customHeight="1">
      <c r="B40" s="293"/>
    </row>
    <row r="43" spans="1:15" ht="20.100000000000001" customHeight="1">
      <c r="C43" s="315"/>
    </row>
  </sheetData>
  <mergeCells count="25">
    <mergeCell ref="J15:J16"/>
    <mergeCell ref="H8:J8"/>
    <mergeCell ref="H9:J9"/>
    <mergeCell ref="H10:J10"/>
    <mergeCell ref="H11:J11"/>
    <mergeCell ref="H12:J12"/>
    <mergeCell ref="H13:J13"/>
    <mergeCell ref="A14:C14"/>
    <mergeCell ref="E15:H15"/>
    <mergeCell ref="A15:A16"/>
    <mergeCell ref="B15:B16"/>
    <mergeCell ref="C15:C16"/>
    <mergeCell ref="D15:D16"/>
    <mergeCell ref="A13:G13"/>
    <mergeCell ref="A10:G10"/>
    <mergeCell ref="A11:G11"/>
    <mergeCell ref="A12:G12"/>
    <mergeCell ref="A6:J6"/>
    <mergeCell ref="A8:G8"/>
    <mergeCell ref="A9:G9"/>
    <mergeCell ref="A1:J1"/>
    <mergeCell ref="A2:J2"/>
    <mergeCell ref="A3:C3"/>
    <mergeCell ref="A4:C4"/>
    <mergeCell ref="A5:C5"/>
  </mergeCells>
  <phoneticPr fontId="172" type="noConversion"/>
  <hyperlinks>
    <hyperlink ref="J3" location="底稿目录!Print_Area" display="D4A"/>
  </hyperlinks>
  <pageMargins left="0.70833333333333304" right="0.70833333333333304" top="0.74791666666666701" bottom="0.74791666666666701" header="0.31458333333333299" footer="0.31458333333333299"/>
  <pageSetup paperSize="9" scale="67" orientation="portrait" blackAndWhite="1" horizontalDpi="1200" verticalDpi="1200" r:id="rId1"/>
  <headerFooter alignWithMargins="0">
    <oddFooter>&amp;C&amp;P/&amp;N</oddFooter>
  </headerFooter>
  <rowBreaks count="1" manualBreakCount="1">
    <brk id="23" max="9"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M229"/>
  <sheetViews>
    <sheetView topLeftCell="A112" workbookViewId="0">
      <selection activeCell="D91" sqref="D1:K1048576"/>
    </sheetView>
  </sheetViews>
  <sheetFormatPr defaultColWidth="9" defaultRowHeight="30.75" customHeight="1"/>
  <cols>
    <col min="1" max="1" width="8.3984375" style="161" customWidth="1"/>
    <col min="2" max="2" width="39.59765625" style="161" customWidth="1"/>
    <col min="3" max="3" width="80.69921875" style="162" customWidth="1"/>
    <col min="4" max="4" width="9" style="162" hidden="1" customWidth="1"/>
    <col min="5" max="5" width="7.59765625" style="162" hidden="1" customWidth="1"/>
    <col min="6" max="8" width="9.09765625" style="162" hidden="1" customWidth="1"/>
    <col min="9" max="9" width="10.69921875" style="162" hidden="1" customWidth="1"/>
    <col min="10" max="10" width="11.19921875" style="162" hidden="1" customWidth="1"/>
    <col min="11" max="11" width="22.19921875" style="162" hidden="1" customWidth="1"/>
    <col min="12" max="12" width="41.8984375" style="162" customWidth="1"/>
    <col min="13" max="13" width="9" style="162" customWidth="1"/>
    <col min="14" max="16384" width="9" style="162"/>
  </cols>
  <sheetData>
    <row r="1" spans="1:11" s="159" customFormat="1" ht="30.75" customHeight="1">
      <c r="A1" s="360" t="s">
        <v>98</v>
      </c>
      <c r="B1" s="360"/>
      <c r="C1" s="360"/>
      <c r="D1" s="360"/>
      <c r="E1" s="360"/>
      <c r="F1" s="360"/>
      <c r="G1" s="360"/>
      <c r="H1" s="360"/>
      <c r="I1" s="360"/>
      <c r="J1" s="360"/>
    </row>
    <row r="2" spans="1:11" s="159" customFormat="1" ht="30.75" customHeight="1">
      <c r="A2" s="361" t="s">
        <v>99</v>
      </c>
      <c r="B2" s="361"/>
      <c r="C2" s="362"/>
      <c r="D2" s="362"/>
      <c r="E2" s="362"/>
      <c r="F2" s="362"/>
      <c r="G2" s="362"/>
      <c r="H2" s="362"/>
      <c r="I2" s="362"/>
      <c r="J2" s="362"/>
    </row>
    <row r="3" spans="1:11" s="160" customFormat="1" ht="30.75" customHeight="1">
      <c r="A3" s="363" t="s">
        <v>700</v>
      </c>
      <c r="B3" s="363"/>
      <c r="C3" s="363"/>
      <c r="D3" s="160" t="s">
        <v>8</v>
      </c>
      <c r="G3" s="160" t="s">
        <v>11</v>
      </c>
      <c r="I3" s="214"/>
      <c r="J3" s="160" t="s">
        <v>100</v>
      </c>
    </row>
    <row r="4" spans="1:11" s="160" customFormat="1" ht="30.75" customHeight="1">
      <c r="A4" s="363" t="s">
        <v>5</v>
      </c>
      <c r="B4" s="363"/>
      <c r="C4" s="363"/>
      <c r="D4" s="160" t="s">
        <v>14</v>
      </c>
      <c r="G4" s="160" t="s">
        <v>16</v>
      </c>
      <c r="I4" s="214"/>
      <c r="J4" s="163" t="s">
        <v>101</v>
      </c>
    </row>
    <row r="5" spans="1:11" ht="30.75" customHeight="1">
      <c r="A5" s="364" t="s">
        <v>102</v>
      </c>
      <c r="B5" s="364"/>
      <c r="C5" s="364"/>
    </row>
    <row r="6" spans="1:11" ht="30.75" customHeight="1">
      <c r="A6" s="365" t="s">
        <v>103</v>
      </c>
      <c r="B6" s="366"/>
      <c r="C6" s="367"/>
      <c r="D6" s="367"/>
      <c r="E6" s="367"/>
      <c r="F6" s="367"/>
      <c r="G6" s="367"/>
      <c r="H6" s="367"/>
      <c r="I6" s="367"/>
      <c r="J6" s="368"/>
    </row>
    <row r="7" spans="1:11" s="160" customFormat="1" ht="30.75" customHeight="1">
      <c r="A7" s="165" t="s">
        <v>104</v>
      </c>
      <c r="B7" s="166"/>
      <c r="C7" s="164"/>
      <c r="D7" s="167"/>
      <c r="K7" s="215" t="s">
        <v>105</v>
      </c>
    </row>
    <row r="8" spans="1:11" s="160" customFormat="1" ht="30.75" customHeight="1">
      <c r="A8" s="407" t="s">
        <v>106</v>
      </c>
      <c r="B8" s="407"/>
      <c r="C8" s="407"/>
      <c r="D8" s="369" t="s">
        <v>107</v>
      </c>
      <c r="E8" s="369"/>
      <c r="F8" s="369"/>
      <c r="G8" s="369"/>
      <c r="H8" s="369"/>
      <c r="I8" s="402" t="s">
        <v>108</v>
      </c>
      <c r="J8" s="380" t="s">
        <v>109</v>
      </c>
    </row>
    <row r="9" spans="1:11" s="160" customFormat="1" ht="30.75" customHeight="1">
      <c r="A9" s="407"/>
      <c r="B9" s="407"/>
      <c r="C9" s="407"/>
      <c r="D9" s="168" t="s">
        <v>33</v>
      </c>
      <c r="E9" s="169" t="s">
        <v>110</v>
      </c>
      <c r="F9" s="168" t="s">
        <v>37</v>
      </c>
      <c r="G9" s="168" t="s">
        <v>111</v>
      </c>
      <c r="H9" s="169" t="s">
        <v>112</v>
      </c>
      <c r="I9" s="380"/>
      <c r="J9" s="380"/>
    </row>
    <row r="10" spans="1:11" s="160" customFormat="1" ht="30.75" customHeight="1">
      <c r="A10" s="370" t="s">
        <v>113</v>
      </c>
      <c r="B10" s="370"/>
      <c r="C10" s="370"/>
      <c r="D10" s="169" t="s">
        <v>55</v>
      </c>
      <c r="E10" s="169"/>
      <c r="F10" s="169"/>
      <c r="G10" s="169"/>
      <c r="H10" s="169"/>
      <c r="I10" s="169"/>
      <c r="J10" s="216"/>
    </row>
    <row r="11" spans="1:11" s="160" customFormat="1" ht="30.75" customHeight="1">
      <c r="A11" s="370" t="s">
        <v>114</v>
      </c>
      <c r="B11" s="370"/>
      <c r="C11" s="370"/>
      <c r="D11" s="170"/>
      <c r="E11" s="169" t="s">
        <v>55</v>
      </c>
      <c r="F11" s="169"/>
      <c r="G11" s="169"/>
      <c r="H11" s="169"/>
      <c r="I11" s="169"/>
      <c r="J11" s="216"/>
    </row>
    <row r="12" spans="1:11" s="160" customFormat="1" ht="30.75" customHeight="1">
      <c r="A12" s="370" t="s">
        <v>115</v>
      </c>
      <c r="B12" s="370"/>
      <c r="C12" s="370"/>
      <c r="D12" s="170"/>
      <c r="E12" s="169"/>
      <c r="F12" s="169" t="s">
        <v>55</v>
      </c>
      <c r="G12" s="169"/>
      <c r="H12" s="169"/>
      <c r="I12" s="169"/>
      <c r="J12" s="216"/>
    </row>
    <row r="13" spans="1:11" s="160" customFormat="1" ht="30.75" customHeight="1">
      <c r="A13" s="370" t="s">
        <v>116</v>
      </c>
      <c r="B13" s="370"/>
      <c r="C13" s="370"/>
      <c r="D13" s="170"/>
      <c r="E13" s="169"/>
      <c r="F13" s="169"/>
      <c r="G13" s="169" t="s">
        <v>55</v>
      </c>
      <c r="H13" s="169"/>
      <c r="I13" s="169"/>
      <c r="J13" s="216"/>
    </row>
    <row r="14" spans="1:11" s="160" customFormat="1" ht="30.75" customHeight="1">
      <c r="A14" s="370" t="s">
        <v>117</v>
      </c>
      <c r="B14" s="370"/>
      <c r="C14" s="370"/>
      <c r="D14" s="170"/>
      <c r="E14" s="169"/>
      <c r="F14" s="169"/>
      <c r="G14" s="169"/>
      <c r="H14" s="169" t="s">
        <v>55</v>
      </c>
      <c r="I14" s="169"/>
      <c r="J14" s="169"/>
    </row>
    <row r="15" spans="1:11" s="160" customFormat="1" ht="30.75" customHeight="1">
      <c r="A15" s="371" t="s">
        <v>42</v>
      </c>
      <c r="B15" s="371"/>
      <c r="C15" s="364"/>
      <c r="D15" s="167"/>
    </row>
    <row r="16" spans="1:11" s="160" customFormat="1" ht="30.75" customHeight="1">
      <c r="A16" s="171" t="s">
        <v>118</v>
      </c>
      <c r="B16" s="171" t="s">
        <v>119</v>
      </c>
      <c r="C16" s="172" t="s">
        <v>120</v>
      </c>
      <c r="D16" s="173" t="s">
        <v>44</v>
      </c>
      <c r="E16" s="372" t="s">
        <v>30</v>
      </c>
      <c r="F16" s="373"/>
      <c r="G16" s="373"/>
      <c r="H16" s="374"/>
      <c r="I16" s="375" t="s">
        <v>121</v>
      </c>
      <c r="J16" s="375"/>
    </row>
    <row r="17" spans="1:13" ht="30.75" customHeight="1">
      <c r="A17" s="174" t="s">
        <v>122</v>
      </c>
      <c r="B17" s="174" t="s">
        <v>123</v>
      </c>
      <c r="C17" s="175" t="s">
        <v>124</v>
      </c>
      <c r="D17" s="176" t="s">
        <v>49</v>
      </c>
      <c r="E17" s="376" t="s">
        <v>125</v>
      </c>
      <c r="F17" s="376"/>
      <c r="G17" s="376"/>
      <c r="H17" s="376"/>
      <c r="I17" s="376" t="s">
        <v>126</v>
      </c>
      <c r="J17" s="376"/>
      <c r="K17" s="215"/>
      <c r="L17" s="217" t="s">
        <v>127</v>
      </c>
    </row>
    <row r="18" spans="1:13" ht="30.75" customHeight="1">
      <c r="A18" s="178" t="s">
        <v>47</v>
      </c>
      <c r="B18" s="179" t="str">
        <f>B17</f>
        <v>常规程序</v>
      </c>
      <c r="C18" s="180" t="s">
        <v>128</v>
      </c>
      <c r="D18" s="181" t="s">
        <v>49</v>
      </c>
      <c r="E18" s="377" t="s">
        <v>129</v>
      </c>
      <c r="F18" s="377"/>
      <c r="G18" s="377"/>
      <c r="H18" s="377" t="s">
        <v>55</v>
      </c>
      <c r="I18" s="377" t="s">
        <v>130</v>
      </c>
      <c r="J18" s="377"/>
    </row>
    <row r="19" spans="1:13" ht="45.75" customHeight="1">
      <c r="A19" s="182" t="s">
        <v>131</v>
      </c>
      <c r="B19" s="183" t="s">
        <v>48</v>
      </c>
      <c r="C19" s="184" t="s">
        <v>132</v>
      </c>
      <c r="D19" s="185" t="s">
        <v>49</v>
      </c>
      <c r="E19" s="378" t="s">
        <v>125</v>
      </c>
      <c r="F19" s="378"/>
      <c r="G19" s="378"/>
      <c r="H19" s="378"/>
      <c r="I19" s="378" t="s">
        <v>18</v>
      </c>
      <c r="J19" s="378"/>
      <c r="K19" s="215" t="s">
        <v>133</v>
      </c>
      <c r="L19" s="406" t="s">
        <v>134</v>
      </c>
    </row>
    <row r="20" spans="1:13" ht="30.75" customHeight="1">
      <c r="A20" s="178" t="s">
        <v>47</v>
      </c>
      <c r="B20" s="186" t="str">
        <f>B17</f>
        <v>常规程序</v>
      </c>
      <c r="C20" s="187" t="s">
        <v>135</v>
      </c>
      <c r="D20" s="188" t="s">
        <v>49</v>
      </c>
      <c r="E20" s="377" t="s">
        <v>125</v>
      </c>
      <c r="F20" s="377"/>
      <c r="G20" s="377"/>
      <c r="H20" s="377"/>
      <c r="I20" s="377"/>
      <c r="J20" s="377"/>
      <c r="L20" s="406"/>
    </row>
    <row r="21" spans="1:13" ht="30.75" customHeight="1">
      <c r="A21" s="178" t="s">
        <v>51</v>
      </c>
      <c r="B21" s="186" t="str">
        <f>B17</f>
        <v>常规程序</v>
      </c>
      <c r="C21" s="187" t="s">
        <v>136</v>
      </c>
      <c r="D21" s="188" t="s">
        <v>49</v>
      </c>
      <c r="E21" s="377" t="s">
        <v>125</v>
      </c>
      <c r="F21" s="377"/>
      <c r="G21" s="377"/>
      <c r="H21" s="377"/>
      <c r="I21" s="377"/>
      <c r="J21" s="377"/>
      <c r="L21" s="406"/>
    </row>
    <row r="22" spans="1:13" ht="30.75" customHeight="1">
      <c r="A22" s="178" t="s">
        <v>58</v>
      </c>
      <c r="B22" s="179" t="str">
        <f>B17</f>
        <v>常规程序</v>
      </c>
      <c r="C22" s="189" t="s">
        <v>137</v>
      </c>
      <c r="D22" s="190" t="s">
        <v>138</v>
      </c>
      <c r="E22" s="377" t="s">
        <v>139</v>
      </c>
      <c r="F22" s="377"/>
      <c r="G22" s="377"/>
      <c r="H22" s="377"/>
      <c r="I22" s="377"/>
      <c r="J22" s="377"/>
      <c r="L22" s="406"/>
    </row>
    <row r="23" spans="1:13" ht="30.75" customHeight="1">
      <c r="A23" s="191" t="s">
        <v>140</v>
      </c>
      <c r="B23" s="192" t="s">
        <v>52</v>
      </c>
      <c r="C23" s="193" t="s">
        <v>141</v>
      </c>
      <c r="D23" s="194" t="s">
        <v>142</v>
      </c>
      <c r="E23" s="379" t="s">
        <v>143</v>
      </c>
      <c r="F23" s="379"/>
      <c r="G23" s="379"/>
      <c r="H23" s="379"/>
      <c r="I23" s="379" t="s">
        <v>56</v>
      </c>
      <c r="J23" s="379"/>
      <c r="K23" s="215" t="s">
        <v>144</v>
      </c>
      <c r="L23" s="215" t="s">
        <v>145</v>
      </c>
    </row>
    <row r="24" spans="1:13" ht="30.75" customHeight="1">
      <c r="A24" s="195" t="s">
        <v>47</v>
      </c>
      <c r="B24" s="179" t="s">
        <v>52</v>
      </c>
      <c r="C24" s="170" t="s">
        <v>146</v>
      </c>
      <c r="D24" s="169"/>
      <c r="E24" s="380"/>
      <c r="F24" s="380"/>
      <c r="G24" s="380"/>
      <c r="H24" s="380"/>
      <c r="I24" s="381"/>
      <c r="J24" s="382"/>
    </row>
    <row r="25" spans="1:13" ht="30.75" customHeight="1">
      <c r="A25" s="195" t="s">
        <v>51</v>
      </c>
      <c r="B25" s="179" t="s">
        <v>52</v>
      </c>
      <c r="C25" s="170" t="s">
        <v>147</v>
      </c>
      <c r="D25" s="169"/>
      <c r="E25" s="380"/>
      <c r="F25" s="380"/>
      <c r="G25" s="380"/>
      <c r="H25" s="380"/>
      <c r="I25" s="381"/>
      <c r="J25" s="382"/>
    </row>
    <row r="26" spans="1:13" ht="36" customHeight="1">
      <c r="A26" s="182" t="s">
        <v>148</v>
      </c>
      <c r="B26" s="183" t="s">
        <v>59</v>
      </c>
      <c r="C26" s="196" t="s">
        <v>149</v>
      </c>
      <c r="D26" s="185" t="s">
        <v>150</v>
      </c>
      <c r="E26" s="378" t="s">
        <v>151</v>
      </c>
      <c r="F26" s="378"/>
      <c r="G26" s="378"/>
      <c r="H26" s="378"/>
      <c r="I26" s="378" t="s">
        <v>152</v>
      </c>
      <c r="J26" s="378"/>
      <c r="K26" s="215" t="s">
        <v>153</v>
      </c>
      <c r="L26" s="408" t="s">
        <v>154</v>
      </c>
    </row>
    <row r="27" spans="1:13" ht="30.75" customHeight="1">
      <c r="A27" s="178" t="s">
        <v>47</v>
      </c>
      <c r="B27" s="179" t="s">
        <v>59</v>
      </c>
      <c r="C27" s="197" t="s">
        <v>155</v>
      </c>
      <c r="D27" s="190" t="s">
        <v>150</v>
      </c>
      <c r="E27" s="377" t="s">
        <v>151</v>
      </c>
      <c r="F27" s="377"/>
      <c r="G27" s="377"/>
      <c r="H27" s="377"/>
      <c r="I27" s="377"/>
      <c r="J27" s="377"/>
      <c r="L27" s="408"/>
    </row>
    <row r="28" spans="1:13" ht="30.75" customHeight="1">
      <c r="A28" s="178" t="s">
        <v>51</v>
      </c>
      <c r="B28" s="179" t="s">
        <v>59</v>
      </c>
      <c r="C28" s="198" t="s">
        <v>156</v>
      </c>
      <c r="D28" s="190" t="s">
        <v>150</v>
      </c>
      <c r="E28" s="377" t="s">
        <v>151</v>
      </c>
      <c r="F28" s="377"/>
      <c r="G28" s="377"/>
      <c r="H28" s="377"/>
      <c r="I28" s="377"/>
      <c r="J28" s="377"/>
      <c r="L28" s="408"/>
    </row>
    <row r="29" spans="1:13" ht="30.75" customHeight="1">
      <c r="A29" s="178" t="s">
        <v>58</v>
      </c>
      <c r="B29" s="179" t="s">
        <v>59</v>
      </c>
      <c r="C29" s="197" t="s">
        <v>157</v>
      </c>
      <c r="D29" s="190" t="s">
        <v>150</v>
      </c>
      <c r="E29" s="377" t="s">
        <v>151</v>
      </c>
      <c r="F29" s="377"/>
      <c r="G29" s="377"/>
      <c r="H29" s="377"/>
      <c r="I29" s="377"/>
      <c r="J29" s="377"/>
      <c r="L29" s="408"/>
    </row>
    <row r="30" spans="1:13" ht="30.75" customHeight="1">
      <c r="A30" s="178" t="s">
        <v>62</v>
      </c>
      <c r="B30" s="179" t="s">
        <v>59</v>
      </c>
      <c r="C30" s="197" t="s">
        <v>158</v>
      </c>
      <c r="D30" s="190" t="s">
        <v>150</v>
      </c>
      <c r="E30" s="377" t="s">
        <v>151</v>
      </c>
      <c r="F30" s="377"/>
      <c r="G30" s="377"/>
      <c r="H30" s="377"/>
      <c r="I30" s="377"/>
      <c r="J30" s="377"/>
      <c r="L30" s="408"/>
    </row>
    <row r="31" spans="1:13" ht="26.25" customHeight="1">
      <c r="A31" s="199" t="s">
        <v>159</v>
      </c>
      <c r="B31" s="200" t="s">
        <v>68</v>
      </c>
      <c r="C31" s="201" t="s">
        <v>160</v>
      </c>
      <c r="D31" s="202" t="s">
        <v>49</v>
      </c>
      <c r="E31" s="383" t="s">
        <v>151</v>
      </c>
      <c r="F31" s="383"/>
      <c r="G31" s="383"/>
      <c r="H31" s="383"/>
      <c r="I31" s="384"/>
      <c r="J31" s="385"/>
    </row>
    <row r="32" spans="1:13" ht="52.5" customHeight="1">
      <c r="A32" s="178" t="s">
        <v>47</v>
      </c>
      <c r="B32" s="179" t="s">
        <v>68</v>
      </c>
      <c r="C32" s="203" t="s">
        <v>161</v>
      </c>
      <c r="D32" s="181" t="s">
        <v>49</v>
      </c>
      <c r="E32" s="377" t="s">
        <v>151</v>
      </c>
      <c r="F32" s="377"/>
      <c r="G32" s="377"/>
      <c r="H32" s="377"/>
      <c r="I32" s="377"/>
      <c r="J32" s="377"/>
      <c r="K32" s="215" t="s">
        <v>162</v>
      </c>
      <c r="L32" s="409" t="s">
        <v>163</v>
      </c>
      <c r="M32" s="215" t="s">
        <v>164</v>
      </c>
    </row>
    <row r="33" spans="1:12" ht="30.75" customHeight="1">
      <c r="A33" s="178" t="s">
        <v>51</v>
      </c>
      <c r="B33" s="179" t="s">
        <v>68</v>
      </c>
      <c r="C33" s="204" t="s">
        <v>165</v>
      </c>
      <c r="D33" s="181" t="s">
        <v>49</v>
      </c>
      <c r="E33" s="377" t="s">
        <v>151</v>
      </c>
      <c r="F33" s="377"/>
      <c r="G33" s="377"/>
      <c r="H33" s="377"/>
      <c r="I33" s="377"/>
      <c r="J33" s="377"/>
      <c r="K33" s="403" t="s">
        <v>166</v>
      </c>
      <c r="L33" s="409"/>
    </row>
    <row r="34" spans="1:12" ht="48.75" customHeight="1">
      <c r="A34" s="178" t="s">
        <v>167</v>
      </c>
      <c r="B34" s="179" t="s">
        <v>68</v>
      </c>
      <c r="C34" s="204" t="s">
        <v>168</v>
      </c>
      <c r="D34" s="181" t="s">
        <v>49</v>
      </c>
      <c r="E34" s="377" t="s">
        <v>151</v>
      </c>
      <c r="F34" s="377"/>
      <c r="G34" s="377"/>
      <c r="H34" s="377"/>
      <c r="I34" s="377"/>
      <c r="J34" s="377"/>
      <c r="K34" s="403"/>
      <c r="L34" s="409"/>
    </row>
    <row r="35" spans="1:12" ht="30.75" customHeight="1">
      <c r="A35" s="178" t="s">
        <v>169</v>
      </c>
      <c r="B35" s="179" t="s">
        <v>68</v>
      </c>
      <c r="C35" s="205" t="s">
        <v>170</v>
      </c>
      <c r="D35" s="181" t="s">
        <v>49</v>
      </c>
      <c r="E35" s="377" t="s">
        <v>151</v>
      </c>
      <c r="F35" s="377"/>
      <c r="G35" s="377"/>
      <c r="H35" s="377"/>
      <c r="I35" s="377"/>
      <c r="J35" s="377"/>
      <c r="K35" s="403"/>
      <c r="L35" s="409"/>
    </row>
    <row r="36" spans="1:12" ht="30.75" customHeight="1">
      <c r="A36" s="178" t="s">
        <v>171</v>
      </c>
      <c r="B36" s="179" t="s">
        <v>68</v>
      </c>
      <c r="C36" s="205" t="s">
        <v>172</v>
      </c>
      <c r="D36" s="181" t="s">
        <v>49</v>
      </c>
      <c r="E36" s="377" t="s">
        <v>151</v>
      </c>
      <c r="F36" s="377"/>
      <c r="G36" s="377"/>
      <c r="H36" s="377"/>
      <c r="I36" s="377"/>
      <c r="J36" s="377"/>
      <c r="K36" s="215" t="s">
        <v>173</v>
      </c>
      <c r="L36" s="409"/>
    </row>
    <row r="37" spans="1:12" ht="56.25" customHeight="1">
      <c r="A37" s="178" t="s">
        <v>58</v>
      </c>
      <c r="B37" s="179" t="s">
        <v>68</v>
      </c>
      <c r="C37" s="206" t="s">
        <v>174</v>
      </c>
      <c r="D37" s="181" t="s">
        <v>49</v>
      </c>
      <c r="E37" s="377" t="s">
        <v>151</v>
      </c>
      <c r="F37" s="377"/>
      <c r="G37" s="377"/>
      <c r="H37" s="377"/>
      <c r="I37" s="377"/>
      <c r="J37" s="377"/>
      <c r="K37" s="215" t="s">
        <v>173</v>
      </c>
      <c r="L37" s="409"/>
    </row>
    <row r="38" spans="1:12" ht="53.25" customHeight="1">
      <c r="A38" s="178" t="s">
        <v>62</v>
      </c>
      <c r="B38" s="179" t="s">
        <v>68</v>
      </c>
      <c r="C38" s="207" t="s">
        <v>175</v>
      </c>
      <c r="D38" s="181" t="s">
        <v>49</v>
      </c>
      <c r="E38" s="377" t="s">
        <v>151</v>
      </c>
      <c r="F38" s="377"/>
      <c r="G38" s="377"/>
      <c r="H38" s="377"/>
      <c r="I38" s="377"/>
      <c r="J38" s="377"/>
      <c r="K38" s="215" t="s">
        <v>173</v>
      </c>
      <c r="L38" s="409"/>
    </row>
    <row r="39" spans="1:12" ht="30.75" customHeight="1">
      <c r="A39" s="178" t="s">
        <v>67</v>
      </c>
      <c r="B39" s="179" t="s">
        <v>68</v>
      </c>
      <c r="C39" s="206" t="s">
        <v>176</v>
      </c>
      <c r="D39" s="181" t="s">
        <v>49</v>
      </c>
      <c r="E39" s="377" t="s">
        <v>139</v>
      </c>
      <c r="F39" s="377"/>
      <c r="G39" s="377"/>
      <c r="H39" s="377"/>
      <c r="I39" s="377"/>
      <c r="J39" s="377"/>
      <c r="K39" s="162" t="s">
        <v>177</v>
      </c>
      <c r="L39" s="409"/>
    </row>
    <row r="40" spans="1:12" ht="30.75" customHeight="1">
      <c r="A40" s="178" t="s">
        <v>70</v>
      </c>
      <c r="B40" s="179" t="s">
        <v>68</v>
      </c>
      <c r="C40" s="203" t="s">
        <v>178</v>
      </c>
      <c r="D40" s="181" t="s">
        <v>49</v>
      </c>
      <c r="E40" s="377" t="s">
        <v>179</v>
      </c>
      <c r="F40" s="377"/>
      <c r="G40" s="377"/>
      <c r="H40" s="377"/>
      <c r="I40" s="377"/>
      <c r="J40" s="377"/>
      <c r="K40" s="215" t="s">
        <v>173</v>
      </c>
      <c r="L40" s="409"/>
    </row>
    <row r="41" spans="1:12" ht="42.75" customHeight="1">
      <c r="A41" s="182" t="s">
        <v>180</v>
      </c>
      <c r="B41" s="183" t="s">
        <v>63</v>
      </c>
      <c r="C41" s="184" t="s">
        <v>181</v>
      </c>
      <c r="D41" s="185" t="s">
        <v>49</v>
      </c>
      <c r="E41" s="378" t="s">
        <v>182</v>
      </c>
      <c r="F41" s="378"/>
      <c r="G41" s="378"/>
      <c r="H41" s="378"/>
      <c r="I41" s="378" t="s">
        <v>183</v>
      </c>
      <c r="J41" s="378"/>
      <c r="K41" s="215" t="s">
        <v>184</v>
      </c>
      <c r="L41" s="406" t="s">
        <v>185</v>
      </c>
    </row>
    <row r="42" spans="1:12" ht="75.75" customHeight="1">
      <c r="A42" s="178" t="s">
        <v>47</v>
      </c>
      <c r="B42" s="179" t="s">
        <v>63</v>
      </c>
      <c r="C42" s="207" t="s">
        <v>186</v>
      </c>
      <c r="D42" s="181" t="s">
        <v>49</v>
      </c>
      <c r="E42" s="377" t="s">
        <v>151</v>
      </c>
      <c r="F42" s="377"/>
      <c r="G42" s="377"/>
      <c r="H42" s="377"/>
      <c r="I42" s="377"/>
      <c r="J42" s="377"/>
      <c r="K42" s="215" t="s">
        <v>187</v>
      </c>
      <c r="L42" s="406"/>
    </row>
    <row r="43" spans="1:12" ht="52.5" customHeight="1">
      <c r="A43" s="178" t="s">
        <v>51</v>
      </c>
      <c r="B43" s="179" t="s">
        <v>63</v>
      </c>
      <c r="C43" s="204" t="s">
        <v>188</v>
      </c>
      <c r="D43" s="181" t="s">
        <v>49</v>
      </c>
      <c r="E43" s="377" t="s">
        <v>189</v>
      </c>
      <c r="F43" s="377"/>
      <c r="G43" s="377"/>
      <c r="H43" s="377"/>
      <c r="I43" s="377"/>
      <c r="J43" s="377"/>
      <c r="K43" s="215" t="s">
        <v>190</v>
      </c>
      <c r="L43" s="406"/>
    </row>
    <row r="44" spans="1:12" ht="55.5" customHeight="1">
      <c r="A44" s="178" t="s">
        <v>58</v>
      </c>
      <c r="B44" s="179" t="s">
        <v>63</v>
      </c>
      <c r="C44" s="204" t="s">
        <v>191</v>
      </c>
      <c r="D44" s="181" t="s">
        <v>192</v>
      </c>
      <c r="E44" s="377" t="s">
        <v>193</v>
      </c>
      <c r="F44" s="377"/>
      <c r="G44" s="377"/>
      <c r="H44" s="377"/>
      <c r="I44" s="377"/>
      <c r="J44" s="377"/>
      <c r="K44" s="215" t="s">
        <v>194</v>
      </c>
      <c r="L44" s="406"/>
    </row>
    <row r="45" spans="1:12" ht="38.25" customHeight="1">
      <c r="A45" s="182" t="s">
        <v>195</v>
      </c>
      <c r="B45" s="183" t="s">
        <v>196</v>
      </c>
      <c r="C45" s="208" t="s">
        <v>197</v>
      </c>
      <c r="D45" s="185" t="s">
        <v>49</v>
      </c>
      <c r="E45" s="378" t="s">
        <v>198</v>
      </c>
      <c r="F45" s="378"/>
      <c r="G45" s="378"/>
      <c r="H45" s="378"/>
      <c r="I45" s="378" t="s">
        <v>199</v>
      </c>
      <c r="J45" s="378"/>
      <c r="K45" s="215" t="s">
        <v>200</v>
      </c>
      <c r="L45" s="408" t="s">
        <v>201</v>
      </c>
    </row>
    <row r="46" spans="1:12" ht="30.75" customHeight="1">
      <c r="A46" s="178" t="s">
        <v>47</v>
      </c>
      <c r="B46" s="179" t="s">
        <v>196</v>
      </c>
      <c r="C46" s="204" t="s">
        <v>202</v>
      </c>
      <c r="D46" s="181" t="s">
        <v>192</v>
      </c>
      <c r="E46" s="377" t="s">
        <v>198</v>
      </c>
      <c r="F46" s="377"/>
      <c r="G46" s="377"/>
      <c r="H46" s="377"/>
      <c r="I46" s="377"/>
      <c r="J46" s="377"/>
      <c r="L46" s="408"/>
    </row>
    <row r="47" spans="1:12" ht="30.75" customHeight="1">
      <c r="A47" s="178" t="s">
        <v>167</v>
      </c>
      <c r="B47" s="179" t="s">
        <v>196</v>
      </c>
      <c r="C47" s="207" t="s">
        <v>203</v>
      </c>
      <c r="D47" s="181" t="s">
        <v>192</v>
      </c>
      <c r="E47" s="377" t="s">
        <v>198</v>
      </c>
      <c r="F47" s="377"/>
      <c r="G47" s="377"/>
      <c r="H47" s="377"/>
      <c r="I47" s="377"/>
      <c r="J47" s="377"/>
      <c r="L47" s="408"/>
    </row>
    <row r="48" spans="1:12" ht="30.75" customHeight="1">
      <c r="A48" s="209" t="s">
        <v>204</v>
      </c>
      <c r="B48" s="179" t="s">
        <v>196</v>
      </c>
      <c r="C48" s="204" t="s">
        <v>205</v>
      </c>
      <c r="D48" s="181" t="s">
        <v>192</v>
      </c>
      <c r="E48" s="377" t="s">
        <v>198</v>
      </c>
      <c r="F48" s="377"/>
      <c r="G48" s="377"/>
      <c r="H48" s="377"/>
      <c r="I48" s="386"/>
      <c r="J48" s="386"/>
      <c r="L48" s="408"/>
    </row>
    <row r="49" spans="1:12" ht="30.75" customHeight="1">
      <c r="A49" s="178" t="s">
        <v>51</v>
      </c>
      <c r="B49" s="179" t="s">
        <v>196</v>
      </c>
      <c r="C49" s="210" t="s">
        <v>206</v>
      </c>
      <c r="D49" s="181" t="s">
        <v>192</v>
      </c>
      <c r="E49" s="377" t="s">
        <v>198</v>
      </c>
      <c r="F49" s="377"/>
      <c r="G49" s="377"/>
      <c r="H49" s="377"/>
      <c r="I49" s="377"/>
      <c r="J49" s="377"/>
      <c r="L49" s="408"/>
    </row>
    <row r="50" spans="1:12" ht="30.75" customHeight="1">
      <c r="A50" s="211" t="s">
        <v>58</v>
      </c>
      <c r="B50" s="179" t="s">
        <v>196</v>
      </c>
      <c r="C50" s="204" t="s">
        <v>207</v>
      </c>
      <c r="D50" s="181" t="s">
        <v>49</v>
      </c>
      <c r="E50" s="377" t="s">
        <v>198</v>
      </c>
      <c r="F50" s="377"/>
      <c r="G50" s="377"/>
      <c r="H50" s="377"/>
      <c r="I50" s="387"/>
      <c r="J50" s="387"/>
      <c r="L50" s="408"/>
    </row>
    <row r="51" spans="1:12" ht="30.75" customHeight="1">
      <c r="A51" s="209" t="s">
        <v>208</v>
      </c>
      <c r="B51" s="179" t="s">
        <v>196</v>
      </c>
      <c r="C51" s="204" t="s">
        <v>209</v>
      </c>
      <c r="D51" s="181" t="s">
        <v>49</v>
      </c>
      <c r="E51" s="377" t="s">
        <v>198</v>
      </c>
      <c r="F51" s="377"/>
      <c r="G51" s="377"/>
      <c r="H51" s="377"/>
      <c r="I51" s="386"/>
      <c r="J51" s="386"/>
      <c r="L51" s="408"/>
    </row>
    <row r="52" spans="1:12" ht="30.75" customHeight="1">
      <c r="A52" s="209" t="s">
        <v>204</v>
      </c>
      <c r="B52" s="179" t="s">
        <v>196</v>
      </c>
      <c r="C52" s="204" t="s">
        <v>210</v>
      </c>
      <c r="D52" s="181" t="s">
        <v>49</v>
      </c>
      <c r="E52" s="377" t="s">
        <v>198</v>
      </c>
      <c r="F52" s="377"/>
      <c r="G52" s="377"/>
      <c r="H52" s="377"/>
      <c r="I52" s="386"/>
      <c r="J52" s="386"/>
      <c r="L52" s="408"/>
    </row>
    <row r="53" spans="1:12" ht="30.75" customHeight="1">
      <c r="A53" s="209" t="s">
        <v>211</v>
      </c>
      <c r="B53" s="179" t="s">
        <v>196</v>
      </c>
      <c r="C53" s="204" t="s">
        <v>212</v>
      </c>
      <c r="D53" s="181" t="s">
        <v>49</v>
      </c>
      <c r="E53" s="377" t="s">
        <v>198</v>
      </c>
      <c r="F53" s="377"/>
      <c r="G53" s="377"/>
      <c r="H53" s="377"/>
      <c r="I53" s="386"/>
      <c r="J53" s="386"/>
      <c r="L53" s="408"/>
    </row>
    <row r="54" spans="1:12" ht="30.75" customHeight="1">
      <c r="A54" s="211" t="s">
        <v>62</v>
      </c>
      <c r="B54" s="179" t="s">
        <v>196</v>
      </c>
      <c r="C54" s="212" t="s">
        <v>213</v>
      </c>
      <c r="D54" s="181" t="s">
        <v>192</v>
      </c>
      <c r="E54" s="377" t="s">
        <v>198</v>
      </c>
      <c r="F54" s="377"/>
      <c r="G54" s="377"/>
      <c r="H54" s="377"/>
      <c r="I54" s="387"/>
      <c r="J54" s="387"/>
      <c r="L54" s="408"/>
    </row>
    <row r="55" spans="1:12" ht="30.75" customHeight="1">
      <c r="A55" s="211" t="s">
        <v>167</v>
      </c>
      <c r="B55" s="179" t="s">
        <v>196</v>
      </c>
      <c r="C55" s="180" t="s">
        <v>214</v>
      </c>
      <c r="D55" s="181" t="s">
        <v>192</v>
      </c>
      <c r="E55" s="377" t="s">
        <v>198</v>
      </c>
      <c r="F55" s="377"/>
      <c r="G55" s="377"/>
      <c r="H55" s="377"/>
      <c r="I55" s="387"/>
      <c r="J55" s="387"/>
      <c r="L55" s="408"/>
    </row>
    <row r="56" spans="1:12" ht="44.25" customHeight="1">
      <c r="A56" s="211" t="s">
        <v>169</v>
      </c>
      <c r="B56" s="179" t="s">
        <v>196</v>
      </c>
      <c r="C56" s="212" t="s">
        <v>215</v>
      </c>
      <c r="D56" s="181" t="s">
        <v>192</v>
      </c>
      <c r="E56" s="377" t="s">
        <v>198</v>
      </c>
      <c r="F56" s="377"/>
      <c r="G56" s="377"/>
      <c r="H56" s="377"/>
      <c r="I56" s="387"/>
      <c r="J56" s="387"/>
      <c r="L56" s="408"/>
    </row>
    <row r="57" spans="1:12" ht="30.75" customHeight="1">
      <c r="A57" s="209" t="s">
        <v>67</v>
      </c>
      <c r="B57" s="179" t="s">
        <v>196</v>
      </c>
      <c r="C57" s="212" t="s">
        <v>216</v>
      </c>
      <c r="D57" s="181" t="s">
        <v>192</v>
      </c>
      <c r="E57" s="377" t="s">
        <v>198</v>
      </c>
      <c r="F57" s="377"/>
      <c r="G57" s="377"/>
      <c r="H57" s="377"/>
      <c r="I57" s="386"/>
      <c r="J57" s="386"/>
      <c r="L57" s="408"/>
    </row>
    <row r="58" spans="1:12" ht="30.75" customHeight="1">
      <c r="A58" s="211" t="s">
        <v>70</v>
      </c>
      <c r="B58" s="179" t="s">
        <v>196</v>
      </c>
      <c r="C58" s="213" t="s">
        <v>217</v>
      </c>
      <c r="D58" s="181" t="s">
        <v>192</v>
      </c>
      <c r="E58" s="377" t="s">
        <v>198</v>
      </c>
      <c r="F58" s="377"/>
      <c r="G58" s="377"/>
      <c r="H58" s="377"/>
      <c r="I58" s="387"/>
      <c r="J58" s="387"/>
      <c r="L58" s="408"/>
    </row>
    <row r="59" spans="1:12" ht="30.75" customHeight="1">
      <c r="A59" s="211" t="s">
        <v>73</v>
      </c>
      <c r="B59" s="179" t="s">
        <v>196</v>
      </c>
      <c r="C59" s="212" t="s">
        <v>218</v>
      </c>
      <c r="D59" s="181" t="s">
        <v>192</v>
      </c>
      <c r="E59" s="377" t="s">
        <v>198</v>
      </c>
      <c r="F59" s="377"/>
      <c r="G59" s="377"/>
      <c r="H59" s="377"/>
      <c r="I59" s="387"/>
      <c r="J59" s="387"/>
      <c r="L59" s="408"/>
    </row>
    <row r="60" spans="1:12" ht="30.75" customHeight="1">
      <c r="A60" s="211" t="s">
        <v>77</v>
      </c>
      <c r="B60" s="179" t="s">
        <v>196</v>
      </c>
      <c r="C60" s="212" t="s">
        <v>219</v>
      </c>
      <c r="D60" s="181" t="s">
        <v>49</v>
      </c>
      <c r="E60" s="377" t="s">
        <v>198</v>
      </c>
      <c r="F60" s="377"/>
      <c r="G60" s="377"/>
      <c r="H60" s="377"/>
      <c r="I60" s="387"/>
      <c r="J60" s="387"/>
      <c r="L60" s="408"/>
    </row>
    <row r="61" spans="1:12" ht="30.75" customHeight="1">
      <c r="A61" s="211" t="s">
        <v>79</v>
      </c>
      <c r="B61" s="179" t="s">
        <v>196</v>
      </c>
      <c r="C61" s="180" t="s">
        <v>220</v>
      </c>
      <c r="D61" s="181" t="s">
        <v>49</v>
      </c>
      <c r="E61" s="377" t="s">
        <v>198</v>
      </c>
      <c r="F61" s="377"/>
      <c r="G61" s="377"/>
      <c r="H61" s="377"/>
      <c r="I61" s="387"/>
      <c r="J61" s="387"/>
      <c r="L61" s="408"/>
    </row>
    <row r="62" spans="1:12" ht="30.75" customHeight="1">
      <c r="A62" s="178" t="s">
        <v>167</v>
      </c>
      <c r="B62" s="179" t="s">
        <v>196</v>
      </c>
      <c r="C62" s="180" t="s">
        <v>221</v>
      </c>
      <c r="D62" s="181" t="s">
        <v>49</v>
      </c>
      <c r="E62" s="377" t="s">
        <v>198</v>
      </c>
      <c r="F62" s="377"/>
      <c r="G62" s="377"/>
      <c r="H62" s="377"/>
      <c r="I62" s="387"/>
      <c r="J62" s="387"/>
      <c r="L62" s="408"/>
    </row>
    <row r="63" spans="1:12" ht="30.75" customHeight="1">
      <c r="A63" s="178" t="s">
        <v>222</v>
      </c>
      <c r="B63" s="179" t="s">
        <v>196</v>
      </c>
      <c r="C63" s="212" t="s">
        <v>223</v>
      </c>
      <c r="D63" s="181" t="s">
        <v>192</v>
      </c>
      <c r="E63" s="377" t="s">
        <v>198</v>
      </c>
      <c r="F63" s="377"/>
      <c r="G63" s="377"/>
      <c r="H63" s="377"/>
      <c r="I63" s="387"/>
      <c r="J63" s="387"/>
      <c r="L63" s="408"/>
    </row>
    <row r="64" spans="1:12" ht="30.75" customHeight="1">
      <c r="A64" s="178" t="s">
        <v>81</v>
      </c>
      <c r="B64" s="179" t="s">
        <v>196</v>
      </c>
      <c r="C64" s="180" t="s">
        <v>224</v>
      </c>
      <c r="D64" s="181" t="s">
        <v>192</v>
      </c>
      <c r="E64" s="377" t="s">
        <v>198</v>
      </c>
      <c r="F64" s="377"/>
      <c r="G64" s="377"/>
      <c r="H64" s="377"/>
      <c r="I64" s="387"/>
      <c r="J64" s="387"/>
      <c r="L64" s="408"/>
    </row>
    <row r="65" spans="1:13" ht="30.75" customHeight="1">
      <c r="A65" s="178" t="s">
        <v>167</v>
      </c>
      <c r="B65" s="179" t="s">
        <v>196</v>
      </c>
      <c r="C65" s="212" t="s">
        <v>225</v>
      </c>
      <c r="D65" s="181" t="s">
        <v>192</v>
      </c>
      <c r="E65" s="377" t="s">
        <v>198</v>
      </c>
      <c r="F65" s="377"/>
      <c r="G65" s="377"/>
      <c r="H65" s="377"/>
      <c r="I65" s="387"/>
      <c r="J65" s="387"/>
      <c r="L65" s="408"/>
    </row>
    <row r="66" spans="1:13" ht="30.75" customHeight="1">
      <c r="A66" s="178" t="s">
        <v>169</v>
      </c>
      <c r="B66" s="179" t="s">
        <v>196</v>
      </c>
      <c r="C66" s="212" t="s">
        <v>226</v>
      </c>
      <c r="D66" s="181" t="s">
        <v>49</v>
      </c>
      <c r="E66" s="377" t="s">
        <v>198</v>
      </c>
      <c r="F66" s="377"/>
      <c r="G66" s="377"/>
      <c r="H66" s="377"/>
      <c r="I66" s="387"/>
      <c r="J66" s="387"/>
      <c r="L66" s="408"/>
    </row>
    <row r="67" spans="1:13" ht="30.75" customHeight="1">
      <c r="A67" s="178" t="s">
        <v>171</v>
      </c>
      <c r="B67" s="179" t="s">
        <v>196</v>
      </c>
      <c r="C67" s="212" t="s">
        <v>227</v>
      </c>
      <c r="D67" s="181" t="s">
        <v>192</v>
      </c>
      <c r="E67" s="377" t="s">
        <v>198</v>
      </c>
      <c r="F67" s="377"/>
      <c r="G67" s="377"/>
      <c r="H67" s="377"/>
      <c r="I67" s="387"/>
      <c r="J67" s="387"/>
      <c r="L67" s="408"/>
    </row>
    <row r="68" spans="1:13" ht="30.75" customHeight="1">
      <c r="A68" s="178" t="s">
        <v>83</v>
      </c>
      <c r="B68" s="179" t="s">
        <v>196</v>
      </c>
      <c r="C68" s="218" t="s">
        <v>228</v>
      </c>
      <c r="D68" s="181" t="s">
        <v>192</v>
      </c>
      <c r="E68" s="377" t="s">
        <v>198</v>
      </c>
      <c r="F68" s="377"/>
      <c r="G68" s="377"/>
      <c r="H68" s="377"/>
      <c r="I68" s="386"/>
      <c r="J68" s="386"/>
      <c r="L68" s="408"/>
    </row>
    <row r="69" spans="1:13" ht="30.75" customHeight="1">
      <c r="A69" s="178" t="s">
        <v>85</v>
      </c>
      <c r="B69" s="179" t="s">
        <v>196</v>
      </c>
      <c r="C69" s="219" t="s">
        <v>229</v>
      </c>
      <c r="D69" s="181" t="s">
        <v>192</v>
      </c>
      <c r="E69" s="377" t="s">
        <v>198</v>
      </c>
      <c r="F69" s="377"/>
      <c r="G69" s="377"/>
      <c r="H69" s="377"/>
      <c r="I69" s="386"/>
      <c r="J69" s="386"/>
      <c r="L69" s="408"/>
    </row>
    <row r="70" spans="1:13" ht="30.75" customHeight="1">
      <c r="A70" s="178" t="s">
        <v>86</v>
      </c>
      <c r="B70" s="179" t="s">
        <v>196</v>
      </c>
      <c r="C70" s="219" t="s">
        <v>230</v>
      </c>
      <c r="D70" s="181" t="s">
        <v>192</v>
      </c>
      <c r="E70" s="377" t="s">
        <v>198</v>
      </c>
      <c r="F70" s="377"/>
      <c r="G70" s="377"/>
      <c r="H70" s="377"/>
      <c r="I70" s="386"/>
      <c r="J70" s="386"/>
      <c r="L70" s="408"/>
    </row>
    <row r="71" spans="1:13" ht="96.75" customHeight="1">
      <c r="A71" s="191" t="s">
        <v>231</v>
      </c>
      <c r="B71" s="192" t="s">
        <v>74</v>
      </c>
      <c r="C71" s="175" t="s">
        <v>232</v>
      </c>
      <c r="D71" s="176" t="s">
        <v>49</v>
      </c>
      <c r="E71" s="376" t="s">
        <v>151</v>
      </c>
      <c r="F71" s="376"/>
      <c r="G71" s="376"/>
      <c r="H71" s="376"/>
      <c r="I71" s="388" t="s">
        <v>233</v>
      </c>
      <c r="J71" s="388"/>
      <c r="K71" s="215" t="s">
        <v>234</v>
      </c>
      <c r="L71" s="217" t="s">
        <v>235</v>
      </c>
    </row>
    <row r="72" spans="1:13" ht="30.75" customHeight="1">
      <c r="A72" s="191" t="s">
        <v>236</v>
      </c>
      <c r="B72" s="192" t="s">
        <v>74</v>
      </c>
      <c r="C72" s="175" t="s">
        <v>237</v>
      </c>
      <c r="D72" s="176" t="s">
        <v>49</v>
      </c>
      <c r="E72" s="376" t="s">
        <v>125</v>
      </c>
      <c r="F72" s="376"/>
      <c r="G72" s="376"/>
      <c r="H72" s="376"/>
      <c r="I72" s="388" t="s">
        <v>238</v>
      </c>
      <c r="J72" s="388"/>
      <c r="K72" s="215" t="s">
        <v>194</v>
      </c>
    </row>
    <row r="73" spans="1:13" ht="33" customHeight="1">
      <c r="A73" s="182" t="s">
        <v>239</v>
      </c>
      <c r="B73" s="183" t="s">
        <v>71</v>
      </c>
      <c r="C73" s="196" t="s">
        <v>240</v>
      </c>
      <c r="D73" s="185" t="s">
        <v>49</v>
      </c>
      <c r="E73" s="378" t="s">
        <v>193</v>
      </c>
      <c r="F73" s="378"/>
      <c r="G73" s="378"/>
      <c r="H73" s="378"/>
      <c r="I73" s="389" t="s">
        <v>241</v>
      </c>
      <c r="J73" s="389"/>
      <c r="L73" s="408" t="s">
        <v>242</v>
      </c>
      <c r="M73" s="162" t="s">
        <v>243</v>
      </c>
    </row>
    <row r="74" spans="1:13" ht="30.75" customHeight="1">
      <c r="A74" s="178" t="s">
        <v>47</v>
      </c>
      <c r="B74" s="179" t="s">
        <v>71</v>
      </c>
      <c r="C74" s="212" t="s">
        <v>244</v>
      </c>
      <c r="D74" s="190" t="s">
        <v>49</v>
      </c>
      <c r="E74" s="377" t="s">
        <v>193</v>
      </c>
      <c r="F74" s="377"/>
      <c r="G74" s="377"/>
      <c r="H74" s="377"/>
      <c r="I74" s="387"/>
      <c r="J74" s="387"/>
      <c r="K74" s="215" t="s">
        <v>245</v>
      </c>
      <c r="L74" s="408"/>
    </row>
    <row r="75" spans="1:13" ht="30.75" customHeight="1">
      <c r="A75" s="178" t="s">
        <v>51</v>
      </c>
      <c r="B75" s="179" t="s">
        <v>71</v>
      </c>
      <c r="C75" s="212" t="s">
        <v>246</v>
      </c>
      <c r="D75" s="190" t="s">
        <v>49</v>
      </c>
      <c r="E75" s="377" t="s">
        <v>193</v>
      </c>
      <c r="F75" s="377"/>
      <c r="G75" s="377"/>
      <c r="H75" s="377"/>
      <c r="I75" s="387"/>
      <c r="J75" s="387"/>
      <c r="K75" s="215" t="s">
        <v>245</v>
      </c>
      <c r="L75" s="408"/>
    </row>
    <row r="76" spans="1:13" ht="62.25" customHeight="1">
      <c r="A76" s="178" t="s">
        <v>58</v>
      </c>
      <c r="B76" s="179" t="s">
        <v>71</v>
      </c>
      <c r="C76" s="212" t="s">
        <v>247</v>
      </c>
      <c r="D76" s="190" t="s">
        <v>49</v>
      </c>
      <c r="E76" s="377" t="s">
        <v>193</v>
      </c>
      <c r="F76" s="377"/>
      <c r="G76" s="377"/>
      <c r="H76" s="377"/>
      <c r="I76" s="387"/>
      <c r="J76" s="387"/>
      <c r="K76" s="215" t="s">
        <v>173</v>
      </c>
      <c r="L76" s="408"/>
    </row>
    <row r="77" spans="1:13" ht="30.75" customHeight="1">
      <c r="A77" s="178" t="s">
        <v>62</v>
      </c>
      <c r="B77" s="179" t="s">
        <v>71</v>
      </c>
      <c r="C77" s="212" t="s">
        <v>248</v>
      </c>
      <c r="D77" s="190" t="s">
        <v>49</v>
      </c>
      <c r="E77" s="377" t="s">
        <v>193</v>
      </c>
      <c r="F77" s="377"/>
      <c r="G77" s="377"/>
      <c r="H77" s="377"/>
      <c r="I77" s="387"/>
      <c r="J77" s="387"/>
      <c r="K77" s="162" t="s">
        <v>249</v>
      </c>
      <c r="L77" s="408"/>
    </row>
    <row r="78" spans="1:13" ht="30.75" customHeight="1">
      <c r="A78" s="178" t="s">
        <v>67</v>
      </c>
      <c r="B78" s="179" t="s">
        <v>71</v>
      </c>
      <c r="C78" s="220" t="s">
        <v>250</v>
      </c>
      <c r="D78" s="190" t="s">
        <v>49</v>
      </c>
      <c r="E78" s="377" t="s">
        <v>193</v>
      </c>
      <c r="F78" s="377"/>
      <c r="G78" s="377"/>
      <c r="H78" s="377"/>
      <c r="I78" s="387"/>
      <c r="J78" s="387"/>
      <c r="K78" s="215" t="s">
        <v>251</v>
      </c>
      <c r="L78" s="408"/>
    </row>
    <row r="79" spans="1:13" ht="30.75" customHeight="1">
      <c r="A79" s="178" t="s">
        <v>70</v>
      </c>
      <c r="B79" s="179" t="s">
        <v>71</v>
      </c>
      <c r="C79" s="219" t="s">
        <v>252</v>
      </c>
      <c r="D79" s="181" t="s">
        <v>192</v>
      </c>
      <c r="E79" s="377" t="s">
        <v>193</v>
      </c>
      <c r="F79" s="377"/>
      <c r="G79" s="377"/>
      <c r="H79" s="377"/>
      <c r="I79" s="387"/>
      <c r="J79" s="387"/>
      <c r="K79" s="215" t="s">
        <v>253</v>
      </c>
      <c r="L79" s="408"/>
    </row>
    <row r="80" spans="1:13" ht="30.75" customHeight="1">
      <c r="A80" s="178" t="s">
        <v>73</v>
      </c>
      <c r="B80" s="179" t="s">
        <v>71</v>
      </c>
      <c r="C80" s="218" t="s">
        <v>254</v>
      </c>
      <c r="D80" s="190" t="s">
        <v>49</v>
      </c>
      <c r="E80" s="377" t="s">
        <v>193</v>
      </c>
      <c r="F80" s="377"/>
      <c r="G80" s="377"/>
      <c r="H80" s="377"/>
      <c r="I80" s="387"/>
      <c r="J80" s="387"/>
      <c r="K80" s="215" t="s">
        <v>255</v>
      </c>
      <c r="L80" s="408"/>
    </row>
    <row r="81" spans="1:12" ht="30.75" customHeight="1">
      <c r="A81" s="178" t="s">
        <v>77</v>
      </c>
      <c r="B81" s="179" t="s">
        <v>71</v>
      </c>
      <c r="C81" s="212" t="s">
        <v>256</v>
      </c>
      <c r="D81" s="181" t="s">
        <v>192</v>
      </c>
      <c r="E81" s="377" t="s">
        <v>193</v>
      </c>
      <c r="F81" s="377"/>
      <c r="G81" s="377"/>
      <c r="H81" s="377"/>
      <c r="I81" s="387"/>
      <c r="J81" s="387"/>
      <c r="K81" s="215" t="s">
        <v>173</v>
      </c>
      <c r="L81" s="408"/>
    </row>
    <row r="82" spans="1:12" ht="30.75" customHeight="1">
      <c r="A82" s="178" t="s">
        <v>79</v>
      </c>
      <c r="B82" s="179" t="s">
        <v>71</v>
      </c>
      <c r="C82" s="204" t="s">
        <v>257</v>
      </c>
      <c r="D82" s="181" t="s">
        <v>60</v>
      </c>
      <c r="E82" s="390" t="s">
        <v>151</v>
      </c>
      <c r="F82" s="391"/>
      <c r="G82" s="391"/>
      <c r="H82" s="392"/>
      <c r="I82" s="390"/>
      <c r="J82" s="392"/>
      <c r="K82" s="215" t="s">
        <v>253</v>
      </c>
      <c r="L82" s="408"/>
    </row>
    <row r="83" spans="1:12" ht="30.75" customHeight="1">
      <c r="A83" s="178" t="s">
        <v>81</v>
      </c>
      <c r="B83" s="179" t="s">
        <v>71</v>
      </c>
      <c r="C83" s="204" t="s">
        <v>258</v>
      </c>
      <c r="D83" s="181" t="s">
        <v>60</v>
      </c>
      <c r="E83" s="390" t="s">
        <v>151</v>
      </c>
      <c r="F83" s="391"/>
      <c r="G83" s="391"/>
      <c r="H83" s="392"/>
      <c r="I83" s="390"/>
      <c r="J83" s="392"/>
      <c r="K83" s="215" t="s">
        <v>194</v>
      </c>
      <c r="L83" s="408"/>
    </row>
    <row r="84" spans="1:12" ht="30.75" customHeight="1">
      <c r="A84" s="178" t="s">
        <v>83</v>
      </c>
      <c r="B84" s="179" t="s">
        <v>71</v>
      </c>
      <c r="C84" s="212" t="s">
        <v>259</v>
      </c>
      <c r="D84" s="190" t="s">
        <v>49</v>
      </c>
      <c r="E84" s="390" t="s">
        <v>151</v>
      </c>
      <c r="F84" s="391"/>
      <c r="G84" s="391"/>
      <c r="H84" s="392"/>
      <c r="I84" s="390"/>
      <c r="J84" s="392"/>
      <c r="K84" s="215" t="s">
        <v>173</v>
      </c>
      <c r="L84" s="408"/>
    </row>
    <row r="85" spans="1:12" ht="30.75" customHeight="1">
      <c r="A85" s="178" t="s">
        <v>167</v>
      </c>
      <c r="B85" s="179" t="s">
        <v>71</v>
      </c>
      <c r="C85" s="212" t="s">
        <v>260</v>
      </c>
      <c r="D85" s="190" t="s">
        <v>49</v>
      </c>
      <c r="E85" s="377" t="s">
        <v>193</v>
      </c>
      <c r="F85" s="377"/>
      <c r="G85" s="377"/>
      <c r="H85" s="377"/>
      <c r="I85" s="387"/>
      <c r="J85" s="387"/>
      <c r="K85" s="403" t="s">
        <v>261</v>
      </c>
      <c r="L85" s="408"/>
    </row>
    <row r="86" spans="1:12" ht="30.75" customHeight="1">
      <c r="A86" s="178" t="s">
        <v>169</v>
      </c>
      <c r="B86" s="179" t="s">
        <v>71</v>
      </c>
      <c r="C86" s="212" t="s">
        <v>262</v>
      </c>
      <c r="D86" s="190" t="s">
        <v>150</v>
      </c>
      <c r="E86" s="377" t="s">
        <v>193</v>
      </c>
      <c r="F86" s="377"/>
      <c r="G86" s="377"/>
      <c r="H86" s="377"/>
      <c r="I86" s="387"/>
      <c r="J86" s="387"/>
      <c r="K86" s="404"/>
      <c r="L86" s="408"/>
    </row>
    <row r="87" spans="1:12" ht="30.75" customHeight="1">
      <c r="A87" s="178" t="s">
        <v>171</v>
      </c>
      <c r="B87" s="179" t="s">
        <v>71</v>
      </c>
      <c r="C87" s="212" t="s">
        <v>263</v>
      </c>
      <c r="D87" s="190" t="s">
        <v>150</v>
      </c>
      <c r="E87" s="377" t="s">
        <v>193</v>
      </c>
      <c r="F87" s="377"/>
      <c r="G87" s="377"/>
      <c r="H87" s="377"/>
      <c r="I87" s="387"/>
      <c r="J87" s="387"/>
      <c r="K87" s="404"/>
      <c r="L87" s="408"/>
    </row>
    <row r="88" spans="1:12" ht="30.75" customHeight="1">
      <c r="A88" s="178" t="s">
        <v>264</v>
      </c>
      <c r="B88" s="179" t="s">
        <v>71</v>
      </c>
      <c r="C88" s="212" t="s">
        <v>265</v>
      </c>
      <c r="D88" s="190" t="s">
        <v>150</v>
      </c>
      <c r="E88" s="377" t="s">
        <v>193</v>
      </c>
      <c r="F88" s="377"/>
      <c r="G88" s="377"/>
      <c r="H88" s="377"/>
      <c r="I88" s="387"/>
      <c r="J88" s="387"/>
      <c r="K88" s="404"/>
      <c r="L88" s="408"/>
    </row>
    <row r="89" spans="1:12" ht="30.75" customHeight="1">
      <c r="A89" s="178" t="s">
        <v>266</v>
      </c>
      <c r="B89" s="179" t="s">
        <v>71</v>
      </c>
      <c r="C89" s="212" t="s">
        <v>267</v>
      </c>
      <c r="D89" s="190" t="s">
        <v>150</v>
      </c>
      <c r="E89" s="377" t="s">
        <v>193</v>
      </c>
      <c r="F89" s="377"/>
      <c r="G89" s="377"/>
      <c r="H89" s="377"/>
      <c r="I89" s="387"/>
      <c r="J89" s="387"/>
      <c r="K89" s="404"/>
      <c r="L89" s="408"/>
    </row>
    <row r="90" spans="1:12" ht="30.75" customHeight="1">
      <c r="A90" s="178" t="s">
        <v>268</v>
      </c>
      <c r="B90" s="179" t="s">
        <v>71</v>
      </c>
      <c r="C90" s="212" t="s">
        <v>269</v>
      </c>
      <c r="D90" s="190" t="s">
        <v>150</v>
      </c>
      <c r="E90" s="377" t="s">
        <v>193</v>
      </c>
      <c r="F90" s="377"/>
      <c r="G90" s="377"/>
      <c r="H90" s="377"/>
      <c r="I90" s="387"/>
      <c r="J90" s="387"/>
      <c r="K90" s="404"/>
      <c r="L90" s="408"/>
    </row>
    <row r="91" spans="1:12" ht="30.75" customHeight="1">
      <c r="A91" s="178" t="s">
        <v>270</v>
      </c>
      <c r="B91" s="179" t="s">
        <v>71</v>
      </c>
      <c r="C91" s="212" t="s">
        <v>271</v>
      </c>
      <c r="D91" s="190" t="s">
        <v>150</v>
      </c>
      <c r="E91" s="377" t="s">
        <v>193</v>
      </c>
      <c r="F91" s="377"/>
      <c r="G91" s="377"/>
      <c r="H91" s="377"/>
      <c r="I91" s="387"/>
      <c r="J91" s="387"/>
      <c r="K91" s="404"/>
      <c r="L91" s="408"/>
    </row>
    <row r="92" spans="1:12" ht="30.75" customHeight="1">
      <c r="A92" s="178" t="s">
        <v>272</v>
      </c>
      <c r="B92" s="179" t="s">
        <v>71</v>
      </c>
      <c r="C92" s="212" t="s">
        <v>273</v>
      </c>
      <c r="D92" s="190" t="s">
        <v>150</v>
      </c>
      <c r="E92" s="377" t="s">
        <v>193</v>
      </c>
      <c r="F92" s="377"/>
      <c r="G92" s="377"/>
      <c r="H92" s="377"/>
      <c r="I92" s="387"/>
      <c r="J92" s="387"/>
      <c r="K92" s="404"/>
      <c r="L92" s="408"/>
    </row>
    <row r="93" spans="1:12" ht="103.5" customHeight="1">
      <c r="A93" s="191" t="s">
        <v>274</v>
      </c>
      <c r="B93" s="192" t="s">
        <v>74</v>
      </c>
      <c r="C93" s="224" t="s">
        <v>275</v>
      </c>
      <c r="D93" s="176" t="s">
        <v>49</v>
      </c>
      <c r="E93" s="376" t="s">
        <v>179</v>
      </c>
      <c r="F93" s="376"/>
      <c r="G93" s="376"/>
      <c r="H93" s="376"/>
      <c r="I93" s="388" t="s">
        <v>276</v>
      </c>
      <c r="J93" s="388"/>
      <c r="L93" s="406" t="s">
        <v>277</v>
      </c>
    </row>
    <row r="94" spans="1:12" ht="30.75" customHeight="1">
      <c r="A94" s="178" t="s">
        <v>47</v>
      </c>
      <c r="B94" s="179" t="s">
        <v>74</v>
      </c>
      <c r="C94" s="180" t="s">
        <v>278</v>
      </c>
      <c r="D94" s="181" t="s">
        <v>49</v>
      </c>
      <c r="E94" s="377" t="s">
        <v>179</v>
      </c>
      <c r="F94" s="377"/>
      <c r="G94" s="377"/>
      <c r="H94" s="377"/>
      <c r="I94" s="387"/>
      <c r="J94" s="387"/>
      <c r="L94" s="406"/>
    </row>
    <row r="95" spans="1:12" ht="30.75" customHeight="1">
      <c r="A95" s="178" t="s">
        <v>51</v>
      </c>
      <c r="B95" s="179" t="s">
        <v>74</v>
      </c>
      <c r="C95" s="225" t="s">
        <v>279</v>
      </c>
      <c r="D95" s="181" t="s">
        <v>49</v>
      </c>
      <c r="E95" s="377" t="s">
        <v>179</v>
      </c>
      <c r="F95" s="377"/>
      <c r="G95" s="377"/>
      <c r="H95" s="377"/>
      <c r="I95" s="387"/>
      <c r="J95" s="387"/>
      <c r="L95" s="406"/>
    </row>
    <row r="96" spans="1:12" ht="30.75" customHeight="1">
      <c r="A96" s="178" t="s">
        <v>58</v>
      </c>
      <c r="B96" s="179" t="s">
        <v>74</v>
      </c>
      <c r="C96" s="226" t="s">
        <v>280</v>
      </c>
      <c r="D96" s="181" t="s">
        <v>49</v>
      </c>
      <c r="E96" s="377" t="s">
        <v>179</v>
      </c>
      <c r="F96" s="377"/>
      <c r="G96" s="377"/>
      <c r="H96" s="377"/>
      <c r="I96" s="387"/>
      <c r="J96" s="387"/>
      <c r="K96" s="215" t="s">
        <v>194</v>
      </c>
      <c r="L96" s="406"/>
    </row>
    <row r="97" spans="1:12" ht="30.75" customHeight="1">
      <c r="A97" s="178" t="s">
        <v>62</v>
      </c>
      <c r="B97" s="179" t="s">
        <v>74</v>
      </c>
      <c r="C97" s="212" t="s">
        <v>281</v>
      </c>
      <c r="D97" s="181" t="s">
        <v>49</v>
      </c>
      <c r="E97" s="377" t="s">
        <v>179</v>
      </c>
      <c r="F97" s="377"/>
      <c r="G97" s="377"/>
      <c r="H97" s="377"/>
      <c r="I97" s="387"/>
      <c r="J97" s="387"/>
      <c r="K97" s="215" t="s">
        <v>282</v>
      </c>
      <c r="L97" s="406"/>
    </row>
    <row r="98" spans="1:12" ht="30.75" customHeight="1">
      <c r="A98" s="178" t="s">
        <v>67</v>
      </c>
      <c r="B98" s="179" t="s">
        <v>74</v>
      </c>
      <c r="C98" s="212" t="s">
        <v>283</v>
      </c>
      <c r="D98" s="181" t="s">
        <v>49</v>
      </c>
      <c r="E98" s="377" t="s">
        <v>139</v>
      </c>
      <c r="F98" s="377"/>
      <c r="G98" s="377"/>
      <c r="H98" s="377"/>
      <c r="I98" s="387"/>
      <c r="J98" s="387"/>
      <c r="K98" s="215" t="s">
        <v>251</v>
      </c>
      <c r="L98" s="406"/>
    </row>
    <row r="99" spans="1:12" ht="120.75" customHeight="1">
      <c r="A99" s="182" t="s">
        <v>284</v>
      </c>
      <c r="B99" s="183" t="s">
        <v>84</v>
      </c>
      <c r="C99" s="227" t="s">
        <v>285</v>
      </c>
      <c r="D99" s="185" t="s">
        <v>49</v>
      </c>
      <c r="E99" s="378" t="s">
        <v>193</v>
      </c>
      <c r="F99" s="378"/>
      <c r="G99" s="378"/>
      <c r="H99" s="378"/>
      <c r="I99" s="389" t="s">
        <v>286</v>
      </c>
      <c r="J99" s="389"/>
      <c r="K99" s="215"/>
      <c r="L99" s="409" t="s">
        <v>287</v>
      </c>
    </row>
    <row r="100" spans="1:12" ht="30.75" customHeight="1">
      <c r="A100" s="178" t="s">
        <v>47</v>
      </c>
      <c r="B100" s="179" t="s">
        <v>84</v>
      </c>
      <c r="C100" s="212" t="s">
        <v>288</v>
      </c>
      <c r="D100" s="181" t="s">
        <v>49</v>
      </c>
      <c r="E100" s="377" t="s">
        <v>193</v>
      </c>
      <c r="F100" s="377"/>
      <c r="G100" s="377"/>
      <c r="H100" s="377"/>
      <c r="I100" s="387"/>
      <c r="J100" s="387"/>
      <c r="K100" s="215" t="s">
        <v>289</v>
      </c>
      <c r="L100" s="409"/>
    </row>
    <row r="101" spans="1:12" ht="30.75" customHeight="1">
      <c r="A101" s="178" t="s">
        <v>51</v>
      </c>
      <c r="B101" s="179" t="s">
        <v>84</v>
      </c>
      <c r="C101" s="212" t="s">
        <v>290</v>
      </c>
      <c r="D101" s="181" t="s">
        <v>49</v>
      </c>
      <c r="E101" s="377" t="s">
        <v>193</v>
      </c>
      <c r="F101" s="377"/>
      <c r="G101" s="377"/>
      <c r="H101" s="377"/>
      <c r="I101" s="387"/>
      <c r="J101" s="387"/>
      <c r="K101" s="215" t="s">
        <v>173</v>
      </c>
      <c r="L101" s="409"/>
    </row>
    <row r="102" spans="1:12" ht="30.75" customHeight="1">
      <c r="A102" s="178" t="s">
        <v>58</v>
      </c>
      <c r="B102" s="179" t="s">
        <v>84</v>
      </c>
      <c r="C102" s="212" t="s">
        <v>291</v>
      </c>
      <c r="D102" s="181" t="s">
        <v>49</v>
      </c>
      <c r="E102" s="377" t="s">
        <v>193</v>
      </c>
      <c r="F102" s="377"/>
      <c r="G102" s="377"/>
      <c r="H102" s="377"/>
      <c r="I102" s="387"/>
      <c r="J102" s="387"/>
      <c r="K102" s="215" t="s">
        <v>173</v>
      </c>
      <c r="L102" s="409"/>
    </row>
    <row r="103" spans="1:12" ht="82.5" customHeight="1">
      <c r="A103" s="182" t="s">
        <v>292</v>
      </c>
      <c r="B103" s="182" t="s">
        <v>293</v>
      </c>
      <c r="C103" s="184" t="s">
        <v>294</v>
      </c>
      <c r="D103" s="185" t="s">
        <v>49</v>
      </c>
      <c r="E103" s="393" t="s">
        <v>193</v>
      </c>
      <c r="F103" s="378"/>
      <c r="G103" s="378"/>
      <c r="H103" s="378"/>
      <c r="I103" s="389" t="s">
        <v>65</v>
      </c>
      <c r="J103" s="389"/>
      <c r="K103" s="217" t="s">
        <v>295</v>
      </c>
      <c r="L103" s="215" t="s">
        <v>296</v>
      </c>
    </row>
    <row r="104" spans="1:12" ht="30.75" customHeight="1">
      <c r="A104" s="178" t="s">
        <v>47</v>
      </c>
      <c r="B104" s="228" t="s">
        <v>297</v>
      </c>
      <c r="C104" s="229" t="s">
        <v>298</v>
      </c>
      <c r="D104" s="190" t="s">
        <v>138</v>
      </c>
      <c r="E104" s="394" t="s">
        <v>193</v>
      </c>
      <c r="F104" s="377"/>
      <c r="G104" s="377"/>
      <c r="H104" s="377"/>
      <c r="I104" s="386"/>
      <c r="J104" s="386"/>
    </row>
    <row r="105" spans="1:12" ht="30.75" customHeight="1">
      <c r="A105" s="178" t="s">
        <v>51</v>
      </c>
      <c r="B105" s="228" t="s">
        <v>297</v>
      </c>
      <c r="C105" s="229" t="s">
        <v>299</v>
      </c>
      <c r="D105" s="190" t="s">
        <v>138</v>
      </c>
      <c r="E105" s="394" t="s">
        <v>193</v>
      </c>
      <c r="F105" s="377"/>
      <c r="G105" s="377"/>
      <c r="H105" s="377"/>
      <c r="I105" s="386"/>
      <c r="J105" s="386"/>
    </row>
    <row r="106" spans="1:12" ht="30.75" customHeight="1">
      <c r="A106" s="178" t="s">
        <v>58</v>
      </c>
      <c r="B106" s="228" t="s">
        <v>297</v>
      </c>
      <c r="C106" s="230" t="s">
        <v>300</v>
      </c>
      <c r="D106" s="190" t="s">
        <v>138</v>
      </c>
      <c r="E106" s="394" t="s">
        <v>193</v>
      </c>
      <c r="F106" s="377"/>
      <c r="G106" s="377"/>
      <c r="H106" s="377"/>
      <c r="I106" s="386"/>
      <c r="J106" s="386"/>
    </row>
    <row r="107" spans="1:12" ht="30.75" customHeight="1">
      <c r="A107" s="178" t="s">
        <v>62</v>
      </c>
      <c r="B107" s="228" t="s">
        <v>297</v>
      </c>
      <c r="C107" s="229" t="s">
        <v>301</v>
      </c>
      <c r="D107" s="190" t="s">
        <v>138</v>
      </c>
      <c r="E107" s="394" t="s">
        <v>193</v>
      </c>
      <c r="F107" s="377"/>
      <c r="G107" s="377"/>
      <c r="H107" s="377"/>
      <c r="I107" s="386"/>
      <c r="J107" s="386"/>
    </row>
    <row r="108" spans="1:12" ht="30.75" customHeight="1">
      <c r="A108" s="178" t="s">
        <v>67</v>
      </c>
      <c r="B108" s="228" t="s">
        <v>297</v>
      </c>
      <c r="C108" s="229" t="s">
        <v>302</v>
      </c>
      <c r="D108" s="190" t="s">
        <v>138</v>
      </c>
      <c r="E108" s="394" t="s">
        <v>193</v>
      </c>
      <c r="F108" s="377"/>
      <c r="G108" s="377"/>
      <c r="H108" s="377"/>
      <c r="I108" s="386"/>
      <c r="J108" s="386"/>
    </row>
    <row r="109" spans="1:12" ht="90" customHeight="1">
      <c r="A109" s="191" t="s">
        <v>303</v>
      </c>
      <c r="B109" s="191" t="s">
        <v>304</v>
      </c>
      <c r="C109" s="175" t="s">
        <v>305</v>
      </c>
      <c r="D109" s="176" t="s">
        <v>306</v>
      </c>
      <c r="E109" s="376" t="s">
        <v>151</v>
      </c>
      <c r="F109" s="376"/>
      <c r="G109" s="376"/>
      <c r="H109" s="376"/>
      <c r="I109" s="388" t="s">
        <v>307</v>
      </c>
      <c r="J109" s="388"/>
      <c r="K109" s="217" t="s">
        <v>308</v>
      </c>
      <c r="L109" s="406" t="s">
        <v>309</v>
      </c>
    </row>
    <row r="110" spans="1:12" ht="30.75" customHeight="1">
      <c r="A110" s="178" t="s">
        <v>47</v>
      </c>
      <c r="B110" s="228" t="s">
        <v>310</v>
      </c>
      <c r="C110" s="180" t="s">
        <v>311</v>
      </c>
      <c r="D110" s="190" t="s">
        <v>312</v>
      </c>
      <c r="E110" s="377" t="s">
        <v>313</v>
      </c>
      <c r="F110" s="377"/>
      <c r="G110" s="377"/>
      <c r="H110" s="377"/>
      <c r="I110" s="386"/>
      <c r="J110" s="386"/>
      <c r="L110" s="406"/>
    </row>
    <row r="111" spans="1:12" ht="30.75" customHeight="1">
      <c r="A111" s="178" t="s">
        <v>51</v>
      </c>
      <c r="B111" s="228" t="s">
        <v>310</v>
      </c>
      <c r="C111" s="180" t="s">
        <v>314</v>
      </c>
      <c r="D111" s="190" t="s">
        <v>312</v>
      </c>
      <c r="E111" s="377" t="s">
        <v>313</v>
      </c>
      <c r="F111" s="377"/>
      <c r="G111" s="377"/>
      <c r="H111" s="377"/>
      <c r="I111" s="386"/>
      <c r="J111" s="386"/>
      <c r="L111" s="406"/>
    </row>
    <row r="112" spans="1:12" ht="42" customHeight="1">
      <c r="A112" s="178" t="s">
        <v>58</v>
      </c>
      <c r="B112" s="228" t="s">
        <v>310</v>
      </c>
      <c r="C112" s="180" t="s">
        <v>315</v>
      </c>
      <c r="D112" s="190" t="s">
        <v>312</v>
      </c>
      <c r="E112" s="377" t="s">
        <v>313</v>
      </c>
      <c r="F112" s="377"/>
      <c r="G112" s="377"/>
      <c r="H112" s="377"/>
      <c r="I112" s="386"/>
      <c r="J112" s="386"/>
      <c r="L112" s="406"/>
    </row>
    <row r="113" spans="1:13" ht="54.75" customHeight="1">
      <c r="A113" s="178" t="s">
        <v>62</v>
      </c>
      <c r="B113" s="228" t="s">
        <v>310</v>
      </c>
      <c r="C113" s="180" t="s">
        <v>316</v>
      </c>
      <c r="D113" s="190" t="s">
        <v>312</v>
      </c>
      <c r="E113" s="377" t="s">
        <v>313</v>
      </c>
      <c r="F113" s="377"/>
      <c r="G113" s="377"/>
      <c r="H113" s="377"/>
      <c r="I113" s="386"/>
      <c r="J113" s="386"/>
      <c r="L113" s="406"/>
    </row>
    <row r="114" spans="1:13" ht="66.75" customHeight="1">
      <c r="A114" s="178" t="s">
        <v>67</v>
      </c>
      <c r="B114" s="228" t="s">
        <v>310</v>
      </c>
      <c r="C114" s="180" t="s">
        <v>317</v>
      </c>
      <c r="D114" s="190" t="s">
        <v>312</v>
      </c>
      <c r="E114" s="377" t="s">
        <v>313</v>
      </c>
      <c r="F114" s="377"/>
      <c r="G114" s="377"/>
      <c r="H114" s="377"/>
      <c r="I114" s="386"/>
      <c r="J114" s="386"/>
      <c r="L114" s="406"/>
    </row>
    <row r="115" spans="1:13" ht="63.75" customHeight="1">
      <c r="A115" s="178" t="s">
        <v>70</v>
      </c>
      <c r="B115" s="228" t="s">
        <v>310</v>
      </c>
      <c r="C115" s="180" t="s">
        <v>318</v>
      </c>
      <c r="D115" s="190" t="s">
        <v>312</v>
      </c>
      <c r="E115" s="377" t="s">
        <v>313</v>
      </c>
      <c r="F115" s="377"/>
      <c r="G115" s="377"/>
      <c r="H115" s="377"/>
      <c r="I115" s="386"/>
      <c r="J115" s="386"/>
      <c r="L115" s="406"/>
    </row>
    <row r="116" spans="1:13" ht="174" customHeight="1">
      <c r="A116" s="191" t="s">
        <v>319</v>
      </c>
      <c r="B116" s="191" t="s">
        <v>320</v>
      </c>
      <c r="C116" s="231" t="s">
        <v>321</v>
      </c>
      <c r="D116" s="176" t="s">
        <v>322</v>
      </c>
      <c r="E116" s="376" t="s">
        <v>189</v>
      </c>
      <c r="F116" s="376"/>
      <c r="G116" s="376"/>
      <c r="H116" s="376"/>
      <c r="I116" s="388" t="s">
        <v>323</v>
      </c>
      <c r="J116" s="388"/>
      <c r="K116" s="215" t="s">
        <v>324</v>
      </c>
      <c r="L116" s="236" t="s">
        <v>325</v>
      </c>
      <c r="M116" s="217" t="s">
        <v>326</v>
      </c>
    </row>
    <row r="117" spans="1:13" ht="183.75" customHeight="1">
      <c r="A117" s="191"/>
      <c r="B117" s="191"/>
      <c r="C117" s="231"/>
      <c r="D117" s="176"/>
      <c r="E117" s="177"/>
      <c r="F117" s="177"/>
      <c r="G117" s="177"/>
      <c r="H117" s="177"/>
      <c r="I117" s="235"/>
      <c r="J117" s="235"/>
      <c r="K117" s="215" t="s">
        <v>324</v>
      </c>
      <c r="L117" s="237" t="s">
        <v>327</v>
      </c>
      <c r="M117" s="217" t="s">
        <v>328</v>
      </c>
    </row>
    <row r="118" spans="1:13" ht="17.25" customHeight="1">
      <c r="A118" s="178" t="s">
        <v>47</v>
      </c>
      <c r="B118" s="232" t="s">
        <v>320</v>
      </c>
      <c r="C118" s="180" t="s">
        <v>329</v>
      </c>
      <c r="D118" s="190" t="s">
        <v>312</v>
      </c>
      <c r="E118" s="377" t="s">
        <v>189</v>
      </c>
      <c r="F118" s="377"/>
      <c r="G118" s="377"/>
      <c r="H118" s="377"/>
      <c r="I118" s="386"/>
      <c r="J118" s="386"/>
      <c r="L118" s="405" t="s">
        <v>330</v>
      </c>
    </row>
    <row r="119" spans="1:13" ht="70.5" customHeight="1">
      <c r="A119" s="178" t="s">
        <v>167</v>
      </c>
      <c r="B119" s="232" t="s">
        <v>320</v>
      </c>
      <c r="C119" s="180" t="s">
        <v>331</v>
      </c>
      <c r="D119" s="190" t="s">
        <v>312</v>
      </c>
      <c r="E119" s="377" t="s">
        <v>189</v>
      </c>
      <c r="F119" s="377"/>
      <c r="G119" s="377"/>
      <c r="H119" s="377"/>
      <c r="I119" s="386"/>
      <c r="J119" s="386"/>
      <c r="K119" s="217" t="s">
        <v>332</v>
      </c>
      <c r="L119" s="405"/>
    </row>
    <row r="120" spans="1:13" ht="30.75" customHeight="1">
      <c r="A120" s="178" t="s">
        <v>169</v>
      </c>
      <c r="B120" s="232" t="s">
        <v>320</v>
      </c>
      <c r="C120" s="212" t="s">
        <v>333</v>
      </c>
      <c r="D120" s="190" t="s">
        <v>312</v>
      </c>
      <c r="E120" s="377" t="s">
        <v>189</v>
      </c>
      <c r="F120" s="377"/>
      <c r="G120" s="377"/>
      <c r="H120" s="377"/>
      <c r="I120" s="386"/>
      <c r="J120" s="386"/>
      <c r="K120" s="215" t="s">
        <v>334</v>
      </c>
      <c r="L120" s="405"/>
    </row>
    <row r="121" spans="1:13" ht="30.75" customHeight="1">
      <c r="A121" s="178" t="s">
        <v>171</v>
      </c>
      <c r="B121" s="232" t="s">
        <v>320</v>
      </c>
      <c r="C121" s="212" t="s">
        <v>335</v>
      </c>
      <c r="D121" s="190" t="s">
        <v>312</v>
      </c>
      <c r="E121" s="377" t="s">
        <v>189</v>
      </c>
      <c r="F121" s="377"/>
      <c r="G121" s="377"/>
      <c r="H121" s="377"/>
      <c r="I121" s="386"/>
      <c r="J121" s="386"/>
      <c r="K121" s="215" t="s">
        <v>153</v>
      </c>
      <c r="L121" s="405"/>
    </row>
    <row r="122" spans="1:13" ht="30.75" customHeight="1">
      <c r="A122" s="178" t="s">
        <v>264</v>
      </c>
      <c r="B122" s="232" t="s">
        <v>320</v>
      </c>
      <c r="C122" s="212" t="s">
        <v>336</v>
      </c>
      <c r="D122" s="190" t="s">
        <v>312</v>
      </c>
      <c r="E122" s="377" t="s">
        <v>189</v>
      </c>
      <c r="F122" s="377"/>
      <c r="G122" s="377"/>
      <c r="H122" s="377"/>
      <c r="I122" s="386"/>
      <c r="J122" s="386"/>
      <c r="K122" s="215" t="s">
        <v>153</v>
      </c>
      <c r="L122" s="405"/>
    </row>
    <row r="123" spans="1:13" ht="68.25" customHeight="1">
      <c r="A123" s="178" t="s">
        <v>266</v>
      </c>
      <c r="B123" s="232" t="s">
        <v>320</v>
      </c>
      <c r="C123" s="180" t="s">
        <v>337</v>
      </c>
      <c r="D123" s="190" t="s">
        <v>312</v>
      </c>
      <c r="E123" s="377" t="s">
        <v>189</v>
      </c>
      <c r="F123" s="377"/>
      <c r="G123" s="377"/>
      <c r="H123" s="377"/>
      <c r="I123" s="386"/>
      <c r="J123" s="386"/>
      <c r="K123" s="215" t="s">
        <v>153</v>
      </c>
      <c r="L123" s="405"/>
    </row>
    <row r="124" spans="1:13" ht="30.75" customHeight="1">
      <c r="A124" s="178" t="s">
        <v>268</v>
      </c>
      <c r="B124" s="232" t="s">
        <v>320</v>
      </c>
      <c r="C124" s="180" t="s">
        <v>338</v>
      </c>
      <c r="D124" s="190" t="s">
        <v>339</v>
      </c>
      <c r="E124" s="377" t="s">
        <v>189</v>
      </c>
      <c r="F124" s="377"/>
      <c r="G124" s="377"/>
      <c r="H124" s="377"/>
      <c r="I124" s="377"/>
      <c r="J124" s="377"/>
      <c r="K124" s="215"/>
      <c r="L124" s="215" t="s">
        <v>340</v>
      </c>
    </row>
    <row r="125" spans="1:13" ht="30.75" customHeight="1">
      <c r="A125" s="178" t="s">
        <v>51</v>
      </c>
      <c r="B125" s="232" t="s">
        <v>320</v>
      </c>
      <c r="C125" s="233" t="s">
        <v>341</v>
      </c>
      <c r="D125" s="190" t="s">
        <v>312</v>
      </c>
      <c r="E125" s="377" t="s">
        <v>189</v>
      </c>
      <c r="F125" s="377"/>
      <c r="G125" s="377"/>
      <c r="H125" s="377"/>
      <c r="I125" s="386"/>
      <c r="J125" s="386"/>
      <c r="L125" s="238"/>
    </row>
    <row r="126" spans="1:13" ht="30.75" customHeight="1">
      <c r="A126" s="178" t="s">
        <v>167</v>
      </c>
      <c r="B126" s="232" t="s">
        <v>320</v>
      </c>
      <c r="C126" s="233" t="s">
        <v>342</v>
      </c>
      <c r="D126" s="190" t="s">
        <v>312</v>
      </c>
      <c r="E126" s="377" t="s">
        <v>189</v>
      </c>
      <c r="F126" s="377"/>
      <c r="G126" s="377"/>
      <c r="H126" s="377"/>
      <c r="I126" s="386"/>
      <c r="J126" s="386"/>
      <c r="L126" s="215"/>
    </row>
    <row r="127" spans="1:13" ht="30.75" customHeight="1">
      <c r="A127" s="178" t="s">
        <v>222</v>
      </c>
      <c r="B127" s="232" t="s">
        <v>320</v>
      </c>
      <c r="C127" s="234" t="s">
        <v>343</v>
      </c>
      <c r="D127" s="190" t="s">
        <v>312</v>
      </c>
      <c r="E127" s="377" t="s">
        <v>189</v>
      </c>
      <c r="F127" s="377"/>
      <c r="G127" s="377"/>
      <c r="H127" s="377"/>
      <c r="I127" s="386"/>
      <c r="J127" s="386"/>
    </row>
    <row r="128" spans="1:13" ht="30.75" customHeight="1">
      <c r="A128" s="178" t="s">
        <v>58</v>
      </c>
      <c r="B128" s="232" t="s">
        <v>320</v>
      </c>
      <c r="C128" s="233" t="s">
        <v>344</v>
      </c>
      <c r="D128" s="190" t="s">
        <v>312</v>
      </c>
      <c r="E128" s="377" t="s">
        <v>189</v>
      </c>
      <c r="F128" s="377"/>
      <c r="G128" s="377"/>
      <c r="H128" s="377"/>
      <c r="I128" s="395"/>
      <c r="J128" s="396"/>
    </row>
    <row r="129" spans="1:13" ht="201.75" customHeight="1">
      <c r="A129" s="178"/>
      <c r="B129" s="232"/>
      <c r="C129" s="180"/>
      <c r="D129" s="190"/>
      <c r="E129" s="221"/>
      <c r="F129" s="222"/>
      <c r="G129" s="222"/>
      <c r="H129" s="223"/>
      <c r="I129" s="239"/>
      <c r="J129" s="240"/>
      <c r="K129" s="215" t="s">
        <v>345</v>
      </c>
      <c r="L129" s="236" t="s">
        <v>346</v>
      </c>
    </row>
    <row r="130" spans="1:13" ht="58.5" customHeight="1">
      <c r="A130" s="178"/>
      <c r="B130" s="232"/>
      <c r="C130" s="180"/>
      <c r="D130" s="190"/>
      <c r="E130" s="221"/>
      <c r="F130" s="222"/>
      <c r="G130" s="222"/>
      <c r="H130" s="223"/>
      <c r="I130" s="239"/>
      <c r="J130" s="240"/>
      <c r="K130" s="215" t="s">
        <v>345</v>
      </c>
      <c r="L130" s="237" t="s">
        <v>347</v>
      </c>
      <c r="M130" s="215" t="s">
        <v>348</v>
      </c>
    </row>
    <row r="131" spans="1:13" ht="38.25" customHeight="1">
      <c r="A131" s="178"/>
      <c r="B131" s="232"/>
      <c r="C131" s="180"/>
      <c r="D131" s="190"/>
      <c r="E131" s="221"/>
      <c r="F131" s="222"/>
      <c r="G131" s="222"/>
      <c r="H131" s="223"/>
      <c r="I131" s="239"/>
      <c r="J131" s="240"/>
      <c r="K131" s="215" t="s">
        <v>345</v>
      </c>
      <c r="L131" s="237" t="s">
        <v>349</v>
      </c>
      <c r="M131" s="215" t="s">
        <v>348</v>
      </c>
    </row>
    <row r="132" spans="1:13" ht="46.5" customHeight="1">
      <c r="A132" s="178"/>
      <c r="B132" s="232"/>
      <c r="C132" s="180"/>
      <c r="D132" s="190"/>
      <c r="E132" s="221"/>
      <c r="F132" s="222"/>
      <c r="G132" s="222"/>
      <c r="H132" s="223"/>
      <c r="I132" s="239"/>
      <c r="J132" s="240"/>
      <c r="K132" s="215" t="s">
        <v>345</v>
      </c>
      <c r="L132" s="237" t="s">
        <v>350</v>
      </c>
      <c r="M132" s="215" t="s">
        <v>348</v>
      </c>
    </row>
    <row r="133" spans="1:13" ht="59.25" customHeight="1">
      <c r="A133" s="178"/>
      <c r="B133" s="232"/>
      <c r="C133" s="180"/>
      <c r="D133" s="190"/>
      <c r="E133" s="221"/>
      <c r="F133" s="222"/>
      <c r="G133" s="222"/>
      <c r="H133" s="223"/>
      <c r="I133" s="239"/>
      <c r="J133" s="240"/>
      <c r="K133" s="215" t="s">
        <v>345</v>
      </c>
      <c r="L133" s="237" t="s">
        <v>351</v>
      </c>
      <c r="M133" s="215" t="s">
        <v>348</v>
      </c>
    </row>
    <row r="134" spans="1:13" ht="85.5" customHeight="1">
      <c r="A134" s="178"/>
      <c r="B134" s="232"/>
      <c r="C134" s="180"/>
      <c r="D134" s="190"/>
      <c r="E134" s="221"/>
      <c r="F134" s="222"/>
      <c r="G134" s="222"/>
      <c r="H134" s="223"/>
      <c r="I134" s="239"/>
      <c r="J134" s="240"/>
      <c r="K134" s="215"/>
      <c r="L134" s="237" t="s">
        <v>352</v>
      </c>
      <c r="M134" s="215"/>
    </row>
    <row r="135" spans="1:13" ht="30.75" customHeight="1">
      <c r="A135" s="182" t="s">
        <v>353</v>
      </c>
      <c r="B135" s="182" t="s">
        <v>293</v>
      </c>
      <c r="C135" s="241" t="s">
        <v>354</v>
      </c>
      <c r="D135" s="185" t="s">
        <v>150</v>
      </c>
      <c r="E135" s="397" t="s">
        <v>355</v>
      </c>
      <c r="F135" s="398"/>
      <c r="G135" s="398"/>
      <c r="H135" s="399"/>
      <c r="I135" s="400"/>
      <c r="J135" s="401"/>
      <c r="K135" s="215" t="s">
        <v>356</v>
      </c>
    </row>
    <row r="136" spans="1:13" ht="30.75" customHeight="1">
      <c r="A136" s="191" t="s">
        <v>357</v>
      </c>
      <c r="B136" s="191"/>
      <c r="C136" s="175" t="s">
        <v>358</v>
      </c>
      <c r="D136" s="176" t="s">
        <v>150</v>
      </c>
      <c r="E136" s="376" t="s">
        <v>139</v>
      </c>
      <c r="F136" s="376"/>
      <c r="G136" s="376"/>
      <c r="H136" s="376"/>
      <c r="I136" s="388" t="s">
        <v>241</v>
      </c>
      <c r="J136" s="388"/>
      <c r="K136" s="215" t="s">
        <v>194</v>
      </c>
    </row>
    <row r="137" spans="1:13" ht="30.75" customHeight="1">
      <c r="A137" s="191" t="s">
        <v>359</v>
      </c>
      <c r="B137" s="191" t="s">
        <v>360</v>
      </c>
      <c r="C137" s="242" t="s">
        <v>361</v>
      </c>
      <c r="D137" s="176" t="s">
        <v>150</v>
      </c>
      <c r="E137" s="376" t="s">
        <v>125</v>
      </c>
      <c r="F137" s="376"/>
      <c r="G137" s="376"/>
      <c r="H137" s="376"/>
      <c r="I137" s="388" t="s">
        <v>241</v>
      </c>
      <c r="J137" s="388"/>
      <c r="K137" s="215" t="s">
        <v>362</v>
      </c>
    </row>
    <row r="138" spans="1:13" ht="30.75" customHeight="1">
      <c r="A138" s="178" t="s">
        <v>47</v>
      </c>
      <c r="B138" s="232" t="s">
        <v>363</v>
      </c>
      <c r="C138" s="204" t="s">
        <v>364</v>
      </c>
      <c r="D138" s="190"/>
      <c r="E138" s="377"/>
      <c r="F138" s="377"/>
      <c r="G138" s="377"/>
      <c r="H138" s="377"/>
      <c r="I138" s="395"/>
      <c r="J138" s="396"/>
      <c r="K138" s="215" t="s">
        <v>365</v>
      </c>
    </row>
    <row r="139" spans="1:13" ht="30.75" customHeight="1">
      <c r="A139" s="178" t="s">
        <v>51</v>
      </c>
      <c r="B139" s="232" t="s">
        <v>363</v>
      </c>
      <c r="C139" s="204" t="s">
        <v>366</v>
      </c>
      <c r="D139" s="190"/>
      <c r="E139" s="377"/>
      <c r="F139" s="377"/>
      <c r="G139" s="377"/>
      <c r="H139" s="377"/>
      <c r="I139" s="395"/>
      <c r="J139" s="396"/>
      <c r="K139" s="215" t="s">
        <v>365</v>
      </c>
    </row>
    <row r="140" spans="1:13" ht="30.75" customHeight="1">
      <c r="A140" s="178" t="s">
        <v>58</v>
      </c>
      <c r="B140" s="232" t="s">
        <v>363</v>
      </c>
      <c r="C140" s="204" t="s">
        <v>367</v>
      </c>
      <c r="D140" s="190"/>
      <c r="E140" s="377"/>
      <c r="F140" s="377"/>
      <c r="G140" s="377"/>
      <c r="H140" s="377"/>
      <c r="I140" s="395"/>
      <c r="J140" s="396"/>
      <c r="K140" s="215" t="s">
        <v>365</v>
      </c>
    </row>
    <row r="141" spans="1:13" ht="30.75" customHeight="1">
      <c r="A141" s="178" t="s">
        <v>62</v>
      </c>
      <c r="B141" s="232" t="s">
        <v>363</v>
      </c>
      <c r="C141" s="204" t="s">
        <v>368</v>
      </c>
      <c r="D141" s="190"/>
      <c r="E141" s="377"/>
      <c r="F141" s="377"/>
      <c r="G141" s="377"/>
      <c r="H141" s="377"/>
      <c r="I141" s="395"/>
      <c r="J141" s="396"/>
      <c r="K141" s="215" t="s">
        <v>365</v>
      </c>
    </row>
    <row r="142" spans="1:13" ht="216" customHeight="1">
      <c r="A142" s="191" t="s">
        <v>369</v>
      </c>
      <c r="B142" s="191" t="s">
        <v>293</v>
      </c>
      <c r="C142" s="243" t="s">
        <v>370</v>
      </c>
      <c r="D142" s="176" t="s">
        <v>150</v>
      </c>
      <c r="E142" s="376" t="s">
        <v>151</v>
      </c>
      <c r="F142" s="376"/>
      <c r="G142" s="376"/>
      <c r="H142" s="376"/>
      <c r="I142" s="388" t="s">
        <v>371</v>
      </c>
      <c r="J142" s="388"/>
      <c r="K142" s="215"/>
      <c r="L142" s="406" t="s">
        <v>78</v>
      </c>
    </row>
    <row r="143" spans="1:13" ht="59.25" customHeight="1">
      <c r="A143" s="178" t="s">
        <v>47</v>
      </c>
      <c r="B143" s="228" t="s">
        <v>297</v>
      </c>
      <c r="C143" s="189" t="s">
        <v>372</v>
      </c>
      <c r="D143" s="190" t="s">
        <v>150</v>
      </c>
      <c r="E143" s="377" t="s">
        <v>151</v>
      </c>
      <c r="F143" s="377"/>
      <c r="G143" s="377"/>
      <c r="H143" s="377"/>
      <c r="I143" s="386"/>
      <c r="J143" s="386"/>
      <c r="K143" s="215" t="s">
        <v>373</v>
      </c>
      <c r="L143" s="406"/>
    </row>
    <row r="144" spans="1:13" ht="30.75" customHeight="1">
      <c r="A144" s="178" t="s">
        <v>51</v>
      </c>
      <c r="B144" s="228" t="s">
        <v>297</v>
      </c>
      <c r="C144" s="189" t="s">
        <v>374</v>
      </c>
      <c r="D144" s="190" t="s">
        <v>150</v>
      </c>
      <c r="E144" s="377" t="s">
        <v>151</v>
      </c>
      <c r="F144" s="377"/>
      <c r="G144" s="377"/>
      <c r="H144" s="377"/>
      <c r="I144" s="386"/>
      <c r="J144" s="386"/>
      <c r="K144" s="215" t="s">
        <v>375</v>
      </c>
      <c r="L144" s="406"/>
    </row>
    <row r="145" spans="1:12" ht="30.75" customHeight="1">
      <c r="A145" s="178" t="s">
        <v>58</v>
      </c>
      <c r="B145" s="228" t="s">
        <v>297</v>
      </c>
      <c r="C145" s="189" t="s">
        <v>376</v>
      </c>
      <c r="D145" s="190" t="s">
        <v>150</v>
      </c>
      <c r="E145" s="377" t="s">
        <v>151</v>
      </c>
      <c r="F145" s="377"/>
      <c r="G145" s="377"/>
      <c r="H145" s="377"/>
      <c r="I145" s="386"/>
      <c r="J145" s="386"/>
      <c r="K145" s="215" t="s">
        <v>375</v>
      </c>
      <c r="L145" s="406"/>
    </row>
    <row r="146" spans="1:12" ht="30.75" customHeight="1">
      <c r="A146" s="178" t="s">
        <v>62</v>
      </c>
      <c r="B146" s="228" t="s">
        <v>297</v>
      </c>
      <c r="C146" s="189" t="s">
        <v>377</v>
      </c>
      <c r="D146" s="190" t="s">
        <v>150</v>
      </c>
      <c r="E146" s="377" t="s">
        <v>151</v>
      </c>
      <c r="F146" s="377"/>
      <c r="G146" s="377"/>
      <c r="H146" s="377"/>
      <c r="I146" s="386"/>
      <c r="J146" s="386"/>
      <c r="K146" s="215" t="s">
        <v>173</v>
      </c>
      <c r="L146" s="406"/>
    </row>
    <row r="147" spans="1:12" ht="30.75" customHeight="1">
      <c r="A147" s="178" t="s">
        <v>67</v>
      </c>
      <c r="B147" s="228" t="s">
        <v>297</v>
      </c>
      <c r="C147" s="189" t="s">
        <v>378</v>
      </c>
      <c r="D147" s="190" t="s">
        <v>150</v>
      </c>
      <c r="E147" s="377" t="s">
        <v>151</v>
      </c>
      <c r="F147" s="377"/>
      <c r="G147" s="377"/>
      <c r="H147" s="377"/>
      <c r="I147" s="386"/>
      <c r="J147" s="386"/>
      <c r="K147" s="215" t="s">
        <v>173</v>
      </c>
      <c r="L147" s="406"/>
    </row>
    <row r="148" spans="1:12" ht="30.75" customHeight="1">
      <c r="A148" s="178" t="s">
        <v>70</v>
      </c>
      <c r="B148" s="228" t="s">
        <v>297</v>
      </c>
      <c r="C148" s="189" t="s">
        <v>379</v>
      </c>
      <c r="D148" s="190" t="s">
        <v>150</v>
      </c>
      <c r="E148" s="377" t="s">
        <v>151</v>
      </c>
      <c r="F148" s="377"/>
      <c r="G148" s="377"/>
      <c r="H148" s="377"/>
      <c r="I148" s="386"/>
      <c r="J148" s="386"/>
      <c r="K148" s="215" t="s">
        <v>375</v>
      </c>
      <c r="L148" s="406"/>
    </row>
    <row r="149" spans="1:12" ht="232.5" customHeight="1">
      <c r="A149" s="191" t="s">
        <v>380</v>
      </c>
      <c r="B149" s="191" t="s">
        <v>123</v>
      </c>
      <c r="C149" s="243" t="s">
        <v>381</v>
      </c>
      <c r="D149" s="176" t="s">
        <v>150</v>
      </c>
      <c r="E149" s="376" t="s">
        <v>382</v>
      </c>
      <c r="F149" s="376"/>
      <c r="G149" s="376"/>
      <c r="H149" s="376"/>
      <c r="I149" s="388" t="s">
        <v>383</v>
      </c>
      <c r="J149" s="388"/>
      <c r="K149" s="215" t="s">
        <v>251</v>
      </c>
      <c r="L149" s="217" t="s">
        <v>82</v>
      </c>
    </row>
    <row r="150" spans="1:12" ht="30.75" customHeight="1">
      <c r="A150" s="178" t="s">
        <v>47</v>
      </c>
      <c r="B150" s="228" t="s">
        <v>384</v>
      </c>
      <c r="C150" s="244" t="s">
        <v>385</v>
      </c>
      <c r="D150" s="190" t="s">
        <v>150</v>
      </c>
      <c r="E150" s="377" t="s">
        <v>382</v>
      </c>
      <c r="F150" s="377"/>
      <c r="G150" s="377"/>
      <c r="H150" s="377"/>
      <c r="I150" s="386"/>
      <c r="J150" s="386"/>
    </row>
    <row r="151" spans="1:12" ht="30.75" customHeight="1">
      <c r="A151" s="178" t="s">
        <v>51</v>
      </c>
      <c r="B151" s="228" t="s">
        <v>384</v>
      </c>
      <c r="C151" s="189" t="s">
        <v>386</v>
      </c>
      <c r="D151" s="190" t="s">
        <v>150</v>
      </c>
      <c r="E151" s="377" t="s">
        <v>382</v>
      </c>
      <c r="F151" s="377"/>
      <c r="G151" s="377"/>
      <c r="H151" s="377"/>
      <c r="I151" s="386"/>
      <c r="J151" s="386"/>
    </row>
    <row r="152" spans="1:12" ht="30.75" customHeight="1">
      <c r="A152" s="178" t="s">
        <v>58</v>
      </c>
      <c r="B152" s="228" t="s">
        <v>384</v>
      </c>
      <c r="C152" s="245" t="s">
        <v>387</v>
      </c>
      <c r="D152" s="190" t="s">
        <v>150</v>
      </c>
      <c r="E152" s="377" t="s">
        <v>382</v>
      </c>
      <c r="F152" s="377"/>
      <c r="G152" s="377"/>
      <c r="H152" s="377"/>
      <c r="I152" s="386"/>
      <c r="J152" s="386"/>
    </row>
    <row r="153" spans="1:12" ht="48" customHeight="1">
      <c r="A153" s="178" t="s">
        <v>62</v>
      </c>
      <c r="B153" s="228" t="s">
        <v>384</v>
      </c>
      <c r="C153" s="189" t="s">
        <v>388</v>
      </c>
      <c r="D153" s="190" t="s">
        <v>150</v>
      </c>
      <c r="E153" s="377" t="s">
        <v>382</v>
      </c>
      <c r="F153" s="377"/>
      <c r="G153" s="377"/>
      <c r="H153" s="377"/>
      <c r="I153" s="386"/>
      <c r="J153" s="386"/>
    </row>
    <row r="154" spans="1:12" ht="73.5" customHeight="1">
      <c r="A154" s="178" t="s">
        <v>67</v>
      </c>
      <c r="B154" s="228" t="s">
        <v>384</v>
      </c>
      <c r="C154" s="189" t="s">
        <v>389</v>
      </c>
      <c r="D154" s="190" t="s">
        <v>150</v>
      </c>
      <c r="E154" s="377" t="s">
        <v>382</v>
      </c>
      <c r="F154" s="377"/>
      <c r="G154" s="377"/>
      <c r="H154" s="377"/>
      <c r="I154" s="386"/>
      <c r="J154" s="386"/>
    </row>
    <row r="155" spans="1:12" ht="30.75" customHeight="1">
      <c r="A155" s="191" t="s">
        <v>390</v>
      </c>
      <c r="B155" s="191" t="s">
        <v>94</v>
      </c>
      <c r="C155" s="246" t="s">
        <v>95</v>
      </c>
      <c r="D155" s="176" t="s">
        <v>150</v>
      </c>
      <c r="E155" s="376" t="s">
        <v>189</v>
      </c>
      <c r="F155" s="376"/>
      <c r="G155" s="376"/>
      <c r="H155" s="376"/>
      <c r="I155" s="376" t="s">
        <v>323</v>
      </c>
      <c r="J155" s="376"/>
    </row>
    <row r="156" spans="1:12" ht="30.75" customHeight="1">
      <c r="A156" s="191" t="s">
        <v>391</v>
      </c>
      <c r="B156" s="191"/>
      <c r="C156" s="247" t="s">
        <v>392</v>
      </c>
      <c r="D156" s="176" t="s">
        <v>49</v>
      </c>
      <c r="E156" s="376" t="s">
        <v>129</v>
      </c>
      <c r="F156" s="376"/>
      <c r="G156" s="376"/>
      <c r="H156" s="376" t="s">
        <v>55</v>
      </c>
      <c r="I156" s="376" t="s">
        <v>10</v>
      </c>
      <c r="J156" s="376"/>
    </row>
    <row r="157" spans="1:12" ht="30.75" customHeight="1">
      <c r="A157" s="178" t="s">
        <v>47</v>
      </c>
      <c r="B157" s="178"/>
      <c r="C157" s="198" t="s">
        <v>393</v>
      </c>
      <c r="D157" s="190" t="s">
        <v>49</v>
      </c>
      <c r="E157" s="377" t="s">
        <v>129</v>
      </c>
      <c r="F157" s="377"/>
      <c r="G157" s="377"/>
      <c r="H157" s="377" t="s">
        <v>55</v>
      </c>
      <c r="I157" s="377"/>
      <c r="J157" s="377"/>
    </row>
    <row r="158" spans="1:12" ht="30.75" customHeight="1">
      <c r="A158" s="248" t="s">
        <v>394</v>
      </c>
      <c r="B158" s="248"/>
      <c r="C158" s="249"/>
      <c r="D158" s="250"/>
      <c r="E158" s="251"/>
      <c r="F158" s="251"/>
      <c r="G158" s="251"/>
      <c r="H158" s="251"/>
      <c r="I158" s="251"/>
      <c r="J158" s="251"/>
    </row>
    <row r="159" spans="1:12" ht="30.75" customHeight="1">
      <c r="A159" s="252" t="s">
        <v>395</v>
      </c>
      <c r="B159" s="252"/>
      <c r="C159" s="184" t="s">
        <v>396</v>
      </c>
      <c r="D159" s="185" t="s">
        <v>150</v>
      </c>
      <c r="E159" s="393" t="s">
        <v>397</v>
      </c>
      <c r="F159" s="393"/>
      <c r="G159" s="378"/>
      <c r="H159" s="378"/>
      <c r="I159" s="389" t="s">
        <v>76</v>
      </c>
      <c r="J159" s="389"/>
      <c r="K159" s="215" t="s">
        <v>398</v>
      </c>
    </row>
    <row r="160" spans="1:12" ht="30.75" customHeight="1">
      <c r="A160" s="253" t="s">
        <v>47</v>
      </c>
      <c r="B160" s="253"/>
      <c r="C160" s="212" t="s">
        <v>399</v>
      </c>
      <c r="D160" s="190" t="s">
        <v>150</v>
      </c>
      <c r="E160" s="377" t="s">
        <v>179</v>
      </c>
      <c r="F160" s="377"/>
      <c r="G160" s="377"/>
      <c r="H160" s="377"/>
      <c r="I160" s="386"/>
      <c r="J160" s="386"/>
    </row>
    <row r="161" spans="1:11" ht="30.75" customHeight="1">
      <c r="A161" s="253" t="s">
        <v>51</v>
      </c>
      <c r="B161" s="253"/>
      <c r="C161" s="212" t="s">
        <v>400</v>
      </c>
      <c r="D161" s="190" t="s">
        <v>150</v>
      </c>
      <c r="E161" s="377" t="s">
        <v>179</v>
      </c>
      <c r="F161" s="377"/>
      <c r="G161" s="377"/>
      <c r="H161" s="377"/>
      <c r="I161" s="386"/>
      <c r="J161" s="386"/>
    </row>
    <row r="162" spans="1:11" ht="30.75" customHeight="1">
      <c r="A162" s="253" t="s">
        <v>167</v>
      </c>
      <c r="B162" s="253"/>
      <c r="C162" s="226" t="s">
        <v>401</v>
      </c>
      <c r="D162" s="190" t="s">
        <v>150</v>
      </c>
      <c r="E162" s="377" t="s">
        <v>179</v>
      </c>
      <c r="F162" s="377"/>
      <c r="G162" s="377"/>
      <c r="H162" s="377"/>
      <c r="I162" s="386"/>
      <c r="J162" s="386"/>
    </row>
    <row r="163" spans="1:11" ht="30.75" customHeight="1">
      <c r="A163" s="253" t="s">
        <v>169</v>
      </c>
      <c r="B163" s="253"/>
      <c r="C163" s="212" t="s">
        <v>402</v>
      </c>
      <c r="D163" s="190" t="s">
        <v>150</v>
      </c>
      <c r="E163" s="377" t="s">
        <v>179</v>
      </c>
      <c r="F163" s="377"/>
      <c r="G163" s="377"/>
      <c r="H163" s="377"/>
      <c r="I163" s="386"/>
      <c r="J163" s="386"/>
    </row>
    <row r="164" spans="1:11" ht="30.75" customHeight="1">
      <c r="A164" s="253" t="s">
        <v>171</v>
      </c>
      <c r="B164" s="253"/>
      <c r="C164" s="212" t="s">
        <v>403</v>
      </c>
      <c r="D164" s="190" t="s">
        <v>150</v>
      </c>
      <c r="E164" s="377" t="s">
        <v>179</v>
      </c>
      <c r="F164" s="377"/>
      <c r="G164" s="377"/>
      <c r="H164" s="377"/>
      <c r="I164" s="386"/>
      <c r="J164" s="386"/>
    </row>
    <row r="165" spans="1:11" ht="30.75" customHeight="1">
      <c r="A165" s="253" t="s">
        <v>58</v>
      </c>
      <c r="B165" s="253"/>
      <c r="C165" s="212" t="s">
        <v>404</v>
      </c>
      <c r="D165" s="190" t="s">
        <v>150</v>
      </c>
      <c r="E165" s="377" t="s">
        <v>179</v>
      </c>
      <c r="F165" s="377"/>
      <c r="G165" s="377"/>
      <c r="H165" s="377"/>
      <c r="I165" s="386"/>
      <c r="J165" s="386"/>
    </row>
    <row r="166" spans="1:11" ht="30.75" customHeight="1">
      <c r="A166" s="253" t="s">
        <v>167</v>
      </c>
      <c r="B166" s="253"/>
      <c r="C166" s="212" t="s">
        <v>405</v>
      </c>
      <c r="D166" s="190" t="s">
        <v>150</v>
      </c>
      <c r="E166" s="377" t="s">
        <v>179</v>
      </c>
      <c r="F166" s="377"/>
      <c r="G166" s="377"/>
      <c r="H166" s="377"/>
      <c r="I166" s="386"/>
      <c r="J166" s="386"/>
    </row>
    <row r="167" spans="1:11" ht="30.75" customHeight="1">
      <c r="A167" s="253" t="s">
        <v>169</v>
      </c>
      <c r="B167" s="253"/>
      <c r="C167" s="226" t="s">
        <v>406</v>
      </c>
      <c r="D167" s="190" t="s">
        <v>150</v>
      </c>
      <c r="E167" s="377" t="s">
        <v>179</v>
      </c>
      <c r="F167" s="377"/>
      <c r="G167" s="377"/>
      <c r="H167" s="377"/>
      <c r="I167" s="386"/>
      <c r="J167" s="386"/>
    </row>
    <row r="168" spans="1:11" ht="30.75" customHeight="1">
      <c r="A168" s="253" t="s">
        <v>171</v>
      </c>
      <c r="B168" s="253"/>
      <c r="C168" s="212" t="s">
        <v>407</v>
      </c>
      <c r="D168" s="190" t="s">
        <v>150</v>
      </c>
      <c r="E168" s="377" t="s">
        <v>179</v>
      </c>
      <c r="F168" s="377"/>
      <c r="G168" s="377"/>
      <c r="H168" s="377"/>
      <c r="I168" s="386"/>
      <c r="J168" s="386"/>
    </row>
    <row r="169" spans="1:11" ht="30.75" customHeight="1">
      <c r="A169" s="253" t="s">
        <v>264</v>
      </c>
      <c r="B169" s="253"/>
      <c r="C169" s="212" t="s">
        <v>408</v>
      </c>
      <c r="D169" s="190" t="s">
        <v>150</v>
      </c>
      <c r="E169" s="377" t="s">
        <v>179</v>
      </c>
      <c r="F169" s="377"/>
      <c r="G169" s="377"/>
      <c r="H169" s="377"/>
      <c r="I169" s="386"/>
      <c r="J169" s="386"/>
    </row>
    <row r="170" spans="1:11" ht="30.75" customHeight="1">
      <c r="A170" s="253" t="s">
        <v>62</v>
      </c>
      <c r="B170" s="253"/>
      <c r="C170" s="212" t="s">
        <v>409</v>
      </c>
      <c r="D170" s="190" t="s">
        <v>150</v>
      </c>
      <c r="E170" s="377" t="s">
        <v>179</v>
      </c>
      <c r="F170" s="377"/>
      <c r="G170" s="377"/>
      <c r="H170" s="377"/>
      <c r="I170" s="386"/>
      <c r="J170" s="386"/>
    </row>
    <row r="171" spans="1:11" ht="30.75" customHeight="1">
      <c r="A171" s="253" t="s">
        <v>67</v>
      </c>
      <c r="B171" s="253"/>
      <c r="C171" s="212" t="s">
        <v>410</v>
      </c>
      <c r="D171" s="190" t="s">
        <v>150</v>
      </c>
      <c r="E171" s="377" t="s">
        <v>179</v>
      </c>
      <c r="F171" s="377"/>
      <c r="G171" s="377"/>
      <c r="H171" s="377"/>
      <c r="I171" s="386"/>
      <c r="J171" s="386"/>
    </row>
    <row r="172" spans="1:11" ht="30.75" customHeight="1">
      <c r="A172" s="252" t="s">
        <v>411</v>
      </c>
      <c r="B172" s="252"/>
      <c r="C172" s="208" t="s">
        <v>412</v>
      </c>
      <c r="D172" s="185" t="s">
        <v>150</v>
      </c>
      <c r="E172" s="378" t="s">
        <v>179</v>
      </c>
      <c r="F172" s="378"/>
      <c r="G172" s="378"/>
      <c r="H172" s="378"/>
      <c r="I172" s="389" t="s">
        <v>65</v>
      </c>
      <c r="J172" s="389"/>
      <c r="K172" s="215" t="s">
        <v>413</v>
      </c>
    </row>
    <row r="173" spans="1:11" ht="30.75" customHeight="1">
      <c r="A173" s="253">
        <v>2.1</v>
      </c>
      <c r="B173" s="253"/>
      <c r="C173" s="212" t="s">
        <v>414</v>
      </c>
      <c r="D173" s="190" t="s">
        <v>150</v>
      </c>
      <c r="E173" s="377" t="s">
        <v>179</v>
      </c>
      <c r="F173" s="377"/>
      <c r="G173" s="377"/>
      <c r="H173" s="377"/>
      <c r="I173" s="386"/>
      <c r="J173" s="386"/>
    </row>
    <row r="174" spans="1:11" ht="30.75" customHeight="1">
      <c r="A174" s="253" t="s">
        <v>415</v>
      </c>
      <c r="B174" s="253"/>
      <c r="C174" s="212" t="s">
        <v>416</v>
      </c>
      <c r="D174" s="190" t="s">
        <v>150</v>
      </c>
      <c r="E174" s="377" t="s">
        <v>179</v>
      </c>
      <c r="F174" s="377"/>
      <c r="G174" s="377"/>
      <c r="H174" s="377"/>
      <c r="I174" s="386"/>
      <c r="J174" s="386"/>
    </row>
    <row r="175" spans="1:11" ht="30.75" customHeight="1">
      <c r="A175" s="253" t="s">
        <v>417</v>
      </c>
      <c r="B175" s="253"/>
      <c r="C175" s="212" t="s">
        <v>418</v>
      </c>
      <c r="D175" s="190" t="s">
        <v>150</v>
      </c>
      <c r="E175" s="377" t="s">
        <v>179</v>
      </c>
      <c r="F175" s="377"/>
      <c r="G175" s="377"/>
      <c r="H175" s="377"/>
      <c r="I175" s="386"/>
      <c r="J175" s="386"/>
    </row>
    <row r="176" spans="1:11" ht="30.75" customHeight="1">
      <c r="A176" s="253" t="s">
        <v>419</v>
      </c>
      <c r="B176" s="253"/>
      <c r="C176" s="180" t="s">
        <v>420</v>
      </c>
      <c r="D176" s="190" t="s">
        <v>150</v>
      </c>
      <c r="E176" s="377" t="s">
        <v>179</v>
      </c>
      <c r="F176" s="377"/>
      <c r="G176" s="377"/>
      <c r="H176" s="377"/>
      <c r="I176" s="386"/>
      <c r="J176" s="386"/>
    </row>
    <row r="177" spans="1:11" ht="30.75" customHeight="1">
      <c r="A177" s="253" t="s">
        <v>421</v>
      </c>
      <c r="B177" s="253"/>
      <c r="C177" s="180" t="s">
        <v>422</v>
      </c>
      <c r="D177" s="190" t="s">
        <v>150</v>
      </c>
      <c r="E177" s="377" t="s">
        <v>179</v>
      </c>
      <c r="F177" s="377"/>
      <c r="G177" s="377"/>
      <c r="H177" s="377"/>
      <c r="I177" s="386"/>
      <c r="J177" s="386"/>
    </row>
    <row r="178" spans="1:11" ht="30.75" customHeight="1">
      <c r="A178" s="253" t="s">
        <v>423</v>
      </c>
      <c r="B178" s="253"/>
      <c r="C178" s="212" t="s">
        <v>424</v>
      </c>
      <c r="D178" s="190" t="s">
        <v>150</v>
      </c>
      <c r="E178" s="377" t="s">
        <v>179</v>
      </c>
      <c r="F178" s="377"/>
      <c r="G178" s="377"/>
      <c r="H178" s="377"/>
      <c r="I178" s="386"/>
      <c r="J178" s="386"/>
    </row>
    <row r="179" spans="1:11" ht="30.75" customHeight="1">
      <c r="A179" s="253">
        <v>2.4</v>
      </c>
      <c r="B179" s="253"/>
      <c r="C179" s="212" t="s">
        <v>425</v>
      </c>
      <c r="D179" s="190" t="s">
        <v>150</v>
      </c>
      <c r="E179" s="377" t="s">
        <v>179</v>
      </c>
      <c r="F179" s="377"/>
      <c r="G179" s="377"/>
      <c r="H179" s="377"/>
      <c r="I179" s="386"/>
      <c r="J179" s="386"/>
    </row>
    <row r="180" spans="1:11" ht="30.75" customHeight="1">
      <c r="A180" s="253" t="s">
        <v>426</v>
      </c>
      <c r="B180" s="253"/>
      <c r="C180" s="180" t="s">
        <v>427</v>
      </c>
      <c r="D180" s="190" t="s">
        <v>150</v>
      </c>
      <c r="E180" s="377" t="s">
        <v>179</v>
      </c>
      <c r="F180" s="377"/>
      <c r="G180" s="377"/>
      <c r="H180" s="377"/>
      <c r="I180" s="386"/>
      <c r="J180" s="386"/>
    </row>
    <row r="181" spans="1:11" ht="30.75" customHeight="1">
      <c r="A181" s="253" t="s">
        <v>428</v>
      </c>
      <c r="B181" s="253"/>
      <c r="C181" s="212" t="s">
        <v>429</v>
      </c>
      <c r="D181" s="190" t="s">
        <v>150</v>
      </c>
      <c r="E181" s="377" t="s">
        <v>179</v>
      </c>
      <c r="F181" s="377"/>
      <c r="G181" s="377"/>
      <c r="H181" s="377"/>
      <c r="I181" s="386"/>
      <c r="J181" s="386"/>
    </row>
    <row r="182" spans="1:11" ht="30.75" customHeight="1">
      <c r="A182" s="253">
        <v>2.5</v>
      </c>
      <c r="B182" s="253"/>
      <c r="C182" s="212" t="s">
        <v>430</v>
      </c>
      <c r="D182" s="190" t="s">
        <v>150</v>
      </c>
      <c r="E182" s="377" t="s">
        <v>179</v>
      </c>
      <c r="F182" s="377"/>
      <c r="G182" s="377"/>
      <c r="H182" s="377"/>
      <c r="I182" s="386"/>
      <c r="J182" s="386"/>
    </row>
    <row r="183" spans="1:11" ht="30.75" customHeight="1">
      <c r="A183" s="253" t="s">
        <v>431</v>
      </c>
      <c r="B183" s="253"/>
      <c r="C183" s="212" t="s">
        <v>432</v>
      </c>
      <c r="D183" s="190" t="s">
        <v>150</v>
      </c>
      <c r="E183" s="377" t="s">
        <v>179</v>
      </c>
      <c r="F183" s="377"/>
      <c r="G183" s="377"/>
      <c r="H183" s="377"/>
      <c r="I183" s="386"/>
      <c r="J183" s="386"/>
    </row>
    <row r="184" spans="1:11" ht="30.75" customHeight="1">
      <c r="A184" s="253" t="s">
        <v>433</v>
      </c>
      <c r="B184" s="253"/>
      <c r="C184" s="212" t="s">
        <v>434</v>
      </c>
      <c r="D184" s="190" t="s">
        <v>150</v>
      </c>
      <c r="E184" s="377" t="s">
        <v>179</v>
      </c>
      <c r="F184" s="377"/>
      <c r="G184" s="377"/>
      <c r="H184" s="377"/>
      <c r="I184" s="386"/>
      <c r="J184" s="386"/>
    </row>
    <row r="185" spans="1:11" ht="30.75" customHeight="1">
      <c r="A185" s="253" t="s">
        <v>435</v>
      </c>
      <c r="B185" s="253"/>
      <c r="C185" s="212" t="s">
        <v>436</v>
      </c>
      <c r="D185" s="190" t="s">
        <v>150</v>
      </c>
      <c r="E185" s="377" t="s">
        <v>179</v>
      </c>
      <c r="F185" s="377"/>
      <c r="G185" s="377"/>
      <c r="H185" s="377"/>
      <c r="I185" s="386"/>
      <c r="J185" s="386"/>
    </row>
    <row r="186" spans="1:11" ht="30.75" customHeight="1">
      <c r="A186" s="253" t="s">
        <v>437</v>
      </c>
      <c r="B186" s="253"/>
      <c r="C186" s="212" t="s">
        <v>438</v>
      </c>
      <c r="D186" s="190" t="s">
        <v>150</v>
      </c>
      <c r="E186" s="377" t="s">
        <v>179</v>
      </c>
      <c r="F186" s="377"/>
      <c r="G186" s="377"/>
      <c r="H186" s="377"/>
      <c r="I186" s="386"/>
      <c r="J186" s="386"/>
    </row>
    <row r="187" spans="1:11" ht="30.75" customHeight="1">
      <c r="A187" s="253" t="s">
        <v>439</v>
      </c>
      <c r="B187" s="253"/>
      <c r="C187" s="180" t="s">
        <v>440</v>
      </c>
      <c r="D187" s="190" t="s">
        <v>150</v>
      </c>
      <c r="E187" s="377" t="s">
        <v>179</v>
      </c>
      <c r="F187" s="377"/>
      <c r="G187" s="377"/>
      <c r="H187" s="377"/>
      <c r="I187" s="386"/>
      <c r="J187" s="386"/>
    </row>
    <row r="188" spans="1:11" ht="30.75" customHeight="1">
      <c r="A188" s="252" t="s">
        <v>441</v>
      </c>
      <c r="B188" s="252"/>
      <c r="C188" s="184" t="s">
        <v>442</v>
      </c>
      <c r="D188" s="185" t="s">
        <v>150</v>
      </c>
      <c r="E188" s="378" t="s">
        <v>193</v>
      </c>
      <c r="F188" s="378"/>
      <c r="G188" s="378"/>
      <c r="H188" s="378"/>
      <c r="I188" s="389" t="s">
        <v>443</v>
      </c>
      <c r="J188" s="389"/>
      <c r="K188" s="215" t="s">
        <v>444</v>
      </c>
    </row>
    <row r="189" spans="1:11" ht="30.75" customHeight="1">
      <c r="A189" s="253" t="s">
        <v>47</v>
      </c>
      <c r="B189" s="253"/>
      <c r="C189" s="212" t="s">
        <v>445</v>
      </c>
      <c r="D189" s="190" t="s">
        <v>150</v>
      </c>
      <c r="E189" s="377" t="s">
        <v>193</v>
      </c>
      <c r="F189" s="377"/>
      <c r="G189" s="377"/>
      <c r="H189" s="377"/>
      <c r="I189" s="386"/>
      <c r="J189" s="386"/>
    </row>
    <row r="190" spans="1:11" ht="30.75" customHeight="1">
      <c r="A190" s="253" t="s">
        <v>167</v>
      </c>
      <c r="B190" s="253"/>
      <c r="C190" s="212" t="s">
        <v>446</v>
      </c>
      <c r="D190" s="190" t="s">
        <v>150</v>
      </c>
      <c r="E190" s="377" t="s">
        <v>193</v>
      </c>
      <c r="F190" s="377"/>
      <c r="G190" s="377"/>
      <c r="H190" s="377"/>
      <c r="I190" s="386"/>
      <c r="J190" s="386"/>
    </row>
    <row r="191" spans="1:11" ht="30.75" customHeight="1">
      <c r="A191" s="253" t="s">
        <v>169</v>
      </c>
      <c r="B191" s="253"/>
      <c r="C191" s="212" t="s">
        <v>447</v>
      </c>
      <c r="D191" s="190" t="s">
        <v>150</v>
      </c>
      <c r="E191" s="377" t="s">
        <v>193</v>
      </c>
      <c r="F191" s="377"/>
      <c r="G191" s="377"/>
      <c r="H191" s="377"/>
      <c r="I191" s="386"/>
      <c r="J191" s="386"/>
    </row>
    <row r="192" spans="1:11" ht="37.5" customHeight="1">
      <c r="A192" s="253" t="s">
        <v>51</v>
      </c>
      <c r="B192" s="253"/>
      <c r="C192" s="212" t="s">
        <v>448</v>
      </c>
      <c r="D192" s="190" t="s">
        <v>150</v>
      </c>
      <c r="E192" s="377" t="s">
        <v>179</v>
      </c>
      <c r="F192" s="377"/>
      <c r="G192" s="377"/>
      <c r="H192" s="377"/>
      <c r="I192" s="386"/>
      <c r="J192" s="386"/>
    </row>
    <row r="193" spans="1:12" ht="60.75" customHeight="1">
      <c r="A193" s="253" t="s">
        <v>167</v>
      </c>
      <c r="B193" s="253"/>
      <c r="C193" s="212" t="s">
        <v>449</v>
      </c>
      <c r="D193" s="190" t="s">
        <v>150</v>
      </c>
      <c r="E193" s="377" t="s">
        <v>179</v>
      </c>
      <c r="F193" s="377"/>
      <c r="G193" s="377"/>
      <c r="H193" s="377"/>
      <c r="I193" s="386"/>
      <c r="J193" s="386"/>
    </row>
    <row r="194" spans="1:12" ht="30.75" customHeight="1">
      <c r="A194" s="253" t="s">
        <v>169</v>
      </c>
      <c r="B194" s="253"/>
      <c r="C194" s="212" t="s">
        <v>450</v>
      </c>
      <c r="D194" s="190" t="s">
        <v>150</v>
      </c>
      <c r="E194" s="377" t="s">
        <v>179</v>
      </c>
      <c r="F194" s="377"/>
      <c r="G194" s="377"/>
      <c r="H194" s="377"/>
      <c r="I194" s="386"/>
      <c r="J194" s="386"/>
    </row>
    <row r="195" spans="1:12" ht="30.75" customHeight="1">
      <c r="A195" s="253" t="s">
        <v>171</v>
      </c>
      <c r="B195" s="253"/>
      <c r="C195" s="212" t="s">
        <v>451</v>
      </c>
      <c r="D195" s="190" t="s">
        <v>150</v>
      </c>
      <c r="E195" s="377" t="s">
        <v>179</v>
      </c>
      <c r="F195" s="377"/>
      <c r="G195" s="377"/>
      <c r="H195" s="377"/>
      <c r="I195" s="386"/>
      <c r="J195" s="386"/>
    </row>
    <row r="196" spans="1:12" ht="30.75" customHeight="1">
      <c r="A196" s="253" t="s">
        <v>58</v>
      </c>
      <c r="B196" s="253"/>
      <c r="C196" s="212" t="s">
        <v>452</v>
      </c>
      <c r="D196" s="190" t="s">
        <v>150</v>
      </c>
      <c r="E196" s="377" t="s">
        <v>193</v>
      </c>
      <c r="F196" s="377"/>
      <c r="G196" s="377"/>
      <c r="H196" s="377"/>
      <c r="I196" s="386"/>
      <c r="J196" s="386"/>
    </row>
    <row r="197" spans="1:12" ht="30.75" customHeight="1">
      <c r="A197" s="253" t="s">
        <v>62</v>
      </c>
      <c r="B197" s="253"/>
      <c r="C197" s="212" t="s">
        <v>453</v>
      </c>
      <c r="D197" s="190" t="s">
        <v>150</v>
      </c>
      <c r="E197" s="377" t="s">
        <v>193</v>
      </c>
      <c r="F197" s="377"/>
      <c r="G197" s="377"/>
      <c r="H197" s="377"/>
      <c r="I197" s="386"/>
      <c r="J197" s="386"/>
    </row>
    <row r="198" spans="1:12" ht="30.75" customHeight="1">
      <c r="A198" s="252" t="s">
        <v>454</v>
      </c>
      <c r="B198" s="252"/>
      <c r="C198" s="184" t="s">
        <v>455</v>
      </c>
      <c r="D198" s="185" t="s">
        <v>150</v>
      </c>
      <c r="E198" s="378" t="s">
        <v>151</v>
      </c>
      <c r="F198" s="378"/>
      <c r="G198" s="378"/>
      <c r="H198" s="378"/>
      <c r="I198" s="389" t="s">
        <v>456</v>
      </c>
      <c r="J198" s="389"/>
      <c r="K198" s="215" t="s">
        <v>457</v>
      </c>
      <c r="L198" s="215" t="s">
        <v>458</v>
      </c>
    </row>
    <row r="199" spans="1:12" ht="30.75" customHeight="1">
      <c r="A199" s="253" t="s">
        <v>47</v>
      </c>
      <c r="B199" s="253"/>
      <c r="C199" s="180" t="s">
        <v>459</v>
      </c>
      <c r="D199" s="190" t="s">
        <v>150</v>
      </c>
      <c r="E199" s="377" t="s">
        <v>151</v>
      </c>
      <c r="F199" s="377"/>
      <c r="G199" s="377"/>
      <c r="H199" s="377"/>
      <c r="I199" s="386"/>
      <c r="J199" s="386"/>
    </row>
    <row r="200" spans="1:12" ht="30.75" customHeight="1">
      <c r="A200" s="253" t="s">
        <v>167</v>
      </c>
      <c r="B200" s="253"/>
      <c r="C200" s="180" t="s">
        <v>460</v>
      </c>
      <c r="D200" s="190" t="s">
        <v>150</v>
      </c>
      <c r="E200" s="377" t="s">
        <v>151</v>
      </c>
      <c r="F200" s="377"/>
      <c r="G200" s="377"/>
      <c r="H200" s="377"/>
      <c r="I200" s="386"/>
      <c r="J200" s="386"/>
    </row>
    <row r="201" spans="1:12" ht="30.75" customHeight="1">
      <c r="A201" s="253" t="s">
        <v>169</v>
      </c>
      <c r="B201" s="253"/>
      <c r="C201" s="180" t="s">
        <v>461</v>
      </c>
      <c r="D201" s="190" t="s">
        <v>150</v>
      </c>
      <c r="E201" s="377" t="s">
        <v>151</v>
      </c>
      <c r="F201" s="377"/>
      <c r="G201" s="377"/>
      <c r="H201" s="377"/>
      <c r="I201" s="386"/>
      <c r="J201" s="386"/>
    </row>
    <row r="202" spans="1:12" ht="30.75" customHeight="1">
      <c r="A202" s="253" t="s">
        <v>171</v>
      </c>
      <c r="B202" s="253"/>
      <c r="C202" s="180" t="s">
        <v>462</v>
      </c>
      <c r="D202" s="190" t="s">
        <v>150</v>
      </c>
      <c r="E202" s="377" t="s">
        <v>151</v>
      </c>
      <c r="F202" s="377"/>
      <c r="G202" s="377"/>
      <c r="H202" s="377"/>
      <c r="I202" s="386"/>
      <c r="J202" s="386"/>
    </row>
    <row r="203" spans="1:12" ht="30.75" customHeight="1">
      <c r="A203" s="253" t="s">
        <v>51</v>
      </c>
      <c r="B203" s="253"/>
      <c r="C203" s="180" t="s">
        <v>463</v>
      </c>
      <c r="D203" s="190" t="s">
        <v>150</v>
      </c>
      <c r="E203" s="377" t="s">
        <v>151</v>
      </c>
      <c r="F203" s="377"/>
      <c r="G203" s="377"/>
      <c r="H203" s="377"/>
      <c r="I203" s="386"/>
      <c r="J203" s="386"/>
    </row>
    <row r="204" spans="1:12" ht="30.75" customHeight="1">
      <c r="A204" s="253" t="s">
        <v>167</v>
      </c>
      <c r="B204" s="253"/>
      <c r="C204" s="207" t="s">
        <v>464</v>
      </c>
      <c r="D204" s="190" t="s">
        <v>150</v>
      </c>
      <c r="E204" s="377" t="s">
        <v>151</v>
      </c>
      <c r="F204" s="377"/>
      <c r="G204" s="377"/>
      <c r="H204" s="377"/>
      <c r="I204" s="386"/>
      <c r="J204" s="386"/>
    </row>
    <row r="205" spans="1:12" ht="30.75" customHeight="1">
      <c r="A205" s="253" t="s">
        <v>169</v>
      </c>
      <c r="B205" s="253"/>
      <c r="C205" s="207" t="s">
        <v>465</v>
      </c>
      <c r="D205" s="190" t="s">
        <v>150</v>
      </c>
      <c r="E205" s="377" t="s">
        <v>151</v>
      </c>
      <c r="F205" s="377"/>
      <c r="G205" s="377"/>
      <c r="H205" s="377"/>
      <c r="I205" s="386"/>
      <c r="J205" s="386"/>
    </row>
    <row r="206" spans="1:12" ht="30.75" customHeight="1">
      <c r="A206" s="253" t="s">
        <v>171</v>
      </c>
      <c r="B206" s="253"/>
      <c r="C206" s="207" t="s">
        <v>466</v>
      </c>
      <c r="D206" s="190" t="s">
        <v>150</v>
      </c>
      <c r="E206" s="377" t="s">
        <v>151</v>
      </c>
      <c r="F206" s="377"/>
      <c r="G206" s="377"/>
      <c r="H206" s="377"/>
      <c r="I206" s="386"/>
      <c r="J206" s="386"/>
    </row>
    <row r="207" spans="1:12" ht="30.75" customHeight="1">
      <c r="A207" s="253" t="s">
        <v>264</v>
      </c>
      <c r="B207" s="253"/>
      <c r="C207" s="207" t="s">
        <v>467</v>
      </c>
      <c r="D207" s="190" t="s">
        <v>150</v>
      </c>
      <c r="E207" s="377" t="s">
        <v>151</v>
      </c>
      <c r="F207" s="377"/>
      <c r="G207" s="377"/>
      <c r="H207" s="377"/>
      <c r="I207" s="386"/>
      <c r="J207" s="386"/>
    </row>
    <row r="208" spans="1:12" ht="30.75" customHeight="1">
      <c r="A208" s="253" t="s">
        <v>266</v>
      </c>
      <c r="B208" s="253"/>
      <c r="C208" s="207" t="s">
        <v>468</v>
      </c>
      <c r="D208" s="190" t="s">
        <v>150</v>
      </c>
      <c r="E208" s="377" t="s">
        <v>151</v>
      </c>
      <c r="F208" s="377"/>
      <c r="G208" s="377"/>
      <c r="H208" s="377"/>
      <c r="I208" s="386"/>
      <c r="J208" s="386"/>
    </row>
    <row r="209" spans="1:11" ht="30.75" customHeight="1">
      <c r="A209" s="253" t="s">
        <v>58</v>
      </c>
      <c r="B209" s="253"/>
      <c r="C209" s="207" t="s">
        <v>469</v>
      </c>
      <c r="D209" s="190" t="s">
        <v>150</v>
      </c>
      <c r="E209" s="377" t="s">
        <v>151</v>
      </c>
      <c r="F209" s="377"/>
      <c r="G209" s="377"/>
      <c r="H209" s="377"/>
      <c r="I209" s="386"/>
      <c r="J209" s="386"/>
    </row>
    <row r="210" spans="1:11" ht="30.75" customHeight="1">
      <c r="A210" s="253" t="s">
        <v>167</v>
      </c>
      <c r="B210" s="253"/>
      <c r="C210" s="207" t="s">
        <v>470</v>
      </c>
      <c r="D210" s="190" t="s">
        <v>150</v>
      </c>
      <c r="E210" s="377" t="s">
        <v>151</v>
      </c>
      <c r="F210" s="377"/>
      <c r="G210" s="377"/>
      <c r="H210" s="377"/>
      <c r="I210" s="386"/>
      <c r="J210" s="386"/>
    </row>
    <row r="211" spans="1:11" ht="30.75" customHeight="1">
      <c r="A211" s="253" t="s">
        <v>169</v>
      </c>
      <c r="B211" s="253"/>
      <c r="C211" s="207" t="s">
        <v>471</v>
      </c>
      <c r="D211" s="190" t="s">
        <v>150</v>
      </c>
      <c r="E211" s="377" t="s">
        <v>151</v>
      </c>
      <c r="F211" s="377"/>
      <c r="G211" s="377"/>
      <c r="H211" s="377"/>
      <c r="I211" s="386"/>
      <c r="J211" s="386"/>
    </row>
    <row r="212" spans="1:11" ht="30.75" customHeight="1">
      <c r="A212" s="253" t="s">
        <v>171</v>
      </c>
      <c r="B212" s="253"/>
      <c r="C212" s="207" t="s">
        <v>472</v>
      </c>
      <c r="D212" s="190" t="s">
        <v>150</v>
      </c>
      <c r="E212" s="377" t="s">
        <v>151</v>
      </c>
      <c r="F212" s="377"/>
      <c r="G212" s="377"/>
      <c r="H212" s="377"/>
      <c r="I212" s="386"/>
      <c r="J212" s="386"/>
    </row>
    <row r="213" spans="1:11" ht="30.75" customHeight="1">
      <c r="A213" s="252" t="s">
        <v>473</v>
      </c>
      <c r="B213" s="252"/>
      <c r="C213" s="184" t="s">
        <v>474</v>
      </c>
      <c r="D213" s="185" t="s">
        <v>150</v>
      </c>
      <c r="E213" s="378" t="s">
        <v>151</v>
      </c>
      <c r="F213" s="378"/>
      <c r="G213" s="378"/>
      <c r="H213" s="378"/>
      <c r="I213" s="389" t="s">
        <v>20</v>
      </c>
      <c r="J213" s="389"/>
      <c r="K213" s="215" t="s">
        <v>475</v>
      </c>
    </row>
    <row r="214" spans="1:11" ht="30.75" customHeight="1">
      <c r="A214" s="253" t="s">
        <v>47</v>
      </c>
      <c r="B214" s="253"/>
      <c r="C214" s="212" t="s">
        <v>476</v>
      </c>
      <c r="D214" s="190"/>
      <c r="E214" s="377"/>
      <c r="F214" s="377"/>
      <c r="G214" s="377"/>
      <c r="H214" s="377"/>
      <c r="I214" s="386"/>
      <c r="J214" s="386"/>
    </row>
    <row r="215" spans="1:11" ht="30.75" customHeight="1">
      <c r="A215" s="253" t="s">
        <v>51</v>
      </c>
      <c r="B215" s="253"/>
      <c r="C215" s="212" t="s">
        <v>477</v>
      </c>
      <c r="D215" s="190"/>
      <c r="E215" s="377"/>
      <c r="F215" s="377"/>
      <c r="G215" s="377"/>
      <c r="H215" s="377"/>
      <c r="I215" s="386"/>
      <c r="J215" s="386"/>
    </row>
    <row r="216" spans="1:11" ht="30.75" customHeight="1">
      <c r="A216" s="253" t="s">
        <v>58</v>
      </c>
      <c r="B216" s="253"/>
      <c r="C216" s="212" t="s">
        <v>478</v>
      </c>
      <c r="D216" s="190"/>
      <c r="E216" s="377"/>
      <c r="F216" s="377"/>
      <c r="G216" s="377"/>
      <c r="H216" s="377"/>
      <c r="I216" s="386"/>
      <c r="J216" s="386"/>
    </row>
    <row r="217" spans="1:11" ht="30.75" customHeight="1">
      <c r="A217" s="253" t="s">
        <v>62</v>
      </c>
      <c r="B217" s="253"/>
      <c r="C217" s="212" t="s">
        <v>479</v>
      </c>
      <c r="D217" s="190"/>
      <c r="E217" s="377"/>
      <c r="F217" s="377"/>
      <c r="G217" s="377"/>
      <c r="H217" s="377"/>
      <c r="I217" s="386"/>
      <c r="J217" s="386"/>
    </row>
    <row r="218" spans="1:11" ht="30.75" customHeight="1">
      <c r="A218" s="253" t="s">
        <v>67</v>
      </c>
      <c r="B218" s="253"/>
      <c r="C218" s="212" t="s">
        <v>480</v>
      </c>
      <c r="D218" s="190"/>
      <c r="E218" s="377"/>
      <c r="F218" s="377"/>
      <c r="G218" s="377"/>
      <c r="H218" s="377"/>
      <c r="I218" s="386"/>
      <c r="J218" s="386"/>
    </row>
    <row r="219" spans="1:11" ht="30.75" customHeight="1">
      <c r="A219" s="253" t="s">
        <v>70</v>
      </c>
      <c r="B219" s="253"/>
      <c r="C219" s="212" t="s">
        <v>481</v>
      </c>
      <c r="D219" s="190"/>
      <c r="E219" s="377"/>
      <c r="F219" s="377"/>
      <c r="G219" s="377"/>
      <c r="H219" s="377"/>
      <c r="I219" s="386"/>
      <c r="J219" s="386"/>
    </row>
    <row r="220" spans="1:11" ht="30.75" customHeight="1">
      <c r="A220" s="254"/>
      <c r="B220" s="254"/>
      <c r="C220" s="255"/>
      <c r="D220" s="256"/>
      <c r="E220" s="251"/>
      <c r="F220" s="251"/>
      <c r="G220" s="251"/>
      <c r="H220" s="251"/>
      <c r="I220" s="251"/>
      <c r="J220" s="251"/>
    </row>
    <row r="221" spans="1:11" ht="30.75" customHeight="1">
      <c r="A221" s="257"/>
      <c r="B221" s="257"/>
      <c r="C221" s="258" t="s">
        <v>482</v>
      </c>
      <c r="D221" s="259"/>
      <c r="E221" s="259"/>
      <c r="F221" s="259"/>
      <c r="G221" s="259"/>
      <c r="H221" s="259"/>
      <c r="I221" s="259"/>
      <c r="J221" s="259"/>
    </row>
    <row r="222" spans="1:11" ht="30.75" customHeight="1">
      <c r="A222" s="257"/>
      <c r="B222" s="257"/>
      <c r="C222" s="260" t="s">
        <v>483</v>
      </c>
      <c r="D222" s="259"/>
      <c r="E222" s="259"/>
      <c r="F222" s="259"/>
      <c r="G222" s="259"/>
      <c r="H222" s="259"/>
      <c r="I222" s="259"/>
      <c r="J222" s="259"/>
    </row>
    <row r="223" spans="1:11" ht="30.75" customHeight="1">
      <c r="A223" s="261"/>
      <c r="B223" s="261"/>
      <c r="C223" s="207" t="s">
        <v>484</v>
      </c>
      <c r="D223" s="262"/>
      <c r="E223" s="262"/>
      <c r="F223" s="262"/>
      <c r="G223" s="262"/>
      <c r="H223" s="262"/>
      <c r="I223" s="262"/>
      <c r="J223" s="262"/>
    </row>
    <row r="224" spans="1:11" ht="30.75" customHeight="1">
      <c r="A224" s="261"/>
      <c r="B224" s="261"/>
      <c r="C224" s="207" t="s">
        <v>485</v>
      </c>
      <c r="D224" s="262"/>
      <c r="E224" s="262"/>
      <c r="F224" s="262"/>
      <c r="G224" s="262"/>
      <c r="H224" s="262"/>
      <c r="I224" s="262"/>
      <c r="J224" s="262"/>
    </row>
    <row r="225" spans="1:10" ht="30.75" customHeight="1">
      <c r="A225" s="261"/>
      <c r="B225" s="261"/>
      <c r="C225" s="207" t="s">
        <v>486</v>
      </c>
      <c r="D225" s="262"/>
      <c r="E225" s="262"/>
      <c r="F225" s="262"/>
      <c r="G225" s="262"/>
      <c r="H225" s="262"/>
      <c r="I225" s="262"/>
      <c r="J225" s="262"/>
    </row>
    <row r="226" spans="1:10" ht="30.75" customHeight="1">
      <c r="A226" s="261"/>
      <c r="B226" s="261"/>
      <c r="C226" s="207" t="s">
        <v>487</v>
      </c>
      <c r="D226" s="262"/>
      <c r="E226" s="262"/>
      <c r="F226" s="262"/>
      <c r="G226" s="262"/>
      <c r="H226" s="262"/>
      <c r="I226" s="262"/>
      <c r="J226" s="262"/>
    </row>
    <row r="227" spans="1:10" ht="30.75" customHeight="1">
      <c r="A227" s="261"/>
      <c r="B227" s="261"/>
      <c r="C227" s="207" t="s">
        <v>488</v>
      </c>
      <c r="D227" s="262"/>
      <c r="E227" s="262"/>
      <c r="F227" s="262"/>
      <c r="G227" s="262"/>
      <c r="H227" s="262"/>
      <c r="I227" s="262"/>
      <c r="J227" s="262"/>
    </row>
    <row r="228" spans="1:10" ht="30.75" customHeight="1">
      <c r="A228" s="261"/>
      <c r="B228" s="261"/>
      <c r="C228" s="262"/>
      <c r="D228" s="262"/>
      <c r="E228" s="262"/>
      <c r="F228" s="262"/>
      <c r="G228" s="262"/>
      <c r="H228" s="262"/>
      <c r="I228" s="262"/>
      <c r="J228" s="262"/>
    </row>
    <row r="229" spans="1:10" ht="30.75" customHeight="1">
      <c r="A229" s="261"/>
      <c r="B229" s="261"/>
      <c r="C229" s="262"/>
      <c r="D229" s="262"/>
      <c r="E229" s="262"/>
      <c r="F229" s="262"/>
      <c r="G229" s="262"/>
      <c r="H229" s="262"/>
      <c r="I229" s="262"/>
      <c r="J229" s="262"/>
    </row>
  </sheetData>
  <autoFilter ref="A16:J219"/>
  <mergeCells count="421">
    <mergeCell ref="L118:L123"/>
    <mergeCell ref="L142:L148"/>
    <mergeCell ref="A8:C9"/>
    <mergeCell ref="L19:L22"/>
    <mergeCell ref="L26:L30"/>
    <mergeCell ref="L32:L40"/>
    <mergeCell ref="L41:L44"/>
    <mergeCell ref="L45:L70"/>
    <mergeCell ref="L73:L92"/>
    <mergeCell ref="L93:L98"/>
    <mergeCell ref="L99:L102"/>
    <mergeCell ref="L109:L115"/>
    <mergeCell ref="E146:H146"/>
    <mergeCell ref="I146:J146"/>
    <mergeCell ref="E147:H147"/>
    <mergeCell ref="I147:J147"/>
    <mergeCell ref="E148:H148"/>
    <mergeCell ref="I148:J148"/>
    <mergeCell ref="E136:H136"/>
    <mergeCell ref="I136:J136"/>
    <mergeCell ref="E137:H137"/>
    <mergeCell ref="I137:J137"/>
    <mergeCell ref="E138:H138"/>
    <mergeCell ref="I138:J138"/>
    <mergeCell ref="E217:H217"/>
    <mergeCell ref="I217:J217"/>
    <mergeCell ref="E218:H218"/>
    <mergeCell ref="I218:J218"/>
    <mergeCell ref="E219:H219"/>
    <mergeCell ref="I219:J219"/>
    <mergeCell ref="I8:I9"/>
    <mergeCell ref="J8:J9"/>
    <mergeCell ref="K33:K35"/>
    <mergeCell ref="K85:K92"/>
    <mergeCell ref="E212:H212"/>
    <mergeCell ref="I212:J212"/>
    <mergeCell ref="E213:H213"/>
    <mergeCell ref="I213:J213"/>
    <mergeCell ref="E214:H214"/>
    <mergeCell ref="I214:J214"/>
    <mergeCell ref="E215:H215"/>
    <mergeCell ref="I215:J215"/>
    <mergeCell ref="E216:H216"/>
    <mergeCell ref="I216:J216"/>
    <mergeCell ref="E207:H207"/>
    <mergeCell ref="I207:J207"/>
    <mergeCell ref="E208:H208"/>
    <mergeCell ref="I208:J208"/>
    <mergeCell ref="E209:H209"/>
    <mergeCell ref="I209:J209"/>
    <mergeCell ref="E210:H210"/>
    <mergeCell ref="I210:J210"/>
    <mergeCell ref="E211:H211"/>
    <mergeCell ref="I211:J211"/>
    <mergeCell ref="E202:H202"/>
    <mergeCell ref="I202:J202"/>
    <mergeCell ref="E203:H203"/>
    <mergeCell ref="I203:J203"/>
    <mergeCell ref="E204:H204"/>
    <mergeCell ref="I204:J204"/>
    <mergeCell ref="E205:H205"/>
    <mergeCell ref="I205:J205"/>
    <mergeCell ref="E206:H206"/>
    <mergeCell ref="I206:J206"/>
    <mergeCell ref="E197:H197"/>
    <mergeCell ref="I197:J197"/>
    <mergeCell ref="E198:H198"/>
    <mergeCell ref="I198:J198"/>
    <mergeCell ref="E199:H199"/>
    <mergeCell ref="I199:J199"/>
    <mergeCell ref="E200:H200"/>
    <mergeCell ref="I200:J200"/>
    <mergeCell ref="E201:H201"/>
    <mergeCell ref="I201:J201"/>
    <mergeCell ref="E192:H192"/>
    <mergeCell ref="I192:J192"/>
    <mergeCell ref="E193:H193"/>
    <mergeCell ref="I193:J193"/>
    <mergeCell ref="E194:H194"/>
    <mergeCell ref="I194:J194"/>
    <mergeCell ref="E195:H195"/>
    <mergeCell ref="I195:J195"/>
    <mergeCell ref="E196:H196"/>
    <mergeCell ref="I196:J196"/>
    <mergeCell ref="E187:H187"/>
    <mergeCell ref="I187:J187"/>
    <mergeCell ref="E188:H188"/>
    <mergeCell ref="I188:J188"/>
    <mergeCell ref="E189:H189"/>
    <mergeCell ref="I189:J189"/>
    <mergeCell ref="E190:H190"/>
    <mergeCell ref="I190:J190"/>
    <mergeCell ref="E191:H191"/>
    <mergeCell ref="I191:J191"/>
    <mergeCell ref="E182:H182"/>
    <mergeCell ref="I182:J182"/>
    <mergeCell ref="E183:H183"/>
    <mergeCell ref="I183:J183"/>
    <mergeCell ref="E184:H184"/>
    <mergeCell ref="I184:J184"/>
    <mergeCell ref="E185:H185"/>
    <mergeCell ref="I185:J185"/>
    <mergeCell ref="E186:H186"/>
    <mergeCell ref="I186:J186"/>
    <mergeCell ref="E177:H177"/>
    <mergeCell ref="I177:J177"/>
    <mergeCell ref="E178:H178"/>
    <mergeCell ref="I178:J178"/>
    <mergeCell ref="E179:H179"/>
    <mergeCell ref="I179:J179"/>
    <mergeCell ref="E180:H180"/>
    <mergeCell ref="I180:J180"/>
    <mergeCell ref="E181:H181"/>
    <mergeCell ref="I181:J181"/>
    <mergeCell ref="E172:H172"/>
    <mergeCell ref="I172:J172"/>
    <mergeCell ref="E173:H173"/>
    <mergeCell ref="I173:J173"/>
    <mergeCell ref="E174:H174"/>
    <mergeCell ref="I174:J174"/>
    <mergeCell ref="E175:H175"/>
    <mergeCell ref="I175:J175"/>
    <mergeCell ref="E176:H176"/>
    <mergeCell ref="I176:J176"/>
    <mergeCell ref="E167:H167"/>
    <mergeCell ref="I167:J167"/>
    <mergeCell ref="E168:H168"/>
    <mergeCell ref="I168:J168"/>
    <mergeCell ref="E169:H169"/>
    <mergeCell ref="I169:J169"/>
    <mergeCell ref="E170:H170"/>
    <mergeCell ref="I170:J170"/>
    <mergeCell ref="E171:H171"/>
    <mergeCell ref="I171:J171"/>
    <mergeCell ref="E162:H162"/>
    <mergeCell ref="I162:J162"/>
    <mergeCell ref="E163:H163"/>
    <mergeCell ref="I163:J163"/>
    <mergeCell ref="E164:H164"/>
    <mergeCell ref="I164:J164"/>
    <mergeCell ref="E165:H165"/>
    <mergeCell ref="I165:J165"/>
    <mergeCell ref="E166:H166"/>
    <mergeCell ref="I166:J166"/>
    <mergeCell ref="E156:H156"/>
    <mergeCell ref="I156:J156"/>
    <mergeCell ref="E157:H157"/>
    <mergeCell ref="I157:J157"/>
    <mergeCell ref="E159:H159"/>
    <mergeCell ref="I159:J159"/>
    <mergeCell ref="E160:H160"/>
    <mergeCell ref="I160:J160"/>
    <mergeCell ref="E161:H161"/>
    <mergeCell ref="I161:J161"/>
    <mergeCell ref="E151:H151"/>
    <mergeCell ref="I151:J151"/>
    <mergeCell ref="E152:H152"/>
    <mergeCell ref="I152:J152"/>
    <mergeCell ref="E153:H153"/>
    <mergeCell ref="I153:J153"/>
    <mergeCell ref="E154:H154"/>
    <mergeCell ref="I154:J154"/>
    <mergeCell ref="E155:H155"/>
    <mergeCell ref="I155:J155"/>
    <mergeCell ref="E149:H149"/>
    <mergeCell ref="I149:J149"/>
    <mergeCell ref="E150:H150"/>
    <mergeCell ref="I150:J150"/>
    <mergeCell ref="E141:H141"/>
    <mergeCell ref="I141:J141"/>
    <mergeCell ref="E142:H142"/>
    <mergeCell ref="I142:J142"/>
    <mergeCell ref="E143:H143"/>
    <mergeCell ref="I143:J143"/>
    <mergeCell ref="E144:H144"/>
    <mergeCell ref="I144:J144"/>
    <mergeCell ref="E145:H145"/>
    <mergeCell ref="I145:J145"/>
    <mergeCell ref="E139:H139"/>
    <mergeCell ref="I139:J139"/>
    <mergeCell ref="E140:H140"/>
    <mergeCell ref="I140:J140"/>
    <mergeCell ref="E125:H125"/>
    <mergeCell ref="I125:J125"/>
    <mergeCell ref="E126:H126"/>
    <mergeCell ref="I126:J126"/>
    <mergeCell ref="E127:H127"/>
    <mergeCell ref="I127:J127"/>
    <mergeCell ref="E128:H128"/>
    <mergeCell ref="I128:J128"/>
    <mergeCell ref="E135:H135"/>
    <mergeCell ref="I135:J135"/>
    <mergeCell ref="E120:H120"/>
    <mergeCell ref="I120:J120"/>
    <mergeCell ref="E121:H121"/>
    <mergeCell ref="I121:J121"/>
    <mergeCell ref="E122:H122"/>
    <mergeCell ref="I122:J122"/>
    <mergeCell ref="E123:H123"/>
    <mergeCell ref="I123:J123"/>
    <mergeCell ref="E124:H124"/>
    <mergeCell ref="I124:J124"/>
    <mergeCell ref="E114:H114"/>
    <mergeCell ref="I114:J114"/>
    <mergeCell ref="E115:H115"/>
    <mergeCell ref="I115:J115"/>
    <mergeCell ref="E116:H116"/>
    <mergeCell ref="I116:J116"/>
    <mergeCell ref="E118:H118"/>
    <mergeCell ref="I118:J118"/>
    <mergeCell ref="E119:H119"/>
    <mergeCell ref="I119:J119"/>
    <mergeCell ref="E109:H109"/>
    <mergeCell ref="I109:J109"/>
    <mergeCell ref="E110:H110"/>
    <mergeCell ref="I110:J110"/>
    <mergeCell ref="E111:H111"/>
    <mergeCell ref="I111:J111"/>
    <mergeCell ref="E112:H112"/>
    <mergeCell ref="I112:J112"/>
    <mergeCell ref="E113:H113"/>
    <mergeCell ref="I113:J113"/>
    <mergeCell ref="E104:H104"/>
    <mergeCell ref="I104:J104"/>
    <mergeCell ref="E105:H105"/>
    <mergeCell ref="I105:J105"/>
    <mergeCell ref="E106:H106"/>
    <mergeCell ref="I106:J106"/>
    <mergeCell ref="E107:H107"/>
    <mergeCell ref="I107:J107"/>
    <mergeCell ref="E108:H108"/>
    <mergeCell ref="I108:J108"/>
    <mergeCell ref="E99:H99"/>
    <mergeCell ref="I99:J99"/>
    <mergeCell ref="E100:H100"/>
    <mergeCell ref="I100:J100"/>
    <mergeCell ref="E101:H101"/>
    <mergeCell ref="I101:J101"/>
    <mergeCell ref="E102:H102"/>
    <mergeCell ref="I102:J102"/>
    <mergeCell ref="E103:H103"/>
    <mergeCell ref="I103:J103"/>
    <mergeCell ref="E94:H94"/>
    <mergeCell ref="I94:J94"/>
    <mergeCell ref="E95:H95"/>
    <mergeCell ref="I95:J95"/>
    <mergeCell ref="E96:H96"/>
    <mergeCell ref="I96:J96"/>
    <mergeCell ref="E97:H97"/>
    <mergeCell ref="I97:J97"/>
    <mergeCell ref="E98:H98"/>
    <mergeCell ref="I98:J98"/>
    <mergeCell ref="E89:H89"/>
    <mergeCell ref="I89:J89"/>
    <mergeCell ref="E90:H90"/>
    <mergeCell ref="I90:J90"/>
    <mergeCell ref="E91:H91"/>
    <mergeCell ref="I91:J91"/>
    <mergeCell ref="E92:H92"/>
    <mergeCell ref="I92:J92"/>
    <mergeCell ref="E93:H93"/>
    <mergeCell ref="I93:J93"/>
    <mergeCell ref="E84:H84"/>
    <mergeCell ref="I84:J84"/>
    <mergeCell ref="E85:H85"/>
    <mergeCell ref="I85:J85"/>
    <mergeCell ref="E86:H86"/>
    <mergeCell ref="I86:J86"/>
    <mergeCell ref="E87:H87"/>
    <mergeCell ref="I87:J87"/>
    <mergeCell ref="E88:H88"/>
    <mergeCell ref="I88:J88"/>
    <mergeCell ref="E79:H79"/>
    <mergeCell ref="I79:J79"/>
    <mergeCell ref="E80:H80"/>
    <mergeCell ref="I80:J80"/>
    <mergeCell ref="E81:H81"/>
    <mergeCell ref="I81:J81"/>
    <mergeCell ref="E82:H82"/>
    <mergeCell ref="I82:J82"/>
    <mergeCell ref="E83:H83"/>
    <mergeCell ref="I83:J83"/>
    <mergeCell ref="E74:H74"/>
    <mergeCell ref="I74:J74"/>
    <mergeCell ref="E75:H75"/>
    <mergeCell ref="I75:J75"/>
    <mergeCell ref="E76:H76"/>
    <mergeCell ref="I76:J76"/>
    <mergeCell ref="E77:H77"/>
    <mergeCell ref="I77:J77"/>
    <mergeCell ref="E78:H78"/>
    <mergeCell ref="I78:J78"/>
    <mergeCell ref="E69:H69"/>
    <mergeCell ref="I69:J69"/>
    <mergeCell ref="E70:H70"/>
    <mergeCell ref="I70:J70"/>
    <mergeCell ref="E71:H71"/>
    <mergeCell ref="I71:J71"/>
    <mergeCell ref="E72:H72"/>
    <mergeCell ref="I72:J72"/>
    <mergeCell ref="E73:H73"/>
    <mergeCell ref="I73:J73"/>
    <mergeCell ref="E64:H64"/>
    <mergeCell ref="I64:J64"/>
    <mergeCell ref="E65:H65"/>
    <mergeCell ref="I65:J65"/>
    <mergeCell ref="E66:H66"/>
    <mergeCell ref="I66:J66"/>
    <mergeCell ref="E67:H67"/>
    <mergeCell ref="I67:J67"/>
    <mergeCell ref="E68:H68"/>
    <mergeCell ref="I68:J68"/>
    <mergeCell ref="E59:H59"/>
    <mergeCell ref="I59:J59"/>
    <mergeCell ref="E60:H60"/>
    <mergeCell ref="I60:J60"/>
    <mergeCell ref="E61:H61"/>
    <mergeCell ref="I61:J61"/>
    <mergeCell ref="E62:H62"/>
    <mergeCell ref="I62:J62"/>
    <mergeCell ref="E63:H63"/>
    <mergeCell ref="I63:J63"/>
    <mergeCell ref="E54:H54"/>
    <mergeCell ref="I54:J54"/>
    <mergeCell ref="E55:H55"/>
    <mergeCell ref="I55:J55"/>
    <mergeCell ref="E56:H56"/>
    <mergeCell ref="I56:J56"/>
    <mergeCell ref="E57:H57"/>
    <mergeCell ref="I57:J57"/>
    <mergeCell ref="E58:H58"/>
    <mergeCell ref="I58:J58"/>
    <mergeCell ref="E49:H49"/>
    <mergeCell ref="I49:J49"/>
    <mergeCell ref="E50:H50"/>
    <mergeCell ref="I50:J50"/>
    <mergeCell ref="E51:H51"/>
    <mergeCell ref="I51:J51"/>
    <mergeCell ref="E52:H52"/>
    <mergeCell ref="I52:J52"/>
    <mergeCell ref="E53:H53"/>
    <mergeCell ref="I53:J53"/>
    <mergeCell ref="E44:H44"/>
    <mergeCell ref="I44:J44"/>
    <mergeCell ref="E45:H45"/>
    <mergeCell ref="I45:J45"/>
    <mergeCell ref="E46:H46"/>
    <mergeCell ref="I46:J46"/>
    <mergeCell ref="E47:H47"/>
    <mergeCell ref="I47:J47"/>
    <mergeCell ref="E48:H48"/>
    <mergeCell ref="I48:J48"/>
    <mergeCell ref="E39:H39"/>
    <mergeCell ref="I39:J39"/>
    <mergeCell ref="E40:H40"/>
    <mergeCell ref="I40:J40"/>
    <mergeCell ref="E41:H41"/>
    <mergeCell ref="I41:J41"/>
    <mergeCell ref="E42:H42"/>
    <mergeCell ref="I42:J42"/>
    <mergeCell ref="E43:H43"/>
    <mergeCell ref="I43:J43"/>
    <mergeCell ref="E34:H34"/>
    <mergeCell ref="I34:J34"/>
    <mergeCell ref="E35:H35"/>
    <mergeCell ref="I35:J35"/>
    <mergeCell ref="E36:H36"/>
    <mergeCell ref="I36:J36"/>
    <mergeCell ref="E37:H37"/>
    <mergeCell ref="I37:J37"/>
    <mergeCell ref="E38:H38"/>
    <mergeCell ref="I38:J38"/>
    <mergeCell ref="E29:H29"/>
    <mergeCell ref="I29:J29"/>
    <mergeCell ref="E30:H30"/>
    <mergeCell ref="I30:J30"/>
    <mergeCell ref="E31:H31"/>
    <mergeCell ref="I31:J31"/>
    <mergeCell ref="E32:H32"/>
    <mergeCell ref="I32:J32"/>
    <mergeCell ref="E33:H33"/>
    <mergeCell ref="I33:J33"/>
    <mergeCell ref="E24:H24"/>
    <mergeCell ref="I24:J24"/>
    <mergeCell ref="E25:H25"/>
    <mergeCell ref="I25:J25"/>
    <mergeCell ref="E26:H26"/>
    <mergeCell ref="I26:J26"/>
    <mergeCell ref="E27:H27"/>
    <mergeCell ref="I27:J27"/>
    <mergeCell ref="E28:H28"/>
    <mergeCell ref="I28:J28"/>
    <mergeCell ref="E19:H19"/>
    <mergeCell ref="I19:J19"/>
    <mergeCell ref="E20:H20"/>
    <mergeCell ref="I20:J20"/>
    <mergeCell ref="E21:H21"/>
    <mergeCell ref="I21:J21"/>
    <mergeCell ref="E22:H22"/>
    <mergeCell ref="I22:J22"/>
    <mergeCell ref="E23:H23"/>
    <mergeCell ref="I23:J23"/>
    <mergeCell ref="A12:C12"/>
    <mergeCell ref="A13:C13"/>
    <mergeCell ref="A14:C14"/>
    <mergeCell ref="A15:C15"/>
    <mergeCell ref="E16:H16"/>
    <mergeCell ref="I16:J16"/>
    <mergeCell ref="E17:H17"/>
    <mergeCell ref="I17:J17"/>
    <mergeCell ref="E18:H18"/>
    <mergeCell ref="I18:J18"/>
    <mergeCell ref="A1:J1"/>
    <mergeCell ref="A2:J2"/>
    <mergeCell ref="A3:C3"/>
    <mergeCell ref="A4:C4"/>
    <mergeCell ref="A5:C5"/>
    <mergeCell ref="A6:J6"/>
    <mergeCell ref="D8:H8"/>
    <mergeCell ref="A10:C10"/>
    <mergeCell ref="A11:C11"/>
  </mergeCells>
  <phoneticPr fontId="172" type="noConversion"/>
  <pageMargins left="0.70866141732283505" right="0.70866141732283505" top="0.74803149606299202" bottom="0.74803149606299202" header="0.31496062992126" footer="0.31496062992126"/>
  <pageSetup paperSize="9" fitToHeight="50" orientation="portrait" blackAndWhite="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80"/>
  <sheetViews>
    <sheetView tabSelected="1" view="pageBreakPreview" zoomScaleNormal="130" workbookViewId="0">
      <selection activeCell="F8" sqref="F8"/>
    </sheetView>
  </sheetViews>
  <sheetFormatPr defaultColWidth="9" defaultRowHeight="20.100000000000001" customHeight="1"/>
  <cols>
    <col min="1" max="1" width="24" style="133" customWidth="1"/>
    <col min="2" max="9" width="13.3984375" style="133" customWidth="1"/>
    <col min="10" max="16384" width="9" style="133"/>
  </cols>
  <sheetData>
    <row r="1" spans="1:9" ht="20.100000000000001" customHeight="1">
      <c r="A1" s="415" t="s">
        <v>23</v>
      </c>
      <c r="B1" s="415"/>
      <c r="C1" s="415"/>
      <c r="D1" s="415"/>
      <c r="E1" s="415"/>
      <c r="F1" s="415"/>
      <c r="G1" s="415"/>
      <c r="H1" s="415"/>
      <c r="I1" s="415"/>
    </row>
    <row r="2" spans="1:9" ht="20.100000000000001" customHeight="1">
      <c r="A2" s="416" t="s">
        <v>9</v>
      </c>
      <c r="B2" s="416"/>
      <c r="C2" s="416"/>
      <c r="D2" s="416"/>
      <c r="E2" s="416"/>
      <c r="F2" s="416"/>
      <c r="G2" s="416"/>
      <c r="H2" s="416"/>
      <c r="I2" s="416"/>
    </row>
    <row r="3" spans="1:9" ht="20.100000000000001" customHeight="1">
      <c r="A3" s="133" t="str">
        <f>底稿目录!A2</f>
        <v>被审计单位：</v>
      </c>
      <c r="C3" s="134" t="str">
        <f>底稿目录!A4</f>
        <v>编制人：</v>
      </c>
      <c r="D3" s="134"/>
      <c r="E3" s="134"/>
      <c r="F3" s="133" t="str">
        <f>底稿目录!A5</f>
        <v>编制日期：</v>
      </c>
      <c r="H3" s="135" t="s">
        <v>25</v>
      </c>
      <c r="I3" s="329" t="s">
        <v>10</v>
      </c>
    </row>
    <row r="4" spans="1:9" ht="20.100000000000001" customHeight="1">
      <c r="A4" s="133" t="str">
        <f>底稿目录!A3</f>
        <v>会计期间：202X年度</v>
      </c>
      <c r="C4" s="134" t="str">
        <f>底稿目录!A6</f>
        <v>复核人：</v>
      </c>
      <c r="D4" s="134"/>
      <c r="E4" s="134"/>
      <c r="F4" s="133" t="str">
        <f>底稿目录!A7</f>
        <v>复核日期：</v>
      </c>
      <c r="H4" s="135" t="s">
        <v>489</v>
      </c>
      <c r="I4" s="157"/>
    </row>
    <row r="5" spans="1:9" ht="20.100000000000001" customHeight="1">
      <c r="A5" s="418" t="s">
        <v>490</v>
      </c>
      <c r="B5" s="417" t="s">
        <v>491</v>
      </c>
      <c r="C5" s="417"/>
      <c r="D5" s="417"/>
      <c r="E5" s="417"/>
      <c r="F5" s="417" t="s">
        <v>492</v>
      </c>
      <c r="G5" s="417"/>
      <c r="H5" s="417"/>
      <c r="I5" s="417"/>
    </row>
    <row r="6" spans="1:9" ht="20.100000000000001" customHeight="1">
      <c r="A6" s="418"/>
      <c r="B6" s="136" t="s">
        <v>493</v>
      </c>
      <c r="C6" s="136" t="s">
        <v>494</v>
      </c>
      <c r="D6" s="136" t="s">
        <v>495</v>
      </c>
      <c r="E6" s="136" t="s">
        <v>496</v>
      </c>
      <c r="F6" s="136" t="s">
        <v>493</v>
      </c>
      <c r="G6" s="136" t="s">
        <v>494</v>
      </c>
      <c r="H6" s="136" t="s">
        <v>495</v>
      </c>
      <c r="I6" s="136" t="s">
        <v>496</v>
      </c>
    </row>
    <row r="7" spans="1:9" ht="20.100000000000001" customHeight="1">
      <c r="A7" s="137" t="s">
        <v>497</v>
      </c>
      <c r="B7" s="138"/>
      <c r="C7" s="138"/>
      <c r="D7" s="138"/>
      <c r="E7" s="139"/>
      <c r="F7" s="138"/>
      <c r="G7" s="138"/>
      <c r="H7" s="138"/>
      <c r="I7" s="139"/>
    </row>
    <row r="8" spans="1:9" ht="20.100000000000001" customHeight="1">
      <c r="A8" s="140"/>
      <c r="B8" s="141"/>
      <c r="C8" s="141"/>
      <c r="D8" s="141"/>
      <c r="E8" s="142">
        <f>SUM(B8:D8)</f>
        <v>0</v>
      </c>
      <c r="F8" s="141"/>
      <c r="G8" s="141"/>
      <c r="H8" s="141"/>
      <c r="I8" s="142">
        <f>SUM(F8:H8)</f>
        <v>0</v>
      </c>
    </row>
    <row r="9" spans="1:9" ht="20.100000000000001" customHeight="1">
      <c r="A9" s="140"/>
      <c r="B9" s="141"/>
      <c r="C9" s="141"/>
      <c r="D9" s="141"/>
      <c r="E9" s="142">
        <f>SUM(B9:D9)</f>
        <v>0</v>
      </c>
      <c r="F9" s="141"/>
      <c r="G9" s="141"/>
      <c r="H9" s="141"/>
      <c r="I9" s="142">
        <f>SUM(F9:H9)</f>
        <v>0</v>
      </c>
    </row>
    <row r="10" spans="1:9" ht="20.100000000000001" customHeight="1">
      <c r="A10" s="140"/>
      <c r="B10" s="141"/>
      <c r="C10" s="141"/>
      <c r="D10" s="141"/>
      <c r="E10" s="142">
        <f>SUM(B10:D10)</f>
        <v>0</v>
      </c>
      <c r="F10" s="141"/>
      <c r="G10" s="141"/>
      <c r="H10" s="141"/>
      <c r="I10" s="142">
        <f>SUM(F10:H10)</f>
        <v>0</v>
      </c>
    </row>
    <row r="11" spans="1:9" ht="20.100000000000001" customHeight="1">
      <c r="A11" s="143"/>
      <c r="B11" s="141"/>
      <c r="C11" s="141"/>
      <c r="D11" s="141"/>
      <c r="E11" s="142">
        <f>SUM(B11:D11)</f>
        <v>0</v>
      </c>
      <c r="F11" s="141"/>
      <c r="G11" s="141"/>
      <c r="H11" s="141"/>
      <c r="I11" s="142">
        <f>SUM(F11:H11)</f>
        <v>0</v>
      </c>
    </row>
    <row r="12" spans="1:9" ht="20.100000000000001" customHeight="1">
      <c r="A12" s="144" t="s">
        <v>498</v>
      </c>
      <c r="B12" s="145">
        <f>SUM(B8:B11)</f>
        <v>0</v>
      </c>
      <c r="C12" s="145">
        <f>SUM(C8:C11)</f>
        <v>0</v>
      </c>
      <c r="D12" s="145">
        <f>SUM(D8:D11)</f>
        <v>0</v>
      </c>
      <c r="E12" s="145">
        <f>B12+C12+D12</f>
        <v>0</v>
      </c>
      <c r="F12" s="145">
        <f>SUM(F8:F11)</f>
        <v>0</v>
      </c>
      <c r="G12" s="145">
        <f>SUM(G8:G11)</f>
        <v>0</v>
      </c>
      <c r="H12" s="145">
        <f>SUM(H8:H11)</f>
        <v>0</v>
      </c>
      <c r="I12" s="145">
        <f>SUM(I8:I11)</f>
        <v>0</v>
      </c>
    </row>
    <row r="13" spans="1:9" ht="20.100000000000001" customHeight="1">
      <c r="A13" s="137" t="s">
        <v>499</v>
      </c>
      <c r="B13" s="146"/>
      <c r="C13" s="146"/>
      <c r="D13" s="146"/>
      <c r="E13" s="147"/>
      <c r="F13" s="146"/>
      <c r="G13" s="146"/>
      <c r="H13" s="146"/>
      <c r="I13" s="147"/>
    </row>
    <row r="14" spans="1:9" ht="20.100000000000001" customHeight="1">
      <c r="A14" s="140"/>
      <c r="B14" s="141"/>
      <c r="C14" s="141"/>
      <c r="D14" s="141"/>
      <c r="E14" s="142">
        <f>SUM(B14:D14)</f>
        <v>0</v>
      </c>
      <c r="F14" s="141"/>
      <c r="G14" s="141"/>
      <c r="H14" s="141"/>
      <c r="I14" s="142">
        <f>SUM(F14:H14)</f>
        <v>0</v>
      </c>
    </row>
    <row r="15" spans="1:9" ht="20.100000000000001" customHeight="1">
      <c r="A15" s="140"/>
      <c r="B15" s="141"/>
      <c r="C15" s="141"/>
      <c r="D15" s="141"/>
      <c r="E15" s="142">
        <f>SUM(B15:D15)</f>
        <v>0</v>
      </c>
      <c r="F15" s="141"/>
      <c r="G15" s="141"/>
      <c r="H15" s="141"/>
      <c r="I15" s="142">
        <f>SUM(F15:H15)</f>
        <v>0</v>
      </c>
    </row>
    <row r="16" spans="1:9" ht="20.100000000000001" customHeight="1">
      <c r="A16" s="140"/>
      <c r="B16" s="141"/>
      <c r="C16" s="141"/>
      <c r="D16" s="141"/>
      <c r="E16" s="142">
        <f>SUM(B16:D16)</f>
        <v>0</v>
      </c>
      <c r="F16" s="141"/>
      <c r="G16" s="141"/>
      <c r="H16" s="141"/>
      <c r="I16" s="142">
        <f>SUM(F16:H16)</f>
        <v>0</v>
      </c>
    </row>
    <row r="17" spans="1:9" ht="20.100000000000001" customHeight="1">
      <c r="A17" s="140"/>
      <c r="B17" s="141"/>
      <c r="C17" s="141"/>
      <c r="D17" s="141"/>
      <c r="E17" s="142">
        <f>SUM(B17:D17)</f>
        <v>0</v>
      </c>
      <c r="F17" s="141"/>
      <c r="G17" s="141"/>
      <c r="H17" s="141"/>
      <c r="I17" s="142">
        <f>SUM(F17:H17)</f>
        <v>0</v>
      </c>
    </row>
    <row r="18" spans="1:9" ht="20.100000000000001" customHeight="1">
      <c r="A18" s="144" t="s">
        <v>498</v>
      </c>
      <c r="B18" s="145">
        <f t="shared" ref="B18:I18" si="0">SUM(B14:B17)</f>
        <v>0</v>
      </c>
      <c r="C18" s="145">
        <f t="shared" si="0"/>
        <v>0</v>
      </c>
      <c r="D18" s="145">
        <f t="shared" si="0"/>
        <v>0</v>
      </c>
      <c r="E18" s="145">
        <f t="shared" si="0"/>
        <v>0</v>
      </c>
      <c r="F18" s="145">
        <f t="shared" si="0"/>
        <v>0</v>
      </c>
      <c r="G18" s="145">
        <f t="shared" si="0"/>
        <v>0</v>
      </c>
      <c r="H18" s="145">
        <f t="shared" si="0"/>
        <v>0</v>
      </c>
      <c r="I18" s="145">
        <f t="shared" si="0"/>
        <v>0</v>
      </c>
    </row>
    <row r="19" spans="1:9" ht="20.100000000000001" customHeight="1">
      <c r="A19" s="144" t="s">
        <v>500</v>
      </c>
      <c r="B19" s="145">
        <f t="shared" ref="B19:I19" si="1">B18+B12</f>
        <v>0</v>
      </c>
      <c r="C19" s="145">
        <f t="shared" si="1"/>
        <v>0</v>
      </c>
      <c r="D19" s="145">
        <f t="shared" si="1"/>
        <v>0</v>
      </c>
      <c r="E19" s="145">
        <f t="shared" si="1"/>
        <v>0</v>
      </c>
      <c r="F19" s="145">
        <f t="shared" si="1"/>
        <v>0</v>
      </c>
      <c r="G19" s="145">
        <f t="shared" si="1"/>
        <v>0</v>
      </c>
      <c r="H19" s="145">
        <f t="shared" si="1"/>
        <v>0</v>
      </c>
      <c r="I19" s="145">
        <f t="shared" si="1"/>
        <v>0</v>
      </c>
    </row>
    <row r="20" spans="1:9" s="131" customFormat="1" ht="20.100000000000001" customHeight="1">
      <c r="A20" s="148" t="s">
        <v>501</v>
      </c>
      <c r="B20" s="149"/>
      <c r="C20" s="149"/>
      <c r="D20" s="149"/>
      <c r="E20" s="149"/>
      <c r="F20" s="149"/>
      <c r="G20" s="149"/>
      <c r="H20" s="149"/>
      <c r="I20" s="149"/>
    </row>
    <row r="21" spans="1:9" s="131" customFormat="1" ht="20.100000000000001" customHeight="1">
      <c r="A21" s="148" t="s">
        <v>502</v>
      </c>
      <c r="B21" s="149"/>
      <c r="C21" s="149"/>
      <c r="D21" s="149"/>
      <c r="E21" s="150">
        <f>E19-E20</f>
        <v>0</v>
      </c>
      <c r="F21" s="149"/>
      <c r="G21" s="149"/>
      <c r="H21" s="149"/>
      <c r="I21" s="150">
        <f>I19-I20</f>
        <v>0</v>
      </c>
    </row>
    <row r="22" spans="1:9" ht="20.100000000000001" customHeight="1">
      <c r="A22" s="151" t="s">
        <v>503</v>
      </c>
      <c r="B22" s="134"/>
      <c r="C22" s="134"/>
      <c r="D22" s="134"/>
      <c r="E22" s="152" t="s">
        <v>504</v>
      </c>
      <c r="F22" s="153"/>
      <c r="H22" s="152"/>
      <c r="I22" s="153"/>
    </row>
    <row r="23" spans="1:9" ht="20.100000000000001" customHeight="1">
      <c r="A23" s="337" t="s">
        <v>505</v>
      </c>
      <c r="B23" s="337"/>
      <c r="C23" s="337"/>
      <c r="D23" s="337"/>
      <c r="E23" s="337"/>
      <c r="F23" s="337"/>
      <c r="G23" s="337"/>
      <c r="H23" s="337"/>
      <c r="I23" s="337"/>
    </row>
    <row r="24" spans="1:9" ht="20.100000000000001" customHeight="1">
      <c r="A24" s="337" t="s">
        <v>506</v>
      </c>
      <c r="B24" s="337"/>
      <c r="C24" s="337"/>
      <c r="D24" s="337"/>
      <c r="E24" s="337"/>
      <c r="F24" s="337"/>
      <c r="G24" s="337"/>
      <c r="H24" s="337"/>
      <c r="I24" s="337"/>
    </row>
    <row r="25" spans="1:9" ht="20.100000000000001" customHeight="1">
      <c r="A25" s="337"/>
      <c r="B25" s="337"/>
      <c r="C25" s="337"/>
      <c r="D25" s="337"/>
      <c r="E25" s="337"/>
      <c r="F25" s="337"/>
      <c r="G25" s="337"/>
      <c r="H25" s="337"/>
      <c r="I25" s="337"/>
    </row>
    <row r="26" spans="1:9" ht="20.100000000000001" customHeight="1">
      <c r="A26" s="337" t="s">
        <v>507</v>
      </c>
      <c r="B26" s="337"/>
      <c r="C26" s="337"/>
      <c r="D26" s="337"/>
      <c r="E26" s="337"/>
      <c r="F26" s="337"/>
      <c r="G26" s="337"/>
      <c r="H26" s="337"/>
      <c r="I26" s="337"/>
    </row>
    <row r="27" spans="1:9" ht="20.100000000000001" customHeight="1">
      <c r="A27" s="337"/>
      <c r="B27" s="338"/>
      <c r="C27" s="338"/>
      <c r="D27" s="338"/>
      <c r="E27" s="338"/>
      <c r="F27" s="338"/>
      <c r="G27" s="338"/>
      <c r="H27" s="338"/>
      <c r="I27" s="338"/>
    </row>
    <row r="28" spans="1:9" ht="20.100000000000001" customHeight="1">
      <c r="A28" s="339" t="s">
        <v>713</v>
      </c>
      <c r="B28" s="340"/>
      <c r="C28" s="340"/>
      <c r="D28" s="340"/>
      <c r="E28" s="340"/>
      <c r="F28" s="338"/>
      <c r="G28" s="338"/>
      <c r="H28" s="338"/>
      <c r="I28" s="338"/>
    </row>
    <row r="29" spans="1:9" ht="20.100000000000001" customHeight="1">
      <c r="A29" s="414" t="s">
        <v>714</v>
      </c>
      <c r="B29" s="414"/>
      <c r="C29" s="414" t="s">
        <v>715</v>
      </c>
      <c r="D29" s="414"/>
      <c r="E29" s="341" t="s">
        <v>716</v>
      </c>
      <c r="F29" s="338"/>
      <c r="G29" s="338"/>
      <c r="H29" s="338"/>
      <c r="I29" s="338"/>
    </row>
    <row r="30" spans="1:9" ht="20.100000000000001" customHeight="1">
      <c r="A30" s="410"/>
      <c r="B30" s="411"/>
      <c r="C30" s="412"/>
      <c r="D30" s="413"/>
      <c r="E30" s="342"/>
      <c r="F30" s="338"/>
      <c r="G30" s="338"/>
      <c r="H30" s="338"/>
      <c r="I30" s="338"/>
    </row>
    <row r="31" spans="1:9" ht="20.100000000000001" customHeight="1">
      <c r="A31" s="410"/>
      <c r="B31" s="411"/>
      <c r="C31" s="412"/>
      <c r="D31" s="413"/>
      <c r="E31" s="342"/>
      <c r="F31" s="338"/>
      <c r="G31" s="338"/>
      <c r="H31" s="338"/>
      <c r="I31" s="338"/>
    </row>
    <row r="32" spans="1:9" ht="20.100000000000001" customHeight="1">
      <c r="A32" s="410"/>
      <c r="B32" s="411"/>
      <c r="C32" s="412"/>
      <c r="D32" s="413"/>
      <c r="E32" s="342"/>
      <c r="F32" s="338"/>
      <c r="G32" s="338"/>
      <c r="H32" s="338"/>
      <c r="I32" s="338"/>
    </row>
    <row r="33" spans="1:9" ht="20.100000000000001" customHeight="1">
      <c r="A33" s="410"/>
      <c r="B33" s="411"/>
      <c r="C33" s="412"/>
      <c r="D33" s="413"/>
      <c r="E33" s="342"/>
      <c r="F33" s="338"/>
      <c r="G33" s="338"/>
      <c r="H33" s="338"/>
      <c r="I33" s="338"/>
    </row>
    <row r="34" spans="1:9" ht="20.100000000000001" customHeight="1">
      <c r="A34" s="410"/>
      <c r="B34" s="411"/>
      <c r="C34" s="412"/>
      <c r="D34" s="413"/>
      <c r="E34" s="342"/>
      <c r="F34" s="343"/>
      <c r="G34" s="343"/>
      <c r="H34" s="343"/>
      <c r="I34" s="343"/>
    </row>
    <row r="35" spans="1:9" ht="20.100000000000001" customHeight="1">
      <c r="A35" s="410"/>
      <c r="B35" s="411"/>
      <c r="C35" s="412"/>
      <c r="D35" s="413"/>
      <c r="E35" s="342"/>
      <c r="F35" s="337"/>
      <c r="G35" s="337"/>
      <c r="H35" s="337"/>
      <c r="I35" s="337"/>
    </row>
    <row r="36" spans="1:9" ht="20.100000000000001" customHeight="1">
      <c r="A36" s="335" t="s">
        <v>720</v>
      </c>
      <c r="B36" s="332"/>
      <c r="C36" s="333"/>
      <c r="D36" s="333"/>
      <c r="E36" s="334"/>
      <c r="F36" s="154"/>
      <c r="G36" s="154"/>
      <c r="H36" s="154"/>
      <c r="I36" s="154"/>
    </row>
    <row r="37" spans="1:9" ht="20.100000000000001" customHeight="1">
      <c r="A37" s="336" t="s">
        <v>722</v>
      </c>
      <c r="B37" s="154"/>
      <c r="C37" s="154"/>
      <c r="D37" s="154"/>
      <c r="E37" s="154"/>
      <c r="F37" s="154"/>
      <c r="G37" s="154"/>
      <c r="H37" s="154"/>
      <c r="I37" s="154"/>
    </row>
    <row r="39" spans="1:9" s="132" customFormat="1" ht="20.100000000000001" customHeight="1">
      <c r="A39" s="331" t="s">
        <v>719</v>
      </c>
    </row>
    <row r="40" spans="1:9" s="132" customFormat="1" ht="20.100000000000001" customHeight="1">
      <c r="A40" s="132" t="s">
        <v>721</v>
      </c>
    </row>
    <row r="41" spans="1:9" s="132" customFormat="1" ht="20.100000000000001" customHeight="1">
      <c r="A41" s="132" t="s">
        <v>718</v>
      </c>
    </row>
    <row r="42" spans="1:9" s="132" customFormat="1" ht="20.100000000000001" customHeight="1">
      <c r="A42" s="331" t="s">
        <v>717</v>
      </c>
    </row>
    <row r="43" spans="1:9" s="132" customFormat="1" ht="20.100000000000001" customHeight="1"/>
    <row r="44" spans="1:9" s="132" customFormat="1" ht="20.100000000000001" customHeight="1"/>
    <row r="45" spans="1:9" s="132" customFormat="1" ht="20.100000000000001" customHeight="1"/>
    <row r="46" spans="1:9" s="132" customFormat="1" ht="20.100000000000001" customHeight="1"/>
    <row r="47" spans="1:9" s="132" customFormat="1" ht="20.100000000000001" customHeight="1"/>
    <row r="48" spans="1:9" s="132" customFormat="1" ht="20.100000000000001" customHeight="1"/>
    <row r="49" spans="1:2" s="132" customFormat="1" ht="20.100000000000001" customHeight="1">
      <c r="A49" s="155"/>
    </row>
    <row r="50" spans="1:2" s="132" customFormat="1" ht="20.100000000000001" customHeight="1"/>
    <row r="51" spans="1:2" s="132" customFormat="1" ht="20.100000000000001" customHeight="1"/>
    <row r="52" spans="1:2" ht="20.100000000000001" customHeight="1">
      <c r="A52" s="132"/>
    </row>
    <row r="53" spans="1:2" ht="20.100000000000001" customHeight="1">
      <c r="A53" s="132"/>
    </row>
    <row r="54" spans="1:2" ht="20.100000000000001" customHeight="1">
      <c r="A54" s="132"/>
    </row>
    <row r="55" spans="1:2" ht="20.100000000000001" customHeight="1">
      <c r="A55" s="132"/>
    </row>
    <row r="56" spans="1:2" ht="20.100000000000001" customHeight="1">
      <c r="A56" s="132"/>
    </row>
    <row r="58" spans="1:2" ht="20.100000000000001" customHeight="1">
      <c r="A58" s="132"/>
    </row>
    <row r="59" spans="1:2" ht="20.100000000000001" customHeight="1">
      <c r="A59" s="155"/>
    </row>
    <row r="60" spans="1:2" ht="20.100000000000001" customHeight="1">
      <c r="A60" s="156"/>
      <c r="B60" s="132"/>
    </row>
    <row r="61" spans="1:2" ht="20.100000000000001" customHeight="1">
      <c r="A61" s="156"/>
      <c r="B61" s="132"/>
    </row>
    <row r="62" spans="1:2" ht="20.100000000000001" customHeight="1">
      <c r="A62" s="156"/>
      <c r="B62" s="132"/>
    </row>
    <row r="74" spans="1:1" ht="20.100000000000001" customHeight="1">
      <c r="A74" s="158" t="s">
        <v>508</v>
      </c>
    </row>
    <row r="75" spans="1:1" ht="20.100000000000001" customHeight="1">
      <c r="A75" s="158" t="s">
        <v>509</v>
      </c>
    </row>
    <row r="76" spans="1:1" ht="20.100000000000001" customHeight="1">
      <c r="A76" s="158" t="s">
        <v>510</v>
      </c>
    </row>
    <row r="77" spans="1:1" ht="20.100000000000001" customHeight="1">
      <c r="A77" s="158" t="s">
        <v>511</v>
      </c>
    </row>
    <row r="78" spans="1:1" ht="20.100000000000001" customHeight="1">
      <c r="A78" s="158" t="s">
        <v>512</v>
      </c>
    </row>
    <row r="79" spans="1:1" ht="20.100000000000001" customHeight="1">
      <c r="A79" s="158" t="s">
        <v>513</v>
      </c>
    </row>
    <row r="80" spans="1:1" ht="20.100000000000001" customHeight="1">
      <c r="A80" s="158" t="s">
        <v>514</v>
      </c>
    </row>
  </sheetData>
  <mergeCells count="19">
    <mergeCell ref="A1:I1"/>
    <mergeCell ref="A2:I2"/>
    <mergeCell ref="B5:E5"/>
    <mergeCell ref="F5:I5"/>
    <mergeCell ref="A5:A6"/>
    <mergeCell ref="A29:B29"/>
    <mergeCell ref="C29:D29"/>
    <mergeCell ref="A30:B30"/>
    <mergeCell ref="C30:D30"/>
    <mergeCell ref="A33:B33"/>
    <mergeCell ref="C33:D33"/>
    <mergeCell ref="A34:B34"/>
    <mergeCell ref="C34:D34"/>
    <mergeCell ref="A35:B35"/>
    <mergeCell ref="C35:D35"/>
    <mergeCell ref="A31:B31"/>
    <mergeCell ref="C31:D31"/>
    <mergeCell ref="A32:B32"/>
    <mergeCell ref="C32:D32"/>
  </mergeCells>
  <phoneticPr fontId="172" type="noConversion"/>
  <hyperlinks>
    <hyperlink ref="I3" location="底稿目录!Print_Area" display="D4-1"/>
  </hyperlinks>
  <pageMargins left="0.70833333333333304" right="0.70833333333333304" top="0.74791666666666701" bottom="0.74791666666666701" header="0.31458333333333299" footer="0.31458333333333299"/>
  <pageSetup paperSize="9" scale="62" orientation="portrait" blackAndWhite="1" horizontalDpi="1200" verticalDpi="1200"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85"/>
  <sheetViews>
    <sheetView view="pageBreakPreview" zoomScaleNormal="60" workbookViewId="0">
      <pane xSplit="1" ySplit="8" topLeftCell="B9" activePane="bottomRight" state="frozen"/>
      <selection pane="topRight"/>
      <selection pane="bottomLeft"/>
      <selection pane="bottomRight" sqref="A1:I1"/>
    </sheetView>
  </sheetViews>
  <sheetFormatPr defaultColWidth="8.19921875" defaultRowHeight="20.100000000000001" customHeight="1"/>
  <cols>
    <col min="1" max="1" width="32.19921875" style="96" customWidth="1"/>
    <col min="2" max="2" width="17.19921875" style="97" customWidth="1"/>
    <col min="3" max="3" width="18.69921875" style="97" customWidth="1"/>
    <col min="4" max="4" width="20.69921875" style="97" customWidth="1"/>
    <col min="5" max="5" width="19.8984375" style="97" customWidth="1"/>
    <col min="6" max="6" width="8.8984375" style="97" customWidth="1"/>
    <col min="7" max="7" width="8.19921875" style="97" customWidth="1"/>
    <col min="8" max="16384" width="8.19921875" style="97"/>
  </cols>
  <sheetData>
    <row r="1" spans="1:9" ht="20.100000000000001" customHeight="1">
      <c r="A1" s="419" t="s">
        <v>98</v>
      </c>
      <c r="B1" s="419"/>
      <c r="C1" s="419"/>
      <c r="D1" s="419"/>
      <c r="E1" s="419"/>
      <c r="F1" s="419"/>
      <c r="G1" s="419"/>
      <c r="H1" s="419"/>
      <c r="I1" s="419"/>
    </row>
    <row r="2" spans="1:9" ht="20.100000000000001" customHeight="1">
      <c r="A2" s="420" t="s">
        <v>12</v>
      </c>
      <c r="B2" s="421"/>
      <c r="C2" s="421"/>
      <c r="D2" s="421"/>
      <c r="E2" s="421"/>
      <c r="F2" s="421"/>
      <c r="G2" s="421"/>
      <c r="H2" s="421"/>
      <c r="I2" s="421"/>
    </row>
    <row r="3" spans="1:9" ht="20.100000000000001" customHeight="1">
      <c r="A3" s="57" t="s">
        <v>700</v>
      </c>
      <c r="B3" s="57"/>
      <c r="C3" s="57" t="s">
        <v>8</v>
      </c>
      <c r="D3" s="57"/>
      <c r="E3" s="57" t="s">
        <v>11</v>
      </c>
      <c r="F3" s="57"/>
      <c r="G3" s="57"/>
      <c r="H3" s="57"/>
      <c r="I3" s="320" t="s">
        <v>702</v>
      </c>
    </row>
    <row r="4" spans="1:9" ht="20.100000000000001" customHeight="1">
      <c r="A4" s="57" t="s">
        <v>701</v>
      </c>
      <c r="B4" s="57"/>
      <c r="C4" s="57" t="s">
        <v>14</v>
      </c>
      <c r="D4" s="57"/>
      <c r="E4" s="57" t="s">
        <v>16</v>
      </c>
      <c r="F4" s="57"/>
      <c r="G4" s="57"/>
      <c r="H4" s="57"/>
      <c r="I4" s="91" t="s">
        <v>515</v>
      </c>
    </row>
    <row r="6" spans="1:9" ht="25.5" customHeight="1">
      <c r="A6" s="98" t="s">
        <v>516</v>
      </c>
      <c r="B6" s="99"/>
      <c r="C6" s="99"/>
      <c r="D6" s="100"/>
      <c r="E6" s="101"/>
      <c r="F6" s="102"/>
    </row>
    <row r="7" spans="1:9" ht="29.25" customHeight="1">
      <c r="A7" s="103" t="s">
        <v>517</v>
      </c>
    </row>
    <row r="8" spans="1:9" s="93" customFormat="1" ht="20.25" customHeight="1">
      <c r="A8" s="426" t="s">
        <v>518</v>
      </c>
      <c r="B8" s="422" t="s">
        <v>519</v>
      </c>
      <c r="C8" s="423"/>
      <c r="D8" s="422" t="s">
        <v>520</v>
      </c>
      <c r="E8" s="423"/>
      <c r="F8" s="97"/>
    </row>
    <row r="9" spans="1:9" ht="15.6">
      <c r="A9" s="427"/>
      <c r="B9" s="104" t="s">
        <v>521</v>
      </c>
      <c r="C9" s="104" t="s">
        <v>522</v>
      </c>
      <c r="D9" s="104" t="s">
        <v>521</v>
      </c>
      <c r="E9" s="104" t="s">
        <v>522</v>
      </c>
      <c r="G9" s="105"/>
      <c r="H9" s="105"/>
    </row>
    <row r="10" spans="1:9" ht="15.6">
      <c r="A10" s="106" t="s">
        <v>523</v>
      </c>
      <c r="B10" s="317"/>
      <c r="C10" s="317"/>
      <c r="D10" s="317"/>
      <c r="E10" s="317"/>
      <c r="G10" s="105"/>
      <c r="H10" s="105"/>
    </row>
    <row r="11" spans="1:9" ht="15.6">
      <c r="A11" s="107" t="s">
        <v>524</v>
      </c>
      <c r="B11" s="318"/>
      <c r="C11" s="318"/>
      <c r="D11" s="318"/>
      <c r="E11" s="318"/>
      <c r="G11" s="105"/>
      <c r="H11" s="105"/>
    </row>
    <row r="12" spans="1:9" ht="15.6">
      <c r="A12" s="108" t="s">
        <v>525</v>
      </c>
      <c r="B12" s="109">
        <f>SUM(B10:B11)</f>
        <v>0</v>
      </c>
      <c r="C12" s="109">
        <f>SUM(C10:C11)</f>
        <v>0</v>
      </c>
      <c r="D12" s="109">
        <f>SUM(D10:D11)</f>
        <v>0</v>
      </c>
      <c r="E12" s="109">
        <f>SUM(E10:E11)</f>
        <v>0</v>
      </c>
      <c r="G12" s="105"/>
      <c r="H12" s="105"/>
    </row>
    <row r="13" spans="1:9" ht="15.6">
      <c r="A13" s="80" t="s">
        <v>526</v>
      </c>
      <c r="G13" s="105"/>
      <c r="H13" s="105"/>
    </row>
    <row r="14" spans="1:9" ht="15.6">
      <c r="A14" s="110" t="s">
        <v>527</v>
      </c>
      <c r="G14" s="105"/>
      <c r="H14" s="105"/>
    </row>
    <row r="15" spans="1:9" ht="15.6">
      <c r="A15" s="92" t="s">
        <v>528</v>
      </c>
      <c r="G15" s="105"/>
      <c r="H15" s="105"/>
    </row>
    <row r="16" spans="1:9" ht="15.6">
      <c r="A16" s="92" t="s">
        <v>529</v>
      </c>
      <c r="G16" s="105"/>
      <c r="H16" s="105"/>
    </row>
    <row r="17" spans="1:8" ht="15.6">
      <c r="A17" s="110" t="s">
        <v>530</v>
      </c>
      <c r="G17" s="105"/>
      <c r="H17" s="105"/>
    </row>
    <row r="18" spans="1:8" s="94" customFormat="1" ht="17.399999999999999">
      <c r="A18" s="110" t="s">
        <v>531</v>
      </c>
      <c r="B18" s="97"/>
      <c r="C18" s="97"/>
      <c r="D18" s="97"/>
      <c r="E18" s="97"/>
      <c r="F18" s="97"/>
    </row>
    <row r="19" spans="1:8" s="94" customFormat="1" ht="17.399999999999999">
      <c r="A19" s="110" t="s">
        <v>532</v>
      </c>
      <c r="B19" s="97"/>
      <c r="C19" s="97"/>
      <c r="D19" s="97"/>
      <c r="E19" s="97"/>
      <c r="F19" s="97"/>
    </row>
    <row r="20" spans="1:8" s="95" customFormat="1" ht="16.5" customHeight="1">
      <c r="A20" s="103" t="s">
        <v>533</v>
      </c>
      <c r="B20" s="97"/>
      <c r="C20" s="97"/>
      <c r="D20" s="97"/>
      <c r="E20" s="97"/>
      <c r="F20" s="97"/>
    </row>
    <row r="21" spans="1:8" ht="15.6">
      <c r="A21" s="428" t="s">
        <v>534</v>
      </c>
      <c r="B21" s="424" t="s">
        <v>519</v>
      </c>
      <c r="C21" s="423"/>
      <c r="D21" s="424" t="s">
        <v>520</v>
      </c>
      <c r="E21" s="423"/>
    </row>
    <row r="22" spans="1:8" ht="29.25" customHeight="1">
      <c r="A22" s="427"/>
      <c r="B22" s="111" t="s">
        <v>521</v>
      </c>
      <c r="C22" s="111" t="s">
        <v>522</v>
      </c>
      <c r="D22" s="111" t="s">
        <v>521</v>
      </c>
      <c r="E22" s="104" t="s">
        <v>522</v>
      </c>
    </row>
    <row r="23" spans="1:8" s="93" customFormat="1" ht="20.25" customHeight="1">
      <c r="A23" s="80" t="s">
        <v>535</v>
      </c>
      <c r="B23" s="82"/>
      <c r="C23" s="82"/>
      <c r="D23" s="82"/>
      <c r="E23" s="112"/>
      <c r="F23" s="97"/>
    </row>
    <row r="24" spans="1:8" ht="15.6">
      <c r="A24" s="113" t="s">
        <v>536</v>
      </c>
      <c r="B24" s="114"/>
      <c r="C24" s="114"/>
      <c r="D24" s="114"/>
      <c r="E24" s="114"/>
      <c r="G24" s="105"/>
      <c r="H24" s="105"/>
    </row>
    <row r="25" spans="1:8" ht="15.6">
      <c r="A25" s="113" t="s">
        <v>537</v>
      </c>
      <c r="B25" s="114"/>
      <c r="C25" s="114"/>
      <c r="D25" s="114"/>
      <c r="E25" s="114"/>
      <c r="G25" s="105"/>
      <c r="H25" s="105"/>
    </row>
    <row r="26" spans="1:8" ht="15.6">
      <c r="A26" s="113" t="s">
        <v>538</v>
      </c>
      <c r="B26" s="114"/>
      <c r="C26" s="114"/>
      <c r="D26" s="114"/>
      <c r="E26" s="114"/>
      <c r="G26" s="105"/>
      <c r="H26" s="105"/>
    </row>
    <row r="27" spans="1:8" ht="15.6">
      <c r="A27" s="115" t="s">
        <v>539</v>
      </c>
      <c r="B27" s="82"/>
      <c r="C27" s="82"/>
      <c r="D27" s="82"/>
      <c r="E27" s="112"/>
      <c r="G27" s="105"/>
      <c r="H27" s="105"/>
    </row>
    <row r="28" spans="1:8" ht="15.6">
      <c r="A28" s="115"/>
      <c r="B28" s="82"/>
      <c r="C28" s="82"/>
      <c r="D28" s="82"/>
      <c r="E28" s="112"/>
      <c r="G28" s="105"/>
      <c r="H28" s="105"/>
    </row>
    <row r="29" spans="1:8" s="94" customFormat="1" ht="15.6">
      <c r="A29" s="80" t="s">
        <v>540</v>
      </c>
      <c r="B29" s="81">
        <f>SUM(B24:B28)-B24-B25-B26</f>
        <v>0</v>
      </c>
      <c r="C29" s="81">
        <f>SUM(C24:C28)-C24-C25-C26</f>
        <v>0</v>
      </c>
      <c r="D29" s="81">
        <f>SUM(D24:D28)-D24-D25-D26</f>
        <v>0</v>
      </c>
      <c r="E29" s="81">
        <f>SUM(E24:E28)-E24-E25-E26</f>
        <v>0</v>
      </c>
      <c r="F29" s="97"/>
    </row>
    <row r="30" spans="1:8" s="95" customFormat="1" ht="16.5" customHeight="1">
      <c r="A30" s="80" t="s">
        <v>541</v>
      </c>
      <c r="B30" s="82"/>
      <c r="C30" s="82"/>
      <c r="D30" s="82"/>
      <c r="E30" s="112"/>
      <c r="F30" s="97"/>
    </row>
    <row r="31" spans="1:8" ht="15.6">
      <c r="A31" s="113" t="s">
        <v>511</v>
      </c>
      <c r="B31" s="82"/>
      <c r="C31" s="82"/>
      <c r="D31" s="82"/>
      <c r="E31" s="112"/>
    </row>
    <row r="32" spans="1:8" ht="29.25" customHeight="1">
      <c r="A32" s="113" t="s">
        <v>542</v>
      </c>
      <c r="B32" s="82"/>
      <c r="C32" s="82"/>
      <c r="D32" s="82"/>
      <c r="E32" s="112"/>
    </row>
    <row r="33" spans="1:9" s="93" customFormat="1" ht="20.25" customHeight="1">
      <c r="A33" s="116" t="s">
        <v>540</v>
      </c>
      <c r="B33" s="117">
        <f>SUM(B31:B32)</f>
        <v>0</v>
      </c>
      <c r="C33" s="117">
        <f>SUM(C31:C32)</f>
        <v>0</v>
      </c>
      <c r="D33" s="117">
        <f>SUM(D31:D32)</f>
        <v>0</v>
      </c>
      <c r="E33" s="117">
        <f>SUM(E31:E32)</f>
        <v>0</v>
      </c>
      <c r="F33" s="97"/>
    </row>
    <row r="34" spans="1:9" ht="15.6">
      <c r="A34" s="118" t="s">
        <v>525</v>
      </c>
      <c r="B34" s="119">
        <f>B29+B33</f>
        <v>0</v>
      </c>
      <c r="C34" s="119">
        <f>C29+C33</f>
        <v>0</v>
      </c>
      <c r="D34" s="119">
        <f>D29+D33</f>
        <v>0</v>
      </c>
      <c r="E34" s="119">
        <f>E29+E33</f>
        <v>0</v>
      </c>
      <c r="G34" s="105"/>
      <c r="H34" s="105"/>
    </row>
    <row r="35" spans="1:9" ht="17.399999999999999">
      <c r="A35" s="103" t="s">
        <v>543</v>
      </c>
      <c r="G35" s="105"/>
      <c r="H35" s="105"/>
    </row>
    <row r="36" spans="1:9" ht="15.6">
      <c r="A36" s="428" t="s">
        <v>544</v>
      </c>
      <c r="B36" s="424" t="s">
        <v>519</v>
      </c>
      <c r="C36" s="423"/>
      <c r="D36" s="424" t="s">
        <v>520</v>
      </c>
      <c r="E36" s="423"/>
      <c r="G36" s="105"/>
      <c r="H36" s="105"/>
    </row>
    <row r="37" spans="1:9" ht="15.6">
      <c r="A37" s="427"/>
      <c r="B37" s="111" t="s">
        <v>103</v>
      </c>
      <c r="C37" s="111" t="s">
        <v>545</v>
      </c>
      <c r="D37" s="111" t="s">
        <v>103</v>
      </c>
      <c r="E37" s="104" t="s">
        <v>545</v>
      </c>
      <c r="G37" s="105"/>
      <c r="H37" s="105"/>
    </row>
    <row r="38" spans="1:9" ht="15.6">
      <c r="A38" s="113" t="s">
        <v>546</v>
      </c>
      <c r="B38" s="81"/>
      <c r="C38" s="81"/>
      <c r="D38" s="81"/>
      <c r="E38" s="81"/>
      <c r="G38" s="105"/>
      <c r="H38" s="105"/>
    </row>
    <row r="39" spans="1:9" ht="15.6">
      <c r="A39" s="113" t="s">
        <v>547</v>
      </c>
      <c r="B39" s="81"/>
      <c r="C39" s="81"/>
      <c r="D39" s="81"/>
      <c r="E39" s="81"/>
      <c r="G39" s="105"/>
      <c r="H39" s="105"/>
    </row>
    <row r="40" spans="1:9" ht="29.25" customHeight="1">
      <c r="A40" s="113" t="s">
        <v>548</v>
      </c>
      <c r="B40" s="81"/>
      <c r="C40" s="81"/>
      <c r="D40" s="81"/>
      <c r="E40" s="81"/>
    </row>
    <row r="41" spans="1:9" ht="15.6">
      <c r="A41" s="115" t="s">
        <v>539</v>
      </c>
      <c r="B41" s="82"/>
      <c r="C41" s="82"/>
      <c r="D41" s="82"/>
      <c r="E41" s="112"/>
      <c r="G41" s="105"/>
      <c r="H41" s="105"/>
    </row>
    <row r="42" spans="1:9" ht="15.6">
      <c r="A42" s="120"/>
      <c r="B42" s="121"/>
      <c r="C42" s="121"/>
      <c r="D42" s="121"/>
      <c r="E42" s="122"/>
      <c r="G42" s="105"/>
      <c r="H42" s="105"/>
    </row>
    <row r="43" spans="1:9" ht="15.6">
      <c r="A43" s="118" t="s">
        <v>540</v>
      </c>
      <c r="B43" s="123">
        <f>B40+B39+B38</f>
        <v>0</v>
      </c>
      <c r="C43" s="123">
        <f>C40+C39+C38</f>
        <v>0</v>
      </c>
      <c r="D43" s="123">
        <f>D40+D39+D38</f>
        <v>0</v>
      </c>
      <c r="E43" s="123">
        <f>E40+E39+E38</f>
        <v>0</v>
      </c>
      <c r="G43" s="105"/>
      <c r="H43" s="105"/>
    </row>
    <row r="44" spans="1:9" ht="17.399999999999999">
      <c r="A44" s="103" t="s">
        <v>549</v>
      </c>
      <c r="G44" s="105"/>
      <c r="H44" s="105"/>
    </row>
    <row r="45" spans="1:9" ht="15.6">
      <c r="A45" s="429"/>
      <c r="B45" s="434" t="s">
        <v>519</v>
      </c>
      <c r="C45" s="434"/>
      <c r="D45" s="434"/>
      <c r="E45" s="434"/>
      <c r="F45" s="434"/>
      <c r="G45" s="434"/>
      <c r="H45" s="434"/>
      <c r="I45" s="434"/>
    </row>
    <row r="46" spans="1:9" ht="15.6">
      <c r="A46" s="430"/>
      <c r="B46" s="435" t="s">
        <v>536</v>
      </c>
      <c r="C46" s="435"/>
      <c r="D46" s="435" t="s">
        <v>537</v>
      </c>
      <c r="E46" s="435"/>
      <c r="F46" s="436" t="s">
        <v>538</v>
      </c>
      <c r="G46" s="436"/>
      <c r="H46" s="436" t="s">
        <v>550</v>
      </c>
      <c r="I46" s="436"/>
    </row>
    <row r="47" spans="1:9" ht="15.6">
      <c r="A47" s="431"/>
      <c r="B47" s="79" t="s">
        <v>521</v>
      </c>
      <c r="C47" s="79" t="s">
        <v>522</v>
      </c>
      <c r="D47" s="79" t="s">
        <v>521</v>
      </c>
      <c r="E47" s="79" t="s">
        <v>522</v>
      </c>
      <c r="F47" s="79" t="s">
        <v>521</v>
      </c>
      <c r="G47" s="79" t="s">
        <v>522</v>
      </c>
      <c r="H47" s="79" t="s">
        <v>521</v>
      </c>
      <c r="I47" s="79" t="s">
        <v>522</v>
      </c>
    </row>
    <row r="48" spans="1:9" ht="15.6">
      <c r="A48" s="80" t="s">
        <v>523</v>
      </c>
      <c r="B48" s="81">
        <f>SUM(B49:B51)</f>
        <v>0</v>
      </c>
      <c r="C48" s="81">
        <f t="shared" ref="C48:I48" si="0">SUM(C49:C51)</f>
        <v>0</v>
      </c>
      <c r="D48" s="81"/>
      <c r="E48" s="81"/>
      <c r="F48" s="81">
        <f t="shared" si="0"/>
        <v>0</v>
      </c>
      <c r="G48" s="81"/>
      <c r="H48" s="81"/>
      <c r="I48" s="81">
        <f t="shared" si="0"/>
        <v>0</v>
      </c>
    </row>
    <row r="49" spans="1:9" ht="15.6">
      <c r="A49" s="80" t="s">
        <v>551</v>
      </c>
      <c r="B49" s="81"/>
      <c r="C49" s="81"/>
      <c r="D49" s="81"/>
      <c r="E49" s="81"/>
      <c r="F49" s="81"/>
      <c r="G49" s="81"/>
      <c r="H49" s="81"/>
      <c r="I49" s="81"/>
    </row>
    <row r="50" spans="1:9" s="94" customFormat="1" ht="15.6">
      <c r="A50" s="80" t="s">
        <v>552</v>
      </c>
      <c r="B50" s="81"/>
      <c r="C50" s="81"/>
      <c r="D50" s="81"/>
      <c r="E50" s="81"/>
      <c r="F50" s="81"/>
      <c r="G50" s="81"/>
      <c r="H50" s="81"/>
      <c r="I50" s="81"/>
    </row>
    <row r="51" spans="1:9" s="95" customFormat="1" ht="16.5" customHeight="1">
      <c r="A51" s="80"/>
      <c r="B51" s="81"/>
      <c r="C51" s="81"/>
      <c r="D51" s="81"/>
      <c r="E51" s="81"/>
      <c r="F51" s="81"/>
      <c r="G51" s="81"/>
      <c r="H51" s="81"/>
      <c r="I51" s="81"/>
    </row>
    <row r="52" spans="1:9" ht="15.6">
      <c r="A52" s="80" t="s">
        <v>524</v>
      </c>
      <c r="B52" s="81">
        <f>SUM(B53:B55)</f>
        <v>0</v>
      </c>
      <c r="C52" s="81">
        <f t="shared" ref="C52:I52" si="1">SUM(C53:C55)</f>
        <v>0</v>
      </c>
      <c r="D52" s="81"/>
      <c r="E52" s="81"/>
      <c r="F52" s="81">
        <f t="shared" si="1"/>
        <v>0</v>
      </c>
      <c r="G52" s="81"/>
      <c r="H52" s="81"/>
      <c r="I52" s="81">
        <f t="shared" si="1"/>
        <v>0</v>
      </c>
    </row>
    <row r="53" spans="1:9" ht="15.6">
      <c r="A53" s="80" t="s">
        <v>551</v>
      </c>
      <c r="B53" s="81"/>
      <c r="C53" s="82"/>
      <c r="D53" s="82"/>
      <c r="E53" s="82"/>
      <c r="F53" s="82"/>
      <c r="G53" s="82"/>
      <c r="H53" s="82"/>
      <c r="I53" s="82"/>
    </row>
    <row r="54" spans="1:9" ht="15.6">
      <c r="A54" s="80" t="s">
        <v>552</v>
      </c>
      <c r="B54" s="82"/>
      <c r="C54" s="82"/>
      <c r="D54" s="82"/>
      <c r="E54" s="82"/>
      <c r="F54" s="82"/>
      <c r="G54" s="82"/>
      <c r="H54" s="82"/>
      <c r="I54" s="82"/>
    </row>
    <row r="55" spans="1:9" ht="15.6">
      <c r="A55" s="80" t="s">
        <v>553</v>
      </c>
      <c r="B55" s="82"/>
      <c r="C55" s="82"/>
      <c r="D55" s="82"/>
      <c r="E55" s="82"/>
      <c r="F55" s="82"/>
      <c r="G55" s="82"/>
      <c r="H55" s="82"/>
      <c r="I55" s="82"/>
    </row>
    <row r="56" spans="1:9" ht="15.6">
      <c r="A56" s="83" t="s">
        <v>525</v>
      </c>
      <c r="B56" s="84">
        <f>B52+B48</f>
        <v>0</v>
      </c>
      <c r="C56" s="84">
        <f>C52+C48</f>
        <v>0</v>
      </c>
      <c r="D56" s="84"/>
      <c r="E56" s="84"/>
      <c r="F56" s="84">
        <f>F52+F48</f>
        <v>0</v>
      </c>
      <c r="G56" s="84"/>
      <c r="H56" s="84"/>
      <c r="I56" s="84">
        <f>I52+I48</f>
        <v>0</v>
      </c>
    </row>
    <row r="57" spans="1:9" ht="15.6">
      <c r="A57" s="92" t="s">
        <v>554</v>
      </c>
    </row>
    <row r="58" spans="1:9" ht="17.399999999999999">
      <c r="A58" s="124" t="s">
        <v>555</v>
      </c>
    </row>
    <row r="59" spans="1:9" ht="17.399999999999999">
      <c r="A59" s="124" t="s">
        <v>556</v>
      </c>
    </row>
    <row r="60" spans="1:9" ht="17.399999999999999">
      <c r="A60" s="124" t="s">
        <v>557</v>
      </c>
    </row>
    <row r="61" spans="1:9" ht="15.6">
      <c r="A61" s="92" t="s">
        <v>558</v>
      </c>
    </row>
    <row r="62" spans="1:9" ht="17.399999999999999">
      <c r="A62" s="125" t="s">
        <v>559</v>
      </c>
    </row>
    <row r="63" spans="1:9" ht="15.6">
      <c r="A63" s="103" t="s">
        <v>560</v>
      </c>
    </row>
    <row r="64" spans="1:9" ht="15.6">
      <c r="A64" s="92" t="s">
        <v>561</v>
      </c>
    </row>
    <row r="65" spans="1:4" ht="15.6">
      <c r="A65" s="103" t="s">
        <v>562</v>
      </c>
    </row>
    <row r="66" spans="1:4" ht="15.6">
      <c r="A66" s="92" t="s">
        <v>563</v>
      </c>
    </row>
    <row r="67" spans="1:4" ht="15.6">
      <c r="A67" s="80" t="s">
        <v>564</v>
      </c>
    </row>
    <row r="68" spans="1:4" ht="17.399999999999999">
      <c r="A68" s="83" t="s">
        <v>565</v>
      </c>
      <c r="B68" s="126" t="s">
        <v>566</v>
      </c>
      <c r="C68" s="126" t="s">
        <v>567</v>
      </c>
      <c r="D68" s="127" t="s">
        <v>500</v>
      </c>
    </row>
    <row r="69" spans="1:4" ht="15.6">
      <c r="A69" s="80" t="s">
        <v>568</v>
      </c>
      <c r="B69" s="82"/>
      <c r="C69" s="82"/>
      <c r="D69" s="128">
        <f>SUM(B69:C69)</f>
        <v>0</v>
      </c>
    </row>
    <row r="70" spans="1:4" ht="15.6">
      <c r="A70" s="116"/>
      <c r="B70" s="121"/>
      <c r="C70" s="121"/>
      <c r="D70" s="117">
        <f>SUM(B70:C70)</f>
        <v>0</v>
      </c>
    </row>
    <row r="71" spans="1:4" ht="15.6">
      <c r="A71" s="92" t="s">
        <v>569</v>
      </c>
    </row>
    <row r="72" spans="1:4" ht="15.6">
      <c r="A72" s="92" t="s">
        <v>570</v>
      </c>
    </row>
    <row r="73" spans="1:4" ht="15.6">
      <c r="A73" s="92" t="s">
        <v>571</v>
      </c>
    </row>
    <row r="74" spans="1:4" ht="15.6">
      <c r="A74" s="92" t="s">
        <v>572</v>
      </c>
    </row>
    <row r="75" spans="1:4" ht="15.6">
      <c r="A75" s="92" t="s">
        <v>573</v>
      </c>
    </row>
    <row r="76" spans="1:4" ht="15.6">
      <c r="A76" s="92" t="s">
        <v>574</v>
      </c>
    </row>
    <row r="77" spans="1:4" ht="15.6">
      <c r="A77" s="92" t="s">
        <v>575</v>
      </c>
    </row>
    <row r="78" spans="1:4" ht="20.100000000000001" customHeight="1">
      <c r="A78" s="80" t="s">
        <v>576</v>
      </c>
    </row>
    <row r="79" spans="1:4" ht="20.100000000000001" customHeight="1">
      <c r="A79" s="92" t="s">
        <v>577</v>
      </c>
    </row>
    <row r="80" spans="1:4" ht="20.100000000000001" customHeight="1">
      <c r="A80" s="80" t="s">
        <v>578</v>
      </c>
    </row>
    <row r="81" spans="1:5" ht="20.100000000000001" customHeight="1">
      <c r="A81" s="92" t="s">
        <v>579</v>
      </c>
      <c r="E81" s="129"/>
    </row>
    <row r="82" spans="1:5" ht="20.100000000000001" customHeight="1">
      <c r="A82" s="432" t="s">
        <v>490</v>
      </c>
      <c r="B82" s="425" t="s">
        <v>519</v>
      </c>
      <c r="C82" s="425"/>
      <c r="D82" s="425" t="s">
        <v>520</v>
      </c>
      <c r="E82" s="425"/>
    </row>
    <row r="83" spans="1:5" ht="20.100000000000001" customHeight="1">
      <c r="A83" s="433"/>
      <c r="B83" s="130" t="s">
        <v>521</v>
      </c>
      <c r="C83" s="130" t="s">
        <v>522</v>
      </c>
      <c r="D83" s="130" t="s">
        <v>521</v>
      </c>
      <c r="E83" s="130" t="s">
        <v>522</v>
      </c>
    </row>
    <row r="84" spans="1:5" ht="20.100000000000001" customHeight="1">
      <c r="A84" s="80" t="s">
        <v>580</v>
      </c>
      <c r="B84" s="82"/>
      <c r="C84" s="82"/>
      <c r="D84" s="82"/>
      <c r="E84" s="82"/>
    </row>
    <row r="85" spans="1:5" ht="20.100000000000001" customHeight="1">
      <c r="A85" s="116" t="s">
        <v>581</v>
      </c>
      <c r="B85" s="121"/>
      <c r="C85" s="121"/>
      <c r="D85" s="121"/>
      <c r="E85" s="121"/>
    </row>
  </sheetData>
  <mergeCells count="20">
    <mergeCell ref="B82:C82"/>
    <mergeCell ref="D82:E82"/>
    <mergeCell ref="A8:A9"/>
    <mergeCell ref="A21:A22"/>
    <mergeCell ref="A36:A37"/>
    <mergeCell ref="A45:A47"/>
    <mergeCell ref="A82:A83"/>
    <mergeCell ref="B36:C36"/>
    <mergeCell ref="D36:E36"/>
    <mergeCell ref="B45:I45"/>
    <mergeCell ref="B46:C46"/>
    <mergeCell ref="D46:E46"/>
    <mergeCell ref="F46:G46"/>
    <mergeCell ref="H46:I46"/>
    <mergeCell ref="A1:I1"/>
    <mergeCell ref="A2:I2"/>
    <mergeCell ref="B8:C8"/>
    <mergeCell ref="D8:E8"/>
    <mergeCell ref="B21:C21"/>
    <mergeCell ref="D21:E21"/>
  </mergeCells>
  <phoneticPr fontId="172" type="noConversion"/>
  <pageMargins left="0.70833333333333304" right="0.70833333333333304" top="0.74791666666666701" bottom="0.74791666666666701" header="0.31458333333333299" footer="0.31458333333333299"/>
  <pageSetup paperSize="9" scale="65" orientation="landscape" blackAndWhite="1" horizontalDpi="1200" verticalDpi="1200"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S72"/>
  <sheetViews>
    <sheetView view="pageBreakPreview" zoomScaleNormal="60" workbookViewId="0">
      <pane xSplit="1" ySplit="5" topLeftCell="B21" activePane="bottomRight" state="frozen"/>
      <selection pane="topRight"/>
      <selection pane="bottomLeft"/>
      <selection pane="bottomRight" sqref="A1:I1"/>
    </sheetView>
  </sheetViews>
  <sheetFormatPr defaultColWidth="8.09765625" defaultRowHeight="20.25" customHeight="1"/>
  <cols>
    <col min="1" max="1" width="32.19921875" style="56" customWidth="1"/>
    <col min="2" max="2" width="17.09765625" style="56" customWidth="1"/>
    <col min="3" max="3" width="18.69921875" style="56" customWidth="1"/>
    <col min="4" max="4" width="20.69921875" style="56" customWidth="1"/>
    <col min="5" max="11" width="20" style="56" customWidth="1"/>
    <col min="12" max="15" width="18.69921875" style="56" customWidth="1"/>
    <col min="16" max="18" width="15.69921875" style="56" customWidth="1"/>
    <col min="19" max="19" width="16.69921875" style="56" customWidth="1"/>
    <col min="20" max="20" width="8.09765625" style="56" customWidth="1"/>
    <col min="21" max="16384" width="8.09765625" style="56"/>
  </cols>
  <sheetData>
    <row r="1" spans="1:19" ht="20.25" customHeight="1">
      <c r="A1" s="419" t="s">
        <v>98</v>
      </c>
      <c r="B1" s="419"/>
      <c r="C1" s="419"/>
      <c r="D1" s="419"/>
      <c r="E1" s="419"/>
      <c r="F1" s="419"/>
      <c r="G1" s="419"/>
      <c r="H1" s="419"/>
      <c r="I1" s="419"/>
    </row>
    <row r="2" spans="1:19" ht="20.25" customHeight="1">
      <c r="A2" s="420" t="s">
        <v>582</v>
      </c>
      <c r="B2" s="421"/>
      <c r="C2" s="421"/>
      <c r="D2" s="421"/>
      <c r="E2" s="421"/>
      <c r="F2" s="421"/>
      <c r="G2" s="421"/>
      <c r="H2" s="421"/>
      <c r="I2" s="421"/>
    </row>
    <row r="3" spans="1:19" ht="20.25" customHeight="1">
      <c r="A3" s="57" t="s">
        <v>700</v>
      </c>
      <c r="B3" s="57"/>
      <c r="C3" s="57" t="s">
        <v>8</v>
      </c>
      <c r="D3" s="57"/>
      <c r="E3" s="57" t="s">
        <v>11</v>
      </c>
      <c r="F3" s="57"/>
      <c r="G3" s="57"/>
      <c r="H3" s="57"/>
      <c r="I3" s="320" t="s">
        <v>703</v>
      </c>
    </row>
    <row r="4" spans="1:19" ht="20.25" customHeight="1">
      <c r="A4" s="57" t="s">
        <v>701</v>
      </c>
      <c r="B4" s="57"/>
      <c r="C4" s="57" t="s">
        <v>14</v>
      </c>
      <c r="D4" s="57"/>
      <c r="E4" s="57" t="s">
        <v>16</v>
      </c>
      <c r="F4" s="57"/>
      <c r="G4" s="57"/>
      <c r="H4" s="57"/>
      <c r="I4" s="91" t="s">
        <v>515</v>
      </c>
    </row>
    <row r="5" spans="1:19" s="55" customFormat="1" ht="28.5" customHeight="1">
      <c r="A5" s="58" t="s">
        <v>583</v>
      </c>
      <c r="B5" s="58"/>
      <c r="C5" s="58"/>
      <c r="D5" s="59"/>
      <c r="E5" s="59"/>
      <c r="F5" s="58"/>
      <c r="G5" s="58"/>
      <c r="H5" s="58"/>
      <c r="I5" s="58"/>
      <c r="J5" s="58"/>
      <c r="K5" s="58"/>
      <c r="L5" s="58"/>
      <c r="M5" s="58"/>
      <c r="N5" s="58"/>
      <c r="O5" s="58"/>
      <c r="P5" s="58"/>
      <c r="Q5" s="58"/>
      <c r="R5" s="58"/>
      <c r="S5" s="58"/>
    </row>
    <row r="6" spans="1:19" ht="15.6">
      <c r="A6" s="60" t="s">
        <v>584</v>
      </c>
    </row>
    <row r="7" spans="1:19" ht="12">
      <c r="A7" s="439" t="s">
        <v>518</v>
      </c>
      <c r="B7" s="437" t="s">
        <v>519</v>
      </c>
      <c r="C7" s="423"/>
      <c r="D7" s="437" t="s">
        <v>520</v>
      </c>
      <c r="E7" s="423"/>
    </row>
    <row r="8" spans="1:19" ht="14.4">
      <c r="A8" s="427"/>
      <c r="B8" s="61" t="s">
        <v>521</v>
      </c>
      <c r="C8" s="61" t="s">
        <v>522</v>
      </c>
      <c r="D8" s="61" t="s">
        <v>521</v>
      </c>
      <c r="E8" s="61" t="s">
        <v>522</v>
      </c>
    </row>
    <row r="9" spans="1:19" ht="14.4">
      <c r="A9" s="62" t="s">
        <v>523</v>
      </c>
      <c r="B9" s="319"/>
      <c r="C9" s="319"/>
      <c r="D9" s="319"/>
      <c r="E9" s="319"/>
    </row>
    <row r="10" spans="1:19" ht="14.4">
      <c r="A10" s="62" t="s">
        <v>524</v>
      </c>
      <c r="B10" s="319"/>
      <c r="C10" s="319"/>
      <c r="D10" s="319"/>
      <c r="E10" s="319"/>
    </row>
    <row r="11" spans="1:19" ht="14.4">
      <c r="A11" s="63" t="s">
        <v>525</v>
      </c>
      <c r="B11" s="64">
        <f>SUM(B9:B10)</f>
        <v>0</v>
      </c>
      <c r="C11" s="64">
        <f>SUM(C9:C10)</f>
        <v>0</v>
      </c>
      <c r="D11" s="64">
        <f>SUM(D9:D10)</f>
        <v>0</v>
      </c>
      <c r="E11" s="64">
        <f>SUM(E9:E10)</f>
        <v>0</v>
      </c>
    </row>
    <row r="12" spans="1:19" ht="15.6">
      <c r="A12" s="65" t="s">
        <v>529</v>
      </c>
    </row>
    <row r="13" spans="1:19" ht="15.6">
      <c r="A13" s="65" t="s">
        <v>530</v>
      </c>
    </row>
    <row r="14" spans="1:19" ht="15.6">
      <c r="A14" s="65" t="s">
        <v>585</v>
      </c>
    </row>
    <row r="15" spans="1:19" ht="15.6">
      <c r="A15" s="65" t="s">
        <v>586</v>
      </c>
    </row>
    <row r="16" spans="1:19" ht="15.6">
      <c r="A16" s="66" t="s">
        <v>587</v>
      </c>
    </row>
    <row r="17" spans="1:5" ht="14.4">
      <c r="A17" s="440" t="s">
        <v>534</v>
      </c>
      <c r="B17" s="438" t="s">
        <v>519</v>
      </c>
      <c r="C17" s="423"/>
      <c r="D17" s="438" t="s">
        <v>520</v>
      </c>
      <c r="E17" s="423"/>
    </row>
    <row r="18" spans="1:5" ht="14.4">
      <c r="A18" s="427"/>
      <c r="B18" s="67" t="s">
        <v>521</v>
      </c>
      <c r="C18" s="67" t="s">
        <v>522</v>
      </c>
      <c r="D18" s="67" t="s">
        <v>521</v>
      </c>
      <c r="E18" s="68" t="s">
        <v>522</v>
      </c>
    </row>
    <row r="19" spans="1:5" ht="14.4">
      <c r="A19" s="69" t="s">
        <v>535</v>
      </c>
      <c r="B19" s="70"/>
      <c r="C19" s="70"/>
      <c r="D19" s="70"/>
      <c r="E19" s="71"/>
    </row>
    <row r="20" spans="1:5" ht="14.4">
      <c r="A20" s="72" t="s">
        <v>536</v>
      </c>
      <c r="B20" s="70"/>
      <c r="C20" s="70"/>
      <c r="D20" s="70"/>
      <c r="E20" s="71"/>
    </row>
    <row r="21" spans="1:5" ht="14.4">
      <c r="A21" s="72" t="s">
        <v>537</v>
      </c>
      <c r="B21" s="70"/>
      <c r="C21" s="70"/>
      <c r="D21" s="70"/>
      <c r="E21" s="71"/>
    </row>
    <row r="22" spans="1:5" ht="14.4">
      <c r="A22" s="72" t="s">
        <v>538</v>
      </c>
      <c r="B22" s="70"/>
      <c r="C22" s="70"/>
      <c r="D22" s="70"/>
      <c r="E22" s="71"/>
    </row>
    <row r="23" spans="1:5" ht="14.4">
      <c r="A23" s="69" t="s">
        <v>540</v>
      </c>
      <c r="B23" s="70">
        <f>B20+B21+B22</f>
        <v>0</v>
      </c>
      <c r="C23" s="70">
        <f>C20+C21+C22</f>
        <v>0</v>
      </c>
      <c r="D23" s="70">
        <f>D20+D21+D22</f>
        <v>0</v>
      </c>
      <c r="E23" s="70">
        <f>E20+E21+E22</f>
        <v>0</v>
      </c>
    </row>
    <row r="24" spans="1:5" ht="14.4">
      <c r="A24" s="69" t="s">
        <v>541</v>
      </c>
      <c r="B24" s="70"/>
      <c r="C24" s="70"/>
      <c r="D24" s="70"/>
      <c r="E24" s="71"/>
    </row>
    <row r="25" spans="1:5" ht="14.4">
      <c r="A25" s="72" t="s">
        <v>511</v>
      </c>
      <c r="B25" s="70"/>
      <c r="C25" s="70"/>
      <c r="D25" s="70"/>
      <c r="E25" s="71"/>
    </row>
    <row r="26" spans="1:5" ht="14.4">
      <c r="A26" s="72" t="s">
        <v>542</v>
      </c>
      <c r="B26" s="70"/>
      <c r="C26" s="70"/>
      <c r="D26" s="70"/>
      <c r="E26" s="71"/>
    </row>
    <row r="27" spans="1:5" ht="14.4">
      <c r="A27" s="73" t="s">
        <v>540</v>
      </c>
      <c r="B27" s="74">
        <f>B25+B26</f>
        <v>0</v>
      </c>
      <c r="C27" s="74">
        <f>C25+C26</f>
        <v>0</v>
      </c>
      <c r="D27" s="74">
        <f>D25+D26</f>
        <v>0</v>
      </c>
      <c r="E27" s="74">
        <f>E25+E26</f>
        <v>0</v>
      </c>
    </row>
    <row r="28" spans="1:5" ht="14.4">
      <c r="A28" s="75" t="s">
        <v>525</v>
      </c>
      <c r="B28" s="76">
        <f>B23+B27</f>
        <v>0</v>
      </c>
      <c r="C28" s="76">
        <f>C23+C27</f>
        <v>0</v>
      </c>
      <c r="D28" s="76">
        <f>D23+D27</f>
        <v>0</v>
      </c>
      <c r="E28" s="76">
        <f>E23+E27</f>
        <v>0</v>
      </c>
    </row>
    <row r="29" spans="1:5" ht="15.6">
      <c r="A29" s="65" t="s">
        <v>588</v>
      </c>
    </row>
    <row r="30" spans="1:5" ht="14.4">
      <c r="A30" s="440" t="s">
        <v>544</v>
      </c>
      <c r="B30" s="438" t="s">
        <v>519</v>
      </c>
      <c r="C30" s="423"/>
      <c r="D30" s="438" t="s">
        <v>520</v>
      </c>
      <c r="E30" s="423"/>
    </row>
    <row r="31" spans="1:5" ht="14.4">
      <c r="A31" s="427"/>
      <c r="B31" s="67" t="s">
        <v>521</v>
      </c>
      <c r="C31" s="67" t="s">
        <v>522</v>
      </c>
      <c r="D31" s="67" t="s">
        <v>521</v>
      </c>
      <c r="E31" s="68" t="s">
        <v>522</v>
      </c>
    </row>
    <row r="32" spans="1:5" ht="14.4">
      <c r="A32" s="72" t="s">
        <v>546</v>
      </c>
      <c r="B32" s="70"/>
      <c r="C32" s="70"/>
      <c r="D32" s="70"/>
      <c r="E32" s="71"/>
    </row>
    <row r="33" spans="1:9" ht="14.4">
      <c r="A33" s="72" t="s">
        <v>547</v>
      </c>
      <c r="B33" s="70"/>
      <c r="C33" s="70"/>
      <c r="D33" s="70"/>
      <c r="E33" s="71"/>
    </row>
    <row r="34" spans="1:9" ht="14.4">
      <c r="A34" s="72" t="s">
        <v>548</v>
      </c>
      <c r="B34" s="70"/>
      <c r="C34" s="70"/>
      <c r="D34" s="70"/>
      <c r="E34" s="71"/>
    </row>
    <row r="35" spans="1:9" ht="14.4">
      <c r="A35" s="77"/>
      <c r="B35" s="74"/>
      <c r="C35" s="74"/>
      <c r="D35" s="74"/>
      <c r="E35" s="78"/>
    </row>
    <row r="36" spans="1:9" ht="14.4">
      <c r="A36" s="75" t="s">
        <v>540</v>
      </c>
      <c r="B36" s="76">
        <f>B32+B33+B34</f>
        <v>0</v>
      </c>
      <c r="C36" s="76">
        <f>C32+C33+C34</f>
        <v>0</v>
      </c>
      <c r="D36" s="76">
        <f>D32+D33+D34</f>
        <v>0</v>
      </c>
      <c r="E36" s="76">
        <f>E32+E33+E34</f>
        <v>0</v>
      </c>
    </row>
    <row r="37" spans="1:9" ht="15.6">
      <c r="A37" s="60" t="s">
        <v>589</v>
      </c>
    </row>
    <row r="38" spans="1:9" ht="15.6">
      <c r="A38" s="429"/>
      <c r="B38" s="434" t="s">
        <v>519</v>
      </c>
      <c r="C38" s="434"/>
      <c r="D38" s="434"/>
      <c r="E38" s="434"/>
      <c r="F38" s="434"/>
      <c r="G38" s="434"/>
      <c r="H38" s="434"/>
      <c r="I38" s="434"/>
    </row>
    <row r="39" spans="1:9" ht="15.6">
      <c r="A39" s="430"/>
      <c r="B39" s="435" t="s">
        <v>536</v>
      </c>
      <c r="C39" s="435"/>
      <c r="D39" s="435" t="s">
        <v>537</v>
      </c>
      <c r="E39" s="435"/>
      <c r="F39" s="436" t="s">
        <v>538</v>
      </c>
      <c r="G39" s="436"/>
      <c r="H39" s="436" t="s">
        <v>550</v>
      </c>
      <c r="I39" s="436"/>
    </row>
    <row r="40" spans="1:9" ht="15.6">
      <c r="A40" s="431"/>
      <c r="B40" s="79" t="s">
        <v>521</v>
      </c>
      <c r="C40" s="79" t="s">
        <v>522</v>
      </c>
      <c r="D40" s="79" t="s">
        <v>521</v>
      </c>
      <c r="E40" s="79" t="s">
        <v>522</v>
      </c>
      <c r="F40" s="79" t="s">
        <v>521</v>
      </c>
      <c r="G40" s="79" t="s">
        <v>522</v>
      </c>
      <c r="H40" s="79" t="s">
        <v>521</v>
      </c>
      <c r="I40" s="79" t="s">
        <v>522</v>
      </c>
    </row>
    <row r="41" spans="1:9" ht="15.6">
      <c r="A41" s="80" t="s">
        <v>523</v>
      </c>
      <c r="B41" s="81">
        <f>SUM(B42:B44)</f>
        <v>0</v>
      </c>
      <c r="C41" s="81">
        <f t="shared" ref="C41:I41" si="0">SUM(C42:C44)</f>
        <v>0</v>
      </c>
      <c r="D41" s="81"/>
      <c r="E41" s="81"/>
      <c r="F41" s="81">
        <f t="shared" si="0"/>
        <v>0</v>
      </c>
      <c r="G41" s="81"/>
      <c r="H41" s="81"/>
      <c r="I41" s="81">
        <f t="shared" si="0"/>
        <v>0</v>
      </c>
    </row>
    <row r="42" spans="1:9" ht="15.6">
      <c r="A42" s="80" t="s">
        <v>551</v>
      </c>
      <c r="B42" s="81"/>
      <c r="C42" s="81"/>
      <c r="D42" s="81"/>
      <c r="E42" s="81"/>
      <c r="F42" s="81"/>
      <c r="G42" s="81"/>
      <c r="H42" s="81"/>
      <c r="I42" s="81"/>
    </row>
    <row r="43" spans="1:9" ht="15.6">
      <c r="A43" s="80" t="s">
        <v>552</v>
      </c>
      <c r="B43" s="81"/>
      <c r="C43" s="81"/>
      <c r="D43" s="81"/>
      <c r="E43" s="81"/>
      <c r="F43" s="81"/>
      <c r="G43" s="81"/>
      <c r="H43" s="81"/>
      <c r="I43" s="81"/>
    </row>
    <row r="44" spans="1:9" ht="15.6">
      <c r="A44" s="80"/>
      <c r="B44" s="81"/>
      <c r="C44" s="81"/>
      <c r="D44" s="81"/>
      <c r="E44" s="81"/>
      <c r="F44" s="81"/>
      <c r="G44" s="81"/>
      <c r="H44" s="81"/>
      <c r="I44" s="81"/>
    </row>
    <row r="45" spans="1:9" ht="15.6">
      <c r="A45" s="80" t="s">
        <v>524</v>
      </c>
      <c r="B45" s="81">
        <f>SUM(B46:B48)</f>
        <v>0</v>
      </c>
      <c r="C45" s="81">
        <f t="shared" ref="C45:I45" si="1">SUM(C46:C48)</f>
        <v>0</v>
      </c>
      <c r="D45" s="81"/>
      <c r="E45" s="81"/>
      <c r="F45" s="81">
        <f t="shared" si="1"/>
        <v>0</v>
      </c>
      <c r="G45" s="81"/>
      <c r="H45" s="81"/>
      <c r="I45" s="81">
        <f t="shared" si="1"/>
        <v>0</v>
      </c>
    </row>
    <row r="46" spans="1:9" ht="15.6">
      <c r="A46" s="80" t="s">
        <v>551</v>
      </c>
      <c r="B46" s="81"/>
      <c r="C46" s="82"/>
      <c r="D46" s="82"/>
      <c r="E46" s="82"/>
      <c r="F46" s="82"/>
      <c r="G46" s="82"/>
      <c r="H46" s="82"/>
      <c r="I46" s="82"/>
    </row>
    <row r="47" spans="1:9" ht="15.6">
      <c r="A47" s="80" t="s">
        <v>552</v>
      </c>
      <c r="B47" s="82"/>
      <c r="C47" s="82"/>
      <c r="D47" s="82"/>
      <c r="E47" s="82"/>
      <c r="F47" s="82"/>
      <c r="G47" s="82"/>
      <c r="H47" s="82"/>
      <c r="I47" s="82"/>
    </row>
    <row r="48" spans="1:9" ht="15.6">
      <c r="A48" s="80" t="s">
        <v>553</v>
      </c>
      <c r="B48" s="82"/>
      <c r="C48" s="82"/>
      <c r="D48" s="82"/>
      <c r="E48" s="82"/>
      <c r="F48" s="82"/>
      <c r="G48" s="82"/>
      <c r="H48" s="82"/>
      <c r="I48" s="82"/>
    </row>
    <row r="49" spans="1:9" ht="15.6">
      <c r="A49" s="83" t="s">
        <v>525</v>
      </c>
      <c r="B49" s="84">
        <f>B45+B41</f>
        <v>0</v>
      </c>
      <c r="C49" s="84">
        <f>C45+C41</f>
        <v>0</v>
      </c>
      <c r="D49" s="84"/>
      <c r="E49" s="84"/>
      <c r="F49" s="84">
        <f>F45+F41</f>
        <v>0</v>
      </c>
      <c r="G49" s="84"/>
      <c r="H49" s="84"/>
      <c r="I49" s="84">
        <f>I45+I41</f>
        <v>0</v>
      </c>
    </row>
    <row r="50" spans="1:9" ht="15.6">
      <c r="A50" s="65" t="s">
        <v>590</v>
      </c>
    </row>
    <row r="51" spans="1:9" ht="15.6">
      <c r="A51" s="65" t="s">
        <v>555</v>
      </c>
    </row>
    <row r="52" spans="1:9" ht="15.6">
      <c r="A52" s="65" t="s">
        <v>556</v>
      </c>
    </row>
    <row r="53" spans="1:9" ht="15.6">
      <c r="A53" s="65" t="s">
        <v>557</v>
      </c>
    </row>
    <row r="54" spans="1:9" ht="15.6">
      <c r="A54" s="65" t="s">
        <v>558</v>
      </c>
    </row>
    <row r="55" spans="1:9" ht="15.6">
      <c r="A55" s="85" t="s">
        <v>559</v>
      </c>
    </row>
    <row r="56" spans="1:9" ht="15.6">
      <c r="A56" s="60" t="s">
        <v>591</v>
      </c>
    </row>
    <row r="57" spans="1:9" ht="15.6">
      <c r="A57" s="65" t="s">
        <v>592</v>
      </c>
    </row>
    <row r="58" spans="1:9" ht="15.6">
      <c r="A58" s="60" t="s">
        <v>562</v>
      </c>
    </row>
    <row r="59" spans="1:9" ht="15.6">
      <c r="A59" s="65" t="s">
        <v>593</v>
      </c>
    </row>
    <row r="60" spans="1:9" ht="15.6">
      <c r="A60" s="66" t="s">
        <v>564</v>
      </c>
    </row>
    <row r="61" spans="1:9" ht="14.4">
      <c r="A61" s="86" t="s">
        <v>565</v>
      </c>
      <c r="B61" s="87" t="s">
        <v>594</v>
      </c>
      <c r="C61" s="87" t="s">
        <v>595</v>
      </c>
      <c r="D61" s="88" t="s">
        <v>500</v>
      </c>
    </row>
    <row r="62" spans="1:9" ht="14.4">
      <c r="A62" s="89" t="s">
        <v>568</v>
      </c>
      <c r="B62" s="70"/>
      <c r="C62" s="70"/>
      <c r="D62" s="70"/>
    </row>
    <row r="63" spans="1:9" ht="14.4">
      <c r="A63" s="90"/>
      <c r="B63" s="74"/>
      <c r="C63" s="74"/>
      <c r="D63" s="74"/>
    </row>
    <row r="64" spans="1:9" ht="15.6">
      <c r="A64" s="65" t="s">
        <v>596</v>
      </c>
    </row>
    <row r="65" spans="1:1" ht="15.6">
      <c r="A65" s="65" t="s">
        <v>570</v>
      </c>
    </row>
    <row r="66" spans="1:1" ht="15.6">
      <c r="A66" s="65" t="s">
        <v>571</v>
      </c>
    </row>
    <row r="67" spans="1:1" ht="15.6">
      <c r="A67" s="65" t="s">
        <v>572</v>
      </c>
    </row>
    <row r="68" spans="1:1" ht="15.6">
      <c r="A68" s="65" t="s">
        <v>573</v>
      </c>
    </row>
    <row r="69" spans="1:1" ht="15.6">
      <c r="A69" s="65" t="s">
        <v>574</v>
      </c>
    </row>
    <row r="70" spans="1:1" ht="15.6">
      <c r="A70" s="65" t="s">
        <v>575</v>
      </c>
    </row>
    <row r="71" spans="1:1" ht="20.25" customHeight="1">
      <c r="A71" s="80" t="s">
        <v>576</v>
      </c>
    </row>
    <row r="72" spans="1:1" ht="20.25" customHeight="1">
      <c r="A72" s="92" t="s">
        <v>597</v>
      </c>
    </row>
  </sheetData>
  <mergeCells count="17">
    <mergeCell ref="A30:A31"/>
    <mergeCell ref="A38:A40"/>
    <mergeCell ref="B30:C30"/>
    <mergeCell ref="D30:E30"/>
    <mergeCell ref="B38:I38"/>
    <mergeCell ref="B39:C39"/>
    <mergeCell ref="D39:E39"/>
    <mergeCell ref="F39:G39"/>
    <mergeCell ref="H39:I39"/>
    <mergeCell ref="A1:I1"/>
    <mergeCell ref="A2:I2"/>
    <mergeCell ref="B7:C7"/>
    <mergeCell ref="D7:E7"/>
    <mergeCell ref="B17:C17"/>
    <mergeCell ref="D17:E17"/>
    <mergeCell ref="A7:A8"/>
    <mergeCell ref="A17:A18"/>
  </mergeCells>
  <phoneticPr fontId="172" type="noConversion"/>
  <pageMargins left="0.70833333333333304" right="0.70833333333333304" top="0.74791666666666701" bottom="0.74791666666666701" header="0.31458333333333299" footer="0.31458333333333299"/>
  <pageSetup paperSize="9" scale="65" orientation="landscape" blackAndWhite="1" horizontalDpi="1200" verticalDpi="1200"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32"/>
  <sheetViews>
    <sheetView view="pageBreakPreview" topLeftCell="A16" zoomScale="90" zoomScaleNormal="100" workbookViewId="0">
      <selection activeCell="D30" sqref="D30"/>
    </sheetView>
  </sheetViews>
  <sheetFormatPr defaultColWidth="9" defaultRowHeight="20.100000000000001" customHeight="1"/>
  <cols>
    <col min="1" max="1" width="12.8984375" style="1" customWidth="1"/>
    <col min="2" max="13" width="9.296875" style="1" customWidth="1"/>
    <col min="14" max="14" width="9.3984375" style="1" customWidth="1"/>
    <col min="15" max="15" width="10.796875" style="1" customWidth="1"/>
    <col min="16" max="16" width="11.296875" style="1" customWidth="1"/>
    <col min="17" max="17" width="9.796875" style="1" customWidth="1"/>
    <col min="18" max="18" width="10" style="1" customWidth="1"/>
    <col min="19" max="19" width="11.3984375" style="1" customWidth="1"/>
    <col min="20" max="20" width="9.3984375" style="1" customWidth="1"/>
    <col min="21" max="16384" width="9" style="1"/>
  </cols>
  <sheetData>
    <row r="1" spans="1:22" s="32" customFormat="1" ht="20.100000000000001" customHeight="1">
      <c r="A1" s="441" t="s">
        <v>23</v>
      </c>
      <c r="B1" s="441"/>
      <c r="C1" s="441"/>
      <c r="D1" s="441"/>
      <c r="E1" s="441"/>
      <c r="F1" s="441"/>
      <c r="G1" s="441"/>
      <c r="H1" s="441"/>
      <c r="I1" s="441"/>
      <c r="J1" s="441"/>
      <c r="K1" s="441"/>
      <c r="L1" s="441"/>
      <c r="M1" s="441"/>
      <c r="N1" s="441"/>
      <c r="O1" s="441"/>
      <c r="P1" s="441"/>
      <c r="Q1" s="441"/>
      <c r="R1" s="441"/>
      <c r="S1" s="441"/>
      <c r="T1" s="441"/>
      <c r="U1" s="441"/>
      <c r="V1" s="441"/>
    </row>
    <row r="2" spans="1:22" s="32" customFormat="1" ht="20.100000000000001" customHeight="1">
      <c r="A2" s="442" t="s">
        <v>598</v>
      </c>
      <c r="B2" s="442"/>
      <c r="C2" s="442"/>
      <c r="D2" s="442"/>
      <c r="E2" s="442"/>
      <c r="F2" s="442"/>
      <c r="G2" s="442"/>
      <c r="H2" s="442"/>
      <c r="I2" s="442"/>
      <c r="J2" s="442"/>
      <c r="K2" s="442"/>
      <c r="L2" s="442"/>
      <c r="M2" s="442"/>
      <c r="N2" s="442"/>
      <c r="O2" s="442"/>
      <c r="P2" s="442"/>
      <c r="Q2" s="442"/>
      <c r="R2" s="442"/>
      <c r="S2" s="442"/>
      <c r="T2" s="442"/>
      <c r="U2" s="442"/>
      <c r="V2" s="442"/>
    </row>
    <row r="3" spans="1:22" ht="20.100000000000001" customHeight="1">
      <c r="A3" s="1" t="str">
        <f>底稿目录!A2</f>
        <v>被审计单位：</v>
      </c>
      <c r="I3" s="1" t="str">
        <f>底稿目录!A4</f>
        <v>编制人：</v>
      </c>
      <c r="M3" s="43"/>
      <c r="O3" s="1" t="str">
        <f>底稿目录!A5</f>
        <v>编制日期：</v>
      </c>
      <c r="U3" s="43" t="s">
        <v>25</v>
      </c>
      <c r="V3" s="329" t="s">
        <v>18</v>
      </c>
    </row>
    <row r="4" spans="1:22" ht="20.100000000000001" customHeight="1">
      <c r="A4" s="1" t="str">
        <f>底稿目录!A3</f>
        <v>会计期间：202X年度</v>
      </c>
      <c r="I4" s="1" t="str">
        <f>底稿目录!A6</f>
        <v>复核人：</v>
      </c>
      <c r="M4" s="43"/>
      <c r="O4" s="1" t="str">
        <f>底稿目录!A7</f>
        <v>复核日期：</v>
      </c>
      <c r="U4" s="43" t="s">
        <v>489</v>
      </c>
    </row>
    <row r="5" spans="1:22" s="454" customFormat="1" ht="20.100000000000001" customHeight="1">
      <c r="A5" s="457" t="s">
        <v>599</v>
      </c>
      <c r="B5" s="458"/>
      <c r="K5" s="459"/>
      <c r="L5" s="459"/>
      <c r="M5" s="459"/>
    </row>
    <row r="6" spans="1:22" s="454" customFormat="1" ht="20.100000000000001" customHeight="1">
      <c r="A6" s="460" t="s">
        <v>600</v>
      </c>
      <c r="B6" s="461"/>
      <c r="C6" s="461"/>
      <c r="D6" s="461"/>
      <c r="E6" s="461"/>
      <c r="F6" s="461"/>
      <c r="G6" s="461"/>
      <c r="K6" s="459"/>
      <c r="L6" s="459"/>
      <c r="M6" s="459"/>
    </row>
    <row r="7" spans="1:22" s="454" customFormat="1" ht="20.100000000000001" customHeight="1">
      <c r="A7" s="457" t="s">
        <v>601</v>
      </c>
      <c r="K7" s="459"/>
      <c r="L7" s="459"/>
      <c r="M7" s="459"/>
    </row>
    <row r="8" spans="1:22" s="454" customFormat="1" ht="20.100000000000001" customHeight="1">
      <c r="A8" s="462" t="s">
        <v>602</v>
      </c>
      <c r="B8" s="463"/>
      <c r="C8" s="463"/>
      <c r="D8" s="463"/>
      <c r="E8" s="463"/>
      <c r="F8" s="463"/>
      <c r="G8" s="461"/>
      <c r="H8" s="461"/>
    </row>
    <row r="9" spans="1:22" s="454" customFormat="1" ht="20.100000000000001" customHeight="1">
      <c r="A9" s="464"/>
      <c r="B9" s="463"/>
      <c r="C9" s="463"/>
      <c r="D9" s="463"/>
      <c r="E9" s="463"/>
      <c r="F9" s="463"/>
      <c r="G9" s="461"/>
      <c r="H9" s="461"/>
    </row>
    <row r="10" spans="1:22" s="454" customFormat="1" ht="20.100000000000001" customHeight="1">
      <c r="A10" s="461"/>
      <c r="B10" s="461"/>
      <c r="C10" s="461"/>
      <c r="D10" s="461"/>
      <c r="E10" s="461"/>
      <c r="F10" s="461"/>
      <c r="G10" s="461"/>
      <c r="H10" s="461"/>
    </row>
    <row r="11" spans="1:22" s="33" customFormat="1" ht="39" customHeight="1">
      <c r="A11" s="324" t="s">
        <v>711</v>
      </c>
      <c r="B11" s="325" t="s">
        <v>603</v>
      </c>
      <c r="C11" s="325" t="s">
        <v>604</v>
      </c>
      <c r="D11" s="325" t="s">
        <v>605</v>
      </c>
      <c r="E11" s="325" t="s">
        <v>606</v>
      </c>
      <c r="F11" s="325" t="s">
        <v>607</v>
      </c>
      <c r="G11" s="325" t="s">
        <v>608</v>
      </c>
      <c r="H11" s="325" t="s">
        <v>609</v>
      </c>
      <c r="I11" s="325" t="s">
        <v>610</v>
      </c>
      <c r="J11" s="325" t="s">
        <v>611</v>
      </c>
      <c r="K11" s="325" t="s">
        <v>612</v>
      </c>
      <c r="L11" s="325" t="s">
        <v>613</v>
      </c>
      <c r="M11" s="325" t="s">
        <v>614</v>
      </c>
      <c r="N11" s="44" t="s">
        <v>615</v>
      </c>
      <c r="O11" s="45" t="s">
        <v>616</v>
      </c>
      <c r="P11" s="44" t="s">
        <v>617</v>
      </c>
      <c r="Q11" s="49" t="s">
        <v>618</v>
      </c>
      <c r="R11" s="45" t="s">
        <v>619</v>
      </c>
      <c r="S11" s="45" t="s">
        <v>620</v>
      </c>
      <c r="T11" s="44" t="s">
        <v>621</v>
      </c>
      <c r="U11" s="44" t="s">
        <v>622</v>
      </c>
      <c r="V11" s="50" t="s">
        <v>623</v>
      </c>
    </row>
    <row r="12" spans="1:22" ht="20.100000000000001" customHeight="1">
      <c r="A12" s="326"/>
      <c r="B12" s="327"/>
      <c r="C12" s="327"/>
      <c r="D12" s="327"/>
      <c r="E12" s="327"/>
      <c r="F12" s="327"/>
      <c r="G12" s="327"/>
      <c r="H12" s="327"/>
      <c r="I12" s="327"/>
      <c r="J12" s="327"/>
      <c r="K12" s="327"/>
      <c r="L12" s="327"/>
      <c r="M12" s="327"/>
      <c r="N12" s="46">
        <f>SUM(B12:M12)</f>
        <v>0</v>
      </c>
      <c r="O12" s="47"/>
      <c r="P12" s="39">
        <f t="shared" ref="P12:P23" si="0">N12+O12</f>
        <v>0</v>
      </c>
      <c r="Q12" s="47"/>
      <c r="R12" s="47"/>
      <c r="S12" s="46">
        <f>Q12+R12</f>
        <v>0</v>
      </c>
      <c r="T12" s="51">
        <f>IF(AND(Q12=0,N12=0),0,IF(AND(Q12=0,N12&gt;0),1,(N12-Q12)/Q12))</f>
        <v>0</v>
      </c>
      <c r="U12" s="51">
        <f>IF(AND(S12=0,P12=0),0,IF(AND(S12=0,P12&gt;0),1,(P12-S12)/S12))</f>
        <v>0</v>
      </c>
      <c r="V12" s="52"/>
    </row>
    <row r="13" spans="1:22" ht="20.100000000000001" customHeight="1">
      <c r="A13" s="328"/>
      <c r="B13" s="327"/>
      <c r="C13" s="327"/>
      <c r="D13" s="327"/>
      <c r="E13" s="327"/>
      <c r="F13" s="327"/>
      <c r="G13" s="327"/>
      <c r="H13" s="327"/>
      <c r="I13" s="327"/>
      <c r="J13" s="327"/>
      <c r="K13" s="327"/>
      <c r="L13" s="327"/>
      <c r="M13" s="327"/>
      <c r="N13" s="46">
        <f t="shared" ref="N13:N23" si="1">SUM(B13:M13)</f>
        <v>0</v>
      </c>
      <c r="O13" s="47"/>
      <c r="P13" s="39">
        <f t="shared" si="0"/>
        <v>0</v>
      </c>
      <c r="Q13" s="47"/>
      <c r="R13" s="47"/>
      <c r="S13" s="46">
        <f t="shared" ref="S13:S23" si="2">Q13+R13</f>
        <v>0</v>
      </c>
      <c r="T13" s="51">
        <f t="shared" ref="T13:T24" si="3">IF(AND(Q13=0,N13=0),0,IF(AND(Q13=0,N13&gt;0),1,(N13-Q13)/Q13))</f>
        <v>0</v>
      </c>
      <c r="U13" s="51">
        <f t="shared" ref="U13:U24" si="4">IF(AND(S13=0,P13=0),0,IF(AND(S13=0,P13&gt;0),1,(P13-S13)/S13))</f>
        <v>0</v>
      </c>
      <c r="V13" s="52"/>
    </row>
    <row r="14" spans="1:22" ht="20.100000000000001" customHeight="1">
      <c r="A14" s="328"/>
      <c r="B14" s="327"/>
      <c r="C14" s="327"/>
      <c r="D14" s="327"/>
      <c r="E14" s="327"/>
      <c r="F14" s="327"/>
      <c r="G14" s="327"/>
      <c r="H14" s="327"/>
      <c r="I14" s="327"/>
      <c r="J14" s="327"/>
      <c r="K14" s="327"/>
      <c r="L14" s="327"/>
      <c r="M14" s="327"/>
      <c r="N14" s="46">
        <f t="shared" si="1"/>
        <v>0</v>
      </c>
      <c r="O14" s="47"/>
      <c r="P14" s="39">
        <f t="shared" si="0"/>
        <v>0</v>
      </c>
      <c r="Q14" s="47"/>
      <c r="R14" s="47"/>
      <c r="S14" s="46">
        <f t="shared" si="2"/>
        <v>0</v>
      </c>
      <c r="T14" s="51">
        <f t="shared" si="3"/>
        <v>0</v>
      </c>
      <c r="U14" s="51">
        <f t="shared" si="4"/>
        <v>0</v>
      </c>
      <c r="V14" s="52"/>
    </row>
    <row r="15" spans="1:22" ht="20.100000000000001" customHeight="1">
      <c r="A15" s="328"/>
      <c r="B15" s="327"/>
      <c r="C15" s="327"/>
      <c r="D15" s="327"/>
      <c r="E15" s="327"/>
      <c r="F15" s="327"/>
      <c r="G15" s="327"/>
      <c r="H15" s="327"/>
      <c r="I15" s="327"/>
      <c r="J15" s="327"/>
      <c r="K15" s="327"/>
      <c r="L15" s="327"/>
      <c r="M15" s="327"/>
      <c r="N15" s="46">
        <f t="shared" si="1"/>
        <v>0</v>
      </c>
      <c r="O15" s="47"/>
      <c r="P15" s="39">
        <f t="shared" si="0"/>
        <v>0</v>
      </c>
      <c r="Q15" s="47"/>
      <c r="R15" s="47"/>
      <c r="S15" s="46">
        <f t="shared" si="2"/>
        <v>0</v>
      </c>
      <c r="T15" s="51">
        <f t="shared" si="3"/>
        <v>0</v>
      </c>
      <c r="U15" s="51">
        <f t="shared" si="4"/>
        <v>0</v>
      </c>
      <c r="V15" s="52"/>
    </row>
    <row r="16" spans="1:22" ht="20.100000000000001" customHeight="1">
      <c r="A16" s="328"/>
      <c r="B16" s="327"/>
      <c r="C16" s="327"/>
      <c r="D16" s="327"/>
      <c r="E16" s="327"/>
      <c r="F16" s="327"/>
      <c r="G16" s="327"/>
      <c r="H16" s="327"/>
      <c r="I16" s="327"/>
      <c r="J16" s="327"/>
      <c r="K16" s="327"/>
      <c r="L16" s="327"/>
      <c r="M16" s="327"/>
      <c r="N16" s="46">
        <f t="shared" si="1"/>
        <v>0</v>
      </c>
      <c r="O16" s="47"/>
      <c r="P16" s="39">
        <f t="shared" si="0"/>
        <v>0</v>
      </c>
      <c r="Q16" s="47"/>
      <c r="R16" s="47"/>
      <c r="S16" s="46">
        <f t="shared" si="2"/>
        <v>0</v>
      </c>
      <c r="T16" s="51">
        <f t="shared" si="3"/>
        <v>0</v>
      </c>
      <c r="U16" s="51">
        <f t="shared" si="4"/>
        <v>0</v>
      </c>
      <c r="V16" s="52"/>
    </row>
    <row r="17" spans="1:22" ht="20.100000000000001" customHeight="1">
      <c r="A17" s="328"/>
      <c r="B17" s="327"/>
      <c r="C17" s="327"/>
      <c r="D17" s="327"/>
      <c r="E17" s="327"/>
      <c r="F17" s="327"/>
      <c r="G17" s="327"/>
      <c r="H17" s="327"/>
      <c r="I17" s="327"/>
      <c r="J17" s="327"/>
      <c r="K17" s="327"/>
      <c r="L17" s="327"/>
      <c r="M17" s="327"/>
      <c r="N17" s="46">
        <f t="shared" si="1"/>
        <v>0</v>
      </c>
      <c r="O17" s="47"/>
      <c r="P17" s="39">
        <f t="shared" si="0"/>
        <v>0</v>
      </c>
      <c r="Q17" s="47"/>
      <c r="R17" s="47"/>
      <c r="S17" s="46">
        <f t="shared" si="2"/>
        <v>0</v>
      </c>
      <c r="T17" s="51">
        <f t="shared" si="3"/>
        <v>0</v>
      </c>
      <c r="U17" s="51">
        <f t="shared" si="4"/>
        <v>0</v>
      </c>
      <c r="V17" s="52"/>
    </row>
    <row r="18" spans="1:22" ht="20.100000000000001" customHeight="1">
      <c r="A18" s="35"/>
      <c r="B18" s="34"/>
      <c r="C18" s="34"/>
      <c r="D18" s="34"/>
      <c r="E18" s="34"/>
      <c r="F18" s="34"/>
      <c r="G18" s="34"/>
      <c r="H18" s="34"/>
      <c r="I18" s="34"/>
      <c r="J18" s="34"/>
      <c r="K18" s="34"/>
      <c r="L18" s="34"/>
      <c r="M18" s="34"/>
      <c r="N18" s="46">
        <f t="shared" si="1"/>
        <v>0</v>
      </c>
      <c r="O18" s="47"/>
      <c r="P18" s="39">
        <f t="shared" si="0"/>
        <v>0</v>
      </c>
      <c r="Q18" s="47"/>
      <c r="R18" s="47"/>
      <c r="S18" s="46">
        <f t="shared" si="2"/>
        <v>0</v>
      </c>
      <c r="T18" s="51">
        <f t="shared" si="3"/>
        <v>0</v>
      </c>
      <c r="U18" s="51">
        <f t="shared" si="4"/>
        <v>0</v>
      </c>
      <c r="V18" s="52"/>
    </row>
    <row r="19" spans="1:22" ht="20.100000000000001" customHeight="1">
      <c r="A19" s="35"/>
      <c r="B19" s="34"/>
      <c r="C19" s="34"/>
      <c r="D19" s="34"/>
      <c r="E19" s="34"/>
      <c r="F19" s="34"/>
      <c r="G19" s="34"/>
      <c r="H19" s="34"/>
      <c r="I19" s="34"/>
      <c r="J19" s="34"/>
      <c r="K19" s="34"/>
      <c r="L19" s="34"/>
      <c r="M19" s="34"/>
      <c r="N19" s="46">
        <f t="shared" si="1"/>
        <v>0</v>
      </c>
      <c r="O19" s="47"/>
      <c r="P19" s="39">
        <f t="shared" si="0"/>
        <v>0</v>
      </c>
      <c r="Q19" s="47"/>
      <c r="R19" s="47"/>
      <c r="S19" s="46">
        <f t="shared" si="2"/>
        <v>0</v>
      </c>
      <c r="T19" s="51">
        <f t="shared" si="3"/>
        <v>0</v>
      </c>
      <c r="U19" s="51">
        <f t="shared" si="4"/>
        <v>0</v>
      </c>
      <c r="V19" s="52"/>
    </row>
    <row r="20" spans="1:22" ht="20.100000000000001" customHeight="1">
      <c r="A20" s="36"/>
      <c r="B20" s="34"/>
      <c r="C20" s="34"/>
      <c r="D20" s="34"/>
      <c r="E20" s="34"/>
      <c r="F20" s="34"/>
      <c r="G20" s="34"/>
      <c r="H20" s="34"/>
      <c r="I20" s="34"/>
      <c r="J20" s="34"/>
      <c r="K20" s="34"/>
      <c r="L20" s="34"/>
      <c r="M20" s="34"/>
      <c r="N20" s="46">
        <f t="shared" si="1"/>
        <v>0</v>
      </c>
      <c r="O20" s="47"/>
      <c r="P20" s="39">
        <f t="shared" si="0"/>
        <v>0</v>
      </c>
      <c r="Q20" s="47"/>
      <c r="R20" s="47"/>
      <c r="S20" s="46">
        <f t="shared" si="2"/>
        <v>0</v>
      </c>
      <c r="T20" s="51">
        <f t="shared" si="3"/>
        <v>0</v>
      </c>
      <c r="U20" s="51">
        <f t="shared" si="4"/>
        <v>0</v>
      </c>
      <c r="V20" s="52"/>
    </row>
    <row r="21" spans="1:22" ht="20.100000000000001" customHeight="1">
      <c r="A21" s="36"/>
      <c r="B21" s="34"/>
      <c r="C21" s="34"/>
      <c r="D21" s="34"/>
      <c r="E21" s="34"/>
      <c r="F21" s="34"/>
      <c r="G21" s="34"/>
      <c r="H21" s="34"/>
      <c r="I21" s="34"/>
      <c r="J21" s="34"/>
      <c r="K21" s="34"/>
      <c r="L21" s="34"/>
      <c r="M21" s="34"/>
      <c r="N21" s="46">
        <f t="shared" si="1"/>
        <v>0</v>
      </c>
      <c r="O21" s="47"/>
      <c r="P21" s="39">
        <f t="shared" si="0"/>
        <v>0</v>
      </c>
      <c r="Q21" s="47"/>
      <c r="R21" s="47"/>
      <c r="S21" s="46">
        <f t="shared" si="2"/>
        <v>0</v>
      </c>
      <c r="T21" s="51">
        <f t="shared" si="3"/>
        <v>0</v>
      </c>
      <c r="U21" s="51">
        <f t="shared" si="4"/>
        <v>0</v>
      </c>
      <c r="V21" s="52"/>
    </row>
    <row r="22" spans="1:22" ht="20.100000000000001" customHeight="1">
      <c r="A22" s="36"/>
      <c r="B22" s="34"/>
      <c r="C22" s="34"/>
      <c r="D22" s="34"/>
      <c r="E22" s="34"/>
      <c r="F22" s="34"/>
      <c r="G22" s="34"/>
      <c r="H22" s="34"/>
      <c r="I22" s="34"/>
      <c r="J22" s="34"/>
      <c r="K22" s="34"/>
      <c r="L22" s="34"/>
      <c r="M22" s="34"/>
      <c r="N22" s="46">
        <f t="shared" si="1"/>
        <v>0</v>
      </c>
      <c r="O22" s="47"/>
      <c r="P22" s="39">
        <f t="shared" si="0"/>
        <v>0</v>
      </c>
      <c r="Q22" s="47"/>
      <c r="R22" s="47"/>
      <c r="S22" s="46">
        <f t="shared" si="2"/>
        <v>0</v>
      </c>
      <c r="T22" s="51">
        <f t="shared" si="3"/>
        <v>0</v>
      </c>
      <c r="U22" s="51">
        <f t="shared" si="4"/>
        <v>0</v>
      </c>
      <c r="V22" s="52"/>
    </row>
    <row r="23" spans="1:22" ht="20.100000000000001" customHeight="1">
      <c r="A23" s="37"/>
      <c r="B23" s="34"/>
      <c r="C23" s="34"/>
      <c r="D23" s="34"/>
      <c r="E23" s="34"/>
      <c r="F23" s="34"/>
      <c r="G23" s="34"/>
      <c r="H23" s="34"/>
      <c r="I23" s="34"/>
      <c r="J23" s="34"/>
      <c r="K23" s="34"/>
      <c r="L23" s="34"/>
      <c r="M23" s="34"/>
      <c r="N23" s="46">
        <f t="shared" si="1"/>
        <v>0</v>
      </c>
      <c r="O23" s="47"/>
      <c r="P23" s="39">
        <f t="shared" si="0"/>
        <v>0</v>
      </c>
      <c r="Q23" s="47"/>
      <c r="R23" s="47"/>
      <c r="S23" s="46">
        <f t="shared" si="2"/>
        <v>0</v>
      </c>
      <c r="T23" s="51">
        <f t="shared" si="3"/>
        <v>0</v>
      </c>
      <c r="U23" s="51">
        <f t="shared" si="4"/>
        <v>0</v>
      </c>
      <c r="V23" s="52"/>
    </row>
    <row r="24" spans="1:22" ht="20.100000000000001" customHeight="1">
      <c r="A24" s="38" t="s">
        <v>500</v>
      </c>
      <c r="B24" s="39">
        <f>SUM(B12:B23)</f>
        <v>0</v>
      </c>
      <c r="C24" s="39">
        <f t="shared" ref="C24:M24" si="5">SUM(C12:C23)</f>
        <v>0</v>
      </c>
      <c r="D24" s="39">
        <f t="shared" si="5"/>
        <v>0</v>
      </c>
      <c r="E24" s="39">
        <f t="shared" si="5"/>
        <v>0</v>
      </c>
      <c r="F24" s="39">
        <f t="shared" si="5"/>
        <v>0</v>
      </c>
      <c r="G24" s="39">
        <f t="shared" si="5"/>
        <v>0</v>
      </c>
      <c r="H24" s="39">
        <f t="shared" si="5"/>
        <v>0</v>
      </c>
      <c r="I24" s="39">
        <f t="shared" si="5"/>
        <v>0</v>
      </c>
      <c r="J24" s="39">
        <f t="shared" si="5"/>
        <v>0</v>
      </c>
      <c r="K24" s="39">
        <f t="shared" si="5"/>
        <v>0</v>
      </c>
      <c r="L24" s="39">
        <f t="shared" si="5"/>
        <v>0</v>
      </c>
      <c r="M24" s="39">
        <f t="shared" si="5"/>
        <v>0</v>
      </c>
      <c r="N24" s="39">
        <f t="shared" ref="N24:S24" si="6">SUM(N12:N23)</f>
        <v>0</v>
      </c>
      <c r="O24" s="39">
        <f t="shared" si="6"/>
        <v>0</v>
      </c>
      <c r="P24" s="39">
        <f t="shared" si="6"/>
        <v>0</v>
      </c>
      <c r="Q24" s="39">
        <f t="shared" si="6"/>
        <v>0</v>
      </c>
      <c r="R24" s="39">
        <f t="shared" si="6"/>
        <v>0</v>
      </c>
      <c r="S24" s="39">
        <f t="shared" si="6"/>
        <v>0</v>
      </c>
      <c r="T24" s="41">
        <f t="shared" si="3"/>
        <v>0</v>
      </c>
      <c r="U24" s="41">
        <f t="shared" si="4"/>
        <v>0</v>
      </c>
      <c r="V24" s="53"/>
    </row>
    <row r="25" spans="1:22" ht="20.100000000000001" customHeight="1">
      <c r="A25" s="40" t="s">
        <v>624</v>
      </c>
      <c r="B25" s="41">
        <f>IF($N$24=0,0,B24/$N$24)</f>
        <v>0</v>
      </c>
      <c r="C25" s="41">
        <f t="shared" ref="C25:N25" si="7">IF($N$24=0,0,C24/$N$24)</f>
        <v>0</v>
      </c>
      <c r="D25" s="41">
        <f t="shared" si="7"/>
        <v>0</v>
      </c>
      <c r="E25" s="41">
        <f t="shared" si="7"/>
        <v>0</v>
      </c>
      <c r="F25" s="41">
        <f t="shared" si="7"/>
        <v>0</v>
      </c>
      <c r="G25" s="41">
        <f t="shared" si="7"/>
        <v>0</v>
      </c>
      <c r="H25" s="41">
        <f t="shared" si="7"/>
        <v>0</v>
      </c>
      <c r="I25" s="41">
        <f t="shared" si="7"/>
        <v>0</v>
      </c>
      <c r="J25" s="41">
        <f t="shared" si="7"/>
        <v>0</v>
      </c>
      <c r="K25" s="41">
        <f t="shared" si="7"/>
        <v>0</v>
      </c>
      <c r="L25" s="41">
        <f t="shared" si="7"/>
        <v>0</v>
      </c>
      <c r="M25" s="41">
        <f t="shared" si="7"/>
        <v>0</v>
      </c>
      <c r="N25" s="41">
        <f t="shared" si="7"/>
        <v>0</v>
      </c>
      <c r="O25" s="48"/>
      <c r="P25" s="48"/>
      <c r="Q25" s="48"/>
      <c r="R25" s="48"/>
      <c r="S25" s="48"/>
      <c r="T25" s="48"/>
      <c r="U25" s="48"/>
      <c r="V25" s="54"/>
    </row>
    <row r="26" spans="1:22" s="454" customFormat="1" ht="20.100000000000001" customHeight="1">
      <c r="A26" s="452" t="s">
        <v>625</v>
      </c>
      <c r="B26" s="453"/>
      <c r="C26" s="453"/>
      <c r="D26" s="453"/>
      <c r="E26" s="453"/>
      <c r="F26" s="453"/>
      <c r="G26" s="453"/>
      <c r="H26" s="453"/>
      <c r="I26" s="453"/>
      <c r="J26" s="453"/>
      <c r="K26" s="453"/>
      <c r="L26" s="453"/>
      <c r="M26" s="453"/>
      <c r="N26" s="453"/>
      <c r="O26" s="453"/>
      <c r="P26" s="453"/>
      <c r="Q26" s="453"/>
      <c r="R26" s="453"/>
      <c r="S26" s="453"/>
      <c r="T26" s="453"/>
      <c r="U26" s="453"/>
      <c r="V26" s="453"/>
    </row>
    <row r="27" spans="1:22" s="454" customFormat="1" ht="20.100000000000001" customHeight="1">
      <c r="A27" s="455" t="s">
        <v>626</v>
      </c>
    </row>
    <row r="28" spans="1:22" s="454" customFormat="1" ht="20.100000000000001" customHeight="1"/>
    <row r="29" spans="1:22" s="454" customFormat="1" ht="20.100000000000001" customHeight="1"/>
    <row r="30" spans="1:22" s="454" customFormat="1" ht="20.100000000000001" customHeight="1">
      <c r="A30" s="456" t="s">
        <v>627</v>
      </c>
    </row>
    <row r="31" spans="1:22" s="454" customFormat="1" ht="20.100000000000001" customHeight="1"/>
    <row r="32" spans="1:22" ht="20.100000000000001" customHeight="1">
      <c r="A32" s="42" t="s">
        <v>628</v>
      </c>
    </row>
  </sheetData>
  <mergeCells count="2">
    <mergeCell ref="A1:V1"/>
    <mergeCell ref="A2:V2"/>
  </mergeCells>
  <phoneticPr fontId="172" type="noConversion"/>
  <hyperlinks>
    <hyperlink ref="V3" location="底稿目录!Print_Area" display="D4-2"/>
  </hyperlinks>
  <pageMargins left="0.70833333333333304" right="0.70833333333333304" top="0.74791666666666701" bottom="0.74791666666666701" header="0.31458333333333299" footer="0.31458333333333299"/>
  <pageSetup paperSize="9" scale="56" orientation="landscape" blackAndWhite="1" horizontalDpi="1200" verticalDpi="1200"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N34"/>
  <sheetViews>
    <sheetView view="pageBreakPreview" topLeftCell="A10" zoomScaleNormal="115" workbookViewId="0">
      <selection activeCell="B22" sqref="B22"/>
    </sheetView>
  </sheetViews>
  <sheetFormatPr defaultColWidth="9" defaultRowHeight="20.100000000000001" customHeight="1"/>
  <cols>
    <col min="1" max="1" width="27.59765625" style="15" customWidth="1"/>
    <col min="2" max="2" width="13" style="15" customWidth="1"/>
    <col min="3" max="3" width="11.59765625" style="15" customWidth="1"/>
    <col min="4" max="4" width="11.69921875" style="15" customWidth="1"/>
    <col min="5" max="5" width="11.19921875" style="15" customWidth="1"/>
    <col min="6" max="6" width="9.5" style="15" customWidth="1"/>
    <col min="7" max="7" width="10.69921875" style="15" customWidth="1"/>
    <col min="8" max="8" width="11.19921875" style="15" customWidth="1"/>
    <col min="9" max="9" width="10.59765625" style="15" customWidth="1"/>
    <col min="10" max="10" width="13.5" style="15" customWidth="1"/>
    <col min="11" max="11" width="9.69921875" style="15" customWidth="1"/>
    <col min="12" max="12" width="13.5" style="15" customWidth="1"/>
    <col min="13" max="13" width="9.5" style="15" customWidth="1"/>
    <col min="14" max="14" width="10.59765625" style="15" customWidth="1"/>
    <col min="15" max="16384" width="9" style="15"/>
  </cols>
  <sheetData>
    <row r="1" spans="1:14" s="13" customFormat="1" ht="20.100000000000001" customHeight="1">
      <c r="A1" s="443" t="s">
        <v>23</v>
      </c>
      <c r="B1" s="443"/>
      <c r="C1" s="443"/>
      <c r="D1" s="443"/>
      <c r="E1" s="443"/>
      <c r="F1" s="443"/>
      <c r="G1" s="443"/>
      <c r="H1" s="443"/>
      <c r="I1" s="443"/>
      <c r="J1" s="443"/>
      <c r="K1" s="443"/>
      <c r="L1" s="443"/>
      <c r="M1" s="443"/>
      <c r="N1" s="443"/>
    </row>
    <row r="2" spans="1:14" s="13" customFormat="1" ht="20.100000000000001" customHeight="1">
      <c r="A2" s="443" t="s">
        <v>19</v>
      </c>
      <c r="B2" s="443"/>
      <c r="C2" s="443"/>
      <c r="D2" s="443"/>
      <c r="E2" s="443"/>
      <c r="F2" s="443"/>
      <c r="G2" s="443"/>
      <c r="H2" s="443"/>
      <c r="I2" s="443"/>
      <c r="J2" s="443"/>
      <c r="K2" s="443"/>
      <c r="L2" s="443"/>
      <c r="M2" s="443"/>
      <c r="N2" s="443"/>
    </row>
    <row r="3" spans="1:14" ht="20.100000000000001" customHeight="1">
      <c r="A3" s="1" t="str">
        <f>底稿目录!A2</f>
        <v>被审计单位：</v>
      </c>
      <c r="E3" s="1" t="str">
        <f>底稿目录!A4</f>
        <v>编制人：</v>
      </c>
      <c r="I3" s="15" t="str">
        <f>底稿目录!A5</f>
        <v>编制日期：</v>
      </c>
      <c r="M3" s="15" t="s">
        <v>25</v>
      </c>
      <c r="N3" s="329" t="s">
        <v>20</v>
      </c>
    </row>
    <row r="4" spans="1:14" ht="20.100000000000001" customHeight="1">
      <c r="A4" s="1" t="str">
        <f>底稿目录!A3</f>
        <v>会计期间：202X年度</v>
      </c>
      <c r="E4" s="1" t="str">
        <f>底稿目录!A6</f>
        <v>复核人：</v>
      </c>
      <c r="I4" s="15" t="str">
        <f>底稿目录!A7</f>
        <v>复核日期：</v>
      </c>
      <c r="M4" s="15" t="s">
        <v>489</v>
      </c>
      <c r="N4" s="329"/>
    </row>
    <row r="5" spans="1:14" s="466" customFormat="1" ht="20.100000000000001" customHeight="1">
      <c r="A5" s="467" t="s">
        <v>629</v>
      </c>
      <c r="B5" s="467"/>
      <c r="C5" s="467"/>
      <c r="D5" s="467"/>
    </row>
    <row r="6" spans="1:14" s="466" customFormat="1" ht="20.100000000000001" customHeight="1">
      <c r="A6" s="460" t="s">
        <v>630</v>
      </c>
      <c r="B6" s="468"/>
      <c r="C6" s="468"/>
      <c r="D6" s="468"/>
    </row>
    <row r="7" spans="1:14" s="466" customFormat="1" ht="20.100000000000001" customHeight="1">
      <c r="A7" s="469" t="s">
        <v>631</v>
      </c>
      <c r="B7" s="467"/>
      <c r="C7" s="467"/>
      <c r="D7" s="467"/>
    </row>
    <row r="8" spans="1:14" s="466" customFormat="1" ht="20.100000000000001" customHeight="1">
      <c r="A8" s="462" t="s">
        <v>602</v>
      </c>
      <c r="B8" s="468"/>
      <c r="C8" s="468"/>
      <c r="D8" s="468"/>
    </row>
    <row r="9" spans="1:14" s="466" customFormat="1" ht="20.100000000000001" customHeight="1">
      <c r="A9" s="460"/>
      <c r="B9" s="468"/>
      <c r="C9" s="468"/>
      <c r="D9" s="468"/>
    </row>
    <row r="10" spans="1:14" s="466" customFormat="1" ht="20.100000000000001" customHeight="1">
      <c r="A10" s="460"/>
      <c r="B10" s="468"/>
      <c r="C10" s="468"/>
      <c r="D10" s="468"/>
    </row>
    <row r="11" spans="1:14" s="14" customFormat="1" ht="20.100000000000001" customHeight="1">
      <c r="A11" s="447" t="s">
        <v>490</v>
      </c>
      <c r="B11" s="444" t="s">
        <v>491</v>
      </c>
      <c r="C11" s="445"/>
      <c r="D11" s="445"/>
      <c r="E11" s="446"/>
      <c r="F11" s="17"/>
      <c r="G11" s="444" t="s">
        <v>492</v>
      </c>
      <c r="H11" s="445"/>
      <c r="I11" s="445"/>
      <c r="J11" s="445"/>
      <c r="K11" s="446"/>
      <c r="L11" s="17" t="s">
        <v>632</v>
      </c>
      <c r="M11" s="17"/>
      <c r="N11" s="448" t="s">
        <v>623</v>
      </c>
    </row>
    <row r="12" spans="1:14" s="14" customFormat="1" ht="20.100000000000001" customHeight="1">
      <c r="A12" s="447"/>
      <c r="B12" s="16" t="s">
        <v>633</v>
      </c>
      <c r="C12" s="16" t="s">
        <v>494</v>
      </c>
      <c r="D12" s="16" t="s">
        <v>495</v>
      </c>
      <c r="E12" s="16" t="s">
        <v>617</v>
      </c>
      <c r="F12" s="16" t="s">
        <v>634</v>
      </c>
      <c r="G12" s="16" t="s">
        <v>618</v>
      </c>
      <c r="H12" s="16" t="s">
        <v>494</v>
      </c>
      <c r="I12" s="16" t="s">
        <v>495</v>
      </c>
      <c r="J12" s="16" t="s">
        <v>635</v>
      </c>
      <c r="K12" s="16" t="s">
        <v>634</v>
      </c>
      <c r="L12" s="16" t="s">
        <v>636</v>
      </c>
      <c r="M12" s="16" t="s">
        <v>637</v>
      </c>
      <c r="N12" s="449"/>
    </row>
    <row r="13" spans="1:14" ht="20.100000000000001" customHeight="1">
      <c r="A13" s="18" t="s">
        <v>508</v>
      </c>
      <c r="B13" s="19"/>
      <c r="C13" s="19"/>
      <c r="D13" s="19"/>
      <c r="E13" s="20">
        <f>B13+C13+D13</f>
        <v>0</v>
      </c>
      <c r="F13" s="21">
        <f t="shared" ref="F13:F20" si="0">IF(E13=0,0,E13/$E$20)</f>
        <v>0</v>
      </c>
      <c r="G13" s="19"/>
      <c r="H13" s="19"/>
      <c r="I13" s="19"/>
      <c r="J13" s="20">
        <f>G13+H13+I13</f>
        <v>0</v>
      </c>
      <c r="K13" s="28">
        <f t="shared" ref="K13:K20" si="1">IF(J13=0,0,J13/$J$20)</f>
        <v>0</v>
      </c>
      <c r="L13" s="20">
        <f>E13-J13</f>
        <v>0</v>
      </c>
      <c r="M13" s="21">
        <f>IF(AND(J13=0,L13=0),0,IF(AND(J13=0,L13&gt;0),1,L13/J13))</f>
        <v>0</v>
      </c>
      <c r="N13" s="29"/>
    </row>
    <row r="14" spans="1:14" ht="20.100000000000001" customHeight="1">
      <c r="A14" s="18" t="s">
        <v>509</v>
      </c>
      <c r="B14" s="19"/>
      <c r="C14" s="19"/>
      <c r="D14" s="19"/>
      <c r="E14" s="20">
        <f t="shared" ref="E14:E19" si="2">B14+C14+D14</f>
        <v>0</v>
      </c>
      <c r="F14" s="21">
        <f t="shared" si="0"/>
        <v>0</v>
      </c>
      <c r="G14" s="19"/>
      <c r="H14" s="19"/>
      <c r="I14" s="19"/>
      <c r="J14" s="20">
        <f t="shared" ref="J14:J19" si="3">G14+H14+I14</f>
        <v>0</v>
      </c>
      <c r="K14" s="28">
        <f t="shared" si="1"/>
        <v>0</v>
      </c>
      <c r="L14" s="20">
        <f t="shared" ref="L14:L20" si="4">E14-J14</f>
        <v>0</v>
      </c>
      <c r="M14" s="21">
        <f t="shared" ref="M14:M20" si="5">IF(AND(J14=0,L14=0),0,IF(AND(J14=0,L14&gt;0),1,L14/J14))</f>
        <v>0</v>
      </c>
      <c r="N14" s="29"/>
    </row>
    <row r="15" spans="1:14" ht="20.100000000000001" customHeight="1">
      <c r="A15" s="18" t="s">
        <v>510</v>
      </c>
      <c r="B15" s="19"/>
      <c r="C15" s="19"/>
      <c r="D15" s="19"/>
      <c r="E15" s="20">
        <f t="shared" si="2"/>
        <v>0</v>
      </c>
      <c r="F15" s="21">
        <f t="shared" si="0"/>
        <v>0</v>
      </c>
      <c r="G15" s="22"/>
      <c r="H15" s="22"/>
      <c r="I15" s="22"/>
      <c r="J15" s="20">
        <f t="shared" si="3"/>
        <v>0</v>
      </c>
      <c r="K15" s="28">
        <f t="shared" si="1"/>
        <v>0</v>
      </c>
      <c r="L15" s="20">
        <f t="shared" si="4"/>
        <v>0</v>
      </c>
      <c r="M15" s="21">
        <f t="shared" si="5"/>
        <v>0</v>
      </c>
      <c r="N15" s="29"/>
    </row>
    <row r="16" spans="1:14" ht="20.100000000000001" customHeight="1">
      <c r="A16" s="18" t="s">
        <v>511</v>
      </c>
      <c r="B16" s="19"/>
      <c r="C16" s="19"/>
      <c r="D16" s="19"/>
      <c r="E16" s="20">
        <f t="shared" si="2"/>
        <v>0</v>
      </c>
      <c r="F16" s="21">
        <f t="shared" si="0"/>
        <v>0</v>
      </c>
      <c r="G16" s="22"/>
      <c r="H16" s="22"/>
      <c r="I16" s="22"/>
      <c r="J16" s="20">
        <f t="shared" si="3"/>
        <v>0</v>
      </c>
      <c r="K16" s="28">
        <f t="shared" si="1"/>
        <v>0</v>
      </c>
      <c r="L16" s="20">
        <f t="shared" si="4"/>
        <v>0</v>
      </c>
      <c r="M16" s="21">
        <f t="shared" si="5"/>
        <v>0</v>
      </c>
      <c r="N16" s="29"/>
    </row>
    <row r="17" spans="1:14" ht="20.100000000000001" customHeight="1">
      <c r="A17" s="18" t="s">
        <v>512</v>
      </c>
      <c r="B17" s="19"/>
      <c r="C17" s="19"/>
      <c r="D17" s="19"/>
      <c r="E17" s="20">
        <f t="shared" si="2"/>
        <v>0</v>
      </c>
      <c r="F17" s="21">
        <f t="shared" si="0"/>
        <v>0</v>
      </c>
      <c r="G17" s="22"/>
      <c r="H17" s="22"/>
      <c r="I17" s="22"/>
      <c r="J17" s="20">
        <f t="shared" si="3"/>
        <v>0</v>
      </c>
      <c r="K17" s="28">
        <f t="shared" si="1"/>
        <v>0</v>
      </c>
      <c r="L17" s="20">
        <f t="shared" si="4"/>
        <v>0</v>
      </c>
      <c r="M17" s="21">
        <f t="shared" si="5"/>
        <v>0</v>
      </c>
      <c r="N17" s="29"/>
    </row>
    <row r="18" spans="1:14" ht="20.100000000000001" customHeight="1">
      <c r="A18" s="18" t="s">
        <v>514</v>
      </c>
      <c r="B18" s="19"/>
      <c r="C18" s="19"/>
      <c r="D18" s="19"/>
      <c r="E18" s="20">
        <f t="shared" si="2"/>
        <v>0</v>
      </c>
      <c r="F18" s="21">
        <f t="shared" si="0"/>
        <v>0</v>
      </c>
      <c r="G18" s="22"/>
      <c r="H18" s="22"/>
      <c r="I18" s="22"/>
      <c r="J18" s="20">
        <f t="shared" si="3"/>
        <v>0</v>
      </c>
      <c r="K18" s="28">
        <f t="shared" si="1"/>
        <v>0</v>
      </c>
      <c r="L18" s="20">
        <f t="shared" si="4"/>
        <v>0</v>
      </c>
      <c r="M18" s="21">
        <f t="shared" si="5"/>
        <v>0</v>
      </c>
      <c r="N18" s="29"/>
    </row>
    <row r="19" spans="1:14" ht="20.100000000000001" customHeight="1">
      <c r="A19" s="23" t="s">
        <v>638</v>
      </c>
      <c r="B19" s="19"/>
      <c r="C19" s="19"/>
      <c r="D19" s="19"/>
      <c r="E19" s="20">
        <f t="shared" si="2"/>
        <v>0</v>
      </c>
      <c r="F19" s="21">
        <f t="shared" si="0"/>
        <v>0</v>
      </c>
      <c r="G19" s="22"/>
      <c r="H19" s="22"/>
      <c r="I19" s="22"/>
      <c r="J19" s="20">
        <f t="shared" si="3"/>
        <v>0</v>
      </c>
      <c r="K19" s="28">
        <f t="shared" si="1"/>
        <v>0</v>
      </c>
      <c r="L19" s="20">
        <f t="shared" si="4"/>
        <v>0</v>
      </c>
      <c r="M19" s="21">
        <f t="shared" si="5"/>
        <v>0</v>
      </c>
      <c r="N19" s="29"/>
    </row>
    <row r="20" spans="1:14" ht="20.100000000000001" customHeight="1">
      <c r="A20" s="16" t="s">
        <v>500</v>
      </c>
      <c r="B20" s="24">
        <f>SUM(B13:B19)</f>
        <v>0</v>
      </c>
      <c r="C20" s="24">
        <f>SUM(C13:C19)</f>
        <v>0</v>
      </c>
      <c r="D20" s="24">
        <f>SUM(D13:D19)</f>
        <v>0</v>
      </c>
      <c r="E20" s="24">
        <f>SUM(E13:E19)</f>
        <v>0</v>
      </c>
      <c r="F20" s="25">
        <f t="shared" si="0"/>
        <v>0</v>
      </c>
      <c r="G20" s="24">
        <f>SUM(G13:G19)</f>
        <v>0</v>
      </c>
      <c r="H20" s="24">
        <f>SUM(H13:H19)</f>
        <v>0</v>
      </c>
      <c r="I20" s="24">
        <f>SUM(I13:I19)</f>
        <v>0</v>
      </c>
      <c r="J20" s="24">
        <f>SUM(J13:J19)</f>
        <v>0</v>
      </c>
      <c r="K20" s="30">
        <f t="shared" si="1"/>
        <v>0</v>
      </c>
      <c r="L20" s="20">
        <f t="shared" si="4"/>
        <v>0</v>
      </c>
      <c r="M20" s="25">
        <f t="shared" si="5"/>
        <v>0</v>
      </c>
      <c r="N20" s="31"/>
    </row>
    <row r="21" spans="1:14" s="466" customFormat="1" ht="20.100000000000001" customHeight="1">
      <c r="A21" s="465" t="s">
        <v>639</v>
      </c>
      <c r="B21" s="465"/>
      <c r="C21" s="465"/>
      <c r="D21" s="465"/>
    </row>
    <row r="22" spans="1:14" s="466" customFormat="1" ht="20.100000000000001" customHeight="1"/>
    <row r="23" spans="1:14" s="466" customFormat="1" ht="20.100000000000001" customHeight="1"/>
    <row r="24" spans="1:14" s="466" customFormat="1" ht="20.100000000000001" customHeight="1"/>
    <row r="25" spans="1:14" s="466" customFormat="1" ht="20.100000000000001" customHeight="1">
      <c r="A25" s="465" t="s">
        <v>640</v>
      </c>
      <c r="B25" s="465"/>
      <c r="C25" s="465"/>
      <c r="D25" s="465"/>
    </row>
    <row r="26" spans="1:14" s="466" customFormat="1" ht="20.100000000000001" customHeight="1"/>
    <row r="27" spans="1:14" s="466" customFormat="1" ht="20.100000000000001" customHeight="1"/>
    <row r="28" spans="1:14" s="466" customFormat="1" ht="20.100000000000001" customHeight="1"/>
    <row r="29" spans="1:14" ht="20.100000000000001" customHeight="1">
      <c r="A29" s="26" t="s">
        <v>482</v>
      </c>
      <c r="B29" s="27"/>
      <c r="C29" s="27"/>
      <c r="D29" s="27"/>
    </row>
    <row r="30" spans="1:14" ht="20.100000000000001" customHeight="1">
      <c r="A30" s="26" t="s">
        <v>641</v>
      </c>
      <c r="B30" s="26"/>
      <c r="C30" s="26"/>
      <c r="D30" s="26"/>
    </row>
    <row r="31" spans="1:14" ht="20.100000000000001" customHeight="1">
      <c r="A31" s="26" t="s">
        <v>642</v>
      </c>
      <c r="B31" s="26"/>
      <c r="C31" s="26"/>
      <c r="D31" s="26"/>
    </row>
    <row r="32" spans="1:14" ht="20.100000000000001" customHeight="1">
      <c r="B32" s="26"/>
      <c r="C32" s="26"/>
      <c r="D32" s="26"/>
    </row>
    <row r="33" spans="1:4" ht="20.100000000000001" customHeight="1">
      <c r="A33" s="26"/>
      <c r="B33" s="26"/>
      <c r="C33" s="26"/>
      <c r="D33" s="26"/>
    </row>
    <row r="34" spans="1:4" ht="20.100000000000001" customHeight="1">
      <c r="A34" s="26"/>
      <c r="B34" s="26"/>
      <c r="C34" s="26"/>
      <c r="D34" s="26"/>
    </row>
  </sheetData>
  <mergeCells count="6">
    <mergeCell ref="A1:N1"/>
    <mergeCell ref="A2:N2"/>
    <mergeCell ref="B11:E11"/>
    <mergeCell ref="G11:K11"/>
    <mergeCell ref="A11:A12"/>
    <mergeCell ref="N11:N12"/>
  </mergeCells>
  <phoneticPr fontId="172" type="noConversion"/>
  <hyperlinks>
    <hyperlink ref="N3" location="底稿目录!A1" display="D4-3"/>
  </hyperlinks>
  <pageMargins left="0.70833333333333304" right="0.70833333333333304" top="0.74791666666666701" bottom="0.74791666666666701" header="0.31458333333333299" footer="0.31458333333333299"/>
  <pageSetup paperSize="9" scale="70" orientation="landscape" blackAndWhite="1" horizontalDpi="1200" verticalDpi="1200"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23"/>
  <sheetViews>
    <sheetView view="pageBreakPreview" zoomScaleNormal="100" workbookViewId="0">
      <selection activeCell="C9" sqref="C9"/>
    </sheetView>
  </sheetViews>
  <sheetFormatPr defaultColWidth="9" defaultRowHeight="20.100000000000001" customHeight="1"/>
  <cols>
    <col min="1" max="1" width="16" style="1" customWidth="1"/>
    <col min="2" max="2" width="10.69921875" style="1" customWidth="1"/>
    <col min="3" max="3" width="9" style="1"/>
    <col min="4" max="4" width="9.3984375" style="1" bestFit="1" customWidth="1"/>
    <col min="5" max="16384" width="9" style="1"/>
  </cols>
  <sheetData>
    <row r="1" spans="1:10" ht="20.100000000000001" customHeight="1">
      <c r="A1" s="450" t="s">
        <v>23</v>
      </c>
      <c r="B1" s="450"/>
      <c r="C1" s="450"/>
      <c r="D1" s="450"/>
      <c r="E1" s="450"/>
      <c r="F1" s="450"/>
      <c r="G1" s="450"/>
      <c r="H1" s="450"/>
      <c r="I1" s="450"/>
      <c r="J1" s="450"/>
    </row>
    <row r="2" spans="1:10" ht="20.100000000000001" customHeight="1">
      <c r="A2" s="451" t="s">
        <v>643</v>
      </c>
      <c r="B2" s="451"/>
      <c r="C2" s="451"/>
      <c r="D2" s="451"/>
      <c r="E2" s="451"/>
      <c r="F2" s="451"/>
      <c r="G2" s="451"/>
      <c r="H2" s="451"/>
      <c r="I2" s="451"/>
      <c r="J2" s="451"/>
    </row>
    <row r="3" spans="1:10" ht="20.100000000000001" customHeight="1">
      <c r="A3" s="2" t="str">
        <f>底稿目录!A2</f>
        <v>被审计单位：</v>
      </c>
      <c r="B3" s="2"/>
      <c r="C3" s="2"/>
      <c r="D3" s="2" t="str">
        <f>底稿目录!A4</f>
        <v>编制人：</v>
      </c>
      <c r="E3" s="2"/>
      <c r="F3" s="3"/>
      <c r="G3" s="2" t="str">
        <f>底稿目录!A5</f>
        <v>编制日期：</v>
      </c>
      <c r="H3" s="2"/>
      <c r="I3" s="12" t="s">
        <v>25</v>
      </c>
      <c r="J3" s="329" t="s">
        <v>22</v>
      </c>
    </row>
    <row r="4" spans="1:10" ht="20.100000000000001" customHeight="1">
      <c r="A4" s="2" t="str">
        <f>底稿目录!A3</f>
        <v>会计期间：202X年度</v>
      </c>
      <c r="B4" s="2"/>
      <c r="C4" s="2"/>
      <c r="D4" s="2" t="str">
        <f>底稿目录!A6</f>
        <v>复核人：</v>
      </c>
      <c r="E4" s="2"/>
      <c r="F4" s="3"/>
      <c r="G4" s="2" t="str">
        <f>底稿目录!A7</f>
        <v>复核日期：</v>
      </c>
      <c r="H4" s="2"/>
      <c r="I4" s="12" t="s">
        <v>489</v>
      </c>
    </row>
    <row r="5" spans="1:10" ht="45.75" customHeight="1">
      <c r="A5" s="4" t="s">
        <v>644</v>
      </c>
      <c r="B5" s="5" t="s">
        <v>645</v>
      </c>
      <c r="C5" s="6" t="s">
        <v>646</v>
      </c>
      <c r="D5" s="7" t="s">
        <v>647</v>
      </c>
      <c r="E5" s="7" t="s">
        <v>648</v>
      </c>
      <c r="F5" s="8" t="s">
        <v>638</v>
      </c>
      <c r="G5" s="7" t="s">
        <v>649</v>
      </c>
      <c r="H5" s="7" t="s">
        <v>650</v>
      </c>
      <c r="I5" s="7" t="s">
        <v>651</v>
      </c>
      <c r="J5" s="7" t="s">
        <v>623</v>
      </c>
    </row>
    <row r="6" spans="1:10" ht="20.100000000000001" customHeight="1">
      <c r="A6" s="470"/>
      <c r="B6" s="470"/>
      <c r="C6" s="470"/>
      <c r="D6" s="470"/>
      <c r="E6" s="470"/>
      <c r="F6" s="470"/>
      <c r="G6" s="472"/>
      <c r="H6" s="472"/>
      <c r="I6" s="471"/>
      <c r="J6" s="470"/>
    </row>
    <row r="7" spans="1:10" ht="20.100000000000001" customHeight="1">
      <c r="A7" s="470"/>
      <c r="B7" s="470"/>
      <c r="C7" s="470"/>
      <c r="D7" s="470"/>
      <c r="E7" s="470"/>
      <c r="F7" s="470"/>
      <c r="G7" s="472"/>
      <c r="H7" s="472"/>
      <c r="I7" s="471"/>
      <c r="J7" s="470"/>
    </row>
    <row r="8" spans="1:10" ht="20.100000000000001" customHeight="1">
      <c r="A8" s="470"/>
      <c r="B8" s="470"/>
      <c r="C8" s="470"/>
      <c r="D8" s="470"/>
      <c r="E8" s="470"/>
      <c r="F8" s="470"/>
      <c r="G8" s="472"/>
      <c r="H8" s="472"/>
      <c r="I8" s="471"/>
      <c r="J8" s="470"/>
    </row>
    <row r="9" spans="1:10" ht="20.100000000000001" customHeight="1">
      <c r="A9" s="470"/>
      <c r="B9" s="470"/>
      <c r="C9" s="470"/>
      <c r="D9" s="470"/>
      <c r="E9" s="470"/>
      <c r="F9" s="470"/>
      <c r="G9" s="472"/>
      <c r="H9" s="472"/>
      <c r="I9" s="471"/>
      <c r="J9" s="470"/>
    </row>
    <row r="10" spans="1:10" ht="20.100000000000001" customHeight="1">
      <c r="A10" s="470"/>
      <c r="B10" s="470"/>
      <c r="C10" s="470"/>
      <c r="D10" s="470"/>
      <c r="E10" s="470"/>
      <c r="F10" s="470"/>
      <c r="G10" s="472"/>
      <c r="H10" s="472"/>
      <c r="I10" s="471"/>
      <c r="J10" s="470"/>
    </row>
    <row r="11" spans="1:10" ht="20.100000000000001" customHeight="1">
      <c r="A11" s="470"/>
      <c r="B11" s="470"/>
      <c r="C11" s="470"/>
      <c r="D11" s="470"/>
      <c r="E11" s="470"/>
      <c r="F11" s="470"/>
      <c r="G11" s="472"/>
      <c r="H11" s="472"/>
      <c r="I11" s="471"/>
      <c r="J11" s="470"/>
    </row>
    <row r="12" spans="1:10" ht="20.100000000000001" customHeight="1">
      <c r="A12" s="470"/>
      <c r="B12" s="470"/>
      <c r="C12" s="470"/>
      <c r="D12" s="470"/>
      <c r="E12" s="470"/>
      <c r="F12" s="470"/>
      <c r="G12" s="472"/>
      <c r="H12" s="472"/>
      <c r="I12" s="471"/>
      <c r="J12" s="470"/>
    </row>
    <row r="13" spans="1:10" ht="20.100000000000001" customHeight="1">
      <c r="A13" s="470"/>
      <c r="B13" s="470"/>
      <c r="C13" s="470"/>
      <c r="D13" s="470"/>
      <c r="E13" s="470"/>
      <c r="F13" s="470"/>
      <c r="G13" s="472"/>
      <c r="H13" s="472"/>
      <c r="I13" s="471"/>
      <c r="J13" s="470"/>
    </row>
    <row r="14" spans="1:10" ht="20.100000000000001" customHeight="1">
      <c r="A14" s="470"/>
      <c r="B14" s="470"/>
      <c r="C14" s="470"/>
      <c r="D14" s="470"/>
      <c r="E14" s="470"/>
      <c r="F14" s="470"/>
      <c r="G14" s="472"/>
      <c r="H14" s="472"/>
      <c r="I14" s="471"/>
      <c r="J14" s="470"/>
    </row>
    <row r="15" spans="1:10" ht="20.100000000000001" customHeight="1">
      <c r="A15" s="470"/>
      <c r="B15" s="470"/>
      <c r="C15" s="470"/>
      <c r="D15" s="470"/>
      <c r="E15" s="470"/>
      <c r="F15" s="470"/>
      <c r="G15" s="472"/>
      <c r="H15" s="472"/>
      <c r="I15" s="471"/>
      <c r="J15" s="470"/>
    </row>
    <row r="16" spans="1:10" ht="20.100000000000001" customHeight="1">
      <c r="A16" s="470"/>
      <c r="B16" s="470"/>
      <c r="C16" s="470"/>
      <c r="D16" s="470"/>
      <c r="E16" s="470"/>
      <c r="F16" s="470"/>
      <c r="G16" s="472"/>
      <c r="H16" s="472"/>
      <c r="I16" s="471"/>
      <c r="J16" s="470"/>
    </row>
    <row r="17" spans="1:10" ht="20.100000000000001" customHeight="1">
      <c r="A17" s="470"/>
      <c r="B17" s="470"/>
      <c r="C17" s="470"/>
      <c r="D17" s="470"/>
      <c r="E17" s="470"/>
      <c r="F17" s="470"/>
      <c r="G17" s="472"/>
      <c r="H17" s="472"/>
      <c r="I17" s="471"/>
      <c r="J17" s="470"/>
    </row>
    <row r="18" spans="1:10" ht="20.100000000000001" customHeight="1">
      <c r="A18" s="470"/>
      <c r="B18" s="470"/>
      <c r="C18" s="470"/>
      <c r="D18" s="470"/>
      <c r="E18" s="470"/>
      <c r="F18" s="470"/>
      <c r="G18" s="472"/>
      <c r="H18" s="472"/>
      <c r="I18" s="471"/>
      <c r="J18" s="470"/>
    </row>
    <row r="19" spans="1:10" ht="20.100000000000001" customHeight="1">
      <c r="A19" s="470"/>
      <c r="B19" s="470"/>
      <c r="C19" s="470"/>
      <c r="D19" s="470"/>
      <c r="E19" s="470"/>
      <c r="F19" s="470"/>
      <c r="G19" s="472"/>
      <c r="H19" s="472"/>
      <c r="I19" s="471"/>
      <c r="J19" s="470"/>
    </row>
    <row r="20" spans="1:10" ht="20.100000000000001" customHeight="1">
      <c r="A20" s="470"/>
      <c r="B20" s="470"/>
      <c r="C20" s="470"/>
      <c r="D20" s="470"/>
      <c r="E20" s="470"/>
      <c r="F20" s="470"/>
      <c r="G20" s="472"/>
      <c r="H20" s="472"/>
      <c r="I20" s="471"/>
      <c r="J20" s="470"/>
    </row>
    <row r="21" spans="1:10" ht="34.5" customHeight="1">
      <c r="A21" s="9" t="s">
        <v>652</v>
      </c>
      <c r="B21" s="10"/>
      <c r="C21" s="10"/>
      <c r="D21" s="10"/>
      <c r="E21" s="10"/>
      <c r="F21" s="10"/>
      <c r="G21" s="10"/>
      <c r="H21" s="10"/>
      <c r="I21" s="10"/>
      <c r="J21" s="10"/>
    </row>
    <row r="22" spans="1:10" ht="20.100000000000001" customHeight="1">
      <c r="A22" s="11"/>
      <c r="B22" s="11"/>
      <c r="C22" s="11"/>
      <c r="D22" s="11"/>
      <c r="E22" s="11"/>
      <c r="F22" s="11"/>
      <c r="G22" s="11"/>
      <c r="H22" s="11"/>
      <c r="I22" s="11"/>
      <c r="J22" s="11"/>
    </row>
    <row r="23" spans="1:10" ht="20.100000000000001" customHeight="1">
      <c r="A23" s="11"/>
      <c r="B23" s="11"/>
      <c r="C23" s="11"/>
      <c r="D23" s="11"/>
      <c r="E23" s="11"/>
      <c r="F23" s="11"/>
      <c r="G23" s="11"/>
      <c r="H23" s="11"/>
      <c r="I23" s="11"/>
      <c r="J23" s="11"/>
    </row>
  </sheetData>
  <mergeCells count="2">
    <mergeCell ref="A1:J1"/>
    <mergeCell ref="A2:J2"/>
  </mergeCells>
  <phoneticPr fontId="172" type="noConversion"/>
  <dataValidations count="1">
    <dataValidation type="list" allowBlank="1" showInputMessage="1" showErrorMessage="1" sqref="B6:B20">
      <formula1>"账项调整,报表调整,其他"</formula1>
    </dataValidation>
  </dataValidations>
  <hyperlinks>
    <hyperlink ref="J3" location="底稿目录!Print_Area" display="D4-4"/>
  </hyperlinks>
  <pageMargins left="0.70833333333333304" right="0.70833333333333304" top="0.74791666666666701" bottom="0.74791666666666701" header="0.31458333333333299" footer="0.31458333333333299"/>
  <pageSetup paperSize="9" scale="80" orientation="portrait" blackAndWhite="1" horizontalDpi="1200" verticalDpi="1200"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B8"/>
  <sheetViews>
    <sheetView workbookViewId="0"/>
  </sheetViews>
  <sheetFormatPr defaultColWidth="9" defaultRowHeight="15.6"/>
  <sheetData>
    <row r="1" spans="1:2">
      <c r="A1" t="s">
        <v>653</v>
      </c>
      <c r="B1" t="s">
        <v>654</v>
      </c>
    </row>
    <row r="2" spans="1:2">
      <c r="A2" t="s">
        <v>655</v>
      </c>
      <c r="B2" t="s">
        <v>656</v>
      </c>
    </row>
    <row r="3" spans="1:2">
      <c r="A3" t="s">
        <v>657</v>
      </c>
      <c r="B3" t="s">
        <v>658</v>
      </c>
    </row>
    <row r="4" spans="1:2">
      <c r="A4" t="s">
        <v>659</v>
      </c>
      <c r="B4" t="s">
        <v>660</v>
      </c>
    </row>
    <row r="5" spans="1:2">
      <c r="A5" t="s">
        <v>661</v>
      </c>
      <c r="B5" t="s">
        <v>662</v>
      </c>
    </row>
    <row r="6" spans="1:2">
      <c r="A6" t="s">
        <v>663</v>
      </c>
      <c r="B6" t="s">
        <v>664</v>
      </c>
    </row>
    <row r="7" spans="1:2">
      <c r="A7" t="s">
        <v>665</v>
      </c>
      <c r="B7" t="s">
        <v>666</v>
      </c>
    </row>
    <row r="8" spans="1:2">
      <c r="A8" t="s">
        <v>667</v>
      </c>
      <c r="B8" t="s">
        <v>668</v>
      </c>
    </row>
  </sheetData>
  <phoneticPr fontId="17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10</vt:i4>
      </vt:variant>
    </vt:vector>
  </HeadingPairs>
  <TitlesOfParts>
    <vt:vector size="20" baseType="lpstr">
      <vt:lpstr>底稿目录</vt:lpstr>
      <vt:lpstr>营业收入审计程序表D4A</vt:lpstr>
      <vt:lpstr>主营业务收入审计程序表D4A（修订前）</vt:lpstr>
      <vt:lpstr>营业收入审定表D4-1</vt:lpstr>
      <vt:lpstr>附注披露信息（上市公司）</vt:lpstr>
      <vt:lpstr>附注披露信息（国企）</vt:lpstr>
      <vt:lpstr>主营业务收入明细表D4-2</vt:lpstr>
      <vt:lpstr>其他业务收入明细表D4-3</vt:lpstr>
      <vt:lpstr>营业收入调整分录汇总D4-4</vt:lpstr>
      <vt:lpstr>GT_Custom</vt:lpstr>
      <vt:lpstr>'附注披露信息（国企）'!Print_Area</vt:lpstr>
      <vt:lpstr>'附注披露信息（上市公司）'!Print_Area</vt:lpstr>
      <vt:lpstr>'其他业务收入明细表D4-3'!Print_Area</vt:lpstr>
      <vt:lpstr>'营业收入调整分录汇总D4-4'!Print_Area</vt:lpstr>
      <vt:lpstr>'营业收入审定表D4-1'!Print_Area</vt:lpstr>
      <vt:lpstr>营业收入审计程序表D4A!Print_Area</vt:lpstr>
      <vt:lpstr>'主营业务收入明细表D4-2'!Print_Area</vt:lpstr>
      <vt:lpstr>'主营业务收入审计程序表D4A（修订前）'!Print_Area</vt:lpstr>
      <vt:lpstr>营业收入审计程序表D4A!Print_Titles</vt:lpstr>
      <vt:lpstr>'主营业务收入审计程序表D4A（修订前）'!Print_Titles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2025-10-30T10:08:11Z</cp:lastPrinted>
  <dcterms:created xsi:type="dcterms:W3CDTF">2007-05-20T08:51:00Z</dcterms:created>
  <dcterms:modified xsi:type="dcterms:W3CDTF">2025-12-02T09:09:25Z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56313180A2B3429F9C5F173DBD7120E1_12</vt:lpwstr>
  </property>
  <property fmtid="{D5CDD505-2E9C-101B-9397-08002B2CF9AE}" pid="3" name="KSOProductBuildVer">
    <vt:lpwstr>2052-12.1.0.22529</vt:lpwstr>
  </property>
</Properties>
</file>