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tabRatio="812"/>
  </bookViews>
  <sheets>
    <sheet name="底稿目录" sheetId="18" r:id="rId1"/>
    <sheet name="营业收入账面金额与ERP系统核对记录D4-13" sheetId="35" r:id="rId2"/>
    <sheet name="营业收入发生检查表D4-14" sheetId="2" r:id="rId3"/>
    <sheet name="营业收入完整性检查表D4-15" sheetId="3" r:id="rId4"/>
    <sheet name="出口收入电子口岸系统核对D4-16" sheetId="31" r:id="rId5"/>
    <sheet name="营业收入截止测试（账到单据）D4-17" sheetId="7" r:id="rId6"/>
    <sheet name="营业收入截止测试（单据到账）D4-18" sheetId="29" r:id="rId7"/>
    <sheet name="销售折扣与折让检查D4-19" sheetId="9" r:id="rId8"/>
    <sheet name="销售退货检查表 D4-20" sheetId="32" r:id="rId9"/>
  </sheets>
  <externalReferences>
    <externalReference r:id="rId10"/>
    <externalReference r:id="rId11"/>
    <externalReference r:id="rId12"/>
  </externalReferences>
  <definedNames>
    <definedName name="_xlnm._FilterDatabase" localSheetId="6" hidden="1">#REF!</definedName>
    <definedName name="_xlnm._FilterDatabase" localSheetId="1" hidden="1">#REF!</definedName>
    <definedName name="_xlnm._FilterDatabase" hidden="1">#REF!</definedName>
    <definedName name="AFV" localSheetId="6" hidden="1">#REF!</definedName>
    <definedName name="AFV" localSheetId="1" hidden="1">#REF!</definedName>
    <definedName name="AFV" hidden="1">#REF!</definedName>
    <definedName name="AS2DocOpenMode" hidden="1">"AS2DocumentEdit"</definedName>
    <definedName name="bs" localSheetId="1" hidden="1">{#N/A,#N/A,FALSE,"BBPREP"}</definedName>
    <definedName name="bs" hidden="1">{#N/A,#N/A,FALSE,"BBPREP"}</definedName>
    <definedName name="bs_1" localSheetId="1" hidden="1">{#N/A,#N/A,FALSE,"BBPREP"}</definedName>
    <definedName name="bs_1" hidden="1">{#N/A,#N/A,FALSE,"BBPREP"}</definedName>
    <definedName name="CCD" localSheetId="6" hidden="1">#REF!</definedName>
    <definedName name="CCD" localSheetId="1" hidden="1">#REF!</definedName>
    <definedName name="CCD" hidden="1">#REF!</definedName>
    <definedName name="CDE" localSheetId="6" hidden="1">#REF!</definedName>
    <definedName name="CDE" localSheetId="1" hidden="1">#REF!</definedName>
    <definedName name="CDE" hidden="1">#REF!</definedName>
    <definedName name="DEX" localSheetId="6" hidden="1">#REF!</definedName>
    <definedName name="DEX" localSheetId="1" hidden="1">#REF!</definedName>
    <definedName name="DEX" hidden="1">#REF!</definedName>
    <definedName name="EDC" localSheetId="6" hidden="1">#REF!</definedName>
    <definedName name="EDC" localSheetId="1" hidden="1">#REF!</definedName>
    <definedName name="EDC" hidden="1">#REF!</definedName>
    <definedName name="FAD" localSheetId="6" hidden="1">[1]Breakdown!#REF!</definedName>
    <definedName name="FAD" localSheetId="1" hidden="1">[1]Breakdown!#REF!</definedName>
    <definedName name="FAD" hidden="1">[1]Breakdown!#REF!</definedName>
    <definedName name="FASD" localSheetId="6" hidden="1">#REF!</definedName>
    <definedName name="FASD" localSheetId="1" hidden="1">#REF!</definedName>
    <definedName name="FASD" hidden="1">#REF!</definedName>
    <definedName name="FEDC" localSheetId="6" hidden="1">'[2]2004'!#REF!</definedName>
    <definedName name="FEDC" localSheetId="1" hidden="1">'[2]2004'!#REF!</definedName>
    <definedName name="FEDC" hidden="1">'[2]2004'!#REF!</definedName>
    <definedName name="L" localSheetId="1" hidden="1">{#N/A,#N/A,FALSE,"BBPREP"}</definedName>
    <definedName name="L" hidden="1">{#N/A,#N/A,FALSE,"BBPREP"}</definedName>
    <definedName name="_xlnm.Print_Area" localSheetId="4">'出口收入电子口岸系统核对D4-16'!$A$1:$K$21</definedName>
    <definedName name="_xlnm.Print_Area" localSheetId="8">'销售退货检查表 D4-20'!$A$1:$O$54</definedName>
    <definedName name="_xlnm.Print_Area" localSheetId="7">'销售折扣与折让检查D4-19'!$A$1:$O$29</definedName>
    <definedName name="_xlnm.Print_Area" localSheetId="2">'营业收入发生检查表D4-14'!$A$1:$AK$47</definedName>
    <definedName name="_xlnm.Print_Area" localSheetId="6">'营业收入截止测试（单据到账）D4-18'!$A$1:$K$41</definedName>
    <definedName name="_xlnm.Print_Area" localSheetId="5">'营业收入截止测试（账到单据）D4-17'!$A$1:$K$41</definedName>
    <definedName name="_xlnm.Print_Area" localSheetId="3">'营业收入完整性检查表D4-15'!$A$1:$Q$31</definedName>
    <definedName name="_xlnm.Print_Area" localSheetId="1">'营业收入账面金额与ERP系统核对记录D4-13'!$A$1:$E$18</definedName>
    <definedName name="_xlnm.Print_Titles" localSheetId="8">'销售退货检查表 D4-20'!$1:$4</definedName>
    <definedName name="RDES" localSheetId="6" hidden="1">#REF!</definedName>
    <definedName name="RDES" localSheetId="1" hidden="1">#REF!</definedName>
    <definedName name="RDES" hidden="1">#REF!</definedName>
    <definedName name="s" localSheetId="1" hidden="1">{#N/A,#N/A,FALSE,"BBPREP"}</definedName>
    <definedName name="s" hidden="1">{#N/A,#N/A,FALSE,"BBPREP"}</definedName>
    <definedName name="SAPBEXrevision" hidden="1">1</definedName>
    <definedName name="SAPBEXsysID" hidden="1">"PE4"</definedName>
    <definedName name="SAPBEXwbID" hidden="1">"3Q4R7W3VD66V3CXTGQHGIRCBE"</definedName>
    <definedName name="t" localSheetId="1" hidden="1">{#N/A,#N/A,FALSE,"BBPREP"}</definedName>
    <definedName name="t" hidden="1">{#N/A,#N/A,FALSE,"BBPREP"}</definedName>
    <definedName name="TextRefCopyRangeCount" hidden="1">136</definedName>
    <definedName name="VFE" localSheetId="6" hidden="1">#REF!</definedName>
    <definedName name="VFE" localSheetId="1" hidden="1">#REF!</definedName>
    <definedName name="VFE" hidden="1">#REF!</definedName>
    <definedName name="XAP" localSheetId="6" hidden="1">#REF!</definedName>
    <definedName name="XAP" localSheetId="1" hidden="1">#REF!</definedName>
    <definedName name="XAP" hidden="1">#REF!</definedName>
    <definedName name="XAQ" localSheetId="6" hidden="1">#REF!</definedName>
    <definedName name="XAQ" localSheetId="1" hidden="1">#REF!</definedName>
    <definedName name="XAQ" hidden="1">#REF!</definedName>
    <definedName name="XCD" localSheetId="6" hidden="1">#REF!</definedName>
    <definedName name="XCD" localSheetId="1" hidden="1">#REF!</definedName>
    <definedName name="XCD" hidden="1">#REF!</definedName>
    <definedName name="XREF_COLUMN_1" localSheetId="2" hidden="1">#REF!</definedName>
    <definedName name="XREF_COLUMN_1" localSheetId="6" hidden="1">#REF!</definedName>
    <definedName name="XREF_COLUMN_1" localSheetId="1" hidden="1">#REF!</definedName>
    <definedName name="XREF_COLUMN_1" hidden="1">#REF!</definedName>
    <definedName name="XREF_COLUMN_2" localSheetId="2" hidden="1">[1]Breakdown!#REF!</definedName>
    <definedName name="XREF_COLUMN_2" localSheetId="6" hidden="1">[1]Breakdown!#REF!</definedName>
    <definedName name="XREF_COLUMN_2" localSheetId="5" hidden="1">[1]Breakdown!#REF!</definedName>
    <definedName name="XREF_COLUMN_2" localSheetId="1" hidden="1">[1]Breakdown!#REF!</definedName>
    <definedName name="XREF_COLUMN_2" hidden="1">[1]Breakdown!#REF!</definedName>
    <definedName name="XREF_COLUMN_3" localSheetId="2" hidden="1">#REF!</definedName>
    <definedName name="XREF_COLUMN_3" localSheetId="6" hidden="1">#REF!</definedName>
    <definedName name="XREF_COLUMN_3" localSheetId="5" hidden="1">#REF!</definedName>
    <definedName name="XREF_COLUMN_3" localSheetId="1" hidden="1">#REF!</definedName>
    <definedName name="XREF_COLUMN_3" hidden="1">#REF!</definedName>
    <definedName name="XREF_COLUMN_5" localSheetId="2" hidden="1">'[2]2004'!#REF!</definedName>
    <definedName name="XREF_COLUMN_5" localSheetId="6" hidden="1">'[2]2004'!#REF!</definedName>
    <definedName name="XREF_COLUMN_5" localSheetId="5" hidden="1">'[2]2004'!#REF!</definedName>
    <definedName name="XREF_COLUMN_5" localSheetId="1" hidden="1">'[2]2004'!#REF!</definedName>
    <definedName name="XREF_COLUMN_5" hidden="1">'[2]2004'!#REF!</definedName>
    <definedName name="XRefActiveRow" localSheetId="2" hidden="1">#REF!</definedName>
    <definedName name="XRefActiveRow" localSheetId="6" hidden="1">#REF!</definedName>
    <definedName name="XRefActiveRow" localSheetId="5" hidden="1">#REF!</definedName>
    <definedName name="XRefActiveRow" localSheetId="1" hidden="1">#REF!</definedName>
    <definedName name="XRefActiveRow" hidden="1">#REF!</definedName>
    <definedName name="XRefColumnsCount" hidden="1">2</definedName>
    <definedName name="XRefCopy1" localSheetId="2" hidden="1">#REF!</definedName>
    <definedName name="XRefCopy1" localSheetId="6" hidden="1">#REF!</definedName>
    <definedName name="XRefCopy1" localSheetId="5" hidden="1">#REF!</definedName>
    <definedName name="XRefCopy1" localSheetId="1" hidden="1">#REF!</definedName>
    <definedName name="XRefCopy1" hidden="1">#REF!</definedName>
    <definedName name="XRefCopy1Row" localSheetId="2" hidden="1">#REF!</definedName>
    <definedName name="XRefCopy1Row" localSheetId="6" hidden="1">#REF!</definedName>
    <definedName name="XRefCopy1Row" localSheetId="5" hidden="1">#REF!</definedName>
    <definedName name="XRefCopy1Row" localSheetId="1" hidden="1">#REF!</definedName>
    <definedName name="XRefCopy1Row" hidden="1">#REF!</definedName>
    <definedName name="XRefCopy2Row" localSheetId="2" hidden="1">#REF!</definedName>
    <definedName name="XRefCopy2Row" localSheetId="6" hidden="1">#REF!</definedName>
    <definedName name="XRefCopy2Row" localSheetId="5" hidden="1">#REF!</definedName>
    <definedName name="XRefCopy2Row" localSheetId="1" hidden="1">#REF!</definedName>
    <definedName name="XRefCopy2Row" hidden="1">#REF!</definedName>
    <definedName name="XRefCopyRangeCount" hidden="1">2</definedName>
    <definedName name="XRefPaste1" localSheetId="2" hidden="1">#REF!</definedName>
    <definedName name="XRefPaste1" localSheetId="6" hidden="1">#REF!</definedName>
    <definedName name="XRefPaste1" localSheetId="5" hidden="1">#REF!</definedName>
    <definedName name="XRefPaste1" localSheetId="1" hidden="1">#REF!</definedName>
    <definedName name="XRefPaste1" hidden="1">#REF!</definedName>
    <definedName name="XRefPaste1Row" localSheetId="2" hidden="1">#REF!</definedName>
    <definedName name="XRefPaste1Row" localSheetId="6" hidden="1">#REF!</definedName>
    <definedName name="XRefPaste1Row" localSheetId="5" hidden="1">#REF!</definedName>
    <definedName name="XRefPaste1Row" localSheetId="1" hidden="1">#REF!</definedName>
    <definedName name="XRefPaste1Row" hidden="1">#REF!</definedName>
    <definedName name="XRefPaste2" localSheetId="2" hidden="1">#REF!</definedName>
    <definedName name="XRefPaste2" localSheetId="6" hidden="1">#REF!</definedName>
    <definedName name="XRefPaste2" localSheetId="5" hidden="1">#REF!</definedName>
    <definedName name="XRefPaste2" localSheetId="1" hidden="1">#REF!</definedName>
    <definedName name="XRefPaste2" hidden="1">#REF!</definedName>
    <definedName name="XRefPaste2Row" localSheetId="2" hidden="1">#REF!</definedName>
    <definedName name="XRefPaste2Row" localSheetId="6" hidden="1">#REF!</definedName>
    <definedName name="XRefPaste2Row" localSheetId="1" hidden="1">#REF!</definedName>
    <definedName name="XRefPaste2Row" hidden="1">#REF!</definedName>
    <definedName name="XRefPaste3" localSheetId="2" hidden="1">#REF!</definedName>
    <definedName name="XRefPaste3" localSheetId="6" hidden="1">#REF!</definedName>
    <definedName name="XRefPaste3" localSheetId="1" hidden="1">#REF!</definedName>
    <definedName name="XRefPaste3" hidden="1">#REF!</definedName>
    <definedName name="XRefPaste3Row" localSheetId="2" hidden="1">#REF!</definedName>
    <definedName name="XRefPaste3Row" localSheetId="6" hidden="1">#REF!</definedName>
    <definedName name="XRefPaste3Row" localSheetId="1" hidden="1">#REF!</definedName>
    <definedName name="XRefPaste3Row" hidden="1">#REF!</definedName>
    <definedName name="XRefPasteRangeCount" hidden="1">2</definedName>
    <definedName name="Z_110E17E1_2BDE_11D8_A6E1_00D009A73964_.wvu.PrintArea" localSheetId="6" hidden="1">'营业收入截止测试（单据到账）D4-18'!$A$1:$K$35</definedName>
    <definedName name="Z_110E17E1_2BDE_11D8_A6E1_00D009A73964_.wvu.PrintArea" localSheetId="5" hidden="1">'营业收入截止测试（账到单据）D4-17'!$A$1:$K$9</definedName>
    <definedName name="Z_414F4590_4A74_4CEA_9FEB_C62076447B62_.wvu.PrintArea" localSheetId="6" hidden="1">'营业收入截止测试（单据到账）D4-18'!$A$1:$K$35</definedName>
    <definedName name="Z_414F4590_4A74_4CEA_9FEB_C62076447B62_.wvu.PrintArea" localSheetId="5" hidden="1">'营业收入截止测试（账到单据）D4-17'!$A$1:$K$9</definedName>
    <definedName name="Z_80FEA70C_6BD1_442C_8680_7065F5D1BB65_.wvu.PrintArea" localSheetId="6" hidden="1">'营业收入截止测试（单据到账）D4-18'!$A$1:$K$35</definedName>
    <definedName name="Z_80FEA70C_6BD1_442C_8680_7065F5D1BB65_.wvu.PrintArea" localSheetId="5" hidden="1">'营业收入截止测试（账到单据）D4-17'!$A$1:$K$9</definedName>
    <definedName name="本循环科目" hidden="1">[3]索引!$D$15:$D$76</definedName>
    <definedName name="底稿目录" localSheetId="6" hidden="1">#REF!</definedName>
    <definedName name="底稿目录" localSheetId="1" hidden="1">#REF!</definedName>
    <definedName name="底稿目录" hidden="1">#REF!</definedName>
    <definedName name="去" localSheetId="6" hidden="1">#REF!</definedName>
    <definedName name="去" localSheetId="1" hidden="1">#REF!</definedName>
    <definedName name="去" hidden="1">#REF!</definedName>
    <definedName name="新目录" localSheetId="6"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5" l="1"/>
  <c r="C3" i="35"/>
  <c r="B4" i="35"/>
  <c r="B3" i="35"/>
  <c r="A4" i="35"/>
  <c r="A3" i="35"/>
  <c r="K3" i="7" l="1"/>
  <c r="K3" i="29"/>
  <c r="AF37" i="2"/>
  <c r="X37" i="2"/>
  <c r="G37" i="2"/>
  <c r="G39" i="2" s="1"/>
  <c r="O3" i="32" l="1"/>
  <c r="O3" i="9"/>
  <c r="K3" i="31"/>
  <c r="Q3" i="3"/>
  <c r="AK3" i="2"/>
  <c r="T3" i="2"/>
  <c r="E3" i="35"/>
  <c r="I13" i="31" l="1"/>
  <c r="D13" i="31"/>
  <c r="H4" i="31"/>
  <c r="E4" i="31"/>
  <c r="A4" i="31"/>
  <c r="H3" i="31"/>
  <c r="E3" i="31"/>
  <c r="A3" i="31"/>
  <c r="D29" i="32"/>
  <c r="D28" i="32"/>
  <c r="D27" i="32"/>
  <c r="D26" i="32"/>
  <c r="D25" i="32"/>
  <c r="G17" i="32"/>
  <c r="F17" i="32"/>
  <c r="E17" i="32"/>
  <c r="D17" i="32"/>
  <c r="C17" i="32"/>
  <c r="B17" i="32"/>
  <c r="G16" i="32"/>
  <c r="D16" i="32"/>
  <c r="G15" i="32"/>
  <c r="D15" i="32"/>
  <c r="J4" i="32"/>
  <c r="F4" i="32"/>
  <c r="A4" i="32"/>
  <c r="J3" i="32"/>
  <c r="F3" i="32"/>
  <c r="A3" i="32"/>
  <c r="I4" i="9"/>
  <c r="E4" i="9"/>
  <c r="A4" i="9"/>
  <c r="I3" i="9"/>
  <c r="E3" i="9"/>
  <c r="A3" i="9"/>
  <c r="G4" i="7"/>
  <c r="D4" i="7"/>
  <c r="A4" i="7"/>
  <c r="G3" i="7"/>
  <c r="D3" i="7"/>
  <c r="A3" i="7"/>
  <c r="G4" i="29"/>
  <c r="D4" i="29"/>
  <c r="A4" i="29"/>
  <c r="G3" i="29"/>
  <c r="D3" i="29"/>
  <c r="A3" i="29"/>
  <c r="L4" i="3"/>
  <c r="G4" i="3"/>
  <c r="A4" i="3"/>
  <c r="L3" i="3"/>
  <c r="G3" i="3"/>
  <c r="A3" i="3"/>
  <c r="AC4" i="2"/>
  <c r="Y4" i="2"/>
  <c r="U4" i="2"/>
  <c r="M4" i="2"/>
  <c r="H4" i="2"/>
  <c r="A4" i="2"/>
  <c r="AC3" i="2"/>
  <c r="Y3" i="2"/>
  <c r="U3" i="2"/>
  <c r="M3" i="2"/>
  <c r="H3" i="2"/>
  <c r="A3" i="2"/>
</calcChain>
</file>

<file path=xl/sharedStrings.xml><?xml version="1.0" encoding="utf-8"?>
<sst xmlns="http://schemas.openxmlformats.org/spreadsheetml/2006/main" count="343" uniqueCount="192">
  <si>
    <t>底稿开列时，可先在以下单元格填写有关内容，以便其他底稿引用有关数据：</t>
  </si>
  <si>
    <t>被审计单位：</t>
  </si>
  <si>
    <t>序号</t>
  </si>
  <si>
    <t>内容</t>
  </si>
  <si>
    <t>索引号</t>
  </si>
  <si>
    <t>营业收入账面金额与ERP系统核对记录</t>
  </si>
  <si>
    <t>D4-14</t>
  </si>
  <si>
    <t>编制人：</t>
  </si>
  <si>
    <t>营业收入发生检查表</t>
  </si>
  <si>
    <t>D4-15</t>
  </si>
  <si>
    <t>编制日期：</t>
  </si>
  <si>
    <t>营业收入完整性检查表</t>
  </si>
  <si>
    <t>D4-16</t>
  </si>
  <si>
    <t>复核人：</t>
  </si>
  <si>
    <t>营业收入截止测试（单据到账）</t>
  </si>
  <si>
    <t>D4-17</t>
  </si>
  <si>
    <t>复核日期：</t>
  </si>
  <si>
    <t>营业收入截止测试（账到单据）</t>
  </si>
  <si>
    <t>D4-18</t>
  </si>
  <si>
    <t>销售折扣与折让检查</t>
  </si>
  <si>
    <t>D4-19</t>
  </si>
  <si>
    <t>销售退货检查</t>
  </si>
  <si>
    <t>D4-20</t>
  </si>
  <si>
    <t>致同会计师事务所</t>
  </si>
  <si>
    <t>索引号：</t>
  </si>
  <si>
    <t>页次：</t>
  </si>
  <si>
    <t>一、核对过程</t>
  </si>
  <si>
    <t>二、核对结论</t>
  </si>
  <si>
    <t>提示：对于互联网等业务数据量大的被审计单位，应结合IT审计完成核对。</t>
  </si>
  <si>
    <t>一、审计目标：</t>
  </si>
  <si>
    <t>1.利润表中记录的营业收入已发生，且与被审计单位有关；2.与营业收入有关的金额及其他数据已恰当记录，相关披露已得到恰当计量和描述；3.与营业收入有关的交易和事项已记录于正确的会计期间。</t>
  </si>
  <si>
    <t>二、审计过程</t>
  </si>
  <si>
    <t>测试总体：</t>
  </si>
  <si>
    <t>如营业收入所有销售记账凭证共XX笔金额XX、贷方发生额所有凭证共XX笔金额XX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</si>
  <si>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</si>
  <si>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</si>
  <si>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</si>
  <si>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</si>
  <si>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</si>
  <si>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</si>
  <si>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</si>
  <si>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</si>
  <si>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</si>
  <si>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使用IDEA（XX抽样工具）选择XX数量、金额XX的样本进行测试，抽样工具中的样本选择过程和结果见&lt;XX&gt;底稿</t>
  </si>
  <si>
    <t>记账凭证</t>
  </si>
  <si>
    <t>销售合同/销售订单</t>
  </si>
  <si>
    <t>出库单</t>
  </si>
  <si>
    <t>运输单</t>
  </si>
  <si>
    <t>签收单</t>
  </si>
  <si>
    <t>发票</t>
  </si>
  <si>
    <t>……</t>
  </si>
  <si>
    <t>是否异常</t>
  </si>
  <si>
    <t>其他支持性文件或说明</t>
  </si>
  <si>
    <t>日期</t>
  </si>
  <si>
    <t>编号</t>
  </si>
  <si>
    <t>品名</t>
  </si>
  <si>
    <t>数量</t>
  </si>
  <si>
    <t>金额</t>
  </si>
  <si>
    <t>合同号/订单号</t>
  </si>
  <si>
    <t>仓库保管员</t>
  </si>
  <si>
    <t>发货审批人</t>
  </si>
  <si>
    <t>运输数量</t>
  </si>
  <si>
    <t>运输公司</t>
  </si>
  <si>
    <t>运输地址</t>
  </si>
  <si>
    <t>签收人</t>
  </si>
  <si>
    <t>盖章类型</t>
  </si>
  <si>
    <t>盖章单位</t>
  </si>
  <si>
    <t>检查内容说明：</t>
  </si>
  <si>
    <t>三、审计说明：</t>
  </si>
  <si>
    <t>四、审计结论：</t>
  </si>
  <si>
    <t>所有应当记录的营业收入均已记录，所有应当包括在财务报表中的相关披露均已包括。</t>
  </si>
  <si>
    <t>1.在报告期内选择一个重要时期，测试收入确认依据的资料文件（如发货单、验收单等）</t>
  </si>
  <si>
    <t>2.选择大的或者异常的项目进行测试（如果收入完整性评估为高风险，则应当采用抽样的方式）。</t>
  </si>
  <si>
    <t>3.检查每个所选项目的单证，并追查到交易记录（如，销售日记账）。</t>
  </si>
  <si>
    <t>发货单</t>
  </si>
  <si>
    <t>所载信息是否一致√(X)</t>
  </si>
  <si>
    <t>一、审计目标</t>
  </si>
  <si>
    <t>确认与营业收入有关事项已记录于正确的会计期间。</t>
  </si>
  <si>
    <t>1.获取报表日前（______）天、后（______）天，且金额大于______元发货单（或验收单、出库单等）与收入记账凭证核对确认收入是否记入了恰当的期间；</t>
  </si>
  <si>
    <t>2.……</t>
  </si>
  <si>
    <t>是否跨期</t>
  </si>
  <si>
    <t>√（×）</t>
  </si>
  <si>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</si>
  <si>
    <t>三、审计说明</t>
  </si>
  <si>
    <t>四、审计结论</t>
  </si>
  <si>
    <t>提示1：本表适用于对“以发货单为确认收入时点”的被审计单位的截止测试，项目组在使用模板时，请根据企业的收入确认政策修改或调整。</t>
  </si>
  <si>
    <t>提示2：如果存在跨期舞弊风险或者所检查样本中发现有跨期的，应扩大测试期间和样本，考虑将截止测试期间延长至审计报告日。同时考虑是否存在内控缺陷。</t>
  </si>
  <si>
    <t>1.获取报表日前（______）天、后（______）天，且金额大于______元收入记账凭证与发货单（或验收单、出库单等）核对确认收入是否记入了恰当的期间；</t>
  </si>
  <si>
    <t>页 次：</t>
  </si>
  <si>
    <t>与营业收入有关的金额及其他数据已恰当记录，相关披露已得到恰当计量和描述。</t>
  </si>
  <si>
    <t>1.取得被审计单位经授权批准的有关折扣与折让的规定和文件资料，检查发生的折扣或折让是否符合相关规定并经授权批准。</t>
  </si>
  <si>
    <t>客户名称</t>
  </si>
  <si>
    <t>折扣或折让类型</t>
  </si>
  <si>
    <t>收入金额</t>
  </si>
  <si>
    <t>折扣或折让金额</t>
  </si>
  <si>
    <t>折扣或折让比例</t>
  </si>
  <si>
    <t>折扣或折让
原因</t>
  </si>
  <si>
    <t>审批单</t>
  </si>
  <si>
    <t>备注</t>
  </si>
  <si>
    <t>会计科目</t>
  </si>
  <si>
    <t>明细科目</t>
  </si>
  <si>
    <t>借方金额</t>
  </si>
  <si>
    <t>贷方金额</t>
  </si>
  <si>
    <t>审批人</t>
  </si>
  <si>
    <t>价格折扣</t>
  </si>
  <si>
    <t>现金折扣</t>
  </si>
  <si>
    <t>实物返利</t>
  </si>
  <si>
    <t>销售折让</t>
  </si>
  <si>
    <t>提示：企业应当基于返利的形式和合同条款的约定，考虑相关条款安排是否会导致企业未来需要向客户提供可明确区分的商品或服务，在此基础上判断相关返利属于可变对价还是提供给客户的重大权利。一般而言，对基于客户采购情况等给予的现金返利，企业应当按照可变对价原则进行会计处理；对基于客户一定采购数量的实物返利或仅适用于未来采购的价格折扣，企业应当按照附有额外购买选择权的销售进行会计处理，评估该返利是否构成一项重大权利，以确定是否将其作为单项履约义务并分摊交易对价。《监管规则适用指引—会计类第2号》</t>
  </si>
  <si>
    <t>销售退货检查表</t>
  </si>
  <si>
    <t>一、审计目标:</t>
  </si>
  <si>
    <t>二、审计过程：</t>
  </si>
  <si>
    <t>1.产品退货政策</t>
  </si>
  <si>
    <t>2.退货总体情况</t>
  </si>
  <si>
    <t>本期退货金额   元，占本期销售收入的  %。按照客户类别/客户性质/产品类别分类统计如下：</t>
  </si>
  <si>
    <t>分类</t>
  </si>
  <si>
    <t>本年度</t>
  </si>
  <si>
    <t>上年度</t>
  </si>
  <si>
    <t>退货金额</t>
  </si>
  <si>
    <t>比例</t>
  </si>
  <si>
    <t>贸易商</t>
  </si>
  <si>
    <t>终端用户</t>
  </si>
  <si>
    <t>合计</t>
  </si>
  <si>
    <t>3.评估产品退货计提比例是否合理</t>
  </si>
  <si>
    <t>（1)历史退货情况</t>
  </si>
  <si>
    <t>（2）……</t>
  </si>
  <si>
    <t>4.重新测算产品退货金额</t>
  </si>
  <si>
    <t>产品名称</t>
  </si>
  <si>
    <t>计提基数</t>
  </si>
  <si>
    <t>计提比例</t>
  </si>
  <si>
    <t>应计提金额</t>
  </si>
  <si>
    <t>账面已计提金额</t>
  </si>
  <si>
    <t>差异金额</t>
  </si>
  <si>
    <t>差异原因</t>
  </si>
  <si>
    <t>5.检查本期产品退货情况</t>
  </si>
  <si>
    <t>退货单</t>
  </si>
  <si>
    <t>是否涉及诉讼</t>
  </si>
  <si>
    <t>业务内容</t>
  </si>
  <si>
    <t>科目名称</t>
  </si>
  <si>
    <t>二级明细</t>
  </si>
  <si>
    <t>退货数量</t>
  </si>
  <si>
    <t>退货原因</t>
  </si>
  <si>
    <t>6.检查期后产品退货情况</t>
  </si>
  <si>
    <t>（1）销售退回的原因及合理性判断：</t>
  </si>
  <si>
    <t>（2）销售退回审批手续是否完备；</t>
  </si>
  <si>
    <t>（3）相应的主营业务成本是否结转；</t>
  </si>
  <si>
    <t>（4）退货会计处理是否正确；</t>
  </si>
  <si>
    <t>（5）是否涉及跨期；</t>
  </si>
  <si>
    <t>页  次：</t>
  </si>
  <si>
    <t>1.利润表中记录的营业收入已发生，且与被审计单位有关；2.与营业收入有关的金额及其他数据已恰当记录，相关披露已得到恰当计量和描述；</t>
  </si>
  <si>
    <t>3.与营业收入有关的交易和事项已记录于正确的会计期间。</t>
  </si>
  <si>
    <t>1.……</t>
  </si>
  <si>
    <t>账面出口收入金额</t>
  </si>
  <si>
    <t>电子口岸系统</t>
  </si>
  <si>
    <t>免抵退税申报数据</t>
  </si>
  <si>
    <t>期间</t>
  </si>
  <si>
    <t>结关金额</t>
  </si>
  <si>
    <t>差异</t>
  </si>
  <si>
    <t>原因</t>
  </si>
  <si>
    <t>索引</t>
  </si>
  <si>
    <t>申报外销收入</t>
  </si>
  <si>
    <t>索引号</t>
    <phoneticPr fontId="124" type="noConversion"/>
  </si>
  <si>
    <t>是否异常</t>
    <phoneticPr fontId="20" type="noConversion"/>
  </si>
  <si>
    <t>客户名称</t>
    <phoneticPr fontId="124" type="noConversion"/>
  </si>
  <si>
    <t>二、样本选取标准与规模：</t>
    <phoneticPr fontId="125" type="noConversion"/>
  </si>
  <si>
    <t>三、测试：</t>
    <phoneticPr fontId="125" type="noConversion"/>
  </si>
  <si>
    <t>四、审计说明：</t>
    <phoneticPr fontId="124" type="noConversion"/>
  </si>
  <si>
    <t>五、审计结论：</t>
    <phoneticPr fontId="124" type="noConversion"/>
  </si>
  <si>
    <t>提示：如果存在跨期舞弊风险或者所检查样本中发现有跨期的，应扩大测试期间和样本，甚至可以考虑将截止测试期间延长至审计报告日。同时考虑是否存在内控缺陷。</t>
    <phoneticPr fontId="124" type="noConversion"/>
  </si>
  <si>
    <t>出口收入电子口岸系统检查</t>
    <phoneticPr fontId="124" type="noConversion"/>
  </si>
  <si>
    <t>D4-13</t>
    <phoneticPr fontId="124" type="noConversion"/>
  </si>
  <si>
    <t>出口收入电子口岸系统核对</t>
  </si>
  <si>
    <r>
      <rPr>
        <sz val="10"/>
        <rFont val="宋体"/>
        <family val="3"/>
        <charset val="134"/>
      </rPr>
      <t>会计期间：</t>
    </r>
    <r>
      <rPr>
        <sz val="10"/>
        <rFont val="Arial Narrow"/>
        <family val="2"/>
      </rPr>
      <t>202X</t>
    </r>
    <r>
      <rPr>
        <sz val="10"/>
        <rFont val="宋体"/>
        <family val="3"/>
        <charset val="134"/>
      </rPr>
      <t>年度</t>
    </r>
    <phoneticPr fontId="20" type="noConversion"/>
  </si>
  <si>
    <t>关于工作底稿与审计程序索引号对应的说明</t>
    <phoneticPr fontId="20"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</si>
  <si>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20"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</si>
  <si>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20"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</si>
  <si>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20" type="noConversion"/>
  </si>
  <si>
    <t>随机选样/系统选样/货币单元抽样/随意选样（非统计抽样适用）</t>
    <phoneticPr fontId="20" type="noConversion"/>
  </si>
  <si>
    <t>检查内容说明：1.核对合同、出库单、物流单、验收单等品名、规格一致、数量、单价、金额一致；2.核对验收单等控制权转移日期是否与记账相符，是否确认至恰当期间；</t>
    <phoneticPr fontId="124" type="noConversion"/>
  </si>
  <si>
    <t>3.核对签收单签收人或盖章信息是否存在异常；4.核对运输地址是否与客户合同记录发货地址一致，是否存在异常；5.……</t>
    <phoneticPr fontId="124" type="noConversion"/>
  </si>
  <si>
    <t>合计</t>
    <phoneticPr fontId="20" type="noConversion"/>
  </si>
  <si>
    <t>本期发生额</t>
    <phoneticPr fontId="20" type="noConversion"/>
  </si>
  <si>
    <t>检查比例</t>
    <phoneticPr fontId="20" type="noConversion"/>
  </si>
  <si>
    <t>1.如果检查比例较低应扩大检查样本量或说明原因</t>
    <phoneticPr fontId="20" type="noConversion"/>
  </si>
  <si>
    <t>营业收入截止测试（单据到账）</t>
    <phoneticPr fontId="124" type="noConversion"/>
  </si>
  <si>
    <t>营业收入截止测试（账到单据）</t>
    <phoneticPr fontId="124" type="noConversion"/>
  </si>
  <si>
    <t>提示1：项目组应根据被审计单位业务特点确定应检查的收入确认依据以及检查要点，例如出口收入确认依据一般还包括报关单、提单等，工程施工收入确认依据一般包括进度审核单、竣工验收报告等。必要时，还应记录不同证据时间逻辑一致性检查。</t>
    <phoneticPr fontId="124" type="noConversion"/>
  </si>
  <si>
    <t>提示2：根据《中国注册会计师审计准则问题解答第18号——识别和应对第三方配合实施财务舞弊》，项目组在检查收入发生时关注第三方配合虚假销售交易涉及的存货实物、交易单证票据和资金流转；例如，在虚假收入交易中的资金流转过程可能如下：</t>
    <phoneticPr fontId="124" type="noConversion"/>
  </si>
  <si>
    <t>（1）被审计单位通过虚假交易或虚增交易金额套取自有资金，或者为关联方违规提供担保、由该关联方取得金融机构借款，或者由关联方提供资金（参见《中国注册会计师审计准则问题解答第4号——收入确认》）。</t>
    <phoneticPr fontId="124" type="noConversion"/>
  </si>
  <si>
    <t>（2）虚假交易对手或关联方将资金支付给被审计单位“客户”；为增加隐蔽性，也可能先将资金支付给“过桥”方，再由“过桥”方支付给“客户”。</t>
    <phoneticPr fontId="124" type="noConversion"/>
  </si>
  <si>
    <t>（3）“客户”向被审计单位支付货款，形成虚假销售交易的资金闭环。</t>
    <phoneticPr fontId="124" type="noConversion"/>
  </si>
  <si>
    <t>编号</t>
    <phoneticPr fontId="1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</si>
</sst>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5">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0;\-\¥#,##0"/>
    <numFmt numFmtId="188" formatCode="#.\ \ "/>
    <numFmt numFmtId="189" formatCode="##.\ \ "/>
    <numFmt numFmtId="190" formatCode="&quot;$&quot;#,##0_);\(&quot;$&quot;#,##0\)"/>
    <numFmt numFmtId="191" formatCode="#,##0;\-#,##0;&quot;-&quot;"/>
    <numFmt numFmtId="192" formatCode="\(#,##0\)\ "/>
    <numFmt numFmtId="193" formatCode="[Blue]0.0%;[Blue]\(0.0%\)"/>
    <numFmt numFmtId="194" formatCode="0.0%;\(0.0%\)"/>
    <numFmt numFmtId="195" formatCode="[Red]0.0%;[Red]\(0.0%\)"/>
    <numFmt numFmtId="196" formatCode="[Blue]#,##0_);[Blue]\(#,##0\)"/>
    <numFmt numFmtId="197" formatCode="#,##0_);[Blue]\(#,##0\)"/>
    <numFmt numFmtId="198" formatCode="&quot;$&quot;#,##0;[Red]&quot;$&quot;&quot;$&quot;&quot;$&quot;&quot;$&quot;&quot;$&quot;&quot;$&quot;&quot;$&quot;\-#,##0"/>
    <numFmt numFmtId="199" formatCode="_(&quot;$&quot;* #,##0_);_(&quot;$&quot;* \(#,##0\);_(&quot;$&quot;* &quot;-&quot;_);_(@_)"/>
    <numFmt numFmtId="200" formatCode="#,##0;\(#,##0\)"/>
    <numFmt numFmtId="201" formatCode="#,##0.0_);\(#,##0.0\)"/>
    <numFmt numFmtId="202" formatCode="&quot;$&quot;#,##0.00_);\(&quot;$&quot;#,##0.00\)"/>
    <numFmt numFmtId="203" formatCode=";;;"/>
    <numFmt numFmtId="204" formatCode="\$#,##0.00;\(\$#,##0.00\)"/>
    <numFmt numFmtId="205" formatCode="#,##0.000000"/>
    <numFmt numFmtId="206" formatCode="\$#,##0;\(\$#,##0\)"/>
    <numFmt numFmtId="207" formatCode="#,##0.00\¥;\-#,##0.00\¥"/>
    <numFmt numFmtId="208" formatCode="_(&quot;$&quot;* #,##0.00_);_(&quot;$&quot;* \(#,##0.00\);_(&quot;$&quot;* &quot;-&quot;??_);_(@_)"/>
    <numFmt numFmtId="209" formatCode="_-* #,##0_-;\-* #,##0_-;_-* &quot;-&quot;??_-;_-@_-"/>
    <numFmt numFmtId="210" formatCode="0.00000000000_);[Red]\(0.00000000000\)"/>
    <numFmt numFmtId="211" formatCode="&quot;\&quot;#,##0;&quot;\&quot;&quot;\&quot;\-#,##0"/>
    <numFmt numFmtId="212" formatCode="&quot;?#,##0;\-&quot;?#,##0"/>
    <numFmt numFmtId="213" formatCode="_-* #,##0\¥_-;\-* #,##0\¥_-;_-* &quot;-&quot;\¥_-;_-@_-"/>
    <numFmt numFmtId="214" formatCode="0%_);\(0%\)"/>
    <numFmt numFmtId="215" formatCode="&quot;$&quot;#,##0;\-&quot;$&quot;#,##0"/>
    <numFmt numFmtId="216" formatCode="#,##0&quot; $&quot;;[Red]\-#,##0&quot; $&quot;"/>
    <numFmt numFmtId="217" formatCode="#,##0.00\¥;[Red]\-#,##0.00\¥"/>
    <numFmt numFmtId="218" formatCode="\ \ @"/>
    <numFmt numFmtId="219" formatCode="#,##0_);\(#,##0_)"/>
    <numFmt numFmtId="220" formatCode="_-* #,##0\ _k_r_-;\-* #,##0\ _k_r_-;_-* &quot;-&quot;\ _k_r_-;_-@_-"/>
    <numFmt numFmtId="221" formatCode="_-* #,##0.00\ _k_r_-;\-* #,##0.00\ _k_r_-;_-* &quot;-&quot;??\ _k_r_-;_-@_-"/>
    <numFmt numFmtId="222" formatCode="#,##0.00_);#,##0.00\)"/>
    <numFmt numFmtId="223" formatCode="0.00000&quot;  &quot;"/>
    <numFmt numFmtId="224" formatCode="_-* #,##0_-;\-* #,##0_-;_-* &quot;-&quot;_-;_-@_-"/>
    <numFmt numFmtId="225" formatCode="_-* #,##0.00_-;\-* #,##0.00_-;_-* &quot;-&quot;??_-;_-@_-"/>
    <numFmt numFmtId="226" formatCode="_-#,##0%_-;\(#,##0%\);_-\ &quot;-&quot;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quot;$&quot;#,##0.00_);[Red]\(&quot;$&quot;#,##0.00\)"/>
    <numFmt numFmtId="234" formatCode="_(* #,##0.00_);_(* \(#,##0.00\);_(* &quot;-&quot;??_);_(@_)"/>
    <numFmt numFmtId="23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6" formatCode="#,##0.00_ "/>
    <numFmt numFmtId="237" formatCode="#,##0.00_);[Red]\(#,##0.00\)"/>
    <numFmt numFmtId="239" formatCode="0_);[Red]\(0\)"/>
  </numFmts>
  <fonts count="130">
    <font>
      <sz val="11"/>
      <color theme="1"/>
      <name val="等线"/>
      <charset val="134"/>
      <scheme val="minor"/>
    </font>
    <font>
      <sz val="10"/>
      <name val="宋体"/>
      <family val="3"/>
      <charset val="134"/>
    </font>
    <font>
      <sz val="10"/>
      <color theme="1"/>
      <name val="宋体"/>
      <family val="3"/>
      <charset val="134"/>
    </font>
    <font>
      <b/>
      <sz val="12"/>
      <name val="宋体"/>
      <family val="3"/>
      <charset val="134"/>
    </font>
    <font>
      <b/>
      <sz val="14"/>
      <name val="宋体"/>
      <family val="3"/>
      <charset val="134"/>
    </font>
    <font>
      <b/>
      <sz val="10"/>
      <name val="宋体"/>
      <family val="3"/>
      <charset val="134"/>
    </font>
    <font>
      <sz val="10"/>
      <color indexed="8"/>
      <name val="宋体"/>
      <family val="3"/>
      <charset val="134"/>
    </font>
    <font>
      <b/>
      <u/>
      <sz val="10"/>
      <color indexed="10"/>
      <name val="宋体"/>
      <family val="3"/>
      <charset val="134"/>
    </font>
    <font>
      <sz val="10"/>
      <color rgb="FFFF0000"/>
      <name val="宋体"/>
      <family val="3"/>
      <charset val="134"/>
    </font>
    <font>
      <b/>
      <sz val="10"/>
      <color theme="1"/>
      <name val="宋体"/>
      <family val="3"/>
      <charset val="134"/>
    </font>
    <font>
      <sz val="10"/>
      <color theme="1"/>
      <name val="Arial Narrow"/>
      <family val="2"/>
    </font>
    <font>
      <sz val="10"/>
      <name val="Arial Narrow"/>
      <family val="2"/>
    </font>
    <font>
      <b/>
      <sz val="10"/>
      <color indexed="8"/>
      <name val="宋体"/>
      <family val="3"/>
      <charset val="134"/>
    </font>
    <font>
      <b/>
      <sz val="10"/>
      <color rgb="FFFF0000"/>
      <name val="宋体"/>
      <family val="3"/>
      <charset val="134"/>
    </font>
    <font>
      <sz val="10"/>
      <color indexed="8"/>
      <name val="Arial Narrow"/>
      <family val="2"/>
    </font>
    <font>
      <i/>
      <sz val="10"/>
      <color indexed="12"/>
      <name val="宋体"/>
      <family val="3"/>
      <charset val="134"/>
    </font>
    <font>
      <sz val="10"/>
      <color indexed="12"/>
      <name val="宋体"/>
      <family val="3"/>
      <charset val="134"/>
    </font>
    <font>
      <sz val="10"/>
      <color rgb="FF0000FF"/>
      <name val="宋体"/>
      <family val="3"/>
      <charset val="134"/>
    </font>
    <font>
      <sz val="10"/>
      <color rgb="FF0000CC"/>
      <name val="宋体"/>
      <family val="3"/>
      <charset val="134"/>
    </font>
    <font>
      <b/>
      <sz val="10"/>
      <name val="Arial Narrow"/>
      <family val="2"/>
    </font>
    <font>
      <sz val="9"/>
      <name val="宋体"/>
      <family val="3"/>
      <charset val="134"/>
    </font>
    <font>
      <sz val="10"/>
      <color rgb="FF3333FF"/>
      <name val="宋体"/>
      <family val="3"/>
      <charset val="134"/>
    </font>
    <font>
      <u/>
      <sz val="11"/>
      <color theme="10"/>
      <name val="等线"/>
      <family val="3"/>
      <charset val="134"/>
      <scheme val="minor"/>
    </font>
    <font>
      <sz val="12"/>
      <name val="宋体"/>
      <family val="3"/>
      <charset val="134"/>
    </font>
    <font>
      <sz val="10"/>
      <name val="Arial"/>
      <family val="2"/>
    </font>
    <font>
      <sz val="11"/>
      <name val="ＭＳ Ｐゴシック"/>
      <family val="2"/>
    </font>
    <font>
      <sz val="10"/>
      <name val="Times New Roman"/>
      <family val="1"/>
    </font>
    <font>
      <sz val="10"/>
      <color indexed="8"/>
      <name val="Arial"/>
      <family val="2"/>
    </font>
    <font>
      <sz val="10"/>
      <name val="Helv"/>
      <family val="2"/>
    </font>
    <font>
      <u val="singleAccounting"/>
      <vertAlign val="subscript"/>
      <sz val="10"/>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12"/>
      <name val="Times New Roman"/>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i/>
      <sz val="9"/>
      <name val="Times New Roman"/>
      <family val="1"/>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等线"/>
      <family val="3"/>
      <charset val="134"/>
      <scheme val="minor"/>
    </font>
    <font>
      <sz val="12"/>
      <color indexed="20"/>
      <name val="宋体"/>
      <family val="3"/>
      <charset val="134"/>
    </font>
    <font>
      <sz val="10"/>
      <color indexed="20"/>
      <name val="Times New Roman"/>
      <family val="1"/>
    </font>
    <font>
      <sz val="11"/>
      <color indexed="8"/>
      <name val="宋体"/>
      <family val="3"/>
      <charset val="134"/>
    </font>
    <font>
      <sz val="10"/>
      <color theme="1"/>
      <name val="等线"/>
      <family val="3"/>
      <charset val="134"/>
      <scheme val="minor"/>
    </font>
    <font>
      <u/>
      <sz val="9"/>
      <color indexed="12"/>
      <name val="Times New Roman"/>
      <family val="1"/>
    </font>
    <font>
      <u/>
      <sz val="12"/>
      <color indexed="12"/>
      <name val="宋体"/>
      <family val="3"/>
      <charset val="134"/>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等线"/>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2"/>
      <name val="楷体"/>
      <family val="3"/>
      <charset val="134"/>
    </font>
    <font>
      <sz val="10"/>
      <name val="奔覆眉"/>
      <charset val="134"/>
    </font>
    <font>
      <b/>
      <sz val="12"/>
      <color indexed="8"/>
      <name val="宋体"/>
      <family val="3"/>
      <charset val="134"/>
    </font>
    <font>
      <sz val="12"/>
      <name val="柧挬"/>
      <charset val="134"/>
    </font>
    <font>
      <sz val="12"/>
      <name val="바탕체"/>
      <family val="3"/>
    </font>
    <font>
      <sz val="11"/>
      <color theme="1"/>
      <name val="等线"/>
      <family val="3"/>
      <charset val="134"/>
      <scheme val="minor"/>
    </font>
    <font>
      <sz val="9"/>
      <name val="等线"/>
      <family val="3"/>
      <charset val="134"/>
      <scheme val="minor"/>
    </font>
    <font>
      <sz val="18"/>
      <color indexed="48"/>
      <name val="魏碑"/>
      <family val="3"/>
      <charset val="134"/>
    </font>
    <font>
      <sz val="11"/>
      <color theme="1"/>
      <name val="等线"/>
      <family val="3"/>
      <charset val="134"/>
      <scheme val="minor"/>
    </font>
    <font>
      <b/>
      <sz val="12"/>
      <name val="Arial Narrow"/>
      <family val="2"/>
    </font>
    <font>
      <sz val="12"/>
      <name val="Arial Narrow"/>
      <family val="2"/>
    </font>
    <font>
      <sz val="10"/>
      <color rgb="FF0000CC"/>
      <name val="Arial Narrow"/>
      <family val="2"/>
    </font>
  </fonts>
  <fills count="57">
    <fill>
      <patternFill patternType="none"/>
    </fill>
    <fill>
      <patternFill patternType="gray125"/>
    </fill>
    <fill>
      <patternFill patternType="solid">
        <fgColor rgb="FFE4DFEC"/>
        <bgColor indexed="64"/>
      </patternFill>
    </fill>
    <fill>
      <patternFill patternType="solid">
        <fgColor rgb="FFDCD5E5"/>
        <bgColor indexed="64"/>
      </patternFill>
    </fill>
    <fill>
      <patternFill patternType="solid">
        <fgColor rgb="FFFFC000"/>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E4DFEC"/>
        <bgColor rgb="FFB7DEE8"/>
      </patternFill>
    </fill>
  </fills>
  <borders count="28">
    <border>
      <left/>
      <right/>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style="hair">
        <color auto="1"/>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top/>
      <bottom style="hair">
        <color auto="1"/>
      </bottom>
      <diagonal/>
    </border>
  </borders>
  <cellStyleXfs count="356">
    <xf numFmtId="176" fontId="0" fillId="0" borderId="0"/>
    <xf numFmtId="176" fontId="22" fillId="0" borderId="0" applyNumberFormat="0" applyFill="0" applyBorder="0" applyAlignment="0" applyProtection="0"/>
    <xf numFmtId="176" fontId="23" fillId="0" borderId="0" applyNumberFormat="0" applyFill="0" applyBorder="0" applyAlignment="0" applyProtection="0"/>
    <xf numFmtId="176" fontId="24" fillId="0" borderId="0"/>
    <xf numFmtId="176" fontId="25" fillId="0" borderId="0" applyFont="0" applyFill="0" applyBorder="0" applyAlignment="0" applyProtection="0"/>
    <xf numFmtId="49" fontId="26" fillId="0" borderId="0" applyProtection="0">
      <alignment horizontal="left"/>
    </xf>
    <xf numFmtId="176" fontId="27" fillId="0" borderId="0">
      <alignment vertical="top"/>
    </xf>
    <xf numFmtId="176" fontId="24" fillId="0" borderId="0" applyNumberFormat="0" applyFill="0" applyBorder="0" applyAlignment="0">
      <protection locked="0"/>
    </xf>
    <xf numFmtId="176" fontId="27" fillId="0" borderId="0">
      <alignment vertical="top"/>
      <protection locked="0"/>
    </xf>
    <xf numFmtId="176" fontId="28" fillId="0" borderId="0"/>
    <xf numFmtId="176" fontId="27" fillId="0" borderId="0">
      <alignment vertical="top"/>
    </xf>
    <xf numFmtId="176" fontId="24" fillId="0" borderId="0" applyNumberFormat="0" applyFill="0" applyBorder="0" applyAlignment="0" applyProtection="0"/>
    <xf numFmtId="177" fontId="26" fillId="0" borderId="0" applyFill="0" applyBorder="0" applyProtection="0">
      <alignment horizontal="right"/>
    </xf>
    <xf numFmtId="178" fontId="26" fillId="0" borderId="0" applyFill="0" applyBorder="0" applyProtection="0">
      <alignment horizontal="right"/>
    </xf>
    <xf numFmtId="179" fontId="29" fillId="0" borderId="0" applyFill="0" applyBorder="0" applyProtection="0">
      <alignment horizontal="center"/>
    </xf>
    <xf numFmtId="180" fontId="29" fillId="0" borderId="0" applyFill="0" applyBorder="0" applyProtection="0">
      <alignment horizontal="center"/>
    </xf>
    <xf numFmtId="181" fontId="26" fillId="0" borderId="0" applyFill="0" applyBorder="0" applyProtection="0">
      <alignment horizontal="right"/>
    </xf>
    <xf numFmtId="182" fontId="26" fillId="0" borderId="0" applyFill="0" applyBorder="0" applyProtection="0">
      <alignment horizontal="right"/>
    </xf>
    <xf numFmtId="183" fontId="26" fillId="0" borderId="0" applyFill="0" applyBorder="0" applyProtection="0">
      <alignment horizontal="right"/>
    </xf>
    <xf numFmtId="184" fontId="26" fillId="0" borderId="0" applyFill="0" applyBorder="0" applyProtection="0">
      <alignment horizontal="right"/>
    </xf>
    <xf numFmtId="185" fontId="30" fillId="0" borderId="0" applyFont="0" applyFill="0" applyBorder="0" applyAlignment="0" applyProtection="0"/>
    <xf numFmtId="186" fontId="30" fillId="0" borderId="0" applyFont="0" applyFill="0" applyBorder="0" applyAlignment="0" applyProtection="0"/>
    <xf numFmtId="10" fontId="30" fillId="0" borderId="0" applyFont="0" applyFill="0" applyBorder="0" applyAlignment="0" applyProtection="0"/>
    <xf numFmtId="187" fontId="23" fillId="0" borderId="0" applyFont="0" applyFill="0" applyBorder="0" applyAlignment="0" applyProtection="0"/>
    <xf numFmtId="176" fontId="31" fillId="8" borderId="0" applyNumberFormat="0" applyBorder="0" applyAlignment="0" applyProtection="0"/>
    <xf numFmtId="176" fontId="31" fillId="9" borderId="0" applyNumberFormat="0" applyBorder="0" applyAlignment="0" applyProtection="0"/>
    <xf numFmtId="176" fontId="31" fillId="10" borderId="0" applyNumberFormat="0" applyBorder="0" applyAlignment="0" applyProtection="0"/>
    <xf numFmtId="176" fontId="31" fillId="11" borderId="0" applyNumberFormat="0" applyBorder="0" applyAlignment="0" applyProtection="0"/>
    <xf numFmtId="176" fontId="31" fillId="12" borderId="0" applyNumberFormat="0" applyBorder="0" applyAlignment="0" applyProtection="0"/>
    <xf numFmtId="176" fontId="31" fillId="13" borderId="0" applyNumberFormat="0" applyBorder="0" applyAlignment="0" applyProtection="0"/>
    <xf numFmtId="176" fontId="31" fillId="14" borderId="0" applyNumberFormat="0" applyBorder="0" applyAlignment="0" applyProtection="0"/>
    <xf numFmtId="176" fontId="31" fillId="15" borderId="0" applyNumberFormat="0" applyBorder="0" applyAlignment="0" applyProtection="0"/>
    <xf numFmtId="176" fontId="31" fillId="16" borderId="0" applyNumberFormat="0" applyBorder="0" applyAlignment="0" applyProtection="0"/>
    <xf numFmtId="176" fontId="31" fillId="17" borderId="0" applyNumberFormat="0" applyBorder="0" applyAlignment="0" applyProtection="0"/>
    <xf numFmtId="176" fontId="32" fillId="18" borderId="0" applyNumberFormat="0" applyBorder="0" applyAlignment="0" applyProtection="0"/>
    <xf numFmtId="176" fontId="32" fillId="15" borderId="0" applyNumberFormat="0" applyBorder="0" applyAlignment="0" applyProtection="0"/>
    <xf numFmtId="176" fontId="32" fillId="16" borderId="0" applyNumberFormat="0" applyBorder="0" applyAlignment="0" applyProtection="0"/>
    <xf numFmtId="176" fontId="32" fillId="19" borderId="0" applyNumberFormat="0" applyBorder="0" applyAlignment="0" applyProtection="0"/>
    <xf numFmtId="176" fontId="32" fillId="20" borderId="0" applyNumberFormat="0" applyBorder="0" applyAlignment="0" applyProtection="0"/>
    <xf numFmtId="176" fontId="32" fillId="21" borderId="0" applyNumberFormat="0" applyBorder="0" applyAlignment="0" applyProtection="0"/>
    <xf numFmtId="176" fontId="33" fillId="0" borderId="9">
      <alignment horizontal="center"/>
    </xf>
    <xf numFmtId="176" fontId="34" fillId="0" borderId="0"/>
    <xf numFmtId="176" fontId="34" fillId="0" borderId="10" applyFill="0">
      <alignment horizontal="center"/>
      <protection locked="0"/>
    </xf>
    <xf numFmtId="176" fontId="33" fillId="0" borderId="0" applyFill="0">
      <alignment horizontal="center"/>
      <protection locked="0"/>
    </xf>
    <xf numFmtId="176" fontId="33" fillId="22" borderId="0"/>
    <xf numFmtId="176" fontId="33" fillId="0" borderId="0">
      <protection locked="0"/>
    </xf>
    <xf numFmtId="176" fontId="33" fillId="0" borderId="0"/>
    <xf numFmtId="188" fontId="33" fillId="0" borderId="0"/>
    <xf numFmtId="189" fontId="33" fillId="0" borderId="0"/>
    <xf numFmtId="176" fontId="34" fillId="23" borderId="0">
      <alignment horizontal="right"/>
    </xf>
    <xf numFmtId="176" fontId="32" fillId="24" borderId="0" applyNumberFormat="0" applyBorder="0" applyAlignment="0" applyProtection="0"/>
    <xf numFmtId="176" fontId="35" fillId="25" borderId="0" applyNumberFormat="0" applyBorder="0" applyAlignment="0" applyProtection="0"/>
    <xf numFmtId="176" fontId="36" fillId="26" borderId="0" applyNumberFormat="0" applyBorder="0" applyAlignment="0" applyProtection="0"/>
    <xf numFmtId="176" fontId="32" fillId="27" borderId="0" applyNumberFormat="0" applyBorder="0" applyAlignment="0" applyProtection="0"/>
    <xf numFmtId="176" fontId="35" fillId="28" borderId="0" applyNumberFormat="0" applyBorder="0" applyAlignment="0" applyProtection="0"/>
    <xf numFmtId="176" fontId="35" fillId="29" borderId="0" applyNumberFormat="0" applyBorder="0" applyAlignment="0" applyProtection="0"/>
    <xf numFmtId="176" fontId="36" fillId="30" borderId="0" applyNumberFormat="0" applyBorder="0" applyAlignment="0" applyProtection="0"/>
    <xf numFmtId="176" fontId="32" fillId="31" borderId="0" applyNumberFormat="0" applyBorder="0" applyAlignment="0" applyProtection="0"/>
    <xf numFmtId="176" fontId="35" fillId="32" borderId="0" applyNumberFormat="0" applyBorder="0" applyAlignment="0" applyProtection="0"/>
    <xf numFmtId="176" fontId="36" fillId="29" borderId="0" applyNumberFormat="0" applyBorder="0" applyAlignment="0" applyProtection="0"/>
    <xf numFmtId="176" fontId="35" fillId="33" borderId="0" applyNumberFormat="0" applyBorder="0" applyAlignment="0" applyProtection="0"/>
    <xf numFmtId="176" fontId="32" fillId="34" borderId="0" applyNumberFormat="0" applyBorder="0" applyAlignment="0" applyProtection="0"/>
    <xf numFmtId="176" fontId="35" fillId="35" borderId="0" applyNumberFormat="0" applyBorder="0" applyAlignment="0" applyProtection="0"/>
    <xf numFmtId="176" fontId="36" fillId="35" borderId="0" applyNumberFormat="0" applyBorder="0" applyAlignment="0" applyProtection="0"/>
    <xf numFmtId="176" fontId="37" fillId="0" borderId="0">
      <alignment horizontal="center" wrapText="1"/>
      <protection locked="0"/>
    </xf>
    <xf numFmtId="176" fontId="38" fillId="9" borderId="0" applyNumberFormat="0" applyBorder="0" applyAlignment="0" applyProtection="0"/>
    <xf numFmtId="3" fontId="39" fillId="0" borderId="0"/>
    <xf numFmtId="190" fontId="40" fillId="0" borderId="11" applyAlignment="0" applyProtection="0"/>
    <xf numFmtId="191" fontId="27" fillId="0" borderId="0" applyFill="0" applyBorder="0" applyAlignment="0"/>
    <xf numFmtId="192" fontId="24" fillId="0" borderId="0" applyFill="0" applyBorder="0" applyAlignment="0"/>
    <xf numFmtId="193" fontId="24" fillId="0" borderId="0" applyFill="0" applyBorder="0" applyAlignment="0"/>
    <xf numFmtId="194" fontId="24" fillId="0" borderId="0" applyFill="0" applyBorder="0" applyAlignment="0"/>
    <xf numFmtId="195" fontId="24" fillId="0" borderId="0" applyFill="0" applyBorder="0" applyAlignment="0"/>
    <xf numFmtId="196" fontId="24" fillId="0" borderId="0" applyFill="0" applyBorder="0" applyAlignment="0"/>
    <xf numFmtId="197" fontId="24" fillId="0" borderId="0" applyFill="0" applyBorder="0" applyAlignment="0"/>
    <xf numFmtId="176" fontId="41" fillId="36" borderId="12" applyNumberFormat="0" applyAlignment="0" applyProtection="0"/>
    <xf numFmtId="176" fontId="42" fillId="0" borderId="0"/>
    <xf numFmtId="176" fontId="43" fillId="37" borderId="13" applyNumberFormat="0" applyAlignment="0" applyProtection="0"/>
    <xf numFmtId="176" fontId="44" fillId="0" borderId="14" applyNumberFormat="0" applyFill="0" applyProtection="0">
      <alignment horizontal="center"/>
    </xf>
    <xf numFmtId="176" fontId="45" fillId="0" borderId="15">
      <alignment horizontal="center"/>
    </xf>
    <xf numFmtId="198" fontId="24" fillId="0" borderId="0"/>
    <xf numFmtId="199" fontId="23" fillId="0" borderId="0" applyFont="0" applyFill="0" applyBorder="0" applyAlignment="0" applyProtection="0"/>
    <xf numFmtId="196" fontId="24" fillId="0" borderId="0" applyFont="0" applyFill="0" applyBorder="0" applyAlignment="0" applyProtection="0"/>
    <xf numFmtId="200" fontId="26" fillId="0" borderId="0"/>
    <xf numFmtId="37" fontId="30" fillId="0" borderId="0" applyFont="0" applyFill="0" applyBorder="0" applyAlignment="0" applyProtection="0"/>
    <xf numFmtId="201" fontId="30" fillId="0" borderId="0" applyFont="0" applyFill="0" applyBorder="0" applyAlignment="0" applyProtection="0"/>
    <xf numFmtId="39" fontId="30" fillId="0" borderId="0" applyFont="0" applyFill="0" applyBorder="0" applyAlignment="0" applyProtection="0"/>
    <xf numFmtId="40" fontId="46" fillId="0" borderId="0" applyFont="0" applyFill="0" applyBorder="0" applyAlignment="0" applyProtection="0"/>
    <xf numFmtId="176" fontId="47" fillId="0" borderId="0" applyNumberFormat="0" applyAlignment="0">
      <alignment horizontal="left"/>
    </xf>
    <xf numFmtId="176" fontId="48" fillId="0" borderId="0" applyNumberFormat="0" applyAlignment="0"/>
    <xf numFmtId="199" fontId="49" fillId="0" borderId="0" applyFont="0" applyFill="0" applyBorder="0" applyAlignment="0" applyProtection="0"/>
    <xf numFmtId="192" fontId="24" fillId="0" borderId="0" applyFont="0" applyFill="0" applyBorder="0" applyAlignment="0" applyProtection="0"/>
    <xf numFmtId="190" fontId="30" fillId="0" borderId="0" applyFont="0" applyFill="0" applyBorder="0" applyAlignment="0" applyProtection="0"/>
    <xf numFmtId="202" fontId="30" fillId="0" borderId="0" applyFont="0" applyFill="0" applyBorder="0" applyAlignment="0" applyProtection="0"/>
    <xf numFmtId="203" fontId="23" fillId="0" borderId="0" applyFont="0" applyFill="0" applyBorder="0" applyAlignment="0" applyProtection="0"/>
    <xf numFmtId="204" fontId="26" fillId="0" borderId="0"/>
    <xf numFmtId="205" fontId="24" fillId="0" borderId="0">
      <protection locked="0"/>
    </xf>
    <xf numFmtId="15" fontId="46" fillId="0" borderId="0"/>
    <xf numFmtId="14" fontId="27" fillId="0" borderId="0" applyFill="0" applyBorder="0" applyAlignment="0"/>
    <xf numFmtId="41" fontId="24" fillId="0" borderId="0" applyFont="0" applyFill="0" applyBorder="0" applyAlignment="0" applyProtection="0"/>
    <xf numFmtId="43" fontId="24" fillId="0" borderId="0" applyFont="0" applyFill="0" applyBorder="0" applyAlignment="0" applyProtection="0"/>
    <xf numFmtId="206" fontId="26" fillId="0" borderId="0"/>
    <xf numFmtId="176" fontId="50" fillId="0" borderId="0" applyNumberFormat="0" applyFill="0" applyBorder="0" applyAlignment="0" applyProtection="0"/>
    <xf numFmtId="176" fontId="51" fillId="0" borderId="0" applyNumberFormat="0" applyAlignment="0">
      <alignment horizontal="left"/>
    </xf>
    <xf numFmtId="176" fontId="52" fillId="0" borderId="0">
      <alignment horizontal="left"/>
    </xf>
    <xf numFmtId="176" fontId="52" fillId="0" borderId="0">
      <alignment horizontal="left"/>
    </xf>
    <xf numFmtId="176" fontId="53" fillId="38" borderId="9"/>
    <xf numFmtId="176" fontId="53" fillId="38" borderId="9"/>
    <xf numFmtId="176" fontId="26" fillId="0" borderId="0" applyFont="0" applyFill="0" applyBorder="0" applyAlignment="0" applyProtection="0"/>
    <xf numFmtId="176" fontId="54" fillId="0" borderId="0" applyNumberFormat="0" applyFill="0" applyBorder="0" applyAlignment="0" applyProtection="0"/>
    <xf numFmtId="176" fontId="55" fillId="0" borderId="0" applyNumberFormat="0" applyFill="0" applyBorder="0" applyAlignment="0" applyProtection="0">
      <alignment vertical="top"/>
      <protection locked="0"/>
    </xf>
    <xf numFmtId="176" fontId="56" fillId="10" borderId="0" applyNumberFormat="0" applyBorder="0" applyAlignment="0" applyProtection="0"/>
    <xf numFmtId="38" fontId="53" fillId="36" borderId="0" applyNumberFormat="0" applyBorder="0" applyAlignment="0" applyProtection="0"/>
    <xf numFmtId="176" fontId="57" fillId="0" borderId="0">
      <alignment horizontal="left"/>
    </xf>
    <xf numFmtId="176" fontId="58" fillId="0" borderId="16" applyNumberFormat="0" applyAlignment="0" applyProtection="0">
      <alignment horizontal="left" vertical="center"/>
    </xf>
    <xf numFmtId="176" fontId="58" fillId="0" borderId="16" applyNumberFormat="0" applyAlignment="0" applyProtection="0">
      <alignment horizontal="left" vertical="center"/>
    </xf>
    <xf numFmtId="176" fontId="58" fillId="0" borderId="17">
      <alignment horizontal="left" vertical="center"/>
    </xf>
    <xf numFmtId="176" fontId="58" fillId="0" borderId="17">
      <alignment horizontal="left" vertical="center"/>
    </xf>
    <xf numFmtId="14" fontId="59" fillId="12" borderId="10">
      <alignment horizontal="center" vertical="center" wrapText="1"/>
    </xf>
    <xf numFmtId="176" fontId="60" fillId="0" borderId="18" applyNumberFormat="0" applyFill="0" applyAlignment="0" applyProtection="0"/>
    <xf numFmtId="176" fontId="61" fillId="0" borderId="19" applyNumberFormat="0" applyFill="0" applyAlignment="0" applyProtection="0"/>
    <xf numFmtId="176" fontId="62" fillId="0" borderId="20" applyNumberFormat="0" applyFill="0" applyAlignment="0" applyProtection="0"/>
    <xf numFmtId="176" fontId="62" fillId="0" borderId="0" applyNumberFormat="0" applyFill="0" applyBorder="0" applyAlignment="0" applyProtection="0"/>
    <xf numFmtId="176" fontId="63" fillId="0" borderId="0" applyNumberFormat="0" applyFill="0" applyBorder="0" applyAlignment="0" applyProtection="0">
      <alignment vertical="top"/>
      <protection locked="0"/>
    </xf>
    <xf numFmtId="176" fontId="64" fillId="13" borderId="12" applyNumberFormat="0" applyAlignment="0" applyProtection="0"/>
    <xf numFmtId="10" fontId="53" fillId="39" borderId="9" applyNumberFormat="0" applyBorder="0" applyAlignment="0" applyProtection="0"/>
    <xf numFmtId="201" fontId="65" fillId="40" borderId="0"/>
    <xf numFmtId="207" fontId="23" fillId="40" borderId="0"/>
    <xf numFmtId="176" fontId="26" fillId="0" borderId="0" applyNumberFormat="0" applyFont="0" applyFill="0" applyBorder="0" applyProtection="0">
      <alignment horizontal="left" vertical="center"/>
    </xf>
    <xf numFmtId="176" fontId="26" fillId="0" borderId="0" applyNumberFormat="0" applyFont="0" applyFill="0" applyBorder="0" applyProtection="0">
      <alignment horizontal="left" vertical="center"/>
    </xf>
    <xf numFmtId="176" fontId="66" fillId="0" borderId="21" applyNumberFormat="0" applyFill="0" applyAlignment="0" applyProtection="0"/>
    <xf numFmtId="201" fontId="67" fillId="41" borderId="0"/>
    <xf numFmtId="207" fontId="23" fillId="41" borderId="0"/>
    <xf numFmtId="176" fontId="24" fillId="0" borderId="0" applyFont="0" applyFill="0" applyBorder="0" applyAlignment="0" applyProtection="0"/>
    <xf numFmtId="176" fontId="68" fillId="0" borderId="10"/>
    <xf numFmtId="199" fontId="24" fillId="0" borderId="0" applyFont="0" applyFill="0" applyBorder="0" applyAlignment="0" applyProtection="0"/>
    <xf numFmtId="208" fontId="24" fillId="0" borderId="0" applyFont="0" applyFill="0" applyBorder="0" applyAlignment="0" applyProtection="0"/>
    <xf numFmtId="209" fontId="24" fillId="0" borderId="0" applyFont="0" applyFill="0" applyBorder="0" applyAlignment="0" applyProtection="0"/>
    <xf numFmtId="210" fontId="23" fillId="0" borderId="0" applyFont="0" applyFill="0" applyBorder="0" applyAlignment="0" applyProtection="0"/>
    <xf numFmtId="176" fontId="69" fillId="42" borderId="0" applyNumberFormat="0" applyBorder="0" applyAlignment="0" applyProtection="0"/>
    <xf numFmtId="176" fontId="26" fillId="0" borderId="0"/>
    <xf numFmtId="37" fontId="70" fillId="0" borderId="0"/>
    <xf numFmtId="176" fontId="48" fillId="0" borderId="0"/>
    <xf numFmtId="211" fontId="23" fillId="0" borderId="0"/>
    <xf numFmtId="176" fontId="46" fillId="0" borderId="0"/>
    <xf numFmtId="176" fontId="71" fillId="0" borderId="0"/>
    <xf numFmtId="176" fontId="24" fillId="39" borderId="22" applyNumberFormat="0" applyFont="0" applyAlignment="0" applyProtection="0"/>
    <xf numFmtId="212" fontId="23" fillId="0" borderId="0" applyFont="0" applyFill="0" applyBorder="0" applyAlignment="0" applyProtection="0"/>
    <xf numFmtId="213" fontId="23" fillId="0" borderId="0" applyFont="0" applyFill="0" applyBorder="0" applyAlignment="0" applyProtection="0"/>
    <xf numFmtId="176" fontId="72" fillId="36" borderId="23" applyNumberFormat="0" applyAlignment="0" applyProtection="0"/>
    <xf numFmtId="14" fontId="37" fillId="0" borderId="0">
      <alignment horizontal="center" wrapText="1"/>
      <protection locked="0"/>
    </xf>
    <xf numFmtId="214" fontId="24" fillId="0" borderId="0" applyFont="0" applyFill="0" applyBorder="0" applyAlignment="0" applyProtection="0"/>
    <xf numFmtId="195" fontId="24" fillId="0" borderId="0" applyFont="0" applyFill="0" applyBorder="0" applyAlignment="0" applyProtection="0"/>
    <xf numFmtId="185" fontId="24" fillId="0" borderId="0" applyFont="0" applyFill="0" applyBorder="0" applyAlignment="0" applyProtection="0"/>
    <xf numFmtId="10" fontId="24" fillId="0" borderId="0" applyFont="0" applyFill="0" applyBorder="0" applyAlignment="0" applyProtection="0"/>
    <xf numFmtId="9" fontId="28" fillId="0" borderId="0" applyFont="0" applyFill="0" applyBorder="0" applyAlignment="0" applyProtection="0"/>
    <xf numFmtId="13" fontId="24" fillId="0" borderId="0" applyFont="0" applyFill="0" applyProtection="0"/>
    <xf numFmtId="176" fontId="53" fillId="36" borderId="9"/>
    <xf numFmtId="176" fontId="53" fillId="36" borderId="9"/>
    <xf numFmtId="4" fontId="52" fillId="0" borderId="0">
      <alignment horizontal="right"/>
    </xf>
    <xf numFmtId="215" fontId="73" fillId="0" borderId="0"/>
    <xf numFmtId="187" fontId="73" fillId="0" borderId="0"/>
    <xf numFmtId="176" fontId="46" fillId="0" borderId="0" applyNumberFormat="0" applyFont="0" applyFill="0" applyBorder="0" applyAlignment="0" applyProtection="0">
      <alignment horizontal="left"/>
    </xf>
    <xf numFmtId="176" fontId="40" fillId="0" borderId="10">
      <alignment horizontal="center"/>
    </xf>
    <xf numFmtId="3" fontId="74" fillId="0" borderId="0"/>
    <xf numFmtId="4" fontId="75" fillId="0" borderId="0">
      <alignment horizontal="right"/>
    </xf>
    <xf numFmtId="216" fontId="76" fillId="0" borderId="0" applyNumberFormat="0" applyFill="0" applyBorder="0" applyAlignment="0" applyProtection="0">
      <alignment horizontal="left"/>
    </xf>
    <xf numFmtId="217" fontId="23" fillId="0" borderId="0" applyNumberFormat="0" applyFill="0" applyBorder="0" applyAlignment="0" applyProtection="0">
      <alignment horizontal="left"/>
    </xf>
    <xf numFmtId="41" fontId="26" fillId="0" borderId="0" applyFont="0" applyFill="0" applyBorder="0" applyAlignment="0" applyProtection="0"/>
    <xf numFmtId="176" fontId="77" fillId="43" borderId="0">
      <alignment horizontal="left" vertical="center"/>
    </xf>
    <xf numFmtId="176" fontId="77" fillId="43" borderId="0">
      <alignment horizontal="right" vertical="center"/>
    </xf>
    <xf numFmtId="4" fontId="78" fillId="42" borderId="24" applyNumberFormat="0" applyProtection="0">
      <alignment vertical="center"/>
    </xf>
    <xf numFmtId="4" fontId="79" fillId="42" borderId="24" applyNumberFormat="0" applyProtection="0">
      <alignment vertical="center"/>
    </xf>
    <xf numFmtId="4" fontId="78" fillId="42" borderId="24" applyNumberFormat="0" applyProtection="0">
      <alignment horizontal="left" vertical="center" indent="1"/>
    </xf>
    <xf numFmtId="176" fontId="78" fillId="42" borderId="24" applyNumberFormat="0" applyProtection="0">
      <alignment horizontal="left" vertical="top" indent="1"/>
    </xf>
    <xf numFmtId="4" fontId="78" fillId="44" borderId="0" applyNumberFormat="0" applyProtection="0">
      <alignment horizontal="left" vertical="center" indent="1"/>
    </xf>
    <xf numFmtId="4" fontId="27" fillId="9" borderId="24" applyNumberFormat="0" applyProtection="0">
      <alignment horizontal="right" vertical="center"/>
    </xf>
    <xf numFmtId="4" fontId="27" fillId="15" borderId="24" applyNumberFormat="0" applyProtection="0">
      <alignment horizontal="right" vertical="center"/>
    </xf>
    <xf numFmtId="4" fontId="27" fillId="27" borderId="24" applyNumberFormat="0" applyProtection="0">
      <alignment horizontal="right" vertical="center"/>
    </xf>
    <xf numFmtId="4" fontId="27" fillId="17" borderId="24" applyNumberFormat="0" applyProtection="0">
      <alignment horizontal="right" vertical="center"/>
    </xf>
    <xf numFmtId="4" fontId="27" fillId="21" borderId="24" applyNumberFormat="0" applyProtection="0">
      <alignment horizontal="right" vertical="center"/>
    </xf>
    <xf numFmtId="4" fontId="27" fillId="34" borderId="24" applyNumberFormat="0" applyProtection="0">
      <alignment horizontal="right" vertical="center"/>
    </xf>
    <xf numFmtId="4" fontId="27" fillId="31" borderId="24" applyNumberFormat="0" applyProtection="0">
      <alignment horizontal="right" vertical="center"/>
    </xf>
    <xf numFmtId="4" fontId="27" fillId="45" borderId="24" applyNumberFormat="0" applyProtection="0">
      <alignment horizontal="right" vertical="center"/>
    </xf>
    <xf numFmtId="4" fontId="27" fillId="16" borderId="24" applyNumberFormat="0" applyProtection="0">
      <alignment horizontal="right" vertical="center"/>
    </xf>
    <xf numFmtId="4" fontId="78" fillId="46" borderId="25" applyNumberFormat="0" applyProtection="0">
      <alignment horizontal="left" vertical="center" indent="1"/>
    </xf>
    <xf numFmtId="4" fontId="27" fillId="47" borderId="0" applyNumberFormat="0" applyProtection="0">
      <alignment horizontal="left" vertical="center" indent="1"/>
    </xf>
    <xf numFmtId="4" fontId="80" fillId="48" borderId="0" applyNumberFormat="0" applyProtection="0">
      <alignment horizontal="left" vertical="center" indent="1"/>
    </xf>
    <xf numFmtId="4" fontId="27" fillId="44" borderId="24" applyNumberFormat="0" applyProtection="0">
      <alignment horizontal="right" vertical="center"/>
    </xf>
    <xf numFmtId="4" fontId="27" fillId="44" borderId="0" applyNumberFormat="0" applyProtection="0">
      <alignment horizontal="left" vertical="center" indent="1"/>
    </xf>
    <xf numFmtId="176" fontId="24" fillId="48" borderId="24" applyNumberFormat="0" applyProtection="0">
      <alignment horizontal="left" vertical="center" indent="1"/>
    </xf>
    <xf numFmtId="176" fontId="24" fillId="48" borderId="24" applyNumberFormat="0" applyProtection="0">
      <alignment horizontal="left" vertical="top" indent="1"/>
    </xf>
    <xf numFmtId="176" fontId="24" fillId="44" borderId="24" applyNumberFormat="0" applyProtection="0">
      <alignment horizontal="left" vertical="center" indent="1"/>
    </xf>
    <xf numFmtId="176" fontId="24" fillId="44" borderId="24" applyNumberFormat="0" applyProtection="0">
      <alignment horizontal="left" vertical="top" indent="1"/>
    </xf>
    <xf numFmtId="176" fontId="24" fillId="14" borderId="24" applyNumberFormat="0" applyProtection="0">
      <alignment horizontal="left" vertical="center" indent="1"/>
    </xf>
    <xf numFmtId="176" fontId="24" fillId="14" borderId="24" applyNumberFormat="0" applyProtection="0">
      <alignment horizontal="left" vertical="top" indent="1"/>
    </xf>
    <xf numFmtId="176" fontId="24" fillId="47" borderId="24" applyNumberFormat="0" applyProtection="0">
      <alignment horizontal="left" vertical="center" indent="1"/>
    </xf>
    <xf numFmtId="176" fontId="24" fillId="47" borderId="24" applyNumberFormat="0" applyProtection="0">
      <alignment horizontal="left" vertical="top" indent="1"/>
    </xf>
    <xf numFmtId="4" fontId="27" fillId="39" borderId="24" applyNumberFormat="0" applyProtection="0">
      <alignment vertical="center"/>
    </xf>
    <xf numFmtId="4" fontId="81" fillId="39" borderId="24" applyNumberFormat="0" applyProtection="0">
      <alignment vertical="center"/>
    </xf>
    <xf numFmtId="4" fontId="27" fillId="39" borderId="24" applyNumberFormat="0" applyProtection="0">
      <alignment horizontal="left" vertical="center" indent="1"/>
    </xf>
    <xf numFmtId="176" fontId="27" fillId="39" borderId="24" applyNumberFormat="0" applyProtection="0">
      <alignment horizontal="left" vertical="top" indent="1"/>
    </xf>
    <xf numFmtId="4" fontId="27" fillId="47" borderId="24" applyNumberFormat="0" applyProtection="0">
      <alignment horizontal="right" vertical="center"/>
    </xf>
    <xf numFmtId="4" fontId="81" fillId="47" borderId="24" applyNumberFormat="0" applyProtection="0">
      <alignment horizontal="right" vertical="center"/>
    </xf>
    <xf numFmtId="4" fontId="27" fillId="44" borderId="24" applyNumberFormat="0" applyProtection="0">
      <alignment horizontal="left" vertical="center" indent="1"/>
    </xf>
    <xf numFmtId="176" fontId="27" fillId="44" borderId="24" applyNumberFormat="0" applyProtection="0">
      <alignment horizontal="left" vertical="top" indent="1"/>
    </xf>
    <xf numFmtId="4" fontId="82" fillId="40" borderId="0" applyNumberFormat="0" applyProtection="0">
      <alignment horizontal="left" vertical="center" indent="1"/>
    </xf>
    <xf numFmtId="4" fontId="83" fillId="47" borderId="24" applyNumberFormat="0" applyProtection="0">
      <alignment horizontal="right" vertical="center"/>
    </xf>
    <xf numFmtId="176" fontId="84" fillId="0" borderId="0">
      <alignment horizontal="left"/>
    </xf>
    <xf numFmtId="176" fontId="84" fillId="0" borderId="0">
      <alignment horizontal="left"/>
    </xf>
    <xf numFmtId="43" fontId="53" fillId="0" borderId="2"/>
    <xf numFmtId="176" fontId="85" fillId="0" borderId="9">
      <alignment horizontal="center"/>
    </xf>
    <xf numFmtId="176" fontId="85" fillId="0" borderId="9">
      <alignment horizontal="center"/>
    </xf>
    <xf numFmtId="176" fontId="85" fillId="0" borderId="0">
      <alignment horizontal="center" vertical="center"/>
    </xf>
    <xf numFmtId="176" fontId="85" fillId="0" borderId="0">
      <alignment horizontal="center" vertical="center"/>
    </xf>
    <xf numFmtId="176" fontId="86" fillId="0" borderId="0" applyNumberFormat="0" applyFill="0">
      <alignment horizontal="left" vertical="center"/>
    </xf>
    <xf numFmtId="176" fontId="86" fillId="0" borderId="0" applyNumberFormat="0" applyFill="0">
      <alignment horizontal="left" vertical="center"/>
    </xf>
    <xf numFmtId="176" fontId="68" fillId="0" borderId="0"/>
    <xf numFmtId="40" fontId="87" fillId="0" borderId="0" applyBorder="0">
      <alignment horizontal="right"/>
    </xf>
    <xf numFmtId="49" fontId="27" fillId="0" borderId="0" applyFill="0" applyBorder="0" applyAlignment="0"/>
    <xf numFmtId="218" fontId="27" fillId="0" borderId="0" applyFill="0" applyBorder="0" applyAlignment="0"/>
    <xf numFmtId="219" fontId="24" fillId="0" borderId="0" applyFill="0" applyBorder="0" applyAlignment="0"/>
    <xf numFmtId="176" fontId="88" fillId="0" borderId="0" applyFill="0" applyBorder="0" applyProtection="0">
      <alignment horizontal="left" vertical="top"/>
    </xf>
    <xf numFmtId="176" fontId="88" fillId="0" borderId="0" applyFill="0" applyBorder="0" applyProtection="0">
      <alignment horizontal="left" vertical="top"/>
    </xf>
    <xf numFmtId="176" fontId="89" fillId="0" borderId="0">
      <alignment horizontal="center"/>
    </xf>
    <xf numFmtId="176" fontId="89" fillId="0" borderId="0">
      <alignment horizontal="center"/>
    </xf>
    <xf numFmtId="176" fontId="90" fillId="0" borderId="26" applyNumberFormat="0" applyFill="0" applyAlignment="0" applyProtection="0"/>
    <xf numFmtId="220" fontId="24" fillId="0" borderId="0" applyFont="0" applyFill="0" applyBorder="0" applyAlignment="0" applyProtection="0"/>
    <xf numFmtId="221" fontId="24" fillId="0" borderId="0" applyFont="0" applyFill="0" applyBorder="0" applyAlignment="0" applyProtection="0"/>
    <xf numFmtId="222" fontId="23" fillId="0" borderId="0" applyFont="0" applyFill="0" applyBorder="0" applyAlignment="0" applyProtection="0"/>
    <xf numFmtId="223" fontId="23" fillId="0" borderId="0" applyFont="0" applyFill="0" applyBorder="0" applyAlignment="0" applyProtection="0"/>
    <xf numFmtId="176" fontId="91" fillId="0" borderId="0" applyNumberFormat="0" applyFill="0" applyBorder="0" applyAlignment="0" applyProtection="0"/>
    <xf numFmtId="176" fontId="92" fillId="0" borderId="0" applyNumberFormat="0" applyFont="0" applyFill="0" applyBorder="0" applyProtection="0">
      <alignment horizontal="center" vertical="center" wrapText="1"/>
    </xf>
    <xf numFmtId="176" fontId="92" fillId="0" borderId="0" applyNumberFormat="0" applyFont="0" applyFill="0" applyBorder="0" applyProtection="0">
      <alignment horizontal="center" vertical="center" wrapText="1"/>
    </xf>
    <xf numFmtId="9" fontId="93" fillId="0" borderId="0" applyFont="0" applyFill="0" applyBorder="0" applyAlignment="0" applyProtection="0"/>
    <xf numFmtId="176" fontId="11" fillId="0" borderId="0"/>
    <xf numFmtId="224" fontId="76" fillId="0" borderId="0" applyFont="0" applyFill="0" applyBorder="0" applyAlignment="0" applyProtection="0"/>
    <xf numFmtId="225" fontId="76" fillId="0" borderId="0" applyFont="0" applyFill="0" applyBorder="0" applyAlignment="0" applyProtection="0"/>
    <xf numFmtId="9" fontId="76"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alignment vertical="center"/>
    </xf>
    <xf numFmtId="9" fontId="24" fillId="0" borderId="0" applyFont="0" applyFill="0" applyBorder="0" applyAlignment="0" applyProtection="0"/>
    <xf numFmtId="9" fontId="23" fillId="0" borderId="0" applyFont="0" applyFill="0" applyBorder="0" applyAlignment="0" applyProtection="0"/>
    <xf numFmtId="9" fontId="123" fillId="0" borderId="0" applyFont="0" applyFill="0" applyBorder="0" applyAlignment="0" applyProtection="0">
      <alignment vertical="center"/>
    </xf>
    <xf numFmtId="226" fontId="94" fillId="0" borderId="0" applyFill="0" applyBorder="0" applyProtection="0">
      <alignment horizontal="right"/>
    </xf>
    <xf numFmtId="9" fontId="24" fillId="0" borderId="0" applyFont="0" applyFill="0" applyBorder="0" applyAlignment="0" applyProtection="0"/>
    <xf numFmtId="176" fontId="95" fillId="0" borderId="0" applyFont="0" applyFill="0" applyBorder="0" applyAlignment="0" applyProtection="0"/>
    <xf numFmtId="4" fontId="96" fillId="0" borderId="0">
      <alignment horizontal="right"/>
    </xf>
    <xf numFmtId="176" fontId="97" fillId="0" borderId="0" applyNumberFormat="0" applyFill="0" applyBorder="0" applyAlignment="0" applyProtection="0"/>
    <xf numFmtId="176" fontId="98" fillId="17" borderId="0" applyNumberFormat="0" applyBorder="0" applyAlignment="0" applyProtection="0">
      <alignment vertical="center"/>
    </xf>
    <xf numFmtId="176" fontId="99" fillId="9" borderId="0" applyNumberFormat="0" applyBorder="0" applyAlignment="0" applyProtection="0">
      <alignment vertical="center"/>
    </xf>
    <xf numFmtId="176" fontId="100" fillId="49" borderId="0" applyNumberFormat="0" applyBorder="0" applyAlignment="0" applyProtection="0"/>
    <xf numFmtId="176" fontId="101" fillId="38" borderId="0" applyNumberFormat="0" applyBorder="0" applyAlignment="0" applyProtection="0">
      <alignment vertical="center"/>
    </xf>
    <xf numFmtId="176" fontId="102" fillId="7" borderId="0" applyNumberFormat="0" applyBorder="0" applyAlignment="0" applyProtection="0">
      <alignment vertical="center"/>
    </xf>
    <xf numFmtId="176" fontId="103" fillId="9" borderId="0" applyNumberFormat="0" applyBorder="0" applyAlignment="0" applyProtection="0">
      <alignment vertical="center"/>
    </xf>
    <xf numFmtId="176" fontId="98" fillId="34" borderId="0" applyNumberFormat="0" applyBorder="0" applyAlignment="0" applyProtection="0">
      <alignment vertical="center"/>
    </xf>
    <xf numFmtId="176" fontId="104" fillId="11" borderId="0" applyNumberFormat="0" applyBorder="0" applyAlignment="0" applyProtection="0">
      <alignment vertical="center"/>
    </xf>
    <xf numFmtId="176" fontId="123" fillId="0" borderId="0">
      <alignment vertical="center"/>
    </xf>
    <xf numFmtId="176" fontId="23" fillId="0" borderId="0">
      <alignment vertical="center"/>
    </xf>
    <xf numFmtId="176" fontId="24" fillId="0" borderId="0"/>
    <xf numFmtId="176" fontId="123" fillId="0" borderId="0">
      <alignment vertical="center"/>
    </xf>
    <xf numFmtId="176" fontId="23" fillId="0" borderId="0">
      <protection locked="0"/>
    </xf>
    <xf numFmtId="176" fontId="123" fillId="0" borderId="0"/>
    <xf numFmtId="176" fontId="35" fillId="0" borderId="0" applyNumberFormat="0" applyBorder="0" applyAlignment="0">
      <alignment vertical="center"/>
      <protection locked="0"/>
    </xf>
    <xf numFmtId="176" fontId="23" fillId="0" borderId="0">
      <alignment vertical="center"/>
      <protection locked="0"/>
    </xf>
    <xf numFmtId="176" fontId="35" fillId="0" borderId="0" applyNumberFormat="0" applyBorder="0" applyAlignment="0">
      <alignment vertical="center"/>
      <protection locked="0"/>
    </xf>
    <xf numFmtId="176" fontId="23" fillId="0" borderId="0">
      <protection locked="0"/>
    </xf>
    <xf numFmtId="176" fontId="105" fillId="0" borderId="0">
      <alignment vertical="center"/>
    </xf>
    <xf numFmtId="176" fontId="23" fillId="0" borderId="0">
      <alignment vertical="center"/>
    </xf>
    <xf numFmtId="176" fontId="23" fillId="0" borderId="0">
      <alignment vertical="center"/>
      <protection locked="0"/>
    </xf>
    <xf numFmtId="176" fontId="123" fillId="0" borderId="0">
      <alignment vertical="center"/>
    </xf>
    <xf numFmtId="176" fontId="105" fillId="0" borderId="0" applyNumberFormat="0" applyBorder="0" applyProtection="0">
      <alignment vertical="center"/>
    </xf>
    <xf numFmtId="176" fontId="105" fillId="0" borderId="0" applyNumberFormat="0" applyBorder="0" applyProtection="0">
      <alignment vertical="center"/>
    </xf>
    <xf numFmtId="176" fontId="23" fillId="0" borderId="0">
      <protection locked="0"/>
    </xf>
    <xf numFmtId="176" fontId="23" fillId="0" borderId="0">
      <protection locked="0"/>
    </xf>
    <xf numFmtId="176" fontId="1" fillId="0" borderId="0"/>
    <xf numFmtId="176" fontId="23" fillId="0" borderId="0">
      <protection locked="0"/>
    </xf>
    <xf numFmtId="176" fontId="23" fillId="0" borderId="0">
      <protection locked="0"/>
    </xf>
    <xf numFmtId="176" fontId="23" fillId="0" borderId="0">
      <protection locked="0"/>
    </xf>
    <xf numFmtId="176" fontId="23" fillId="0" borderId="0">
      <protection locked="0"/>
    </xf>
    <xf numFmtId="176" fontId="23" fillId="0" borderId="0">
      <protection locked="0"/>
    </xf>
    <xf numFmtId="176" fontId="1" fillId="0" borderId="0"/>
    <xf numFmtId="176" fontId="106" fillId="0" borderId="0">
      <alignment vertical="center"/>
    </xf>
    <xf numFmtId="176" fontId="123" fillId="0" borderId="0">
      <alignment vertical="center"/>
    </xf>
    <xf numFmtId="176" fontId="23" fillId="0" borderId="0"/>
    <xf numFmtId="176" fontId="23" fillId="0" borderId="0"/>
    <xf numFmtId="176" fontId="23" fillId="0" borderId="0"/>
    <xf numFmtId="176" fontId="23" fillId="0" borderId="0"/>
    <xf numFmtId="176" fontId="23" fillId="0" borderId="0"/>
    <xf numFmtId="176" fontId="35" fillId="0" borderId="0" applyNumberFormat="0" applyBorder="0" applyAlignment="0" applyProtection="0">
      <alignment vertical="center"/>
    </xf>
    <xf numFmtId="176" fontId="123" fillId="0" borderId="0">
      <alignment vertical="center"/>
    </xf>
    <xf numFmtId="176" fontId="123" fillId="0" borderId="0">
      <alignment vertical="center"/>
    </xf>
    <xf numFmtId="176" fontId="23" fillId="0" borderId="0">
      <alignment vertical="center"/>
    </xf>
    <xf numFmtId="176" fontId="76" fillId="0" borderId="0"/>
    <xf numFmtId="176" fontId="76" fillId="0" borderId="0"/>
    <xf numFmtId="176" fontId="23" fillId="0" borderId="0"/>
    <xf numFmtId="176" fontId="23" fillId="0" borderId="0"/>
    <xf numFmtId="176" fontId="23" fillId="0" borderId="0">
      <protection locked="0"/>
    </xf>
    <xf numFmtId="176" fontId="23" fillId="0" borderId="0">
      <protection locked="0"/>
    </xf>
    <xf numFmtId="176" fontId="23" fillId="0" borderId="0" applyFill="0" applyBorder="0"/>
    <xf numFmtId="176" fontId="23" fillId="0" borderId="0">
      <alignment vertical="center"/>
    </xf>
    <xf numFmtId="176" fontId="107" fillId="0" borderId="0" applyNumberFormat="0" applyFill="0" applyBorder="0" applyAlignment="0" applyProtection="0">
      <alignment vertical="top"/>
      <protection locked="0"/>
    </xf>
    <xf numFmtId="176" fontId="108" fillId="0" borderId="0" applyNumberFormat="0" applyFill="0" applyBorder="0" applyAlignment="0" applyProtection="0">
      <alignment vertical="top"/>
      <protection locked="0"/>
    </xf>
    <xf numFmtId="176" fontId="108" fillId="0" borderId="0" applyNumberFormat="0" applyFill="0" applyBorder="0" applyAlignment="0" applyProtection="0">
      <alignment vertical="top"/>
      <protection locked="0"/>
    </xf>
    <xf numFmtId="176" fontId="109" fillId="0" borderId="0" applyNumberFormat="0" applyFill="0" applyBorder="0" applyAlignment="0" applyProtection="0">
      <alignment vertical="top"/>
      <protection locked="0"/>
    </xf>
    <xf numFmtId="176" fontId="108" fillId="0" borderId="0" applyNumberFormat="0" applyFill="0" applyBorder="0" applyAlignment="0" applyProtection="0">
      <alignment vertical="top"/>
      <protection locked="0"/>
    </xf>
    <xf numFmtId="176" fontId="40" fillId="0" borderId="0" applyNumberFormat="0" applyFill="0" applyBorder="0" applyAlignment="0" applyProtection="0"/>
    <xf numFmtId="176" fontId="110" fillId="50" borderId="0" applyNumberFormat="0" applyBorder="0" applyAlignment="0" applyProtection="0">
      <alignment vertical="center"/>
    </xf>
    <xf numFmtId="176" fontId="111" fillId="10" borderId="0" applyNumberFormat="0" applyBorder="0" applyAlignment="0" applyProtection="0">
      <alignment vertical="center"/>
    </xf>
    <xf numFmtId="176" fontId="111" fillId="50" borderId="0" applyNumberFormat="0" applyBorder="0" applyAlignment="0" applyProtection="0">
      <alignment vertical="center"/>
    </xf>
    <xf numFmtId="176" fontId="112" fillId="32" borderId="0" applyNumberFormat="0" applyBorder="0" applyAlignment="0" applyProtection="0"/>
    <xf numFmtId="176" fontId="113" fillId="6" borderId="0" applyNumberFormat="0" applyBorder="0" applyAlignment="0" applyProtection="0">
      <alignment vertical="center"/>
    </xf>
    <xf numFmtId="176" fontId="114" fillId="10" borderId="0" applyNumberFormat="0" applyBorder="0" applyAlignment="0" applyProtection="0">
      <alignment vertical="center"/>
    </xf>
    <xf numFmtId="176" fontId="112" fillId="10" borderId="0" applyNumberFormat="0" applyBorder="0" applyAlignment="0" applyProtection="0">
      <alignment vertical="center"/>
    </xf>
    <xf numFmtId="176" fontId="115" fillId="51" borderId="0" applyNumberFormat="0" applyBorder="0" applyAlignment="0" applyProtection="0">
      <alignment vertical="center"/>
    </xf>
    <xf numFmtId="176" fontId="111" fillId="52" borderId="0" applyNumberFormat="0" applyBorder="0" applyAlignment="0" applyProtection="0">
      <alignment vertical="center"/>
    </xf>
    <xf numFmtId="176" fontId="114" fillId="12" borderId="0" applyNumberFormat="0" applyBorder="0" applyAlignment="0" applyProtection="0">
      <alignment vertical="center"/>
    </xf>
    <xf numFmtId="4" fontId="92" fillId="0" borderId="0" applyFont="0" applyFill="0" applyBorder="0" applyAlignment="0" applyProtection="0"/>
    <xf numFmtId="227" fontId="116" fillId="0" borderId="0" applyFont="0" applyFill="0" applyBorder="0" applyAlignment="0" applyProtection="0"/>
    <xf numFmtId="228" fontId="116" fillId="0" borderId="0" applyFont="0" applyFill="0" applyBorder="0" applyAlignment="0" applyProtection="0"/>
    <xf numFmtId="229" fontId="24" fillId="0" borderId="0" applyFont="0" applyFill="0" applyBorder="0" applyAlignment="0" applyProtection="0"/>
    <xf numFmtId="230" fontId="24" fillId="0" borderId="0" applyFont="0" applyFill="0" applyBorder="0" applyAlignment="0" applyProtection="0"/>
    <xf numFmtId="1" fontId="76" fillId="0" borderId="0"/>
    <xf numFmtId="231" fontId="117" fillId="0" borderId="0" applyFont="0" applyFill="0" applyBorder="0" applyAlignment="0" applyProtection="0"/>
    <xf numFmtId="232" fontId="117" fillId="0" borderId="0" applyFont="0" applyFill="0" applyBorder="0" applyAlignment="0" applyProtection="0"/>
    <xf numFmtId="227" fontId="76" fillId="0" borderId="0" applyFont="0" applyFill="0" applyBorder="0" applyAlignment="0" applyProtection="0"/>
    <xf numFmtId="228" fontId="76" fillId="0" borderId="0" applyFont="0" applyFill="0" applyBorder="0" applyAlignment="0" applyProtection="0"/>
    <xf numFmtId="176" fontId="118" fillId="0" borderId="0"/>
    <xf numFmtId="43" fontId="26" fillId="0" borderId="0" applyFont="0" applyFill="0" applyBorder="0" applyAlignment="0" applyProtection="0"/>
    <xf numFmtId="41" fontId="76" fillId="0" borderId="0" applyFont="0" applyFill="0" applyBorder="0" applyAlignment="0" applyProtection="0"/>
    <xf numFmtId="43" fontId="76" fillId="0" borderId="0" applyFont="0" applyFill="0" applyBorder="0" applyAlignment="0" applyProtection="0"/>
    <xf numFmtId="23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23" fillId="0" borderId="0" applyFont="0" applyFill="0" applyBorder="0" applyAlignment="0" applyProtection="0">
      <alignment vertical="center"/>
    </xf>
    <xf numFmtId="234" fontId="24"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23" fillId="0" borderId="0" applyFont="0" applyFill="0" applyBorder="0" applyAlignment="0" applyProtection="0">
      <alignment vertical="center"/>
    </xf>
    <xf numFmtId="41" fontId="23" fillId="0" borderId="0" applyFont="0" applyFill="0" applyBorder="0" applyAlignment="0" applyProtection="0"/>
    <xf numFmtId="176" fontId="119" fillId="0" borderId="0"/>
    <xf numFmtId="176" fontId="120" fillId="53" borderId="0" applyNumberFormat="0" applyBorder="0" applyAlignment="0" applyProtection="0"/>
    <xf numFmtId="176" fontId="120" fillId="54" borderId="0" applyNumberFormat="0" applyBorder="0" applyAlignment="0" applyProtection="0"/>
    <xf numFmtId="176" fontId="120" fillId="55" borderId="0" applyNumberFormat="0" applyBorder="0" applyAlignment="0" applyProtection="0"/>
    <xf numFmtId="235" fontId="92" fillId="0" borderId="0" applyFont="0" applyFill="0" applyBorder="0" applyAlignment="0" applyProtection="0"/>
    <xf numFmtId="176" fontId="116" fillId="0" borderId="0"/>
    <xf numFmtId="176" fontId="121" fillId="0" borderId="0"/>
    <xf numFmtId="40" fontId="95" fillId="0" borderId="0" applyFont="0" applyFill="0" applyBorder="0" applyAlignment="0" applyProtection="0"/>
    <xf numFmtId="38" fontId="95" fillId="0" borderId="0" applyFont="0" applyFill="0" applyBorder="0" applyAlignment="0" applyProtection="0"/>
    <xf numFmtId="225" fontId="24" fillId="0" borderId="9" applyNumberFormat="0"/>
    <xf numFmtId="38" fontId="25" fillId="0" borderId="0" applyFont="0" applyFill="0" applyBorder="0" applyAlignment="0" applyProtection="0"/>
    <xf numFmtId="40" fontId="25" fillId="0" borderId="0" applyFont="0" applyFill="0" applyBorder="0" applyAlignment="0" applyProtection="0"/>
    <xf numFmtId="176" fontId="122" fillId="0" borderId="0"/>
    <xf numFmtId="43" fontId="126" fillId="0" borderId="0" applyFont="0" applyFill="0" applyBorder="0" applyAlignment="0" applyProtection="0">
      <alignment vertical="center"/>
    </xf>
    <xf numFmtId="9" fontId="126" fillId="0" borderId="0" applyFont="0" applyFill="0" applyBorder="0" applyAlignment="0" applyProtection="0">
      <alignment vertical="center"/>
    </xf>
  </cellStyleXfs>
  <cellXfs count="310">
    <xf numFmtId="176" fontId="0" fillId="0" borderId="0" xfId="0"/>
    <xf numFmtId="176" fontId="1" fillId="0" borderId="0" xfId="292" applyNumberFormat="1" applyFont="1">
      <alignment vertical="center"/>
    </xf>
    <xf numFmtId="176" fontId="1" fillId="0" borderId="0" xfId="276" applyNumberFormat="1" applyFont="1" applyAlignment="1">
      <alignment vertical="center"/>
      <protection locked="0"/>
    </xf>
    <xf numFmtId="176" fontId="2" fillId="0" borderId="0" xfId="0" applyNumberFormat="1" applyFont="1"/>
    <xf numFmtId="176" fontId="1" fillId="0" borderId="0" xfId="299" applyNumberFormat="1" applyFont="1" applyBorder="1" applyAlignment="1">
      <alignment vertical="center"/>
    </xf>
    <xf numFmtId="176" fontId="1" fillId="0" borderId="0" xfId="299" applyNumberFormat="1" applyFont="1" applyBorder="1" applyAlignment="1">
      <alignment horizontal="left" vertical="center"/>
    </xf>
    <xf numFmtId="176" fontId="5" fillId="0" borderId="0" xfId="296" applyNumberFormat="1" applyFont="1" applyAlignment="1">
      <alignment horizontal="left" vertical="center"/>
    </xf>
    <xf numFmtId="176" fontId="6" fillId="0" borderId="0" xfId="261" applyNumberFormat="1" applyFont="1" applyAlignment="1" applyProtection="1">
      <alignment vertical="center"/>
    </xf>
    <xf numFmtId="176" fontId="9" fillId="2" borderId="2" xfId="280" applyNumberFormat="1" applyFont="1" applyFill="1" applyBorder="1" applyAlignment="1" applyProtection="1">
      <alignment horizontal="center" vertical="center"/>
    </xf>
    <xf numFmtId="176" fontId="1" fillId="0" borderId="0" xfId="280" applyNumberFormat="1" applyFont="1">
      <protection locked="0"/>
    </xf>
    <xf numFmtId="176" fontId="1" fillId="0" borderId="0" xfId="276" applyNumberFormat="1" applyFont="1" applyAlignment="1">
      <alignment horizontal="right" vertical="center"/>
      <protection locked="0"/>
    </xf>
    <xf numFmtId="176" fontId="11" fillId="0" borderId="0" xfId="276" applyNumberFormat="1" applyFont="1" applyAlignment="1">
      <alignment vertical="center"/>
      <protection locked="0"/>
    </xf>
    <xf numFmtId="176" fontId="2" fillId="0" borderId="0" xfId="282" applyFont="1">
      <alignment vertical="center"/>
    </xf>
    <xf numFmtId="43" fontId="1" fillId="0" borderId="0" xfId="299" applyNumberFormat="1" applyFont="1" applyBorder="1" applyAlignment="1">
      <alignment vertical="center"/>
    </xf>
    <xf numFmtId="43" fontId="1" fillId="0" borderId="0" xfId="299" applyNumberFormat="1" applyFont="1" applyBorder="1" applyAlignment="1">
      <alignment horizontal="left" vertical="center"/>
    </xf>
    <xf numFmtId="176" fontId="1" fillId="0" borderId="0" xfId="261" applyFont="1" applyAlignment="1">
      <alignment vertical="center"/>
      <protection locked="0"/>
    </xf>
    <xf numFmtId="176" fontId="1" fillId="0" borderId="0" xfId="296" applyNumberFormat="1" applyFont="1" applyAlignment="1">
      <alignment vertical="center"/>
    </xf>
    <xf numFmtId="176" fontId="5" fillId="0" borderId="0" xfId="261" applyFont="1" applyAlignment="1" applyProtection="1">
      <alignment horizontal="left" vertical="center"/>
    </xf>
    <xf numFmtId="176" fontId="1" fillId="0" borderId="0" xfId="261" applyFont="1" applyAlignment="1" applyProtection="1">
      <alignment vertical="center"/>
    </xf>
    <xf numFmtId="176" fontId="5" fillId="2" borderId="2" xfId="261" applyFont="1" applyFill="1" applyBorder="1" applyAlignment="1" applyProtection="1">
      <alignment horizontal="center" vertical="center"/>
    </xf>
    <xf numFmtId="176" fontId="5" fillId="2" borderId="2" xfId="282" applyFont="1" applyFill="1" applyBorder="1" applyAlignment="1">
      <alignment horizontal="center" vertical="center"/>
    </xf>
    <xf numFmtId="176" fontId="8" fillId="0" borderId="2" xfId="261" applyFont="1" applyBorder="1" applyAlignment="1" applyProtection="1">
      <alignment horizontal="left" vertical="center"/>
    </xf>
    <xf numFmtId="43" fontId="11" fillId="0" borderId="2" xfId="282" applyNumberFormat="1" applyFont="1" applyBorder="1">
      <alignment vertical="center"/>
    </xf>
    <xf numFmtId="43" fontId="11" fillId="0" borderId="2" xfId="261" applyNumberFormat="1" applyFont="1" applyBorder="1" applyAlignment="1" applyProtection="1">
      <alignment vertical="center"/>
    </xf>
    <xf numFmtId="10" fontId="11" fillId="2" borderId="2" xfId="261" applyNumberFormat="1" applyFont="1" applyFill="1" applyBorder="1" applyAlignment="1" applyProtection="1">
      <alignment vertical="center"/>
    </xf>
    <xf numFmtId="176" fontId="5" fillId="2" borderId="2" xfId="261" applyFont="1" applyFill="1" applyBorder="1" applyAlignment="1" applyProtection="1">
      <alignment horizontal="left" vertical="center"/>
    </xf>
    <xf numFmtId="43" fontId="11" fillId="2" borderId="2" xfId="261" applyNumberFormat="1" applyFont="1" applyFill="1" applyBorder="1" applyAlignment="1" applyProtection="1">
      <alignment vertical="center"/>
    </xf>
    <xf numFmtId="176" fontId="2" fillId="0" borderId="2" xfId="282" applyFont="1" applyBorder="1">
      <alignment vertical="center"/>
    </xf>
    <xf numFmtId="10" fontId="11" fillId="0" borderId="2" xfId="261" applyNumberFormat="1" applyFont="1" applyBorder="1" applyAlignment="1" applyProtection="1">
      <alignment vertical="center"/>
    </xf>
    <xf numFmtId="43" fontId="14" fillId="2" borderId="2" xfId="335" applyFont="1" applyFill="1" applyBorder="1" applyAlignment="1">
      <alignment horizontal="right" vertical="center"/>
    </xf>
    <xf numFmtId="176" fontId="1" fillId="0" borderId="2" xfId="261" applyFont="1" applyBorder="1" applyAlignment="1" applyProtection="1">
      <alignment vertical="center"/>
    </xf>
    <xf numFmtId="176" fontId="5" fillId="0" borderId="0" xfId="261" applyFont="1" applyAlignment="1" applyProtection="1">
      <alignment horizontal="center" vertical="center"/>
    </xf>
    <xf numFmtId="43" fontId="12" fillId="0" borderId="0" xfId="335" applyFont="1" applyFill="1" applyBorder="1" applyAlignment="1">
      <alignment horizontal="right" vertical="center"/>
    </xf>
    <xf numFmtId="176" fontId="5" fillId="0" borderId="0" xfId="261" applyFont="1" applyAlignment="1" applyProtection="1">
      <alignment vertical="center"/>
    </xf>
    <xf numFmtId="176" fontId="5" fillId="3" borderId="2" xfId="268" applyFont="1" applyFill="1" applyBorder="1" applyAlignment="1">
      <alignment horizontal="center" vertical="center"/>
    </xf>
    <xf numFmtId="9" fontId="5" fillId="3" borderId="2" xfId="240" applyFont="1" applyFill="1" applyBorder="1" applyAlignment="1">
      <alignment horizontal="center" vertical="center"/>
    </xf>
    <xf numFmtId="14" fontId="1" fillId="0" borderId="2" xfId="268" applyNumberFormat="1" applyFont="1" applyBorder="1" applyAlignment="1">
      <alignment horizontal="center" vertical="center"/>
    </xf>
    <xf numFmtId="176" fontId="1" fillId="0" borderId="2" xfId="268" applyFont="1" applyBorder="1" applyAlignment="1">
      <alignment horizontal="center" vertical="center"/>
    </xf>
    <xf numFmtId="176" fontId="1" fillId="0" borderId="2" xfId="268" applyFont="1" applyBorder="1" applyAlignment="1">
      <alignment horizontal="left" vertical="center" wrapText="1"/>
    </xf>
    <xf numFmtId="176" fontId="1" fillId="0" borderId="2" xfId="268" applyFont="1" applyBorder="1" applyAlignment="1">
      <alignment horizontal="left" vertical="center"/>
    </xf>
    <xf numFmtId="236" fontId="1" fillId="0" borderId="2" xfId="268" applyNumberFormat="1" applyFont="1" applyBorder="1" applyAlignment="1">
      <alignment horizontal="right" vertical="center"/>
    </xf>
    <xf numFmtId="14" fontId="5" fillId="0" borderId="2" xfId="261" applyNumberFormat="1" applyFont="1" applyBorder="1" applyAlignment="1" applyProtection="1">
      <alignment horizontal="center" vertical="center"/>
    </xf>
    <xf numFmtId="176" fontId="5" fillId="0" borderId="2" xfId="261" applyFont="1" applyBorder="1" applyAlignment="1" applyProtection="1">
      <alignment horizontal="center" vertical="center"/>
    </xf>
    <xf numFmtId="43" fontId="5" fillId="0" borderId="2" xfId="335" applyFont="1" applyBorder="1" applyAlignment="1" applyProtection="1">
      <alignment horizontal="center" vertical="center"/>
    </xf>
    <xf numFmtId="176" fontId="15" fillId="0" borderId="0" xfId="261" applyFont="1" applyAlignment="1">
      <alignment vertical="center"/>
      <protection locked="0"/>
    </xf>
    <xf numFmtId="176" fontId="16" fillId="4" borderId="0" xfId="261" applyFont="1" applyFill="1">
      <protection locked="0"/>
    </xf>
    <xf numFmtId="176" fontId="1" fillId="0" borderId="0" xfId="261" applyFont="1">
      <protection locked="0"/>
    </xf>
    <xf numFmtId="176" fontId="16" fillId="0" borderId="0" xfId="261" applyFont="1">
      <protection locked="0"/>
    </xf>
    <xf numFmtId="176" fontId="17" fillId="0" borderId="0" xfId="261" applyFont="1">
      <protection locked="0"/>
    </xf>
    <xf numFmtId="14" fontId="1" fillId="0" borderId="0" xfId="299" applyNumberFormat="1" applyFont="1" applyBorder="1" applyAlignment="1">
      <alignment vertical="center"/>
    </xf>
    <xf numFmtId="176" fontId="1" fillId="0" borderId="0" xfId="261" applyFont="1" applyAlignment="1">
      <alignment horizontal="right" vertical="center"/>
      <protection locked="0"/>
    </xf>
    <xf numFmtId="176" fontId="1" fillId="0" borderId="2" xfId="276" applyFont="1" applyBorder="1">
      <protection locked="0"/>
    </xf>
    <xf numFmtId="176" fontId="5" fillId="2" borderId="2" xfId="276" applyNumberFormat="1" applyFont="1" applyFill="1" applyBorder="1" applyAlignment="1" applyProtection="1">
      <alignment horizontal="center" vertical="center"/>
    </xf>
    <xf numFmtId="176" fontId="1" fillId="0" borderId="2" xfId="276" applyNumberFormat="1" applyFont="1" applyBorder="1" applyAlignment="1" applyProtection="1">
      <alignment horizontal="left" vertical="center"/>
    </xf>
    <xf numFmtId="176" fontId="1" fillId="0" borderId="2" xfId="276" applyNumberFormat="1" applyFont="1" applyBorder="1" applyAlignment="1" applyProtection="1">
      <alignment horizontal="center" vertical="center"/>
    </xf>
    <xf numFmtId="176" fontId="1" fillId="0" borderId="2" xfId="276" applyNumberFormat="1" applyFont="1" applyBorder="1" applyAlignment="1">
      <alignment vertical="center"/>
      <protection locked="0"/>
    </xf>
    <xf numFmtId="176" fontId="5" fillId="0" borderId="0" xfId="276" applyNumberFormat="1" applyFont="1" applyAlignment="1">
      <alignment vertical="center"/>
      <protection locked="0"/>
    </xf>
    <xf numFmtId="176" fontId="18" fillId="0" borderId="0" xfId="0" applyNumberFormat="1" applyFont="1" applyAlignment="1">
      <alignment horizontal="left" vertical="center"/>
    </xf>
    <xf numFmtId="176" fontId="18" fillId="0" borderId="0" xfId="268" applyNumberFormat="1" applyFont="1">
      <alignment vertical="center"/>
    </xf>
    <xf numFmtId="176" fontId="18" fillId="0" borderId="0" xfId="276" applyNumberFormat="1" applyFont="1" applyAlignment="1">
      <alignment vertical="center"/>
      <protection locked="0"/>
    </xf>
    <xf numFmtId="176" fontId="2" fillId="0" borderId="0" xfId="0" applyNumberFormat="1" applyFont="1" applyAlignment="1">
      <alignment horizontal="left" vertical="center"/>
    </xf>
    <xf numFmtId="176" fontId="1" fillId="0" borderId="0" xfId="299" applyNumberFormat="1" applyFont="1" applyBorder="1" applyAlignment="1">
      <alignment horizontal="right" vertical="center"/>
    </xf>
    <xf numFmtId="176" fontId="1" fillId="0" borderId="2" xfId="335" applyNumberFormat="1" applyFont="1" applyFill="1" applyBorder="1" applyAlignment="1" applyProtection="1">
      <alignment horizontal="right" vertical="center"/>
    </xf>
    <xf numFmtId="176" fontId="1" fillId="0" borderId="0" xfId="327" applyFont="1" applyAlignment="1">
      <alignment vertical="center"/>
    </xf>
    <xf numFmtId="176" fontId="5" fillId="0" borderId="0" xfId="327" applyFont="1" applyAlignment="1">
      <alignment horizontal="center" vertical="center"/>
    </xf>
    <xf numFmtId="176" fontId="5" fillId="0" borderId="0" xfId="327" applyFont="1" applyAlignment="1">
      <alignment vertical="center"/>
    </xf>
    <xf numFmtId="176" fontId="1" fillId="0" borderId="0" xfId="276" applyFont="1" applyAlignment="1">
      <alignment vertical="center"/>
      <protection locked="0"/>
    </xf>
    <xf numFmtId="49" fontId="1" fillId="0" borderId="0" xfId="299" applyNumberFormat="1" applyFont="1" applyBorder="1" applyAlignment="1">
      <alignment vertical="center"/>
    </xf>
    <xf numFmtId="176" fontId="5" fillId="2" borderId="2" xfId="327" applyFont="1" applyFill="1" applyBorder="1" applyAlignment="1">
      <alignment horizontal="center" vertical="center"/>
    </xf>
    <xf numFmtId="176" fontId="5" fillId="2" borderId="2" xfId="327" applyNumberFormat="1" applyFont="1" applyFill="1" applyBorder="1" applyAlignment="1">
      <alignment horizontal="center" vertical="center"/>
    </xf>
    <xf numFmtId="176" fontId="11" fillId="0" borderId="2" xfId="327" applyFont="1" applyBorder="1" applyAlignment="1">
      <alignment horizontal="center" vertical="center" wrapText="1"/>
    </xf>
    <xf numFmtId="14" fontId="11" fillId="0" borderId="2" xfId="327" applyNumberFormat="1" applyFont="1" applyBorder="1" applyAlignment="1">
      <alignment horizontal="center" vertical="center" wrapText="1"/>
    </xf>
    <xf numFmtId="176" fontId="1" fillId="0" borderId="2" xfId="327" applyFont="1" applyBorder="1" applyAlignment="1">
      <alignment horizontal="center" vertical="center" wrapText="1"/>
    </xf>
    <xf numFmtId="43" fontId="11" fillId="0" borderId="2" xfId="335" applyFont="1" applyBorder="1" applyAlignment="1">
      <alignment horizontal="center" vertical="center" wrapText="1"/>
    </xf>
    <xf numFmtId="176" fontId="11" fillId="0" borderId="1" xfId="327" applyFont="1" applyBorder="1" applyAlignment="1">
      <alignment horizontal="center" vertical="center" wrapText="1"/>
    </xf>
    <xf numFmtId="14" fontId="11" fillId="0" borderId="6" xfId="327" applyNumberFormat="1" applyFont="1" applyBorder="1" applyAlignment="1">
      <alignment horizontal="center" vertical="center" wrapText="1"/>
    </xf>
    <xf numFmtId="176" fontId="19" fillId="0" borderId="4" xfId="276" applyFont="1" applyBorder="1" applyAlignment="1">
      <alignment horizontal="centerContinuous" vertical="center"/>
      <protection locked="0"/>
    </xf>
    <xf numFmtId="176" fontId="19" fillId="0" borderId="5" xfId="276" applyFont="1" applyBorder="1" applyAlignment="1">
      <alignment horizontal="centerContinuous" vertical="center"/>
      <protection locked="0"/>
    </xf>
    <xf numFmtId="176" fontId="5" fillId="0" borderId="5" xfId="276" applyFont="1" applyBorder="1" applyAlignment="1">
      <alignment horizontal="centerContinuous" vertical="center"/>
      <protection locked="0"/>
    </xf>
    <xf numFmtId="176" fontId="11" fillId="0" borderId="3" xfId="327" applyFont="1" applyBorder="1" applyAlignment="1">
      <alignment horizontal="center" vertical="center" wrapText="1"/>
    </xf>
    <xf numFmtId="176" fontId="18" fillId="0" borderId="0" xfId="327" applyNumberFormat="1" applyFont="1" applyAlignment="1">
      <alignment vertical="center"/>
    </xf>
    <xf numFmtId="176" fontId="18" fillId="0" borderId="0" xfId="296" applyNumberFormat="1" applyFont="1" applyAlignment="1" applyProtection="1">
      <alignment vertical="center"/>
      <protection locked="0"/>
    </xf>
    <xf numFmtId="43" fontId="1" fillId="0" borderId="0" xfId="299" applyNumberFormat="1" applyFont="1" applyBorder="1" applyAlignment="1">
      <alignment horizontal="right" vertical="center"/>
    </xf>
    <xf numFmtId="176" fontId="5" fillId="2" borderId="2" xfId="327" applyFont="1" applyFill="1" applyBorder="1" applyAlignment="1">
      <alignment horizontal="center" vertical="center" wrapText="1"/>
    </xf>
    <xf numFmtId="43" fontId="11" fillId="0" borderId="2" xfId="327" applyNumberFormat="1" applyFont="1" applyBorder="1" applyAlignment="1">
      <alignment vertical="center" wrapText="1"/>
    </xf>
    <xf numFmtId="176" fontId="1" fillId="0" borderId="2" xfId="327" applyFont="1" applyBorder="1" applyAlignment="1">
      <alignment vertical="center" wrapText="1"/>
    </xf>
    <xf numFmtId="176" fontId="5" fillId="0" borderId="6" xfId="276" applyFont="1" applyBorder="1" applyAlignment="1">
      <alignment horizontal="centerContinuous" vertical="center"/>
      <protection locked="0"/>
    </xf>
    <xf numFmtId="176" fontId="1" fillId="0" borderId="2" xfId="327" applyFont="1" applyBorder="1" applyAlignment="1">
      <alignment horizontal="centerContinuous" vertical="center"/>
    </xf>
    <xf numFmtId="176" fontId="1" fillId="0" borderId="0" xfId="327" applyNumberFormat="1" applyFont="1" applyAlignment="1">
      <alignment vertical="center"/>
    </xf>
    <xf numFmtId="176" fontId="1" fillId="0" borderId="0" xfId="296" applyNumberFormat="1" applyFont="1" applyAlignment="1" applyProtection="1">
      <alignment vertical="center"/>
      <protection locked="0"/>
    </xf>
    <xf numFmtId="176" fontId="5" fillId="0" borderId="0" xfId="327" applyNumberFormat="1" applyFont="1" applyAlignment="1">
      <alignment horizontal="center" vertical="center"/>
    </xf>
    <xf numFmtId="176" fontId="5" fillId="0" borderId="0" xfId="327" applyNumberFormat="1" applyFont="1" applyAlignment="1">
      <alignment vertical="center"/>
    </xf>
    <xf numFmtId="176" fontId="5" fillId="0" borderId="0" xfId="296" applyNumberFormat="1" applyFont="1" applyAlignment="1">
      <alignment vertical="center"/>
    </xf>
    <xf numFmtId="176" fontId="5" fillId="2" borderId="2" xfId="327" applyNumberFormat="1" applyFont="1" applyFill="1" applyBorder="1" applyAlignment="1">
      <alignment horizontal="center" vertical="center" wrapText="1"/>
    </xf>
    <xf numFmtId="176" fontId="5" fillId="2" borderId="2" xfId="276" applyNumberFormat="1" applyFont="1" applyFill="1" applyBorder="1" applyAlignment="1">
      <alignment horizontal="center" vertical="center" wrapText="1"/>
      <protection locked="0"/>
    </xf>
    <xf numFmtId="176" fontId="11" fillId="0" borderId="2" xfId="327" applyNumberFormat="1" applyFont="1" applyBorder="1" applyAlignment="1">
      <alignment horizontal="center" vertical="center" wrapText="1"/>
    </xf>
    <xf numFmtId="176" fontId="1" fillId="0" borderId="2" xfId="327" applyNumberFormat="1" applyFont="1" applyBorder="1" applyAlignment="1">
      <alignment horizontal="center" vertical="center" wrapText="1"/>
    </xf>
    <xf numFmtId="14" fontId="11" fillId="0" borderId="1" xfId="327" applyNumberFormat="1" applyFont="1" applyBorder="1" applyAlignment="1">
      <alignment horizontal="center" vertical="center" wrapText="1"/>
    </xf>
    <xf numFmtId="176" fontId="11" fillId="0" borderId="6" xfId="327" applyNumberFormat="1" applyFont="1" applyBorder="1" applyAlignment="1">
      <alignment horizontal="center" vertical="center" wrapText="1"/>
    </xf>
    <xf numFmtId="14" fontId="19" fillId="0" borderId="4" xfId="276" applyNumberFormat="1" applyFont="1" applyBorder="1" applyAlignment="1">
      <alignment horizontal="centerContinuous" vertical="center"/>
      <protection locked="0"/>
    </xf>
    <xf numFmtId="176" fontId="19" fillId="0" borderId="5" xfId="276" applyNumberFormat="1" applyFont="1" applyBorder="1" applyAlignment="1">
      <alignment horizontal="centerContinuous" vertical="center"/>
      <protection locked="0"/>
    </xf>
    <xf numFmtId="176" fontId="5" fillId="0" borderId="5" xfId="276" applyNumberFormat="1" applyFont="1" applyBorder="1" applyAlignment="1">
      <alignment horizontal="centerContinuous" vertical="center"/>
      <protection locked="0"/>
    </xf>
    <xf numFmtId="14" fontId="19" fillId="0" borderId="5" xfId="276" applyNumberFormat="1" applyFont="1" applyBorder="1" applyAlignment="1">
      <alignment horizontal="centerContinuous" vertical="center"/>
      <protection locked="0"/>
    </xf>
    <xf numFmtId="14" fontId="11" fillId="0" borderId="3" xfId="327" applyNumberFormat="1" applyFont="1" applyBorder="1" applyAlignment="1">
      <alignment horizontal="center" vertical="center" wrapText="1"/>
    </xf>
    <xf numFmtId="176" fontId="1" fillId="0" borderId="0" xfId="327" applyNumberFormat="1" applyFont="1" applyAlignment="1">
      <alignment horizontal="right" vertical="center"/>
    </xf>
    <xf numFmtId="176" fontId="11" fillId="0" borderId="2" xfId="327" applyNumberFormat="1" applyFont="1" applyBorder="1" applyAlignment="1">
      <alignment vertical="center" wrapText="1"/>
    </xf>
    <xf numFmtId="176" fontId="19" fillId="0" borderId="6" xfId="276" applyNumberFormat="1" applyFont="1" applyBorder="1" applyAlignment="1">
      <alignment horizontal="centerContinuous" vertical="center"/>
      <protection locked="0"/>
    </xf>
    <xf numFmtId="176" fontId="11" fillId="0" borderId="2" xfId="327" applyNumberFormat="1" applyFont="1" applyBorder="1" applyAlignment="1">
      <alignment horizontal="centerContinuous" vertical="center"/>
    </xf>
    <xf numFmtId="176" fontId="8" fillId="0" borderId="0" xfId="296" applyNumberFormat="1" applyFont="1" applyAlignment="1">
      <alignment vertical="center"/>
    </xf>
    <xf numFmtId="176" fontId="13" fillId="2" borderId="2" xfId="276" applyNumberFormat="1" applyFont="1" applyFill="1" applyBorder="1" applyAlignment="1">
      <alignment horizontal="center" vertical="center" wrapText="1"/>
      <protection locked="0"/>
    </xf>
    <xf numFmtId="176" fontId="11" fillId="0" borderId="2" xfId="276" applyNumberFormat="1" applyFont="1" applyBorder="1" applyAlignment="1">
      <alignment horizontal="left" vertical="center"/>
      <protection locked="0"/>
    </xf>
    <xf numFmtId="176" fontId="11" fillId="0" borderId="2" xfId="276" applyNumberFormat="1" applyFont="1" applyBorder="1" applyAlignment="1">
      <alignment vertical="center" wrapText="1"/>
      <protection locked="0"/>
    </xf>
    <xf numFmtId="176" fontId="5" fillId="0" borderId="0" xfId="276" applyNumberFormat="1" applyFont="1" applyAlignment="1">
      <alignment horizontal="left" vertical="center" wrapText="1"/>
      <protection locked="0"/>
    </xf>
    <xf numFmtId="176" fontId="1" fillId="0" borderId="0" xfId="276" applyNumberFormat="1" applyFont="1" applyAlignment="1">
      <alignment horizontal="center" vertical="center"/>
      <protection locked="0"/>
    </xf>
    <xf numFmtId="176" fontId="1" fillId="0" borderId="0" xfId="276" applyNumberFormat="1" applyFont="1" applyAlignment="1">
      <alignment horizontal="left" vertical="center"/>
      <protection locked="0"/>
    </xf>
    <xf numFmtId="176" fontId="1" fillId="0" borderId="0" xfId="296" applyNumberFormat="1" applyFont="1" applyAlignment="1" applyProtection="1">
      <alignment horizontal="right" vertical="center"/>
      <protection locked="0"/>
    </xf>
    <xf numFmtId="176" fontId="11" fillId="0" borderId="2" xfId="276" applyNumberFormat="1" applyFont="1" applyBorder="1" applyAlignment="1">
      <alignment horizontal="center" vertical="center"/>
      <protection locked="0"/>
    </xf>
    <xf numFmtId="43" fontId="11" fillId="0" borderId="2" xfId="276" applyNumberFormat="1" applyFont="1" applyBorder="1" applyAlignment="1">
      <alignment horizontal="center" vertical="center"/>
      <protection locked="0"/>
    </xf>
    <xf numFmtId="176" fontId="2" fillId="0" borderId="0" xfId="0" applyNumberFormat="1" applyFont="1" applyAlignment="1" applyProtection="1">
      <alignment vertical="center"/>
      <protection locked="0"/>
    </xf>
    <xf numFmtId="176" fontId="5" fillId="0" borderId="0" xfId="296" applyNumberFormat="1" applyFont="1" applyAlignment="1">
      <alignment vertical="center" wrapText="1"/>
    </xf>
    <xf numFmtId="176" fontId="1" fillId="0" borderId="0" xfId="295" applyFont="1" applyAlignment="1">
      <alignment horizontal="left" vertical="center"/>
    </xf>
    <xf numFmtId="176" fontId="17" fillId="0" borderId="0" xfId="295" applyFont="1" applyAlignment="1">
      <alignment horizontal="left" vertical="center"/>
    </xf>
    <xf numFmtId="176" fontId="0" fillId="0" borderId="0" xfId="0" applyProtection="1">
      <protection locked="0"/>
    </xf>
    <xf numFmtId="176" fontId="16" fillId="0" borderId="0" xfId="296" applyNumberFormat="1" applyFont="1" applyAlignment="1" applyProtection="1">
      <alignment horizontal="center" vertical="center"/>
      <protection hidden="1"/>
    </xf>
    <xf numFmtId="176" fontId="1" fillId="0" borderId="0" xfId="296" applyNumberFormat="1" applyFont="1" applyAlignment="1" applyProtection="1">
      <alignment horizontal="left" vertical="center"/>
      <protection hidden="1"/>
    </xf>
    <xf numFmtId="176" fontId="16" fillId="0" borderId="0" xfId="296" applyNumberFormat="1" applyFont="1" applyAlignment="1" applyProtection="1">
      <alignment horizontal="left" vertical="center"/>
      <protection locked="0"/>
    </xf>
    <xf numFmtId="14" fontId="11" fillId="0" borderId="2" xfId="276" applyNumberFormat="1" applyFont="1" applyBorder="1" applyAlignment="1">
      <alignment horizontal="left" vertical="center"/>
      <protection locked="0"/>
    </xf>
    <xf numFmtId="176" fontId="1" fillId="0" borderId="2" xfId="276" applyNumberFormat="1" applyFont="1" applyBorder="1" applyAlignment="1">
      <alignment horizontal="left" vertical="center"/>
      <protection locked="0"/>
    </xf>
    <xf numFmtId="176" fontId="16" fillId="0" borderId="0" xfId="276" applyNumberFormat="1" applyFont="1" applyAlignment="1">
      <alignment vertical="center"/>
      <protection locked="0"/>
    </xf>
    <xf numFmtId="176" fontId="20" fillId="0" borderId="0" xfId="276" applyNumberFormat="1" applyFont="1" applyAlignment="1">
      <alignment vertical="center"/>
      <protection locked="0"/>
    </xf>
    <xf numFmtId="176" fontId="6" fillId="0" borderId="0" xfId="261" applyNumberFormat="1" applyFont="1" applyAlignment="1" applyProtection="1">
      <alignment horizontal="center" vertical="center"/>
    </xf>
    <xf numFmtId="176" fontId="1" fillId="0" borderId="2" xfId="276" applyNumberFormat="1" applyFont="1" applyBorder="1" applyAlignment="1">
      <alignment horizontal="center" vertical="center"/>
      <protection locked="0"/>
    </xf>
    <xf numFmtId="176" fontId="1" fillId="0" borderId="2" xfId="290" applyNumberFormat="1" applyFont="1" applyBorder="1" applyAlignment="1" applyProtection="1">
      <alignment horizontal="justify" vertical="center"/>
      <protection locked="0"/>
    </xf>
    <xf numFmtId="176" fontId="1" fillId="0" borderId="0" xfId="261" applyNumberFormat="1" applyFont="1" applyAlignment="1">
      <alignment vertical="center"/>
      <protection locked="0"/>
    </xf>
    <xf numFmtId="176" fontId="5" fillId="0" borderId="0" xfId="266" applyFont="1" applyAlignment="1">
      <alignment vertical="center"/>
      <protection locked="0"/>
    </xf>
    <xf numFmtId="176" fontId="21" fillId="0" borderId="8" xfId="261" applyNumberFormat="1" applyFont="1" applyBorder="1" applyAlignment="1">
      <alignment horizontal="left" vertical="center"/>
      <protection locked="0"/>
    </xf>
    <xf numFmtId="176" fontId="2" fillId="0" borderId="0" xfId="0" applyNumberFormat="1" applyFont="1" applyAlignment="1">
      <alignment vertical="center"/>
    </xf>
    <xf numFmtId="176" fontId="5" fillId="0" borderId="0" xfId="297" applyNumberFormat="1" applyFont="1" applyAlignment="1">
      <alignment vertical="center"/>
      <protection locked="0"/>
    </xf>
    <xf numFmtId="176" fontId="1" fillId="0" borderId="0" xfId="297" applyNumberFormat="1" applyFont="1" applyAlignment="1">
      <alignment vertical="center"/>
      <protection locked="0"/>
    </xf>
    <xf numFmtId="176" fontId="1" fillId="5" borderId="0" xfId="297" applyNumberFormat="1" applyFont="1" applyFill="1" applyAlignment="1">
      <alignment horizontal="justify" vertical="center"/>
      <protection locked="0"/>
    </xf>
    <xf numFmtId="176" fontId="1" fillId="0" borderId="0" xfId="297" applyNumberFormat="1" applyFont="1" applyAlignment="1">
      <alignment horizontal="justify" wrapText="1"/>
      <protection locked="0"/>
    </xf>
    <xf numFmtId="176" fontId="5" fillId="0" borderId="0" xfId="297" applyNumberFormat="1" applyFont="1" applyAlignment="1">
      <alignment horizontal="center" vertical="center"/>
      <protection locked="0"/>
    </xf>
    <xf numFmtId="176" fontId="11" fillId="0" borderId="9" xfId="1" applyNumberFormat="1" applyFont="1" applyBorder="1" applyAlignment="1" applyProtection="1">
      <alignment horizontal="center" vertical="center"/>
      <protection locked="0"/>
    </xf>
    <xf numFmtId="176" fontId="1" fillId="0" borderId="0" xfId="297" applyNumberFormat="1" applyFont="1">
      <protection locked="0"/>
    </xf>
    <xf numFmtId="176" fontId="1" fillId="5" borderId="0" xfId="0" applyNumberFormat="1" applyFont="1" applyFill="1" applyAlignment="1" applyProtection="1">
      <alignment horizontal="justify" vertical="center"/>
      <protection locked="0"/>
    </xf>
    <xf numFmtId="176" fontId="5" fillId="0" borderId="0" xfId="0" applyNumberFormat="1" applyFont="1" applyAlignment="1" applyProtection="1">
      <alignment horizontal="justify"/>
      <protection locked="0"/>
    </xf>
    <xf numFmtId="176" fontId="5" fillId="0" borderId="0" xfId="295" applyFont="1" applyAlignment="1">
      <alignment horizontal="left" vertical="center"/>
    </xf>
    <xf numFmtId="176" fontId="5" fillId="0" borderId="0" xfId="295" applyFont="1" applyBorder="1" applyAlignment="1">
      <alignment vertical="center"/>
    </xf>
    <xf numFmtId="176" fontId="22" fillId="0" borderId="9" xfId="1" applyNumberFormat="1" applyFont="1" applyBorder="1" applyAlignment="1" applyProtection="1">
      <alignment vertical="center"/>
      <protection locked="0"/>
    </xf>
    <xf numFmtId="176" fontId="11" fillId="5" borderId="0" xfId="0" applyFont="1" applyFill="1" applyAlignment="1" applyProtection="1">
      <alignment horizontal="justify" vertical="center" wrapText="1"/>
      <protection locked="0"/>
    </xf>
    <xf numFmtId="176" fontId="4" fillId="0" borderId="0" xfId="0" applyFont="1" applyAlignment="1" applyProtection="1">
      <alignment horizontal="center" vertical="center"/>
      <protection locked="0"/>
    </xf>
    <xf numFmtId="176" fontId="17" fillId="0" borderId="0" xfId="296" applyFont="1" applyAlignment="1">
      <alignment horizontal="left" vertical="center"/>
    </xf>
    <xf numFmtId="176" fontId="8" fillId="0" borderId="0" xfId="296" applyNumberFormat="1" applyFont="1" applyAlignment="1" applyProtection="1">
      <alignment horizontal="left" vertical="center"/>
      <protection hidden="1"/>
    </xf>
    <xf numFmtId="176" fontId="22" fillId="0" borderId="9" xfId="1" applyNumberFormat="1" applyBorder="1" applyAlignment="1" applyProtection="1">
      <alignment vertical="center"/>
      <protection locked="0"/>
    </xf>
    <xf numFmtId="176" fontId="129" fillId="0" borderId="0" xfId="1" applyFont="1" applyAlignment="1">
      <alignment vertical="center"/>
    </xf>
    <xf numFmtId="176" fontId="5" fillId="2" borderId="2" xfId="276" applyNumberFormat="1" applyFont="1" applyFill="1" applyBorder="1" applyAlignment="1">
      <alignment horizontal="left" vertical="center"/>
      <protection locked="0"/>
    </xf>
    <xf numFmtId="43" fontId="19" fillId="2" borderId="2" xfId="276" applyNumberFormat="1" applyFont="1" applyFill="1" applyBorder="1" applyAlignment="1">
      <alignment horizontal="center" vertical="center"/>
      <protection locked="0"/>
    </xf>
    <xf numFmtId="43" fontId="19" fillId="2" borderId="2" xfId="354" applyFont="1" applyFill="1" applyBorder="1" applyAlignment="1" applyProtection="1">
      <alignment horizontal="center" vertical="center"/>
      <protection locked="0"/>
    </xf>
    <xf numFmtId="14" fontId="19" fillId="2" borderId="2" xfId="276" applyNumberFormat="1" applyFont="1" applyFill="1" applyBorder="1" applyAlignment="1">
      <alignment horizontal="left" vertical="center"/>
      <protection locked="0"/>
    </xf>
    <xf numFmtId="176" fontId="19" fillId="2" borderId="2" xfId="276" applyNumberFormat="1" applyFont="1" applyFill="1" applyBorder="1" applyAlignment="1">
      <alignment horizontal="left" vertical="center"/>
      <protection locked="0"/>
    </xf>
    <xf numFmtId="176" fontId="19" fillId="2" borderId="2" xfId="276" applyNumberFormat="1" applyFont="1" applyFill="1" applyBorder="1" applyAlignment="1">
      <alignment horizontal="center" vertical="center"/>
      <protection locked="0"/>
    </xf>
    <xf numFmtId="176" fontId="5" fillId="2" borderId="2" xfId="276" applyNumberFormat="1" applyFont="1" applyFill="1" applyBorder="1" applyAlignment="1">
      <alignment horizontal="center" vertical="center"/>
      <protection locked="0"/>
    </xf>
    <xf numFmtId="176" fontId="5" fillId="2" borderId="2" xfId="290" applyNumberFormat="1" applyFont="1" applyFill="1" applyBorder="1" applyAlignment="1" applyProtection="1">
      <alignment horizontal="justify" vertical="center"/>
      <protection locked="0"/>
    </xf>
    <xf numFmtId="176" fontId="5" fillId="2" borderId="2" xfId="276" applyNumberFormat="1" applyFont="1" applyFill="1" applyBorder="1" applyAlignment="1">
      <alignment vertical="center"/>
      <protection locked="0"/>
    </xf>
    <xf numFmtId="176" fontId="5" fillId="2" borderId="0" xfId="276" applyNumberFormat="1" applyFont="1" applyFill="1" applyAlignment="1">
      <alignment vertical="center"/>
      <protection locked="0"/>
    </xf>
    <xf numFmtId="176" fontId="5" fillId="2" borderId="2" xfId="276" applyNumberFormat="1" applyFont="1" applyFill="1" applyBorder="1" applyAlignment="1">
      <alignment vertical="center" wrapText="1"/>
      <protection locked="0"/>
    </xf>
    <xf numFmtId="43" fontId="19" fillId="2" borderId="2" xfId="276" applyNumberFormat="1" applyFont="1" applyFill="1" applyBorder="1" applyAlignment="1">
      <alignment vertical="center" wrapText="1"/>
      <protection locked="0"/>
    </xf>
    <xf numFmtId="14" fontId="19" fillId="2" borderId="2" xfId="276" applyNumberFormat="1" applyFont="1" applyFill="1" applyBorder="1" applyAlignment="1">
      <alignment vertical="center" wrapText="1"/>
      <protection locked="0"/>
    </xf>
    <xf numFmtId="176" fontId="19" fillId="2" borderId="2" xfId="276" applyNumberFormat="1" applyFont="1" applyFill="1" applyBorder="1" applyAlignment="1">
      <alignment vertical="center" wrapText="1"/>
      <protection locked="0"/>
    </xf>
    <xf numFmtId="10" fontId="19" fillId="2" borderId="2" xfId="355" applyNumberFormat="1" applyFont="1" applyFill="1" applyBorder="1" applyAlignment="1" applyProtection="1">
      <alignment horizontal="right" vertical="center" wrapText="1"/>
      <protection locked="0"/>
    </xf>
    <xf numFmtId="176" fontId="17" fillId="0" borderId="0" xfId="276" applyNumberFormat="1" applyFont="1" applyAlignment="1">
      <alignment vertical="center"/>
      <protection locked="0"/>
    </xf>
    <xf numFmtId="0" fontId="11" fillId="0" borderId="9" xfId="298" applyNumberFormat="1" applyFont="1" applyBorder="1" applyAlignment="1">
      <alignment horizontal="center" vertical="center" wrapText="1"/>
      <protection locked="0"/>
    </xf>
    <xf numFmtId="176" fontId="127" fillId="0" borderId="0" xfId="0" applyFont="1" applyAlignment="1" applyProtection="1">
      <alignment horizontal="left" vertical="center" wrapText="1"/>
      <protection locked="0"/>
    </xf>
    <xf numFmtId="176" fontId="128" fillId="0" borderId="0" xfId="0" applyFont="1" applyAlignment="1" applyProtection="1">
      <alignment horizontal="left" vertical="center" wrapText="1"/>
      <protection locked="0"/>
    </xf>
    <xf numFmtId="176" fontId="3" fillId="0" borderId="0" xfId="299" applyNumberFormat="1" applyFont="1" applyBorder="1" applyAlignment="1">
      <alignment horizontal="center" vertical="center"/>
    </xf>
    <xf numFmtId="176" fontId="4" fillId="0" borderId="0" xfId="299" applyNumberFormat="1" applyFont="1" applyBorder="1" applyAlignment="1">
      <alignment horizontal="center" vertical="center"/>
    </xf>
    <xf numFmtId="14" fontId="5" fillId="2" borderId="2" xfId="261" applyNumberFormat="1" applyFont="1" applyFill="1" applyBorder="1" applyAlignment="1">
      <alignment horizontal="center" vertical="center"/>
      <protection locked="0"/>
    </xf>
    <xf numFmtId="176" fontId="3" fillId="0" borderId="0" xfId="276" applyNumberFormat="1" applyFont="1" applyAlignment="1">
      <alignment horizontal="center" vertical="center"/>
      <protection locked="0"/>
    </xf>
    <xf numFmtId="176" fontId="4" fillId="0" borderId="0" xfId="276" applyNumberFormat="1" applyFont="1" applyAlignment="1">
      <alignment horizontal="center" vertical="center"/>
      <protection locked="0"/>
    </xf>
    <xf numFmtId="176" fontId="13" fillId="2" borderId="2" xfId="276" applyNumberFormat="1" applyFont="1" applyFill="1" applyBorder="1" applyAlignment="1">
      <alignment horizontal="center" vertical="center" wrapText="1"/>
      <protection locked="0"/>
    </xf>
    <xf numFmtId="176" fontId="5" fillId="2" borderId="2" xfId="276" applyNumberFormat="1" applyFont="1" applyFill="1" applyBorder="1" applyAlignment="1">
      <alignment horizontal="center" vertical="center" wrapText="1"/>
      <protection locked="0"/>
    </xf>
    <xf numFmtId="176" fontId="5" fillId="56" borderId="2" xfId="266" applyNumberFormat="1" applyFont="1" applyFill="1" applyBorder="1" applyAlignment="1" applyProtection="1">
      <alignment horizontal="center" vertical="center" wrapText="1"/>
    </xf>
    <xf numFmtId="176" fontId="13" fillId="2" borderId="1" xfId="276" applyNumberFormat="1" applyFont="1" applyFill="1" applyBorder="1" applyAlignment="1">
      <alignment horizontal="center" vertical="center" wrapText="1"/>
      <protection locked="0"/>
    </xf>
    <xf numFmtId="176" fontId="13" fillId="2" borderId="3" xfId="276" applyNumberFormat="1" applyFont="1" applyFill="1" applyBorder="1" applyAlignment="1">
      <alignment horizontal="center" vertical="center" wrapText="1"/>
      <protection locked="0"/>
    </xf>
    <xf numFmtId="176" fontId="5" fillId="2" borderId="4" xfId="276" applyNumberFormat="1" applyFont="1" applyFill="1" applyBorder="1" applyAlignment="1">
      <alignment horizontal="center" vertical="center" wrapText="1"/>
      <protection locked="0"/>
    </xf>
    <xf numFmtId="176" fontId="5" fillId="2" borderId="5" xfId="276" applyNumberFormat="1" applyFont="1" applyFill="1" applyBorder="1" applyAlignment="1">
      <alignment horizontal="center" vertical="center" wrapText="1"/>
      <protection locked="0"/>
    </xf>
    <xf numFmtId="176" fontId="5" fillId="2" borderId="6" xfId="276" applyNumberFormat="1" applyFont="1" applyFill="1" applyBorder="1" applyAlignment="1">
      <alignment horizontal="center" vertical="center" wrapText="1"/>
      <protection locked="0"/>
    </xf>
    <xf numFmtId="176" fontId="3" fillId="0" borderId="0" xfId="292" applyNumberFormat="1" applyFont="1" applyAlignment="1">
      <alignment horizontal="center" vertical="center"/>
    </xf>
    <xf numFmtId="176" fontId="4" fillId="0" borderId="0" xfId="292" applyNumberFormat="1" applyFont="1" applyAlignment="1">
      <alignment horizontal="center" vertical="center"/>
    </xf>
    <xf numFmtId="176" fontId="9" fillId="2" borderId="2" xfId="0" applyNumberFormat="1" applyFont="1" applyFill="1" applyBorder="1" applyAlignment="1">
      <alignment horizontal="center" vertical="center"/>
    </xf>
    <xf numFmtId="176" fontId="5" fillId="2" borderId="1" xfId="276" applyNumberFormat="1" applyFont="1" applyFill="1" applyBorder="1" applyAlignment="1">
      <alignment horizontal="center" vertical="center"/>
      <protection locked="0"/>
    </xf>
    <xf numFmtId="176" fontId="5" fillId="2" borderId="3" xfId="276" applyNumberFormat="1" applyFont="1" applyFill="1" applyBorder="1" applyAlignment="1">
      <alignment horizontal="center" vertical="center"/>
      <protection locked="0"/>
    </xf>
    <xf numFmtId="176" fontId="3" fillId="0" borderId="0" xfId="293" applyFont="1" applyAlignment="1">
      <alignment horizontal="center" vertical="center"/>
    </xf>
    <xf numFmtId="176" fontId="4" fillId="0" borderId="0" xfId="294" applyFont="1" applyAlignment="1">
      <alignment horizontal="center" vertical="center"/>
    </xf>
    <xf numFmtId="176" fontId="5" fillId="2" borderId="4" xfId="327" applyFont="1" applyFill="1" applyBorder="1" applyAlignment="1">
      <alignment horizontal="center" vertical="center"/>
    </xf>
    <xf numFmtId="176" fontId="5" fillId="2" borderId="5" xfId="327" applyFont="1" applyFill="1" applyBorder="1" applyAlignment="1">
      <alignment horizontal="center" vertical="center"/>
    </xf>
    <xf numFmtId="176" fontId="5" fillId="2" borderId="6" xfId="327" applyFont="1" applyFill="1" applyBorder="1" applyAlignment="1">
      <alignment horizontal="center" vertical="center"/>
    </xf>
    <xf numFmtId="176" fontId="13" fillId="2" borderId="4" xfId="327" applyFont="1" applyFill="1" applyBorder="1" applyAlignment="1">
      <alignment horizontal="center" vertical="center"/>
    </xf>
    <xf numFmtId="176" fontId="13" fillId="2" borderId="5" xfId="327" applyFont="1" applyFill="1" applyBorder="1" applyAlignment="1">
      <alignment horizontal="center" vertical="center"/>
    </xf>
    <xf numFmtId="176" fontId="3" fillId="0" borderId="0" xfId="293" applyNumberFormat="1" applyFont="1" applyAlignment="1">
      <alignment horizontal="center" vertical="center"/>
    </xf>
    <xf numFmtId="176" fontId="4" fillId="0" borderId="0" xfId="294" applyNumberFormat="1" applyFont="1" applyAlignment="1">
      <alignment horizontal="center" vertical="center"/>
    </xf>
    <xf numFmtId="176" fontId="13" fillId="2" borderId="4" xfId="327" applyNumberFormat="1" applyFont="1" applyFill="1" applyBorder="1" applyAlignment="1">
      <alignment horizontal="center" vertical="center"/>
    </xf>
    <xf numFmtId="176" fontId="13" fillId="2" borderId="5" xfId="327" applyNumberFormat="1" applyFont="1" applyFill="1" applyBorder="1" applyAlignment="1">
      <alignment horizontal="center" vertical="center"/>
    </xf>
    <xf numFmtId="176" fontId="13" fillId="2" borderId="6" xfId="327" applyNumberFormat="1" applyFont="1" applyFill="1" applyBorder="1" applyAlignment="1">
      <alignment horizontal="center" vertical="center"/>
    </xf>
    <xf numFmtId="176" fontId="5" fillId="2" borderId="4" xfId="327" applyNumberFormat="1" applyFont="1" applyFill="1" applyBorder="1" applyAlignment="1">
      <alignment horizontal="center" vertical="center"/>
    </xf>
    <xf numFmtId="176" fontId="5" fillId="2" borderId="5" xfId="327" applyNumberFormat="1" applyFont="1" applyFill="1" applyBorder="1" applyAlignment="1">
      <alignment horizontal="center" vertical="center"/>
    </xf>
    <xf numFmtId="176" fontId="5" fillId="2" borderId="2" xfId="276" applyNumberFormat="1" applyFont="1" applyFill="1" applyBorder="1" applyAlignment="1" applyProtection="1">
      <alignment horizontal="center" vertical="center"/>
    </xf>
    <xf numFmtId="176" fontId="18" fillId="0" borderId="0" xfId="0" applyNumberFormat="1" applyFont="1" applyAlignment="1">
      <alignment horizontal="left" vertical="center" wrapText="1"/>
    </xf>
    <xf numFmtId="176" fontId="5" fillId="2" borderId="2" xfId="276" applyNumberFormat="1" applyFont="1" applyFill="1" applyBorder="1" applyAlignment="1" applyProtection="1">
      <alignment horizontal="center" vertical="center" wrapText="1"/>
    </xf>
    <xf numFmtId="176" fontId="5" fillId="2" borderId="2" xfId="261" applyFont="1" applyFill="1" applyBorder="1" applyAlignment="1" applyProtection="1">
      <alignment horizontal="center" vertical="center"/>
    </xf>
    <xf numFmtId="176" fontId="5" fillId="3" borderId="1" xfId="268" applyFont="1" applyFill="1" applyBorder="1" applyAlignment="1">
      <alignment horizontal="center" vertical="center" wrapText="1"/>
    </xf>
    <xf numFmtId="176" fontId="5" fillId="3" borderId="3" xfId="268" applyFont="1" applyFill="1" applyBorder="1" applyAlignment="1">
      <alignment horizontal="center" vertical="center" wrapText="1"/>
    </xf>
    <xf numFmtId="176" fontId="3" fillId="0" borderId="0" xfId="292" applyFont="1" applyAlignment="1">
      <alignment horizontal="center" vertical="center"/>
    </xf>
    <xf numFmtId="176" fontId="4" fillId="0" borderId="0" xfId="292" applyFont="1" applyAlignment="1">
      <alignment horizontal="center" vertical="center"/>
    </xf>
    <xf numFmtId="176" fontId="5" fillId="2" borderId="2" xfId="282" applyFont="1" applyFill="1" applyBorder="1" applyAlignment="1">
      <alignment horizontal="center" vertical="center"/>
    </xf>
    <xf numFmtId="176" fontId="5" fillId="3" borderId="4" xfId="268" applyFont="1" applyFill="1" applyBorder="1" applyAlignment="1">
      <alignment horizontal="center" vertical="center"/>
    </xf>
    <xf numFmtId="176" fontId="5" fillId="3" borderId="5" xfId="268" applyFont="1" applyFill="1" applyBorder="1" applyAlignment="1">
      <alignment horizontal="center" vertical="center"/>
    </xf>
    <xf numFmtId="176" fontId="5" fillId="3" borderId="6" xfId="268" applyFont="1" applyFill="1" applyBorder="1" applyAlignment="1">
      <alignment horizontal="center" vertical="center"/>
    </xf>
    <xf numFmtId="176" fontId="5" fillId="3" borderId="1" xfId="276" applyFont="1" applyFill="1" applyBorder="1" applyAlignment="1">
      <alignment horizontal="center" vertical="center"/>
      <protection locked="0"/>
    </xf>
    <xf numFmtId="176" fontId="5" fillId="3" borderId="3" xfId="276" applyFont="1" applyFill="1" applyBorder="1" applyAlignment="1">
      <alignment horizontal="center" vertical="center"/>
      <protection locked="0"/>
    </xf>
    <xf numFmtId="176" fontId="5" fillId="3" borderId="2" xfId="268" applyFont="1" applyFill="1" applyBorder="1" applyAlignment="1">
      <alignment horizontal="center" vertical="center" wrapText="1"/>
    </xf>
    <xf numFmtId="0" fontId="1" fillId="0" borderId="0" xfId="261" applyNumberFormat="1" applyFont="1" applyAlignment="1">
      <alignment vertical="center"/>
      <protection locked="0"/>
    </xf>
    <xf numFmtId="0" fontId="5" fillId="0" borderId="0" xfId="266" applyNumberFormat="1" applyFont="1" applyAlignment="1">
      <alignment vertical="center"/>
      <protection locked="0"/>
    </xf>
    <xf numFmtId="0" fontId="1" fillId="0" borderId="0" xfId="276" applyNumberFormat="1" applyFont="1" applyBorder="1" applyAlignment="1">
      <alignment vertical="center"/>
      <protection locked="0"/>
    </xf>
    <xf numFmtId="0" fontId="1" fillId="0" borderId="0" xfId="276" applyNumberFormat="1" applyFont="1" applyBorder="1" applyAlignment="1">
      <alignment vertical="center" wrapText="1"/>
      <protection locked="0"/>
    </xf>
    <xf numFmtId="0" fontId="1" fillId="0" borderId="0" xfId="296" applyNumberFormat="1" applyFont="1" applyBorder="1" applyAlignment="1">
      <alignment horizontal="center" vertical="center"/>
    </xf>
    <xf numFmtId="0" fontId="1" fillId="0" borderId="0" xfId="296" applyNumberFormat="1" applyFont="1" applyBorder="1" applyAlignment="1">
      <alignment vertical="center"/>
    </xf>
    <xf numFmtId="0" fontId="1" fillId="0" borderId="0" xfId="276" applyNumberFormat="1" applyFont="1" applyAlignment="1">
      <alignment vertical="center"/>
      <protection locked="0"/>
    </xf>
    <xf numFmtId="0" fontId="8" fillId="0" borderId="0" xfId="266" applyNumberFormat="1" applyFont="1" applyAlignment="1">
      <alignment vertical="center"/>
      <protection locked="0"/>
    </xf>
    <xf numFmtId="0" fontId="1" fillId="0" borderId="0" xfId="276" applyNumberFormat="1" applyFont="1" applyAlignment="1">
      <alignment horizontal="left" vertical="center"/>
      <protection locked="0"/>
    </xf>
    <xf numFmtId="0" fontId="1" fillId="0" borderId="0" xfId="276" applyNumberFormat="1" applyFont="1" applyAlignment="1">
      <alignment vertical="center" wrapText="1"/>
      <protection locked="0"/>
    </xf>
    <xf numFmtId="0" fontId="5" fillId="0" borderId="0" xfId="276" applyNumberFormat="1" applyFont="1" applyBorder="1" applyAlignment="1">
      <alignment vertical="center"/>
      <protection locked="0"/>
    </xf>
    <xf numFmtId="0" fontId="5" fillId="0" borderId="0" xfId="276" applyNumberFormat="1" applyFont="1" applyAlignment="1">
      <alignment horizontal="left" vertical="center"/>
      <protection locked="0"/>
    </xf>
    <xf numFmtId="0" fontId="5" fillId="0" borderId="7" xfId="276" applyNumberFormat="1" applyFont="1" applyBorder="1" applyAlignment="1">
      <alignment horizontal="left" vertical="center"/>
      <protection locked="0"/>
    </xf>
    <xf numFmtId="0" fontId="5" fillId="0" borderId="7" xfId="276" applyNumberFormat="1" applyFont="1" applyBorder="1" applyAlignment="1">
      <alignment vertical="center" wrapText="1"/>
      <protection locked="0"/>
    </xf>
    <xf numFmtId="0" fontId="5" fillId="0" borderId="0" xfId="276" applyNumberFormat="1" applyFont="1" applyAlignment="1">
      <alignment vertical="center" wrapText="1"/>
      <protection locked="0"/>
    </xf>
    <xf numFmtId="0" fontId="5" fillId="0" borderId="0" xfId="276" applyNumberFormat="1" applyFont="1" applyBorder="1" applyAlignment="1">
      <alignment horizontal="left" vertical="center"/>
      <protection locked="0"/>
    </xf>
    <xf numFmtId="0" fontId="1" fillId="0" borderId="0" xfId="276" applyNumberFormat="1" applyFont="1" applyAlignment="1">
      <alignment horizontal="left" vertical="center" wrapText="1"/>
      <protection locked="0"/>
    </xf>
    <xf numFmtId="237" fontId="11" fillId="0" borderId="2" xfId="276" applyNumberFormat="1" applyFont="1" applyBorder="1" applyAlignment="1">
      <alignment horizontal="left" vertical="center"/>
      <protection locked="0"/>
    </xf>
    <xf numFmtId="237" fontId="11" fillId="0" borderId="2" xfId="276" applyNumberFormat="1" applyFont="1" applyBorder="1" applyAlignment="1">
      <alignment vertical="center" wrapText="1"/>
      <protection locked="0"/>
    </xf>
    <xf numFmtId="237" fontId="11" fillId="0" borderId="2" xfId="276" applyNumberFormat="1" applyFont="1" applyBorder="1" applyAlignment="1">
      <alignment horizontal="center" vertical="center"/>
      <protection locked="0"/>
    </xf>
    <xf numFmtId="237" fontId="11" fillId="0" borderId="2" xfId="335" applyNumberFormat="1" applyFont="1" applyBorder="1" applyAlignment="1" applyProtection="1">
      <alignment horizontal="center" vertical="center"/>
      <protection locked="0"/>
    </xf>
    <xf numFmtId="237" fontId="11" fillId="0" borderId="2" xfId="290" applyNumberFormat="1" applyFont="1" applyBorder="1" applyAlignment="1" applyProtection="1">
      <alignment horizontal="justify" vertical="center"/>
      <protection locked="0"/>
    </xf>
    <xf numFmtId="237" fontId="11" fillId="0" borderId="2" xfId="335" applyNumberFormat="1" applyFont="1" applyBorder="1" applyAlignment="1" applyProtection="1">
      <alignment vertical="center" wrapText="1"/>
      <protection locked="0"/>
    </xf>
    <xf numFmtId="14" fontId="11" fillId="0" borderId="2" xfId="276" applyNumberFormat="1" applyFont="1" applyBorder="1" applyAlignment="1">
      <alignment vertical="center" wrapText="1"/>
      <protection locked="0"/>
    </xf>
    <xf numFmtId="239" fontId="11" fillId="0" borderId="2" xfId="276" applyNumberFormat="1" applyFont="1" applyBorder="1" applyAlignment="1">
      <alignment vertical="center" wrapText="1"/>
      <protection locked="0"/>
    </xf>
    <xf numFmtId="239" fontId="11" fillId="0" borderId="2" xfId="276" applyNumberFormat="1" applyFont="1" applyBorder="1" applyAlignment="1">
      <alignment horizontal="left" vertical="center"/>
      <protection locked="0"/>
    </xf>
    <xf numFmtId="239" fontId="11" fillId="0" borderId="2" xfId="276" applyNumberFormat="1" applyFont="1" applyBorder="1" applyAlignment="1">
      <alignment horizontal="center" vertical="center"/>
      <protection locked="0"/>
    </xf>
    <xf numFmtId="237" fontId="1" fillId="0" borderId="2" xfId="276" applyNumberFormat="1" applyFont="1" applyBorder="1" applyAlignment="1">
      <alignment vertical="center"/>
      <protection locked="0"/>
    </xf>
    <xf numFmtId="237" fontId="1" fillId="0" borderId="2" xfId="276" applyNumberFormat="1" applyFont="1" applyBorder="1" applyAlignment="1">
      <alignment vertical="center" wrapText="1"/>
      <protection locked="0"/>
    </xf>
    <xf numFmtId="0" fontId="10" fillId="0" borderId="2" xfId="280" applyNumberFormat="1" applyFont="1" applyBorder="1" applyAlignment="1" applyProtection="1">
      <alignment vertical="center"/>
    </xf>
    <xf numFmtId="0" fontId="2" fillId="0" borderId="2" xfId="280" applyNumberFormat="1" applyFont="1" applyBorder="1" applyAlignment="1" applyProtection="1">
      <alignment vertical="center"/>
    </xf>
    <xf numFmtId="43" fontId="10" fillId="2" borderId="2" xfId="354" applyFont="1" applyFill="1" applyBorder="1" applyAlignment="1" applyProtection="1">
      <alignment vertical="center"/>
    </xf>
    <xf numFmtId="0" fontId="10" fillId="0" borderId="2" xfId="0" applyNumberFormat="1" applyFont="1" applyBorder="1" applyAlignment="1">
      <alignment vertical="center"/>
    </xf>
    <xf numFmtId="0" fontId="11" fillId="0" borderId="2" xfId="280" applyNumberFormat="1" applyFont="1" applyBorder="1" applyAlignment="1">
      <alignment vertical="center"/>
      <protection locked="0"/>
    </xf>
    <xf numFmtId="43" fontId="11" fillId="0" borderId="2" xfId="354" applyFont="1" applyBorder="1" applyAlignment="1" applyProtection="1">
      <alignment vertical="center"/>
      <protection locked="0"/>
    </xf>
    <xf numFmtId="0" fontId="1" fillId="0" borderId="2" xfId="280" applyNumberFormat="1" applyFont="1" applyBorder="1" applyAlignment="1">
      <alignment vertical="center"/>
      <protection locked="0"/>
    </xf>
    <xf numFmtId="0" fontId="5" fillId="0" borderId="0" xfId="296" applyNumberFormat="1" applyFont="1" applyAlignment="1">
      <alignment horizontal="left" vertical="center"/>
    </xf>
    <xf numFmtId="0" fontId="1" fillId="0" borderId="0" xfId="280" applyNumberFormat="1" applyFont="1">
      <protection locked="0"/>
    </xf>
    <xf numFmtId="0" fontId="2" fillId="0" borderId="0" xfId="280" applyNumberFormat="1" applyFont="1" applyAlignment="1" applyProtection="1">
      <alignment vertical="center"/>
    </xf>
    <xf numFmtId="0" fontId="1" fillId="0" borderId="0" xfId="239" applyNumberFormat="1" applyFont="1" applyFill="1" applyAlignment="1" applyProtection="1">
      <protection locked="0"/>
    </xf>
    <xf numFmtId="0" fontId="2" fillId="0" borderId="0" xfId="0" applyNumberFormat="1" applyFont="1"/>
    <xf numFmtId="0" fontId="6" fillId="0" borderId="0" xfId="335" applyNumberFormat="1" applyFont="1" applyBorder="1" applyAlignment="1">
      <alignment vertical="center"/>
    </xf>
    <xf numFmtId="0" fontId="6" fillId="0" borderId="0" xfId="261" applyNumberFormat="1" applyFont="1" applyAlignment="1" applyProtection="1">
      <alignment vertical="center"/>
    </xf>
    <xf numFmtId="0" fontId="7" fillId="0" borderId="0" xfId="276" applyNumberFormat="1" applyFont="1" applyAlignment="1" applyProtection="1">
      <alignment horizontal="center" vertical="center"/>
    </xf>
    <xf numFmtId="0" fontId="1" fillId="0" borderId="0" xfId="276" applyNumberFormat="1" applyFont="1" applyAlignment="1" applyProtection="1">
      <alignment vertical="center"/>
    </xf>
    <xf numFmtId="0" fontId="8" fillId="0" borderId="0" xfId="276" applyNumberFormat="1" applyFont="1" applyAlignment="1">
      <alignment horizontal="left" vertical="center"/>
      <protection locked="0"/>
    </xf>
    <xf numFmtId="0" fontId="5" fillId="0" borderId="0" xfId="296" applyNumberFormat="1" applyFont="1" applyAlignment="1">
      <alignment vertical="center"/>
    </xf>
    <xf numFmtId="0" fontId="1" fillId="0" borderId="0" xfId="296" applyNumberFormat="1" applyFont="1" applyAlignment="1" applyProtection="1">
      <alignment vertical="center"/>
      <protection locked="0"/>
    </xf>
    <xf numFmtId="0" fontId="1" fillId="0" borderId="0" xfId="296" applyNumberFormat="1" applyFont="1" applyAlignment="1">
      <alignment vertical="center"/>
    </xf>
    <xf numFmtId="0" fontId="8" fillId="0" borderId="0" xfId="296" applyNumberFormat="1" applyFont="1" applyAlignment="1">
      <alignment horizontal="left" vertical="center" wrapText="1"/>
    </xf>
    <xf numFmtId="0" fontId="8" fillId="0" borderId="0" xfId="296" applyNumberFormat="1" applyFont="1" applyAlignment="1">
      <alignment horizontal="left" vertical="center"/>
    </xf>
    <xf numFmtId="0" fontId="17" fillId="0" borderId="27" xfId="296" applyNumberFormat="1" applyFont="1" applyBorder="1" applyAlignment="1">
      <alignment horizontal="left" vertical="center" wrapText="1"/>
    </xf>
    <xf numFmtId="0" fontId="5" fillId="0" borderId="7" xfId="327" applyNumberFormat="1" applyFont="1" applyBorder="1" applyAlignment="1">
      <alignment vertical="center"/>
    </xf>
    <xf numFmtId="0" fontId="1" fillId="0" borderId="7" xfId="327" applyNumberFormat="1" applyFont="1" applyBorder="1" applyAlignment="1">
      <alignment vertical="center"/>
    </xf>
    <xf numFmtId="0" fontId="5" fillId="0" borderId="0" xfId="327" applyNumberFormat="1" applyFont="1" applyAlignment="1">
      <alignment vertical="center"/>
    </xf>
    <xf numFmtId="0" fontId="1" fillId="0" borderId="0" xfId="327" applyNumberFormat="1" applyFont="1" applyAlignment="1">
      <alignment vertical="center"/>
    </xf>
    <xf numFmtId="0" fontId="2" fillId="0" borderId="0" xfId="276" applyNumberFormat="1" applyFont="1" applyAlignment="1">
      <alignment vertical="center"/>
      <protection locked="0"/>
    </xf>
    <xf numFmtId="0" fontId="8" fillId="0" borderId="0" xfId="276" applyNumberFormat="1" applyFont="1" applyAlignment="1">
      <alignment vertical="center"/>
      <protection locked="0"/>
    </xf>
    <xf numFmtId="0" fontId="1" fillId="0" borderId="0" xfId="276" applyNumberFormat="1" applyFont="1" applyAlignment="1">
      <alignment horizontal="right" vertical="center"/>
      <protection locked="0"/>
    </xf>
    <xf numFmtId="0" fontId="5" fillId="0" borderId="0" xfId="276" applyNumberFormat="1" applyFont="1" applyAlignment="1">
      <alignment vertical="center"/>
      <protection locked="0"/>
    </xf>
    <xf numFmtId="0" fontId="1" fillId="0" borderId="0" xfId="276" applyNumberFormat="1" applyFont="1" applyAlignment="1" applyProtection="1">
      <alignment horizontal="center" vertical="center"/>
    </xf>
    <xf numFmtId="0" fontId="1" fillId="0" borderId="0" xfId="276" applyNumberFormat="1" applyFont="1" applyAlignment="1" applyProtection="1">
      <alignment horizontal="left" vertical="center"/>
    </xf>
    <xf numFmtId="0" fontId="1" fillId="0" borderId="0" xfId="276" applyNumberFormat="1" applyFont="1" applyAlignment="1" applyProtection="1">
      <alignment horizontal="right" vertical="center"/>
    </xf>
    <xf numFmtId="0" fontId="5" fillId="0" borderId="0" xfId="268" applyNumberFormat="1" applyFont="1">
      <alignment vertical="center"/>
    </xf>
    <xf numFmtId="0" fontId="1" fillId="0" borderId="0" xfId="268" applyNumberFormat="1" applyFont="1" applyAlignment="1">
      <alignment vertical="center" wrapText="1"/>
    </xf>
    <xf numFmtId="0" fontId="1" fillId="0" borderId="0" xfId="268" applyNumberFormat="1" applyFont="1" applyAlignment="1">
      <alignment horizontal="center" vertical="center"/>
    </xf>
    <xf numFmtId="0" fontId="1" fillId="0" borderId="0" xfId="268" applyNumberFormat="1" applyFont="1">
      <alignment vertical="center"/>
    </xf>
    <xf numFmtId="0" fontId="5" fillId="0" borderId="0" xfId="268" applyNumberFormat="1" applyFont="1" applyAlignment="1">
      <alignment horizontal="center" vertical="center"/>
    </xf>
    <xf numFmtId="43" fontId="11" fillId="0" borderId="2" xfId="354" applyFont="1" applyBorder="1" applyAlignment="1" applyProtection="1">
      <alignment vertical="center"/>
    </xf>
    <xf numFmtId="10" fontId="11" fillId="0" borderId="2" xfId="355" applyNumberFormat="1" applyFont="1" applyBorder="1" applyAlignment="1" applyProtection="1">
      <alignment horizontal="center" vertical="center"/>
    </xf>
    <xf numFmtId="14" fontId="11" fillId="0" borderId="2" xfId="276" applyNumberFormat="1" applyFont="1" applyBorder="1" applyAlignment="1" applyProtection="1">
      <alignment horizontal="center" vertical="center"/>
    </xf>
    <xf numFmtId="176" fontId="11" fillId="0" borderId="2" xfId="276" applyNumberFormat="1" applyFont="1" applyBorder="1" applyAlignment="1" applyProtection="1">
      <alignment horizontal="center" vertical="center"/>
    </xf>
    <xf numFmtId="43" fontId="11" fillId="0" borderId="2" xfId="354" applyFont="1" applyFill="1" applyBorder="1" applyAlignment="1" applyProtection="1">
      <alignment horizontal="right" vertical="center"/>
    </xf>
    <xf numFmtId="0" fontId="12" fillId="0" borderId="0" xfId="261" applyNumberFormat="1" applyFont="1" applyAlignment="1" applyProtection="1">
      <alignment vertical="center"/>
    </xf>
    <xf numFmtId="0" fontId="7" fillId="0" borderId="0" xfId="261" applyNumberFormat="1" applyFont="1" applyAlignment="1" applyProtection="1">
      <alignment horizontal="center"/>
    </xf>
    <xf numFmtId="0" fontId="2" fillId="0" borderId="0" xfId="282" applyNumberFormat="1" applyFont="1">
      <alignment vertical="center"/>
    </xf>
    <xf numFmtId="0" fontId="1" fillId="0" borderId="0" xfId="261" applyNumberFormat="1" applyFont="1" applyAlignment="1">
      <alignment vertical="center" wrapText="1"/>
      <protection locked="0"/>
    </xf>
    <xf numFmtId="0" fontId="1" fillId="0" borderId="0" xfId="261" applyNumberFormat="1" applyFont="1" applyAlignment="1">
      <alignment horizontal="right" vertical="center" wrapText="1"/>
      <protection locked="0"/>
    </xf>
    <xf numFmtId="0" fontId="5" fillId="0" borderId="0" xfId="296" applyNumberFormat="1" applyFont="1" applyAlignment="1">
      <alignment horizontal="left" vertical="center" wrapText="1"/>
    </xf>
    <xf numFmtId="0" fontId="1" fillId="0" borderId="0" xfId="296" applyNumberFormat="1" applyFont="1" applyAlignment="1">
      <alignment horizontal="left" vertical="center"/>
    </xf>
    <xf numFmtId="0" fontId="5" fillId="0" borderId="0" xfId="261" applyNumberFormat="1" applyFont="1" applyAlignment="1" applyProtection="1">
      <alignment horizontal="left" vertical="center"/>
    </xf>
    <xf numFmtId="0" fontId="1" fillId="0" borderId="0" xfId="300" applyNumberFormat="1" applyFont="1">
      <alignment vertical="center"/>
    </xf>
    <xf numFmtId="0" fontId="1" fillId="0" borderId="0" xfId="261" applyNumberFormat="1" applyFont="1" applyAlignment="1" applyProtection="1">
      <alignment vertical="center"/>
    </xf>
    <xf numFmtId="0" fontId="8" fillId="0" borderId="0" xfId="261" applyNumberFormat="1" applyFont="1" applyAlignment="1" applyProtection="1">
      <alignment horizontal="left" vertical="center"/>
    </xf>
    <xf numFmtId="0" fontId="13" fillId="0" borderId="0" xfId="261" applyNumberFormat="1" applyFont="1" applyAlignment="1" applyProtection="1">
      <alignment horizontal="left" vertical="center"/>
    </xf>
    <xf numFmtId="0" fontId="5" fillId="0" borderId="0" xfId="261" applyNumberFormat="1" applyFont="1" applyAlignment="1" applyProtection="1">
      <alignment horizontal="center" vertical="center"/>
    </xf>
    <xf numFmtId="0" fontId="5" fillId="0" borderId="0" xfId="261" applyNumberFormat="1" applyFont="1" applyAlignment="1">
      <alignment vertical="center"/>
      <protection locked="0"/>
    </xf>
    <xf numFmtId="43" fontId="11" fillId="0" borderId="2" xfId="354" applyFont="1" applyBorder="1" applyAlignment="1">
      <alignment horizontal="right" vertical="center"/>
    </xf>
    <xf numFmtId="43" fontId="10" fillId="0" borderId="2" xfId="354" applyFont="1" applyBorder="1">
      <alignment vertical="center"/>
    </xf>
  </cellXfs>
  <cellStyles count="356">
    <cellStyle name="% 2" xfId="2"/>
    <cellStyle name="? 3" xfId="3"/>
    <cellStyle name="??" xfId="4"/>
    <cellStyle name="@_text" xfId="5"/>
    <cellStyle name="_07930建造合同" xfId="6"/>
    <cellStyle name="_12月项目部访问及审计-德勤" xfId="7"/>
    <cellStyle name="_2005审计报表及附注-中国建材股份模板（房屋） 3" xfId="8"/>
    <cellStyle name="_3-2-A22-无形资产" xfId="9"/>
    <cellStyle name="_Book1 3" xfId="10"/>
    <cellStyle name="_ET_STYLE_NoName_00__2007调整分录-鲁佳" xfId="11"/>
    <cellStyle name="{Comma [0]}" xfId="12"/>
    <cellStyle name="{Comma}" xfId="13"/>
    <cellStyle name="{Date}" xfId="14"/>
    <cellStyle name="{Month}" xfId="15"/>
    <cellStyle name="{Thousand [0]}" xfId="16"/>
    <cellStyle name="{Thousand}" xfId="17"/>
    <cellStyle name="{Z'0000(1 dec)}" xfId="18"/>
    <cellStyle name="{Z'0000(4 dec)}" xfId="19"/>
    <cellStyle name="0%" xfId="20"/>
    <cellStyle name="0.0%" xfId="21"/>
    <cellStyle name="0.00%" xfId="22"/>
    <cellStyle name="00" xfId="23"/>
    <cellStyle name="20% - Accent1" xfId="24"/>
    <cellStyle name="20% - Accent2" xfId="25"/>
    <cellStyle name="20% - Accent3" xfId="26"/>
    <cellStyle name="20% - Accent4" xfId="27"/>
    <cellStyle name="20% - Accent5" xfId="28"/>
    <cellStyle name="20% - Accent6" xfId="29"/>
    <cellStyle name="40% - Accent1" xfId="30"/>
    <cellStyle name="40% - Accent2" xfId="31"/>
    <cellStyle name="40% - Accent3" xfId="32"/>
    <cellStyle name="40% - Accent6" xfId="33"/>
    <cellStyle name="60% - Accent1" xfId="34"/>
    <cellStyle name="60% - Accent2" xfId="35"/>
    <cellStyle name="60% - Accent3" xfId="36"/>
    <cellStyle name="60% - Accent4" xfId="37"/>
    <cellStyle name="60% - Accent5" xfId="38"/>
    <cellStyle name="60% - Accent6" xfId="39"/>
    <cellStyle name="AA FRAME" xfId="40"/>
    <cellStyle name="AA HEADING" xfId="41"/>
    <cellStyle name="AA INITIALS" xfId="42"/>
    <cellStyle name="AA INPUT" xfId="43"/>
    <cellStyle name="AA LOCK" xfId="44"/>
    <cellStyle name="AA MGR NAME" xfId="45"/>
    <cellStyle name="AA NORMAL" xfId="46"/>
    <cellStyle name="AA NUMBER" xfId="47"/>
    <cellStyle name="AA NUMBER2" xfId="48"/>
    <cellStyle name="AA QUESTION" xfId="49"/>
    <cellStyle name="Accent1" xfId="50"/>
    <cellStyle name="Accent1 - 20%" xfId="51"/>
    <cellStyle name="Accent1 - 60%" xfId="52"/>
    <cellStyle name="Accent2" xfId="53"/>
    <cellStyle name="Accent2 - 20%" xfId="54"/>
    <cellStyle name="Accent2 - 40%" xfId="55"/>
    <cellStyle name="Accent2 - 60%" xfId="56"/>
    <cellStyle name="Accent3" xfId="57"/>
    <cellStyle name="Accent3 - 40%" xfId="58"/>
    <cellStyle name="Accent3 - 60%" xfId="59"/>
    <cellStyle name="Accent5 - 20%" xfId="60"/>
    <cellStyle name="Accent6" xfId="61"/>
    <cellStyle name="Accent6 - 40%" xfId="62"/>
    <cellStyle name="Accent6 - 60%" xfId="63"/>
    <cellStyle name="args.style" xfId="64"/>
    <cellStyle name="Bad" xfId="65"/>
    <cellStyle name="Black" xfId="66"/>
    <cellStyle name="Border" xfId="67"/>
    <cellStyle name="Calc Currency (0)" xfId="68"/>
    <cellStyle name="Calc Currency (2)" xfId="69"/>
    <cellStyle name="Calc Percent (0)" xfId="70"/>
    <cellStyle name="Calc Percent (1)" xfId="71"/>
    <cellStyle name="Calc Percent (2)" xfId="72"/>
    <cellStyle name="Calc Units (0)" xfId="73"/>
    <cellStyle name="Calc Units (1)" xfId="74"/>
    <cellStyle name="Calculation" xfId="75"/>
    <cellStyle name="category" xfId="76"/>
    <cellStyle name="Check Cell" xfId="77"/>
    <cellStyle name="Col Heads" xfId="78"/>
    <cellStyle name="Column_Title" xfId="79"/>
    <cellStyle name="Comma  - Style1" xfId="80"/>
    <cellStyle name="Comma [0]" xfId="81"/>
    <cellStyle name="Comma [00]" xfId="82"/>
    <cellStyle name="comma zerodec" xfId="83"/>
    <cellStyle name="Comma,0" xfId="84"/>
    <cellStyle name="Comma,1" xfId="85"/>
    <cellStyle name="Comma,2" xfId="86"/>
    <cellStyle name="Comma_ rislugp" xfId="87"/>
    <cellStyle name="Copied" xfId="88"/>
    <cellStyle name="COST1" xfId="89"/>
    <cellStyle name="Currency [0]" xfId="90"/>
    <cellStyle name="Currency [00]" xfId="91"/>
    <cellStyle name="Currency,0" xfId="92"/>
    <cellStyle name="Currency,2" xfId="93"/>
    <cellStyle name="Currency_ rislugp" xfId="94"/>
    <cellStyle name="Currency1" xfId="95"/>
    <cellStyle name="Date" xfId="96"/>
    <cellStyle name="Date 2" xfId="97"/>
    <cellStyle name="Date Short" xfId="98"/>
    <cellStyle name="Dezimal [0]_laroux" xfId="99"/>
    <cellStyle name="Dezimal_laroux" xfId="100"/>
    <cellStyle name="Dollar (zero dec)" xfId="101"/>
    <cellStyle name="E&amp;Y House" xfId="102"/>
    <cellStyle name="Entered" xfId="103"/>
    <cellStyle name="entry" xfId="104"/>
    <cellStyle name="entry 3" xfId="105"/>
    <cellStyle name="entry box" xfId="106"/>
    <cellStyle name="entry box 3" xfId="107"/>
    <cellStyle name="Euro" xfId="108"/>
    <cellStyle name="Explanatory Text" xfId="109"/>
    <cellStyle name="Followed Hyperlink_AheadBehind.xls Chart 23" xfId="110"/>
    <cellStyle name="Good" xfId="111"/>
    <cellStyle name="Grey" xfId="112"/>
    <cellStyle name="HEADER" xfId="113"/>
    <cellStyle name="Header1" xfId="114"/>
    <cellStyle name="Header1 3" xfId="115"/>
    <cellStyle name="Header2" xfId="116"/>
    <cellStyle name="Header2 3" xfId="117"/>
    <cellStyle name="Heading" xfId="118"/>
    <cellStyle name="Heading 1" xfId="119"/>
    <cellStyle name="Heading 2" xfId="120"/>
    <cellStyle name="Heading 3" xfId="121"/>
    <cellStyle name="Heading 4" xfId="122"/>
    <cellStyle name="Hyperlink_AheadBehind.xls Chart 23" xfId="123"/>
    <cellStyle name="Input" xfId="124"/>
    <cellStyle name="Input [yellow]" xfId="125"/>
    <cellStyle name="Input Cells" xfId="126"/>
    <cellStyle name="Input Cells 2" xfId="127"/>
    <cellStyle name="left" xfId="128"/>
    <cellStyle name="left 3" xfId="129"/>
    <cellStyle name="Linked Cell" xfId="130"/>
    <cellStyle name="Linked Cells" xfId="131"/>
    <cellStyle name="Linked Cells 2" xfId="132"/>
    <cellStyle name="Milliers [0]_!!!GO" xfId="133"/>
    <cellStyle name="Model" xfId="134"/>
    <cellStyle name="Moneda [0]_laroux" xfId="135"/>
    <cellStyle name="Moneda_laroux" xfId="136"/>
    <cellStyle name="Mon閠aire [0]_laroux" xfId="137"/>
    <cellStyle name="Mon閠aire_laroux" xfId="138"/>
    <cellStyle name="Neutral" xfId="139"/>
    <cellStyle name="New Times Roman" xfId="140"/>
    <cellStyle name="no dec" xfId="141"/>
    <cellStyle name="Non défini" xfId="142"/>
    <cellStyle name="Normal - Style1" xfId="143"/>
    <cellStyle name="Normal_ rislugp" xfId="144"/>
    <cellStyle name="Normalny_Arkusz1" xfId="145"/>
    <cellStyle name="Note" xfId="146"/>
    <cellStyle name="Œ…‹æØ‚è [0.00]_Region Orders (2)" xfId="147"/>
    <cellStyle name="Œ…‹æØ‚è_Region Orders (2)" xfId="148"/>
    <cellStyle name="Output" xfId="149"/>
    <cellStyle name="per.style" xfId="150"/>
    <cellStyle name="Percent (0)" xfId="151"/>
    <cellStyle name="Percent [0]" xfId="152"/>
    <cellStyle name="Percent [00]" xfId="153"/>
    <cellStyle name="Percent [2]" xfId="154"/>
    <cellStyle name="Percent_!!!GO" xfId="155"/>
    <cellStyle name="Pourcentage_pldt" xfId="156"/>
    <cellStyle name="Prefilled" xfId="157"/>
    <cellStyle name="Prefilled 3" xfId="158"/>
    <cellStyle name="price" xfId="159"/>
    <cellStyle name="pricing" xfId="160"/>
    <cellStyle name="pricing 2" xfId="161"/>
    <cellStyle name="PSChar" xfId="162"/>
    <cellStyle name="PSHeading" xfId="163"/>
    <cellStyle name="Red" xfId="164"/>
    <cellStyle name="revised" xfId="165"/>
    <cellStyle name="RevList" xfId="166"/>
    <cellStyle name="RevList 2" xfId="167"/>
    <cellStyle name="row_def_array" xfId="168"/>
    <cellStyle name="S4" xfId="169"/>
    <cellStyle name="S5" xfId="170"/>
    <cellStyle name="SAPBEXaggData" xfId="171"/>
    <cellStyle name="SAPBEXaggDataEmph" xfId="172"/>
    <cellStyle name="SAPBEXaggItem" xfId="173"/>
    <cellStyle name="SAPBEXaggItemX" xfId="174"/>
    <cellStyle name="SAPBEXchaText" xfId="175"/>
    <cellStyle name="SAPBEXexcBad7" xfId="176"/>
    <cellStyle name="SAPBEXexcBad8" xfId="177"/>
    <cellStyle name="SAPBEXexcBad9" xfId="178"/>
    <cellStyle name="SAPBEXexcCritical4" xfId="179"/>
    <cellStyle name="SAPBEXexcCritical5" xfId="180"/>
    <cellStyle name="SAPBEXexcCritical6" xfId="181"/>
    <cellStyle name="SAPBEXexcGood1" xfId="182"/>
    <cellStyle name="SAPBEXexcGood2" xfId="183"/>
    <cellStyle name="SAPBEXexcGood3" xfId="184"/>
    <cellStyle name="SAPBEXfilterDrill" xfId="185"/>
    <cellStyle name="SAPBEXfilterItem" xfId="186"/>
    <cellStyle name="SAPBEXfilterText" xfId="187"/>
    <cellStyle name="SAPBEXformats" xfId="188"/>
    <cellStyle name="SAPBEXheaderText" xfId="189"/>
    <cellStyle name="SAPBEXHLevel0" xfId="190"/>
    <cellStyle name="SAPBEXHLevel0X" xfId="191"/>
    <cellStyle name="SAPBEXHLevel1" xfId="192"/>
    <cellStyle name="SAPBEXHLevel1X" xfId="193"/>
    <cellStyle name="SAPBEXHLevel2" xfId="194"/>
    <cellStyle name="SAPBEXHLevel2X" xfId="195"/>
    <cellStyle name="SAPBEXHLevel3" xfId="196"/>
    <cellStyle name="SAPBEXHLevel3X" xfId="197"/>
    <cellStyle name="SAPBEXresData" xfId="198"/>
    <cellStyle name="SAPBEXresDataEmph" xfId="199"/>
    <cellStyle name="SAPBEXresItem" xfId="200"/>
    <cellStyle name="SAPBEXresItemX" xfId="201"/>
    <cellStyle name="SAPBEXstdData" xfId="202"/>
    <cellStyle name="SAPBEXstdDataEmph" xfId="203"/>
    <cellStyle name="SAPBEXstdItem" xfId="204"/>
    <cellStyle name="SAPBEXstdItemX" xfId="205"/>
    <cellStyle name="SAPBEXtitle" xfId="206"/>
    <cellStyle name="SAPBEXundefined" xfId="207"/>
    <cellStyle name="section" xfId="208"/>
    <cellStyle name="section 3" xfId="209"/>
    <cellStyle name="SOR" xfId="210"/>
    <cellStyle name="style" xfId="211"/>
    <cellStyle name="style 3" xfId="212"/>
    <cellStyle name="style1" xfId="213"/>
    <cellStyle name="style1 3" xfId="214"/>
    <cellStyle name="style2" xfId="215"/>
    <cellStyle name="style2 3" xfId="216"/>
    <cellStyle name="subhead" xfId="217"/>
    <cellStyle name="Subtotal" xfId="218"/>
    <cellStyle name="Text Indent A" xfId="219"/>
    <cellStyle name="Text Indent B" xfId="220"/>
    <cellStyle name="Text Indent C" xfId="221"/>
    <cellStyle name="Tickmark" xfId="222"/>
    <cellStyle name="Tickmark 3" xfId="223"/>
    <cellStyle name="title" xfId="224"/>
    <cellStyle name="title 3" xfId="225"/>
    <cellStyle name="Total" xfId="226"/>
    <cellStyle name="Tusental (0)_pldt" xfId="227"/>
    <cellStyle name="Tusental_pldt" xfId="228"/>
    <cellStyle name="Valuta (0)_pldt" xfId="229"/>
    <cellStyle name="Valuta_pldt" xfId="230"/>
    <cellStyle name="Warning Text" xfId="231"/>
    <cellStyle name="wrap" xfId="232"/>
    <cellStyle name="wrap 3" xfId="233"/>
    <cellStyle name="パーセント_laroux" xfId="234"/>
    <cellStyle name="_laroux" xfId="235"/>
    <cellStyle name="だ[0]_PLDT" xfId="236"/>
    <cellStyle name="だ_PLDT" xfId="237"/>
    <cellStyle name="だ_laroux" xfId="238"/>
    <cellStyle name="百分比" xfId="355" builtinId="5"/>
    <cellStyle name="百分比 2" xfId="239"/>
    <cellStyle name="百分比 2 2" xfId="240"/>
    <cellStyle name="百分比 2 3" xfId="241"/>
    <cellStyle name="百分比 3" xfId="242"/>
    <cellStyle name="百分比 4" xfId="243"/>
    <cellStyle name="百分比 4 2" xfId="244"/>
    <cellStyle name="百分比 6" xfId="245"/>
    <cellStyle name="捠壿 [0.00]_PRODUCT DETAIL Q1" xfId="246"/>
    <cellStyle name="標準_１１月価格表" xfId="247"/>
    <cellStyle name="表标题" xfId="248"/>
    <cellStyle name="差_10存货" xfId="249"/>
    <cellStyle name="差_19-无形资产（空白模板）" xfId="250"/>
    <cellStyle name="差_3-2 进一步审计程序-采购与付款循环" xfId="251"/>
    <cellStyle name="差_dxn底稿目录" xfId="252"/>
    <cellStyle name="差_StartUp" xfId="253"/>
    <cellStyle name="差_T1000-主营业务收入-LJCH" xfId="254"/>
    <cellStyle name="差_资本公积" xfId="255"/>
    <cellStyle name="差_子公司附注汇总(房开公司)" xfId="256"/>
    <cellStyle name="常规" xfId="0" builtinId="0"/>
    <cellStyle name="常规 11" xfId="257"/>
    <cellStyle name="常规 11 2" xfId="258"/>
    <cellStyle name="常规 113" xfId="259"/>
    <cellStyle name="常规 2" xfId="260"/>
    <cellStyle name="常规 2 2" xfId="261"/>
    <cellStyle name="常规 2 2 2" xfId="262"/>
    <cellStyle name="常规 2 2 3" xfId="263"/>
    <cellStyle name="常规 2 2 3 2" xfId="264"/>
    <cellStyle name="常规 2 2 3 3" xfId="265"/>
    <cellStyle name="常规 2 2 4 2" xfId="266"/>
    <cellStyle name="常规 2 3" xfId="267"/>
    <cellStyle name="常规 2 4" xfId="268"/>
    <cellStyle name="常规 2 4 3" xfId="269"/>
    <cellStyle name="常规 2 5" xfId="270"/>
    <cellStyle name="常规 2 7" xfId="271"/>
    <cellStyle name="常规 2 7 2" xfId="272"/>
    <cellStyle name="常规 2 8" xfId="273"/>
    <cellStyle name="常规 2 8 2" xfId="274"/>
    <cellStyle name="常规 3" xfId="275"/>
    <cellStyle name="常规 3 2" xfId="276"/>
    <cellStyle name="常规 3 2 2" xfId="277"/>
    <cellStyle name="常规 3 2 2 2" xfId="278"/>
    <cellStyle name="常规 3 2 3" xfId="279"/>
    <cellStyle name="常规 3 2 4" xfId="280"/>
    <cellStyle name="常规 3 2 4 2" xfId="281"/>
    <cellStyle name="常规 33 2" xfId="282"/>
    <cellStyle name="常规 4" xfId="283"/>
    <cellStyle name="常规 4 2" xfId="284"/>
    <cellStyle name="常规 4 2 2" xfId="285"/>
    <cellStyle name="常规 6" xfId="286"/>
    <cellStyle name="常规 6 2" xfId="287"/>
    <cellStyle name="常规 6 2 2" xfId="288"/>
    <cellStyle name="常规 6 3" xfId="289"/>
    <cellStyle name="常规 6 5" xfId="290"/>
    <cellStyle name="常规 6 5 2" xfId="291"/>
    <cellStyle name="常规_Book1 2" xfId="292"/>
    <cellStyle name="常规_c-资产类" xfId="293"/>
    <cellStyle name="常规_D21主营业务收入" xfId="294"/>
    <cellStyle name="常规_进一步审计程序--销售与收款循环" xfId="295"/>
    <cellStyle name="常规_进一步审计程序--销售与收款循环 2" xfId="296"/>
    <cellStyle name="常规_通用表" xfId="297"/>
    <cellStyle name="常规_通用表 2" xfId="298"/>
    <cellStyle name="常规_新审定表 2" xfId="299"/>
    <cellStyle name="常规_制造费用 2" xfId="300"/>
    <cellStyle name="超级链接_A4应收账款" xfId="301"/>
    <cellStyle name="超链接" xfId="1" builtinId="8"/>
    <cellStyle name="超链接 2" xfId="302"/>
    <cellStyle name="超链接 2 3" xfId="303"/>
    <cellStyle name="超链接 3" xfId="304"/>
    <cellStyle name="超链接 4" xfId="305"/>
    <cellStyle name="分级显示行_1_4附件二凯旋评估表" xfId="306"/>
    <cellStyle name="好_10存货" xfId="307"/>
    <cellStyle name="好_19-无形资产（空白模板）" xfId="308"/>
    <cellStyle name="好_1财务费用" xfId="309"/>
    <cellStyle name="好_3-2 进一步审计程序-采购与付款循环" xfId="310"/>
    <cellStyle name="好_StartUp" xfId="311"/>
    <cellStyle name="好_T1000-主营业务收入" xfId="312"/>
    <cellStyle name="好_Z14-长期应收款（函证汇总表样本）" xfId="313"/>
    <cellStyle name="好_大信底稿目录" xfId="314"/>
    <cellStyle name="好_资本公积" xfId="315"/>
    <cellStyle name="好_子公司附注汇总(房开公司)" xfId="316"/>
    <cellStyle name="桁区切り [0.00]_１１月価格表" xfId="317"/>
    <cellStyle name="貨幣 [0]_SGV" xfId="318"/>
    <cellStyle name="貨幣_SGV" xfId="319"/>
    <cellStyle name="霓付 [0]_1202" xfId="320"/>
    <cellStyle name="霓付_1202" xfId="321"/>
    <cellStyle name="欧" xfId="322"/>
    <cellStyle name="烹拳 [0]_1202" xfId="323"/>
    <cellStyle name="烹拳_1202" xfId="324"/>
    <cellStyle name="砯刽 [0]_PLDT" xfId="325"/>
    <cellStyle name="砯刽_PLDT" xfId="326"/>
    <cellStyle name="普通_附23_PBC4" xfId="327"/>
    <cellStyle name="千分位_ 白土" xfId="328"/>
    <cellStyle name="千位[0]_ 应交税金审定表" xfId="329"/>
    <cellStyle name="千位_ 应交税金审定表" xfId="330"/>
    <cellStyle name="千位分隔" xfId="354" builtinId="3"/>
    <cellStyle name="千位分隔 10 2 2" xfId="331"/>
    <cellStyle name="千位分隔 2" xfId="332"/>
    <cellStyle name="千位分隔 2 2" xfId="333"/>
    <cellStyle name="千位分隔 24" xfId="334"/>
    <cellStyle name="千位分隔 3" xfId="335"/>
    <cellStyle name="千位分隔 3 2" xfId="336"/>
    <cellStyle name="千位分隔 3 3" xfId="337"/>
    <cellStyle name="千位分隔 4" xfId="338"/>
    <cellStyle name="千位分隔 5" xfId="339"/>
    <cellStyle name="千位分隔[0] 2" xfId="340"/>
    <cellStyle name="钎霖_(沥焊何巩)岿喊牢盔拌裙" xfId="341"/>
    <cellStyle name="强调 1" xfId="342"/>
    <cellStyle name="强调 2" xfId="343"/>
    <cellStyle name="强调 3" xfId="344"/>
    <cellStyle name="通貨_１１月価格表" xfId="345"/>
    <cellStyle name="一般_SGV" xfId="346"/>
    <cellStyle name="昗弨_BOOKSHIP" xfId="347"/>
    <cellStyle name="寘嬫愗傝 [0.00]_PRODUCT DETAIL Q1" xfId="348"/>
    <cellStyle name="寘嬫愗傝_PRODUCT DETAIL Q1" xfId="349"/>
    <cellStyle name="资产" xfId="350"/>
    <cellStyle name="콤마 [0]_BOILER-CO1" xfId="351"/>
    <cellStyle name="콤마_BOILER-CO1" xfId="352"/>
    <cellStyle name="표준_0N-HANDLING " xfId="353"/>
  </cellStyles>
  <dxfs count="0"/>
  <tableStyles count="0" defaultTableStyle="TableStyleMedium2" defaultPivotStyle="PivotStyleLight16"/>
  <colors>
    <mruColors>
      <color rgb="FF0000FF"/>
      <color rgb="FF0000CC"/>
      <color rgb="FFE4DFEC"/>
      <color rgb="FFDFE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7"/>
  <sheetViews>
    <sheetView tabSelected="1" zoomScaleNormal="100" zoomScaleSheetLayoutView="100" workbookViewId="0">
      <selection activeCell="E14" sqref="E14"/>
    </sheetView>
  </sheetViews>
  <sheetFormatPr defaultColWidth="9" defaultRowHeight="20.100000000000001" customHeight="1"/>
  <cols>
    <col min="1" max="1" width="88.44140625" style="3" customWidth="1"/>
    <col min="2" max="2" width="4" style="3" customWidth="1"/>
    <col min="3" max="3" width="4.77734375" style="3" customWidth="1"/>
    <col min="4" max="4" width="6.21875" style="3" customWidth="1"/>
    <col min="5" max="5" width="33.77734375" style="3" customWidth="1"/>
    <col min="6" max="16384" width="9" style="3"/>
  </cols>
  <sheetData>
    <row r="1" spans="1:6" ht="19.95" customHeight="1">
      <c r="A1" s="137" t="s">
        <v>0</v>
      </c>
      <c r="B1" s="138"/>
      <c r="C1" s="138"/>
      <c r="D1" s="138"/>
      <c r="E1" s="138"/>
      <c r="F1" s="138"/>
    </row>
    <row r="2" spans="1:6" ht="19.95" customHeight="1">
      <c r="A2" s="139" t="s">
        <v>1</v>
      </c>
      <c r="B2" s="140"/>
      <c r="C2" s="140"/>
      <c r="D2" s="141" t="s">
        <v>2</v>
      </c>
      <c r="E2" s="141" t="s">
        <v>3</v>
      </c>
      <c r="F2" s="141" t="s">
        <v>4</v>
      </c>
    </row>
    <row r="3" spans="1:6" ht="19.95" customHeight="1">
      <c r="A3" s="149" t="s">
        <v>172</v>
      </c>
      <c r="B3" s="140"/>
      <c r="C3" s="140"/>
      <c r="D3" s="171">
        <v>1</v>
      </c>
      <c r="E3" s="148" t="s">
        <v>5</v>
      </c>
      <c r="F3" s="142" t="s">
        <v>170</v>
      </c>
    </row>
    <row r="4" spans="1:6" ht="19.95" customHeight="1">
      <c r="A4" s="139" t="s">
        <v>7</v>
      </c>
      <c r="B4" s="143"/>
      <c r="C4" s="143"/>
      <c r="D4" s="171">
        <v>2</v>
      </c>
      <c r="E4" s="148" t="s">
        <v>8</v>
      </c>
      <c r="F4" s="142" t="s">
        <v>6</v>
      </c>
    </row>
    <row r="5" spans="1:6" ht="19.95" customHeight="1">
      <c r="A5" s="139" t="s">
        <v>10</v>
      </c>
      <c r="B5" s="143"/>
      <c r="C5" s="143"/>
      <c r="D5" s="171">
        <v>3</v>
      </c>
      <c r="E5" s="148" t="s">
        <v>11</v>
      </c>
      <c r="F5" s="142" t="s">
        <v>9</v>
      </c>
    </row>
    <row r="6" spans="1:6" ht="19.95" customHeight="1">
      <c r="A6" s="144" t="s">
        <v>13</v>
      </c>
      <c r="B6" s="143"/>
      <c r="C6" s="143"/>
      <c r="D6" s="171">
        <v>4</v>
      </c>
      <c r="E6" s="148" t="s">
        <v>171</v>
      </c>
      <c r="F6" s="142" t="s">
        <v>12</v>
      </c>
    </row>
    <row r="7" spans="1:6" ht="19.95" customHeight="1">
      <c r="A7" s="144" t="s">
        <v>16</v>
      </c>
      <c r="B7" s="143"/>
      <c r="C7" s="143"/>
      <c r="D7" s="171">
        <v>5</v>
      </c>
      <c r="E7" s="153" t="s">
        <v>185</v>
      </c>
      <c r="F7" s="142" t="s">
        <v>15</v>
      </c>
    </row>
    <row r="8" spans="1:6" ht="19.95" customHeight="1">
      <c r="A8" s="145"/>
      <c r="B8" s="143"/>
      <c r="C8" s="143"/>
      <c r="D8" s="171">
        <v>6</v>
      </c>
      <c r="E8" s="153" t="s">
        <v>184</v>
      </c>
      <c r="F8" s="142" t="s">
        <v>18</v>
      </c>
    </row>
    <row r="9" spans="1:6" ht="19.95" customHeight="1">
      <c r="A9" s="150" t="s">
        <v>173</v>
      </c>
      <c r="B9" s="143"/>
      <c r="C9" s="143"/>
      <c r="D9" s="171">
        <v>7</v>
      </c>
      <c r="E9" s="148" t="s">
        <v>19</v>
      </c>
      <c r="F9" s="142" t="s">
        <v>20</v>
      </c>
    </row>
    <row r="10" spans="1:6" ht="19.95" customHeight="1">
      <c r="A10" s="172" t="s">
        <v>174</v>
      </c>
      <c r="B10" s="143"/>
      <c r="C10" s="143"/>
      <c r="D10" s="171">
        <v>8</v>
      </c>
      <c r="E10" s="148" t="s">
        <v>21</v>
      </c>
      <c r="F10" s="142" t="s">
        <v>22</v>
      </c>
    </row>
    <row r="11" spans="1:6" s="136" customFormat="1" ht="19.95" customHeight="1">
      <c r="A11" s="172"/>
      <c r="B11" s="138"/>
      <c r="C11" s="138"/>
    </row>
    <row r="12" spans="1:6" s="136" customFormat="1" ht="19.95" customHeight="1">
      <c r="A12" s="172"/>
      <c r="B12" s="138"/>
      <c r="C12" s="138"/>
    </row>
    <row r="13" spans="1:6" s="136" customFormat="1" ht="19.95" customHeight="1">
      <c r="A13" s="172"/>
      <c r="B13" s="138"/>
      <c r="C13" s="138"/>
    </row>
    <row r="14" spans="1:6" s="136" customFormat="1" ht="19.95" customHeight="1">
      <c r="A14" s="172" t="s">
        <v>175</v>
      </c>
      <c r="B14" s="138"/>
      <c r="C14" s="138"/>
    </row>
    <row r="15" spans="1:6" s="136" customFormat="1" ht="19.95" customHeight="1">
      <c r="A15" s="172"/>
      <c r="B15" s="138"/>
      <c r="C15" s="138"/>
    </row>
    <row r="16" spans="1:6" s="136" customFormat="1" ht="19.95" customHeight="1">
      <c r="A16" s="172"/>
      <c r="B16" s="138"/>
      <c r="C16" s="138"/>
    </row>
    <row r="17" spans="1:7" s="136" customFormat="1" ht="19.95" customHeight="1">
      <c r="A17" s="173" t="s">
        <v>176</v>
      </c>
      <c r="B17" s="138"/>
      <c r="C17" s="138"/>
    </row>
    <row r="18" spans="1:7" s="136" customFormat="1" ht="19.95" customHeight="1">
      <c r="A18" s="173"/>
      <c r="B18" s="138"/>
      <c r="C18" s="138"/>
    </row>
    <row r="19" spans="1:7" s="136" customFormat="1" ht="19.95" customHeight="1">
      <c r="A19" s="173"/>
      <c r="B19" s="138"/>
      <c r="C19" s="138"/>
    </row>
    <row r="20" spans="1:7" ht="19.95" customHeight="1"/>
    <row r="26" spans="1:7" ht="20.100000000000001" customHeight="1">
      <c r="G26" s="143"/>
    </row>
    <row r="27" spans="1:7" ht="20.100000000000001" customHeight="1">
      <c r="G27" s="143"/>
    </row>
  </sheetData>
  <mergeCells count="3">
    <mergeCell ref="A10:A13"/>
    <mergeCell ref="A14:A16"/>
    <mergeCell ref="A17:A19"/>
  </mergeCells>
  <phoneticPr fontId="124" type="noConversion"/>
  <hyperlinks>
    <hyperlink ref="E9" location="'销售折扣与折让检查D4-19'!A1" display="销售折扣与折让检查"/>
    <hyperlink ref="E4" location="'营业收入发生检查表D4-14'!A1" display="营业收入发生检查表"/>
    <hyperlink ref="E5" location="'营业收入完整性检查表D4-15'!A1" display="营业收入完整性检查表"/>
    <hyperlink ref="E7" location="'营业收入截止测试（账到单据）D4-17'!A1" display="营业收入截止测试（账到单据）"/>
    <hyperlink ref="E8" location="'营业收入截止测试（单据到账）D4-18'!A1" display="营业收入截止测试（单据到账）"/>
    <hyperlink ref="E10" location="'销售退货检查表 D4-20'!A1" display="销售退货检查"/>
    <hyperlink ref="E3" location="'营业收入账面金额与ERP系统核对记录D4-13'!A1" display="营业收入账面金额与ERP系统核对记录"/>
    <hyperlink ref="E6" location="'出口收入电子口岸系统核对D4-16'!A1" display="出口收入电子口岸系统核对"/>
  </hyperlinks>
  <pageMargins left="0.70833333333333304" right="0.70833333333333304" top="0.74791666666666701" bottom="0.74791666666666701" header="0.31458333333333299" footer="0.31458333333333299"/>
  <pageSetup paperSize="9" scale="74"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19"/>
  <sheetViews>
    <sheetView view="pageBreakPreview" zoomScaleNormal="100" workbookViewId="0">
      <selection sqref="A1:E1"/>
    </sheetView>
  </sheetViews>
  <sheetFormatPr defaultColWidth="9" defaultRowHeight="20.100000000000001" customHeight="1"/>
  <cols>
    <col min="1" max="1" width="31.109375" style="133" customWidth="1"/>
    <col min="2" max="2" width="27.77734375" style="133" customWidth="1"/>
    <col min="3" max="3" width="28.44140625" style="133" customWidth="1"/>
    <col min="4" max="4" width="11.33203125" style="133" customWidth="1"/>
    <col min="5" max="16384" width="9" style="133"/>
  </cols>
  <sheetData>
    <row r="1" spans="1:5" ht="20.100000000000001" customHeight="1">
      <c r="A1" s="174" t="s">
        <v>23</v>
      </c>
      <c r="B1" s="174"/>
      <c r="C1" s="174"/>
      <c r="D1" s="174"/>
      <c r="E1" s="174"/>
    </row>
    <row r="2" spans="1:5" ht="20.100000000000001" customHeight="1">
      <c r="A2" s="175" t="s">
        <v>5</v>
      </c>
      <c r="B2" s="175"/>
      <c r="C2" s="175"/>
      <c r="D2" s="175"/>
      <c r="E2" s="175"/>
    </row>
    <row r="3" spans="1:5" ht="20.100000000000001" customHeight="1">
      <c r="A3" s="4" t="str">
        <f>底稿目录!A2</f>
        <v>被审计单位：</v>
      </c>
      <c r="B3" s="4" t="str">
        <f>底稿目录!A4</f>
        <v>编制人：</v>
      </c>
      <c r="C3" s="4" t="str">
        <f>底稿目录!A5</f>
        <v>编制日期：</v>
      </c>
      <c r="D3" s="61" t="s">
        <v>24</v>
      </c>
      <c r="E3" s="154" t="str">
        <f>底稿目录!F3</f>
        <v>D4-13</v>
      </c>
    </row>
    <row r="4" spans="1:5" ht="20.100000000000001" customHeight="1">
      <c r="A4" s="4" t="str">
        <f>底稿目录!A3</f>
        <v>会计期间：202X年度</v>
      </c>
      <c r="B4" s="4" t="str">
        <f>底稿目录!A6</f>
        <v>复核人：</v>
      </c>
      <c r="C4" s="4" t="str">
        <f>底稿目录!A7</f>
        <v>复核日期：</v>
      </c>
      <c r="D4" s="61" t="s">
        <v>25</v>
      </c>
    </row>
    <row r="5" spans="1:5" ht="20.100000000000001" customHeight="1">
      <c r="A5" s="134" t="s">
        <v>26</v>
      </c>
    </row>
    <row r="6" spans="1:5" ht="20.100000000000001" customHeight="1">
      <c r="A6" s="221"/>
      <c r="B6" s="221"/>
      <c r="C6" s="221"/>
      <c r="D6" s="221"/>
      <c r="E6" s="221"/>
    </row>
    <row r="7" spans="1:5" ht="20.100000000000001" customHeight="1">
      <c r="A7" s="221"/>
      <c r="B7" s="221"/>
      <c r="C7" s="221"/>
      <c r="D7" s="221"/>
      <c r="E7" s="221"/>
    </row>
    <row r="8" spans="1:5" ht="20.100000000000001" customHeight="1">
      <c r="A8" s="221"/>
      <c r="B8" s="221"/>
      <c r="C8" s="221"/>
      <c r="D8" s="221"/>
      <c r="E8" s="221"/>
    </row>
    <row r="9" spans="1:5" ht="20.100000000000001" customHeight="1">
      <c r="A9" s="221"/>
      <c r="B9" s="221"/>
      <c r="C9" s="221"/>
      <c r="D9" s="221"/>
      <c r="E9" s="221"/>
    </row>
    <row r="10" spans="1:5" ht="20.100000000000001" customHeight="1">
      <c r="A10" s="221"/>
      <c r="B10" s="221"/>
      <c r="C10" s="221"/>
      <c r="D10" s="221"/>
      <c r="E10" s="221"/>
    </row>
    <row r="11" spans="1:5" ht="20.100000000000001" customHeight="1">
      <c r="A11" s="221"/>
      <c r="B11" s="221"/>
      <c r="C11" s="221"/>
      <c r="D11" s="221"/>
      <c r="E11" s="221"/>
    </row>
    <row r="12" spans="1:5" ht="20.100000000000001" customHeight="1">
      <c r="A12" s="221"/>
      <c r="B12" s="221"/>
      <c r="C12" s="221"/>
      <c r="D12" s="221"/>
      <c r="E12" s="221"/>
    </row>
    <row r="13" spans="1:5" ht="20.100000000000001" customHeight="1">
      <c r="A13" s="221"/>
      <c r="B13" s="221"/>
      <c r="C13" s="221"/>
      <c r="D13" s="221"/>
      <c r="E13" s="221"/>
    </row>
    <row r="14" spans="1:5" ht="20.100000000000001" customHeight="1">
      <c r="A14" s="221"/>
      <c r="B14" s="221"/>
      <c r="C14" s="221"/>
      <c r="D14" s="221"/>
      <c r="E14" s="221"/>
    </row>
    <row r="15" spans="1:5" ht="20.100000000000001" customHeight="1">
      <c r="A15" s="222" t="s">
        <v>27</v>
      </c>
      <c r="B15" s="221"/>
      <c r="C15" s="221"/>
      <c r="D15" s="221"/>
      <c r="E15" s="221"/>
    </row>
    <row r="16" spans="1:5" ht="20.100000000000001" customHeight="1">
      <c r="A16" s="221"/>
      <c r="B16" s="221"/>
      <c r="C16" s="221"/>
      <c r="D16" s="221"/>
      <c r="E16" s="221"/>
    </row>
    <row r="17" spans="1:5" ht="20.100000000000001" customHeight="1">
      <c r="A17" s="221"/>
      <c r="B17" s="221"/>
      <c r="C17" s="221"/>
      <c r="D17" s="221"/>
      <c r="E17" s="221"/>
    </row>
    <row r="18" spans="1:5" ht="20.100000000000001" customHeight="1">
      <c r="A18" s="221"/>
      <c r="B18" s="221"/>
      <c r="C18" s="221"/>
      <c r="D18" s="221"/>
      <c r="E18" s="221"/>
    </row>
    <row r="19" spans="1:5" ht="20.100000000000001" customHeight="1">
      <c r="A19" s="135" t="s">
        <v>28</v>
      </c>
    </row>
  </sheetData>
  <mergeCells count="2">
    <mergeCell ref="A1:E1"/>
    <mergeCell ref="A2:E2"/>
  </mergeCells>
  <phoneticPr fontId="124" type="noConversion"/>
  <hyperlinks>
    <hyperlink ref="E3" location="底稿目录!A1" display="D4-14"/>
  </hyperlinks>
  <pageMargins left="0.70833333333333304" right="0.70833333333333304" top="0.74791666666666701" bottom="0.74791666666666701" header="0.31458333333333299" footer="0.31458333333333299"/>
  <pageSetup paperSize="9" scale="68"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K52"/>
  <sheetViews>
    <sheetView view="pageBreakPreview" zoomScaleNormal="100" workbookViewId="0">
      <selection sqref="A1:T1"/>
    </sheetView>
  </sheetViews>
  <sheetFormatPr defaultColWidth="9" defaultRowHeight="20.100000000000001" customHeight="1"/>
  <cols>
    <col min="1" max="1" width="5.88671875" style="2" customWidth="1"/>
    <col min="2" max="2" width="13.5546875" style="2" customWidth="1"/>
    <col min="3" max="6" width="9.33203125" style="2" customWidth="1"/>
    <col min="7" max="7" width="9.88671875" style="2" customWidth="1"/>
    <col min="8" max="8" width="10.21875" style="2" customWidth="1"/>
    <col min="9" max="9" width="10.77734375" style="2" customWidth="1"/>
    <col min="10" max="10" width="8.6640625" style="2" customWidth="1"/>
    <col min="11" max="12" width="10.109375" style="2" customWidth="1"/>
    <col min="13" max="13" width="7.77734375" style="2" customWidth="1"/>
    <col min="14" max="14" width="7.5546875" style="2" customWidth="1"/>
    <col min="15" max="15" width="7.6640625" style="2" customWidth="1"/>
    <col min="16" max="16" width="10.109375" style="2" customWidth="1"/>
    <col min="17" max="17" width="8.88671875" style="2" customWidth="1"/>
    <col min="18" max="23" width="10.109375" style="2" customWidth="1"/>
    <col min="24" max="24" width="9.33203125" style="2" customWidth="1"/>
    <col min="25" max="25" width="10.109375" style="2" customWidth="1"/>
    <col min="26" max="26" width="11.21875" style="2" customWidth="1"/>
    <col min="27" max="27" width="18" style="2" customWidth="1"/>
    <col min="28" max="32" width="11.33203125" style="2" customWidth="1"/>
    <col min="33" max="34" width="8.21875" style="2" customWidth="1"/>
    <col min="35" max="35" width="12.77734375" style="2" customWidth="1"/>
    <col min="36" max="36" width="9.109375" style="2" customWidth="1"/>
    <col min="37" max="37" width="7.5546875" style="2" customWidth="1"/>
    <col min="38" max="16384" width="9" style="2"/>
  </cols>
  <sheetData>
    <row r="1" spans="1:37" s="56" customFormat="1" ht="20.100000000000001" customHeight="1">
      <c r="A1" s="177" t="s">
        <v>23</v>
      </c>
      <c r="B1" s="177"/>
      <c r="C1" s="177"/>
      <c r="D1" s="177"/>
      <c r="E1" s="177"/>
      <c r="F1" s="177"/>
      <c r="G1" s="177"/>
      <c r="H1" s="177"/>
      <c r="I1" s="177"/>
      <c r="J1" s="177"/>
      <c r="K1" s="177"/>
      <c r="L1" s="177"/>
      <c r="M1" s="177"/>
      <c r="N1" s="177"/>
      <c r="O1" s="177"/>
      <c r="P1" s="177"/>
      <c r="Q1" s="177"/>
      <c r="R1" s="177"/>
      <c r="S1" s="177"/>
      <c r="T1" s="177"/>
      <c r="U1" s="177" t="s">
        <v>23</v>
      </c>
      <c r="V1" s="177"/>
      <c r="W1" s="177"/>
      <c r="X1" s="177"/>
      <c r="Y1" s="177"/>
      <c r="Z1" s="177"/>
      <c r="AA1" s="177"/>
      <c r="AB1" s="177"/>
      <c r="AC1" s="177"/>
      <c r="AD1" s="177"/>
      <c r="AE1" s="177"/>
      <c r="AF1" s="177"/>
      <c r="AG1" s="177"/>
      <c r="AH1" s="177"/>
      <c r="AI1" s="177"/>
      <c r="AJ1" s="177"/>
      <c r="AK1" s="177"/>
    </row>
    <row r="2" spans="1:37" s="56" customFormat="1" ht="20.100000000000001" customHeight="1">
      <c r="A2" s="178" t="s">
        <v>8</v>
      </c>
      <c r="B2" s="178"/>
      <c r="C2" s="178"/>
      <c r="D2" s="178"/>
      <c r="E2" s="178"/>
      <c r="F2" s="178"/>
      <c r="G2" s="178"/>
      <c r="H2" s="178"/>
      <c r="I2" s="178"/>
      <c r="J2" s="178"/>
      <c r="K2" s="178"/>
      <c r="L2" s="178"/>
      <c r="M2" s="178"/>
      <c r="N2" s="178"/>
      <c r="O2" s="178"/>
      <c r="P2" s="178"/>
      <c r="Q2" s="178"/>
      <c r="R2" s="178"/>
      <c r="S2" s="178"/>
      <c r="T2" s="178"/>
      <c r="U2" s="178" t="s">
        <v>8</v>
      </c>
      <c r="V2" s="178"/>
      <c r="W2" s="178"/>
      <c r="X2" s="178"/>
      <c r="Y2" s="178"/>
      <c r="Z2" s="178"/>
      <c r="AA2" s="178"/>
      <c r="AB2" s="178"/>
      <c r="AC2" s="178"/>
      <c r="AD2" s="178"/>
      <c r="AE2" s="178"/>
      <c r="AF2" s="178"/>
      <c r="AG2" s="178"/>
      <c r="AH2" s="178"/>
      <c r="AI2" s="178"/>
      <c r="AJ2" s="178"/>
      <c r="AK2" s="178"/>
    </row>
    <row r="3" spans="1:37" ht="20.100000000000001" customHeight="1">
      <c r="A3" s="4" t="str">
        <f>底稿目录!A2</f>
        <v>被审计单位：</v>
      </c>
      <c r="B3" s="4"/>
      <c r="C3" s="4"/>
      <c r="H3" s="5" t="str">
        <f>底稿目录!A4</f>
        <v>编制人：</v>
      </c>
      <c r="I3" s="5"/>
      <c r="J3" s="5"/>
      <c r="M3" s="2" t="str">
        <f>底稿目录!A5</f>
        <v>编制日期：</v>
      </c>
      <c r="S3" s="114" t="s">
        <v>24</v>
      </c>
      <c r="T3" s="154" t="str">
        <f>底稿目录!F4</f>
        <v>D4-14</v>
      </c>
      <c r="U3" s="2" t="str">
        <f>底稿目录!A2</f>
        <v>被审计单位：</v>
      </c>
      <c r="Y3" s="2" t="str">
        <f>底稿目录!A4</f>
        <v>编制人：</v>
      </c>
      <c r="AC3" s="2" t="str">
        <f>底稿目录!A5</f>
        <v>编制日期：</v>
      </c>
      <c r="AJ3" s="114" t="s">
        <v>24</v>
      </c>
      <c r="AK3" s="154" t="str">
        <f>底稿目录!F4</f>
        <v>D4-14</v>
      </c>
    </row>
    <row r="4" spans="1:37" ht="20.100000000000001" customHeight="1">
      <c r="A4" s="4" t="str">
        <f>底稿目录!A3</f>
        <v>会计期间：202X年度</v>
      </c>
      <c r="B4" s="4"/>
      <c r="C4" s="4"/>
      <c r="H4" s="5" t="str">
        <f>底稿目录!A6</f>
        <v>复核人：</v>
      </c>
      <c r="I4" s="5"/>
      <c r="J4" s="6"/>
      <c r="M4" s="2" t="str">
        <f>底稿目录!A7</f>
        <v>复核日期：</v>
      </c>
      <c r="O4" s="129"/>
      <c r="S4" s="114" t="s">
        <v>25</v>
      </c>
      <c r="U4" s="2" t="str">
        <f>底稿目录!A3</f>
        <v>会计期间：202X年度</v>
      </c>
      <c r="Y4" s="2" t="str">
        <f>底稿目录!A6</f>
        <v>复核人：</v>
      </c>
      <c r="AC4" s="2" t="str">
        <f>底稿目录!A7</f>
        <v>复核日期：</v>
      </c>
      <c r="AJ4" s="114" t="s">
        <v>25</v>
      </c>
    </row>
    <row r="5" spans="1:37" s="118" customFormat="1" ht="20.100000000000001" customHeight="1">
      <c r="A5" s="6" t="s">
        <v>29</v>
      </c>
      <c r="B5" s="6"/>
      <c r="C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row>
    <row r="6" spans="1:37" s="118" customFormat="1" ht="20.100000000000001" customHeight="1">
      <c r="A6" s="7" t="s">
        <v>30</v>
      </c>
      <c r="B6" s="7"/>
      <c r="C6" s="119"/>
      <c r="D6" s="7"/>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row>
    <row r="7" spans="1:37" s="118" customFormat="1" ht="20.100000000000001" customHeight="1">
      <c r="A7" s="146" t="s">
        <v>164</v>
      </c>
      <c r="B7" s="6"/>
    </row>
    <row r="8" spans="1:37" s="7" customFormat="1" ht="20.100000000000001" customHeight="1">
      <c r="A8" s="120" t="s">
        <v>32</v>
      </c>
      <c r="B8" s="120"/>
      <c r="C8" s="121" t="s">
        <v>33</v>
      </c>
      <c r="D8" s="122"/>
      <c r="E8" s="122"/>
      <c r="F8" s="122"/>
      <c r="G8" s="120"/>
      <c r="H8" s="121"/>
      <c r="I8" s="122"/>
      <c r="J8" s="120" t="s">
        <v>34</v>
      </c>
      <c r="K8" s="121" t="s">
        <v>35</v>
      </c>
      <c r="L8" s="122"/>
      <c r="M8" s="122"/>
      <c r="N8" s="122"/>
      <c r="O8" s="122"/>
      <c r="P8" s="122"/>
      <c r="Q8" s="130"/>
      <c r="R8" s="130"/>
      <c r="S8" s="130"/>
      <c r="T8" s="130"/>
      <c r="U8" s="130"/>
      <c r="V8" s="130"/>
      <c r="W8" s="130"/>
      <c r="X8" s="130"/>
      <c r="Y8" s="130"/>
      <c r="Z8" s="130"/>
      <c r="AA8" s="130"/>
      <c r="AB8" s="130"/>
      <c r="AC8" s="130"/>
      <c r="AD8" s="130"/>
      <c r="AE8" s="130"/>
      <c r="AF8" s="130"/>
    </row>
    <row r="9" spans="1:37" s="7" customFormat="1" ht="20.100000000000001" customHeight="1">
      <c r="A9" s="120" t="s">
        <v>36</v>
      </c>
      <c r="B9" s="120"/>
      <c r="C9" s="121" t="s">
        <v>37</v>
      </c>
      <c r="D9" s="122"/>
      <c r="E9" s="122"/>
      <c r="F9" s="122"/>
      <c r="G9" s="120"/>
      <c r="H9" s="121"/>
      <c r="I9" s="122"/>
      <c r="J9" s="120" t="s">
        <v>38</v>
      </c>
      <c r="K9" s="121"/>
      <c r="L9" s="121" t="s">
        <v>39</v>
      </c>
      <c r="M9" s="121" t="s">
        <v>40</v>
      </c>
      <c r="N9" s="122"/>
      <c r="O9" s="121"/>
      <c r="P9" s="121"/>
      <c r="Q9" s="130"/>
      <c r="R9" s="130"/>
      <c r="S9" s="130"/>
      <c r="T9" s="130"/>
      <c r="U9" s="130"/>
      <c r="V9" s="130"/>
      <c r="W9" s="130"/>
      <c r="X9" s="130"/>
      <c r="Y9" s="130"/>
      <c r="Z9" s="130"/>
      <c r="AA9" s="130"/>
      <c r="AB9" s="130"/>
      <c r="AC9" s="130"/>
      <c r="AD9" s="130"/>
      <c r="AE9" s="130"/>
      <c r="AF9" s="130"/>
    </row>
    <row r="10" spans="1:37" s="7" customFormat="1" ht="20.100000000000001" customHeight="1">
      <c r="A10" s="120" t="s">
        <v>41</v>
      </c>
      <c r="B10" s="120"/>
      <c r="C10" s="151" t="s">
        <v>177</v>
      </c>
      <c r="D10" s="122"/>
      <c r="E10" s="122"/>
      <c r="F10" s="122"/>
      <c r="G10" s="120"/>
      <c r="H10" s="121"/>
      <c r="I10" s="122"/>
      <c r="J10" s="120" t="s">
        <v>42</v>
      </c>
      <c r="K10" s="121" t="s">
        <v>43</v>
      </c>
      <c r="L10" s="122"/>
      <c r="M10" s="122"/>
      <c r="N10" s="122"/>
      <c r="O10" s="120"/>
      <c r="P10" s="121"/>
      <c r="Q10" s="130"/>
      <c r="R10" s="130"/>
      <c r="S10" s="130"/>
      <c r="T10" s="130"/>
      <c r="U10" s="130"/>
      <c r="V10" s="130"/>
      <c r="W10" s="130"/>
      <c r="X10" s="130"/>
      <c r="Y10" s="130"/>
      <c r="Z10" s="130"/>
      <c r="AA10" s="130"/>
      <c r="AB10" s="130"/>
      <c r="AC10" s="130"/>
      <c r="AD10" s="130"/>
      <c r="AE10" s="130"/>
      <c r="AF10" s="130"/>
    </row>
    <row r="11" spans="1:37" s="89" customFormat="1" ht="20.100000000000001" customHeight="1">
      <c r="A11" s="147" t="s">
        <v>165</v>
      </c>
      <c r="B11" s="92"/>
      <c r="C11" s="152" t="s">
        <v>178</v>
      </c>
      <c r="D11" s="123"/>
      <c r="E11" s="124"/>
      <c r="F11" s="125"/>
      <c r="J11" s="16"/>
      <c r="K11" s="16"/>
      <c r="L11" s="16"/>
      <c r="M11" s="16"/>
    </row>
    <row r="12" spans="1:37" s="89" customFormat="1" ht="20.100000000000001" customHeight="1">
      <c r="A12" s="147"/>
      <c r="B12" s="92"/>
      <c r="C12" s="152" t="s">
        <v>179</v>
      </c>
      <c r="D12" s="123"/>
      <c r="E12" s="124"/>
      <c r="F12" s="125"/>
      <c r="J12" s="16"/>
      <c r="K12" s="16"/>
      <c r="L12" s="16"/>
      <c r="M12" s="16"/>
    </row>
    <row r="13" spans="1:37" ht="20.100000000000001" customHeight="1">
      <c r="A13" s="180" t="s">
        <v>2</v>
      </c>
      <c r="B13" s="184" t="s">
        <v>44</v>
      </c>
      <c r="C13" s="185"/>
      <c r="D13" s="185"/>
      <c r="E13" s="185"/>
      <c r="F13" s="185"/>
      <c r="G13" s="186"/>
      <c r="H13" s="179" t="s">
        <v>45</v>
      </c>
      <c r="I13" s="179"/>
      <c r="J13" s="179" t="s">
        <v>46</v>
      </c>
      <c r="K13" s="179"/>
      <c r="L13" s="179"/>
      <c r="M13" s="179"/>
      <c r="N13" s="182" t="s">
        <v>59</v>
      </c>
      <c r="O13" s="182" t="s">
        <v>60</v>
      </c>
      <c r="P13" s="179" t="s">
        <v>47</v>
      </c>
      <c r="Q13" s="179"/>
      <c r="R13" s="179"/>
      <c r="S13" s="179"/>
      <c r="T13" s="179"/>
      <c r="U13" s="179" t="s">
        <v>48</v>
      </c>
      <c r="V13" s="179"/>
      <c r="W13" s="179"/>
      <c r="X13" s="179"/>
      <c r="Y13" s="179"/>
      <c r="Z13" s="179"/>
      <c r="AA13" s="179"/>
      <c r="AB13" s="179" t="s">
        <v>49</v>
      </c>
      <c r="AC13" s="179"/>
      <c r="AD13" s="179"/>
      <c r="AE13" s="179"/>
      <c r="AF13" s="179"/>
      <c r="AG13" s="179" t="s">
        <v>50</v>
      </c>
      <c r="AH13" s="179"/>
      <c r="AI13" s="180" t="s">
        <v>52</v>
      </c>
      <c r="AJ13" s="180" t="s">
        <v>161</v>
      </c>
      <c r="AK13" s="181" t="s">
        <v>162</v>
      </c>
    </row>
    <row r="14" spans="1:37" ht="24">
      <c r="A14" s="180"/>
      <c r="B14" s="94" t="s">
        <v>163</v>
      </c>
      <c r="C14" s="94" t="s">
        <v>53</v>
      </c>
      <c r="D14" s="94" t="s">
        <v>54</v>
      </c>
      <c r="E14" s="94" t="s">
        <v>55</v>
      </c>
      <c r="F14" s="94" t="s">
        <v>56</v>
      </c>
      <c r="G14" s="94" t="s">
        <v>57</v>
      </c>
      <c r="H14" s="109" t="s">
        <v>53</v>
      </c>
      <c r="I14" s="109" t="s">
        <v>58</v>
      </c>
      <c r="J14" s="109" t="s">
        <v>53</v>
      </c>
      <c r="K14" s="109" t="s">
        <v>54</v>
      </c>
      <c r="L14" s="109" t="s">
        <v>55</v>
      </c>
      <c r="M14" s="109" t="s">
        <v>56</v>
      </c>
      <c r="N14" s="183"/>
      <c r="O14" s="183"/>
      <c r="P14" s="109" t="s">
        <v>53</v>
      </c>
      <c r="Q14" s="109" t="s">
        <v>54</v>
      </c>
      <c r="R14" s="109" t="s">
        <v>61</v>
      </c>
      <c r="S14" s="109" t="s">
        <v>62</v>
      </c>
      <c r="T14" s="109" t="s">
        <v>63</v>
      </c>
      <c r="U14" s="109" t="s">
        <v>53</v>
      </c>
      <c r="V14" s="109" t="s">
        <v>55</v>
      </c>
      <c r="W14" s="109" t="s">
        <v>56</v>
      </c>
      <c r="X14" s="109" t="s">
        <v>57</v>
      </c>
      <c r="Y14" s="109" t="s">
        <v>64</v>
      </c>
      <c r="Z14" s="109" t="s">
        <v>65</v>
      </c>
      <c r="AA14" s="109" t="s">
        <v>66</v>
      </c>
      <c r="AB14" s="109" t="s">
        <v>53</v>
      </c>
      <c r="AC14" s="109" t="s">
        <v>54</v>
      </c>
      <c r="AD14" s="109" t="s">
        <v>55</v>
      </c>
      <c r="AE14" s="109" t="s">
        <v>56</v>
      </c>
      <c r="AF14" s="109" t="s">
        <v>57</v>
      </c>
      <c r="AG14" s="109" t="s">
        <v>50</v>
      </c>
      <c r="AH14" s="109" t="s">
        <v>50</v>
      </c>
      <c r="AI14" s="180"/>
      <c r="AJ14" s="180"/>
      <c r="AK14" s="181"/>
    </row>
    <row r="15" spans="1:37" ht="20.100000000000001" customHeight="1">
      <c r="A15" s="110"/>
      <c r="B15" s="110"/>
      <c r="C15" s="126"/>
      <c r="D15" s="111"/>
      <c r="E15" s="55"/>
      <c r="F15" s="117"/>
      <c r="G15" s="117"/>
      <c r="H15" s="126"/>
      <c r="I15" s="110"/>
      <c r="J15" s="126"/>
      <c r="K15" s="116"/>
      <c r="L15" s="131"/>
      <c r="M15" s="117"/>
      <c r="N15" s="131"/>
      <c r="O15" s="131"/>
      <c r="P15" s="126"/>
      <c r="Q15" s="116"/>
      <c r="R15" s="116"/>
      <c r="S15" s="131"/>
      <c r="T15" s="131"/>
      <c r="U15" s="126"/>
      <c r="V15" s="131"/>
      <c r="W15" s="117"/>
      <c r="X15" s="117"/>
      <c r="Y15" s="131"/>
      <c r="Z15" s="131"/>
      <c r="AA15" s="131"/>
      <c r="AB15" s="126"/>
      <c r="AC15" s="116"/>
      <c r="AD15" s="116"/>
      <c r="AE15" s="116"/>
      <c r="AF15" s="116"/>
      <c r="AG15" s="131"/>
      <c r="AH15" s="132"/>
      <c r="AI15" s="132"/>
      <c r="AJ15" s="132"/>
      <c r="AK15" s="55"/>
    </row>
    <row r="16" spans="1:37" ht="20.100000000000001" customHeight="1">
      <c r="A16" s="110"/>
      <c r="B16" s="110"/>
      <c r="C16" s="126"/>
      <c r="D16" s="111"/>
      <c r="E16" s="127"/>
      <c r="F16" s="117"/>
      <c r="G16" s="117"/>
      <c r="H16" s="126"/>
      <c r="I16" s="110"/>
      <c r="J16" s="126"/>
      <c r="K16" s="116"/>
      <c r="L16" s="131"/>
      <c r="M16" s="117"/>
      <c r="N16" s="131"/>
      <c r="O16" s="131"/>
      <c r="P16" s="126"/>
      <c r="Q16" s="116"/>
      <c r="R16" s="116"/>
      <c r="S16" s="131"/>
      <c r="T16" s="131"/>
      <c r="U16" s="126"/>
      <c r="V16" s="131"/>
      <c r="W16" s="117"/>
      <c r="X16" s="117"/>
      <c r="Y16" s="131"/>
      <c r="Z16" s="131"/>
      <c r="AA16" s="131"/>
      <c r="AB16" s="126"/>
      <c r="AC16" s="116"/>
      <c r="AD16" s="116"/>
      <c r="AE16" s="116"/>
      <c r="AF16" s="116"/>
      <c r="AG16" s="131"/>
      <c r="AH16" s="132"/>
      <c r="AI16" s="132"/>
      <c r="AJ16" s="132"/>
      <c r="AK16" s="55"/>
    </row>
    <row r="17" spans="1:37" ht="20.100000000000001" customHeight="1">
      <c r="A17" s="110"/>
      <c r="B17" s="110"/>
      <c r="C17" s="126"/>
      <c r="D17" s="111"/>
      <c r="E17" s="127"/>
      <c r="F17" s="117"/>
      <c r="G17" s="117"/>
      <c r="H17" s="126"/>
      <c r="I17" s="110"/>
      <c r="J17" s="126"/>
      <c r="K17" s="116"/>
      <c r="L17" s="131"/>
      <c r="M17" s="117"/>
      <c r="N17" s="131"/>
      <c r="O17" s="131"/>
      <c r="P17" s="126"/>
      <c r="Q17" s="116"/>
      <c r="R17" s="116"/>
      <c r="S17" s="131"/>
      <c r="T17" s="131"/>
      <c r="U17" s="126"/>
      <c r="V17" s="131"/>
      <c r="W17" s="117"/>
      <c r="X17" s="117"/>
      <c r="Y17" s="131"/>
      <c r="Z17" s="131"/>
      <c r="AA17" s="131"/>
      <c r="AB17" s="126"/>
      <c r="AC17" s="116"/>
      <c r="AD17" s="116"/>
      <c r="AE17" s="116"/>
      <c r="AF17" s="116"/>
      <c r="AG17" s="131"/>
      <c r="AH17" s="132"/>
      <c r="AI17" s="132"/>
      <c r="AJ17" s="132"/>
      <c r="AK17" s="55"/>
    </row>
    <row r="18" spans="1:37" ht="20.100000000000001" customHeight="1">
      <c r="A18" s="110"/>
      <c r="B18" s="110"/>
      <c r="C18" s="126"/>
      <c r="D18" s="111"/>
      <c r="E18" s="127"/>
      <c r="F18" s="117"/>
      <c r="G18" s="117"/>
      <c r="H18" s="126"/>
      <c r="I18" s="110"/>
      <c r="J18" s="126"/>
      <c r="K18" s="116"/>
      <c r="L18" s="131"/>
      <c r="M18" s="117"/>
      <c r="N18" s="131"/>
      <c r="O18" s="131"/>
      <c r="P18" s="126"/>
      <c r="Q18" s="116"/>
      <c r="R18" s="116"/>
      <c r="S18" s="131"/>
      <c r="T18" s="131"/>
      <c r="U18" s="126"/>
      <c r="V18" s="131"/>
      <c r="W18" s="117"/>
      <c r="X18" s="117"/>
      <c r="Y18" s="131"/>
      <c r="Z18" s="131"/>
      <c r="AA18" s="131"/>
      <c r="AB18" s="126"/>
      <c r="AC18" s="116"/>
      <c r="AD18" s="116"/>
      <c r="AE18" s="116"/>
      <c r="AF18" s="116"/>
      <c r="AG18" s="131"/>
      <c r="AH18" s="132"/>
      <c r="AI18" s="132"/>
      <c r="AJ18" s="132"/>
      <c r="AK18" s="55"/>
    </row>
    <row r="19" spans="1:37" ht="20.100000000000001" customHeight="1">
      <c r="A19" s="110"/>
      <c r="B19" s="110"/>
      <c r="C19" s="126"/>
      <c r="D19" s="111"/>
      <c r="E19" s="127"/>
      <c r="F19" s="117"/>
      <c r="G19" s="117"/>
      <c r="H19" s="126"/>
      <c r="I19" s="110"/>
      <c r="J19" s="126"/>
      <c r="K19" s="116"/>
      <c r="L19" s="131"/>
      <c r="M19" s="117"/>
      <c r="N19" s="131"/>
      <c r="O19" s="131"/>
      <c r="P19" s="126"/>
      <c r="Q19" s="116"/>
      <c r="R19" s="116"/>
      <c r="S19" s="131"/>
      <c r="T19" s="131"/>
      <c r="U19" s="126"/>
      <c r="V19" s="131"/>
      <c r="W19" s="117"/>
      <c r="X19" s="117"/>
      <c r="Y19" s="131"/>
      <c r="Z19" s="131"/>
      <c r="AA19" s="131"/>
      <c r="AB19" s="126"/>
      <c r="AC19" s="116"/>
      <c r="AD19" s="116"/>
      <c r="AE19" s="116"/>
      <c r="AF19" s="116"/>
      <c r="AG19" s="131"/>
      <c r="AH19" s="132"/>
      <c r="AI19" s="132"/>
      <c r="AJ19" s="132"/>
      <c r="AK19" s="55"/>
    </row>
    <row r="20" spans="1:37" ht="20.100000000000001" customHeight="1">
      <c r="A20" s="110"/>
      <c r="B20" s="110"/>
      <c r="C20" s="126"/>
      <c r="D20" s="111"/>
      <c r="E20" s="127"/>
      <c r="F20" s="117"/>
      <c r="G20" s="117"/>
      <c r="H20" s="126"/>
      <c r="I20" s="110"/>
      <c r="J20" s="126"/>
      <c r="K20" s="116"/>
      <c r="L20" s="131"/>
      <c r="M20" s="117"/>
      <c r="N20" s="131"/>
      <c r="O20" s="131"/>
      <c r="P20" s="126"/>
      <c r="Q20" s="116"/>
      <c r="R20" s="116"/>
      <c r="S20" s="131"/>
      <c r="T20" s="131"/>
      <c r="U20" s="126"/>
      <c r="V20" s="131"/>
      <c r="W20" s="117"/>
      <c r="X20" s="117"/>
      <c r="Y20" s="131"/>
      <c r="Z20" s="131"/>
      <c r="AA20" s="131"/>
      <c r="AB20" s="126"/>
      <c r="AC20" s="116"/>
      <c r="AD20" s="116"/>
      <c r="AE20" s="116"/>
      <c r="AF20" s="116"/>
      <c r="AG20" s="131"/>
      <c r="AH20" s="132"/>
      <c r="AI20" s="132"/>
      <c r="AJ20" s="132"/>
      <c r="AK20" s="55"/>
    </row>
    <row r="21" spans="1:37" ht="20.100000000000001" customHeight="1">
      <c r="A21" s="110"/>
      <c r="B21" s="110"/>
      <c r="C21" s="126"/>
      <c r="D21" s="111"/>
      <c r="E21" s="127"/>
      <c r="F21" s="117"/>
      <c r="G21" s="117"/>
      <c r="H21" s="126"/>
      <c r="I21" s="110"/>
      <c r="J21" s="126"/>
      <c r="K21" s="116"/>
      <c r="L21" s="131"/>
      <c r="M21" s="117"/>
      <c r="N21" s="131"/>
      <c r="O21" s="131"/>
      <c r="P21" s="126"/>
      <c r="Q21" s="116"/>
      <c r="R21" s="116"/>
      <c r="S21" s="131"/>
      <c r="T21" s="131"/>
      <c r="U21" s="126"/>
      <c r="V21" s="131"/>
      <c r="W21" s="117"/>
      <c r="X21" s="117"/>
      <c r="Y21" s="131"/>
      <c r="Z21" s="131"/>
      <c r="AA21" s="131"/>
      <c r="AB21" s="126"/>
      <c r="AC21" s="116"/>
      <c r="AD21" s="116"/>
      <c r="AE21" s="116"/>
      <c r="AF21" s="116"/>
      <c r="AG21" s="131"/>
      <c r="AH21" s="132"/>
      <c r="AI21" s="132"/>
      <c r="AJ21" s="132"/>
      <c r="AK21" s="55"/>
    </row>
    <row r="22" spans="1:37" ht="20.100000000000001" customHeight="1">
      <c r="A22" s="110"/>
      <c r="B22" s="110"/>
      <c r="C22" s="126"/>
      <c r="D22" s="111"/>
      <c r="E22" s="127"/>
      <c r="F22" s="117"/>
      <c r="G22" s="117"/>
      <c r="H22" s="126"/>
      <c r="I22" s="110"/>
      <c r="J22" s="126"/>
      <c r="K22" s="116"/>
      <c r="L22" s="131"/>
      <c r="M22" s="117"/>
      <c r="N22" s="131"/>
      <c r="O22" s="131"/>
      <c r="P22" s="126"/>
      <c r="Q22" s="116"/>
      <c r="R22" s="116"/>
      <c r="S22" s="131"/>
      <c r="T22" s="131"/>
      <c r="U22" s="126"/>
      <c r="V22" s="131"/>
      <c r="W22" s="117"/>
      <c r="X22" s="117"/>
      <c r="Y22" s="131"/>
      <c r="Z22" s="131"/>
      <c r="AA22" s="131"/>
      <c r="AB22" s="126"/>
      <c r="AC22" s="116"/>
      <c r="AD22" s="116"/>
      <c r="AE22" s="116"/>
      <c r="AF22" s="116"/>
      <c r="AG22" s="131"/>
      <c r="AH22" s="132"/>
      <c r="AI22" s="132"/>
      <c r="AJ22" s="132"/>
      <c r="AK22" s="55"/>
    </row>
    <row r="23" spans="1:37" ht="20.100000000000001" customHeight="1">
      <c r="A23" s="110"/>
      <c r="B23" s="110"/>
      <c r="C23" s="126"/>
      <c r="D23" s="111"/>
      <c r="E23" s="127"/>
      <c r="F23" s="117"/>
      <c r="G23" s="117"/>
      <c r="H23" s="126"/>
      <c r="I23" s="110"/>
      <c r="J23" s="126"/>
      <c r="K23" s="116"/>
      <c r="L23" s="131"/>
      <c r="M23" s="117"/>
      <c r="N23" s="131"/>
      <c r="O23" s="131"/>
      <c r="P23" s="126"/>
      <c r="Q23" s="116"/>
      <c r="R23" s="116"/>
      <c r="S23" s="131"/>
      <c r="T23" s="131"/>
      <c r="U23" s="126"/>
      <c r="V23" s="131"/>
      <c r="W23" s="117"/>
      <c r="X23" s="117"/>
      <c r="Y23" s="131"/>
      <c r="Z23" s="131"/>
      <c r="AA23" s="131"/>
      <c r="AB23" s="126"/>
      <c r="AC23" s="116"/>
      <c r="AD23" s="116"/>
      <c r="AE23" s="116"/>
      <c r="AF23" s="116"/>
      <c r="AG23" s="131"/>
      <c r="AH23" s="132"/>
      <c r="AI23" s="132"/>
      <c r="AJ23" s="132"/>
      <c r="AK23" s="55"/>
    </row>
    <row r="24" spans="1:37" ht="20.100000000000001" customHeight="1">
      <c r="A24" s="110"/>
      <c r="B24" s="110"/>
      <c r="C24" s="126"/>
      <c r="D24" s="111"/>
      <c r="E24" s="127"/>
      <c r="F24" s="117"/>
      <c r="G24" s="117"/>
      <c r="H24" s="126"/>
      <c r="I24" s="110"/>
      <c r="J24" s="126"/>
      <c r="K24" s="116"/>
      <c r="L24" s="131"/>
      <c r="M24" s="117"/>
      <c r="N24" s="131"/>
      <c r="O24" s="131"/>
      <c r="P24" s="126"/>
      <c r="Q24" s="116"/>
      <c r="R24" s="116"/>
      <c r="S24" s="131"/>
      <c r="T24" s="131"/>
      <c r="U24" s="126"/>
      <c r="V24" s="131"/>
      <c r="W24" s="117"/>
      <c r="X24" s="117"/>
      <c r="Y24" s="131"/>
      <c r="Z24" s="131"/>
      <c r="AA24" s="131"/>
      <c r="AB24" s="126"/>
      <c r="AC24" s="116"/>
      <c r="AD24" s="116"/>
      <c r="AE24" s="116"/>
      <c r="AF24" s="116"/>
      <c r="AG24" s="131"/>
      <c r="AH24" s="132"/>
      <c r="AI24" s="132"/>
      <c r="AJ24" s="132"/>
      <c r="AK24" s="55"/>
    </row>
    <row r="25" spans="1:37" ht="20.100000000000001" customHeight="1">
      <c r="A25" s="110"/>
      <c r="B25" s="110"/>
      <c r="C25" s="126"/>
      <c r="D25" s="111"/>
      <c r="E25" s="127"/>
      <c r="F25" s="117"/>
      <c r="G25" s="117"/>
      <c r="H25" s="126"/>
      <c r="I25" s="110"/>
      <c r="J25" s="126"/>
      <c r="K25" s="116"/>
      <c r="L25" s="131"/>
      <c r="M25" s="117"/>
      <c r="N25" s="131"/>
      <c r="O25" s="131"/>
      <c r="P25" s="126"/>
      <c r="Q25" s="116"/>
      <c r="R25" s="116"/>
      <c r="S25" s="131"/>
      <c r="T25" s="131"/>
      <c r="U25" s="126"/>
      <c r="V25" s="131"/>
      <c r="W25" s="117"/>
      <c r="X25" s="117"/>
      <c r="Y25" s="131"/>
      <c r="Z25" s="131"/>
      <c r="AA25" s="131"/>
      <c r="AB25" s="126"/>
      <c r="AC25" s="116"/>
      <c r="AD25" s="116"/>
      <c r="AE25" s="116"/>
      <c r="AF25" s="116"/>
      <c r="AG25" s="131"/>
      <c r="AH25" s="132"/>
      <c r="AI25" s="132"/>
      <c r="AJ25" s="132"/>
      <c r="AK25" s="55"/>
    </row>
    <row r="26" spans="1:37" ht="20.100000000000001" customHeight="1">
      <c r="A26" s="110"/>
      <c r="B26" s="110"/>
      <c r="C26" s="126"/>
      <c r="D26" s="111"/>
      <c r="E26" s="127"/>
      <c r="F26" s="117"/>
      <c r="G26" s="117"/>
      <c r="H26" s="126"/>
      <c r="I26" s="110"/>
      <c r="J26" s="126"/>
      <c r="K26" s="116"/>
      <c r="L26" s="131"/>
      <c r="M26" s="117"/>
      <c r="N26" s="131"/>
      <c r="O26" s="131"/>
      <c r="P26" s="126"/>
      <c r="Q26" s="116"/>
      <c r="R26" s="116"/>
      <c r="S26" s="131"/>
      <c r="T26" s="131"/>
      <c r="U26" s="126"/>
      <c r="V26" s="131"/>
      <c r="W26" s="117"/>
      <c r="X26" s="117"/>
      <c r="Y26" s="131"/>
      <c r="Z26" s="131"/>
      <c r="AA26" s="131"/>
      <c r="AB26" s="126"/>
      <c r="AC26" s="116"/>
      <c r="AD26" s="116"/>
      <c r="AE26" s="116"/>
      <c r="AF26" s="116"/>
      <c r="AG26" s="131"/>
      <c r="AH26" s="132"/>
      <c r="AI26" s="132"/>
      <c r="AJ26" s="132"/>
      <c r="AK26" s="55"/>
    </row>
    <row r="27" spans="1:37" ht="20.100000000000001" customHeight="1">
      <c r="A27" s="110"/>
      <c r="B27" s="110"/>
      <c r="C27" s="126"/>
      <c r="D27" s="111"/>
      <c r="E27" s="127"/>
      <c r="F27" s="117"/>
      <c r="G27" s="117"/>
      <c r="H27" s="126"/>
      <c r="I27" s="110"/>
      <c r="J27" s="126"/>
      <c r="K27" s="116"/>
      <c r="L27" s="131"/>
      <c r="M27" s="117"/>
      <c r="N27" s="131"/>
      <c r="O27" s="131"/>
      <c r="P27" s="126"/>
      <c r="Q27" s="116"/>
      <c r="R27" s="116"/>
      <c r="S27" s="131"/>
      <c r="T27" s="131"/>
      <c r="U27" s="126"/>
      <c r="V27" s="131"/>
      <c r="W27" s="117"/>
      <c r="X27" s="117"/>
      <c r="Y27" s="131"/>
      <c r="Z27" s="131"/>
      <c r="AA27" s="131"/>
      <c r="AB27" s="126"/>
      <c r="AC27" s="116"/>
      <c r="AD27" s="116"/>
      <c r="AE27" s="116"/>
      <c r="AF27" s="116"/>
      <c r="AG27" s="131"/>
      <c r="AH27" s="132"/>
      <c r="AI27" s="132"/>
      <c r="AJ27" s="132"/>
      <c r="AK27" s="55"/>
    </row>
    <row r="28" spans="1:37" ht="20.100000000000001" customHeight="1">
      <c r="A28" s="110"/>
      <c r="B28" s="110"/>
      <c r="C28" s="126"/>
      <c r="D28" s="111"/>
      <c r="E28" s="127"/>
      <c r="F28" s="117"/>
      <c r="G28" s="117"/>
      <c r="H28" s="126"/>
      <c r="I28" s="110"/>
      <c r="J28" s="126"/>
      <c r="K28" s="116"/>
      <c r="L28" s="131"/>
      <c r="M28" s="117"/>
      <c r="N28" s="131"/>
      <c r="O28" s="131"/>
      <c r="P28" s="126"/>
      <c r="Q28" s="116"/>
      <c r="R28" s="116"/>
      <c r="S28" s="131"/>
      <c r="T28" s="131"/>
      <c r="U28" s="126"/>
      <c r="V28" s="131"/>
      <c r="W28" s="117"/>
      <c r="X28" s="117"/>
      <c r="Y28" s="131"/>
      <c r="Z28" s="131"/>
      <c r="AA28" s="131"/>
      <c r="AB28" s="126"/>
      <c r="AC28" s="116"/>
      <c r="AD28" s="116"/>
      <c r="AE28" s="116"/>
      <c r="AF28" s="116"/>
      <c r="AG28" s="131"/>
      <c r="AH28" s="132"/>
      <c r="AI28" s="132"/>
      <c r="AJ28" s="132"/>
      <c r="AK28" s="55"/>
    </row>
    <row r="29" spans="1:37" ht="20.100000000000001" customHeight="1">
      <c r="A29" s="110"/>
      <c r="B29" s="110"/>
      <c r="C29" s="126"/>
      <c r="D29" s="111"/>
      <c r="E29" s="127"/>
      <c r="F29" s="117"/>
      <c r="G29" s="117"/>
      <c r="H29" s="126"/>
      <c r="I29" s="110"/>
      <c r="J29" s="126"/>
      <c r="K29" s="116"/>
      <c r="L29" s="131"/>
      <c r="M29" s="117"/>
      <c r="N29" s="131"/>
      <c r="O29" s="131"/>
      <c r="P29" s="126"/>
      <c r="Q29" s="116"/>
      <c r="R29" s="116"/>
      <c r="S29" s="131"/>
      <c r="T29" s="131"/>
      <c r="U29" s="126"/>
      <c r="V29" s="131"/>
      <c r="W29" s="117"/>
      <c r="X29" s="117"/>
      <c r="Y29" s="131"/>
      <c r="Z29" s="131"/>
      <c r="AA29" s="131"/>
      <c r="AB29" s="126"/>
      <c r="AC29" s="116"/>
      <c r="AD29" s="116"/>
      <c r="AE29" s="116"/>
      <c r="AF29" s="116"/>
      <c r="AG29" s="131"/>
      <c r="AH29" s="132"/>
      <c r="AI29" s="132"/>
      <c r="AJ29" s="132"/>
      <c r="AK29" s="55"/>
    </row>
    <row r="30" spans="1:37" ht="20.100000000000001" customHeight="1">
      <c r="A30" s="110"/>
      <c r="B30" s="110"/>
      <c r="C30" s="126"/>
      <c r="D30" s="111"/>
      <c r="E30" s="127"/>
      <c r="F30" s="117"/>
      <c r="G30" s="117"/>
      <c r="H30" s="126"/>
      <c r="I30" s="110"/>
      <c r="J30" s="126"/>
      <c r="K30" s="116"/>
      <c r="L30" s="131"/>
      <c r="M30" s="117"/>
      <c r="N30" s="131"/>
      <c r="O30" s="131"/>
      <c r="P30" s="126"/>
      <c r="Q30" s="116"/>
      <c r="R30" s="116"/>
      <c r="S30" s="131"/>
      <c r="T30" s="131"/>
      <c r="U30" s="126"/>
      <c r="V30" s="131"/>
      <c r="W30" s="117"/>
      <c r="X30" s="117"/>
      <c r="Y30" s="131"/>
      <c r="Z30" s="131"/>
      <c r="AA30" s="131"/>
      <c r="AB30" s="126"/>
      <c r="AC30" s="116"/>
      <c r="AD30" s="116"/>
      <c r="AE30" s="116"/>
      <c r="AF30" s="116"/>
      <c r="AG30" s="131"/>
      <c r="AH30" s="132"/>
      <c r="AI30" s="132"/>
      <c r="AJ30" s="132"/>
      <c r="AK30" s="55"/>
    </row>
    <row r="31" spans="1:37" ht="20.100000000000001" customHeight="1">
      <c r="A31" s="110"/>
      <c r="B31" s="110"/>
      <c r="C31" s="126"/>
      <c r="D31" s="111"/>
      <c r="E31" s="127"/>
      <c r="F31" s="117"/>
      <c r="G31" s="117"/>
      <c r="H31" s="126"/>
      <c r="I31" s="110"/>
      <c r="J31" s="126"/>
      <c r="K31" s="116"/>
      <c r="L31" s="131"/>
      <c r="M31" s="117"/>
      <c r="N31" s="131"/>
      <c r="O31" s="131"/>
      <c r="P31" s="126"/>
      <c r="Q31" s="116"/>
      <c r="R31" s="116"/>
      <c r="S31" s="131"/>
      <c r="T31" s="131"/>
      <c r="U31" s="126"/>
      <c r="V31" s="131"/>
      <c r="W31" s="117"/>
      <c r="X31" s="117"/>
      <c r="Y31" s="131"/>
      <c r="Z31" s="131"/>
      <c r="AA31" s="131"/>
      <c r="AB31" s="126"/>
      <c r="AC31" s="116"/>
      <c r="AD31" s="116"/>
      <c r="AE31" s="116"/>
      <c r="AF31" s="116"/>
      <c r="AG31" s="131"/>
      <c r="AH31" s="132"/>
      <c r="AI31" s="132"/>
      <c r="AJ31" s="132"/>
      <c r="AK31" s="55"/>
    </row>
    <row r="32" spans="1:37" ht="20.100000000000001" customHeight="1">
      <c r="A32" s="110"/>
      <c r="B32" s="110"/>
      <c r="C32" s="126"/>
      <c r="D32" s="111"/>
      <c r="E32" s="127"/>
      <c r="F32" s="117"/>
      <c r="G32" s="117"/>
      <c r="H32" s="126"/>
      <c r="I32" s="110"/>
      <c r="J32" s="126"/>
      <c r="K32" s="116"/>
      <c r="L32" s="131"/>
      <c r="M32" s="117"/>
      <c r="N32" s="131"/>
      <c r="O32" s="131"/>
      <c r="P32" s="126"/>
      <c r="Q32" s="116"/>
      <c r="R32" s="116"/>
      <c r="S32" s="131"/>
      <c r="T32" s="131"/>
      <c r="U32" s="126"/>
      <c r="V32" s="131"/>
      <c r="W32" s="117"/>
      <c r="X32" s="117"/>
      <c r="Y32" s="131"/>
      <c r="Z32" s="131"/>
      <c r="AA32" s="131"/>
      <c r="AB32" s="126"/>
      <c r="AC32" s="116"/>
      <c r="AD32" s="116"/>
      <c r="AE32" s="116"/>
      <c r="AF32" s="116"/>
      <c r="AG32" s="131"/>
      <c r="AH32" s="132"/>
      <c r="AI32" s="132"/>
      <c r="AJ32" s="132"/>
      <c r="AK32" s="55"/>
    </row>
    <row r="33" spans="1:37" ht="20.100000000000001" customHeight="1">
      <c r="A33" s="110"/>
      <c r="B33" s="110"/>
      <c r="C33" s="126"/>
      <c r="D33" s="111"/>
      <c r="E33" s="127"/>
      <c r="F33" s="117"/>
      <c r="G33" s="117"/>
      <c r="H33" s="126"/>
      <c r="I33" s="110"/>
      <c r="J33" s="126"/>
      <c r="K33" s="116"/>
      <c r="L33" s="131"/>
      <c r="M33" s="117"/>
      <c r="N33" s="131"/>
      <c r="O33" s="131"/>
      <c r="P33" s="126"/>
      <c r="Q33" s="116"/>
      <c r="R33" s="116"/>
      <c r="S33" s="131"/>
      <c r="T33" s="131"/>
      <c r="U33" s="126"/>
      <c r="V33" s="131"/>
      <c r="W33" s="117"/>
      <c r="X33" s="117"/>
      <c r="Y33" s="131"/>
      <c r="Z33" s="131"/>
      <c r="AA33" s="131"/>
      <c r="AB33" s="126"/>
      <c r="AC33" s="116"/>
      <c r="AD33" s="116"/>
      <c r="AE33" s="116"/>
      <c r="AF33" s="116"/>
      <c r="AG33" s="131"/>
      <c r="AH33" s="132"/>
      <c r="AI33" s="132"/>
      <c r="AJ33" s="132"/>
      <c r="AK33" s="55"/>
    </row>
    <row r="34" spans="1:37" ht="20.100000000000001" customHeight="1">
      <c r="A34" s="110"/>
      <c r="B34" s="110"/>
      <c r="C34" s="126"/>
      <c r="D34" s="111"/>
      <c r="E34" s="127"/>
      <c r="F34" s="117"/>
      <c r="G34" s="117"/>
      <c r="H34" s="126"/>
      <c r="I34" s="110"/>
      <c r="J34" s="126"/>
      <c r="K34" s="116"/>
      <c r="L34" s="131"/>
      <c r="M34" s="117"/>
      <c r="N34" s="131"/>
      <c r="O34" s="131"/>
      <c r="P34" s="126"/>
      <c r="Q34" s="116"/>
      <c r="R34" s="116"/>
      <c r="S34" s="131"/>
      <c r="T34" s="131"/>
      <c r="U34" s="126"/>
      <c r="V34" s="131"/>
      <c r="W34" s="117"/>
      <c r="X34" s="117"/>
      <c r="Y34" s="131"/>
      <c r="Z34" s="131"/>
      <c r="AA34" s="131"/>
      <c r="AB34" s="126"/>
      <c r="AC34" s="116"/>
      <c r="AD34" s="116"/>
      <c r="AE34" s="116"/>
      <c r="AF34" s="116"/>
      <c r="AG34" s="131"/>
      <c r="AH34" s="132"/>
      <c r="AI34" s="132"/>
      <c r="AJ34" s="132"/>
      <c r="AK34" s="55"/>
    </row>
    <row r="35" spans="1:37" ht="20.100000000000001" customHeight="1">
      <c r="A35" s="110"/>
      <c r="B35" s="110"/>
      <c r="C35" s="126"/>
      <c r="D35" s="111"/>
      <c r="E35" s="127"/>
      <c r="F35" s="117"/>
      <c r="G35" s="117"/>
      <c r="H35" s="126"/>
      <c r="I35" s="110"/>
      <c r="J35" s="126"/>
      <c r="K35" s="116"/>
      <c r="L35" s="131"/>
      <c r="M35" s="117"/>
      <c r="N35" s="131"/>
      <c r="O35" s="131"/>
      <c r="P35" s="126"/>
      <c r="Q35" s="116"/>
      <c r="R35" s="116"/>
      <c r="S35" s="131"/>
      <c r="T35" s="131"/>
      <c r="U35" s="126"/>
      <c r="V35" s="131"/>
      <c r="W35" s="117"/>
      <c r="X35" s="117"/>
      <c r="Y35" s="131"/>
      <c r="Z35" s="131"/>
      <c r="AA35" s="131"/>
      <c r="AB35" s="126"/>
      <c r="AC35" s="116"/>
      <c r="AD35" s="116"/>
      <c r="AE35" s="116"/>
      <c r="AF35" s="116"/>
      <c r="AG35" s="131"/>
      <c r="AH35" s="132"/>
      <c r="AI35" s="132"/>
      <c r="AJ35" s="132"/>
      <c r="AK35" s="55"/>
    </row>
    <row r="36" spans="1:37" ht="20.100000000000001" customHeight="1">
      <c r="A36" s="110"/>
      <c r="B36" s="110"/>
      <c r="C36" s="126"/>
      <c r="D36" s="111"/>
      <c r="E36" s="127"/>
      <c r="F36" s="117"/>
      <c r="G36" s="117"/>
      <c r="H36" s="126"/>
      <c r="I36" s="110"/>
      <c r="J36" s="126"/>
      <c r="K36" s="116"/>
      <c r="L36" s="131"/>
      <c r="M36" s="117"/>
      <c r="N36" s="131"/>
      <c r="O36" s="131"/>
      <c r="P36" s="126"/>
      <c r="Q36" s="116"/>
      <c r="R36" s="116"/>
      <c r="S36" s="131"/>
      <c r="T36" s="131"/>
      <c r="U36" s="126"/>
      <c r="V36" s="131"/>
      <c r="W36" s="117"/>
      <c r="X36" s="117"/>
      <c r="Y36" s="131"/>
      <c r="Z36" s="131"/>
      <c r="AA36" s="131"/>
      <c r="AB36" s="126"/>
      <c r="AC36" s="116"/>
      <c r="AD36" s="116"/>
      <c r="AE36" s="116"/>
      <c r="AF36" s="116"/>
      <c r="AG36" s="131"/>
      <c r="AH36" s="132"/>
      <c r="AI36" s="132"/>
      <c r="AJ36" s="132"/>
      <c r="AK36" s="55"/>
    </row>
    <row r="37" spans="1:37" s="164" customFormat="1" ht="20.100000000000001" customHeight="1">
      <c r="A37" s="176" t="s">
        <v>180</v>
      </c>
      <c r="B37" s="176"/>
      <c r="C37" s="176"/>
      <c r="D37" s="176"/>
      <c r="E37" s="155"/>
      <c r="F37" s="156"/>
      <c r="G37" s="157">
        <f>SUM(G15:G36)</f>
        <v>0</v>
      </c>
      <c r="H37" s="158"/>
      <c r="I37" s="159"/>
      <c r="J37" s="158"/>
      <c r="K37" s="160"/>
      <c r="L37" s="161"/>
      <c r="M37" s="156"/>
      <c r="N37" s="161"/>
      <c r="O37" s="161"/>
      <c r="P37" s="158"/>
      <c r="Q37" s="160"/>
      <c r="R37" s="160"/>
      <c r="S37" s="161"/>
      <c r="T37" s="161"/>
      <c r="U37" s="158"/>
      <c r="V37" s="161"/>
      <c r="W37" s="156"/>
      <c r="X37" s="157">
        <f>SUM(X15:X36)</f>
        <v>0</v>
      </c>
      <c r="Y37" s="161"/>
      <c r="Z37" s="161"/>
      <c r="AA37" s="161"/>
      <c r="AB37" s="158"/>
      <c r="AC37" s="160"/>
      <c r="AD37" s="160"/>
      <c r="AE37" s="160"/>
      <c r="AF37" s="157">
        <f>SUM(AF15:AF36)</f>
        <v>0</v>
      </c>
      <c r="AG37" s="161"/>
      <c r="AH37" s="162"/>
      <c r="AI37" s="162"/>
      <c r="AJ37" s="162"/>
      <c r="AK37" s="163"/>
    </row>
    <row r="38" spans="1:37" s="164" customFormat="1" ht="20.100000000000001" customHeight="1">
      <c r="A38" s="176" t="s">
        <v>181</v>
      </c>
      <c r="B38" s="176"/>
      <c r="C38" s="176"/>
      <c r="D38" s="176"/>
      <c r="E38" s="165"/>
      <c r="F38" s="166"/>
      <c r="G38" s="166"/>
      <c r="H38" s="167"/>
      <c r="I38" s="168"/>
      <c r="J38" s="158"/>
      <c r="K38" s="168"/>
      <c r="L38" s="165"/>
      <c r="M38" s="166"/>
      <c r="N38" s="165"/>
      <c r="O38" s="165"/>
      <c r="P38" s="158"/>
      <c r="Q38" s="168"/>
      <c r="R38" s="168"/>
      <c r="S38" s="165"/>
      <c r="T38" s="165"/>
      <c r="U38" s="158"/>
      <c r="V38" s="165"/>
      <c r="W38" s="166"/>
      <c r="X38" s="166"/>
      <c r="Y38" s="165"/>
      <c r="Z38" s="165"/>
      <c r="AA38" s="165"/>
      <c r="AB38" s="158"/>
      <c r="AC38" s="168"/>
      <c r="AD38" s="168"/>
      <c r="AE38" s="168"/>
      <c r="AF38" s="168"/>
      <c r="AG38" s="165"/>
      <c r="AH38" s="162"/>
      <c r="AI38" s="162"/>
      <c r="AJ38" s="162"/>
      <c r="AK38" s="163"/>
    </row>
    <row r="39" spans="1:37" s="164" customFormat="1" ht="20.100000000000001" customHeight="1">
      <c r="A39" s="176" t="s">
        <v>182</v>
      </c>
      <c r="B39" s="176"/>
      <c r="C39" s="176"/>
      <c r="D39" s="176"/>
      <c r="E39" s="165"/>
      <c r="F39" s="166"/>
      <c r="G39" s="169" t="e">
        <f>G37/G38</f>
        <v>#DIV/0!</v>
      </c>
      <c r="H39" s="167"/>
      <c r="I39" s="168"/>
      <c r="J39" s="158"/>
      <c r="K39" s="168"/>
      <c r="L39" s="165"/>
      <c r="M39" s="166"/>
      <c r="N39" s="165"/>
      <c r="O39" s="165"/>
      <c r="P39" s="158"/>
      <c r="Q39" s="168"/>
      <c r="R39" s="168"/>
      <c r="S39" s="165"/>
      <c r="T39" s="165"/>
      <c r="U39" s="158"/>
      <c r="V39" s="165"/>
      <c r="W39" s="166"/>
      <c r="X39" s="166"/>
      <c r="Y39" s="165"/>
      <c r="Z39" s="165"/>
      <c r="AA39" s="165"/>
      <c r="AB39" s="158"/>
      <c r="AC39" s="168"/>
      <c r="AD39" s="168"/>
      <c r="AE39" s="168"/>
      <c r="AF39" s="168"/>
      <c r="AG39" s="165"/>
      <c r="AH39" s="162"/>
      <c r="AI39" s="162"/>
      <c r="AJ39" s="162"/>
      <c r="AK39" s="163"/>
    </row>
    <row r="40" spans="1:37" s="227" customFormat="1" ht="20.100000000000001" customHeight="1">
      <c r="A40" s="231" t="s">
        <v>166</v>
      </c>
      <c r="B40" s="223"/>
      <c r="C40" s="224"/>
      <c r="D40" s="224"/>
      <c r="E40" s="224"/>
      <c r="F40" s="224"/>
      <c r="G40" s="224"/>
      <c r="H40" s="224"/>
      <c r="I40" s="224"/>
      <c r="J40" s="225"/>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3"/>
      <c r="AH40" s="223"/>
      <c r="AI40" s="223"/>
      <c r="AJ40" s="223"/>
      <c r="AK40" s="223"/>
    </row>
    <row r="41" spans="1:37" s="227" customFormat="1" ht="20.100000000000001" customHeight="1">
      <c r="A41" s="228" t="s">
        <v>183</v>
      </c>
      <c r="B41" s="223"/>
      <c r="C41" s="224"/>
      <c r="D41" s="224"/>
      <c r="E41" s="224"/>
      <c r="F41" s="224"/>
      <c r="G41" s="224"/>
      <c r="H41" s="224"/>
      <c r="I41" s="224"/>
      <c r="J41" s="225"/>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3"/>
      <c r="AH41" s="223"/>
      <c r="AI41" s="223"/>
      <c r="AJ41" s="223"/>
      <c r="AK41" s="223"/>
    </row>
    <row r="42" spans="1:37" s="227" customFormat="1" ht="20.100000000000001" customHeight="1">
      <c r="A42" s="223"/>
      <c r="B42" s="223"/>
      <c r="C42" s="224"/>
      <c r="D42" s="224"/>
      <c r="E42" s="224"/>
      <c r="F42" s="224"/>
      <c r="G42" s="224"/>
      <c r="H42" s="224"/>
      <c r="I42" s="224"/>
      <c r="J42" s="225"/>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3"/>
      <c r="AH42" s="223"/>
      <c r="AI42" s="223"/>
      <c r="AJ42" s="223"/>
      <c r="AK42" s="223"/>
    </row>
    <row r="43" spans="1:37" s="227" customFormat="1" ht="20.100000000000001" customHeight="1">
      <c r="A43" s="224"/>
      <c r="B43" s="224"/>
      <c r="C43" s="224"/>
      <c r="D43" s="224"/>
      <c r="E43" s="224"/>
      <c r="F43" s="224"/>
      <c r="G43" s="224"/>
      <c r="H43" s="224"/>
      <c r="I43" s="224"/>
      <c r="J43" s="225"/>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3"/>
      <c r="AH43" s="223"/>
      <c r="AI43" s="223"/>
      <c r="AJ43" s="223"/>
      <c r="AK43" s="223"/>
    </row>
    <row r="44" spans="1:37" s="227" customFormat="1" ht="20.100000000000001" customHeight="1">
      <c r="A44" s="232" t="s">
        <v>167</v>
      </c>
      <c r="B44" s="229"/>
      <c r="C44" s="230"/>
      <c r="D44" s="230"/>
      <c r="E44" s="230"/>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row>
    <row r="45" spans="1:37" s="227" customFormat="1" ht="20.100000000000001" customHeight="1">
      <c r="A45" s="229"/>
      <c r="B45" s="229"/>
      <c r="C45" s="230"/>
      <c r="D45" s="230"/>
      <c r="E45" s="230"/>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row>
    <row r="46" spans="1:37" s="227" customFormat="1" ht="20.100000000000001" customHeight="1">
      <c r="A46" s="230"/>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row>
    <row r="47" spans="1:37" s="227" customFormat="1" ht="20.100000000000001" customHeight="1">
      <c r="C47" s="230"/>
      <c r="D47" s="230"/>
      <c r="E47" s="230"/>
      <c r="F47" s="230"/>
      <c r="G47" s="230"/>
      <c r="H47" s="230"/>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row>
    <row r="48" spans="1:37" ht="20.100000000000001" customHeight="1">
      <c r="A48" s="128" t="s">
        <v>186</v>
      </c>
      <c r="B48" s="128"/>
    </row>
    <row r="49" spans="1:1" ht="20.100000000000001" customHeight="1">
      <c r="A49" s="170" t="s">
        <v>187</v>
      </c>
    </row>
    <row r="50" spans="1:1" ht="20.100000000000001" customHeight="1">
      <c r="A50" s="170" t="s">
        <v>188</v>
      </c>
    </row>
    <row r="51" spans="1:1" ht="20.100000000000001" customHeight="1">
      <c r="A51" s="170" t="s">
        <v>189</v>
      </c>
    </row>
    <row r="52" spans="1:1" ht="20.100000000000001" customHeight="1">
      <c r="A52" s="170" t="s">
        <v>190</v>
      </c>
    </row>
  </sheetData>
  <mergeCells count="20">
    <mergeCell ref="O13:O14"/>
    <mergeCell ref="AI13:AI14"/>
    <mergeCell ref="B13:G13"/>
    <mergeCell ref="A37:D37"/>
    <mergeCell ref="A38:D38"/>
    <mergeCell ref="A39:D39"/>
    <mergeCell ref="A1:T1"/>
    <mergeCell ref="U1:AK1"/>
    <mergeCell ref="A2:T2"/>
    <mergeCell ref="U2:AK2"/>
    <mergeCell ref="H13:I13"/>
    <mergeCell ref="J13:M13"/>
    <mergeCell ref="P13:T13"/>
    <mergeCell ref="U13:AA13"/>
    <mergeCell ref="AB13:AF13"/>
    <mergeCell ref="AG13:AH13"/>
    <mergeCell ref="A13:A14"/>
    <mergeCell ref="AJ13:AJ14"/>
    <mergeCell ref="AK13:AK14"/>
    <mergeCell ref="N13:N14"/>
  </mergeCells>
  <phoneticPr fontId="124" type="noConversion"/>
  <hyperlinks>
    <hyperlink ref="T3" location="底稿目录!A1" display="D4-15"/>
    <hyperlink ref="AK3" location="底稿目录!A1" display="D4-15"/>
  </hyperlinks>
  <pageMargins left="0.70833333333333304" right="0.70833333333333304" top="0.74791666666666701" bottom="0.74791666666666701" header="0.31458333333333299" footer="0.31458333333333299"/>
  <pageSetup paperSize="9" scale="67" orientation="landscape" blackAndWhite="1" r:id="rId1"/>
  <headerFooter>
    <oddFooter>&amp;C&amp;P/&amp;N</oddFooter>
  </headerFooter>
  <colBreaks count="1" manualBreakCount="1">
    <brk id="20" max="4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34"/>
  <sheetViews>
    <sheetView view="pageBreakPreview" zoomScaleNormal="100" workbookViewId="0">
      <selection sqref="A1:Q1"/>
    </sheetView>
  </sheetViews>
  <sheetFormatPr defaultColWidth="9" defaultRowHeight="20.100000000000001" customHeight="1"/>
  <cols>
    <col min="1" max="1" width="5.77734375" style="2" customWidth="1"/>
    <col min="2" max="2" width="9" style="2"/>
    <col min="3" max="3" width="8.33203125" style="2" customWidth="1"/>
    <col min="4" max="4" width="13.33203125" style="2" customWidth="1"/>
    <col min="5" max="6" width="7.33203125" style="2" customWidth="1"/>
    <col min="7" max="8" width="9" style="2" customWidth="1"/>
    <col min="9" max="9" width="11.44140625" style="2" customWidth="1"/>
    <col min="10" max="10" width="8.21875" style="2" customWidth="1"/>
    <col min="11" max="11" width="8.109375" style="2" customWidth="1"/>
    <col min="12" max="13" width="8.33203125" style="2" customWidth="1"/>
    <col min="14" max="14" width="11.88671875" style="2" customWidth="1"/>
    <col min="15" max="16" width="8.33203125" style="2" customWidth="1"/>
    <col min="17" max="17" width="9.88671875" style="2" customWidth="1"/>
    <col min="18" max="16384" width="9" style="2"/>
  </cols>
  <sheetData>
    <row r="1" spans="1:17" s="56" customFormat="1" ht="20.100000000000001" customHeight="1">
      <c r="A1" s="177" t="s">
        <v>23</v>
      </c>
      <c r="B1" s="177"/>
      <c r="C1" s="177"/>
      <c r="D1" s="177"/>
      <c r="E1" s="177"/>
      <c r="F1" s="177"/>
      <c r="G1" s="177"/>
      <c r="H1" s="177"/>
      <c r="I1" s="177"/>
      <c r="J1" s="177"/>
      <c r="K1" s="177"/>
      <c r="L1" s="177"/>
      <c r="M1" s="177"/>
      <c r="N1" s="177"/>
      <c r="O1" s="177"/>
      <c r="P1" s="177"/>
      <c r="Q1" s="177"/>
    </row>
    <row r="2" spans="1:17" s="56" customFormat="1" ht="20.100000000000001" customHeight="1">
      <c r="A2" s="178" t="s">
        <v>11</v>
      </c>
      <c r="B2" s="178"/>
      <c r="C2" s="178"/>
      <c r="D2" s="178"/>
      <c r="E2" s="178"/>
      <c r="F2" s="178"/>
      <c r="G2" s="178"/>
      <c r="H2" s="178"/>
      <c r="I2" s="178"/>
      <c r="J2" s="178"/>
      <c r="K2" s="178"/>
      <c r="L2" s="178"/>
      <c r="M2" s="178"/>
      <c r="N2" s="178"/>
      <c r="O2" s="178"/>
      <c r="P2" s="178"/>
      <c r="Q2" s="178"/>
    </row>
    <row r="3" spans="1:17" ht="20.100000000000001" customHeight="1">
      <c r="A3" s="4" t="str">
        <f>底稿目录!A2</f>
        <v>被审计单位：</v>
      </c>
      <c r="B3" s="4"/>
      <c r="G3" s="5" t="str">
        <f>底稿目录!A4</f>
        <v>编制人：</v>
      </c>
      <c r="H3" s="5"/>
      <c r="L3" s="4" t="str">
        <f>底稿目录!A5</f>
        <v>编制日期：</v>
      </c>
      <c r="P3" s="10" t="s">
        <v>24</v>
      </c>
      <c r="Q3" s="154" t="str">
        <f>底稿目录!F5</f>
        <v>D4-15</v>
      </c>
    </row>
    <row r="4" spans="1:17" ht="20.100000000000001" customHeight="1">
      <c r="A4" s="4" t="str">
        <f>底稿目录!A3</f>
        <v>会计期间：202X年度</v>
      </c>
      <c r="B4" s="4"/>
      <c r="G4" s="5" t="str">
        <f>底稿目录!A6</f>
        <v>复核人：</v>
      </c>
      <c r="H4" s="5"/>
      <c r="L4" s="4" t="str">
        <f>底稿目录!A7</f>
        <v>复核日期：</v>
      </c>
      <c r="P4" s="10" t="s">
        <v>25</v>
      </c>
    </row>
    <row r="5" spans="1:17" s="89" customFormat="1" ht="20.100000000000001" customHeight="1">
      <c r="A5" s="6" t="s">
        <v>29</v>
      </c>
      <c r="B5" s="6"/>
      <c r="C5" s="6"/>
      <c r="D5" s="6"/>
      <c r="E5" s="6"/>
      <c r="F5" s="6"/>
      <c r="G5" s="6"/>
      <c r="H5" s="6"/>
      <c r="I5" s="6"/>
      <c r="J5" s="6"/>
      <c r="K5" s="6"/>
    </row>
    <row r="6" spans="1:17" s="89" customFormat="1" ht="20.100000000000001" customHeight="1">
      <c r="A6" s="16" t="s">
        <v>70</v>
      </c>
      <c r="C6" s="16"/>
      <c r="D6" s="16"/>
      <c r="E6" s="16"/>
      <c r="F6" s="16"/>
      <c r="G6" s="16"/>
      <c r="H6" s="16"/>
      <c r="I6" s="16"/>
      <c r="J6" s="16"/>
      <c r="K6" s="16"/>
    </row>
    <row r="7" spans="1:17" s="89" customFormat="1" ht="20.100000000000001" customHeight="1">
      <c r="A7" s="6" t="s">
        <v>31</v>
      </c>
      <c r="B7" s="16"/>
      <c r="C7" s="16"/>
      <c r="D7" s="16"/>
      <c r="E7" s="16"/>
      <c r="F7" s="16"/>
      <c r="G7" s="16"/>
      <c r="H7" s="16"/>
      <c r="I7" s="16"/>
      <c r="J7" s="16"/>
      <c r="K7" s="16"/>
    </row>
    <row r="8" spans="1:17" s="89" customFormat="1" ht="20.100000000000001" customHeight="1">
      <c r="A8" s="108" t="s">
        <v>71</v>
      </c>
      <c r="C8" s="16"/>
      <c r="D8" s="16"/>
      <c r="E8" s="16"/>
      <c r="F8" s="16"/>
      <c r="G8" s="16"/>
      <c r="H8" s="16"/>
      <c r="I8" s="16"/>
      <c r="J8" s="16"/>
      <c r="K8" s="16"/>
    </row>
    <row r="9" spans="1:17" s="89" customFormat="1" ht="20.100000000000001" customHeight="1">
      <c r="A9" s="108" t="s">
        <v>72</v>
      </c>
      <c r="C9" s="16"/>
      <c r="D9" s="16"/>
      <c r="E9" s="16"/>
      <c r="F9" s="16"/>
      <c r="G9" s="16"/>
      <c r="H9" s="16"/>
      <c r="I9" s="16"/>
      <c r="J9" s="16"/>
      <c r="K9" s="16"/>
    </row>
    <row r="10" spans="1:17" s="89" customFormat="1" ht="20.100000000000001" customHeight="1">
      <c r="A10" s="108" t="s">
        <v>73</v>
      </c>
      <c r="C10" s="16"/>
      <c r="D10" s="16"/>
      <c r="E10" s="16"/>
      <c r="F10" s="16"/>
      <c r="G10" s="16"/>
      <c r="H10" s="16"/>
      <c r="I10" s="16"/>
      <c r="J10" s="16"/>
      <c r="K10" s="115"/>
    </row>
    <row r="11" spans="1:17" ht="20.100000000000001" customHeight="1">
      <c r="A11" s="180" t="s">
        <v>2</v>
      </c>
      <c r="B11" s="179" t="s">
        <v>74</v>
      </c>
      <c r="C11" s="179"/>
      <c r="D11" s="179"/>
      <c r="E11" s="179"/>
      <c r="F11" s="179"/>
      <c r="G11" s="180" t="s">
        <v>49</v>
      </c>
      <c r="H11" s="180"/>
      <c r="I11" s="180"/>
      <c r="J11" s="180"/>
      <c r="K11" s="180"/>
      <c r="L11" s="180" t="s">
        <v>44</v>
      </c>
      <c r="M11" s="180"/>
      <c r="N11" s="180"/>
      <c r="O11" s="180"/>
      <c r="P11" s="180"/>
      <c r="Q11" s="180" t="s">
        <v>75</v>
      </c>
    </row>
    <row r="12" spans="1:17" ht="20.100000000000001" customHeight="1">
      <c r="A12" s="180"/>
      <c r="B12" s="94" t="s">
        <v>53</v>
      </c>
      <c r="C12" s="94" t="s">
        <v>191</v>
      </c>
      <c r="D12" s="94" t="s">
        <v>55</v>
      </c>
      <c r="E12" s="94" t="s">
        <v>56</v>
      </c>
      <c r="F12" s="94" t="s">
        <v>57</v>
      </c>
      <c r="G12" s="94" t="s">
        <v>53</v>
      </c>
      <c r="H12" s="94" t="s">
        <v>54</v>
      </c>
      <c r="I12" s="94" t="s">
        <v>55</v>
      </c>
      <c r="J12" s="94" t="s">
        <v>56</v>
      </c>
      <c r="K12" s="94" t="s">
        <v>57</v>
      </c>
      <c r="L12" s="94" t="s">
        <v>53</v>
      </c>
      <c r="M12" s="94" t="s">
        <v>54</v>
      </c>
      <c r="N12" s="94" t="s">
        <v>55</v>
      </c>
      <c r="O12" s="94" t="s">
        <v>56</v>
      </c>
      <c r="P12" s="94" t="s">
        <v>57</v>
      </c>
      <c r="Q12" s="180"/>
    </row>
    <row r="13" spans="1:17" ht="20.100000000000001" customHeight="1">
      <c r="A13" s="238"/>
      <c r="B13" s="126"/>
      <c r="C13" s="245"/>
      <c r="D13" s="248"/>
      <c r="E13" s="238"/>
      <c r="F13" s="238"/>
      <c r="G13" s="126"/>
      <c r="H13" s="246"/>
      <c r="I13" s="248"/>
      <c r="J13" s="240"/>
      <c r="K13" s="241"/>
      <c r="L13" s="126"/>
      <c r="M13" s="247"/>
      <c r="N13" s="248"/>
      <c r="O13" s="240"/>
      <c r="P13" s="241"/>
      <c r="Q13" s="242"/>
    </row>
    <row r="14" spans="1:17" ht="20.100000000000001" customHeight="1">
      <c r="A14" s="238"/>
      <c r="B14" s="126"/>
      <c r="C14" s="245"/>
      <c r="D14" s="248"/>
      <c r="E14" s="238"/>
      <c r="F14" s="238"/>
      <c r="G14" s="126"/>
      <c r="H14" s="246"/>
      <c r="I14" s="248"/>
      <c r="J14" s="240"/>
      <c r="K14" s="241"/>
      <c r="L14" s="126"/>
      <c r="M14" s="247"/>
      <c r="N14" s="248"/>
      <c r="O14" s="240"/>
      <c r="P14" s="241"/>
      <c r="Q14" s="242"/>
    </row>
    <row r="15" spans="1:17" ht="20.100000000000001" customHeight="1">
      <c r="A15" s="238"/>
      <c r="B15" s="126"/>
      <c r="C15" s="245"/>
      <c r="D15" s="248"/>
      <c r="E15" s="238"/>
      <c r="F15" s="238"/>
      <c r="G15" s="126"/>
      <c r="H15" s="246"/>
      <c r="I15" s="248"/>
      <c r="J15" s="240"/>
      <c r="K15" s="241"/>
      <c r="L15" s="126"/>
      <c r="M15" s="247"/>
      <c r="N15" s="248"/>
      <c r="O15" s="240"/>
      <c r="P15" s="241"/>
      <c r="Q15" s="242"/>
    </row>
    <row r="16" spans="1:17" ht="20.100000000000001" customHeight="1">
      <c r="A16" s="238"/>
      <c r="B16" s="126"/>
      <c r="C16" s="245"/>
      <c r="D16" s="248"/>
      <c r="E16" s="238"/>
      <c r="F16" s="238"/>
      <c r="G16" s="126"/>
      <c r="H16" s="246"/>
      <c r="I16" s="248"/>
      <c r="J16" s="240"/>
      <c r="K16" s="241"/>
      <c r="L16" s="126"/>
      <c r="M16" s="247"/>
      <c r="N16" s="248"/>
      <c r="O16" s="240"/>
      <c r="P16" s="241"/>
      <c r="Q16" s="242"/>
    </row>
    <row r="17" spans="1:17" ht="20.100000000000001" customHeight="1">
      <c r="A17" s="238"/>
      <c r="B17" s="126"/>
      <c r="C17" s="245"/>
      <c r="D17" s="248"/>
      <c r="E17" s="238"/>
      <c r="F17" s="238"/>
      <c r="G17" s="126"/>
      <c r="H17" s="246"/>
      <c r="I17" s="248"/>
      <c r="J17" s="240"/>
      <c r="K17" s="241"/>
      <c r="L17" s="126"/>
      <c r="M17" s="247"/>
      <c r="N17" s="248"/>
      <c r="O17" s="240"/>
      <c r="P17" s="241"/>
      <c r="Q17" s="242"/>
    </row>
    <row r="18" spans="1:17" ht="20.100000000000001" customHeight="1">
      <c r="A18" s="238"/>
      <c r="B18" s="126"/>
      <c r="C18" s="245"/>
      <c r="D18" s="248"/>
      <c r="E18" s="238"/>
      <c r="F18" s="238"/>
      <c r="G18" s="126"/>
      <c r="H18" s="246"/>
      <c r="I18" s="248"/>
      <c r="J18" s="240"/>
      <c r="K18" s="241"/>
      <c r="L18" s="126"/>
      <c r="M18" s="247"/>
      <c r="N18" s="248"/>
      <c r="O18" s="240"/>
      <c r="P18" s="241"/>
      <c r="Q18" s="242"/>
    </row>
    <row r="19" spans="1:17" ht="20.100000000000001" customHeight="1">
      <c r="A19" s="238"/>
      <c r="B19" s="126"/>
      <c r="C19" s="245"/>
      <c r="D19" s="248"/>
      <c r="E19" s="238"/>
      <c r="F19" s="238"/>
      <c r="G19" s="126"/>
      <c r="H19" s="246"/>
      <c r="I19" s="248"/>
      <c r="J19" s="240"/>
      <c r="K19" s="241"/>
      <c r="L19" s="126"/>
      <c r="M19" s="247"/>
      <c r="N19" s="248"/>
      <c r="O19" s="240"/>
      <c r="P19" s="241"/>
      <c r="Q19" s="242"/>
    </row>
    <row r="20" spans="1:17" ht="20.100000000000001" customHeight="1">
      <c r="A20" s="238"/>
      <c r="B20" s="126"/>
      <c r="C20" s="245"/>
      <c r="D20" s="248"/>
      <c r="E20" s="238"/>
      <c r="F20" s="238"/>
      <c r="G20" s="126"/>
      <c r="H20" s="246"/>
      <c r="I20" s="248"/>
      <c r="J20" s="240"/>
      <c r="K20" s="241"/>
      <c r="L20" s="126"/>
      <c r="M20" s="247"/>
      <c r="N20" s="248"/>
      <c r="O20" s="240"/>
      <c r="P20" s="241"/>
      <c r="Q20" s="242"/>
    </row>
    <row r="21" spans="1:17" ht="20.100000000000001" customHeight="1">
      <c r="A21" s="238"/>
      <c r="B21" s="126"/>
      <c r="C21" s="245"/>
      <c r="D21" s="248"/>
      <c r="E21" s="238"/>
      <c r="F21" s="238"/>
      <c r="G21" s="126"/>
      <c r="H21" s="246"/>
      <c r="I21" s="248"/>
      <c r="J21" s="240"/>
      <c r="K21" s="241"/>
      <c r="L21" s="126"/>
      <c r="M21" s="247"/>
      <c r="N21" s="248"/>
      <c r="O21" s="240"/>
      <c r="P21" s="241"/>
      <c r="Q21" s="242"/>
    </row>
    <row r="22" spans="1:17" ht="20.100000000000001" customHeight="1">
      <c r="A22" s="238"/>
      <c r="B22" s="126"/>
      <c r="C22" s="245"/>
      <c r="D22" s="248"/>
      <c r="E22" s="238"/>
      <c r="F22" s="238"/>
      <c r="G22" s="126"/>
      <c r="H22" s="246"/>
      <c r="I22" s="248"/>
      <c r="J22" s="240"/>
      <c r="K22" s="241"/>
      <c r="L22" s="126"/>
      <c r="M22" s="247"/>
      <c r="N22" s="248"/>
      <c r="O22" s="240"/>
      <c r="P22" s="241"/>
      <c r="Q22" s="242"/>
    </row>
    <row r="23" spans="1:17" ht="20.100000000000001" customHeight="1">
      <c r="A23" s="238"/>
      <c r="B23" s="126"/>
      <c r="C23" s="245"/>
      <c r="D23" s="248"/>
      <c r="E23" s="238"/>
      <c r="F23" s="238"/>
      <c r="G23" s="126"/>
      <c r="H23" s="246"/>
      <c r="I23" s="248"/>
      <c r="J23" s="240"/>
      <c r="K23" s="241"/>
      <c r="L23" s="126"/>
      <c r="M23" s="247"/>
      <c r="N23" s="248"/>
      <c r="O23" s="240"/>
      <c r="P23" s="241"/>
      <c r="Q23" s="242"/>
    </row>
    <row r="24" spans="1:17" ht="20.100000000000001" customHeight="1">
      <c r="A24" s="238"/>
      <c r="B24" s="126"/>
      <c r="C24" s="245"/>
      <c r="D24" s="248"/>
      <c r="E24" s="238"/>
      <c r="F24" s="238"/>
      <c r="G24" s="126"/>
      <c r="H24" s="246"/>
      <c r="I24" s="248"/>
      <c r="J24" s="240"/>
      <c r="K24" s="241"/>
      <c r="L24" s="126"/>
      <c r="M24" s="247"/>
      <c r="N24" s="248"/>
      <c r="O24" s="240"/>
      <c r="P24" s="241"/>
      <c r="Q24" s="242"/>
    </row>
    <row r="25" spans="1:17" ht="20.100000000000001" customHeight="1">
      <c r="A25" s="239"/>
      <c r="B25" s="244"/>
      <c r="C25" s="245"/>
      <c r="D25" s="249"/>
      <c r="E25" s="239"/>
      <c r="F25" s="239"/>
      <c r="G25" s="244"/>
      <c r="H25" s="245"/>
      <c r="I25" s="249"/>
      <c r="J25" s="239"/>
      <c r="K25" s="243"/>
      <c r="L25" s="244"/>
      <c r="M25" s="245"/>
      <c r="N25" s="249"/>
      <c r="O25" s="239"/>
      <c r="P25" s="243"/>
      <c r="Q25" s="242"/>
    </row>
    <row r="26" spans="1:17" s="227" customFormat="1" ht="20.100000000000001" customHeight="1">
      <c r="A26" s="233" t="s">
        <v>68</v>
      </c>
      <c r="B26" s="234"/>
      <c r="C26" s="234"/>
      <c r="D26" s="234"/>
      <c r="E26" s="234"/>
      <c r="F26" s="234"/>
      <c r="G26" s="234"/>
      <c r="H26" s="234"/>
      <c r="I26" s="234"/>
      <c r="J26" s="234"/>
      <c r="K26" s="234"/>
      <c r="L26" s="234"/>
      <c r="M26" s="234"/>
      <c r="N26" s="234"/>
      <c r="O26" s="234"/>
      <c r="P26" s="234"/>
      <c r="Q26" s="234"/>
    </row>
    <row r="27" spans="1:17" s="227" customFormat="1" ht="20.100000000000001" customHeight="1">
      <c r="A27" s="229"/>
      <c r="B27" s="230"/>
      <c r="C27" s="230"/>
      <c r="D27" s="230"/>
      <c r="E27" s="230"/>
      <c r="F27" s="230"/>
      <c r="G27" s="230"/>
      <c r="H27" s="230"/>
      <c r="I27" s="230"/>
      <c r="J27" s="230"/>
      <c r="K27" s="230"/>
      <c r="L27" s="230"/>
      <c r="M27" s="230"/>
      <c r="N27" s="230"/>
      <c r="O27" s="230"/>
      <c r="P27" s="230"/>
      <c r="Q27" s="230"/>
    </row>
    <row r="28" spans="1:17" s="227" customFormat="1" ht="20.100000000000001" customHeight="1">
      <c r="A28" s="230"/>
      <c r="B28" s="230"/>
      <c r="C28" s="230"/>
      <c r="D28" s="230"/>
      <c r="E28" s="230"/>
      <c r="F28" s="230"/>
      <c r="G28" s="230"/>
      <c r="H28" s="230"/>
      <c r="I28" s="230"/>
      <c r="J28" s="230"/>
      <c r="K28" s="230"/>
      <c r="L28" s="230"/>
      <c r="M28" s="230"/>
      <c r="N28" s="230"/>
      <c r="O28" s="230"/>
      <c r="P28" s="230"/>
      <c r="Q28" s="230"/>
    </row>
    <row r="29" spans="1:17" s="227" customFormat="1" ht="20.100000000000001" customHeight="1">
      <c r="A29" s="224"/>
      <c r="B29" s="230"/>
      <c r="C29" s="230"/>
      <c r="D29" s="230"/>
      <c r="E29" s="230"/>
      <c r="F29" s="230"/>
      <c r="G29" s="230"/>
      <c r="H29" s="230"/>
      <c r="I29" s="230"/>
      <c r="J29" s="230"/>
      <c r="K29" s="230"/>
      <c r="L29" s="230"/>
      <c r="M29" s="230"/>
      <c r="N29" s="230"/>
      <c r="O29" s="230"/>
      <c r="P29" s="230"/>
      <c r="Q29" s="230"/>
    </row>
    <row r="30" spans="1:17" s="227" customFormat="1" ht="20.399999999999999" customHeight="1">
      <c r="A30" s="236" t="s">
        <v>69</v>
      </c>
      <c r="B30" s="235"/>
      <c r="C30" s="235"/>
      <c r="D30" s="235"/>
      <c r="E30" s="235"/>
      <c r="F30" s="235"/>
      <c r="G30" s="235"/>
      <c r="H30" s="235"/>
      <c r="I30" s="235"/>
      <c r="J30" s="235"/>
      <c r="K30" s="235"/>
      <c r="L30" s="235"/>
      <c r="M30" s="235"/>
      <c r="N30" s="235"/>
      <c r="O30" s="235"/>
      <c r="P30" s="235"/>
      <c r="Q30" s="235"/>
    </row>
    <row r="31" spans="1:17" s="227" customFormat="1" ht="20.100000000000001" customHeight="1">
      <c r="A31" s="237"/>
      <c r="B31" s="237"/>
      <c r="C31" s="237"/>
      <c r="D31" s="237"/>
      <c r="E31" s="237"/>
      <c r="F31" s="237"/>
      <c r="G31" s="237"/>
      <c r="H31" s="237"/>
      <c r="I31" s="237"/>
      <c r="J31" s="237"/>
      <c r="K31" s="237"/>
      <c r="L31" s="237"/>
      <c r="M31" s="237"/>
      <c r="N31" s="237"/>
      <c r="O31" s="237"/>
      <c r="P31" s="237"/>
      <c r="Q31" s="237"/>
    </row>
    <row r="32" spans="1:17" ht="20.100000000000001" customHeight="1">
      <c r="A32" s="112"/>
      <c r="B32" s="112"/>
      <c r="C32" s="112"/>
      <c r="D32" s="112"/>
      <c r="E32" s="112"/>
      <c r="F32" s="112"/>
      <c r="G32" s="112"/>
      <c r="H32" s="112"/>
      <c r="I32" s="112"/>
      <c r="J32" s="112"/>
      <c r="K32" s="112"/>
      <c r="L32" s="112"/>
      <c r="M32" s="112"/>
      <c r="N32" s="112"/>
      <c r="O32" s="112"/>
      <c r="P32" s="112"/>
      <c r="Q32" s="112"/>
    </row>
    <row r="33" spans="1:17" ht="20.100000000000001" customHeight="1">
      <c r="I33" s="114"/>
      <c r="J33" s="114"/>
      <c r="K33" s="114"/>
      <c r="L33" s="114"/>
      <c r="M33" s="114"/>
      <c r="N33" s="114"/>
      <c r="O33" s="114"/>
      <c r="P33" s="114"/>
      <c r="Q33" s="114"/>
    </row>
    <row r="34" spans="1:17" ht="20.100000000000001" customHeight="1">
      <c r="A34" s="113"/>
      <c r="C34" s="114"/>
      <c r="D34" s="114"/>
      <c r="E34" s="114"/>
      <c r="F34" s="114"/>
      <c r="G34" s="114"/>
      <c r="H34" s="114"/>
      <c r="I34" s="114"/>
      <c r="J34" s="114"/>
      <c r="K34" s="114"/>
      <c r="L34" s="114"/>
      <c r="M34" s="114"/>
      <c r="N34" s="114"/>
      <c r="O34" s="114"/>
      <c r="P34" s="114"/>
      <c r="Q34" s="114"/>
    </row>
  </sheetData>
  <mergeCells count="7">
    <mergeCell ref="A1:Q1"/>
    <mergeCell ref="A2:Q2"/>
    <mergeCell ref="B11:F11"/>
    <mergeCell ref="G11:K11"/>
    <mergeCell ref="L11:P11"/>
    <mergeCell ref="A11:A12"/>
    <mergeCell ref="Q11:Q12"/>
  </mergeCells>
  <phoneticPr fontId="124" type="noConversion"/>
  <dataValidations count="1">
    <dataValidation type="list" allowBlank="1" showInputMessage="1" showErrorMessage="1" sqref="Q13:Q25">
      <formula1>"√,×"</formula1>
    </dataValidation>
  </dataValidations>
  <hyperlinks>
    <hyperlink ref="Q3" location="底稿目录!A1" display="D4-16"/>
  </hyperlinks>
  <pageMargins left="0.70833333333333304" right="0.70833333333333304" top="0.74791666666666701" bottom="0.74791666666666701" header="0.31458333333333299" footer="0.31458333333333299"/>
  <pageSetup paperSize="9" scale="84"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1"/>
  <sheetViews>
    <sheetView view="pageBreakPreview" zoomScaleNormal="100" workbookViewId="0">
      <selection sqref="A1:K1"/>
    </sheetView>
  </sheetViews>
  <sheetFormatPr defaultColWidth="9" defaultRowHeight="20.100000000000001" customHeight="1"/>
  <cols>
    <col min="1" max="1" width="17.44140625" style="3" customWidth="1"/>
    <col min="2" max="2" width="11.77734375" style="3" customWidth="1"/>
    <col min="3" max="3" width="11.109375" style="3" customWidth="1"/>
    <col min="4" max="4" width="11.44140625" style="3" customWidth="1"/>
    <col min="5" max="5" width="13" style="3" customWidth="1"/>
    <col min="6" max="6" width="7" style="3" customWidth="1"/>
    <col min="7" max="7" width="11.21875" style="3" customWidth="1"/>
    <col min="8" max="8" width="13.33203125" style="3" customWidth="1"/>
    <col min="9" max="9" width="12.33203125" style="3" customWidth="1"/>
    <col min="10" max="10" width="9.77734375" style="3" customWidth="1"/>
    <col min="11" max="11" width="7.21875" style="3" customWidth="1"/>
    <col min="12" max="16384" width="9" style="3"/>
  </cols>
  <sheetData>
    <row r="1" spans="1:11" s="1" customFormat="1" ht="20.100000000000001" customHeight="1">
      <c r="A1" s="187" t="s">
        <v>23</v>
      </c>
      <c r="B1" s="187"/>
      <c r="C1" s="187"/>
      <c r="D1" s="187"/>
      <c r="E1" s="187"/>
      <c r="F1" s="187"/>
      <c r="G1" s="187"/>
      <c r="H1" s="187"/>
      <c r="I1" s="187"/>
      <c r="J1" s="187"/>
      <c r="K1" s="187"/>
    </row>
    <row r="2" spans="1:11" s="1" customFormat="1" ht="20.100000000000001" customHeight="1">
      <c r="A2" s="188" t="s">
        <v>169</v>
      </c>
      <c r="B2" s="188"/>
      <c r="C2" s="188"/>
      <c r="D2" s="188"/>
      <c r="E2" s="188"/>
      <c r="F2" s="188"/>
      <c r="G2" s="188"/>
      <c r="H2" s="188"/>
      <c r="I2" s="188"/>
      <c r="J2" s="188"/>
      <c r="K2" s="188"/>
    </row>
    <row r="3" spans="1:11" s="2" customFormat="1" ht="20.100000000000001" customHeight="1">
      <c r="A3" s="4" t="str">
        <f>底稿目录!A2</f>
        <v>被审计单位：</v>
      </c>
      <c r="B3" s="4"/>
      <c r="C3" s="4"/>
      <c r="D3" s="4"/>
      <c r="E3" s="5" t="str">
        <f>底稿目录!A4</f>
        <v>编制人：</v>
      </c>
      <c r="H3" s="4" t="str">
        <f>底稿目录!A5</f>
        <v>编制日期：</v>
      </c>
      <c r="I3" s="5"/>
      <c r="J3" s="10" t="s">
        <v>24</v>
      </c>
      <c r="K3" s="154" t="str">
        <f>底稿目录!F6</f>
        <v>D4-16</v>
      </c>
    </row>
    <row r="4" spans="1:11" s="2" customFormat="1" ht="20.100000000000001" customHeight="1">
      <c r="A4" s="4" t="str">
        <f>底稿目录!A3</f>
        <v>会计期间：202X年度</v>
      </c>
      <c r="B4" s="4"/>
      <c r="C4" s="4"/>
      <c r="D4" s="4"/>
      <c r="E4" s="5" t="str">
        <f>底稿目录!A6</f>
        <v>复核人：</v>
      </c>
      <c r="H4" s="4" t="str">
        <f>底稿目录!A7</f>
        <v>复核日期：</v>
      </c>
      <c r="I4" s="5"/>
      <c r="J4" s="10" t="s">
        <v>148</v>
      </c>
      <c r="K4" s="11"/>
    </row>
    <row r="5" spans="1:11" s="2" customFormat="1" ht="20.100000000000001" customHeight="1">
      <c r="A5" s="257" t="s">
        <v>29</v>
      </c>
      <c r="B5" s="227"/>
      <c r="C5" s="227"/>
      <c r="D5" s="227"/>
      <c r="E5" s="227"/>
      <c r="F5" s="227"/>
      <c r="G5" s="262"/>
      <c r="H5" s="262"/>
      <c r="I5" s="262"/>
      <c r="J5" s="262"/>
      <c r="K5" s="262"/>
    </row>
    <row r="6" spans="1:11" s="2" customFormat="1" ht="20.100000000000001" customHeight="1">
      <c r="A6" s="263" t="s">
        <v>149</v>
      </c>
      <c r="B6" s="227"/>
      <c r="C6" s="227"/>
      <c r="D6" s="227"/>
      <c r="E6" s="227"/>
      <c r="F6" s="227"/>
      <c r="G6" s="262"/>
      <c r="H6" s="262"/>
      <c r="I6" s="262"/>
      <c r="J6" s="262"/>
      <c r="K6" s="262"/>
    </row>
    <row r="7" spans="1:11" s="2" customFormat="1" ht="20.100000000000001" customHeight="1">
      <c r="A7" s="263" t="s">
        <v>150</v>
      </c>
      <c r="B7" s="227"/>
      <c r="C7" s="227"/>
      <c r="D7" s="227"/>
      <c r="E7" s="227"/>
      <c r="F7" s="227"/>
      <c r="G7" s="262"/>
      <c r="H7" s="262"/>
      <c r="I7" s="262"/>
      <c r="J7" s="262"/>
      <c r="K7" s="262"/>
    </row>
    <row r="8" spans="1:11" s="2" customFormat="1" ht="20.100000000000001" customHeight="1">
      <c r="A8" s="257" t="s">
        <v>111</v>
      </c>
      <c r="B8" s="264"/>
      <c r="C8" s="264"/>
      <c r="D8" s="264"/>
      <c r="E8" s="264"/>
      <c r="F8" s="227"/>
      <c r="G8" s="265"/>
      <c r="H8" s="265"/>
      <c r="I8" s="265"/>
      <c r="J8" s="265"/>
      <c r="K8" s="265"/>
    </row>
    <row r="9" spans="1:11" s="2" customFormat="1" ht="20.100000000000001" customHeight="1">
      <c r="A9" s="266" t="s">
        <v>151</v>
      </c>
      <c r="B9" s="227"/>
      <c r="C9" s="227"/>
      <c r="D9" s="227"/>
      <c r="E9" s="227"/>
      <c r="F9" s="227"/>
      <c r="G9" s="265"/>
      <c r="H9" s="265"/>
      <c r="I9" s="265"/>
      <c r="J9" s="265"/>
      <c r="K9" s="265"/>
    </row>
    <row r="10" spans="1:11" s="2" customFormat="1" ht="20.100000000000001" customHeight="1">
      <c r="A10" s="266"/>
      <c r="B10" s="227"/>
      <c r="C10" s="227"/>
      <c r="D10" s="227"/>
      <c r="E10" s="227"/>
      <c r="F10" s="227"/>
      <c r="G10" s="265"/>
      <c r="H10" s="265"/>
      <c r="I10" s="265"/>
      <c r="J10" s="265"/>
      <c r="K10" s="265"/>
    </row>
    <row r="11" spans="1:11" s="2" customFormat="1" ht="20.100000000000001" customHeight="1">
      <c r="A11" s="190" t="s">
        <v>152</v>
      </c>
      <c r="B11" s="189" t="s">
        <v>153</v>
      </c>
      <c r="C11" s="189"/>
      <c r="D11" s="189"/>
      <c r="E11" s="189"/>
      <c r="F11" s="189"/>
      <c r="G11" s="189" t="s">
        <v>154</v>
      </c>
      <c r="H11" s="189"/>
      <c r="I11" s="189"/>
      <c r="J11" s="189"/>
      <c r="K11" s="189"/>
    </row>
    <row r="12" spans="1:11" ht="20.100000000000001" customHeight="1">
      <c r="A12" s="191"/>
      <c r="B12" s="8" t="s">
        <v>155</v>
      </c>
      <c r="C12" s="8" t="s">
        <v>156</v>
      </c>
      <c r="D12" s="8" t="s">
        <v>157</v>
      </c>
      <c r="E12" s="8" t="s">
        <v>158</v>
      </c>
      <c r="F12" s="8" t="s">
        <v>159</v>
      </c>
      <c r="G12" s="8" t="s">
        <v>155</v>
      </c>
      <c r="H12" s="8" t="s">
        <v>160</v>
      </c>
      <c r="I12" s="8" t="s">
        <v>157</v>
      </c>
      <c r="J12" s="8" t="s">
        <v>158</v>
      </c>
      <c r="K12" s="8" t="s">
        <v>159</v>
      </c>
    </row>
    <row r="13" spans="1:11" s="136" customFormat="1" ht="20.100000000000001" customHeight="1">
      <c r="A13" s="253"/>
      <c r="B13" s="250"/>
      <c r="C13" s="250"/>
      <c r="D13" s="252">
        <f>C13-A13</f>
        <v>0</v>
      </c>
      <c r="E13" s="251"/>
      <c r="F13" s="253"/>
      <c r="G13" s="254"/>
      <c r="H13" s="255"/>
      <c r="I13" s="252">
        <f>H13-F13</f>
        <v>0</v>
      </c>
      <c r="J13" s="256"/>
      <c r="K13" s="254"/>
    </row>
    <row r="14" spans="1:11" ht="20.100000000000001" customHeight="1">
      <c r="B14" s="9"/>
      <c r="C14" s="9"/>
      <c r="D14" s="9"/>
      <c r="E14" s="9"/>
      <c r="G14" s="9"/>
      <c r="H14" s="9"/>
      <c r="I14" s="9"/>
      <c r="J14" s="9"/>
      <c r="K14" s="9"/>
    </row>
    <row r="15" spans="1:11" ht="20.100000000000001" customHeight="1">
      <c r="B15" s="9"/>
      <c r="C15" s="9"/>
      <c r="D15" s="9"/>
      <c r="E15" s="9"/>
      <c r="G15" s="9"/>
      <c r="H15" s="9"/>
      <c r="I15" s="9"/>
      <c r="J15" s="9"/>
      <c r="K15" s="9"/>
    </row>
    <row r="16" spans="1:11" ht="20.100000000000001" customHeight="1">
      <c r="A16" s="257" t="s">
        <v>68</v>
      </c>
      <c r="B16" s="258"/>
      <c r="C16" s="258"/>
      <c r="D16" s="258"/>
      <c r="E16" s="258"/>
      <c r="F16" s="258"/>
      <c r="G16" s="258"/>
      <c r="H16" s="258"/>
      <c r="I16" s="258"/>
      <c r="J16" s="258"/>
      <c r="K16" s="258"/>
    </row>
    <row r="17" spans="1:11" ht="20.100000000000001" customHeight="1">
      <c r="A17" s="259"/>
      <c r="B17" s="258"/>
      <c r="C17" s="258"/>
      <c r="D17" s="258"/>
      <c r="E17" s="258"/>
      <c r="F17" s="258"/>
      <c r="G17" s="258"/>
      <c r="H17" s="258"/>
      <c r="I17" s="258"/>
      <c r="J17" s="258"/>
      <c r="K17" s="258"/>
    </row>
    <row r="18" spans="1:11" ht="20.100000000000001" customHeight="1">
      <c r="A18" s="258"/>
      <c r="B18" s="258"/>
      <c r="C18" s="258"/>
      <c r="D18" s="258"/>
      <c r="E18" s="258"/>
      <c r="F18" s="258"/>
      <c r="G18" s="260"/>
      <c r="H18" s="260"/>
      <c r="I18" s="260"/>
      <c r="J18" s="260"/>
      <c r="K18" s="258"/>
    </row>
    <row r="19" spans="1:11" ht="20.100000000000001" customHeight="1">
      <c r="A19" s="258"/>
      <c r="B19" s="258"/>
      <c r="C19" s="258"/>
      <c r="D19" s="258"/>
      <c r="E19" s="258"/>
      <c r="F19" s="258"/>
      <c r="G19" s="260"/>
      <c r="H19" s="260"/>
      <c r="I19" s="260"/>
      <c r="J19" s="260"/>
      <c r="K19" s="258"/>
    </row>
    <row r="20" spans="1:11" ht="20.100000000000001" customHeight="1">
      <c r="A20" s="257" t="s">
        <v>69</v>
      </c>
      <c r="B20" s="258"/>
      <c r="C20" s="258"/>
      <c r="D20" s="258"/>
      <c r="E20" s="258"/>
      <c r="F20" s="258"/>
      <c r="G20" s="260"/>
      <c r="H20" s="260"/>
      <c r="I20" s="260"/>
      <c r="J20" s="260"/>
      <c r="K20" s="258"/>
    </row>
    <row r="21" spans="1:11" ht="20.100000000000001" customHeight="1">
      <c r="A21" s="261"/>
      <c r="B21" s="261"/>
      <c r="C21" s="261"/>
      <c r="D21" s="261"/>
      <c r="E21" s="261"/>
      <c r="F21" s="261"/>
      <c r="G21" s="261"/>
      <c r="H21" s="261"/>
      <c r="I21" s="261"/>
      <c r="J21" s="261"/>
      <c r="K21" s="261"/>
    </row>
  </sheetData>
  <mergeCells count="5">
    <mergeCell ref="A1:K1"/>
    <mergeCell ref="A2:K2"/>
    <mergeCell ref="B11:F11"/>
    <mergeCell ref="G11:K11"/>
    <mergeCell ref="A11:A12"/>
  </mergeCells>
  <phoneticPr fontId="124" type="noConversion"/>
  <hyperlinks>
    <hyperlink ref="K3" location="底稿目录!A1" display="D4-21"/>
  </hyperlinks>
  <pageMargins left="0.70833333333333304" right="0.70833333333333304" top="0.74791666666666701" bottom="0.74791666666666701" header="0.31458333333333299" footer="0.31458333333333299"/>
  <pageSetup paperSize="9" scale="68"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43"/>
  <sheetViews>
    <sheetView view="pageBreakPreview" zoomScaleNormal="100" workbookViewId="0">
      <selection sqref="A1:K1"/>
    </sheetView>
  </sheetViews>
  <sheetFormatPr defaultColWidth="8" defaultRowHeight="20.100000000000001" customHeight="1"/>
  <cols>
    <col min="1" max="1" width="8.88671875" style="65" customWidth="1"/>
    <col min="2" max="2" width="10.6640625" style="65" customWidth="1"/>
    <col min="3" max="3" width="11" style="65" customWidth="1"/>
    <col min="4" max="6" width="10.21875" style="65" customWidth="1"/>
    <col min="7" max="7" width="11" style="65" customWidth="1"/>
    <col min="8" max="8" width="11.21875" style="65" customWidth="1"/>
    <col min="9" max="9" width="10.44140625" style="65" customWidth="1"/>
    <col min="10" max="10" width="10.77734375" style="65" customWidth="1"/>
    <col min="11" max="11" width="10.109375" style="65" customWidth="1"/>
    <col min="12" max="16384" width="8" style="65"/>
  </cols>
  <sheetData>
    <row r="1" spans="1:11" ht="20.100000000000001" customHeight="1">
      <c r="A1" s="192" t="s">
        <v>23</v>
      </c>
      <c r="B1" s="192"/>
      <c r="C1" s="192"/>
      <c r="D1" s="192"/>
      <c r="E1" s="192"/>
      <c r="F1" s="192"/>
      <c r="G1" s="192"/>
      <c r="H1" s="192"/>
      <c r="I1" s="192"/>
      <c r="J1" s="192"/>
      <c r="K1" s="192"/>
    </row>
    <row r="2" spans="1:11" ht="20.100000000000001" customHeight="1">
      <c r="A2" s="193" t="s">
        <v>17</v>
      </c>
      <c r="B2" s="193"/>
      <c r="C2" s="193"/>
      <c r="D2" s="193"/>
      <c r="E2" s="193"/>
      <c r="F2" s="193"/>
      <c r="G2" s="193"/>
      <c r="H2" s="193"/>
      <c r="I2" s="193"/>
      <c r="J2" s="193"/>
      <c r="K2" s="193"/>
    </row>
    <row r="3" spans="1:11" s="63" customFormat="1" ht="20.100000000000001" customHeight="1">
      <c r="A3" s="13" t="str">
        <f>底稿目录!A2</f>
        <v>被审计单位：</v>
      </c>
      <c r="B3" s="13"/>
      <c r="D3" s="14" t="str">
        <f>底稿目录!A4</f>
        <v>编制人：</v>
      </c>
      <c r="E3" s="66"/>
      <c r="G3" s="13" t="str">
        <f>底稿目录!A5</f>
        <v>编制日期：</v>
      </c>
      <c r="J3" s="82" t="s">
        <v>24</v>
      </c>
      <c r="K3" s="154" t="str">
        <f>底稿目录!F7</f>
        <v>D4-17</v>
      </c>
    </row>
    <row r="4" spans="1:11" s="63" customFormat="1" ht="20.100000000000001" customHeight="1">
      <c r="A4" s="13" t="str">
        <f>底稿目录!A3</f>
        <v>会计期间：202X年度</v>
      </c>
      <c r="B4" s="67"/>
      <c r="D4" s="14" t="str">
        <f>底稿目录!A6</f>
        <v>复核人：</v>
      </c>
      <c r="E4" s="66"/>
      <c r="G4" s="13" t="str">
        <f>底稿目录!A7</f>
        <v>复核日期：</v>
      </c>
      <c r="J4" s="82" t="s">
        <v>25</v>
      </c>
    </row>
    <row r="5" spans="1:11" s="268" customFormat="1" ht="20.100000000000001" customHeight="1">
      <c r="A5" s="257" t="s">
        <v>76</v>
      </c>
      <c r="B5" s="267"/>
      <c r="C5" s="267"/>
      <c r="D5" s="267"/>
      <c r="E5" s="267"/>
      <c r="F5" s="267"/>
      <c r="G5" s="267"/>
      <c r="H5" s="267"/>
      <c r="I5" s="267"/>
      <c r="J5" s="267"/>
    </row>
    <row r="6" spans="1:11" s="268" customFormat="1" ht="20.100000000000001" customHeight="1">
      <c r="A6" s="269" t="s">
        <v>77</v>
      </c>
      <c r="C6" s="269"/>
      <c r="D6" s="269"/>
      <c r="E6" s="269"/>
      <c r="F6" s="269"/>
      <c r="G6" s="269"/>
      <c r="H6" s="269"/>
      <c r="I6" s="269"/>
      <c r="J6" s="269"/>
    </row>
    <row r="7" spans="1:11" s="268" customFormat="1" ht="20.100000000000001" customHeight="1">
      <c r="A7" s="257" t="s">
        <v>31</v>
      </c>
      <c r="B7" s="267"/>
      <c r="C7" s="267"/>
      <c r="D7" s="267"/>
      <c r="E7" s="267"/>
      <c r="F7" s="267"/>
      <c r="G7" s="267"/>
      <c r="H7" s="267"/>
      <c r="I7" s="267"/>
      <c r="J7" s="267"/>
    </row>
    <row r="8" spans="1:11" s="268" customFormat="1" ht="29.4" customHeight="1">
      <c r="A8" s="270" t="s">
        <v>87</v>
      </c>
      <c r="B8" s="270"/>
      <c r="C8" s="270"/>
      <c r="D8" s="270"/>
      <c r="E8" s="270"/>
      <c r="F8" s="270"/>
      <c r="G8" s="270"/>
      <c r="H8" s="270"/>
      <c r="I8" s="270"/>
      <c r="J8" s="270"/>
      <c r="K8" s="270"/>
    </row>
    <row r="9" spans="1:11" s="268" customFormat="1" ht="20.100000000000001" customHeight="1">
      <c r="A9" s="271" t="s">
        <v>79</v>
      </c>
      <c r="B9" s="269"/>
      <c r="C9" s="267"/>
      <c r="D9" s="267"/>
      <c r="E9" s="267"/>
      <c r="F9" s="267"/>
      <c r="G9" s="267"/>
      <c r="H9" s="267"/>
      <c r="I9" s="267"/>
      <c r="J9" s="267"/>
    </row>
    <row r="10" spans="1:11" s="268" customFormat="1" ht="30" customHeight="1">
      <c r="A10" s="272" t="s">
        <v>168</v>
      </c>
      <c r="B10" s="272"/>
      <c r="C10" s="272"/>
      <c r="D10" s="272"/>
      <c r="E10" s="272"/>
      <c r="F10" s="272"/>
      <c r="G10" s="272"/>
      <c r="H10" s="272"/>
      <c r="I10" s="272"/>
      <c r="J10" s="272"/>
      <c r="K10" s="272"/>
    </row>
    <row r="11" spans="1:11" s="64" customFormat="1" ht="20.100000000000001" customHeight="1">
      <c r="A11" s="194" t="s">
        <v>44</v>
      </c>
      <c r="B11" s="195"/>
      <c r="C11" s="195"/>
      <c r="D11" s="195"/>
      <c r="E11" s="196"/>
      <c r="F11" s="197" t="s">
        <v>74</v>
      </c>
      <c r="G11" s="198"/>
      <c r="H11" s="198"/>
      <c r="I11" s="198"/>
      <c r="J11" s="198"/>
      <c r="K11" s="83" t="s">
        <v>80</v>
      </c>
    </row>
    <row r="12" spans="1:11" s="64" customFormat="1" ht="20.100000000000001" customHeight="1">
      <c r="A12" s="68" t="s">
        <v>53</v>
      </c>
      <c r="B12" s="68" t="s">
        <v>54</v>
      </c>
      <c r="C12" s="68" t="s">
        <v>55</v>
      </c>
      <c r="D12" s="68" t="s">
        <v>56</v>
      </c>
      <c r="E12" s="68" t="s">
        <v>57</v>
      </c>
      <c r="F12" s="68" t="s">
        <v>53</v>
      </c>
      <c r="G12" s="68" t="s">
        <v>54</v>
      </c>
      <c r="H12" s="69" t="s">
        <v>55</v>
      </c>
      <c r="I12" s="69" t="s">
        <v>56</v>
      </c>
      <c r="J12" s="69" t="s">
        <v>57</v>
      </c>
      <c r="K12" s="83" t="s">
        <v>81</v>
      </c>
    </row>
    <row r="13" spans="1:11" s="64" customFormat="1" ht="20.100000000000001" customHeight="1">
      <c r="A13" s="70"/>
      <c r="B13" s="71"/>
      <c r="C13" s="72"/>
      <c r="D13" s="73"/>
      <c r="E13" s="73"/>
      <c r="F13" s="70"/>
      <c r="G13" s="71"/>
      <c r="H13" s="71"/>
      <c r="I13" s="71"/>
      <c r="J13" s="84"/>
      <c r="K13" s="85"/>
    </row>
    <row r="14" spans="1:11" s="64" customFormat="1" ht="20.100000000000001" customHeight="1">
      <c r="A14" s="74"/>
      <c r="B14" s="71"/>
      <c r="C14" s="72"/>
      <c r="D14" s="73"/>
      <c r="E14" s="73"/>
      <c r="F14" s="70"/>
      <c r="G14" s="71"/>
      <c r="H14" s="71"/>
      <c r="I14" s="71"/>
      <c r="J14" s="84"/>
      <c r="K14" s="85"/>
    </row>
    <row r="15" spans="1:11" s="64" customFormat="1" ht="20.100000000000001" customHeight="1">
      <c r="A15" s="74"/>
      <c r="B15" s="71"/>
      <c r="C15" s="72"/>
      <c r="D15" s="73"/>
      <c r="E15" s="73"/>
      <c r="F15" s="70"/>
      <c r="G15" s="71"/>
      <c r="H15" s="71"/>
      <c r="I15" s="71"/>
      <c r="J15" s="84"/>
      <c r="K15" s="85"/>
    </row>
    <row r="16" spans="1:11" s="64" customFormat="1" ht="20.100000000000001" customHeight="1">
      <c r="A16" s="74"/>
      <c r="B16" s="71"/>
      <c r="C16" s="72"/>
      <c r="D16" s="73"/>
      <c r="E16" s="73"/>
      <c r="F16" s="70"/>
      <c r="G16" s="71"/>
      <c r="H16" s="71"/>
      <c r="I16" s="71"/>
      <c r="J16" s="84"/>
      <c r="K16" s="85"/>
    </row>
    <row r="17" spans="1:11" s="64" customFormat="1" ht="20.100000000000001" customHeight="1">
      <c r="A17" s="74"/>
      <c r="B17" s="71"/>
      <c r="C17" s="72"/>
      <c r="D17" s="73"/>
      <c r="E17" s="73"/>
      <c r="F17" s="70"/>
      <c r="G17" s="71"/>
      <c r="H17" s="71"/>
      <c r="I17" s="71"/>
      <c r="J17" s="84"/>
      <c r="K17" s="85"/>
    </row>
    <row r="18" spans="1:11" s="64" customFormat="1" ht="20.100000000000001" customHeight="1">
      <c r="A18" s="74"/>
      <c r="B18" s="71"/>
      <c r="C18" s="72"/>
      <c r="D18" s="73"/>
      <c r="E18" s="73"/>
      <c r="F18" s="70"/>
      <c r="G18" s="71"/>
      <c r="H18" s="71"/>
      <c r="I18" s="71"/>
      <c r="J18" s="84"/>
      <c r="K18" s="85"/>
    </row>
    <row r="19" spans="1:11" s="64" customFormat="1" ht="20.100000000000001" customHeight="1">
      <c r="A19" s="74"/>
      <c r="B19" s="71"/>
      <c r="C19" s="72"/>
      <c r="D19" s="73"/>
      <c r="E19" s="73"/>
      <c r="F19" s="70"/>
      <c r="G19" s="71"/>
      <c r="H19" s="71"/>
      <c r="I19" s="71"/>
      <c r="J19" s="84"/>
      <c r="K19" s="85"/>
    </row>
    <row r="20" spans="1:11" s="64" customFormat="1" ht="20.100000000000001" customHeight="1">
      <c r="A20" s="74"/>
      <c r="B20" s="71"/>
      <c r="C20" s="72"/>
      <c r="D20" s="73"/>
      <c r="E20" s="73"/>
      <c r="F20" s="70"/>
      <c r="G20" s="71"/>
      <c r="H20" s="71"/>
      <c r="I20" s="71"/>
      <c r="J20" s="84"/>
      <c r="K20" s="85"/>
    </row>
    <row r="21" spans="1:11" s="64" customFormat="1" ht="20.100000000000001" customHeight="1">
      <c r="A21" s="74"/>
      <c r="B21" s="75"/>
      <c r="C21" s="72"/>
      <c r="D21" s="73"/>
      <c r="E21" s="73"/>
      <c r="F21" s="70"/>
      <c r="G21" s="71"/>
      <c r="H21" s="71"/>
      <c r="I21" s="71"/>
      <c r="J21" s="84"/>
      <c r="K21" s="85"/>
    </row>
    <row r="22" spans="1:11" s="64" customFormat="1" ht="20.100000000000001" customHeight="1">
      <c r="A22" s="70"/>
      <c r="B22" s="75"/>
      <c r="C22" s="72"/>
      <c r="D22" s="73"/>
      <c r="E22" s="73"/>
      <c r="F22" s="70"/>
      <c r="G22" s="71"/>
      <c r="H22" s="71"/>
      <c r="I22" s="71"/>
      <c r="J22" s="84"/>
      <c r="K22" s="85"/>
    </row>
    <row r="23" spans="1:11" s="64" customFormat="1" ht="20.100000000000001" customHeight="1">
      <c r="A23" s="70"/>
      <c r="B23" s="75"/>
      <c r="C23" s="72"/>
      <c r="D23" s="73"/>
      <c r="E23" s="73"/>
      <c r="F23" s="70"/>
      <c r="G23" s="71"/>
      <c r="H23" s="71"/>
      <c r="I23" s="71"/>
      <c r="J23" s="84"/>
      <c r="K23" s="85"/>
    </row>
    <row r="24" spans="1:11" s="64" customFormat="1" ht="20.100000000000001" customHeight="1">
      <c r="A24" s="76" t="s">
        <v>82</v>
      </c>
      <c r="B24" s="77"/>
      <c r="C24" s="78"/>
      <c r="D24" s="78"/>
      <c r="E24" s="78"/>
      <c r="F24" s="78"/>
      <c r="G24" s="78"/>
      <c r="H24" s="78"/>
      <c r="I24" s="78"/>
      <c r="J24" s="86"/>
      <c r="K24" s="87"/>
    </row>
    <row r="25" spans="1:11" s="64" customFormat="1" ht="20.100000000000001" customHeight="1">
      <c r="A25" s="70"/>
      <c r="B25" s="75"/>
      <c r="C25" s="72"/>
      <c r="D25" s="73"/>
      <c r="E25" s="73"/>
      <c r="F25" s="70"/>
      <c r="G25" s="71"/>
      <c r="H25" s="71"/>
      <c r="I25" s="71"/>
      <c r="J25" s="84"/>
      <c r="K25" s="85"/>
    </row>
    <row r="26" spans="1:11" s="64" customFormat="1" ht="20.100000000000001" customHeight="1">
      <c r="A26" s="70"/>
      <c r="B26" s="75"/>
      <c r="C26" s="72"/>
      <c r="D26" s="73"/>
      <c r="E26" s="73"/>
      <c r="F26" s="70"/>
      <c r="G26" s="71"/>
      <c r="H26" s="71"/>
      <c r="I26" s="71"/>
      <c r="J26" s="84"/>
      <c r="K26" s="85"/>
    </row>
    <row r="27" spans="1:11" s="64" customFormat="1" ht="20.100000000000001" customHeight="1">
      <c r="A27" s="70"/>
      <c r="B27" s="75"/>
      <c r="C27" s="72"/>
      <c r="D27" s="73"/>
      <c r="E27" s="73"/>
      <c r="F27" s="70"/>
      <c r="G27" s="71"/>
      <c r="H27" s="71"/>
      <c r="I27" s="71"/>
      <c r="J27" s="84"/>
      <c r="K27" s="85"/>
    </row>
    <row r="28" spans="1:11" s="64" customFormat="1" ht="20.100000000000001" customHeight="1">
      <c r="A28" s="70"/>
      <c r="B28" s="75"/>
      <c r="C28" s="72"/>
      <c r="D28" s="73"/>
      <c r="E28" s="73"/>
      <c r="F28" s="70"/>
      <c r="G28" s="71"/>
      <c r="H28" s="71"/>
      <c r="I28" s="71"/>
      <c r="J28" s="84"/>
      <c r="K28" s="85"/>
    </row>
    <row r="29" spans="1:11" s="64" customFormat="1" ht="20.100000000000001" customHeight="1">
      <c r="A29" s="70"/>
      <c r="B29" s="75"/>
      <c r="C29" s="72"/>
      <c r="D29" s="73"/>
      <c r="E29" s="73"/>
      <c r="F29" s="70"/>
      <c r="G29" s="71"/>
      <c r="H29" s="71"/>
      <c r="I29" s="71"/>
      <c r="J29" s="84"/>
      <c r="K29" s="85"/>
    </row>
    <row r="30" spans="1:11" s="64" customFormat="1" ht="20.100000000000001" customHeight="1">
      <c r="A30" s="70"/>
      <c r="B30" s="75"/>
      <c r="C30" s="72"/>
      <c r="D30" s="73"/>
      <c r="E30" s="73"/>
      <c r="F30" s="70"/>
      <c r="G30" s="71"/>
      <c r="H30" s="71"/>
      <c r="I30" s="71"/>
      <c r="J30" s="84"/>
      <c r="K30" s="85"/>
    </row>
    <row r="31" spans="1:11" s="64" customFormat="1" ht="20.100000000000001" customHeight="1">
      <c r="A31" s="70"/>
      <c r="B31" s="75"/>
      <c r="C31" s="72"/>
      <c r="D31" s="73"/>
      <c r="E31" s="73"/>
      <c r="F31" s="70"/>
      <c r="G31" s="71"/>
      <c r="H31" s="71"/>
      <c r="I31" s="71"/>
      <c r="J31" s="84"/>
      <c r="K31" s="85"/>
    </row>
    <row r="32" spans="1:11" s="64" customFormat="1" ht="20.100000000000001" customHeight="1">
      <c r="A32" s="70"/>
      <c r="B32" s="75"/>
      <c r="C32" s="72"/>
      <c r="D32" s="73"/>
      <c r="E32" s="73"/>
      <c r="F32" s="70"/>
      <c r="G32" s="71"/>
      <c r="H32" s="71"/>
      <c r="I32" s="71"/>
      <c r="J32" s="84"/>
      <c r="K32" s="85"/>
    </row>
    <row r="33" spans="1:11" s="64" customFormat="1" ht="20.100000000000001" customHeight="1">
      <c r="A33" s="79"/>
      <c r="B33" s="75"/>
      <c r="C33" s="72"/>
      <c r="D33" s="73"/>
      <c r="E33" s="73"/>
      <c r="F33" s="70"/>
      <c r="G33" s="71"/>
      <c r="H33" s="71"/>
      <c r="I33" s="71"/>
      <c r="J33" s="84"/>
      <c r="K33" s="85"/>
    </row>
    <row r="34" spans="1:11" s="64" customFormat="1" ht="20.100000000000001" customHeight="1">
      <c r="A34" s="79"/>
      <c r="B34" s="75"/>
      <c r="C34" s="72"/>
      <c r="D34" s="73"/>
      <c r="E34" s="73"/>
      <c r="F34" s="70"/>
      <c r="G34" s="71"/>
      <c r="H34" s="71"/>
      <c r="I34" s="71"/>
      <c r="J34" s="84"/>
      <c r="K34" s="85"/>
    </row>
    <row r="35" spans="1:11" ht="20.100000000000001" customHeight="1">
      <c r="A35" s="79"/>
      <c r="B35" s="71"/>
      <c r="C35" s="72"/>
      <c r="D35" s="73"/>
      <c r="E35" s="73"/>
      <c r="F35" s="70"/>
      <c r="G35" s="71"/>
      <c r="H35" s="71"/>
      <c r="I35" s="71"/>
      <c r="J35" s="84"/>
      <c r="K35" s="72"/>
    </row>
    <row r="36" spans="1:11" s="275" customFormat="1" ht="20.100000000000001" customHeight="1">
      <c r="A36" s="273" t="s">
        <v>83</v>
      </c>
      <c r="B36" s="274"/>
      <c r="C36" s="274"/>
      <c r="D36" s="274"/>
      <c r="E36" s="274"/>
      <c r="F36" s="274"/>
      <c r="G36" s="274"/>
      <c r="H36" s="274"/>
      <c r="I36" s="274"/>
      <c r="J36" s="274"/>
      <c r="K36" s="274"/>
    </row>
    <row r="37" spans="1:11" s="275" customFormat="1" ht="20.100000000000001" customHeight="1">
      <c r="B37" s="276"/>
      <c r="C37" s="276"/>
      <c r="D37" s="276"/>
      <c r="E37" s="276"/>
      <c r="F37" s="276"/>
      <c r="G37" s="276"/>
      <c r="H37" s="276"/>
      <c r="I37" s="276"/>
      <c r="J37" s="276"/>
      <c r="K37" s="276"/>
    </row>
    <row r="38" spans="1:11" s="275" customFormat="1" ht="20.100000000000001" customHeight="1">
      <c r="B38" s="276"/>
      <c r="C38" s="276"/>
      <c r="D38" s="276"/>
      <c r="E38" s="276"/>
      <c r="F38" s="276"/>
      <c r="G38" s="276"/>
      <c r="H38" s="276"/>
      <c r="I38" s="276"/>
      <c r="J38" s="276"/>
      <c r="K38" s="276"/>
    </row>
    <row r="39" spans="1:11" s="275" customFormat="1" ht="20.100000000000001" customHeight="1">
      <c r="A39" s="276"/>
      <c r="B39" s="276"/>
      <c r="C39" s="276"/>
      <c r="D39" s="276"/>
      <c r="E39" s="276"/>
      <c r="F39" s="276"/>
      <c r="G39" s="276"/>
      <c r="H39" s="276"/>
      <c r="I39" s="276"/>
      <c r="J39" s="276"/>
      <c r="K39" s="276"/>
    </row>
    <row r="40" spans="1:11" s="275" customFormat="1" ht="20.100000000000001" customHeight="1">
      <c r="A40" s="275" t="s">
        <v>84</v>
      </c>
      <c r="B40" s="276"/>
      <c r="C40" s="276"/>
      <c r="D40" s="276"/>
      <c r="E40" s="276"/>
      <c r="F40" s="276"/>
      <c r="G40" s="276"/>
      <c r="H40" s="276"/>
      <c r="I40" s="276"/>
      <c r="J40" s="276"/>
      <c r="K40" s="276"/>
    </row>
    <row r="41" spans="1:11" s="275" customFormat="1" ht="20.100000000000001" customHeight="1">
      <c r="A41" s="276"/>
      <c r="B41" s="276"/>
      <c r="C41" s="276"/>
      <c r="D41" s="276"/>
      <c r="E41" s="276"/>
      <c r="F41" s="276"/>
      <c r="G41" s="276"/>
      <c r="H41" s="276"/>
      <c r="I41" s="276"/>
      <c r="J41" s="276"/>
      <c r="K41" s="276"/>
    </row>
    <row r="42" spans="1:11" ht="20.100000000000001" customHeight="1">
      <c r="A42" s="80" t="s">
        <v>85</v>
      </c>
    </row>
    <row r="43" spans="1:11" ht="20.100000000000001" customHeight="1">
      <c r="A43" s="81" t="s">
        <v>86</v>
      </c>
    </row>
  </sheetData>
  <mergeCells count="6">
    <mergeCell ref="A1:K1"/>
    <mergeCell ref="A2:K2"/>
    <mergeCell ref="A11:E11"/>
    <mergeCell ref="F11:J11"/>
    <mergeCell ref="A8:K8"/>
    <mergeCell ref="A10:K10"/>
  </mergeCells>
  <phoneticPr fontId="124" type="noConversion"/>
  <hyperlinks>
    <hyperlink ref="K3" location="底稿目录!A1" display="D4-18"/>
  </hyperlinks>
  <pageMargins left="0.70833333333333304" right="0.70833333333333304" top="0.74791666666666701" bottom="0.74791666666666701" header="0.31458333333333299" footer="0.31458333333333299"/>
  <pageSetup paperSize="9" scale="74"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43"/>
  <sheetViews>
    <sheetView view="pageBreakPreview" zoomScaleNormal="100" workbookViewId="0">
      <selection sqref="A1:K1"/>
    </sheetView>
  </sheetViews>
  <sheetFormatPr defaultColWidth="8" defaultRowHeight="20.100000000000001" customHeight="1"/>
  <cols>
    <col min="1" max="1" width="9" style="91" customWidth="1"/>
    <col min="2" max="2" width="9.77734375" style="91" customWidth="1"/>
    <col min="3" max="3" width="10.21875" style="91" customWidth="1"/>
    <col min="4" max="4" width="10.6640625" style="91" customWidth="1"/>
    <col min="5" max="5" width="10.21875" style="91" customWidth="1"/>
    <col min="6" max="6" width="10" style="91" customWidth="1"/>
    <col min="7" max="7" width="10.33203125" style="91" customWidth="1"/>
    <col min="8" max="8" width="10.44140625" style="91" customWidth="1"/>
    <col min="9" max="9" width="10" style="91" customWidth="1"/>
    <col min="10" max="10" width="10.88671875" style="91" customWidth="1"/>
    <col min="11" max="11" width="12" style="91" customWidth="1"/>
    <col min="12" max="16384" width="8" style="91"/>
  </cols>
  <sheetData>
    <row r="1" spans="1:11" ht="20.100000000000001" customHeight="1">
      <c r="A1" s="199" t="s">
        <v>23</v>
      </c>
      <c r="B1" s="199"/>
      <c r="C1" s="199"/>
      <c r="D1" s="199"/>
      <c r="E1" s="199"/>
      <c r="F1" s="199"/>
      <c r="G1" s="199"/>
      <c r="H1" s="199"/>
      <c r="I1" s="199"/>
      <c r="J1" s="199"/>
      <c r="K1" s="199"/>
    </row>
    <row r="2" spans="1:11" ht="20.100000000000001" customHeight="1">
      <c r="A2" s="200" t="s">
        <v>14</v>
      </c>
      <c r="B2" s="200"/>
      <c r="C2" s="200"/>
      <c r="D2" s="200"/>
      <c r="E2" s="200"/>
      <c r="F2" s="200"/>
      <c r="G2" s="200"/>
      <c r="H2" s="200"/>
      <c r="I2" s="200"/>
      <c r="J2" s="200"/>
      <c r="K2" s="200"/>
    </row>
    <row r="3" spans="1:11" s="88" customFormat="1" ht="20.100000000000001" customHeight="1">
      <c r="A3" s="4" t="str">
        <f>底稿目录!A2</f>
        <v>被审计单位：</v>
      </c>
      <c r="B3" s="4"/>
      <c r="D3" s="5" t="str">
        <f>底稿目录!A4</f>
        <v>编制人：</v>
      </c>
      <c r="E3" s="2"/>
      <c r="G3" s="4" t="str">
        <f>底稿目录!A5</f>
        <v>编制日期：</v>
      </c>
      <c r="J3" s="104" t="s">
        <v>24</v>
      </c>
      <c r="K3" s="154" t="str">
        <f>底稿目录!F8</f>
        <v>D4-18</v>
      </c>
    </row>
    <row r="4" spans="1:11" s="88" customFormat="1" ht="20.100000000000001" customHeight="1">
      <c r="A4" s="4" t="str">
        <f>底稿目录!A3</f>
        <v>会计期间：202X年度</v>
      </c>
      <c r="B4" s="4"/>
      <c r="D4" s="5" t="str">
        <f>底稿目录!A6</f>
        <v>复核人：</v>
      </c>
      <c r="E4" s="2"/>
      <c r="G4" s="4" t="str">
        <f>底稿目录!A7</f>
        <v>复核日期：</v>
      </c>
      <c r="J4" s="61" t="s">
        <v>25</v>
      </c>
    </row>
    <row r="5" spans="1:11" s="268" customFormat="1" ht="20.100000000000001" customHeight="1">
      <c r="A5" s="257" t="s">
        <v>76</v>
      </c>
      <c r="B5" s="267"/>
      <c r="C5" s="267"/>
      <c r="D5" s="267"/>
      <c r="E5" s="267"/>
      <c r="F5" s="267"/>
      <c r="G5" s="267"/>
      <c r="H5" s="267"/>
      <c r="I5" s="267"/>
      <c r="J5" s="267"/>
    </row>
    <row r="6" spans="1:11" s="268" customFormat="1" ht="20.100000000000001" customHeight="1">
      <c r="A6" s="269" t="s">
        <v>77</v>
      </c>
      <c r="C6" s="269"/>
      <c r="D6" s="269"/>
      <c r="E6" s="269"/>
      <c r="F6" s="269"/>
      <c r="G6" s="269"/>
      <c r="H6" s="269"/>
      <c r="I6" s="269"/>
      <c r="J6" s="269"/>
    </row>
    <row r="7" spans="1:11" s="268" customFormat="1" ht="20.100000000000001" customHeight="1">
      <c r="A7" s="257" t="s">
        <v>31</v>
      </c>
      <c r="B7" s="267"/>
      <c r="C7" s="267"/>
      <c r="D7" s="267"/>
      <c r="E7" s="267"/>
      <c r="F7" s="267"/>
      <c r="G7" s="267"/>
      <c r="H7" s="267"/>
      <c r="I7" s="267"/>
      <c r="J7" s="267"/>
    </row>
    <row r="8" spans="1:11" s="268" customFormat="1" ht="28.8" customHeight="1">
      <c r="A8" s="270" t="s">
        <v>78</v>
      </c>
      <c r="B8" s="270"/>
      <c r="C8" s="270"/>
      <c r="D8" s="270"/>
      <c r="E8" s="270"/>
      <c r="F8" s="270"/>
      <c r="G8" s="270"/>
      <c r="H8" s="270"/>
      <c r="I8" s="270"/>
      <c r="J8" s="270"/>
      <c r="K8" s="270"/>
    </row>
    <row r="9" spans="1:11" s="268" customFormat="1" ht="20.100000000000001" customHeight="1">
      <c r="A9" s="271" t="s">
        <v>79</v>
      </c>
      <c r="B9" s="269"/>
      <c r="C9" s="267"/>
      <c r="D9" s="267"/>
      <c r="E9" s="267"/>
      <c r="F9" s="267"/>
      <c r="G9" s="267"/>
      <c r="H9" s="267"/>
      <c r="I9" s="267"/>
      <c r="J9" s="267"/>
    </row>
    <row r="10" spans="1:11" s="268" customFormat="1" ht="27.6" customHeight="1">
      <c r="A10" s="272" t="s">
        <v>168</v>
      </c>
      <c r="B10" s="272"/>
      <c r="C10" s="272"/>
      <c r="D10" s="272"/>
      <c r="E10" s="272"/>
      <c r="F10" s="272"/>
      <c r="G10" s="272"/>
      <c r="H10" s="272"/>
      <c r="I10" s="272"/>
      <c r="J10" s="272"/>
      <c r="K10" s="272"/>
    </row>
    <row r="11" spans="1:11" s="90" customFormat="1" ht="20.100000000000001" customHeight="1">
      <c r="A11" s="201" t="s">
        <v>74</v>
      </c>
      <c r="B11" s="202"/>
      <c r="C11" s="202"/>
      <c r="D11" s="202"/>
      <c r="E11" s="203"/>
      <c r="F11" s="204" t="s">
        <v>44</v>
      </c>
      <c r="G11" s="205"/>
      <c r="H11" s="205"/>
      <c r="I11" s="205"/>
      <c r="J11" s="205"/>
      <c r="K11" s="93" t="s">
        <v>80</v>
      </c>
    </row>
    <row r="12" spans="1:11" s="90" customFormat="1" ht="20.100000000000001" customHeight="1">
      <c r="A12" s="69" t="s">
        <v>53</v>
      </c>
      <c r="B12" s="69" t="s">
        <v>54</v>
      </c>
      <c r="C12" s="69" t="s">
        <v>55</v>
      </c>
      <c r="D12" s="69" t="s">
        <v>56</v>
      </c>
      <c r="E12" s="69" t="s">
        <v>57</v>
      </c>
      <c r="F12" s="93" t="s">
        <v>53</v>
      </c>
      <c r="G12" s="94" t="s">
        <v>54</v>
      </c>
      <c r="H12" s="69" t="s">
        <v>55</v>
      </c>
      <c r="I12" s="69" t="s">
        <v>56</v>
      </c>
      <c r="J12" s="69" t="s">
        <v>57</v>
      </c>
      <c r="K12" s="93" t="s">
        <v>81</v>
      </c>
    </row>
    <row r="13" spans="1:11" s="90" customFormat="1" ht="20.100000000000001" customHeight="1">
      <c r="A13" s="71"/>
      <c r="B13" s="95"/>
      <c r="C13" s="96"/>
      <c r="D13" s="73"/>
      <c r="E13" s="73"/>
      <c r="F13" s="71"/>
      <c r="G13" s="95"/>
      <c r="H13" s="95"/>
      <c r="I13" s="95"/>
      <c r="J13" s="73"/>
      <c r="K13" s="105"/>
    </row>
    <row r="14" spans="1:11" s="90" customFormat="1" ht="20.100000000000001" customHeight="1">
      <c r="A14" s="97"/>
      <c r="B14" s="95"/>
      <c r="C14" s="96"/>
      <c r="D14" s="73"/>
      <c r="E14" s="73"/>
      <c r="F14" s="71"/>
      <c r="G14" s="95"/>
      <c r="H14" s="95"/>
      <c r="I14" s="95"/>
      <c r="J14" s="73"/>
      <c r="K14" s="105"/>
    </row>
    <row r="15" spans="1:11" s="90" customFormat="1" ht="20.100000000000001" customHeight="1">
      <c r="A15" s="97"/>
      <c r="B15" s="95"/>
      <c r="C15" s="96"/>
      <c r="D15" s="73"/>
      <c r="E15" s="73"/>
      <c r="F15" s="71"/>
      <c r="G15" s="95"/>
      <c r="H15" s="95"/>
      <c r="I15" s="95"/>
      <c r="J15" s="73"/>
      <c r="K15" s="105"/>
    </row>
    <row r="16" spans="1:11" s="90" customFormat="1" ht="20.100000000000001" customHeight="1">
      <c r="A16" s="97"/>
      <c r="B16" s="95"/>
      <c r="C16" s="96"/>
      <c r="D16" s="73"/>
      <c r="E16" s="73"/>
      <c r="F16" s="71"/>
      <c r="G16" s="95"/>
      <c r="H16" s="95"/>
      <c r="I16" s="95"/>
      <c r="J16" s="73"/>
      <c r="K16" s="105"/>
    </row>
    <row r="17" spans="1:11" s="90" customFormat="1" ht="20.100000000000001" customHeight="1">
      <c r="A17" s="97"/>
      <c r="B17" s="95"/>
      <c r="C17" s="96"/>
      <c r="D17" s="73"/>
      <c r="E17" s="73"/>
      <c r="F17" s="71"/>
      <c r="G17" s="95"/>
      <c r="H17" s="95"/>
      <c r="I17" s="95"/>
      <c r="J17" s="73"/>
      <c r="K17" s="105"/>
    </row>
    <row r="18" spans="1:11" s="90" customFormat="1" ht="20.100000000000001" customHeight="1">
      <c r="A18" s="97"/>
      <c r="B18" s="95"/>
      <c r="C18" s="96"/>
      <c r="D18" s="73"/>
      <c r="E18" s="73"/>
      <c r="F18" s="71"/>
      <c r="G18" s="95"/>
      <c r="H18" s="95"/>
      <c r="I18" s="95"/>
      <c r="J18" s="73"/>
      <c r="K18" s="105"/>
    </row>
    <row r="19" spans="1:11" s="90" customFormat="1" ht="20.100000000000001" customHeight="1">
      <c r="A19" s="97"/>
      <c r="B19" s="95"/>
      <c r="C19" s="96"/>
      <c r="D19" s="73"/>
      <c r="E19" s="73"/>
      <c r="F19" s="71"/>
      <c r="G19" s="95"/>
      <c r="H19" s="95"/>
      <c r="I19" s="95"/>
      <c r="J19" s="73"/>
      <c r="K19" s="105"/>
    </row>
    <row r="20" spans="1:11" s="90" customFormat="1" ht="20.100000000000001" customHeight="1">
      <c r="A20" s="97"/>
      <c r="B20" s="95"/>
      <c r="C20" s="96"/>
      <c r="D20" s="73"/>
      <c r="E20" s="73"/>
      <c r="F20" s="71"/>
      <c r="G20" s="95"/>
      <c r="H20" s="95"/>
      <c r="I20" s="95"/>
      <c r="J20" s="73"/>
      <c r="K20" s="105"/>
    </row>
    <row r="21" spans="1:11" s="90" customFormat="1" ht="20.100000000000001" customHeight="1">
      <c r="A21" s="71"/>
      <c r="B21" s="98"/>
      <c r="C21" s="96"/>
      <c r="D21" s="73"/>
      <c r="E21" s="73"/>
      <c r="F21" s="71"/>
      <c r="G21" s="95"/>
      <c r="H21" s="95"/>
      <c r="I21" s="95"/>
      <c r="J21" s="73"/>
      <c r="K21" s="105"/>
    </row>
    <row r="22" spans="1:11" s="90" customFormat="1" ht="20.100000000000001" customHeight="1">
      <c r="A22" s="71"/>
      <c r="B22" s="98"/>
      <c r="C22" s="96"/>
      <c r="D22" s="73"/>
      <c r="E22" s="73"/>
      <c r="F22" s="71"/>
      <c r="G22" s="95"/>
      <c r="H22" s="95"/>
      <c r="I22" s="95"/>
      <c r="J22" s="73"/>
      <c r="K22" s="105"/>
    </row>
    <row r="23" spans="1:11" s="90" customFormat="1" ht="20.100000000000001" customHeight="1">
      <c r="A23" s="71"/>
      <c r="B23" s="98"/>
      <c r="C23" s="96"/>
      <c r="D23" s="73"/>
      <c r="E23" s="73"/>
      <c r="F23" s="71"/>
      <c r="G23" s="95"/>
      <c r="H23" s="95"/>
      <c r="I23" s="95"/>
      <c r="J23" s="73"/>
      <c r="K23" s="105"/>
    </row>
    <row r="24" spans="1:11" s="90" customFormat="1" ht="20.100000000000001" customHeight="1">
      <c r="A24" s="99" t="s">
        <v>82</v>
      </c>
      <c r="B24" s="100"/>
      <c r="C24" s="101"/>
      <c r="D24" s="100"/>
      <c r="E24" s="100"/>
      <c r="F24" s="102"/>
      <c r="G24" s="100"/>
      <c r="H24" s="100"/>
      <c r="I24" s="100"/>
      <c r="J24" s="106"/>
      <c r="K24" s="107"/>
    </row>
    <row r="25" spans="1:11" s="90" customFormat="1" ht="20.100000000000001" customHeight="1">
      <c r="A25" s="71"/>
      <c r="B25" s="98"/>
      <c r="C25" s="96"/>
      <c r="D25" s="73"/>
      <c r="E25" s="73"/>
      <c r="F25" s="71"/>
      <c r="G25" s="95"/>
      <c r="H25" s="95"/>
      <c r="I25" s="95"/>
      <c r="J25" s="73"/>
      <c r="K25" s="105"/>
    </row>
    <row r="26" spans="1:11" s="90" customFormat="1" ht="20.100000000000001" customHeight="1">
      <c r="A26" s="71"/>
      <c r="B26" s="98"/>
      <c r="C26" s="96"/>
      <c r="D26" s="73"/>
      <c r="E26" s="73"/>
      <c r="F26" s="71"/>
      <c r="G26" s="95"/>
      <c r="H26" s="95"/>
      <c r="I26" s="95"/>
      <c r="J26" s="73"/>
      <c r="K26" s="105"/>
    </row>
    <row r="27" spans="1:11" s="90" customFormat="1" ht="20.100000000000001" customHeight="1">
      <c r="A27" s="71"/>
      <c r="B27" s="98"/>
      <c r="C27" s="96"/>
      <c r="D27" s="73"/>
      <c r="E27" s="73"/>
      <c r="F27" s="71"/>
      <c r="G27" s="95"/>
      <c r="H27" s="95"/>
      <c r="I27" s="95"/>
      <c r="J27" s="73"/>
      <c r="K27" s="105"/>
    </row>
    <row r="28" spans="1:11" s="90" customFormat="1" ht="20.100000000000001" customHeight="1">
      <c r="A28" s="71"/>
      <c r="B28" s="98"/>
      <c r="C28" s="96"/>
      <c r="D28" s="73"/>
      <c r="E28" s="73"/>
      <c r="F28" s="71"/>
      <c r="G28" s="95"/>
      <c r="H28" s="95"/>
      <c r="I28" s="95"/>
      <c r="J28" s="73"/>
      <c r="K28" s="105"/>
    </row>
    <row r="29" spans="1:11" s="90" customFormat="1" ht="20.100000000000001" customHeight="1">
      <c r="A29" s="71"/>
      <c r="B29" s="98"/>
      <c r="C29" s="96"/>
      <c r="D29" s="73"/>
      <c r="E29" s="73"/>
      <c r="F29" s="71"/>
      <c r="G29" s="95"/>
      <c r="H29" s="95"/>
      <c r="I29" s="95"/>
      <c r="J29" s="73"/>
      <c r="K29" s="105"/>
    </row>
    <row r="30" spans="1:11" s="90" customFormat="1" ht="20.100000000000001" customHeight="1">
      <c r="A30" s="71"/>
      <c r="B30" s="98"/>
      <c r="C30" s="96"/>
      <c r="D30" s="73"/>
      <c r="E30" s="73"/>
      <c r="F30" s="71"/>
      <c r="G30" s="95"/>
      <c r="H30" s="95"/>
      <c r="I30" s="95"/>
      <c r="J30" s="73"/>
      <c r="K30" s="105"/>
    </row>
    <row r="31" spans="1:11" s="90" customFormat="1" ht="20.100000000000001" customHeight="1">
      <c r="A31" s="71"/>
      <c r="B31" s="98"/>
      <c r="C31" s="96"/>
      <c r="D31" s="73"/>
      <c r="E31" s="73"/>
      <c r="F31" s="71"/>
      <c r="G31" s="95"/>
      <c r="H31" s="95"/>
      <c r="I31" s="95"/>
      <c r="J31" s="73"/>
      <c r="K31" s="105"/>
    </row>
    <row r="32" spans="1:11" s="90" customFormat="1" ht="20.100000000000001" customHeight="1">
      <c r="A32" s="71"/>
      <c r="B32" s="98"/>
      <c r="C32" s="96"/>
      <c r="D32" s="73"/>
      <c r="E32" s="73"/>
      <c r="F32" s="71"/>
      <c r="G32" s="95"/>
      <c r="H32" s="95"/>
      <c r="I32" s="95"/>
      <c r="J32" s="73"/>
      <c r="K32" s="105"/>
    </row>
    <row r="33" spans="1:11" s="90" customFormat="1" ht="20.100000000000001" customHeight="1">
      <c r="A33" s="71"/>
      <c r="B33" s="98"/>
      <c r="C33" s="96"/>
      <c r="D33" s="73"/>
      <c r="E33" s="73"/>
      <c r="F33" s="71"/>
      <c r="G33" s="95"/>
      <c r="H33" s="95"/>
      <c r="I33" s="95"/>
      <c r="J33" s="73"/>
      <c r="K33" s="105"/>
    </row>
    <row r="34" spans="1:11" s="90" customFormat="1" ht="20.100000000000001" customHeight="1">
      <c r="A34" s="103"/>
      <c r="B34" s="98"/>
      <c r="C34" s="96"/>
      <c r="D34" s="73"/>
      <c r="E34" s="73"/>
      <c r="F34" s="71"/>
      <c r="G34" s="95"/>
      <c r="H34" s="95"/>
      <c r="I34" s="95"/>
      <c r="J34" s="73"/>
      <c r="K34" s="105"/>
    </row>
    <row r="35" spans="1:11" ht="20.100000000000001" customHeight="1">
      <c r="A35" s="103"/>
      <c r="B35" s="95"/>
      <c r="C35" s="96"/>
      <c r="D35" s="73"/>
      <c r="E35" s="73"/>
      <c r="F35" s="71"/>
      <c r="G35" s="95"/>
      <c r="H35" s="95"/>
      <c r="I35" s="95"/>
      <c r="J35" s="73"/>
      <c r="K35" s="105"/>
    </row>
    <row r="36" spans="1:11" s="275" customFormat="1" ht="20.100000000000001" customHeight="1">
      <c r="A36" s="273" t="s">
        <v>83</v>
      </c>
      <c r="B36" s="274"/>
      <c r="C36" s="274"/>
      <c r="D36" s="274"/>
      <c r="E36" s="274"/>
      <c r="F36" s="274"/>
      <c r="G36" s="274"/>
      <c r="H36" s="274"/>
      <c r="I36" s="274"/>
      <c r="J36" s="274"/>
      <c r="K36" s="274"/>
    </row>
    <row r="37" spans="1:11" s="275" customFormat="1" ht="20.100000000000001" customHeight="1">
      <c r="B37" s="276"/>
      <c r="C37" s="276"/>
      <c r="D37" s="276"/>
      <c r="E37" s="276"/>
      <c r="F37" s="276"/>
      <c r="G37" s="276"/>
      <c r="H37" s="276"/>
      <c r="I37" s="276"/>
      <c r="J37" s="276"/>
      <c r="K37" s="276"/>
    </row>
    <row r="38" spans="1:11" s="275" customFormat="1" ht="20.100000000000001" customHeight="1">
      <c r="B38" s="276"/>
      <c r="C38" s="276"/>
      <c r="D38" s="276"/>
      <c r="E38" s="276"/>
      <c r="F38" s="276"/>
      <c r="G38" s="276"/>
      <c r="H38" s="276"/>
      <c r="I38" s="276"/>
      <c r="J38" s="276"/>
      <c r="K38" s="276"/>
    </row>
    <row r="39" spans="1:11" s="275" customFormat="1" ht="20.100000000000001" customHeight="1">
      <c r="A39" s="276"/>
      <c r="B39" s="276"/>
      <c r="C39" s="276"/>
      <c r="D39" s="276"/>
      <c r="E39" s="276"/>
      <c r="F39" s="276"/>
      <c r="G39" s="276"/>
      <c r="H39" s="276"/>
      <c r="I39" s="276"/>
      <c r="J39" s="276"/>
      <c r="K39" s="276"/>
    </row>
    <row r="40" spans="1:11" s="275" customFormat="1" ht="20.100000000000001" customHeight="1">
      <c r="A40" s="275" t="s">
        <v>84</v>
      </c>
      <c r="B40" s="276"/>
      <c r="C40" s="276"/>
      <c r="D40" s="276"/>
      <c r="E40" s="276"/>
      <c r="F40" s="276"/>
      <c r="G40" s="276"/>
      <c r="H40" s="276"/>
      <c r="I40" s="276"/>
      <c r="J40" s="276"/>
      <c r="K40" s="276"/>
    </row>
    <row r="41" spans="1:11" s="275" customFormat="1" ht="20.100000000000001" customHeight="1">
      <c r="A41" s="276"/>
      <c r="B41" s="276"/>
      <c r="C41" s="276"/>
      <c r="D41" s="276"/>
      <c r="E41" s="276"/>
      <c r="F41" s="276"/>
      <c r="G41" s="276"/>
      <c r="H41" s="276"/>
      <c r="I41" s="276"/>
      <c r="J41" s="276"/>
      <c r="K41" s="276"/>
    </row>
    <row r="42" spans="1:11" ht="20.100000000000001" customHeight="1">
      <c r="A42" s="80" t="s">
        <v>85</v>
      </c>
    </row>
    <row r="43" spans="1:11" ht="20.100000000000001" customHeight="1">
      <c r="A43" s="81" t="s">
        <v>86</v>
      </c>
    </row>
  </sheetData>
  <mergeCells count="6">
    <mergeCell ref="A1:K1"/>
    <mergeCell ref="A2:K2"/>
    <mergeCell ref="A11:E11"/>
    <mergeCell ref="F11:J11"/>
    <mergeCell ref="A10:K10"/>
    <mergeCell ref="A8:K8"/>
  </mergeCells>
  <phoneticPr fontId="124" type="noConversion"/>
  <hyperlinks>
    <hyperlink ref="K3" location="底稿目录!A1" display="D4-17"/>
  </hyperlinks>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P36"/>
  <sheetViews>
    <sheetView view="pageBreakPreview" zoomScaleNormal="100" workbookViewId="0">
      <selection sqref="A1:O1"/>
    </sheetView>
  </sheetViews>
  <sheetFormatPr defaultColWidth="9" defaultRowHeight="20.100000000000001" customHeight="1"/>
  <cols>
    <col min="1" max="1" width="15.44140625" style="2" customWidth="1"/>
    <col min="2" max="2" width="14.109375" style="2" customWidth="1"/>
    <col min="3" max="3" width="13.88671875" style="2" customWidth="1"/>
    <col min="4" max="4" width="15" style="2" customWidth="1"/>
    <col min="5" max="5" width="8.6640625" style="2" customWidth="1"/>
    <col min="6" max="6" width="9.77734375" style="2" customWidth="1"/>
    <col min="7" max="8" width="9" style="2"/>
    <col min="9" max="9" width="10.33203125" style="2" customWidth="1"/>
    <col min="10" max="16384" width="9" style="2"/>
  </cols>
  <sheetData>
    <row r="1" spans="1:16" ht="20.100000000000001" customHeight="1">
      <c r="A1" s="187" t="s">
        <v>23</v>
      </c>
      <c r="B1" s="187"/>
      <c r="C1" s="187"/>
      <c r="D1" s="187"/>
      <c r="E1" s="187"/>
      <c r="F1" s="187"/>
      <c r="G1" s="187"/>
      <c r="H1" s="187"/>
      <c r="I1" s="187"/>
      <c r="J1" s="187"/>
      <c r="K1" s="187"/>
      <c r="L1" s="187"/>
      <c r="M1" s="187"/>
      <c r="N1" s="187"/>
      <c r="O1" s="187"/>
    </row>
    <row r="2" spans="1:16" ht="20.100000000000001" customHeight="1">
      <c r="A2" s="188" t="s">
        <v>19</v>
      </c>
      <c r="B2" s="188"/>
      <c r="C2" s="188"/>
      <c r="D2" s="188"/>
      <c r="E2" s="188"/>
      <c r="F2" s="188"/>
      <c r="G2" s="188"/>
      <c r="H2" s="188"/>
      <c r="I2" s="188"/>
      <c r="J2" s="188"/>
      <c r="K2" s="188"/>
      <c r="L2" s="188"/>
      <c r="M2" s="188"/>
      <c r="N2" s="188"/>
      <c r="O2" s="188"/>
    </row>
    <row r="3" spans="1:16" ht="20.100000000000001" customHeight="1">
      <c r="A3" s="4" t="str">
        <f>底稿目录!A2</f>
        <v>被审计单位：</v>
      </c>
      <c r="C3" s="5"/>
      <c r="E3" s="5" t="str">
        <f>底稿目录!A4</f>
        <v>编制人：</v>
      </c>
      <c r="I3" s="4" t="str">
        <f>底稿目录!A5</f>
        <v>编制日期：</v>
      </c>
      <c r="N3" s="61" t="s">
        <v>24</v>
      </c>
      <c r="O3" s="154" t="str">
        <f>底稿目录!F9</f>
        <v>D4-19</v>
      </c>
    </row>
    <row r="4" spans="1:16" ht="20.100000000000001" customHeight="1">
      <c r="A4" s="4" t="str">
        <f>底稿目录!A3</f>
        <v>会计期间：202X年度</v>
      </c>
      <c r="C4" s="5"/>
      <c r="E4" s="5" t="str">
        <f>底稿目录!A6</f>
        <v>复核人：</v>
      </c>
      <c r="I4" s="4" t="str">
        <f>底稿目录!A7</f>
        <v>复核日期：</v>
      </c>
      <c r="N4" s="61" t="s">
        <v>88</v>
      </c>
    </row>
    <row r="5" spans="1:16" s="227" customFormat="1" ht="20.100000000000001" customHeight="1">
      <c r="A5" s="257" t="s">
        <v>76</v>
      </c>
    </row>
    <row r="6" spans="1:16" s="227" customFormat="1" ht="20.100000000000001" customHeight="1">
      <c r="A6" s="277" t="s">
        <v>89</v>
      </c>
    </row>
    <row r="7" spans="1:16" s="227" customFormat="1" ht="20.100000000000001" customHeight="1">
      <c r="A7" s="257" t="s">
        <v>31</v>
      </c>
    </row>
    <row r="8" spans="1:16" s="227" customFormat="1" ht="20.100000000000001" customHeight="1">
      <c r="A8" s="278" t="s">
        <v>90</v>
      </c>
      <c r="B8" s="277"/>
      <c r="C8" s="279"/>
      <c r="D8" s="279"/>
    </row>
    <row r="9" spans="1:16" s="227" customFormat="1" ht="20.100000000000001" customHeight="1">
      <c r="A9" s="266" t="s">
        <v>79</v>
      </c>
      <c r="B9" s="277"/>
      <c r="C9" s="279"/>
      <c r="D9" s="279"/>
      <c r="I9" s="279"/>
      <c r="J9" s="277"/>
    </row>
    <row r="10" spans="1:16" s="227" customFormat="1" ht="20.100000000000001" customHeight="1">
      <c r="A10" s="257"/>
    </row>
    <row r="11" spans="1:16" ht="20.100000000000001" customHeight="1">
      <c r="A11" s="206" t="s">
        <v>91</v>
      </c>
      <c r="B11" s="208" t="s">
        <v>92</v>
      </c>
      <c r="C11" s="208" t="s">
        <v>93</v>
      </c>
      <c r="D11" s="208" t="s">
        <v>94</v>
      </c>
      <c r="E11" s="208" t="s">
        <v>95</v>
      </c>
      <c r="F11" s="208" t="s">
        <v>96</v>
      </c>
      <c r="G11" s="206" t="s">
        <v>44</v>
      </c>
      <c r="H11" s="206"/>
      <c r="I11" s="206"/>
      <c r="J11" s="206"/>
      <c r="K11" s="206"/>
      <c r="L11" s="206"/>
      <c r="M11" s="206" t="s">
        <v>97</v>
      </c>
      <c r="N11" s="206"/>
      <c r="O11" s="206" t="s">
        <v>98</v>
      </c>
    </row>
    <row r="12" spans="1:16" ht="20.100000000000001" customHeight="1">
      <c r="A12" s="206"/>
      <c r="B12" s="208"/>
      <c r="C12" s="208"/>
      <c r="D12" s="208"/>
      <c r="E12" s="206"/>
      <c r="F12" s="206"/>
      <c r="G12" s="52" t="s">
        <v>53</v>
      </c>
      <c r="H12" s="52" t="s">
        <v>54</v>
      </c>
      <c r="I12" s="52" t="s">
        <v>99</v>
      </c>
      <c r="J12" s="52" t="s">
        <v>100</v>
      </c>
      <c r="K12" s="52" t="s">
        <v>101</v>
      </c>
      <c r="L12" s="52" t="s">
        <v>102</v>
      </c>
      <c r="M12" s="52" t="s">
        <v>53</v>
      </c>
      <c r="N12" s="52" t="s">
        <v>103</v>
      </c>
      <c r="O12" s="206"/>
    </row>
    <row r="13" spans="1:16" ht="20.100000000000001" customHeight="1">
      <c r="A13" s="53"/>
      <c r="B13" s="54"/>
      <c r="C13" s="289"/>
      <c r="D13" s="289"/>
      <c r="E13" s="290"/>
      <c r="F13" s="54"/>
      <c r="G13" s="291"/>
      <c r="H13" s="292"/>
      <c r="I13" s="53"/>
      <c r="J13" s="53"/>
      <c r="K13" s="293"/>
      <c r="L13" s="293"/>
      <c r="M13" s="291"/>
      <c r="N13" s="62"/>
      <c r="O13" s="54"/>
      <c r="P13" s="2" t="s">
        <v>104</v>
      </c>
    </row>
    <row r="14" spans="1:16" ht="20.100000000000001" customHeight="1">
      <c r="A14" s="53"/>
      <c r="B14" s="54"/>
      <c r="C14" s="289"/>
      <c r="D14" s="289"/>
      <c r="E14" s="290"/>
      <c r="F14" s="54"/>
      <c r="G14" s="291"/>
      <c r="H14" s="292"/>
      <c r="I14" s="53"/>
      <c r="J14" s="53"/>
      <c r="K14" s="293"/>
      <c r="L14" s="293"/>
      <c r="M14" s="291"/>
      <c r="N14" s="62"/>
      <c r="O14" s="54"/>
      <c r="P14" s="2" t="s">
        <v>105</v>
      </c>
    </row>
    <row r="15" spans="1:16" ht="20.100000000000001" customHeight="1">
      <c r="A15" s="53"/>
      <c r="B15" s="54"/>
      <c r="C15" s="255"/>
      <c r="D15" s="289"/>
      <c r="E15" s="290"/>
      <c r="F15" s="54"/>
      <c r="G15" s="291"/>
      <c r="H15" s="292"/>
      <c r="I15" s="53"/>
      <c r="J15" s="53"/>
      <c r="K15" s="293"/>
      <c r="L15" s="293"/>
      <c r="M15" s="291"/>
      <c r="N15" s="62"/>
      <c r="O15" s="54"/>
      <c r="P15" s="2" t="s">
        <v>106</v>
      </c>
    </row>
    <row r="16" spans="1:16" ht="20.100000000000001" customHeight="1">
      <c r="A16" s="53"/>
      <c r="B16" s="54"/>
      <c r="C16" s="255"/>
      <c r="D16" s="289"/>
      <c r="E16" s="290"/>
      <c r="F16" s="54"/>
      <c r="G16" s="291"/>
      <c r="H16" s="292"/>
      <c r="I16" s="53"/>
      <c r="J16" s="53"/>
      <c r="K16" s="293"/>
      <c r="L16" s="293"/>
      <c r="M16" s="291"/>
      <c r="N16" s="62"/>
      <c r="O16" s="54"/>
      <c r="P16" s="2" t="s">
        <v>107</v>
      </c>
    </row>
    <row r="17" spans="1:15" ht="20.100000000000001" customHeight="1">
      <c r="A17" s="53"/>
      <c r="B17" s="54"/>
      <c r="C17" s="289"/>
      <c r="D17" s="289"/>
      <c r="E17" s="290"/>
      <c r="F17" s="54"/>
      <c r="G17" s="291"/>
      <c r="H17" s="292"/>
      <c r="I17" s="53"/>
      <c r="J17" s="53"/>
      <c r="K17" s="293"/>
      <c r="L17" s="293"/>
      <c r="M17" s="291"/>
      <c r="N17" s="62"/>
      <c r="O17" s="54"/>
    </row>
    <row r="18" spans="1:15" ht="20.100000000000001" customHeight="1">
      <c r="A18" s="53"/>
      <c r="B18" s="54"/>
      <c r="C18" s="289"/>
      <c r="D18" s="289"/>
      <c r="E18" s="290"/>
      <c r="F18" s="54"/>
      <c r="G18" s="291"/>
      <c r="H18" s="292"/>
      <c r="I18" s="53"/>
      <c r="J18" s="53"/>
      <c r="K18" s="293"/>
      <c r="L18" s="293"/>
      <c r="M18" s="291"/>
      <c r="N18" s="62"/>
      <c r="O18" s="54"/>
    </row>
    <row r="19" spans="1:15" ht="20.100000000000001" customHeight="1">
      <c r="A19" s="53"/>
      <c r="B19" s="54"/>
      <c r="C19" s="289"/>
      <c r="D19" s="289"/>
      <c r="E19" s="290"/>
      <c r="F19" s="54"/>
      <c r="G19" s="291"/>
      <c r="H19" s="292"/>
      <c r="I19" s="53"/>
      <c r="J19" s="53"/>
      <c r="K19" s="293"/>
      <c r="L19" s="293"/>
      <c r="M19" s="291"/>
      <c r="N19" s="62"/>
      <c r="O19" s="54"/>
    </row>
    <row r="20" spans="1:15" ht="20.100000000000001" customHeight="1">
      <c r="A20" s="53"/>
      <c r="B20" s="54"/>
      <c r="C20" s="289"/>
      <c r="D20" s="289"/>
      <c r="E20" s="290"/>
      <c r="F20" s="54"/>
      <c r="G20" s="291"/>
      <c r="H20" s="292"/>
      <c r="I20" s="53"/>
      <c r="J20" s="53"/>
      <c r="K20" s="293"/>
      <c r="L20" s="293"/>
      <c r="M20" s="291"/>
      <c r="N20" s="62"/>
      <c r="O20" s="54"/>
    </row>
    <row r="21" spans="1:15" ht="20.100000000000001" customHeight="1">
      <c r="A21" s="53"/>
      <c r="B21" s="54"/>
      <c r="C21" s="289"/>
      <c r="D21" s="289"/>
      <c r="E21" s="290"/>
      <c r="F21" s="54"/>
      <c r="G21" s="291"/>
      <c r="H21" s="292"/>
      <c r="I21" s="53"/>
      <c r="J21" s="53"/>
      <c r="K21" s="293"/>
      <c r="L21" s="293"/>
      <c r="M21" s="291"/>
      <c r="N21" s="62"/>
      <c r="O21" s="54"/>
    </row>
    <row r="22" spans="1:15" ht="20.100000000000001" customHeight="1">
      <c r="A22" s="53"/>
      <c r="B22" s="54"/>
      <c r="C22" s="289"/>
      <c r="D22" s="289"/>
      <c r="E22" s="290"/>
      <c r="F22" s="54"/>
      <c r="G22" s="291"/>
      <c r="H22" s="292"/>
      <c r="I22" s="53"/>
      <c r="J22" s="53"/>
      <c r="K22" s="293"/>
      <c r="L22" s="293"/>
      <c r="M22" s="291"/>
      <c r="N22" s="62"/>
      <c r="O22" s="54"/>
    </row>
    <row r="23" spans="1:15" ht="20.100000000000001" customHeight="1">
      <c r="A23" s="53"/>
      <c r="B23" s="54"/>
      <c r="C23" s="289"/>
      <c r="D23" s="289"/>
      <c r="E23" s="290"/>
      <c r="F23" s="54"/>
      <c r="G23" s="291"/>
      <c r="H23" s="292"/>
      <c r="I23" s="53"/>
      <c r="J23" s="53"/>
      <c r="K23" s="293"/>
      <c r="L23" s="293"/>
      <c r="M23" s="291"/>
      <c r="N23" s="62"/>
      <c r="O23" s="54"/>
    </row>
    <row r="24" spans="1:15" s="227" customFormat="1" ht="20.100000000000001" customHeight="1">
      <c r="A24" s="280" t="s">
        <v>83</v>
      </c>
      <c r="B24" s="265"/>
      <c r="C24" s="265"/>
      <c r="D24" s="281"/>
      <c r="E24" s="281"/>
      <c r="F24" s="281"/>
      <c r="G24" s="281"/>
      <c r="I24" s="282"/>
      <c r="J24" s="282"/>
      <c r="K24" s="283"/>
      <c r="L24" s="283"/>
      <c r="M24" s="283"/>
      <c r="N24" s="283"/>
      <c r="O24" s="281"/>
    </row>
    <row r="25" spans="1:15" s="227" customFormat="1" ht="20.100000000000001" customHeight="1">
      <c r="B25" s="284"/>
      <c r="C25" s="284"/>
      <c r="D25" s="284"/>
      <c r="E25" s="284"/>
      <c r="F25" s="284"/>
      <c r="G25" s="284"/>
    </row>
    <row r="26" spans="1:15" s="227" customFormat="1" ht="20.100000000000001" customHeight="1">
      <c r="A26" s="280"/>
      <c r="B26" s="285"/>
      <c r="C26" s="285"/>
      <c r="D26" s="285"/>
      <c r="E26" s="285"/>
      <c r="F26" s="285"/>
      <c r="G26" s="285"/>
    </row>
    <row r="27" spans="1:15" s="227" customFormat="1" ht="20.100000000000001" customHeight="1">
      <c r="A27" s="286"/>
      <c r="B27" s="287"/>
      <c r="C27" s="287"/>
      <c r="D27" s="287"/>
      <c r="E27" s="287"/>
      <c r="F27" s="287"/>
      <c r="G27" s="287"/>
    </row>
    <row r="28" spans="1:15" s="227" customFormat="1" ht="20.100000000000001" customHeight="1">
      <c r="A28" s="280" t="s">
        <v>84</v>
      </c>
      <c r="B28" s="287"/>
      <c r="C28" s="287"/>
      <c r="D28" s="287"/>
      <c r="E28" s="287"/>
      <c r="F28" s="287"/>
      <c r="G28" s="287"/>
    </row>
    <row r="29" spans="1:15" s="227" customFormat="1" ht="20.100000000000001" customHeight="1">
      <c r="A29" s="288"/>
      <c r="B29" s="287"/>
      <c r="C29" s="287"/>
      <c r="D29" s="287"/>
      <c r="E29" s="287"/>
      <c r="F29" s="287"/>
      <c r="G29" s="287"/>
    </row>
    <row r="30" spans="1:15" ht="49.5" customHeight="1">
      <c r="A30" s="207" t="s">
        <v>108</v>
      </c>
      <c r="B30" s="207"/>
      <c r="C30" s="207"/>
      <c r="D30" s="207"/>
      <c r="E30" s="207"/>
      <c r="F30" s="207"/>
      <c r="G30" s="207"/>
      <c r="H30" s="207"/>
      <c r="I30" s="207"/>
      <c r="J30" s="207"/>
      <c r="K30" s="207"/>
      <c r="L30" s="207"/>
      <c r="M30" s="207"/>
      <c r="N30" s="207"/>
      <c r="O30" s="207"/>
    </row>
    <row r="31" spans="1:15" ht="20.100000000000001" customHeight="1">
      <c r="A31" s="57"/>
      <c r="B31" s="58"/>
      <c r="C31" s="58"/>
      <c r="D31" s="58"/>
      <c r="E31" s="58"/>
      <c r="F31" s="58"/>
      <c r="G31" s="58"/>
      <c r="H31" s="59"/>
      <c r="I31" s="59"/>
      <c r="J31" s="59"/>
      <c r="K31" s="59"/>
      <c r="L31" s="59"/>
      <c r="M31" s="59"/>
      <c r="N31" s="59"/>
      <c r="O31" s="59"/>
    </row>
    <row r="32" spans="1:15" ht="20.100000000000001" customHeight="1">
      <c r="A32" s="57"/>
      <c r="B32" s="58"/>
      <c r="C32" s="58"/>
      <c r="D32" s="58"/>
      <c r="E32" s="58"/>
      <c r="F32" s="58"/>
      <c r="G32" s="58"/>
      <c r="H32" s="59"/>
      <c r="I32" s="59"/>
      <c r="J32" s="59"/>
      <c r="K32" s="59"/>
      <c r="L32" s="59"/>
      <c r="M32" s="59"/>
      <c r="N32" s="59"/>
      <c r="O32" s="59"/>
    </row>
    <row r="33" spans="1:1" ht="20.100000000000001" customHeight="1">
      <c r="A33" s="60"/>
    </row>
    <row r="36" spans="1:1" ht="20.100000000000001" customHeight="1">
      <c r="A36" s="60"/>
    </row>
  </sheetData>
  <mergeCells count="12">
    <mergeCell ref="A1:O1"/>
    <mergeCell ref="A2:O2"/>
    <mergeCell ref="G11:L11"/>
    <mergeCell ref="M11:N11"/>
    <mergeCell ref="A30:O30"/>
    <mergeCell ref="A11:A12"/>
    <mergeCell ref="B11:B12"/>
    <mergeCell ref="C11:C12"/>
    <mergeCell ref="D11:D12"/>
    <mergeCell ref="E11:E12"/>
    <mergeCell ref="F11:F12"/>
    <mergeCell ref="O11:O12"/>
  </mergeCells>
  <phoneticPr fontId="124" type="noConversion"/>
  <dataValidations count="1">
    <dataValidation type="list" allowBlank="1" showInputMessage="1" showErrorMessage="1" sqref="B13:B23">
      <formula1>$P$13:$P$16</formula1>
    </dataValidation>
  </dataValidations>
  <hyperlinks>
    <hyperlink ref="O3" location="底稿目录!A1" display="D4-19"/>
  </hyperlinks>
  <pageMargins left="0.70833333333333304" right="0.70833333333333304" top="0.74791666666666701" bottom="0.74791666666666701" header="0.31458333333333299" footer="0.31458333333333299"/>
  <pageSetup paperSize="9" scale="8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O61"/>
  <sheetViews>
    <sheetView view="pageBreakPreview" zoomScaleNormal="100" workbookViewId="0">
      <selection sqref="A1:O1"/>
    </sheetView>
  </sheetViews>
  <sheetFormatPr defaultColWidth="9" defaultRowHeight="20.100000000000001" customHeight="1"/>
  <cols>
    <col min="1" max="1" width="12.109375" style="12" customWidth="1"/>
    <col min="2" max="2" width="10.77734375" style="12" customWidth="1"/>
    <col min="3" max="3" width="13.6640625" style="12" customWidth="1"/>
    <col min="4" max="4" width="12.44140625" style="12" customWidth="1"/>
    <col min="5" max="5" width="13.33203125" style="12" customWidth="1"/>
    <col min="6" max="6" width="10.77734375" style="12" customWidth="1"/>
    <col min="7" max="7" width="13" style="12" customWidth="1"/>
    <col min="8" max="8" width="12.77734375" style="12" customWidth="1"/>
    <col min="9" max="16384" width="9" style="12"/>
  </cols>
  <sheetData>
    <row r="1" spans="1:15" ht="20.100000000000001" customHeight="1">
      <c r="A1" s="212" t="s">
        <v>23</v>
      </c>
      <c r="B1" s="212"/>
      <c r="C1" s="212"/>
      <c r="D1" s="212"/>
      <c r="E1" s="212"/>
      <c r="F1" s="212"/>
      <c r="G1" s="212"/>
      <c r="H1" s="212"/>
      <c r="I1" s="212"/>
      <c r="J1" s="212"/>
      <c r="K1" s="212"/>
      <c r="L1" s="212"/>
      <c r="M1" s="212"/>
      <c r="N1" s="212"/>
      <c r="O1" s="212"/>
    </row>
    <row r="2" spans="1:15" ht="20.100000000000001" customHeight="1">
      <c r="A2" s="213" t="s">
        <v>109</v>
      </c>
      <c r="B2" s="213"/>
      <c r="C2" s="213"/>
      <c r="D2" s="213"/>
      <c r="E2" s="213"/>
      <c r="F2" s="213"/>
      <c r="G2" s="213"/>
      <c r="H2" s="213"/>
      <c r="I2" s="213"/>
      <c r="J2" s="213"/>
      <c r="K2" s="213"/>
      <c r="L2" s="213"/>
      <c r="M2" s="213"/>
      <c r="N2" s="213"/>
      <c r="O2" s="213"/>
    </row>
    <row r="3" spans="1:15" ht="20.100000000000001" customHeight="1">
      <c r="A3" s="13" t="str">
        <f>底稿目录!A2</f>
        <v>被审计单位：</v>
      </c>
      <c r="F3" s="14" t="str">
        <f>底稿目录!A4</f>
        <v>编制人：</v>
      </c>
      <c r="J3" s="49" t="str">
        <f>底稿目录!A5</f>
        <v>编制日期：</v>
      </c>
      <c r="N3" s="50" t="s">
        <v>24</v>
      </c>
      <c r="O3" s="154" t="str">
        <f>底稿目录!F10</f>
        <v>D4-20</v>
      </c>
    </row>
    <row r="4" spans="1:15" ht="20.100000000000001" customHeight="1">
      <c r="A4" s="13" t="str">
        <f>底稿目录!A3</f>
        <v>会计期间：202X年度</v>
      </c>
      <c r="F4" s="14" t="str">
        <f>底稿目录!A6</f>
        <v>复核人：</v>
      </c>
      <c r="J4" s="49" t="str">
        <f>底稿目录!A7</f>
        <v>复核日期：</v>
      </c>
      <c r="N4" s="50" t="s">
        <v>25</v>
      </c>
    </row>
    <row r="5" spans="1:15" s="296" customFormat="1" ht="20.100000000000001" customHeight="1">
      <c r="A5" s="294" t="s">
        <v>110</v>
      </c>
      <c r="B5" s="295"/>
      <c r="C5" s="221"/>
      <c r="E5" s="221"/>
      <c r="F5" s="297"/>
      <c r="G5" s="298"/>
    </row>
    <row r="6" spans="1:15" s="296" customFormat="1" ht="20.100000000000001" customHeight="1">
      <c r="A6" s="269" t="s">
        <v>77</v>
      </c>
      <c r="B6" s="299"/>
      <c r="C6" s="299"/>
      <c r="D6" s="300"/>
      <c r="F6" s="299"/>
      <c r="G6" s="299"/>
      <c r="H6" s="299"/>
    </row>
    <row r="7" spans="1:15" s="296" customFormat="1" ht="20.100000000000001" customHeight="1">
      <c r="A7" s="301" t="s">
        <v>111</v>
      </c>
      <c r="B7" s="221"/>
      <c r="C7" s="221"/>
      <c r="D7" s="221"/>
      <c r="E7" s="221"/>
      <c r="F7" s="302"/>
      <c r="G7" s="302"/>
    </row>
    <row r="8" spans="1:15" s="296" customFormat="1" ht="20.100000000000001" customHeight="1">
      <c r="A8" s="301" t="s">
        <v>112</v>
      </c>
      <c r="B8" s="303"/>
      <c r="C8" s="303"/>
      <c r="D8" s="303"/>
      <c r="E8" s="303"/>
      <c r="F8" s="303"/>
      <c r="G8" s="303"/>
    </row>
    <row r="9" spans="1:15" s="296" customFormat="1" ht="20.100000000000001" customHeight="1">
      <c r="A9" s="301"/>
      <c r="B9" s="303"/>
      <c r="C9" s="303"/>
      <c r="D9" s="303"/>
      <c r="E9" s="303"/>
      <c r="F9" s="303"/>
      <c r="G9" s="303"/>
    </row>
    <row r="10" spans="1:15" s="296" customFormat="1" ht="20.100000000000001" customHeight="1">
      <c r="A10" s="301"/>
      <c r="B10" s="303"/>
      <c r="C10" s="303"/>
      <c r="D10" s="303"/>
      <c r="E10" s="303"/>
      <c r="F10" s="303"/>
      <c r="G10" s="303"/>
    </row>
    <row r="11" spans="1:15" s="296" customFormat="1" ht="20.100000000000001" customHeight="1">
      <c r="A11" s="301" t="s">
        <v>113</v>
      </c>
      <c r="C11" s="303"/>
      <c r="D11" s="303"/>
      <c r="E11" s="303"/>
      <c r="F11" s="303"/>
      <c r="G11" s="303"/>
    </row>
    <row r="12" spans="1:15" s="296" customFormat="1" ht="20.100000000000001" customHeight="1">
      <c r="A12" s="304" t="s">
        <v>114</v>
      </c>
      <c r="C12" s="303"/>
      <c r="D12" s="303"/>
      <c r="E12" s="303"/>
      <c r="F12" s="303"/>
      <c r="G12" s="303"/>
    </row>
    <row r="13" spans="1:15" ht="20.100000000000001" customHeight="1">
      <c r="A13" s="209" t="s">
        <v>115</v>
      </c>
      <c r="B13" s="214" t="s">
        <v>116</v>
      </c>
      <c r="C13" s="214"/>
      <c r="D13" s="214"/>
      <c r="E13" s="214" t="s">
        <v>117</v>
      </c>
      <c r="F13" s="214"/>
      <c r="G13" s="214"/>
    </row>
    <row r="14" spans="1:15" ht="20.100000000000001" customHeight="1">
      <c r="A14" s="209"/>
      <c r="B14" s="20" t="s">
        <v>118</v>
      </c>
      <c r="C14" s="19" t="s">
        <v>93</v>
      </c>
      <c r="D14" s="19" t="s">
        <v>119</v>
      </c>
      <c r="E14" s="20" t="s">
        <v>118</v>
      </c>
      <c r="F14" s="19" t="s">
        <v>93</v>
      </c>
      <c r="G14" s="19" t="s">
        <v>119</v>
      </c>
    </row>
    <row r="15" spans="1:15" ht="20.100000000000001" customHeight="1">
      <c r="A15" s="21" t="s">
        <v>120</v>
      </c>
      <c r="B15" s="22"/>
      <c r="C15" s="23"/>
      <c r="D15" s="24" t="e">
        <f>B15/C15</f>
        <v>#DIV/0!</v>
      </c>
      <c r="E15" s="22"/>
      <c r="F15" s="23"/>
      <c r="G15" s="24" t="e">
        <f>E15/F15</f>
        <v>#DIV/0!</v>
      </c>
    </row>
    <row r="16" spans="1:15" ht="20.100000000000001" customHeight="1">
      <c r="A16" s="21" t="s">
        <v>121</v>
      </c>
      <c r="B16" s="22"/>
      <c r="C16" s="23"/>
      <c r="D16" s="24" t="e">
        <f t="shared" ref="D16:D17" si="0">B16/C16</f>
        <v>#DIV/0!</v>
      </c>
      <c r="E16" s="22"/>
      <c r="F16" s="23"/>
      <c r="G16" s="24" t="e">
        <f t="shared" ref="G16:G17" si="1">E16/F16</f>
        <v>#DIV/0!</v>
      </c>
    </row>
    <row r="17" spans="1:15" ht="20.100000000000001" customHeight="1">
      <c r="A17" s="25" t="s">
        <v>122</v>
      </c>
      <c r="B17" s="26">
        <f>B16+B15</f>
        <v>0</v>
      </c>
      <c r="C17" s="26">
        <f>C16+C15</f>
        <v>0</v>
      </c>
      <c r="D17" s="24" t="e">
        <f t="shared" si="0"/>
        <v>#DIV/0!</v>
      </c>
      <c r="E17" s="26">
        <f>E16+E15</f>
        <v>0</v>
      </c>
      <c r="F17" s="26">
        <f>F16+F15</f>
        <v>0</v>
      </c>
      <c r="G17" s="24" t="e">
        <f t="shared" si="1"/>
        <v>#DIV/0!</v>
      </c>
    </row>
    <row r="18" spans="1:15" s="296" customFormat="1" ht="20.100000000000001" customHeight="1">
      <c r="C18" s="303"/>
      <c r="D18" s="303"/>
      <c r="E18" s="303"/>
      <c r="F18" s="303"/>
      <c r="G18" s="303"/>
    </row>
    <row r="19" spans="1:15" s="296" customFormat="1" ht="20.100000000000001" customHeight="1">
      <c r="A19" s="301" t="s">
        <v>123</v>
      </c>
      <c r="B19" s="303"/>
      <c r="C19" s="303"/>
      <c r="D19" s="303"/>
      <c r="E19" s="303"/>
      <c r="F19" s="303"/>
      <c r="G19" s="303"/>
    </row>
    <row r="20" spans="1:15" s="296" customFormat="1" ht="20.100000000000001" customHeight="1">
      <c r="A20" s="305" t="s">
        <v>124</v>
      </c>
      <c r="B20" s="303"/>
      <c r="C20" s="303"/>
      <c r="D20" s="303"/>
      <c r="E20" s="303"/>
      <c r="F20" s="303"/>
      <c r="G20" s="303"/>
    </row>
    <row r="21" spans="1:15" s="296" customFormat="1" ht="20.100000000000001" customHeight="1">
      <c r="A21" s="305"/>
      <c r="B21" s="303"/>
      <c r="C21" s="303"/>
      <c r="D21" s="303"/>
      <c r="E21" s="303"/>
      <c r="F21" s="303"/>
      <c r="G21" s="303"/>
    </row>
    <row r="22" spans="1:15" s="296" customFormat="1" ht="20.100000000000001" customHeight="1">
      <c r="A22" s="305" t="s">
        <v>125</v>
      </c>
      <c r="B22" s="303"/>
      <c r="C22" s="303"/>
      <c r="D22" s="303"/>
      <c r="E22" s="303"/>
      <c r="F22" s="303"/>
      <c r="G22" s="303"/>
    </row>
    <row r="23" spans="1:15" s="296" customFormat="1" ht="20.100000000000001" customHeight="1">
      <c r="A23" s="301" t="s">
        <v>126</v>
      </c>
      <c r="B23" s="303"/>
      <c r="C23" s="303"/>
      <c r="D23" s="303"/>
      <c r="E23" s="303"/>
      <c r="F23" s="303"/>
      <c r="G23" s="303"/>
    </row>
    <row r="24" spans="1:15" ht="20.100000000000001" customHeight="1">
      <c r="A24" s="19" t="s">
        <v>127</v>
      </c>
      <c r="B24" s="19" t="s">
        <v>128</v>
      </c>
      <c r="C24" s="19" t="s">
        <v>129</v>
      </c>
      <c r="D24" s="19" t="s">
        <v>130</v>
      </c>
      <c r="E24" s="19" t="s">
        <v>131</v>
      </c>
      <c r="F24" s="19" t="s">
        <v>132</v>
      </c>
      <c r="G24" s="19" t="s">
        <v>133</v>
      </c>
    </row>
    <row r="25" spans="1:15" ht="20.100000000000001" customHeight="1">
      <c r="A25" s="27"/>
      <c r="B25" s="23"/>
      <c r="C25" s="28"/>
      <c r="D25" s="29">
        <f>B25*C25</f>
        <v>0</v>
      </c>
      <c r="E25" s="308"/>
      <c r="F25" s="308"/>
      <c r="G25" s="30"/>
    </row>
    <row r="26" spans="1:15" ht="20.100000000000001" customHeight="1">
      <c r="A26" s="27"/>
      <c r="B26" s="23"/>
      <c r="C26" s="28"/>
      <c r="D26" s="29">
        <f>B26*C26</f>
        <v>0</v>
      </c>
      <c r="E26" s="308"/>
      <c r="F26" s="308"/>
      <c r="G26" s="30"/>
    </row>
    <row r="27" spans="1:15" ht="20.100000000000001" customHeight="1">
      <c r="A27" s="27"/>
      <c r="B27" s="23"/>
      <c r="C27" s="28"/>
      <c r="D27" s="29">
        <f>B27*C27</f>
        <v>0</v>
      </c>
      <c r="E27" s="308"/>
      <c r="F27" s="308"/>
      <c r="G27" s="30"/>
    </row>
    <row r="28" spans="1:15" ht="20.100000000000001" customHeight="1">
      <c r="A28" s="27"/>
      <c r="B28" s="23"/>
      <c r="C28" s="28"/>
      <c r="D28" s="29">
        <f>B28*C28</f>
        <v>0</v>
      </c>
      <c r="E28" s="308"/>
      <c r="F28" s="308"/>
      <c r="G28" s="30"/>
    </row>
    <row r="29" spans="1:15" ht="20.100000000000001" customHeight="1">
      <c r="A29" s="27"/>
      <c r="B29" s="23"/>
      <c r="C29" s="28"/>
      <c r="D29" s="29">
        <f>B29*C29</f>
        <v>0</v>
      </c>
      <c r="E29" s="308"/>
      <c r="F29" s="308"/>
      <c r="G29" s="30"/>
    </row>
    <row r="30" spans="1:15" ht="20.100000000000001" customHeight="1">
      <c r="A30" s="31"/>
      <c r="B30" s="32"/>
      <c r="C30" s="32"/>
      <c r="D30" s="32"/>
      <c r="E30" s="33"/>
      <c r="F30" s="32"/>
      <c r="G30" s="33"/>
    </row>
    <row r="31" spans="1:15" ht="20.100000000000001" customHeight="1">
      <c r="A31" s="17" t="s">
        <v>134</v>
      </c>
      <c r="B31" s="18"/>
      <c r="C31" s="18"/>
      <c r="D31" s="18"/>
      <c r="E31" s="18"/>
      <c r="F31" s="18"/>
      <c r="G31" s="18"/>
    </row>
    <row r="32" spans="1:15" ht="20.100000000000001" customHeight="1">
      <c r="A32" s="215" t="s">
        <v>44</v>
      </c>
      <c r="B32" s="216"/>
      <c r="C32" s="216"/>
      <c r="D32" s="216"/>
      <c r="E32" s="216"/>
      <c r="F32" s="216"/>
      <c r="G32" s="217"/>
      <c r="H32" s="215" t="s">
        <v>135</v>
      </c>
      <c r="I32" s="216"/>
      <c r="J32" s="216"/>
      <c r="K32" s="216"/>
      <c r="L32" s="217"/>
      <c r="M32" s="210" t="s">
        <v>136</v>
      </c>
      <c r="N32" s="218" t="s">
        <v>51</v>
      </c>
      <c r="O32" s="220" t="s">
        <v>4</v>
      </c>
    </row>
    <row r="33" spans="1:15" ht="20.100000000000001" customHeight="1">
      <c r="A33" s="34" t="s">
        <v>53</v>
      </c>
      <c r="B33" s="34" t="s">
        <v>54</v>
      </c>
      <c r="C33" s="34" t="s">
        <v>137</v>
      </c>
      <c r="D33" s="34" t="s">
        <v>138</v>
      </c>
      <c r="E33" s="34" t="s">
        <v>139</v>
      </c>
      <c r="F33" s="34" t="s">
        <v>101</v>
      </c>
      <c r="G33" s="35" t="s">
        <v>102</v>
      </c>
      <c r="H33" s="35" t="s">
        <v>91</v>
      </c>
      <c r="I33" s="35" t="s">
        <v>127</v>
      </c>
      <c r="J33" s="35" t="s">
        <v>140</v>
      </c>
      <c r="K33" s="35" t="s">
        <v>118</v>
      </c>
      <c r="L33" s="35" t="s">
        <v>141</v>
      </c>
      <c r="M33" s="211"/>
      <c r="N33" s="219"/>
      <c r="O33" s="220"/>
    </row>
    <row r="34" spans="1:15" ht="20.100000000000001" customHeight="1">
      <c r="A34" s="36"/>
      <c r="B34" s="37"/>
      <c r="C34" s="38"/>
      <c r="D34" s="39"/>
      <c r="E34" s="39"/>
      <c r="F34" s="308"/>
      <c r="G34" s="308"/>
      <c r="H34" s="40"/>
      <c r="I34" s="40"/>
      <c r="J34" s="40"/>
      <c r="K34" s="308"/>
      <c r="L34" s="40"/>
      <c r="M34" s="39"/>
      <c r="N34" s="51"/>
      <c r="O34" s="51"/>
    </row>
    <row r="35" spans="1:15" ht="20.100000000000001" customHeight="1">
      <c r="A35" s="36"/>
      <c r="B35" s="37"/>
      <c r="C35" s="38"/>
      <c r="D35" s="39"/>
      <c r="E35" s="39"/>
      <c r="F35" s="308"/>
      <c r="G35" s="308"/>
      <c r="H35" s="40"/>
      <c r="I35" s="40"/>
      <c r="J35" s="40"/>
      <c r="K35" s="308"/>
      <c r="L35" s="40"/>
      <c r="M35" s="39"/>
      <c r="N35" s="51"/>
      <c r="O35" s="51"/>
    </row>
    <row r="36" spans="1:15" ht="20.100000000000001" customHeight="1">
      <c r="A36" s="41"/>
      <c r="B36" s="41"/>
      <c r="C36" s="42"/>
      <c r="D36" s="41"/>
      <c r="E36" s="43"/>
      <c r="F36" s="308"/>
      <c r="G36" s="308"/>
      <c r="H36" s="30"/>
      <c r="I36" s="30"/>
      <c r="J36" s="27"/>
      <c r="K36" s="308"/>
      <c r="L36" s="27"/>
      <c r="M36" s="27"/>
      <c r="N36" s="27"/>
      <c r="O36" s="27"/>
    </row>
    <row r="37" spans="1:15" ht="20.100000000000001" customHeight="1">
      <c r="A37" s="17" t="s">
        <v>142</v>
      </c>
      <c r="B37" s="18"/>
      <c r="C37" s="18"/>
      <c r="D37" s="18"/>
      <c r="E37" s="18"/>
      <c r="F37" s="18"/>
      <c r="G37" s="18"/>
    </row>
    <row r="38" spans="1:15" ht="20.100000000000001" customHeight="1">
      <c r="A38" s="215" t="s">
        <v>44</v>
      </c>
      <c r="B38" s="216"/>
      <c r="C38" s="216"/>
      <c r="D38" s="216"/>
      <c r="E38" s="216"/>
      <c r="F38" s="216"/>
      <c r="G38" s="217"/>
      <c r="H38" s="215" t="s">
        <v>135</v>
      </c>
      <c r="I38" s="216"/>
      <c r="J38" s="216"/>
      <c r="K38" s="216"/>
      <c r="L38" s="217"/>
      <c r="M38" s="210" t="s">
        <v>136</v>
      </c>
      <c r="N38" s="218" t="s">
        <v>51</v>
      </c>
      <c r="O38" s="220" t="s">
        <v>4</v>
      </c>
    </row>
    <row r="39" spans="1:15" ht="20.100000000000001" customHeight="1">
      <c r="A39" s="34" t="s">
        <v>53</v>
      </c>
      <c r="B39" s="34" t="s">
        <v>54</v>
      </c>
      <c r="C39" s="34" t="s">
        <v>137</v>
      </c>
      <c r="D39" s="34" t="s">
        <v>138</v>
      </c>
      <c r="E39" s="34" t="s">
        <v>139</v>
      </c>
      <c r="F39" s="34" t="s">
        <v>101</v>
      </c>
      <c r="G39" s="35" t="s">
        <v>102</v>
      </c>
      <c r="H39" s="35" t="s">
        <v>91</v>
      </c>
      <c r="I39" s="35" t="s">
        <v>127</v>
      </c>
      <c r="J39" s="35" t="s">
        <v>140</v>
      </c>
      <c r="K39" s="35" t="s">
        <v>118</v>
      </c>
      <c r="L39" s="35" t="s">
        <v>141</v>
      </c>
      <c r="M39" s="211"/>
      <c r="N39" s="219"/>
      <c r="O39" s="220"/>
    </row>
    <row r="40" spans="1:15" ht="20.100000000000001" customHeight="1">
      <c r="A40" s="36"/>
      <c r="B40" s="37"/>
      <c r="C40" s="38"/>
      <c r="D40" s="39"/>
      <c r="E40" s="39"/>
      <c r="F40" s="308"/>
      <c r="G40" s="308"/>
      <c r="H40" s="40"/>
      <c r="I40" s="40"/>
      <c r="J40" s="308"/>
      <c r="K40" s="308"/>
      <c r="L40" s="40"/>
      <c r="M40" s="39"/>
      <c r="N40" s="51"/>
      <c r="O40" s="51"/>
    </row>
    <row r="41" spans="1:15" ht="20.100000000000001" customHeight="1">
      <c r="A41" s="36"/>
      <c r="B41" s="37"/>
      <c r="C41" s="38"/>
      <c r="D41" s="39"/>
      <c r="E41" s="39"/>
      <c r="F41" s="308"/>
      <c r="G41" s="308"/>
      <c r="H41" s="40"/>
      <c r="I41" s="40"/>
      <c r="J41" s="308"/>
      <c r="K41" s="308"/>
      <c r="L41" s="40"/>
      <c r="M41" s="39"/>
      <c r="N41" s="51"/>
      <c r="O41" s="51"/>
    </row>
    <row r="42" spans="1:15" ht="20.100000000000001" customHeight="1">
      <c r="A42" s="41"/>
      <c r="B42" s="41"/>
      <c r="C42" s="42"/>
      <c r="D42" s="41"/>
      <c r="E42" s="43"/>
      <c r="F42" s="309"/>
      <c r="G42" s="309"/>
      <c r="H42" s="30"/>
      <c r="I42" s="30"/>
      <c r="J42" s="308"/>
      <c r="K42" s="308"/>
      <c r="L42" s="27"/>
      <c r="M42" s="27"/>
      <c r="N42" s="27"/>
      <c r="O42" s="27"/>
    </row>
    <row r="43" spans="1:15" s="296" customFormat="1" ht="20.100000000000001" customHeight="1">
      <c r="A43" s="232" t="s">
        <v>67</v>
      </c>
      <c r="C43" s="306"/>
      <c r="D43" s="306"/>
      <c r="E43" s="306"/>
      <c r="F43" s="303"/>
      <c r="G43" s="303"/>
    </row>
    <row r="44" spans="1:15" s="296" customFormat="1" ht="20.100000000000001" customHeight="1">
      <c r="A44" s="266" t="s">
        <v>143</v>
      </c>
      <c r="C44" s="306"/>
      <c r="D44" s="306"/>
      <c r="E44" s="306"/>
    </row>
    <row r="45" spans="1:15" s="296" customFormat="1" ht="20.100000000000001" customHeight="1">
      <c r="A45" s="266" t="s">
        <v>144</v>
      </c>
      <c r="C45" s="306"/>
      <c r="D45" s="306"/>
      <c r="E45" s="306"/>
    </row>
    <row r="46" spans="1:15" s="296" customFormat="1" ht="20.100000000000001" customHeight="1">
      <c r="A46" s="266" t="s">
        <v>145</v>
      </c>
      <c r="C46" s="306"/>
      <c r="D46" s="306"/>
      <c r="E46" s="306"/>
    </row>
    <row r="47" spans="1:15" s="296" customFormat="1" ht="20.100000000000001" customHeight="1">
      <c r="A47" s="266" t="s">
        <v>146</v>
      </c>
      <c r="C47" s="306"/>
      <c r="D47" s="306"/>
      <c r="E47" s="306"/>
    </row>
    <row r="48" spans="1:15" s="296" customFormat="1" ht="20.100000000000001" customHeight="1">
      <c r="A48" s="266" t="s">
        <v>147</v>
      </c>
      <c r="C48" s="306"/>
      <c r="D48" s="306"/>
      <c r="E48" s="306"/>
    </row>
    <row r="49" spans="1:7" s="296" customFormat="1" ht="20.100000000000001" customHeight="1">
      <c r="A49" s="307" t="s">
        <v>68</v>
      </c>
      <c r="B49" s="221"/>
      <c r="C49" s="221"/>
      <c r="D49" s="221"/>
      <c r="E49" s="221"/>
      <c r="F49" s="221"/>
      <c r="G49" s="221"/>
    </row>
    <row r="50" spans="1:7" s="296" customFormat="1" ht="20.100000000000001" customHeight="1">
      <c r="A50" s="307"/>
      <c r="B50" s="221"/>
      <c r="C50" s="221"/>
      <c r="D50" s="221"/>
      <c r="E50" s="221"/>
      <c r="F50" s="221"/>
      <c r="G50" s="221"/>
    </row>
    <row r="51" spans="1:7" s="296" customFormat="1" ht="20.100000000000001" customHeight="1">
      <c r="A51" s="307"/>
      <c r="B51" s="221"/>
      <c r="C51" s="221"/>
      <c r="D51" s="221"/>
      <c r="E51" s="221"/>
      <c r="F51" s="221"/>
      <c r="G51" s="221"/>
    </row>
    <row r="52" spans="1:7" s="296" customFormat="1" ht="20.100000000000001" customHeight="1">
      <c r="A52" s="307"/>
      <c r="B52" s="221"/>
      <c r="C52" s="221"/>
      <c r="D52" s="221"/>
      <c r="E52" s="221"/>
      <c r="F52" s="221"/>
      <c r="G52" s="221"/>
    </row>
    <row r="53" spans="1:7" s="296" customFormat="1" ht="20.100000000000001" customHeight="1">
      <c r="A53" s="307" t="s">
        <v>69</v>
      </c>
      <c r="B53" s="221"/>
      <c r="C53" s="221"/>
      <c r="D53" s="221"/>
      <c r="E53" s="221"/>
      <c r="F53" s="221"/>
      <c r="G53" s="221"/>
    </row>
    <row r="54" spans="1:7" s="296" customFormat="1" ht="20.100000000000001" customHeight="1">
      <c r="A54" s="221"/>
      <c r="B54" s="221"/>
      <c r="C54" s="221"/>
      <c r="D54" s="221"/>
      <c r="E54" s="221"/>
      <c r="F54" s="221"/>
      <c r="G54" s="221"/>
    </row>
    <row r="55" spans="1:7" ht="20.100000000000001" customHeight="1">
      <c r="A55" s="44"/>
      <c r="B55" s="15"/>
      <c r="C55" s="15"/>
      <c r="D55" s="15"/>
      <c r="E55" s="15"/>
      <c r="F55" s="15"/>
      <c r="G55" s="15"/>
    </row>
    <row r="56" spans="1:7" ht="20.100000000000001" customHeight="1">
      <c r="A56" s="45"/>
      <c r="B56" s="46"/>
      <c r="C56" s="46"/>
      <c r="D56" s="46"/>
      <c r="E56" s="46"/>
      <c r="F56" s="46"/>
      <c r="G56" s="46"/>
    </row>
    <row r="57" spans="1:7" ht="20.100000000000001" customHeight="1">
      <c r="A57" s="47"/>
      <c r="B57" s="46"/>
      <c r="C57" s="46"/>
      <c r="D57" s="46"/>
      <c r="E57" s="46"/>
      <c r="F57" s="46"/>
      <c r="G57" s="46"/>
    </row>
    <row r="58" spans="1:7" ht="20.100000000000001" customHeight="1">
      <c r="A58" s="47"/>
      <c r="B58" s="46"/>
      <c r="C58" s="46"/>
      <c r="D58" s="46"/>
      <c r="E58" s="46"/>
      <c r="F58" s="46"/>
      <c r="G58" s="46"/>
    </row>
    <row r="59" spans="1:7" ht="20.100000000000001" customHeight="1">
      <c r="A59" s="47"/>
      <c r="B59" s="46"/>
      <c r="C59" s="46"/>
      <c r="D59" s="46"/>
      <c r="E59" s="46"/>
      <c r="F59" s="46"/>
      <c r="G59" s="46"/>
    </row>
    <row r="60" spans="1:7" ht="20.100000000000001" customHeight="1">
      <c r="A60" s="48"/>
      <c r="B60" s="46"/>
      <c r="C60" s="46"/>
      <c r="D60" s="46"/>
      <c r="E60" s="46"/>
      <c r="F60" s="46"/>
      <c r="G60" s="46"/>
    </row>
    <row r="61" spans="1:7" ht="20.100000000000001" customHeight="1">
      <c r="B61" s="46"/>
      <c r="C61" s="46"/>
      <c r="D61" s="46"/>
      <c r="E61" s="46"/>
      <c r="F61" s="46"/>
      <c r="G61" s="46"/>
    </row>
  </sheetData>
  <mergeCells count="15">
    <mergeCell ref="A13:A14"/>
    <mergeCell ref="M32:M33"/>
    <mergeCell ref="M38:M39"/>
    <mergeCell ref="A1:O1"/>
    <mergeCell ref="A2:O2"/>
    <mergeCell ref="B13:D13"/>
    <mergeCell ref="E13:G13"/>
    <mergeCell ref="A32:G32"/>
    <mergeCell ref="H32:L32"/>
    <mergeCell ref="N32:N33"/>
    <mergeCell ref="N38:N39"/>
    <mergeCell ref="O32:O33"/>
    <mergeCell ref="O38:O39"/>
    <mergeCell ref="A38:G38"/>
    <mergeCell ref="H38:L38"/>
  </mergeCells>
  <phoneticPr fontId="124" type="noConversion"/>
  <dataValidations count="1">
    <dataValidation type="list" allowBlank="1" showInputMessage="1" showErrorMessage="1" sqref="M34:M35 M40:M41">
      <formula1>"是,否"</formula1>
    </dataValidation>
  </dataValidations>
  <hyperlinks>
    <hyperlink ref="O3" location="底稿目录!A1" display=" D4-20"/>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rowBreaks count="1" manualBreakCount="1">
    <brk id="30"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底稿目录</vt:lpstr>
      <vt:lpstr>营业收入账面金额与ERP系统核对记录D4-13</vt:lpstr>
      <vt:lpstr>营业收入发生检查表D4-14</vt:lpstr>
      <vt:lpstr>营业收入完整性检查表D4-15</vt:lpstr>
      <vt:lpstr>出口收入电子口岸系统核对D4-16</vt:lpstr>
      <vt:lpstr>营业收入截止测试（账到单据）D4-17</vt:lpstr>
      <vt:lpstr>营业收入截止测试（单据到账）D4-18</vt:lpstr>
      <vt:lpstr>销售折扣与折让检查D4-19</vt:lpstr>
      <vt:lpstr>销售退货检查表 D4-20</vt:lpstr>
      <vt:lpstr>'出口收入电子口岸系统核对D4-16'!Print_Area</vt:lpstr>
      <vt:lpstr>'销售退货检查表 D4-20'!Print_Area</vt:lpstr>
      <vt:lpstr>'销售折扣与折让检查D4-19'!Print_Area</vt:lpstr>
      <vt:lpstr>'营业收入发生检查表D4-14'!Print_Area</vt:lpstr>
      <vt:lpstr>'营业收入截止测试（单据到账）D4-18'!Print_Area</vt:lpstr>
      <vt:lpstr>'营业收入截止测试（账到单据）D4-17'!Print_Area</vt:lpstr>
      <vt:lpstr>'营业收入完整性检查表D4-15'!Print_Area</vt:lpstr>
      <vt:lpstr>'营业收入账面金额与ERP系统核对记录D4-13'!Print_Area</vt:lpstr>
      <vt:lpstr>'销售退货检查表 D4-20'!Print_Titles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何先琴</cp:lastModifiedBy>
  <cp:lastPrinted>2025-10-30T06:41:38Z</cp:lastPrinted>
  <dcterms:created xsi:type="dcterms:W3CDTF">2015-06-05T18:19:00Z</dcterms:created>
  <dcterms:modified xsi:type="dcterms:W3CDTF">2025-12-02T08:10:41Z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CF8E92B6DA1441AE92428DFEDA728E37_12</vt:lpwstr>
  </property>
  <property fmtid="{D5CDD505-2E9C-101B-9397-08002B2CF9AE}" pid="3" name="KSOProductBuildVer">
    <vt:lpwstr>2052-12.1.0.22529</vt:lpwstr>
  </property>
</Properties>
</file>