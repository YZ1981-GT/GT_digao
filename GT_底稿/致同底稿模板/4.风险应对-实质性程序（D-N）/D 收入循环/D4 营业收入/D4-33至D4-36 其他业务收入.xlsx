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9180" tabRatio="921"/>
  </bookViews>
  <sheets>
    <sheet name="底稿目录" sheetId="5" r:id="rId1"/>
    <sheet name="其他业务毛利率分析表D4-33" sheetId="1" r:id="rId2"/>
    <sheet name="其他业务收入合同测算表D4-34" sheetId="4" r:id="rId3"/>
    <sheet name="其他业务收入检查表D4-35" sheetId="2" r:id="rId4"/>
    <sheet name="其他业务收入截止性测试D4-36" sheetId="3" r:id="rId5"/>
  </sheets>
  <externalReferences>
    <externalReference r:id="rId6"/>
    <externalReference r:id="rId7"/>
    <externalReference r:id="rId8"/>
  </externalReferences>
  <definedNames>
    <definedName name="_xlnm._FilterDatabase" hidden="1">#REF!</definedName>
    <definedName name="AFV" hidden="1">#REF!</definedName>
    <definedName name="AS2DocOpenMode" hidden="1">"AS2DocumentEdit"</definedName>
    <definedName name="b" hidden="1">#REF!</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_xlnm.Print_Area" localSheetId="1">'其他业务毛利率分析表D4-33'!$A$1:$M$31</definedName>
    <definedName name="_xlnm.Print_Area" localSheetId="2">'其他业务收入合同测算表D4-34'!$A$1:$K$29</definedName>
    <definedName name="_xlnm.Print_Area" localSheetId="3">'其他业务收入检查表D4-35'!$A$1:$Q$34</definedName>
    <definedName name="_xlnm.Print_Area" localSheetId="4">'其他业务收入截止性测试D4-36'!$A$1:$K$57</definedName>
    <definedName name="_xlnm.Print_Area">#N/A</definedName>
    <definedName name="_xlnm.Print_Titles">#REF!</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去"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 l="1"/>
  <c r="K3" i="3" l="1"/>
  <c r="Q3" i="2"/>
  <c r="K3" i="4"/>
  <c r="M3" i="1"/>
  <c r="H4" i="3" l="1"/>
  <c r="E4" i="3"/>
  <c r="A4" i="3"/>
  <c r="H3" i="3"/>
  <c r="E3" i="3"/>
  <c r="A3" i="3"/>
  <c r="G4" i="2"/>
  <c r="D4" i="2"/>
  <c r="A4" i="2"/>
  <c r="G3" i="2"/>
  <c r="D3" i="2"/>
  <c r="A3" i="2"/>
  <c r="J24" i="4"/>
  <c r="J23" i="4"/>
  <c r="J22" i="4"/>
  <c r="J21" i="4"/>
  <c r="J20" i="4"/>
  <c r="J17" i="4"/>
  <c r="J16" i="4"/>
  <c r="J15" i="4"/>
  <c r="J14" i="4"/>
  <c r="J13" i="4"/>
  <c r="H4" i="4"/>
  <c r="E4" i="4"/>
  <c r="A4" i="4"/>
  <c r="H3" i="4"/>
  <c r="E3" i="4"/>
  <c r="A3" i="4"/>
  <c r="F26" i="1"/>
  <c r="M25" i="1"/>
  <c r="J25" i="1"/>
  <c r="G25" i="1"/>
  <c r="D25" i="1"/>
  <c r="C25" i="1"/>
  <c r="B25" i="1"/>
  <c r="L24" i="1"/>
  <c r="L26" i="1" s="1"/>
  <c r="K24" i="1"/>
  <c r="K26" i="1" s="1"/>
  <c r="I24" i="1"/>
  <c r="I27" i="1" s="1"/>
  <c r="H24" i="1"/>
  <c r="H27" i="1" s="1"/>
  <c r="F24" i="1"/>
  <c r="F27" i="1" s="1"/>
  <c r="E24" i="1"/>
  <c r="E26" i="1" s="1"/>
  <c r="M23" i="1"/>
  <c r="J23" i="1"/>
  <c r="G23" i="1"/>
  <c r="C23" i="1"/>
  <c r="B23" i="1"/>
  <c r="D23" i="1" s="1"/>
  <c r="M22" i="1"/>
  <c r="J22" i="1"/>
  <c r="G22" i="1"/>
  <c r="D22" i="1"/>
  <c r="C22" i="1"/>
  <c r="B22" i="1"/>
  <c r="M21" i="1"/>
  <c r="J21" i="1"/>
  <c r="G21" i="1"/>
  <c r="C21" i="1"/>
  <c r="B21" i="1"/>
  <c r="D21" i="1" s="1"/>
  <c r="M20" i="1"/>
  <c r="J20" i="1"/>
  <c r="G20" i="1"/>
  <c r="C20" i="1"/>
  <c r="D20" i="1" s="1"/>
  <c r="B20" i="1"/>
  <c r="M19" i="1"/>
  <c r="J19" i="1"/>
  <c r="G19" i="1"/>
  <c r="C19" i="1"/>
  <c r="B19" i="1"/>
  <c r="D19" i="1" s="1"/>
  <c r="M18" i="1"/>
  <c r="J18" i="1"/>
  <c r="G18" i="1"/>
  <c r="D18" i="1"/>
  <c r="C18" i="1"/>
  <c r="B18" i="1"/>
  <c r="M17" i="1"/>
  <c r="J17" i="1"/>
  <c r="G17" i="1"/>
  <c r="C17" i="1"/>
  <c r="B17" i="1"/>
  <c r="D17" i="1" s="1"/>
  <c r="M16" i="1"/>
  <c r="J16" i="1"/>
  <c r="G16" i="1"/>
  <c r="C16" i="1"/>
  <c r="D16" i="1" s="1"/>
  <c r="B16" i="1"/>
  <c r="M15" i="1"/>
  <c r="J15" i="1"/>
  <c r="G15" i="1"/>
  <c r="C15" i="1"/>
  <c r="B15" i="1"/>
  <c r="D15" i="1" s="1"/>
  <c r="M14" i="1"/>
  <c r="J14" i="1"/>
  <c r="G14" i="1"/>
  <c r="D14" i="1"/>
  <c r="C14" i="1"/>
  <c r="B14" i="1"/>
  <c r="M13" i="1"/>
  <c r="J13" i="1"/>
  <c r="G13" i="1"/>
  <c r="C13" i="1"/>
  <c r="B13" i="1"/>
  <c r="D13" i="1" s="1"/>
  <c r="M12" i="1"/>
  <c r="J12" i="1"/>
  <c r="G12" i="1"/>
  <c r="C12" i="1"/>
  <c r="C24" i="1" s="1"/>
  <c r="C26" i="1" s="1"/>
  <c r="B12" i="1"/>
  <c r="D12" i="1" s="1"/>
  <c r="I4" i="1"/>
  <c r="F4" i="1"/>
  <c r="A4" i="1"/>
  <c r="I3" i="1"/>
  <c r="F3" i="1"/>
  <c r="A3" i="1"/>
  <c r="C27" i="1" l="1"/>
  <c r="K27" i="1"/>
  <c r="B24" i="1"/>
  <c r="F27" i="2" s="1"/>
  <c r="F28" i="2" s="1"/>
  <c r="J24" i="1"/>
  <c r="H26" i="1"/>
  <c r="L27" i="1"/>
  <c r="I26" i="1"/>
  <c r="E27" i="1"/>
  <c r="M24" i="1"/>
  <c r="M26" i="1" s="1"/>
  <c r="G24" i="1"/>
  <c r="G26" i="1" s="1"/>
  <c r="J26" i="1" l="1"/>
  <c r="J27" i="1"/>
  <c r="B27" i="1"/>
  <c r="B26" i="1"/>
  <c r="D24" i="1"/>
  <c r="G27" i="1"/>
  <c r="M27" i="1"/>
  <c r="D26" i="1" l="1"/>
  <c r="D27" i="1"/>
</calcChain>
</file>

<file path=xl/sharedStrings.xml><?xml version="1.0" encoding="utf-8"?>
<sst xmlns="http://schemas.openxmlformats.org/spreadsheetml/2006/main" count="174" uniqueCount="120">
  <si>
    <t>底稿开列时，可先在以下单元格填写有关内容，以便其他底稿引用有关数据：</t>
  </si>
  <si>
    <t>被审计单位：</t>
  </si>
  <si>
    <t>序号</t>
  </si>
  <si>
    <t>内容</t>
  </si>
  <si>
    <t>索引号</t>
  </si>
  <si>
    <t>其他业务毛利率分析表</t>
  </si>
  <si>
    <t>D4-33</t>
  </si>
  <si>
    <t>编制人：</t>
  </si>
  <si>
    <t>其他业务收入合同测算表</t>
  </si>
  <si>
    <t>D4-34</t>
  </si>
  <si>
    <t>编制日期：</t>
  </si>
  <si>
    <t>其他业务收入检查表</t>
  </si>
  <si>
    <t>D4-35</t>
  </si>
  <si>
    <t>复核人：</t>
  </si>
  <si>
    <t>其他业务收入截止性测试</t>
  </si>
  <si>
    <t>D4-36</t>
  </si>
  <si>
    <t>复核日期：</t>
  </si>
  <si>
    <t>致同会计师事务所</t>
  </si>
  <si>
    <t xml:space="preserve">索引号： </t>
  </si>
  <si>
    <t>页次：</t>
  </si>
  <si>
    <t>一、审计目标：</t>
  </si>
  <si>
    <t>1.利润表中记录的其他业务收入已发生，且与被审计单位有关，已记录于恰当的账户。</t>
  </si>
  <si>
    <t>2.所有应当记录的其他业务收入均已记录，所有应当包括在财务报表中的相关披露均已包括。</t>
  </si>
  <si>
    <t>3.与其他业务收入有关的金额及其他数据已恰当记录，相关披露已得到恰当计量和描述。</t>
  </si>
  <si>
    <t>二、审计过程：</t>
  </si>
  <si>
    <t>月份</t>
  </si>
  <si>
    <t>合计</t>
  </si>
  <si>
    <t>出租固定资产</t>
  </si>
  <si>
    <t>出租无形资产</t>
  </si>
  <si>
    <t>销售材料</t>
  </si>
  <si>
    <t>收入</t>
  </si>
  <si>
    <t>成本</t>
  </si>
  <si>
    <t>毛利率</t>
  </si>
  <si>
    <r>
      <rPr>
        <b/>
        <sz val="10"/>
        <rFont val="宋体"/>
        <family val="3"/>
        <charset val="134"/>
      </rPr>
      <t>毛利率</t>
    </r>
  </si>
  <si>
    <t>合 计</t>
  </si>
  <si>
    <t>上年数</t>
  </si>
  <si>
    <t>变动额</t>
  </si>
  <si>
    <t>变动比例</t>
  </si>
  <si>
    <t>三、审计说明：</t>
  </si>
  <si>
    <t>四、审计结论：</t>
  </si>
  <si>
    <r>
      <rPr>
        <sz val="10"/>
        <rFont val="Arial Narrow"/>
        <family val="2"/>
      </rPr>
      <t>1.</t>
    </r>
    <r>
      <rPr>
        <sz val="10"/>
        <rFont val="宋体"/>
        <family val="3"/>
        <charset val="134"/>
      </rPr>
      <t>利润表中记录的其他业务收入已发生，且与被审计单位有关，已记录于恰当的账户。</t>
    </r>
  </si>
  <si>
    <r>
      <rPr>
        <sz val="10"/>
        <rFont val="Arial Narrow"/>
        <family val="2"/>
      </rPr>
      <t>2.</t>
    </r>
    <r>
      <rPr>
        <sz val="10"/>
        <rFont val="宋体"/>
        <family val="3"/>
        <charset val="134"/>
      </rPr>
      <t>所有应当记录的其他业务收入均已记录，所有应当包括在财务报表中的相关披露均已包括</t>
    </r>
  </si>
  <si>
    <r>
      <rPr>
        <sz val="10"/>
        <rFont val="Arial Narrow"/>
        <family val="2"/>
      </rPr>
      <t>3.</t>
    </r>
    <r>
      <rPr>
        <sz val="10"/>
        <rFont val="宋体"/>
        <family val="3"/>
        <charset val="134"/>
      </rPr>
      <t>与其他业务收入有关的金额及其他数据已恰当记录，相关披露已得到恰当计量和描述</t>
    </r>
  </si>
  <si>
    <r>
      <rPr>
        <sz val="10"/>
        <rFont val="Arial Narrow"/>
        <family val="2"/>
      </rPr>
      <t>4.</t>
    </r>
    <r>
      <rPr>
        <sz val="10"/>
        <rFont val="宋体"/>
        <family val="3"/>
        <charset val="134"/>
      </rPr>
      <t>与其他业务收入有关的交易和事项已记录于正确的会计期间。</t>
    </r>
  </si>
  <si>
    <t>1.房屋租赁业务（其他租赁可参照）</t>
  </si>
  <si>
    <t>承租方</t>
  </si>
  <si>
    <t>租赁期间</t>
  </si>
  <si>
    <t>租赁面积</t>
  </si>
  <si>
    <t>合同单价</t>
  </si>
  <si>
    <t>合同索引</t>
  </si>
  <si>
    <t>本期实际
租赁月数</t>
  </si>
  <si>
    <t>本期应计收入</t>
  </si>
  <si>
    <t>本期实计收入</t>
  </si>
  <si>
    <t>差异</t>
  </si>
  <si>
    <t>2.咨询业务</t>
  </si>
  <si>
    <t>委托方</t>
  </si>
  <si>
    <t>咨询项目</t>
  </si>
  <si>
    <t>委托期限</t>
  </si>
  <si>
    <t>合同金额</t>
  </si>
  <si>
    <t>其他业务收入的检查表</t>
  </si>
  <si>
    <t>索引号：</t>
  </si>
  <si>
    <t>1.利润表中记录的其他业务收入已发生，且与被审计单位有关，已记录于恰当的账户。2.与其他业务收入有关的金额及其他数据已恰当记录，相关披露已得到恰当计量和描述。</t>
  </si>
  <si>
    <t>二、样本选取标准与规模：</t>
  </si>
  <si>
    <t>测试总体：</t>
  </si>
  <si>
    <t>如借方发生额所有凭证共XX笔金额XX、贷方发生额所有凭证共XX笔金额XX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</si>
  <si>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</si>
  <si>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</si>
  <si>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</si>
  <si>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</si>
  <si>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</si>
  <si>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抽取XX笔（如果使用了样本计算器计算样本量，样本量计算过程见&lt;XX&gt;底稿）</t>
  </si>
  <si>
    <t>抽样方法：</t>
  </si>
  <si>
    <t>抽样过程：</t>
  </si>
  <si>
    <t>使用IDEA（XX抽样工具）选择XX数量、金额XX的样本进行测试，抽样工具中的样本选择过程和结果见&lt;XX&gt;底稿</t>
  </si>
  <si>
    <t>三、测试：</t>
  </si>
  <si>
    <r>
      <rPr>
        <b/>
        <sz val="10"/>
        <color rgb="FFFF0000"/>
        <rFont val="宋体"/>
        <family val="3"/>
        <charset val="134"/>
      </rPr>
      <t>测试内容说明：</t>
    </r>
    <r>
      <rPr>
        <sz val="10"/>
        <color rgb="FFFF0000"/>
        <rFont val="宋体"/>
        <family val="3"/>
        <charset val="134"/>
      </rPr>
      <t>1.原始凭证是否齐全；2.记账凭证与原始凭证是否相符；3.账务处理是否正确；4.是否记录于恰当的会计期间；5.……</t>
    </r>
  </si>
  <si>
    <t>日期</t>
  </si>
  <si>
    <t>凭证编号</t>
  </si>
  <si>
    <t>业务内容</t>
  </si>
  <si>
    <t>对方科目</t>
  </si>
  <si>
    <t>明细科目</t>
  </si>
  <si>
    <t>金额</t>
  </si>
  <si>
    <t>支持性文件</t>
  </si>
  <si>
    <t>核对内容</t>
  </si>
  <si>
    <t>是否异常</t>
  </si>
  <si>
    <t>备注说明</t>
  </si>
  <si>
    <t xml:space="preserve"> </t>
  </si>
  <si>
    <t>四、审计说明：</t>
  </si>
  <si>
    <t>五、审计结论：</t>
  </si>
  <si>
    <t xml:space="preserve">   索引号： </t>
  </si>
  <si>
    <t>一、审计目标</t>
  </si>
  <si>
    <t>确认与其他业务收入有关事项已记录于正确的会计期间。</t>
  </si>
  <si>
    <t>二、审计过程</t>
  </si>
  <si>
    <t>1.获取报表日前（______）天、后（______）天，且金额大于______元收入记账凭证与发货单（或验收单、出库单等）核对确认</t>
  </si>
  <si>
    <t>收入是否记入了恰当的期间；</t>
  </si>
  <si>
    <t>2.获取报表日前（______）天、后（______）天，且金额大于______元发货单（或验收单、出库单等）与收入记账凭证核对确认</t>
  </si>
  <si>
    <t>（一）账到单据</t>
  </si>
  <si>
    <t>记账凭证</t>
  </si>
  <si>
    <t>发货单（或验收单、出库单等）</t>
  </si>
  <si>
    <t>是否跨期√(×)</t>
  </si>
  <si>
    <t>编号</t>
  </si>
  <si>
    <t>品名</t>
  </si>
  <si>
    <t>数量</t>
  </si>
  <si>
    <t>截止日期：202X年12月31日</t>
  </si>
  <si>
    <t>（二）单据到账</t>
  </si>
  <si>
    <t>是否跨期</t>
  </si>
  <si>
    <t>√（×）</t>
  </si>
  <si>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</si>
  <si>
    <t>提示1：本表适用于对“以发货单为确认收入时点”的被审计单位的截止测试，项目组在使用模板时，请根据企业的收入确认政策修改或调整。</t>
  </si>
  <si>
    <t>提示2：如果存在跨期舞弊风险或者所检查样本中发现有跨期的，应扩大测试期间和样本，甚至可以考虑将截止测试期间延长至审计报告日。同时考虑是否存在内控缺陷。</t>
    <phoneticPr fontId="14" type="noConversion"/>
  </si>
  <si>
    <t>如果存在跨期舞弊风险或者所检查样本中发现有跨期的，应扩大测试期间和样本，甚至可以考虑将截止测试期间延长至审计报告日。同时考虑是否存在内控缺陷。</t>
    <phoneticPr fontId="14" type="noConversion"/>
  </si>
  <si>
    <r>
      <rPr>
        <sz val="10"/>
        <rFont val="宋体"/>
        <family val="3"/>
        <charset val="134"/>
      </rPr>
      <t>会计期间：</t>
    </r>
    <r>
      <rPr>
        <sz val="10"/>
        <rFont val="Arial Narrow"/>
        <family val="2"/>
      </rPr>
      <t>202X</t>
    </r>
    <r>
      <rPr>
        <sz val="10"/>
        <rFont val="宋体"/>
        <family val="3"/>
        <charset val="134"/>
      </rPr>
      <t>年度</t>
    </r>
    <phoneticPr fontId="14" type="noConversion"/>
  </si>
  <si>
    <t>关于工作底稿与审计程序索引号对应的说明</t>
    <phoneticPr fontId="14" type="noConversion"/>
  </si>
  <si>
    <r>
      <t>1.</t>
    </r>
    <r>
      <rPr>
        <b/>
        <sz val="12"/>
        <rFont val="宋体"/>
        <family val="3"/>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4" type="noConversion"/>
  </si>
  <si>
    <r>
      <t>2.</t>
    </r>
    <r>
      <rPr>
        <b/>
        <sz val="12"/>
        <rFont val="宋体"/>
        <family val="3"/>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family val="2"/>
      </rPr>
      <t>D1-2-1</t>
    </r>
    <r>
      <rPr>
        <sz val="12"/>
        <rFont val="宋体"/>
        <charset val="134"/>
      </rPr>
      <t>、</t>
    </r>
    <r>
      <rPr>
        <sz val="12"/>
        <rFont val="Arial Narrow"/>
        <family val="2"/>
      </rPr>
      <t>D1-2-2</t>
    </r>
    <r>
      <rPr>
        <sz val="12"/>
        <rFont val="宋体"/>
        <charset val="134"/>
      </rPr>
      <t>、</t>
    </r>
    <r>
      <rPr>
        <sz val="12"/>
        <rFont val="Arial Narrow"/>
        <family val="2"/>
      </rPr>
      <t>……</t>
    </r>
    <r>
      <rPr>
        <sz val="12"/>
        <rFont val="宋体"/>
        <charset val="134"/>
      </rPr>
      <t>），并在底稿中说明引用的支持性证据、关联索引号。</t>
    </r>
    <phoneticPr fontId="14" type="noConversion"/>
  </si>
  <si>
    <r>
      <rPr>
        <b/>
        <sz val="12"/>
        <rFont val="Arial Narrow"/>
        <family val="2"/>
      </rPr>
      <t>3.</t>
    </r>
    <r>
      <rPr>
        <b/>
        <sz val="12"/>
        <rFont val="宋体"/>
        <family val="3"/>
        <charset val="134"/>
      </rPr>
      <t>工作底稿索引号的编码规则：</t>
    </r>
    <r>
      <rPr>
        <sz val="12"/>
        <rFont val="宋体"/>
        <charset val="134"/>
      </rPr>
      <t>实质性程序索引号按循环从</t>
    </r>
    <r>
      <rPr>
        <sz val="12"/>
        <rFont val="Arial Narrow"/>
        <family val="2"/>
      </rPr>
      <t>“D”</t>
    </r>
    <r>
      <rPr>
        <sz val="12"/>
        <rFont val="宋体"/>
        <charset val="134"/>
      </rPr>
      <t>到</t>
    </r>
    <r>
      <rPr>
        <sz val="12"/>
        <rFont val="Arial Narrow"/>
        <family val="2"/>
      </rPr>
      <t>“N”,</t>
    </r>
    <r>
      <rPr>
        <sz val="12"/>
        <rFont val="宋体"/>
        <charset val="134"/>
      </rPr>
      <t>循环内账户以顺序号排列，模板中底稿索引号按账户顺序</t>
    </r>
    <r>
      <rPr>
        <sz val="12"/>
        <rFont val="Arial Narrow"/>
        <family val="2"/>
      </rPr>
      <t>+</t>
    </r>
    <r>
      <rPr>
        <sz val="12"/>
        <rFont val="宋体"/>
        <charset val="134"/>
      </rPr>
      <t>自然数顺序（即模板中索引号按二级自然顺序排列，如</t>
    </r>
    <r>
      <rPr>
        <sz val="12"/>
        <rFont val="Arial Narrow"/>
        <family val="2"/>
      </rPr>
      <t>D1-1</t>
    </r>
    <r>
      <rPr>
        <sz val="12"/>
        <rFont val="宋体"/>
        <charset val="134"/>
      </rPr>
      <t>、</t>
    </r>
    <r>
      <rPr>
        <sz val="12"/>
        <rFont val="Arial Narrow"/>
        <family val="2"/>
      </rPr>
      <t>D1-2</t>
    </r>
    <r>
      <rPr>
        <sz val="12"/>
        <rFont val="宋体"/>
        <charset val="134"/>
      </rPr>
      <t>、</t>
    </r>
    <r>
      <rPr>
        <sz val="12"/>
        <rFont val="Arial Narrow"/>
        <family val="2"/>
      </rPr>
      <t>D1-3</t>
    </r>
    <r>
      <rPr>
        <sz val="12"/>
        <rFont val="宋体"/>
        <charset val="134"/>
      </rPr>
      <t>、</t>
    </r>
    <r>
      <rPr>
        <sz val="12"/>
        <rFont val="Arial Narrow"/>
        <family val="2"/>
      </rPr>
      <t>……D1-N</t>
    </r>
    <r>
      <rPr>
        <sz val="12"/>
        <rFont val="宋体"/>
        <charset val="134"/>
      </rPr>
      <t>）。</t>
    </r>
    <phoneticPr fontId="14" type="noConversion"/>
  </si>
  <si>
    <t>随机选样/系统选样/货币单元抽样/随意选样（非统计抽样适用）</t>
    <phoneticPr fontId="14" type="noConversion"/>
  </si>
  <si>
    <t>合计</t>
    <phoneticPr fontId="14" type="noConversion"/>
  </si>
  <si>
    <t>本期发生额</t>
    <phoneticPr fontId="14" type="noConversion"/>
  </si>
  <si>
    <t>检查比例</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</si>
</sst>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76" formatCode="_([$€-2]* #,##0.00_);_([$€-2]* \(#,##0.00\);_([$€-2]* &quot;-&quot;??_)"/>
    <numFmt numFmtId="177" formatCode="#,##0.00_ "/>
    <numFmt numFmtId="178" formatCode="#,##0_ "/>
  </numFmts>
  <fonts count="29" x14ac:knownFonts="1">
    <font>
      <sz val="12"/>
      <name val="宋体"/>
      <charset val="134"/>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sz val="10"/>
      <color theme="1"/>
      <name val="宋体"/>
      <family val="3"/>
      <charset val="134"/>
    </font>
    <font>
      <b/>
      <sz val="10"/>
      <color rgb="FFFF0000"/>
      <name val="宋体"/>
      <family val="3"/>
      <charset val="134"/>
    </font>
    <font>
      <b/>
      <sz val="10"/>
      <name val="Arial Narrow"/>
      <family val="2"/>
    </font>
    <font>
      <sz val="10"/>
      <name val="Arial Narrow"/>
      <family val="2"/>
    </font>
    <font>
      <sz val="10"/>
      <color rgb="FF0000CC"/>
      <name val="宋体"/>
      <family val="3"/>
      <charset val="134"/>
    </font>
    <font>
      <b/>
      <sz val="10"/>
      <color indexed="8"/>
      <name val="宋体"/>
      <family val="3"/>
      <charset val="134"/>
    </font>
    <font>
      <sz val="10"/>
      <color rgb="FF0000FF"/>
      <name val="宋体"/>
      <family val="3"/>
      <charset val="134"/>
    </font>
    <font>
      <sz val="10"/>
      <color indexed="12"/>
      <name val="宋体"/>
      <family val="3"/>
      <charset val="134"/>
    </font>
    <font>
      <sz val="9"/>
      <name val="宋体"/>
      <family val="3"/>
      <charset val="134"/>
    </font>
    <font>
      <b/>
      <sz val="9"/>
      <name val="宋体"/>
      <family val="3"/>
      <charset val="134"/>
    </font>
    <font>
      <sz val="9"/>
      <name val="Arial"/>
      <family val="2"/>
    </font>
    <font>
      <sz val="9"/>
      <color rgb="FFFF0000"/>
      <name val="宋体"/>
      <family val="3"/>
      <charset val="134"/>
    </font>
    <font>
      <sz val="10"/>
      <color indexed="62"/>
      <name val="Arial Narrow"/>
      <family val="2"/>
    </font>
    <font>
      <u/>
      <sz val="12"/>
      <color indexed="12"/>
      <name val="宋体"/>
      <family val="3"/>
      <charset val="134"/>
    </font>
    <font>
      <sz val="10"/>
      <name val="Arial"/>
      <family val="2"/>
    </font>
    <font>
      <sz val="12"/>
      <name val="楷体"/>
      <family val="3"/>
      <charset val="134"/>
    </font>
    <font>
      <sz val="12"/>
      <name val="宋体"/>
      <family val="3"/>
      <charset val="134"/>
    </font>
    <font>
      <sz val="10"/>
      <color indexed="12"/>
      <name val="Arial Narrow"/>
      <family val="2"/>
    </font>
    <font>
      <sz val="12"/>
      <name val="宋体"/>
      <family val="3"/>
      <charset val="134"/>
    </font>
    <font>
      <b/>
      <sz val="12"/>
      <name val="Arial Narrow"/>
      <family val="2"/>
    </font>
    <font>
      <sz val="12"/>
      <name val="Arial Narrow"/>
      <family val="2"/>
    </font>
    <font>
      <u/>
      <sz val="10"/>
      <color rgb="FF0000FF"/>
      <name val="宋体"/>
      <family val="3"/>
      <charset val="134"/>
    </font>
    <font>
      <b/>
      <sz val="10"/>
      <color indexed="12"/>
      <name val="宋体"/>
      <family val="3"/>
      <charset val="134"/>
    </font>
  </fonts>
  <fills count="5">
    <fill>
      <patternFill patternType="none"/>
    </fill>
    <fill>
      <patternFill patternType="gray125"/>
    </fill>
    <fill>
      <patternFill patternType="solid">
        <fgColor rgb="FFE4DFEC"/>
        <bgColor indexed="64"/>
      </patternFill>
    </fill>
    <fill>
      <patternFill patternType="solid">
        <fgColor rgb="FFE4DFEC"/>
        <bgColor rgb="FFB7DEE8"/>
      </patternFill>
    </fill>
    <fill>
      <patternFill patternType="solid">
        <fgColor indexed="14"/>
        <bgColor indexed="64"/>
      </patternFill>
    </fill>
  </fills>
  <borders count="12">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s>
  <cellStyleXfs count="19">
    <xf numFmtId="0" fontId="0" fillId="0" borderId="0">
      <protection locked="0"/>
    </xf>
    <xf numFmtId="43" fontId="22" fillId="0" borderId="0" applyFont="0" applyFill="0" applyBorder="0" applyAlignment="0" applyProtection="0"/>
    <xf numFmtId="176" fontId="19" fillId="0" borderId="0" applyNumberFormat="0" applyFill="0" applyBorder="0" applyAlignment="0" applyProtection="0">
      <alignment vertical="top"/>
      <protection locked="0"/>
    </xf>
    <xf numFmtId="176" fontId="22" fillId="0" borderId="0">
      <alignment vertical="center"/>
      <protection locked="0"/>
    </xf>
    <xf numFmtId="0" fontId="22" fillId="0" borderId="0">
      <protection locked="0"/>
    </xf>
    <xf numFmtId="0" fontId="22" fillId="0" borderId="0">
      <protection locked="0"/>
    </xf>
    <xf numFmtId="176" fontId="22" fillId="0" borderId="0">
      <alignment vertical="center"/>
      <protection locked="0"/>
    </xf>
    <xf numFmtId="176" fontId="22" fillId="0" borderId="0">
      <protection locked="0"/>
    </xf>
    <xf numFmtId="176" fontId="22" fillId="0" borderId="0">
      <protection locked="0"/>
    </xf>
    <xf numFmtId="0" fontId="22" fillId="0" borderId="0">
      <alignment vertical="center"/>
    </xf>
    <xf numFmtId="0" fontId="22" fillId="0" borderId="0"/>
    <xf numFmtId="0" fontId="20" fillId="0" borderId="0"/>
    <xf numFmtId="0" fontId="22" fillId="0" borderId="0"/>
    <xf numFmtId="176" fontId="22" fillId="0" borderId="0"/>
    <xf numFmtId="0" fontId="22" fillId="0" borderId="0"/>
    <xf numFmtId="176" fontId="22" fillId="0" borderId="0">
      <protection locked="0"/>
    </xf>
    <xf numFmtId="176" fontId="21" fillId="0" borderId="0"/>
    <xf numFmtId="43" fontId="22" fillId="0" borderId="0" applyFont="0" applyFill="0" applyBorder="0" applyAlignment="0" applyProtection="0"/>
    <xf numFmtId="9" fontId="24" fillId="0" borderId="0" applyFont="0" applyFill="0" applyBorder="0" applyAlignment="0" applyProtection="0">
      <alignment vertical="center"/>
    </xf>
  </cellStyleXfs>
  <cellXfs count="179">
    <xf numFmtId="0" fontId="0" fillId="0" borderId="0" xfId="0">
      <protection locked="0"/>
    </xf>
    <xf numFmtId="0" fontId="1" fillId="0" borderId="0" xfId="0" applyFont="1" applyAlignment="1">
      <alignment vertical="center"/>
      <protection locked="0"/>
    </xf>
    <xf numFmtId="0" fontId="1" fillId="0" borderId="0" xfId="14" applyFont="1" applyBorder="1" applyAlignment="1">
      <alignment vertical="center"/>
    </xf>
    <xf numFmtId="0" fontId="1" fillId="0" borderId="0" xfId="14" applyFont="1" applyBorder="1" applyAlignment="1">
      <alignment horizontal="right" vertical="center"/>
    </xf>
    <xf numFmtId="0" fontId="1" fillId="0" borderId="0" xfId="0" applyFont="1" applyBorder="1" applyAlignment="1">
      <alignment vertical="center"/>
      <protection locked="0"/>
    </xf>
    <xf numFmtId="176" fontId="4" fillId="0" borderId="0" xfId="13" applyFont="1" applyBorder="1" applyAlignment="1">
      <alignment horizontal="left" vertical="center"/>
    </xf>
    <xf numFmtId="0" fontId="1" fillId="0" borderId="0" xfId="13" applyNumberFormat="1" applyFont="1" applyBorder="1" applyAlignment="1">
      <alignment vertical="center"/>
    </xf>
    <xf numFmtId="0" fontId="5" fillId="0" borderId="0" xfId="13" applyNumberFormat="1" applyFont="1" applyBorder="1" applyAlignment="1">
      <alignment horizontal="left" vertical="center"/>
    </xf>
    <xf numFmtId="176" fontId="4" fillId="2" borderId="6" xfId="16" applyFont="1" applyFill="1" applyBorder="1" applyAlignment="1">
      <alignment horizontal="center" vertical="center"/>
    </xf>
    <xf numFmtId="0" fontId="4" fillId="2" borderId="6" xfId="16" applyNumberFormat="1" applyFont="1" applyFill="1" applyBorder="1" applyAlignment="1">
      <alignment horizontal="center" vertical="center"/>
    </xf>
    <xf numFmtId="0" fontId="1" fillId="0" borderId="6" xfId="0" applyFont="1" applyBorder="1" applyAlignment="1" applyProtection="1">
      <alignment vertical="center"/>
    </xf>
    <xf numFmtId="0" fontId="1" fillId="0" borderId="6" xfId="0" applyFont="1" applyBorder="1" applyAlignment="1" applyProtection="1">
      <alignment horizontal="center" vertical="center" wrapText="1"/>
    </xf>
    <xf numFmtId="43" fontId="1" fillId="0" borderId="6" xfId="1" applyFont="1" applyBorder="1" applyAlignment="1">
      <alignment horizontal="center" vertical="center" wrapText="1"/>
    </xf>
    <xf numFmtId="0" fontId="1" fillId="0" borderId="6" xfId="1" applyNumberFormat="1" applyFont="1" applyBorder="1" applyAlignment="1">
      <alignment vertical="center"/>
    </xf>
    <xf numFmtId="43" fontId="1" fillId="0" borderId="6" xfId="1" applyFont="1" applyBorder="1" applyAlignment="1">
      <alignment vertical="center"/>
    </xf>
    <xf numFmtId="14" fontId="8" fillId="0" borderId="1" xfId="8" applyNumberFormat="1" applyFont="1" applyBorder="1" applyAlignment="1">
      <alignment horizontal="centerContinuous" vertical="center"/>
      <protection locked="0"/>
    </xf>
    <xf numFmtId="0" fontId="1" fillId="0" borderId="0" xfId="0" applyFont="1" applyBorder="1" applyAlignment="1" applyProtection="1">
      <alignment horizontal="center" vertical="center" wrapText="1"/>
    </xf>
    <xf numFmtId="43" fontId="1" fillId="0" borderId="0" xfId="1" applyFont="1" applyBorder="1" applyAlignment="1">
      <alignment horizontal="center" vertical="center" wrapText="1"/>
    </xf>
    <xf numFmtId="43" fontId="1" fillId="0" borderId="0" xfId="1" applyFont="1" applyBorder="1" applyAlignment="1">
      <alignment vertical="center"/>
    </xf>
    <xf numFmtId="0" fontId="4" fillId="2" borderId="6" xfId="16" applyNumberFormat="1" applyFont="1" applyFill="1" applyBorder="1" applyAlignment="1">
      <alignment horizontal="center" vertical="center" wrapText="1"/>
    </xf>
    <xf numFmtId="0" fontId="4" fillId="2" borderId="6" xfId="8" applyNumberFormat="1" applyFont="1" applyFill="1" applyBorder="1" applyAlignment="1">
      <alignment horizontal="center" vertical="center" wrapText="1"/>
      <protection locked="0"/>
    </xf>
    <xf numFmtId="14" fontId="9" fillId="0" borderId="6" xfId="16" applyNumberFormat="1" applyFont="1" applyBorder="1" applyAlignment="1">
      <alignment horizontal="center" vertical="center" wrapText="1"/>
    </xf>
    <xf numFmtId="0" fontId="9" fillId="0" borderId="6" xfId="16" applyNumberFormat="1" applyFont="1" applyBorder="1" applyAlignment="1">
      <alignment horizontal="center" vertical="center" wrapText="1"/>
    </xf>
    <xf numFmtId="0" fontId="1" fillId="0" borderId="6" xfId="16" applyNumberFormat="1" applyFont="1" applyBorder="1" applyAlignment="1">
      <alignment horizontal="center" vertical="center" wrapText="1"/>
    </xf>
    <xf numFmtId="43" fontId="9" fillId="0" borderId="6" xfId="17" applyFont="1" applyBorder="1" applyAlignment="1">
      <alignment horizontal="center" vertical="center" wrapText="1"/>
    </xf>
    <xf numFmtId="14" fontId="8" fillId="0" borderId="6" xfId="8" applyNumberFormat="1" applyFont="1" applyBorder="1" applyAlignment="1">
      <alignment horizontal="centerContinuous" vertical="center"/>
      <protection locked="0"/>
    </xf>
    <xf numFmtId="0" fontId="8" fillId="0" borderId="6" xfId="8" applyNumberFormat="1" applyFont="1" applyBorder="1" applyAlignment="1">
      <alignment horizontal="centerContinuous" vertical="center"/>
      <protection locked="0"/>
    </xf>
    <xf numFmtId="0" fontId="4" fillId="0" borderId="6" xfId="8" applyNumberFormat="1" applyFont="1" applyBorder="1" applyAlignment="1">
      <alignment horizontal="centerContinuous" vertical="center"/>
      <protection locked="0"/>
    </xf>
    <xf numFmtId="0" fontId="10" fillId="0" borderId="0" xfId="16" applyNumberFormat="1" applyFont="1" applyAlignment="1">
      <alignment vertical="center"/>
    </xf>
    <xf numFmtId="0" fontId="4" fillId="0" borderId="0" xfId="9" applyFont="1" applyAlignment="1">
      <alignment horizontal="center" vertical="center"/>
    </xf>
    <xf numFmtId="0" fontId="1" fillId="0" borderId="0" xfId="14" applyFont="1" applyBorder="1" applyAlignment="1">
      <alignment horizontal="center" vertical="center"/>
    </xf>
    <xf numFmtId="0" fontId="9" fillId="0" borderId="6" xfId="16" applyNumberFormat="1" applyFont="1" applyBorder="1" applyAlignment="1">
      <alignment vertical="center" wrapText="1"/>
    </xf>
    <xf numFmtId="0" fontId="9" fillId="0" borderId="6" xfId="16" applyNumberFormat="1" applyFont="1" applyBorder="1" applyAlignment="1">
      <alignment horizontal="centerContinuous" vertical="center"/>
    </xf>
    <xf numFmtId="0" fontId="4" fillId="0" borderId="0" xfId="0" applyFont="1" applyAlignment="1">
      <alignment vertical="center"/>
      <protection locked="0"/>
    </xf>
    <xf numFmtId="0" fontId="1" fillId="0" borderId="0" xfId="12" applyFont="1" applyAlignment="1" applyProtection="1">
      <alignment vertical="center"/>
      <protection locked="0"/>
    </xf>
    <xf numFmtId="0" fontId="1" fillId="0" borderId="0" xfId="0" applyFont="1" applyAlignment="1">
      <alignment horizontal="left" vertical="center"/>
      <protection locked="0"/>
    </xf>
    <xf numFmtId="0" fontId="11" fillId="0" borderId="0" xfId="0" applyFont="1" applyAlignment="1" applyProtection="1">
      <alignment vertical="center"/>
    </xf>
    <xf numFmtId="0" fontId="4" fillId="0" borderId="0" xfId="12" applyFont="1" applyAlignment="1">
      <alignment horizontal="left" vertical="center"/>
    </xf>
    <xf numFmtId="0" fontId="1" fillId="0" borderId="0" xfId="12" applyFont="1" applyAlignment="1">
      <alignment vertical="center"/>
    </xf>
    <xf numFmtId="176" fontId="1" fillId="0" borderId="0" xfId="13" applyFont="1" applyAlignment="1">
      <alignment horizontal="left" vertical="center"/>
    </xf>
    <xf numFmtId="176" fontId="12" fillId="0" borderId="0" xfId="13" applyFont="1" applyAlignment="1">
      <alignment horizontal="left" vertical="center"/>
    </xf>
    <xf numFmtId="0" fontId="1" fillId="0" borderId="0" xfId="0" applyFont="1" applyAlignment="1" applyProtection="1">
      <alignment vertical="center"/>
      <protection locked="0"/>
    </xf>
    <xf numFmtId="0" fontId="4" fillId="0" borderId="0" xfId="12" applyFont="1" applyAlignment="1">
      <alignment vertical="center"/>
    </xf>
    <xf numFmtId="0" fontId="5" fillId="0" borderId="0" xfId="0" applyFont="1" applyFill="1" applyBorder="1" applyAlignment="1" applyProtection="1">
      <alignment horizontal="left" vertical="center"/>
      <protection locked="0"/>
    </xf>
    <xf numFmtId="0" fontId="13" fillId="0" borderId="0" xfId="12" applyFont="1" applyAlignment="1" applyProtection="1">
      <alignment horizontal="center" vertical="center"/>
      <protection hidden="1"/>
    </xf>
    <xf numFmtId="0" fontId="1" fillId="0" borderId="0" xfId="12" applyFont="1" applyAlignment="1" applyProtection="1">
      <alignment horizontal="left" vertical="center"/>
      <protection hidden="1"/>
    </xf>
    <xf numFmtId="0" fontId="13" fillId="0" borderId="0" xfId="12" applyFont="1" applyAlignment="1" applyProtection="1">
      <alignment horizontal="left" vertical="center"/>
      <protection locked="0"/>
    </xf>
    <xf numFmtId="0" fontId="4" fillId="2" borderId="6" xfId="0" applyFont="1" applyFill="1" applyBorder="1" applyAlignment="1">
      <alignment horizontal="center" vertical="center"/>
      <protection locked="0"/>
    </xf>
    <xf numFmtId="14" fontId="1" fillId="0" borderId="6" xfId="0" applyNumberFormat="1" applyFont="1" applyBorder="1" applyAlignment="1">
      <alignment horizontal="left" vertical="center"/>
      <protection locked="0"/>
    </xf>
    <xf numFmtId="0" fontId="1" fillId="0" borderId="6" xfId="0" applyFont="1" applyBorder="1" applyAlignment="1">
      <alignment horizontal="left" vertical="center"/>
      <protection locked="0"/>
    </xf>
    <xf numFmtId="0" fontId="1" fillId="0" borderId="6" xfId="0" applyFont="1" applyBorder="1" applyAlignment="1">
      <alignment vertical="center" wrapText="1"/>
      <protection locked="0"/>
    </xf>
    <xf numFmtId="43" fontId="1" fillId="0" borderId="6" xfId="0" applyNumberFormat="1" applyFont="1" applyBorder="1" applyAlignment="1">
      <alignment horizontal="left" vertical="center"/>
      <protection locked="0"/>
    </xf>
    <xf numFmtId="0" fontId="1" fillId="0" borderId="6" xfId="0" applyFont="1" applyBorder="1" applyAlignment="1">
      <alignment horizontal="center" vertical="center"/>
      <protection locked="0"/>
    </xf>
    <xf numFmtId="0" fontId="1" fillId="0" borderId="0" xfId="0" applyFont="1" applyAlignment="1">
      <alignment horizontal="center" vertical="center"/>
      <protection locked="0"/>
    </xf>
    <xf numFmtId="0" fontId="1" fillId="0" borderId="0" xfId="0" applyFont="1" applyAlignment="1">
      <alignment horizontal="right" vertical="center"/>
      <protection locked="0"/>
    </xf>
    <xf numFmtId="0" fontId="1" fillId="0" borderId="0" xfId="12" applyNumberFormat="1" applyFont="1" applyAlignment="1">
      <alignment vertical="center"/>
    </xf>
    <xf numFmtId="176" fontId="1" fillId="0" borderId="0" xfId="7" applyFont="1" applyAlignment="1">
      <alignment vertical="center"/>
      <protection locked="0"/>
    </xf>
    <xf numFmtId="0" fontId="1" fillId="0" borderId="0" xfId="0" applyNumberFormat="1" applyFont="1">
      <protection locked="0"/>
    </xf>
    <xf numFmtId="0" fontId="1" fillId="0" borderId="0" xfId="12" applyNumberFormat="1" applyFont="1" applyAlignment="1" applyProtection="1">
      <alignment vertical="center"/>
      <protection locked="0"/>
    </xf>
    <xf numFmtId="0" fontId="0" fillId="0" borderId="0" xfId="0" applyFill="1">
      <protection locked="0"/>
    </xf>
    <xf numFmtId="0" fontId="1" fillId="0" borderId="0" xfId="0" applyNumberFormat="1" applyFont="1" applyBorder="1" applyAlignment="1">
      <alignment vertical="center"/>
      <protection locked="0"/>
    </xf>
    <xf numFmtId="0" fontId="1" fillId="0" borderId="0" xfId="14" applyNumberFormat="1" applyFont="1" applyBorder="1" applyAlignment="1">
      <alignment vertical="center"/>
    </xf>
    <xf numFmtId="0" fontId="1" fillId="0" borderId="0" xfId="14" applyNumberFormat="1" applyFont="1" applyBorder="1" applyAlignment="1">
      <alignment horizontal="center" vertical="center"/>
    </xf>
    <xf numFmtId="0" fontId="1" fillId="0" borderId="0" xfId="0" applyNumberFormat="1" applyFont="1" applyBorder="1">
      <protection locked="0"/>
    </xf>
    <xf numFmtId="0" fontId="11" fillId="0" borderId="0" xfId="0" applyNumberFormat="1" applyFont="1" applyBorder="1" applyAlignment="1" applyProtection="1">
      <alignment vertical="center"/>
    </xf>
    <xf numFmtId="0" fontId="4" fillId="0" borderId="0" xfId="12" applyNumberFormat="1" applyFont="1" applyBorder="1" applyAlignment="1">
      <alignment horizontal="left" vertical="center"/>
    </xf>
    <xf numFmtId="0" fontId="9" fillId="0" borderId="0" xfId="12" applyNumberFormat="1" applyFont="1" applyBorder="1" applyAlignment="1">
      <alignment vertical="center"/>
    </xf>
    <xf numFmtId="0" fontId="1" fillId="0" borderId="0" xfId="12" applyNumberFormat="1" applyFont="1" applyBorder="1" applyAlignment="1">
      <alignment vertical="center"/>
    </xf>
    <xf numFmtId="0" fontId="9" fillId="0" borderId="0" xfId="12" applyNumberFormat="1" applyFont="1" applyAlignment="1">
      <alignment vertical="center"/>
    </xf>
    <xf numFmtId="0" fontId="11" fillId="0" borderId="0" xfId="0" applyNumberFormat="1" applyFont="1" applyAlignment="1" applyProtection="1">
      <alignment vertical="center"/>
    </xf>
    <xf numFmtId="0" fontId="4" fillId="0" borderId="0" xfId="12" applyNumberFormat="1" applyFont="1" applyAlignment="1">
      <alignment horizontal="left" vertical="center"/>
    </xf>
    <xf numFmtId="0" fontId="14" fillId="0" borderId="0" xfId="0" applyFont="1" applyFill="1" applyAlignment="1" applyProtection="1">
      <alignment vertical="center"/>
    </xf>
    <xf numFmtId="0" fontId="15" fillId="2" borderId="6" xfId="0" applyFont="1" applyFill="1" applyBorder="1" applyAlignment="1" applyProtection="1">
      <alignment horizontal="center" vertical="center"/>
    </xf>
    <xf numFmtId="0" fontId="15" fillId="2" borderId="6"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xf>
    <xf numFmtId="0" fontId="14" fillId="0" borderId="6" xfId="0" applyFont="1" applyFill="1" applyBorder="1" applyAlignment="1" applyProtection="1">
      <alignment vertical="center"/>
    </xf>
    <xf numFmtId="0" fontId="16" fillId="0" borderId="6" xfId="0" applyFont="1" applyFill="1" applyBorder="1" applyAlignment="1" applyProtection="1">
      <alignment horizontal="center" vertical="center"/>
    </xf>
    <xf numFmtId="177" fontId="16" fillId="0" borderId="6" xfId="0" applyNumberFormat="1" applyFont="1" applyFill="1" applyBorder="1" applyAlignment="1" applyProtection="1">
      <alignment horizontal="right" vertical="center"/>
    </xf>
    <xf numFmtId="177" fontId="16" fillId="0" borderId="6" xfId="0" applyNumberFormat="1" applyFont="1" applyFill="1" applyBorder="1" applyAlignment="1" applyProtection="1">
      <alignment horizontal="center" vertical="center"/>
    </xf>
    <xf numFmtId="0" fontId="4" fillId="0" borderId="7" xfId="10" applyNumberFormat="1" applyFont="1" applyBorder="1" applyAlignment="1">
      <alignment horizontal="left" vertical="center"/>
    </xf>
    <xf numFmtId="0" fontId="4" fillId="0" borderId="0" xfId="10" applyNumberFormat="1" applyFont="1" applyBorder="1" applyAlignment="1">
      <alignment horizontal="left" vertical="center"/>
    </xf>
    <xf numFmtId="0" fontId="1" fillId="0" borderId="0" xfId="0" applyNumberFormat="1" applyFont="1" applyBorder="1" applyAlignment="1" applyProtection="1">
      <alignment vertical="center"/>
    </xf>
    <xf numFmtId="0" fontId="1" fillId="0" borderId="0" xfId="14" applyNumberFormat="1" applyFont="1" applyBorder="1" applyAlignment="1">
      <alignment horizontal="right" vertical="center"/>
    </xf>
    <xf numFmtId="43" fontId="16" fillId="0" borderId="6" xfId="11" applyNumberFormat="1" applyFont="1" applyFill="1" applyBorder="1" applyAlignment="1">
      <alignment horizontal="right" vertical="center" shrinkToFit="1"/>
    </xf>
    <xf numFmtId="0" fontId="17" fillId="0" borderId="0" xfId="0" applyFont="1" applyFill="1" applyAlignment="1" applyProtection="1">
      <alignment vertical="center"/>
    </xf>
    <xf numFmtId="0" fontId="4" fillId="2" borderId="6" xfId="5" applyNumberFormat="1" applyFont="1" applyFill="1" applyBorder="1" applyAlignment="1">
      <alignment horizontal="center" vertical="center"/>
      <protection locked="0"/>
    </xf>
    <xf numFmtId="0" fontId="9" fillId="2" borderId="6" xfId="1" applyNumberFormat="1" applyFont="1" applyFill="1" applyBorder="1" applyAlignment="1">
      <alignment horizontal="center" vertical="center" wrapText="1"/>
    </xf>
    <xf numFmtId="43" fontId="9" fillId="2" borderId="6" xfId="1" applyNumberFormat="1" applyFont="1" applyFill="1" applyBorder="1" applyAlignment="1">
      <alignment vertical="center"/>
    </xf>
    <xf numFmtId="10" fontId="9" fillId="2" borderId="6" xfId="1" applyNumberFormat="1" applyFont="1" applyFill="1" applyBorder="1" applyAlignment="1">
      <alignment vertical="center"/>
    </xf>
    <xf numFmtId="43" fontId="9" fillId="0" borderId="6" xfId="1" applyNumberFormat="1" applyFont="1" applyBorder="1" applyAlignment="1">
      <alignment horizontal="justify" vertical="top" wrapText="1"/>
    </xf>
    <xf numFmtId="43" fontId="9" fillId="0" borderId="6" xfId="0" applyNumberFormat="1" applyFont="1" applyBorder="1" applyAlignment="1" applyProtection="1">
      <alignment vertical="center"/>
    </xf>
    <xf numFmtId="0" fontId="1" fillId="2" borderId="6" xfId="1" applyNumberFormat="1" applyFont="1" applyFill="1" applyBorder="1" applyAlignment="1">
      <alignment horizontal="center" vertical="center" wrapText="1"/>
    </xf>
    <xf numFmtId="0" fontId="1" fillId="2" borderId="6" xfId="1" applyNumberFormat="1" applyFont="1" applyFill="1" applyBorder="1" applyAlignment="1">
      <alignment horizontal="left" vertical="center"/>
    </xf>
    <xf numFmtId="43" fontId="9" fillId="0" borderId="6" xfId="1" applyNumberFormat="1" applyFont="1" applyFill="1" applyBorder="1" applyAlignment="1">
      <alignment horizontal="left" vertical="center"/>
    </xf>
    <xf numFmtId="0" fontId="1" fillId="2" borderId="6" xfId="1" applyNumberFormat="1" applyFont="1" applyFill="1" applyBorder="1" applyAlignment="1">
      <alignment vertical="center"/>
    </xf>
    <xf numFmtId="0" fontId="1" fillId="0" borderId="7" xfId="0" applyNumberFormat="1" applyFont="1" applyBorder="1" applyAlignment="1" applyProtection="1">
      <alignment vertical="center"/>
    </xf>
    <xf numFmtId="0" fontId="1" fillId="0" borderId="0" xfId="10" applyNumberFormat="1" applyFont="1" applyBorder="1" applyAlignment="1">
      <alignment horizontal="center" vertical="center"/>
    </xf>
    <xf numFmtId="0" fontId="1" fillId="0" borderId="0" xfId="10" applyNumberFormat="1" applyFont="1" applyBorder="1" applyAlignment="1">
      <alignment vertical="center"/>
    </xf>
    <xf numFmtId="0" fontId="1" fillId="0" borderId="0" xfId="14" applyNumberFormat="1" applyFont="1" applyBorder="1" applyAlignment="1">
      <alignment horizontal="left" vertical="center"/>
    </xf>
    <xf numFmtId="0" fontId="1" fillId="0" borderId="0" xfId="12" applyNumberFormat="1" applyFont="1" applyBorder="1" applyAlignment="1" applyProtection="1">
      <alignment vertical="center"/>
      <protection locked="0"/>
    </xf>
    <xf numFmtId="0" fontId="1" fillId="2" borderId="6" xfId="1" applyNumberFormat="1" applyFont="1" applyFill="1" applyBorder="1" applyAlignment="1">
      <alignment horizontal="center" vertical="center"/>
    </xf>
    <xf numFmtId="176" fontId="4" fillId="0" borderId="0" xfId="15" applyFont="1" applyAlignment="1">
      <alignment vertical="center"/>
      <protection locked="0"/>
    </xf>
    <xf numFmtId="176" fontId="1" fillId="0" borderId="0" xfId="15" applyFont="1" applyAlignment="1">
      <alignment vertical="center"/>
      <protection locked="0"/>
    </xf>
    <xf numFmtId="176" fontId="1" fillId="4" borderId="0" xfId="15" applyFont="1" applyFill="1" applyAlignment="1">
      <alignment horizontal="justify" vertical="center" wrapText="1"/>
      <protection locked="0"/>
    </xf>
    <xf numFmtId="176" fontId="1" fillId="0" borderId="0" xfId="15" applyFont="1" applyAlignment="1">
      <alignment horizontal="justify" wrapText="1"/>
      <protection locked="0"/>
    </xf>
    <xf numFmtId="176" fontId="4" fillId="0" borderId="0" xfId="15" applyFont="1" applyAlignment="1">
      <alignment horizontal="center" vertical="center"/>
      <protection locked="0"/>
    </xf>
    <xf numFmtId="178" fontId="18" fillId="0" borderId="11" xfId="15" applyNumberFormat="1" applyFont="1" applyBorder="1" applyAlignment="1">
      <alignment horizontal="center" vertical="center" wrapText="1"/>
      <protection locked="0"/>
    </xf>
    <xf numFmtId="176" fontId="9" fillId="0" borderId="11" xfId="2" applyFont="1" applyBorder="1" applyAlignment="1">
      <alignment horizontal="center" vertical="center"/>
      <protection locked="0"/>
    </xf>
    <xf numFmtId="176" fontId="1" fillId="0" borderId="0" xfId="15" applyFont="1">
      <protection locked="0"/>
    </xf>
    <xf numFmtId="0" fontId="1" fillId="4" borderId="0" xfId="0" applyFont="1" applyFill="1" applyAlignment="1">
      <alignment horizontal="justify" vertical="center" wrapText="1"/>
      <protection locked="0"/>
    </xf>
    <xf numFmtId="0" fontId="4" fillId="0" borderId="0" xfId="0" applyFont="1" applyAlignment="1">
      <alignment horizontal="justify" vertical="center"/>
      <protection locked="0"/>
    </xf>
    <xf numFmtId="43" fontId="1" fillId="0" borderId="6" xfId="1" applyFont="1" applyBorder="1" applyAlignment="1">
      <alignment vertical="center" wrapText="1"/>
    </xf>
    <xf numFmtId="0" fontId="23" fillId="0" borderId="0" xfId="2" applyNumberFormat="1" applyFont="1" applyBorder="1" applyAlignment="1" applyProtection="1">
      <alignment horizontal="left" vertical="center"/>
    </xf>
    <xf numFmtId="0" fontId="23" fillId="0" borderId="0" xfId="2" applyNumberFormat="1" applyFont="1" applyAlignment="1">
      <alignment horizontal="left" vertical="center"/>
      <protection locked="0"/>
    </xf>
    <xf numFmtId="0" fontId="3" fillId="0" borderId="0" xfId="0" applyFont="1" applyAlignment="1">
      <alignment horizontal="center" vertical="center"/>
      <protection locked="0"/>
    </xf>
    <xf numFmtId="0" fontId="4" fillId="2" borderId="6" xfId="0" applyFont="1" applyFill="1" applyBorder="1" applyAlignment="1">
      <alignment horizontal="center" vertical="center"/>
      <protection locked="0"/>
    </xf>
    <xf numFmtId="0" fontId="9" fillId="4" borderId="0" xfId="0" applyFont="1" applyFill="1" applyAlignment="1" applyProtection="1">
      <alignment horizontal="justify" vertical="center" wrapText="1"/>
      <protection locked="0"/>
    </xf>
    <xf numFmtId="176" fontId="27" fillId="0" borderId="11" xfId="2" applyFont="1" applyBorder="1" applyAlignment="1">
      <alignment vertical="center"/>
      <protection locked="0"/>
    </xf>
    <xf numFmtId="43" fontId="9" fillId="0" borderId="6" xfId="1" applyFont="1" applyBorder="1" applyAlignment="1" applyProtection="1">
      <alignment horizontal="left" vertical="center"/>
      <protection locked="0"/>
    </xf>
    <xf numFmtId="0" fontId="4" fillId="2" borderId="6" xfId="0" applyFont="1" applyFill="1" applyBorder="1" applyAlignment="1">
      <alignment horizontal="left" vertical="center"/>
      <protection locked="0"/>
    </xf>
    <xf numFmtId="43" fontId="8" fillId="2" borderId="6" xfId="1" applyFont="1" applyFill="1" applyBorder="1" applyAlignment="1" applyProtection="1">
      <alignment horizontal="left" vertical="center"/>
      <protection locked="0"/>
    </xf>
    <xf numFmtId="43" fontId="4" fillId="2" borderId="6" xfId="0" applyNumberFormat="1" applyFont="1" applyFill="1" applyBorder="1" applyAlignment="1">
      <alignment horizontal="left" vertical="center"/>
      <protection locked="0"/>
    </xf>
    <xf numFmtId="43" fontId="4" fillId="2" borderId="6" xfId="1" applyFont="1" applyFill="1" applyBorder="1" applyAlignment="1">
      <alignment vertical="center" wrapText="1"/>
    </xf>
    <xf numFmtId="0" fontId="4" fillId="2" borderId="6" xfId="0" applyFont="1" applyFill="1" applyBorder="1" applyAlignment="1">
      <alignment vertical="center" wrapText="1"/>
      <protection locked="0"/>
    </xf>
    <xf numFmtId="0" fontId="4" fillId="2" borderId="0" xfId="0" applyFont="1" applyFill="1" applyAlignment="1">
      <alignment vertical="center"/>
      <protection locked="0"/>
    </xf>
    <xf numFmtId="0" fontId="28" fillId="2" borderId="0" xfId="12" applyFont="1" applyFill="1" applyAlignment="1" applyProtection="1">
      <alignment horizontal="center" vertical="center"/>
      <protection hidden="1"/>
    </xf>
    <xf numFmtId="0" fontId="4" fillId="2" borderId="0" xfId="12" applyFont="1" applyFill="1" applyAlignment="1" applyProtection="1">
      <alignment horizontal="left" vertical="center"/>
      <protection hidden="1"/>
    </xf>
    <xf numFmtId="0" fontId="28" fillId="2" borderId="0" xfId="12" applyFont="1" applyFill="1" applyAlignment="1" applyProtection="1">
      <alignment horizontal="left" vertical="center"/>
      <protection locked="0"/>
    </xf>
    <xf numFmtId="0" fontId="11" fillId="2" borderId="0" xfId="0" applyFont="1" applyFill="1" applyAlignment="1" applyProtection="1">
      <alignment vertical="center"/>
    </xf>
    <xf numFmtId="0" fontId="4" fillId="2" borderId="0" xfId="12" applyFont="1" applyFill="1" applyAlignment="1" applyProtection="1">
      <alignment vertical="center"/>
      <protection locked="0"/>
    </xf>
    <xf numFmtId="10" fontId="8" fillId="2" borderId="6" xfId="18" applyNumberFormat="1" applyFont="1" applyFill="1" applyBorder="1" applyAlignment="1" applyProtection="1">
      <alignment horizontal="right" vertical="center"/>
      <protection locked="0"/>
    </xf>
    <xf numFmtId="0" fontId="25" fillId="0" borderId="0" xfId="0" applyFont="1" applyAlignment="1">
      <alignment horizontal="left" vertical="center" wrapText="1"/>
      <protection locked="0"/>
    </xf>
    <xf numFmtId="0" fontId="26" fillId="0" borderId="0" xfId="0" applyFont="1" applyAlignment="1">
      <alignment horizontal="left" vertical="center" wrapText="1"/>
      <protection locked="0"/>
    </xf>
    <xf numFmtId="0" fontId="2" fillId="0" borderId="0" xfId="9" applyNumberFormat="1" applyFont="1" applyAlignment="1">
      <alignment horizontal="center" vertical="center"/>
    </xf>
    <xf numFmtId="0" fontId="3" fillId="0" borderId="0" xfId="9" applyNumberFormat="1" applyFont="1" applyAlignment="1">
      <alignment horizontal="center" vertical="center"/>
    </xf>
    <xf numFmtId="0" fontId="4" fillId="2" borderId="6" xfId="5" applyNumberFormat="1" applyFont="1" applyFill="1" applyBorder="1" applyAlignment="1">
      <alignment horizontal="center" vertical="center"/>
      <protection locked="0"/>
    </xf>
    <xf numFmtId="0" fontId="7" fillId="2" borderId="6" xfId="5" applyNumberFormat="1" applyFont="1" applyFill="1" applyBorder="1" applyAlignment="1">
      <alignment horizontal="center" vertical="center"/>
      <protection locked="0"/>
    </xf>
    <xf numFmtId="0" fontId="14" fillId="0" borderId="6" xfId="0" applyFont="1" applyFill="1" applyBorder="1" applyAlignment="1" applyProtection="1">
      <alignment horizontal="left" vertical="center"/>
    </xf>
    <xf numFmtId="0" fontId="2" fillId="0" borderId="0" xfId="9" applyNumberFormat="1" applyFont="1" applyBorder="1" applyAlignment="1">
      <alignment horizontal="center" vertical="center"/>
    </xf>
    <xf numFmtId="0" fontId="3" fillId="0" borderId="0" xfId="9" applyNumberFormat="1" applyFont="1" applyBorder="1" applyAlignment="1">
      <alignment horizontal="center" vertical="center"/>
    </xf>
    <xf numFmtId="0" fontId="15" fillId="2" borderId="6" xfId="0" applyFont="1" applyFill="1" applyBorder="1" applyAlignment="1" applyProtection="1">
      <alignment horizontal="center" vertical="center"/>
    </xf>
    <xf numFmtId="14" fontId="4" fillId="2" borderId="6" xfId="3" applyNumberFormat="1" applyFont="1" applyFill="1" applyBorder="1" applyAlignment="1">
      <alignment horizontal="center" vertical="center"/>
      <protection locked="0"/>
    </xf>
    <xf numFmtId="0" fontId="2" fillId="0" borderId="0" xfId="0" applyFont="1" applyAlignment="1">
      <alignment horizontal="center" vertical="center"/>
      <protection locked="0"/>
    </xf>
    <xf numFmtId="0" fontId="3" fillId="0" borderId="0" xfId="0" applyFont="1" applyAlignment="1">
      <alignment horizontal="center" vertical="center"/>
      <protection locked="0"/>
    </xf>
    <xf numFmtId="0" fontId="4" fillId="2" borderId="6" xfId="0" applyFont="1" applyFill="1" applyBorder="1" applyAlignment="1">
      <alignment horizontal="center" vertical="center"/>
      <protection locked="0"/>
    </xf>
    <xf numFmtId="0" fontId="4" fillId="2" borderId="6" xfId="0" applyFont="1" applyFill="1" applyBorder="1" applyAlignment="1">
      <alignment horizontal="center" vertical="center" wrapText="1"/>
      <protection locked="0"/>
    </xf>
    <xf numFmtId="0" fontId="4" fillId="2" borderId="6" xfId="4" applyFont="1" applyFill="1" applyBorder="1" applyAlignment="1">
      <alignment horizontal="center" vertical="center" wrapText="1"/>
      <protection locked="0"/>
    </xf>
    <xf numFmtId="0" fontId="4" fillId="3" borderId="6" xfId="4" applyFont="1" applyFill="1" applyBorder="1" applyAlignment="1" applyProtection="1">
      <alignment horizontal="center" vertical="center" wrapText="1"/>
    </xf>
    <xf numFmtId="0" fontId="4" fillId="2" borderId="9" xfId="0" applyFont="1" applyFill="1" applyBorder="1" applyAlignment="1">
      <alignment horizontal="center" vertical="center" wrapText="1"/>
      <protection locked="0"/>
    </xf>
    <xf numFmtId="0" fontId="4" fillId="2" borderId="10" xfId="0" applyFont="1" applyFill="1" applyBorder="1" applyAlignment="1">
      <alignment horizontal="center" vertical="center" wrapText="1"/>
      <protection locked="0"/>
    </xf>
    <xf numFmtId="0" fontId="4" fillId="2" borderId="6" xfId="4" applyFont="1" applyFill="1" applyBorder="1" applyAlignment="1">
      <alignment horizontal="center" vertical="center"/>
      <protection locked="0"/>
    </xf>
    <xf numFmtId="0" fontId="2" fillId="0" borderId="0" xfId="9" applyFont="1" applyBorder="1" applyAlignment="1">
      <alignment horizontal="center" vertical="center"/>
    </xf>
    <xf numFmtId="0" fontId="3" fillId="0" borderId="0" xfId="9" applyFont="1" applyBorder="1" applyAlignment="1">
      <alignment horizontal="center" vertical="center"/>
    </xf>
    <xf numFmtId="0" fontId="4" fillId="2" borderId="1" xfId="0" applyFont="1" applyFill="1" applyBorder="1" applyAlignment="1">
      <alignment horizontal="center" vertical="center"/>
      <protection locked="0"/>
    </xf>
    <xf numFmtId="0" fontId="4" fillId="2" borderId="2" xfId="0" applyFont="1" applyFill="1" applyBorder="1" applyAlignment="1">
      <alignment horizontal="center" vertical="center"/>
      <protection locked="0"/>
    </xf>
    <xf numFmtId="0" fontId="4" fillId="2" borderId="3" xfId="0" applyFont="1" applyFill="1" applyBorder="1" applyAlignment="1">
      <alignment horizontal="center" vertical="center"/>
      <protection locked="0"/>
    </xf>
    <xf numFmtId="0" fontId="7" fillId="2" borderId="4" xfId="0" applyFont="1" applyFill="1" applyBorder="1" applyAlignment="1">
      <alignment horizontal="center" vertical="center"/>
      <protection locked="0"/>
    </xf>
    <xf numFmtId="0" fontId="7" fillId="2" borderId="5" xfId="0" applyFont="1" applyFill="1" applyBorder="1" applyAlignment="1">
      <alignment horizontal="center" vertical="center"/>
      <protection locked="0"/>
    </xf>
    <xf numFmtId="0" fontId="7" fillId="2" borderId="8" xfId="0" applyFont="1" applyFill="1" applyBorder="1" applyAlignment="1">
      <alignment horizontal="center" vertical="center"/>
      <protection locked="0"/>
    </xf>
    <xf numFmtId="0" fontId="7" fillId="2" borderId="6" xfId="0" applyFont="1" applyFill="1" applyBorder="1" applyAlignment="1">
      <alignment horizontal="center" vertical="center"/>
      <protection locked="0"/>
    </xf>
    <xf numFmtId="0" fontId="4" fillId="2" borderId="6" xfId="16" applyNumberFormat="1" applyFont="1" applyFill="1" applyBorder="1" applyAlignment="1">
      <alignment horizontal="center" vertical="center"/>
    </xf>
    <xf numFmtId="0" fontId="12" fillId="0" borderId="0" xfId="13" applyNumberFormat="1" applyFont="1" applyBorder="1" applyAlignment="1">
      <alignment horizontal="left" vertical="center" wrapText="1"/>
    </xf>
    <xf numFmtId="0" fontId="1" fillId="0" borderId="0" xfId="10" applyNumberFormat="1" applyFont="1" applyBorder="1" applyAlignment="1">
      <alignment horizontal="left" vertical="center"/>
    </xf>
    <xf numFmtId="0" fontId="1" fillId="0" borderId="0" xfId="0" applyNumberFormat="1" applyFont="1" applyAlignment="1">
      <alignment vertical="center"/>
      <protection locked="0"/>
    </xf>
    <xf numFmtId="0" fontId="22" fillId="0" borderId="7" xfId="0" applyFont="1" applyFill="1" applyBorder="1" applyAlignment="1">
      <alignment vertical="center"/>
      <protection locked="0"/>
    </xf>
    <xf numFmtId="0" fontId="22" fillId="0" borderId="0" xfId="0" applyFont="1" applyFill="1" applyAlignment="1">
      <alignment vertical="center"/>
      <protection locked="0"/>
    </xf>
    <xf numFmtId="0" fontId="1" fillId="0" borderId="0" xfId="0" applyFont="1" applyFill="1" applyBorder="1" applyAlignment="1">
      <alignment vertical="center"/>
      <protection locked="0"/>
    </xf>
    <xf numFmtId="0" fontId="1" fillId="0" borderId="0" xfId="0" applyFont="1" applyFill="1" applyAlignment="1">
      <alignment vertical="center"/>
      <protection locked="0"/>
    </xf>
    <xf numFmtId="0" fontId="4" fillId="0" borderId="0" xfId="13" applyNumberFormat="1" applyFont="1" applyBorder="1" applyAlignment="1">
      <alignment horizontal="left" vertical="center"/>
    </xf>
    <xf numFmtId="0" fontId="4" fillId="0" borderId="0" xfId="13" applyNumberFormat="1" applyFont="1" applyBorder="1" applyAlignment="1">
      <alignment vertical="center"/>
    </xf>
    <xf numFmtId="0" fontId="1" fillId="0" borderId="0" xfId="13" applyNumberFormat="1" applyFont="1" applyBorder="1" applyAlignment="1" applyProtection="1">
      <alignment vertical="center"/>
      <protection locked="0"/>
    </xf>
    <xf numFmtId="0" fontId="1" fillId="0" borderId="0" xfId="13" applyNumberFormat="1" applyFont="1" applyBorder="1" applyAlignment="1">
      <alignment vertical="center" wrapText="1"/>
    </xf>
    <xf numFmtId="0" fontId="6" fillId="0" borderId="0" xfId="0" applyNumberFormat="1" applyFont="1" applyBorder="1" applyAlignment="1" applyProtection="1">
      <alignment vertical="center"/>
    </xf>
    <xf numFmtId="0" fontId="4" fillId="0" borderId="0" xfId="13" applyNumberFormat="1" applyFont="1" applyAlignment="1">
      <alignment horizontal="left" vertical="center"/>
    </xf>
    <xf numFmtId="0" fontId="1" fillId="0" borderId="0" xfId="13" applyNumberFormat="1" applyFont="1" applyAlignment="1">
      <alignment vertical="center"/>
    </xf>
    <xf numFmtId="0" fontId="4" fillId="0" borderId="0" xfId="13" applyNumberFormat="1" applyFont="1" applyAlignment="1">
      <alignment vertical="center"/>
    </xf>
    <xf numFmtId="0" fontId="4" fillId="0" borderId="7" xfId="0" applyNumberFormat="1" applyFont="1" applyBorder="1" applyAlignment="1">
      <alignment vertical="center"/>
      <protection locked="0"/>
    </xf>
    <xf numFmtId="0" fontId="4" fillId="0" borderId="0" xfId="1" applyNumberFormat="1" applyFont="1" applyFill="1" applyBorder="1" applyAlignment="1">
      <alignment vertical="center"/>
    </xf>
    <xf numFmtId="0" fontId="4" fillId="0" borderId="0" xfId="0" applyNumberFormat="1" applyFont="1" applyBorder="1" applyAlignment="1">
      <alignment vertical="center"/>
      <protection locked="0"/>
    </xf>
  </cellXfs>
  <cellStyles count="19">
    <cellStyle name="百分比" xfId="18" builtinId="5"/>
    <cellStyle name="常规" xfId="0" builtinId="0"/>
    <cellStyle name="常规 2 2" xfId="3"/>
    <cellStyle name="常规 2 2 4" xfId="4"/>
    <cellStyle name="常规 2 3 2" xfId="5"/>
    <cellStyle name="常规 2 4 3" xfId="6"/>
    <cellStyle name="常规 2 8 2" xfId="7"/>
    <cellStyle name="常规 3 2" xfId="8"/>
    <cellStyle name="常规_Book1" xfId="9"/>
    <cellStyle name="常规_货币资金C" xfId="10"/>
    <cellStyle name="常规_检查情况表" xfId="11"/>
    <cellStyle name="常规_进一步审计程序--销售与收款循环" xfId="12"/>
    <cellStyle name="常规_进一步审计程序--销售与收款循环 2" xfId="13"/>
    <cellStyle name="常规_控制测试底稿" xfId="14"/>
    <cellStyle name="常规_通用表" xfId="15"/>
    <cellStyle name="超链接" xfId="2" builtinId="8"/>
    <cellStyle name="普通_附23_PBC4" xfId="16"/>
    <cellStyle name="千位分隔" xfId="1" builtinId="3"/>
    <cellStyle name="千位分隔 3" xfId="17"/>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 val="名称（勿删）"/>
      <sheetName val="基础信息"/>
      <sheetName val="UFPrn20050930091710"/>
      <sheetName val="UFPrn20050930204109"/>
      <sheetName val="自定义名称"/>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投资性房地产Dy"/>
      <sheetName val="原材料"/>
      <sheetName val="IMPORT"/>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abSelected="1" zoomScaleNormal="100" zoomScaleSheetLayoutView="100" workbookViewId="0"/>
  </sheetViews>
  <sheetFormatPr defaultColWidth="9" defaultRowHeight="20.100000000000001" customHeight="1" x14ac:dyDescent="0.25"/>
  <cols>
    <col min="1" max="1" width="71" customWidth="1"/>
    <col min="2" max="2" width="2.69921875" customWidth="1"/>
    <col min="3" max="3" width="2.5" customWidth="1"/>
    <col min="4" max="4" width="4.3984375" customWidth="1"/>
    <col min="5" max="5" width="21.3984375" customWidth="1"/>
    <col min="6" max="6" width="6.8984375" customWidth="1"/>
  </cols>
  <sheetData>
    <row r="1" spans="1:6" ht="20.100000000000001" customHeight="1" x14ac:dyDescent="0.25">
      <c r="A1" s="101" t="s">
        <v>0</v>
      </c>
      <c r="B1" s="102"/>
      <c r="C1" s="102"/>
      <c r="D1" s="102"/>
      <c r="E1" s="102"/>
      <c r="F1" s="102"/>
    </row>
    <row r="2" spans="1:6" ht="20.100000000000001" customHeight="1" x14ac:dyDescent="0.25">
      <c r="A2" s="103" t="s">
        <v>1</v>
      </c>
      <c r="B2" s="104"/>
      <c r="C2" s="104"/>
      <c r="D2" s="105" t="s">
        <v>2</v>
      </c>
      <c r="E2" s="105" t="s">
        <v>3</v>
      </c>
      <c r="F2" s="105" t="s">
        <v>4</v>
      </c>
    </row>
    <row r="3" spans="1:6" ht="20.100000000000001" customHeight="1" x14ac:dyDescent="0.25">
      <c r="A3" s="116" t="s">
        <v>111</v>
      </c>
      <c r="B3" s="104"/>
      <c r="C3" s="104"/>
      <c r="D3" s="106">
        <v>1</v>
      </c>
      <c r="E3" s="117" t="s">
        <v>5</v>
      </c>
      <c r="F3" s="107" t="s">
        <v>6</v>
      </c>
    </row>
    <row r="4" spans="1:6" ht="20.100000000000001" customHeight="1" x14ac:dyDescent="0.25">
      <c r="A4" s="103" t="s">
        <v>7</v>
      </c>
      <c r="B4" s="108"/>
      <c r="C4" s="108"/>
      <c r="D4" s="106">
        <v>2</v>
      </c>
      <c r="E4" s="117" t="s">
        <v>8</v>
      </c>
      <c r="F4" s="107" t="s">
        <v>9</v>
      </c>
    </row>
    <row r="5" spans="1:6" ht="20.100000000000001" customHeight="1" x14ac:dyDescent="0.25">
      <c r="A5" s="103" t="s">
        <v>10</v>
      </c>
      <c r="B5" s="108"/>
      <c r="C5" s="108"/>
      <c r="D5" s="106">
        <v>3</v>
      </c>
      <c r="E5" s="117" t="s">
        <v>11</v>
      </c>
      <c r="F5" s="107" t="s">
        <v>12</v>
      </c>
    </row>
    <row r="6" spans="1:6" ht="20.100000000000001" customHeight="1" x14ac:dyDescent="0.25">
      <c r="A6" s="109" t="s">
        <v>13</v>
      </c>
      <c r="B6" s="108"/>
      <c r="C6" s="108"/>
      <c r="D6" s="106">
        <v>4</v>
      </c>
      <c r="E6" s="117" t="s">
        <v>14</v>
      </c>
      <c r="F6" s="107" t="s">
        <v>15</v>
      </c>
    </row>
    <row r="7" spans="1:6" ht="20.100000000000001" customHeight="1" x14ac:dyDescent="0.25">
      <c r="A7" s="109" t="s">
        <v>16</v>
      </c>
      <c r="B7" s="108"/>
      <c r="C7" s="108"/>
      <c r="D7" s="102"/>
      <c r="E7" s="102"/>
      <c r="F7" s="102"/>
    </row>
    <row r="8" spans="1:6" ht="20.100000000000001" customHeight="1" x14ac:dyDescent="0.25">
      <c r="A8" s="110"/>
      <c r="B8" s="108"/>
      <c r="C8" s="108"/>
      <c r="D8" s="102"/>
      <c r="E8" s="102"/>
      <c r="F8" s="102"/>
    </row>
    <row r="9" spans="1:6" ht="20.100000000000001" customHeight="1" x14ac:dyDescent="0.25">
      <c r="A9" s="114" t="s">
        <v>112</v>
      </c>
      <c r="B9" s="108"/>
      <c r="C9" s="108"/>
      <c r="D9" s="102"/>
      <c r="E9" s="102"/>
      <c r="F9" s="102"/>
    </row>
    <row r="10" spans="1:6" ht="20.100000000000001" customHeight="1" x14ac:dyDescent="0.25">
      <c r="A10" s="131" t="s">
        <v>113</v>
      </c>
      <c r="B10" s="108"/>
      <c r="C10" s="108"/>
      <c r="D10" s="102"/>
      <c r="E10" s="102"/>
      <c r="F10" s="102"/>
    </row>
    <row r="11" spans="1:6" ht="20.100000000000001" customHeight="1" x14ac:dyDescent="0.25">
      <c r="A11" s="131"/>
      <c r="B11" s="108"/>
      <c r="C11" s="108"/>
      <c r="D11" s="102"/>
      <c r="E11" s="102"/>
      <c r="F11" s="102"/>
    </row>
    <row r="12" spans="1:6" ht="20.100000000000001" customHeight="1" x14ac:dyDescent="0.25">
      <c r="A12" s="131"/>
    </row>
    <row r="13" spans="1:6" ht="20.100000000000001" customHeight="1" x14ac:dyDescent="0.25">
      <c r="A13" s="131"/>
    </row>
    <row r="14" spans="1:6" ht="20.100000000000001" customHeight="1" x14ac:dyDescent="0.25">
      <c r="A14" s="131" t="s">
        <v>114</v>
      </c>
    </row>
    <row r="15" spans="1:6" ht="20.100000000000001" customHeight="1" x14ac:dyDescent="0.25">
      <c r="A15" s="131"/>
    </row>
    <row r="16" spans="1:6" ht="20.100000000000001" customHeight="1" x14ac:dyDescent="0.25">
      <c r="A16" s="131"/>
    </row>
    <row r="17" spans="1:1" ht="20.100000000000001" customHeight="1" x14ac:dyDescent="0.25">
      <c r="A17" s="132" t="s">
        <v>115</v>
      </c>
    </row>
    <row r="18" spans="1:1" ht="20.100000000000001" customHeight="1" x14ac:dyDescent="0.25">
      <c r="A18" s="132"/>
    </row>
    <row r="19" spans="1:1" ht="20.100000000000001" customHeight="1" x14ac:dyDescent="0.25">
      <c r="A19" s="132"/>
    </row>
  </sheetData>
  <mergeCells count="3">
    <mergeCell ref="A10:A13"/>
    <mergeCell ref="A14:A16"/>
    <mergeCell ref="A17:A19"/>
  </mergeCells>
  <phoneticPr fontId="14" type="noConversion"/>
  <hyperlinks>
    <hyperlink ref="E4" location="'其他业务收入合同测算表D4-34'!A1" display="其他业务收入合同测算表"/>
    <hyperlink ref="E3" location="'其他业务毛利率分析表D4-33'!A1" display="其他业务毛利率分析表"/>
    <hyperlink ref="E5" location="'其他业务收入检查表D4-35'!A1" display="其他业务收入检查表"/>
    <hyperlink ref="E6" location="'其他业务收入截止性测试D4-36'!A1" display="其他业务收入截止性测试"/>
  </hyperlinks>
  <pageMargins left="0.70833333333333304" right="0.70833333333333304" top="0.74791666666666701" bottom="0.74791666666666701" header="0.31458333333333299" footer="0.31458333333333299"/>
  <pageSetup paperSize="9" scale="81"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view="pageBreakPreview" zoomScaleNormal="100" workbookViewId="0">
      <selection sqref="A1:M1"/>
    </sheetView>
  </sheetViews>
  <sheetFormatPr defaultColWidth="9" defaultRowHeight="20.100000000000001" customHeight="1" x14ac:dyDescent="0.15"/>
  <cols>
    <col min="1" max="1" width="9" style="57"/>
    <col min="2" max="3" width="10.296875" style="57" customWidth="1"/>
    <col min="4" max="4" width="9" style="57"/>
    <col min="5" max="6" width="10.5" style="57" customWidth="1"/>
    <col min="7" max="7" width="9" style="57"/>
    <col min="8" max="9" width="10.796875" style="57" customWidth="1"/>
    <col min="10" max="10" width="9" style="57"/>
    <col min="11" max="12" width="10.69921875" style="57" customWidth="1"/>
    <col min="13" max="16384" width="9" style="57"/>
  </cols>
  <sheetData>
    <row r="1" spans="1:13" ht="20.100000000000001" customHeight="1" x14ac:dyDescent="0.15">
      <c r="A1" s="133" t="s">
        <v>17</v>
      </c>
      <c r="B1" s="133"/>
      <c r="C1" s="133"/>
      <c r="D1" s="133"/>
      <c r="E1" s="133"/>
      <c r="F1" s="133"/>
      <c r="G1" s="133"/>
      <c r="H1" s="133"/>
      <c r="I1" s="133"/>
      <c r="J1" s="133"/>
      <c r="K1" s="133"/>
      <c r="L1" s="133"/>
      <c r="M1" s="133"/>
    </row>
    <row r="2" spans="1:13" ht="20.100000000000001" customHeight="1" x14ac:dyDescent="0.15">
      <c r="A2" s="134" t="s">
        <v>5</v>
      </c>
      <c r="B2" s="134"/>
      <c r="C2" s="134"/>
      <c r="D2" s="134"/>
      <c r="E2" s="134"/>
      <c r="F2" s="134"/>
      <c r="G2" s="134"/>
      <c r="H2" s="134"/>
      <c r="I2" s="134"/>
      <c r="J2" s="134"/>
      <c r="K2" s="134"/>
      <c r="L2" s="134"/>
      <c r="M2" s="134"/>
    </row>
    <row r="3" spans="1:13" ht="20.100000000000001" customHeight="1" x14ac:dyDescent="0.15">
      <c r="A3" s="60" t="str">
        <f>底稿目录!A2</f>
        <v>被审计单位：</v>
      </c>
      <c r="B3" s="61"/>
      <c r="C3" s="61"/>
      <c r="D3" s="61"/>
      <c r="E3" s="61"/>
      <c r="F3" s="62" t="str">
        <f>底稿目录!A4</f>
        <v>编制人：</v>
      </c>
      <c r="G3" s="62"/>
      <c r="H3" s="61"/>
      <c r="I3" s="62" t="str">
        <f>底稿目录!A5</f>
        <v>编制日期：</v>
      </c>
      <c r="J3" s="96"/>
      <c r="K3" s="97"/>
      <c r="L3" s="98" t="s">
        <v>18</v>
      </c>
      <c r="M3" s="112" t="str">
        <f>底稿目录!F3</f>
        <v>D4-33</v>
      </c>
    </row>
    <row r="4" spans="1:13" ht="20.100000000000001" customHeight="1" x14ac:dyDescent="0.15">
      <c r="A4" s="60" t="str">
        <f>底稿目录!A3</f>
        <v>会计期间：202X年度</v>
      </c>
      <c r="B4" s="61"/>
      <c r="C4" s="61"/>
      <c r="D4" s="61"/>
      <c r="E4" s="61"/>
      <c r="F4" s="62" t="str">
        <f>底稿目录!A6</f>
        <v>复核人：</v>
      </c>
      <c r="G4" s="62"/>
      <c r="H4" s="61"/>
      <c r="I4" s="62" t="str">
        <f>底稿目录!A7</f>
        <v>复核日期：</v>
      </c>
      <c r="J4" s="96"/>
      <c r="K4" s="97"/>
      <c r="L4" s="98" t="s">
        <v>19</v>
      </c>
      <c r="M4" s="62"/>
    </row>
    <row r="5" spans="1:13" s="58" customFormat="1" ht="20.100000000000001" customHeight="1" x14ac:dyDescent="0.25">
      <c r="A5" s="64" t="s">
        <v>20</v>
      </c>
      <c r="B5" s="65"/>
      <c r="C5" s="65"/>
      <c r="D5" s="65"/>
      <c r="E5" s="65"/>
      <c r="F5" s="65"/>
      <c r="G5" s="65"/>
      <c r="H5" s="65"/>
      <c r="I5" s="65"/>
      <c r="J5" s="65"/>
      <c r="K5" s="65"/>
      <c r="L5" s="99"/>
      <c r="M5" s="99"/>
    </row>
    <row r="6" spans="1:13" s="58" customFormat="1" ht="20.100000000000001" customHeight="1" x14ac:dyDescent="0.25">
      <c r="A6" s="67" t="s">
        <v>21</v>
      </c>
      <c r="B6" s="67"/>
      <c r="C6" s="67"/>
      <c r="D6" s="67"/>
      <c r="E6" s="67"/>
      <c r="F6" s="67"/>
      <c r="G6" s="67"/>
      <c r="H6" s="67"/>
      <c r="I6" s="67"/>
      <c r="J6" s="67"/>
      <c r="K6" s="67"/>
      <c r="L6" s="99"/>
      <c r="M6" s="99"/>
    </row>
    <row r="7" spans="1:13" s="58" customFormat="1" ht="20.100000000000001" customHeight="1" x14ac:dyDescent="0.25">
      <c r="A7" s="67" t="s">
        <v>22</v>
      </c>
      <c r="B7" s="67"/>
      <c r="C7" s="67"/>
      <c r="D7" s="67"/>
      <c r="E7" s="67"/>
      <c r="F7" s="67"/>
      <c r="G7" s="67"/>
      <c r="H7" s="67"/>
      <c r="I7" s="67"/>
      <c r="J7" s="67"/>
      <c r="K7" s="67"/>
      <c r="L7" s="99"/>
      <c r="M7" s="99"/>
    </row>
    <row r="8" spans="1:13" s="58" customFormat="1" ht="20.100000000000001" customHeight="1" x14ac:dyDescent="0.25">
      <c r="A8" s="55" t="s">
        <v>23</v>
      </c>
      <c r="B8" s="55"/>
      <c r="C8" s="55"/>
      <c r="D8" s="55"/>
      <c r="E8" s="55"/>
      <c r="F8" s="55"/>
      <c r="G8" s="55"/>
      <c r="H8" s="55"/>
      <c r="I8" s="55"/>
      <c r="J8" s="55"/>
      <c r="K8" s="55"/>
    </row>
    <row r="9" spans="1:13" s="58" customFormat="1" ht="20.100000000000001" customHeight="1" x14ac:dyDescent="0.25">
      <c r="A9" s="69" t="s">
        <v>24</v>
      </c>
      <c r="B9" s="70"/>
      <c r="C9" s="70"/>
      <c r="D9" s="70"/>
      <c r="E9" s="70"/>
      <c r="F9" s="70"/>
      <c r="G9" s="70"/>
      <c r="H9" s="70"/>
      <c r="I9" s="70"/>
      <c r="J9" s="70"/>
      <c r="K9" s="70"/>
    </row>
    <row r="10" spans="1:13" ht="20.100000000000001" customHeight="1" x14ac:dyDescent="0.15">
      <c r="A10" s="135" t="s">
        <v>25</v>
      </c>
      <c r="B10" s="135" t="s">
        <v>26</v>
      </c>
      <c r="C10" s="135"/>
      <c r="D10" s="135"/>
      <c r="E10" s="136" t="s">
        <v>27</v>
      </c>
      <c r="F10" s="136"/>
      <c r="G10" s="136"/>
      <c r="H10" s="136" t="s">
        <v>28</v>
      </c>
      <c r="I10" s="136"/>
      <c r="J10" s="136"/>
      <c r="K10" s="136" t="s">
        <v>29</v>
      </c>
      <c r="L10" s="136"/>
      <c r="M10" s="136"/>
    </row>
    <row r="11" spans="1:13" ht="20.100000000000001" customHeight="1" x14ac:dyDescent="0.15">
      <c r="A11" s="135"/>
      <c r="B11" s="85" t="s">
        <v>30</v>
      </c>
      <c r="C11" s="85" t="s">
        <v>31</v>
      </c>
      <c r="D11" s="85" t="s">
        <v>32</v>
      </c>
      <c r="E11" s="85" t="s">
        <v>30</v>
      </c>
      <c r="F11" s="85" t="s">
        <v>31</v>
      </c>
      <c r="G11" s="85" t="s">
        <v>32</v>
      </c>
      <c r="H11" s="85" t="s">
        <v>30</v>
      </c>
      <c r="I11" s="85" t="s">
        <v>31</v>
      </c>
      <c r="J11" s="85" t="s">
        <v>32</v>
      </c>
      <c r="K11" s="85" t="s">
        <v>30</v>
      </c>
      <c r="L11" s="85" t="s">
        <v>31</v>
      </c>
      <c r="M11" s="100" t="s">
        <v>33</v>
      </c>
    </row>
    <row r="12" spans="1:13" ht="20.100000000000001" customHeight="1" x14ac:dyDescent="0.15">
      <c r="A12" s="86">
        <v>1</v>
      </c>
      <c r="B12" s="87">
        <f>E12+H12+K12</f>
        <v>0</v>
      </c>
      <c r="C12" s="87">
        <f>F12+I12+L12</f>
        <v>0</v>
      </c>
      <c r="D12" s="88" t="e">
        <f>(B12-C12)/B12</f>
        <v>#DIV/0!</v>
      </c>
      <c r="E12" s="89"/>
      <c r="F12" s="89"/>
      <c r="G12" s="88" t="e">
        <f>(E12-F12)/E12</f>
        <v>#DIV/0!</v>
      </c>
      <c r="H12" s="89"/>
      <c r="I12" s="89"/>
      <c r="J12" s="88" t="e">
        <f>(H12-I12)/H12</f>
        <v>#DIV/0!</v>
      </c>
      <c r="K12" s="89"/>
      <c r="L12" s="89"/>
      <c r="M12" s="88" t="e">
        <f>(K12-L12)/K12</f>
        <v>#DIV/0!</v>
      </c>
    </row>
    <row r="13" spans="1:13" ht="20.100000000000001" customHeight="1" x14ac:dyDescent="0.15">
      <c r="A13" s="86">
        <v>2</v>
      </c>
      <c r="B13" s="87">
        <f t="shared" ref="B13:C23" si="0">E13+H13+K13</f>
        <v>0</v>
      </c>
      <c r="C13" s="87">
        <f t="shared" si="0"/>
        <v>0</v>
      </c>
      <c r="D13" s="88" t="e">
        <f t="shared" ref="D13:D25" si="1">(B13-C13)/B13</f>
        <v>#DIV/0!</v>
      </c>
      <c r="E13" s="89"/>
      <c r="F13" s="89"/>
      <c r="G13" s="88" t="e">
        <f t="shared" ref="G13:G25" si="2">(E13-F13)/E13</f>
        <v>#DIV/0!</v>
      </c>
      <c r="H13" s="89"/>
      <c r="I13" s="89"/>
      <c r="J13" s="88" t="e">
        <f t="shared" ref="J13:J25" si="3">(H13-I13)/H13</f>
        <v>#DIV/0!</v>
      </c>
      <c r="K13" s="89"/>
      <c r="L13" s="89"/>
      <c r="M13" s="88" t="e">
        <f t="shared" ref="M13:M25" si="4">(K13-L13)/K13</f>
        <v>#DIV/0!</v>
      </c>
    </row>
    <row r="14" spans="1:13" ht="20.100000000000001" customHeight="1" x14ac:dyDescent="0.15">
      <c r="A14" s="86">
        <v>3</v>
      </c>
      <c r="B14" s="87">
        <f t="shared" si="0"/>
        <v>0</v>
      </c>
      <c r="C14" s="87">
        <f t="shared" si="0"/>
        <v>0</v>
      </c>
      <c r="D14" s="88" t="e">
        <f t="shared" si="1"/>
        <v>#DIV/0!</v>
      </c>
      <c r="E14" s="89"/>
      <c r="F14" s="89"/>
      <c r="G14" s="88" t="e">
        <f t="shared" si="2"/>
        <v>#DIV/0!</v>
      </c>
      <c r="H14" s="89"/>
      <c r="I14" s="89"/>
      <c r="J14" s="88" t="e">
        <f t="shared" si="3"/>
        <v>#DIV/0!</v>
      </c>
      <c r="K14" s="89"/>
      <c r="L14" s="89"/>
      <c r="M14" s="88" t="e">
        <f t="shared" si="4"/>
        <v>#DIV/0!</v>
      </c>
    </row>
    <row r="15" spans="1:13" ht="20.100000000000001" customHeight="1" x14ac:dyDescent="0.15">
      <c r="A15" s="86">
        <v>4</v>
      </c>
      <c r="B15" s="87">
        <f t="shared" si="0"/>
        <v>0</v>
      </c>
      <c r="C15" s="87">
        <f t="shared" si="0"/>
        <v>0</v>
      </c>
      <c r="D15" s="88" t="e">
        <f t="shared" si="1"/>
        <v>#DIV/0!</v>
      </c>
      <c r="E15" s="89"/>
      <c r="F15" s="89"/>
      <c r="G15" s="88" t="e">
        <f t="shared" si="2"/>
        <v>#DIV/0!</v>
      </c>
      <c r="H15" s="89"/>
      <c r="I15" s="89"/>
      <c r="J15" s="88" t="e">
        <f t="shared" si="3"/>
        <v>#DIV/0!</v>
      </c>
      <c r="K15" s="89"/>
      <c r="L15" s="89"/>
      <c r="M15" s="88" t="e">
        <f t="shared" si="4"/>
        <v>#DIV/0!</v>
      </c>
    </row>
    <row r="16" spans="1:13" ht="20.100000000000001" customHeight="1" x14ac:dyDescent="0.15">
      <c r="A16" s="86">
        <v>5</v>
      </c>
      <c r="B16" s="87">
        <f t="shared" si="0"/>
        <v>0</v>
      </c>
      <c r="C16" s="87">
        <f t="shared" si="0"/>
        <v>0</v>
      </c>
      <c r="D16" s="88" t="e">
        <f t="shared" si="1"/>
        <v>#DIV/0!</v>
      </c>
      <c r="E16" s="89"/>
      <c r="F16" s="89"/>
      <c r="G16" s="88" t="e">
        <f t="shared" si="2"/>
        <v>#DIV/0!</v>
      </c>
      <c r="H16" s="89"/>
      <c r="I16" s="89"/>
      <c r="J16" s="88" t="e">
        <f t="shared" si="3"/>
        <v>#DIV/0!</v>
      </c>
      <c r="K16" s="89"/>
      <c r="L16" s="89"/>
      <c r="M16" s="88" t="e">
        <f t="shared" si="4"/>
        <v>#DIV/0!</v>
      </c>
    </row>
    <row r="17" spans="1:13" ht="20.100000000000001" customHeight="1" x14ac:dyDescent="0.15">
      <c r="A17" s="86">
        <v>6</v>
      </c>
      <c r="B17" s="87">
        <f t="shared" si="0"/>
        <v>0</v>
      </c>
      <c r="C17" s="87">
        <f t="shared" si="0"/>
        <v>0</v>
      </c>
      <c r="D17" s="88" t="e">
        <f t="shared" si="1"/>
        <v>#DIV/0!</v>
      </c>
      <c r="E17" s="89"/>
      <c r="F17" s="89"/>
      <c r="G17" s="88" t="e">
        <f t="shared" si="2"/>
        <v>#DIV/0!</v>
      </c>
      <c r="H17" s="89"/>
      <c r="I17" s="89"/>
      <c r="J17" s="88" t="e">
        <f t="shared" si="3"/>
        <v>#DIV/0!</v>
      </c>
      <c r="K17" s="89"/>
      <c r="L17" s="89"/>
      <c r="M17" s="88" t="e">
        <f t="shared" si="4"/>
        <v>#DIV/0!</v>
      </c>
    </row>
    <row r="18" spans="1:13" ht="20.100000000000001" customHeight="1" x14ac:dyDescent="0.15">
      <c r="A18" s="86">
        <v>7</v>
      </c>
      <c r="B18" s="87">
        <f t="shared" si="0"/>
        <v>0</v>
      </c>
      <c r="C18" s="87">
        <f t="shared" si="0"/>
        <v>0</v>
      </c>
      <c r="D18" s="88" t="e">
        <f t="shared" si="1"/>
        <v>#DIV/0!</v>
      </c>
      <c r="E18" s="89"/>
      <c r="F18" s="89"/>
      <c r="G18" s="88" t="e">
        <f t="shared" si="2"/>
        <v>#DIV/0!</v>
      </c>
      <c r="H18" s="89"/>
      <c r="I18" s="89"/>
      <c r="J18" s="88" t="e">
        <f t="shared" si="3"/>
        <v>#DIV/0!</v>
      </c>
      <c r="K18" s="89"/>
      <c r="L18" s="89"/>
      <c r="M18" s="88" t="e">
        <f t="shared" si="4"/>
        <v>#DIV/0!</v>
      </c>
    </row>
    <row r="19" spans="1:13" ht="20.100000000000001" customHeight="1" x14ac:dyDescent="0.15">
      <c r="A19" s="86">
        <v>8</v>
      </c>
      <c r="B19" s="87">
        <f t="shared" si="0"/>
        <v>0</v>
      </c>
      <c r="C19" s="87">
        <f t="shared" si="0"/>
        <v>0</v>
      </c>
      <c r="D19" s="88" t="e">
        <f t="shared" si="1"/>
        <v>#DIV/0!</v>
      </c>
      <c r="E19" s="89"/>
      <c r="F19" s="89"/>
      <c r="G19" s="88" t="e">
        <f t="shared" si="2"/>
        <v>#DIV/0!</v>
      </c>
      <c r="H19" s="89"/>
      <c r="I19" s="89"/>
      <c r="J19" s="88" t="e">
        <f t="shared" si="3"/>
        <v>#DIV/0!</v>
      </c>
      <c r="K19" s="89"/>
      <c r="L19" s="89"/>
      <c r="M19" s="88" t="e">
        <f t="shared" si="4"/>
        <v>#DIV/0!</v>
      </c>
    </row>
    <row r="20" spans="1:13" ht="20.100000000000001" customHeight="1" x14ac:dyDescent="0.15">
      <c r="A20" s="86">
        <v>9</v>
      </c>
      <c r="B20" s="87">
        <f t="shared" si="0"/>
        <v>0</v>
      </c>
      <c r="C20" s="87">
        <f t="shared" si="0"/>
        <v>0</v>
      </c>
      <c r="D20" s="88" t="e">
        <f t="shared" si="1"/>
        <v>#DIV/0!</v>
      </c>
      <c r="E20" s="89"/>
      <c r="F20" s="89"/>
      <c r="G20" s="88" t="e">
        <f t="shared" si="2"/>
        <v>#DIV/0!</v>
      </c>
      <c r="H20" s="89"/>
      <c r="I20" s="89"/>
      <c r="J20" s="88" t="e">
        <f t="shared" si="3"/>
        <v>#DIV/0!</v>
      </c>
      <c r="K20" s="89"/>
      <c r="L20" s="89"/>
      <c r="M20" s="88" t="e">
        <f t="shared" si="4"/>
        <v>#DIV/0!</v>
      </c>
    </row>
    <row r="21" spans="1:13" ht="20.100000000000001" customHeight="1" x14ac:dyDescent="0.15">
      <c r="A21" s="86">
        <v>10</v>
      </c>
      <c r="B21" s="87">
        <f t="shared" si="0"/>
        <v>0</v>
      </c>
      <c r="C21" s="87">
        <f t="shared" si="0"/>
        <v>0</v>
      </c>
      <c r="D21" s="88" t="e">
        <f t="shared" si="1"/>
        <v>#DIV/0!</v>
      </c>
      <c r="E21" s="89"/>
      <c r="F21" s="89"/>
      <c r="G21" s="88" t="e">
        <f t="shared" si="2"/>
        <v>#DIV/0!</v>
      </c>
      <c r="H21" s="89"/>
      <c r="I21" s="90"/>
      <c r="J21" s="88" t="e">
        <f t="shared" si="3"/>
        <v>#DIV/0!</v>
      </c>
      <c r="K21" s="90"/>
      <c r="L21" s="90"/>
      <c r="M21" s="88" t="e">
        <f t="shared" si="4"/>
        <v>#DIV/0!</v>
      </c>
    </row>
    <row r="22" spans="1:13" ht="20.100000000000001" customHeight="1" x14ac:dyDescent="0.15">
      <c r="A22" s="86">
        <v>11</v>
      </c>
      <c r="B22" s="87">
        <f t="shared" si="0"/>
        <v>0</v>
      </c>
      <c r="C22" s="87">
        <f t="shared" si="0"/>
        <v>0</v>
      </c>
      <c r="D22" s="88" t="e">
        <f t="shared" si="1"/>
        <v>#DIV/0!</v>
      </c>
      <c r="E22" s="89"/>
      <c r="F22" s="89"/>
      <c r="G22" s="88" t="e">
        <f t="shared" si="2"/>
        <v>#DIV/0!</v>
      </c>
      <c r="H22" s="89"/>
      <c r="I22" s="90"/>
      <c r="J22" s="88" t="e">
        <f t="shared" si="3"/>
        <v>#DIV/0!</v>
      </c>
      <c r="K22" s="90"/>
      <c r="L22" s="90"/>
      <c r="M22" s="88" t="e">
        <f t="shared" si="4"/>
        <v>#DIV/0!</v>
      </c>
    </row>
    <row r="23" spans="1:13" ht="20.100000000000001" customHeight="1" x14ac:dyDescent="0.15">
      <c r="A23" s="86">
        <v>12</v>
      </c>
      <c r="B23" s="87">
        <f t="shared" si="0"/>
        <v>0</v>
      </c>
      <c r="C23" s="87">
        <f t="shared" si="0"/>
        <v>0</v>
      </c>
      <c r="D23" s="88" t="e">
        <f t="shared" si="1"/>
        <v>#DIV/0!</v>
      </c>
      <c r="E23" s="90"/>
      <c r="F23" s="90"/>
      <c r="G23" s="88" t="e">
        <f t="shared" si="2"/>
        <v>#DIV/0!</v>
      </c>
      <c r="H23" s="90"/>
      <c r="I23" s="90"/>
      <c r="J23" s="88" t="e">
        <f t="shared" si="3"/>
        <v>#DIV/0!</v>
      </c>
      <c r="K23" s="90"/>
      <c r="L23" s="90"/>
      <c r="M23" s="88" t="e">
        <f t="shared" si="4"/>
        <v>#DIV/0!</v>
      </c>
    </row>
    <row r="24" spans="1:13" ht="20.100000000000001" customHeight="1" x14ac:dyDescent="0.15">
      <c r="A24" s="91" t="s">
        <v>34</v>
      </c>
      <c r="B24" s="87">
        <f>SUM(B12:B23)</f>
        <v>0</v>
      </c>
      <c r="C24" s="87">
        <f>SUM(C12:C23)</f>
        <v>0</v>
      </c>
      <c r="D24" s="88" t="e">
        <f t="shared" si="1"/>
        <v>#DIV/0!</v>
      </c>
      <c r="E24" s="87">
        <f>SUM(E12:E23)</f>
        <v>0</v>
      </c>
      <c r="F24" s="87">
        <f t="shared" ref="F24:L24" si="5">SUM(F12:F23)</f>
        <v>0</v>
      </c>
      <c r="G24" s="88" t="e">
        <f t="shared" si="2"/>
        <v>#DIV/0!</v>
      </c>
      <c r="H24" s="87">
        <f t="shared" si="5"/>
        <v>0</v>
      </c>
      <c r="I24" s="87">
        <f t="shared" si="5"/>
        <v>0</v>
      </c>
      <c r="J24" s="88" t="e">
        <f t="shared" si="3"/>
        <v>#DIV/0!</v>
      </c>
      <c r="K24" s="87">
        <f t="shared" si="5"/>
        <v>0</v>
      </c>
      <c r="L24" s="87">
        <f t="shared" si="5"/>
        <v>0</v>
      </c>
      <c r="M24" s="88" t="e">
        <f t="shared" si="4"/>
        <v>#DIV/0!</v>
      </c>
    </row>
    <row r="25" spans="1:13" ht="20.100000000000001" customHeight="1" x14ac:dyDescent="0.15">
      <c r="A25" s="92" t="s">
        <v>35</v>
      </c>
      <c r="B25" s="87">
        <f>E25+H25+K25</f>
        <v>0</v>
      </c>
      <c r="C25" s="87">
        <f>F25+I25+L25</f>
        <v>0</v>
      </c>
      <c r="D25" s="88" t="e">
        <f t="shared" si="1"/>
        <v>#DIV/0!</v>
      </c>
      <c r="E25" s="93"/>
      <c r="F25" s="93"/>
      <c r="G25" s="88" t="e">
        <f t="shared" si="2"/>
        <v>#DIV/0!</v>
      </c>
      <c r="H25" s="93"/>
      <c r="I25" s="93"/>
      <c r="J25" s="88" t="e">
        <f t="shared" si="3"/>
        <v>#DIV/0!</v>
      </c>
      <c r="K25" s="93"/>
      <c r="L25" s="93"/>
      <c r="M25" s="88" t="e">
        <f t="shared" si="4"/>
        <v>#DIV/0!</v>
      </c>
    </row>
    <row r="26" spans="1:13" ht="20.100000000000001" customHeight="1" x14ac:dyDescent="0.15">
      <c r="A26" s="92" t="s">
        <v>36</v>
      </c>
      <c r="B26" s="87">
        <f>B24-B25</f>
        <v>0</v>
      </c>
      <c r="C26" s="87">
        <f>C24-C25</f>
        <v>0</v>
      </c>
      <c r="D26" s="88" t="e">
        <f>D24-D25</f>
        <v>#DIV/0!</v>
      </c>
      <c r="E26" s="87">
        <f>E24-E25</f>
        <v>0</v>
      </c>
      <c r="F26" s="87">
        <f t="shared" ref="F26:M26" si="6">F24-F25</f>
        <v>0</v>
      </c>
      <c r="G26" s="88" t="e">
        <f t="shared" si="6"/>
        <v>#DIV/0!</v>
      </c>
      <c r="H26" s="87">
        <f t="shared" si="6"/>
        <v>0</v>
      </c>
      <c r="I26" s="87">
        <f t="shared" si="6"/>
        <v>0</v>
      </c>
      <c r="J26" s="88" t="e">
        <f t="shared" si="6"/>
        <v>#DIV/0!</v>
      </c>
      <c r="K26" s="87">
        <f t="shared" si="6"/>
        <v>0</v>
      </c>
      <c r="L26" s="87">
        <f t="shared" si="6"/>
        <v>0</v>
      </c>
      <c r="M26" s="88" t="e">
        <f t="shared" si="6"/>
        <v>#DIV/0!</v>
      </c>
    </row>
    <row r="27" spans="1:13" ht="20.100000000000001" customHeight="1" x14ac:dyDescent="0.15">
      <c r="A27" s="94" t="s">
        <v>37</v>
      </c>
      <c r="B27" s="87">
        <f t="shared" ref="B27:M27" si="7">IF(AND(B25=0,B24=0),0,IF(B25&lt;=0,"不适用",B26/B25))</f>
        <v>0</v>
      </c>
      <c r="C27" s="87">
        <f t="shared" si="7"/>
        <v>0</v>
      </c>
      <c r="D27" s="88" t="e">
        <f t="shared" si="7"/>
        <v>#DIV/0!</v>
      </c>
      <c r="E27" s="87">
        <f t="shared" si="7"/>
        <v>0</v>
      </c>
      <c r="F27" s="87">
        <f t="shared" si="7"/>
        <v>0</v>
      </c>
      <c r="G27" s="88" t="e">
        <f t="shared" si="7"/>
        <v>#DIV/0!</v>
      </c>
      <c r="H27" s="87">
        <f t="shared" si="7"/>
        <v>0</v>
      </c>
      <c r="I27" s="87">
        <f t="shared" si="7"/>
        <v>0</v>
      </c>
      <c r="J27" s="88" t="e">
        <f t="shared" si="7"/>
        <v>#DIV/0!</v>
      </c>
      <c r="K27" s="87">
        <f t="shared" si="7"/>
        <v>0</v>
      </c>
      <c r="L27" s="87">
        <f t="shared" si="7"/>
        <v>0</v>
      </c>
      <c r="M27" s="88" t="e">
        <f t="shared" si="7"/>
        <v>#DIV/0!</v>
      </c>
    </row>
    <row r="28" spans="1:13" ht="20.100000000000001" customHeight="1" x14ac:dyDescent="0.15">
      <c r="A28" s="79" t="s">
        <v>38</v>
      </c>
      <c r="B28" s="79"/>
      <c r="C28" s="79"/>
      <c r="D28" s="79"/>
      <c r="E28" s="95"/>
      <c r="F28" s="95"/>
      <c r="G28" s="95"/>
      <c r="H28" s="95"/>
      <c r="I28" s="95"/>
      <c r="J28" s="95"/>
      <c r="K28" s="95"/>
      <c r="L28" s="95"/>
      <c r="M28" s="95"/>
    </row>
    <row r="29" spans="1:13" ht="20.100000000000001" customHeight="1" x14ac:dyDescent="0.15">
      <c r="A29" s="162"/>
      <c r="B29" s="162"/>
      <c r="C29" s="162"/>
      <c r="D29" s="162"/>
      <c r="E29" s="81"/>
      <c r="F29" s="81"/>
      <c r="G29" s="81"/>
      <c r="H29" s="81"/>
      <c r="I29" s="81"/>
      <c r="J29" s="81"/>
      <c r="K29" s="81"/>
      <c r="L29" s="81"/>
      <c r="M29" s="81"/>
    </row>
    <row r="30" spans="1:13" ht="20.100000000000001" customHeight="1" x14ac:dyDescent="0.15">
      <c r="A30" s="80" t="s">
        <v>39</v>
      </c>
      <c r="B30" s="81"/>
      <c r="C30" s="81"/>
      <c r="D30" s="81"/>
      <c r="E30" s="81"/>
      <c r="F30" s="81"/>
      <c r="G30" s="81"/>
      <c r="H30" s="81"/>
      <c r="I30" s="81"/>
      <c r="J30" s="81"/>
      <c r="K30" s="81"/>
      <c r="L30" s="81"/>
      <c r="M30" s="81"/>
    </row>
    <row r="31" spans="1:13" s="163" customFormat="1" ht="20.100000000000001" customHeight="1" x14ac:dyDescent="0.25">
      <c r="A31" s="60"/>
      <c r="B31" s="60"/>
      <c r="C31" s="60"/>
      <c r="D31" s="60"/>
      <c r="E31" s="60"/>
      <c r="F31" s="60"/>
      <c r="G31" s="60"/>
      <c r="H31" s="60"/>
      <c r="I31" s="60"/>
      <c r="J31" s="60"/>
      <c r="K31" s="60"/>
      <c r="L31" s="60"/>
      <c r="M31" s="60"/>
    </row>
  </sheetData>
  <mergeCells count="7">
    <mergeCell ref="A1:M1"/>
    <mergeCell ref="A2:M2"/>
    <mergeCell ref="B10:D10"/>
    <mergeCell ref="E10:G10"/>
    <mergeCell ref="H10:J10"/>
    <mergeCell ref="K10:M10"/>
    <mergeCell ref="A10:A11"/>
  </mergeCells>
  <phoneticPr fontId="14" type="noConversion"/>
  <hyperlinks>
    <hyperlink ref="M3" location="底稿目录!A1" display="D4-33"/>
  </hyperlinks>
  <pageMargins left="0.70866141732283472" right="0.70866141732283472" top="0.74803149606299213" bottom="0.74803149606299213" header="0.31496062992125984" footer="0.31496062992125984"/>
  <pageSetup paperSize="9" scale="81" orientation="landscape"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view="pageBreakPreview" zoomScaleNormal="100" workbookViewId="0">
      <selection sqref="A1:K1"/>
    </sheetView>
  </sheetViews>
  <sheetFormatPr defaultColWidth="9" defaultRowHeight="20.100000000000001" customHeight="1" x14ac:dyDescent="0.25"/>
  <cols>
    <col min="1" max="1" width="4.8984375" style="59" customWidth="1"/>
    <col min="2" max="16384" width="9" style="59"/>
  </cols>
  <sheetData>
    <row r="1" spans="1:11" s="57" customFormat="1" ht="20.100000000000001" customHeight="1" x14ac:dyDescent="0.15">
      <c r="A1" s="138" t="s">
        <v>17</v>
      </c>
      <c r="B1" s="138"/>
      <c r="C1" s="138"/>
      <c r="D1" s="138"/>
      <c r="E1" s="138"/>
      <c r="F1" s="138"/>
      <c r="G1" s="138"/>
      <c r="H1" s="138"/>
      <c r="I1" s="138"/>
      <c r="J1" s="138"/>
      <c r="K1" s="138"/>
    </row>
    <row r="2" spans="1:11" s="57" customFormat="1" ht="20.100000000000001" customHeight="1" x14ac:dyDescent="0.15">
      <c r="A2" s="139" t="s">
        <v>8</v>
      </c>
      <c r="B2" s="139"/>
      <c r="C2" s="139"/>
      <c r="D2" s="139"/>
      <c r="E2" s="139"/>
      <c r="F2" s="139"/>
      <c r="G2" s="139"/>
      <c r="H2" s="139"/>
      <c r="I2" s="139"/>
      <c r="J2" s="139"/>
      <c r="K2" s="139"/>
    </row>
    <row r="3" spans="1:11" s="57" customFormat="1" ht="20.100000000000001" customHeight="1" x14ac:dyDescent="0.15">
      <c r="A3" s="60" t="str">
        <f>底稿目录!A2</f>
        <v>被审计单位：</v>
      </c>
      <c r="B3" s="61"/>
      <c r="C3" s="61"/>
      <c r="D3" s="61"/>
      <c r="E3" s="62" t="str">
        <f>底稿目录!A4</f>
        <v>编制人：</v>
      </c>
      <c r="F3" s="63"/>
      <c r="G3" s="63"/>
      <c r="H3" s="62" t="str">
        <f>底稿目录!A5</f>
        <v>编制日期：</v>
      </c>
      <c r="I3" s="63"/>
      <c r="J3" s="82" t="s">
        <v>18</v>
      </c>
      <c r="K3" s="112" t="str">
        <f>底稿目录!F4</f>
        <v>D4-34</v>
      </c>
    </row>
    <row r="4" spans="1:11" s="57" customFormat="1" ht="20.100000000000001" customHeight="1" x14ac:dyDescent="0.15">
      <c r="A4" s="60" t="str">
        <f>底稿目录!A3</f>
        <v>会计期间：202X年度</v>
      </c>
      <c r="B4" s="61"/>
      <c r="C4" s="61"/>
      <c r="D4" s="61"/>
      <c r="E4" s="62" t="str">
        <f>底稿目录!A6</f>
        <v>复核人：</v>
      </c>
      <c r="F4" s="63"/>
      <c r="G4" s="63"/>
      <c r="H4" s="62" t="str">
        <f>底稿目录!A7</f>
        <v>复核日期：</v>
      </c>
      <c r="I4" s="63"/>
      <c r="J4" s="82" t="s">
        <v>19</v>
      </c>
      <c r="K4" s="62"/>
    </row>
    <row r="5" spans="1:11" s="58" customFormat="1" ht="20.100000000000001" customHeight="1" x14ac:dyDescent="0.25">
      <c r="A5" s="64" t="s">
        <v>20</v>
      </c>
      <c r="B5" s="65"/>
      <c r="C5" s="65"/>
      <c r="D5" s="65"/>
      <c r="E5" s="65"/>
      <c r="F5" s="65"/>
      <c r="G5" s="65"/>
      <c r="H5" s="65"/>
      <c r="I5" s="65"/>
      <c r="J5" s="65"/>
      <c r="K5" s="65"/>
    </row>
    <row r="6" spans="1:11" s="58" customFormat="1" ht="20.100000000000001" customHeight="1" x14ac:dyDescent="0.25">
      <c r="A6" s="66" t="s">
        <v>40</v>
      </c>
      <c r="B6" s="67"/>
      <c r="C6" s="67"/>
      <c r="D6" s="67"/>
      <c r="E6" s="67"/>
      <c r="F6" s="67"/>
      <c r="G6" s="67"/>
      <c r="H6" s="67"/>
      <c r="I6" s="67"/>
      <c r="J6" s="67"/>
      <c r="K6" s="67"/>
    </row>
    <row r="7" spans="1:11" s="58" customFormat="1" ht="20.100000000000001" customHeight="1" x14ac:dyDescent="0.25">
      <c r="A7" s="66" t="s">
        <v>41</v>
      </c>
      <c r="B7" s="67"/>
      <c r="C7" s="67"/>
      <c r="D7" s="67"/>
      <c r="E7" s="67"/>
      <c r="F7" s="67"/>
      <c r="G7" s="67"/>
      <c r="H7" s="67"/>
      <c r="I7" s="67"/>
      <c r="J7" s="67"/>
      <c r="K7" s="67"/>
    </row>
    <row r="8" spans="1:11" s="58" customFormat="1" ht="20.100000000000001" customHeight="1" x14ac:dyDescent="0.25">
      <c r="A8" s="66" t="s">
        <v>42</v>
      </c>
      <c r="B8" s="67"/>
      <c r="C8" s="67"/>
      <c r="D8" s="67"/>
      <c r="E8" s="67"/>
      <c r="F8" s="67"/>
      <c r="G8" s="67"/>
      <c r="H8" s="67"/>
      <c r="I8" s="67"/>
      <c r="J8" s="67"/>
      <c r="K8" s="67"/>
    </row>
    <row r="9" spans="1:11" s="58" customFormat="1" ht="20.100000000000001" customHeight="1" x14ac:dyDescent="0.25">
      <c r="A9" s="68" t="s">
        <v>43</v>
      </c>
      <c r="B9" s="55"/>
      <c r="C9" s="55"/>
      <c r="D9" s="55"/>
      <c r="E9" s="55"/>
      <c r="F9" s="55"/>
      <c r="G9" s="55"/>
      <c r="H9" s="55"/>
      <c r="I9" s="55"/>
      <c r="J9" s="55"/>
      <c r="K9" s="55"/>
    </row>
    <row r="10" spans="1:11" s="58" customFormat="1" ht="20.100000000000001" customHeight="1" x14ac:dyDescent="0.25">
      <c r="A10" s="69" t="s">
        <v>24</v>
      </c>
      <c r="B10" s="70"/>
      <c r="C10" s="70"/>
      <c r="D10" s="70"/>
      <c r="E10" s="70"/>
      <c r="F10" s="70"/>
      <c r="G10" s="70"/>
      <c r="H10" s="70"/>
      <c r="I10" s="70"/>
      <c r="J10" s="70"/>
      <c r="K10" s="70"/>
    </row>
    <row r="11" spans="1:11" ht="20.100000000000001" customHeight="1" x14ac:dyDescent="0.25">
      <c r="A11" s="71" t="s">
        <v>44</v>
      </c>
      <c r="B11" s="71"/>
      <c r="C11" s="71"/>
      <c r="D11" s="71"/>
      <c r="E11" s="71"/>
      <c r="F11" s="71"/>
      <c r="G11" s="71"/>
      <c r="H11" s="71"/>
      <c r="I11" s="71"/>
      <c r="J11" s="71"/>
      <c r="K11" s="71"/>
    </row>
    <row r="12" spans="1:11" ht="30.75" customHeight="1" x14ac:dyDescent="0.25">
      <c r="A12" s="72" t="s">
        <v>2</v>
      </c>
      <c r="B12" s="72" t="s">
        <v>45</v>
      </c>
      <c r="C12" s="73" t="s">
        <v>46</v>
      </c>
      <c r="D12" s="73" t="s">
        <v>47</v>
      </c>
      <c r="E12" s="73" t="s">
        <v>48</v>
      </c>
      <c r="F12" s="73" t="s">
        <v>49</v>
      </c>
      <c r="G12" s="73" t="s">
        <v>50</v>
      </c>
      <c r="H12" s="73" t="s">
        <v>51</v>
      </c>
      <c r="I12" s="73" t="s">
        <v>52</v>
      </c>
      <c r="J12" s="73" t="s">
        <v>53</v>
      </c>
      <c r="K12" s="73" t="s">
        <v>4</v>
      </c>
    </row>
    <row r="13" spans="1:11" ht="20.100000000000001" customHeight="1" x14ac:dyDescent="0.25">
      <c r="A13" s="74">
        <v>1</v>
      </c>
      <c r="B13" s="75"/>
      <c r="C13" s="76"/>
      <c r="D13" s="77"/>
      <c r="E13" s="77"/>
      <c r="F13" s="76"/>
      <c r="G13" s="77"/>
      <c r="H13" s="77"/>
      <c r="I13" s="77"/>
      <c r="J13" s="83">
        <f t="shared" ref="J13:J17" si="0">H13-I13</f>
        <v>0</v>
      </c>
      <c r="K13" s="76"/>
    </row>
    <row r="14" spans="1:11" ht="20.100000000000001" customHeight="1" x14ac:dyDescent="0.25">
      <c r="A14" s="74">
        <v>2</v>
      </c>
      <c r="B14" s="75"/>
      <c r="C14" s="76"/>
      <c r="D14" s="77"/>
      <c r="E14" s="77"/>
      <c r="F14" s="76"/>
      <c r="G14" s="77"/>
      <c r="H14" s="77"/>
      <c r="I14" s="77"/>
      <c r="J14" s="83">
        <f t="shared" si="0"/>
        <v>0</v>
      </c>
      <c r="K14" s="76"/>
    </row>
    <row r="15" spans="1:11" ht="20.100000000000001" customHeight="1" x14ac:dyDescent="0.25">
      <c r="A15" s="74">
        <v>3</v>
      </c>
      <c r="B15" s="75"/>
      <c r="C15" s="76"/>
      <c r="D15" s="77"/>
      <c r="E15" s="77"/>
      <c r="F15" s="76"/>
      <c r="G15" s="77"/>
      <c r="H15" s="77"/>
      <c r="I15" s="77"/>
      <c r="J15" s="83">
        <f t="shared" si="0"/>
        <v>0</v>
      </c>
      <c r="K15" s="76"/>
    </row>
    <row r="16" spans="1:11" ht="20.100000000000001" customHeight="1" x14ac:dyDescent="0.25">
      <c r="A16" s="74">
        <v>4</v>
      </c>
      <c r="B16" s="75"/>
      <c r="C16" s="76"/>
      <c r="D16" s="77"/>
      <c r="E16" s="77"/>
      <c r="F16" s="76"/>
      <c r="G16" s="77"/>
      <c r="H16" s="77"/>
      <c r="I16" s="77"/>
      <c r="J16" s="83">
        <f t="shared" si="0"/>
        <v>0</v>
      </c>
      <c r="K16" s="76"/>
    </row>
    <row r="17" spans="1:11" ht="20.100000000000001" customHeight="1" x14ac:dyDescent="0.25">
      <c r="A17" s="74">
        <v>5</v>
      </c>
      <c r="B17" s="75"/>
      <c r="C17" s="76"/>
      <c r="D17" s="77"/>
      <c r="E17" s="77"/>
      <c r="F17" s="76"/>
      <c r="G17" s="77"/>
      <c r="H17" s="77"/>
      <c r="I17" s="77"/>
      <c r="J17" s="83">
        <f t="shared" si="0"/>
        <v>0</v>
      </c>
      <c r="K17" s="76"/>
    </row>
    <row r="18" spans="1:11" ht="20.100000000000001" customHeight="1" x14ac:dyDescent="0.25">
      <c r="A18" s="71" t="s">
        <v>54</v>
      </c>
      <c r="B18" s="71"/>
      <c r="C18" s="71"/>
      <c r="D18" s="71"/>
      <c r="E18" s="71"/>
      <c r="F18" s="71"/>
      <c r="G18" s="71"/>
      <c r="H18" s="71"/>
      <c r="I18" s="71"/>
      <c r="J18" s="84"/>
      <c r="K18" s="71"/>
    </row>
    <row r="19" spans="1:11" ht="20.100000000000001" customHeight="1" x14ac:dyDescent="0.25">
      <c r="A19" s="72" t="s">
        <v>2</v>
      </c>
      <c r="B19" s="140" t="s">
        <v>55</v>
      </c>
      <c r="C19" s="140"/>
      <c r="D19" s="73" t="s">
        <v>56</v>
      </c>
      <c r="E19" s="73" t="s">
        <v>57</v>
      </c>
      <c r="F19" s="73" t="s">
        <v>58</v>
      </c>
      <c r="G19" s="73" t="s">
        <v>49</v>
      </c>
      <c r="H19" s="73" t="s">
        <v>51</v>
      </c>
      <c r="I19" s="73" t="s">
        <v>52</v>
      </c>
      <c r="J19" s="73" t="s">
        <v>53</v>
      </c>
      <c r="K19" s="73" t="s">
        <v>4</v>
      </c>
    </row>
    <row r="20" spans="1:11" ht="20.100000000000001" customHeight="1" x14ac:dyDescent="0.25">
      <c r="A20" s="74">
        <v>1</v>
      </c>
      <c r="B20" s="137"/>
      <c r="C20" s="137"/>
      <c r="D20" s="74"/>
      <c r="E20" s="76"/>
      <c r="F20" s="77"/>
      <c r="G20" s="78"/>
      <c r="H20" s="77"/>
      <c r="I20" s="77"/>
      <c r="J20" s="83">
        <f t="shared" ref="J20:J24" si="1">H20-I20</f>
        <v>0</v>
      </c>
      <c r="K20" s="76"/>
    </row>
    <row r="21" spans="1:11" ht="20.100000000000001" customHeight="1" x14ac:dyDescent="0.25">
      <c r="A21" s="74">
        <v>2</v>
      </c>
      <c r="B21" s="137"/>
      <c r="C21" s="137"/>
      <c r="D21" s="74"/>
      <c r="E21" s="76"/>
      <c r="F21" s="77"/>
      <c r="G21" s="78"/>
      <c r="H21" s="77"/>
      <c r="I21" s="77"/>
      <c r="J21" s="83">
        <f t="shared" si="1"/>
        <v>0</v>
      </c>
      <c r="K21" s="76"/>
    </row>
    <row r="22" spans="1:11" ht="20.100000000000001" customHeight="1" x14ac:dyDescent="0.25">
      <c r="A22" s="74">
        <v>3</v>
      </c>
      <c r="B22" s="137"/>
      <c r="C22" s="137"/>
      <c r="D22" s="74"/>
      <c r="E22" s="76"/>
      <c r="F22" s="77"/>
      <c r="G22" s="78"/>
      <c r="H22" s="77"/>
      <c r="I22" s="77"/>
      <c r="J22" s="83">
        <f t="shared" si="1"/>
        <v>0</v>
      </c>
      <c r="K22" s="76"/>
    </row>
    <row r="23" spans="1:11" ht="20.100000000000001" customHeight="1" x14ac:dyDescent="0.25">
      <c r="A23" s="74">
        <v>4</v>
      </c>
      <c r="B23" s="137"/>
      <c r="C23" s="137"/>
      <c r="D23" s="74"/>
      <c r="E23" s="76"/>
      <c r="F23" s="77"/>
      <c r="G23" s="78"/>
      <c r="H23" s="77"/>
      <c r="I23" s="77"/>
      <c r="J23" s="83">
        <f t="shared" si="1"/>
        <v>0</v>
      </c>
      <c r="K23" s="76"/>
    </row>
    <row r="24" spans="1:11" ht="20.100000000000001" customHeight="1" x14ac:dyDescent="0.25">
      <c r="A24" s="74">
        <v>5</v>
      </c>
      <c r="B24" s="137"/>
      <c r="C24" s="137"/>
      <c r="D24" s="74"/>
      <c r="E24" s="76"/>
      <c r="F24" s="77"/>
      <c r="G24" s="78"/>
      <c r="H24" s="77"/>
      <c r="I24" s="77"/>
      <c r="J24" s="83">
        <f t="shared" si="1"/>
        <v>0</v>
      </c>
      <c r="K24" s="76"/>
    </row>
    <row r="25" spans="1:11" s="165" customFormat="1" ht="20.100000000000001" customHeight="1" x14ac:dyDescent="0.25">
      <c r="A25" s="79" t="s">
        <v>38</v>
      </c>
      <c r="B25" s="164"/>
      <c r="C25" s="164"/>
      <c r="D25" s="164"/>
      <c r="E25" s="164"/>
      <c r="F25" s="164"/>
      <c r="G25" s="164"/>
      <c r="H25" s="164"/>
      <c r="I25" s="164"/>
      <c r="J25" s="164"/>
      <c r="K25" s="164"/>
    </row>
    <row r="26" spans="1:11" s="165" customFormat="1" ht="20.100000000000001" customHeight="1" x14ac:dyDescent="0.25">
      <c r="A26" s="162"/>
      <c r="B26" s="166"/>
      <c r="C26" s="166"/>
      <c r="D26" s="166"/>
      <c r="E26" s="166"/>
      <c r="F26" s="166"/>
      <c r="G26" s="166"/>
      <c r="H26" s="166"/>
      <c r="I26" s="166"/>
      <c r="J26" s="166"/>
      <c r="K26" s="166"/>
    </row>
    <row r="27" spans="1:11" s="165" customFormat="1" ht="20.100000000000001" customHeight="1" x14ac:dyDescent="0.25">
      <c r="A27" s="81"/>
      <c r="B27" s="166"/>
      <c r="C27" s="166"/>
      <c r="D27" s="166"/>
      <c r="E27" s="166"/>
      <c r="F27" s="166"/>
      <c r="G27" s="166"/>
      <c r="H27" s="166"/>
      <c r="I27" s="166"/>
      <c r="J27" s="166"/>
      <c r="K27" s="166"/>
    </row>
    <row r="28" spans="1:11" s="165" customFormat="1" ht="20.100000000000001" customHeight="1" x14ac:dyDescent="0.25">
      <c r="A28" s="80" t="s">
        <v>39</v>
      </c>
      <c r="B28" s="166"/>
      <c r="C28" s="166"/>
      <c r="D28" s="166"/>
      <c r="E28" s="166"/>
      <c r="F28" s="166"/>
      <c r="G28" s="166"/>
      <c r="H28" s="166"/>
      <c r="I28" s="166"/>
      <c r="J28" s="166"/>
      <c r="K28" s="166"/>
    </row>
    <row r="29" spans="1:11" s="165" customFormat="1" ht="20.100000000000001" customHeight="1" x14ac:dyDescent="0.25">
      <c r="A29" s="167"/>
      <c r="B29" s="167"/>
      <c r="C29" s="167"/>
      <c r="D29" s="167"/>
      <c r="E29" s="167"/>
      <c r="F29" s="167"/>
      <c r="G29" s="167"/>
      <c r="H29" s="167"/>
      <c r="I29" s="167"/>
      <c r="J29" s="167"/>
      <c r="K29" s="167"/>
    </row>
  </sheetData>
  <mergeCells count="8">
    <mergeCell ref="B22:C22"/>
    <mergeCell ref="B23:C23"/>
    <mergeCell ref="B24:C24"/>
    <mergeCell ref="A1:K1"/>
    <mergeCell ref="A2:K2"/>
    <mergeCell ref="B19:C19"/>
    <mergeCell ref="B20:C20"/>
    <mergeCell ref="B21:C21"/>
  </mergeCells>
  <phoneticPr fontId="14" type="noConversion"/>
  <hyperlinks>
    <hyperlink ref="K3" location="底稿目录!A1" display="D4-34"/>
  </hyperlinks>
  <pageMargins left="0.70833333333333304" right="0.70833333333333304" top="0.74791666666666701" bottom="0.74791666666666701" header="0.31458333333333299" footer="0.31458333333333299"/>
  <pageSetup paperSize="9" scale="85"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6"/>
  <sheetViews>
    <sheetView view="pageBreakPreview" zoomScaleNormal="100" workbookViewId="0">
      <selection sqref="A1:Q1"/>
    </sheetView>
  </sheetViews>
  <sheetFormatPr defaultColWidth="9" defaultRowHeight="12" x14ac:dyDescent="0.25"/>
  <cols>
    <col min="1" max="1" width="9.3984375" style="1" customWidth="1"/>
    <col min="2" max="2" width="9" style="1"/>
    <col min="3" max="3" width="19.69921875" style="1" customWidth="1"/>
    <col min="4" max="4" width="9.59765625" style="1" customWidth="1"/>
    <col min="5" max="5" width="9.69921875" style="1" customWidth="1"/>
    <col min="6" max="6" width="11.5" style="1" customWidth="1"/>
    <col min="7" max="7" width="25.69921875" style="1" customWidth="1"/>
    <col min="8" max="14" width="3.5" style="1" customWidth="1"/>
    <col min="15" max="15" width="9.8984375" style="1" customWidth="1"/>
    <col min="16" max="16" width="5.09765625" style="1" customWidth="1"/>
    <col min="17" max="17" width="11.5" style="1" customWidth="1"/>
    <col min="18" max="16384" width="9" style="1"/>
  </cols>
  <sheetData>
    <row r="1" spans="1:34" s="33" customFormat="1" ht="20.100000000000001" customHeight="1" x14ac:dyDescent="0.25">
      <c r="A1" s="142" t="s">
        <v>17</v>
      </c>
      <c r="B1" s="142"/>
      <c r="C1" s="142"/>
      <c r="D1" s="142"/>
      <c r="E1" s="142"/>
      <c r="F1" s="142"/>
      <c r="G1" s="142"/>
      <c r="H1" s="142"/>
      <c r="I1" s="142"/>
      <c r="J1" s="142"/>
      <c r="K1" s="142"/>
      <c r="L1" s="142"/>
      <c r="M1" s="142"/>
      <c r="N1" s="142"/>
      <c r="O1" s="142"/>
      <c r="P1" s="142"/>
      <c r="Q1" s="142"/>
    </row>
    <row r="2" spans="1:34" s="33" customFormat="1" ht="25.2" customHeight="1" x14ac:dyDescent="0.25">
      <c r="A2" s="143" t="s">
        <v>59</v>
      </c>
      <c r="B2" s="143"/>
      <c r="C2" s="143"/>
      <c r="D2" s="143"/>
      <c r="E2" s="143"/>
      <c r="F2" s="143"/>
      <c r="G2" s="143"/>
      <c r="H2" s="143"/>
      <c r="I2" s="143"/>
      <c r="J2" s="143"/>
      <c r="K2" s="143"/>
      <c r="L2" s="143"/>
      <c r="M2" s="143"/>
      <c r="N2" s="143"/>
      <c r="O2" s="143"/>
      <c r="P2" s="143"/>
      <c r="Q2" s="143"/>
    </row>
    <row r="3" spans="1:34" ht="20.100000000000001" customHeight="1" x14ac:dyDescent="0.25">
      <c r="A3" s="1" t="str">
        <f>底稿目录!A2</f>
        <v>被审计单位：</v>
      </c>
      <c r="B3" s="35"/>
      <c r="C3" s="35"/>
      <c r="D3" s="35" t="str">
        <f>底稿目录!A4</f>
        <v>编制人：</v>
      </c>
      <c r="G3" s="35" t="str">
        <f>底稿目录!A5</f>
        <v>编制日期：</v>
      </c>
      <c r="P3" s="54" t="s">
        <v>60</v>
      </c>
      <c r="Q3" s="113" t="str">
        <f>底稿目录!F5</f>
        <v>D4-35</v>
      </c>
    </row>
    <row r="4" spans="1:34" ht="20.100000000000001" customHeight="1" x14ac:dyDescent="0.25">
      <c r="A4" s="1" t="str">
        <f>底稿目录!A3</f>
        <v>会计期间：202X年度</v>
      </c>
      <c r="B4" s="35"/>
      <c r="C4" s="35"/>
      <c r="D4" s="35" t="str">
        <f>底稿目录!A6</f>
        <v>复核人：</v>
      </c>
      <c r="G4" s="35" t="str">
        <f>底稿目录!A7</f>
        <v>复核日期：</v>
      </c>
      <c r="P4" s="54" t="s">
        <v>19</v>
      </c>
    </row>
    <row r="5" spans="1:34" s="34" customFormat="1" ht="20.100000000000001" customHeight="1" x14ac:dyDescent="0.25">
      <c r="A5" s="36" t="s">
        <v>20</v>
      </c>
      <c r="B5" s="37"/>
      <c r="C5" s="37"/>
      <c r="D5" s="37"/>
      <c r="E5" s="37"/>
      <c r="F5" s="37"/>
      <c r="G5" s="37"/>
      <c r="H5" s="37"/>
      <c r="I5" s="37"/>
      <c r="J5" s="37"/>
      <c r="K5" s="37"/>
    </row>
    <row r="6" spans="1:34" s="34" customFormat="1" ht="20.100000000000001" customHeight="1" x14ac:dyDescent="0.25">
      <c r="A6" s="38" t="s">
        <v>61</v>
      </c>
      <c r="B6" s="38"/>
      <c r="C6" s="38"/>
      <c r="D6" s="38"/>
      <c r="E6" s="38"/>
      <c r="F6" s="38"/>
      <c r="G6" s="38"/>
      <c r="H6" s="38"/>
      <c r="I6" s="38"/>
      <c r="J6" s="38"/>
      <c r="K6" s="38"/>
      <c r="U6" s="55"/>
    </row>
    <row r="7" spans="1:34" s="34" customFormat="1" ht="20.100000000000001" customHeight="1" x14ac:dyDescent="0.25">
      <c r="A7" s="37" t="s">
        <v>62</v>
      </c>
      <c r="B7" s="37"/>
      <c r="C7" s="37"/>
      <c r="D7" s="37"/>
      <c r="E7" s="37"/>
      <c r="F7" s="37"/>
      <c r="G7" s="37"/>
      <c r="H7" s="37"/>
      <c r="I7" s="37"/>
      <c r="J7" s="37"/>
      <c r="K7" s="37"/>
      <c r="U7" s="55"/>
    </row>
    <row r="8" spans="1:34" s="34" customFormat="1" ht="20.100000000000001" customHeight="1" x14ac:dyDescent="0.25">
      <c r="A8" s="39" t="s">
        <v>63</v>
      </c>
      <c r="B8" s="40" t="s">
        <v>64</v>
      </c>
      <c r="C8" s="41"/>
      <c r="D8" s="41"/>
      <c r="E8" s="41"/>
      <c r="F8" s="39" t="s">
        <v>65</v>
      </c>
      <c r="G8" s="40" t="s">
        <v>66</v>
      </c>
      <c r="H8" s="37"/>
      <c r="I8" s="37"/>
      <c r="J8" s="37"/>
    </row>
    <row r="9" spans="1:34" s="34" customFormat="1" ht="20.100000000000001" customHeight="1" x14ac:dyDescent="0.25">
      <c r="A9" s="39" t="s">
        <v>67</v>
      </c>
      <c r="B9" s="40" t="s">
        <v>68</v>
      </c>
      <c r="C9" s="41"/>
      <c r="D9" s="41"/>
      <c r="E9" s="41"/>
      <c r="F9" s="39" t="s">
        <v>69</v>
      </c>
      <c r="G9" s="40" t="s">
        <v>70</v>
      </c>
      <c r="H9" s="37"/>
      <c r="I9" s="37"/>
      <c r="J9" s="37"/>
    </row>
    <row r="10" spans="1:34" s="34" customFormat="1" ht="20.100000000000001" customHeight="1" x14ac:dyDescent="0.25">
      <c r="A10" s="39" t="s">
        <v>71</v>
      </c>
      <c r="B10" s="40" t="s">
        <v>116</v>
      </c>
      <c r="C10" s="41"/>
      <c r="D10" s="41"/>
      <c r="E10" s="41"/>
      <c r="F10" s="39" t="s">
        <v>72</v>
      </c>
      <c r="G10" s="40" t="s">
        <v>73</v>
      </c>
      <c r="H10" s="37"/>
      <c r="I10" s="37"/>
      <c r="J10" s="37"/>
    </row>
    <row r="11" spans="1:34" s="34" customFormat="1" ht="20.100000000000001" customHeight="1" x14ac:dyDescent="0.25">
      <c r="A11" s="42" t="s">
        <v>74</v>
      </c>
      <c r="B11" s="33"/>
      <c r="C11" s="38"/>
      <c r="D11" s="38"/>
      <c r="E11" s="38"/>
      <c r="F11" s="38"/>
      <c r="G11" s="38"/>
    </row>
    <row r="12" spans="1:34" s="34" customFormat="1" ht="20.100000000000001" customHeight="1" x14ac:dyDescent="0.25">
      <c r="A12" s="43" t="s">
        <v>75</v>
      </c>
      <c r="B12" s="44"/>
      <c r="C12" s="44"/>
      <c r="D12" s="45"/>
      <c r="E12" s="46"/>
    </row>
    <row r="13" spans="1:34" ht="20.100000000000001" customHeight="1" x14ac:dyDescent="0.25">
      <c r="A13" s="144" t="s">
        <v>76</v>
      </c>
      <c r="B13" s="144" t="s">
        <v>77</v>
      </c>
      <c r="C13" s="144" t="s">
        <v>78</v>
      </c>
      <c r="D13" s="144" t="s">
        <v>79</v>
      </c>
      <c r="E13" s="144" t="s">
        <v>80</v>
      </c>
      <c r="F13" s="145" t="s">
        <v>81</v>
      </c>
      <c r="G13" s="146" t="s">
        <v>82</v>
      </c>
      <c r="H13" s="144" t="s">
        <v>83</v>
      </c>
      <c r="I13" s="144"/>
      <c r="J13" s="144"/>
      <c r="K13" s="144"/>
      <c r="L13" s="144"/>
      <c r="M13" s="144"/>
      <c r="N13" s="144"/>
      <c r="O13" s="147" t="s">
        <v>4</v>
      </c>
      <c r="P13" s="148" t="s">
        <v>84</v>
      </c>
      <c r="Q13" s="150" t="s">
        <v>85</v>
      </c>
    </row>
    <row r="14" spans="1:34" ht="20.100000000000001" customHeight="1" x14ac:dyDescent="0.25">
      <c r="A14" s="144"/>
      <c r="B14" s="144"/>
      <c r="C14" s="144"/>
      <c r="D14" s="144"/>
      <c r="E14" s="144"/>
      <c r="F14" s="145"/>
      <c r="G14" s="146"/>
      <c r="H14" s="47">
        <v>1</v>
      </c>
      <c r="I14" s="47">
        <v>2</v>
      </c>
      <c r="J14" s="47">
        <v>3</v>
      </c>
      <c r="K14" s="47">
        <v>4</v>
      </c>
      <c r="L14" s="47">
        <v>5</v>
      </c>
      <c r="M14" s="47">
        <v>6</v>
      </c>
      <c r="N14" s="47"/>
      <c r="O14" s="147"/>
      <c r="P14" s="149"/>
      <c r="Q14" s="150"/>
    </row>
    <row r="15" spans="1:34" ht="20.100000000000001" customHeight="1" x14ac:dyDescent="0.25">
      <c r="A15" s="48"/>
      <c r="B15" s="49"/>
      <c r="C15" s="50"/>
      <c r="D15" s="49"/>
      <c r="E15" s="49"/>
      <c r="F15" s="118"/>
      <c r="G15" s="51"/>
      <c r="H15" s="111"/>
      <c r="I15" s="111"/>
      <c r="J15" s="111"/>
      <c r="K15" s="111"/>
      <c r="L15" s="111"/>
      <c r="M15" s="111"/>
      <c r="N15" s="111"/>
      <c r="O15" s="52"/>
      <c r="P15" s="52"/>
      <c r="Q15" s="50"/>
      <c r="U15" s="37"/>
      <c r="V15" s="37"/>
      <c r="W15" s="37"/>
      <c r="X15" s="37"/>
      <c r="Y15" s="34"/>
      <c r="Z15" s="37"/>
      <c r="AA15" s="37"/>
      <c r="AB15" s="37"/>
      <c r="AC15" s="37"/>
      <c r="AD15" s="34"/>
      <c r="AE15" s="34"/>
      <c r="AF15" s="34"/>
      <c r="AG15" s="34"/>
      <c r="AH15" s="34"/>
    </row>
    <row r="16" spans="1:34" ht="20.100000000000001" customHeight="1" x14ac:dyDescent="0.25">
      <c r="A16" s="48"/>
      <c r="B16" s="49"/>
      <c r="C16" s="50"/>
      <c r="D16" s="49"/>
      <c r="E16" s="49"/>
      <c r="F16" s="118"/>
      <c r="G16" s="51"/>
      <c r="H16" s="111"/>
      <c r="I16" s="111"/>
      <c r="J16" s="111"/>
      <c r="K16" s="111"/>
      <c r="L16" s="111"/>
      <c r="M16" s="111"/>
      <c r="N16" s="111"/>
      <c r="O16" s="52"/>
      <c r="P16" s="52"/>
      <c r="Q16" s="50"/>
      <c r="AB16" s="41"/>
      <c r="AC16" s="34"/>
      <c r="AD16" s="34"/>
      <c r="AE16" s="56"/>
      <c r="AF16" s="56"/>
      <c r="AG16" s="56"/>
      <c r="AH16" s="34"/>
    </row>
    <row r="17" spans="1:34" ht="20.100000000000001" customHeight="1" x14ac:dyDescent="0.25">
      <c r="A17" s="48"/>
      <c r="B17" s="49"/>
      <c r="C17" s="50"/>
      <c r="D17" s="49"/>
      <c r="E17" s="49"/>
      <c r="F17" s="118"/>
      <c r="G17" s="51"/>
      <c r="H17" s="111"/>
      <c r="I17" s="111"/>
      <c r="J17" s="111"/>
      <c r="K17" s="111"/>
      <c r="L17" s="111"/>
      <c r="M17" s="111"/>
      <c r="N17" s="111"/>
      <c r="O17" s="52"/>
      <c r="P17" s="52"/>
      <c r="Q17" s="50"/>
      <c r="AB17" s="41"/>
      <c r="AC17" s="34"/>
      <c r="AD17" s="34"/>
      <c r="AE17" s="56"/>
      <c r="AF17" s="56"/>
      <c r="AG17" s="56"/>
      <c r="AH17" s="34"/>
    </row>
    <row r="18" spans="1:34" ht="20.100000000000001" customHeight="1" x14ac:dyDescent="0.25">
      <c r="A18" s="48"/>
      <c r="B18" s="49"/>
      <c r="C18" s="50"/>
      <c r="D18" s="49"/>
      <c r="E18" s="49"/>
      <c r="F18" s="118"/>
      <c r="G18" s="51"/>
      <c r="H18" s="111"/>
      <c r="I18" s="111"/>
      <c r="J18" s="111"/>
      <c r="K18" s="111"/>
      <c r="L18" s="111"/>
      <c r="M18" s="111"/>
      <c r="N18" s="111"/>
      <c r="O18" s="52"/>
      <c r="P18" s="52"/>
      <c r="Q18" s="50"/>
      <c r="AB18" s="41"/>
      <c r="AC18" s="34"/>
      <c r="AD18" s="34"/>
      <c r="AE18" s="56"/>
      <c r="AF18" s="56"/>
      <c r="AG18" s="56"/>
      <c r="AH18" s="34"/>
    </row>
    <row r="19" spans="1:34" ht="20.100000000000001" customHeight="1" x14ac:dyDescent="0.25">
      <c r="A19" s="48"/>
      <c r="B19" s="49"/>
      <c r="C19" s="50"/>
      <c r="D19" s="49"/>
      <c r="E19" s="49"/>
      <c r="F19" s="118"/>
      <c r="G19" s="51"/>
      <c r="H19" s="111"/>
      <c r="I19" s="111"/>
      <c r="J19" s="111"/>
      <c r="K19" s="111"/>
      <c r="L19" s="111"/>
      <c r="M19" s="111"/>
      <c r="N19" s="111"/>
      <c r="O19" s="52"/>
      <c r="P19" s="52"/>
      <c r="Q19" s="50"/>
      <c r="AB19" s="41"/>
      <c r="AC19" s="34"/>
      <c r="AD19" s="34"/>
      <c r="AE19" s="56"/>
      <c r="AF19" s="56"/>
      <c r="AG19" s="56"/>
      <c r="AH19" s="34"/>
    </row>
    <row r="20" spans="1:34" ht="20.100000000000001" customHeight="1" x14ac:dyDescent="0.25">
      <c r="A20" s="48"/>
      <c r="B20" s="49"/>
      <c r="C20" s="50"/>
      <c r="D20" s="49"/>
      <c r="E20" s="49"/>
      <c r="F20" s="118"/>
      <c r="G20" s="51"/>
      <c r="H20" s="111"/>
      <c r="I20" s="111"/>
      <c r="J20" s="111"/>
      <c r="K20" s="111"/>
      <c r="L20" s="111"/>
      <c r="M20" s="111"/>
      <c r="N20" s="111"/>
      <c r="O20" s="52"/>
      <c r="P20" s="52"/>
      <c r="Q20" s="50"/>
      <c r="AB20" s="41"/>
      <c r="AC20" s="34"/>
      <c r="AD20" s="34"/>
      <c r="AE20" s="56"/>
      <c r="AF20" s="56"/>
      <c r="AG20" s="56"/>
      <c r="AH20" s="34"/>
    </row>
    <row r="21" spans="1:34" ht="20.100000000000001" customHeight="1" x14ac:dyDescent="0.25">
      <c r="A21" s="48"/>
      <c r="B21" s="49"/>
      <c r="C21" s="50"/>
      <c r="D21" s="49"/>
      <c r="E21" s="49"/>
      <c r="F21" s="118"/>
      <c r="G21" s="51"/>
      <c r="H21" s="111"/>
      <c r="I21" s="111"/>
      <c r="J21" s="111"/>
      <c r="K21" s="111"/>
      <c r="L21" s="111"/>
      <c r="M21" s="111"/>
      <c r="N21" s="111"/>
      <c r="O21" s="52"/>
      <c r="P21" s="52"/>
      <c r="Q21" s="50"/>
      <c r="AC21" s="40"/>
      <c r="AD21" s="34"/>
      <c r="AE21" s="56"/>
      <c r="AF21" s="39"/>
      <c r="AG21" s="40"/>
      <c r="AH21" s="34"/>
    </row>
    <row r="22" spans="1:34" ht="20.100000000000001" customHeight="1" x14ac:dyDescent="0.25">
      <c r="A22" s="48"/>
      <c r="B22" s="49"/>
      <c r="C22" s="50"/>
      <c r="D22" s="49"/>
      <c r="E22" s="49"/>
      <c r="F22" s="118"/>
      <c r="G22" s="51"/>
      <c r="H22" s="111"/>
      <c r="I22" s="111"/>
      <c r="J22" s="111"/>
      <c r="K22" s="111"/>
      <c r="L22" s="111"/>
      <c r="M22" s="111"/>
      <c r="N22" s="111"/>
      <c r="O22" s="52"/>
      <c r="P22" s="52"/>
      <c r="Q22" s="50"/>
      <c r="AC22" s="40"/>
      <c r="AD22" s="34"/>
      <c r="AE22" s="56"/>
      <c r="AF22" s="39"/>
      <c r="AG22" s="40"/>
      <c r="AH22" s="34"/>
    </row>
    <row r="23" spans="1:34" ht="20.100000000000001" customHeight="1" x14ac:dyDescent="0.25">
      <c r="A23" s="48"/>
      <c r="B23" s="49"/>
      <c r="C23" s="50"/>
      <c r="D23" s="49"/>
      <c r="E23" s="49"/>
      <c r="F23" s="118"/>
      <c r="G23" s="51"/>
      <c r="H23" s="111"/>
      <c r="I23" s="111"/>
      <c r="J23" s="111"/>
      <c r="K23" s="111"/>
      <c r="L23" s="111"/>
      <c r="M23" s="111"/>
      <c r="N23" s="111"/>
      <c r="O23" s="52"/>
      <c r="P23" s="52"/>
      <c r="Q23" s="50"/>
      <c r="AC23" s="40"/>
      <c r="AD23" s="34"/>
      <c r="AE23" s="56"/>
      <c r="AF23" s="39"/>
      <c r="AG23" s="40"/>
      <c r="AH23" s="34"/>
    </row>
    <row r="24" spans="1:34" ht="20.100000000000001" customHeight="1" x14ac:dyDescent="0.25">
      <c r="A24" s="48"/>
      <c r="B24" s="49"/>
      <c r="C24" s="50"/>
      <c r="D24" s="49"/>
      <c r="E24" s="49"/>
      <c r="F24" s="118"/>
      <c r="G24" s="51"/>
      <c r="H24" s="111"/>
      <c r="I24" s="111"/>
      <c r="J24" s="111"/>
      <c r="K24" s="111"/>
      <c r="L24" s="111"/>
      <c r="M24" s="111"/>
      <c r="N24" s="111"/>
      <c r="O24" s="52"/>
      <c r="P24" s="52"/>
      <c r="Q24" s="50"/>
      <c r="AC24" s="40"/>
      <c r="AD24" s="34"/>
      <c r="AE24" s="56"/>
      <c r="AF24" s="39"/>
      <c r="AG24" s="40"/>
      <c r="AH24" s="34"/>
    </row>
    <row r="25" spans="1:34" ht="20.100000000000001" customHeight="1" x14ac:dyDescent="0.25">
      <c r="A25" s="48"/>
      <c r="B25" s="49"/>
      <c r="C25" s="50"/>
      <c r="D25" s="49"/>
      <c r="E25" s="49"/>
      <c r="F25" s="118"/>
      <c r="G25" s="51"/>
      <c r="H25" s="111"/>
      <c r="I25" s="111"/>
      <c r="J25" s="111"/>
      <c r="K25" s="111"/>
      <c r="L25" s="111"/>
      <c r="M25" s="111"/>
      <c r="N25" s="111"/>
      <c r="O25" s="52"/>
      <c r="P25" s="52"/>
      <c r="Q25" s="50"/>
      <c r="AB25" s="41"/>
      <c r="AC25" s="34"/>
      <c r="AD25" s="56" t="s">
        <v>86</v>
      </c>
      <c r="AE25" s="56"/>
      <c r="AF25" s="39"/>
      <c r="AG25" s="40"/>
      <c r="AH25" s="34"/>
    </row>
    <row r="26" spans="1:34" s="124" customFormat="1" ht="20.100000000000001" customHeight="1" x14ac:dyDescent="0.25">
      <c r="A26" s="141" t="s">
        <v>117</v>
      </c>
      <c r="B26" s="141"/>
      <c r="C26" s="141"/>
      <c r="D26" s="141"/>
      <c r="E26" s="119"/>
      <c r="F26" s="120">
        <f>SUM(F15:F25)</f>
        <v>0</v>
      </c>
      <c r="G26" s="121"/>
      <c r="H26" s="122"/>
      <c r="I26" s="122"/>
      <c r="J26" s="122"/>
      <c r="K26" s="122"/>
      <c r="L26" s="122"/>
      <c r="M26" s="122"/>
      <c r="N26" s="122"/>
      <c r="O26" s="115"/>
      <c r="P26" s="115"/>
      <c r="Q26" s="123"/>
      <c r="U26" s="125"/>
      <c r="V26" s="125"/>
      <c r="W26" s="126"/>
      <c r="X26" s="127"/>
      <c r="Y26" s="128"/>
      <c r="Z26" s="129"/>
      <c r="AA26" s="129"/>
      <c r="AB26" s="129"/>
      <c r="AC26" s="129"/>
      <c r="AD26" s="129"/>
      <c r="AE26" s="129"/>
      <c r="AF26" s="129"/>
      <c r="AG26" s="129"/>
      <c r="AH26" s="129"/>
    </row>
    <row r="27" spans="1:34" s="124" customFormat="1" ht="20.100000000000001" customHeight="1" x14ac:dyDescent="0.25">
      <c r="A27" s="141" t="s">
        <v>118</v>
      </c>
      <c r="B27" s="141"/>
      <c r="C27" s="141"/>
      <c r="D27" s="141"/>
      <c r="E27" s="119"/>
      <c r="F27" s="120">
        <f>'其他业务毛利率分析表D4-33'!B24</f>
        <v>0</v>
      </c>
      <c r="G27" s="121"/>
      <c r="H27" s="122"/>
      <c r="I27" s="122"/>
      <c r="J27" s="122"/>
      <c r="K27" s="122"/>
      <c r="L27" s="122"/>
      <c r="M27" s="122"/>
      <c r="N27" s="122"/>
      <c r="O27" s="115"/>
      <c r="P27" s="115"/>
      <c r="Q27" s="123"/>
      <c r="U27" s="125"/>
      <c r="V27" s="125"/>
      <c r="W27" s="126"/>
      <c r="X27" s="127"/>
      <c r="Y27" s="128"/>
      <c r="Z27" s="129"/>
      <c r="AA27" s="129"/>
      <c r="AB27" s="129"/>
      <c r="AC27" s="129"/>
      <c r="AD27" s="129"/>
      <c r="AE27" s="129"/>
      <c r="AF27" s="129"/>
      <c r="AG27" s="129"/>
      <c r="AH27" s="129"/>
    </row>
    <row r="28" spans="1:34" s="124" customFormat="1" ht="20.100000000000001" customHeight="1" x14ac:dyDescent="0.25">
      <c r="A28" s="141" t="s">
        <v>119</v>
      </c>
      <c r="B28" s="141"/>
      <c r="C28" s="141"/>
      <c r="D28" s="141"/>
      <c r="E28" s="119"/>
      <c r="F28" s="130" t="e">
        <f>F26/F27</f>
        <v>#DIV/0!</v>
      </c>
      <c r="G28" s="121"/>
      <c r="H28" s="122"/>
      <c r="I28" s="122"/>
      <c r="J28" s="122"/>
      <c r="K28" s="122"/>
      <c r="L28" s="122"/>
      <c r="M28" s="122"/>
      <c r="N28" s="122"/>
      <c r="O28" s="115"/>
      <c r="P28" s="115"/>
      <c r="Q28" s="123"/>
    </row>
    <row r="29" spans="1:34" ht="20.100000000000001" customHeight="1" x14ac:dyDescent="0.25">
      <c r="A29" s="42" t="s">
        <v>87</v>
      </c>
      <c r="H29" s="33"/>
      <c r="I29" s="53"/>
      <c r="J29" s="53"/>
      <c r="K29" s="53"/>
      <c r="L29" s="53"/>
      <c r="M29" s="53"/>
      <c r="N29" s="53"/>
      <c r="O29" s="53"/>
      <c r="P29" s="53"/>
      <c r="Q29" s="35"/>
    </row>
    <row r="30" spans="1:34" ht="20.100000000000001" customHeight="1" x14ac:dyDescent="0.25">
      <c r="H30" s="35"/>
      <c r="J30" s="35"/>
      <c r="K30" s="35"/>
      <c r="L30" s="35"/>
      <c r="M30" s="35"/>
      <c r="N30" s="35"/>
      <c r="O30" s="35"/>
      <c r="P30" s="35"/>
      <c r="Q30" s="35"/>
    </row>
    <row r="31" spans="1:34" ht="20.100000000000001" customHeight="1" x14ac:dyDescent="0.25">
      <c r="H31" s="35"/>
      <c r="I31" s="35"/>
      <c r="J31" s="35"/>
      <c r="K31" s="35"/>
      <c r="L31" s="35"/>
      <c r="M31" s="35"/>
      <c r="N31" s="35"/>
      <c r="O31" s="35"/>
      <c r="P31" s="35"/>
      <c r="Q31" s="35"/>
    </row>
    <row r="32" spans="1:34" ht="20.100000000000001" customHeight="1" x14ac:dyDescent="0.25">
      <c r="H32" s="35"/>
      <c r="I32" s="35"/>
      <c r="J32" s="35"/>
      <c r="K32" s="35"/>
      <c r="L32" s="35"/>
      <c r="M32" s="35"/>
      <c r="N32" s="35"/>
      <c r="O32" s="35"/>
      <c r="P32" s="35"/>
      <c r="Q32" s="35"/>
    </row>
    <row r="33" spans="1:17" ht="20.100000000000001" customHeight="1" x14ac:dyDescent="0.25">
      <c r="A33" s="33" t="s">
        <v>88</v>
      </c>
      <c r="H33" s="35"/>
      <c r="I33" s="35"/>
      <c r="J33" s="35"/>
      <c r="K33" s="35"/>
      <c r="L33" s="35"/>
      <c r="M33" s="35"/>
      <c r="N33" s="35"/>
      <c r="O33" s="35"/>
      <c r="P33" s="35"/>
      <c r="Q33" s="35"/>
    </row>
    <row r="34" spans="1:17" ht="20.100000000000001" customHeight="1" x14ac:dyDescent="0.25">
      <c r="H34" s="35"/>
      <c r="I34" s="35"/>
      <c r="J34" s="35"/>
      <c r="K34" s="35"/>
      <c r="L34" s="35"/>
      <c r="M34" s="35"/>
      <c r="N34" s="35"/>
      <c r="O34" s="35"/>
      <c r="P34" s="35"/>
      <c r="Q34" s="35"/>
    </row>
    <row r="35" spans="1:17" ht="18" customHeight="1" x14ac:dyDescent="0.25">
      <c r="A35" s="53"/>
      <c r="C35" s="35"/>
      <c r="D35" s="35"/>
      <c r="E35" s="35"/>
      <c r="F35" s="35"/>
      <c r="G35" s="35"/>
      <c r="H35" s="35"/>
      <c r="I35" s="35"/>
      <c r="J35" s="35"/>
      <c r="K35" s="35"/>
      <c r="L35" s="35"/>
      <c r="M35" s="35"/>
      <c r="N35" s="35"/>
      <c r="O35" s="35"/>
      <c r="P35" s="35"/>
      <c r="Q35" s="35"/>
    </row>
    <row r="36" spans="1:17" ht="18" customHeight="1" x14ac:dyDescent="0.25">
      <c r="A36" s="53"/>
      <c r="C36" s="35"/>
      <c r="D36" s="35"/>
      <c r="E36" s="35"/>
      <c r="F36" s="35"/>
      <c r="G36" s="35"/>
      <c r="H36" s="35"/>
      <c r="I36" s="35"/>
      <c r="J36" s="35"/>
      <c r="K36" s="35"/>
      <c r="L36" s="35"/>
      <c r="M36" s="35"/>
      <c r="N36" s="35"/>
      <c r="O36" s="35"/>
      <c r="P36" s="35"/>
      <c r="Q36" s="35"/>
    </row>
  </sheetData>
  <mergeCells count="16">
    <mergeCell ref="A26:D26"/>
    <mergeCell ref="A27:D27"/>
    <mergeCell ref="A28:D28"/>
    <mergeCell ref="A1:Q1"/>
    <mergeCell ref="A2:Q2"/>
    <mergeCell ref="H13:N13"/>
    <mergeCell ref="A13:A14"/>
    <mergeCell ref="B13:B14"/>
    <mergeCell ref="C13:C14"/>
    <mergeCell ref="D13:D14"/>
    <mergeCell ref="E13:E14"/>
    <mergeCell ref="F13:F14"/>
    <mergeCell ref="G13:G14"/>
    <mergeCell ref="O13:O14"/>
    <mergeCell ref="P13:P14"/>
    <mergeCell ref="Q13:Q14"/>
  </mergeCells>
  <phoneticPr fontId="14" type="noConversion"/>
  <dataValidations count="1">
    <dataValidation type="list" allowBlank="1" showInputMessage="1" showErrorMessage="1" sqref="H15:N28">
      <formula1>"√,×"</formula1>
    </dataValidation>
  </dataValidations>
  <hyperlinks>
    <hyperlink ref="Q3" location="底稿目录!A1" display="D4-35"/>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view="pageBreakPreview" zoomScaleNormal="100" workbookViewId="0">
      <selection sqref="A1:K1"/>
    </sheetView>
  </sheetViews>
  <sheetFormatPr defaultColWidth="9" defaultRowHeight="20.100000000000001" customHeight="1" x14ac:dyDescent="0.25"/>
  <cols>
    <col min="1" max="11" width="9" style="1"/>
    <col min="12" max="12" width="8.69921875" style="1" customWidth="1"/>
    <col min="13" max="16384" width="9" style="1"/>
  </cols>
  <sheetData>
    <row r="1" spans="1:13" ht="20.100000000000001" customHeight="1" x14ac:dyDescent="0.25">
      <c r="A1" s="151" t="s">
        <v>17</v>
      </c>
      <c r="B1" s="151"/>
      <c r="C1" s="151"/>
      <c r="D1" s="151"/>
      <c r="E1" s="151"/>
      <c r="F1" s="151"/>
      <c r="G1" s="151"/>
      <c r="H1" s="151"/>
      <c r="I1" s="151"/>
      <c r="J1" s="151"/>
      <c r="K1" s="151"/>
      <c r="L1" s="29"/>
      <c r="M1" s="29"/>
    </row>
    <row r="2" spans="1:13" ht="20.100000000000001" customHeight="1" x14ac:dyDescent="0.25">
      <c r="A2" s="152" t="s">
        <v>14</v>
      </c>
      <c r="B2" s="152"/>
      <c r="C2" s="152"/>
      <c r="D2" s="152"/>
      <c r="E2" s="152"/>
      <c r="F2" s="152"/>
      <c r="G2" s="152"/>
      <c r="H2" s="152"/>
      <c r="I2" s="152"/>
      <c r="J2" s="152"/>
      <c r="K2" s="152"/>
      <c r="L2" s="29"/>
      <c r="M2" s="29"/>
    </row>
    <row r="3" spans="1:13" ht="20.100000000000001" customHeight="1" x14ac:dyDescent="0.25">
      <c r="A3" s="2" t="str">
        <f>底稿目录!A2</f>
        <v>被审计单位：</v>
      </c>
      <c r="B3" s="2"/>
      <c r="C3" s="2"/>
      <c r="D3" s="2"/>
      <c r="E3" s="3" t="str">
        <f>底稿目录!A4</f>
        <v>编制人：</v>
      </c>
      <c r="F3" s="4"/>
      <c r="G3" s="4"/>
      <c r="H3" s="3" t="str">
        <f>底稿目录!A5</f>
        <v>编制日期：</v>
      </c>
      <c r="I3" s="4"/>
      <c r="J3" s="3" t="s">
        <v>89</v>
      </c>
      <c r="K3" s="112" t="str">
        <f>底稿目录!F6</f>
        <v>D4-36</v>
      </c>
    </row>
    <row r="4" spans="1:13" ht="20.100000000000001" customHeight="1" x14ac:dyDescent="0.25">
      <c r="A4" s="2" t="str">
        <f>底稿目录!A3</f>
        <v>会计期间：202X年度</v>
      </c>
      <c r="B4" s="2"/>
      <c r="C4" s="2"/>
      <c r="D4" s="2"/>
      <c r="E4" s="3" t="str">
        <f>底稿目录!A6</f>
        <v>复核人：</v>
      </c>
      <c r="F4" s="4"/>
      <c r="G4" s="4"/>
      <c r="H4" s="3" t="str">
        <f>底稿目录!A7</f>
        <v>复核日期：</v>
      </c>
      <c r="I4" s="4"/>
      <c r="J4" s="30" t="s">
        <v>19</v>
      </c>
      <c r="K4" s="4"/>
    </row>
    <row r="5" spans="1:13" s="163" customFormat="1" ht="20.100000000000001" customHeight="1" x14ac:dyDescent="0.25">
      <c r="A5" s="168" t="s">
        <v>90</v>
      </c>
      <c r="B5" s="169"/>
      <c r="C5" s="169"/>
      <c r="D5" s="169"/>
      <c r="E5" s="169"/>
      <c r="F5" s="169"/>
      <c r="G5" s="169"/>
      <c r="H5" s="169"/>
      <c r="I5" s="169"/>
      <c r="J5" s="169"/>
      <c r="K5" s="60"/>
    </row>
    <row r="6" spans="1:13" s="163" customFormat="1" ht="20.100000000000001" customHeight="1" x14ac:dyDescent="0.25">
      <c r="A6" s="6" t="s">
        <v>91</v>
      </c>
      <c r="B6" s="170"/>
      <c r="C6" s="6"/>
      <c r="D6" s="6"/>
      <c r="E6" s="6"/>
      <c r="F6" s="6"/>
      <c r="G6" s="6"/>
      <c r="H6" s="6"/>
      <c r="I6" s="6"/>
      <c r="J6" s="6"/>
      <c r="K6" s="60"/>
    </row>
    <row r="7" spans="1:13" s="163" customFormat="1" ht="20.100000000000001" customHeight="1" x14ac:dyDescent="0.25">
      <c r="A7" s="168" t="s">
        <v>92</v>
      </c>
      <c r="B7" s="169"/>
      <c r="C7" s="169"/>
      <c r="D7" s="169"/>
      <c r="E7" s="169"/>
      <c r="F7" s="169"/>
      <c r="G7" s="169"/>
      <c r="H7" s="169"/>
      <c r="I7" s="169"/>
      <c r="J7" s="169"/>
      <c r="K7" s="60"/>
    </row>
    <row r="8" spans="1:13" s="163" customFormat="1" ht="20.100000000000001" customHeight="1" x14ac:dyDescent="0.25">
      <c r="A8" s="7" t="s">
        <v>93</v>
      </c>
      <c r="B8" s="171"/>
      <c r="C8" s="172"/>
      <c r="D8" s="172"/>
      <c r="E8" s="172"/>
      <c r="F8" s="172"/>
      <c r="G8" s="172"/>
      <c r="H8" s="172"/>
      <c r="I8" s="172"/>
      <c r="J8" s="172"/>
      <c r="K8" s="60"/>
    </row>
    <row r="9" spans="1:13" s="163" customFormat="1" ht="20.100000000000001" customHeight="1" x14ac:dyDescent="0.25">
      <c r="A9" s="7" t="s">
        <v>94</v>
      </c>
      <c r="B9" s="171"/>
      <c r="C9" s="172"/>
      <c r="D9" s="172"/>
      <c r="E9" s="172"/>
      <c r="F9" s="172"/>
      <c r="G9" s="172"/>
      <c r="H9" s="172"/>
      <c r="I9" s="172"/>
      <c r="J9" s="172"/>
      <c r="K9" s="60"/>
    </row>
    <row r="10" spans="1:13" s="163" customFormat="1" ht="20.100000000000001" customHeight="1" x14ac:dyDescent="0.25">
      <c r="A10" s="7" t="s">
        <v>95</v>
      </c>
      <c r="B10" s="6"/>
      <c r="C10" s="169"/>
      <c r="D10" s="169"/>
      <c r="E10" s="169"/>
      <c r="F10" s="169"/>
      <c r="G10" s="169"/>
      <c r="H10" s="169"/>
      <c r="I10" s="169"/>
      <c r="J10" s="169"/>
      <c r="K10" s="60"/>
    </row>
    <row r="11" spans="1:13" s="163" customFormat="1" ht="20.100000000000001" customHeight="1" x14ac:dyDescent="0.25">
      <c r="A11" s="7" t="s">
        <v>94</v>
      </c>
      <c r="B11" s="6"/>
      <c r="C11" s="169"/>
      <c r="D11" s="169"/>
      <c r="E11" s="169"/>
      <c r="F11" s="169"/>
      <c r="G11" s="169"/>
      <c r="H11" s="169"/>
      <c r="I11" s="169"/>
      <c r="J11" s="169"/>
      <c r="K11" s="60"/>
    </row>
    <row r="12" spans="1:13" s="163" customFormat="1" ht="36" customHeight="1" x14ac:dyDescent="0.25">
      <c r="A12" s="161" t="s">
        <v>110</v>
      </c>
      <c r="B12" s="161"/>
      <c r="C12" s="161"/>
      <c r="D12" s="161"/>
      <c r="E12" s="161"/>
      <c r="F12" s="161"/>
      <c r="G12" s="161"/>
      <c r="H12" s="161"/>
      <c r="I12" s="161"/>
      <c r="J12" s="161"/>
      <c r="K12" s="161"/>
    </row>
    <row r="13" spans="1:13" s="163" customFormat="1" ht="20.100000000000001" customHeight="1" x14ac:dyDescent="0.25">
      <c r="A13" s="173" t="s">
        <v>96</v>
      </c>
      <c r="B13" s="174"/>
      <c r="C13" s="175"/>
      <c r="D13" s="175"/>
      <c r="E13" s="175"/>
      <c r="F13" s="175"/>
      <c r="G13" s="175"/>
      <c r="H13" s="175"/>
      <c r="I13" s="175"/>
      <c r="J13" s="175"/>
    </row>
    <row r="14" spans="1:13" ht="20.100000000000001" customHeight="1" x14ac:dyDescent="0.25">
      <c r="A14" s="153" t="s">
        <v>97</v>
      </c>
      <c r="B14" s="154"/>
      <c r="C14" s="154"/>
      <c r="D14" s="154"/>
      <c r="E14" s="155"/>
      <c r="F14" s="156" t="s">
        <v>98</v>
      </c>
      <c r="G14" s="157"/>
      <c r="H14" s="157"/>
      <c r="I14" s="157"/>
      <c r="J14" s="158"/>
      <c r="K14" s="148" t="s">
        <v>99</v>
      </c>
    </row>
    <row r="15" spans="1:13" ht="20.100000000000001" customHeight="1" x14ac:dyDescent="0.25">
      <c r="A15" s="8" t="s">
        <v>76</v>
      </c>
      <c r="B15" s="8" t="s">
        <v>100</v>
      </c>
      <c r="C15" s="8" t="s">
        <v>101</v>
      </c>
      <c r="D15" s="8" t="s">
        <v>102</v>
      </c>
      <c r="E15" s="8" t="s">
        <v>81</v>
      </c>
      <c r="F15" s="8" t="s">
        <v>76</v>
      </c>
      <c r="G15" s="8" t="s">
        <v>100</v>
      </c>
      <c r="H15" s="9" t="s">
        <v>101</v>
      </c>
      <c r="I15" s="9" t="s">
        <v>102</v>
      </c>
      <c r="J15" s="9" t="s">
        <v>81</v>
      </c>
      <c r="K15" s="149"/>
    </row>
    <row r="16" spans="1:13" ht="20.100000000000001" customHeight="1" x14ac:dyDescent="0.25">
      <c r="A16" s="10"/>
      <c r="B16" s="11"/>
      <c r="C16" s="11"/>
      <c r="D16" s="12"/>
      <c r="E16" s="12"/>
      <c r="F16" s="12"/>
      <c r="G16" s="13"/>
      <c r="H16" s="14"/>
      <c r="I16" s="14"/>
      <c r="J16" s="14"/>
      <c r="K16" s="12"/>
    </row>
    <row r="17" spans="1:11" ht="20.100000000000001" customHeight="1" x14ac:dyDescent="0.25">
      <c r="A17" s="10"/>
      <c r="B17" s="11"/>
      <c r="C17" s="11"/>
      <c r="D17" s="12"/>
      <c r="E17" s="12"/>
      <c r="F17" s="12"/>
      <c r="G17" s="13"/>
      <c r="H17" s="14"/>
      <c r="I17" s="14"/>
      <c r="J17" s="14"/>
      <c r="K17" s="12"/>
    </row>
    <row r="18" spans="1:11" ht="20.100000000000001" customHeight="1" x14ac:dyDescent="0.25">
      <c r="A18" s="10"/>
      <c r="B18" s="11"/>
      <c r="C18" s="11"/>
      <c r="D18" s="12"/>
      <c r="E18" s="12"/>
      <c r="F18" s="12"/>
      <c r="G18" s="13"/>
      <c r="H18" s="14"/>
      <c r="I18" s="14"/>
      <c r="J18" s="14"/>
      <c r="K18" s="12"/>
    </row>
    <row r="19" spans="1:11" ht="20.100000000000001" customHeight="1" x14ac:dyDescent="0.25">
      <c r="A19" s="10"/>
      <c r="B19" s="11"/>
      <c r="C19" s="11"/>
      <c r="D19" s="12"/>
      <c r="E19" s="12"/>
      <c r="F19" s="12"/>
      <c r="G19" s="13"/>
      <c r="H19" s="14"/>
      <c r="I19" s="14"/>
      <c r="J19" s="14"/>
      <c r="K19" s="12"/>
    </row>
    <row r="20" spans="1:11" ht="20.100000000000001" customHeight="1" x14ac:dyDescent="0.25">
      <c r="A20" s="10"/>
      <c r="B20" s="11"/>
      <c r="C20" s="11"/>
      <c r="D20" s="12"/>
      <c r="E20" s="12"/>
      <c r="F20" s="12"/>
      <c r="G20" s="13"/>
      <c r="H20" s="14"/>
      <c r="I20" s="14"/>
      <c r="J20" s="14"/>
      <c r="K20" s="12"/>
    </row>
    <row r="21" spans="1:11" ht="20.100000000000001" customHeight="1" x14ac:dyDescent="0.25">
      <c r="A21" s="10"/>
      <c r="B21" s="11"/>
      <c r="C21" s="11"/>
      <c r="D21" s="12"/>
      <c r="E21" s="12"/>
      <c r="F21" s="12"/>
      <c r="G21" s="13"/>
      <c r="H21" s="14"/>
      <c r="I21" s="14"/>
      <c r="J21" s="14"/>
      <c r="K21" s="12"/>
    </row>
    <row r="22" spans="1:11" ht="20.100000000000001" customHeight="1" x14ac:dyDescent="0.25">
      <c r="A22" s="10"/>
      <c r="B22" s="11"/>
      <c r="C22" s="11"/>
      <c r="D22" s="12"/>
      <c r="E22" s="12"/>
      <c r="F22" s="12"/>
      <c r="G22" s="13"/>
      <c r="H22" s="14"/>
      <c r="I22" s="14"/>
      <c r="J22" s="14"/>
      <c r="K22" s="12"/>
    </row>
    <row r="23" spans="1:11" ht="20.100000000000001" customHeight="1" x14ac:dyDescent="0.25">
      <c r="A23" s="10"/>
      <c r="B23" s="11"/>
      <c r="C23" s="11"/>
      <c r="D23" s="12"/>
      <c r="E23" s="12"/>
      <c r="F23" s="12"/>
      <c r="G23" s="13"/>
      <c r="H23" s="14"/>
      <c r="I23" s="14"/>
      <c r="J23" s="14"/>
      <c r="K23" s="12"/>
    </row>
    <row r="24" spans="1:11" ht="20.100000000000001" customHeight="1" x14ac:dyDescent="0.25">
      <c r="A24" s="15" t="s">
        <v>103</v>
      </c>
      <c r="B24" s="15"/>
      <c r="C24" s="15"/>
      <c r="D24" s="15"/>
      <c r="E24" s="15"/>
      <c r="F24" s="15"/>
      <c r="G24" s="15"/>
      <c r="H24" s="15"/>
      <c r="I24" s="15"/>
      <c r="J24" s="15"/>
      <c r="K24" s="15"/>
    </row>
    <row r="25" spans="1:11" ht="20.100000000000001" customHeight="1" x14ac:dyDescent="0.25">
      <c r="A25" s="10"/>
      <c r="B25" s="11"/>
      <c r="C25" s="11"/>
      <c r="D25" s="12"/>
      <c r="E25" s="12"/>
      <c r="F25" s="12"/>
      <c r="G25" s="13"/>
      <c r="H25" s="14"/>
      <c r="I25" s="14"/>
      <c r="J25" s="14"/>
      <c r="K25" s="12"/>
    </row>
    <row r="26" spans="1:11" ht="20.100000000000001" customHeight="1" x14ac:dyDescent="0.25">
      <c r="A26" s="10"/>
      <c r="B26" s="11"/>
      <c r="C26" s="11"/>
      <c r="D26" s="12"/>
      <c r="E26" s="12"/>
      <c r="F26" s="12"/>
      <c r="G26" s="13"/>
      <c r="H26" s="14"/>
      <c r="I26" s="14"/>
      <c r="J26" s="14"/>
      <c r="K26" s="12"/>
    </row>
    <row r="27" spans="1:11" ht="20.100000000000001" customHeight="1" x14ac:dyDescent="0.25">
      <c r="A27" s="10"/>
      <c r="B27" s="11"/>
      <c r="C27" s="11"/>
      <c r="D27" s="12"/>
      <c r="E27" s="12"/>
      <c r="F27" s="12"/>
      <c r="G27" s="13"/>
      <c r="H27" s="14"/>
      <c r="I27" s="14"/>
      <c r="J27" s="14"/>
      <c r="K27" s="12"/>
    </row>
    <row r="28" spans="1:11" ht="20.100000000000001" customHeight="1" x14ac:dyDescent="0.25">
      <c r="A28" s="10"/>
      <c r="B28" s="11"/>
      <c r="C28" s="11"/>
      <c r="D28" s="12"/>
      <c r="E28" s="12"/>
      <c r="F28" s="12"/>
      <c r="G28" s="13"/>
      <c r="H28" s="14"/>
      <c r="I28" s="14"/>
      <c r="J28" s="14"/>
      <c r="K28" s="12"/>
    </row>
    <row r="29" spans="1:11" ht="20.100000000000001" customHeight="1" x14ac:dyDescent="0.25">
      <c r="A29" s="10"/>
      <c r="B29" s="11"/>
      <c r="C29" s="11"/>
      <c r="D29" s="12"/>
      <c r="E29" s="12"/>
      <c r="F29" s="12"/>
      <c r="G29" s="13"/>
      <c r="H29" s="14"/>
      <c r="I29" s="14"/>
      <c r="J29" s="14"/>
      <c r="K29" s="12"/>
    </row>
    <row r="30" spans="1:11" ht="20.100000000000001" customHeight="1" x14ac:dyDescent="0.25">
      <c r="A30" s="10"/>
      <c r="B30" s="11"/>
      <c r="C30" s="11"/>
      <c r="D30" s="12"/>
      <c r="E30" s="12"/>
      <c r="F30" s="12"/>
      <c r="G30" s="13"/>
      <c r="H30" s="14"/>
      <c r="I30" s="14"/>
      <c r="J30" s="14"/>
      <c r="K30" s="12"/>
    </row>
    <row r="31" spans="1:11" ht="20.100000000000001" customHeight="1" x14ac:dyDescent="0.25">
      <c r="A31" s="10"/>
      <c r="B31" s="11"/>
      <c r="C31" s="11"/>
      <c r="D31" s="12"/>
      <c r="E31" s="12"/>
      <c r="F31" s="12"/>
      <c r="G31" s="13"/>
      <c r="H31" s="14"/>
      <c r="I31" s="14"/>
      <c r="J31" s="14"/>
      <c r="K31" s="12"/>
    </row>
    <row r="32" spans="1:11" ht="20.100000000000001" customHeight="1" x14ac:dyDescent="0.25">
      <c r="A32" s="10"/>
      <c r="B32" s="11"/>
      <c r="C32" s="11"/>
      <c r="D32" s="12"/>
      <c r="E32" s="12"/>
      <c r="F32" s="12"/>
      <c r="G32" s="13"/>
      <c r="H32" s="14"/>
      <c r="I32" s="14"/>
      <c r="J32" s="14"/>
      <c r="K32" s="12"/>
    </row>
    <row r="33" spans="1:11" ht="20.100000000000001" customHeight="1" x14ac:dyDescent="0.25">
      <c r="A33" s="5" t="s">
        <v>104</v>
      </c>
      <c r="B33" s="16"/>
      <c r="C33" s="16"/>
      <c r="D33" s="17"/>
      <c r="E33" s="17"/>
      <c r="F33" s="17"/>
      <c r="G33" s="18"/>
      <c r="H33" s="18"/>
      <c r="I33" s="18"/>
      <c r="J33" s="18"/>
      <c r="K33" s="17"/>
    </row>
    <row r="34" spans="1:11" ht="20.100000000000001" customHeight="1" x14ac:dyDescent="0.25">
      <c r="A34" s="159" t="s">
        <v>98</v>
      </c>
      <c r="B34" s="159"/>
      <c r="C34" s="159"/>
      <c r="D34" s="159"/>
      <c r="E34" s="159"/>
      <c r="F34" s="160" t="s">
        <v>97</v>
      </c>
      <c r="G34" s="160"/>
      <c r="H34" s="160"/>
      <c r="I34" s="160"/>
      <c r="J34" s="160"/>
      <c r="K34" s="19" t="s">
        <v>105</v>
      </c>
    </row>
    <row r="35" spans="1:11" ht="20.100000000000001" customHeight="1" x14ac:dyDescent="0.25">
      <c r="A35" s="9" t="s">
        <v>76</v>
      </c>
      <c r="B35" s="9" t="s">
        <v>100</v>
      </c>
      <c r="C35" s="9" t="s">
        <v>101</v>
      </c>
      <c r="D35" s="9" t="s">
        <v>102</v>
      </c>
      <c r="E35" s="9" t="s">
        <v>81</v>
      </c>
      <c r="F35" s="19" t="s">
        <v>76</v>
      </c>
      <c r="G35" s="20" t="s">
        <v>100</v>
      </c>
      <c r="H35" s="9" t="s">
        <v>101</v>
      </c>
      <c r="I35" s="9" t="s">
        <v>102</v>
      </c>
      <c r="J35" s="9" t="s">
        <v>81</v>
      </c>
      <c r="K35" s="19" t="s">
        <v>106</v>
      </c>
    </row>
    <row r="36" spans="1:11" ht="20.100000000000001" customHeight="1" x14ac:dyDescent="0.25">
      <c r="A36" s="21"/>
      <c r="B36" s="22"/>
      <c r="C36" s="23"/>
      <c r="D36" s="24"/>
      <c r="E36" s="24"/>
      <c r="F36" s="21"/>
      <c r="G36" s="13"/>
      <c r="H36" s="22"/>
      <c r="I36" s="22"/>
      <c r="J36" s="24"/>
      <c r="K36" s="31"/>
    </row>
    <row r="37" spans="1:11" ht="20.100000000000001" customHeight="1" x14ac:dyDescent="0.25">
      <c r="A37" s="21"/>
      <c r="B37" s="22"/>
      <c r="C37" s="23"/>
      <c r="D37" s="24"/>
      <c r="E37" s="24"/>
      <c r="F37" s="21"/>
      <c r="G37" s="13"/>
      <c r="H37" s="22"/>
      <c r="I37" s="22"/>
      <c r="J37" s="24"/>
      <c r="K37" s="31"/>
    </row>
    <row r="38" spans="1:11" ht="20.100000000000001" customHeight="1" x14ac:dyDescent="0.25">
      <c r="A38" s="21"/>
      <c r="B38" s="22"/>
      <c r="C38" s="23"/>
      <c r="D38" s="24"/>
      <c r="E38" s="24"/>
      <c r="F38" s="21"/>
      <c r="G38" s="13"/>
      <c r="H38" s="22"/>
      <c r="I38" s="22"/>
      <c r="J38" s="24"/>
      <c r="K38" s="31"/>
    </row>
    <row r="39" spans="1:11" ht="20.100000000000001" customHeight="1" x14ac:dyDescent="0.25">
      <c r="A39" s="21"/>
      <c r="B39" s="22"/>
      <c r="C39" s="23"/>
      <c r="D39" s="24"/>
      <c r="E39" s="24"/>
      <c r="F39" s="21"/>
      <c r="G39" s="13"/>
      <c r="H39" s="22"/>
      <c r="I39" s="22"/>
      <c r="J39" s="24"/>
      <c r="K39" s="31"/>
    </row>
    <row r="40" spans="1:11" ht="20.100000000000001" customHeight="1" x14ac:dyDescent="0.25">
      <c r="A40" s="21"/>
      <c r="B40" s="22"/>
      <c r="C40" s="23"/>
      <c r="D40" s="24"/>
      <c r="E40" s="24"/>
      <c r="F40" s="21"/>
      <c r="G40" s="13"/>
      <c r="H40" s="22"/>
      <c r="I40" s="22"/>
      <c r="J40" s="24"/>
      <c r="K40" s="31"/>
    </row>
    <row r="41" spans="1:11" ht="20.100000000000001" customHeight="1" x14ac:dyDescent="0.25">
      <c r="A41" s="21"/>
      <c r="B41" s="22"/>
      <c r="C41" s="23"/>
      <c r="D41" s="24"/>
      <c r="E41" s="24"/>
      <c r="F41" s="21"/>
      <c r="G41" s="13"/>
      <c r="H41" s="22"/>
      <c r="I41" s="22"/>
      <c r="J41" s="24"/>
      <c r="K41" s="31"/>
    </row>
    <row r="42" spans="1:11" ht="20.100000000000001" customHeight="1" x14ac:dyDescent="0.25">
      <c r="A42" s="21"/>
      <c r="B42" s="22"/>
      <c r="C42" s="23"/>
      <c r="D42" s="24"/>
      <c r="E42" s="24"/>
      <c r="F42" s="21"/>
      <c r="G42" s="13"/>
      <c r="H42" s="22"/>
      <c r="I42" s="22"/>
      <c r="J42" s="24"/>
      <c r="K42" s="31"/>
    </row>
    <row r="43" spans="1:11" ht="20.100000000000001" customHeight="1" x14ac:dyDescent="0.25">
      <c r="A43" s="21"/>
      <c r="B43" s="22"/>
      <c r="C43" s="23"/>
      <c r="D43" s="24"/>
      <c r="E43" s="24"/>
      <c r="F43" s="21"/>
      <c r="G43" s="13"/>
      <c r="H43" s="22"/>
      <c r="I43" s="22"/>
      <c r="J43" s="24"/>
      <c r="K43" s="31"/>
    </row>
    <row r="44" spans="1:11" ht="20.100000000000001" customHeight="1" x14ac:dyDescent="0.25">
      <c r="A44" s="25" t="s">
        <v>107</v>
      </c>
      <c r="B44" s="26"/>
      <c r="C44" s="27"/>
      <c r="D44" s="26"/>
      <c r="E44" s="26"/>
      <c r="F44" s="25"/>
      <c r="G44" s="26"/>
      <c r="H44" s="26"/>
      <c r="I44" s="26"/>
      <c r="J44" s="26"/>
      <c r="K44" s="32"/>
    </row>
    <row r="45" spans="1:11" ht="20.100000000000001" customHeight="1" x14ac:dyDescent="0.25">
      <c r="A45" s="21"/>
      <c r="B45" s="22"/>
      <c r="C45" s="23"/>
      <c r="D45" s="24"/>
      <c r="E45" s="24"/>
      <c r="F45" s="21"/>
      <c r="G45" s="13"/>
      <c r="H45" s="22"/>
      <c r="I45" s="22"/>
      <c r="J45" s="24"/>
      <c r="K45" s="31"/>
    </row>
    <row r="46" spans="1:11" ht="20.100000000000001" customHeight="1" x14ac:dyDescent="0.25">
      <c r="A46" s="21"/>
      <c r="B46" s="22"/>
      <c r="C46" s="23"/>
      <c r="D46" s="24"/>
      <c r="E46" s="24"/>
      <c r="F46" s="21"/>
      <c r="G46" s="13"/>
      <c r="H46" s="22"/>
      <c r="I46" s="22"/>
      <c r="J46" s="24"/>
      <c r="K46" s="31"/>
    </row>
    <row r="47" spans="1:11" ht="20.100000000000001" customHeight="1" x14ac:dyDescent="0.25">
      <c r="A47" s="21"/>
      <c r="B47" s="22"/>
      <c r="C47" s="23"/>
      <c r="D47" s="24"/>
      <c r="E47" s="24"/>
      <c r="F47" s="21"/>
      <c r="G47" s="13"/>
      <c r="H47" s="22"/>
      <c r="I47" s="22"/>
      <c r="J47" s="24"/>
      <c r="K47" s="31"/>
    </row>
    <row r="48" spans="1:11" ht="20.100000000000001" customHeight="1" x14ac:dyDescent="0.25">
      <c r="A48" s="21"/>
      <c r="B48" s="22"/>
      <c r="C48" s="23"/>
      <c r="D48" s="24"/>
      <c r="E48" s="24"/>
      <c r="F48" s="21"/>
      <c r="G48" s="13"/>
      <c r="H48" s="22"/>
      <c r="I48" s="22"/>
      <c r="J48" s="24"/>
      <c r="K48" s="31"/>
    </row>
    <row r="49" spans="1:11" ht="20.100000000000001" customHeight="1" x14ac:dyDescent="0.25">
      <c r="A49" s="21"/>
      <c r="B49" s="22"/>
      <c r="C49" s="23"/>
      <c r="D49" s="24"/>
      <c r="E49" s="24"/>
      <c r="F49" s="21"/>
      <c r="G49" s="13"/>
      <c r="H49" s="22"/>
      <c r="I49" s="22"/>
      <c r="J49" s="24"/>
      <c r="K49" s="31"/>
    </row>
    <row r="50" spans="1:11" ht="20.100000000000001" customHeight="1" x14ac:dyDescent="0.25">
      <c r="A50" s="21"/>
      <c r="B50" s="22"/>
      <c r="C50" s="23"/>
      <c r="D50" s="24"/>
      <c r="E50" s="24"/>
      <c r="F50" s="21"/>
      <c r="G50" s="13"/>
      <c r="H50" s="22"/>
      <c r="I50" s="22"/>
      <c r="J50" s="24"/>
      <c r="K50" s="31"/>
    </row>
    <row r="51" spans="1:11" ht="20.100000000000001" customHeight="1" x14ac:dyDescent="0.25">
      <c r="A51" s="21"/>
      <c r="B51" s="22"/>
      <c r="C51" s="23"/>
      <c r="D51" s="24"/>
      <c r="E51" s="24"/>
      <c r="F51" s="21"/>
      <c r="G51" s="13"/>
      <c r="H51" s="22"/>
      <c r="I51" s="22"/>
      <c r="J51" s="24"/>
      <c r="K51" s="31"/>
    </row>
    <row r="52" spans="1:11" ht="20.100000000000001" customHeight="1" x14ac:dyDescent="0.25">
      <c r="A52" s="21"/>
      <c r="B52" s="22"/>
      <c r="C52" s="23"/>
      <c r="D52" s="24"/>
      <c r="E52" s="24"/>
      <c r="F52" s="21"/>
      <c r="G52" s="13"/>
      <c r="H52" s="22"/>
      <c r="I52" s="22"/>
      <c r="J52" s="24"/>
      <c r="K52" s="31"/>
    </row>
    <row r="53" spans="1:11" s="163" customFormat="1" ht="20.100000000000001" customHeight="1" x14ac:dyDescent="0.25">
      <c r="A53" s="176" t="s">
        <v>38</v>
      </c>
      <c r="B53" s="95"/>
      <c r="C53" s="95"/>
      <c r="D53" s="95"/>
      <c r="E53" s="95"/>
      <c r="F53" s="95"/>
      <c r="G53" s="95"/>
      <c r="H53" s="95"/>
      <c r="I53" s="95"/>
      <c r="J53" s="95"/>
      <c r="K53" s="95"/>
    </row>
    <row r="54" spans="1:11" s="163" customFormat="1" ht="20.100000000000001" customHeight="1" x14ac:dyDescent="0.25">
      <c r="A54" s="177"/>
      <c r="B54" s="81"/>
      <c r="C54" s="81"/>
      <c r="D54" s="81"/>
      <c r="E54" s="81"/>
      <c r="F54" s="81"/>
      <c r="G54" s="81"/>
      <c r="H54" s="81"/>
      <c r="I54" s="81"/>
      <c r="J54" s="81"/>
      <c r="K54" s="81"/>
    </row>
    <row r="55" spans="1:11" s="163" customFormat="1" ht="20.100000000000001" customHeight="1" x14ac:dyDescent="0.25">
      <c r="A55" s="81"/>
      <c r="B55" s="81"/>
      <c r="C55" s="81"/>
      <c r="D55" s="81"/>
      <c r="E55" s="81"/>
      <c r="F55" s="81"/>
      <c r="G55" s="81"/>
      <c r="H55" s="81"/>
      <c r="I55" s="81"/>
      <c r="J55" s="81"/>
      <c r="K55" s="81"/>
    </row>
    <row r="56" spans="1:11" s="163" customFormat="1" ht="20.100000000000001" customHeight="1" x14ac:dyDescent="0.25">
      <c r="A56" s="178" t="s">
        <v>39</v>
      </c>
      <c r="B56" s="81"/>
      <c r="C56" s="81"/>
      <c r="D56" s="81"/>
      <c r="E56" s="81"/>
      <c r="F56" s="81"/>
      <c r="G56" s="81"/>
      <c r="H56" s="81"/>
      <c r="I56" s="81"/>
      <c r="J56" s="81"/>
      <c r="K56" s="81"/>
    </row>
    <row r="57" spans="1:11" s="163" customFormat="1" ht="20.100000000000001" customHeight="1" x14ac:dyDescent="0.25">
      <c r="A57" s="60"/>
      <c r="B57" s="81"/>
      <c r="C57" s="81"/>
      <c r="D57" s="81"/>
      <c r="E57" s="81"/>
      <c r="F57" s="81"/>
      <c r="G57" s="81"/>
      <c r="H57" s="81"/>
      <c r="I57" s="81"/>
      <c r="J57" s="81"/>
      <c r="K57" s="81"/>
    </row>
    <row r="58" spans="1:11" ht="20.100000000000001" customHeight="1" x14ac:dyDescent="0.25">
      <c r="A58" s="28" t="s">
        <v>108</v>
      </c>
    </row>
    <row r="59" spans="1:11" ht="20.100000000000001" customHeight="1" x14ac:dyDescent="0.25">
      <c r="A59" s="28" t="s">
        <v>109</v>
      </c>
    </row>
  </sheetData>
  <mergeCells count="8">
    <mergeCell ref="A1:K1"/>
    <mergeCell ref="A2:K2"/>
    <mergeCell ref="A14:E14"/>
    <mergeCell ref="F14:J14"/>
    <mergeCell ref="A34:E34"/>
    <mergeCell ref="F34:J34"/>
    <mergeCell ref="K14:K15"/>
    <mergeCell ref="A12:K12"/>
  </mergeCells>
  <phoneticPr fontId="14" type="noConversion"/>
  <dataValidations count="1">
    <dataValidation type="list" allowBlank="1" showInputMessage="1" showErrorMessage="1" sqref="K16:K23 K25:K33 K36:K44 K51:K52">
      <formula1>"√,×"</formula1>
    </dataValidation>
  </dataValidations>
  <hyperlinks>
    <hyperlink ref="K3" location="底稿目录!A1" display="D4-36"/>
  </hyperlinks>
  <pageMargins left="0.70833333333333304" right="0.70833333333333304" top="0.74791666666666701" bottom="0.74791666666666701" header="0.31458333333333299" footer="0.31458333333333299"/>
  <pageSetup paperSize="9" scale="82"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底稿目录</vt:lpstr>
      <vt:lpstr>其他业务毛利率分析表D4-33</vt:lpstr>
      <vt:lpstr>其他业务收入合同测算表D4-34</vt:lpstr>
      <vt:lpstr>其他业务收入检查表D4-35</vt:lpstr>
      <vt:lpstr>其他业务收入截止性测试D4-36</vt:lpstr>
      <vt:lpstr>'其他业务毛利率分析表D4-33'!Print_Area</vt:lpstr>
      <vt:lpstr>'其他业务收入合同测算表D4-34'!Print_Area</vt:lpstr>
      <vt:lpstr>'其他业务收入检查表D4-35'!Print_Area</vt:lpstr>
      <vt:lpstr>'其他业务收入截止性测试D4-36'!Print_Area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2025-10-30T07:21:28Z</cp:lastPrinted>
  <dcterms:created xsi:type="dcterms:W3CDTF">2025-09-18T06:32:00Z</dcterms:created>
  <dcterms:modified xsi:type="dcterms:W3CDTF">2025-12-02T08:18:05Z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042B91C506D94550B3F8A47B1389D712_12</vt:lpwstr>
  </property>
  <property fmtid="{D5CDD505-2E9C-101B-9397-08002B2CF9AE}" pid="3" name="KSOProductBuildVer">
    <vt:lpwstr>2052-12.1.0.22529</vt:lpwstr>
  </property>
</Properties>
</file>