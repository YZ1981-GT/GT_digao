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D4 营业收入\"/>
    </mc:Choice>
  </mc:AlternateContent>
  <bookViews>
    <workbookView xWindow="0" yWindow="0" windowWidth="28800" windowHeight="13560"/>
  </bookViews>
  <sheets>
    <sheet name="五步法分析（Ⅰ）D4-" sheetId="1" r:id="rId1"/>
    <sheet name="五步法分析（Ⅱ）D4-" sheetId="2" r:id="rId2"/>
    <sheet name="五步法分析（Ⅲ）D4-" sheetId="3" r:id="rId3"/>
    <sheet name="五步法分析（Ⅳ）D4-" sheetId="4" r:id="rId4"/>
    <sheet name="五步法分析（Ⅴ）D4-" sheetId="5" r:id="rId5"/>
    <sheet name="主要责任人与代理人D4-" sheetId="6" r:id="rId6"/>
    <sheet name="知识产权许可D4-" sheetId="7" r:id="rId7"/>
  </sheets>
  <externalReferences>
    <externalReference r:id="rId8"/>
    <externalReference r:id="rId9"/>
    <externalReference r:id="rId10"/>
    <externalReference r:id="rId11"/>
  </externalReferences>
  <definedNames>
    <definedName name="_xlnm._FilterDatabase" hidden="1">#REF!</definedName>
    <definedName name="AFV" localSheetId="0" hidden="1">#REF!</definedName>
    <definedName name="AFV" localSheetId="1" hidden="1">#REF!</definedName>
    <definedName name="AFV" localSheetId="2" hidden="1">#REF!</definedName>
    <definedName name="AFV" localSheetId="3" hidden="1">#REF!</definedName>
    <definedName name="AFV" localSheetId="4" hidden="1">#REF!</definedName>
    <definedName name="AFV" localSheetId="6" hidden="1">#REF!</definedName>
    <definedName name="AFV" hidden="1">#REF!</definedName>
    <definedName name="AS2DocOpenMode" hidden="1">"AS2DocumentEdit"</definedName>
    <definedName name="bs" localSheetId="6" hidden="1">{#N/A,#N/A,FALSE,"BBPREP"}</definedName>
    <definedName name="bs" hidden="1">{#N/A,#N/A,FALSE,"BBPREP"}</definedName>
    <definedName name="bs_1" localSheetId="6" hidden="1">{#N/A,#N/A,FALSE,"BBPREP"}</definedName>
    <definedName name="bs_1" hidden="1">{#N/A,#N/A,FALSE,"BBPREP"}</definedName>
    <definedName name="CCD" localSheetId="0" hidden="1">#REF!</definedName>
    <definedName name="CCD" localSheetId="1" hidden="1">#REF!</definedName>
    <definedName name="CCD" localSheetId="2" hidden="1">#REF!</definedName>
    <definedName name="CCD" localSheetId="3" hidden="1">#REF!</definedName>
    <definedName name="CCD" localSheetId="4" hidden="1">#REF!</definedName>
    <definedName name="CCD" localSheetId="6" hidden="1">#REF!</definedName>
    <definedName name="CCD" hidden="1">#REF!</definedName>
    <definedName name="CDE" localSheetId="0" hidden="1">#REF!</definedName>
    <definedName name="CDE" localSheetId="1" hidden="1">#REF!</definedName>
    <definedName name="CDE" localSheetId="2" hidden="1">#REF!</definedName>
    <definedName name="CDE" localSheetId="3" hidden="1">#REF!</definedName>
    <definedName name="CDE" localSheetId="4" hidden="1">#REF!</definedName>
    <definedName name="CDE" localSheetId="6" hidden="1">#REF!</definedName>
    <definedName name="CDE" hidden="1">#REF!</definedName>
    <definedName name="DEX" localSheetId="0" hidden="1">#REF!</definedName>
    <definedName name="DEX" localSheetId="1" hidden="1">#REF!</definedName>
    <definedName name="DEX" localSheetId="2" hidden="1">#REF!</definedName>
    <definedName name="DEX" localSheetId="3" hidden="1">#REF!</definedName>
    <definedName name="DEX" localSheetId="4" hidden="1">#REF!</definedName>
    <definedName name="DEX" localSheetId="6" hidden="1">#REF!</definedName>
    <definedName name="DEX" hidden="1">#REF!</definedName>
    <definedName name="EDC" localSheetId="0" hidden="1">#REF!</definedName>
    <definedName name="EDC" localSheetId="1" hidden="1">#REF!</definedName>
    <definedName name="EDC" localSheetId="2" hidden="1">#REF!</definedName>
    <definedName name="EDC" localSheetId="3" hidden="1">#REF!</definedName>
    <definedName name="EDC" localSheetId="4" hidden="1">#REF!</definedName>
    <definedName name="EDC" localSheetId="6" hidden="1">#REF!</definedName>
    <definedName name="EDC" hidden="1">#REF!</definedName>
    <definedName name="FAD" localSheetId="0" hidden="1">[1]Breakdown!#REF!</definedName>
    <definedName name="FAD" localSheetId="1" hidden="1">[1]Breakdown!#REF!</definedName>
    <definedName name="FAD" localSheetId="2" hidden="1">[1]Breakdown!#REF!</definedName>
    <definedName name="FAD" localSheetId="3" hidden="1">[1]Breakdown!#REF!</definedName>
    <definedName name="FAD" localSheetId="4" hidden="1">[1]Breakdown!#REF!</definedName>
    <definedName name="FAD" localSheetId="6" hidden="1">[1]Breakdown!#REF!</definedName>
    <definedName name="FAD" hidden="1">[1]Breakdown!#REF!</definedName>
    <definedName name="FASD" localSheetId="0" hidden="1">#REF!</definedName>
    <definedName name="FASD" localSheetId="1" hidden="1">#REF!</definedName>
    <definedName name="FASD" localSheetId="2" hidden="1">#REF!</definedName>
    <definedName name="FASD" localSheetId="3" hidden="1">#REF!</definedName>
    <definedName name="FASD" localSheetId="4" hidden="1">#REF!</definedName>
    <definedName name="FASD" localSheetId="6" hidden="1">#REF!</definedName>
    <definedName name="FASD" hidden="1">#REF!</definedName>
    <definedName name="FEDC" localSheetId="0" hidden="1">'[2]2004'!#REF!</definedName>
    <definedName name="FEDC" localSheetId="1" hidden="1">'[2]2004'!#REF!</definedName>
    <definedName name="FEDC" localSheetId="2" hidden="1">'[2]2004'!#REF!</definedName>
    <definedName name="FEDC" localSheetId="3" hidden="1">'[2]2004'!#REF!</definedName>
    <definedName name="FEDC" localSheetId="4" hidden="1">'[2]2004'!#REF!</definedName>
    <definedName name="FEDC" localSheetId="6" hidden="1">'[2]2004'!#REF!</definedName>
    <definedName name="FEDC" hidden="1">'[2]2004'!#REF!</definedName>
    <definedName name="L" localSheetId="6" hidden="1">{#N/A,#N/A,FALSE,"BBPREP"}</definedName>
    <definedName name="L" hidden="1">{#N/A,#N/A,FALSE,"BBPREP"}</definedName>
    <definedName name="_xlnm.Print_Area" localSheetId="0">'五步法分析（Ⅰ）D4-'!$A$1:$I$45</definedName>
    <definedName name="_xlnm.Print_Area" localSheetId="1">'五步法分析（Ⅱ）D4-'!$A$1:$I$40</definedName>
    <definedName name="_xlnm.Print_Area" localSheetId="2">'五步法分析（Ⅲ）D4-'!$A$1:$I$81</definedName>
    <definedName name="_xlnm.Print_Area" localSheetId="3">'五步法分析（Ⅳ）D4-'!$A$1:$I$102</definedName>
    <definedName name="_xlnm.Print_Area" localSheetId="4">'五步法分析（Ⅴ）D4-'!$A$1:$I$59</definedName>
    <definedName name="_xlnm.Print_Area" localSheetId="5">'主要责任人与代理人D4-'!$A$1:$I$37</definedName>
    <definedName name="RDES" localSheetId="0" hidden="1">#REF!</definedName>
    <definedName name="RDES" localSheetId="1" hidden="1">#REF!</definedName>
    <definedName name="RDES" localSheetId="2" hidden="1">#REF!</definedName>
    <definedName name="RDES" localSheetId="3" hidden="1">#REF!</definedName>
    <definedName name="RDES" localSheetId="4" hidden="1">#REF!</definedName>
    <definedName name="RDES" localSheetId="6" hidden="1">#REF!</definedName>
    <definedName name="RDES" hidden="1">#REF!</definedName>
    <definedName name="s" localSheetId="6" hidden="1">{#N/A,#N/A,FALSE,"BBPREP"}</definedName>
    <definedName name="s" hidden="1">{#N/A,#N/A,FALSE,"BBPREP"}</definedName>
    <definedName name="t" localSheetId="6" hidden="1">{#N/A,#N/A,FALSE,"BBPREP"}</definedName>
    <definedName name="t" hidden="1">{#N/A,#N/A,FALSE,"BBPREP"}</definedName>
    <definedName name="TextRefCopyRangeCount" hidden="1">136</definedName>
    <definedName name="VFE" localSheetId="0" hidden="1">#REF!</definedName>
    <definedName name="VFE" localSheetId="1" hidden="1">#REF!</definedName>
    <definedName name="VFE" localSheetId="2" hidden="1">#REF!</definedName>
    <definedName name="VFE" localSheetId="3" hidden="1">#REF!</definedName>
    <definedName name="VFE" localSheetId="4" hidden="1">#REF!</definedName>
    <definedName name="VFE" localSheetId="6" hidden="1">#REF!</definedName>
    <definedName name="VFE" hidden="1">#REF!</definedName>
    <definedName name="XAP" localSheetId="0" hidden="1">#REF!</definedName>
    <definedName name="XAP" localSheetId="1" hidden="1">#REF!</definedName>
    <definedName name="XAP" localSheetId="2" hidden="1">#REF!</definedName>
    <definedName name="XAP" localSheetId="3" hidden="1">#REF!</definedName>
    <definedName name="XAP" localSheetId="4" hidden="1">#REF!</definedName>
    <definedName name="XAP" localSheetId="6" hidden="1">#REF!</definedName>
    <definedName name="XAP" hidden="1">#REF!</definedName>
    <definedName name="XAQ" localSheetId="0" hidden="1">#REF!</definedName>
    <definedName name="XAQ" localSheetId="1" hidden="1">#REF!</definedName>
    <definedName name="XAQ" localSheetId="2" hidden="1">#REF!</definedName>
    <definedName name="XAQ" localSheetId="3" hidden="1">#REF!</definedName>
    <definedName name="XAQ" localSheetId="4" hidden="1">#REF!</definedName>
    <definedName name="XAQ" localSheetId="6" hidden="1">#REF!</definedName>
    <definedName name="XAQ" hidden="1">#REF!</definedName>
    <definedName name="XCD" localSheetId="0" hidden="1">#REF!</definedName>
    <definedName name="XCD" localSheetId="1" hidden="1">#REF!</definedName>
    <definedName name="XCD" localSheetId="2" hidden="1">#REF!</definedName>
    <definedName name="XCD" localSheetId="3" hidden="1">#REF!</definedName>
    <definedName name="XCD" localSheetId="4" hidden="1">#REF!</definedName>
    <definedName name="XCD" localSheetId="6" hidden="1">#REF!</definedName>
    <definedName name="XCD" hidden="1">#REF!</definedName>
    <definedName name="XREF_COLUMN_1" localSheetId="0" hidden="1">#REF!</definedName>
    <definedName name="XREF_COLUMN_1" localSheetId="1" hidden="1">#REF!</definedName>
    <definedName name="XREF_COLUMN_1" localSheetId="2" hidden="1">#REF!</definedName>
    <definedName name="XREF_COLUMN_1" localSheetId="3" hidden="1">#REF!</definedName>
    <definedName name="XREF_COLUMN_1" localSheetId="4" hidden="1">#REF!</definedName>
    <definedName name="XREF_COLUMN_1" localSheetId="6" hidden="1">#REF!</definedName>
    <definedName name="XREF_COLUMN_1" hidden="1">#REF!</definedName>
    <definedName name="XREF_COLUMN_2" localSheetId="0" hidden="1">[1]Breakdown!#REF!</definedName>
    <definedName name="XREF_COLUMN_2" localSheetId="1" hidden="1">[1]Breakdown!#REF!</definedName>
    <definedName name="XREF_COLUMN_2" localSheetId="2" hidden="1">[1]Breakdown!#REF!</definedName>
    <definedName name="XREF_COLUMN_2" localSheetId="3" hidden="1">[1]Breakdown!#REF!</definedName>
    <definedName name="XREF_COLUMN_2" localSheetId="4" hidden="1">[1]Breakdown!#REF!</definedName>
    <definedName name="XREF_COLUMN_2" localSheetId="6" hidden="1">[1]Breakdown!#REF!</definedName>
    <definedName name="XREF_COLUMN_2" hidden="1">[1]Breakdown!#REF!</definedName>
    <definedName name="XREF_COLUMN_3" localSheetId="0" hidden="1">#REF!</definedName>
    <definedName name="XREF_COLUMN_3" localSheetId="1" hidden="1">#REF!</definedName>
    <definedName name="XREF_COLUMN_3" localSheetId="2" hidden="1">#REF!</definedName>
    <definedName name="XREF_COLUMN_3" localSheetId="3" hidden="1">#REF!</definedName>
    <definedName name="XREF_COLUMN_3" localSheetId="4" hidden="1">#REF!</definedName>
    <definedName name="XREF_COLUMN_3" localSheetId="6" hidden="1">#REF!</definedName>
    <definedName name="XREF_COLUMN_3" hidden="1">#REF!</definedName>
    <definedName name="XREF_COLUMN_5" localSheetId="0" hidden="1">'[2]2004'!#REF!</definedName>
    <definedName name="XREF_COLUMN_5" localSheetId="1" hidden="1">'[2]2004'!#REF!</definedName>
    <definedName name="XREF_COLUMN_5" localSheetId="2" hidden="1">'[2]2004'!#REF!</definedName>
    <definedName name="XREF_COLUMN_5" localSheetId="3" hidden="1">'[2]2004'!#REF!</definedName>
    <definedName name="XREF_COLUMN_5" localSheetId="4" hidden="1">'[2]2004'!#REF!</definedName>
    <definedName name="XREF_COLUMN_5" localSheetId="6" hidden="1">'[2]2004'!#REF!</definedName>
    <definedName name="XREF_COLUMN_5" hidden="1">'[2]2004'!#REF!</definedName>
    <definedName name="XRefActiveRow" localSheetId="0" hidden="1">#REF!</definedName>
    <definedName name="XRefActiveRow" localSheetId="1" hidden="1">#REF!</definedName>
    <definedName name="XRefActiveRow" localSheetId="2" hidden="1">#REF!</definedName>
    <definedName name="XRefActiveRow" localSheetId="3" hidden="1">#REF!</definedName>
    <definedName name="XRefActiveRow" localSheetId="4" hidden="1">#REF!</definedName>
    <definedName name="XRefActiveRow" localSheetId="6" hidden="1">#REF!</definedName>
    <definedName name="XRefActiveRow" hidden="1">#REF!</definedName>
    <definedName name="XRefColumnsCount" hidden="1">2</definedName>
    <definedName name="XRefCopy1" localSheetId="0" hidden="1">#REF!</definedName>
    <definedName name="XRefCopy1" localSheetId="1" hidden="1">#REF!</definedName>
    <definedName name="XRefCopy1" localSheetId="2" hidden="1">#REF!</definedName>
    <definedName name="XRefCopy1" localSheetId="3" hidden="1">#REF!</definedName>
    <definedName name="XRefCopy1" localSheetId="4" hidden="1">#REF!</definedName>
    <definedName name="XRefCopy1" localSheetId="6" hidden="1">#REF!</definedName>
    <definedName name="XRefCopy1" hidden="1">#REF!</definedName>
    <definedName name="XRefCopy1Row" localSheetId="0" hidden="1">#REF!</definedName>
    <definedName name="XRefCopy1Row" localSheetId="1" hidden="1">#REF!</definedName>
    <definedName name="XRefCopy1Row" localSheetId="2" hidden="1">#REF!</definedName>
    <definedName name="XRefCopy1Row" localSheetId="3" hidden="1">#REF!</definedName>
    <definedName name="XRefCopy1Row" localSheetId="4" hidden="1">#REF!</definedName>
    <definedName name="XRefCopy1Row" localSheetId="6" hidden="1">#REF!</definedName>
    <definedName name="XRefCopy1Row" hidden="1">#REF!</definedName>
    <definedName name="XRefCopy2Row" localSheetId="0" hidden="1">#REF!</definedName>
    <definedName name="XRefCopy2Row" localSheetId="1" hidden="1">#REF!</definedName>
    <definedName name="XRefCopy2Row" localSheetId="2" hidden="1">#REF!</definedName>
    <definedName name="XRefCopy2Row" localSheetId="3" hidden="1">#REF!</definedName>
    <definedName name="XRefCopy2Row" localSheetId="4" hidden="1">#REF!</definedName>
    <definedName name="XRefCopy2Row" localSheetId="6" hidden="1">#REF!</definedName>
    <definedName name="XRefCopy2Row" hidden="1">#REF!</definedName>
    <definedName name="XRefCopyRangeCount" hidden="1">2</definedName>
    <definedName name="XRefPaste1" localSheetId="0" hidden="1">#REF!</definedName>
    <definedName name="XRefPaste1" localSheetId="1" hidden="1">#REF!</definedName>
    <definedName name="XRefPaste1" localSheetId="2" hidden="1">#REF!</definedName>
    <definedName name="XRefPaste1" localSheetId="3" hidden="1">#REF!</definedName>
    <definedName name="XRefPaste1" localSheetId="4" hidden="1">#REF!</definedName>
    <definedName name="XRefPaste1" localSheetId="6" hidden="1">#REF!</definedName>
    <definedName name="XRefPaste1" hidden="1">#REF!</definedName>
    <definedName name="XRefPaste1Row" localSheetId="0" hidden="1">#REF!</definedName>
    <definedName name="XRefPaste1Row" localSheetId="1" hidden="1">#REF!</definedName>
    <definedName name="XRefPaste1Row" localSheetId="2" hidden="1">#REF!</definedName>
    <definedName name="XRefPaste1Row" localSheetId="3" hidden="1">#REF!</definedName>
    <definedName name="XRefPaste1Row" localSheetId="4" hidden="1">#REF!</definedName>
    <definedName name="XRefPaste1Row" localSheetId="6" hidden="1">#REF!</definedName>
    <definedName name="XRefPaste1Row" hidden="1">#REF!</definedName>
    <definedName name="XRefPaste2" localSheetId="0" hidden="1">#REF!</definedName>
    <definedName name="XRefPaste2" localSheetId="1" hidden="1">#REF!</definedName>
    <definedName name="XRefPaste2" localSheetId="2" hidden="1">#REF!</definedName>
    <definedName name="XRefPaste2" localSheetId="3" hidden="1">#REF!</definedName>
    <definedName name="XRefPaste2" localSheetId="4" hidden="1">#REF!</definedName>
    <definedName name="XRefPaste2" localSheetId="6" hidden="1">#REF!</definedName>
    <definedName name="XRefPaste2" hidden="1">#REF!</definedName>
    <definedName name="XRefPaste2Row" localSheetId="0" hidden="1">#REF!</definedName>
    <definedName name="XRefPaste2Row" localSheetId="1" hidden="1">#REF!</definedName>
    <definedName name="XRefPaste2Row" localSheetId="2" hidden="1">#REF!</definedName>
    <definedName name="XRefPaste2Row" localSheetId="3" hidden="1">#REF!</definedName>
    <definedName name="XRefPaste2Row" localSheetId="4" hidden="1">#REF!</definedName>
    <definedName name="XRefPaste2Row" localSheetId="6" hidden="1">#REF!</definedName>
    <definedName name="XRefPaste2Row" hidden="1">#REF!</definedName>
    <definedName name="XRefPaste3" localSheetId="0" hidden="1">#REF!</definedName>
    <definedName name="XRefPaste3" localSheetId="1" hidden="1">#REF!</definedName>
    <definedName name="XRefPaste3" localSheetId="2" hidden="1">#REF!</definedName>
    <definedName name="XRefPaste3" localSheetId="3" hidden="1">#REF!</definedName>
    <definedName name="XRefPaste3" localSheetId="4" hidden="1">#REF!</definedName>
    <definedName name="XRefPaste3" localSheetId="6" hidden="1">#REF!</definedName>
    <definedName name="XRefPaste3" hidden="1">#REF!</definedName>
    <definedName name="XRefPaste3Row" localSheetId="0" hidden="1">#REF!</definedName>
    <definedName name="XRefPaste3Row" localSheetId="1" hidden="1">#REF!</definedName>
    <definedName name="XRefPaste3Row" localSheetId="2" hidden="1">#REF!</definedName>
    <definedName name="XRefPaste3Row" localSheetId="3" hidden="1">#REF!</definedName>
    <definedName name="XRefPaste3Row" localSheetId="4" hidden="1">#REF!</definedName>
    <definedName name="XRefPaste3Row" localSheetId="6" hidden="1">#REF!</definedName>
    <definedName name="XRefPaste3Row" hidden="1">#REF!</definedName>
    <definedName name="XRefPasteRangeCount" hidden="1">2</definedName>
    <definedName name="本循环科目" hidden="1">[3]索引!$D$15:$D$76</definedName>
    <definedName name="底稿目录" hidden="1">#REF!</definedName>
    <definedName name="去" localSheetId="0" hidden="1">#REF!</definedName>
    <definedName name="去" localSheetId="1" hidden="1">#REF!</definedName>
    <definedName name="去" localSheetId="2" hidden="1">#REF!</definedName>
    <definedName name="去" localSheetId="3" hidden="1">#REF!</definedName>
    <definedName name="去" localSheetId="4" hidden="1">#REF!</definedName>
    <definedName name="去" localSheetId="6" hidden="1">#REF!</definedName>
    <definedName name="去" hidden="1">#REF!</definedName>
    <definedName name="新目录"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 i="7" l="1"/>
  <c r="F3" i="7"/>
  <c r="F4" i="6"/>
  <c r="F3" i="6"/>
  <c r="F4" i="5"/>
  <c r="F3" i="5"/>
  <c r="F4" i="4"/>
  <c r="F3" i="4"/>
  <c r="F4" i="3"/>
  <c r="F3" i="3"/>
  <c r="F4" i="2"/>
  <c r="F3" i="2"/>
  <c r="F4" i="1"/>
  <c r="F3" i="1"/>
  <c r="D4" i="7"/>
  <c r="D3" i="7"/>
  <c r="D4" i="6"/>
  <c r="D3" i="6"/>
  <c r="D4" i="5"/>
  <c r="D3" i="5"/>
  <c r="D4" i="4"/>
  <c r="D3" i="4"/>
  <c r="D4" i="3"/>
  <c r="D3" i="3"/>
  <c r="D4" i="2"/>
  <c r="D3" i="2"/>
  <c r="D4" i="1"/>
  <c r="D3" i="1"/>
  <c r="A4" i="7"/>
  <c r="A3" i="7"/>
  <c r="A4" i="6"/>
  <c r="A3" i="6"/>
  <c r="A4" i="5"/>
  <c r="A3" i="5"/>
  <c r="A4" i="4"/>
  <c r="A3" i="4"/>
  <c r="A4" i="3"/>
  <c r="A3" i="3"/>
  <c r="A4" i="2"/>
  <c r="A3" i="2"/>
  <c r="A4" i="1"/>
  <c r="A3" i="1"/>
  <c r="C30" i="7" l="1"/>
  <c r="F18" i="7"/>
  <c r="C24" i="7" s="1"/>
  <c r="E36" i="5"/>
  <c r="B37" i="5" s="1"/>
  <c r="E37" i="5" s="1"/>
  <c r="H30" i="5"/>
  <c r="F30" i="5"/>
  <c r="E30" i="5"/>
  <c r="G30" i="5" s="1"/>
  <c r="D30" i="5"/>
  <c r="G28" i="5"/>
  <c r="G27" i="5"/>
  <c r="G26" i="5"/>
  <c r="G25" i="5"/>
  <c r="C15" i="5"/>
  <c r="H96" i="4"/>
  <c r="G96" i="4"/>
  <c r="F96" i="4"/>
  <c r="C88" i="4"/>
  <c r="G80" i="4"/>
  <c r="F80" i="4"/>
  <c r="H79" i="4"/>
  <c r="H78" i="4"/>
  <c r="G77" i="4"/>
  <c r="H77" i="4" s="1"/>
  <c r="G76" i="4"/>
  <c r="H76" i="4" s="1"/>
  <c r="H75" i="4"/>
  <c r="C72" i="4"/>
  <c r="H41" i="4"/>
  <c r="F52" i="4" s="1"/>
  <c r="F62" i="4" s="1"/>
  <c r="E35" i="4"/>
  <c r="H34" i="4"/>
  <c r="H33" i="4"/>
  <c r="H32" i="4"/>
  <c r="H31" i="4"/>
  <c r="F40" i="4" s="1"/>
  <c r="H30" i="4"/>
  <c r="H35" i="4" s="1"/>
  <c r="E25" i="4"/>
  <c r="H24" i="4"/>
  <c r="H23" i="4"/>
  <c r="H22" i="4"/>
  <c r="H21" i="4"/>
  <c r="H20" i="4"/>
  <c r="F39" i="4" s="1"/>
  <c r="H39" i="4" s="1"/>
  <c r="F51" i="3"/>
  <c r="F52" i="3" s="1"/>
  <c r="D46" i="3"/>
  <c r="C28" i="3"/>
  <c r="F23" i="2"/>
  <c r="C24" i="2" s="1"/>
  <c r="C38" i="1"/>
  <c r="C23" i="1"/>
  <c r="H80" i="4" l="1"/>
  <c r="H25" i="4"/>
  <c r="I36" i="5"/>
  <c r="H40" i="4"/>
  <c r="F51" i="4" s="1"/>
  <c r="F44" i="4"/>
  <c r="G42" i="4" s="1"/>
  <c r="B38" i="5"/>
  <c r="E38" i="5" s="1"/>
  <c r="I37" i="5"/>
  <c r="F50" i="4"/>
  <c r="B43" i="5" l="1"/>
  <c r="E43" i="5" s="1"/>
  <c r="G43" i="5" s="1"/>
  <c r="I38" i="5"/>
  <c r="B39" i="5"/>
  <c r="E39" i="5" s="1"/>
  <c r="I39" i="5" s="1"/>
  <c r="F55" i="4"/>
  <c r="G50" i="4" s="1"/>
  <c r="F60" i="4"/>
  <c r="H42" i="4"/>
  <c r="H44" i="4" s="1"/>
  <c r="G44" i="4"/>
  <c r="F61" i="4"/>
  <c r="H50" i="4" l="1"/>
  <c r="G54" i="4"/>
  <c r="H54" i="4" s="1"/>
  <c r="G53" i="4"/>
  <c r="H53" i="4" s="1"/>
  <c r="G52" i="4"/>
  <c r="H52" i="4" s="1"/>
  <c r="F65" i="4"/>
  <c r="G51" i="4"/>
  <c r="H51" i="4" s="1"/>
  <c r="I43" i="5"/>
  <c r="H43" i="5"/>
  <c r="G64" i="4" l="1"/>
  <c r="H64" i="4" s="1"/>
  <c r="G63" i="4"/>
  <c r="H63" i="4" s="1"/>
  <c r="G62" i="4"/>
  <c r="H62" i="4" s="1"/>
  <c r="G61" i="4"/>
  <c r="H61" i="4" s="1"/>
  <c r="H55" i="4"/>
  <c r="G60" i="4"/>
  <c r="G55" i="4"/>
  <c r="H60" i="4" l="1"/>
  <c r="H65" i="4" s="1"/>
  <c r="G65" i="4"/>
</calcChain>
</file>

<file path=xl/sharedStrings.xml><?xml version="1.0" encoding="utf-8"?>
<sst xmlns="http://schemas.openxmlformats.org/spreadsheetml/2006/main" count="746" uniqueCount="538">
  <si>
    <t>五步法分析（一）识别与客户订立的合同</t>
    <phoneticPr fontId="7" type="noConversion"/>
  </si>
  <si>
    <t>页次：</t>
    <phoneticPr fontId="7" type="noConversion"/>
  </si>
  <si>
    <t>评价合同是否成立，合同合并的处理是否正确（若适用），合同变更的会计处理是否正确（若涉及）。</t>
    <phoneticPr fontId="7" type="noConversion"/>
  </si>
  <si>
    <t>1.合同成立的条件</t>
    <phoneticPr fontId="7" type="noConversion"/>
  </si>
  <si>
    <t>合同成立的条件（需同时满足）</t>
    <phoneticPr fontId="7" type="noConversion"/>
  </si>
  <si>
    <t>说明</t>
    <phoneticPr fontId="7" type="noConversion"/>
  </si>
  <si>
    <t>注意事项</t>
    <phoneticPr fontId="7" type="noConversion"/>
  </si>
  <si>
    <t>审计证据及合同分析</t>
    <phoneticPr fontId="7" type="noConversion"/>
  </si>
  <si>
    <t>索引</t>
    <phoneticPr fontId="7" type="noConversion"/>
  </si>
  <si>
    <t>（1）合同各方已批准该合同并承诺将履行各自义务</t>
  </si>
  <si>
    <t>交易是否经过了合同各方的内部审批流程，是否合法有效</t>
  </si>
  <si>
    <t>（2）该合同明确了合同各方与所转让商品或提供劳务相关的权利和义务</t>
  </si>
  <si>
    <t>合同约定的权利和义务是否具有法律约束力</t>
    <phoneticPr fontId="7" type="noConversion"/>
  </si>
  <si>
    <t>各方的权利是否与一般商业惯例一致</t>
  </si>
  <si>
    <t>（3）该合同有明确的与所转让商品或提供劳务相关的支付条款</t>
  </si>
  <si>
    <t>支付条款是否与一般商业惯例及合同各方实务惯例一致</t>
  </si>
  <si>
    <t>（4）该合同具有商业实质</t>
  </si>
  <si>
    <t>即履行该合同将改变企业未来现金流量的风险、时间分布或金额</t>
  </si>
  <si>
    <t>没有商业实质的非货币性资产交换，不确认收入</t>
  </si>
  <si>
    <t>（5）企业因向客户转让商品或提供劳务而有权取得的对价很可能收回</t>
  </si>
  <si>
    <t>考虑客户支付对价金额的财务能力和支付对价的意图</t>
  </si>
  <si>
    <t>信用风险不影响收入金额的计量</t>
  </si>
  <si>
    <t>在后续期间，客户的信用风险显著升高，企业需要评估其在未来向客户转让剩余商品而有权取得的对价是否很可能收回，如果不能满足很可能收回的条件，则该合同自此开始不再满足合同成立的相关条件，应当停止确认收入（但是，不应调整此前已经确认的收入）。</t>
    <phoneticPr fontId="7" type="noConversion"/>
  </si>
  <si>
    <t>结 论</t>
    <phoneticPr fontId="7" type="noConversion"/>
  </si>
  <si>
    <t>注：在合同开始日（通常是指合同生效日）进行评估。有迹象表明相关事实和情况发生重大变化的（如客户的信用风险显著升高），重新进行评估。</t>
    <phoneticPr fontId="7" type="noConversion"/>
  </si>
  <si>
    <t>2.合同不成立（不能同时满足合同成立的5项条件）</t>
    <phoneticPr fontId="7" type="noConversion"/>
  </si>
  <si>
    <t>是否适用</t>
    <phoneticPr fontId="7" type="noConversion"/>
  </si>
  <si>
    <t>是</t>
  </si>
  <si>
    <t>项目</t>
    <phoneticPr fontId="7" type="noConversion"/>
  </si>
  <si>
    <t>说明</t>
  </si>
  <si>
    <t>分析</t>
    <phoneticPr fontId="7" type="noConversion"/>
  </si>
  <si>
    <t>审计证据</t>
    <phoneticPr fontId="7" type="noConversion"/>
  </si>
  <si>
    <t>索引</t>
    <phoneticPr fontId="7" type="noConversion"/>
  </si>
  <si>
    <t>（1.1）是否不再负有向客户转让商品的剩余义务？</t>
    <phoneticPr fontId="7" type="noConversion"/>
  </si>
  <si>
    <t>例如，合同已完成或取消</t>
    <phoneticPr fontId="7" type="noConversion"/>
  </si>
  <si>
    <t>撤销协议</t>
    <phoneticPr fontId="7" type="noConversion"/>
  </si>
  <si>
    <t>（1.2）己向客户收取的对价无需退回？</t>
    <phoneticPr fontId="7" type="noConversion"/>
  </si>
  <si>
    <t>包括全部或部分对价</t>
    <phoneticPr fontId="7" type="noConversion"/>
  </si>
  <si>
    <t>否</t>
  </si>
  <si>
    <t>撤销协议、往来询证函</t>
    <phoneticPr fontId="7" type="noConversion"/>
  </si>
  <si>
    <t>（2）合同已终止且客户支付的对价无需退回？</t>
    <phoneticPr fontId="7" type="noConversion"/>
  </si>
  <si>
    <t>当主体停止向客户转让已承诺的商品或服务时，合同即被终止</t>
    <phoneticPr fontId="7" type="noConversion"/>
  </si>
  <si>
    <t>终止协议、往来询证函</t>
    <phoneticPr fontId="7" type="noConversion"/>
  </si>
  <si>
    <t>企业向客户收取无需退回的对价的，应当在已经将该部分对价所对应的商品的控制权转移给客户，并且已经停止向客户转让额外的商品，也不再负有此类义务时；或者，相关合同已经终止时，将该部分对价确认为收入。</t>
    <phoneticPr fontId="7" type="noConversion"/>
  </si>
  <si>
    <t>3.合同的合并</t>
    <phoneticPr fontId="7" type="noConversion"/>
  </si>
  <si>
    <t>条件</t>
  </si>
  <si>
    <t>注意事项</t>
  </si>
  <si>
    <t>合同分析</t>
    <phoneticPr fontId="7" type="noConversion"/>
  </si>
  <si>
    <t>与同一客户（或该客户的关联方）同时订立或在相近时间内先后订立的两份或多份合同</t>
  </si>
  <si>
    <t>这些安排是同时或者在考虑了彼此影响的情况下订立的</t>
  </si>
  <si>
    <t>在对合同的一部分进行会计处理时，会优先采用更为具体的准则</t>
  </si>
  <si>
    <t>满足条件之一时</t>
  </si>
  <si>
    <t>（1）该两份或多份合同基于同一商业目的而订立并构成一揽子交易</t>
  </si>
  <si>
    <t>这些安排整体才能达成一项完整的商业结果</t>
  </si>
  <si>
    <t>（2）该两份或多份合同中的一份合同的对价金额取决于其他合同的定价或履行情况</t>
  </si>
  <si>
    <t>一项安排的发生或定价取决于其他至少一项安排的发生或定价</t>
  </si>
  <si>
    <t>（3）该两份或多份合同中所承诺的商品或服务（或每份合同中所承诺的部分商品或服务）构成单项履约义务</t>
  </si>
  <si>
    <t>履约义务，是指合同中企业向客户转让可明确区分商品的承诺</t>
  </si>
  <si>
    <t>本身能够明确区分及在基于相关合同进行考虑时可明确区分</t>
  </si>
  <si>
    <t>4.合同变更（经合同各方批准对原合同范围或价格作出的变更）</t>
    <phoneticPr fontId="7" type="noConversion"/>
  </si>
  <si>
    <t>（1.1）合同变更增加了可明确区分的商品及合同价款？</t>
    <phoneticPr fontId="7" type="noConversion"/>
  </si>
  <si>
    <t>可明确区分：客户能够从该商品本身或从该商品与其他易于获得资源一起使用中受益；与合同中其他承诺可单独区分</t>
    <phoneticPr fontId="7" type="noConversion"/>
  </si>
  <si>
    <t>补充协议/合同变更单</t>
    <phoneticPr fontId="7" type="noConversion"/>
  </si>
  <si>
    <t>（1.2）新增合同价款反映了新增商品单独售价？</t>
    <phoneticPr fontId="7" type="noConversion"/>
  </si>
  <si>
    <t>应当考虑为反映该特定合同的具体情况而对新增商品价格所做的适当调整</t>
    <phoneticPr fontId="7" type="noConversion"/>
  </si>
  <si>
    <t>补充协议/合同变更单</t>
    <phoneticPr fontId="7" type="noConversion"/>
  </si>
  <si>
    <t>（2）在合同变更日已转让的商品或已提供的服务与未转让的商品或未提供的服务之间可明确区分？</t>
    <phoneticPr fontId="7" type="noConversion"/>
  </si>
  <si>
    <t>未转让的商品既包括原合同中尚未转让的商品，也包括合同变更新增的商品</t>
    <phoneticPr fontId="7" type="noConversion"/>
  </si>
  <si>
    <t>注：合同各方巳批准合同范围变更，但尚未确定相应价格变动的，企业应当按照收入准则有关可变对价的规定对合同变更所导致的交易价格变动进行估计。</t>
    <phoneticPr fontId="7" type="noConversion"/>
  </si>
  <si>
    <t>五步法分析（二）识别合同中的单项履约义务</t>
    <phoneticPr fontId="7" type="noConversion"/>
  </si>
  <si>
    <t>合同中的单项履约义务是否正确识别。</t>
    <phoneticPr fontId="7" type="noConversion"/>
  </si>
  <si>
    <t>1.可明确区分的商品或服务</t>
    <phoneticPr fontId="7" type="noConversion"/>
  </si>
  <si>
    <t>条件（需同时满足）</t>
    <phoneticPr fontId="7" type="noConversion"/>
  </si>
  <si>
    <t>说明</t>
    <phoneticPr fontId="7" type="noConversion"/>
  </si>
  <si>
    <t>注意事项</t>
    <phoneticPr fontId="7" type="noConversion"/>
  </si>
  <si>
    <t>审计证据及合同分析</t>
    <phoneticPr fontId="7" type="noConversion"/>
  </si>
  <si>
    <t>索引</t>
    <phoneticPr fontId="7" type="noConversion"/>
  </si>
  <si>
    <t>（1）客户能够从该商品或服务本身或从该商品或服务与其他易于获得资源一起使用中受益</t>
    <phoneticPr fontId="7" type="noConversion"/>
  </si>
  <si>
    <t>当客户能够使用、消耗或以高于残值的价格出售商品，或者以能够产生经济利益的其他方式持有商品时，表明客户能够从该商品本身获益。
主体经常单独出售某项商品或服务这一事实可能表明客户能够从单独使用该商品或服务、或将其与易于获得的其他资源一起使用中获益</t>
    <phoneticPr fontId="7" type="noConversion"/>
  </si>
  <si>
    <t>易于获得的资源是指（由主体或另一主体）单独出售的商品或服务、或是客户已从主体取得的（包括主体根据该合同已向客户转让的商品或服务）或来自其他交易或事项的资源。</t>
    <phoneticPr fontId="7" type="noConversion"/>
  </si>
  <si>
    <t>在评估某项商品是否能够明确区分时，应当基于该商品自身的特征，而与客户可能使用该商品的方式无关。因此，企业无需考虑合同中可能存在的阻止客户从其他来源取得相关资源的限制性条款。</t>
    <phoneticPr fontId="7" type="noConversion"/>
  </si>
  <si>
    <t>（2）企业向客户转让该商品或服务的承诺与合同中其他承诺可单独区分</t>
    <phoneticPr fontId="7" type="noConversion"/>
  </si>
  <si>
    <t>即，在基于相关合同进行考虑时该商品或服务可明确区分（distinct）。
在基于合同进行考虑时商品或服务可明确区分表明其具备“单独风险”的特征</t>
    <phoneticPr fontId="7" type="noConversion"/>
  </si>
  <si>
    <t>旨在基于合同考虑时，确定该承诺的性质是单独转让每一项商品或服务、还是转让以已承诺商品或服务作为投入要素而形成的一个或多个组合项目。</t>
    <phoneticPr fontId="7" type="noConversion"/>
  </si>
  <si>
    <t>表明不可单独区分的情形如下所示</t>
    <phoneticPr fontId="7" type="noConversion"/>
  </si>
  <si>
    <t>表明不可单独区分的情形</t>
    <phoneticPr fontId="7" type="noConversion"/>
  </si>
  <si>
    <t>①企业需提供重大的服务以将该商品或服务与合同中承诺的其他商品或服务整合成合同约定的组合产出转让给客户</t>
    <phoneticPr fontId="7" type="noConversion"/>
  </si>
  <si>
    <t>主体以这些商品或服务作为投入要素，生产或交付客户所要求的一项或多项组合产出。一项或多项组合产出可包括不止一个阶段、要素或单元。</t>
    <phoneticPr fontId="7" type="noConversion"/>
  </si>
  <si>
    <t>主体转让商品或服务的承诺将产生一个组合项目，而该组合项目大于（或在实质上不同于）已承诺的单个商品或服务加总后的结果。
主体应当评价在履行合同过程中两个项目之间是否存在转化关系（transformative relationship），而不是考虑某个项目从其本身性质来看是否依赖另一项目（即，两个项目之间是否存在功能关系）</t>
    <phoneticPr fontId="7" type="noConversion"/>
  </si>
  <si>
    <t>②该商品或服务将对合同中承诺的其他商品或服务予以重大修改或定制</t>
    <phoneticPr fontId="7" type="noConversion"/>
  </si>
  <si>
    <t>对其他商品或服务作出重大修改或定制，或因其他商品或服务而作出重大修改或定制。</t>
    <phoneticPr fontId="7" type="noConversion"/>
  </si>
  <si>
    <t>③该商品或服务与合同中承诺的其他商品或服务具有高度关联性</t>
    <phoneticPr fontId="7" type="noConversion"/>
  </si>
  <si>
    <t>每一项商品或服务均在很大程度上受合同中其他一项或多项商品或服务的影响，从而导致客户无法在不对合同承诺的其他商品或服务造成重大影响的情况下选择购买其中某一项商品或服务。</t>
    <phoneticPr fontId="7" type="noConversion"/>
  </si>
  <si>
    <t>注：在合同开始日进行评估。如果在合同订立时，客户根据隐含的承诺（如企业已公开宣布的政策、特定声明或以往的习惯做法等）能够</t>
    <phoneticPr fontId="7" type="noConversion"/>
  </si>
  <si>
    <t>对企业将向其转让某项商品形成合理的预期，则在识别单项履约义务时，应当考虑此类隐含的承诺（如免费保养/维修服务、免费升级服务等）。</t>
    <phoneticPr fontId="7" type="noConversion"/>
  </si>
  <si>
    <t>2.运输服务是否构成单项履约义务</t>
    <phoneticPr fontId="7" type="noConversion"/>
  </si>
  <si>
    <t>情形</t>
    <phoneticPr fontId="7" type="noConversion"/>
  </si>
  <si>
    <t>审计证据</t>
    <phoneticPr fontId="7" type="noConversion"/>
  </si>
  <si>
    <t>参考《收入准则应用案例——运输服务》</t>
    <phoneticPr fontId="7" type="noConversion"/>
  </si>
  <si>
    <t>销售产品属于在某一时点履行的履约义务，且控制权在出库时转移给客户</t>
    <phoneticPr fontId="7" type="noConversion"/>
  </si>
  <si>
    <t>控制权转移给客户之后发生的运输活动则可能表明企业向客户提供了一项运输服务，企业应当考虑该项服务是否构成单项履约义务。</t>
    <phoneticPr fontId="7" type="noConversion"/>
  </si>
  <si>
    <t>销售产品属于在某一时点履行的履约义务，且控制权在送达客户指定地点时转移给客户</t>
    <phoneticPr fontId="7" type="noConversion"/>
  </si>
  <si>
    <t>通常情况下，控制权转移给客户之前发生的运输活动不构成单项履约义务，而只是企业为了履行合同而从事的活动，相关成本应当作为合同履约成本</t>
    <phoneticPr fontId="7" type="noConversion"/>
  </si>
  <si>
    <t>注：根据收入准则规定确认为资产的合同履约成本，初始确认时摊销期限不超过一年或一个正常营业周期的，在资产负债表中计入“存货”项目；</t>
    <phoneticPr fontId="7" type="noConversion"/>
  </si>
  <si>
    <t>初始确认时摊销期限在一年或一个正常营业周期以上的，在资产负债表中计入“其他非流动资产”项目。</t>
    <phoneticPr fontId="7" type="noConversion"/>
  </si>
  <si>
    <t>3.一系列实质相同且转让模式相同的商品或服务</t>
    <phoneticPr fontId="7" type="noConversion"/>
  </si>
  <si>
    <t>是否适用</t>
    <phoneticPr fontId="7" type="noConversion"/>
  </si>
  <si>
    <t>条件（需同时满足）</t>
    <phoneticPr fontId="7" type="noConversion"/>
  </si>
  <si>
    <t>说明</t>
    <phoneticPr fontId="7" type="noConversion"/>
  </si>
  <si>
    <t>注意事项</t>
    <phoneticPr fontId="7" type="noConversion"/>
  </si>
  <si>
    <t>审计证据及合同分析</t>
    <phoneticPr fontId="7" type="noConversion"/>
  </si>
  <si>
    <t>（1）每项承诺实质上是相同的</t>
    <phoneticPr fontId="7" type="noConversion"/>
  </si>
  <si>
    <t>如果承诺的性质是提供特定数量的服务，评估时应当考虑每项服务是否可明确区分且实质上相同。
如果企业承诺的性质是准备好或在一段时间内提供单一服务，评估时应当考虑每个时间增量而非潜在的活动是否可明确区分且实质上相同。</t>
  </si>
  <si>
    <t>例如，企业与客户签订2年的合同，每月向客户提供工资核算服务，共计24次，由于企业提供服务的次数是确定的，在判断每月的服务是否实质相同时，应当考虑每次提供的具体服务是否相同。
例如，企业向客户提供2年的酒店管理服务，具体包括保洁、维修、安保等，但没有具体的服务次数或时间的要求，尽管企业每天提供的具体服务不一定相同，但是企业每天对于客户的承诺都是相同的，即按照约定的酒店管理标准，随时准备根据需要为其提供相关服务。</t>
    <phoneticPr fontId="7" type="noConversion"/>
  </si>
  <si>
    <t>（2）每项承诺转让模式相同</t>
    <phoneticPr fontId="7" type="noConversion"/>
  </si>
  <si>
    <t>例如重复性服务合同（保洁合同、交易处理或供电合同）</t>
    <phoneticPr fontId="7" type="noConversion"/>
  </si>
  <si>
    <t>是指每一项可明确区分商品均满足收入准则第十一条规定的、在某一时段内履行履约义务的条件，且采用相同方法确定其履约进度</t>
    <phoneticPr fontId="7" type="noConversion"/>
  </si>
  <si>
    <t>（3）每项承诺均满足在某一时段内履行履约义务的条件</t>
    <phoneticPr fontId="7" type="noConversion"/>
  </si>
  <si>
    <t>适用于连续提供（而非同时提供） 的商品或服务</t>
    <phoneticPr fontId="7" type="noConversion"/>
  </si>
  <si>
    <t>（4）采用相同方法确定每项承诺的履约进度</t>
    <phoneticPr fontId="7" type="noConversion"/>
  </si>
  <si>
    <t>注：企业向客户转让一系列实质相同且转让模式相同的、可明确区分商品的承诺，应当作为单项履约义务。</t>
    <phoneticPr fontId="7" type="noConversion"/>
  </si>
  <si>
    <t>履约义务，是指合同中企业向客户转让可明确区分商品的承诺。履约义务既包括合同中明确的承诺，也包括由于企业已公开宣布的政策、</t>
    <phoneticPr fontId="7" type="noConversion"/>
  </si>
  <si>
    <t>特定声明或以往的习惯做法等导致合同订立时客户合理预期企业将履行的承诺。</t>
    <phoneticPr fontId="7" type="noConversion"/>
  </si>
  <si>
    <t>企业为履行合同而应开展的初始活动，通常不构成履约义务，除非该活动向客户转让了承诺的商品。</t>
    <phoneticPr fontId="7" type="noConversion"/>
  </si>
  <si>
    <t>五步法分析（三）确定交易价格</t>
    <phoneticPr fontId="7" type="noConversion"/>
  </si>
  <si>
    <t>确定交易价格——企业因向客户转让商品而预期有权收取的对价金额，是否正确。</t>
    <phoneticPr fontId="7" type="noConversion"/>
  </si>
  <si>
    <t>1.1 可变对价</t>
    <phoneticPr fontId="7" type="noConversion"/>
  </si>
  <si>
    <t>项目</t>
    <phoneticPr fontId="7" type="noConversion"/>
  </si>
  <si>
    <t>说明</t>
    <phoneticPr fontId="7" type="noConversion"/>
  </si>
  <si>
    <t>注意事项</t>
    <phoneticPr fontId="7" type="noConversion"/>
  </si>
  <si>
    <t>（1）合同所承诺的对价包括可变金额</t>
    <phoneticPr fontId="7" type="noConversion"/>
  </si>
  <si>
    <t>对价金额可能因折扣、回扣、退款、抵免、价格折让、激励措施、业绩奖金、罚款、索赔或其他类似项目而改变</t>
    <phoneticPr fontId="7" type="noConversion"/>
  </si>
  <si>
    <t>企业有权收取的对价金额，将根据一项或多项或有事项的发生有所不同的情况，也属于可变对价的情形，如产品销售附带退货权</t>
    <phoneticPr fontId="7" type="noConversion"/>
  </si>
  <si>
    <t>（2）根据企业已公开宣布的政策、特定声明或者以往的习惯做法等，客户能够合理预期企业将会接受低于合同约定的对价金额</t>
    <phoneticPr fontId="7" type="noConversion"/>
  </si>
  <si>
    <t>即企业会以折扣、返利等形式提供价格折让</t>
    <phoneticPr fontId="7" type="noConversion"/>
  </si>
  <si>
    <t>（3）其他相关事实和情况表明，企业在与客户签订合同时即打算向客户提供价格折让</t>
    <phoneticPr fontId="7" type="noConversion"/>
  </si>
  <si>
    <t>例如，企业与一新客户签订合同，虽然企业没有对该客户销售给予折扣的历史经验，但是，根据企业拓展客户关系的战略安排，企业愿意接受低于合同约定的价格</t>
    <phoneticPr fontId="7" type="noConversion"/>
  </si>
  <si>
    <t>可变对价最佳估计数的确定</t>
    <phoneticPr fontId="7" type="noConversion"/>
  </si>
  <si>
    <t>（1）期望值（一系列可能发生的对价金额的概率加权金额的总和）</t>
    <phoneticPr fontId="7" type="noConversion"/>
  </si>
  <si>
    <t>如果企业拥有大量具有类似特征的合同，企业据此估计合同可能产生多个结果时，按照期望值估计可变对价金额通常是恰当的。</t>
    <phoneticPr fontId="7" type="noConversion"/>
  </si>
  <si>
    <t>并非一项“自由选择”，具体取决于主体预计哪一种方法能更好地预测其有权获得的对价金额。
通常情况下，企业在估计可变对价金额时使用的信息，应当与其在对相关商品进行投标或定价时所使用的信息一致。</t>
    <phoneticPr fontId="7" type="noConversion"/>
  </si>
  <si>
    <t>（2）最可能发生金额（一系列可能发生的对价金额中最可能发生的单一金额，即合同最可能产生的单一结果）</t>
    <phoneticPr fontId="7" type="noConversion"/>
  </si>
  <si>
    <t>当合同仅有两个可能结果(例如，企业能够达到或不能达到某业绩奖金目标)时，按照最可能发生金额估计可变对价金额可能是恰当的。</t>
    <phoneticPr fontId="7" type="noConversion"/>
  </si>
  <si>
    <t>可变对价估计的限制</t>
    <phoneticPr fontId="7" type="noConversion"/>
  </si>
  <si>
    <t>包含可变对价的交易价格，应当不超过在相关不确定性消除时累计已确认收入极可能不会发生重大转回的金额</t>
    <phoneticPr fontId="7" type="noConversion"/>
  </si>
  <si>
    <t>应当同时考虑收入转回的可能性及转回金额的比重。
应当评估可能发生的收入转回金额相对于合同总对价（包括固定对价和可变对价）而言的比重</t>
    <phoneticPr fontId="7" type="noConversion"/>
  </si>
  <si>
    <t>“极可能”是一个比较高的门槛，其发生的概率应远高于“很可能（即，可能性超过50%）”，但不要求达到“基本确定（即，可能性超过95%）”</t>
    <phoneticPr fontId="7" type="noConversion"/>
  </si>
  <si>
    <t>详见下述1.2</t>
    <phoneticPr fontId="7" type="noConversion"/>
  </si>
  <si>
    <t>将可变对价计入交易价格的限制条件不适用于企业向客户授予知识产权许可并约定按客户实际销售或使用情况收取特许权使用费的情况。</t>
    <phoneticPr fontId="7" type="noConversion"/>
  </si>
  <si>
    <t>结 论</t>
    <phoneticPr fontId="7" type="noConversion"/>
  </si>
  <si>
    <t>1.2 导致收入转回的可能性增强或转回金额比重增加的因素</t>
    <phoneticPr fontId="7" type="noConversion"/>
  </si>
  <si>
    <t>情形</t>
    <phoneticPr fontId="7" type="noConversion"/>
  </si>
  <si>
    <t>分析</t>
    <phoneticPr fontId="7" type="noConversion"/>
  </si>
  <si>
    <t>审计证据</t>
    <phoneticPr fontId="7" type="noConversion"/>
  </si>
  <si>
    <t>索引</t>
    <phoneticPr fontId="7" type="noConversion"/>
  </si>
  <si>
    <t>（1）对价金额极易受到企业影响范围之外的因素影响</t>
    <phoneticPr fontId="7" type="noConversion"/>
  </si>
  <si>
    <t>例如市场波动性、第三方的判断或行动、天气状况、已承诺商品存在较高的陈旧过时风险等</t>
    <phoneticPr fontId="7" type="noConversion"/>
  </si>
  <si>
    <t>（2）对价金额的不确定性预计在较长时期内无法消除</t>
    <phoneticPr fontId="7" type="noConversion"/>
  </si>
  <si>
    <t>（3）企业对类似合同的经验（或其他证据）有限，或者相关经验（或其他证据）的预测价值有限</t>
    <phoneticPr fontId="7" type="noConversion"/>
  </si>
  <si>
    <t>（4）企业在以往实务中对于类似情况下的类似合同，或曾提供了多种不同程度的价格折扣，或曾给予不同的付款条件</t>
    <phoneticPr fontId="7" type="noConversion"/>
  </si>
  <si>
    <t>（5）合同有多种可能的对价金额，且这些对价金额分布非常广泛</t>
    <phoneticPr fontId="7" type="noConversion"/>
  </si>
  <si>
    <t>注：每一资产负债表日，企业应当重新估计可变对价金额（包括重新评估对可变对价的估计是否受到限制），以如实反映报告期末存在的情况</t>
    <phoneticPr fontId="7" type="noConversion"/>
  </si>
  <si>
    <t>以及报告期内发生的情况变化。</t>
    <phoneticPr fontId="7" type="noConversion"/>
  </si>
  <si>
    <t>2.1 重大融资成分</t>
    <phoneticPr fontId="7" type="noConversion"/>
  </si>
  <si>
    <t>各方以在合同中明确（或者以隐含的方式）约定的付款时间为客户或企业就转让商品的交易提供了重大融资利益</t>
    <phoneticPr fontId="7" type="noConversion"/>
  </si>
  <si>
    <t>在确定交易价格时，应当对己承诺的对价金额作出调整，以剔除货币时间价值的影响。</t>
    <phoneticPr fontId="7" type="noConversion"/>
  </si>
  <si>
    <t>应当按照假定客户在取得商品控制权时即以现金支付的应付金额（即，现销价格）确定交易价格</t>
    <phoneticPr fontId="7" type="noConversion"/>
  </si>
  <si>
    <t>（1）已承诺的对价金额与已承诺商品的现销价格之间的差额</t>
    <phoneticPr fontId="7" type="noConversion"/>
  </si>
  <si>
    <t>如果企业（或其他企业）在销售相同商品时，不同的付款时间会导致销售价格有所差别，则通常表明各方知晓合同中包含了融资成分</t>
    <phoneticPr fontId="7" type="noConversion"/>
  </si>
  <si>
    <t>（2）企业将承诺的商品转让给客户与客户支付相关款项之间的预计时间间隔和相应的市场现行利率的共同影响</t>
    <phoneticPr fontId="7" type="noConversion"/>
  </si>
  <si>
    <t>尽管向客户转让商品与客户支付相关款项之间的时间间隔并非决定性因素，但是，该时间间隔与现行利率两者的共同影响可能提供了是否存在重大融资利益的明显迹象</t>
    <phoneticPr fontId="7" type="noConversion"/>
  </si>
  <si>
    <t>如果在合同开始日，企业预计客户取得商品控制权与客户支付价款间隔不超过一年的，可以不考虑合同中存在的重大融资成分</t>
    <phoneticPr fontId="7" type="noConversion"/>
  </si>
  <si>
    <t>企业应当对类似情形下的类似合同一致地应用一简化处理方法</t>
    <phoneticPr fontId="7" type="noConversion"/>
  </si>
  <si>
    <t>表明不包含重大融资成分的因素（任一）</t>
    <phoneticPr fontId="7" type="noConversion"/>
  </si>
  <si>
    <t>（1）客户就商品支付了预付款，且可以自行决定这些商品的转让时间</t>
    <phoneticPr fontId="7" type="noConversion"/>
  </si>
  <si>
    <t>例如，企业向客户出售其发行的储值卡，客户可随时到该企业持卡购物；再如，企业向客户授予奖励积分，客户可随时到该企业兑换这些积分等</t>
    <phoneticPr fontId="7" type="noConversion"/>
  </si>
  <si>
    <t>（2）客户承诺支付的对价中有相当大的部分是可变的，该对价金额或付款时间取决于某一未来事项是否发生，且该事项实质上不受客户或企业控制</t>
    <phoneticPr fontId="7" type="noConversion"/>
  </si>
  <si>
    <t>例如，按照实际销售量收取的特许权使用费</t>
    <phoneticPr fontId="7" type="noConversion"/>
  </si>
  <si>
    <t>此类付款条款的主要目的可能是就商品或服务的价值向各方提供保证，而非为客户提供重大融资。</t>
    <phoneticPr fontId="7" type="noConversion"/>
  </si>
  <si>
    <t>（3）合同承诺的对价金额与现销价格之间的差额是由于向客户或企业提供融资利益以外的其他原因所导致的，且这一差额与产生该差额的原因是相称的</t>
    <phoneticPr fontId="7" type="noConversion"/>
  </si>
  <si>
    <t>例如，合同约定的支付条款是为了向企业或客户提供保护，以防止另一方未能依照合同充分履行其部分或全部义务</t>
    <phoneticPr fontId="7" type="noConversion"/>
  </si>
  <si>
    <t>此类付款条款的主要目的可能是就主体将依照合同圆满完成其履约义务向客户提供保证，而非向客户或主体提供融资。</t>
    <phoneticPr fontId="7" type="noConversion"/>
  </si>
  <si>
    <t>2.2 重大融资成分的折现率</t>
    <phoneticPr fontId="7" type="noConversion"/>
  </si>
  <si>
    <t>是否适用</t>
    <phoneticPr fontId="7" type="noConversion"/>
  </si>
  <si>
    <t>情形</t>
    <phoneticPr fontId="7" type="noConversion"/>
  </si>
  <si>
    <t>折现率</t>
    <phoneticPr fontId="7" type="noConversion"/>
  </si>
  <si>
    <t>现销价格</t>
    <phoneticPr fontId="7" type="noConversion"/>
  </si>
  <si>
    <t>合同名义金额</t>
    <phoneticPr fontId="7" type="noConversion"/>
  </si>
  <si>
    <t>时间差（年）</t>
    <phoneticPr fontId="7" type="noConversion"/>
  </si>
  <si>
    <t>（1）使用主体与客户在合同开始时进行的单独融资交易所反映的折现率。</t>
    <phoneticPr fontId="7" type="noConversion"/>
  </si>
  <si>
    <t>该折现率反映合同中取得融资一方的信用特征以及客户或主体提供的担保品或抵押（包括合同所转让的资产）</t>
    <phoneticPr fontId="7" type="noConversion"/>
  </si>
  <si>
    <t>（2）使用将合同对价的名义金额折现为商品现销价格的折现率——内含利率</t>
    <phoneticPr fontId="7" type="noConversion"/>
  </si>
  <si>
    <t>CAS下为简化处理，指南建议先以现销价格确定收入金额，再将该金额与合同对价金额的差异作为融资成分处理。</t>
    <phoneticPr fontId="7" type="noConversion"/>
  </si>
  <si>
    <t>现销价格与合同承诺的对价金额之间的差额，在合同期间内采用实际利率法摊销</t>
    <phoneticPr fontId="7" type="noConversion"/>
  </si>
  <si>
    <t>XX合同</t>
    <phoneticPr fontId="7" type="noConversion"/>
  </si>
  <si>
    <t>索引</t>
    <phoneticPr fontId="7" type="noConversion"/>
  </si>
  <si>
    <t>合同资产（或应收款项）/合同负债</t>
    <phoneticPr fontId="7" type="noConversion"/>
  </si>
  <si>
    <t>期初余额</t>
    <phoneticPr fontId="7" type="noConversion"/>
  </si>
  <si>
    <t>只有在确认了合同资产(或应收款项)和合同负债时，才应当分别确认相应的利息收入和利息支出</t>
    <phoneticPr fontId="7" type="noConversion"/>
  </si>
  <si>
    <t>折现率</t>
    <phoneticPr fontId="7" type="noConversion"/>
  </si>
  <si>
    <t>利息收入/利息支出</t>
    <phoneticPr fontId="7" type="noConversion"/>
  </si>
  <si>
    <t>第一年</t>
    <phoneticPr fontId="7" type="noConversion"/>
  </si>
  <si>
    <t>企业在编制利润表时，应当将合同中存在的重大融资成分的影响(即，利息收入和利息支出)与按照本准则确认的收入区分开来，分别列示</t>
    <phoneticPr fontId="7" type="noConversion"/>
  </si>
  <si>
    <t>第二年</t>
    <phoneticPr fontId="7" type="noConversion"/>
  </si>
  <si>
    <t>注：在合同开始后，主体不应就利率或其他情况（如，客户的信用风险评估结果）的变化更新折现率。</t>
    <phoneticPr fontId="7" type="noConversion"/>
  </si>
  <si>
    <t>3.代第三方收取的款项</t>
    <phoneticPr fontId="7" type="noConversion"/>
  </si>
  <si>
    <t>增值税</t>
    <phoneticPr fontId="7" type="noConversion"/>
  </si>
  <si>
    <t>公司销售储值卡收取的款项中，仅商品价款部分代表公司已收客户对价而应向客户转让商品的义务，应当确认合同负债，其中增值税部分，因不符合合同负债的定义，不应确认为合同负债</t>
    <phoneticPr fontId="7" type="noConversion"/>
  </si>
  <si>
    <t>合同负债不包括增值税。
估计的储值卡款项中的增值税部分应确认为“应交税费——待转销项税额”（在资产负债表中的“其他流动负债”或“其他非流动负债”项目列示）</t>
    <phoneticPr fontId="7" type="noConversion"/>
  </si>
  <si>
    <t>参考《收入准则应用案例——合同负债（涉及不同增值税率的储值卡）》</t>
    <phoneticPr fontId="7" type="noConversion"/>
  </si>
  <si>
    <t>代客户收取的款项</t>
    <phoneticPr fontId="7" type="noConversion"/>
  </si>
  <si>
    <t>作为代理人时，仅佣金部分代表公司已收客户对价而应在未来作为代理人提供代理服务的义务，应当确认合同负债。</t>
    <phoneticPr fontId="7" type="noConversion"/>
  </si>
  <si>
    <t>合同负债不包括代客户收取的款项。
公司代客户收取的款项，作为其他应付款</t>
    <phoneticPr fontId="7" type="noConversion"/>
  </si>
  <si>
    <t>参考《收入准则应用案例——合同负债（电商平台预售购物卡）》</t>
    <phoneticPr fontId="7" type="noConversion"/>
  </si>
  <si>
    <t>结 论</t>
    <phoneticPr fontId="7" type="noConversion"/>
  </si>
  <si>
    <t>注：企业代第三方收取的款项（例如增值税）以及企业预期将退还给客户的款项，应当作为负债进行会计处理，不计入交易价格。</t>
    <phoneticPr fontId="7" type="noConversion"/>
  </si>
  <si>
    <t>4.非现金对价</t>
    <phoneticPr fontId="7" type="noConversion"/>
  </si>
  <si>
    <t>索引</t>
    <phoneticPr fontId="7" type="noConversion"/>
  </si>
  <si>
    <t>向客户收取的对价是非现金形式时，如实物资产、无形资产、股权、客户提供的广告服务等</t>
    <phoneticPr fontId="7" type="noConversion"/>
  </si>
  <si>
    <t>企业以存货换取客户的固定资产、无形资产等的，按照本准则的规定进行会计处理。
合同开始日后，非现金对价的公允价值因对价形式而发生变动的，该变动金额不应计入交易价格</t>
    <phoneticPr fontId="7" type="noConversion"/>
  </si>
  <si>
    <t>合同开始日后，非现金对价的公允价值因对价形式以外的原因而发生变动的，应当作为可变对价，按照与计入交易价格的可变对价金额的限制条件相关的规定进行处理</t>
    <phoneticPr fontId="7" type="noConversion"/>
  </si>
  <si>
    <t>非现金对价公允价值不能合理估计的，应当参照其承诺向客户转让商品的单独售价间接确定交易价格</t>
    <phoneticPr fontId="7" type="noConversion"/>
  </si>
  <si>
    <t>企业在向客户转让商品的同时，如果客户向企业投入材料、设备或人工等商品，以协助企业履行合同</t>
    <phoneticPr fontId="7" type="noConversion"/>
  </si>
  <si>
    <t>企业应当评估其是否取得了对这些商品的控制权，取得这些商品控制权的，企业应当将这些商品作为从客户收取的非现金对价进行会计处理</t>
    <phoneticPr fontId="7" type="noConversion"/>
  </si>
  <si>
    <t>5.应付客户对价</t>
    <phoneticPr fontId="7" type="noConversion"/>
  </si>
  <si>
    <t>项目</t>
    <phoneticPr fontId="7" type="noConversion"/>
  </si>
  <si>
    <t>企业应付客户（或向客户购买本企业商品的第三方）对价的，应当将该应付对价冲减交易价格</t>
    <phoneticPr fontId="7" type="noConversion"/>
  </si>
  <si>
    <t>这里的应付客户对价还包括可以抵减应付企业金额的相关项目金额，如优惠券、兑换券等</t>
    <phoneticPr fontId="7" type="noConversion"/>
  </si>
  <si>
    <t>在对应付客户对价冲减交易价格进行会计处理时，企业应当在确认相关收入与支付(或承诺支付)客户对价二者孰晚的时点冲减当期收入</t>
    <phoneticPr fontId="7" type="noConversion"/>
  </si>
  <si>
    <t>自客户取得其他可明确区分商品</t>
    <phoneticPr fontId="7" type="noConversion"/>
  </si>
  <si>
    <t>应付客户对价是为了自客户取得其他可明确区分商品的，应当采用与企业其他采购相一致的方式确认所购买的商品</t>
    <phoneticPr fontId="7" type="noConversion"/>
  </si>
  <si>
    <t>企业应付客户对价超过自客户取得的可明确区分商品公允价值的，超过金额应当作为应付客户对价冲减交易价格</t>
    <phoneticPr fontId="7" type="noConversion"/>
  </si>
  <si>
    <t>注：自客户取得的可明确区分商品公允价值不能合理估计的，企业应当将应付客户对价全额冲减交易价格。</t>
    <phoneticPr fontId="7" type="noConversion"/>
  </si>
  <si>
    <t>交易价格，是指企业因向客户转让商品而预期有权收取的对价金额。</t>
    <phoneticPr fontId="7" type="noConversion"/>
  </si>
  <si>
    <t>企业应当根据合同条款，并结合其以往的习惯做法确定交易价格。在确定交易价格时，企业应当考虑可变对价、合同中存在的重大融资成分、非现金对价、应付客户对价等因素的影响。</t>
    <phoneticPr fontId="7" type="noConversion"/>
  </si>
  <si>
    <t>五步法分析（四）将交易价格分摊至各单项履约义务</t>
    <phoneticPr fontId="7" type="noConversion"/>
  </si>
  <si>
    <t>确定交易价格分摊是否正确。</t>
    <phoneticPr fontId="7" type="noConversion"/>
  </si>
  <si>
    <t>当合同中包含两项或多项履约义务时，需要将交易价格分摊至各单项履约义务。</t>
    <phoneticPr fontId="7" type="noConversion"/>
  </si>
  <si>
    <t>1.1 单独售价</t>
    <phoneticPr fontId="7" type="noConversion"/>
  </si>
  <si>
    <t>项目</t>
    <phoneticPr fontId="7" type="noConversion"/>
  </si>
  <si>
    <t>说明</t>
    <phoneticPr fontId="7" type="noConversion"/>
  </si>
  <si>
    <t>注意事项</t>
    <phoneticPr fontId="7" type="noConversion"/>
  </si>
  <si>
    <t>审计证据及合同分析</t>
    <phoneticPr fontId="7" type="noConversion"/>
  </si>
  <si>
    <t>索引</t>
    <phoneticPr fontId="7" type="noConversion"/>
  </si>
  <si>
    <t>单独销售商品的价格</t>
    <phoneticPr fontId="7" type="noConversion"/>
  </si>
  <si>
    <t>企业在类似环境下向类似客户单独销售某商品的价格，应作为确定该商品单独售价的最佳证据</t>
    <phoneticPr fontId="7" type="noConversion"/>
  </si>
  <si>
    <t>合同或价目表上的标价可能是商品的单独售价，但不能默认其一定是该商品的单独售价</t>
    <phoneticPr fontId="7" type="noConversion"/>
  </si>
  <si>
    <t>例如，企业为其销售的产品制定了标准价格，但是，在实务中经常以低于该标准价格的折扣价格对外销售，此时，企业在估计该产品的单独售价时，应当考虑这一因素。</t>
    <phoneticPr fontId="7" type="noConversion"/>
  </si>
  <si>
    <t>单独售价无法直接观察时（应当最大限度地采用可观察的输入值，并对类似的情况采用一致的估计方法）</t>
    <phoneticPr fontId="7" type="noConversion"/>
  </si>
  <si>
    <t>市场调整法</t>
    <phoneticPr fontId="7" type="noConversion"/>
  </si>
  <si>
    <t>根据某商品或类似商品的市场售价，考虑本企业的成本和毛利等进行适当调整后的金额，确定其单独售价的方法</t>
    <phoneticPr fontId="7" type="noConversion"/>
  </si>
  <si>
    <t>成本加成法</t>
    <phoneticPr fontId="7" type="noConversion"/>
  </si>
  <si>
    <t>根据某商品的预计成本加上其合理毛利后的金额，确定其单独售价的方法</t>
    <phoneticPr fontId="7" type="noConversion"/>
  </si>
  <si>
    <t>预计成本应当与企业在定价时通常会考虑的成本因素一致，既包括直接成本，也包括间接成本</t>
    <phoneticPr fontId="7" type="noConversion"/>
  </si>
  <si>
    <t>余值法</t>
    <phoneticPr fontId="7" type="noConversion"/>
  </si>
  <si>
    <t>根据合同交易价格减去合同中其他商品可观察单独售价后的余额，确定某商品单独售价的方法</t>
    <phoneticPr fontId="7" type="noConversion"/>
  </si>
  <si>
    <t>在商品近期售价波动幅度巨大，或者因未定价且未曾单独销售而使售价无法可靠确定时，可采用余值法估计其单独售价</t>
    <phoneticPr fontId="7" type="noConversion"/>
  </si>
  <si>
    <t>其中，售价波动幅度巨大，是指企业在相同或相近的时间向不同客户出售同一种商品时的价格差异很大，因而导致企业无法从以往的交易或其他可观察的证据中识别出具有代表性的单独售价；未定价且未曾单独销售，是指企业尚未对该商品进行定价，且该商品过往未曾单独出售过，即销售价格尚未确定。</t>
    <phoneticPr fontId="7" type="noConversion"/>
  </si>
  <si>
    <t>结 论（选择适用的方法）</t>
    <phoneticPr fontId="7" type="noConversion"/>
  </si>
  <si>
    <t>1.2 市场调整法</t>
    <phoneticPr fontId="7" type="noConversion"/>
  </si>
  <si>
    <t>履约义务</t>
    <phoneticPr fontId="7" type="noConversion"/>
  </si>
  <si>
    <t>类似商品</t>
    <phoneticPr fontId="7" type="noConversion"/>
  </si>
  <si>
    <t>类似商品市场售价</t>
    <phoneticPr fontId="7" type="noConversion"/>
  </si>
  <si>
    <t>价格调整</t>
    <phoneticPr fontId="7" type="noConversion"/>
  </si>
  <si>
    <t>价格调整说明</t>
    <phoneticPr fontId="7" type="noConversion"/>
  </si>
  <si>
    <t>单独售价</t>
    <phoneticPr fontId="7" type="noConversion"/>
  </si>
  <si>
    <t>产品A</t>
    <phoneticPr fontId="7" type="noConversion"/>
  </si>
  <si>
    <t>产品B</t>
    <phoneticPr fontId="7" type="noConversion"/>
  </si>
  <si>
    <t>服务</t>
    <phoneticPr fontId="7" type="noConversion"/>
  </si>
  <si>
    <t>产品C</t>
    <phoneticPr fontId="7" type="noConversion"/>
  </si>
  <si>
    <t>合计</t>
    <phoneticPr fontId="7" type="noConversion"/>
  </si>
  <si>
    <t>注：企业可以对其销售商品的市场进行评估，进而估计客户在该市场上购买本企业的商品所愿意支付的价格，也可以参考其竞争对于销售类似商品</t>
    <phoneticPr fontId="7" type="noConversion"/>
  </si>
  <si>
    <t>的价格，并在此基础上进行必要调整以反映本企业的成本及毛利。</t>
    <phoneticPr fontId="7" type="noConversion"/>
  </si>
  <si>
    <t>1.3 成本加成法</t>
    <phoneticPr fontId="7" type="noConversion"/>
  </si>
  <si>
    <t>预计成本</t>
    <phoneticPr fontId="7" type="noConversion"/>
  </si>
  <si>
    <t>预期毛利率</t>
    <phoneticPr fontId="7" type="noConversion"/>
  </si>
  <si>
    <t>类似商品毛利率</t>
    <phoneticPr fontId="7" type="noConversion"/>
  </si>
  <si>
    <t>单独售价</t>
    <phoneticPr fontId="7" type="noConversion"/>
  </si>
  <si>
    <t>产品B</t>
    <phoneticPr fontId="7" type="noConversion"/>
  </si>
  <si>
    <t>合计</t>
    <phoneticPr fontId="7" type="noConversion"/>
  </si>
  <si>
    <t>注：应当考虑的因素包括类似商品单独售价的毛利水平、行业内的历史毛利水平、行业平均售价、市场情况以及企业的利润目标等</t>
    <phoneticPr fontId="7" type="noConversion"/>
  </si>
  <si>
    <t>1.4 余值法</t>
    <phoneticPr fontId="7" type="noConversion"/>
  </si>
  <si>
    <t>合同总对价</t>
    <phoneticPr fontId="7" type="noConversion"/>
  </si>
  <si>
    <t>其他商品单独售价</t>
    <phoneticPr fontId="7" type="noConversion"/>
  </si>
  <si>
    <t>余值</t>
    <phoneticPr fontId="7" type="noConversion"/>
  </si>
  <si>
    <t>服务</t>
    <phoneticPr fontId="7" type="noConversion"/>
  </si>
  <si>
    <t>产品C</t>
    <phoneticPr fontId="7" type="noConversion"/>
  </si>
  <si>
    <t>注：当企业采用余值法估计确定的某单项履约义务的单独售价为零或仅为很小的金额时，企业应当评估该结果是否恰当，这是因为合同中包含的</t>
    <phoneticPr fontId="7" type="noConversion"/>
  </si>
  <si>
    <t>可明确区分商品对于客户而言都应该是有一定价值的。</t>
    <phoneticPr fontId="7" type="noConversion"/>
  </si>
  <si>
    <t>2 按照各单项履约义务所承诺商品的单独售价的相对比例，将交易价格分摊至各单项履约义务</t>
    <phoneticPr fontId="7" type="noConversion"/>
  </si>
  <si>
    <t>合同价款（不含增值税）</t>
    <phoneticPr fontId="7" type="noConversion"/>
  </si>
  <si>
    <t>单独售价比例</t>
    <phoneticPr fontId="7" type="noConversion"/>
  </si>
  <si>
    <t>分摊交易价格</t>
    <phoneticPr fontId="7" type="noConversion"/>
  </si>
  <si>
    <t>3.分摊折扣（单独售价之和高于合同交易价格）</t>
    <phoneticPr fontId="7" type="noConversion"/>
  </si>
  <si>
    <t>是否适用</t>
    <phoneticPr fontId="7" type="noConversion"/>
  </si>
  <si>
    <t>（1）在各单项履约义务之间按比例分摊合同折扣</t>
    <phoneticPr fontId="7" type="noConversion"/>
  </si>
  <si>
    <t>产品B</t>
    <phoneticPr fontId="7" type="noConversion"/>
  </si>
  <si>
    <t>服务</t>
    <phoneticPr fontId="7" type="noConversion"/>
  </si>
  <si>
    <t>合计</t>
    <phoneticPr fontId="7" type="noConversion"/>
  </si>
  <si>
    <t>（2）有确凿证据表明合同折扣仅与合同中一项或多项(而非全部)履约义务相关</t>
    <phoneticPr fontId="7" type="noConversion"/>
  </si>
  <si>
    <t>条件（需同时满足）</t>
    <phoneticPr fontId="7" type="noConversion"/>
  </si>
  <si>
    <t>分析</t>
    <phoneticPr fontId="7" type="noConversion"/>
  </si>
  <si>
    <t>索引</t>
    <phoneticPr fontId="7" type="noConversion"/>
  </si>
  <si>
    <t>①企业经常将该合同中的各项可明确区分商品单独销售或者以组合的方式单独销售</t>
    <phoneticPr fontId="7" type="noConversion"/>
  </si>
  <si>
    <t>销售合同、销售价目表</t>
    <phoneticPr fontId="7" type="noConversion"/>
  </si>
  <si>
    <t>②企业也经常将其中部分可明确区分的商品以组合的方式按折扣价格单独销售</t>
    <phoneticPr fontId="7" type="noConversion"/>
  </si>
  <si>
    <t>销售合同、销售价目表</t>
    <phoneticPr fontId="7" type="noConversion"/>
  </si>
  <si>
    <t>③归属于上述第二项中每一组合的商品的折扣与该合同中的折扣基本相同，且针对每一组合中的商品的分析为将该合同的整体折扣归属于某一项或多项履约义务提供了可观察的证据</t>
    <phoneticPr fontId="7" type="noConversion"/>
  </si>
  <si>
    <t>结 论</t>
    <phoneticPr fontId="7" type="noConversion"/>
  </si>
  <si>
    <t>将该合同折扣分摊至相关的一项或多项履约义务</t>
    <phoneticPr fontId="7" type="noConversion"/>
  </si>
  <si>
    <t>履约义务</t>
    <phoneticPr fontId="7" type="noConversion"/>
  </si>
  <si>
    <t>合同价款（不含增值税）</t>
    <phoneticPr fontId="7" type="noConversion"/>
  </si>
  <si>
    <t>单独售价</t>
    <phoneticPr fontId="7" type="noConversion"/>
  </si>
  <si>
    <t>分摊折扣比例</t>
    <phoneticPr fontId="7" type="noConversion"/>
  </si>
  <si>
    <t>分摊交易价格</t>
    <phoneticPr fontId="7" type="noConversion"/>
  </si>
  <si>
    <t>产品A</t>
    <phoneticPr fontId="7" type="noConversion"/>
  </si>
  <si>
    <t>产品C</t>
    <phoneticPr fontId="7" type="noConversion"/>
  </si>
  <si>
    <t>合计</t>
    <phoneticPr fontId="7" type="noConversion"/>
  </si>
  <si>
    <t>注：有确凿证据表明，合同折扣仅与合同中的一项或多项(而非全部)履约义务相关，且企业采用余值法估计单独售价的，应当首先在该一项</t>
    <phoneticPr fontId="7" type="noConversion"/>
  </si>
  <si>
    <t>或多项(而非全部)履约义务之间分摊合同折扣，然后再采用余值法估计单独售价。</t>
    <phoneticPr fontId="7" type="noConversion"/>
  </si>
  <si>
    <t>4.分摊可变对价</t>
    <phoneticPr fontId="7" type="noConversion"/>
  </si>
  <si>
    <t>是否适用</t>
    <phoneticPr fontId="7" type="noConversion"/>
  </si>
  <si>
    <t>条件（需同时满足）</t>
    <phoneticPr fontId="7" type="noConversion"/>
  </si>
  <si>
    <t>审计证据</t>
    <phoneticPr fontId="7" type="noConversion"/>
  </si>
  <si>
    <t>索引</t>
    <phoneticPr fontId="7" type="noConversion"/>
  </si>
  <si>
    <t>（1）可变对价的条款专门针对企业为履行该项履约义务或转让该项可明确区分商品所作的努力（或者是履行该项履约义务或转让该项可明确区分商品所导致的特定结果）；</t>
    <phoneticPr fontId="7" type="noConversion"/>
  </si>
  <si>
    <t>例如，是否获得奖金取决于企业能否在指定时期内转让某项已承诺的商品；又如，为期两年的保洁服务合同中，第二年的服务价格将根据指定的通货膨胀率确定</t>
    <phoneticPr fontId="7" type="noConversion"/>
  </si>
  <si>
    <t>（2）企业在考虑了合同中的全部履约义务及支付条款后，将合同对价中的可变金额全部分摊至该项履约义务或该项可明确区分商品符合分摊交易价格的目标。</t>
    <phoneticPr fontId="7" type="noConversion"/>
  </si>
  <si>
    <t>将交易价格分摊至各单项履约义务，以使企业分摊至各单项履约义务(或可明确区分的商品)的交易价格能够反映其因向客户转让己承诺的相关商品而预期有权收取的对价金额</t>
    <phoneticPr fontId="7" type="noConversion"/>
  </si>
  <si>
    <t>结 论</t>
    <phoneticPr fontId="7" type="noConversion"/>
  </si>
  <si>
    <t>分摊可变对价</t>
    <phoneticPr fontId="7" type="noConversion"/>
  </si>
  <si>
    <t>履约义务</t>
    <phoneticPr fontId="7" type="noConversion"/>
  </si>
  <si>
    <t>可变对价（不含增值税）</t>
    <phoneticPr fontId="7" type="noConversion"/>
  </si>
  <si>
    <t>分摊折扣比例</t>
    <phoneticPr fontId="7" type="noConversion"/>
  </si>
  <si>
    <t>分摊可变对价</t>
    <phoneticPr fontId="7" type="noConversion"/>
  </si>
  <si>
    <t>索引</t>
    <phoneticPr fontId="7" type="noConversion"/>
  </si>
  <si>
    <t>注：对于己履行的履约义务，其分摊的可变对价后续变动额应当调整变动当期的收入。</t>
    <phoneticPr fontId="7" type="noConversion"/>
  </si>
  <si>
    <t>交易价格，是指企业因向客户转让商品而预期有权收取的对价金额。</t>
    <phoneticPr fontId="7" type="noConversion"/>
  </si>
  <si>
    <t>企业应当根据合同条款，并结合其以往的习惯做法确定交易价格。在确定交易价格时，企业应当考虑可变对价、合同中存在的重大融资成分、非现金对价、应付客户对价等因素的影响。</t>
    <phoneticPr fontId="7" type="noConversion"/>
  </si>
  <si>
    <t>五步法分析（五）在履行履约义务时确认收入</t>
    <phoneticPr fontId="7" type="noConversion"/>
  </si>
  <si>
    <t>确定在履行了合同中的履约义务，即在客户取得相关商品控制权时确认收入。</t>
    <phoneticPr fontId="7" type="noConversion"/>
  </si>
  <si>
    <t>确定各单项履约义务是在某一时段内履行，还是在某一时点履行；然后，确定时在履行了各单项履约义务时分别确认收入。</t>
    <phoneticPr fontId="7" type="noConversion"/>
  </si>
  <si>
    <t>条件（满足任一）</t>
    <phoneticPr fontId="7" type="noConversion"/>
  </si>
  <si>
    <t>（1）客户在企业履约的同时即取得并消耗企业履约所带来的经济利益；</t>
    <phoneticPr fontId="7" type="noConversion"/>
  </si>
  <si>
    <t>常规或经常性服务，如保洁服务、运输、健身俱乐部；
他人在向客户履行剩余的履约义务时无需在实质上重新执行迄今为止已完成的工作</t>
    <phoneticPr fontId="7" type="noConversion"/>
  </si>
  <si>
    <t>对于难以通过直观判断获知结论的情形，企业在进行判断时，可以假定在企业履约的过程中更换为其他企业继续履行剩余履约义务，当该继续履行合同的企业实质上无需重新执行企业累计至今已经完成的工作时，表明客户在企业履约的同时即取得并消耗了企业履约所带来的经济利益。
参考《收入准则应用案例——药品实验服务的收入确认》</t>
    <phoneticPr fontId="7" type="noConversion"/>
  </si>
  <si>
    <t>（2）客户能够控制企业履约过程中在建的商品；</t>
    <phoneticPr fontId="7" type="noConversion"/>
  </si>
  <si>
    <t>应当应用准则中关于控制的要求（包括控制转移的迹象等）。
此种情况下，客户能够主导所有在产品的使用，并从中获得几乎全部的经济利益</t>
    <phoneticPr fontId="7" type="noConversion"/>
  </si>
  <si>
    <t>客户能够合理利用开发过程中形成的在产品（例如建造服务、设计图、程序、文档等），并从中获得几乎全部的经济利益——主导使用并获得几乎全部经济利益的历史记录</t>
    <phoneticPr fontId="7" type="noConversion"/>
  </si>
  <si>
    <t>（3）企业履约过程中所产出的商品具有不可替代用途，且该企业在整个合同期间内有权就累计至今已完成的履约部分收取款项。</t>
    <phoneticPr fontId="7" type="noConversion"/>
  </si>
  <si>
    <t>具有不可替代用途，是指因合同限制或实际可行性限制，企业不能轻易地将商品用于其他用途。
有权就累计至今已完成的履约部分收取款项，是指在由于客户或其他方原因终止合同的情况下，企业有权就累计至今已完成的履约部分收取能够补偿其已发生成本和合理利润的款项，并且该权利具有法律约束力。</t>
    <phoneticPr fontId="7" type="noConversion"/>
  </si>
  <si>
    <t>同行业可比公司的判断</t>
    <phoneticPr fontId="7" type="noConversion"/>
  </si>
  <si>
    <t>结 论</t>
    <phoneticPr fontId="7" type="noConversion"/>
  </si>
  <si>
    <t>注意：准则并未对诸如期限较短（如短于一年）的合同等提供允许直接默认在某一时点确认收入的简便方法。</t>
    <phoneticPr fontId="7" type="noConversion"/>
  </si>
  <si>
    <t>1.2 确定履约进度</t>
    <phoneticPr fontId="7" type="noConversion"/>
  </si>
  <si>
    <t>是否适用</t>
    <phoneticPr fontId="7" type="noConversion"/>
  </si>
  <si>
    <t>方法</t>
    <phoneticPr fontId="7" type="noConversion"/>
  </si>
  <si>
    <t>同行业可比公司采用的方法</t>
    <phoneticPr fontId="7" type="noConversion"/>
  </si>
  <si>
    <t>索引</t>
    <phoneticPr fontId="7" type="noConversion"/>
  </si>
  <si>
    <t xml:space="preserve">产出法：以已转让的商品或服务的价值相对于剩余商品或服务对于客户的价值的直接计量结果为基础 </t>
    <phoneticPr fontId="7" type="noConversion"/>
  </si>
  <si>
    <t>•测量迄今为止已完成的履约情况 
•评估已实现的结果 
•已达到的里程碑 
•流逝的时间
•已生产或已交付的单位 </t>
    <phoneticPr fontId="7" type="noConversion"/>
  </si>
  <si>
    <t>如果所选择的产出无法计量某些控制权已转移给客户的商品或服务，则产出法不能提供对主体履约情况的如实反映。例如，如果在报告期末受客户控制的主体履约形成的在产品或产成品未包括在产出的计量中，则基于已生产单位或已交付单位的产出法无法如实反映主体对履约义务的履行。</t>
    <phoneticPr fontId="7" type="noConversion"/>
  </si>
  <si>
    <t>投入法：以企业履行履约义务所作的工作或投入相对于履行履约义务的预计总投入为基础</t>
    <phoneticPr fontId="7" type="noConversion"/>
  </si>
  <si>
    <t xml:space="preserve">•消耗的资源 
•花费的工时数 
•发生的成本 
•流逝的时间
•使用的机器运转时数 </t>
    <phoneticPr fontId="7" type="noConversion"/>
  </si>
  <si>
    <t>如果主体的工作或投入在履约期间内平均消耗，则主体按直线法确认收入可能是恰当的。</t>
    <phoneticPr fontId="7" type="noConversion"/>
  </si>
  <si>
    <t>被审计单位采用的方法</t>
    <phoneticPr fontId="7" type="noConversion"/>
  </si>
  <si>
    <t>当履约进度不能合理确定时，企业已经发生的成本预计能够得到补偿的，应当按照已经发生的成本金额确认收入，直到履约进度能够合理确定为止。</t>
    <phoneticPr fontId="7" type="noConversion"/>
  </si>
  <si>
    <t>1.2.1 确定履约进度（产出法）</t>
    <phoneticPr fontId="7" type="noConversion"/>
  </si>
  <si>
    <t>组成部分</t>
    <phoneticPr fontId="7" type="noConversion"/>
  </si>
  <si>
    <t>履约进度</t>
    <phoneticPr fontId="7" type="noConversion"/>
  </si>
  <si>
    <t>使用产出法分摊的收入</t>
    <phoneticPr fontId="7" type="noConversion"/>
  </si>
  <si>
    <t>实际成本</t>
    <phoneticPr fontId="7" type="noConversion"/>
  </si>
  <si>
    <t>毛利率</t>
    <phoneticPr fontId="7" type="noConversion"/>
  </si>
  <si>
    <t>按履约进度计算的成本</t>
    <phoneticPr fontId="7" type="noConversion"/>
  </si>
  <si>
    <t>应当考虑商品的性质，采用产出法或投入法确定恰当的履约进度，并且在确定履约进度时，应当扣除那些控制权尚未转移给客户的商品和服务。</t>
    <phoneticPr fontId="7" type="noConversion"/>
  </si>
  <si>
    <t>地基</t>
    <phoneticPr fontId="7" type="noConversion"/>
  </si>
  <si>
    <t>墙体</t>
    <phoneticPr fontId="7" type="noConversion"/>
  </si>
  <si>
    <t>门窗</t>
    <phoneticPr fontId="7" type="noConversion"/>
  </si>
  <si>
    <t>屋顶</t>
    <phoneticPr fontId="7" type="noConversion"/>
  </si>
  <si>
    <t>合计</t>
    <phoneticPr fontId="7" type="noConversion"/>
  </si>
  <si>
    <t>产出法下的履约成本</t>
    <phoneticPr fontId="7" type="noConversion"/>
  </si>
  <si>
    <t>参考《上市公司执行企业会计准则案例解析》（2020）案例6-06 釆用产出法确定履约进度时，应当如何确认履约成本</t>
    <phoneticPr fontId="7" type="noConversion"/>
  </si>
  <si>
    <t>注：如果在达到合同约定的里程碑时才确认收入，且在各个里程碑之间产生了重大的未向客户转移的合同履约成本，这与该合同下公司的履约义务</t>
    <phoneticPr fontId="7" type="noConversion"/>
  </si>
  <si>
    <t>满足在某一时段内确认收入的条件，即公司将其在履约过程中形成的产出的控制权持续转移给客户的结论是相悖的。</t>
    <phoneticPr fontId="7" type="noConversion"/>
  </si>
  <si>
    <t>1.2.2 确定履约进度（投入法）</t>
    <phoneticPr fontId="7" type="noConversion"/>
  </si>
  <si>
    <t>期间</t>
    <phoneticPr fontId="7" type="noConversion"/>
  </si>
  <si>
    <t>期初累计实际发生成本</t>
    <phoneticPr fontId="7" type="noConversion"/>
  </si>
  <si>
    <t>本期合同履约成本</t>
    <phoneticPr fontId="7" type="noConversion"/>
  </si>
  <si>
    <t>期末累计实际发生成本</t>
    <phoneticPr fontId="7" type="noConversion"/>
  </si>
  <si>
    <t>索引[实际发生合同成本检查]</t>
    <phoneticPr fontId="7" type="noConversion"/>
  </si>
  <si>
    <t>期末预计完成合同尚需发生成本</t>
    <phoneticPr fontId="7" type="noConversion"/>
  </si>
  <si>
    <t>索引[定额成本/投标报价/目标成本/同类工程平均毛利率]</t>
    <phoneticPr fontId="7" type="noConversion"/>
  </si>
  <si>
    <t>履约进度</t>
    <phoneticPr fontId="7" type="noConversion"/>
  </si>
  <si>
    <t>应当考虑商品的性质，采用产出法或投入法确定恰当的履约进度，并且在确定履约进度时，应当扣除那些控制权尚未转移给客户的商品和服务。</t>
    <phoneticPr fontId="7" type="noConversion"/>
  </si>
  <si>
    <t>2018年度</t>
    <phoneticPr fontId="7" type="noConversion"/>
  </si>
  <si>
    <t>2019年度</t>
    <phoneticPr fontId="7" type="noConversion"/>
  </si>
  <si>
    <t>2020年度</t>
    <phoneticPr fontId="7" type="noConversion"/>
  </si>
  <si>
    <t>2021年度</t>
  </si>
  <si>
    <t>注：在采用投入法确定履约进度时，应当扣除那些虽然已经发生、但是未导致向客户转移商品的投入。</t>
    <phoneticPr fontId="7" type="noConversion"/>
  </si>
  <si>
    <t>参考《收入准则应用案例——亏损合同案例》</t>
    <phoneticPr fontId="7" type="noConversion"/>
  </si>
  <si>
    <t>投入法的调整（如适用）</t>
    <phoneticPr fontId="7" type="noConversion"/>
  </si>
  <si>
    <t>尚未安装、使用或耗用的商品或材料成本</t>
    <phoneticPr fontId="7" type="noConversion"/>
  </si>
  <si>
    <t>调整后的履约进度</t>
    <phoneticPr fontId="7" type="noConversion"/>
  </si>
  <si>
    <t>合同总金额</t>
    <phoneticPr fontId="7" type="noConversion"/>
  </si>
  <si>
    <t>应确认总收入</t>
    <phoneticPr fontId="7" type="noConversion"/>
  </si>
  <si>
    <t>应确认总成本</t>
    <phoneticPr fontId="7" type="noConversion"/>
  </si>
  <si>
    <t>合同预计损失（主营业务成本）</t>
    <phoneticPr fontId="7" type="noConversion"/>
  </si>
  <si>
    <t>在运用以成本为基础的投入法时，在下列情况下可能需要对履约进度的计量作出调整：
（1）已发生的成本并未反映企业履行履约义务的进度。例如，因企业生产效率低下等原因而导致的非正常消耗，包括非正常消耗的直接材料、直接人工及制造费用等，不应包括在累计实际发生的成本中。
（2）已发生的成本与企业履行履约义务的进度不成比例，通常仅以其已发生的成本为限确认收入。</t>
    <phoneticPr fontId="7" type="noConversion"/>
  </si>
  <si>
    <t>考虑下列迹象</t>
    <phoneticPr fontId="7" type="noConversion"/>
  </si>
  <si>
    <t>（1）企业就该商品享有现时收款权利，即客户就该商品负有现时付款义务；</t>
    <phoneticPr fontId="7" type="noConversion"/>
  </si>
  <si>
    <t>考虑预收款或分期收款的影响</t>
    <phoneticPr fontId="7" type="noConversion"/>
  </si>
  <si>
    <t>当企业就该商品享有现时收款权利时，可能表明客户已经有能力主导该商品的使用并从中获得几乎全部的经济利益。</t>
    <phoneticPr fontId="7" type="noConversion"/>
  </si>
  <si>
    <t>（2）企业已将该商品的法定所有权转移给客户，即客户已拥有该商品的法定所有权；</t>
    <phoneticPr fontId="7" type="noConversion"/>
  </si>
  <si>
    <t>如果主体仅出于防止客户不付款的原因而保留资产的法定所有权，主体的此类权利并不妨碍客户取得对资产的控制</t>
    <phoneticPr fontId="7" type="noConversion"/>
  </si>
  <si>
    <t>当客户取得了商品的法定所有权时，可能表明其已经有能力主导该商品的使用并从中获得几乎全部的经济利益，或者能够阻止其他企业获得这些经济利益，即客户已取得对该商品的控制权。</t>
    <phoneticPr fontId="7" type="noConversion"/>
  </si>
  <si>
    <t>（3）企业已将该商品实物转移给客户，即客户已实物占有该商品；</t>
    <phoneticPr fontId="7" type="noConversion"/>
  </si>
  <si>
    <t>对资产的实物占有可能不一定等同于对资产的控制。例如，在某些回购协议及特定的委托代销安排的情况下，主体控制的资产其实物可能由客户或受托方持有</t>
    <phoneticPr fontId="7" type="noConversion"/>
  </si>
  <si>
    <t>客户签收单</t>
    <phoneticPr fontId="7" type="noConversion"/>
  </si>
  <si>
    <t>客户如果已经占有商品实物，则可能表明其有能力主导该商品的使用并从中获得其几乎全部的经济利益，或者使其他企业无法获得这些利益。需要说明的是，客户占有了某项商品实物并不意味着其就一定取得了该商品的控制权，反之亦然。</t>
    <phoneticPr fontId="7" type="noConversion"/>
  </si>
  <si>
    <t>（4）企业已将该商品所有权上的主要风险和报酬转移给客户，即客户已取得该商品所有权上的主要风险和报酬；</t>
    <phoneticPr fontId="7" type="noConversion"/>
  </si>
  <si>
    <t>价格变动风险、汇损灭失风险等。
不考虑其他单独履约义务的风险（如售后维护服务）</t>
    <phoneticPr fontId="7" type="noConversion"/>
  </si>
  <si>
    <t>企业向客户转移了商品所有权上的主要风险和报酬，可能表明客户已经取得了主导该商品的使用并从中获得其几乎全部经济利益的能力。</t>
    <phoneticPr fontId="7" type="noConversion"/>
  </si>
  <si>
    <t>（5）客户已接受该商品；</t>
    <phoneticPr fontId="7" type="noConversion"/>
  </si>
  <si>
    <t>当企业无法客观地确定其向客户转让的商品是否符合合同规定的条件时，在客户验收之前，企业不能认为已经将该商品的控制权转移给了客户</t>
    <phoneticPr fontId="7" type="noConversion"/>
  </si>
  <si>
    <t>客户验收单</t>
    <phoneticPr fontId="7" type="noConversion"/>
  </si>
  <si>
    <t>企业销售给客户的商品通过了客户的验收，可能表明客户已经取得了该商品的控制权。合同中有关客户验收的条款，可能允许客户在商品不符合约定规格的情况下解除合同或要求企业采取补救措施。因此，企业在评估是否已经将商品的控制权转移给客户时，应当考虑此类条款。</t>
    <phoneticPr fontId="7" type="noConversion"/>
  </si>
  <si>
    <t>（6）其他表明客户已取得商品控制权的迹象。</t>
    <phoneticPr fontId="7" type="noConversion"/>
  </si>
  <si>
    <t>同行业可比公司确认时点</t>
    <phoneticPr fontId="7" type="noConversion"/>
  </si>
  <si>
    <t>在上述几个迹象中，并没有哪一个或哪几个迹象是决定性的，企业应当根据合同条款和交易实质进行分析，综合判断其是否将商品的控制权转移给客户以及何时转移的，从而确定收入确认的时点。</t>
    <phoneticPr fontId="7" type="noConversion"/>
  </si>
  <si>
    <t>注：企业应当从客户的角度进行评估，而不应当仅考虑企业自身的看法。</t>
    <phoneticPr fontId="7" type="noConversion"/>
  </si>
  <si>
    <t>企业应当在履行了合同中的履约义务，即客户取得相关商品控制权时确认收入。</t>
    <phoneticPr fontId="7" type="noConversion"/>
  </si>
  <si>
    <t>企业将商品的控制权转移给客户，该转移可能在某一时段内（即履行履约义务的过程中）发生，也可能在某一时点（即履约义务完成时）发生。</t>
    <phoneticPr fontId="7" type="noConversion"/>
  </si>
  <si>
    <t>主要责任人与代理人判断</t>
    <phoneticPr fontId="7" type="noConversion"/>
  </si>
  <si>
    <t>确定企业从事交易时的身份是主要责任人还是代理人。</t>
    <phoneticPr fontId="7" type="noConversion"/>
  </si>
  <si>
    <t>企业应根据其在向客户转让商品前是否拥有对该商品的控制权，来判断其从事交易时的身份是主要责任人还是代理人。</t>
    <phoneticPr fontId="7" type="noConversion"/>
  </si>
  <si>
    <t>判断企业在向客户转让商品或服务前是否能够控制该商品或服务。</t>
    <phoneticPr fontId="7" type="noConversion"/>
  </si>
  <si>
    <t>1.识别向客户所承诺的“特定商品或服务”</t>
    <phoneticPr fontId="7" type="noConversion"/>
  </si>
  <si>
    <t>例如，旅行社销售的机票向客户提供了乘坐航班的权利，团购网站销售的餐券向客户提供了在指定餐厅用餐的权利。
例如设计和制造专门设备（不可相互明确区分的一揽子商品或服务）。</t>
    <phoneticPr fontId="7" type="noConversion"/>
  </si>
  <si>
    <t>识别合同中主体的承诺（即履约义务）是确定主体作为主要责任人还是代理人的基础。
特定商品或服务是指拟向客户提供的可明确区分的商品或服务（或可明确区分的一揽子商品或服务）。</t>
    <phoneticPr fontId="7" type="noConversion"/>
  </si>
  <si>
    <t>注：代理人的履约义务是安排另一方向客户提供商品或服务；代理人本身并未承诺向最终客户提供商品或服务。</t>
    <phoneticPr fontId="7" type="noConversion"/>
  </si>
  <si>
    <t>2.在向客户转让前是否拥有特定商品或服务的控制权</t>
    <phoneticPr fontId="7" type="noConversion"/>
  </si>
  <si>
    <t>2.1 向客户转让商品或服务前能够控制的情形</t>
    <phoneticPr fontId="7" type="noConversion"/>
  </si>
  <si>
    <t>转让前能够控制的情形</t>
    <phoneticPr fontId="7" type="noConversion"/>
  </si>
  <si>
    <t>分析</t>
    <phoneticPr fontId="7" type="noConversion"/>
  </si>
  <si>
    <t>审计证据</t>
    <phoneticPr fontId="7" type="noConversion"/>
  </si>
  <si>
    <t>（1）企业自第三方取得商品或其他资产控制权后，再转让给客户；</t>
    <phoneticPr fontId="7" type="noConversion"/>
  </si>
  <si>
    <t>企业应当考虑该权利是仅在转让给客户时才产生，还是在转让给客户之前就已经存在，且企业一直能够主导其使用，如果该权利在转让给客户之前不存在，则企业实质上并不能在该权利转让给客户之前控制该权利。</t>
    <phoneticPr fontId="7" type="noConversion"/>
  </si>
  <si>
    <t>这里的商品或其他资产也包括企业向客户转让的未来享有由其他方提供服务的权利。</t>
    <phoneticPr fontId="7" type="noConversion"/>
  </si>
  <si>
    <t>（2）企业能够主导第三方代表本企业向客户提供服务；</t>
    <phoneticPr fontId="7" type="noConversion"/>
  </si>
  <si>
    <t>当企业承诺向客户提供服务，并委托第三方（例如分包商、其他服务提供商等）代表企业向客户提供服务时，如果企业能够主导该第三方代表本企业向客户提供服务，则表明企业在相关服务提供给客户之前能够控制该相关服务。</t>
    <phoneticPr fontId="7" type="noConversion"/>
  </si>
  <si>
    <t>主体本身不提供商品或服务这一事实并非决定性因素。
注意，《企业会计准则解释第2号》中关于BOT业务的规定并未废止，“项目公司未提供实际建造服务，将基础设施建造发包给其他方的，不应确认建造服务收入”。</t>
    <phoneticPr fontId="7" type="noConversion"/>
  </si>
  <si>
    <t>（3）企业自第三方取得商品控制权后，通过提供重大的服务将该商品与其他商品整合成某组合产出转让给客户。</t>
    <phoneticPr fontId="7" type="noConversion"/>
  </si>
  <si>
    <t>企业承诺提供的特定商品就是合同约定的组合产出。企业只有获得为生产该特定商品所需要的投入（包括从第三方取得的商品）的控制权，才能够将这些投入加工整合为合同约定的组合产出。</t>
    <phoneticPr fontId="7" type="noConversion"/>
  </si>
  <si>
    <t>同行业可比公司的判断</t>
    <phoneticPr fontId="7" type="noConversion"/>
  </si>
  <si>
    <t>注：如果主体在特定商品的法定所有权转移给客户之前只是暂时性地取得该商品的法定所有权，则主体不一定控制该商品。</t>
    <phoneticPr fontId="7" type="noConversion"/>
  </si>
  <si>
    <t>2.2 应当综合考虑的相关事实和情况</t>
    <phoneticPr fontId="7" type="noConversion"/>
  </si>
  <si>
    <t>相关事实和情况</t>
    <phoneticPr fontId="7" type="noConversion"/>
  </si>
  <si>
    <t>（1）企业承担向客户转让商品的主要责任；</t>
    <phoneticPr fontId="7" type="noConversion"/>
  </si>
  <si>
    <t>应当从客户的角度进行评估，即客户认为哪一方承担了主要责任。例如，客户认为谁对商品的质量或性能负责、谁负责提供售后服务、谁负责解决客户投诉等。</t>
    <phoneticPr fontId="7" type="noConversion"/>
  </si>
  <si>
    <t>该主要责任包括就特定商品的可接受性（例如，确保商品的规格满足客户的要求）承担责任等。</t>
    <phoneticPr fontId="7" type="noConversion"/>
  </si>
  <si>
    <t>（2）企业在转让商品之前或之后承担了该商品的存货风险；</t>
    <phoneticPr fontId="7" type="noConversion"/>
  </si>
  <si>
    <t>当企业在与客户订立合同之前已经购买或者承诺将自行购买特定商品时，这可能表明企业在将该特定商品转让给客户之前，承担了该特定商品的存货风险，企业有能力主导特定商品的使用并从中取得几乎全部的经济利益。</t>
    <phoneticPr fontId="7" type="noConversion"/>
  </si>
  <si>
    <t>在附有销售退回条款的销售中，企业将商品销售给客户之后，客户有权要求向该企业退货，这可能表明企业在转让商品之后仍然承担了该商品的存货风险。</t>
    <phoneticPr fontId="7" type="noConversion"/>
  </si>
  <si>
    <t>（3）企业有权自主决定所交易商品的价格；</t>
    <phoneticPr fontId="7" type="noConversion"/>
  </si>
  <si>
    <t>然而，在某些情况下，代理人可能在一定程度上也拥有定价权（例如，在主要责任人规定的某一价格范围内决定价格），以便其在代表主要责任人向客户提供商品时，能够吸引更多的客户，从而赚取更多的收入。</t>
    <phoneticPr fontId="7" type="noConversion"/>
  </si>
  <si>
    <t>企业有权决定与客户交易的特定商品的价格，可能表明企业有能力主导该商品的使用并从中获得几乎全部的经济利益。</t>
    <phoneticPr fontId="7" type="noConversion"/>
  </si>
  <si>
    <t>（4）其他相关事实和情况。</t>
    <phoneticPr fontId="7" type="noConversion"/>
  </si>
  <si>
    <t>考虑交易的经济实质。</t>
    <phoneticPr fontId="7" type="noConversion"/>
  </si>
  <si>
    <t>实务中，企业在判断其在向客户转让特定商品之前是否已经拥有对该商品的控制权时，不应仅局限于合同的法律形式，而应当综合考虑所有相关事实和情况进行判断。</t>
    <phoneticPr fontId="7" type="noConversion"/>
  </si>
  <si>
    <t>上述相关事实和情况仅为支持对控制权的评估，不能取代控制权的评估，也不能凌驾于控制权评估之上，更不是单独或额外的评估；并且这些事实和情况并元权重之分，其中某一项或几项也不能被孤立地用于支持某一结论。企业应当根据相关商品的性质、合同条款的约定以及其他具体情况，综合进行判断。不同的合同可能需要采用上述不同的事实和情况提供支持证据。</t>
    <phoneticPr fontId="7" type="noConversion"/>
  </si>
  <si>
    <t>注：企业应当从客户的角度进行评估，而不应当仅考虑企业自身的看法。</t>
    <phoneticPr fontId="7" type="noConversion"/>
  </si>
  <si>
    <t>企业应当根据其在向客户转让商品前是否拥有对该商品的控制权，来判断其从事交易时的身份是主要责任人还是代理人。</t>
    <phoneticPr fontId="7" type="noConversion"/>
  </si>
  <si>
    <t>企业在向客户转让商品前能够控制该商品的，该企业为主要责任人，应当按照已收或应收对价总额确认收入；否则，该企业为代理人，</t>
    <phoneticPr fontId="7" type="noConversion"/>
  </si>
  <si>
    <t>应当按照预期有权收取的佣金或手续费的金额确认收入，该金额应当按照已收或应收对价总额扣除应支付给其他相关方的价款后的净额，</t>
    <phoneticPr fontId="7" type="noConversion"/>
  </si>
  <si>
    <t>或者按照既定的佣金金额或比例等确定。</t>
    <phoneticPr fontId="7" type="noConversion"/>
  </si>
  <si>
    <t>授予知识产权许可</t>
    <phoneticPr fontId="7" type="noConversion"/>
  </si>
  <si>
    <t>授予知识产权许可，是指企业授予客户对企业拥有的知识产权享有相应权利。常见的知识产权包括软件和技术、影视和音乐等的版权、特许经营权以及专利权、商标权和其他版权等。</t>
    <phoneticPr fontId="7" type="noConversion"/>
  </si>
  <si>
    <t>确定授予知识产权许可属于在某一时段履行的履约义务，还是在某一时点履行的履约义务。</t>
    <phoneticPr fontId="7" type="noConversion"/>
  </si>
  <si>
    <t>确定授予知识产权许可是否构成单项履约义务，确定授予知识产权许可属于在某一时段履行的履约义务还是在某一时点履行的履约义务。</t>
    <phoneticPr fontId="7" type="noConversion"/>
  </si>
  <si>
    <t>1.知识产权许可与所售商品不可明确区分的情形</t>
    <phoneticPr fontId="7" type="noConversion"/>
  </si>
  <si>
    <t>情形（任一）</t>
    <phoneticPr fontId="7" type="noConversion"/>
  </si>
  <si>
    <t>（1）该知识产权许可构成有形商品的组成部分并且对于该商品的正常使用不可或缺；</t>
    <phoneticPr fontId="7" type="noConversion"/>
  </si>
  <si>
    <t>例如，企业向客户销售设备和相关软件，该软件内嵌于设备之中，该设备必须安装了该软件之后才能正常使用</t>
    <phoneticPr fontId="7" type="noConversion"/>
  </si>
  <si>
    <t>（2）客户只有将该知识产权许可和相关服务一起使用才能够从中获益。</t>
    <phoneticPr fontId="7" type="noConversion"/>
  </si>
  <si>
    <t>例如，客户取得授权许可，但是只有通过企业提供的在线服务才能访问相关内容</t>
    <phoneticPr fontId="7" type="noConversion"/>
  </si>
  <si>
    <t>结 论</t>
    <phoneticPr fontId="7" type="noConversion"/>
  </si>
  <si>
    <t>授予客户的知识产权许可不构成单项履约义务的，企业应当将该知识产权许可和所售商品一起作为单项履约义务进行会计处理。</t>
    <phoneticPr fontId="7" type="noConversion"/>
  </si>
  <si>
    <t>注：企业应当评估授予客户的知识产权许可是否可与所售商品明确区分，即该知识产权许可是否构成单项履约义务，并进行相应的会计处理。</t>
    <phoneticPr fontId="7" type="noConversion"/>
  </si>
  <si>
    <t>2.是否属于在某一时段履行的履约义务</t>
    <phoneticPr fontId="7" type="noConversion"/>
  </si>
  <si>
    <t>须同时满足的条件</t>
    <phoneticPr fontId="7" type="noConversion"/>
  </si>
  <si>
    <t>分析</t>
    <phoneticPr fontId="7" type="noConversion"/>
  </si>
  <si>
    <t>（1）合同要求或客户能够合理预期企业将从事对该项知识产权有重大影响的活动；</t>
    <phoneticPr fontId="7" type="noConversion"/>
  </si>
  <si>
    <t>当该项知识产权具有重大的独立功能，且该项知识产权绝大部分的经济利益来源于该项功能时，客户从该项知识产权中获得的利益可能不受企业从事的相关活动的重大影响，除非这些活动显著改变了该项知识产权的形式或者功能。</t>
    <phoneticPr fontId="7" type="noConversion"/>
  </si>
  <si>
    <t>具有重大独立功能的知识产权主要包括软件、生物合成物或药物配方以及已完成的媒体内容（例如电影、电视节目以及音乐录音）版权等。</t>
    <phoneticPr fontId="7" type="noConversion"/>
  </si>
  <si>
    <t>①这些活动预期将显著改变该项知识产权的形式（如知识产权的设计、内容）或者功能（如执行某任务的能力）</t>
    <phoneticPr fontId="7" type="noConversion"/>
  </si>
  <si>
    <t>改变了知识产权的设计或内容、执行某项功能或任务的能力等。
应当根据主体的活动是否对知识产权向客户提供利益的能力产生影响来评估此类活动是否会显著改变客户享有相关权利的知识产权。</t>
    <phoneticPr fontId="7" type="noConversion"/>
  </si>
  <si>
    <t>企业从事的活动存在此情况之一的，将会对该项知识产权有重大影响。</t>
    <phoneticPr fontId="7" type="noConversion"/>
  </si>
  <si>
    <t>②客户从该项知识产权中获益的能力在很大程度上来源于或者取决于这些活动，即，这些活动会改变该项知识产权的价值</t>
    <phoneticPr fontId="7" type="noConversion"/>
  </si>
  <si>
    <t>例如企业授权客户使用其品牌，客户从该品牌获得的利益价值取决于企业为维护或提升其品牌价值而持续从事的活动。</t>
    <phoneticPr fontId="7" type="noConversion"/>
  </si>
  <si>
    <t>（2）该活动对客户将产生有利或不利影响；</t>
    <phoneticPr fontId="7" type="noConversion"/>
  </si>
  <si>
    <t>如果企业从事的后续活动并不影响授予客户的知识产权许可，那么企业的后续活动只是在改变其自己拥有的资产。虽然这些活动可能影响企业提供未来知识产权许可的能力，但将不会影响客户已控制或使用的内容。</t>
    <phoneticPr fontId="7" type="noConversion"/>
  </si>
  <si>
    <t>企业从事的这些后续活动将直接导致相关知识产权许可对客户产生影响，且这种影响既包括有利影响，也包括不利影响。</t>
    <phoneticPr fontId="7" type="noConversion"/>
  </si>
  <si>
    <t>（3）该活动不会导致向客户转让某项商品。</t>
    <phoneticPr fontId="7" type="noConversion"/>
  </si>
  <si>
    <t>企业向客户授予知识产权许可，并承诺从事与该许可相关的某些后续活动时，如果这些活动本身构成了单项履约义务，那么企业在评估授予知识产权许可是否属于在某一时段履行的履约义务时应当不予考虑。</t>
    <phoneticPr fontId="7" type="noConversion"/>
  </si>
  <si>
    <t>不应考虑下列因素：一是该许可在时间、地域、排他性以及相关知识产权消耗和使用方面的限制，这是因为这些限制界定了已承诺的许可的属性，并不能界定企业是在某一时点还是在某一时段内履行其履约义务。二是企业就其拥有的知识产权的有效性以及防止未经授权使用该知识产权许可所提供的保证，这是因为保护知识产权的承诺并不构成履约义务，该保护行为是为了保护企业知识产权资产的价值，并且就所转让的知识产权许可符合合同约定的具体要求而向客户提供保证。</t>
    <phoneticPr fontId="7" type="noConversion"/>
  </si>
  <si>
    <t>满足条件时，属于获取主体知识产权的权利
（a right to access），其存在于整个使用许可有效期内。</t>
    <phoneticPr fontId="7" type="noConversion"/>
  </si>
  <si>
    <t>3.基于销售或使用情况的特许权使用费（估计可变对价的一个例外规定）</t>
    <phoneticPr fontId="7" type="noConversion"/>
  </si>
  <si>
    <t>适用情形（任一）</t>
    <phoneticPr fontId="7" type="noConversion"/>
  </si>
  <si>
    <t>（1）特许权使用费仅与知识产权许可相关；</t>
    <phoneticPr fontId="7" type="noConversion"/>
  </si>
  <si>
    <t>（2）特许权使用费可能与合同中的知识产权许可和其他商品都相关，但是，与知识产权许可相关的部分占有主导地位。</t>
    <phoneticPr fontId="7" type="noConversion"/>
  </si>
  <si>
    <t>当企业能够合理预期，客户认为知识产权许可的价值远高于合同中与之相关的其他商品时，该知识产权许可可能是占有主导地位的。</t>
    <phoneticPr fontId="7" type="noConversion"/>
  </si>
  <si>
    <t>对于不适用该例外规定的特许权使用费，应当按照估计可变对价的一般原则进行处理。</t>
    <phoneticPr fontId="7" type="noConversion"/>
  </si>
  <si>
    <t>注：使用上述例外规定时，应当对特许权使用费整体采用该规定，而不应当将特许权使用费进行分拆，即部分采用该例外规定进行处理，</t>
    <phoneticPr fontId="7" type="noConversion"/>
  </si>
  <si>
    <t>而其他部分按照估计可变对价的一般原则进行处理。</t>
    <phoneticPr fontId="7" type="noConversion"/>
  </si>
  <si>
    <t>授予知识产权许可，是指企业授予客户对企业拥有的知识产权享有相应权利。常见的知识产权包括软件和技术、影视和音乐等的版权、特许经营权以及专利权、商标权和其他版权等。</t>
    <phoneticPr fontId="7" type="noConversion"/>
  </si>
  <si>
    <t>授予客户的知识产权许可构成单项履约义务的，企业应当根据该履约义务的性质，进一步确定其是在某一时段内履行还是在某一时点履行。</t>
    <phoneticPr fontId="7" type="noConversion"/>
  </si>
  <si>
    <t>提示：当企业与客户之间的合同同时满足合同成立的五项条件时，企业应当在客户取得相关商品控制权时确认收入。</t>
    <phoneticPr fontId="7" type="noConversion"/>
  </si>
  <si>
    <t>致同会计师事务所</t>
  </si>
  <si>
    <t>一、审计目标：</t>
  </si>
  <si>
    <t>二、审计过程：</t>
  </si>
  <si>
    <t>三、审计说明：</t>
  </si>
  <si>
    <t>四、审计结论：</t>
  </si>
  <si>
    <t>关于商业实质，应按照《企业会计准则第7 号——非货币性资产交换》的有关规定进行判断。</t>
    <phoneticPr fontId="7" type="noConversion"/>
  </si>
  <si>
    <t>索引号：</t>
    <phoneticPr fontId="7" type="noConversion"/>
  </si>
  <si>
    <t>D4-</t>
    <phoneticPr fontId="4" type="noConversion"/>
  </si>
  <si>
    <t>提示：</t>
    <phoneticPr fontId="7" type="noConversion"/>
  </si>
  <si>
    <r>
      <t>通常应当按照非现金对价</t>
    </r>
    <r>
      <rPr>
        <b/>
        <sz val="10"/>
        <rFont val="宋体"/>
        <family val="3"/>
        <charset val="134"/>
      </rPr>
      <t>在合同开始日的公允价值</t>
    </r>
    <r>
      <rPr>
        <sz val="10"/>
        <rFont val="宋体"/>
        <family val="3"/>
        <charset val="134"/>
      </rPr>
      <t>确定交易价格</t>
    </r>
    <phoneticPr fontId="7" type="noConversion"/>
  </si>
  <si>
    <r>
      <rPr>
        <sz val="10"/>
        <color rgb="FFFF0000"/>
        <rFont val="宋体"/>
        <family val="3"/>
        <charset val="134"/>
      </rPr>
      <t>低价策略</t>
    </r>
    <phoneticPr fontId="7" type="noConversion"/>
  </si>
  <si>
    <r>
      <t xml:space="preserve">仅按照合同里程碑支付的进度款，即使不必返还，也并不满足该条件。
企业有权收取的款项为保证金或仅是补偿企业已经发生的成本或可能损失的利润的不满足这一条件。
在进行判断时，既要考虑合同条款的约定，还应当充分考虑适用的法律法规、补充或者凌驾于合同条款之上的以往司法实践以及类似案例的结果等。例如，在以往的类似合同中，企业虽然拥有此类权利，却在考虑了各种因素之后没有行使该权利，这是否会导致企业主张该权利的要求在当前的法律环境下不被支持等。
</t>
    </r>
    <r>
      <rPr>
        <b/>
        <sz val="10"/>
        <color rgb="FF0000FF"/>
        <rFont val="宋体"/>
        <family val="3"/>
        <charset val="134"/>
      </rPr>
      <t>参考《收入准则应用案例——定制软件开发服务的收入确认》</t>
    </r>
    <phoneticPr fontId="7" type="noConversion"/>
  </si>
  <si>
    <r>
      <t>2.在某一时点履行履约义务【</t>
    </r>
    <r>
      <rPr>
        <b/>
        <sz val="10"/>
        <color rgb="FFFF0000"/>
        <rFont val="宋体"/>
        <family val="3"/>
        <charset val="134"/>
      </rPr>
      <t>XX业务</t>
    </r>
    <r>
      <rPr>
        <b/>
        <sz val="10"/>
        <rFont val="宋体"/>
        <family val="3"/>
        <charset val="134"/>
      </rPr>
      <t>】</t>
    </r>
    <phoneticPr fontId="7" type="noConversion"/>
  </si>
  <si>
    <r>
      <t xml:space="preserve">取得相关商品控制权，是指能够主导该商品的使用并从中获得几乎全部的经济利益。
</t>
    </r>
    <r>
      <rPr>
        <b/>
        <sz val="10"/>
        <color rgb="FF0000FF"/>
        <rFont val="宋体"/>
        <family val="3"/>
        <charset val="134"/>
      </rPr>
      <t>参考《收入准则应用案例——定制软件开发服务的收入确认》</t>
    </r>
    <phoneticPr fontId="7" type="noConversion"/>
  </si>
  <si>
    <t>地基部分的建设工作已经完成，该部分实际发生的成本是与履约义务中已经履行的部分（即建设地基）相关的支出，即该支出与企业过去的履约活动相关，根据《企业会计准则第14号——收入》（2017年修订）第二十七条的相关规定，应将其在发生时计入当期损益。
因此，截至202X年12月31日，地基部分实际发生的成本200万元应当计入当期损益。</t>
    <phoneticPr fontId="7" type="noConversion"/>
  </si>
  <si>
    <r>
      <t>1.1 在某一时段内履行履约义务【</t>
    </r>
    <r>
      <rPr>
        <b/>
        <sz val="10"/>
        <color rgb="FFFF0000"/>
        <rFont val="宋体"/>
        <family val="3"/>
        <charset val="134"/>
      </rPr>
      <t>XX业务</t>
    </r>
    <r>
      <rPr>
        <b/>
        <sz val="10"/>
        <rFont val="宋体"/>
        <family val="3"/>
        <charset val="134"/>
      </rPr>
      <t>】</t>
    </r>
    <phoneticPr fontId="7" type="noConversion"/>
  </si>
  <si>
    <t>提示：</t>
    <phoneticPr fontId="7" type="noConversion"/>
  </si>
  <si>
    <t>提示：</t>
    <phoneticPr fontId="7" type="noConversion"/>
  </si>
  <si>
    <t>（IFRS 15.B35/CAS 14.AG七（三）1）</t>
    <phoneticPr fontId="7" type="noConversion"/>
  </si>
  <si>
    <t>提示：</t>
    <phoneticPr fontId="7" type="noConversion"/>
  </si>
  <si>
    <t>提示：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</si>
</sst>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34" x14ac:knownFonts="1">
    <font>
      <sz val="11"/>
      <color theme="1"/>
      <name val="等线"/>
      <family val="2"/>
      <charset val="134"/>
      <scheme val="minor"/>
    </font>
    <font>
      <sz val="12"/>
      <name val="宋体"/>
      <family val="3"/>
      <charset val="134"/>
    </font>
    <font>
      <b/>
      <sz val="10"/>
      <name val="Arial Narrow"/>
      <family val="2"/>
    </font>
    <font>
      <b/>
      <sz val="10"/>
      <name val="宋体"/>
      <family val="3"/>
      <charset val="134"/>
    </font>
    <font>
      <sz val="9"/>
      <name val="等线"/>
      <family val="2"/>
      <charset val="134"/>
      <scheme val="minor"/>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2"/>
      <name val="Times New Roman"/>
      <family val="1"/>
    </font>
    <font>
      <sz val="12"/>
      <color rgb="FFFF0000"/>
      <name val="宋体"/>
      <family val="3"/>
      <charset val="134"/>
    </font>
    <font>
      <sz val="10"/>
      <color rgb="FFFF0000"/>
      <name val="宋体"/>
      <family val="3"/>
      <charset val="134"/>
    </font>
    <font>
      <sz val="10"/>
      <color rgb="FFFF0000"/>
      <name val="Arial Narrow"/>
      <family val="2"/>
    </font>
    <font>
      <sz val="12"/>
      <color rgb="FFDCD5E5"/>
      <name val="宋体"/>
      <family val="3"/>
      <charset val="134"/>
    </font>
    <font>
      <b/>
      <sz val="12"/>
      <color rgb="FFFF0000"/>
      <name val="宋体"/>
      <family val="3"/>
      <charset val="134"/>
    </font>
    <font>
      <sz val="12"/>
      <color rgb="FFFF0000"/>
      <name val="Arial Narrow"/>
      <family val="2"/>
    </font>
    <font>
      <b/>
      <sz val="10"/>
      <color rgb="FFFF0000"/>
      <name val="宋体"/>
      <family val="3"/>
      <charset val="134"/>
    </font>
    <font>
      <sz val="10"/>
      <color theme="1"/>
      <name val="宋体"/>
      <family val="3"/>
      <charset val="134"/>
    </font>
    <font>
      <sz val="10"/>
      <color rgb="FF0000FF"/>
      <name val="宋体"/>
      <family val="3"/>
      <charset val="134"/>
    </font>
    <font>
      <b/>
      <sz val="10"/>
      <color rgb="FF000000"/>
      <name val="宋体"/>
      <family val="3"/>
      <charset val="134"/>
    </font>
    <font>
      <sz val="10"/>
      <color rgb="FF000000"/>
      <name val="宋体"/>
      <family val="3"/>
      <charset val="134"/>
    </font>
    <font>
      <u/>
      <sz val="10"/>
      <color rgb="FFFF0000"/>
      <name val="宋体"/>
      <family val="3"/>
      <charset val="134"/>
    </font>
    <font>
      <sz val="10"/>
      <color indexed="12"/>
      <name val="宋体"/>
      <family val="3"/>
      <charset val="134"/>
    </font>
    <font>
      <b/>
      <sz val="14"/>
      <name val="宋体"/>
      <family val="3"/>
      <charset val="134"/>
    </font>
    <font>
      <sz val="10"/>
      <color rgb="FF0000FF"/>
      <name val="Arial Narrow"/>
      <family val="2"/>
    </font>
    <font>
      <sz val="10"/>
      <color rgb="FFDCD5E5"/>
      <name val="宋体"/>
      <family val="3"/>
      <charset val="134"/>
    </font>
    <font>
      <sz val="10"/>
      <color rgb="FF000000"/>
      <name val="Arial Narrow"/>
      <family val="2"/>
    </font>
    <font>
      <sz val="10"/>
      <color rgb="FFDCD5E5"/>
      <name val="Arial Narrow"/>
      <family val="2"/>
    </font>
    <font>
      <sz val="12"/>
      <color rgb="FFDCD5E5"/>
      <name val="Arial Narrow"/>
      <family val="2"/>
    </font>
    <font>
      <b/>
      <sz val="10"/>
      <color rgb="FF0000FF"/>
      <name val="宋体"/>
      <family val="3"/>
      <charset val="134"/>
    </font>
    <font>
      <sz val="10"/>
      <color theme="1"/>
      <name val="Arial Narrow"/>
      <family val="2"/>
    </font>
    <font>
      <i/>
      <sz val="10"/>
      <color rgb="FF0000FF"/>
      <name val="宋体"/>
      <family val="3"/>
      <charset val="134"/>
    </font>
  </fonts>
  <fills count="3">
    <fill>
      <patternFill patternType="none"/>
    </fill>
    <fill>
      <patternFill patternType="gray125"/>
    </fill>
    <fill>
      <patternFill patternType="solid">
        <fgColor rgb="FFDCD5E5"/>
        <bgColor indexed="64"/>
      </patternFill>
    </fill>
  </fills>
  <borders count="1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auto="1"/>
      </top>
      <bottom style="hair">
        <color auto="1"/>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right/>
      <top style="hair">
        <color auto="1"/>
      </top>
      <bottom/>
      <diagonal/>
    </border>
    <border>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9">
    <xf numFmtId="0" fontId="0" fillId="0" borderId="0">
      <alignment vertical="center"/>
    </xf>
    <xf numFmtId="0" fontId="1" fillId="0" borderId="0" applyFill="0" applyBorder="0"/>
    <xf numFmtId="0" fontId="1" fillId="0" borderId="0"/>
    <xf numFmtId="0" fontId="1" fillId="0" borderId="0">
      <protection locked="0"/>
    </xf>
    <xf numFmtId="0" fontId="11" fillId="0" borderId="0"/>
    <xf numFmtId="0" fontId="1" fillId="0" borderId="0">
      <protection locked="0"/>
    </xf>
    <xf numFmtId="9" fontId="1" fillId="0" borderId="0" applyFont="0" applyFill="0" applyBorder="0" applyAlignment="0" applyProtection="0"/>
    <xf numFmtId="43" fontId="1" fillId="0" borderId="0" applyFont="0" applyFill="0" applyBorder="0" applyAlignment="0" applyProtection="0"/>
    <xf numFmtId="0" fontId="1" fillId="0" borderId="0">
      <protection locked="0"/>
    </xf>
  </cellStyleXfs>
  <cellXfs count="195">
    <xf numFmtId="0" fontId="0" fillId="0" borderId="0" xfId="0">
      <alignment vertical="center"/>
    </xf>
    <xf numFmtId="43" fontId="10" fillId="0" borderId="0" xfId="1" applyNumberFormat="1" applyFont="1" applyBorder="1" applyAlignment="1">
      <alignment vertical="center"/>
    </xf>
    <xf numFmtId="0" fontId="3" fillId="0" borderId="0" xfId="3" applyFont="1" applyAlignment="1">
      <alignment vertical="center"/>
      <protection locked="0"/>
    </xf>
    <xf numFmtId="0" fontId="5" fillId="0" borderId="1" xfId="4" applyFont="1" applyBorder="1" applyAlignment="1">
      <alignment vertical="center" wrapText="1"/>
    </xf>
    <xf numFmtId="49" fontId="10" fillId="0" borderId="0" xfId="1" applyNumberFormat="1" applyFont="1" applyBorder="1" applyAlignment="1">
      <alignment vertical="center" wrapText="1"/>
    </xf>
    <xf numFmtId="0" fontId="10" fillId="0" borderId="0" xfId="3" applyFont="1" applyAlignment="1">
      <alignment vertical="center"/>
      <protection locked="0"/>
    </xf>
    <xf numFmtId="0" fontId="6" fillId="2" borderId="4" xfId="5" applyFont="1" applyFill="1" applyBorder="1" applyAlignment="1">
      <alignment horizontal="centerContinuous" vertical="center"/>
      <protection locked="0"/>
    </xf>
    <xf numFmtId="43" fontId="14" fillId="0" borderId="1" xfId="7" applyFont="1" applyBorder="1" applyAlignment="1" applyProtection="1">
      <alignment horizontal="center" vertical="center" wrapText="1"/>
      <protection locked="0"/>
    </xf>
    <xf numFmtId="0" fontId="16" fillId="2" borderId="1" xfId="5" applyFont="1" applyFill="1" applyBorder="1" applyAlignment="1">
      <alignment horizontal="center" vertical="center"/>
      <protection locked="0"/>
    </xf>
    <xf numFmtId="43" fontId="17" fillId="0" borderId="1" xfId="7" applyFont="1" applyBorder="1" applyAlignment="1" applyProtection="1">
      <alignment horizontal="center" vertical="center"/>
      <protection locked="0"/>
    </xf>
    <xf numFmtId="10" fontId="14" fillId="0" borderId="1" xfId="7" applyNumberFormat="1" applyFont="1" applyBorder="1" applyAlignment="1" applyProtection="1">
      <alignment horizontal="center" vertical="center" wrapText="1"/>
      <protection locked="0"/>
    </xf>
    <xf numFmtId="10" fontId="17" fillId="0" borderId="1" xfId="7" applyNumberFormat="1" applyFont="1" applyBorder="1" applyAlignment="1" applyProtection="1">
      <alignment horizontal="center" vertical="center"/>
      <protection locked="0"/>
    </xf>
    <xf numFmtId="43" fontId="14" fillId="0" borderId="1" xfId="7" applyFont="1" applyBorder="1" applyAlignment="1" applyProtection="1">
      <alignment horizontal="justify" vertical="center" wrapText="1"/>
      <protection locked="0"/>
    </xf>
    <xf numFmtId="43" fontId="17" fillId="0" borderId="1" xfId="7" applyFont="1" applyBorder="1" applyAlignment="1" applyProtection="1">
      <alignment vertical="center"/>
      <protection locked="0"/>
    </xf>
    <xf numFmtId="10" fontId="14" fillId="0" borderId="1" xfId="6" applyNumberFormat="1" applyFont="1" applyBorder="1" applyAlignment="1" applyProtection="1">
      <alignment horizontal="center" vertical="center" wrapText="1"/>
      <protection locked="0"/>
    </xf>
    <xf numFmtId="43" fontId="13" fillId="0" borderId="1" xfId="7" applyFont="1" applyBorder="1" applyAlignment="1" applyProtection="1">
      <alignment horizontal="center" vertical="center" wrapText="1"/>
      <protection locked="0"/>
    </xf>
    <xf numFmtId="43" fontId="5" fillId="0" borderId="1" xfId="7" applyFont="1" applyBorder="1" applyAlignment="1" applyProtection="1">
      <alignment horizontal="center" vertical="center" wrapText="1"/>
      <protection locked="0"/>
    </xf>
    <xf numFmtId="10" fontId="5" fillId="0" borderId="1" xfId="6" applyNumberFormat="1" applyFont="1" applyBorder="1" applyAlignment="1" applyProtection="1">
      <alignment horizontal="center" vertical="center" wrapText="1"/>
      <protection locked="0"/>
    </xf>
    <xf numFmtId="43" fontId="2" fillId="2" borderId="1" xfId="7" applyFont="1" applyFill="1" applyBorder="1" applyAlignment="1" applyProtection="1">
      <alignment horizontal="center" vertical="center" wrapText="1"/>
      <protection locked="0"/>
    </xf>
    <xf numFmtId="9" fontId="2" fillId="2" borderId="1" xfId="6" applyFont="1" applyFill="1" applyBorder="1" applyAlignment="1" applyProtection="1">
      <alignment horizontal="center" vertical="center" wrapText="1"/>
      <protection locked="0"/>
    </xf>
    <xf numFmtId="43" fontId="14" fillId="2" borderId="1" xfId="7" applyFont="1" applyFill="1" applyBorder="1" applyAlignment="1" applyProtection="1">
      <alignment horizontal="center" vertical="center" wrapText="1"/>
      <protection locked="0"/>
    </xf>
    <xf numFmtId="43" fontId="14" fillId="0" borderId="1" xfId="6" applyNumberFormat="1" applyFont="1" applyBorder="1" applyAlignment="1" applyProtection="1">
      <alignment horizontal="center" vertical="center" wrapText="1"/>
      <protection locked="0"/>
    </xf>
    <xf numFmtId="43" fontId="5" fillId="2" borderId="1" xfId="7" applyFont="1" applyFill="1" applyBorder="1" applyAlignment="1" applyProtection="1">
      <alignment horizontal="center" vertical="center" wrapText="1"/>
      <protection locked="0"/>
    </xf>
    <xf numFmtId="43" fontId="2" fillId="0" borderId="1" xfId="7" applyFont="1" applyBorder="1" applyAlignment="1" applyProtection="1">
      <alignment horizontal="center" vertical="center" wrapText="1"/>
      <protection locked="0"/>
    </xf>
    <xf numFmtId="9" fontId="14" fillId="0" borderId="1" xfId="7" applyNumberFormat="1" applyFont="1" applyBorder="1" applyAlignment="1" applyProtection="1">
      <alignment horizontal="center" vertical="center" wrapText="1"/>
      <protection locked="0"/>
    </xf>
    <xf numFmtId="43" fontId="14" fillId="0" borderId="2" xfId="7" applyFont="1" applyBorder="1" applyAlignment="1" applyProtection="1">
      <alignment vertical="center" wrapText="1"/>
      <protection locked="0"/>
    </xf>
    <xf numFmtId="10" fontId="14" fillId="0" borderId="2" xfId="6" applyNumberFormat="1" applyFont="1" applyBorder="1" applyAlignment="1" applyProtection="1">
      <alignment vertical="center" wrapText="1"/>
      <protection locked="0"/>
    </xf>
    <xf numFmtId="43" fontId="20" fillId="0" borderId="0" xfId="1" applyNumberFormat="1" applyFont="1" applyBorder="1" applyAlignment="1">
      <alignment vertical="center"/>
    </xf>
    <xf numFmtId="49" fontId="1" fillId="0" borderId="0" xfId="1" applyNumberFormat="1" applyFont="1" applyBorder="1" applyAlignment="1">
      <alignment vertical="center" wrapText="1"/>
    </xf>
    <xf numFmtId="43" fontId="1" fillId="0" borderId="0" xfId="1" applyNumberFormat="1" applyFont="1" applyBorder="1" applyAlignment="1">
      <alignment vertical="center"/>
    </xf>
    <xf numFmtId="0" fontId="10" fillId="0" borderId="0" xfId="4" applyFont="1" applyAlignment="1">
      <alignment vertical="center"/>
    </xf>
    <xf numFmtId="0" fontId="3" fillId="2" borderId="1" xfId="4" applyFont="1" applyFill="1" applyBorder="1" applyAlignment="1">
      <alignment horizontal="center" vertical="center"/>
    </xf>
    <xf numFmtId="0" fontId="10" fillId="0" borderId="1" xfId="4" applyFont="1" applyBorder="1" applyAlignment="1">
      <alignment vertical="center" wrapText="1"/>
    </xf>
    <xf numFmtId="0" fontId="23" fillId="0" borderId="0" xfId="4" applyFont="1" applyAlignment="1">
      <alignment horizontal="center" vertical="center"/>
    </xf>
    <xf numFmtId="0" fontId="13" fillId="0" borderId="1" xfId="4" applyFont="1" applyBorder="1" applyAlignment="1">
      <alignment horizontal="center" vertical="center"/>
    </xf>
    <xf numFmtId="0" fontId="10" fillId="0" borderId="1" xfId="4" applyFont="1" applyBorder="1" applyAlignment="1">
      <alignment vertical="center"/>
    </xf>
    <xf numFmtId="0" fontId="21" fillId="2" borderId="1" xfId="5" applyFont="1" applyFill="1" applyBorder="1" applyAlignment="1">
      <alignment horizontal="center" vertical="center" wrapText="1"/>
      <protection locked="0"/>
    </xf>
    <xf numFmtId="0" fontId="22" fillId="2" borderId="1" xfId="5" applyFont="1" applyFill="1" applyBorder="1" applyAlignment="1">
      <alignment horizontal="justify" vertical="center" wrapText="1"/>
      <protection locked="0"/>
    </xf>
    <xf numFmtId="0" fontId="10" fillId="0" borderId="0" xfId="3" applyFont="1" applyAlignment="1">
      <alignment horizontal="center" vertical="center" wrapText="1"/>
      <protection locked="0"/>
    </xf>
    <xf numFmtId="0" fontId="1" fillId="0" borderId="0" xfId="5" applyFont="1">
      <protection locked="0"/>
    </xf>
    <xf numFmtId="43" fontId="24" fillId="0" borderId="0" xfId="1" applyNumberFormat="1" applyFont="1" applyBorder="1" applyAlignment="1">
      <alignment vertical="center"/>
    </xf>
    <xf numFmtId="49" fontId="24" fillId="0" borderId="0" xfId="1" applyNumberFormat="1" applyFont="1" applyBorder="1" applyAlignment="1">
      <alignment vertical="center"/>
    </xf>
    <xf numFmtId="49" fontId="10" fillId="0" borderId="0" xfId="1" applyNumberFormat="1" applyFont="1" applyBorder="1" applyAlignment="1">
      <alignment vertical="center"/>
    </xf>
    <xf numFmtId="0" fontId="10" fillId="0" borderId="0" xfId="5" applyFont="1">
      <protection locked="0"/>
    </xf>
    <xf numFmtId="43" fontId="10" fillId="0" borderId="0" xfId="1" applyNumberFormat="1" applyFont="1" applyBorder="1" applyAlignment="1">
      <alignment horizontal="right" vertical="center"/>
    </xf>
    <xf numFmtId="49" fontId="20" fillId="0" borderId="0" xfId="1" applyNumberFormat="1" applyFont="1" applyBorder="1" applyAlignment="1">
      <alignment vertical="center" wrapText="1"/>
    </xf>
    <xf numFmtId="43" fontId="26" fillId="0" borderId="0" xfId="1" applyNumberFormat="1" applyFont="1" applyBorder="1" applyAlignment="1">
      <alignment vertical="center"/>
    </xf>
    <xf numFmtId="0" fontId="21" fillId="2" borderId="1" xfId="5" applyFont="1" applyFill="1" applyBorder="1" applyAlignment="1">
      <alignment horizontal="justify" vertical="center" wrapText="1"/>
      <protection locked="0"/>
    </xf>
    <xf numFmtId="0" fontId="21" fillId="2" borderId="2" xfId="5" applyFont="1" applyFill="1" applyBorder="1" applyAlignment="1">
      <alignment horizontal="centerContinuous" vertical="center"/>
      <protection locked="0"/>
    </xf>
    <xf numFmtId="0" fontId="10" fillId="2" borderId="4" xfId="4" applyFont="1" applyFill="1" applyBorder="1" applyAlignment="1">
      <alignment horizontal="centerContinuous" vertical="center"/>
    </xf>
    <xf numFmtId="0" fontId="1" fillId="2" borderId="4" xfId="5" applyFont="1" applyFill="1" applyBorder="1" applyAlignment="1">
      <alignment horizontal="centerContinuous" vertical="center"/>
      <protection locked="0"/>
    </xf>
    <xf numFmtId="0" fontId="22" fillId="2" borderId="4" xfId="5" applyFont="1" applyFill="1" applyBorder="1" applyAlignment="1">
      <alignment horizontal="centerContinuous" vertical="center"/>
      <protection locked="0"/>
    </xf>
    <xf numFmtId="0" fontId="10" fillId="2" borderId="3" xfId="4" applyFont="1" applyFill="1" applyBorder="1" applyAlignment="1">
      <alignment horizontal="centerContinuous" vertical="center"/>
    </xf>
    <xf numFmtId="10" fontId="13" fillId="0" borderId="1" xfId="6" applyNumberFormat="1" applyFont="1" applyBorder="1" applyAlignment="1" applyProtection="1">
      <alignment horizontal="center" vertical="center" wrapText="1"/>
      <protection locked="0"/>
    </xf>
    <xf numFmtId="0" fontId="13" fillId="0" borderId="1" xfId="5" applyFont="1" applyBorder="1" applyAlignment="1">
      <alignment horizontal="center" vertical="center" wrapText="1"/>
      <protection locked="0"/>
    </xf>
    <xf numFmtId="0" fontId="18" fillId="2" borderId="1" xfId="5" applyFont="1" applyFill="1" applyBorder="1" applyAlignment="1">
      <alignment horizontal="center" vertical="center" wrapText="1"/>
      <protection locked="0"/>
    </xf>
    <xf numFmtId="0" fontId="21" fillId="2" borderId="13" xfId="5" applyFont="1" applyFill="1" applyBorder="1" applyAlignment="1">
      <alignment horizontal="justify" vertical="center" wrapText="1"/>
      <protection locked="0"/>
    </xf>
    <xf numFmtId="0" fontId="22" fillId="0" borderId="1" xfId="5" applyFont="1" applyBorder="1" applyAlignment="1">
      <alignment horizontal="justify" vertical="center" wrapText="1"/>
      <protection locked="0"/>
    </xf>
    <xf numFmtId="0" fontId="27" fillId="0" borderId="1" xfId="5" applyFont="1" applyBorder="1" applyAlignment="1" applyProtection="1">
      <alignment horizontal="center" vertical="center" wrapText="1"/>
    </xf>
    <xf numFmtId="43" fontId="10" fillId="0" borderId="1" xfId="7" applyFont="1" applyBorder="1" applyAlignment="1" applyProtection="1">
      <alignment horizontal="center" vertical="center" wrapText="1"/>
      <protection locked="0"/>
    </xf>
    <xf numFmtId="10" fontId="10" fillId="0" borderId="1" xfId="6" applyNumberFormat="1" applyFont="1" applyBorder="1" applyAlignment="1" applyProtection="1">
      <alignment horizontal="center" vertical="center" wrapText="1"/>
      <protection locked="0"/>
    </xf>
    <xf numFmtId="43" fontId="3" fillId="2" borderId="1" xfId="7" applyFont="1" applyFill="1" applyBorder="1" applyAlignment="1" applyProtection="1">
      <alignment horizontal="center" vertical="center" wrapText="1"/>
    </xf>
    <xf numFmtId="43" fontId="3" fillId="2" borderId="1" xfId="7" applyFont="1" applyFill="1" applyBorder="1" applyAlignment="1" applyProtection="1">
      <alignment horizontal="center" vertical="center" wrapText="1"/>
      <protection locked="0"/>
    </xf>
    <xf numFmtId="9" fontId="3" fillId="2" borderId="1" xfId="6" applyFont="1" applyFill="1" applyBorder="1" applyAlignment="1" applyProtection="1">
      <alignment horizontal="center" vertical="center" wrapText="1"/>
      <protection locked="0"/>
    </xf>
    <xf numFmtId="0" fontId="10" fillId="0" borderId="0" xfId="4" applyFont="1" applyAlignment="1">
      <alignment horizontal="center" vertical="center"/>
    </xf>
    <xf numFmtId="0" fontId="13" fillId="0" borderId="1" xfId="5" applyFont="1" applyBorder="1" applyAlignment="1">
      <alignment horizontal="justify" vertical="center" wrapText="1"/>
      <protection locked="0"/>
    </xf>
    <xf numFmtId="0" fontId="22" fillId="2" borderId="2" xfId="5" applyFont="1" applyFill="1" applyBorder="1" applyAlignment="1">
      <alignment vertical="center"/>
      <protection locked="0"/>
    </xf>
    <xf numFmtId="0" fontId="3" fillId="2" borderId="1" xfId="4" applyFont="1" applyFill="1" applyBorder="1" applyAlignment="1">
      <alignment horizontal="center" vertical="center" wrapText="1"/>
    </xf>
    <xf numFmtId="43" fontId="33" fillId="0" borderId="0" xfId="1" applyNumberFormat="1" applyFont="1" applyBorder="1" applyAlignment="1">
      <alignment vertical="center"/>
    </xf>
    <xf numFmtId="0" fontId="14" fillId="0" borderId="1" xfId="5" applyFont="1" applyBorder="1" applyAlignment="1">
      <alignment horizontal="center" vertical="center" wrapText="1"/>
      <protection locked="0"/>
    </xf>
    <xf numFmtId="0" fontId="10" fillId="0" borderId="1" xfId="4" applyFont="1" applyBorder="1" applyAlignment="1">
      <alignment horizontal="center" vertical="center"/>
    </xf>
    <xf numFmtId="0" fontId="10" fillId="0" borderId="0" xfId="8" applyNumberFormat="1" applyFont="1" applyAlignment="1">
      <alignment vertical="center"/>
      <protection locked="0"/>
    </xf>
    <xf numFmtId="0" fontId="21" fillId="2" borderId="1" xfId="5" applyFont="1" applyFill="1" applyBorder="1" applyAlignment="1">
      <alignment horizontal="center" vertical="center" wrapText="1"/>
      <protection locked="0"/>
    </xf>
    <xf numFmtId="0" fontId="10" fillId="2" borderId="1" xfId="5" applyFont="1" applyFill="1" applyBorder="1" applyAlignment="1">
      <alignment vertical="center"/>
      <protection locked="0"/>
    </xf>
    <xf numFmtId="0" fontId="21" fillId="2" borderId="2" xfId="5" applyFont="1" applyFill="1" applyBorder="1" applyAlignment="1">
      <alignment horizontal="center" vertical="center" wrapText="1"/>
      <protection locked="0"/>
    </xf>
    <xf numFmtId="0" fontId="3" fillId="2" borderId="3" xfId="5" applyFont="1" applyFill="1" applyBorder="1" applyAlignment="1">
      <alignment horizontal="center" vertical="center"/>
      <protection locked="0"/>
    </xf>
    <xf numFmtId="43" fontId="6" fillId="0" borderId="0" xfId="1" applyNumberFormat="1" applyFont="1" applyBorder="1" applyAlignment="1">
      <alignment horizontal="center" vertical="center"/>
    </xf>
    <xf numFmtId="43" fontId="25" fillId="0" borderId="0" xfId="1" applyNumberFormat="1" applyFont="1" applyBorder="1" applyAlignment="1">
      <alignment horizontal="center" vertical="center"/>
    </xf>
    <xf numFmtId="0" fontId="3" fillId="0" borderId="0" xfId="2" applyFont="1" applyAlignment="1">
      <alignment horizontal="left" vertical="center"/>
    </xf>
    <xf numFmtId="0" fontId="10" fillId="0" borderId="0" xfId="3" applyFont="1" applyAlignment="1">
      <alignment vertical="center" wrapText="1"/>
      <protection locked="0"/>
    </xf>
    <xf numFmtId="0" fontId="21" fillId="2" borderId="1" xfId="5" applyFont="1" applyFill="1" applyBorder="1" applyAlignment="1">
      <alignment horizontal="justify" vertical="center" wrapText="1"/>
      <protection locked="0"/>
    </xf>
    <xf numFmtId="0" fontId="3" fillId="2" borderId="1" xfId="5" applyFont="1" applyFill="1" applyBorder="1" applyAlignment="1">
      <alignment vertical="center"/>
      <protection locked="0"/>
    </xf>
    <xf numFmtId="0" fontId="10" fillId="2" borderId="2" xfId="4" applyFont="1" applyFill="1" applyBorder="1" applyAlignment="1">
      <alignment vertical="center" wrapText="1"/>
    </xf>
    <xf numFmtId="0" fontId="10" fillId="2" borderId="3" xfId="5" applyFont="1" applyFill="1" applyBorder="1" applyAlignment="1">
      <alignment vertical="center" wrapText="1"/>
      <protection locked="0"/>
    </xf>
    <xf numFmtId="0" fontId="22" fillId="2" borderId="1" xfId="5" applyFont="1" applyFill="1" applyBorder="1" applyAlignment="1">
      <alignment horizontal="justify" vertical="center" wrapText="1"/>
      <protection locked="0"/>
    </xf>
    <xf numFmtId="0" fontId="10" fillId="0" borderId="2" xfId="4" applyFont="1" applyBorder="1" applyAlignment="1">
      <alignment vertical="center" wrapText="1"/>
    </xf>
    <xf numFmtId="0" fontId="10" fillId="0" borderId="3" xfId="5" applyFont="1" applyBorder="1" applyAlignment="1">
      <alignment vertical="center" wrapText="1"/>
      <protection locked="0"/>
    </xf>
    <xf numFmtId="0" fontId="22" fillId="0" borderId="2" xfId="5" applyFont="1" applyBorder="1" applyAlignment="1">
      <alignment vertical="center" wrapText="1"/>
      <protection locked="0"/>
    </xf>
    <xf numFmtId="0" fontId="10" fillId="0" borderId="4" xfId="5" applyFont="1" applyBorder="1" applyAlignment="1">
      <alignment vertical="center"/>
      <protection locked="0"/>
    </xf>
    <xf numFmtId="0" fontId="10" fillId="0" borderId="3" xfId="5" applyFont="1" applyBorder="1" applyAlignment="1">
      <alignment vertical="center"/>
      <protection locked="0"/>
    </xf>
    <xf numFmtId="0" fontId="10" fillId="2" borderId="1" xfId="5" applyFont="1" applyFill="1" applyBorder="1" applyAlignment="1">
      <alignment horizontal="center" vertical="center" wrapText="1"/>
      <protection locked="0"/>
    </xf>
    <xf numFmtId="0" fontId="10" fillId="2" borderId="1" xfId="5" applyFont="1" applyFill="1" applyBorder="1" applyAlignment="1">
      <alignment horizontal="justify" vertical="center" wrapText="1"/>
      <protection locked="0"/>
    </xf>
    <xf numFmtId="0" fontId="13" fillId="0" borderId="1" xfId="5" applyFont="1" applyBorder="1" applyAlignment="1">
      <alignment horizontal="justify" vertical="center" wrapText="1"/>
      <protection locked="0"/>
    </xf>
    <xf numFmtId="0" fontId="13" fillId="0" borderId="1" xfId="5" applyFont="1" applyBorder="1" applyAlignment="1">
      <alignment vertical="center"/>
      <protection locked="0"/>
    </xf>
    <xf numFmtId="0" fontId="22" fillId="0" borderId="1" xfId="5" applyFont="1" applyBorder="1" applyAlignment="1">
      <alignment horizontal="justify" vertical="center" wrapText="1"/>
      <protection locked="0"/>
    </xf>
    <xf numFmtId="0" fontId="10" fillId="0" borderId="1" xfId="5" applyFont="1" applyBorder="1" applyAlignment="1">
      <alignment vertical="center"/>
      <protection locked="0"/>
    </xf>
    <xf numFmtId="0" fontId="3" fillId="0" borderId="3" xfId="5" applyFont="1" applyBorder="1" applyAlignment="1">
      <alignment horizontal="center" vertical="center" wrapText="1"/>
      <protection locked="0"/>
    </xf>
    <xf numFmtId="0" fontId="10" fillId="0" borderId="4" xfId="5" applyFont="1" applyBorder="1" applyAlignment="1">
      <alignment vertical="center" wrapText="1"/>
      <protection locked="0"/>
    </xf>
    <xf numFmtId="0" fontId="13" fillId="0" borderId="0" xfId="3" applyFont="1" applyAlignment="1">
      <alignment horizontal="left" vertical="center" wrapText="1"/>
      <protection locked="0"/>
    </xf>
    <xf numFmtId="0" fontId="22" fillId="2" borderId="2" xfId="5" applyFont="1" applyFill="1" applyBorder="1" applyAlignment="1">
      <alignment horizontal="justify" vertical="center" wrapText="1"/>
      <protection locked="0"/>
    </xf>
    <xf numFmtId="0" fontId="10" fillId="0" borderId="3" xfId="5" applyFont="1" applyBorder="1" applyAlignment="1">
      <alignment horizontal="justify" vertical="center" wrapText="1"/>
      <protection locked="0"/>
    </xf>
    <xf numFmtId="0" fontId="10" fillId="0" borderId="4" xfId="5" applyFont="1" applyBorder="1" applyAlignment="1">
      <alignment horizontal="justify" vertical="center" wrapText="1"/>
      <protection locked="0"/>
    </xf>
    <xf numFmtId="0" fontId="10" fillId="0" borderId="0" xfId="3" applyFont="1" applyAlignment="1">
      <alignment horizontal="left" vertical="center" wrapText="1"/>
      <protection locked="0"/>
    </xf>
    <xf numFmtId="0" fontId="1" fillId="0" borderId="4" xfId="5" applyFont="1" applyBorder="1" applyAlignment="1">
      <alignment vertical="center"/>
      <protection locked="0"/>
    </xf>
    <xf numFmtId="0" fontId="1" fillId="0" borderId="3" xfId="5" applyFont="1" applyBorder="1" applyAlignment="1">
      <alignment vertical="center"/>
      <protection locked="0"/>
    </xf>
    <xf numFmtId="0" fontId="6" fillId="2" borderId="3" xfId="5" applyFont="1" applyFill="1" applyBorder="1" applyAlignment="1">
      <alignment horizontal="center" vertical="center"/>
      <protection locked="0"/>
    </xf>
    <xf numFmtId="43" fontId="25" fillId="0" borderId="0" xfId="1" applyNumberFormat="1" applyFont="1" applyBorder="1" applyAlignment="1">
      <alignment horizontal="center" vertical="center" wrapText="1"/>
    </xf>
    <xf numFmtId="0" fontId="1" fillId="2" borderId="1" xfId="5" applyFont="1" applyFill="1" applyBorder="1" applyAlignment="1">
      <alignment vertical="center"/>
      <protection locked="0"/>
    </xf>
    <xf numFmtId="0" fontId="1" fillId="0" borderId="3" xfId="5" applyFont="1" applyBorder="1" applyAlignment="1">
      <alignment vertical="center" wrapText="1"/>
      <protection locked="0"/>
    </xf>
    <xf numFmtId="0" fontId="22" fillId="2" borderId="5" xfId="5" applyFont="1" applyFill="1" applyBorder="1" applyAlignment="1">
      <alignment horizontal="justify" vertical="center" wrapText="1"/>
      <protection locked="0"/>
    </xf>
    <xf numFmtId="0" fontId="1" fillId="2" borderId="6" xfId="5" applyFont="1" applyFill="1" applyBorder="1" applyAlignment="1">
      <alignment vertical="center"/>
      <protection locked="0"/>
    </xf>
    <xf numFmtId="0" fontId="1" fillId="0" borderId="7" xfId="5" applyFont="1" applyBorder="1" applyAlignment="1">
      <alignment vertical="center"/>
      <protection locked="0"/>
    </xf>
    <xf numFmtId="0" fontId="1" fillId="0" borderId="8" xfId="5" applyFont="1" applyBorder="1" applyAlignment="1">
      <alignment vertical="center"/>
      <protection locked="0"/>
    </xf>
    <xf numFmtId="0" fontId="1" fillId="0" borderId="9" xfId="5" applyFont="1" applyBorder="1" applyAlignment="1">
      <alignment vertical="center"/>
      <protection locked="0"/>
    </xf>
    <xf numFmtId="0" fontId="1" fillId="0" borderId="10" xfId="5" applyFont="1" applyBorder="1" applyAlignment="1">
      <alignment vertical="center"/>
      <protection locked="0"/>
    </xf>
    <xf numFmtId="0" fontId="1" fillId="2" borderId="1" xfId="5" applyFont="1" applyFill="1" applyBorder="1" applyAlignment="1">
      <alignment horizontal="center" vertical="center" wrapText="1"/>
      <protection locked="0"/>
    </xf>
    <xf numFmtId="0" fontId="1" fillId="2" borderId="1" xfId="5" applyFont="1" applyFill="1" applyBorder="1" applyAlignment="1">
      <alignment horizontal="justify" vertical="center" wrapText="1"/>
      <protection locked="0"/>
    </xf>
    <xf numFmtId="0" fontId="12" fillId="0" borderId="1" xfId="5" applyFont="1" applyBorder="1" applyAlignment="1">
      <alignment vertical="center"/>
      <protection locked="0"/>
    </xf>
    <xf numFmtId="0" fontId="10" fillId="2" borderId="2" xfId="5" applyFont="1" applyFill="1" applyBorder="1" applyAlignment="1">
      <alignment vertical="center" wrapText="1"/>
      <protection locked="0"/>
    </xf>
    <xf numFmtId="0" fontId="10" fillId="2" borderId="4" xfId="5" applyFont="1" applyFill="1" applyBorder="1" applyAlignment="1">
      <alignment vertical="center" wrapText="1"/>
      <protection locked="0"/>
    </xf>
    <xf numFmtId="0" fontId="1" fillId="0" borderId="6" xfId="5" applyFont="1" applyBorder="1" applyAlignment="1">
      <alignment vertical="center"/>
      <protection locked="0"/>
    </xf>
    <xf numFmtId="0" fontId="6" fillId="2" borderId="1" xfId="5" applyFont="1" applyFill="1" applyBorder="1" applyAlignment="1">
      <alignment horizontal="justify" vertical="center" wrapText="1"/>
      <protection locked="0"/>
    </xf>
    <xf numFmtId="0" fontId="21" fillId="2" borderId="5" xfId="5" applyFont="1" applyFill="1" applyBorder="1" applyAlignment="1">
      <alignment horizontal="justify" vertical="center" wrapText="1"/>
      <protection locked="0"/>
    </xf>
    <xf numFmtId="0" fontId="21" fillId="2" borderId="11" xfId="5" applyFont="1" applyFill="1" applyBorder="1" applyAlignment="1">
      <alignment horizontal="justify" vertical="center" wrapText="1"/>
      <protection locked="0"/>
    </xf>
    <xf numFmtId="0" fontId="6" fillId="2" borderId="6" xfId="5" applyFont="1" applyFill="1" applyBorder="1" applyAlignment="1">
      <alignment horizontal="justify" vertical="center" wrapText="1"/>
      <protection locked="0"/>
    </xf>
    <xf numFmtId="0" fontId="1" fillId="0" borderId="9" xfId="5" applyFont="1" applyBorder="1" applyAlignment="1">
      <alignment horizontal="justify" vertical="center" wrapText="1"/>
      <protection locked="0"/>
    </xf>
    <xf numFmtId="0" fontId="1" fillId="0" borderId="12" xfId="5" applyFont="1" applyBorder="1" applyAlignment="1">
      <alignment horizontal="justify" vertical="center" wrapText="1"/>
      <protection locked="0"/>
    </xf>
    <xf numFmtId="0" fontId="1" fillId="0" borderId="10" xfId="5" applyFont="1" applyBorder="1" applyAlignment="1">
      <alignment horizontal="justify" vertical="center" wrapText="1"/>
      <protection locked="0"/>
    </xf>
    <xf numFmtId="49" fontId="10" fillId="0" borderId="7" xfId="1" applyNumberFormat="1" applyFont="1" applyBorder="1" applyAlignment="1">
      <alignment vertical="center" wrapText="1"/>
    </xf>
    <xf numFmtId="49" fontId="1" fillId="0" borderId="7" xfId="5" applyNumberFormat="1" applyFont="1" applyBorder="1" applyAlignment="1">
      <alignment vertical="center" wrapText="1"/>
      <protection locked="0"/>
    </xf>
    <xf numFmtId="0" fontId="27" fillId="2" borderId="2" xfId="5" applyFont="1" applyFill="1" applyBorder="1" applyAlignment="1" applyProtection="1">
      <alignment horizontal="center" vertical="center" wrapText="1"/>
    </xf>
    <xf numFmtId="0" fontId="15" fillId="2" borderId="3" xfId="5" applyFont="1" applyFill="1" applyBorder="1" applyAlignment="1" applyProtection="1">
      <alignment horizontal="center" vertical="center" wrapText="1"/>
    </xf>
    <xf numFmtId="0" fontId="6" fillId="2" borderId="1" xfId="5" applyFont="1" applyFill="1" applyBorder="1" applyAlignment="1">
      <alignment horizontal="center" vertical="center" wrapText="1"/>
      <protection locked="0"/>
    </xf>
    <xf numFmtId="0" fontId="21" fillId="2" borderId="2" xfId="5" applyFont="1" applyFill="1" applyBorder="1" applyAlignment="1">
      <alignment horizontal="left" vertical="center" wrapText="1"/>
      <protection locked="0"/>
    </xf>
    <xf numFmtId="0" fontId="21" fillId="2" borderId="4" xfId="5" applyFont="1" applyFill="1" applyBorder="1" applyAlignment="1">
      <alignment horizontal="left" vertical="center" wrapText="1"/>
      <protection locked="0"/>
    </xf>
    <xf numFmtId="0" fontId="6" fillId="2" borderId="3" xfId="5" applyFont="1" applyFill="1" applyBorder="1" applyAlignment="1">
      <alignment horizontal="left" vertical="center" wrapText="1"/>
      <protection locked="0"/>
    </xf>
    <xf numFmtId="0" fontId="21" fillId="2" borderId="13" xfId="5" applyFont="1" applyFill="1" applyBorder="1" applyAlignment="1">
      <alignment horizontal="justify" vertical="center" wrapText="1"/>
      <protection locked="0"/>
    </xf>
    <xf numFmtId="0" fontId="1" fillId="0" borderId="14" xfId="5" applyFont="1" applyBorder="1" applyAlignment="1">
      <alignment horizontal="justify" vertical="center" wrapText="1"/>
      <protection locked="0"/>
    </xf>
    <xf numFmtId="0" fontId="12" fillId="0" borderId="1" xfId="5" applyFont="1" applyBorder="1" applyAlignment="1">
      <alignment horizontal="justify" vertical="center" wrapText="1"/>
      <protection locked="0"/>
    </xf>
    <xf numFmtId="0" fontId="1" fillId="0" borderId="1" xfId="5" applyFont="1" applyBorder="1" applyAlignment="1">
      <alignment horizontal="justify" vertical="center" wrapText="1"/>
      <protection locked="0"/>
    </xf>
    <xf numFmtId="0" fontId="21" fillId="2" borderId="4" xfId="5" applyFont="1" applyFill="1" applyBorder="1" applyAlignment="1">
      <alignment horizontal="center" vertical="center" wrapText="1"/>
      <protection locked="0"/>
    </xf>
    <xf numFmtId="0" fontId="6" fillId="2" borderId="3" xfId="5" applyFont="1" applyFill="1" applyBorder="1" applyAlignment="1">
      <alignment horizontal="center" vertical="center" wrapText="1"/>
      <protection locked="0"/>
    </xf>
    <xf numFmtId="0" fontId="28" fillId="2" borderId="1" xfId="5" applyFont="1" applyFill="1" applyBorder="1" applyAlignment="1">
      <alignment horizontal="justify" vertical="center" wrapText="1"/>
      <protection locked="0"/>
    </xf>
    <xf numFmtId="0" fontId="9" fillId="2" borderId="1" xfId="5" applyFont="1" applyFill="1" applyBorder="1" applyAlignment="1">
      <alignment horizontal="justify" vertical="center" wrapText="1"/>
      <protection locked="0"/>
    </xf>
    <xf numFmtId="0" fontId="29" fillId="2" borderId="2" xfId="5" applyFont="1" applyFill="1" applyBorder="1" applyAlignment="1" applyProtection="1">
      <alignment horizontal="center" vertical="center" wrapText="1"/>
    </xf>
    <xf numFmtId="0" fontId="30" fillId="2" borderId="3" xfId="5" applyFont="1" applyFill="1" applyBorder="1" applyAlignment="1" applyProtection="1">
      <alignment horizontal="center" vertical="center" wrapText="1"/>
    </xf>
    <xf numFmtId="43" fontId="2" fillId="0" borderId="2" xfId="7" applyFont="1" applyFill="1" applyBorder="1" applyAlignment="1" applyProtection="1">
      <alignment horizontal="center" vertical="center" wrapText="1"/>
    </xf>
    <xf numFmtId="43" fontId="8" fillId="0" borderId="3" xfId="7" applyFont="1" applyFill="1" applyBorder="1" applyAlignment="1" applyProtection="1">
      <alignment horizontal="center" vertical="center" wrapText="1"/>
    </xf>
    <xf numFmtId="43" fontId="3" fillId="0" borderId="2" xfId="7" applyFont="1" applyFill="1" applyBorder="1" applyAlignment="1" applyProtection="1">
      <alignment horizontal="center" vertical="center" wrapText="1"/>
    </xf>
    <xf numFmtId="43" fontId="6" fillId="0" borderId="3" xfId="7" applyFont="1" applyFill="1" applyBorder="1" applyAlignment="1" applyProtection="1">
      <alignment horizontal="center" vertical="center" wrapText="1"/>
    </xf>
    <xf numFmtId="0" fontId="10" fillId="0" borderId="3" xfId="5" applyFont="1" applyBorder="1" applyAlignment="1">
      <alignment horizontal="center" vertical="center" wrapText="1"/>
      <protection locked="0"/>
    </xf>
    <xf numFmtId="0" fontId="10" fillId="0" borderId="4" xfId="5" applyFont="1" applyBorder="1" applyAlignment="1">
      <alignment horizontal="center" vertical="center" wrapText="1"/>
      <protection locked="0"/>
    </xf>
    <xf numFmtId="0" fontId="22" fillId="0" borderId="2" xfId="5" applyFont="1" applyBorder="1" applyAlignment="1">
      <alignment horizontal="center" vertical="center" wrapText="1"/>
      <protection locked="0"/>
    </xf>
    <xf numFmtId="0" fontId="10" fillId="0" borderId="4" xfId="5" applyFont="1" applyBorder="1" applyAlignment="1">
      <alignment horizontal="center" vertical="center"/>
      <protection locked="0"/>
    </xf>
    <xf numFmtId="0" fontId="10" fillId="0" borderId="3" xfId="5" applyFont="1" applyBorder="1" applyAlignment="1">
      <alignment horizontal="center" vertical="center"/>
      <protection locked="0"/>
    </xf>
    <xf numFmtId="0" fontId="3" fillId="2" borderId="2" xfId="4" applyFont="1" applyFill="1" applyBorder="1" applyAlignment="1">
      <alignment horizontal="center" vertical="center"/>
    </xf>
    <xf numFmtId="0" fontId="13" fillId="0" borderId="5" xfId="5" applyFont="1" applyBorder="1" applyAlignment="1">
      <alignment vertical="center" wrapText="1"/>
      <protection locked="0"/>
    </xf>
    <xf numFmtId="0" fontId="10" fillId="0" borderId="11" xfId="5" applyFont="1" applyBorder="1" applyAlignment="1">
      <alignment vertical="center"/>
      <protection locked="0"/>
    </xf>
    <xf numFmtId="0" fontId="10" fillId="0" borderId="6" xfId="5" applyFont="1" applyBorder="1" applyAlignment="1">
      <alignment vertical="center"/>
      <protection locked="0"/>
    </xf>
    <xf numFmtId="0" fontId="10" fillId="0" borderId="9" xfId="5" applyFont="1" applyBorder="1" applyAlignment="1">
      <alignment vertical="center"/>
      <protection locked="0"/>
    </xf>
    <xf numFmtId="0" fontId="10" fillId="0" borderId="12" xfId="5" applyFont="1" applyBorder="1" applyAlignment="1">
      <alignment vertical="center"/>
      <protection locked="0"/>
    </xf>
    <xf numFmtId="0" fontId="10" fillId="0" borderId="10" xfId="5" applyFont="1" applyBorder="1" applyAlignment="1">
      <alignment vertical="center"/>
      <protection locked="0"/>
    </xf>
    <xf numFmtId="0" fontId="3" fillId="2" borderId="3" xfId="5" applyFont="1" applyFill="1" applyBorder="1" applyAlignment="1">
      <alignment horizontal="center" vertical="center" wrapText="1"/>
      <protection locked="0"/>
    </xf>
    <xf numFmtId="0" fontId="10" fillId="0" borderId="13" xfId="4" applyFont="1" applyBorder="1" applyAlignment="1">
      <alignment vertical="center" wrapText="1"/>
    </xf>
    <xf numFmtId="0" fontId="10" fillId="0" borderId="14" xfId="5" applyFont="1" applyBorder="1" applyAlignment="1">
      <alignment vertical="center" wrapText="1"/>
      <protection locked="0"/>
    </xf>
    <xf numFmtId="0" fontId="10" fillId="0" borderId="1" xfId="5" applyFont="1" applyBorder="1" applyAlignment="1">
      <alignment horizontal="justify" vertical="center" wrapText="1"/>
      <protection locked="0"/>
    </xf>
    <xf numFmtId="49" fontId="13" fillId="0" borderId="2" xfId="7" applyNumberFormat="1" applyFont="1" applyBorder="1" applyAlignment="1" applyProtection="1">
      <alignment vertical="center" wrapText="1"/>
      <protection locked="0"/>
    </xf>
    <xf numFmtId="49" fontId="13" fillId="0" borderId="4" xfId="5" applyNumberFormat="1" applyFont="1" applyBorder="1" applyAlignment="1">
      <alignment vertical="center" wrapText="1"/>
      <protection locked="0"/>
    </xf>
    <xf numFmtId="49" fontId="13" fillId="0" borderId="3" xfId="5" applyNumberFormat="1" applyFont="1" applyBorder="1" applyAlignment="1">
      <alignment vertical="center" wrapText="1"/>
      <protection locked="0"/>
    </xf>
    <xf numFmtId="43" fontId="14" fillId="0" borderId="1" xfId="7" applyFont="1" applyBorder="1" applyAlignment="1" applyProtection="1">
      <alignment horizontal="center" vertical="center" wrapText="1"/>
      <protection locked="0"/>
    </xf>
    <xf numFmtId="0" fontId="5" fillId="0" borderId="1" xfId="5" applyFont="1" applyBorder="1" applyAlignment="1">
      <alignment vertical="center"/>
      <protection locked="0"/>
    </xf>
    <xf numFmtId="43" fontId="13" fillId="0" borderId="1" xfId="7" applyFont="1" applyBorder="1" applyAlignment="1" applyProtection="1">
      <alignment horizontal="center" vertical="center" wrapText="1"/>
      <protection locked="0"/>
    </xf>
    <xf numFmtId="0" fontId="10" fillId="0" borderId="1" xfId="5" applyFont="1" applyBorder="1" applyAlignment="1">
      <alignment horizontal="center" vertical="center" wrapText="1"/>
      <protection locked="0"/>
    </xf>
    <xf numFmtId="0" fontId="21" fillId="2" borderId="13" xfId="5" applyFont="1" applyFill="1" applyBorder="1" applyAlignment="1">
      <alignment horizontal="center" vertical="center" wrapText="1"/>
      <protection locked="0"/>
    </xf>
    <xf numFmtId="0" fontId="10" fillId="0" borderId="14" xfId="5" applyFont="1" applyBorder="1" applyAlignment="1">
      <alignment horizontal="center" vertical="center" wrapText="1"/>
      <protection locked="0"/>
    </xf>
    <xf numFmtId="49" fontId="20" fillId="0" borderId="7" xfId="1" applyNumberFormat="1" applyFont="1" applyBorder="1" applyAlignment="1">
      <alignment vertical="center" wrapText="1"/>
    </xf>
    <xf numFmtId="0" fontId="20" fillId="0" borderId="7" xfId="5" applyFont="1" applyBorder="1" applyAlignment="1">
      <alignment vertical="center" wrapText="1"/>
      <protection locked="0"/>
    </xf>
    <xf numFmtId="43" fontId="14" fillId="0" borderId="2" xfId="7" applyFont="1" applyBorder="1" applyAlignment="1" applyProtection="1">
      <alignment vertical="center" wrapText="1"/>
      <protection locked="0"/>
    </xf>
    <xf numFmtId="43" fontId="32" fillId="0" borderId="3" xfId="7" applyFont="1" applyBorder="1" applyAlignment="1" applyProtection="1">
      <alignment vertical="center" wrapText="1"/>
      <protection locked="0"/>
    </xf>
    <xf numFmtId="49" fontId="22" fillId="0" borderId="2" xfId="5" applyNumberFormat="1" applyFont="1" applyBorder="1" applyAlignment="1">
      <alignment vertical="center" wrapText="1"/>
      <protection locked="0"/>
    </xf>
    <xf numFmtId="49" fontId="10" fillId="0" borderId="4" xfId="5" applyNumberFormat="1" applyFont="1" applyBorder="1" applyAlignment="1">
      <alignment vertical="center"/>
      <protection locked="0"/>
    </xf>
    <xf numFmtId="49" fontId="10" fillId="0" borderId="3" xfId="5" applyNumberFormat="1" applyFont="1" applyBorder="1" applyAlignment="1">
      <alignment vertical="center"/>
      <protection locked="0"/>
    </xf>
    <xf numFmtId="0" fontId="13" fillId="0" borderId="2" xfId="3" applyFont="1" applyBorder="1" applyAlignment="1">
      <alignment vertical="center" wrapText="1"/>
      <protection locked="0"/>
    </xf>
    <xf numFmtId="0" fontId="13" fillId="0" borderId="4" xfId="5" applyFont="1" applyBorder="1" applyAlignment="1">
      <alignment vertical="center" wrapText="1"/>
      <protection locked="0"/>
    </xf>
    <xf numFmtId="0" fontId="13" fillId="0" borderId="3" xfId="5" applyFont="1" applyBorder="1" applyAlignment="1">
      <alignment vertical="center" wrapText="1"/>
      <protection locked="0"/>
    </xf>
    <xf numFmtId="49" fontId="20" fillId="0" borderId="0" xfId="1" applyNumberFormat="1" applyFont="1" applyBorder="1" applyAlignment="1">
      <alignment vertical="center" wrapText="1"/>
    </xf>
    <xf numFmtId="0" fontId="20" fillId="0" borderId="0" xfId="5" applyFont="1" applyAlignment="1">
      <alignment vertical="center" wrapText="1"/>
      <protection locked="0"/>
    </xf>
    <xf numFmtId="49" fontId="22" fillId="0" borderId="2" xfId="7" applyNumberFormat="1" applyFont="1" applyFill="1" applyBorder="1" applyAlignment="1" applyProtection="1">
      <alignment vertical="center" wrapText="1"/>
      <protection locked="0"/>
    </xf>
    <xf numFmtId="49" fontId="10" fillId="0" borderId="4" xfId="7" applyNumberFormat="1" applyFont="1" applyFill="1" applyBorder="1" applyAlignment="1" applyProtection="1">
      <alignment vertical="center"/>
      <protection locked="0"/>
    </xf>
    <xf numFmtId="49" fontId="19" fillId="0" borderId="4" xfId="7" applyNumberFormat="1" applyFont="1" applyBorder="1" applyAlignment="1" applyProtection="1">
      <alignment vertical="center"/>
      <protection locked="0"/>
    </xf>
    <xf numFmtId="49" fontId="19" fillId="0" borderId="3" xfId="7" applyNumberFormat="1" applyFont="1" applyBorder="1" applyAlignment="1" applyProtection="1">
      <alignment vertical="center"/>
      <protection locked="0"/>
    </xf>
    <xf numFmtId="43" fontId="22" fillId="0" borderId="2" xfId="7" applyFont="1" applyFill="1" applyBorder="1" applyAlignment="1" applyProtection="1">
      <alignment vertical="center" wrapText="1"/>
      <protection locked="0"/>
    </xf>
    <xf numFmtId="43" fontId="10" fillId="0" borderId="4" xfId="7" applyFont="1" applyFill="1" applyBorder="1" applyAlignment="1" applyProtection="1">
      <alignment vertical="center"/>
      <protection locked="0"/>
    </xf>
    <xf numFmtId="43" fontId="19" fillId="0" borderId="4" xfId="7" applyFont="1" applyBorder="1" applyAlignment="1" applyProtection="1">
      <alignment vertical="center"/>
      <protection locked="0"/>
    </xf>
    <xf numFmtId="43" fontId="19" fillId="0" borderId="3" xfId="7" applyFont="1" applyBorder="1" applyAlignment="1" applyProtection="1">
      <alignment vertical="center"/>
      <protection locked="0"/>
    </xf>
  </cellXfs>
  <cellStyles count="9">
    <cellStyle name="百分比 3" xfId="6"/>
    <cellStyle name="常规" xfId="0" builtinId="0"/>
    <cellStyle name="常规 2 2 3" xfId="8"/>
    <cellStyle name="常规 2 8" xfId="5"/>
    <cellStyle name="常规 3 2 2" xfId="3"/>
    <cellStyle name="常规_c-资产类" xfId="4"/>
    <cellStyle name="常规_进一步审计程序--销售与收款循环" xfId="2"/>
    <cellStyle name="常规_新审定表 2" xfId="1"/>
    <cellStyle name="千位分隔 2 2" xfId="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76200</xdr:colOff>
      <xdr:row>34</xdr:row>
      <xdr:rowOff>9526</xdr:rowOff>
    </xdr:from>
    <xdr:to>
      <xdr:col>10</xdr:col>
      <xdr:colOff>0</xdr:colOff>
      <xdr:row>38</xdr:row>
      <xdr:rowOff>1</xdr:rowOff>
    </xdr:to>
    <xdr:pic>
      <xdr:nvPicPr>
        <xdr:cNvPr id="2" name="Picture 2">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01075" y="13030201"/>
          <a:ext cx="3771900" cy="20193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48763</xdr:colOff>
      <xdr:row>70</xdr:row>
      <xdr:rowOff>28574</xdr:rowOff>
    </xdr:from>
    <xdr:to>
      <xdr:col>10</xdr:col>
      <xdr:colOff>53020</xdr:colOff>
      <xdr:row>73</xdr:row>
      <xdr:rowOff>209549</xdr:rowOff>
    </xdr:to>
    <xdr:pic>
      <xdr:nvPicPr>
        <xdr:cNvPr id="2" name="Picture 2">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02188" y="32994599"/>
          <a:ext cx="3871407" cy="21240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4-1&#33267;D4-4%20&#33829;&#19994;&#25910;&#20837;%20-%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 val="名称（勿删）"/>
      <sheetName val="基础信息"/>
      <sheetName val="UFPrn20050930091710"/>
      <sheetName val="UFPrn20050930204109"/>
      <sheetName val="自定义名称"/>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投资性房地产Dy"/>
      <sheetName val="原材料"/>
      <sheetName val="IMPORT"/>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营业收入审计程序表D4A"/>
      <sheetName val="主营业务收入审计程序表D4A（修订前）"/>
      <sheetName val="营业收入审定表D4-1"/>
      <sheetName val="附注披露信息（上市公司）"/>
      <sheetName val="附注披露信息（国企）"/>
      <sheetName val="主营业务收入明细表D4-2"/>
      <sheetName val="其他业务收入明细表D4-3"/>
      <sheetName val="营业收入调整分录汇总D4-4"/>
      <sheetName val="GT_Custom"/>
    </sheetNames>
    <sheetDataSet>
      <sheetData sheetId="0">
        <row r="2">
          <cell r="A2" t="str">
            <v>被审计单位：</v>
          </cell>
        </row>
        <row r="3">
          <cell r="A3" t="str">
            <v>会计期间：202X年度</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tabSelected="1" view="pageBreakPreview" zoomScaleNormal="130" zoomScaleSheetLayoutView="100" workbookViewId="0">
      <selection sqref="A1:I1"/>
    </sheetView>
  </sheetViews>
  <sheetFormatPr defaultColWidth="9" defaultRowHeight="12" x14ac:dyDescent="0.25"/>
  <cols>
    <col min="1" max="1" width="16.21875" style="1" customWidth="1"/>
    <col min="2" max="2" width="12.6640625" style="1" customWidth="1"/>
    <col min="3" max="3" width="11.6640625" style="1" customWidth="1"/>
    <col min="4" max="4" width="10.33203125" style="1" customWidth="1"/>
    <col min="5" max="5" width="9.21875" style="1" customWidth="1"/>
    <col min="6" max="6" width="14.44140625" style="1" customWidth="1"/>
    <col min="7" max="8" width="13.33203125" style="1" customWidth="1"/>
    <col min="9" max="9" width="10.44140625" style="1" customWidth="1"/>
    <col min="10" max="10" width="50.77734375" style="42" customWidth="1"/>
    <col min="11" max="16384" width="9" style="1"/>
  </cols>
  <sheetData>
    <row r="1" spans="1:10" ht="20.100000000000001" customHeight="1" x14ac:dyDescent="0.25">
      <c r="A1" s="76" t="s">
        <v>517</v>
      </c>
      <c r="B1" s="76"/>
      <c r="C1" s="76"/>
      <c r="D1" s="76"/>
      <c r="E1" s="76"/>
      <c r="F1" s="76"/>
      <c r="G1" s="76"/>
      <c r="H1" s="76"/>
      <c r="I1" s="76"/>
      <c r="J1" s="4"/>
    </row>
    <row r="2" spans="1:10" ht="24.9" customHeight="1" x14ac:dyDescent="0.25">
      <c r="A2" s="77" t="s">
        <v>0</v>
      </c>
      <c r="B2" s="77"/>
      <c r="C2" s="77"/>
      <c r="D2" s="77"/>
      <c r="E2" s="77"/>
      <c r="F2" s="77"/>
      <c r="G2" s="77"/>
      <c r="H2" s="77"/>
      <c r="I2" s="77"/>
      <c r="J2" s="4"/>
    </row>
    <row r="3" spans="1:10" ht="20.100000000000001" customHeight="1" x14ac:dyDescent="0.25">
      <c r="A3" s="71" t="str">
        <f>[4]底稿目录!$A$2</f>
        <v>被审计单位：</v>
      </c>
      <c r="D3" s="71" t="str">
        <f>[4]底稿目录!$A$4</f>
        <v>编制人：</v>
      </c>
      <c r="F3" s="71" t="str">
        <f>[4]底稿目录!$A$5</f>
        <v>编制日期：</v>
      </c>
      <c r="H3" s="44" t="s">
        <v>523</v>
      </c>
      <c r="I3" s="46" t="s">
        <v>524</v>
      </c>
      <c r="J3" s="4"/>
    </row>
    <row r="4" spans="1:10" ht="20.100000000000001" customHeight="1" x14ac:dyDescent="0.25">
      <c r="A4" s="71" t="str">
        <f>[4]底稿目录!$A$3</f>
        <v>会计期间：202X年度</v>
      </c>
      <c r="D4" s="71" t="str">
        <f>[4]底稿目录!$A$6</f>
        <v>复核人：</v>
      </c>
      <c r="F4" s="71" t="str">
        <f>[4]底稿目录!$A$7</f>
        <v>复核日期：</v>
      </c>
      <c r="H4" s="44" t="s">
        <v>1</v>
      </c>
      <c r="J4" s="4"/>
    </row>
    <row r="5" spans="1:10" ht="20.100000000000001" customHeight="1" x14ac:dyDescent="0.25">
      <c r="A5" s="78" t="s">
        <v>518</v>
      </c>
      <c r="B5" s="78"/>
      <c r="C5" s="78"/>
      <c r="D5" s="78"/>
      <c r="E5" s="78"/>
      <c r="F5" s="78"/>
      <c r="G5" s="78"/>
      <c r="H5" s="78"/>
      <c r="I5" s="78"/>
      <c r="J5" s="4"/>
    </row>
    <row r="6" spans="1:10" ht="21" customHeight="1" x14ac:dyDescent="0.25">
      <c r="A6" s="79" t="s">
        <v>2</v>
      </c>
      <c r="B6" s="79"/>
      <c r="C6" s="79"/>
      <c r="D6" s="79"/>
      <c r="E6" s="79"/>
      <c r="F6" s="79"/>
      <c r="G6" s="79"/>
      <c r="H6" s="79"/>
      <c r="I6" s="79"/>
      <c r="J6" s="4"/>
    </row>
    <row r="7" spans="1:10" ht="20.100000000000001" customHeight="1" x14ac:dyDescent="0.25">
      <c r="A7" s="78" t="s">
        <v>519</v>
      </c>
      <c r="B7" s="78"/>
      <c r="C7" s="78"/>
      <c r="D7" s="78"/>
      <c r="E7" s="78"/>
      <c r="F7" s="78"/>
      <c r="G7" s="78"/>
      <c r="H7" s="78"/>
      <c r="I7" s="78"/>
      <c r="J7" s="4"/>
    </row>
    <row r="8" spans="1:10" ht="20.100000000000001" customHeight="1" x14ac:dyDescent="0.25">
      <c r="A8" s="2" t="s">
        <v>3</v>
      </c>
      <c r="B8" s="30"/>
      <c r="C8" s="30"/>
      <c r="D8" s="30"/>
      <c r="E8" s="30"/>
      <c r="F8" s="30"/>
      <c r="G8" s="30"/>
      <c r="H8" s="30"/>
      <c r="I8" s="30"/>
      <c r="J8" s="4"/>
    </row>
    <row r="9" spans="1:10" ht="20.100000000000001" customHeight="1" x14ac:dyDescent="0.25">
      <c r="A9" s="72" t="s">
        <v>4</v>
      </c>
      <c r="B9" s="73"/>
      <c r="C9" s="74" t="s">
        <v>5</v>
      </c>
      <c r="D9" s="75"/>
      <c r="E9" s="74" t="s">
        <v>6</v>
      </c>
      <c r="F9" s="75"/>
      <c r="G9" s="74" t="s">
        <v>7</v>
      </c>
      <c r="H9" s="75"/>
      <c r="I9" s="31" t="s">
        <v>8</v>
      </c>
      <c r="J9" s="4"/>
    </row>
    <row r="10" spans="1:10" ht="31.5" customHeight="1" x14ac:dyDescent="0.25">
      <c r="A10" s="80" t="s">
        <v>9</v>
      </c>
      <c r="B10" s="81"/>
      <c r="C10" s="82"/>
      <c r="D10" s="83"/>
      <c r="E10" s="84" t="s">
        <v>10</v>
      </c>
      <c r="F10" s="73"/>
      <c r="G10" s="85"/>
      <c r="H10" s="86"/>
      <c r="I10" s="32"/>
      <c r="J10" s="4"/>
    </row>
    <row r="11" spans="1:10" ht="43.5" customHeight="1" x14ac:dyDescent="0.25">
      <c r="A11" s="80" t="s">
        <v>11</v>
      </c>
      <c r="B11" s="81"/>
      <c r="C11" s="82" t="s">
        <v>12</v>
      </c>
      <c r="D11" s="83"/>
      <c r="E11" s="84" t="s">
        <v>13</v>
      </c>
      <c r="F11" s="73"/>
      <c r="G11" s="85"/>
      <c r="H11" s="86"/>
      <c r="I11" s="32"/>
      <c r="J11" s="4"/>
    </row>
    <row r="12" spans="1:10" ht="31.5" customHeight="1" x14ac:dyDescent="0.25">
      <c r="A12" s="80" t="s">
        <v>14</v>
      </c>
      <c r="B12" s="81"/>
      <c r="C12" s="82"/>
      <c r="D12" s="83"/>
      <c r="E12" s="84" t="s">
        <v>15</v>
      </c>
      <c r="F12" s="73"/>
      <c r="G12" s="85"/>
      <c r="H12" s="86"/>
      <c r="I12" s="32"/>
      <c r="J12" s="4"/>
    </row>
    <row r="13" spans="1:10" ht="38.25" customHeight="1" x14ac:dyDescent="0.25">
      <c r="A13" s="80" t="s">
        <v>16</v>
      </c>
      <c r="B13" s="81"/>
      <c r="C13" s="84" t="s">
        <v>17</v>
      </c>
      <c r="D13" s="73"/>
      <c r="E13" s="84" t="s">
        <v>18</v>
      </c>
      <c r="F13" s="73"/>
      <c r="G13" s="85"/>
      <c r="H13" s="86"/>
      <c r="I13" s="32"/>
      <c r="J13" s="45" t="s">
        <v>522</v>
      </c>
    </row>
    <row r="14" spans="1:10" ht="56.25" customHeight="1" x14ac:dyDescent="0.25">
      <c r="A14" s="80" t="s">
        <v>19</v>
      </c>
      <c r="B14" s="81"/>
      <c r="C14" s="84" t="s">
        <v>20</v>
      </c>
      <c r="D14" s="73"/>
      <c r="E14" s="84" t="s">
        <v>21</v>
      </c>
      <c r="F14" s="73"/>
      <c r="G14" s="85"/>
      <c r="H14" s="86"/>
      <c r="I14" s="32"/>
      <c r="J14" s="45" t="s">
        <v>22</v>
      </c>
    </row>
    <row r="15" spans="1:10" ht="42.75" customHeight="1" x14ac:dyDescent="0.25">
      <c r="A15" s="74" t="s">
        <v>23</v>
      </c>
      <c r="B15" s="75"/>
      <c r="C15" s="87"/>
      <c r="D15" s="88"/>
      <c r="E15" s="88"/>
      <c r="F15" s="88"/>
      <c r="G15" s="88"/>
      <c r="H15" s="88"/>
      <c r="I15" s="89"/>
      <c r="J15" s="4"/>
    </row>
    <row r="16" spans="1:10" ht="20.100000000000001" customHeight="1" x14ac:dyDescent="0.25">
      <c r="A16" s="5" t="s">
        <v>24</v>
      </c>
      <c r="B16" s="30"/>
      <c r="C16" s="30"/>
      <c r="D16" s="30"/>
      <c r="E16" s="30"/>
      <c r="F16" s="30"/>
      <c r="G16" s="30"/>
      <c r="H16" s="30"/>
      <c r="I16" s="30"/>
      <c r="J16" s="4"/>
    </row>
    <row r="17" spans="1:10" ht="20.100000000000001" customHeight="1" x14ac:dyDescent="0.25">
      <c r="A17" s="5"/>
      <c r="B17" s="30"/>
      <c r="C17" s="30"/>
      <c r="D17" s="30"/>
      <c r="E17" s="30"/>
      <c r="F17" s="30"/>
      <c r="G17" s="30"/>
      <c r="H17" s="30"/>
      <c r="I17" s="30"/>
      <c r="J17" s="4"/>
    </row>
    <row r="18" spans="1:10" ht="20.100000000000001" customHeight="1" x14ac:dyDescent="0.25">
      <c r="A18" s="2" t="s">
        <v>25</v>
      </c>
      <c r="B18" s="30"/>
      <c r="C18" s="30"/>
      <c r="D18" s="30"/>
      <c r="E18" s="30" t="s">
        <v>26</v>
      </c>
      <c r="F18" s="33" t="s">
        <v>27</v>
      </c>
      <c r="G18" s="30"/>
      <c r="H18" s="30"/>
      <c r="I18" s="30"/>
      <c r="J18" s="4"/>
    </row>
    <row r="19" spans="1:10" ht="20.100000000000001" customHeight="1" x14ac:dyDescent="0.25">
      <c r="A19" s="72" t="s">
        <v>28</v>
      </c>
      <c r="B19" s="72"/>
      <c r="C19" s="90"/>
      <c r="D19" s="72" t="s">
        <v>29</v>
      </c>
      <c r="E19" s="90"/>
      <c r="F19" s="31" t="s">
        <v>30</v>
      </c>
      <c r="G19" s="74" t="s">
        <v>31</v>
      </c>
      <c r="H19" s="75"/>
      <c r="I19" s="31" t="s">
        <v>32</v>
      </c>
      <c r="J19" s="4"/>
    </row>
    <row r="20" spans="1:10" ht="38.25" customHeight="1" x14ac:dyDescent="0.25">
      <c r="A20" s="84" t="s">
        <v>33</v>
      </c>
      <c r="B20" s="84"/>
      <c r="C20" s="91"/>
      <c r="D20" s="84" t="s">
        <v>34</v>
      </c>
      <c r="E20" s="91"/>
      <c r="F20" s="34" t="s">
        <v>27</v>
      </c>
      <c r="G20" s="92" t="s">
        <v>35</v>
      </c>
      <c r="H20" s="93"/>
      <c r="I20" s="35"/>
      <c r="J20" s="4"/>
    </row>
    <row r="21" spans="1:10" ht="38.25" customHeight="1" x14ac:dyDescent="0.25">
      <c r="A21" s="84" t="s">
        <v>36</v>
      </c>
      <c r="B21" s="84"/>
      <c r="C21" s="91"/>
      <c r="D21" s="84" t="s">
        <v>37</v>
      </c>
      <c r="E21" s="91"/>
      <c r="F21" s="34" t="s">
        <v>38</v>
      </c>
      <c r="G21" s="92" t="s">
        <v>39</v>
      </c>
      <c r="H21" s="93"/>
      <c r="I21" s="35"/>
      <c r="J21" s="4"/>
    </row>
    <row r="22" spans="1:10" ht="43.5" customHeight="1" x14ac:dyDescent="0.25">
      <c r="A22" s="84" t="s">
        <v>40</v>
      </c>
      <c r="B22" s="84"/>
      <c r="C22" s="91"/>
      <c r="D22" s="84" t="s">
        <v>41</v>
      </c>
      <c r="E22" s="91"/>
      <c r="F22" s="34" t="s">
        <v>38</v>
      </c>
      <c r="G22" s="92" t="s">
        <v>42</v>
      </c>
      <c r="H22" s="93"/>
      <c r="I22" s="35"/>
      <c r="J22" s="4"/>
    </row>
    <row r="23" spans="1:10" ht="42.75" customHeight="1" x14ac:dyDescent="0.25">
      <c r="A23" s="74" t="s">
        <v>23</v>
      </c>
      <c r="B23" s="75"/>
      <c r="C23" s="87" t="str">
        <f>IF(OR(F22="是",AND(F20="是",F21="是")),"将已收取的对价确认为收入","应当将已收取的对价作为负债进行会计处理（该负债代表了企业在未来向客户转让商品或者支付退款的义务）")</f>
        <v>应当将已收取的对价作为负债进行会计处理（该负债代表了企业在未来向客户转让商品或者支付退款的义务）</v>
      </c>
      <c r="D23" s="88"/>
      <c r="E23" s="88"/>
      <c r="F23" s="88"/>
      <c r="G23" s="88"/>
      <c r="H23" s="88"/>
      <c r="I23" s="89"/>
      <c r="J23" s="45" t="s">
        <v>43</v>
      </c>
    </row>
    <row r="24" spans="1:10" ht="20.100000000000001" customHeight="1" x14ac:dyDescent="0.25">
      <c r="A24" s="5"/>
      <c r="B24" s="30"/>
      <c r="C24" s="30"/>
      <c r="D24" s="30"/>
      <c r="E24" s="30"/>
      <c r="F24" s="30"/>
      <c r="G24" s="30"/>
      <c r="H24" s="30"/>
      <c r="I24" s="30"/>
      <c r="J24" s="4"/>
    </row>
    <row r="25" spans="1:10" ht="20.100000000000001" customHeight="1" x14ac:dyDescent="0.25">
      <c r="A25" s="2" t="s">
        <v>44</v>
      </c>
      <c r="B25" s="30"/>
      <c r="C25" s="30"/>
      <c r="D25" s="30"/>
      <c r="E25" s="30" t="s">
        <v>26</v>
      </c>
      <c r="F25" s="33" t="s">
        <v>38</v>
      </c>
      <c r="G25" s="30"/>
      <c r="H25" s="30"/>
      <c r="I25" s="30"/>
      <c r="J25" s="4"/>
    </row>
    <row r="26" spans="1:10" ht="20.100000000000001" customHeight="1" x14ac:dyDescent="0.25">
      <c r="A26" s="72" t="s">
        <v>45</v>
      </c>
      <c r="B26" s="72"/>
      <c r="C26" s="90"/>
      <c r="D26" s="72" t="s">
        <v>29</v>
      </c>
      <c r="E26" s="90"/>
      <c r="F26" s="36" t="s">
        <v>46</v>
      </c>
      <c r="G26" s="74" t="s">
        <v>47</v>
      </c>
      <c r="H26" s="75"/>
      <c r="I26" s="31" t="s">
        <v>32</v>
      </c>
      <c r="J26" s="4"/>
    </row>
    <row r="27" spans="1:10" ht="51.75" customHeight="1" x14ac:dyDescent="0.25">
      <c r="A27" s="84" t="s">
        <v>48</v>
      </c>
      <c r="B27" s="84"/>
      <c r="C27" s="91"/>
      <c r="D27" s="84" t="s">
        <v>49</v>
      </c>
      <c r="E27" s="91"/>
      <c r="F27" s="37" t="s">
        <v>50</v>
      </c>
      <c r="G27" s="94"/>
      <c r="H27" s="95"/>
      <c r="I27" s="35"/>
      <c r="J27" s="4"/>
    </row>
    <row r="28" spans="1:10" ht="43.5" customHeight="1" x14ac:dyDescent="0.25">
      <c r="A28" s="84" t="s">
        <v>51</v>
      </c>
      <c r="B28" s="84" t="s">
        <v>52</v>
      </c>
      <c r="C28" s="91"/>
      <c r="D28" s="84" t="s">
        <v>53</v>
      </c>
      <c r="E28" s="91"/>
      <c r="F28" s="37"/>
      <c r="G28" s="94"/>
      <c r="H28" s="95"/>
      <c r="I28" s="35"/>
      <c r="J28" s="4"/>
    </row>
    <row r="29" spans="1:10" ht="43.5" customHeight="1" x14ac:dyDescent="0.25">
      <c r="A29" s="84"/>
      <c r="B29" s="84" t="s">
        <v>54</v>
      </c>
      <c r="C29" s="91"/>
      <c r="D29" s="84" t="s">
        <v>55</v>
      </c>
      <c r="E29" s="91"/>
      <c r="F29" s="37"/>
      <c r="G29" s="94"/>
      <c r="H29" s="95"/>
      <c r="I29" s="35"/>
      <c r="J29" s="4"/>
    </row>
    <row r="30" spans="1:10" ht="60.75" customHeight="1" x14ac:dyDescent="0.25">
      <c r="A30" s="84"/>
      <c r="B30" s="84" t="s">
        <v>56</v>
      </c>
      <c r="C30" s="91"/>
      <c r="D30" s="84" t="s">
        <v>57</v>
      </c>
      <c r="E30" s="91"/>
      <c r="F30" s="37" t="s">
        <v>58</v>
      </c>
      <c r="G30" s="94"/>
      <c r="H30" s="95"/>
      <c r="I30" s="35"/>
      <c r="J30" s="4"/>
    </row>
    <row r="31" spans="1:10" ht="37.5" customHeight="1" x14ac:dyDescent="0.25">
      <c r="A31" s="74" t="s">
        <v>23</v>
      </c>
      <c r="B31" s="75"/>
      <c r="C31" s="87"/>
      <c r="D31" s="88"/>
      <c r="E31" s="88"/>
      <c r="F31" s="88"/>
      <c r="G31" s="88"/>
      <c r="H31" s="88"/>
      <c r="I31" s="89"/>
      <c r="J31" s="4"/>
    </row>
    <row r="32" spans="1:10" ht="20.100000000000001" customHeight="1" x14ac:dyDescent="0.25">
      <c r="A32" s="30"/>
      <c r="B32" s="30"/>
      <c r="C32" s="30"/>
      <c r="D32" s="30"/>
      <c r="E32" s="30"/>
      <c r="F32" s="30"/>
      <c r="G32" s="30"/>
      <c r="H32" s="30"/>
      <c r="I32" s="30"/>
      <c r="J32" s="4"/>
    </row>
    <row r="33" spans="1:10" ht="20.100000000000001" customHeight="1" x14ac:dyDescent="0.25">
      <c r="A33" s="2" t="s">
        <v>59</v>
      </c>
      <c r="B33" s="30"/>
      <c r="C33" s="30"/>
      <c r="D33" s="30"/>
      <c r="E33" s="30"/>
      <c r="F33" s="30"/>
      <c r="G33" s="30"/>
      <c r="H33" s="30"/>
      <c r="I33" s="30"/>
      <c r="J33" s="4"/>
    </row>
    <row r="34" spans="1:10" ht="20.100000000000001" customHeight="1" x14ac:dyDescent="0.25">
      <c r="A34" s="74" t="s">
        <v>28</v>
      </c>
      <c r="B34" s="96"/>
      <c r="C34" s="74" t="s">
        <v>29</v>
      </c>
      <c r="D34" s="97"/>
      <c r="E34" s="86"/>
      <c r="F34" s="31" t="s">
        <v>30</v>
      </c>
      <c r="G34" s="74" t="s">
        <v>31</v>
      </c>
      <c r="H34" s="75"/>
      <c r="I34" s="31" t="s">
        <v>32</v>
      </c>
      <c r="J34" s="4"/>
    </row>
    <row r="35" spans="1:10" ht="38.25" customHeight="1" x14ac:dyDescent="0.25">
      <c r="A35" s="99" t="s">
        <v>60</v>
      </c>
      <c r="B35" s="100"/>
      <c r="C35" s="99" t="s">
        <v>61</v>
      </c>
      <c r="D35" s="101"/>
      <c r="E35" s="100"/>
      <c r="F35" s="34" t="s">
        <v>27</v>
      </c>
      <c r="G35" s="92" t="s">
        <v>62</v>
      </c>
      <c r="H35" s="93"/>
      <c r="I35" s="35"/>
      <c r="J35" s="4"/>
    </row>
    <row r="36" spans="1:10" ht="38.25" customHeight="1" x14ac:dyDescent="0.25">
      <c r="A36" s="99" t="s">
        <v>63</v>
      </c>
      <c r="B36" s="100"/>
      <c r="C36" s="99" t="s">
        <v>64</v>
      </c>
      <c r="D36" s="101"/>
      <c r="E36" s="100"/>
      <c r="F36" s="34" t="s">
        <v>38</v>
      </c>
      <c r="G36" s="92" t="s">
        <v>65</v>
      </c>
      <c r="H36" s="93"/>
      <c r="I36" s="35"/>
      <c r="J36" s="4"/>
    </row>
    <row r="37" spans="1:10" ht="45.75" customHeight="1" x14ac:dyDescent="0.25">
      <c r="A37" s="99" t="s">
        <v>66</v>
      </c>
      <c r="B37" s="100"/>
      <c r="C37" s="99" t="s">
        <v>67</v>
      </c>
      <c r="D37" s="101"/>
      <c r="E37" s="100"/>
      <c r="F37" s="34" t="s">
        <v>27</v>
      </c>
      <c r="G37" s="92"/>
      <c r="H37" s="93"/>
      <c r="I37" s="35"/>
      <c r="J37" s="4"/>
    </row>
    <row r="38" spans="1:10" ht="37.5" customHeight="1" x14ac:dyDescent="0.25">
      <c r="A38" s="74" t="s">
        <v>23</v>
      </c>
      <c r="B38" s="75"/>
      <c r="C38" s="87" t="str">
        <f>IF(AND(F35="是",F36="是"),"将该合同变更部分作为一份单独的合同进行会计处理，合同变更不影响原合同的会计处理",IF(F37="是","视为原合同终止，同时，将原合同未履约部分与合同变更部分合并为新合同进行会计处理","将该合同变更部分作为原合同的组成部分，在合同变更日重新计算履约进度，并调整当期收入和相应成本等"))</f>
        <v>视为原合同终止，同时，将原合同未履约部分与合同变更部分合并为新合同进行会计处理</v>
      </c>
      <c r="D38" s="88"/>
      <c r="E38" s="88"/>
      <c r="F38" s="88"/>
      <c r="G38" s="88"/>
      <c r="H38" s="88"/>
      <c r="I38" s="89"/>
      <c r="J38" s="4"/>
    </row>
    <row r="39" spans="1:10" ht="20.100000000000001" customHeight="1" x14ac:dyDescent="0.25">
      <c r="A39" s="5" t="s">
        <v>68</v>
      </c>
      <c r="B39" s="30"/>
      <c r="C39" s="30"/>
      <c r="D39" s="30"/>
      <c r="E39" s="30"/>
      <c r="F39" s="30"/>
      <c r="G39" s="30"/>
      <c r="H39" s="30"/>
      <c r="I39" s="30"/>
      <c r="J39" s="4"/>
    </row>
    <row r="40" spans="1:10" ht="20.100000000000001" customHeight="1" x14ac:dyDescent="0.25">
      <c r="A40" s="5"/>
      <c r="B40" s="30"/>
      <c r="C40" s="30"/>
      <c r="D40" s="30"/>
      <c r="E40" s="30"/>
      <c r="F40" s="30"/>
      <c r="G40" s="30"/>
      <c r="H40" s="30"/>
      <c r="I40" s="30"/>
      <c r="J40" s="4"/>
    </row>
    <row r="41" spans="1:10" ht="20.100000000000001" customHeight="1" x14ac:dyDescent="0.25">
      <c r="A41" s="78" t="s">
        <v>520</v>
      </c>
      <c r="B41" s="78"/>
      <c r="C41" s="78"/>
      <c r="D41" s="78"/>
      <c r="E41" s="78"/>
      <c r="F41" s="78"/>
      <c r="G41" s="78"/>
      <c r="H41" s="78"/>
      <c r="I41" s="78"/>
      <c r="J41" s="4"/>
    </row>
    <row r="42" spans="1:10" ht="20.100000000000001" customHeight="1" x14ac:dyDescent="0.25">
      <c r="A42" s="102"/>
      <c r="B42" s="102"/>
      <c r="C42" s="102"/>
      <c r="D42" s="102"/>
      <c r="E42" s="102"/>
      <c r="F42" s="102"/>
      <c r="G42" s="102"/>
      <c r="H42" s="102"/>
      <c r="I42" s="102"/>
      <c r="J42" s="4"/>
    </row>
    <row r="43" spans="1:10" ht="20.100000000000001" customHeight="1" x14ac:dyDescent="0.15">
      <c r="A43" s="38"/>
      <c r="B43" s="38"/>
      <c r="C43" s="38"/>
      <c r="D43" s="38"/>
      <c r="E43" s="38"/>
      <c r="F43" s="38"/>
      <c r="G43" s="38"/>
      <c r="H43" s="38"/>
      <c r="I43" s="43"/>
      <c r="J43" s="4"/>
    </row>
    <row r="44" spans="1:10" ht="20.100000000000001" customHeight="1" x14ac:dyDescent="0.25">
      <c r="A44" s="78" t="s">
        <v>521</v>
      </c>
      <c r="B44" s="78"/>
      <c r="C44" s="78"/>
      <c r="D44" s="78"/>
      <c r="E44" s="78"/>
      <c r="F44" s="78"/>
      <c r="G44" s="78"/>
      <c r="H44" s="78"/>
      <c r="I44" s="78"/>
      <c r="J44" s="4"/>
    </row>
    <row r="45" spans="1:10" ht="22.8" customHeight="1" x14ac:dyDescent="0.25">
      <c r="A45" s="98"/>
      <c r="B45" s="98"/>
      <c r="C45" s="98"/>
      <c r="D45" s="98"/>
      <c r="E45" s="98"/>
      <c r="F45" s="98"/>
      <c r="G45" s="98"/>
      <c r="H45" s="98"/>
      <c r="I45" s="98"/>
      <c r="J45" s="4"/>
    </row>
    <row r="46" spans="1:10" s="40" customFormat="1" ht="18" customHeight="1" x14ac:dyDescent="0.25">
      <c r="A46" s="27" t="s">
        <v>516</v>
      </c>
      <c r="J46" s="41"/>
    </row>
    <row r="47" spans="1:10" s="40" customFormat="1" ht="18" customHeight="1" x14ac:dyDescent="0.25">
      <c r="A47" s="1"/>
      <c r="J47" s="41"/>
    </row>
    <row r="48" spans="1:10" s="40" customFormat="1" ht="18" customHeight="1" x14ac:dyDescent="0.25">
      <c r="A48" s="1"/>
      <c r="J48" s="41"/>
    </row>
    <row r="49" spans="1:10" s="40" customFormat="1" ht="18" customHeight="1" x14ac:dyDescent="0.25">
      <c r="A49" s="1"/>
      <c r="J49" s="41"/>
    </row>
    <row r="50" spans="1:10" s="40" customFormat="1" ht="18" customHeight="1" x14ac:dyDescent="0.25">
      <c r="A50" s="1"/>
      <c r="J50" s="41"/>
    </row>
    <row r="51" spans="1:10" s="40" customFormat="1" ht="18" customHeight="1" x14ac:dyDescent="0.25">
      <c r="A51" s="1"/>
      <c r="J51" s="41"/>
    </row>
    <row r="52" spans="1:10" s="40" customFormat="1" ht="18" customHeight="1" x14ac:dyDescent="0.25">
      <c r="A52" s="1"/>
      <c r="J52" s="41"/>
    </row>
    <row r="53" spans="1:10" s="40" customFormat="1" ht="18" customHeight="1" x14ac:dyDescent="0.25">
      <c r="A53" s="1"/>
      <c r="J53" s="41"/>
    </row>
  </sheetData>
  <mergeCells count="81">
    <mergeCell ref="A35:B35"/>
    <mergeCell ref="C35:E35"/>
    <mergeCell ref="A45:I45"/>
    <mergeCell ref="A36:B36"/>
    <mergeCell ref="C36:E36"/>
    <mergeCell ref="G36:H36"/>
    <mergeCell ref="A37:B37"/>
    <mergeCell ref="C37:E37"/>
    <mergeCell ref="G37:H37"/>
    <mergeCell ref="A38:B38"/>
    <mergeCell ref="C38:I38"/>
    <mergeCell ref="A41:I41"/>
    <mergeCell ref="A42:I42"/>
    <mergeCell ref="A44:I44"/>
    <mergeCell ref="G35:H35"/>
    <mergeCell ref="A28:A30"/>
    <mergeCell ref="B28:C28"/>
    <mergeCell ref="D28:E28"/>
    <mergeCell ref="G28:H28"/>
    <mergeCell ref="B29:C29"/>
    <mergeCell ref="D29:E29"/>
    <mergeCell ref="G29:H29"/>
    <mergeCell ref="B30:C30"/>
    <mergeCell ref="D30:E30"/>
    <mergeCell ref="G30:H30"/>
    <mergeCell ref="A31:B31"/>
    <mergeCell ref="C31:I31"/>
    <mergeCell ref="A34:B34"/>
    <mergeCell ref="C34:E34"/>
    <mergeCell ref="G34:H34"/>
    <mergeCell ref="A27:C27"/>
    <mergeCell ref="D27:E27"/>
    <mergeCell ref="G27:H27"/>
    <mergeCell ref="A21:C21"/>
    <mergeCell ref="D21:E21"/>
    <mergeCell ref="G21:H21"/>
    <mergeCell ref="A22:C22"/>
    <mergeCell ref="D22:E22"/>
    <mergeCell ref="G22:H22"/>
    <mergeCell ref="A23:B23"/>
    <mergeCell ref="C23:I23"/>
    <mergeCell ref="A26:C26"/>
    <mergeCell ref="D26:E26"/>
    <mergeCell ref="G26:H26"/>
    <mergeCell ref="A19:C19"/>
    <mergeCell ref="D19:E19"/>
    <mergeCell ref="G19:H19"/>
    <mergeCell ref="A20:C20"/>
    <mergeCell ref="D20:E20"/>
    <mergeCell ref="G20:H20"/>
    <mergeCell ref="A14:B14"/>
    <mergeCell ref="C14:D14"/>
    <mergeCell ref="E14:F14"/>
    <mergeCell ref="G14:H14"/>
    <mergeCell ref="A15:B15"/>
    <mergeCell ref="C15:I15"/>
    <mergeCell ref="A12:B12"/>
    <mergeCell ref="C12:D12"/>
    <mergeCell ref="E12:F12"/>
    <mergeCell ref="G12:H12"/>
    <mergeCell ref="A13:B13"/>
    <mergeCell ref="C13:D13"/>
    <mergeCell ref="E13:F13"/>
    <mergeCell ref="G13:H13"/>
    <mergeCell ref="A10:B10"/>
    <mergeCell ref="C10:D10"/>
    <mergeCell ref="E10:F10"/>
    <mergeCell ref="G10:H10"/>
    <mergeCell ref="A11:B11"/>
    <mergeCell ref="C11:D11"/>
    <mergeCell ref="E11:F11"/>
    <mergeCell ref="G11:H11"/>
    <mergeCell ref="A9:B9"/>
    <mergeCell ref="C9:D9"/>
    <mergeCell ref="E9:F9"/>
    <mergeCell ref="G9:H9"/>
    <mergeCell ref="A1:I1"/>
    <mergeCell ref="A2:I2"/>
    <mergeCell ref="A5:I5"/>
    <mergeCell ref="A6:I6"/>
    <mergeCell ref="A7:I7"/>
  </mergeCells>
  <phoneticPr fontId="4" type="noConversion"/>
  <dataValidations count="1">
    <dataValidation type="list" allowBlank="1" showInputMessage="1" showErrorMessage="1" sqref="F20:F22 F18 F25 F35:F37">
      <formula1>"是,否"</formula1>
    </dataValidation>
  </dataValidations>
  <printOptions horizontalCentered="1"/>
  <pageMargins left="0.70866141732283472" right="0.70866141732283472" top="0.74803149606299213" bottom="0.74803149606299213" header="0.31496062992125984" footer="0.31496062992125984"/>
  <pageSetup paperSize="9" scale="75" fitToHeight="0" orientation="portrait" blackAndWhite="1" cellComments="atEnd"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view="pageBreakPreview" zoomScaleNormal="130" zoomScaleSheetLayoutView="100" workbookViewId="0">
      <selection sqref="A1:I1"/>
    </sheetView>
  </sheetViews>
  <sheetFormatPr defaultColWidth="9" defaultRowHeight="12" x14ac:dyDescent="0.25"/>
  <cols>
    <col min="1" max="1" width="20.21875" style="1" customWidth="1"/>
    <col min="2" max="2" width="11.21875" style="1" customWidth="1"/>
    <col min="3" max="3" width="9.109375" style="1" customWidth="1"/>
    <col min="4" max="4" width="10.33203125" style="1" customWidth="1"/>
    <col min="5" max="5" width="9.21875" style="1" customWidth="1"/>
    <col min="6" max="6" width="14.44140625" style="1" customWidth="1"/>
    <col min="7" max="8" width="13.33203125" style="1" customWidth="1"/>
    <col min="9" max="9" width="10.44140625" style="1" customWidth="1"/>
    <col min="10" max="10" width="50.77734375" style="42" customWidth="1"/>
    <col min="11" max="16384" width="9" style="1"/>
  </cols>
  <sheetData>
    <row r="1" spans="1:10" ht="20.100000000000001" customHeight="1" x14ac:dyDescent="0.25">
      <c r="A1" s="76" t="s">
        <v>517</v>
      </c>
      <c r="B1" s="76"/>
      <c r="C1" s="76"/>
      <c r="D1" s="76"/>
      <c r="E1" s="76"/>
      <c r="F1" s="76"/>
      <c r="G1" s="76"/>
      <c r="H1" s="76"/>
      <c r="I1" s="76"/>
      <c r="J1" s="4"/>
    </row>
    <row r="2" spans="1:10" s="29" customFormat="1" ht="24.9" customHeight="1" x14ac:dyDescent="0.25">
      <c r="A2" s="106" t="s">
        <v>69</v>
      </c>
      <c r="B2" s="77"/>
      <c r="C2" s="77"/>
      <c r="D2" s="77"/>
      <c r="E2" s="77"/>
      <c r="F2" s="77"/>
      <c r="G2" s="77"/>
      <c r="H2" s="77"/>
      <c r="I2" s="77"/>
      <c r="J2" s="28"/>
    </row>
    <row r="3" spans="1:10" ht="20.100000000000001" customHeight="1" x14ac:dyDescent="0.25">
      <c r="A3" s="71" t="str">
        <f>[4]底稿目录!$A$2</f>
        <v>被审计单位：</v>
      </c>
      <c r="D3" s="71" t="str">
        <f>[4]底稿目录!$A$4</f>
        <v>编制人：</v>
      </c>
      <c r="F3" s="71" t="str">
        <f>[4]底稿目录!$A$5</f>
        <v>编制日期：</v>
      </c>
      <c r="H3" s="44" t="s">
        <v>523</v>
      </c>
      <c r="I3" s="27" t="s">
        <v>524</v>
      </c>
      <c r="J3" s="4"/>
    </row>
    <row r="4" spans="1:10" ht="20.100000000000001" customHeight="1" x14ac:dyDescent="0.25">
      <c r="A4" s="71" t="str">
        <f>[4]底稿目录!$A$3</f>
        <v>会计期间：202X年度</v>
      </c>
      <c r="D4" s="71" t="str">
        <f>[4]底稿目录!$A$6</f>
        <v>复核人：</v>
      </c>
      <c r="F4" s="71" t="str">
        <f>[4]底稿目录!$A$7</f>
        <v>复核日期：</v>
      </c>
      <c r="H4" s="44" t="s">
        <v>1</v>
      </c>
      <c r="J4" s="4"/>
    </row>
    <row r="5" spans="1:10" ht="20.100000000000001" customHeight="1" x14ac:dyDescent="0.25">
      <c r="A5" s="78" t="s">
        <v>518</v>
      </c>
      <c r="B5" s="78"/>
      <c r="C5" s="78"/>
      <c r="D5" s="78"/>
      <c r="E5" s="78"/>
      <c r="F5" s="78"/>
      <c r="G5" s="78"/>
      <c r="H5" s="78"/>
      <c r="I5" s="78"/>
      <c r="J5" s="4"/>
    </row>
    <row r="6" spans="1:10" ht="21" customHeight="1" x14ac:dyDescent="0.25">
      <c r="A6" s="79" t="s">
        <v>70</v>
      </c>
      <c r="B6" s="79"/>
      <c r="C6" s="79"/>
      <c r="D6" s="79"/>
      <c r="E6" s="79"/>
      <c r="F6" s="79"/>
      <c r="G6" s="79"/>
      <c r="H6" s="79"/>
      <c r="I6" s="79"/>
      <c r="J6" s="4"/>
    </row>
    <row r="7" spans="1:10" ht="20.100000000000001" customHeight="1" x14ac:dyDescent="0.25">
      <c r="A7" s="78" t="s">
        <v>519</v>
      </c>
      <c r="B7" s="78"/>
      <c r="C7" s="78"/>
      <c r="D7" s="78"/>
      <c r="E7" s="78"/>
      <c r="F7" s="78"/>
      <c r="G7" s="78"/>
      <c r="H7" s="78"/>
      <c r="I7" s="78"/>
      <c r="J7" s="4"/>
    </row>
    <row r="8" spans="1:10" ht="20.100000000000001" customHeight="1" x14ac:dyDescent="0.25">
      <c r="A8" s="2" t="s">
        <v>71</v>
      </c>
      <c r="B8" s="30"/>
      <c r="C8" s="30"/>
      <c r="D8" s="30"/>
      <c r="E8" s="30"/>
      <c r="F8" s="30"/>
      <c r="G8" s="30"/>
      <c r="H8" s="30"/>
      <c r="I8" s="30"/>
      <c r="J8" s="4"/>
    </row>
    <row r="9" spans="1:10" ht="20.100000000000001" customHeight="1" x14ac:dyDescent="0.25">
      <c r="A9" s="36" t="s">
        <v>72</v>
      </c>
      <c r="B9" s="74" t="s">
        <v>73</v>
      </c>
      <c r="C9" s="103"/>
      <c r="D9" s="104"/>
      <c r="E9" s="74" t="s">
        <v>74</v>
      </c>
      <c r="F9" s="105"/>
      <c r="G9" s="74" t="s">
        <v>75</v>
      </c>
      <c r="H9" s="105"/>
      <c r="I9" s="31" t="s">
        <v>76</v>
      </c>
      <c r="J9" s="4"/>
    </row>
    <row r="10" spans="1:10" ht="105.75" customHeight="1" x14ac:dyDescent="0.25">
      <c r="A10" s="47" t="s">
        <v>77</v>
      </c>
      <c r="B10" s="82" t="s">
        <v>78</v>
      </c>
      <c r="C10" s="103"/>
      <c r="D10" s="104"/>
      <c r="E10" s="84" t="s">
        <v>79</v>
      </c>
      <c r="F10" s="107"/>
      <c r="G10" s="85"/>
      <c r="H10" s="108"/>
      <c r="I10" s="32"/>
      <c r="J10" s="45" t="s">
        <v>80</v>
      </c>
    </row>
    <row r="11" spans="1:10" ht="75.75" customHeight="1" x14ac:dyDescent="0.25">
      <c r="A11" s="47" t="s">
        <v>81</v>
      </c>
      <c r="B11" s="82" t="s">
        <v>82</v>
      </c>
      <c r="C11" s="103"/>
      <c r="D11" s="104"/>
      <c r="E11" s="84" t="s">
        <v>83</v>
      </c>
      <c r="F11" s="107"/>
      <c r="G11" s="85" t="s">
        <v>84</v>
      </c>
      <c r="H11" s="108"/>
      <c r="I11" s="32"/>
      <c r="J11" s="4"/>
    </row>
    <row r="12" spans="1:10" ht="23.25" customHeight="1" x14ac:dyDescent="0.25">
      <c r="A12" s="48" t="s">
        <v>85</v>
      </c>
      <c r="B12" s="6"/>
      <c r="C12" s="49"/>
      <c r="D12" s="50"/>
      <c r="E12" s="51"/>
      <c r="F12" s="50"/>
      <c r="G12" s="49"/>
      <c r="H12" s="50"/>
      <c r="I12" s="52"/>
      <c r="J12" s="4"/>
    </row>
    <row r="13" spans="1:10" ht="77.25" customHeight="1" x14ac:dyDescent="0.25">
      <c r="A13" s="47" t="s">
        <v>86</v>
      </c>
      <c r="B13" s="82" t="s">
        <v>87</v>
      </c>
      <c r="C13" s="103"/>
      <c r="D13" s="104"/>
      <c r="E13" s="109" t="s">
        <v>88</v>
      </c>
      <c r="F13" s="110"/>
      <c r="G13" s="85"/>
      <c r="H13" s="108"/>
      <c r="I13" s="32"/>
      <c r="J13" s="4"/>
    </row>
    <row r="14" spans="1:10" ht="56.25" customHeight="1" x14ac:dyDescent="0.25">
      <c r="A14" s="47" t="s">
        <v>89</v>
      </c>
      <c r="B14" s="82" t="s">
        <v>90</v>
      </c>
      <c r="C14" s="103"/>
      <c r="D14" s="104"/>
      <c r="E14" s="111"/>
      <c r="F14" s="112"/>
      <c r="G14" s="85"/>
      <c r="H14" s="108"/>
      <c r="I14" s="32"/>
      <c r="J14" s="4"/>
    </row>
    <row r="15" spans="1:10" ht="69" customHeight="1" x14ac:dyDescent="0.25">
      <c r="A15" s="47" t="s">
        <v>91</v>
      </c>
      <c r="B15" s="82" t="s">
        <v>92</v>
      </c>
      <c r="C15" s="103"/>
      <c r="D15" s="104"/>
      <c r="E15" s="113"/>
      <c r="F15" s="114"/>
      <c r="G15" s="85"/>
      <c r="H15" s="108"/>
      <c r="I15" s="32"/>
      <c r="J15" s="4"/>
    </row>
    <row r="16" spans="1:10" ht="42.75" customHeight="1" x14ac:dyDescent="0.25">
      <c r="A16" s="74" t="s">
        <v>23</v>
      </c>
      <c r="B16" s="105"/>
      <c r="C16" s="87"/>
      <c r="D16" s="103"/>
      <c r="E16" s="103"/>
      <c r="F16" s="103"/>
      <c r="G16" s="103"/>
      <c r="H16" s="103"/>
      <c r="I16" s="104"/>
      <c r="J16" s="4"/>
    </row>
    <row r="17" spans="1:10" ht="20.100000000000001" customHeight="1" x14ac:dyDescent="0.25">
      <c r="A17" s="5" t="s">
        <v>93</v>
      </c>
      <c r="B17" s="30"/>
      <c r="C17" s="30"/>
      <c r="D17" s="30"/>
      <c r="E17" s="30"/>
      <c r="F17" s="30"/>
      <c r="G17" s="30"/>
      <c r="H17" s="30"/>
      <c r="I17" s="30"/>
      <c r="J17" s="4"/>
    </row>
    <row r="18" spans="1:10" ht="20.100000000000001" customHeight="1" x14ac:dyDescent="0.25">
      <c r="A18" s="5" t="s">
        <v>94</v>
      </c>
      <c r="B18" s="30"/>
      <c r="C18" s="30"/>
      <c r="D18" s="30"/>
      <c r="E18" s="30"/>
      <c r="F18" s="30"/>
      <c r="G18" s="30"/>
      <c r="H18" s="30"/>
      <c r="I18" s="30"/>
      <c r="J18" s="4"/>
    </row>
    <row r="19" spans="1:10" ht="20.100000000000001" customHeight="1" x14ac:dyDescent="0.25">
      <c r="A19" s="5"/>
      <c r="B19" s="30"/>
      <c r="C19" s="30"/>
      <c r="D19" s="30"/>
      <c r="E19" s="30"/>
      <c r="F19" s="30"/>
      <c r="G19" s="30"/>
      <c r="H19" s="30"/>
      <c r="I19" s="30"/>
      <c r="J19" s="4"/>
    </row>
    <row r="20" spans="1:10" ht="20.100000000000001" customHeight="1" x14ac:dyDescent="0.25">
      <c r="A20" s="2" t="s">
        <v>95</v>
      </c>
      <c r="B20" s="30"/>
      <c r="C20" s="30"/>
      <c r="D20" s="30"/>
      <c r="E20" s="30" t="s">
        <v>26</v>
      </c>
      <c r="F20" s="33" t="s">
        <v>27</v>
      </c>
      <c r="G20" s="30"/>
      <c r="H20" s="30"/>
      <c r="I20" s="30"/>
      <c r="J20" s="4"/>
    </row>
    <row r="21" spans="1:10" ht="20.100000000000001" customHeight="1" x14ac:dyDescent="0.25">
      <c r="A21" s="72" t="s">
        <v>96</v>
      </c>
      <c r="B21" s="72"/>
      <c r="C21" s="115"/>
      <c r="D21" s="72" t="s">
        <v>29</v>
      </c>
      <c r="E21" s="115"/>
      <c r="F21" s="31" t="s">
        <v>30</v>
      </c>
      <c r="G21" s="74" t="s">
        <v>97</v>
      </c>
      <c r="H21" s="105"/>
      <c r="I21" s="31" t="s">
        <v>8</v>
      </c>
      <c r="J21" s="4" t="s">
        <v>98</v>
      </c>
    </row>
    <row r="22" spans="1:10" ht="38.25" customHeight="1" x14ac:dyDescent="0.25">
      <c r="A22" s="84" t="s">
        <v>99</v>
      </c>
      <c r="B22" s="84"/>
      <c r="C22" s="116"/>
      <c r="D22" s="84"/>
      <c r="E22" s="116"/>
      <c r="F22" s="34" t="s">
        <v>38</v>
      </c>
      <c r="G22" s="92"/>
      <c r="H22" s="117"/>
      <c r="I22" s="35"/>
      <c r="J22" s="4" t="s">
        <v>100</v>
      </c>
    </row>
    <row r="23" spans="1:10" ht="38.25" customHeight="1" x14ac:dyDescent="0.25">
      <c r="A23" s="84" t="s">
        <v>101</v>
      </c>
      <c r="B23" s="84"/>
      <c r="C23" s="116"/>
      <c r="D23" s="84"/>
      <c r="E23" s="116"/>
      <c r="F23" s="34" t="str">
        <f>IF(F22="是","否","是")</f>
        <v>是</v>
      </c>
      <c r="G23" s="92"/>
      <c r="H23" s="117"/>
      <c r="I23" s="35"/>
      <c r="J23" s="4" t="s">
        <v>102</v>
      </c>
    </row>
    <row r="24" spans="1:10" ht="42.75" customHeight="1" x14ac:dyDescent="0.25">
      <c r="A24" s="74" t="s">
        <v>23</v>
      </c>
      <c r="B24" s="105"/>
      <c r="C24" s="87" t="str">
        <f>IF(AND(F22="是",F23="否"),"如果该运输服务构成单项履约义务，且公司是运输服务的主要责任人。公司应当按照分摊至该运输服务的交易价格确认收入","运输活动是在产品的控制权转移给客户之前发生的，不构成单项履约义务，而是公司为履行合同发生的必要活动，相关成本应作为合同履约成本")</f>
        <v>运输活动是在产品的控制权转移给客户之前发生的，不构成单项履约义务，而是公司为履行合同发生的必要活动，相关成本应作为合同履约成本</v>
      </c>
      <c r="D24" s="103"/>
      <c r="E24" s="103"/>
      <c r="F24" s="103"/>
      <c r="G24" s="103"/>
      <c r="H24" s="103"/>
      <c r="I24" s="104"/>
      <c r="J24" s="4"/>
    </row>
    <row r="25" spans="1:10" ht="20.100000000000001" customHeight="1" x14ac:dyDescent="0.25">
      <c r="A25" s="5" t="s">
        <v>103</v>
      </c>
      <c r="B25" s="30"/>
      <c r="C25" s="30"/>
      <c r="D25" s="30"/>
      <c r="E25" s="30"/>
      <c r="F25" s="30"/>
      <c r="G25" s="30"/>
      <c r="H25" s="30"/>
      <c r="I25" s="30"/>
      <c r="J25" s="4"/>
    </row>
    <row r="26" spans="1:10" ht="20.100000000000001" customHeight="1" x14ac:dyDescent="0.25">
      <c r="A26" s="5" t="s">
        <v>104</v>
      </c>
      <c r="B26" s="30"/>
      <c r="C26" s="30"/>
      <c r="D26" s="30"/>
      <c r="E26" s="30"/>
      <c r="F26" s="30"/>
      <c r="G26" s="30"/>
      <c r="H26" s="30"/>
      <c r="I26" s="30"/>
      <c r="J26" s="4"/>
    </row>
    <row r="27" spans="1:10" ht="20.100000000000001" customHeight="1" x14ac:dyDescent="0.25">
      <c r="A27" s="5"/>
      <c r="B27" s="30"/>
      <c r="C27" s="30"/>
      <c r="D27" s="30"/>
      <c r="E27" s="30"/>
      <c r="F27" s="30"/>
      <c r="G27" s="30"/>
      <c r="H27" s="30"/>
      <c r="I27" s="30"/>
      <c r="J27" s="4"/>
    </row>
    <row r="28" spans="1:10" ht="20.100000000000001" customHeight="1" x14ac:dyDescent="0.25">
      <c r="A28" s="2" t="s">
        <v>105</v>
      </c>
      <c r="B28" s="30"/>
      <c r="C28" s="30"/>
      <c r="D28" s="30"/>
      <c r="E28" s="30" t="s">
        <v>106</v>
      </c>
      <c r="F28" s="33" t="s">
        <v>38</v>
      </c>
      <c r="G28" s="30"/>
      <c r="H28" s="30"/>
      <c r="I28" s="30"/>
      <c r="J28" s="4"/>
    </row>
    <row r="29" spans="1:10" ht="20.100000000000001" customHeight="1" x14ac:dyDescent="0.25">
      <c r="A29" s="36" t="s">
        <v>107</v>
      </c>
      <c r="B29" s="74" t="s">
        <v>108</v>
      </c>
      <c r="C29" s="103"/>
      <c r="D29" s="74" t="s">
        <v>109</v>
      </c>
      <c r="E29" s="103"/>
      <c r="F29" s="104"/>
      <c r="G29" s="74" t="s">
        <v>110</v>
      </c>
      <c r="H29" s="105"/>
      <c r="I29" s="31" t="s">
        <v>32</v>
      </c>
      <c r="J29" s="4"/>
    </row>
    <row r="30" spans="1:10" ht="151.5" customHeight="1" x14ac:dyDescent="0.25">
      <c r="A30" s="47" t="s">
        <v>111</v>
      </c>
      <c r="B30" s="82" t="s">
        <v>112</v>
      </c>
      <c r="C30" s="103"/>
      <c r="D30" s="118" t="s">
        <v>113</v>
      </c>
      <c r="E30" s="119"/>
      <c r="F30" s="83"/>
      <c r="G30" s="85"/>
      <c r="H30" s="108"/>
      <c r="I30" s="32"/>
      <c r="J30" s="4"/>
    </row>
    <row r="31" spans="1:10" ht="51" customHeight="1" x14ac:dyDescent="0.25">
      <c r="A31" s="47" t="s">
        <v>114</v>
      </c>
      <c r="B31" s="82" t="s">
        <v>115</v>
      </c>
      <c r="C31" s="103"/>
      <c r="D31" s="118" t="s">
        <v>116</v>
      </c>
      <c r="E31" s="119"/>
      <c r="F31" s="83"/>
      <c r="G31" s="85"/>
      <c r="H31" s="108"/>
      <c r="I31" s="32"/>
      <c r="J31" s="4"/>
    </row>
    <row r="32" spans="1:10" ht="51" customHeight="1" x14ac:dyDescent="0.25">
      <c r="A32" s="47" t="s">
        <v>117</v>
      </c>
      <c r="B32" s="82"/>
      <c r="C32" s="103"/>
      <c r="D32" s="118" t="s">
        <v>118</v>
      </c>
      <c r="E32" s="119"/>
      <c r="F32" s="83"/>
      <c r="G32" s="85"/>
      <c r="H32" s="108"/>
      <c r="I32" s="32"/>
      <c r="J32" s="4"/>
    </row>
    <row r="33" spans="1:10" ht="51" customHeight="1" x14ac:dyDescent="0.25">
      <c r="A33" s="47" t="s">
        <v>119</v>
      </c>
      <c r="B33" s="82"/>
      <c r="C33" s="103"/>
      <c r="D33" s="118"/>
      <c r="E33" s="119"/>
      <c r="F33" s="83"/>
      <c r="G33" s="85"/>
      <c r="H33" s="108"/>
      <c r="I33" s="32"/>
      <c r="J33" s="4"/>
    </row>
    <row r="34" spans="1:10" ht="42.75" customHeight="1" x14ac:dyDescent="0.25">
      <c r="A34" s="74" t="s">
        <v>23</v>
      </c>
      <c r="B34" s="105"/>
      <c r="C34" s="87"/>
      <c r="D34" s="103"/>
      <c r="E34" s="103"/>
      <c r="F34" s="103"/>
      <c r="G34" s="103"/>
      <c r="H34" s="103"/>
      <c r="I34" s="104"/>
      <c r="J34" s="4"/>
    </row>
    <row r="35" spans="1:10" ht="20.100000000000001" customHeight="1" x14ac:dyDescent="0.25">
      <c r="A35" s="5" t="s">
        <v>120</v>
      </c>
      <c r="B35" s="30"/>
      <c r="C35" s="30"/>
      <c r="D35" s="30"/>
      <c r="E35" s="30"/>
      <c r="F35" s="30"/>
      <c r="G35" s="30"/>
      <c r="H35" s="30"/>
      <c r="I35" s="30"/>
      <c r="J35" s="4"/>
    </row>
    <row r="36" spans="1:10" ht="20.100000000000001" customHeight="1" x14ac:dyDescent="0.25">
      <c r="A36" s="5"/>
      <c r="B36" s="30"/>
      <c r="C36" s="30"/>
      <c r="D36" s="30"/>
      <c r="E36" s="30"/>
      <c r="F36" s="30"/>
      <c r="G36" s="30"/>
      <c r="H36" s="30"/>
      <c r="I36" s="30"/>
      <c r="J36" s="4"/>
    </row>
    <row r="37" spans="1:10" ht="20.100000000000001" customHeight="1" x14ac:dyDescent="0.25">
      <c r="A37" s="78" t="s">
        <v>520</v>
      </c>
      <c r="B37" s="78"/>
      <c r="C37" s="78"/>
      <c r="D37" s="78"/>
      <c r="E37" s="78"/>
      <c r="F37" s="78"/>
      <c r="G37" s="78"/>
      <c r="H37" s="78"/>
      <c r="I37" s="78"/>
      <c r="J37" s="4"/>
    </row>
    <row r="38" spans="1:10" ht="20.100000000000001" customHeight="1" x14ac:dyDescent="0.25">
      <c r="A38" s="102"/>
      <c r="B38" s="102"/>
      <c r="C38" s="102"/>
      <c r="D38" s="102"/>
      <c r="E38" s="102"/>
      <c r="F38" s="102"/>
      <c r="G38" s="102"/>
      <c r="H38" s="102"/>
      <c r="I38" s="102"/>
      <c r="J38" s="4"/>
    </row>
    <row r="39" spans="1:10" ht="20.100000000000001" customHeight="1" x14ac:dyDescent="0.25">
      <c r="A39" s="78" t="s">
        <v>521</v>
      </c>
      <c r="B39" s="78"/>
      <c r="C39" s="78"/>
      <c r="D39" s="78"/>
      <c r="E39" s="78"/>
      <c r="F39" s="78"/>
      <c r="G39" s="78"/>
      <c r="H39" s="78"/>
      <c r="I39" s="78"/>
      <c r="J39" s="4"/>
    </row>
    <row r="40" spans="1:10" ht="20.399999999999999" customHeight="1" x14ac:dyDescent="0.25">
      <c r="A40" s="98"/>
      <c r="B40" s="98"/>
      <c r="C40" s="98"/>
      <c r="D40" s="98"/>
      <c r="E40" s="98"/>
      <c r="F40" s="98"/>
      <c r="G40" s="98"/>
      <c r="H40" s="98"/>
      <c r="I40" s="98"/>
      <c r="J40" s="4"/>
    </row>
    <row r="41" spans="1:10" s="40" customFormat="1" ht="18" customHeight="1" x14ac:dyDescent="0.25">
      <c r="A41" s="27" t="s">
        <v>525</v>
      </c>
      <c r="J41" s="41"/>
    </row>
    <row r="42" spans="1:10" s="40" customFormat="1" ht="18" customHeight="1" x14ac:dyDescent="0.25">
      <c r="A42" s="27" t="s">
        <v>121</v>
      </c>
      <c r="J42" s="41"/>
    </row>
    <row r="43" spans="1:10" s="40" customFormat="1" ht="18" customHeight="1" x14ac:dyDescent="0.25">
      <c r="A43" s="27" t="s">
        <v>122</v>
      </c>
      <c r="J43" s="41"/>
    </row>
    <row r="44" spans="1:10" s="40" customFormat="1" ht="18" customHeight="1" x14ac:dyDescent="0.25">
      <c r="A44" s="27" t="s">
        <v>123</v>
      </c>
      <c r="J44" s="41"/>
    </row>
    <row r="45" spans="1:10" s="40" customFormat="1" ht="18" customHeight="1" x14ac:dyDescent="0.25">
      <c r="A45" s="1"/>
      <c r="J45" s="41"/>
    </row>
    <row r="46" spans="1:10" s="40" customFormat="1" ht="18" customHeight="1" x14ac:dyDescent="0.25">
      <c r="A46" s="1"/>
      <c r="J46" s="41"/>
    </row>
    <row r="47" spans="1:10" s="40" customFormat="1" ht="18" customHeight="1" x14ac:dyDescent="0.25">
      <c r="A47" s="1"/>
      <c r="J47" s="41"/>
    </row>
    <row r="48" spans="1:10" s="40" customFormat="1" ht="18" customHeight="1" x14ac:dyDescent="0.25">
      <c r="A48" s="1"/>
      <c r="J48" s="41"/>
    </row>
  </sheetData>
  <mergeCells count="55">
    <mergeCell ref="A40:I40"/>
    <mergeCell ref="B32:C32"/>
    <mergeCell ref="D32:F32"/>
    <mergeCell ref="G32:H32"/>
    <mergeCell ref="B33:C33"/>
    <mergeCell ref="D33:F33"/>
    <mergeCell ref="G33:H33"/>
    <mergeCell ref="A34:B34"/>
    <mergeCell ref="C34:I34"/>
    <mergeCell ref="A37:I37"/>
    <mergeCell ref="A38:I38"/>
    <mergeCell ref="A39:I39"/>
    <mergeCell ref="B30:C30"/>
    <mergeCell ref="D30:F30"/>
    <mergeCell ref="G30:H30"/>
    <mergeCell ref="B31:C31"/>
    <mergeCell ref="D31:F31"/>
    <mergeCell ref="G31:H31"/>
    <mergeCell ref="B29:C29"/>
    <mergeCell ref="D29:F29"/>
    <mergeCell ref="G29:H29"/>
    <mergeCell ref="A16:B16"/>
    <mergeCell ref="C16:I16"/>
    <mergeCell ref="A21:C21"/>
    <mergeCell ref="D21:E21"/>
    <mergeCell ref="G21:H21"/>
    <mergeCell ref="A22:C22"/>
    <mergeCell ref="D22:E22"/>
    <mergeCell ref="G22:H22"/>
    <mergeCell ref="A23:C23"/>
    <mergeCell ref="D23:E23"/>
    <mergeCell ref="G23:H23"/>
    <mergeCell ref="A24:B24"/>
    <mergeCell ref="C24:I24"/>
    <mergeCell ref="B13:D13"/>
    <mergeCell ref="E13:F15"/>
    <mergeCell ref="G13:H13"/>
    <mergeCell ref="B14:D14"/>
    <mergeCell ref="G14:H14"/>
    <mergeCell ref="B15:D15"/>
    <mergeCell ref="G15:H15"/>
    <mergeCell ref="B10:D10"/>
    <mergeCell ref="E10:F10"/>
    <mergeCell ref="G10:H10"/>
    <mergeCell ref="B11:D11"/>
    <mergeCell ref="E11:F11"/>
    <mergeCell ref="G11:H11"/>
    <mergeCell ref="B9:D9"/>
    <mergeCell ref="E9:F9"/>
    <mergeCell ref="G9:H9"/>
    <mergeCell ref="A1:I1"/>
    <mergeCell ref="A2:I2"/>
    <mergeCell ref="A5:I5"/>
    <mergeCell ref="A6:I6"/>
    <mergeCell ref="A7:I7"/>
  </mergeCells>
  <phoneticPr fontId="4" type="noConversion"/>
  <dataValidations count="1">
    <dataValidation type="list" allowBlank="1" showInputMessage="1" showErrorMessage="1" sqref="F28 F22 F20">
      <formula1>"是,否"</formula1>
    </dataValidation>
  </dataValidations>
  <printOptions horizontalCentered="1"/>
  <pageMargins left="0.70866141732283472" right="0.70866141732283472" top="0.74803149606299213" bottom="0.74803149606299213" header="0.31496062992125984" footer="0.31496062992125984"/>
  <pageSetup paperSize="9" scale="75" fitToHeight="0" orientation="portrait" blackAndWhite="1"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9"/>
  <sheetViews>
    <sheetView view="pageBreakPreview" zoomScaleNormal="130" zoomScaleSheetLayoutView="100" workbookViewId="0">
      <selection sqref="A1:I1"/>
    </sheetView>
  </sheetViews>
  <sheetFormatPr defaultColWidth="9" defaultRowHeight="12" x14ac:dyDescent="0.25"/>
  <cols>
    <col min="1" max="1" width="20.21875" style="1" customWidth="1"/>
    <col min="2" max="2" width="9.109375" style="1" customWidth="1"/>
    <col min="3" max="3" width="6.88671875" style="1" customWidth="1"/>
    <col min="4" max="4" width="10.33203125" style="1" customWidth="1"/>
    <col min="5" max="5" width="11.33203125" style="1" customWidth="1"/>
    <col min="6" max="6" width="14.44140625" style="1" customWidth="1"/>
    <col min="7" max="7" width="11.44140625" style="1" customWidth="1"/>
    <col min="8" max="8" width="13.33203125" style="1" customWidth="1"/>
    <col min="9" max="9" width="12.21875" style="1" customWidth="1"/>
    <col min="10" max="10" width="50.77734375" style="42" customWidth="1"/>
    <col min="11" max="16384" width="9" style="1"/>
  </cols>
  <sheetData>
    <row r="1" spans="1:10" ht="20.100000000000001" customHeight="1" x14ac:dyDescent="0.25">
      <c r="A1" s="76" t="s">
        <v>517</v>
      </c>
      <c r="B1" s="76"/>
      <c r="C1" s="76"/>
      <c r="D1" s="76"/>
      <c r="E1" s="76"/>
      <c r="F1" s="76"/>
      <c r="G1" s="76"/>
      <c r="H1" s="76"/>
      <c r="I1" s="76"/>
      <c r="J1" s="4"/>
    </row>
    <row r="2" spans="1:10" s="29" customFormat="1" ht="24.9" customHeight="1" x14ac:dyDescent="0.25">
      <c r="A2" s="106" t="s">
        <v>124</v>
      </c>
      <c r="B2" s="77"/>
      <c r="C2" s="77"/>
      <c r="D2" s="77"/>
      <c r="E2" s="77"/>
      <c r="F2" s="77"/>
      <c r="G2" s="77"/>
      <c r="H2" s="77"/>
      <c r="I2" s="77"/>
      <c r="J2" s="28"/>
    </row>
    <row r="3" spans="1:10" ht="20.100000000000001" customHeight="1" x14ac:dyDescent="0.25">
      <c r="A3" s="71" t="str">
        <f>[4]底稿目录!$A$2</f>
        <v>被审计单位：</v>
      </c>
      <c r="D3" s="71" t="str">
        <f>[4]底稿目录!$A$4</f>
        <v>编制人：</v>
      </c>
      <c r="F3" s="71" t="str">
        <f>[4]底稿目录!$A$5</f>
        <v>编制日期：</v>
      </c>
      <c r="H3" s="44" t="s">
        <v>523</v>
      </c>
      <c r="I3" s="46" t="s">
        <v>524</v>
      </c>
      <c r="J3" s="4"/>
    </row>
    <row r="4" spans="1:10" ht="20.100000000000001" customHeight="1" x14ac:dyDescent="0.25">
      <c r="A4" s="71" t="str">
        <f>[4]底稿目录!$A$3</f>
        <v>会计期间：202X年度</v>
      </c>
      <c r="D4" s="71" t="str">
        <f>[4]底稿目录!$A$6</f>
        <v>复核人：</v>
      </c>
      <c r="F4" s="71" t="str">
        <f>[4]底稿目录!$A$7</f>
        <v>复核日期：</v>
      </c>
      <c r="H4" s="44" t="s">
        <v>1</v>
      </c>
      <c r="J4" s="4"/>
    </row>
    <row r="5" spans="1:10" ht="20.100000000000001" customHeight="1" x14ac:dyDescent="0.25">
      <c r="A5" s="78" t="s">
        <v>518</v>
      </c>
      <c r="B5" s="78"/>
      <c r="C5" s="78"/>
      <c r="D5" s="78"/>
      <c r="E5" s="78"/>
      <c r="F5" s="78"/>
      <c r="G5" s="78"/>
      <c r="H5" s="78"/>
      <c r="I5" s="78"/>
      <c r="J5" s="4"/>
    </row>
    <row r="6" spans="1:10" ht="21" customHeight="1" x14ac:dyDescent="0.25">
      <c r="A6" s="79" t="s">
        <v>125</v>
      </c>
      <c r="B6" s="79"/>
      <c r="C6" s="79"/>
      <c r="D6" s="79"/>
      <c r="E6" s="79"/>
      <c r="F6" s="79"/>
      <c r="G6" s="79"/>
      <c r="H6" s="79"/>
      <c r="I6" s="79"/>
      <c r="J6" s="4"/>
    </row>
    <row r="7" spans="1:10" ht="20.100000000000001" customHeight="1" x14ac:dyDescent="0.25">
      <c r="A7" s="78" t="s">
        <v>519</v>
      </c>
      <c r="B7" s="78"/>
      <c r="C7" s="78"/>
      <c r="D7" s="78"/>
      <c r="E7" s="78"/>
      <c r="F7" s="78"/>
      <c r="G7" s="78"/>
      <c r="H7" s="78"/>
      <c r="I7" s="78"/>
      <c r="J7" s="4"/>
    </row>
    <row r="8" spans="1:10" ht="20.100000000000001" customHeight="1" x14ac:dyDescent="0.25">
      <c r="A8" s="2" t="s">
        <v>126</v>
      </c>
      <c r="B8" s="30"/>
      <c r="C8" s="30"/>
      <c r="D8" s="30"/>
      <c r="E8" s="30"/>
      <c r="F8" s="30"/>
      <c r="G8" s="30"/>
      <c r="H8" s="30"/>
      <c r="I8" s="30"/>
      <c r="J8" s="4"/>
    </row>
    <row r="9" spans="1:10" ht="20.100000000000001" customHeight="1" x14ac:dyDescent="0.25">
      <c r="A9" s="36" t="s">
        <v>127</v>
      </c>
      <c r="B9" s="74" t="s">
        <v>128</v>
      </c>
      <c r="C9" s="103"/>
      <c r="D9" s="104"/>
      <c r="E9" s="74" t="s">
        <v>129</v>
      </c>
      <c r="F9" s="105"/>
      <c r="G9" s="74" t="s">
        <v>75</v>
      </c>
      <c r="H9" s="105"/>
      <c r="I9" s="31" t="s">
        <v>32</v>
      </c>
      <c r="J9" s="4"/>
    </row>
    <row r="10" spans="1:10" ht="63.75" customHeight="1" x14ac:dyDescent="0.25">
      <c r="A10" s="47" t="s">
        <v>130</v>
      </c>
      <c r="B10" s="82" t="s">
        <v>131</v>
      </c>
      <c r="C10" s="103"/>
      <c r="D10" s="104"/>
      <c r="E10" s="84" t="s">
        <v>132</v>
      </c>
      <c r="F10" s="107"/>
      <c r="G10" s="85"/>
      <c r="H10" s="108"/>
      <c r="I10" s="32"/>
      <c r="J10" s="4"/>
    </row>
    <row r="11" spans="1:10" ht="78.75" customHeight="1" x14ac:dyDescent="0.25">
      <c r="A11" s="47" t="s">
        <v>133</v>
      </c>
      <c r="B11" s="82" t="s">
        <v>134</v>
      </c>
      <c r="C11" s="103"/>
      <c r="D11" s="104"/>
      <c r="E11" s="84"/>
      <c r="F11" s="107"/>
      <c r="G11" s="85"/>
      <c r="H11" s="108"/>
      <c r="I11" s="32"/>
      <c r="J11" s="4"/>
    </row>
    <row r="12" spans="1:10" ht="73.5" customHeight="1" x14ac:dyDescent="0.25">
      <c r="A12" s="47" t="s">
        <v>135</v>
      </c>
      <c r="B12" s="82" t="s">
        <v>136</v>
      </c>
      <c r="C12" s="103"/>
      <c r="D12" s="104"/>
      <c r="E12" s="84"/>
      <c r="F12" s="107"/>
      <c r="G12" s="85"/>
      <c r="H12" s="108"/>
      <c r="I12" s="32"/>
      <c r="J12" s="4"/>
    </row>
    <row r="13" spans="1:10" ht="23.25" customHeight="1" x14ac:dyDescent="0.25">
      <c r="A13" s="48" t="s">
        <v>137</v>
      </c>
      <c r="B13" s="6"/>
      <c r="C13" s="49"/>
      <c r="D13" s="50"/>
      <c r="E13" s="51"/>
      <c r="F13" s="50"/>
      <c r="G13" s="49"/>
      <c r="H13" s="50"/>
      <c r="I13" s="52"/>
      <c r="J13" s="4"/>
    </row>
    <row r="14" spans="1:10" ht="69" customHeight="1" x14ac:dyDescent="0.25">
      <c r="A14" s="47" t="s">
        <v>138</v>
      </c>
      <c r="B14" s="82" t="s">
        <v>139</v>
      </c>
      <c r="C14" s="103"/>
      <c r="D14" s="104"/>
      <c r="E14" s="109" t="s">
        <v>140</v>
      </c>
      <c r="F14" s="120"/>
      <c r="G14" s="85"/>
      <c r="H14" s="108"/>
      <c r="I14" s="32"/>
      <c r="J14" s="4"/>
    </row>
    <row r="15" spans="1:10" ht="71.25" customHeight="1" x14ac:dyDescent="0.25">
      <c r="A15" s="47" t="s">
        <v>141</v>
      </c>
      <c r="B15" s="82" t="s">
        <v>142</v>
      </c>
      <c r="C15" s="103"/>
      <c r="D15" s="104"/>
      <c r="E15" s="113"/>
      <c r="F15" s="114"/>
      <c r="G15" s="85"/>
      <c r="H15" s="108"/>
      <c r="I15" s="32"/>
      <c r="J15" s="4"/>
    </row>
    <row r="16" spans="1:10" ht="23.25" customHeight="1" x14ac:dyDescent="0.25">
      <c r="A16" s="48" t="s">
        <v>143</v>
      </c>
      <c r="B16" s="6"/>
      <c r="C16" s="49"/>
      <c r="D16" s="50"/>
      <c r="E16" s="51"/>
      <c r="F16" s="50"/>
      <c r="G16" s="49"/>
      <c r="H16" s="50"/>
      <c r="I16" s="52"/>
      <c r="J16" s="4"/>
    </row>
    <row r="17" spans="1:10" ht="79.5" customHeight="1" x14ac:dyDescent="0.25">
      <c r="A17" s="47" t="s">
        <v>144</v>
      </c>
      <c r="B17" s="82" t="s">
        <v>145</v>
      </c>
      <c r="C17" s="103"/>
      <c r="D17" s="104"/>
      <c r="E17" s="84" t="s">
        <v>146</v>
      </c>
      <c r="F17" s="107"/>
      <c r="G17" s="85" t="s">
        <v>147</v>
      </c>
      <c r="H17" s="108"/>
      <c r="I17" s="32"/>
      <c r="J17" s="4" t="s">
        <v>148</v>
      </c>
    </row>
    <row r="18" spans="1:10" ht="42.75" customHeight="1" x14ac:dyDescent="0.25">
      <c r="A18" s="74" t="s">
        <v>149</v>
      </c>
      <c r="B18" s="105"/>
      <c r="C18" s="87"/>
      <c r="D18" s="103"/>
      <c r="E18" s="103"/>
      <c r="F18" s="103"/>
      <c r="G18" s="103"/>
      <c r="H18" s="103"/>
      <c r="I18" s="104"/>
      <c r="J18" s="4"/>
    </row>
    <row r="19" spans="1:10" ht="20.100000000000001" customHeight="1" x14ac:dyDescent="0.25">
      <c r="A19" s="5"/>
      <c r="B19" s="30"/>
      <c r="C19" s="30"/>
      <c r="D19" s="30"/>
      <c r="E19" s="30"/>
      <c r="F19" s="30"/>
      <c r="G19" s="30"/>
      <c r="H19" s="30"/>
      <c r="I19" s="30"/>
      <c r="J19" s="4"/>
    </row>
    <row r="20" spans="1:10" ht="20.100000000000001" customHeight="1" x14ac:dyDescent="0.25">
      <c r="A20" s="5"/>
      <c r="B20" s="30"/>
      <c r="C20" s="30"/>
      <c r="D20" s="30"/>
      <c r="E20" s="30"/>
      <c r="F20" s="30"/>
      <c r="G20" s="30"/>
      <c r="H20" s="30"/>
      <c r="I20" s="30"/>
      <c r="J20" s="4"/>
    </row>
    <row r="21" spans="1:10" ht="20.100000000000001" customHeight="1" x14ac:dyDescent="0.25">
      <c r="A21" s="2" t="s">
        <v>150</v>
      </c>
      <c r="B21" s="30"/>
      <c r="C21" s="30"/>
      <c r="D21" s="30"/>
      <c r="E21" s="30"/>
      <c r="F21" s="33"/>
      <c r="G21" s="30"/>
      <c r="H21" s="30"/>
      <c r="I21" s="30"/>
      <c r="J21" s="4"/>
    </row>
    <row r="22" spans="1:10" ht="20.100000000000001" customHeight="1" x14ac:dyDescent="0.25">
      <c r="A22" s="72" t="s">
        <v>151</v>
      </c>
      <c r="B22" s="72"/>
      <c r="C22" s="115"/>
      <c r="D22" s="72" t="s">
        <v>29</v>
      </c>
      <c r="E22" s="115"/>
      <c r="F22" s="31" t="s">
        <v>152</v>
      </c>
      <c r="G22" s="74" t="s">
        <v>153</v>
      </c>
      <c r="H22" s="105"/>
      <c r="I22" s="31" t="s">
        <v>154</v>
      </c>
      <c r="J22" s="4"/>
    </row>
    <row r="23" spans="1:10" ht="54.75" customHeight="1" x14ac:dyDescent="0.25">
      <c r="A23" s="84" t="s">
        <v>155</v>
      </c>
      <c r="B23" s="84"/>
      <c r="C23" s="116"/>
      <c r="D23" s="84" t="s">
        <v>156</v>
      </c>
      <c r="E23" s="116"/>
      <c r="F23" s="34" t="s">
        <v>38</v>
      </c>
      <c r="G23" s="92"/>
      <c r="H23" s="117"/>
      <c r="I23" s="35"/>
      <c r="J23" s="4"/>
    </row>
    <row r="24" spans="1:10" ht="33.75" customHeight="1" x14ac:dyDescent="0.25">
      <c r="A24" s="84" t="s">
        <v>157</v>
      </c>
      <c r="B24" s="84"/>
      <c r="C24" s="116"/>
      <c r="D24" s="84"/>
      <c r="E24" s="116"/>
      <c r="F24" s="34" t="s">
        <v>38</v>
      </c>
      <c r="G24" s="92"/>
      <c r="H24" s="117"/>
      <c r="I24" s="35"/>
      <c r="J24" s="4"/>
    </row>
    <row r="25" spans="1:10" ht="38.25" customHeight="1" x14ac:dyDescent="0.25">
      <c r="A25" s="84" t="s">
        <v>158</v>
      </c>
      <c r="B25" s="84"/>
      <c r="C25" s="116"/>
      <c r="D25" s="84"/>
      <c r="E25" s="116"/>
      <c r="F25" s="34" t="s">
        <v>38</v>
      </c>
      <c r="G25" s="92"/>
      <c r="H25" s="117"/>
      <c r="I25" s="35"/>
      <c r="J25" s="4"/>
    </row>
    <row r="26" spans="1:10" ht="38.25" customHeight="1" x14ac:dyDescent="0.25">
      <c r="A26" s="84" t="s">
        <v>159</v>
      </c>
      <c r="B26" s="84"/>
      <c r="C26" s="116"/>
      <c r="D26" s="84"/>
      <c r="E26" s="116"/>
      <c r="F26" s="34" t="s">
        <v>38</v>
      </c>
      <c r="G26" s="92"/>
      <c r="H26" s="117"/>
      <c r="I26" s="35"/>
      <c r="J26" s="4"/>
    </row>
    <row r="27" spans="1:10" ht="38.25" customHeight="1" x14ac:dyDescent="0.25">
      <c r="A27" s="84" t="s">
        <v>160</v>
      </c>
      <c r="B27" s="84"/>
      <c r="C27" s="116"/>
      <c r="D27" s="84"/>
      <c r="E27" s="116"/>
      <c r="F27" s="34" t="s">
        <v>38</v>
      </c>
      <c r="G27" s="92"/>
      <c r="H27" s="117"/>
      <c r="I27" s="35"/>
      <c r="J27" s="4"/>
    </row>
    <row r="28" spans="1:10" ht="30" customHeight="1" x14ac:dyDescent="0.25">
      <c r="A28" s="74" t="s">
        <v>23</v>
      </c>
      <c r="B28" s="105"/>
      <c r="C28" s="87" t="str">
        <f>IF(AND(F23="否",F24="否",F25="否",F26="否",F27="否"),"累计己确认的收入金额极可能不会发生重大转回","不满足累计己确认的收入金额极可能不会发生重大转回的要求")</f>
        <v>累计己确认的收入金额极可能不会发生重大转回</v>
      </c>
      <c r="D28" s="103"/>
      <c r="E28" s="103"/>
      <c r="F28" s="103"/>
      <c r="G28" s="103"/>
      <c r="H28" s="103"/>
      <c r="I28" s="104"/>
      <c r="J28" s="4"/>
    </row>
    <row r="29" spans="1:10" ht="20.100000000000001" customHeight="1" x14ac:dyDescent="0.25">
      <c r="A29" s="5" t="s">
        <v>161</v>
      </c>
      <c r="B29" s="30"/>
      <c r="C29" s="30"/>
      <c r="D29" s="30"/>
      <c r="E29" s="30"/>
      <c r="F29" s="30"/>
      <c r="G29" s="30"/>
      <c r="H29" s="30"/>
      <c r="I29" s="30"/>
      <c r="J29" s="4"/>
    </row>
    <row r="30" spans="1:10" ht="20.100000000000001" customHeight="1" x14ac:dyDescent="0.25">
      <c r="A30" s="5" t="s">
        <v>162</v>
      </c>
      <c r="B30" s="30"/>
      <c r="C30" s="30"/>
      <c r="D30" s="30"/>
      <c r="E30" s="30"/>
      <c r="F30" s="30"/>
      <c r="G30" s="30"/>
      <c r="H30" s="30"/>
      <c r="I30" s="30"/>
      <c r="J30" s="4"/>
    </row>
    <row r="31" spans="1:10" ht="20.100000000000001" customHeight="1" x14ac:dyDescent="0.25">
      <c r="A31" s="5"/>
      <c r="B31" s="30"/>
      <c r="C31" s="30"/>
      <c r="D31" s="30"/>
      <c r="E31" s="30"/>
      <c r="F31" s="30"/>
      <c r="G31" s="30"/>
      <c r="H31" s="30"/>
      <c r="I31" s="30"/>
      <c r="J31" s="4"/>
    </row>
    <row r="32" spans="1:10" ht="20.100000000000001" customHeight="1" x14ac:dyDescent="0.25">
      <c r="A32" s="2" t="s">
        <v>163</v>
      </c>
      <c r="B32" s="30"/>
      <c r="C32" s="30"/>
      <c r="D32" s="30"/>
      <c r="E32" s="30"/>
      <c r="F32" s="33"/>
      <c r="G32" s="30"/>
      <c r="H32" s="30"/>
      <c r="I32" s="30"/>
      <c r="J32" s="4"/>
    </row>
    <row r="33" spans="1:10" ht="20.100000000000001" customHeight="1" x14ac:dyDescent="0.25">
      <c r="A33" s="36" t="s">
        <v>127</v>
      </c>
      <c r="B33" s="74" t="s">
        <v>108</v>
      </c>
      <c r="C33" s="103"/>
      <c r="D33" s="104"/>
      <c r="E33" s="74" t="s">
        <v>109</v>
      </c>
      <c r="F33" s="105"/>
      <c r="G33" s="74" t="s">
        <v>75</v>
      </c>
      <c r="H33" s="105"/>
      <c r="I33" s="31" t="s">
        <v>32</v>
      </c>
      <c r="J33" s="4"/>
    </row>
    <row r="34" spans="1:10" ht="75.75" customHeight="1" x14ac:dyDescent="0.25">
      <c r="A34" s="47" t="s">
        <v>164</v>
      </c>
      <c r="B34" s="82" t="s">
        <v>165</v>
      </c>
      <c r="C34" s="103"/>
      <c r="D34" s="104"/>
      <c r="E34" s="84" t="s">
        <v>166</v>
      </c>
      <c r="F34" s="107"/>
      <c r="G34" s="85"/>
      <c r="H34" s="108"/>
      <c r="I34" s="32"/>
      <c r="J34" s="4"/>
    </row>
    <row r="35" spans="1:10" ht="75.75" customHeight="1" x14ac:dyDescent="0.25">
      <c r="A35" s="47" t="s">
        <v>167</v>
      </c>
      <c r="B35" s="82" t="s">
        <v>168</v>
      </c>
      <c r="C35" s="103"/>
      <c r="D35" s="104"/>
      <c r="E35" s="84"/>
      <c r="F35" s="107"/>
      <c r="G35" s="85"/>
      <c r="H35" s="108"/>
      <c r="I35" s="32"/>
      <c r="J35" s="4"/>
    </row>
    <row r="36" spans="1:10" ht="75.75" customHeight="1" x14ac:dyDescent="0.25">
      <c r="A36" s="47" t="s">
        <v>169</v>
      </c>
      <c r="B36" s="82" t="s">
        <v>170</v>
      </c>
      <c r="C36" s="103"/>
      <c r="D36" s="104"/>
      <c r="E36" s="84" t="s">
        <v>171</v>
      </c>
      <c r="F36" s="107"/>
      <c r="G36" s="85"/>
      <c r="H36" s="108"/>
      <c r="I36" s="32"/>
      <c r="J36" s="4" t="s">
        <v>172</v>
      </c>
    </row>
    <row r="37" spans="1:10" ht="23.25" customHeight="1" x14ac:dyDescent="0.25">
      <c r="A37" s="48" t="s">
        <v>173</v>
      </c>
      <c r="B37" s="6"/>
      <c r="C37" s="49"/>
      <c r="D37" s="50"/>
      <c r="E37" s="51"/>
      <c r="F37" s="50"/>
      <c r="G37" s="49"/>
      <c r="H37" s="50"/>
      <c r="I37" s="52"/>
      <c r="J37" s="4"/>
    </row>
    <row r="38" spans="1:10" ht="70.5" customHeight="1" x14ac:dyDescent="0.25">
      <c r="A38" s="47" t="s">
        <v>174</v>
      </c>
      <c r="B38" s="82" t="s">
        <v>175</v>
      </c>
      <c r="C38" s="103"/>
      <c r="D38" s="104"/>
      <c r="E38" s="84"/>
      <c r="F38" s="107"/>
      <c r="G38" s="85"/>
      <c r="H38" s="108"/>
      <c r="I38" s="32"/>
      <c r="J38" s="4"/>
    </row>
    <row r="39" spans="1:10" ht="93" customHeight="1" x14ac:dyDescent="0.25">
      <c r="A39" s="47" t="s">
        <v>176</v>
      </c>
      <c r="B39" s="82" t="s">
        <v>177</v>
      </c>
      <c r="C39" s="103"/>
      <c r="D39" s="104"/>
      <c r="E39" s="84" t="s">
        <v>178</v>
      </c>
      <c r="F39" s="107"/>
      <c r="G39" s="85"/>
      <c r="H39" s="108"/>
      <c r="I39" s="32"/>
      <c r="J39" s="4"/>
    </row>
    <row r="40" spans="1:10" ht="93.75" customHeight="1" x14ac:dyDescent="0.25">
      <c r="A40" s="47" t="s">
        <v>179</v>
      </c>
      <c r="B40" s="82" t="s">
        <v>180</v>
      </c>
      <c r="C40" s="103"/>
      <c r="D40" s="104"/>
      <c r="E40" s="84" t="s">
        <v>181</v>
      </c>
      <c r="F40" s="107"/>
      <c r="G40" s="85"/>
      <c r="H40" s="108"/>
      <c r="I40" s="32"/>
      <c r="J40" s="4"/>
    </row>
    <row r="41" spans="1:10" ht="42.75" customHeight="1" x14ac:dyDescent="0.25">
      <c r="A41" s="74" t="s">
        <v>149</v>
      </c>
      <c r="B41" s="105"/>
      <c r="C41" s="87"/>
      <c r="D41" s="103"/>
      <c r="E41" s="103"/>
      <c r="F41" s="103"/>
      <c r="G41" s="103"/>
      <c r="H41" s="103"/>
      <c r="I41" s="104"/>
      <c r="J41" s="4"/>
    </row>
    <row r="42" spans="1:10" ht="20.100000000000001" customHeight="1" x14ac:dyDescent="0.25">
      <c r="A42" s="5"/>
      <c r="B42" s="30"/>
      <c r="C42" s="30"/>
      <c r="D42" s="30"/>
      <c r="E42" s="30"/>
      <c r="F42" s="30"/>
      <c r="G42" s="30"/>
      <c r="H42" s="30"/>
      <c r="I42" s="30"/>
      <c r="J42" s="4"/>
    </row>
    <row r="43" spans="1:10" ht="20.100000000000001" customHeight="1" x14ac:dyDescent="0.25">
      <c r="A43" s="2" t="s">
        <v>182</v>
      </c>
      <c r="B43" s="30"/>
      <c r="C43" s="30"/>
      <c r="D43" s="30"/>
      <c r="E43" s="30" t="s">
        <v>183</v>
      </c>
      <c r="F43" s="33" t="s">
        <v>27</v>
      </c>
      <c r="G43" s="30"/>
      <c r="H43" s="30"/>
      <c r="I43" s="30"/>
      <c r="J43" s="4"/>
    </row>
    <row r="44" spans="1:10" ht="20.100000000000001" customHeight="1" x14ac:dyDescent="0.25">
      <c r="A44" s="72" t="s">
        <v>184</v>
      </c>
      <c r="B44" s="72"/>
      <c r="C44" s="115"/>
      <c r="D44" s="72" t="s">
        <v>29</v>
      </c>
      <c r="E44" s="115"/>
      <c r="F44" s="36" t="s">
        <v>185</v>
      </c>
      <c r="G44" s="36" t="s">
        <v>186</v>
      </c>
      <c r="H44" s="36" t="s">
        <v>187</v>
      </c>
      <c r="I44" s="31" t="s">
        <v>188</v>
      </c>
      <c r="J44" s="4"/>
    </row>
    <row r="45" spans="1:10" ht="68.25" customHeight="1" x14ac:dyDescent="0.25">
      <c r="A45" s="84" t="s">
        <v>189</v>
      </c>
      <c r="B45" s="84"/>
      <c r="C45" s="116"/>
      <c r="D45" s="84" t="s">
        <v>190</v>
      </c>
      <c r="E45" s="116"/>
      <c r="F45" s="53"/>
      <c r="G45" s="15"/>
      <c r="H45" s="15"/>
      <c r="I45" s="54"/>
      <c r="J45" s="4"/>
    </row>
    <row r="46" spans="1:10" ht="33.75" customHeight="1" x14ac:dyDescent="0.25">
      <c r="A46" s="84" t="s">
        <v>191</v>
      </c>
      <c r="B46" s="84"/>
      <c r="C46" s="116"/>
      <c r="D46" s="130">
        <f>H46/((1+F46)^I46)</f>
        <v>3999999.9999999995</v>
      </c>
      <c r="E46" s="131"/>
      <c r="F46" s="14">
        <v>0.06</v>
      </c>
      <c r="G46" s="7">
        <v>4000000</v>
      </c>
      <c r="H46" s="7">
        <v>4494400</v>
      </c>
      <c r="I46" s="69">
        <v>2</v>
      </c>
      <c r="J46" s="4" t="s">
        <v>192</v>
      </c>
    </row>
    <row r="47" spans="1:10" ht="23.25" customHeight="1" x14ac:dyDescent="0.25">
      <c r="A47" s="48" t="s">
        <v>193</v>
      </c>
      <c r="B47" s="6"/>
      <c r="C47" s="49"/>
      <c r="D47" s="50"/>
      <c r="E47" s="51"/>
      <c r="F47" s="50"/>
      <c r="G47" s="49"/>
      <c r="H47" s="50"/>
      <c r="I47" s="52"/>
      <c r="J47" s="4"/>
    </row>
    <row r="48" spans="1:10" ht="23.25" customHeight="1" x14ac:dyDescent="0.25">
      <c r="A48" s="72" t="s">
        <v>127</v>
      </c>
      <c r="B48" s="72"/>
      <c r="C48" s="132"/>
      <c r="D48" s="72" t="s">
        <v>29</v>
      </c>
      <c r="E48" s="115"/>
      <c r="F48" s="55" t="s">
        <v>194</v>
      </c>
      <c r="G48" s="55"/>
      <c r="H48" s="8"/>
      <c r="I48" s="31" t="s">
        <v>195</v>
      </c>
      <c r="J48" s="4"/>
    </row>
    <row r="49" spans="1:10" ht="23.25" customHeight="1" x14ac:dyDescent="0.25">
      <c r="A49" s="133" t="s">
        <v>196</v>
      </c>
      <c r="B49" s="134"/>
      <c r="C49" s="135"/>
      <c r="D49" s="84" t="s">
        <v>197</v>
      </c>
      <c r="E49" s="116"/>
      <c r="F49" s="7">
        <v>4000000</v>
      </c>
      <c r="G49" s="7"/>
      <c r="H49" s="9"/>
      <c r="I49" s="3"/>
      <c r="J49" s="4" t="s">
        <v>198</v>
      </c>
    </row>
    <row r="50" spans="1:10" ht="23.25" customHeight="1" x14ac:dyDescent="0.25">
      <c r="A50" s="80" t="s">
        <v>199</v>
      </c>
      <c r="B50" s="80"/>
      <c r="C50" s="121"/>
      <c r="D50" s="84"/>
      <c r="E50" s="116"/>
      <c r="F50" s="10">
        <v>0.06</v>
      </c>
      <c r="G50" s="10"/>
      <c r="H50" s="11"/>
      <c r="I50" s="3"/>
      <c r="J50" s="4"/>
    </row>
    <row r="51" spans="1:10" ht="23.25" customHeight="1" x14ac:dyDescent="0.25">
      <c r="A51" s="122" t="s">
        <v>200</v>
      </c>
      <c r="B51" s="123"/>
      <c r="C51" s="124"/>
      <c r="D51" s="84" t="s">
        <v>201</v>
      </c>
      <c r="E51" s="116"/>
      <c r="F51" s="12">
        <f>F49*F50</f>
        <v>240000</v>
      </c>
      <c r="G51" s="12"/>
      <c r="H51" s="13"/>
      <c r="I51" s="3"/>
      <c r="J51" s="128" t="s">
        <v>202</v>
      </c>
    </row>
    <row r="52" spans="1:10" ht="23.25" customHeight="1" x14ac:dyDescent="0.25">
      <c r="A52" s="125"/>
      <c r="B52" s="126"/>
      <c r="C52" s="127"/>
      <c r="D52" s="84" t="s">
        <v>203</v>
      </c>
      <c r="E52" s="116"/>
      <c r="F52" s="12">
        <f>(F49+F51)*F50</f>
        <v>254400</v>
      </c>
      <c r="G52" s="12"/>
      <c r="H52" s="13"/>
      <c r="I52" s="3"/>
      <c r="J52" s="129"/>
    </row>
    <row r="53" spans="1:10" ht="23.25" customHeight="1" x14ac:dyDescent="0.25">
      <c r="A53" s="80"/>
      <c r="B53" s="80"/>
      <c r="C53" s="121"/>
      <c r="D53" s="84"/>
      <c r="E53" s="116"/>
      <c r="F53" s="12"/>
      <c r="G53" s="12"/>
      <c r="H53" s="13"/>
      <c r="I53" s="3"/>
      <c r="J53" s="4"/>
    </row>
    <row r="54" spans="1:10" ht="20.100000000000001" customHeight="1" x14ac:dyDescent="0.25">
      <c r="A54" s="5" t="s">
        <v>204</v>
      </c>
      <c r="B54" s="30"/>
      <c r="C54" s="30"/>
      <c r="D54" s="30"/>
      <c r="E54" s="30"/>
      <c r="F54" s="30"/>
      <c r="G54" s="30"/>
      <c r="H54" s="30"/>
      <c r="I54" s="30"/>
      <c r="J54" s="4"/>
    </row>
    <row r="55" spans="1:10" ht="20.100000000000001" customHeight="1" x14ac:dyDescent="0.25">
      <c r="A55" s="5"/>
      <c r="B55" s="30"/>
      <c r="C55" s="30"/>
      <c r="D55" s="30"/>
      <c r="E55" s="30"/>
      <c r="F55" s="30"/>
      <c r="G55" s="30"/>
      <c r="H55" s="30"/>
      <c r="I55" s="30"/>
      <c r="J55" s="4"/>
    </row>
    <row r="56" spans="1:10" ht="20.100000000000001" customHeight="1" x14ac:dyDescent="0.25">
      <c r="A56" s="2" t="s">
        <v>205</v>
      </c>
      <c r="B56" s="30"/>
      <c r="C56" s="30"/>
      <c r="D56" s="30"/>
      <c r="E56" s="30"/>
      <c r="F56" s="33"/>
      <c r="G56" s="30"/>
      <c r="H56" s="30"/>
      <c r="I56" s="30"/>
      <c r="J56" s="4"/>
    </row>
    <row r="57" spans="1:10" ht="20.100000000000001" customHeight="1" x14ac:dyDescent="0.25">
      <c r="A57" s="36" t="s">
        <v>28</v>
      </c>
      <c r="B57" s="74" t="s">
        <v>128</v>
      </c>
      <c r="C57" s="103"/>
      <c r="D57" s="104"/>
      <c r="E57" s="74" t="s">
        <v>129</v>
      </c>
      <c r="F57" s="105"/>
      <c r="G57" s="74" t="s">
        <v>75</v>
      </c>
      <c r="H57" s="105"/>
      <c r="I57" s="31" t="s">
        <v>32</v>
      </c>
      <c r="J57" s="4"/>
    </row>
    <row r="58" spans="1:10" ht="83.25" customHeight="1" x14ac:dyDescent="0.25">
      <c r="A58" s="56" t="s">
        <v>206</v>
      </c>
      <c r="B58" s="82" t="s">
        <v>207</v>
      </c>
      <c r="C58" s="103"/>
      <c r="D58" s="104"/>
      <c r="E58" s="84" t="s">
        <v>208</v>
      </c>
      <c r="F58" s="107"/>
      <c r="G58" s="85"/>
      <c r="H58" s="108"/>
      <c r="I58" s="32"/>
      <c r="J58" s="4" t="s">
        <v>209</v>
      </c>
    </row>
    <row r="59" spans="1:10" ht="81.75" customHeight="1" x14ac:dyDescent="0.25">
      <c r="A59" s="47" t="s">
        <v>210</v>
      </c>
      <c r="B59" s="82" t="s">
        <v>211</v>
      </c>
      <c r="C59" s="103"/>
      <c r="D59" s="104"/>
      <c r="E59" s="84" t="s">
        <v>212</v>
      </c>
      <c r="F59" s="107"/>
      <c r="G59" s="85"/>
      <c r="H59" s="108"/>
      <c r="I59" s="32"/>
      <c r="J59" s="4" t="s">
        <v>213</v>
      </c>
    </row>
    <row r="60" spans="1:10" ht="30" customHeight="1" x14ac:dyDescent="0.25">
      <c r="A60" s="74" t="s">
        <v>214</v>
      </c>
      <c r="B60" s="105"/>
      <c r="C60" s="87"/>
      <c r="D60" s="103"/>
      <c r="E60" s="103"/>
      <c r="F60" s="103"/>
      <c r="G60" s="103"/>
      <c r="H60" s="103"/>
      <c r="I60" s="104"/>
      <c r="J60" s="4"/>
    </row>
    <row r="61" spans="1:10" ht="20.100000000000001" customHeight="1" x14ac:dyDescent="0.25">
      <c r="A61" s="5" t="s">
        <v>215</v>
      </c>
      <c r="B61" s="30"/>
      <c r="C61" s="30"/>
      <c r="D61" s="30"/>
      <c r="E61" s="30"/>
      <c r="F61" s="30"/>
      <c r="G61" s="30"/>
      <c r="H61" s="30"/>
      <c r="I61" s="30"/>
      <c r="J61" s="4"/>
    </row>
    <row r="62" spans="1:10" ht="20.100000000000001" customHeight="1" x14ac:dyDescent="0.25">
      <c r="A62" s="5"/>
      <c r="B62" s="30"/>
      <c r="C62" s="30"/>
      <c r="D62" s="30"/>
      <c r="E62" s="30"/>
      <c r="F62" s="30"/>
      <c r="G62" s="30"/>
      <c r="H62" s="30"/>
      <c r="I62" s="30"/>
      <c r="J62" s="4"/>
    </row>
    <row r="63" spans="1:10" ht="20.100000000000001" customHeight="1" x14ac:dyDescent="0.25">
      <c r="A63" s="2" t="s">
        <v>216</v>
      </c>
      <c r="B63" s="30"/>
      <c r="C63" s="30"/>
      <c r="D63" s="30"/>
      <c r="E63" s="30" t="s">
        <v>183</v>
      </c>
      <c r="F63" s="33" t="s">
        <v>38</v>
      </c>
      <c r="G63" s="30"/>
      <c r="H63" s="30"/>
      <c r="I63" s="30"/>
      <c r="J63" s="4"/>
    </row>
    <row r="64" spans="1:10" ht="20.100000000000001" customHeight="1" x14ac:dyDescent="0.25">
      <c r="A64" s="36" t="s">
        <v>127</v>
      </c>
      <c r="B64" s="74" t="s">
        <v>128</v>
      </c>
      <c r="C64" s="103"/>
      <c r="D64" s="104"/>
      <c r="E64" s="74" t="s">
        <v>129</v>
      </c>
      <c r="F64" s="105"/>
      <c r="G64" s="74" t="s">
        <v>75</v>
      </c>
      <c r="H64" s="105"/>
      <c r="I64" s="31" t="s">
        <v>217</v>
      </c>
      <c r="J64" s="4"/>
    </row>
    <row r="65" spans="1:10" ht="40.5" customHeight="1" x14ac:dyDescent="0.25">
      <c r="A65" s="136" t="s">
        <v>218</v>
      </c>
      <c r="B65" s="82" t="s">
        <v>526</v>
      </c>
      <c r="C65" s="103"/>
      <c r="D65" s="104"/>
      <c r="E65" s="109" t="s">
        <v>219</v>
      </c>
      <c r="F65" s="110"/>
      <c r="G65" s="85"/>
      <c r="H65" s="108"/>
      <c r="I65" s="32"/>
      <c r="J65" s="4" t="s">
        <v>220</v>
      </c>
    </row>
    <row r="66" spans="1:10" ht="54.75" customHeight="1" x14ac:dyDescent="0.25">
      <c r="A66" s="137"/>
      <c r="B66" s="82" t="s">
        <v>221</v>
      </c>
      <c r="C66" s="103"/>
      <c r="D66" s="104"/>
      <c r="E66" s="113"/>
      <c r="F66" s="114"/>
      <c r="G66" s="85"/>
      <c r="H66" s="108"/>
      <c r="I66" s="32"/>
      <c r="J66" s="4"/>
    </row>
    <row r="67" spans="1:10" ht="72.75" customHeight="1" x14ac:dyDescent="0.25">
      <c r="A67" s="47" t="s">
        <v>222</v>
      </c>
      <c r="B67" s="82" t="s">
        <v>223</v>
      </c>
      <c r="C67" s="103"/>
      <c r="D67" s="104"/>
      <c r="E67" s="84"/>
      <c r="F67" s="107"/>
      <c r="G67" s="85"/>
      <c r="H67" s="108"/>
      <c r="I67" s="32"/>
      <c r="J67" s="4"/>
    </row>
    <row r="68" spans="1:10" ht="43.5" customHeight="1" x14ac:dyDescent="0.25">
      <c r="A68" s="74" t="s">
        <v>149</v>
      </c>
      <c r="B68" s="105"/>
      <c r="C68" s="87"/>
      <c r="D68" s="103"/>
      <c r="E68" s="103"/>
      <c r="F68" s="103"/>
      <c r="G68" s="103"/>
      <c r="H68" s="103"/>
      <c r="I68" s="104"/>
      <c r="J68" s="4"/>
    </row>
    <row r="69" spans="1:10" ht="20.100000000000001" customHeight="1" x14ac:dyDescent="0.25">
      <c r="A69" s="5"/>
      <c r="B69" s="30"/>
      <c r="C69" s="30"/>
      <c r="D69" s="30"/>
      <c r="E69" s="30"/>
      <c r="F69" s="30"/>
      <c r="G69" s="30"/>
      <c r="H69" s="30"/>
      <c r="I69" s="30"/>
      <c r="J69" s="4"/>
    </row>
    <row r="70" spans="1:10" ht="20.100000000000001" customHeight="1" x14ac:dyDescent="0.25">
      <c r="A70" s="2" t="s">
        <v>224</v>
      </c>
      <c r="B70" s="30"/>
      <c r="C70" s="30"/>
      <c r="D70" s="30"/>
      <c r="E70" s="30" t="s">
        <v>26</v>
      </c>
      <c r="F70" s="33" t="s">
        <v>38</v>
      </c>
      <c r="G70" s="30"/>
      <c r="H70" s="30"/>
      <c r="I70" s="30"/>
      <c r="J70" s="4"/>
    </row>
    <row r="71" spans="1:10" ht="20.100000000000001" customHeight="1" x14ac:dyDescent="0.25">
      <c r="A71" s="36" t="s">
        <v>225</v>
      </c>
      <c r="B71" s="74" t="s">
        <v>128</v>
      </c>
      <c r="C71" s="103"/>
      <c r="D71" s="104"/>
      <c r="E71" s="74" t="s">
        <v>129</v>
      </c>
      <c r="F71" s="105"/>
      <c r="G71" s="74" t="s">
        <v>110</v>
      </c>
      <c r="H71" s="105"/>
      <c r="I71" s="31" t="s">
        <v>32</v>
      </c>
      <c r="J71" s="4"/>
    </row>
    <row r="72" spans="1:10" ht="69.75" customHeight="1" x14ac:dyDescent="0.25">
      <c r="A72" s="47" t="s">
        <v>226</v>
      </c>
      <c r="B72" s="82" t="s">
        <v>227</v>
      </c>
      <c r="C72" s="103"/>
      <c r="D72" s="104"/>
      <c r="E72" s="84" t="s">
        <v>228</v>
      </c>
      <c r="F72" s="107"/>
      <c r="G72" s="85"/>
      <c r="H72" s="108"/>
      <c r="I72" s="32"/>
      <c r="J72" s="4"/>
    </row>
    <row r="73" spans="1:10" ht="63.75" customHeight="1" x14ac:dyDescent="0.25">
      <c r="A73" s="47" t="s">
        <v>229</v>
      </c>
      <c r="B73" s="82" t="s">
        <v>230</v>
      </c>
      <c r="C73" s="103"/>
      <c r="D73" s="104"/>
      <c r="E73" s="84" t="s">
        <v>231</v>
      </c>
      <c r="F73" s="107"/>
      <c r="G73" s="85"/>
      <c r="H73" s="108"/>
      <c r="I73" s="32"/>
      <c r="J73" s="4"/>
    </row>
    <row r="74" spans="1:10" ht="30" customHeight="1" x14ac:dyDescent="0.25">
      <c r="A74" s="74" t="s">
        <v>214</v>
      </c>
      <c r="B74" s="105"/>
      <c r="C74" s="87"/>
      <c r="D74" s="103"/>
      <c r="E74" s="103"/>
      <c r="F74" s="103"/>
      <c r="G74" s="103"/>
      <c r="H74" s="103"/>
      <c r="I74" s="104"/>
      <c r="J74" s="4"/>
    </row>
    <row r="75" spans="1:10" ht="20.100000000000001" customHeight="1" x14ac:dyDescent="0.25">
      <c r="A75" s="5" t="s">
        <v>232</v>
      </c>
      <c r="B75" s="30"/>
      <c r="C75" s="30"/>
      <c r="D75" s="30"/>
      <c r="E75" s="30"/>
      <c r="F75" s="30"/>
      <c r="G75" s="30"/>
      <c r="H75" s="30"/>
      <c r="I75" s="30"/>
      <c r="J75" s="4"/>
    </row>
    <row r="76" spans="1:10" ht="20.100000000000001" customHeight="1" x14ac:dyDescent="0.25">
      <c r="A76" s="5"/>
      <c r="B76" s="30"/>
      <c r="C76" s="30"/>
      <c r="D76" s="30"/>
      <c r="E76" s="30"/>
      <c r="F76" s="30"/>
      <c r="G76" s="30"/>
      <c r="H76" s="30"/>
      <c r="I76" s="30"/>
      <c r="J76" s="4"/>
    </row>
    <row r="77" spans="1:10" ht="20.100000000000001" customHeight="1" x14ac:dyDescent="0.25">
      <c r="A77" s="78" t="s">
        <v>520</v>
      </c>
      <c r="B77" s="78"/>
      <c r="C77" s="78"/>
      <c r="D77" s="78"/>
      <c r="E77" s="78"/>
      <c r="F77" s="78"/>
      <c r="G77" s="78"/>
      <c r="H77" s="78"/>
      <c r="I77" s="78"/>
      <c r="J77" s="4"/>
    </row>
    <row r="78" spans="1:10" ht="20.100000000000001" customHeight="1" x14ac:dyDescent="0.25">
      <c r="A78" s="102"/>
      <c r="B78" s="102"/>
      <c r="C78" s="102"/>
      <c r="D78" s="102"/>
      <c r="E78" s="102"/>
      <c r="F78" s="102"/>
      <c r="G78" s="102"/>
      <c r="H78" s="102"/>
      <c r="I78" s="102"/>
      <c r="J78" s="4"/>
    </row>
    <row r="79" spans="1:10" ht="20.100000000000001" customHeight="1" x14ac:dyDescent="0.25">
      <c r="A79" s="38"/>
      <c r="B79" s="38"/>
      <c r="C79" s="38"/>
      <c r="D79" s="38"/>
      <c r="E79" s="38"/>
      <c r="F79" s="38"/>
      <c r="G79" s="38"/>
      <c r="H79" s="38"/>
      <c r="I79" s="39"/>
      <c r="J79" s="4"/>
    </row>
    <row r="80" spans="1:10" ht="20.100000000000001" customHeight="1" x14ac:dyDescent="0.25">
      <c r="A80" s="78" t="s">
        <v>521</v>
      </c>
      <c r="B80" s="78"/>
      <c r="C80" s="78"/>
      <c r="D80" s="78"/>
      <c r="E80" s="78"/>
      <c r="F80" s="78"/>
      <c r="G80" s="78"/>
      <c r="H80" s="78"/>
      <c r="I80" s="78"/>
      <c r="J80" s="4"/>
    </row>
    <row r="81" spans="1:10" ht="29.4" customHeight="1" x14ac:dyDescent="0.25">
      <c r="A81" s="98"/>
      <c r="B81" s="98"/>
      <c r="C81" s="98"/>
      <c r="D81" s="98"/>
      <c r="E81" s="98"/>
      <c r="F81" s="98"/>
      <c r="G81" s="98"/>
      <c r="H81" s="98"/>
      <c r="I81" s="98"/>
      <c r="J81" s="4"/>
    </row>
    <row r="82" spans="1:10" s="40" customFormat="1" ht="18" customHeight="1" x14ac:dyDescent="0.25">
      <c r="A82" s="27" t="s">
        <v>525</v>
      </c>
      <c r="J82" s="41"/>
    </row>
    <row r="83" spans="1:10" s="40" customFormat="1" ht="18" customHeight="1" x14ac:dyDescent="0.25">
      <c r="A83" s="27" t="s">
        <v>233</v>
      </c>
      <c r="J83" s="41"/>
    </row>
    <row r="84" spans="1:10" s="40" customFormat="1" ht="18" customHeight="1" x14ac:dyDescent="0.25">
      <c r="A84" s="27" t="s">
        <v>234</v>
      </c>
      <c r="J84" s="41"/>
    </row>
    <row r="85" spans="1:10" s="40" customFormat="1" ht="18" customHeight="1" x14ac:dyDescent="0.25">
      <c r="A85" s="1"/>
      <c r="J85" s="41"/>
    </row>
    <row r="86" spans="1:10" s="40" customFormat="1" ht="18" customHeight="1" x14ac:dyDescent="0.25">
      <c r="A86" s="1"/>
      <c r="J86" s="41"/>
    </row>
    <row r="87" spans="1:10" s="40" customFormat="1" ht="18" customHeight="1" x14ac:dyDescent="0.25">
      <c r="A87" s="1"/>
      <c r="J87" s="41"/>
    </row>
    <row r="88" spans="1:10" s="40" customFormat="1" ht="18" customHeight="1" x14ac:dyDescent="0.25">
      <c r="A88" s="1"/>
      <c r="J88" s="41"/>
    </row>
    <row r="89" spans="1:10" s="40" customFormat="1" ht="18" customHeight="1" x14ac:dyDescent="0.25">
      <c r="A89" s="1"/>
      <c r="J89" s="41"/>
    </row>
  </sheetData>
  <mergeCells count="128">
    <mergeCell ref="A74:B74"/>
    <mergeCell ref="C74:I74"/>
    <mergeCell ref="A77:I77"/>
    <mergeCell ref="A78:I78"/>
    <mergeCell ref="A80:I80"/>
    <mergeCell ref="A81:I81"/>
    <mergeCell ref="B72:D72"/>
    <mergeCell ref="E72:F72"/>
    <mergeCell ref="G72:H72"/>
    <mergeCell ref="B73:D73"/>
    <mergeCell ref="E73:F73"/>
    <mergeCell ref="G73:H73"/>
    <mergeCell ref="B67:D67"/>
    <mergeCell ref="E67:F67"/>
    <mergeCell ref="G67:H67"/>
    <mergeCell ref="A68:B68"/>
    <mergeCell ref="C68:I68"/>
    <mergeCell ref="B71:D71"/>
    <mergeCell ref="E71:F71"/>
    <mergeCell ref="G71:H71"/>
    <mergeCell ref="A65:A66"/>
    <mergeCell ref="B65:D65"/>
    <mergeCell ref="E65:F66"/>
    <mergeCell ref="G65:H65"/>
    <mergeCell ref="B66:D66"/>
    <mergeCell ref="G66:H66"/>
    <mergeCell ref="B59:D59"/>
    <mergeCell ref="E59:F59"/>
    <mergeCell ref="G59:H59"/>
    <mergeCell ref="A60:B60"/>
    <mergeCell ref="C60:I60"/>
    <mergeCell ref="B64:D64"/>
    <mergeCell ref="E64:F64"/>
    <mergeCell ref="G64:H64"/>
    <mergeCell ref="A53:C53"/>
    <mergeCell ref="D53:E53"/>
    <mergeCell ref="B57:D57"/>
    <mergeCell ref="E57:F57"/>
    <mergeCell ref="G57:H57"/>
    <mergeCell ref="B58:D58"/>
    <mergeCell ref="E58:F58"/>
    <mergeCell ref="G58:H58"/>
    <mergeCell ref="A50:C50"/>
    <mergeCell ref="D50:E50"/>
    <mergeCell ref="A51:C52"/>
    <mergeCell ref="D51:E51"/>
    <mergeCell ref="J51:J52"/>
    <mergeCell ref="D52:E52"/>
    <mergeCell ref="A46:C46"/>
    <mergeCell ref="D46:E46"/>
    <mergeCell ref="A48:C48"/>
    <mergeCell ref="D48:E48"/>
    <mergeCell ref="A49:C49"/>
    <mergeCell ref="D49:E49"/>
    <mergeCell ref="A41:B41"/>
    <mergeCell ref="C41:I41"/>
    <mergeCell ref="A44:C44"/>
    <mergeCell ref="D44:E44"/>
    <mergeCell ref="A45:C45"/>
    <mergeCell ref="D45:E45"/>
    <mergeCell ref="B39:D39"/>
    <mergeCell ref="E39:F39"/>
    <mergeCell ref="G39:H39"/>
    <mergeCell ref="B40:D40"/>
    <mergeCell ref="E40:F40"/>
    <mergeCell ref="G40:H40"/>
    <mergeCell ref="B36:D36"/>
    <mergeCell ref="E36:F36"/>
    <mergeCell ref="G36:H36"/>
    <mergeCell ref="B38:D38"/>
    <mergeCell ref="E38:F38"/>
    <mergeCell ref="G38:H38"/>
    <mergeCell ref="B34:D34"/>
    <mergeCell ref="E34:F34"/>
    <mergeCell ref="G34:H34"/>
    <mergeCell ref="B35:D35"/>
    <mergeCell ref="E35:F35"/>
    <mergeCell ref="G35:H35"/>
    <mergeCell ref="A27:C27"/>
    <mergeCell ref="D27:E27"/>
    <mergeCell ref="G27:H27"/>
    <mergeCell ref="A28:B28"/>
    <mergeCell ref="C28:I28"/>
    <mergeCell ref="B33:D33"/>
    <mergeCell ref="E33:F33"/>
    <mergeCell ref="G33:H33"/>
    <mergeCell ref="A25:C25"/>
    <mergeCell ref="D25:E25"/>
    <mergeCell ref="G25:H25"/>
    <mergeCell ref="A26:C26"/>
    <mergeCell ref="D26:E26"/>
    <mergeCell ref="G26:H26"/>
    <mergeCell ref="A23:C23"/>
    <mergeCell ref="D23:E23"/>
    <mergeCell ref="G23:H23"/>
    <mergeCell ref="A24:C24"/>
    <mergeCell ref="D24:E24"/>
    <mergeCell ref="G24:H24"/>
    <mergeCell ref="B17:D17"/>
    <mergeCell ref="E17:F17"/>
    <mergeCell ref="G17:H17"/>
    <mergeCell ref="A18:B18"/>
    <mergeCell ref="C18:I18"/>
    <mergeCell ref="A22:C22"/>
    <mergeCell ref="D22:E22"/>
    <mergeCell ref="G22:H22"/>
    <mergeCell ref="B14:D14"/>
    <mergeCell ref="E14:F15"/>
    <mergeCell ref="G14:H14"/>
    <mergeCell ref="B15:D15"/>
    <mergeCell ref="G15:H15"/>
    <mergeCell ref="B10:D10"/>
    <mergeCell ref="E10:F10"/>
    <mergeCell ref="G10:H10"/>
    <mergeCell ref="B11:D11"/>
    <mergeCell ref="E11:F11"/>
    <mergeCell ref="G11:H11"/>
    <mergeCell ref="A1:I1"/>
    <mergeCell ref="A2:I2"/>
    <mergeCell ref="A5:I5"/>
    <mergeCell ref="A6:I6"/>
    <mergeCell ref="A7:I7"/>
    <mergeCell ref="B9:D9"/>
    <mergeCell ref="E9:F9"/>
    <mergeCell ref="G9:H9"/>
    <mergeCell ref="B12:D12"/>
    <mergeCell ref="E12:F12"/>
    <mergeCell ref="G12:H12"/>
  </mergeCells>
  <phoneticPr fontId="4" type="noConversion"/>
  <dataValidations count="1">
    <dataValidation type="list" allowBlank="1" showInputMessage="1" showErrorMessage="1" sqref="F32 F21 F23:F27 F43 F63 F70 F56">
      <formula1>"是,否"</formula1>
    </dataValidation>
  </dataValidations>
  <printOptions horizontalCentered="1"/>
  <pageMargins left="0.70866141732283472" right="0.70866141732283472" top="0.74803149606299213" bottom="0.74803149606299213" header="0.31496062992125984" footer="0.31496062992125984"/>
  <pageSetup paperSize="9" scale="75" fitToHeight="0" orientation="portrait" blackAndWhite="1" cellComments="atEnd"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0"/>
  <sheetViews>
    <sheetView view="pageBreakPreview" zoomScaleNormal="130" zoomScaleSheetLayoutView="100" workbookViewId="0">
      <selection sqref="A1:I1"/>
    </sheetView>
  </sheetViews>
  <sheetFormatPr defaultColWidth="9" defaultRowHeight="12" x14ac:dyDescent="0.25"/>
  <cols>
    <col min="1" max="1" width="15.77734375" style="1" customWidth="1"/>
    <col min="2" max="2" width="7.33203125" style="1" customWidth="1"/>
    <col min="3" max="3" width="7.88671875" style="1" customWidth="1"/>
    <col min="4" max="4" width="10.33203125" style="1" customWidth="1"/>
    <col min="5" max="5" width="14.109375" style="1" customWidth="1"/>
    <col min="6" max="6" width="11.6640625" style="1" customWidth="1"/>
    <col min="7" max="7" width="13.6640625" style="1" customWidth="1"/>
    <col min="8" max="8" width="13.33203125" style="1" customWidth="1"/>
    <col min="9" max="9" width="12.21875" style="1" customWidth="1"/>
    <col min="10" max="10" width="50.77734375" style="42" customWidth="1"/>
    <col min="11" max="16384" width="9" style="1"/>
  </cols>
  <sheetData>
    <row r="1" spans="1:10" ht="20.100000000000001" customHeight="1" x14ac:dyDescent="0.25">
      <c r="A1" s="76" t="s">
        <v>517</v>
      </c>
      <c r="B1" s="76"/>
      <c r="C1" s="76"/>
      <c r="D1" s="76"/>
      <c r="E1" s="76"/>
      <c r="F1" s="76"/>
      <c r="G1" s="76"/>
      <c r="H1" s="76"/>
      <c r="I1" s="76"/>
      <c r="J1" s="4"/>
    </row>
    <row r="2" spans="1:10" s="29" customFormat="1" ht="24.9" customHeight="1" x14ac:dyDescent="0.25">
      <c r="A2" s="106" t="s">
        <v>235</v>
      </c>
      <c r="B2" s="77"/>
      <c r="C2" s="77"/>
      <c r="D2" s="77"/>
      <c r="E2" s="77"/>
      <c r="F2" s="77"/>
      <c r="G2" s="77"/>
      <c r="H2" s="77"/>
      <c r="I2" s="77"/>
      <c r="J2" s="28"/>
    </row>
    <row r="3" spans="1:10" ht="20.100000000000001" customHeight="1" x14ac:dyDescent="0.25">
      <c r="A3" s="71" t="str">
        <f>[4]底稿目录!$A$2</f>
        <v>被审计单位：</v>
      </c>
      <c r="D3" s="71" t="str">
        <f>[4]底稿目录!$A$4</f>
        <v>编制人：</v>
      </c>
      <c r="F3" s="71" t="str">
        <f>[4]底稿目录!$A$5</f>
        <v>编制日期：</v>
      </c>
      <c r="H3" s="44" t="s">
        <v>523</v>
      </c>
      <c r="I3" s="46" t="s">
        <v>524</v>
      </c>
      <c r="J3" s="4"/>
    </row>
    <row r="4" spans="1:10" ht="20.100000000000001" customHeight="1" x14ac:dyDescent="0.25">
      <c r="A4" s="71" t="str">
        <f>[4]底稿目录!$A$3</f>
        <v>会计期间：202X年度</v>
      </c>
      <c r="D4" s="71" t="str">
        <f>[4]底稿目录!$A$6</f>
        <v>复核人：</v>
      </c>
      <c r="F4" s="71" t="str">
        <f>[4]底稿目录!$A$7</f>
        <v>复核日期：</v>
      </c>
      <c r="H4" s="44" t="s">
        <v>1</v>
      </c>
      <c r="J4" s="4"/>
    </row>
    <row r="5" spans="1:10" ht="20.100000000000001" customHeight="1" x14ac:dyDescent="0.25">
      <c r="A5" s="78" t="s">
        <v>518</v>
      </c>
      <c r="B5" s="78"/>
      <c r="C5" s="78"/>
      <c r="D5" s="78"/>
      <c r="E5" s="78"/>
      <c r="F5" s="78"/>
      <c r="G5" s="78"/>
      <c r="H5" s="78"/>
      <c r="I5" s="78"/>
      <c r="J5" s="4"/>
    </row>
    <row r="6" spans="1:10" ht="21" customHeight="1" x14ac:dyDescent="0.25">
      <c r="A6" s="79" t="s">
        <v>236</v>
      </c>
      <c r="B6" s="79"/>
      <c r="C6" s="79"/>
      <c r="D6" s="79"/>
      <c r="E6" s="79"/>
      <c r="F6" s="79"/>
      <c r="G6" s="79"/>
      <c r="H6" s="79"/>
      <c r="I6" s="79"/>
      <c r="J6" s="4"/>
    </row>
    <row r="7" spans="1:10" ht="20.100000000000001" customHeight="1" x14ac:dyDescent="0.25">
      <c r="A7" s="78" t="s">
        <v>519</v>
      </c>
      <c r="B7" s="78"/>
      <c r="C7" s="78"/>
      <c r="D7" s="78"/>
      <c r="E7" s="78"/>
      <c r="F7" s="78"/>
      <c r="G7" s="78"/>
      <c r="H7" s="78"/>
      <c r="I7" s="78"/>
      <c r="J7" s="4"/>
    </row>
    <row r="8" spans="1:10" ht="19.5" customHeight="1" x14ac:dyDescent="0.25">
      <c r="A8" s="2" t="s">
        <v>237</v>
      </c>
      <c r="B8" s="30"/>
      <c r="C8" s="30"/>
      <c r="D8" s="30"/>
      <c r="E8" s="30"/>
      <c r="F8" s="30"/>
      <c r="G8" s="30"/>
      <c r="H8" s="30"/>
      <c r="I8" s="30"/>
      <c r="J8" s="4"/>
    </row>
    <row r="9" spans="1:10" ht="20.100000000000001" customHeight="1" x14ac:dyDescent="0.25">
      <c r="A9" s="2" t="s">
        <v>238</v>
      </c>
      <c r="B9" s="30"/>
      <c r="C9" s="30"/>
      <c r="D9" s="30"/>
      <c r="E9" s="30"/>
      <c r="F9" s="30"/>
      <c r="G9" s="30"/>
      <c r="H9" s="30"/>
      <c r="I9" s="30"/>
      <c r="J9" s="4"/>
    </row>
    <row r="10" spans="1:10" ht="20.100000000000001" customHeight="1" x14ac:dyDescent="0.25">
      <c r="A10" s="36" t="s">
        <v>239</v>
      </c>
      <c r="B10" s="74" t="s">
        <v>240</v>
      </c>
      <c r="C10" s="103"/>
      <c r="D10" s="104"/>
      <c r="E10" s="74" t="s">
        <v>241</v>
      </c>
      <c r="F10" s="105"/>
      <c r="G10" s="74" t="s">
        <v>242</v>
      </c>
      <c r="H10" s="105"/>
      <c r="I10" s="31" t="s">
        <v>243</v>
      </c>
      <c r="J10" s="4"/>
    </row>
    <row r="11" spans="1:10" ht="51.75" customHeight="1" x14ac:dyDescent="0.25">
      <c r="A11" s="47" t="s">
        <v>244</v>
      </c>
      <c r="B11" s="82" t="s">
        <v>245</v>
      </c>
      <c r="C11" s="103"/>
      <c r="D11" s="104"/>
      <c r="E11" s="84" t="s">
        <v>246</v>
      </c>
      <c r="F11" s="107"/>
      <c r="G11" s="85"/>
      <c r="H11" s="108"/>
      <c r="I11" s="32"/>
      <c r="J11" s="4" t="s">
        <v>247</v>
      </c>
    </row>
    <row r="12" spans="1:10" ht="23.25" customHeight="1" x14ac:dyDescent="0.25">
      <c r="A12" s="48" t="s">
        <v>248</v>
      </c>
      <c r="B12" s="6"/>
      <c r="C12" s="49"/>
      <c r="D12" s="50"/>
      <c r="E12" s="51"/>
      <c r="F12" s="50"/>
      <c r="G12" s="49"/>
      <c r="H12" s="50"/>
      <c r="I12" s="52"/>
      <c r="J12" s="4"/>
    </row>
    <row r="13" spans="1:10" ht="61.5" customHeight="1" x14ac:dyDescent="0.25">
      <c r="A13" s="47" t="s">
        <v>249</v>
      </c>
      <c r="B13" s="82" t="s">
        <v>250</v>
      </c>
      <c r="C13" s="103"/>
      <c r="D13" s="104"/>
      <c r="E13" s="84"/>
      <c r="F13" s="107"/>
      <c r="G13" s="85"/>
      <c r="H13" s="108"/>
      <c r="I13" s="32"/>
      <c r="J13" s="4"/>
    </row>
    <row r="14" spans="1:10" ht="58.5" customHeight="1" x14ac:dyDescent="0.25">
      <c r="A14" s="47" t="s">
        <v>251</v>
      </c>
      <c r="B14" s="82" t="s">
        <v>252</v>
      </c>
      <c r="C14" s="103"/>
      <c r="D14" s="104"/>
      <c r="E14" s="84" t="s">
        <v>253</v>
      </c>
      <c r="F14" s="107"/>
      <c r="G14" s="85"/>
      <c r="H14" s="108"/>
      <c r="I14" s="32"/>
      <c r="J14" s="4"/>
    </row>
    <row r="15" spans="1:10" ht="71.25" customHeight="1" x14ac:dyDescent="0.25">
      <c r="A15" s="47" t="s">
        <v>254</v>
      </c>
      <c r="B15" s="82" t="s">
        <v>255</v>
      </c>
      <c r="C15" s="103"/>
      <c r="D15" s="104"/>
      <c r="E15" s="84" t="s">
        <v>256</v>
      </c>
      <c r="F15" s="107"/>
      <c r="G15" s="85"/>
      <c r="H15" s="108"/>
      <c r="I15" s="32"/>
      <c r="J15" s="4" t="s">
        <v>257</v>
      </c>
    </row>
    <row r="16" spans="1:10" ht="42.75" customHeight="1" x14ac:dyDescent="0.25">
      <c r="A16" s="74" t="s">
        <v>258</v>
      </c>
      <c r="B16" s="105"/>
      <c r="C16" s="87"/>
      <c r="D16" s="103"/>
      <c r="E16" s="103"/>
      <c r="F16" s="103"/>
      <c r="G16" s="103"/>
      <c r="H16" s="103"/>
      <c r="I16" s="104"/>
      <c r="J16" s="4"/>
    </row>
    <row r="17" spans="1:10" ht="20.100000000000001" customHeight="1" x14ac:dyDescent="0.25">
      <c r="A17" s="5"/>
      <c r="B17" s="30"/>
      <c r="C17" s="30"/>
      <c r="D17" s="30"/>
      <c r="E17" s="30"/>
      <c r="F17" s="30"/>
      <c r="G17" s="30"/>
      <c r="H17" s="30"/>
      <c r="I17" s="30"/>
      <c r="J17" s="4"/>
    </row>
    <row r="18" spans="1:10" ht="20.100000000000001" customHeight="1" x14ac:dyDescent="0.25">
      <c r="A18" s="2" t="s">
        <v>259</v>
      </c>
      <c r="B18" s="30"/>
      <c r="C18" s="30"/>
      <c r="D18" s="30"/>
      <c r="E18" s="30"/>
      <c r="F18" s="30"/>
      <c r="G18" s="30"/>
      <c r="H18" s="30"/>
      <c r="I18" s="30"/>
      <c r="J18" s="4"/>
    </row>
    <row r="19" spans="1:10" ht="32.25" customHeight="1" x14ac:dyDescent="0.25">
      <c r="A19" s="72" t="s">
        <v>260</v>
      </c>
      <c r="B19" s="72"/>
      <c r="C19" s="115"/>
      <c r="D19" s="36" t="s">
        <v>261</v>
      </c>
      <c r="E19" s="36" t="s">
        <v>262</v>
      </c>
      <c r="F19" s="36" t="s">
        <v>263</v>
      </c>
      <c r="G19" s="36" t="s">
        <v>264</v>
      </c>
      <c r="H19" s="36" t="s">
        <v>265</v>
      </c>
      <c r="I19" s="31" t="s">
        <v>243</v>
      </c>
      <c r="J19" s="4"/>
    </row>
    <row r="20" spans="1:10" ht="23.25" customHeight="1" x14ac:dyDescent="0.25">
      <c r="A20" s="92" t="s">
        <v>266</v>
      </c>
      <c r="B20" s="92"/>
      <c r="C20" s="138"/>
      <c r="D20" s="57"/>
      <c r="E20" s="7">
        <v>55.555555555555536</v>
      </c>
      <c r="F20" s="14">
        <v>-0.1</v>
      </c>
      <c r="G20" s="7" t="s">
        <v>527</v>
      </c>
      <c r="H20" s="7">
        <f>E20*(1+F20)</f>
        <v>49.999999999999986</v>
      </c>
      <c r="I20" s="54"/>
      <c r="J20" s="4"/>
    </row>
    <row r="21" spans="1:10" ht="23.25" customHeight="1" x14ac:dyDescent="0.25">
      <c r="A21" s="92" t="s">
        <v>267</v>
      </c>
      <c r="B21" s="92"/>
      <c r="C21" s="138"/>
      <c r="D21" s="58"/>
      <c r="E21" s="16"/>
      <c r="F21" s="17"/>
      <c r="G21" s="16"/>
      <c r="H21" s="16">
        <f>E21*(1+F21)</f>
        <v>0</v>
      </c>
      <c r="I21" s="54"/>
      <c r="J21" s="4"/>
    </row>
    <row r="22" spans="1:10" ht="23.25" customHeight="1" x14ac:dyDescent="0.25">
      <c r="A22" s="92" t="s">
        <v>268</v>
      </c>
      <c r="B22" s="92"/>
      <c r="C22" s="138"/>
      <c r="D22" s="58"/>
      <c r="E22" s="16"/>
      <c r="F22" s="17"/>
      <c r="G22" s="16"/>
      <c r="H22" s="16">
        <f>E22*(1+F22)</f>
        <v>0</v>
      </c>
      <c r="I22" s="54"/>
      <c r="J22" s="4"/>
    </row>
    <row r="23" spans="1:10" ht="23.25" customHeight="1" x14ac:dyDescent="0.25">
      <c r="A23" s="92" t="s">
        <v>269</v>
      </c>
      <c r="B23" s="92"/>
      <c r="C23" s="138"/>
      <c r="D23" s="58"/>
      <c r="E23" s="16"/>
      <c r="F23" s="17"/>
      <c r="G23" s="16"/>
      <c r="H23" s="16">
        <f>E23*(1+F23)</f>
        <v>0</v>
      </c>
      <c r="I23" s="54"/>
      <c r="J23" s="4"/>
    </row>
    <row r="24" spans="1:10" ht="23.25" customHeight="1" x14ac:dyDescent="0.25">
      <c r="A24" s="94"/>
      <c r="B24" s="94"/>
      <c r="C24" s="139"/>
      <c r="D24" s="58"/>
      <c r="E24" s="16"/>
      <c r="F24" s="17"/>
      <c r="G24" s="16"/>
      <c r="H24" s="16">
        <f>E24*(1+F24)</f>
        <v>0</v>
      </c>
      <c r="I24" s="54"/>
      <c r="J24" s="4"/>
    </row>
    <row r="25" spans="1:10" ht="23.25" customHeight="1" x14ac:dyDescent="0.25">
      <c r="A25" s="74" t="s">
        <v>270</v>
      </c>
      <c r="B25" s="140"/>
      <c r="C25" s="141"/>
      <c r="D25" s="61"/>
      <c r="E25" s="18">
        <f>SUM(E20:E24)</f>
        <v>55.555555555555536</v>
      </c>
      <c r="F25" s="19"/>
      <c r="G25" s="18"/>
      <c r="H25" s="18">
        <f>SUM(H20:H24)</f>
        <v>49.999999999999986</v>
      </c>
      <c r="I25" s="55"/>
      <c r="J25" s="4"/>
    </row>
    <row r="26" spans="1:10" ht="20.100000000000001" customHeight="1" x14ac:dyDescent="0.25">
      <c r="A26" s="5" t="s">
        <v>271</v>
      </c>
      <c r="B26" s="30"/>
      <c r="C26" s="30"/>
      <c r="D26" s="30"/>
      <c r="E26" s="30"/>
      <c r="F26" s="30"/>
      <c r="G26" s="30"/>
      <c r="H26" s="30"/>
      <c r="I26" s="30"/>
      <c r="J26" s="4"/>
    </row>
    <row r="27" spans="1:10" ht="20.100000000000001" customHeight="1" x14ac:dyDescent="0.25">
      <c r="A27" s="5" t="s">
        <v>272</v>
      </c>
      <c r="B27" s="30"/>
      <c r="C27" s="30"/>
      <c r="D27" s="30"/>
      <c r="E27" s="30"/>
      <c r="F27" s="30"/>
      <c r="G27" s="30"/>
      <c r="H27" s="30"/>
      <c r="I27" s="30"/>
      <c r="J27" s="4"/>
    </row>
    <row r="28" spans="1:10" ht="20.100000000000001" customHeight="1" x14ac:dyDescent="0.25">
      <c r="A28" s="2" t="s">
        <v>273</v>
      </c>
      <c r="B28" s="30"/>
      <c r="C28" s="30"/>
      <c r="D28" s="30"/>
      <c r="E28" s="30"/>
      <c r="F28" s="30"/>
      <c r="G28" s="30"/>
      <c r="H28" s="30"/>
      <c r="I28" s="30"/>
      <c r="J28" s="4"/>
    </row>
    <row r="29" spans="1:10" ht="32.25" customHeight="1" x14ac:dyDescent="0.25">
      <c r="A29" s="72" t="s">
        <v>260</v>
      </c>
      <c r="B29" s="72"/>
      <c r="C29" s="115"/>
      <c r="D29" s="36"/>
      <c r="E29" s="36" t="s">
        <v>274</v>
      </c>
      <c r="F29" s="36" t="s">
        <v>275</v>
      </c>
      <c r="G29" s="36" t="s">
        <v>276</v>
      </c>
      <c r="H29" s="36" t="s">
        <v>277</v>
      </c>
      <c r="I29" s="31" t="s">
        <v>243</v>
      </c>
      <c r="J29" s="4"/>
    </row>
    <row r="30" spans="1:10" ht="23.25" customHeight="1" x14ac:dyDescent="0.25">
      <c r="A30" s="92" t="s">
        <v>266</v>
      </c>
      <c r="B30" s="92"/>
      <c r="C30" s="138"/>
      <c r="D30" s="57"/>
      <c r="E30" s="7"/>
      <c r="F30" s="14"/>
      <c r="G30" s="14"/>
      <c r="H30" s="7">
        <f>E30*(1+F30)</f>
        <v>0</v>
      </c>
      <c r="I30" s="54"/>
      <c r="J30" s="4"/>
    </row>
    <row r="31" spans="1:10" ht="23.25" customHeight="1" x14ac:dyDescent="0.25">
      <c r="A31" s="92" t="s">
        <v>278</v>
      </c>
      <c r="B31" s="92"/>
      <c r="C31" s="138"/>
      <c r="D31" s="58"/>
      <c r="E31" s="7">
        <v>20</v>
      </c>
      <c r="F31" s="14">
        <v>0.25</v>
      </c>
      <c r="G31" s="14">
        <v>0.3</v>
      </c>
      <c r="H31" s="7">
        <f>E31*(1+F31)</f>
        <v>25</v>
      </c>
      <c r="I31" s="54"/>
      <c r="J31" s="4"/>
    </row>
    <row r="32" spans="1:10" ht="23.25" customHeight="1" x14ac:dyDescent="0.25">
      <c r="A32" s="92" t="s">
        <v>268</v>
      </c>
      <c r="B32" s="92"/>
      <c r="C32" s="138"/>
      <c r="D32" s="58"/>
      <c r="E32" s="16"/>
      <c r="F32" s="17"/>
      <c r="G32" s="17"/>
      <c r="H32" s="16">
        <f>E32*(1+F32)</f>
        <v>0</v>
      </c>
      <c r="I32" s="54"/>
      <c r="J32" s="4"/>
    </row>
    <row r="33" spans="1:10" ht="23.25" customHeight="1" x14ac:dyDescent="0.25">
      <c r="A33" s="92" t="s">
        <v>269</v>
      </c>
      <c r="B33" s="92"/>
      <c r="C33" s="138"/>
      <c r="D33" s="58"/>
      <c r="E33" s="16"/>
      <c r="F33" s="17"/>
      <c r="G33" s="17"/>
      <c r="H33" s="16">
        <f>E33*(1+F33)</f>
        <v>0</v>
      </c>
      <c r="I33" s="54"/>
      <c r="J33" s="4"/>
    </row>
    <row r="34" spans="1:10" ht="23.25" customHeight="1" x14ac:dyDescent="0.25">
      <c r="A34" s="94"/>
      <c r="B34" s="94"/>
      <c r="C34" s="139"/>
      <c r="D34" s="58"/>
      <c r="E34" s="16"/>
      <c r="F34" s="17"/>
      <c r="G34" s="17"/>
      <c r="H34" s="16">
        <f>E34*(1+F34)</f>
        <v>0</v>
      </c>
      <c r="I34" s="54"/>
      <c r="J34" s="4"/>
    </row>
    <row r="35" spans="1:10" ht="23.25" customHeight="1" x14ac:dyDescent="0.25">
      <c r="A35" s="74" t="s">
        <v>279</v>
      </c>
      <c r="B35" s="140"/>
      <c r="C35" s="141"/>
      <c r="D35" s="61"/>
      <c r="E35" s="18">
        <f>SUM(E30:E34)</f>
        <v>20</v>
      </c>
      <c r="F35" s="19"/>
      <c r="G35" s="18"/>
      <c r="H35" s="18">
        <f>SUM(H30:H34)</f>
        <v>25</v>
      </c>
      <c r="I35" s="55"/>
      <c r="J35" s="4"/>
    </row>
    <row r="36" spans="1:10" ht="20.100000000000001" customHeight="1" x14ac:dyDescent="0.25">
      <c r="A36" s="5" t="s">
        <v>280</v>
      </c>
      <c r="B36" s="30"/>
      <c r="C36" s="30"/>
      <c r="D36" s="30"/>
      <c r="E36" s="30"/>
      <c r="F36" s="30"/>
      <c r="G36" s="30"/>
      <c r="H36" s="30"/>
      <c r="I36" s="30"/>
      <c r="J36" s="4"/>
    </row>
    <row r="37" spans="1:10" ht="20.100000000000001" customHeight="1" x14ac:dyDescent="0.25">
      <c r="A37" s="2" t="s">
        <v>281</v>
      </c>
      <c r="B37" s="30"/>
      <c r="C37" s="30"/>
      <c r="D37" s="30"/>
      <c r="E37" s="30"/>
      <c r="F37" s="30"/>
      <c r="G37" s="30"/>
      <c r="H37" s="30"/>
      <c r="I37" s="30"/>
      <c r="J37" s="4"/>
    </row>
    <row r="38" spans="1:10" ht="32.25" customHeight="1" x14ac:dyDescent="0.25">
      <c r="A38" s="72" t="s">
        <v>260</v>
      </c>
      <c r="B38" s="72"/>
      <c r="C38" s="115"/>
      <c r="D38" s="36"/>
      <c r="E38" s="36" t="s">
        <v>282</v>
      </c>
      <c r="F38" s="36" t="s">
        <v>283</v>
      </c>
      <c r="G38" s="36" t="s">
        <v>284</v>
      </c>
      <c r="H38" s="36" t="s">
        <v>265</v>
      </c>
      <c r="I38" s="31" t="s">
        <v>243</v>
      </c>
      <c r="J38" s="4"/>
    </row>
    <row r="39" spans="1:10" ht="23.25" customHeight="1" x14ac:dyDescent="0.25">
      <c r="A39" s="92" t="s">
        <v>266</v>
      </c>
      <c r="B39" s="92"/>
      <c r="C39" s="138"/>
      <c r="D39" s="57"/>
      <c r="E39" s="20"/>
      <c r="F39" s="21">
        <f>H20</f>
        <v>49.999999999999986</v>
      </c>
      <c r="G39" s="14"/>
      <c r="H39" s="7">
        <f>F39</f>
        <v>49.999999999999986</v>
      </c>
      <c r="I39" s="54"/>
      <c r="J39" s="4"/>
    </row>
    <row r="40" spans="1:10" ht="23.25" customHeight="1" x14ac:dyDescent="0.25">
      <c r="A40" s="92" t="s">
        <v>278</v>
      </c>
      <c r="B40" s="92"/>
      <c r="C40" s="138"/>
      <c r="D40" s="58"/>
      <c r="E40" s="20"/>
      <c r="F40" s="21">
        <f>H31</f>
        <v>25</v>
      </c>
      <c r="G40" s="14"/>
      <c r="H40" s="7">
        <f>F40</f>
        <v>25</v>
      </c>
      <c r="I40" s="54"/>
      <c r="J40" s="4"/>
    </row>
    <row r="41" spans="1:10" ht="23.25" customHeight="1" x14ac:dyDescent="0.25">
      <c r="A41" s="92" t="s">
        <v>285</v>
      </c>
      <c r="B41" s="92"/>
      <c r="C41" s="138"/>
      <c r="D41" s="58"/>
      <c r="E41" s="22"/>
      <c r="F41" s="7">
        <v>75</v>
      </c>
      <c r="G41" s="21"/>
      <c r="H41" s="7">
        <f>F41</f>
        <v>75</v>
      </c>
      <c r="I41" s="54"/>
      <c r="J41" s="4"/>
    </row>
    <row r="42" spans="1:10" ht="23.25" customHeight="1" x14ac:dyDescent="0.25">
      <c r="A42" s="92" t="s">
        <v>286</v>
      </c>
      <c r="B42" s="92"/>
      <c r="C42" s="138"/>
      <c r="D42" s="58"/>
      <c r="E42" s="22"/>
      <c r="F42" s="16"/>
      <c r="G42" s="21">
        <f>E44-F44</f>
        <v>30</v>
      </c>
      <c r="H42" s="7">
        <f>G42</f>
        <v>30</v>
      </c>
      <c r="I42" s="54"/>
      <c r="J42" s="4"/>
    </row>
    <row r="43" spans="1:10" ht="23.25" customHeight="1" x14ac:dyDescent="0.25">
      <c r="A43" s="94"/>
      <c r="B43" s="94"/>
      <c r="C43" s="139"/>
      <c r="D43" s="58"/>
      <c r="E43" s="22"/>
      <c r="F43" s="16"/>
      <c r="G43" s="17"/>
      <c r="H43" s="16"/>
      <c r="I43" s="54"/>
      <c r="J43" s="4"/>
    </row>
    <row r="44" spans="1:10" ht="23.25" customHeight="1" x14ac:dyDescent="0.25">
      <c r="A44" s="74" t="s">
        <v>270</v>
      </c>
      <c r="B44" s="140"/>
      <c r="C44" s="141"/>
      <c r="D44" s="61"/>
      <c r="E44" s="23">
        <v>180</v>
      </c>
      <c r="F44" s="18">
        <f t="shared" ref="F44:G44" si="0">SUM(F39:F43)</f>
        <v>150</v>
      </c>
      <c r="G44" s="18">
        <f t="shared" si="0"/>
        <v>30</v>
      </c>
      <c r="H44" s="18">
        <f>SUM(H39:H43)</f>
        <v>180</v>
      </c>
      <c r="I44" s="55"/>
      <c r="J44" s="4"/>
    </row>
    <row r="45" spans="1:10" ht="20.100000000000001" customHeight="1" x14ac:dyDescent="0.25">
      <c r="A45" s="5" t="s">
        <v>287</v>
      </c>
      <c r="B45" s="30"/>
      <c r="C45" s="30"/>
      <c r="D45" s="30"/>
      <c r="E45" s="30"/>
      <c r="F45" s="30"/>
      <c r="G45" s="30"/>
      <c r="H45" s="30"/>
      <c r="I45" s="30"/>
      <c r="J45" s="4"/>
    </row>
    <row r="46" spans="1:10" ht="20.100000000000001" customHeight="1" x14ac:dyDescent="0.25">
      <c r="A46" s="5" t="s">
        <v>288</v>
      </c>
      <c r="B46" s="30"/>
      <c r="C46" s="30"/>
      <c r="D46" s="30"/>
      <c r="E46" s="30"/>
      <c r="F46" s="30"/>
      <c r="G46" s="30"/>
      <c r="H46" s="30"/>
      <c r="I46" s="30"/>
      <c r="J46" s="4"/>
    </row>
    <row r="47" spans="1:10" ht="20.100000000000001" customHeight="1" x14ac:dyDescent="0.25">
      <c r="A47" s="5"/>
      <c r="B47" s="30"/>
      <c r="C47" s="30"/>
      <c r="D47" s="30"/>
      <c r="E47" s="30"/>
      <c r="F47" s="30"/>
      <c r="G47" s="30"/>
      <c r="H47" s="30"/>
      <c r="I47" s="30"/>
      <c r="J47" s="4"/>
    </row>
    <row r="48" spans="1:10" ht="20.100000000000001" customHeight="1" x14ac:dyDescent="0.25">
      <c r="A48" s="2" t="s">
        <v>289</v>
      </c>
      <c r="B48" s="30"/>
      <c r="C48" s="30"/>
      <c r="D48" s="30"/>
      <c r="E48" s="30"/>
      <c r="F48" s="33"/>
      <c r="G48" s="30"/>
      <c r="H48" s="30"/>
      <c r="I48" s="30"/>
      <c r="J48" s="4"/>
    </row>
    <row r="49" spans="1:10" ht="20.100000000000001" customHeight="1" x14ac:dyDescent="0.25">
      <c r="A49" s="72" t="s">
        <v>260</v>
      </c>
      <c r="B49" s="72"/>
      <c r="C49" s="115"/>
      <c r="D49" s="72" t="s">
        <v>290</v>
      </c>
      <c r="E49" s="115"/>
      <c r="F49" s="36" t="s">
        <v>265</v>
      </c>
      <c r="G49" s="36" t="s">
        <v>291</v>
      </c>
      <c r="H49" s="36" t="s">
        <v>292</v>
      </c>
      <c r="I49" s="31" t="s">
        <v>243</v>
      </c>
      <c r="J49" s="4"/>
    </row>
    <row r="50" spans="1:10" ht="23.25" customHeight="1" x14ac:dyDescent="0.25">
      <c r="A50" s="92" t="s">
        <v>266</v>
      </c>
      <c r="B50" s="92"/>
      <c r="C50" s="138"/>
      <c r="D50" s="142"/>
      <c r="E50" s="143"/>
      <c r="F50" s="16">
        <f>H39</f>
        <v>49.999999999999986</v>
      </c>
      <c r="G50" s="17">
        <f>F50/$F$55</f>
        <v>0.33333333333333326</v>
      </c>
      <c r="H50" s="16">
        <f>$D$55*G50</f>
        <v>53.333333333333321</v>
      </c>
      <c r="I50" s="54"/>
      <c r="J50" s="4"/>
    </row>
    <row r="51" spans="1:10" ht="23.25" customHeight="1" x14ac:dyDescent="0.25">
      <c r="A51" s="92" t="s">
        <v>278</v>
      </c>
      <c r="B51" s="92"/>
      <c r="C51" s="138"/>
      <c r="D51" s="144"/>
      <c r="E51" s="145"/>
      <c r="F51" s="16">
        <f t="shared" ref="F51:F52" si="1">H40</f>
        <v>25</v>
      </c>
      <c r="G51" s="17">
        <f>F51/$F$55</f>
        <v>0.16666666666666666</v>
      </c>
      <c r="H51" s="16">
        <f>$D$55*G51</f>
        <v>26.666666666666664</v>
      </c>
      <c r="I51" s="54"/>
      <c r="J51" s="4"/>
    </row>
    <row r="52" spans="1:10" ht="23.25" customHeight="1" x14ac:dyDescent="0.25">
      <c r="A52" s="92" t="s">
        <v>268</v>
      </c>
      <c r="B52" s="92"/>
      <c r="C52" s="138"/>
      <c r="D52" s="144"/>
      <c r="E52" s="145"/>
      <c r="F52" s="16">
        <f t="shared" si="1"/>
        <v>75</v>
      </c>
      <c r="G52" s="17">
        <f>F52/$F$55</f>
        <v>0.5</v>
      </c>
      <c r="H52" s="16">
        <f>$D$55*G52</f>
        <v>80</v>
      </c>
      <c r="I52" s="54"/>
      <c r="J52" s="4"/>
    </row>
    <row r="53" spans="1:10" ht="23.25" customHeight="1" x14ac:dyDescent="0.25">
      <c r="A53" s="92"/>
      <c r="B53" s="92"/>
      <c r="C53" s="138"/>
      <c r="D53" s="144"/>
      <c r="E53" s="145"/>
      <c r="F53" s="16"/>
      <c r="G53" s="17">
        <f>F53/$F$55</f>
        <v>0</v>
      </c>
      <c r="H53" s="16">
        <f>$D$55*G53</f>
        <v>0</v>
      </c>
      <c r="I53" s="54"/>
      <c r="J53" s="4"/>
    </row>
    <row r="54" spans="1:10" ht="23.25" customHeight="1" x14ac:dyDescent="0.25">
      <c r="A54" s="94"/>
      <c r="B54" s="94"/>
      <c r="C54" s="139"/>
      <c r="D54" s="144"/>
      <c r="E54" s="145"/>
      <c r="F54" s="16"/>
      <c r="G54" s="17">
        <f>F54/$F$55</f>
        <v>0</v>
      </c>
      <c r="H54" s="16">
        <f>$D$55*G54</f>
        <v>0</v>
      </c>
      <c r="I54" s="54"/>
      <c r="J54" s="4"/>
    </row>
    <row r="55" spans="1:10" ht="23.25" customHeight="1" x14ac:dyDescent="0.25">
      <c r="A55" s="74" t="s">
        <v>270</v>
      </c>
      <c r="B55" s="140"/>
      <c r="C55" s="141"/>
      <c r="D55" s="146">
        <v>160</v>
      </c>
      <c r="E55" s="147"/>
      <c r="F55" s="18">
        <f>SUM(F50:F54)</f>
        <v>150</v>
      </c>
      <c r="G55" s="19">
        <f>SUM(G50:G54)</f>
        <v>0.99999999999999989</v>
      </c>
      <c r="H55" s="18">
        <f>SUM(H50:H54)</f>
        <v>160</v>
      </c>
      <c r="I55" s="55"/>
      <c r="J55" s="4"/>
    </row>
    <row r="56" spans="1:10" ht="20.100000000000001" customHeight="1" x14ac:dyDescent="0.25">
      <c r="A56" s="5"/>
      <c r="B56" s="30"/>
      <c r="C56" s="30"/>
      <c r="D56" s="30"/>
      <c r="E56" s="30"/>
      <c r="F56" s="30"/>
      <c r="G56" s="30"/>
      <c r="H56" s="30"/>
      <c r="I56" s="30"/>
      <c r="J56" s="4"/>
    </row>
    <row r="57" spans="1:10" ht="20.100000000000001" customHeight="1" x14ac:dyDescent="0.25">
      <c r="A57" s="2" t="s">
        <v>293</v>
      </c>
      <c r="B57" s="30"/>
      <c r="C57" s="30"/>
      <c r="D57" s="30"/>
      <c r="E57" s="64" t="s">
        <v>294</v>
      </c>
      <c r="F57" s="33" t="s">
        <v>27</v>
      </c>
      <c r="G57" s="30"/>
      <c r="H57" s="30"/>
      <c r="I57" s="30"/>
      <c r="J57" s="4"/>
    </row>
    <row r="58" spans="1:10" ht="20.100000000000001" customHeight="1" x14ac:dyDescent="0.25">
      <c r="A58" s="5" t="s">
        <v>295</v>
      </c>
      <c r="B58" s="30"/>
      <c r="C58" s="30"/>
      <c r="D58" s="30"/>
      <c r="E58" s="30"/>
      <c r="F58" s="30"/>
      <c r="G58" s="30"/>
      <c r="H58" s="30"/>
      <c r="I58" s="30"/>
      <c r="J58" s="4"/>
    </row>
    <row r="59" spans="1:10" ht="20.100000000000001" customHeight="1" x14ac:dyDescent="0.25">
      <c r="A59" s="72" t="s">
        <v>260</v>
      </c>
      <c r="B59" s="72"/>
      <c r="C59" s="115"/>
      <c r="D59" s="72" t="s">
        <v>290</v>
      </c>
      <c r="E59" s="115"/>
      <c r="F59" s="36" t="s">
        <v>265</v>
      </c>
      <c r="G59" s="36" t="s">
        <v>291</v>
      </c>
      <c r="H59" s="36" t="s">
        <v>292</v>
      </c>
      <c r="I59" s="31" t="s">
        <v>243</v>
      </c>
      <c r="J59" s="4"/>
    </row>
    <row r="60" spans="1:10" ht="23.25" customHeight="1" x14ac:dyDescent="0.25">
      <c r="A60" s="92" t="s">
        <v>266</v>
      </c>
      <c r="B60" s="92"/>
      <c r="C60" s="138"/>
      <c r="D60" s="142"/>
      <c r="E60" s="143"/>
      <c r="F60" s="16">
        <f>F50</f>
        <v>49.999999999999986</v>
      </c>
      <c r="G60" s="17">
        <f>F60/$F$65</f>
        <v>0.33333333333333326</v>
      </c>
      <c r="H60" s="16">
        <f>$D$65*G60</f>
        <v>33.333333333333329</v>
      </c>
      <c r="I60" s="54"/>
      <c r="J60" s="4"/>
    </row>
    <row r="61" spans="1:10" ht="23.25" customHeight="1" x14ac:dyDescent="0.25">
      <c r="A61" s="92" t="s">
        <v>296</v>
      </c>
      <c r="B61" s="92"/>
      <c r="C61" s="138"/>
      <c r="D61" s="144"/>
      <c r="E61" s="145"/>
      <c r="F61" s="16">
        <f t="shared" ref="F61:F62" si="2">F51</f>
        <v>25</v>
      </c>
      <c r="G61" s="17">
        <f t="shared" ref="G61:G64" si="3">F61/$F$65</f>
        <v>0.16666666666666666</v>
      </c>
      <c r="H61" s="16">
        <f t="shared" ref="H61:H64" si="4">$D$65*G61</f>
        <v>16.666666666666664</v>
      </c>
      <c r="I61" s="54"/>
      <c r="J61" s="4"/>
    </row>
    <row r="62" spans="1:10" ht="23.25" customHeight="1" x14ac:dyDescent="0.25">
      <c r="A62" s="92" t="s">
        <v>297</v>
      </c>
      <c r="B62" s="92"/>
      <c r="C62" s="138"/>
      <c r="D62" s="144"/>
      <c r="E62" s="145"/>
      <c r="F62" s="16">
        <f t="shared" si="2"/>
        <v>75</v>
      </c>
      <c r="G62" s="17">
        <f t="shared" si="3"/>
        <v>0.5</v>
      </c>
      <c r="H62" s="16">
        <f t="shared" si="4"/>
        <v>50</v>
      </c>
      <c r="I62" s="54"/>
      <c r="J62" s="4"/>
    </row>
    <row r="63" spans="1:10" ht="23.25" customHeight="1" x14ac:dyDescent="0.25">
      <c r="A63" s="92"/>
      <c r="B63" s="92"/>
      <c r="C63" s="138"/>
      <c r="D63" s="144"/>
      <c r="E63" s="145"/>
      <c r="F63" s="16"/>
      <c r="G63" s="17">
        <f t="shared" si="3"/>
        <v>0</v>
      </c>
      <c r="H63" s="16">
        <f t="shared" si="4"/>
        <v>0</v>
      </c>
      <c r="I63" s="54"/>
      <c r="J63" s="4"/>
    </row>
    <row r="64" spans="1:10" ht="23.25" customHeight="1" x14ac:dyDescent="0.25">
      <c r="A64" s="94"/>
      <c r="B64" s="94"/>
      <c r="C64" s="139"/>
      <c r="D64" s="144"/>
      <c r="E64" s="145"/>
      <c r="F64" s="16"/>
      <c r="G64" s="17">
        <f t="shared" si="3"/>
        <v>0</v>
      </c>
      <c r="H64" s="16">
        <f t="shared" si="4"/>
        <v>0</v>
      </c>
      <c r="I64" s="54"/>
      <c r="J64" s="4"/>
    </row>
    <row r="65" spans="1:10" ht="23.25" customHeight="1" x14ac:dyDescent="0.25">
      <c r="A65" s="74" t="s">
        <v>298</v>
      </c>
      <c r="B65" s="140"/>
      <c r="C65" s="141"/>
      <c r="D65" s="146">
        <v>100</v>
      </c>
      <c r="E65" s="147"/>
      <c r="F65" s="18">
        <f>SUM(F60:F64)</f>
        <v>150</v>
      </c>
      <c r="G65" s="19">
        <f>SUM(G60:G64)</f>
        <v>0.99999999999999989</v>
      </c>
      <c r="H65" s="18">
        <f>SUM(H60:H64)</f>
        <v>100</v>
      </c>
      <c r="I65" s="55"/>
      <c r="J65" s="4"/>
    </row>
    <row r="66" spans="1:10" ht="20.100000000000001" customHeight="1" x14ac:dyDescent="0.25">
      <c r="A66" s="5"/>
      <c r="B66" s="30"/>
      <c r="C66" s="30"/>
      <c r="D66" s="30"/>
      <c r="E66" s="30"/>
      <c r="F66" s="30"/>
      <c r="G66" s="30"/>
      <c r="H66" s="30"/>
      <c r="I66" s="30"/>
      <c r="J66" s="4"/>
    </row>
    <row r="67" spans="1:10" ht="20.100000000000001" customHeight="1" x14ac:dyDescent="0.25">
      <c r="A67" s="5" t="s">
        <v>299</v>
      </c>
      <c r="B67" s="30"/>
      <c r="C67" s="30"/>
      <c r="D67" s="30"/>
      <c r="E67" s="30"/>
      <c r="F67" s="30"/>
      <c r="G67" s="30"/>
      <c r="H67" s="30"/>
      <c r="I67" s="30"/>
      <c r="J67" s="4"/>
    </row>
    <row r="68" spans="1:10" ht="20.100000000000001" customHeight="1" x14ac:dyDescent="0.25">
      <c r="A68" s="72" t="s">
        <v>300</v>
      </c>
      <c r="B68" s="72"/>
      <c r="C68" s="115"/>
      <c r="D68" s="72" t="s">
        <v>29</v>
      </c>
      <c r="E68" s="115"/>
      <c r="F68" s="31" t="s">
        <v>301</v>
      </c>
      <c r="G68" s="74" t="s">
        <v>31</v>
      </c>
      <c r="H68" s="105"/>
      <c r="I68" s="31" t="s">
        <v>302</v>
      </c>
      <c r="J68" s="4"/>
    </row>
    <row r="69" spans="1:10" ht="44.25" customHeight="1" x14ac:dyDescent="0.25">
      <c r="A69" s="84" t="s">
        <v>303</v>
      </c>
      <c r="B69" s="84"/>
      <c r="C69" s="116"/>
      <c r="D69" s="84"/>
      <c r="E69" s="116"/>
      <c r="F69" s="34" t="s">
        <v>27</v>
      </c>
      <c r="G69" s="92" t="s">
        <v>304</v>
      </c>
      <c r="H69" s="117"/>
      <c r="I69" s="35"/>
      <c r="J69" s="4"/>
    </row>
    <row r="70" spans="1:10" ht="33.75" customHeight="1" x14ac:dyDescent="0.25">
      <c r="A70" s="84" t="s">
        <v>305</v>
      </c>
      <c r="B70" s="84"/>
      <c r="C70" s="116"/>
      <c r="D70" s="84"/>
      <c r="E70" s="116"/>
      <c r="F70" s="34" t="s">
        <v>27</v>
      </c>
      <c r="G70" s="92" t="s">
        <v>306</v>
      </c>
      <c r="H70" s="117"/>
      <c r="I70" s="35"/>
      <c r="J70" s="4"/>
    </row>
    <row r="71" spans="1:10" ht="69.75" customHeight="1" x14ac:dyDescent="0.25">
      <c r="A71" s="84" t="s">
        <v>307</v>
      </c>
      <c r="B71" s="84"/>
      <c r="C71" s="116"/>
      <c r="D71" s="84"/>
      <c r="E71" s="116"/>
      <c r="F71" s="34" t="s">
        <v>27</v>
      </c>
      <c r="G71" s="92"/>
      <c r="H71" s="117"/>
      <c r="I71" s="35"/>
      <c r="J71" s="4"/>
    </row>
    <row r="72" spans="1:10" ht="27" customHeight="1" x14ac:dyDescent="0.25">
      <c r="A72" s="74" t="s">
        <v>308</v>
      </c>
      <c r="B72" s="105"/>
      <c r="C72" s="87" t="str">
        <f>IF(AND(F69="是",F70="是",F71="是"),"合同折扣仅与合同中一项或多项(而非全部)履约义务相关","应当在各单项履约义务之间按比例分摊合同折扣")</f>
        <v>合同折扣仅与合同中一项或多项(而非全部)履约义务相关</v>
      </c>
      <c r="D72" s="103"/>
      <c r="E72" s="103"/>
      <c r="F72" s="103"/>
      <c r="G72" s="103"/>
      <c r="H72" s="103"/>
      <c r="I72" s="104"/>
      <c r="J72" s="4"/>
    </row>
    <row r="73" spans="1:10" ht="20.100000000000001" customHeight="1" x14ac:dyDescent="0.25">
      <c r="A73" s="48" t="s">
        <v>309</v>
      </c>
      <c r="B73" s="6"/>
      <c r="C73" s="49"/>
      <c r="D73" s="50"/>
      <c r="E73" s="51"/>
      <c r="F73" s="50"/>
      <c r="G73" s="49"/>
      <c r="H73" s="50"/>
      <c r="I73" s="52"/>
      <c r="J73" s="4"/>
    </row>
    <row r="74" spans="1:10" ht="20.100000000000001" customHeight="1" x14ac:dyDescent="0.25">
      <c r="A74" s="72" t="s">
        <v>310</v>
      </c>
      <c r="B74" s="72"/>
      <c r="C74" s="115"/>
      <c r="D74" s="72" t="s">
        <v>311</v>
      </c>
      <c r="E74" s="115"/>
      <c r="F74" s="36" t="s">
        <v>312</v>
      </c>
      <c r="G74" s="36" t="s">
        <v>313</v>
      </c>
      <c r="H74" s="36" t="s">
        <v>314</v>
      </c>
      <c r="I74" s="31" t="s">
        <v>302</v>
      </c>
      <c r="J74" s="4"/>
    </row>
    <row r="75" spans="1:10" ht="23.25" customHeight="1" x14ac:dyDescent="0.25">
      <c r="A75" s="92" t="s">
        <v>315</v>
      </c>
      <c r="B75" s="92"/>
      <c r="C75" s="138"/>
      <c r="D75" s="142"/>
      <c r="E75" s="143"/>
      <c r="F75" s="16">
        <v>40</v>
      </c>
      <c r="G75" s="17"/>
      <c r="H75" s="16">
        <f>F75</f>
        <v>40</v>
      </c>
      <c r="I75" s="54"/>
      <c r="J75" s="4"/>
    </row>
    <row r="76" spans="1:10" ht="23.25" customHeight="1" x14ac:dyDescent="0.25">
      <c r="A76" s="92" t="s">
        <v>267</v>
      </c>
      <c r="B76" s="92"/>
      <c r="C76" s="138"/>
      <c r="D76" s="144"/>
      <c r="E76" s="145"/>
      <c r="F76" s="16">
        <v>55</v>
      </c>
      <c r="G76" s="17">
        <f>F76/SUM(F76:F77)</f>
        <v>0.55000000000000004</v>
      </c>
      <c r="H76" s="16">
        <f>G76*($D$80-$H$75)</f>
        <v>33</v>
      </c>
      <c r="I76" s="54"/>
      <c r="J76" s="4"/>
    </row>
    <row r="77" spans="1:10" ht="23.25" customHeight="1" x14ac:dyDescent="0.25">
      <c r="A77" s="92" t="s">
        <v>316</v>
      </c>
      <c r="B77" s="92"/>
      <c r="C77" s="138"/>
      <c r="D77" s="144"/>
      <c r="E77" s="145"/>
      <c r="F77" s="16">
        <v>45</v>
      </c>
      <c r="G77" s="17">
        <f>F77/SUM(F76:F77)</f>
        <v>0.45</v>
      </c>
      <c r="H77" s="16">
        <f>G77*($D$80-$H$75)</f>
        <v>27</v>
      </c>
      <c r="I77" s="54"/>
      <c r="J77" s="4"/>
    </row>
    <row r="78" spans="1:10" ht="23.25" customHeight="1" x14ac:dyDescent="0.25">
      <c r="A78" s="92"/>
      <c r="B78" s="92"/>
      <c r="C78" s="138"/>
      <c r="D78" s="144"/>
      <c r="E78" s="145"/>
      <c r="F78" s="16"/>
      <c r="G78" s="17"/>
      <c r="H78" s="16">
        <f t="shared" ref="H78:H79" si="5">$D$65*G78</f>
        <v>0</v>
      </c>
      <c r="I78" s="54"/>
      <c r="J78" s="4"/>
    </row>
    <row r="79" spans="1:10" ht="23.25" customHeight="1" x14ac:dyDescent="0.25">
      <c r="A79" s="94"/>
      <c r="B79" s="94"/>
      <c r="C79" s="139"/>
      <c r="D79" s="144"/>
      <c r="E79" s="145"/>
      <c r="F79" s="16"/>
      <c r="G79" s="17"/>
      <c r="H79" s="16">
        <f t="shared" si="5"/>
        <v>0</v>
      </c>
      <c r="I79" s="54"/>
      <c r="J79" s="4"/>
    </row>
    <row r="80" spans="1:10" ht="23.25" customHeight="1" x14ac:dyDescent="0.25">
      <c r="A80" s="74" t="s">
        <v>317</v>
      </c>
      <c r="B80" s="140"/>
      <c r="C80" s="141"/>
      <c r="D80" s="146">
        <v>100</v>
      </c>
      <c r="E80" s="147"/>
      <c r="F80" s="18">
        <f>SUM(F75:F79)</f>
        <v>140</v>
      </c>
      <c r="G80" s="19">
        <f>SUM(G75:G79)</f>
        <v>1</v>
      </c>
      <c r="H80" s="18">
        <f>SUM(H75:H79)</f>
        <v>100</v>
      </c>
      <c r="I80" s="55"/>
      <c r="J80" s="4"/>
    </row>
    <row r="81" spans="1:10" ht="20.100000000000001" customHeight="1" x14ac:dyDescent="0.25">
      <c r="A81" s="5" t="s">
        <v>318</v>
      </c>
      <c r="B81" s="30"/>
      <c r="C81" s="30"/>
      <c r="D81" s="30"/>
      <c r="E81" s="30"/>
      <c r="F81" s="30"/>
      <c r="G81" s="30"/>
      <c r="H81" s="30"/>
      <c r="I81" s="30"/>
      <c r="J81" s="4"/>
    </row>
    <row r="82" spans="1:10" ht="20.100000000000001" customHeight="1" x14ac:dyDescent="0.25">
      <c r="A82" s="5" t="s">
        <v>319</v>
      </c>
      <c r="B82" s="30"/>
      <c r="C82" s="30"/>
      <c r="D82" s="30"/>
      <c r="E82" s="30"/>
      <c r="F82" s="30"/>
      <c r="G82" s="30"/>
      <c r="H82" s="30"/>
      <c r="I82" s="30"/>
      <c r="J82" s="4"/>
    </row>
    <row r="83" spans="1:10" ht="20.100000000000001" customHeight="1" x14ac:dyDescent="0.25">
      <c r="A83" s="5"/>
      <c r="B83" s="30"/>
      <c r="C83" s="30"/>
      <c r="D83" s="30"/>
      <c r="E83" s="30"/>
      <c r="F83" s="30"/>
      <c r="G83" s="30"/>
      <c r="H83" s="30"/>
      <c r="I83" s="30"/>
      <c r="J83" s="4"/>
    </row>
    <row r="84" spans="1:10" ht="20.100000000000001" customHeight="1" x14ac:dyDescent="0.25">
      <c r="A84" s="2" t="s">
        <v>320</v>
      </c>
      <c r="B84" s="30"/>
      <c r="C84" s="30"/>
      <c r="D84" s="30"/>
      <c r="E84" s="30" t="s">
        <v>321</v>
      </c>
      <c r="F84" s="33" t="s">
        <v>27</v>
      </c>
      <c r="G84" s="30"/>
      <c r="H84" s="30"/>
      <c r="I84" s="30"/>
      <c r="J84" s="4"/>
    </row>
    <row r="85" spans="1:10" ht="20.100000000000001" customHeight="1" x14ac:dyDescent="0.25">
      <c r="A85" s="72" t="s">
        <v>322</v>
      </c>
      <c r="B85" s="72"/>
      <c r="C85" s="115"/>
      <c r="D85" s="72" t="s">
        <v>29</v>
      </c>
      <c r="E85" s="115"/>
      <c r="F85" s="31" t="s">
        <v>301</v>
      </c>
      <c r="G85" s="74" t="s">
        <v>323</v>
      </c>
      <c r="H85" s="105"/>
      <c r="I85" s="31" t="s">
        <v>324</v>
      </c>
      <c r="J85" s="4"/>
    </row>
    <row r="86" spans="1:10" ht="75.75" customHeight="1" x14ac:dyDescent="0.25">
      <c r="A86" s="84" t="s">
        <v>325</v>
      </c>
      <c r="B86" s="84"/>
      <c r="C86" s="116"/>
      <c r="D86" s="84" t="s">
        <v>326</v>
      </c>
      <c r="E86" s="116"/>
      <c r="F86" s="34" t="s">
        <v>27</v>
      </c>
      <c r="G86" s="92"/>
      <c r="H86" s="117"/>
      <c r="I86" s="35"/>
      <c r="J86" s="4"/>
    </row>
    <row r="87" spans="1:10" ht="76.5" customHeight="1" x14ac:dyDescent="0.25">
      <c r="A87" s="84" t="s">
        <v>327</v>
      </c>
      <c r="B87" s="84"/>
      <c r="C87" s="116"/>
      <c r="D87" s="84" t="s">
        <v>328</v>
      </c>
      <c r="E87" s="116"/>
      <c r="F87" s="34" t="s">
        <v>27</v>
      </c>
      <c r="G87" s="92"/>
      <c r="H87" s="117"/>
      <c r="I87" s="35"/>
      <c r="J87" s="4"/>
    </row>
    <row r="88" spans="1:10" ht="32.25" customHeight="1" x14ac:dyDescent="0.25">
      <c r="A88" s="74" t="s">
        <v>329</v>
      </c>
      <c r="B88" s="105"/>
      <c r="C88" s="87" t="str">
        <f>IF(AND(F86="是",F87="是"),"应当将可变对价及可变对价的后续变动额全部分摊至与之相关的某项履约义务，或者构成单项履约义务的一系列可明确区分商品中的某项商品","可变对价与整个合同相关，应当按照分摊交易价格的一般原则，将可变对价分摊至合同中的各单项履约义务")</f>
        <v>应当将可变对价及可变对价的后续变动额全部分摊至与之相关的某项履约义务，或者构成单项履约义务的一系列可明确区分商品中的某项商品</v>
      </c>
      <c r="D88" s="103"/>
      <c r="E88" s="103"/>
      <c r="F88" s="103"/>
      <c r="G88" s="103"/>
      <c r="H88" s="103"/>
      <c r="I88" s="104"/>
      <c r="J88" s="4"/>
    </row>
    <row r="89" spans="1:10" ht="20.100000000000001" customHeight="1" x14ac:dyDescent="0.25">
      <c r="A89" s="48" t="s">
        <v>330</v>
      </c>
      <c r="B89" s="6"/>
      <c r="C89" s="49"/>
      <c r="D89" s="50"/>
      <c r="E89" s="51"/>
      <c r="F89" s="50"/>
      <c r="G89" s="49"/>
      <c r="H89" s="50"/>
      <c r="I89" s="52"/>
      <c r="J89" s="4"/>
    </row>
    <row r="90" spans="1:10" ht="20.100000000000001" customHeight="1" x14ac:dyDescent="0.25">
      <c r="A90" s="72" t="s">
        <v>331</v>
      </c>
      <c r="B90" s="72"/>
      <c r="C90" s="115"/>
      <c r="D90" s="72" t="s">
        <v>332</v>
      </c>
      <c r="E90" s="115"/>
      <c r="F90" s="36" t="s">
        <v>312</v>
      </c>
      <c r="G90" s="36" t="s">
        <v>333</v>
      </c>
      <c r="H90" s="36" t="s">
        <v>334</v>
      </c>
      <c r="I90" s="31" t="s">
        <v>335</v>
      </c>
      <c r="J90" s="4"/>
    </row>
    <row r="91" spans="1:10" ht="23.25" customHeight="1" x14ac:dyDescent="0.25">
      <c r="A91" s="92"/>
      <c r="B91" s="92"/>
      <c r="C91" s="138"/>
      <c r="D91" s="84"/>
      <c r="E91" s="116"/>
      <c r="F91" s="59"/>
      <c r="G91" s="60"/>
      <c r="H91" s="59"/>
      <c r="I91" s="54"/>
      <c r="J91" s="4"/>
    </row>
    <row r="92" spans="1:10" ht="23.25" customHeight="1" x14ac:dyDescent="0.25">
      <c r="A92" s="92"/>
      <c r="B92" s="92"/>
      <c r="C92" s="138"/>
      <c r="D92" s="130"/>
      <c r="E92" s="131"/>
      <c r="F92" s="59"/>
      <c r="G92" s="60"/>
      <c r="H92" s="59"/>
      <c r="I92" s="54"/>
      <c r="J92" s="4"/>
    </row>
    <row r="93" spans="1:10" ht="23.25" customHeight="1" x14ac:dyDescent="0.25">
      <c r="A93" s="92"/>
      <c r="B93" s="92"/>
      <c r="C93" s="138"/>
      <c r="D93" s="130"/>
      <c r="E93" s="131"/>
      <c r="F93" s="59"/>
      <c r="G93" s="60"/>
      <c r="H93" s="59"/>
      <c r="I93" s="54"/>
      <c r="J93" s="4"/>
    </row>
    <row r="94" spans="1:10" ht="23.25" customHeight="1" x14ac:dyDescent="0.25">
      <c r="A94" s="92"/>
      <c r="B94" s="92"/>
      <c r="C94" s="138"/>
      <c r="D94" s="130"/>
      <c r="E94" s="131"/>
      <c r="F94" s="59"/>
      <c r="G94" s="60"/>
      <c r="H94" s="59"/>
      <c r="I94" s="54"/>
      <c r="J94" s="4"/>
    </row>
    <row r="95" spans="1:10" ht="23.25" customHeight="1" x14ac:dyDescent="0.25">
      <c r="A95" s="94"/>
      <c r="B95" s="94"/>
      <c r="C95" s="139"/>
      <c r="D95" s="130"/>
      <c r="E95" s="131"/>
      <c r="F95" s="59"/>
      <c r="G95" s="60"/>
      <c r="H95" s="59"/>
      <c r="I95" s="54"/>
      <c r="J95" s="4"/>
    </row>
    <row r="96" spans="1:10" ht="23.25" customHeight="1" x14ac:dyDescent="0.25">
      <c r="A96" s="74" t="s">
        <v>298</v>
      </c>
      <c r="B96" s="140"/>
      <c r="C96" s="141"/>
      <c r="D96" s="148"/>
      <c r="E96" s="149"/>
      <c r="F96" s="62">
        <f>SUM(F91:F95)</f>
        <v>0</v>
      </c>
      <c r="G96" s="63">
        <f>SUM(G91:G95)</f>
        <v>0</v>
      </c>
      <c r="H96" s="62">
        <f>SUM(H91:H95)</f>
        <v>0</v>
      </c>
      <c r="I96" s="55"/>
      <c r="J96" s="4"/>
    </row>
    <row r="97" spans="1:10" ht="20.100000000000001" customHeight="1" x14ac:dyDescent="0.25">
      <c r="A97" s="5" t="s">
        <v>336</v>
      </c>
      <c r="B97" s="30"/>
      <c r="C97" s="30"/>
      <c r="D97" s="30"/>
      <c r="E97" s="30"/>
      <c r="F97" s="30"/>
      <c r="G97" s="30"/>
      <c r="H97" s="30"/>
      <c r="I97" s="30"/>
      <c r="J97" s="4"/>
    </row>
    <row r="98" spans="1:10" ht="20.100000000000001" customHeight="1" x14ac:dyDescent="0.25">
      <c r="A98" s="5"/>
      <c r="B98" s="30"/>
      <c r="C98" s="30"/>
      <c r="D98" s="30"/>
      <c r="E98" s="30"/>
      <c r="F98" s="30"/>
      <c r="G98" s="30"/>
      <c r="H98" s="30"/>
      <c r="I98" s="30"/>
      <c r="J98" s="4"/>
    </row>
    <row r="99" spans="1:10" ht="20.100000000000001" customHeight="1" x14ac:dyDescent="0.25">
      <c r="A99" s="78" t="s">
        <v>520</v>
      </c>
      <c r="B99" s="78"/>
      <c r="C99" s="78"/>
      <c r="D99" s="78"/>
      <c r="E99" s="78"/>
      <c r="F99" s="78"/>
      <c r="G99" s="78"/>
      <c r="H99" s="78"/>
      <c r="I99" s="78"/>
      <c r="J99" s="4"/>
    </row>
    <row r="100" spans="1:10" ht="20.100000000000001" customHeight="1" x14ac:dyDescent="0.25">
      <c r="A100" s="102"/>
      <c r="B100" s="102"/>
      <c r="C100" s="102"/>
      <c r="D100" s="102"/>
      <c r="E100" s="102"/>
      <c r="F100" s="102"/>
      <c r="G100" s="102"/>
      <c r="H100" s="102"/>
      <c r="I100" s="102"/>
      <c r="J100" s="4"/>
    </row>
    <row r="101" spans="1:10" ht="20.100000000000001" customHeight="1" x14ac:dyDescent="0.25">
      <c r="A101" s="78" t="s">
        <v>521</v>
      </c>
      <c r="B101" s="78"/>
      <c r="C101" s="78"/>
      <c r="D101" s="78"/>
      <c r="E101" s="78"/>
      <c r="F101" s="78"/>
      <c r="G101" s="78"/>
      <c r="H101" s="78"/>
      <c r="I101" s="78"/>
      <c r="J101" s="4"/>
    </row>
    <row r="102" spans="1:10" ht="26.4" customHeight="1" x14ac:dyDescent="0.25">
      <c r="A102" s="98"/>
      <c r="B102" s="98"/>
      <c r="C102" s="98"/>
      <c r="D102" s="98"/>
      <c r="E102" s="98"/>
      <c r="F102" s="98"/>
      <c r="G102" s="98"/>
      <c r="H102" s="98"/>
      <c r="I102" s="98"/>
      <c r="J102" s="4"/>
    </row>
    <row r="103" spans="1:10" s="40" customFormat="1" ht="18" customHeight="1" x14ac:dyDescent="0.25">
      <c r="A103" s="27" t="s">
        <v>533</v>
      </c>
      <c r="J103" s="41"/>
    </row>
    <row r="104" spans="1:10" s="40" customFormat="1" ht="18" customHeight="1" x14ac:dyDescent="0.25">
      <c r="A104" s="27" t="s">
        <v>337</v>
      </c>
      <c r="J104" s="41"/>
    </row>
    <row r="105" spans="1:10" s="40" customFormat="1" ht="18" customHeight="1" x14ac:dyDescent="0.25">
      <c r="A105" s="27" t="s">
        <v>338</v>
      </c>
      <c r="J105" s="41"/>
    </row>
    <row r="106" spans="1:10" s="40" customFormat="1" ht="18" customHeight="1" x14ac:dyDescent="0.25">
      <c r="A106" s="1"/>
      <c r="J106" s="41"/>
    </row>
    <row r="107" spans="1:10" s="40" customFormat="1" ht="18" customHeight="1" x14ac:dyDescent="0.25">
      <c r="A107" s="1"/>
      <c r="J107" s="41"/>
    </row>
    <row r="108" spans="1:10" s="40" customFormat="1" ht="18" customHeight="1" x14ac:dyDescent="0.25">
      <c r="A108" s="1"/>
      <c r="J108" s="41"/>
    </row>
    <row r="109" spans="1:10" s="40" customFormat="1" ht="18" customHeight="1" x14ac:dyDescent="0.25">
      <c r="A109" s="1"/>
      <c r="J109" s="41"/>
    </row>
    <row r="110" spans="1:10" s="40" customFormat="1" ht="18" customHeight="1" x14ac:dyDescent="0.25">
      <c r="A110" s="1"/>
      <c r="J110" s="41"/>
    </row>
  </sheetData>
  <mergeCells count="128">
    <mergeCell ref="A101:I101"/>
    <mergeCell ref="A102:I102"/>
    <mergeCell ref="A95:C95"/>
    <mergeCell ref="D95:E95"/>
    <mergeCell ref="A96:C96"/>
    <mergeCell ref="D96:E96"/>
    <mergeCell ref="A99:I99"/>
    <mergeCell ref="A100:I100"/>
    <mergeCell ref="A92:C92"/>
    <mergeCell ref="D92:E92"/>
    <mergeCell ref="A93:C93"/>
    <mergeCell ref="D93:E93"/>
    <mergeCell ref="A94:C94"/>
    <mergeCell ref="D94:E94"/>
    <mergeCell ref="A88:B88"/>
    <mergeCell ref="C88:I88"/>
    <mergeCell ref="A90:C90"/>
    <mergeCell ref="D90:E90"/>
    <mergeCell ref="A91:C91"/>
    <mergeCell ref="D91:E91"/>
    <mergeCell ref="G85:H85"/>
    <mergeCell ref="A86:C86"/>
    <mergeCell ref="D86:E86"/>
    <mergeCell ref="G86:H86"/>
    <mergeCell ref="A87:C87"/>
    <mergeCell ref="D87:E87"/>
    <mergeCell ref="G87:H87"/>
    <mergeCell ref="A79:C79"/>
    <mergeCell ref="D79:E79"/>
    <mergeCell ref="A80:C80"/>
    <mergeCell ref="D80:E80"/>
    <mergeCell ref="A85:C85"/>
    <mergeCell ref="D85:E85"/>
    <mergeCell ref="A76:C76"/>
    <mergeCell ref="D76:E76"/>
    <mergeCell ref="A77:C77"/>
    <mergeCell ref="D77:E77"/>
    <mergeCell ref="A78:C78"/>
    <mergeCell ref="D78:E78"/>
    <mergeCell ref="A72:B72"/>
    <mergeCell ref="C72:I72"/>
    <mergeCell ref="A74:C74"/>
    <mergeCell ref="D74:E74"/>
    <mergeCell ref="A75:C75"/>
    <mergeCell ref="D75:E75"/>
    <mergeCell ref="A70:C70"/>
    <mergeCell ref="D70:E70"/>
    <mergeCell ref="G70:H70"/>
    <mergeCell ref="A71:C71"/>
    <mergeCell ref="D71:E71"/>
    <mergeCell ref="G71:H71"/>
    <mergeCell ref="A65:C65"/>
    <mergeCell ref="D65:E65"/>
    <mergeCell ref="A68:C68"/>
    <mergeCell ref="D68:E68"/>
    <mergeCell ref="G68:H68"/>
    <mergeCell ref="A69:C69"/>
    <mergeCell ref="D69:E69"/>
    <mergeCell ref="G69:H69"/>
    <mergeCell ref="A62:C62"/>
    <mergeCell ref="D62:E62"/>
    <mergeCell ref="A63:C63"/>
    <mergeCell ref="D63:E63"/>
    <mergeCell ref="A64:C64"/>
    <mergeCell ref="D64:E64"/>
    <mergeCell ref="A59:C59"/>
    <mergeCell ref="D59:E59"/>
    <mergeCell ref="A60:C60"/>
    <mergeCell ref="D60:E60"/>
    <mergeCell ref="A61:C61"/>
    <mergeCell ref="D61:E61"/>
    <mergeCell ref="A53:C53"/>
    <mergeCell ref="D53:E53"/>
    <mergeCell ref="A54:C54"/>
    <mergeCell ref="D54:E54"/>
    <mergeCell ref="A55:C55"/>
    <mergeCell ref="D55:E55"/>
    <mergeCell ref="D49:E49"/>
    <mergeCell ref="A50:C50"/>
    <mergeCell ref="D50:E50"/>
    <mergeCell ref="A51:C51"/>
    <mergeCell ref="D51:E51"/>
    <mergeCell ref="A52:C52"/>
    <mergeCell ref="D52:E52"/>
    <mergeCell ref="A40:C40"/>
    <mergeCell ref="A41:C41"/>
    <mergeCell ref="A42:C42"/>
    <mergeCell ref="A43:C43"/>
    <mergeCell ref="A44:C44"/>
    <mergeCell ref="A49:C49"/>
    <mergeCell ref="A32:C32"/>
    <mergeCell ref="A33:C33"/>
    <mergeCell ref="A34:C34"/>
    <mergeCell ref="A35:C35"/>
    <mergeCell ref="A38:C38"/>
    <mergeCell ref="A39:C39"/>
    <mergeCell ref="A23:C23"/>
    <mergeCell ref="A24:C24"/>
    <mergeCell ref="A25:C25"/>
    <mergeCell ref="A29:C29"/>
    <mergeCell ref="A30:C30"/>
    <mergeCell ref="A31:C31"/>
    <mergeCell ref="A16:B16"/>
    <mergeCell ref="C16:I16"/>
    <mergeCell ref="A19:C19"/>
    <mergeCell ref="A20:C20"/>
    <mergeCell ref="A21:C21"/>
    <mergeCell ref="A22:C22"/>
    <mergeCell ref="B14:D14"/>
    <mergeCell ref="E14:F14"/>
    <mergeCell ref="G14:H14"/>
    <mergeCell ref="B15:D15"/>
    <mergeCell ref="E15:F15"/>
    <mergeCell ref="G15:H15"/>
    <mergeCell ref="B11:D11"/>
    <mergeCell ref="E11:F11"/>
    <mergeCell ref="G11:H11"/>
    <mergeCell ref="B13:D13"/>
    <mergeCell ref="E13:F13"/>
    <mergeCell ref="G13:H13"/>
    <mergeCell ref="A1:I1"/>
    <mergeCell ref="A2:I2"/>
    <mergeCell ref="A5:I5"/>
    <mergeCell ref="A6:I6"/>
    <mergeCell ref="A7:I7"/>
    <mergeCell ref="B10:D10"/>
    <mergeCell ref="E10:F10"/>
    <mergeCell ref="G10:H10"/>
  </mergeCells>
  <phoneticPr fontId="4" type="noConversion"/>
  <dataValidations count="1">
    <dataValidation type="list" allowBlank="1" showInputMessage="1" showErrorMessage="1" sqref="F48 F57 F69:F71 F86:F87 F84">
      <formula1>"是,否"</formula1>
    </dataValidation>
  </dataValidations>
  <printOptions horizontalCentered="1"/>
  <pageMargins left="0.7" right="0.7" top="0.75" bottom="0.75" header="0.3" footer="0.3"/>
  <pageSetup paperSize="9" scale="70" fitToHeight="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view="pageBreakPreview" zoomScaleNormal="130" zoomScaleSheetLayoutView="100" workbookViewId="0">
      <selection sqref="A1:I1"/>
    </sheetView>
  </sheetViews>
  <sheetFormatPr defaultColWidth="9" defaultRowHeight="12" x14ac:dyDescent="0.25"/>
  <cols>
    <col min="1" max="1" width="15.77734375" style="1" customWidth="1"/>
    <col min="2" max="2" width="7.33203125" style="1" customWidth="1"/>
    <col min="3" max="3" width="7.88671875" style="1" customWidth="1"/>
    <col min="4" max="4" width="10.33203125" style="1" customWidth="1"/>
    <col min="5" max="5" width="14.109375" style="1" customWidth="1"/>
    <col min="6" max="6" width="11.6640625" style="1" customWidth="1"/>
    <col min="7" max="7" width="13.6640625" style="1" customWidth="1"/>
    <col min="8" max="8" width="13.33203125" style="1" customWidth="1"/>
    <col min="9" max="9" width="12.21875" style="1" customWidth="1"/>
    <col min="10" max="10" width="54.33203125" style="42" customWidth="1"/>
    <col min="11" max="16384" width="9" style="1"/>
  </cols>
  <sheetData>
    <row r="1" spans="1:10" ht="20.100000000000001" customHeight="1" x14ac:dyDescent="0.25">
      <c r="A1" s="76" t="s">
        <v>517</v>
      </c>
      <c r="B1" s="76"/>
      <c r="C1" s="76"/>
      <c r="D1" s="76"/>
      <c r="E1" s="76"/>
      <c r="F1" s="76"/>
      <c r="G1" s="76"/>
      <c r="H1" s="76"/>
      <c r="I1" s="76"/>
      <c r="J1" s="4"/>
    </row>
    <row r="2" spans="1:10" ht="24.9" customHeight="1" x14ac:dyDescent="0.25">
      <c r="A2" s="106" t="s">
        <v>339</v>
      </c>
      <c r="B2" s="77"/>
      <c r="C2" s="77"/>
      <c r="D2" s="77"/>
      <c r="E2" s="77"/>
      <c r="F2" s="77"/>
      <c r="G2" s="77"/>
      <c r="H2" s="77"/>
      <c r="I2" s="77"/>
      <c r="J2" s="4"/>
    </row>
    <row r="3" spans="1:10" ht="20.100000000000001" customHeight="1" x14ac:dyDescent="0.25">
      <c r="A3" s="71" t="str">
        <f>[4]底稿目录!$A$2</f>
        <v>被审计单位：</v>
      </c>
      <c r="D3" s="71" t="str">
        <f>[4]底稿目录!$A$4</f>
        <v>编制人：</v>
      </c>
      <c r="F3" s="71" t="str">
        <f>[4]底稿目录!$A$5</f>
        <v>编制日期：</v>
      </c>
      <c r="H3" s="44" t="s">
        <v>523</v>
      </c>
      <c r="I3" s="27" t="s">
        <v>524</v>
      </c>
      <c r="J3" s="4"/>
    </row>
    <row r="4" spans="1:10" ht="20.100000000000001" customHeight="1" x14ac:dyDescent="0.25">
      <c r="A4" s="71" t="str">
        <f>[4]底稿目录!$A$3</f>
        <v>会计期间：202X年度</v>
      </c>
      <c r="D4" s="71" t="str">
        <f>[4]底稿目录!$A$6</f>
        <v>复核人：</v>
      </c>
      <c r="F4" s="71" t="str">
        <f>[4]底稿目录!$A$7</f>
        <v>复核日期：</v>
      </c>
      <c r="H4" s="44" t="s">
        <v>1</v>
      </c>
      <c r="J4" s="4"/>
    </row>
    <row r="5" spans="1:10" ht="20.100000000000001" customHeight="1" x14ac:dyDescent="0.25">
      <c r="A5" s="78" t="s">
        <v>518</v>
      </c>
      <c r="B5" s="78"/>
      <c r="C5" s="78"/>
      <c r="D5" s="78"/>
      <c r="E5" s="78"/>
      <c r="F5" s="78"/>
      <c r="G5" s="78"/>
      <c r="H5" s="78"/>
      <c r="I5" s="78"/>
      <c r="J5" s="4"/>
    </row>
    <row r="6" spans="1:10" ht="21" customHeight="1" x14ac:dyDescent="0.25">
      <c r="A6" s="79" t="s">
        <v>340</v>
      </c>
      <c r="B6" s="79"/>
      <c r="C6" s="79"/>
      <c r="D6" s="79"/>
      <c r="E6" s="79"/>
      <c r="F6" s="79"/>
      <c r="G6" s="79"/>
      <c r="H6" s="79"/>
      <c r="I6" s="79"/>
      <c r="J6" s="4"/>
    </row>
    <row r="7" spans="1:10" ht="20.100000000000001" customHeight="1" x14ac:dyDescent="0.25">
      <c r="A7" s="78" t="s">
        <v>519</v>
      </c>
      <c r="B7" s="78"/>
      <c r="C7" s="78"/>
      <c r="D7" s="78"/>
      <c r="E7" s="78"/>
      <c r="F7" s="78"/>
      <c r="G7" s="78"/>
      <c r="H7" s="78"/>
      <c r="I7" s="78"/>
      <c r="J7" s="4"/>
    </row>
    <row r="8" spans="1:10" ht="19.5" customHeight="1" x14ac:dyDescent="0.25">
      <c r="A8" s="2" t="s">
        <v>341</v>
      </c>
      <c r="B8" s="30"/>
      <c r="C8" s="30"/>
      <c r="D8" s="30"/>
      <c r="E8" s="30"/>
      <c r="F8" s="30"/>
      <c r="G8" s="30"/>
      <c r="H8" s="30"/>
      <c r="I8" s="30"/>
      <c r="J8" s="4"/>
    </row>
    <row r="9" spans="1:10" ht="20.100000000000001" customHeight="1" x14ac:dyDescent="0.25">
      <c r="A9" s="2" t="s">
        <v>532</v>
      </c>
      <c r="B9" s="30"/>
      <c r="C9" s="30"/>
      <c r="D9" s="30"/>
      <c r="E9" s="30"/>
      <c r="F9" s="30"/>
      <c r="G9" s="30"/>
      <c r="H9" s="30"/>
      <c r="I9" s="30"/>
      <c r="J9" s="4"/>
    </row>
    <row r="10" spans="1:10" ht="20.100000000000001" customHeight="1" x14ac:dyDescent="0.25">
      <c r="A10" s="74" t="s">
        <v>342</v>
      </c>
      <c r="B10" s="150"/>
      <c r="C10" s="74" t="s">
        <v>29</v>
      </c>
      <c r="D10" s="151"/>
      <c r="E10" s="150"/>
      <c r="F10" s="31" t="s">
        <v>301</v>
      </c>
      <c r="G10" s="74" t="s">
        <v>323</v>
      </c>
      <c r="H10" s="75"/>
      <c r="I10" s="31" t="s">
        <v>302</v>
      </c>
      <c r="J10" s="4"/>
    </row>
    <row r="11" spans="1:10" ht="68.25" customHeight="1" x14ac:dyDescent="0.25">
      <c r="A11" s="99" t="s">
        <v>343</v>
      </c>
      <c r="B11" s="100"/>
      <c r="C11" s="99" t="s">
        <v>344</v>
      </c>
      <c r="D11" s="101"/>
      <c r="E11" s="100"/>
      <c r="F11" s="34" t="s">
        <v>38</v>
      </c>
      <c r="G11" s="92"/>
      <c r="H11" s="93"/>
      <c r="I11" s="32"/>
      <c r="J11" s="45" t="s">
        <v>345</v>
      </c>
    </row>
    <row r="12" spans="1:10" ht="68.25" customHeight="1" x14ac:dyDescent="0.25">
      <c r="A12" s="99" t="s">
        <v>346</v>
      </c>
      <c r="B12" s="100"/>
      <c r="C12" s="99" t="s">
        <v>347</v>
      </c>
      <c r="D12" s="101"/>
      <c r="E12" s="100"/>
      <c r="F12" s="34" t="s">
        <v>27</v>
      </c>
      <c r="G12" s="92" t="s">
        <v>348</v>
      </c>
      <c r="H12" s="93"/>
      <c r="I12" s="32"/>
      <c r="J12" s="45" t="s">
        <v>530</v>
      </c>
    </row>
    <row r="13" spans="1:10" ht="119.25" customHeight="1" x14ac:dyDescent="0.25">
      <c r="A13" s="99" t="s">
        <v>349</v>
      </c>
      <c r="B13" s="100"/>
      <c r="C13" s="99" t="s">
        <v>350</v>
      </c>
      <c r="D13" s="101"/>
      <c r="E13" s="100"/>
      <c r="F13" s="34" t="s">
        <v>38</v>
      </c>
      <c r="G13" s="92"/>
      <c r="H13" s="93"/>
      <c r="I13" s="32"/>
      <c r="J13" s="45" t="s">
        <v>528</v>
      </c>
    </row>
    <row r="14" spans="1:10" ht="55.5" customHeight="1" x14ac:dyDescent="0.25">
      <c r="A14" s="74" t="s">
        <v>351</v>
      </c>
      <c r="B14" s="75"/>
      <c r="C14" s="87"/>
      <c r="D14" s="88"/>
      <c r="E14" s="88"/>
      <c r="F14" s="88"/>
      <c r="G14" s="88"/>
      <c r="H14" s="88"/>
      <c r="I14" s="89"/>
      <c r="J14" s="4"/>
    </row>
    <row r="15" spans="1:10" ht="27" customHeight="1" x14ac:dyDescent="0.25">
      <c r="A15" s="74" t="s">
        <v>352</v>
      </c>
      <c r="B15" s="75"/>
      <c r="C15" s="152" t="str">
        <f>IF(OR(F11="是",F12="是",F13="是"),"属于在某一时段内履行履约义务","属于在某一时点履行履约义务")</f>
        <v>属于在某一时段内履行履约义务</v>
      </c>
      <c r="D15" s="153"/>
      <c r="E15" s="153"/>
      <c r="F15" s="153"/>
      <c r="G15" s="153"/>
      <c r="H15" s="153"/>
      <c r="I15" s="154"/>
      <c r="J15" s="4"/>
    </row>
    <row r="16" spans="1:10" ht="20.100000000000001" customHeight="1" x14ac:dyDescent="0.25">
      <c r="A16" s="5" t="s">
        <v>353</v>
      </c>
      <c r="B16" s="30"/>
      <c r="C16" s="30"/>
      <c r="D16" s="30"/>
      <c r="E16" s="30"/>
      <c r="F16" s="30"/>
      <c r="G16" s="30"/>
      <c r="H16" s="30"/>
      <c r="I16" s="30"/>
      <c r="J16" s="4"/>
    </row>
    <row r="17" spans="1:10" ht="20.100000000000001" customHeight="1" x14ac:dyDescent="0.25">
      <c r="A17" s="2" t="s">
        <v>354</v>
      </c>
      <c r="B17" s="30"/>
      <c r="C17" s="30"/>
      <c r="D17" s="30"/>
      <c r="E17" s="64" t="s">
        <v>355</v>
      </c>
      <c r="F17" s="33" t="s">
        <v>27</v>
      </c>
      <c r="G17" s="30"/>
      <c r="H17" s="30"/>
      <c r="I17" s="30"/>
      <c r="J17" s="4"/>
    </row>
    <row r="18" spans="1:10" ht="20.100000000000001" customHeight="1" x14ac:dyDescent="0.25">
      <c r="A18" s="72" t="s">
        <v>356</v>
      </c>
      <c r="B18" s="72"/>
      <c r="C18" s="90"/>
      <c r="D18" s="72" t="s">
        <v>29</v>
      </c>
      <c r="E18" s="90"/>
      <c r="F18" s="155" t="s">
        <v>357</v>
      </c>
      <c r="G18" s="153"/>
      <c r="H18" s="154"/>
      <c r="I18" s="31" t="s">
        <v>358</v>
      </c>
      <c r="J18" s="4"/>
    </row>
    <row r="19" spans="1:10" ht="75.75" customHeight="1" x14ac:dyDescent="0.25">
      <c r="A19" s="84" t="s">
        <v>359</v>
      </c>
      <c r="B19" s="84"/>
      <c r="C19" s="91"/>
      <c r="D19" s="84" t="s">
        <v>360</v>
      </c>
      <c r="E19" s="91"/>
      <c r="F19" s="156"/>
      <c r="G19" s="157"/>
      <c r="H19" s="158"/>
      <c r="I19" s="163"/>
      <c r="J19" s="45" t="s">
        <v>361</v>
      </c>
    </row>
    <row r="20" spans="1:10" ht="76.5" customHeight="1" x14ac:dyDescent="0.25">
      <c r="A20" s="84" t="s">
        <v>362</v>
      </c>
      <c r="B20" s="84"/>
      <c r="C20" s="91"/>
      <c r="D20" s="84" t="s">
        <v>363</v>
      </c>
      <c r="E20" s="91"/>
      <c r="F20" s="159"/>
      <c r="G20" s="160"/>
      <c r="H20" s="161"/>
      <c r="I20" s="164"/>
      <c r="J20" s="45" t="s">
        <v>364</v>
      </c>
    </row>
    <row r="21" spans="1:10" ht="32.25" customHeight="1" x14ac:dyDescent="0.25">
      <c r="A21" s="74" t="s">
        <v>365</v>
      </c>
      <c r="B21" s="75"/>
      <c r="C21" s="87"/>
      <c r="D21" s="88"/>
      <c r="E21" s="88"/>
      <c r="F21" s="88"/>
      <c r="G21" s="88"/>
      <c r="H21" s="88"/>
      <c r="I21" s="89"/>
      <c r="J21" s="45" t="s">
        <v>366</v>
      </c>
    </row>
    <row r="22" spans="1:10" ht="23.25" customHeight="1" x14ac:dyDescent="0.25">
      <c r="A22" s="5"/>
      <c r="B22" s="30"/>
      <c r="C22" s="30"/>
      <c r="D22" s="30"/>
      <c r="E22" s="30"/>
      <c r="F22" s="30"/>
      <c r="G22" s="30"/>
      <c r="H22" s="30"/>
      <c r="I22" s="30"/>
      <c r="J22" s="45"/>
    </row>
    <row r="23" spans="1:10" ht="23.25" customHeight="1" x14ac:dyDescent="0.25">
      <c r="A23" s="2" t="s">
        <v>367</v>
      </c>
      <c r="B23" s="30"/>
      <c r="C23" s="30"/>
      <c r="D23" s="30"/>
      <c r="E23" s="64" t="s">
        <v>355</v>
      </c>
      <c r="F23" s="33" t="s">
        <v>27</v>
      </c>
      <c r="G23" s="30"/>
      <c r="H23" s="30"/>
      <c r="I23" s="30"/>
      <c r="J23" s="45"/>
    </row>
    <row r="24" spans="1:10" ht="27.75" customHeight="1" x14ac:dyDescent="0.25">
      <c r="A24" s="72" t="s">
        <v>368</v>
      </c>
      <c r="B24" s="72"/>
      <c r="C24" s="90"/>
      <c r="D24" s="36" t="s">
        <v>369</v>
      </c>
      <c r="E24" s="36" t="s">
        <v>370</v>
      </c>
      <c r="F24" s="36" t="s">
        <v>371</v>
      </c>
      <c r="G24" s="36" t="s">
        <v>372</v>
      </c>
      <c r="H24" s="36" t="s">
        <v>373</v>
      </c>
      <c r="I24" s="31" t="s">
        <v>358</v>
      </c>
      <c r="J24" s="45" t="s">
        <v>374</v>
      </c>
    </row>
    <row r="25" spans="1:10" ht="23.25" customHeight="1" x14ac:dyDescent="0.25">
      <c r="A25" s="92" t="s">
        <v>375</v>
      </c>
      <c r="B25" s="92"/>
      <c r="C25" s="92"/>
      <c r="D25" s="24">
        <v>0.42</v>
      </c>
      <c r="E25" s="7">
        <v>2100000</v>
      </c>
      <c r="F25" s="7">
        <v>2000000</v>
      </c>
      <c r="G25" s="14">
        <f>(E25-F25)/E25</f>
        <v>4.7619047619047616E-2</v>
      </c>
      <c r="H25" s="7">
        <v>1680000</v>
      </c>
      <c r="I25" s="54"/>
      <c r="J25" s="45"/>
    </row>
    <row r="26" spans="1:10" ht="23.25" customHeight="1" x14ac:dyDescent="0.25">
      <c r="A26" s="92" t="s">
        <v>376</v>
      </c>
      <c r="B26" s="92"/>
      <c r="C26" s="92"/>
      <c r="D26" s="24">
        <v>0.24</v>
      </c>
      <c r="E26" s="7">
        <v>1200000</v>
      </c>
      <c r="F26" s="7">
        <v>1000000</v>
      </c>
      <c r="G26" s="14">
        <f t="shared" ref="G26:G30" si="0">(E26-F26)/E26</f>
        <v>0.16666666666666666</v>
      </c>
      <c r="H26" s="7">
        <v>960000</v>
      </c>
      <c r="I26" s="54"/>
      <c r="J26" s="45"/>
    </row>
    <row r="27" spans="1:10" ht="23.25" customHeight="1" x14ac:dyDescent="0.25">
      <c r="A27" s="92" t="s">
        <v>377</v>
      </c>
      <c r="B27" s="92"/>
      <c r="C27" s="92"/>
      <c r="D27" s="24">
        <v>0.16</v>
      </c>
      <c r="E27" s="7">
        <v>800000</v>
      </c>
      <c r="F27" s="7">
        <v>500000</v>
      </c>
      <c r="G27" s="14">
        <f t="shared" si="0"/>
        <v>0.375</v>
      </c>
      <c r="H27" s="7">
        <v>640000</v>
      </c>
      <c r="I27" s="54"/>
      <c r="J27" s="45"/>
    </row>
    <row r="28" spans="1:10" ht="23.25" customHeight="1" x14ac:dyDescent="0.25">
      <c r="A28" s="92" t="s">
        <v>378</v>
      </c>
      <c r="B28" s="92"/>
      <c r="C28" s="92"/>
      <c r="D28" s="24">
        <v>0.18</v>
      </c>
      <c r="E28" s="7">
        <v>900000</v>
      </c>
      <c r="F28" s="7">
        <v>500000</v>
      </c>
      <c r="G28" s="14">
        <f t="shared" si="0"/>
        <v>0.44444444444444442</v>
      </c>
      <c r="H28" s="7">
        <v>720000</v>
      </c>
      <c r="I28" s="54"/>
      <c r="J28" s="45"/>
    </row>
    <row r="29" spans="1:10" ht="23.25" customHeight="1" x14ac:dyDescent="0.25">
      <c r="A29" s="94"/>
      <c r="B29" s="94"/>
      <c r="C29" s="165"/>
      <c r="D29" s="59"/>
      <c r="E29" s="59"/>
      <c r="F29" s="59"/>
      <c r="G29" s="60"/>
      <c r="H29" s="59"/>
      <c r="I29" s="54"/>
      <c r="J29" s="45"/>
    </row>
    <row r="30" spans="1:10" ht="23.25" customHeight="1" x14ac:dyDescent="0.25">
      <c r="A30" s="74" t="s">
        <v>379</v>
      </c>
      <c r="B30" s="140"/>
      <c r="C30" s="162"/>
      <c r="D30" s="19">
        <f t="shared" ref="D30:E30" si="1">SUM(D25:D29)</f>
        <v>1</v>
      </c>
      <c r="E30" s="18">
        <f t="shared" si="1"/>
        <v>5000000</v>
      </c>
      <c r="F30" s="18">
        <f>SUM(F25:F29)</f>
        <v>4000000</v>
      </c>
      <c r="G30" s="19">
        <f t="shared" si="0"/>
        <v>0.2</v>
      </c>
      <c r="H30" s="18">
        <f t="shared" ref="H30" si="2">SUM(H25:H29)</f>
        <v>4000000</v>
      </c>
      <c r="I30" s="55"/>
      <c r="J30" s="45"/>
    </row>
    <row r="31" spans="1:10" ht="64.5" customHeight="1" x14ac:dyDescent="0.25">
      <c r="A31" s="74" t="s">
        <v>380</v>
      </c>
      <c r="B31" s="140"/>
      <c r="C31" s="162"/>
      <c r="D31" s="166" t="s">
        <v>531</v>
      </c>
      <c r="E31" s="167"/>
      <c r="F31" s="167"/>
      <c r="G31" s="167"/>
      <c r="H31" s="167"/>
      <c r="I31" s="168"/>
      <c r="J31" s="45" t="s">
        <v>381</v>
      </c>
    </row>
    <row r="32" spans="1:10" ht="23.25" customHeight="1" x14ac:dyDescent="0.25">
      <c r="A32" s="5" t="s">
        <v>382</v>
      </c>
      <c r="B32" s="30"/>
      <c r="C32" s="30"/>
      <c r="D32" s="30"/>
      <c r="E32" s="30"/>
      <c r="F32" s="30"/>
      <c r="G32" s="30"/>
      <c r="H32" s="30"/>
      <c r="I32" s="30"/>
      <c r="J32" s="45"/>
    </row>
    <row r="33" spans="1:10" ht="23.25" customHeight="1" x14ac:dyDescent="0.25">
      <c r="A33" s="5" t="s">
        <v>383</v>
      </c>
      <c r="B33" s="30"/>
      <c r="C33" s="30"/>
      <c r="D33" s="30"/>
      <c r="E33" s="30"/>
      <c r="F33" s="30"/>
      <c r="G33" s="30"/>
      <c r="H33" s="30"/>
      <c r="I33" s="30"/>
      <c r="J33" s="45"/>
    </row>
    <row r="34" spans="1:10" ht="23.25" customHeight="1" x14ac:dyDescent="0.25">
      <c r="A34" s="2" t="s">
        <v>384</v>
      </c>
      <c r="B34" s="30"/>
      <c r="C34" s="30"/>
      <c r="D34" s="30"/>
      <c r="E34" s="64" t="s">
        <v>321</v>
      </c>
      <c r="F34" s="33" t="s">
        <v>38</v>
      </c>
      <c r="G34" s="30"/>
      <c r="H34" s="30"/>
      <c r="I34" s="30"/>
      <c r="J34" s="45"/>
    </row>
    <row r="35" spans="1:10" ht="56.25" customHeight="1" x14ac:dyDescent="0.25">
      <c r="A35" s="36" t="s">
        <v>385</v>
      </c>
      <c r="B35" s="72" t="s">
        <v>386</v>
      </c>
      <c r="C35" s="95"/>
      <c r="D35" s="36" t="s">
        <v>387</v>
      </c>
      <c r="E35" s="36" t="s">
        <v>388</v>
      </c>
      <c r="F35" s="36" t="s">
        <v>389</v>
      </c>
      <c r="G35" s="36" t="s">
        <v>390</v>
      </c>
      <c r="H35" s="36" t="s">
        <v>391</v>
      </c>
      <c r="I35" s="36" t="s">
        <v>392</v>
      </c>
      <c r="J35" s="45" t="s">
        <v>393</v>
      </c>
    </row>
    <row r="36" spans="1:10" ht="23.25" customHeight="1" x14ac:dyDescent="0.25">
      <c r="A36" s="65" t="s">
        <v>394</v>
      </c>
      <c r="B36" s="169">
        <v>0</v>
      </c>
      <c r="C36" s="170"/>
      <c r="D36" s="7">
        <v>154</v>
      </c>
      <c r="E36" s="7">
        <f>B36+D36</f>
        <v>154</v>
      </c>
      <c r="F36" s="7"/>
      <c r="G36" s="7">
        <v>396</v>
      </c>
      <c r="H36" s="14"/>
      <c r="I36" s="14">
        <f>E36/(E36+G36)</f>
        <v>0.28000000000000003</v>
      </c>
      <c r="J36" s="45"/>
    </row>
    <row r="37" spans="1:10" ht="23.25" customHeight="1" x14ac:dyDescent="0.25">
      <c r="A37" s="65" t="s">
        <v>395</v>
      </c>
      <c r="B37" s="169">
        <f>E36</f>
        <v>154</v>
      </c>
      <c r="C37" s="170"/>
      <c r="D37" s="7">
        <v>146</v>
      </c>
      <c r="E37" s="7">
        <f>B37+D37</f>
        <v>300</v>
      </c>
      <c r="F37" s="7"/>
      <c r="G37" s="7">
        <v>300</v>
      </c>
      <c r="H37" s="14"/>
      <c r="I37" s="14">
        <f t="shared" ref="I37:I39" si="3">E37/(E37+G37)</f>
        <v>0.5</v>
      </c>
      <c r="J37" s="45"/>
    </row>
    <row r="38" spans="1:10" ht="23.25" customHeight="1" x14ac:dyDescent="0.25">
      <c r="A38" s="65" t="s">
        <v>396</v>
      </c>
      <c r="B38" s="169">
        <f>E37</f>
        <v>300</v>
      </c>
      <c r="C38" s="170"/>
      <c r="D38" s="7">
        <v>188</v>
      </c>
      <c r="E38" s="7">
        <f>B38+D38</f>
        <v>488</v>
      </c>
      <c r="F38" s="7"/>
      <c r="G38" s="7">
        <v>122</v>
      </c>
      <c r="H38" s="14"/>
      <c r="I38" s="14">
        <f t="shared" si="3"/>
        <v>0.8</v>
      </c>
      <c r="J38" s="45"/>
    </row>
    <row r="39" spans="1:10" ht="23.25" customHeight="1" x14ac:dyDescent="0.25">
      <c r="A39" s="65" t="s">
        <v>397</v>
      </c>
      <c r="B39" s="169">
        <f>E38</f>
        <v>488</v>
      </c>
      <c r="C39" s="170"/>
      <c r="D39" s="7">
        <v>122</v>
      </c>
      <c r="E39" s="7">
        <f>B39+D39</f>
        <v>610</v>
      </c>
      <c r="F39" s="7"/>
      <c r="G39" s="7">
        <v>0</v>
      </c>
      <c r="H39" s="14"/>
      <c r="I39" s="14">
        <f t="shared" si="3"/>
        <v>1</v>
      </c>
      <c r="J39" s="45"/>
    </row>
    <row r="40" spans="1:10" ht="23.25" customHeight="1" x14ac:dyDescent="0.25">
      <c r="A40" s="57"/>
      <c r="B40" s="171"/>
      <c r="C40" s="172"/>
      <c r="D40" s="59"/>
      <c r="E40" s="59"/>
      <c r="F40" s="59"/>
      <c r="G40" s="60"/>
      <c r="H40" s="59"/>
      <c r="I40" s="54"/>
      <c r="J40" s="45"/>
    </row>
    <row r="41" spans="1:10" ht="23.25" customHeight="1" x14ac:dyDescent="0.25">
      <c r="A41" s="66" t="s">
        <v>398</v>
      </c>
      <c r="B41" s="62"/>
      <c r="C41" s="62"/>
      <c r="D41" s="62"/>
      <c r="E41" s="62"/>
      <c r="F41" s="62"/>
      <c r="G41" s="63"/>
      <c r="H41" s="62"/>
      <c r="I41" s="55"/>
      <c r="J41" s="45" t="s">
        <v>399</v>
      </c>
    </row>
    <row r="42" spans="1:10" ht="51" customHeight="1" x14ac:dyDescent="0.25">
      <c r="A42" s="173" t="s">
        <v>400</v>
      </c>
      <c r="B42" s="74" t="s">
        <v>388</v>
      </c>
      <c r="C42" s="150"/>
      <c r="D42" s="36" t="s">
        <v>401</v>
      </c>
      <c r="E42" s="36" t="s">
        <v>402</v>
      </c>
      <c r="F42" s="36" t="s">
        <v>403</v>
      </c>
      <c r="G42" s="36" t="s">
        <v>404</v>
      </c>
      <c r="H42" s="36" t="s">
        <v>405</v>
      </c>
      <c r="I42" s="67" t="s">
        <v>406</v>
      </c>
      <c r="J42" s="175" t="s">
        <v>407</v>
      </c>
    </row>
    <row r="43" spans="1:10" ht="39" customHeight="1" x14ac:dyDescent="0.25">
      <c r="A43" s="174"/>
      <c r="B43" s="177">
        <f>E38</f>
        <v>488</v>
      </c>
      <c r="C43" s="178"/>
      <c r="D43" s="25">
        <v>100</v>
      </c>
      <c r="E43" s="26">
        <f>(B43-D43)/(E38+G38-D43)</f>
        <v>0.76078431372549016</v>
      </c>
      <c r="F43" s="25">
        <v>580</v>
      </c>
      <c r="G43" s="25">
        <f>(F43-D43)*E43+D43</f>
        <v>465.17647058823525</v>
      </c>
      <c r="H43" s="25">
        <f>((E38+G38)-D43)*E43+D43</f>
        <v>488</v>
      </c>
      <c r="I43" s="7">
        <f>((E38+G38)-F43)*(1-E43)</f>
        <v>7.1764705882352953</v>
      </c>
      <c r="J43" s="176"/>
    </row>
    <row r="44" spans="1:10" ht="23.25" customHeight="1" x14ac:dyDescent="0.25">
      <c r="A44" s="5"/>
      <c r="B44" s="30"/>
      <c r="C44" s="30"/>
      <c r="D44" s="30"/>
      <c r="E44" s="30"/>
      <c r="F44" s="30"/>
      <c r="G44" s="30"/>
      <c r="H44" s="30"/>
      <c r="I44" s="30"/>
      <c r="J44" s="45"/>
    </row>
    <row r="45" spans="1:10" ht="20.100000000000001" customHeight="1" x14ac:dyDescent="0.25">
      <c r="A45" s="2" t="s">
        <v>529</v>
      </c>
      <c r="B45" s="30"/>
      <c r="C45" s="30"/>
      <c r="D45" s="30"/>
      <c r="E45" s="64" t="s">
        <v>321</v>
      </c>
      <c r="F45" s="33" t="s">
        <v>38</v>
      </c>
      <c r="G45" s="30"/>
      <c r="H45" s="30"/>
      <c r="I45" s="30"/>
      <c r="J45" s="45"/>
    </row>
    <row r="46" spans="1:10" ht="20.100000000000001" customHeight="1" x14ac:dyDescent="0.25">
      <c r="A46" s="74" t="s">
        <v>408</v>
      </c>
      <c r="B46" s="150"/>
      <c r="C46" s="74" t="s">
        <v>29</v>
      </c>
      <c r="D46" s="151"/>
      <c r="E46" s="150"/>
      <c r="F46" s="31" t="s">
        <v>301</v>
      </c>
      <c r="G46" s="74" t="s">
        <v>323</v>
      </c>
      <c r="H46" s="75"/>
      <c r="I46" s="31" t="s">
        <v>302</v>
      </c>
      <c r="J46" s="45"/>
    </row>
    <row r="47" spans="1:10" ht="43.5" customHeight="1" x14ac:dyDescent="0.25">
      <c r="A47" s="99" t="s">
        <v>409</v>
      </c>
      <c r="B47" s="100"/>
      <c r="C47" s="99" t="s">
        <v>410</v>
      </c>
      <c r="D47" s="101"/>
      <c r="E47" s="100"/>
      <c r="F47" s="34" t="s">
        <v>27</v>
      </c>
      <c r="G47" s="92"/>
      <c r="H47" s="93"/>
      <c r="I47" s="32"/>
      <c r="J47" s="45" t="s">
        <v>411</v>
      </c>
    </row>
    <row r="48" spans="1:10" ht="57" customHeight="1" x14ac:dyDescent="0.25">
      <c r="A48" s="99" t="s">
        <v>412</v>
      </c>
      <c r="B48" s="100"/>
      <c r="C48" s="99" t="s">
        <v>413</v>
      </c>
      <c r="D48" s="101"/>
      <c r="E48" s="100"/>
      <c r="F48" s="34" t="s">
        <v>27</v>
      </c>
      <c r="G48" s="92"/>
      <c r="H48" s="93"/>
      <c r="I48" s="32"/>
      <c r="J48" s="45" t="s">
        <v>414</v>
      </c>
    </row>
    <row r="49" spans="1:10" ht="63.75" customHeight="1" x14ac:dyDescent="0.25">
      <c r="A49" s="99" t="s">
        <v>415</v>
      </c>
      <c r="B49" s="100"/>
      <c r="C49" s="99" t="s">
        <v>416</v>
      </c>
      <c r="D49" s="101"/>
      <c r="E49" s="100"/>
      <c r="F49" s="34" t="s">
        <v>38</v>
      </c>
      <c r="G49" s="92" t="s">
        <v>417</v>
      </c>
      <c r="H49" s="93"/>
      <c r="I49" s="32"/>
      <c r="J49" s="45" t="s">
        <v>418</v>
      </c>
    </row>
    <row r="50" spans="1:10" ht="65.25" customHeight="1" x14ac:dyDescent="0.25">
      <c r="A50" s="99" t="s">
        <v>419</v>
      </c>
      <c r="B50" s="100"/>
      <c r="C50" s="99" t="s">
        <v>420</v>
      </c>
      <c r="D50" s="101"/>
      <c r="E50" s="100"/>
      <c r="F50" s="34" t="s">
        <v>38</v>
      </c>
      <c r="G50" s="92"/>
      <c r="H50" s="93"/>
      <c r="I50" s="32"/>
      <c r="J50" s="45" t="s">
        <v>421</v>
      </c>
    </row>
    <row r="51" spans="1:10" ht="54.75" customHeight="1" x14ac:dyDescent="0.25">
      <c r="A51" s="99" t="s">
        <v>422</v>
      </c>
      <c r="B51" s="100"/>
      <c r="C51" s="99" t="s">
        <v>423</v>
      </c>
      <c r="D51" s="101"/>
      <c r="E51" s="100"/>
      <c r="F51" s="34" t="s">
        <v>27</v>
      </c>
      <c r="G51" s="92" t="s">
        <v>424</v>
      </c>
      <c r="H51" s="93"/>
      <c r="I51" s="32"/>
      <c r="J51" s="45" t="s">
        <v>425</v>
      </c>
    </row>
    <row r="52" spans="1:10" ht="42.75" customHeight="1" x14ac:dyDescent="0.25">
      <c r="A52" s="99" t="s">
        <v>426</v>
      </c>
      <c r="B52" s="100"/>
      <c r="C52" s="99"/>
      <c r="D52" s="101"/>
      <c r="E52" s="100"/>
      <c r="F52" s="34" t="s">
        <v>38</v>
      </c>
      <c r="G52" s="92"/>
      <c r="H52" s="93"/>
      <c r="I52" s="32"/>
      <c r="J52" s="45"/>
    </row>
    <row r="53" spans="1:10" ht="61.5" customHeight="1" x14ac:dyDescent="0.25">
      <c r="A53" s="74" t="s">
        <v>427</v>
      </c>
      <c r="B53" s="75"/>
      <c r="C53" s="179"/>
      <c r="D53" s="180"/>
      <c r="E53" s="180"/>
      <c r="F53" s="180"/>
      <c r="G53" s="180"/>
      <c r="H53" s="180"/>
      <c r="I53" s="181"/>
      <c r="J53" s="45" t="s">
        <v>428</v>
      </c>
    </row>
    <row r="54" spans="1:10" ht="27" customHeight="1" x14ac:dyDescent="0.25">
      <c r="A54" s="74" t="s">
        <v>308</v>
      </c>
      <c r="B54" s="75"/>
      <c r="C54" s="179"/>
      <c r="D54" s="180"/>
      <c r="E54" s="180"/>
      <c r="F54" s="180"/>
      <c r="G54" s="180"/>
      <c r="H54" s="180"/>
      <c r="I54" s="181"/>
      <c r="J54" s="45"/>
    </row>
    <row r="55" spans="1:10" ht="20.100000000000001" customHeight="1" x14ac:dyDescent="0.25">
      <c r="A55" s="5" t="s">
        <v>429</v>
      </c>
      <c r="B55" s="30"/>
      <c r="C55" s="30"/>
      <c r="D55" s="30"/>
      <c r="E55" s="30"/>
      <c r="F55" s="30"/>
      <c r="G55" s="30"/>
      <c r="H55" s="30"/>
      <c r="I55" s="30"/>
      <c r="J55" s="45"/>
    </row>
    <row r="56" spans="1:10" ht="20.100000000000001" customHeight="1" x14ac:dyDescent="0.25">
      <c r="A56" s="78" t="s">
        <v>520</v>
      </c>
      <c r="B56" s="78"/>
      <c r="C56" s="78"/>
      <c r="D56" s="78"/>
      <c r="E56" s="78"/>
      <c r="F56" s="78"/>
      <c r="G56" s="78"/>
      <c r="H56" s="78"/>
      <c r="I56" s="78"/>
      <c r="J56" s="45"/>
    </row>
    <row r="57" spans="1:10" ht="20.100000000000001" customHeight="1" x14ac:dyDescent="0.25">
      <c r="A57" s="102"/>
      <c r="B57" s="102"/>
      <c r="C57" s="102"/>
      <c r="D57" s="102"/>
      <c r="E57" s="102"/>
      <c r="F57" s="102"/>
      <c r="G57" s="102"/>
      <c r="H57" s="102"/>
      <c r="I57" s="102"/>
      <c r="J57" s="45"/>
    </row>
    <row r="58" spans="1:10" ht="20.100000000000001" customHeight="1" x14ac:dyDescent="0.25">
      <c r="A58" s="78" t="s">
        <v>521</v>
      </c>
      <c r="B58" s="78"/>
      <c r="C58" s="78"/>
      <c r="D58" s="78"/>
      <c r="E58" s="78"/>
      <c r="F58" s="78"/>
      <c r="G58" s="78"/>
      <c r="H58" s="78"/>
      <c r="I58" s="78"/>
      <c r="J58" s="45"/>
    </row>
    <row r="59" spans="1:10" ht="25.2" customHeight="1" x14ac:dyDescent="0.25">
      <c r="A59" s="98"/>
      <c r="B59" s="98"/>
      <c r="C59" s="98"/>
      <c r="D59" s="98"/>
      <c r="E59" s="98"/>
      <c r="F59" s="98"/>
      <c r="G59" s="98"/>
      <c r="H59" s="98"/>
      <c r="I59" s="98"/>
      <c r="J59" s="45"/>
    </row>
    <row r="60" spans="1:10" s="40" customFormat="1" ht="18" customHeight="1" x14ac:dyDescent="0.25">
      <c r="A60" s="68" t="s">
        <v>534</v>
      </c>
      <c r="J60" s="41"/>
    </row>
    <row r="61" spans="1:10" s="40" customFormat="1" ht="18" customHeight="1" x14ac:dyDescent="0.25">
      <c r="A61" s="27" t="s">
        <v>430</v>
      </c>
      <c r="J61" s="41"/>
    </row>
    <row r="62" spans="1:10" s="40" customFormat="1" ht="18" customHeight="1" x14ac:dyDescent="0.25">
      <c r="A62" s="27" t="s">
        <v>431</v>
      </c>
      <c r="J62" s="41"/>
    </row>
    <row r="63" spans="1:10" s="40" customFormat="1" ht="18" customHeight="1" x14ac:dyDescent="0.25">
      <c r="A63" s="1"/>
      <c r="J63" s="41"/>
    </row>
    <row r="64" spans="1:10" s="40" customFormat="1" ht="18" customHeight="1" x14ac:dyDescent="0.25">
      <c r="A64" s="1"/>
      <c r="J64" s="41"/>
    </row>
    <row r="65" spans="1:10" s="40" customFormat="1" ht="18" customHeight="1" x14ac:dyDescent="0.25">
      <c r="A65" s="1"/>
      <c r="J65" s="41"/>
    </row>
    <row r="66" spans="1:10" s="40" customFormat="1" ht="18" customHeight="1" x14ac:dyDescent="0.25">
      <c r="A66" s="1"/>
      <c r="J66" s="41"/>
    </row>
    <row r="67" spans="1:10" s="40" customFormat="1" ht="18" customHeight="1" x14ac:dyDescent="0.25">
      <c r="A67" s="1"/>
      <c r="J67" s="41"/>
    </row>
  </sheetData>
  <mergeCells count="80">
    <mergeCell ref="A56:I56"/>
    <mergeCell ref="A57:I57"/>
    <mergeCell ref="A58:I58"/>
    <mergeCell ref="A59:I59"/>
    <mergeCell ref="A52:B52"/>
    <mergeCell ref="C52:E52"/>
    <mergeCell ref="G52:H52"/>
    <mergeCell ref="A53:B53"/>
    <mergeCell ref="C53:I53"/>
    <mergeCell ref="A54:B54"/>
    <mergeCell ref="C54:I54"/>
    <mergeCell ref="A50:B50"/>
    <mergeCell ref="C50:E50"/>
    <mergeCell ref="G50:H50"/>
    <mergeCell ref="A51:B51"/>
    <mergeCell ref="C51:E51"/>
    <mergeCell ref="G51:H51"/>
    <mergeCell ref="A48:B48"/>
    <mergeCell ref="C48:E48"/>
    <mergeCell ref="G48:H48"/>
    <mergeCell ref="A49:B49"/>
    <mergeCell ref="C49:E49"/>
    <mergeCell ref="G49:H49"/>
    <mergeCell ref="A46:B46"/>
    <mergeCell ref="C46:E46"/>
    <mergeCell ref="G46:H46"/>
    <mergeCell ref="A47:B47"/>
    <mergeCell ref="C47:E47"/>
    <mergeCell ref="G47:H47"/>
    <mergeCell ref="B40:C40"/>
    <mergeCell ref="A42:A43"/>
    <mergeCell ref="B42:C42"/>
    <mergeCell ref="J42:J43"/>
    <mergeCell ref="B43:C43"/>
    <mergeCell ref="B35:C35"/>
    <mergeCell ref="B36:C36"/>
    <mergeCell ref="B37:C37"/>
    <mergeCell ref="B39:C39"/>
    <mergeCell ref="B38:C38"/>
    <mergeCell ref="A30:C30"/>
    <mergeCell ref="A31:C31"/>
    <mergeCell ref="I19:I20"/>
    <mergeCell ref="A20:C20"/>
    <mergeCell ref="D20:E20"/>
    <mergeCell ref="A21:B21"/>
    <mergeCell ref="C21:I21"/>
    <mergeCell ref="A24:C24"/>
    <mergeCell ref="A25:C25"/>
    <mergeCell ref="A26:C26"/>
    <mergeCell ref="A27:C27"/>
    <mergeCell ref="A28:C28"/>
    <mergeCell ref="A29:C29"/>
    <mergeCell ref="D31:I31"/>
    <mergeCell ref="A18:C18"/>
    <mergeCell ref="D18:E18"/>
    <mergeCell ref="F18:H18"/>
    <mergeCell ref="A19:C19"/>
    <mergeCell ref="D19:E19"/>
    <mergeCell ref="F19:H20"/>
    <mergeCell ref="A15:B15"/>
    <mergeCell ref="C15:I15"/>
    <mergeCell ref="A11:B11"/>
    <mergeCell ref="C11:E11"/>
    <mergeCell ref="G11:H11"/>
    <mergeCell ref="A12:B12"/>
    <mergeCell ref="C12:E12"/>
    <mergeCell ref="G12:H12"/>
    <mergeCell ref="A13:B13"/>
    <mergeCell ref="C13:E13"/>
    <mergeCell ref="G13:H13"/>
    <mergeCell ref="A14:B14"/>
    <mergeCell ref="C14:I14"/>
    <mergeCell ref="A10:B10"/>
    <mergeCell ref="C10:E10"/>
    <mergeCell ref="G10:H10"/>
    <mergeCell ref="A1:I1"/>
    <mergeCell ref="A2:I2"/>
    <mergeCell ref="A5:I5"/>
    <mergeCell ref="A6:I6"/>
    <mergeCell ref="A7:I7"/>
  </mergeCells>
  <phoneticPr fontId="4" type="noConversion"/>
  <dataValidations count="1">
    <dataValidation type="list" allowBlank="1" showInputMessage="1" showErrorMessage="1" sqref="F47:F52 F17 F23 F34 F45 F11:F13">
      <formula1>"是,否"</formula1>
    </dataValidation>
  </dataValidations>
  <printOptions horizontalCentered="1"/>
  <pageMargins left="0.7" right="0.7" top="0.75" bottom="0.75" header="0.3" footer="0.3"/>
  <pageSetup paperSize="9" scale="70" fitToHeight="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view="pageBreakPreview" zoomScaleNormal="100" zoomScaleSheetLayoutView="100" workbookViewId="0">
      <selection sqref="A1:I1"/>
    </sheetView>
  </sheetViews>
  <sheetFormatPr defaultColWidth="9" defaultRowHeight="20.100000000000001" customHeight="1" x14ac:dyDescent="0.15"/>
  <cols>
    <col min="1" max="2" width="14.77734375" style="43" customWidth="1"/>
    <col min="3" max="4" width="9" style="43"/>
    <col min="5" max="5" width="23.21875" style="43" customWidth="1"/>
    <col min="6" max="8" width="9" style="43"/>
    <col min="9" max="9" width="15" style="43" customWidth="1"/>
    <col min="10" max="10" width="41" style="43" customWidth="1"/>
    <col min="11" max="16384" width="9" style="43"/>
  </cols>
  <sheetData>
    <row r="1" spans="1:10" ht="20.100000000000001" customHeight="1" x14ac:dyDescent="0.15">
      <c r="A1" s="76" t="s">
        <v>517</v>
      </c>
      <c r="B1" s="76"/>
      <c r="C1" s="76"/>
      <c r="D1" s="76"/>
      <c r="E1" s="76"/>
      <c r="F1" s="76"/>
      <c r="G1" s="76"/>
      <c r="H1" s="76"/>
      <c r="I1" s="76"/>
      <c r="J1" s="4"/>
    </row>
    <row r="2" spans="1:10" ht="20.100000000000001" customHeight="1" x14ac:dyDescent="0.15">
      <c r="A2" s="106" t="s">
        <v>432</v>
      </c>
      <c r="B2" s="77"/>
      <c r="C2" s="77"/>
      <c r="D2" s="77"/>
      <c r="E2" s="77"/>
      <c r="F2" s="77"/>
      <c r="G2" s="77"/>
      <c r="H2" s="77"/>
      <c r="I2" s="77"/>
      <c r="J2" s="4"/>
    </row>
    <row r="3" spans="1:10" ht="20.100000000000001" customHeight="1" x14ac:dyDescent="0.15">
      <c r="A3" s="71" t="str">
        <f>[4]底稿目录!$A$2</f>
        <v>被审计单位：</v>
      </c>
      <c r="B3" s="1"/>
      <c r="C3" s="1"/>
      <c r="D3" s="71" t="str">
        <f>[4]底稿目录!$A$4</f>
        <v>编制人：</v>
      </c>
      <c r="E3" s="1"/>
      <c r="F3" s="71" t="str">
        <f>[4]底稿目录!$A$5</f>
        <v>编制日期：</v>
      </c>
      <c r="G3" s="1"/>
      <c r="H3" s="44" t="s">
        <v>523</v>
      </c>
      <c r="I3" s="1" t="s">
        <v>524</v>
      </c>
      <c r="J3" s="4"/>
    </row>
    <row r="4" spans="1:10" ht="20.100000000000001" customHeight="1" x14ac:dyDescent="0.15">
      <c r="A4" s="71" t="str">
        <f>[4]底稿目录!$A$3</f>
        <v>会计期间：202X年度</v>
      </c>
      <c r="B4" s="1"/>
      <c r="C4" s="1"/>
      <c r="D4" s="71" t="str">
        <f>[4]底稿目录!$A$6</f>
        <v>复核人：</v>
      </c>
      <c r="E4" s="1"/>
      <c r="F4" s="71" t="str">
        <f>[4]底稿目录!$A$7</f>
        <v>复核日期：</v>
      </c>
      <c r="G4" s="1"/>
      <c r="H4" s="44" t="s">
        <v>1</v>
      </c>
      <c r="I4" s="1"/>
      <c r="J4" s="4"/>
    </row>
    <row r="5" spans="1:10" ht="20.100000000000001" customHeight="1" x14ac:dyDescent="0.15">
      <c r="A5" s="78" t="s">
        <v>518</v>
      </c>
      <c r="B5" s="78"/>
      <c r="C5" s="78"/>
      <c r="D5" s="78"/>
      <c r="E5" s="78"/>
      <c r="F5" s="78"/>
      <c r="G5" s="78"/>
      <c r="H5" s="78"/>
      <c r="I5" s="78"/>
      <c r="J5" s="4"/>
    </row>
    <row r="6" spans="1:10" ht="20.100000000000001" customHeight="1" x14ac:dyDescent="0.15">
      <c r="A6" s="79" t="s">
        <v>433</v>
      </c>
      <c r="B6" s="79"/>
      <c r="C6" s="79"/>
      <c r="D6" s="79"/>
      <c r="E6" s="79"/>
      <c r="F6" s="79"/>
      <c r="G6" s="79"/>
      <c r="H6" s="79"/>
      <c r="I6" s="79"/>
      <c r="J6" s="45" t="s">
        <v>434</v>
      </c>
    </row>
    <row r="7" spans="1:10" ht="20.100000000000001" customHeight="1" x14ac:dyDescent="0.15">
      <c r="A7" s="78" t="s">
        <v>519</v>
      </c>
      <c r="B7" s="78"/>
      <c r="C7" s="78"/>
      <c r="D7" s="78"/>
      <c r="E7" s="78"/>
      <c r="F7" s="78"/>
      <c r="G7" s="78"/>
      <c r="H7" s="78"/>
      <c r="I7" s="78"/>
      <c r="J7" s="45"/>
    </row>
    <row r="8" spans="1:10" ht="20.100000000000001" customHeight="1" x14ac:dyDescent="0.15">
      <c r="A8" s="5" t="s">
        <v>435</v>
      </c>
      <c r="B8" s="30"/>
      <c r="C8" s="30"/>
      <c r="D8" s="30"/>
      <c r="E8" s="30"/>
      <c r="F8" s="30"/>
      <c r="G8" s="30"/>
      <c r="H8" s="30"/>
      <c r="I8" s="30"/>
      <c r="J8" s="45"/>
    </row>
    <row r="9" spans="1:10" ht="20.100000000000001" customHeight="1" x14ac:dyDescent="0.15">
      <c r="A9" s="2" t="s">
        <v>436</v>
      </c>
      <c r="B9" s="30"/>
      <c r="C9" s="30"/>
      <c r="D9" s="30"/>
      <c r="E9" s="30"/>
      <c r="F9" s="30"/>
      <c r="G9" s="30"/>
      <c r="H9" s="30"/>
      <c r="I9" s="30"/>
      <c r="J9" s="45"/>
    </row>
    <row r="10" spans="1:10" ht="28.8" customHeight="1" x14ac:dyDescent="0.15">
      <c r="A10" s="182" t="s">
        <v>437</v>
      </c>
      <c r="B10" s="183"/>
      <c r="C10" s="183"/>
      <c r="D10" s="183"/>
      <c r="E10" s="183"/>
      <c r="F10" s="183"/>
      <c r="G10" s="183"/>
      <c r="H10" s="183"/>
      <c r="I10" s="184"/>
      <c r="J10" s="45" t="s">
        <v>438</v>
      </c>
    </row>
    <row r="11" spans="1:10" ht="20.100000000000001" customHeight="1" x14ac:dyDescent="0.15">
      <c r="A11" s="5" t="s">
        <v>439</v>
      </c>
      <c r="B11" s="30"/>
      <c r="C11" s="30"/>
      <c r="D11" s="30"/>
      <c r="E11" s="30"/>
      <c r="F11" s="30"/>
      <c r="G11" s="30"/>
      <c r="H11" s="30"/>
      <c r="I11" s="30"/>
      <c r="J11" s="45"/>
    </row>
    <row r="12" spans="1:10" ht="20.100000000000001" customHeight="1" x14ac:dyDescent="0.15">
      <c r="A12" s="5"/>
      <c r="B12" s="30"/>
      <c r="C12" s="30"/>
      <c r="D12" s="30"/>
      <c r="E12" s="30"/>
      <c r="F12" s="30"/>
      <c r="G12" s="30"/>
      <c r="H12" s="30"/>
      <c r="I12" s="30"/>
      <c r="J12" s="45"/>
    </row>
    <row r="13" spans="1:10" ht="20.100000000000001" customHeight="1" x14ac:dyDescent="0.15">
      <c r="A13" s="2" t="s">
        <v>440</v>
      </c>
      <c r="B13" s="30"/>
      <c r="C13" s="30"/>
      <c r="D13" s="30"/>
      <c r="E13" s="30"/>
      <c r="F13" s="30"/>
      <c r="G13" s="30"/>
      <c r="H13" s="30"/>
      <c r="I13" s="30"/>
      <c r="J13" s="45"/>
    </row>
    <row r="14" spans="1:10" ht="20.100000000000001" customHeight="1" x14ac:dyDescent="0.15">
      <c r="A14" s="2" t="s">
        <v>441</v>
      </c>
      <c r="B14" s="30"/>
      <c r="C14" s="30"/>
      <c r="D14" s="30"/>
      <c r="E14" s="30"/>
      <c r="F14" s="30"/>
      <c r="G14" s="30"/>
      <c r="H14" s="30"/>
      <c r="I14" s="30"/>
      <c r="J14" s="45"/>
    </row>
    <row r="15" spans="1:10" ht="20.100000000000001" customHeight="1" x14ac:dyDescent="0.15">
      <c r="A15" s="74" t="s">
        <v>442</v>
      </c>
      <c r="B15" s="150"/>
      <c r="C15" s="74" t="s">
        <v>29</v>
      </c>
      <c r="D15" s="151"/>
      <c r="E15" s="150"/>
      <c r="F15" s="31" t="s">
        <v>443</v>
      </c>
      <c r="G15" s="74" t="s">
        <v>444</v>
      </c>
      <c r="H15" s="75"/>
      <c r="I15" s="31" t="s">
        <v>195</v>
      </c>
      <c r="J15" s="45"/>
    </row>
    <row r="16" spans="1:10" ht="54.75" customHeight="1" x14ac:dyDescent="0.15">
      <c r="A16" s="99" t="s">
        <v>445</v>
      </c>
      <c r="B16" s="100"/>
      <c r="C16" s="99" t="s">
        <v>446</v>
      </c>
      <c r="D16" s="101"/>
      <c r="E16" s="100"/>
      <c r="F16" s="34"/>
      <c r="G16" s="92"/>
      <c r="H16" s="93"/>
      <c r="I16" s="32"/>
      <c r="J16" s="45" t="s">
        <v>447</v>
      </c>
    </row>
    <row r="17" spans="1:10" ht="68.25" customHeight="1" x14ac:dyDescent="0.15">
      <c r="A17" s="99" t="s">
        <v>448</v>
      </c>
      <c r="B17" s="100"/>
      <c r="C17" s="99" t="s">
        <v>449</v>
      </c>
      <c r="D17" s="101"/>
      <c r="E17" s="100"/>
      <c r="F17" s="34"/>
      <c r="G17" s="92"/>
      <c r="H17" s="93"/>
      <c r="I17" s="32"/>
      <c r="J17" s="45" t="s">
        <v>450</v>
      </c>
    </row>
    <row r="18" spans="1:10" ht="54" customHeight="1" x14ac:dyDescent="0.15">
      <c r="A18" s="99" t="s">
        <v>451</v>
      </c>
      <c r="B18" s="100"/>
      <c r="C18" s="99" t="s">
        <v>452</v>
      </c>
      <c r="D18" s="101"/>
      <c r="E18" s="100"/>
      <c r="F18" s="34"/>
      <c r="G18" s="92"/>
      <c r="H18" s="93"/>
      <c r="I18" s="32"/>
      <c r="J18" s="45"/>
    </row>
    <row r="19" spans="1:10" ht="20.100000000000001" customHeight="1" x14ac:dyDescent="0.15">
      <c r="A19" s="74" t="s">
        <v>453</v>
      </c>
      <c r="B19" s="75"/>
      <c r="C19" s="87"/>
      <c r="D19" s="88"/>
      <c r="E19" s="88"/>
      <c r="F19" s="88"/>
      <c r="G19" s="88"/>
      <c r="H19" s="88"/>
      <c r="I19" s="89"/>
      <c r="J19" s="45"/>
    </row>
    <row r="20" spans="1:10" ht="20.100000000000001" customHeight="1" x14ac:dyDescent="0.15">
      <c r="A20" s="74" t="s">
        <v>149</v>
      </c>
      <c r="B20" s="75"/>
      <c r="C20" s="152"/>
      <c r="D20" s="153"/>
      <c r="E20" s="153"/>
      <c r="F20" s="153"/>
      <c r="G20" s="153"/>
      <c r="H20" s="153"/>
      <c r="I20" s="154"/>
      <c r="J20" s="45"/>
    </row>
    <row r="21" spans="1:10" ht="20.100000000000001" customHeight="1" x14ac:dyDescent="0.15">
      <c r="A21" s="5" t="s">
        <v>454</v>
      </c>
      <c r="B21" s="30"/>
      <c r="C21" s="30"/>
      <c r="D21" s="30"/>
      <c r="E21" s="30"/>
      <c r="F21" s="30"/>
      <c r="G21" s="30"/>
      <c r="H21" s="30"/>
      <c r="I21" s="30"/>
      <c r="J21" s="45" t="s">
        <v>535</v>
      </c>
    </row>
    <row r="22" spans="1:10" ht="20.100000000000001" customHeight="1" x14ac:dyDescent="0.15">
      <c r="A22" s="5"/>
      <c r="B22" s="30"/>
      <c r="C22" s="30"/>
      <c r="D22" s="30"/>
      <c r="E22" s="30"/>
      <c r="F22" s="30"/>
      <c r="G22" s="30"/>
      <c r="H22" s="30"/>
      <c r="I22" s="30"/>
      <c r="J22" s="45"/>
    </row>
    <row r="23" spans="1:10" ht="20.100000000000001" customHeight="1" x14ac:dyDescent="0.15">
      <c r="A23" s="2" t="s">
        <v>455</v>
      </c>
      <c r="B23" s="30"/>
      <c r="C23" s="30"/>
      <c r="D23" s="30"/>
      <c r="E23" s="64"/>
      <c r="F23" s="33"/>
      <c r="G23" s="30"/>
      <c r="H23" s="30"/>
      <c r="I23" s="30"/>
      <c r="J23" s="45"/>
    </row>
    <row r="24" spans="1:10" ht="20.100000000000001" customHeight="1" x14ac:dyDescent="0.15">
      <c r="A24" s="74" t="s">
        <v>456</v>
      </c>
      <c r="B24" s="150"/>
      <c r="C24" s="74" t="s">
        <v>29</v>
      </c>
      <c r="D24" s="151"/>
      <c r="E24" s="150"/>
      <c r="F24" s="31" t="s">
        <v>443</v>
      </c>
      <c r="G24" s="74" t="s">
        <v>444</v>
      </c>
      <c r="H24" s="75"/>
      <c r="I24" s="31" t="s">
        <v>195</v>
      </c>
      <c r="J24" s="45"/>
    </row>
    <row r="25" spans="1:10" ht="60.75" customHeight="1" x14ac:dyDescent="0.15">
      <c r="A25" s="99" t="s">
        <v>457</v>
      </c>
      <c r="B25" s="100"/>
      <c r="C25" s="99" t="s">
        <v>458</v>
      </c>
      <c r="D25" s="101"/>
      <c r="E25" s="100"/>
      <c r="F25" s="34"/>
      <c r="G25" s="92"/>
      <c r="H25" s="93"/>
      <c r="I25" s="32"/>
      <c r="J25" s="45" t="s">
        <v>459</v>
      </c>
    </row>
    <row r="26" spans="1:10" ht="72" customHeight="1" x14ac:dyDescent="0.15">
      <c r="A26" s="99" t="s">
        <v>460</v>
      </c>
      <c r="B26" s="100"/>
      <c r="C26" s="99" t="s">
        <v>461</v>
      </c>
      <c r="D26" s="101"/>
      <c r="E26" s="100"/>
      <c r="F26" s="34"/>
      <c r="G26" s="92"/>
      <c r="H26" s="93"/>
      <c r="I26" s="32"/>
      <c r="J26" s="45" t="s">
        <v>462</v>
      </c>
    </row>
    <row r="27" spans="1:10" ht="60.75" customHeight="1" x14ac:dyDescent="0.15">
      <c r="A27" s="99" t="s">
        <v>463</v>
      </c>
      <c r="B27" s="100"/>
      <c r="C27" s="99" t="s">
        <v>464</v>
      </c>
      <c r="D27" s="101"/>
      <c r="E27" s="100"/>
      <c r="F27" s="34"/>
      <c r="G27" s="92"/>
      <c r="H27" s="93"/>
      <c r="I27" s="32"/>
      <c r="J27" s="45" t="s">
        <v>465</v>
      </c>
    </row>
    <row r="28" spans="1:10" ht="20.100000000000001" customHeight="1" x14ac:dyDescent="0.15">
      <c r="A28" s="99" t="s">
        <v>466</v>
      </c>
      <c r="B28" s="100"/>
      <c r="C28" s="99" t="s">
        <v>467</v>
      </c>
      <c r="D28" s="101"/>
      <c r="E28" s="100"/>
      <c r="F28" s="34"/>
      <c r="G28" s="92"/>
      <c r="H28" s="93"/>
      <c r="I28" s="32"/>
      <c r="J28" s="45" t="s">
        <v>468</v>
      </c>
    </row>
    <row r="29" spans="1:10" ht="20.100000000000001" customHeight="1" x14ac:dyDescent="0.15">
      <c r="A29" s="74" t="s">
        <v>453</v>
      </c>
      <c r="B29" s="75"/>
      <c r="C29" s="179"/>
      <c r="D29" s="180"/>
      <c r="E29" s="180"/>
      <c r="F29" s="180"/>
      <c r="G29" s="180"/>
      <c r="H29" s="180"/>
      <c r="I29" s="181"/>
      <c r="J29" s="45" t="s">
        <v>469</v>
      </c>
    </row>
    <row r="30" spans="1:10" ht="20.100000000000001" customHeight="1" x14ac:dyDescent="0.15">
      <c r="A30" s="74" t="s">
        <v>149</v>
      </c>
      <c r="B30" s="75"/>
      <c r="C30" s="179"/>
      <c r="D30" s="180"/>
      <c r="E30" s="180"/>
      <c r="F30" s="180"/>
      <c r="G30" s="180"/>
      <c r="H30" s="180"/>
      <c r="I30" s="181"/>
      <c r="J30" s="4"/>
    </row>
    <row r="31" spans="1:10" ht="20.100000000000001" customHeight="1" x14ac:dyDescent="0.15">
      <c r="A31" s="5" t="s">
        <v>470</v>
      </c>
      <c r="B31" s="30"/>
      <c r="C31" s="30"/>
      <c r="D31" s="30"/>
      <c r="E31" s="30"/>
      <c r="F31" s="30"/>
      <c r="G31" s="30"/>
      <c r="H31" s="30"/>
      <c r="I31" s="30"/>
      <c r="J31" s="4"/>
    </row>
    <row r="32" spans="1:10" ht="20.100000000000001" customHeight="1" x14ac:dyDescent="0.15">
      <c r="A32" s="5"/>
      <c r="B32" s="30"/>
      <c r="C32" s="30"/>
      <c r="D32" s="30"/>
      <c r="E32" s="30"/>
      <c r="F32" s="30"/>
      <c r="G32" s="30"/>
      <c r="H32" s="30"/>
      <c r="I32" s="30"/>
      <c r="J32" s="4"/>
    </row>
    <row r="33" spans="1:10" ht="20.100000000000001" customHeight="1" x14ac:dyDescent="0.15">
      <c r="A33" s="78" t="s">
        <v>520</v>
      </c>
      <c r="B33" s="78"/>
      <c r="C33" s="78"/>
      <c r="D33" s="78"/>
      <c r="E33" s="78"/>
      <c r="F33" s="78"/>
      <c r="G33" s="78"/>
      <c r="H33" s="78"/>
      <c r="I33" s="78"/>
      <c r="J33" s="4"/>
    </row>
    <row r="34" spans="1:10" ht="20.100000000000001" customHeight="1" x14ac:dyDescent="0.15">
      <c r="A34" s="102"/>
      <c r="B34" s="102"/>
      <c r="C34" s="102"/>
      <c r="D34" s="102"/>
      <c r="E34" s="102"/>
      <c r="F34" s="102"/>
      <c r="G34" s="102"/>
      <c r="H34" s="102"/>
      <c r="I34" s="102"/>
      <c r="J34" s="4"/>
    </row>
    <row r="35" spans="1:10" ht="20.100000000000001" customHeight="1" x14ac:dyDescent="0.15">
      <c r="A35" s="38"/>
      <c r="B35" s="38"/>
      <c r="C35" s="38"/>
      <c r="D35" s="38"/>
      <c r="E35" s="38"/>
      <c r="F35" s="38"/>
      <c r="G35" s="38"/>
      <c r="H35" s="38"/>
      <c r="J35" s="4"/>
    </row>
    <row r="36" spans="1:10" ht="20.100000000000001" customHeight="1" x14ac:dyDescent="0.15">
      <c r="A36" s="78" t="s">
        <v>521</v>
      </c>
      <c r="B36" s="78"/>
      <c r="C36" s="78"/>
      <c r="D36" s="78"/>
      <c r="E36" s="78"/>
      <c r="F36" s="78"/>
      <c r="G36" s="78"/>
      <c r="H36" s="78"/>
      <c r="I36" s="78"/>
      <c r="J36" s="4"/>
    </row>
    <row r="37" spans="1:10" ht="20.100000000000001" customHeight="1" x14ac:dyDescent="0.15">
      <c r="A37" s="98"/>
      <c r="B37" s="98"/>
      <c r="C37" s="98"/>
      <c r="D37" s="98"/>
      <c r="E37" s="98"/>
      <c r="F37" s="98"/>
      <c r="G37" s="98"/>
      <c r="H37" s="98"/>
      <c r="I37" s="98"/>
      <c r="J37" s="4"/>
    </row>
    <row r="38" spans="1:10" ht="20.100000000000001" customHeight="1" x14ac:dyDescent="0.15">
      <c r="A38" s="1"/>
      <c r="B38" s="1"/>
      <c r="C38" s="1"/>
      <c r="D38" s="1"/>
      <c r="E38" s="1"/>
      <c r="F38" s="1"/>
      <c r="G38" s="1"/>
      <c r="H38" s="1"/>
      <c r="I38" s="1"/>
      <c r="J38" s="42"/>
    </row>
    <row r="39" spans="1:10" ht="20.100000000000001" customHeight="1" x14ac:dyDescent="0.15">
      <c r="A39" s="68" t="s">
        <v>536</v>
      </c>
      <c r="B39" s="40"/>
      <c r="C39" s="40"/>
      <c r="D39" s="40"/>
      <c r="E39" s="40"/>
      <c r="F39" s="40"/>
      <c r="G39" s="40"/>
      <c r="H39" s="40"/>
      <c r="I39" s="40"/>
      <c r="J39" s="41"/>
    </row>
    <row r="40" spans="1:10" ht="20.100000000000001" customHeight="1" x14ac:dyDescent="0.15">
      <c r="A40" s="27" t="s">
        <v>471</v>
      </c>
      <c r="B40" s="40"/>
      <c r="C40" s="40"/>
      <c r="D40" s="40"/>
      <c r="E40" s="40"/>
      <c r="F40" s="40"/>
      <c r="G40" s="40"/>
      <c r="H40" s="40"/>
      <c r="I40" s="40"/>
      <c r="J40" s="41"/>
    </row>
    <row r="41" spans="1:10" ht="20.100000000000001" customHeight="1" x14ac:dyDescent="0.15">
      <c r="A41" s="27" t="s">
        <v>472</v>
      </c>
      <c r="B41" s="40"/>
      <c r="C41" s="40"/>
      <c r="D41" s="40"/>
      <c r="E41" s="40"/>
      <c r="F41" s="40"/>
      <c r="G41" s="40"/>
      <c r="H41" s="40"/>
      <c r="I41" s="40"/>
      <c r="J41" s="41"/>
    </row>
    <row r="42" spans="1:10" ht="20.100000000000001" customHeight="1" x14ac:dyDescent="0.15">
      <c r="A42" s="27" t="s">
        <v>473</v>
      </c>
      <c r="B42" s="40"/>
      <c r="C42" s="40"/>
      <c r="D42" s="40"/>
      <c r="E42" s="40"/>
      <c r="F42" s="40"/>
      <c r="G42" s="40"/>
      <c r="H42" s="40"/>
      <c r="I42" s="40"/>
      <c r="J42" s="41"/>
    </row>
    <row r="43" spans="1:10" ht="20.100000000000001" customHeight="1" x14ac:dyDescent="0.15">
      <c r="A43" s="27" t="s">
        <v>474</v>
      </c>
      <c r="B43" s="40"/>
      <c r="C43" s="40"/>
      <c r="D43" s="40"/>
      <c r="E43" s="40"/>
      <c r="F43" s="40"/>
      <c r="G43" s="40"/>
      <c r="H43" s="40"/>
      <c r="I43" s="40"/>
      <c r="J43" s="41"/>
    </row>
    <row r="44" spans="1:10" ht="20.100000000000001" customHeight="1" x14ac:dyDescent="0.15">
      <c r="A44" s="1"/>
      <c r="B44" s="40"/>
      <c r="C44" s="40"/>
      <c r="D44" s="40"/>
      <c r="E44" s="40"/>
      <c r="F44" s="40"/>
      <c r="G44" s="40"/>
      <c r="H44" s="40"/>
      <c r="I44" s="40"/>
      <c r="J44" s="41"/>
    </row>
  </sheetData>
  <mergeCells count="45">
    <mergeCell ref="A36:I36"/>
    <mergeCell ref="A37:I37"/>
    <mergeCell ref="A29:B29"/>
    <mergeCell ref="C29:I29"/>
    <mergeCell ref="A30:B30"/>
    <mergeCell ref="C30:I30"/>
    <mergeCell ref="A33:I33"/>
    <mergeCell ref="A34:I34"/>
    <mergeCell ref="A27:B27"/>
    <mergeCell ref="C27:E27"/>
    <mergeCell ref="G27:H27"/>
    <mergeCell ref="A28:B28"/>
    <mergeCell ref="C28:E28"/>
    <mergeCell ref="G28:H28"/>
    <mergeCell ref="A25:B25"/>
    <mergeCell ref="C25:E25"/>
    <mergeCell ref="G25:H25"/>
    <mergeCell ref="A26:B26"/>
    <mergeCell ref="C26:E26"/>
    <mergeCell ref="G26:H26"/>
    <mergeCell ref="A19:B19"/>
    <mergeCell ref="C19:I19"/>
    <mergeCell ref="A20:B20"/>
    <mergeCell ref="C20:I20"/>
    <mergeCell ref="A24:B24"/>
    <mergeCell ref="C24:E24"/>
    <mergeCell ref="G24:H24"/>
    <mergeCell ref="A17:B17"/>
    <mergeCell ref="C17:E17"/>
    <mergeCell ref="G17:H17"/>
    <mergeCell ref="A18:B18"/>
    <mergeCell ref="C18:E18"/>
    <mergeCell ref="G18:H18"/>
    <mergeCell ref="A15:B15"/>
    <mergeCell ref="C15:E15"/>
    <mergeCell ref="G15:H15"/>
    <mergeCell ref="A16:B16"/>
    <mergeCell ref="C16:E16"/>
    <mergeCell ref="G16:H16"/>
    <mergeCell ref="A10:I10"/>
    <mergeCell ref="A1:I1"/>
    <mergeCell ref="A2:I2"/>
    <mergeCell ref="A5:I5"/>
    <mergeCell ref="A6:I6"/>
    <mergeCell ref="A7:I7"/>
  </mergeCells>
  <phoneticPr fontId="4" type="noConversion"/>
  <dataValidations count="1">
    <dataValidation type="list" allowBlank="1" showInputMessage="1" showErrorMessage="1" sqref="F25:F28 F23 F16:F18">
      <formula1>"是,否"</formula1>
    </dataValidation>
  </dataValidations>
  <pageMargins left="0.70866141732283472" right="0.70866141732283472" top="0.74803149606299213" bottom="0.74803149606299213" header="0.31496062992125984" footer="0.31496062992125984"/>
  <pageSetup paperSize="9" scale="70" orientation="portrait"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5"/>
  <sheetViews>
    <sheetView view="pageBreakPreview" zoomScaleNormal="130" zoomScaleSheetLayoutView="100" workbookViewId="0">
      <selection activeCell="J11" sqref="J11"/>
    </sheetView>
  </sheetViews>
  <sheetFormatPr defaultColWidth="9" defaultRowHeight="12" x14ac:dyDescent="0.25"/>
  <cols>
    <col min="1" max="1" width="15.77734375" style="1" customWidth="1"/>
    <col min="2" max="2" width="7.33203125" style="1" customWidth="1"/>
    <col min="3" max="3" width="7.88671875" style="1" customWidth="1"/>
    <col min="4" max="4" width="10.33203125" style="1" customWidth="1"/>
    <col min="5" max="5" width="14.109375" style="1" customWidth="1"/>
    <col min="6" max="6" width="11.6640625" style="1" customWidth="1"/>
    <col min="7" max="7" width="13.6640625" style="1" customWidth="1"/>
    <col min="8" max="8" width="13.33203125" style="1" customWidth="1"/>
    <col min="9" max="9" width="12.21875" style="1" customWidth="1"/>
    <col min="10" max="10" width="54.33203125" style="42" customWidth="1"/>
    <col min="11" max="16384" width="9" style="1"/>
  </cols>
  <sheetData>
    <row r="1" spans="1:10" ht="20.100000000000001" customHeight="1" x14ac:dyDescent="0.25">
      <c r="A1" s="76" t="s">
        <v>517</v>
      </c>
      <c r="B1" s="76"/>
      <c r="C1" s="76"/>
      <c r="D1" s="76"/>
      <c r="E1" s="76"/>
      <c r="F1" s="76"/>
      <c r="G1" s="76"/>
      <c r="H1" s="76"/>
      <c r="I1" s="76"/>
      <c r="J1" s="4"/>
    </row>
    <row r="2" spans="1:10" ht="24.9" customHeight="1" x14ac:dyDescent="0.25">
      <c r="A2" s="106" t="s">
        <v>475</v>
      </c>
      <c r="B2" s="77"/>
      <c r="C2" s="77"/>
      <c r="D2" s="77"/>
      <c r="E2" s="77"/>
      <c r="F2" s="77"/>
      <c r="G2" s="77"/>
      <c r="H2" s="77"/>
      <c r="I2" s="77"/>
      <c r="J2" s="4"/>
    </row>
    <row r="3" spans="1:10" ht="20.100000000000001" customHeight="1" x14ac:dyDescent="0.25">
      <c r="A3" s="71" t="str">
        <f>[4]底稿目录!$A$2</f>
        <v>被审计单位：</v>
      </c>
      <c r="D3" s="71" t="str">
        <f>[4]底稿目录!$A$4</f>
        <v>编制人：</v>
      </c>
      <c r="F3" s="71" t="str">
        <f>[4]底稿目录!$A$5</f>
        <v>编制日期：</v>
      </c>
      <c r="H3" s="44" t="s">
        <v>523</v>
      </c>
      <c r="I3" s="46" t="s">
        <v>524</v>
      </c>
      <c r="J3" s="4"/>
    </row>
    <row r="4" spans="1:10" ht="20.100000000000001" customHeight="1" x14ac:dyDescent="0.25">
      <c r="A4" s="71" t="str">
        <f>[4]底稿目录!$A$3</f>
        <v>会计期间：202X年度</v>
      </c>
      <c r="D4" s="71" t="str">
        <f>[4]底稿目录!$A$6</f>
        <v>复核人：</v>
      </c>
      <c r="F4" s="71" t="str">
        <f>[4]底稿目录!$A$7</f>
        <v>复核日期：</v>
      </c>
      <c r="H4" s="44" t="s">
        <v>1</v>
      </c>
      <c r="J4" s="4"/>
    </row>
    <row r="5" spans="1:10" ht="20.100000000000001" customHeight="1" x14ac:dyDescent="0.25">
      <c r="A5" s="78" t="s">
        <v>518</v>
      </c>
      <c r="B5" s="78"/>
      <c r="C5" s="78"/>
      <c r="D5" s="78"/>
      <c r="E5" s="78"/>
      <c r="F5" s="78"/>
      <c r="G5" s="78"/>
      <c r="H5" s="78"/>
      <c r="I5" s="78"/>
      <c r="J5" s="185" t="s">
        <v>476</v>
      </c>
    </row>
    <row r="6" spans="1:10" ht="21" customHeight="1" x14ac:dyDescent="0.25">
      <c r="A6" s="79" t="s">
        <v>477</v>
      </c>
      <c r="B6" s="79"/>
      <c r="C6" s="79"/>
      <c r="D6" s="79"/>
      <c r="E6" s="79"/>
      <c r="F6" s="79"/>
      <c r="G6" s="79"/>
      <c r="H6" s="79"/>
      <c r="I6" s="79"/>
      <c r="J6" s="186"/>
    </row>
    <row r="7" spans="1:10" ht="20.100000000000001" customHeight="1" x14ac:dyDescent="0.25">
      <c r="A7" s="78" t="s">
        <v>519</v>
      </c>
      <c r="B7" s="78"/>
      <c r="C7" s="78"/>
      <c r="D7" s="78"/>
      <c r="E7" s="78"/>
      <c r="F7" s="78"/>
      <c r="G7" s="78"/>
      <c r="H7" s="78"/>
      <c r="I7" s="78"/>
      <c r="J7" s="45"/>
    </row>
    <row r="8" spans="1:10" ht="19.5" customHeight="1" x14ac:dyDescent="0.25">
      <c r="A8" s="5" t="s">
        <v>478</v>
      </c>
      <c r="B8" s="30"/>
      <c r="C8" s="30"/>
      <c r="D8" s="30"/>
      <c r="E8" s="30"/>
      <c r="F8" s="30"/>
      <c r="G8" s="30"/>
      <c r="H8" s="30"/>
      <c r="I8" s="30"/>
      <c r="J8" s="45"/>
    </row>
    <row r="9" spans="1:10" ht="20.100000000000001" customHeight="1" x14ac:dyDescent="0.25">
      <c r="A9" s="2" t="s">
        <v>479</v>
      </c>
      <c r="B9" s="30"/>
      <c r="C9" s="30"/>
      <c r="D9" s="30"/>
      <c r="E9" s="30"/>
      <c r="F9" s="30"/>
      <c r="G9" s="30"/>
      <c r="H9" s="30"/>
      <c r="I9" s="30"/>
      <c r="J9" s="45"/>
    </row>
    <row r="10" spans="1:10" ht="20.100000000000001" customHeight="1" x14ac:dyDescent="0.25">
      <c r="A10" s="74" t="s">
        <v>480</v>
      </c>
      <c r="B10" s="150"/>
      <c r="C10" s="74" t="s">
        <v>29</v>
      </c>
      <c r="D10" s="151"/>
      <c r="E10" s="150"/>
      <c r="F10" s="31" t="s">
        <v>443</v>
      </c>
      <c r="G10" s="74" t="s">
        <v>153</v>
      </c>
      <c r="H10" s="75"/>
      <c r="I10" s="31" t="s">
        <v>195</v>
      </c>
      <c r="J10" s="45"/>
    </row>
    <row r="11" spans="1:10" ht="63" customHeight="1" x14ac:dyDescent="0.25">
      <c r="A11" s="99" t="s">
        <v>481</v>
      </c>
      <c r="B11" s="100"/>
      <c r="C11" s="99" t="s">
        <v>482</v>
      </c>
      <c r="D11" s="101"/>
      <c r="E11" s="100"/>
      <c r="F11" s="34"/>
      <c r="G11" s="92"/>
      <c r="H11" s="93"/>
      <c r="I11" s="32"/>
      <c r="J11" s="45"/>
    </row>
    <row r="12" spans="1:10" ht="50.25" customHeight="1" x14ac:dyDescent="0.25">
      <c r="A12" s="99" t="s">
        <v>483</v>
      </c>
      <c r="B12" s="100"/>
      <c r="C12" s="99" t="s">
        <v>484</v>
      </c>
      <c r="D12" s="101"/>
      <c r="E12" s="100"/>
      <c r="F12" s="34"/>
      <c r="G12" s="92"/>
      <c r="H12" s="93"/>
      <c r="I12" s="32"/>
      <c r="J12" s="45"/>
    </row>
    <row r="13" spans="1:10" ht="27" customHeight="1" x14ac:dyDescent="0.25">
      <c r="A13" s="74" t="s">
        <v>485</v>
      </c>
      <c r="B13" s="75"/>
      <c r="C13" s="152"/>
      <c r="D13" s="153"/>
      <c r="E13" s="153"/>
      <c r="F13" s="153"/>
      <c r="G13" s="153"/>
      <c r="H13" s="153"/>
      <c r="I13" s="154"/>
      <c r="J13" s="45" t="s">
        <v>486</v>
      </c>
    </row>
    <row r="14" spans="1:10" ht="20.100000000000001" customHeight="1" x14ac:dyDescent="0.25">
      <c r="A14" s="5" t="s">
        <v>487</v>
      </c>
      <c r="B14" s="30"/>
      <c r="C14" s="30"/>
      <c r="D14" s="30"/>
      <c r="E14" s="30"/>
      <c r="F14" s="30"/>
      <c r="G14" s="30"/>
      <c r="H14" s="30"/>
      <c r="I14" s="30"/>
      <c r="J14" s="45"/>
    </row>
    <row r="15" spans="1:10" ht="20.100000000000001" customHeight="1" x14ac:dyDescent="0.25">
      <c r="A15" s="5"/>
      <c r="B15" s="30"/>
      <c r="C15" s="30"/>
      <c r="D15" s="30"/>
      <c r="E15" s="30"/>
      <c r="F15" s="30"/>
      <c r="G15" s="30"/>
      <c r="H15" s="30"/>
      <c r="I15" s="30"/>
      <c r="J15" s="45"/>
    </row>
    <row r="16" spans="1:10" ht="20.100000000000001" customHeight="1" x14ac:dyDescent="0.25">
      <c r="A16" s="2" t="s">
        <v>488</v>
      </c>
      <c r="B16" s="30"/>
      <c r="C16" s="30"/>
      <c r="D16" s="30"/>
      <c r="E16" s="64"/>
      <c r="F16" s="33"/>
      <c r="G16" s="30"/>
      <c r="H16" s="30"/>
      <c r="I16" s="30"/>
      <c r="J16" s="45"/>
    </row>
    <row r="17" spans="1:10" ht="20.100000000000001" customHeight="1" x14ac:dyDescent="0.25">
      <c r="A17" s="74" t="s">
        <v>489</v>
      </c>
      <c r="B17" s="150"/>
      <c r="C17" s="74" t="s">
        <v>29</v>
      </c>
      <c r="D17" s="151"/>
      <c r="E17" s="150"/>
      <c r="F17" s="31" t="s">
        <v>490</v>
      </c>
      <c r="G17" s="74" t="s">
        <v>153</v>
      </c>
      <c r="H17" s="75"/>
      <c r="I17" s="31" t="s">
        <v>195</v>
      </c>
      <c r="J17" s="45"/>
    </row>
    <row r="18" spans="1:10" ht="81" customHeight="1" x14ac:dyDescent="0.25">
      <c r="A18" s="99" t="s">
        <v>491</v>
      </c>
      <c r="B18" s="100"/>
      <c r="C18" s="99" t="s">
        <v>492</v>
      </c>
      <c r="D18" s="101"/>
      <c r="E18" s="100"/>
      <c r="F18" s="70" t="str">
        <f>IF(OR(F19="是",F20="是"),"是","否")</f>
        <v>否</v>
      </c>
      <c r="G18" s="92"/>
      <c r="H18" s="93"/>
      <c r="I18" s="32"/>
      <c r="J18" s="45" t="s">
        <v>493</v>
      </c>
    </row>
    <row r="19" spans="1:10" ht="81" customHeight="1" x14ac:dyDescent="0.25">
      <c r="A19" s="99" t="s">
        <v>494</v>
      </c>
      <c r="B19" s="100"/>
      <c r="C19" s="99" t="s">
        <v>495</v>
      </c>
      <c r="D19" s="101"/>
      <c r="E19" s="100"/>
      <c r="F19" s="34"/>
      <c r="G19" s="92"/>
      <c r="H19" s="93"/>
      <c r="I19" s="32"/>
      <c r="J19" s="45" t="s">
        <v>496</v>
      </c>
    </row>
    <row r="20" spans="1:10" ht="70.5" customHeight="1" x14ac:dyDescent="0.25">
      <c r="A20" s="99" t="s">
        <v>497</v>
      </c>
      <c r="B20" s="100"/>
      <c r="C20" s="99" t="s">
        <v>498</v>
      </c>
      <c r="D20" s="101"/>
      <c r="E20" s="100"/>
      <c r="F20" s="34"/>
      <c r="G20" s="92"/>
      <c r="H20" s="93"/>
      <c r="I20" s="32"/>
      <c r="J20" s="45" t="s">
        <v>496</v>
      </c>
    </row>
    <row r="21" spans="1:10" ht="81.75" customHeight="1" x14ac:dyDescent="0.25">
      <c r="A21" s="99" t="s">
        <v>499</v>
      </c>
      <c r="B21" s="100"/>
      <c r="C21" s="99" t="s">
        <v>500</v>
      </c>
      <c r="D21" s="101"/>
      <c r="E21" s="100"/>
      <c r="F21" s="34"/>
      <c r="G21" s="92"/>
      <c r="H21" s="93"/>
      <c r="I21" s="32"/>
      <c r="J21" s="45" t="s">
        <v>501</v>
      </c>
    </row>
    <row r="22" spans="1:10" ht="84" customHeight="1" x14ac:dyDescent="0.25">
      <c r="A22" s="99" t="s">
        <v>502</v>
      </c>
      <c r="B22" s="100"/>
      <c r="C22" s="99" t="s">
        <v>503</v>
      </c>
      <c r="D22" s="101"/>
      <c r="E22" s="100"/>
      <c r="F22" s="34"/>
      <c r="G22" s="92"/>
      <c r="H22" s="93"/>
      <c r="I22" s="32"/>
      <c r="J22" s="45" t="s">
        <v>504</v>
      </c>
    </row>
    <row r="23" spans="1:10" ht="71.25" customHeight="1" x14ac:dyDescent="0.25">
      <c r="A23" s="74" t="s">
        <v>453</v>
      </c>
      <c r="B23" s="75"/>
      <c r="C23" s="179"/>
      <c r="D23" s="180"/>
      <c r="E23" s="180"/>
      <c r="F23" s="180"/>
      <c r="G23" s="180"/>
      <c r="H23" s="180"/>
      <c r="I23" s="181"/>
      <c r="J23" s="45"/>
    </row>
    <row r="24" spans="1:10" ht="36.75" customHeight="1" x14ac:dyDescent="0.25">
      <c r="A24" s="74" t="s">
        <v>149</v>
      </c>
      <c r="B24" s="75"/>
      <c r="C24" s="187" t="str">
        <f>IF(AND(F18="是",F21="是",F22="是"),"授予知识产权许可属于在某一时段履行的履约义务","属于在某一时点履行的履约义务,在客户能够使用某项知识产权许可并开始从中获利之前，企业不能对此类知识产权许可确认收入。")</f>
        <v>属于在某一时点履行的履约义务,在客户能够使用某项知识产权许可并开始从中获利之前，企业不能对此类知识产权许可确认收入。</v>
      </c>
      <c r="D24" s="188"/>
      <c r="E24" s="189"/>
      <c r="F24" s="189"/>
      <c r="G24" s="189"/>
      <c r="H24" s="189"/>
      <c r="I24" s="190"/>
      <c r="J24" s="45" t="s">
        <v>505</v>
      </c>
    </row>
    <row r="25" spans="1:10" ht="20.100000000000001" customHeight="1" x14ac:dyDescent="0.25">
      <c r="A25" s="5"/>
      <c r="B25" s="30"/>
      <c r="C25" s="30"/>
      <c r="D25" s="30"/>
      <c r="E25" s="30"/>
      <c r="F25" s="30"/>
      <c r="G25" s="30"/>
      <c r="H25" s="30"/>
      <c r="I25" s="30"/>
      <c r="J25" s="45"/>
    </row>
    <row r="26" spans="1:10" ht="20.100000000000001" customHeight="1" x14ac:dyDescent="0.25">
      <c r="A26" s="2" t="s">
        <v>506</v>
      </c>
      <c r="B26" s="30"/>
      <c r="C26" s="30"/>
      <c r="D26" s="30"/>
      <c r="E26" s="64"/>
      <c r="F26" s="33"/>
      <c r="G26" s="30"/>
      <c r="H26" s="30"/>
      <c r="I26" s="30"/>
      <c r="J26" s="45"/>
    </row>
    <row r="27" spans="1:10" ht="20.100000000000001" customHeight="1" x14ac:dyDescent="0.25">
      <c r="A27" s="74" t="s">
        <v>507</v>
      </c>
      <c r="B27" s="150"/>
      <c r="C27" s="74" t="s">
        <v>29</v>
      </c>
      <c r="D27" s="151"/>
      <c r="E27" s="150"/>
      <c r="F27" s="31" t="s">
        <v>443</v>
      </c>
      <c r="G27" s="74" t="s">
        <v>153</v>
      </c>
      <c r="H27" s="75"/>
      <c r="I27" s="31" t="s">
        <v>217</v>
      </c>
      <c r="J27" s="45"/>
    </row>
    <row r="28" spans="1:10" ht="39.75" customHeight="1" x14ac:dyDescent="0.25">
      <c r="A28" s="99" t="s">
        <v>508</v>
      </c>
      <c r="B28" s="100"/>
      <c r="C28" s="99"/>
      <c r="D28" s="101"/>
      <c r="E28" s="100"/>
      <c r="F28" s="34"/>
      <c r="G28" s="92"/>
      <c r="H28" s="93"/>
      <c r="I28" s="32"/>
      <c r="J28" s="45"/>
    </row>
    <row r="29" spans="1:10" ht="75.75" customHeight="1" x14ac:dyDescent="0.25">
      <c r="A29" s="99" t="s">
        <v>509</v>
      </c>
      <c r="B29" s="100"/>
      <c r="C29" s="99" t="s">
        <v>510</v>
      </c>
      <c r="D29" s="101"/>
      <c r="E29" s="100"/>
      <c r="F29" s="34"/>
      <c r="G29" s="92"/>
      <c r="H29" s="93"/>
      <c r="I29" s="32"/>
      <c r="J29" s="45"/>
    </row>
    <row r="30" spans="1:10" ht="36.75" customHeight="1" x14ac:dyDescent="0.25">
      <c r="A30" s="74" t="s">
        <v>149</v>
      </c>
      <c r="B30" s="75"/>
      <c r="C30" s="191" t="str">
        <f>IF(OR(F28="是",F29="是"),"应当在客户后续销售或使用行为实际发生与企业履行相关履约义务二者孰晚的时点确认收入。","不适用例外规定，应当按照估计可变对价的一般原则进行处理。")</f>
        <v>不适用例外规定，应当按照估计可变对价的一般原则进行处理。</v>
      </c>
      <c r="D30" s="192"/>
      <c r="E30" s="193"/>
      <c r="F30" s="193"/>
      <c r="G30" s="193"/>
      <c r="H30" s="193"/>
      <c r="I30" s="194"/>
      <c r="J30" s="45" t="s">
        <v>511</v>
      </c>
    </row>
    <row r="31" spans="1:10" ht="20.100000000000001" customHeight="1" x14ac:dyDescent="0.25">
      <c r="A31" s="5" t="s">
        <v>512</v>
      </c>
      <c r="B31" s="30"/>
      <c r="C31" s="30"/>
      <c r="D31" s="30"/>
      <c r="E31" s="30"/>
      <c r="F31" s="30"/>
      <c r="G31" s="30"/>
      <c r="H31" s="30"/>
      <c r="I31" s="30"/>
      <c r="J31" s="45"/>
    </row>
    <row r="32" spans="1:10" ht="20.100000000000001" customHeight="1" x14ac:dyDescent="0.25">
      <c r="A32" s="5" t="s">
        <v>513</v>
      </c>
      <c r="B32" s="30"/>
      <c r="C32" s="30"/>
      <c r="D32" s="30"/>
      <c r="E32" s="30"/>
      <c r="F32" s="30"/>
      <c r="G32" s="30"/>
      <c r="H32" s="30"/>
      <c r="I32" s="30"/>
      <c r="J32" s="45"/>
    </row>
    <row r="33" spans="1:10" ht="20.100000000000001" customHeight="1" x14ac:dyDescent="0.25">
      <c r="A33" s="5"/>
      <c r="B33" s="30"/>
      <c r="C33" s="30"/>
      <c r="D33" s="30"/>
      <c r="E33" s="30"/>
      <c r="F33" s="30"/>
      <c r="G33" s="30"/>
      <c r="H33" s="30"/>
      <c r="I33" s="30"/>
      <c r="J33" s="45"/>
    </row>
    <row r="34" spans="1:10" ht="20.100000000000001" customHeight="1" x14ac:dyDescent="0.25">
      <c r="A34" s="78" t="s">
        <v>520</v>
      </c>
      <c r="B34" s="78"/>
      <c r="C34" s="78"/>
      <c r="D34" s="78"/>
      <c r="E34" s="78"/>
      <c r="F34" s="78"/>
      <c r="G34" s="78"/>
      <c r="H34" s="78"/>
      <c r="I34" s="78"/>
      <c r="J34" s="45"/>
    </row>
    <row r="35" spans="1:10" ht="20.100000000000001" customHeight="1" x14ac:dyDescent="0.25">
      <c r="A35" s="102"/>
      <c r="B35" s="102"/>
      <c r="C35" s="102"/>
      <c r="D35" s="102"/>
      <c r="E35" s="102"/>
      <c r="F35" s="102"/>
      <c r="G35" s="102"/>
      <c r="H35" s="102"/>
      <c r="I35" s="102"/>
      <c r="J35" s="45"/>
    </row>
    <row r="36" spans="1:10" ht="20.100000000000001" customHeight="1" x14ac:dyDescent="0.25">
      <c r="A36" s="78" t="s">
        <v>521</v>
      </c>
      <c r="B36" s="78"/>
      <c r="C36" s="78"/>
      <c r="D36" s="78"/>
      <c r="E36" s="78"/>
      <c r="F36" s="78"/>
      <c r="G36" s="78"/>
      <c r="H36" s="78"/>
      <c r="I36" s="78"/>
      <c r="J36" s="4"/>
    </row>
    <row r="37" spans="1:10" ht="49.5" customHeight="1" x14ac:dyDescent="0.25">
      <c r="A37" s="98"/>
      <c r="B37" s="98"/>
      <c r="C37" s="98"/>
      <c r="D37" s="98"/>
      <c r="E37" s="98"/>
      <c r="F37" s="98"/>
      <c r="G37" s="98"/>
      <c r="H37" s="98"/>
      <c r="I37" s="98"/>
      <c r="J37" s="4"/>
    </row>
    <row r="38" spans="1:10" s="40" customFormat="1" ht="18" customHeight="1" x14ac:dyDescent="0.25">
      <c r="A38" s="68" t="s">
        <v>537</v>
      </c>
      <c r="J38" s="41"/>
    </row>
    <row r="39" spans="1:10" s="40" customFormat="1" ht="18" customHeight="1" x14ac:dyDescent="0.25">
      <c r="A39" s="27" t="s">
        <v>514</v>
      </c>
      <c r="J39" s="41"/>
    </row>
    <row r="40" spans="1:10" s="40" customFormat="1" ht="18" customHeight="1" x14ac:dyDescent="0.25">
      <c r="A40" s="27" t="s">
        <v>515</v>
      </c>
      <c r="J40" s="41"/>
    </row>
    <row r="41" spans="1:10" s="40" customFormat="1" ht="18" customHeight="1" x14ac:dyDescent="0.25">
      <c r="A41" s="1"/>
      <c r="J41" s="41"/>
    </row>
    <row r="42" spans="1:10" s="40" customFormat="1" ht="18" customHeight="1" x14ac:dyDescent="0.25">
      <c r="A42" s="1"/>
      <c r="J42" s="41"/>
    </row>
    <row r="43" spans="1:10" s="40" customFormat="1" ht="18" customHeight="1" x14ac:dyDescent="0.25">
      <c r="A43" s="1"/>
      <c r="J43" s="41"/>
    </row>
    <row r="44" spans="1:10" s="40" customFormat="1" ht="18" customHeight="1" x14ac:dyDescent="0.25">
      <c r="A44" s="1"/>
      <c r="J44" s="41"/>
    </row>
    <row r="45" spans="1:10" s="40" customFormat="1" ht="18" customHeight="1" x14ac:dyDescent="0.25">
      <c r="A45" s="1"/>
      <c r="J45" s="41"/>
    </row>
  </sheetData>
  <mergeCells count="54">
    <mergeCell ref="A35:I35"/>
    <mergeCell ref="A36:I36"/>
    <mergeCell ref="A37:I37"/>
    <mergeCell ref="A29:B29"/>
    <mergeCell ref="C29:E29"/>
    <mergeCell ref="G29:H29"/>
    <mergeCell ref="A30:B30"/>
    <mergeCell ref="C30:I30"/>
    <mergeCell ref="A34:I34"/>
    <mergeCell ref="A27:B27"/>
    <mergeCell ref="C27:E27"/>
    <mergeCell ref="G27:H27"/>
    <mergeCell ref="A28:B28"/>
    <mergeCell ref="C28:E28"/>
    <mergeCell ref="G28:H28"/>
    <mergeCell ref="A24:B24"/>
    <mergeCell ref="C24:I24"/>
    <mergeCell ref="A20:B20"/>
    <mergeCell ref="C20:E20"/>
    <mergeCell ref="G20:H20"/>
    <mergeCell ref="A21:B21"/>
    <mergeCell ref="C21:E21"/>
    <mergeCell ref="G21:H21"/>
    <mergeCell ref="A22:B22"/>
    <mergeCell ref="C22:E22"/>
    <mergeCell ref="G22:H22"/>
    <mergeCell ref="A23:B23"/>
    <mergeCell ref="C23:I23"/>
    <mergeCell ref="A18:B18"/>
    <mergeCell ref="C18:E18"/>
    <mergeCell ref="G18:H18"/>
    <mergeCell ref="A19:B19"/>
    <mergeCell ref="C19:E19"/>
    <mergeCell ref="G19:H19"/>
    <mergeCell ref="A17:B17"/>
    <mergeCell ref="C17:E17"/>
    <mergeCell ref="G17:H17"/>
    <mergeCell ref="A10:B10"/>
    <mergeCell ref="C10:E10"/>
    <mergeCell ref="G10:H10"/>
    <mergeCell ref="A11:B11"/>
    <mergeCell ref="C11:E11"/>
    <mergeCell ref="G11:H11"/>
    <mergeCell ref="A12:B12"/>
    <mergeCell ref="C12:E12"/>
    <mergeCell ref="G12:H12"/>
    <mergeCell ref="A13:B13"/>
    <mergeCell ref="C13:I13"/>
    <mergeCell ref="A7:I7"/>
    <mergeCell ref="A1:I1"/>
    <mergeCell ref="A2:I2"/>
    <mergeCell ref="A5:I5"/>
    <mergeCell ref="J5:J6"/>
    <mergeCell ref="A6:I6"/>
  </mergeCells>
  <phoneticPr fontId="4" type="noConversion"/>
  <dataValidations count="1">
    <dataValidation type="list" allowBlank="1" showInputMessage="1" showErrorMessage="1" sqref="F11:F12 F16 F19:F22 F26 F28:F29">
      <formula1>"是,否"</formula1>
    </dataValidation>
  </dataValidations>
  <printOptions horizontalCentered="1"/>
  <pageMargins left="0.94488188976377963" right="0.27559055118110237" top="0.62992125984251968" bottom="0.51181102362204722" header="0.51181102362204722" footer="0.35433070866141736"/>
  <pageSetup paperSize="9" scale="54" fitToHeight="0" orientation="portrait" blackAndWhite="1"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6</vt:i4>
      </vt:variant>
    </vt:vector>
  </HeadingPairs>
  <TitlesOfParts>
    <vt:vector size="13" baseType="lpstr">
      <vt:lpstr>五步法分析（Ⅰ）D4-</vt:lpstr>
      <vt:lpstr>五步法分析（Ⅱ）D4-</vt:lpstr>
      <vt:lpstr>五步法分析（Ⅲ）D4-</vt:lpstr>
      <vt:lpstr>五步法分析（Ⅳ）D4-</vt:lpstr>
      <vt:lpstr>五步法分析（Ⅴ）D4-</vt:lpstr>
      <vt:lpstr>主要责任人与代理人D4-</vt:lpstr>
      <vt:lpstr>知识产权许可D4-</vt:lpstr>
      <vt:lpstr>'五步法分析（Ⅰ）D4-'!Print_Area</vt:lpstr>
      <vt:lpstr>'五步法分析（Ⅱ）D4-'!Print_Area</vt:lpstr>
      <vt:lpstr>'五步法分析（Ⅲ）D4-'!Print_Area</vt:lpstr>
      <vt:lpstr>'五步法分析（Ⅳ）D4-'!Print_Area</vt:lpstr>
      <vt:lpstr>'五步法分析（Ⅴ）D4-'!Print_Area</vt:lpstr>
      <vt:lpstr>'主要责任人与代理人D4-'!Print_Area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2025-09-29T12:57:23Z</cp:lastPrinted>
  <dcterms:created xsi:type="dcterms:W3CDTF">2025-09-09T02:01:17Z</dcterms:created>
  <dcterms:modified xsi:type="dcterms:W3CDTF">2025-10-30T07:40:03Z</dcterms:modified>
</cp:coreProperties>
</file>