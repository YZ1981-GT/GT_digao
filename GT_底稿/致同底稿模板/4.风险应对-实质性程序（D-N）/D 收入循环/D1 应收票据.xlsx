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D 收入循环\"/>
    </mc:Choice>
  </mc:AlternateContent>
  <bookViews>
    <workbookView xWindow="0" yWindow="0" windowWidth="22188" windowHeight="9180" tabRatio="926"/>
  </bookViews>
  <sheets>
    <sheet name="底稿目录" sheetId="1" r:id="rId1"/>
    <sheet name="应收票据审计程序表D1A" sheetId="39" r:id="rId2"/>
    <sheet name="审定表D1-1" sheetId="21" r:id="rId3"/>
    <sheet name="附注披露信息（上市公司）" sheetId="28" r:id="rId4"/>
    <sheet name="附注披露信息（国企）" sheetId="40" r:id="rId5"/>
    <sheet name="原值明细表（按类别）D1-2" sheetId="43" r:id="rId6"/>
    <sheet name="原值明细表（按客户）D1-3" sheetId="57" r:id="rId7"/>
    <sheet name="坏账准备明细表D1-4" sheetId="47" r:id="rId8"/>
    <sheet name="调整分录汇总表D1-5" sheetId="42" r:id="rId9"/>
    <sheet name="应收票据业务模式分析D1-6" sheetId="37" r:id="rId10"/>
    <sheet name="应收票据备查簿核对D1-7" sheetId="25" r:id="rId11"/>
    <sheet name="应收票据贴现、票据已背书未到期明细表D1-8" sheetId="58" r:id="rId12"/>
    <sheet name="应收票据贴息检查表D1-9" sheetId="33" r:id="rId13"/>
    <sheet name="应收票据监盘D1-10" sheetId="26" r:id="rId14"/>
    <sheet name="关联方关系及交易检查表D1-11" sheetId="55" r:id="rId15"/>
    <sheet name="应收票据质押检查表D1-12" sheetId="49" r:id="rId16"/>
    <sheet name="应收票据检查表D1-13" sheetId="51" r:id="rId17"/>
    <sheet name="应收票据坏账准备会计政策检查D1-14" sheetId="38" r:id="rId18"/>
    <sheet name="应收票据坏账准备测试表D1-15" sheetId="34" r:id="rId19"/>
    <sheet name="坏账准备转回、核销检查表D1-16" sheetId="45" r:id="rId20"/>
    <sheet name="应收票据业务模式分析提示" sheetId="53" r:id="rId21"/>
  </sheets>
  <definedNames>
    <definedName name="_xlnm._FilterDatabase" localSheetId="1" hidden="1">应收票据审计程序表D1A!$A$15:$I$34</definedName>
    <definedName name="_xlnm.Print_Area" localSheetId="0">底稿目录!$A$1:$F$31</definedName>
    <definedName name="_xlnm.Print_Area" localSheetId="8">'调整分录汇总表D1-5'!$A$1:$J$20</definedName>
    <definedName name="_xlnm.Print_Area" localSheetId="4">'附注披露信息（国企）'!$A$1:$H$90</definedName>
    <definedName name="_xlnm.Print_Area" localSheetId="3">'附注披露信息（上市公司）'!$A$1:$G$118</definedName>
    <definedName name="_xlnm.Print_Area" localSheetId="14">'关联方关系及交易检查表D1-11'!$A$1:$M$20</definedName>
    <definedName name="_xlnm.Print_Area" localSheetId="7">'坏账准备明细表D1-4'!$A$1:$N$30</definedName>
    <definedName name="_xlnm.Print_Area" localSheetId="19">'坏账准备转回、核销检查表D1-16'!$A$1:$H$27</definedName>
    <definedName name="_xlnm.Print_Area" localSheetId="2">'审定表D1-1'!$A$1:$L$31</definedName>
    <definedName name="_xlnm.Print_Area" localSheetId="10">'应收票据备查簿核对D1-7'!$A$1:$AD$36</definedName>
    <definedName name="_xlnm.Print_Area" localSheetId="18">'应收票据坏账准备测试表D1-15'!$A$1:$H$31</definedName>
    <definedName name="_xlnm.Print_Area" localSheetId="17">'应收票据坏账准备会计政策检查D1-14'!$A$1:$I$36</definedName>
    <definedName name="_xlnm.Print_Area" localSheetId="13">'应收票据监盘D1-10'!$A$1:$O$34</definedName>
    <definedName name="_xlnm.Print_Area" localSheetId="16">'应收票据检查表D1-13'!$A$1:$Q$54</definedName>
    <definedName name="_xlnm.Print_Area" localSheetId="1">应收票据审计程序表D1A!$A$1:$I$34</definedName>
    <definedName name="_xlnm.Print_Area" localSheetId="12">'应收票据贴息检查表D1-9'!$A$1:$M$24</definedName>
    <definedName name="_xlnm.Print_Area" localSheetId="11">'应收票据贴现、票据已背书未到期明细表D1-8'!$A$1:$P$39</definedName>
    <definedName name="_xlnm.Print_Area" localSheetId="9">'应收票据业务模式分析D1-6'!$A$1:$E$28</definedName>
    <definedName name="_xlnm.Print_Area" localSheetId="20">应收票据业务模式分析提示!$A$1:$A$23</definedName>
    <definedName name="_xlnm.Print_Area" localSheetId="15">'应收票据质押检查表D1-12'!$A$1:$P$24</definedName>
    <definedName name="_xlnm.Print_Area" localSheetId="6">'原值明细表（按客户）D1-3'!$A$1:$O$27</definedName>
    <definedName name="_xlnm.Print_Area" localSheetId="5">'原值明细表（按类别）D1-2'!$A$1:$K$20</definedName>
    <definedName name="_xlnm.Print_Titles" localSheetId="1">应收票据审计程序表D1A!$15:$16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57" l="1"/>
  <c r="L12" i="57"/>
  <c r="L13" i="57"/>
  <c r="L14" i="57"/>
  <c r="L15" i="57"/>
  <c r="L16" i="57"/>
  <c r="L17" i="57"/>
  <c r="L18" i="57"/>
  <c r="L19" i="57"/>
  <c r="L20" i="57"/>
  <c r="L11" i="57"/>
  <c r="J21" i="57"/>
  <c r="J12" i="57"/>
  <c r="J13" i="57"/>
  <c r="J14" i="57"/>
  <c r="J15" i="57"/>
  <c r="J16" i="57"/>
  <c r="J17" i="57"/>
  <c r="J18" i="57"/>
  <c r="J19" i="57"/>
  <c r="J20" i="57"/>
  <c r="J11" i="57"/>
  <c r="F50" i="51"/>
  <c r="E50" i="51"/>
  <c r="G50" i="51" s="1"/>
  <c r="E49" i="51"/>
  <c r="E48" i="51"/>
  <c r="K12" i="43" l="1"/>
  <c r="K13" i="43"/>
  <c r="H12" i="43"/>
  <c r="H13" i="43"/>
  <c r="E12" i="43"/>
  <c r="E13" i="43"/>
  <c r="H3" i="45" l="1"/>
  <c r="H3" i="34"/>
  <c r="I3" i="38"/>
  <c r="Q3" i="51"/>
  <c r="P3" i="49"/>
  <c r="M3" i="55"/>
  <c r="O3" i="26"/>
  <c r="M3" i="33"/>
  <c r="P3" i="58"/>
  <c r="J17" i="33" l="1"/>
  <c r="J18" i="33" l="1"/>
  <c r="J12" i="33"/>
  <c r="J13" i="33"/>
  <c r="J14" i="33"/>
  <c r="J15" i="33"/>
  <c r="J16" i="33"/>
  <c r="H12" i="33"/>
  <c r="H13" i="33"/>
  <c r="H14" i="33"/>
  <c r="H15" i="33"/>
  <c r="H16" i="33"/>
  <c r="H17" i="33"/>
  <c r="H11" i="33"/>
  <c r="J11" i="33" s="1"/>
  <c r="H25" i="34" l="1"/>
  <c r="F25" i="34"/>
  <c r="E25" i="34"/>
  <c r="D25" i="34"/>
  <c r="B25" i="34"/>
  <c r="F24" i="34"/>
  <c r="E24" i="34"/>
  <c r="D24" i="34"/>
  <c r="F23" i="34"/>
  <c r="E23" i="34"/>
  <c r="D23" i="34"/>
  <c r="F22" i="34"/>
  <c r="E22" i="34"/>
  <c r="D22" i="34"/>
  <c r="F18" i="34"/>
  <c r="E18" i="34"/>
  <c r="D18" i="34"/>
  <c r="B18" i="34"/>
  <c r="F17" i="34"/>
  <c r="E17" i="34"/>
  <c r="D17" i="34"/>
  <c r="F16" i="34"/>
  <c r="E16" i="34"/>
  <c r="D16" i="34"/>
  <c r="F15" i="34"/>
  <c r="E15" i="34"/>
  <c r="D15" i="34"/>
  <c r="F14" i="34"/>
  <c r="E14" i="34"/>
  <c r="D14" i="34"/>
  <c r="E4" i="34"/>
  <c r="C4" i="34"/>
  <c r="A4" i="34"/>
  <c r="E3" i="34"/>
  <c r="C3" i="34"/>
  <c r="A3" i="34"/>
  <c r="F4" i="38"/>
  <c r="D4" i="38"/>
  <c r="A4" i="38"/>
  <c r="F3" i="38"/>
  <c r="D3" i="38"/>
  <c r="A3" i="38"/>
  <c r="C21" i="45"/>
  <c r="F15" i="45"/>
  <c r="E15" i="45"/>
  <c r="E4" i="45"/>
  <c r="C4" i="45"/>
  <c r="A4" i="45"/>
  <c r="E3" i="45"/>
  <c r="C3" i="45"/>
  <c r="A3" i="45"/>
  <c r="J18" i="49"/>
  <c r="H18" i="49"/>
  <c r="J4" i="49"/>
  <c r="F4" i="49"/>
  <c r="A4" i="49"/>
  <c r="J3" i="49"/>
  <c r="F3" i="49"/>
  <c r="A3" i="49"/>
  <c r="K14" i="55"/>
  <c r="H14" i="55"/>
  <c r="G14" i="55"/>
  <c r="F14" i="55"/>
  <c r="E14" i="55"/>
  <c r="D14" i="55"/>
  <c r="C14" i="55"/>
  <c r="H13" i="55"/>
  <c r="F13" i="55"/>
  <c r="H12" i="55"/>
  <c r="F12" i="55"/>
  <c r="H11" i="55"/>
  <c r="F11" i="55"/>
  <c r="I4" i="55"/>
  <c r="E4" i="55"/>
  <c r="A4" i="55"/>
  <c r="I3" i="55"/>
  <c r="E3" i="55"/>
  <c r="A3" i="55"/>
  <c r="G45" i="51"/>
  <c r="H32" i="51"/>
  <c r="F49" i="51" s="1"/>
  <c r="G49" i="51" s="1"/>
  <c r="G32" i="51"/>
  <c r="F48" i="51" s="1"/>
  <c r="G48" i="51" s="1"/>
  <c r="I4" i="51"/>
  <c r="F4" i="51"/>
  <c r="A4" i="51"/>
  <c r="I3" i="51"/>
  <c r="F3" i="51"/>
  <c r="A3" i="51"/>
  <c r="K18" i="33"/>
  <c r="B18" i="33"/>
  <c r="L17" i="33"/>
  <c r="L16" i="33"/>
  <c r="L15" i="33"/>
  <c r="L14" i="33"/>
  <c r="L13" i="33"/>
  <c r="L12" i="33"/>
  <c r="L11" i="33"/>
  <c r="H4" i="33"/>
  <c r="D4" i="33"/>
  <c r="A4" i="33"/>
  <c r="H3" i="33"/>
  <c r="D3" i="33"/>
  <c r="A3" i="33"/>
  <c r="L25" i="26"/>
  <c r="N25" i="26" s="1"/>
  <c r="I25" i="26"/>
  <c r="H21" i="26"/>
  <c r="A25" i="26" s="1"/>
  <c r="D25" i="26" s="1"/>
  <c r="F25" i="26" s="1"/>
  <c r="J4" i="26"/>
  <c r="F4" i="26"/>
  <c r="A4" i="26"/>
  <c r="J3" i="26"/>
  <c r="F3" i="26"/>
  <c r="A3" i="26"/>
  <c r="E34" i="58"/>
  <c r="M22" i="58"/>
  <c r="L22" i="58"/>
  <c r="F22" i="58"/>
  <c r="E22" i="58"/>
  <c r="I4" i="58"/>
  <c r="E4" i="58"/>
  <c r="A4" i="58"/>
  <c r="I3" i="58"/>
  <c r="E3" i="58"/>
  <c r="A3" i="58"/>
  <c r="H34" i="25"/>
  <c r="I33" i="25"/>
  <c r="H33" i="25"/>
  <c r="I32" i="25"/>
  <c r="H32" i="25"/>
  <c r="I31" i="25"/>
  <c r="H31" i="25"/>
  <c r="C31" i="25"/>
  <c r="B31" i="25"/>
  <c r="I30" i="25"/>
  <c r="H30" i="25"/>
  <c r="D30" i="25"/>
  <c r="D31" i="25" s="1"/>
  <c r="C30" i="25"/>
  <c r="B30" i="25"/>
  <c r="E30" i="25" s="1"/>
  <c r="E31" i="25" s="1"/>
  <c r="I29" i="25"/>
  <c r="H29" i="25"/>
  <c r="E29" i="25"/>
  <c r="D29" i="25"/>
  <c r="C29" i="25"/>
  <c r="B29" i="25"/>
  <c r="W25" i="25"/>
  <c r="V25" i="25"/>
  <c r="U25" i="25"/>
  <c r="T25" i="25"/>
  <c r="S25" i="25"/>
  <c r="R25" i="25"/>
  <c r="Q25" i="25"/>
  <c r="N25" i="25"/>
  <c r="W24" i="25"/>
  <c r="V24" i="25"/>
  <c r="U24" i="25"/>
  <c r="T24" i="25"/>
  <c r="S24" i="25"/>
  <c r="R24" i="25"/>
  <c r="Q24" i="25"/>
  <c r="W23" i="25"/>
  <c r="V23" i="25"/>
  <c r="U23" i="25"/>
  <c r="T23" i="25"/>
  <c r="S23" i="25"/>
  <c r="R23" i="25"/>
  <c r="Q23" i="25"/>
  <c r="W22" i="25"/>
  <c r="V22" i="25"/>
  <c r="U22" i="25"/>
  <c r="T22" i="25"/>
  <c r="S22" i="25"/>
  <c r="R22" i="25"/>
  <c r="Q22" i="25"/>
  <c r="W21" i="25"/>
  <c r="V21" i="25"/>
  <c r="U21" i="25"/>
  <c r="T21" i="25"/>
  <c r="S21" i="25"/>
  <c r="R21" i="25"/>
  <c r="Q21" i="25"/>
  <c r="W20" i="25"/>
  <c r="V20" i="25"/>
  <c r="U20" i="25"/>
  <c r="T20" i="25"/>
  <c r="S20" i="25"/>
  <c r="R20" i="25"/>
  <c r="Q20" i="25"/>
  <c r="W19" i="25"/>
  <c r="V19" i="25"/>
  <c r="U19" i="25"/>
  <c r="T19" i="25"/>
  <c r="S19" i="25"/>
  <c r="R19" i="25"/>
  <c r="Q19" i="25"/>
  <c r="W18" i="25"/>
  <c r="V18" i="25"/>
  <c r="U18" i="25"/>
  <c r="T18" i="25"/>
  <c r="S18" i="25"/>
  <c r="R18" i="25"/>
  <c r="Q18" i="25"/>
  <c r="W17" i="25"/>
  <c r="V17" i="25"/>
  <c r="U17" i="25"/>
  <c r="T17" i="25"/>
  <c r="S17" i="25"/>
  <c r="R17" i="25"/>
  <c r="Q17" i="25"/>
  <c r="W16" i="25"/>
  <c r="V16" i="25"/>
  <c r="U16" i="25"/>
  <c r="T16" i="25"/>
  <c r="S16" i="25"/>
  <c r="R16" i="25"/>
  <c r="Q16" i="25"/>
  <c r="W15" i="25"/>
  <c r="V15" i="25"/>
  <c r="U15" i="25"/>
  <c r="T15" i="25"/>
  <c r="S15" i="25"/>
  <c r="R15" i="25"/>
  <c r="Q15" i="25"/>
  <c r="W14" i="25"/>
  <c r="V14" i="25"/>
  <c r="U14" i="25"/>
  <c r="T14" i="25"/>
  <c r="S14" i="25"/>
  <c r="R14" i="25"/>
  <c r="Q14" i="25"/>
  <c r="W13" i="25"/>
  <c r="V13" i="25"/>
  <c r="U13" i="25"/>
  <c r="T13" i="25"/>
  <c r="S13" i="25"/>
  <c r="R13" i="25"/>
  <c r="Q13" i="25"/>
  <c r="Z4" i="25"/>
  <c r="V4" i="25"/>
  <c r="Q4" i="25"/>
  <c r="I4" i="25"/>
  <c r="E4" i="25"/>
  <c r="A4" i="25"/>
  <c r="Z3" i="25"/>
  <c r="V3" i="25"/>
  <c r="Q3" i="25"/>
  <c r="I3" i="25"/>
  <c r="E3" i="25"/>
  <c r="A3" i="25"/>
  <c r="D21" i="37"/>
  <c r="D22" i="37" s="1"/>
  <c r="C21" i="37"/>
  <c r="C22" i="37" s="1"/>
  <c r="B21" i="37"/>
  <c r="B22" i="37" s="1"/>
  <c r="C4" i="37"/>
  <c r="B4" i="37"/>
  <c r="A4" i="37"/>
  <c r="C3" i="37"/>
  <c r="B3" i="37"/>
  <c r="A3" i="37"/>
  <c r="G4" i="42"/>
  <c r="D4" i="42"/>
  <c r="A4" i="42"/>
  <c r="G3" i="42"/>
  <c r="D3" i="42"/>
  <c r="A3" i="42"/>
  <c r="N24" i="47"/>
  <c r="K24" i="47"/>
  <c r="E24" i="47"/>
  <c r="K23" i="47"/>
  <c r="N23" i="47" s="1"/>
  <c r="E23" i="47"/>
  <c r="N22" i="47"/>
  <c r="M22" i="47"/>
  <c r="L22" i="47"/>
  <c r="K22" i="47"/>
  <c r="J22" i="47"/>
  <c r="I22" i="47"/>
  <c r="H22" i="47"/>
  <c r="G22" i="47"/>
  <c r="F22" i="47"/>
  <c r="E22" i="47"/>
  <c r="D22" i="47"/>
  <c r="C22" i="47"/>
  <c r="B22" i="47"/>
  <c r="N21" i="47"/>
  <c r="K21" i="47"/>
  <c r="E21" i="47"/>
  <c r="N20" i="47"/>
  <c r="K20" i="47"/>
  <c r="E20" i="47"/>
  <c r="N19" i="47"/>
  <c r="K19" i="47"/>
  <c r="E19" i="47"/>
  <c r="N18" i="47"/>
  <c r="K18" i="47"/>
  <c r="E18" i="47"/>
  <c r="N17" i="47"/>
  <c r="M17" i="47"/>
  <c r="L17" i="47"/>
  <c r="K17" i="47"/>
  <c r="J17" i="47"/>
  <c r="I17" i="47"/>
  <c r="H17" i="47"/>
  <c r="G17" i="47"/>
  <c r="F17" i="47"/>
  <c r="E17" i="47"/>
  <c r="D17" i="47"/>
  <c r="C17" i="47"/>
  <c r="B17" i="47"/>
  <c r="N16" i="47"/>
  <c r="K16" i="47"/>
  <c r="E16" i="47"/>
  <c r="N15" i="47"/>
  <c r="K15" i="47"/>
  <c r="E15" i="47"/>
  <c r="N14" i="47"/>
  <c r="K14" i="47"/>
  <c r="E14" i="47"/>
  <c r="N13" i="47"/>
  <c r="K13" i="47"/>
  <c r="E13" i="47"/>
  <c r="N12" i="47"/>
  <c r="M12" i="47"/>
  <c r="L12" i="47"/>
  <c r="K12" i="47"/>
  <c r="J12" i="47"/>
  <c r="I12" i="47"/>
  <c r="H12" i="47"/>
  <c r="G12" i="47"/>
  <c r="F12" i="47"/>
  <c r="E12" i="47"/>
  <c r="D12" i="47"/>
  <c r="C12" i="47"/>
  <c r="B12" i="47"/>
  <c r="I4" i="47"/>
  <c r="E4" i="47"/>
  <c r="A4" i="47"/>
  <c r="I3" i="47"/>
  <c r="E3" i="47"/>
  <c r="A3" i="47"/>
  <c r="N21" i="57"/>
  <c r="M21" i="57"/>
  <c r="L21" i="57"/>
  <c r="I21" i="57"/>
  <c r="H21" i="57"/>
  <c r="G21" i="57"/>
  <c r="F21" i="57"/>
  <c r="E21" i="57"/>
  <c r="D21" i="57"/>
  <c r="O20" i="57"/>
  <c r="G20" i="57"/>
  <c r="O19" i="57"/>
  <c r="G19" i="57"/>
  <c r="O18" i="57"/>
  <c r="G18" i="57"/>
  <c r="O17" i="57"/>
  <c r="G17" i="57"/>
  <c r="O16" i="57"/>
  <c r="G16" i="57"/>
  <c r="O15" i="57"/>
  <c r="G15" i="57"/>
  <c r="O14" i="57"/>
  <c r="G14" i="57"/>
  <c r="O13" i="57"/>
  <c r="G13" i="57"/>
  <c r="O12" i="57"/>
  <c r="G12" i="57"/>
  <c r="G11" i="57"/>
  <c r="I4" i="57"/>
  <c r="F4" i="57"/>
  <c r="A4" i="57"/>
  <c r="I3" i="57"/>
  <c r="F3" i="57"/>
  <c r="A3" i="57"/>
  <c r="K14" i="43"/>
  <c r="J14" i="43"/>
  <c r="I14" i="43"/>
  <c r="H14" i="43"/>
  <c r="G14" i="43"/>
  <c r="F14" i="43"/>
  <c r="E14" i="43"/>
  <c r="D14" i="43"/>
  <c r="C14" i="43"/>
  <c r="B14" i="43"/>
  <c r="K11" i="43"/>
  <c r="H11" i="43"/>
  <c r="E11" i="43"/>
  <c r="G4" i="43"/>
  <c r="D4" i="43"/>
  <c r="A4" i="43"/>
  <c r="G3" i="43"/>
  <c r="D3" i="43"/>
  <c r="A3" i="43"/>
  <c r="C88" i="40"/>
  <c r="B79" i="40"/>
  <c r="C71" i="40"/>
  <c r="B71" i="40"/>
  <c r="B65" i="40"/>
  <c r="C59" i="40"/>
  <c r="B59" i="40"/>
  <c r="G52" i="40"/>
  <c r="F52" i="40"/>
  <c r="E52" i="40"/>
  <c r="D52" i="40"/>
  <c r="C52" i="40"/>
  <c r="B52" i="40"/>
  <c r="G51" i="40"/>
  <c r="G50" i="40"/>
  <c r="G49" i="40"/>
  <c r="F49" i="40"/>
  <c r="E49" i="40"/>
  <c r="D49" i="40"/>
  <c r="C49" i="40"/>
  <c r="B49" i="40"/>
  <c r="G48" i="40"/>
  <c r="D42" i="40"/>
  <c r="C42" i="40"/>
  <c r="B42" i="40"/>
  <c r="D41" i="40"/>
  <c r="D40" i="40"/>
  <c r="D39" i="40"/>
  <c r="C39" i="40"/>
  <c r="B39" i="40"/>
  <c r="D38" i="40"/>
  <c r="D37" i="40"/>
  <c r="D36" i="40"/>
  <c r="C36" i="40"/>
  <c r="B36" i="40"/>
  <c r="D32" i="40"/>
  <c r="C32" i="40"/>
  <c r="B32" i="40"/>
  <c r="D31" i="40"/>
  <c r="D30" i="40"/>
  <c r="D29" i="40"/>
  <c r="F25" i="40"/>
  <c r="E25" i="40"/>
  <c r="D25" i="40"/>
  <c r="C25" i="40"/>
  <c r="B25" i="40"/>
  <c r="F24" i="40"/>
  <c r="E24" i="40"/>
  <c r="C24" i="40"/>
  <c r="F23" i="40"/>
  <c r="E23" i="40"/>
  <c r="C23" i="40"/>
  <c r="F18" i="40"/>
  <c r="E18" i="40"/>
  <c r="D18" i="40"/>
  <c r="C18" i="40"/>
  <c r="B18" i="40"/>
  <c r="F17" i="40"/>
  <c r="E17" i="40"/>
  <c r="C17" i="40"/>
  <c r="F16" i="40"/>
  <c r="E16" i="40"/>
  <c r="C16" i="40"/>
  <c r="F10" i="40"/>
  <c r="F9" i="40"/>
  <c r="F8" i="40"/>
  <c r="E4" i="40"/>
  <c r="C4" i="40"/>
  <c r="A4" i="40"/>
  <c r="E3" i="40"/>
  <c r="C3" i="40"/>
  <c r="A3" i="40"/>
  <c r="C115" i="28"/>
  <c r="E106" i="28"/>
  <c r="B100" i="28"/>
  <c r="G89" i="28"/>
  <c r="F89" i="28"/>
  <c r="E89" i="28"/>
  <c r="D89" i="28"/>
  <c r="C89" i="28"/>
  <c r="B89" i="28"/>
  <c r="G88" i="28"/>
  <c r="D88" i="28"/>
  <c r="G87" i="28"/>
  <c r="D87" i="28"/>
  <c r="G86" i="28"/>
  <c r="D86" i="28"/>
  <c r="G82" i="28"/>
  <c r="F82" i="28"/>
  <c r="E82" i="28"/>
  <c r="D82" i="28"/>
  <c r="C82" i="28"/>
  <c r="B82" i="28"/>
  <c r="G81" i="28"/>
  <c r="D81" i="28"/>
  <c r="G80" i="28"/>
  <c r="D80" i="28"/>
  <c r="G79" i="28"/>
  <c r="D79" i="28"/>
  <c r="D74" i="28"/>
  <c r="C74" i="28"/>
  <c r="B74" i="28"/>
  <c r="D73" i="28"/>
  <c r="D72" i="28"/>
  <c r="D68" i="28"/>
  <c r="C68" i="28"/>
  <c r="B68" i="28"/>
  <c r="D67" i="28"/>
  <c r="D66" i="28"/>
  <c r="F62" i="28"/>
  <c r="E62" i="28"/>
  <c r="D62" i="28"/>
  <c r="C62" i="28"/>
  <c r="B62" i="28"/>
  <c r="F61" i="28"/>
  <c r="E61" i="28"/>
  <c r="C61" i="28"/>
  <c r="C60" i="28"/>
  <c r="F59" i="28"/>
  <c r="F58" i="28"/>
  <c r="E58" i="28"/>
  <c r="D58" i="28"/>
  <c r="C58" i="28"/>
  <c r="B58" i="28"/>
  <c r="F57" i="28"/>
  <c r="E57" i="28"/>
  <c r="C57" i="28"/>
  <c r="F56" i="28"/>
  <c r="E56" i="28"/>
  <c r="C56" i="28"/>
  <c r="F55" i="28"/>
  <c r="E55" i="28"/>
  <c r="C55" i="28"/>
  <c r="F54" i="28"/>
  <c r="E54" i="28"/>
  <c r="C54" i="28"/>
  <c r="F53" i="28"/>
  <c r="E53" i="28"/>
  <c r="D53" i="28"/>
  <c r="C53" i="28"/>
  <c r="B53" i="28"/>
  <c r="F49" i="28"/>
  <c r="E49" i="28"/>
  <c r="D49" i="28"/>
  <c r="C49" i="28"/>
  <c r="B49" i="28"/>
  <c r="F48" i="28"/>
  <c r="E48" i="28"/>
  <c r="C48" i="28"/>
  <c r="F47" i="28"/>
  <c r="E47" i="28"/>
  <c r="C47" i="28"/>
  <c r="F45" i="28"/>
  <c r="E45" i="28"/>
  <c r="D45" i="28"/>
  <c r="C45" i="28"/>
  <c r="B45" i="28"/>
  <c r="F44" i="28"/>
  <c r="E44" i="28"/>
  <c r="C44" i="28"/>
  <c r="F43" i="28"/>
  <c r="E43" i="28"/>
  <c r="C43" i="28"/>
  <c r="F42" i="28"/>
  <c r="E42" i="28"/>
  <c r="C42" i="28"/>
  <c r="F41" i="28"/>
  <c r="E41" i="28"/>
  <c r="C41" i="28"/>
  <c r="F40" i="28"/>
  <c r="E40" i="28"/>
  <c r="D40" i="28"/>
  <c r="C40" i="28"/>
  <c r="B40" i="28"/>
  <c r="B36" i="28"/>
  <c r="C25" i="28"/>
  <c r="B25" i="28"/>
  <c r="B19" i="28"/>
  <c r="F11" i="28"/>
  <c r="F10" i="28"/>
  <c r="F9" i="28"/>
  <c r="E4" i="28"/>
  <c r="C4" i="28"/>
  <c r="A4" i="28"/>
  <c r="E3" i="28"/>
  <c r="C3" i="28"/>
  <c r="A3" i="28"/>
  <c r="H17" i="21"/>
  <c r="G17" i="21"/>
  <c r="G16" i="21"/>
  <c r="G18" i="21" s="1"/>
  <c r="H14" i="21"/>
  <c r="G14" i="21"/>
  <c r="F14" i="21"/>
  <c r="E14" i="21"/>
  <c r="D14" i="21"/>
  <c r="C14" i="21"/>
  <c r="B14" i="21"/>
  <c r="G13" i="21"/>
  <c r="F13" i="21"/>
  <c r="I13" i="21" s="1"/>
  <c r="E13" i="21"/>
  <c r="C13" i="21"/>
  <c r="B13" i="21"/>
  <c r="G12" i="21"/>
  <c r="F12" i="21"/>
  <c r="E12" i="21"/>
  <c r="C12" i="21"/>
  <c r="B12" i="21"/>
  <c r="H10" i="21"/>
  <c r="H9" i="21"/>
  <c r="G9" i="21"/>
  <c r="F9" i="21"/>
  <c r="F17" i="21" s="1"/>
  <c r="I17" i="21" s="1"/>
  <c r="D9" i="21"/>
  <c r="D17" i="21" s="1"/>
  <c r="C9" i="21"/>
  <c r="C17" i="21" s="1"/>
  <c r="B9" i="21"/>
  <c r="B17" i="21" s="1"/>
  <c r="E17" i="21" s="1"/>
  <c r="H8" i="21"/>
  <c r="H16" i="21" s="1"/>
  <c r="H18" i="21" s="1"/>
  <c r="G8" i="21"/>
  <c r="G10" i="21" s="1"/>
  <c r="F8" i="21"/>
  <c r="D8" i="21"/>
  <c r="D16" i="21" s="1"/>
  <c r="C8" i="21"/>
  <c r="C16" i="21" s="1"/>
  <c r="B8" i="21"/>
  <c r="B16" i="21" s="1"/>
  <c r="H4" i="21"/>
  <c r="E4" i="21"/>
  <c r="A4" i="21"/>
  <c r="H3" i="21"/>
  <c r="E3" i="21"/>
  <c r="A3" i="21"/>
  <c r="F4" i="39"/>
  <c r="C4" i="39"/>
  <c r="A4" i="39"/>
  <c r="F3" i="39"/>
  <c r="C3" i="39"/>
  <c r="A3" i="39"/>
  <c r="O21" i="57" l="1"/>
  <c r="F10" i="21"/>
  <c r="C18" i="21"/>
  <c r="D18" i="21"/>
  <c r="E16" i="21"/>
  <c r="E18" i="21" s="1"/>
  <c r="E20" i="21" s="1"/>
  <c r="B18" i="21"/>
  <c r="B10" i="21"/>
  <c r="E9" i="21"/>
  <c r="C10" i="21"/>
  <c r="E8" i="21"/>
  <c r="D10" i="21"/>
  <c r="I8" i="21"/>
  <c r="I9" i="21"/>
  <c r="F16" i="21"/>
  <c r="F18" i="21" s="1"/>
  <c r="K13" i="21"/>
  <c r="C10" i="28"/>
  <c r="J13" i="21"/>
  <c r="C9" i="40"/>
  <c r="K17" i="21"/>
  <c r="J17" i="21"/>
  <c r="I16" i="21"/>
  <c r="I12" i="21"/>
  <c r="L18" i="33"/>
  <c r="K8" i="21" l="1"/>
  <c r="E9" i="28"/>
  <c r="E10" i="21"/>
  <c r="E8" i="40"/>
  <c r="B9" i="40"/>
  <c r="D9" i="40" s="1"/>
  <c r="B10" i="28"/>
  <c r="D10" i="28" s="1"/>
  <c r="J9" i="21"/>
  <c r="E9" i="40"/>
  <c r="G9" i="40" s="1"/>
  <c r="K9" i="21"/>
  <c r="E10" i="28"/>
  <c r="G10" i="28" s="1"/>
  <c r="B9" i="28"/>
  <c r="J8" i="21"/>
  <c r="I10" i="21"/>
  <c r="J10" i="21" s="1"/>
  <c r="B8" i="40"/>
  <c r="B10" i="40" s="1"/>
  <c r="I14" i="21"/>
  <c r="K12" i="21"/>
  <c r="J12" i="21"/>
  <c r="C8" i="40"/>
  <c r="C9" i="28"/>
  <c r="I18" i="21"/>
  <c r="K16" i="21"/>
  <c r="J16" i="21"/>
  <c r="B11" i="28" l="1"/>
  <c r="G8" i="40"/>
  <c r="G10" i="40" s="1"/>
  <c r="E10" i="40"/>
  <c r="K10" i="21"/>
  <c r="E11" i="28"/>
  <c r="G9" i="28"/>
  <c r="G11" i="28" s="1"/>
  <c r="C10" i="40"/>
  <c r="D8" i="40"/>
  <c r="D10" i="40" s="1"/>
  <c r="K18" i="21"/>
  <c r="J18" i="21"/>
  <c r="E23" i="21"/>
  <c r="I20" i="21"/>
  <c r="C11" i="28"/>
  <c r="D9" i="28"/>
  <c r="D11" i="28" s="1"/>
  <c r="J14" i="21"/>
  <c r="K14" i="2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B10" authorId="0" shapeId="0">
      <text>
        <r>
          <rPr>
            <b/>
            <sz val="9"/>
            <color indexed="81"/>
            <rFont val="宋体"/>
            <family val="3"/>
            <charset val="134"/>
          </rPr>
          <t>专业技术部:</t>
        </r>
        <r>
          <rPr>
            <sz val="9"/>
            <color indexed="81"/>
            <rFont val="宋体"/>
            <family val="3"/>
            <charset val="134"/>
          </rPr>
          <t xml:space="preserve">
可填写债权人的唯一识别编码，如被审计单位财务或业务系统中的公司编码</t>
        </r>
      </text>
    </comment>
  </commentList>
</comments>
</file>

<file path=xl/sharedStrings.xml><?xml version="1.0" encoding="utf-8"?>
<sst xmlns="http://schemas.openxmlformats.org/spreadsheetml/2006/main" count="1151" uniqueCount="639">
  <si>
    <t>底稿开列时，可先在以下单元格填写有关内容，以便其他底稿引用有关数据：</t>
  </si>
  <si>
    <t>被审计单位名称：</t>
  </si>
  <si>
    <r>
      <rPr>
        <sz val="10"/>
        <rFont val="宋体"/>
        <family val="3"/>
        <charset val="134"/>
      </rPr>
      <t>序号</t>
    </r>
  </si>
  <si>
    <r>
      <rPr>
        <sz val="10"/>
        <rFont val="宋体"/>
        <family val="3"/>
        <charset val="134"/>
      </rPr>
      <t>内容</t>
    </r>
  </si>
  <si>
    <t>索引号</t>
  </si>
  <si>
    <t>编制人：</t>
  </si>
  <si>
    <t>程序表</t>
  </si>
  <si>
    <t>D1A</t>
  </si>
  <si>
    <t>编制日期：</t>
  </si>
  <si>
    <t>审定表</t>
  </si>
  <si>
    <t>复核人：</t>
  </si>
  <si>
    <t>附注披露信息(上市公司)</t>
  </si>
  <si>
    <t>无需打印</t>
  </si>
  <si>
    <t>复核日期：</t>
  </si>
  <si>
    <t>附注披露信息(国企)</t>
  </si>
  <si>
    <t>原值明细表（按类别）</t>
  </si>
  <si>
    <t>D1-2</t>
  </si>
  <si>
    <t>原值明细表（按客户）</t>
  </si>
  <si>
    <t>D1-3</t>
  </si>
  <si>
    <t>坏账准备明细表</t>
  </si>
  <si>
    <t>D1-4</t>
  </si>
  <si>
    <t>调整分录汇总表</t>
  </si>
  <si>
    <t>D1-5</t>
  </si>
  <si>
    <t>应收票据业务模式分析</t>
  </si>
  <si>
    <t>D1-6</t>
  </si>
  <si>
    <t>应收票据备查簿核对</t>
  </si>
  <si>
    <t>D1-7</t>
  </si>
  <si>
    <t>应收票据贴现、票据已背书未到期明细表</t>
  </si>
  <si>
    <t>D1-8</t>
  </si>
  <si>
    <t>应收票据监盘表</t>
  </si>
  <si>
    <t>D1-9</t>
  </si>
  <si>
    <t>应收票据贴息检查表</t>
  </si>
  <si>
    <t>D1-10</t>
  </si>
  <si>
    <t>应收票据检查表</t>
  </si>
  <si>
    <t>D1-11</t>
  </si>
  <si>
    <t>关联方及交易检查表</t>
  </si>
  <si>
    <t>D1-12</t>
  </si>
  <si>
    <t>应收票据质押检查表</t>
  </si>
  <si>
    <t>D1-13</t>
  </si>
  <si>
    <t>坏账准备转回、核销检查表</t>
  </si>
  <si>
    <t>D1-14</t>
  </si>
  <si>
    <t>坏账准备会计政策检查</t>
  </si>
  <si>
    <t>D1-15</t>
  </si>
  <si>
    <t>坏账准备测试表</t>
  </si>
  <si>
    <t>D1-16</t>
  </si>
  <si>
    <t>致同会计师事务所</t>
  </si>
  <si>
    <t>应收票据实质性程序表</t>
  </si>
  <si>
    <t>索引号：</t>
  </si>
  <si>
    <t>页次：</t>
  </si>
  <si>
    <t>一、本账户涉及的科目</t>
  </si>
  <si>
    <t>应收票据</t>
  </si>
  <si>
    <t>二、审计目标和财务报表的认定</t>
  </si>
  <si>
    <t>审计目标</t>
  </si>
  <si>
    <t>财务报表的认定　</t>
  </si>
  <si>
    <r>
      <rPr>
        <sz val="10"/>
        <rFont val="Arial Narrow"/>
        <family val="2"/>
      </rPr>
      <t xml:space="preserve">A. </t>
    </r>
    <r>
      <rPr>
        <sz val="10"/>
        <rFont val="宋体"/>
        <family val="3"/>
        <charset val="134"/>
      </rPr>
      <t>资产负债表中记录的应收票据是存在的，且已经记录在恰当的账户中</t>
    </r>
  </si>
  <si>
    <t>存在</t>
  </si>
  <si>
    <r>
      <rPr>
        <sz val="10"/>
        <rFont val="Arial Narrow"/>
        <family val="2"/>
      </rPr>
      <t xml:space="preserve">B. </t>
    </r>
    <r>
      <rPr>
        <sz val="10"/>
        <rFont val="宋体"/>
        <family val="3"/>
        <charset val="134"/>
      </rPr>
      <t>所有应记录的应收票据均已记录，所有应当包括在财务报表中的相关披露均已包括</t>
    </r>
  </si>
  <si>
    <t>完整性</t>
  </si>
  <si>
    <r>
      <rPr>
        <sz val="10"/>
        <rFont val="Arial Narrow"/>
        <family val="2"/>
      </rPr>
      <t xml:space="preserve">C. </t>
    </r>
    <r>
      <rPr>
        <sz val="10"/>
        <rFont val="宋体"/>
        <family val="3"/>
        <charset val="134"/>
      </rPr>
      <t>记录的应收票据由被审计单位拥有或控制</t>
    </r>
  </si>
  <si>
    <t>权利和义务</t>
  </si>
  <si>
    <r>
      <rPr>
        <sz val="10"/>
        <rFont val="Arial Narrow"/>
        <family val="2"/>
      </rPr>
      <t xml:space="preserve">D. </t>
    </r>
    <r>
      <rPr>
        <sz val="10"/>
        <rFont val="宋体"/>
        <family val="3"/>
        <charset val="134"/>
      </rPr>
      <t>应收票据以恰当的金额包括在财务报表中，与之相关的计价或分摊调整已恰当记录，相关披露已得到恰当计量和描述</t>
    </r>
    <r>
      <rPr>
        <sz val="10"/>
        <rFont val="Arial Narrow"/>
        <family val="2"/>
      </rPr>
      <t xml:space="preserve"> </t>
    </r>
  </si>
  <si>
    <t>准确性、计价和分摊</t>
  </si>
  <si>
    <r>
      <rPr>
        <sz val="10"/>
        <rFont val="Arial Narrow"/>
        <family val="2"/>
      </rPr>
      <t xml:space="preserve">E. </t>
    </r>
    <r>
      <rPr>
        <sz val="10"/>
        <rFont val="宋体"/>
        <family val="3"/>
        <charset val="134"/>
      </rPr>
      <t>应收票据已被恰当地汇总或分解且表述清楚，相关披露在按照企业会计准则的编制基础下是相关的、可理解的</t>
    </r>
  </si>
  <si>
    <t>列报</t>
  </si>
  <si>
    <t>三、计划实施的实质性程序</t>
  </si>
  <si>
    <t>序号</t>
  </si>
  <si>
    <t>程序分类</t>
  </si>
  <si>
    <t>财务报表的认定</t>
  </si>
  <si>
    <t>底稿索引</t>
  </si>
  <si>
    <t>权利和
义务</t>
  </si>
  <si>
    <t>1</t>
  </si>
  <si>
    <t>常规★</t>
  </si>
  <si>
    <t>√</t>
  </si>
  <si>
    <t>2</t>
  </si>
  <si>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</si>
  <si>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t>T1</t>
  </si>
  <si>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</si>
  <si>
    <t>3</t>
  </si>
  <si>
    <r>
      <rPr>
        <sz val="10"/>
        <color theme="1"/>
        <rFont val="宋体"/>
        <family val="3"/>
        <charset val="134"/>
        <scheme val="minor"/>
      </rPr>
      <t>取得应收票据期初余额明细表复核加计是否正确，与总账、明细账合计数是否相符；检查期初票据在本期承兑、背书等情况，必要时考虑函证期初余额以及其他必要追加的审计程序。</t>
    </r>
    <r>
      <rPr>
        <sz val="10"/>
        <color rgb="FFFF0000"/>
        <rFont val="宋体"/>
        <family val="3"/>
        <charset val="134"/>
        <scheme val="minor"/>
      </rPr>
      <t>（适用于首次承接）</t>
    </r>
  </si>
  <si>
    <t>备选</t>
  </si>
  <si>
    <t>由被审计单位生成的信息不包括：
• 总分类账或明细分类账、试算平衡表、或经审计的财务报表；
• 第三方（除了服务机构）的报表或报告，例如，原始银行对账单，或函证的回函；
• 外部数据（例如，第三方发布的数据，如，定价来源）。</t>
  </si>
  <si>
    <t>4</t>
  </si>
  <si>
    <t>了解并观察被审计单位被审计单位管理应收票据的业务模式，结合合同现金流量特征，判断应收票据分类是否正确。</t>
  </si>
  <si>
    <r>
      <rPr>
        <b/>
        <sz val="10"/>
        <rFont val="宋体"/>
        <family val="3"/>
        <charset val="134"/>
      </rPr>
      <t>√</t>
    </r>
  </si>
  <si>
    <t>应收票据中的由被审计单位生成的信息例如：收票据备查簿等</t>
  </si>
  <si>
    <t>5</t>
  </si>
  <si>
    <t>取得“应收票据备查簿”核对相关内容是否与账面记录一致，如果存在差异应追查原因，并取得支持性证据。</t>
  </si>
  <si>
    <t>6</t>
  </si>
  <si>
    <r>
      <rPr>
        <sz val="10"/>
        <rFont val="宋体"/>
        <family val="3"/>
        <charset val="134"/>
      </rPr>
      <t>√</t>
    </r>
  </si>
  <si>
    <t>7</t>
  </si>
  <si>
    <t>8</t>
  </si>
  <si>
    <t>分析带息票据的利息是否合理，是否高于其他同类交易水平；复核利息计算是否正确；检查相关会计处理是否正确。</t>
  </si>
  <si>
    <t>9</t>
  </si>
  <si>
    <t>检查应收票据关联方款项：
（1）了解交易的商业理由、交易事项的目的、价格和条件，考虑对关联方应收票据的合理性、合法性；
（2）检查对关联方应收票据的真实性相关的支持性文件、检查会计处理是否正确；
（3）考虑向关联方或其他注册会计师函证重大的关联销售交易（包括担保和其他重要信息）；
（4）必要时，向与交易相关的人员和机构（如银行、律师）函证或与其讨论有关信息。
（5）考虑是否存在未识别的关联方，关联余额披露是否正确。</t>
  </si>
  <si>
    <t>10</t>
  </si>
  <si>
    <t>对于大额票据，取得相应销售合同或协议、销售发票和出库单等原始交易资料并进行核对，以证实是否存在真实交易。</t>
  </si>
  <si>
    <t>11</t>
  </si>
  <si>
    <r>
      <rPr>
        <sz val="10"/>
        <color theme="1"/>
        <rFont val="宋体"/>
        <family val="3"/>
        <charset val="134"/>
      </rPr>
      <t>实施函证程序：
（</t>
    </r>
    <r>
      <rPr>
        <sz val="10"/>
        <color theme="1"/>
        <rFont val="Arial Narrow"/>
        <family val="2"/>
      </rPr>
      <t>1</t>
    </r>
    <r>
      <rPr>
        <sz val="10"/>
        <color theme="1"/>
        <rFont val="宋体"/>
        <family val="3"/>
        <charset val="134"/>
      </rPr>
      <t>）以积极方式对应收票据进行函证，设计询证函、发函前核实被函证单位信息；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</si>
  <si>
    <t>D0</t>
  </si>
  <si>
    <t>12</t>
  </si>
  <si>
    <t>对于至审计时已兑现或已贴现的应收票据，检查收款凭证等，以确认其在资产负债表日的真实性。</t>
  </si>
  <si>
    <t>13</t>
  </si>
  <si>
    <t>检查应收票据坏账准备计提是否正确：
（1）了解应收票据坏账准备计提会计政策，确定应收票据坏账准备计提是否以预期信用损失为基础计提，计提政策是否恰当，是否一贯执行。
（2）重新计算应计提的坏账准备，与被审计单位已记录的坏账准备进行比较。
（3）关注大额坏账准备转回是否合理。实际发生坏账损失的，检查核销依据是否符合有关规定，会计处理是否正确。已经确认并核销的坏账重新收回的，检查其会计处理是否正确。</t>
  </si>
  <si>
    <t>14</t>
  </si>
  <si>
    <t>结合营业收入、应收账款等科目审计，核对是否存在未入账应收票据。</t>
  </si>
  <si>
    <t>15</t>
  </si>
  <si>
    <t>对于票据使用频繁、存在交易异常的客户应收票据，应结合收入、应收账款等科目核对是否存在超出交易额的票据；检查票据流转信息上所有前后手之间以及与被审计单位之间是否存在关联关系，核实交易是否真实。</t>
  </si>
  <si>
    <t>IPO/上市公司/新三板/舞弊应对</t>
  </si>
  <si>
    <t>16</t>
  </si>
  <si>
    <t>针对评估的舞弊风险等因素增加的审计程序。</t>
  </si>
  <si>
    <t>17</t>
  </si>
  <si>
    <t>检查应收票据是否已按企业会计准则或其他适用的规定在财务报表中做出恰当列报和披露。</t>
  </si>
  <si>
    <r>
      <rPr>
        <sz val="10"/>
        <rFont val="Arial Narrow"/>
        <family val="2"/>
      </rPr>
      <t>A 1-1</t>
    </r>
    <r>
      <rPr>
        <sz val="10"/>
        <color rgb="FFFF0000"/>
        <rFont val="Arial Narrow"/>
        <family val="2"/>
      </rPr>
      <t>/A1-15 /A1-16</t>
    </r>
  </si>
  <si>
    <t>应收票据审定表</t>
  </si>
  <si>
    <t>项目</t>
  </si>
  <si>
    <t>期初数</t>
  </si>
  <si>
    <t>期末数</t>
  </si>
  <si>
    <t>期末与期初审定数比较</t>
  </si>
  <si>
    <t>原因分析</t>
  </si>
  <si>
    <t>未审数</t>
  </si>
  <si>
    <t>账项调整</t>
  </si>
  <si>
    <t>重分类调整</t>
  </si>
  <si>
    <t>审定数</t>
  </si>
  <si>
    <t>变动额</t>
  </si>
  <si>
    <t>变动率</t>
  </si>
  <si>
    <t>一、应收票据原值</t>
  </si>
  <si>
    <t>银行承兑汇票</t>
  </si>
  <si>
    <t>商业承兑汇票</t>
  </si>
  <si>
    <t>小计</t>
  </si>
  <si>
    <t>二、应收票据坏账准备</t>
  </si>
  <si>
    <t>三、应收票据净值</t>
  </si>
  <si>
    <t>合计</t>
  </si>
  <si>
    <t>试算平衡表数</t>
  </si>
  <si>
    <t>差异数</t>
  </si>
  <si>
    <r>
      <rPr>
        <b/>
        <sz val="10"/>
        <rFont val="宋体"/>
        <family val="3"/>
        <charset val="134"/>
      </rPr>
      <t>1.审计说明</t>
    </r>
  </si>
  <si>
    <t>（1）公司应收票据期末净值较期初净值增加（负数为减少）：</t>
  </si>
  <si>
    <t>主要原因（比例超过30%的）：</t>
  </si>
  <si>
    <t>（2）质押、贴现情况说明</t>
  </si>
  <si>
    <t>2.审计结论</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</si>
  <si>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</si>
  <si>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</si>
  <si>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索引号：</t>
    </r>
    <r>
      <rPr>
        <sz val="10"/>
        <rFont val="Arial Narrow"/>
        <family val="2"/>
      </rPr>
      <t>D1-1</t>
    </r>
  </si>
  <si>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</si>
  <si>
    <t>票据种类</t>
  </si>
  <si>
    <t>期末余额</t>
  </si>
  <si>
    <t>上年年末余额</t>
  </si>
  <si>
    <t>坏账准备</t>
  </si>
  <si>
    <t>期末账面价值</t>
  </si>
  <si>
    <t>期初余额</t>
  </si>
  <si>
    <t>期初账面价值</t>
  </si>
  <si>
    <r>
      <rPr>
        <b/>
        <sz val="12"/>
        <rFont val="仿宋_GB2312"/>
        <family val="3"/>
        <charset val="134"/>
      </rPr>
      <t>合计</t>
    </r>
  </si>
  <si>
    <t>说明：</t>
  </si>
  <si>
    <t>【提示：企业因销售商品、提供服务等取得的、不属于《中华人民共和国票据法》规范票据的“云信”、“融信”等数字化应收账款债权凭证，不应当在“应收票据”项目中列示。企业管理“云信”、“融信”等的业务模式以收取合同现金流量为目标的，应当在“应收账款”项目中列示；既以收取合同现金流量为目标又以出售为目标的，应当在“应收款项融资”项目中列示。如果法律上认定供应链票据属于《商业汇票承兑、贴现与再贴现管理办法》（中国人民银行中国银行保险监督管理委员会令〔2022〕第4号）的范围、具备《票据法》规定的要件，则持有方应当自法律认定生效日（2023年1月1日）起将其作为“应收票据”进行会计处理（根据其业务模式列示为应收票据或应收款项融资），且无需对前期比较期间数据进行追溯调整。】</t>
  </si>
  <si>
    <t>（1）期末已质押的应收票据</t>
  </si>
  <si>
    <r>
      <rPr>
        <b/>
        <sz val="12"/>
        <color theme="1"/>
        <rFont val="仿宋_GB2312"/>
        <family val="3"/>
        <charset val="134"/>
      </rPr>
      <t>种</t>
    </r>
    <r>
      <rPr>
        <b/>
        <sz val="12"/>
        <color theme="1"/>
        <rFont val="Arial Narrow"/>
        <family val="2"/>
      </rPr>
      <t xml:space="preserve">  </t>
    </r>
    <r>
      <rPr>
        <b/>
        <sz val="12"/>
        <color theme="1"/>
        <rFont val="仿宋_GB2312"/>
        <family val="3"/>
        <charset val="134"/>
      </rPr>
      <t>类</t>
    </r>
  </si>
  <si>
    <r>
      <rPr>
        <b/>
        <sz val="12"/>
        <color theme="1"/>
        <rFont val="仿宋_GB2312"/>
        <family val="3"/>
        <charset val="134"/>
      </rPr>
      <t>期末已质押金额</t>
    </r>
  </si>
  <si>
    <r>
      <rPr>
        <sz val="12"/>
        <color theme="1"/>
        <rFont val="仿宋_GB2312"/>
        <family val="3"/>
        <charset val="134"/>
      </rPr>
      <t>银行承兑票据</t>
    </r>
  </si>
  <si>
    <r>
      <rPr>
        <sz val="12"/>
        <color theme="1"/>
        <rFont val="仿宋_GB2312"/>
        <family val="3"/>
        <charset val="134"/>
      </rPr>
      <t>商业承兑票据</t>
    </r>
  </si>
  <si>
    <r>
      <rPr>
        <sz val="12"/>
        <color rgb="FF0000FF"/>
        <rFont val="仿宋_GB2312"/>
        <family val="3"/>
        <charset val="134"/>
      </rPr>
      <t>可无限量添加行</t>
    </r>
  </si>
  <si>
    <r>
      <rPr>
        <b/>
        <sz val="12"/>
        <color theme="1"/>
        <rFont val="仿宋_GB2312"/>
        <family val="3"/>
        <charset val="134"/>
      </rPr>
      <t>合</t>
    </r>
    <r>
      <rPr>
        <b/>
        <sz val="12"/>
        <color theme="1"/>
        <rFont val="Arial Narrow"/>
        <family val="2"/>
      </rPr>
      <t xml:space="preserve">  </t>
    </r>
    <r>
      <rPr>
        <b/>
        <sz val="12"/>
        <color theme="1"/>
        <rFont val="仿宋_GB2312"/>
        <family val="3"/>
        <charset val="134"/>
      </rPr>
      <t>计</t>
    </r>
  </si>
  <si>
    <t>（2）期末已背书或贴现但尚未到期的应收票据</t>
  </si>
  <si>
    <r>
      <rPr>
        <b/>
        <sz val="12"/>
        <color theme="1"/>
        <rFont val="仿宋_GB2312"/>
        <family val="3"/>
        <charset val="134"/>
      </rPr>
      <t>期末终止确认金额</t>
    </r>
  </si>
  <si>
    <r>
      <rPr>
        <b/>
        <sz val="12"/>
        <color theme="1"/>
        <rFont val="仿宋_GB2312"/>
        <family val="3"/>
        <charset val="134"/>
      </rPr>
      <t>期末未终止确认金额</t>
    </r>
  </si>
  <si>
    <t>【上面各张表均可添加行项目】</t>
  </si>
  <si>
    <t>（如根据《企业会计准则第23号——金融资产转移》终止确认的应收票据，列示其终止确认的金额，及与终止确认相关的利得和损失）</t>
  </si>
  <si>
    <t>【提示：证监会《2014 年上市公司年报会计监管报告》，对已背书或贴现且尚未到期的银行承兑汇票予以终止确认后，需在财务报表中补充披露终止确认的票据以及对票据被追索时可能存在的支付风险予以清晰说明。参考披露：</t>
  </si>
  <si>
    <t>用于贴现的银行承兑汇票是由信用等级较高的银行承兑，信用风险和延期付款风险很小，并且票据相关的利率风险已转移给银行，可以判断票据所有权上的主要风险和报酬已经转移，故终止确认。</t>
  </si>
  <si>
    <t>或：用于贴现的银行承兑汇票是由信用等级不高的银行承兑，贴现不影响追索权，票据相关的信用风险和延期付款风险仍没有转移，故未终止确认。】</t>
  </si>
  <si>
    <t>（3）期末因出票人未履约而其转应收账款的票据</t>
  </si>
  <si>
    <r>
      <rPr>
        <b/>
        <sz val="12"/>
        <color theme="1"/>
        <rFont val="仿宋_GB2312"/>
        <family val="3"/>
        <charset val="134"/>
      </rPr>
      <t>期末转应收账款金额</t>
    </r>
  </si>
  <si>
    <r>
      <rPr>
        <sz val="12"/>
        <color theme="1"/>
        <rFont val="仿宋_GB2312"/>
        <family val="3"/>
        <charset val="134"/>
      </rPr>
      <t>合</t>
    </r>
    <r>
      <rPr>
        <sz val="12"/>
        <color theme="1"/>
        <rFont val="Arial Narrow"/>
        <family val="2"/>
      </rPr>
      <t xml:space="preserve">  </t>
    </r>
    <r>
      <rPr>
        <sz val="12"/>
        <color theme="1"/>
        <rFont val="仿宋_GB2312"/>
        <family val="3"/>
        <charset val="134"/>
      </rPr>
      <t>计</t>
    </r>
  </si>
  <si>
    <t>（4）按坏账计提方法分类</t>
  </si>
  <si>
    <t>类别</t>
  </si>
  <si>
    <r>
      <rPr>
        <b/>
        <sz val="12"/>
        <rFont val="仿宋_GB2312"/>
        <family val="3"/>
        <charset val="134"/>
      </rPr>
      <t>金</t>
    </r>
    <r>
      <rPr>
        <b/>
        <sz val="12"/>
        <rFont val="Arial Narrow"/>
        <family val="2"/>
      </rPr>
      <t xml:space="preserve"> </t>
    </r>
    <r>
      <rPr>
        <b/>
        <sz val="12"/>
        <rFont val="仿宋_GB2312"/>
        <family val="3"/>
        <charset val="134"/>
      </rPr>
      <t>额</t>
    </r>
  </si>
  <si>
    <t xml:space="preserve">比例(%) </t>
  </si>
  <si>
    <r>
      <rPr>
        <b/>
        <sz val="12"/>
        <rFont val="仿宋_GB2312"/>
        <family val="3"/>
        <charset val="134"/>
      </rPr>
      <t>坏账准备</t>
    </r>
  </si>
  <si>
    <t xml:space="preserve">预期信用损失率(%) </t>
  </si>
  <si>
    <t>账面价值</t>
  </si>
  <si>
    <t>按单项计提坏账准备</t>
  </si>
  <si>
    <t>其中：</t>
  </si>
  <si>
    <t>按组合计提坏账准备</t>
  </si>
  <si>
    <r>
      <rPr>
        <b/>
        <sz val="12"/>
        <rFont val="仿宋_GB2312"/>
        <family val="3"/>
        <charset val="134"/>
      </rPr>
      <t>合</t>
    </r>
    <r>
      <rPr>
        <b/>
        <sz val="12"/>
        <rFont val="Arial Narrow"/>
        <family val="2"/>
      </rPr>
      <t xml:space="preserve">  </t>
    </r>
    <r>
      <rPr>
        <b/>
        <sz val="12"/>
        <rFont val="仿宋_GB2312"/>
        <family val="3"/>
        <charset val="134"/>
      </rPr>
      <t>计</t>
    </r>
  </si>
  <si>
    <t>（续）</t>
  </si>
  <si>
    <t>按单项计提坏账准备的应收票据：</t>
  </si>
  <si>
    <t>名 称</t>
  </si>
  <si>
    <t>账面余额</t>
  </si>
  <si>
    <t>预期信用损失率（%）</t>
  </si>
  <si>
    <t>计提依据</t>
  </si>
  <si>
    <t>合  计</t>
  </si>
  <si>
    <t>/</t>
  </si>
  <si>
    <t>续：</t>
  </si>
  <si>
    <t>按组合计提坏账准备：</t>
  </si>
  <si>
    <t>组合计提项目：银行承兑汇票</t>
  </si>
  <si>
    <t>预期信用损失率(%)</t>
  </si>
  <si>
    <t>出票人类型或账龄</t>
  </si>
  <si>
    <t>组合计提项目：商业承兑汇票</t>
  </si>
  <si>
    <t>上年年末数</t>
  </si>
  <si>
    <t>说明：按组合计提坏账准备的原因。</t>
  </si>
  <si>
    <t>【提示：此处披露未逾期的应收票据计提的坏账准备。若票据逾期，则应转入应收账款并计提坏账准备，账龄应连续计算】</t>
  </si>
  <si>
    <t>（5）本期计提、收回或转回的坏账准备情况</t>
  </si>
  <si>
    <t>坏账准备金额</t>
  </si>
  <si>
    <t>本期计提</t>
  </si>
  <si>
    <t>本期收回或转回</t>
  </si>
  <si>
    <t>本期核销</t>
  </si>
  <si>
    <t>[本期转销]</t>
  </si>
  <si>
    <t>[其他]</t>
  </si>
  <si>
    <t>其中：本期转回或收回金额重要的坏账准备如下：</t>
  </si>
  <si>
    <t>单位名称</t>
  </si>
  <si>
    <t>转回原因</t>
  </si>
  <si>
    <t>收回方式</t>
  </si>
  <si>
    <t>原确定坏账准备的依据</t>
  </si>
  <si>
    <t>转回或收回金额</t>
  </si>
  <si>
    <t>可无限量添加行</t>
  </si>
  <si>
    <t>（6）本期实际核销的应收票据情况</t>
  </si>
  <si>
    <t>项  目</t>
  </si>
  <si>
    <t>核销金额</t>
  </si>
  <si>
    <t>实际核销的应收票据</t>
  </si>
  <si>
    <t>其中，重要的应收票据核销情况如下（逐项披露）：</t>
  </si>
  <si>
    <t>核销原因</t>
  </si>
  <si>
    <t>履行的核销程序</t>
  </si>
  <si>
    <t>款项是否由关联交易产生</t>
  </si>
  <si>
    <t>（对于其中重要的应收票据，应逐项披露款项性质、核销原因、履行的核销程序及核销金额。实际核销的款项由关联交易产生的，应单独披露；）</t>
  </si>
  <si>
    <t>附注披露信息（国有企业）</t>
  </si>
  <si>
    <t>（1）应收票据分类</t>
  </si>
  <si>
    <r>
      <rPr>
        <b/>
        <sz val="12"/>
        <rFont val="仿宋_GB2312"/>
        <family val="3"/>
        <charset val="134"/>
      </rPr>
      <t>期末数</t>
    </r>
  </si>
  <si>
    <t>年初余额</t>
  </si>
  <si>
    <t>年初账面价值</t>
  </si>
  <si>
    <t>（2）坏账准备计提情况</t>
  </si>
  <si>
    <t>按坏账准备计提方法分类披露应收票据</t>
  </si>
  <si>
    <t>类  别</t>
  </si>
  <si>
    <t>账面</t>
  </si>
  <si>
    <t>金额</t>
  </si>
  <si>
    <t>比例(%)</t>
  </si>
  <si>
    <t>价值</t>
  </si>
  <si>
    <t>按坏账准备计提方法分类披露应收票据（续）</t>
  </si>
  <si>
    <t>名  称</t>
  </si>
  <si>
    <t>计提理由</t>
  </si>
  <si>
    <t>按组合计提坏账准备的应收票据：</t>
  </si>
  <si>
    <t>商业承兑汇票小计：</t>
  </si>
  <si>
    <t xml:space="preserve">  ……</t>
  </si>
  <si>
    <t>银行承兑汇票小计：</t>
  </si>
  <si>
    <t xml:space="preserve">  出票人类型或账龄</t>
  </si>
  <si>
    <t>（3）本期计提、收回或转回的应收票据坏账准备情况</t>
  </si>
  <si>
    <t>本期变动情况</t>
  </si>
  <si>
    <t>计提</t>
  </si>
  <si>
    <t>收回或转回</t>
  </si>
  <si>
    <t>核销</t>
  </si>
  <si>
    <t>其他变动</t>
  </si>
  <si>
    <t>单项计提预期信用损失的应收票据</t>
  </si>
  <si>
    <t>按组合计提预期信用损失的应收票据</t>
  </si>
  <si>
    <t xml:space="preserve">  其中：</t>
  </si>
  <si>
    <t>其中，本期转回或收回金额重要的应收票据坏账准备：</t>
  </si>
  <si>
    <t>债务人名称</t>
  </si>
  <si>
    <t>转回或收回前累计已计提坏账准备金额</t>
  </si>
  <si>
    <t>转回或收回原因、方式</t>
  </si>
  <si>
    <t>（4）期末已质押的应收票据</t>
  </si>
  <si>
    <t>（5）期末已背书或贴现但尚未到期的应收票据</t>
  </si>
  <si>
    <r>
      <rPr>
        <sz val="12"/>
        <color rgb="FF0000FF"/>
        <rFont val="仿宋_GB2312"/>
        <family val="3"/>
        <charset val="134"/>
      </rPr>
      <t>（如根据《企业会计准则第</t>
    </r>
    <r>
      <rPr>
        <sz val="12"/>
        <color rgb="FF0000FF"/>
        <rFont val="Arial Narrow"/>
        <family val="2"/>
      </rPr>
      <t>23</t>
    </r>
    <r>
      <rPr>
        <sz val="12"/>
        <color rgb="FF0000FF"/>
        <rFont val="仿宋_GB2312"/>
        <family val="3"/>
        <charset val="134"/>
      </rPr>
      <t>号</t>
    </r>
    <r>
      <rPr>
        <sz val="12"/>
        <color rgb="FF0000FF"/>
        <rFont val="Arial Narrow"/>
        <family val="2"/>
      </rPr>
      <t>——</t>
    </r>
    <r>
      <rPr>
        <sz val="12"/>
        <color rgb="FF0000FF"/>
        <rFont val="仿宋_GB2312"/>
        <family val="3"/>
        <charset val="134"/>
      </rPr>
      <t>金融资产转移》终止确认的应收票据，</t>
    </r>
  </si>
  <si>
    <r>
      <rPr>
        <sz val="12"/>
        <color rgb="FF0000FF"/>
        <rFont val="仿宋_GB2312"/>
        <family val="3"/>
        <charset val="134"/>
      </rPr>
      <t>列示其终止确认的金额，及与终止确认相关的利得和损失）</t>
    </r>
  </si>
  <si>
    <t>（6）期末因出票人未履约而其转为应收账款的票据</t>
  </si>
  <si>
    <t>（7）本期实际核销的应收票据</t>
  </si>
  <si>
    <r>
      <rPr>
        <b/>
        <sz val="12"/>
        <rFont val="仿宋_GB2312"/>
        <family val="3"/>
        <charset val="134"/>
      </rPr>
      <t>项目</t>
    </r>
  </si>
  <si>
    <r>
      <rPr>
        <b/>
        <sz val="12"/>
        <rFont val="仿宋_GB2312"/>
        <family val="3"/>
        <charset val="134"/>
      </rPr>
      <t>核销金额</t>
    </r>
  </si>
  <si>
    <t>其中，重要的应收票据核销情况</t>
  </si>
  <si>
    <r>
      <rPr>
        <b/>
        <sz val="12"/>
        <rFont val="仿宋_GB2312"/>
        <family val="3"/>
        <charset val="134"/>
      </rPr>
      <t>单位名称</t>
    </r>
  </si>
  <si>
    <t>应收票据的性质</t>
  </si>
  <si>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</si>
  <si>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</si>
  <si>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</si>
  <si>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t>应收票据原值明细表(原值）</t>
  </si>
  <si>
    <t>一、审计目标：</t>
  </si>
  <si>
    <t xml:space="preserve">应收票据以恰当的金额包括在财务报表中，与之相关的计价或分摊调整已恰当记录，相关披露已得到恰当计量和描述。 </t>
  </si>
  <si>
    <t>二、审计过程:</t>
  </si>
  <si>
    <t>1.……</t>
  </si>
  <si>
    <t>期初未审数</t>
  </si>
  <si>
    <t>期初审定数</t>
  </si>
  <si>
    <t>本期增加</t>
  </si>
  <si>
    <t>本期减少</t>
  </si>
  <si>
    <t>期末未审数</t>
  </si>
  <si>
    <t>期末审定数</t>
  </si>
  <si>
    <t>三、审计说明：</t>
  </si>
  <si>
    <t>四、审计结论：</t>
  </si>
  <si>
    <t>应收票据原值明细表(按客户）</t>
  </si>
  <si>
    <t>页  次：</t>
  </si>
  <si>
    <t>客户名称</t>
  </si>
  <si>
    <t>关联关系</t>
  </si>
  <si>
    <t>合并范围内关联方</t>
  </si>
  <si>
    <t>合并范围外关联方</t>
  </si>
  <si>
    <t>非关联方</t>
  </si>
  <si>
    <t>应收票据坏账准备明细表</t>
  </si>
  <si>
    <t>页 次：</t>
  </si>
  <si>
    <t>一、审计目标</t>
  </si>
  <si>
    <t>二、审计过程</t>
  </si>
  <si>
    <t>其他增加</t>
  </si>
  <si>
    <t>转回</t>
  </si>
  <si>
    <t>其他减少</t>
  </si>
  <si>
    <t>按单项计提</t>
  </si>
  <si>
    <t>按组合计提</t>
  </si>
  <si>
    <t xml:space="preserve">合计 </t>
  </si>
  <si>
    <t>银行承兑汇票小计</t>
  </si>
  <si>
    <t>商业承兑汇票小计</t>
  </si>
  <si>
    <t>三、审计说明</t>
  </si>
  <si>
    <t>四、审计结论</t>
  </si>
  <si>
    <t>应收票据调整分录汇总表</t>
  </si>
  <si>
    <t>调整事项说明</t>
  </si>
  <si>
    <t>类别（报表调整/账项调整/其他）</t>
  </si>
  <si>
    <t>报表项目</t>
  </si>
  <si>
    <t>科目名称</t>
  </si>
  <si>
    <t>附注项目</t>
  </si>
  <si>
    <t>……</t>
  </si>
  <si>
    <t>借方调整金额</t>
  </si>
  <si>
    <t>贷方调整金额</t>
  </si>
  <si>
    <t>索引</t>
  </si>
  <si>
    <t>备注</t>
  </si>
  <si>
    <t>提示：本底稿适用于调整分录较多、较复杂的项目，且仅列示与本报表项目相关的审计调整。项目组可根据项目实际情况选择是否使用该底稿。</t>
  </si>
  <si>
    <t>资产负债表中记录的应收票据是存在的，且已经记录在恰当的账户中。</t>
  </si>
  <si>
    <t>二、审计过程：</t>
  </si>
  <si>
    <t>（一）应收票据业务模式及依据</t>
  </si>
  <si>
    <t>组合名称</t>
  </si>
  <si>
    <t>被审计单位管理应收票据业务模式</t>
  </si>
  <si>
    <t>具体依据</t>
  </si>
  <si>
    <t>信用等级高的银行承兑汇票</t>
  </si>
  <si>
    <t>以收取合同现金流量和出售金融资产为目标</t>
  </si>
  <si>
    <t>频繁贴现、背书</t>
  </si>
  <si>
    <t>信用等级低的银行承兑汇票</t>
  </si>
  <si>
    <t>以收取合同现金流量为目标</t>
  </si>
  <si>
    <t>（二）应收票据分类判断</t>
  </si>
  <si>
    <t>了解并观察被审计单位贴现或背书的实际情况及未来预期</t>
  </si>
  <si>
    <t>1.被审计单位是否涉及大额且频繁的应收票据背书或贴现且终止确认？</t>
  </si>
  <si>
    <t>是</t>
  </si>
  <si>
    <t>2.被审计单位持有应收票据的目的是交易性的或基于应收票据的公允价值作出决策并对其进行管理？</t>
  </si>
  <si>
    <t>否</t>
  </si>
  <si>
    <t>3.未来是否预期会进行大额且频繁的应收票据背书或贴现且可终止确认？</t>
  </si>
  <si>
    <t>4.未来是否预期持有应收票据的目的是交易性的或基于应收票据的公允价值作出决策并对其进行管理？</t>
  </si>
  <si>
    <t>确定业务模式</t>
  </si>
  <si>
    <t>确定报表项目</t>
  </si>
  <si>
    <t>因此并未导致会计上的“出售"，进而也不会改变企业管理应收票据的业务模式仍然是以收取合同现金流量为目标。其次，若企业的贴现或背书行为并不频繁，或者虽然频繁但金额不大，</t>
  </si>
  <si>
    <t>则也可能不改变以收取合同现金流量为目标的业务模式。“如果企业经常贴现或背书信用等级较高的银行承兑的汇票，则其业务模式可能是既以收取合同现金流量为目标又以出售该金融</t>
  </si>
  <si>
    <t>资产为目标，从而可能需要在“应收款项融资"项目列报。信用等级较高银行：如6家大型商业银行（中国银行、中国农业银行、中国建设银行、中国工商银行、中国邮政储蓄银行、交通银行）</t>
  </si>
  <si>
    <t>和9家上市股份制商业银行（招商银行、浦发银行、中信银行、中国光大银行、华夏银行、中国民生银行、平安银行、兴业银行、浙商银行）。</t>
  </si>
  <si>
    <r>
      <rPr>
        <b/>
        <sz val="10"/>
        <color rgb="FF0000FF"/>
        <rFont val="宋体"/>
        <family val="3"/>
        <charset val="134"/>
      </rPr>
      <t>证监会《</t>
    </r>
    <r>
      <rPr>
        <b/>
        <sz val="10"/>
        <color rgb="FF0000FF"/>
        <rFont val="Arial Narrow"/>
        <family val="2"/>
      </rPr>
      <t>2013</t>
    </r>
    <r>
      <rPr>
        <b/>
        <sz val="10"/>
        <color rgb="FF0000FF"/>
        <rFont val="宋体"/>
        <family val="3"/>
        <charset val="134"/>
      </rPr>
      <t>年上市公司年报会计监管报告》</t>
    </r>
  </si>
  <si>
    <t>对于承兑行信用等级不够高的银行承兑汇票、由企业承兑的商业承兑汇票以及应收账款，资产相关的主要风险为信用风险和延期付款风险。由于我国票据法对追索权进行了明确规定，银行也</t>
  </si>
  <si>
    <t>大多在应收账款保理中保留追索权，因此这类金融资产在贴现、背书或保理后，其所有权相关的上述主要风险并没有转移给银行，相应企业在贴现、背书或保理此类金融资产时不应终止确认；</t>
  </si>
  <si>
    <t>对于承兑行信用等级较高的银行承兑汇票，资产相关的主要风险是利率风险。通常情况下，由于利率风险已随票据的贴现及背书转移，相关票据可以在贴现、背书时予以终止确认。</t>
  </si>
  <si>
    <t>应收票据备查簿核对表</t>
  </si>
  <si>
    <t>1.所有应记录的应收票据均已记录，所有应当包括在财务报表中的相关披露均已包括；2.应收票据以恰当的金额包括在财务报表中，与之相关的计价或分摊调整已恰当记录，相关披露已得到恰当计量和描述 。</t>
  </si>
  <si>
    <t>截止日期</t>
  </si>
  <si>
    <r>
      <rPr>
        <b/>
        <sz val="10"/>
        <color theme="1"/>
        <rFont val="宋体"/>
        <family val="3"/>
        <charset val="134"/>
        <scheme val="minor"/>
      </rPr>
      <t>备查簿信息</t>
    </r>
    <r>
      <rPr>
        <b/>
        <sz val="10"/>
        <color rgb="FF0000FF"/>
        <rFont val="宋体"/>
        <family val="3"/>
        <charset val="134"/>
        <scheme val="minor"/>
      </rPr>
      <t>【实务中企业的备查簿中的表述各有不同，模板仅供参考】</t>
    </r>
  </si>
  <si>
    <t>审计核对</t>
  </si>
  <si>
    <t>票据类型</t>
  </si>
  <si>
    <t>票据号</t>
  </si>
  <si>
    <t>收到票据日期</t>
  </si>
  <si>
    <t>票据前手名称</t>
  </si>
  <si>
    <t>出票日期</t>
  </si>
  <si>
    <t>出票人名称</t>
  </si>
  <si>
    <t>承兑人名称</t>
  </si>
  <si>
    <t>票据金额</t>
  </si>
  <si>
    <t>票据到期日</t>
  </si>
  <si>
    <t>票据流转日期</t>
  </si>
  <si>
    <t>票据状态</t>
  </si>
  <si>
    <t>被背书人名称</t>
  </si>
  <si>
    <t>贴现银行</t>
  </si>
  <si>
    <t>贴现息</t>
  </si>
  <si>
    <t>是否质押</t>
  </si>
  <si>
    <t>审计日已贴现、背书</t>
  </si>
  <si>
    <t>本期收到</t>
  </si>
  <si>
    <t>本期背书</t>
  </si>
  <si>
    <t>本期到期承兑</t>
  </si>
  <si>
    <t>本期贴现</t>
  </si>
  <si>
    <t>年末持有票据余额</t>
  </si>
  <si>
    <t>期末未到期背书或贴现金额</t>
  </si>
  <si>
    <t>期末未到期背书或贴现是否终止确认</t>
  </si>
  <si>
    <t>承兑单位信用评级</t>
  </si>
  <si>
    <t>审定应收款项融资</t>
  </si>
  <si>
    <t>审定应收票据</t>
  </si>
  <si>
    <t>被审计单位与前手或后手的关联关系</t>
  </si>
  <si>
    <t>是否逾期</t>
  </si>
  <si>
    <t>逾期转入应收账款金额</t>
  </si>
  <si>
    <t>背书</t>
  </si>
  <si>
    <t>贴现</t>
  </si>
  <si>
    <t>到期承兑</t>
  </si>
  <si>
    <t>未到期</t>
  </si>
  <si>
    <t>不适用</t>
  </si>
  <si>
    <t>1.将被审计单位提供的票据备查簿与明细账核对结果如下：</t>
  </si>
  <si>
    <t>2.贴现、票据已背书未到期明细：</t>
  </si>
  <si>
    <t>本期增加额</t>
  </si>
  <si>
    <t>本期减少额</t>
  </si>
  <si>
    <t>分类</t>
  </si>
  <si>
    <t>终止确认</t>
  </si>
  <si>
    <t>不终止确认</t>
  </si>
  <si>
    <t>备查簿</t>
  </si>
  <si>
    <t>已背书未到期银行承兑汇票</t>
  </si>
  <si>
    <t>明细账</t>
  </si>
  <si>
    <t>已背书未到期商业承兑汇票</t>
  </si>
  <si>
    <t>核对差异</t>
  </si>
  <si>
    <t>已贴现未到期银行承兑汇票</t>
  </si>
  <si>
    <t>已贴现未到期商业承兑汇票</t>
  </si>
  <si>
    <t>勾稽</t>
  </si>
  <si>
    <t>提示1：企业因销售商品、提供服务等取得的、不属于《中华人民共和国票据法》规范票据的“云信”、“融信”等数字化应收账款债权凭证，不应当在“应收票据”项目中列示。企业管理“云信”、“融信”等的业务模式以收取合同现金流量为目标的，应当在“应收账款”项目</t>
  </si>
  <si>
    <t>中列示；既以收取合同现金流量为目标又以出售为目标的，应当在“应收款项融资”项目中列示。如果法律上认定供应链票据属于《商业汇票承兑、贴现与再贴现管理办法》（中国人民银行中国银行保险监督管理委员会令〔2022〕第4号）的范围、具备《票据法》规定的要件，</t>
  </si>
  <si>
    <t>则持有方应当自法律认定生效日（2023年1月1日）起将其作为“应收票据”进行会计处理（根据其业务模式列示为应收票据或应收款项融资），且无需对前期比较期间数据进行追溯调整。</t>
  </si>
  <si>
    <t>提示2：根据我国票据法对追索权的规定，在背书转让合同未明确约定无追索权的情况下，该类金融资产所有权相关的主要风险并没有转移，背书公司不应终止确认相关资产。——《证监会《2017年上市公司年报会计监管报告》</t>
  </si>
  <si>
    <t>1.所有应记录的应收票据均已记录，所有应当包括在财务报表中的相关披露均已包括；</t>
  </si>
  <si>
    <t>2.应收票据以恰当的金额包括在财务报表中，与之相关的计价或分摊调整已恰当记录，相关披露已得到恰当计量和描述 。</t>
  </si>
  <si>
    <t>（一）已贴现尚未到期票据检查：</t>
  </si>
  <si>
    <t>收到日期</t>
  </si>
  <si>
    <t>出票人全称</t>
  </si>
  <si>
    <t>汇票金额</t>
  </si>
  <si>
    <t>已计利息</t>
  </si>
  <si>
    <t>到期日</t>
  </si>
  <si>
    <t>承兑银行</t>
  </si>
  <si>
    <t>承兑单位信用等级</t>
  </si>
  <si>
    <t>贴现金额</t>
  </si>
  <si>
    <t>是否终止确认</t>
  </si>
  <si>
    <t>会计处理是否正确</t>
  </si>
  <si>
    <t>（二）已背书尚未到期票据检查：</t>
  </si>
  <si>
    <t>前手</t>
  </si>
  <si>
    <t>背书转让单位</t>
  </si>
  <si>
    <t>背书转让日期</t>
  </si>
  <si>
    <t>说明</t>
  </si>
  <si>
    <r>
      <rPr>
        <sz val="10"/>
        <rFont val="宋体"/>
        <family val="3"/>
        <charset val="134"/>
        <scheme val="minor"/>
      </rPr>
      <t>1.资产负债表中记录的应收票据是存在的，且已经记录在恰当的账户中。2.所有应记录的应收票据均已记录，所有应当包括在财务报表中的相关披露均已包括。</t>
    </r>
  </si>
  <si>
    <t xml:space="preserve">3.应收票据以恰当的金额包括在财务报表中，与之相关的计价或分摊调整已恰当记录，相关披露已得到恰当计量和描述 </t>
  </si>
  <si>
    <t>监盘票据情况</t>
  </si>
  <si>
    <t>监盘日结存</t>
  </si>
  <si>
    <t>是否存在差异</t>
  </si>
  <si>
    <t>差异原因</t>
  </si>
  <si>
    <t>付款人名称</t>
  </si>
  <si>
    <t>盘点人：</t>
  </si>
  <si>
    <t>监盘人：</t>
  </si>
  <si>
    <t>监盘日期：</t>
  </si>
  <si>
    <t>资产负债表日后票据倒轧表</t>
  </si>
  <si>
    <t>资产负债表日前票据倒轧表</t>
  </si>
  <si>
    <t>监盘日金额
①</t>
  </si>
  <si>
    <t>资产负债表日至监盘日贷方发生额
②</t>
  </si>
  <si>
    <t>资产负债表至监盘日借方发生额
③</t>
  </si>
  <si>
    <t>倒推至资产负债表日金额
④=①+②-③</t>
  </si>
  <si>
    <t>资产负债表日账面金额
⑤</t>
  </si>
  <si>
    <t>差异额
⑥=④-⑤</t>
  </si>
  <si>
    <t>倒推至资产负债表日金额
④=①+③-②</t>
  </si>
  <si>
    <t>1.审计人员于      年  月    日对公司的应收票据进行了监盘，监盘时将公司存放于         中的票据全部进行清点/核对电子汇票系统持有的电子票据。</t>
  </si>
  <si>
    <t>2.我们均已查见票据原件，并与应收票据备查簿       年至      年     月     日相应的记录进行了逐一核对，核对项目包括：票据种类、出票日期、票据</t>
  </si>
  <si>
    <t>号、出票人、前手、……，记录均核对一致（底稿见索引号     ），未发现已背书未到期的票据。监盘中发现……。</t>
  </si>
  <si>
    <t>3.……</t>
  </si>
  <si>
    <t>提示：监盘日前已背书未到期的票据不应包含在应收票据监盘表中</t>
  </si>
  <si>
    <t>应收票据以恰当的金额包括在财务报表中，与之相关的计价或分摊调整已恰当记录，相关披露已得到恰当计量和描述 。</t>
  </si>
  <si>
    <t>票面金额</t>
  </si>
  <si>
    <t>票面利率</t>
  </si>
  <si>
    <t>到期日票据价值</t>
  </si>
  <si>
    <t>贴现日期</t>
  </si>
  <si>
    <t>贴现率</t>
  </si>
  <si>
    <t>账面贴现利息</t>
  </si>
  <si>
    <t>差异</t>
  </si>
  <si>
    <t xml:space="preserve">1.资产负债表中记录的应收票据是存在的，且已经记录在恰当的账户中。2.应收票据以恰当的金额包括在财务报表中，与之相关的计价或分摊调整已恰当记录，相关披露已得到恰当计量和描述 </t>
  </si>
  <si>
    <t>二、样本选取标准与规模：</t>
  </si>
  <si>
    <t>测试总体：</t>
  </si>
  <si>
    <t>如应收票据借方发生额所有凭证共XX笔金额XX、贷方发生额所有凭证共XX笔金额XX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</si>
  <si>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</si>
  <si>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</si>
  <si>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</si>
  <si>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</si>
  <si>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</si>
  <si>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抽取XX笔（如果使用了样本计算器计算样本量，样本量计算过程见&lt;XX&gt;底稿）</t>
  </si>
  <si>
    <t>抽样方法：</t>
  </si>
  <si>
    <t>抽样过程：</t>
  </si>
  <si>
    <t>使用IDEA（XX抽样工具）选择XX数量、金额XX的样本进行测试，抽样工具中的样本选择过程和结果见&lt;XX&gt;底稿</t>
  </si>
  <si>
    <t>三、测试：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</si>
  <si>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</si>
  <si>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（1）本期增减变动检查</t>
  </si>
  <si>
    <t>明细项目</t>
  </si>
  <si>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</si>
  <si>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</si>
  <si>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</si>
  <si>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</si>
  <si>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</si>
  <si>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</si>
  <si>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</si>
  <si>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</si>
  <si>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</si>
  <si>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</si>
  <si>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</si>
  <si>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</si>
  <si>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）期后贴现</t>
    </r>
    <r>
      <rPr>
        <b/>
        <sz val="10"/>
        <rFont val="Arial Narrow"/>
        <family val="2"/>
      </rPr>
      <t>\</t>
    </r>
    <r>
      <rPr>
        <b/>
        <sz val="10"/>
        <rFont val="宋体"/>
        <family val="3"/>
        <charset val="134"/>
      </rPr>
      <t>背书</t>
    </r>
    <r>
      <rPr>
        <b/>
        <sz val="10"/>
        <rFont val="Arial Narrow"/>
        <family val="2"/>
      </rPr>
      <t>\</t>
    </r>
    <r>
      <rPr>
        <b/>
        <sz val="10"/>
        <rFont val="宋体"/>
        <family val="3"/>
        <charset val="134"/>
      </rPr>
      <t>调整等检查</t>
    </r>
  </si>
  <si>
    <t>应收票据关联方关系及交易检查表</t>
  </si>
  <si>
    <t>资产负债表中记录的应收票据是存在的，且已经记录在恰当的账户中</t>
  </si>
  <si>
    <t>关联方名称</t>
  </si>
  <si>
    <t>借方发生</t>
  </si>
  <si>
    <t>贷方发生</t>
  </si>
  <si>
    <t>减：坏账准备</t>
  </si>
  <si>
    <t>发生时间及账龄</t>
  </si>
  <si>
    <t>发生原因（款项性质）</t>
  </si>
  <si>
    <t>期后已兑现或已贴现</t>
  </si>
  <si>
    <t>债务人（股东）1</t>
  </si>
  <si>
    <t>债务人（股东）2</t>
  </si>
  <si>
    <r>
      <rPr>
        <b/>
        <sz val="10"/>
        <rFont val="宋体"/>
        <family val="3"/>
        <charset val="134"/>
      </rPr>
      <t>三、审计说明：</t>
    </r>
  </si>
  <si>
    <t>实际控制人</t>
  </si>
  <si>
    <t>控股股东</t>
  </si>
  <si>
    <t>控股股东、实际控制人的附属企业</t>
  </si>
  <si>
    <t>持有5%以上股份的法人或其他组织</t>
  </si>
  <si>
    <t>联营企业</t>
  </si>
  <si>
    <t>合营企业</t>
  </si>
  <si>
    <t>董高监等关键管理人员</t>
  </si>
  <si>
    <t>其他关联方</t>
  </si>
  <si>
    <t>应收票据质押情况检查表</t>
  </si>
  <si>
    <t>票据号码</t>
  </si>
  <si>
    <t>质押金额</t>
  </si>
  <si>
    <t>质权人</t>
  </si>
  <si>
    <t>质押原因</t>
  </si>
  <si>
    <t>质押条件</t>
  </si>
  <si>
    <t>质押期限</t>
  </si>
  <si>
    <t>质押协议</t>
  </si>
  <si>
    <t>应收票据大额坏账准备转回、核销检查表</t>
  </si>
  <si>
    <t xml:space="preserve">应收票据以恰当的金额包括在财务报表中，与之相关的计价或分摊调整已恰当记录，相关披露已得到恰当计量和描述 </t>
  </si>
  <si>
    <t>（一）本期重要的坏账准备转回检查</t>
  </si>
  <si>
    <t>收回或转回金额</t>
  </si>
  <si>
    <t>收回或转回前累计已计提坏账准备金额</t>
  </si>
  <si>
    <t>合理性分析</t>
  </si>
  <si>
    <t>（二）本期重要的核销应收票据检查</t>
  </si>
  <si>
    <t>是否由关联交易产生</t>
  </si>
  <si>
    <t>应收票据坏账准备会计政策检查</t>
  </si>
  <si>
    <t>（一）应收票据坏账准备计提政策</t>
  </si>
  <si>
    <t>【应说明被审计单位预期信用损失计量、组合划分依据等】</t>
  </si>
  <si>
    <t>（二）被审计单位历史坏账损失情况</t>
  </si>
  <si>
    <t>【应说明被审计单位应收票据历史损失率的数据来源，以及项目组核实该等数据所执行的程序。需考虑货币的时间价值】</t>
  </si>
  <si>
    <t>（三）前瞻性信息的来源及其影响</t>
  </si>
  <si>
    <t>【应说明被审计单位确定预期损失率的前瞻性信息来源（包括内部模型、第三方服务机构或利用外部专家工作等，以及项目组对前瞻</t>
  </si>
  <si>
    <t>性信息可靠性所执行的程序】</t>
  </si>
  <si>
    <t>（四）同行业公司的坏账准备会计政策</t>
  </si>
  <si>
    <t>XX公司</t>
  </si>
  <si>
    <t>被审计单位坏账准备的计提相关的会计政策和会计估计与企业会计准则的规定一致，反映了被审计单位经济业务的实际情况，与同行业公司相比不存在显著差异，且坏账准备政策得到一贯性地执行。</t>
  </si>
  <si>
    <t>提示：上市公司会计政策披露示例参考</t>
  </si>
  <si>
    <t>中国中铁</t>
  </si>
  <si>
    <t>对于应收票据及应收账款和合同资产，无论是否存在重大融资成分，本集团均按照整个存续期的预期信用损失计量损失准备。
本集团依据信用风险特征将应收票据及应收账款和合同资产划分为若干组合，在组合基础上计算预期信用损失，确定组合的依据如下：
应收票据组合1 商业承兑汇票
应收票据组合2 银行承兑汇票
对于划分为组合的应收票据和合同资产，本集团参考历史信用损失经验，结合当前状况以及对未来经济状况的预测，通过违约风险敞口和整个存续期预期信用损失率，计算预期信用损失。
组合 — 商业承兑汇票：整个存续期预期信用损失率 0.25%
组合 — 银行承兑汇票：本集团按照整个存续期预期信用损失计量银行承兑汇票坏账准备。本集团认为所持有的银行承兑汇票不存在重大的信用风险，不会因银行或其他出票人违约而产生重大损失。</t>
  </si>
  <si>
    <t>南方航空</t>
  </si>
  <si>
    <t>对于应收账款和租赁应收款，本集团始终按照相当于整个存续期内预期信用损失的金额计量其损失准备。本集团基于历史信用损失经验、使用准备矩阵计算上述金融资产的预期信用损失，相关历史经验根据资产负债表日债务人的特定因素、以及对当前状况和未来经济状况预测的评估进行调整。</t>
  </si>
  <si>
    <t>长城汽车</t>
  </si>
  <si>
    <t>本集团对由新收入准则规范的交易形成的未包含重大融资成分或不考虑不超过一年的合同中的融资成分的合同资产与应收账款按照相当于整个存续期内预期信用损失的金额计量损失准备。
本集团对应收账款、其他分类为按摊余成本计量的金融资产和分类为以公允价值计量且其变动计入其他综合收益的债务工具在组合基础上采用减值矩阵确定相关金融工具的信用损失。本集团以共同风险特征为依据，将金融工具分为不同组别。本集团采用的共同信用风险特征包括：金融工具类型、信用风险评级、担保物类型、初始确认日期、剩余合同期限、债务人所处行业、债务人所处地理位置、担保品相对于金融资产的价值等。</t>
  </si>
  <si>
    <t>金隅集团</t>
  </si>
  <si>
    <t>对于不含重大融资成分的应收款项以及合同资产，本集团运用简化计量方法，按照相当于整个存续期内的预期信用损失金额计量损失准备。
对于租赁应收款、包含重大融资成分的应收款项以及合同资产，本集团选择运用简化计量方法，按照相当于整个存续期内的预期信用损失金额计量损失准备。
除某些金融资产基于单项为基础评估逾期信用损失之外，本集团还以账龄组合为基础评估以摊余成本计量金融资产的预期信用损失。
本集团在评估预期信用损失时，考虑所有合理且有依据的信息，包括前瞻性信息。</t>
  </si>
  <si>
    <t>应收票据坏账准备测算表</t>
  </si>
  <si>
    <t>1.重新计算应计提的坏账准备，与被审计单位已记录的坏账准备进行比较。</t>
  </si>
  <si>
    <t>（一）单项计提坏账准备</t>
  </si>
  <si>
    <t>审定应收票据账面余额</t>
  </si>
  <si>
    <t>预期信用损失率</t>
  </si>
  <si>
    <t>期末应计提坏账准备</t>
  </si>
  <si>
    <t>期末坏账准备账面余额</t>
  </si>
  <si>
    <t>坏账准备计提依据及文件</t>
  </si>
  <si>
    <t>①</t>
  </si>
  <si>
    <t>②</t>
  </si>
  <si>
    <t>③=①×②</t>
  </si>
  <si>
    <t>④=①-③</t>
  </si>
  <si>
    <t>⑤=③-④</t>
  </si>
  <si>
    <t>（二）分组合计提坏账准备</t>
  </si>
  <si>
    <t>信用风险等级高的银行承兑汇票</t>
  </si>
  <si>
    <t>信用风险等级低的银行承兑汇票</t>
  </si>
  <si>
    <t>提示1:对于在收入确认时对应收账款进行初始确认，后又将该应收账款转为商业承兑汇票结算的，按照账龄连续计算的原则对应收票据计提坏账准备。（《首发审核财务与会计知识问答》）</t>
  </si>
  <si>
    <t>提示2：预期信用损失计量测试可参考预期信用损失计算示例</t>
  </si>
  <si>
    <t>关于应收票据业务模式：</t>
  </si>
  <si>
    <t>1.业务模式决定企业所管理金融资产现金流量的来源是收取合同现金流量、出售金融资产还是两者兼有。</t>
  </si>
  <si>
    <t>2.业务模式是一项事实而非仅仅是认定，也不是一项选择，不依赖于管理层对单项工具的意图。</t>
  </si>
  <si>
    <t>3.业务模式应当在反映如何对多组金融资产一起进行管理以实现特定业务目标的层次上确定。</t>
  </si>
  <si>
    <t>4.出售本身并不能决定业务模式。
5.但频繁且重大的出售（贴现或背书）说明业务模式不是以收取合同现金流量为目标。</t>
  </si>
  <si>
    <t>在了解被审计单位管理金融资产业务模式时，考虑：</t>
  </si>
  <si>
    <r>
      <rPr>
        <sz val="10"/>
        <color rgb="FF0000FF"/>
        <rFont val="Arial Narrow"/>
        <family val="2"/>
      </rPr>
      <t>1.</t>
    </r>
    <r>
      <rPr>
        <sz val="10"/>
        <color rgb="FF0000FF"/>
        <rFont val="宋体"/>
        <family val="3"/>
        <charset val="134"/>
      </rPr>
      <t>了解并观察被审计单位如何管理其金融资产以产生现金流量</t>
    </r>
  </si>
  <si>
    <r>
      <rPr>
        <sz val="10"/>
        <color rgb="FF0000FF"/>
        <rFont val="Arial Narrow"/>
        <family val="2"/>
      </rPr>
      <t xml:space="preserve">1.1 </t>
    </r>
    <r>
      <rPr>
        <sz val="10"/>
        <color rgb="FF0000FF"/>
        <rFont val="宋体"/>
        <family val="3"/>
        <charset val="134"/>
      </rPr>
      <t>了解被审计单位关键管理人员决定的对金融资产进行管理的特定业务目标；</t>
    </r>
  </si>
  <si>
    <r>
      <rPr>
        <sz val="10"/>
        <color rgb="FF0000FF"/>
        <rFont val="Arial Narrow"/>
        <family val="2"/>
      </rPr>
      <t xml:space="preserve">1.2 </t>
    </r>
    <r>
      <rPr>
        <sz val="10"/>
        <color rgb="FF0000FF"/>
        <rFont val="宋体"/>
        <family val="3"/>
        <charset val="134"/>
      </rPr>
      <t>考虑被审计单位评价和向关键管理人员报告金融资产业绩的方式、影响金融资产业绩的风险及其管理方式以及相关业务管理人员获得报酬的方式（例如报酬是基于所管理资产的公允价值还是所收取的合同现金流量）等。</t>
    </r>
  </si>
  <si>
    <r>
      <rPr>
        <sz val="10"/>
        <color rgb="FF0000FF"/>
        <rFont val="Arial Narrow"/>
        <family val="2"/>
      </rPr>
      <t xml:space="preserve">2. </t>
    </r>
    <r>
      <rPr>
        <sz val="10"/>
        <color rgb="FF0000FF"/>
        <rFont val="宋体"/>
        <family val="3"/>
        <charset val="134"/>
      </rPr>
      <t>了解被审计单位确定业务模式的层次。若被审计单位将应收票据划分为不同的组合从而确定多个业务模式，分析划分组合的依据是否明确，各组合是否可明确区分。</t>
    </r>
  </si>
  <si>
    <r>
      <rPr>
        <sz val="10"/>
        <color rgb="FF0000FF"/>
        <rFont val="Arial Narrow"/>
        <family val="2"/>
      </rPr>
      <t xml:space="preserve">3. </t>
    </r>
    <r>
      <rPr>
        <sz val="10"/>
        <color rgb="FF0000FF"/>
        <rFont val="宋体"/>
        <family val="3"/>
        <charset val="134"/>
      </rPr>
      <t>对于以收取合同现金流量为目标的业务模式：</t>
    </r>
  </si>
  <si>
    <r>
      <rPr>
        <sz val="10"/>
        <color rgb="FF0000FF"/>
        <rFont val="Arial Narrow"/>
        <family val="2"/>
      </rPr>
      <t xml:space="preserve">3.1 </t>
    </r>
    <r>
      <rPr>
        <sz val="10"/>
        <color rgb="FF0000FF"/>
        <rFont val="宋体"/>
        <family val="3"/>
        <charset val="134"/>
      </rPr>
      <t>了解以前的出售（背书或贴现）是否频繁，但金额不重大；或金额虽重大（如在压力情景下出售），但不频繁；</t>
    </r>
  </si>
  <si>
    <r>
      <rPr>
        <sz val="10"/>
        <color rgb="FF0000FF"/>
        <rFont val="Arial Narrow"/>
        <family val="2"/>
      </rPr>
      <t xml:space="preserve">3.2 </t>
    </r>
    <r>
      <rPr>
        <sz val="10"/>
        <color rgb="FF0000FF"/>
        <rFont val="宋体"/>
        <family val="3"/>
        <charset val="134"/>
      </rPr>
      <t>了解以前的出售（背书或贴现）是否在接近到期日发生；</t>
    </r>
  </si>
  <si>
    <r>
      <rPr>
        <sz val="10"/>
        <color rgb="FF0000FF"/>
        <rFont val="Arial Narrow"/>
        <family val="2"/>
      </rPr>
      <t xml:space="preserve">3.3 </t>
    </r>
    <r>
      <rPr>
        <sz val="10"/>
        <color rgb="FF0000FF"/>
        <rFont val="宋体"/>
        <family val="3"/>
        <charset val="134"/>
      </rPr>
      <t>了解被审计单位对未来出售（背书或贴现）活动的预期。</t>
    </r>
  </si>
  <si>
    <r>
      <rPr>
        <sz val="10"/>
        <color rgb="FF0000FF"/>
        <rFont val="Arial Narrow"/>
        <family val="2"/>
      </rPr>
      <t xml:space="preserve">4. </t>
    </r>
    <r>
      <rPr>
        <sz val="10"/>
        <color rgb="FF0000FF"/>
        <rFont val="宋体"/>
        <family val="3"/>
        <charset val="134"/>
      </rPr>
      <t>对于以收取合同现金流量和出售金融资产为目标的业务模式：</t>
    </r>
  </si>
  <si>
    <r>
      <rPr>
        <sz val="10"/>
        <color rgb="FF0000FF"/>
        <rFont val="Arial Narrow"/>
        <family val="2"/>
      </rPr>
      <t xml:space="preserve">4.1 </t>
    </r>
    <r>
      <rPr>
        <sz val="10"/>
        <color rgb="FF0000FF"/>
        <rFont val="宋体"/>
        <family val="3"/>
        <charset val="134"/>
      </rPr>
      <t>了解收取合同现金流量和出售金融资产对于实现其管理目标而言是否都是不可或缺的；</t>
    </r>
  </si>
  <si>
    <r>
      <rPr>
        <sz val="10"/>
        <color rgb="FF0000FF"/>
        <rFont val="Arial Narrow"/>
        <family val="2"/>
      </rPr>
      <t xml:space="preserve">4.2 </t>
    </r>
    <r>
      <rPr>
        <sz val="10"/>
        <color rgb="FF0000FF"/>
        <rFont val="宋体"/>
        <family val="3"/>
        <charset val="134"/>
      </rPr>
      <t>了解被审计单位是否涉及更高频率和更大价值的出售，即经常进行大额贴现或背书。</t>
    </r>
  </si>
  <si>
    <r>
      <rPr>
        <sz val="10"/>
        <color rgb="FF0000FF"/>
        <rFont val="Arial Narrow"/>
        <family val="2"/>
      </rPr>
      <t xml:space="preserve">5. </t>
    </r>
    <r>
      <rPr>
        <sz val="10"/>
        <color rgb="FF0000FF"/>
        <rFont val="宋体"/>
        <family val="3"/>
        <charset val="134"/>
      </rPr>
      <t>对于其他业务模式：</t>
    </r>
  </si>
  <si>
    <r>
      <rPr>
        <sz val="10"/>
        <color rgb="FF0000FF"/>
        <rFont val="Arial Narrow"/>
        <family val="2"/>
      </rPr>
      <t xml:space="preserve">5.1 </t>
    </r>
    <r>
      <rPr>
        <sz val="10"/>
        <color rgb="FF0000FF"/>
        <rFont val="宋体"/>
        <family val="3"/>
        <charset val="134"/>
      </rPr>
      <t>了解被审计单位持有应收票据的目的是否是交易性的；</t>
    </r>
  </si>
  <si>
    <r>
      <rPr>
        <sz val="10"/>
        <color rgb="FF0000FF"/>
        <rFont val="Arial Narrow"/>
        <family val="2"/>
      </rPr>
      <t xml:space="preserve">5.2 </t>
    </r>
    <r>
      <rPr>
        <sz val="10"/>
        <color rgb="FF0000FF"/>
        <rFont val="宋体"/>
        <family val="3"/>
        <charset val="134"/>
      </rPr>
      <t>了解被审计单位是否基于应收票据的公允价值作出决策并对其进行管理。</t>
    </r>
  </si>
  <si>
    <t>贴息天数</t>
    <phoneticPr fontId="123" type="noConversion"/>
  </si>
  <si>
    <t>应计贴现利息</t>
    <phoneticPr fontId="123" type="noConversion"/>
  </si>
  <si>
    <t>D1-1</t>
    <phoneticPr fontId="123" type="noConversion"/>
  </si>
  <si>
    <r>
      <rPr>
        <sz val="10"/>
        <rFont val="宋体"/>
        <family val="3"/>
        <charset val="134"/>
      </rPr>
      <t>索引号</t>
    </r>
  </si>
  <si>
    <t>D1-1
/D1-2
/D1-3
/D1-4</t>
    <phoneticPr fontId="123" type="noConversion"/>
  </si>
  <si>
    <t>获取或编制应收票据明细表，完成以下工作，并编制审定表：
（1）复核加计是否正确，与总账、明细账合计数核对是否相符，期初余额与上期审定期末余额是否相符；
（2）结合坏账准备明细表与报表核对是否相符；
（3）检查已逾期应收票据是否结转至应收账款。</t>
    <phoneticPr fontId="123" type="noConversion"/>
  </si>
  <si>
    <t>对于贴现、背书的应收票据业务：编制已贴现或已背书未到期票据清单确定会计处理是否正确，复核贴现息计算是否正确，检查是否存在贴现保证金。</t>
    <phoneticPr fontId="123" type="noConversion"/>
  </si>
  <si>
    <t>D1-8
/D1-9</t>
    <phoneticPr fontId="123" type="noConversion"/>
  </si>
  <si>
    <t>D1-10</t>
    <phoneticPr fontId="123" type="noConversion"/>
  </si>
  <si>
    <t>勿删、勿改</t>
    <phoneticPr fontId="123" type="noConversion"/>
  </si>
  <si>
    <t>D1-12</t>
    <phoneticPr fontId="123" type="noConversion"/>
  </si>
  <si>
    <t>/D1-14
/D1-15
/D1-16</t>
    <phoneticPr fontId="123" type="noConversion"/>
  </si>
  <si>
    <t>一、审计目标：</t>
    <phoneticPr fontId="123" type="noConversion"/>
  </si>
  <si>
    <t>记录的应收票据由被审计单位拥有或控制</t>
    <phoneticPr fontId="123" type="noConversion"/>
  </si>
  <si>
    <t>结合借款等债务审计，检查是否存在质押、担保等所有权受到限制的票据。</t>
    <phoneticPr fontId="123" type="noConversion"/>
  </si>
  <si>
    <t>D1-11</t>
    <phoneticPr fontId="123" type="noConversion"/>
  </si>
  <si>
    <t>D1-13</t>
    <phoneticPr fontId="123" type="noConversion"/>
  </si>
  <si>
    <t>D1-13</t>
    <phoneticPr fontId="123" type="noConversion"/>
  </si>
  <si>
    <t>18</t>
  </si>
  <si>
    <t>财务公司承兑汇票</t>
  </si>
  <si>
    <t>提示1：就票据的贴现或背书而言，首先需要分析贴现或背书是否导致了终止确认。对于信用等级较低的银行承兑的汇票或由企业承兑的商业承兑汇票，贴现或背书时并不能终止确认，</t>
    <phoneticPr fontId="123" type="noConversion"/>
  </si>
  <si>
    <t>提示2：还需确定管理应收票据的组合层次，例如应收票据整体作为组合来评估业务模式；区分银行承兑汇票和财务公司承兑汇票、商业承兑汇票两个组合分别评估业务模式；</t>
    <phoneticPr fontId="123" type="noConversion"/>
  </si>
  <si>
    <t>划分为信用等级较高的银行承兑的汇票，信用等级不高的银行承兑的汇票和由企业承兑的商业承兑汇票、财务公司承兑汇票。</t>
    <phoneticPr fontId="123" type="noConversion"/>
  </si>
  <si>
    <r>
      <rPr>
        <sz val="10"/>
        <rFont val="宋体"/>
        <family val="3"/>
        <charset val="134"/>
      </rPr>
      <t>索引号：</t>
    </r>
    <r>
      <rPr>
        <sz val="10"/>
        <rFont val="Arial Narrow"/>
        <family val="2"/>
      </rPr>
      <t>D1-1</t>
    </r>
    <phoneticPr fontId="12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</si>
  <si>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23" type="noConversion"/>
  </si>
  <si>
    <t>关于工作底稿与审计程序索引号对应的说明</t>
    <phoneticPr fontId="123"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</si>
  <si>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3"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</si>
  <si>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23"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</si>
  <si>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23" type="noConversion"/>
  </si>
  <si>
    <t>函证结果汇总表</t>
  </si>
  <si>
    <t>核实被函证单位信息</t>
  </si>
  <si>
    <t>跟函函证过程控制</t>
  </si>
  <si>
    <t>函证差异调节表</t>
  </si>
  <si>
    <t>邮件传真回函可靠性验证</t>
  </si>
  <si>
    <t>函证程序舞弊风险评价表</t>
  </si>
  <si>
    <t>D0-1</t>
  </si>
  <si>
    <t>D0-2</t>
  </si>
  <si>
    <t>D0-3</t>
  </si>
  <si>
    <t>D0-4</t>
  </si>
  <si>
    <t>应收及销售替代程序检查表</t>
  </si>
  <si>
    <t>D0-6</t>
  </si>
  <si>
    <t>D0-7</t>
  </si>
  <si>
    <t>D0-8</t>
  </si>
  <si>
    <t>根据被审计单位实际情况和风险评估情况裁剪、修改或增加审计程序</t>
    <phoneticPr fontId="123" type="noConversion"/>
  </si>
  <si>
    <t>审计程序</t>
    <phoneticPr fontId="125" type="noConversion"/>
  </si>
  <si>
    <t>随机选样/系统选样/货币单元抽样/随意选样（非统计抽样适用）</t>
    <phoneticPr fontId="123" type="noConversion"/>
  </si>
  <si>
    <t>方向</t>
    <phoneticPr fontId="123" type="noConversion"/>
  </si>
  <si>
    <t>账面金额</t>
    <phoneticPr fontId="123" type="noConversion"/>
  </si>
  <si>
    <t>如果检查比例较低应扩大检查样本量或说明原因</t>
    <phoneticPr fontId="123" type="noConversion"/>
  </si>
  <si>
    <r>
      <t>1.</t>
    </r>
    <r>
      <rPr>
        <sz val="10"/>
        <rFont val="宋体"/>
        <family val="3"/>
        <charset val="134"/>
      </rPr>
      <t>本期发生额、期末余额检查比例：</t>
    </r>
    <phoneticPr fontId="123" type="noConversion"/>
  </si>
  <si>
    <t>检查金额</t>
    <phoneticPr fontId="123" type="noConversion"/>
  </si>
  <si>
    <t>检查比例</t>
    <phoneticPr fontId="123" type="noConversion"/>
  </si>
  <si>
    <t>本期借方</t>
    <phoneticPr fontId="123" type="noConversion"/>
  </si>
  <si>
    <t>本期贷方</t>
    <phoneticPr fontId="123" type="noConversion"/>
  </si>
  <si>
    <t>期末余额</t>
    <phoneticPr fontId="123" type="noConversion"/>
  </si>
  <si>
    <t>2.……</t>
    <phoneticPr fontId="123" type="noConversion"/>
  </si>
  <si>
    <t>应收票据业务模式分析</t>
    <phoneticPr fontId="123" type="noConversion"/>
  </si>
  <si>
    <t>公司代码</t>
    <phoneticPr fontId="123" type="noConversion"/>
  </si>
  <si>
    <t>期末余额</t>
    <phoneticPr fontId="123" type="noConversion"/>
  </si>
  <si>
    <t>被审计单位重分类调整</t>
    <phoneticPr fontId="123" type="noConversion"/>
  </si>
  <si>
    <t>期末未审余额</t>
    <phoneticPr fontId="123" type="noConversion"/>
  </si>
  <si>
    <t>如果核对电子汇票系统中的电子票据，应记录登录系统的过程、截图保存票据系统网页等检查过程。</t>
    <phoneticPr fontId="123" type="noConversion"/>
  </si>
  <si>
    <t>监盘库存票据：
（1）与“应收票据备查簿”的有关内容核对记录是否相符；
（2）监盘应形成审计记录。对于电子票据应当在被审计单位人员协助下进入电子汇票系统核对票据并记录登录过程、取得系统截图；纸质票据应取得票据原件，并保留复印件。
（3）关注是否对背书转让或贴现的票据负有连带责任、是否存在已作质押或和银行退回的票据，了解具体情况并检查相应支持性证据。</t>
    <phoneticPr fontId="1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</si>
</sst>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_(* #,##0.00_);_(* \(#,##0.00\);_(* &quot;-&quot;??_);_(@_)"/>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0_);\(#,##0\)"/>
    <numFmt numFmtId="210" formatCode="yyyy\-mm\-dd;@"/>
    <numFmt numFmtId="211" formatCode="0.0000%"/>
    <numFmt numFmtId="212" formatCode="#,##0.00_ "/>
    <numFmt numFmtId="213" formatCode="0.00_);[Red]\(0.00\)"/>
  </numFmts>
  <fonts count="129">
    <font>
      <sz val="12"/>
      <name val="宋体"/>
      <charset val="134"/>
    </font>
    <font>
      <sz val="11"/>
      <color theme="1"/>
      <name val="宋体"/>
      <family val="2"/>
      <charset val="134"/>
      <scheme val="minor"/>
    </font>
    <font>
      <sz val="10"/>
      <color rgb="FF0000FF"/>
      <name val="宋体"/>
      <family val="3"/>
      <charset val="134"/>
    </font>
    <font>
      <sz val="10"/>
      <color rgb="FF0000FF"/>
      <name val="Arial Narrow"/>
      <family val="2"/>
    </font>
    <font>
      <sz val="10"/>
      <name val="Arial Narrow"/>
      <family val="2"/>
    </font>
    <font>
      <sz val="12"/>
      <color rgb="FF0000FF"/>
      <name val="宋体"/>
      <family val="3"/>
      <charset val="134"/>
    </font>
    <font>
      <sz val="10"/>
      <name val="宋体"/>
      <family val="3"/>
      <charset val="134"/>
      <scheme val="minor"/>
    </font>
    <font>
      <b/>
      <sz val="12"/>
      <name val="宋体"/>
      <family val="3"/>
      <charset val="134"/>
      <scheme val="minor"/>
    </font>
    <font>
      <b/>
      <sz val="14"/>
      <name val="宋体"/>
      <family val="3"/>
      <charset val="134"/>
      <scheme val="minor"/>
    </font>
    <font>
      <u/>
      <sz val="10"/>
      <color indexed="12"/>
      <name val="Arial Narrow"/>
      <family val="2"/>
    </font>
    <font>
      <b/>
      <sz val="10"/>
      <name val="宋体"/>
      <family val="3"/>
      <charset val="134"/>
      <scheme val="minor"/>
    </font>
    <font>
      <sz val="10"/>
      <color rgb="FFFF0000"/>
      <name val="宋体"/>
      <family val="3"/>
      <charset val="134"/>
      <scheme val="minor"/>
    </font>
    <font>
      <sz val="10"/>
      <color rgb="FFFF0000"/>
      <name val="Arial Narrow"/>
      <family val="2"/>
    </font>
    <font>
      <sz val="10"/>
      <color indexed="8"/>
      <name val="宋体"/>
      <family val="3"/>
      <charset val="134"/>
      <scheme val="minor"/>
    </font>
    <font>
      <b/>
      <sz val="10"/>
      <color theme="1"/>
      <name val="宋体"/>
      <family val="3"/>
      <charset val="134"/>
      <scheme val="minor"/>
    </font>
    <font>
      <b/>
      <sz val="10"/>
      <color rgb="FFFF0000"/>
      <name val="Arial Narrow"/>
      <family val="2"/>
    </font>
    <font>
      <b/>
      <sz val="10"/>
      <name val="Arial Narrow"/>
      <family val="2"/>
    </font>
    <font>
      <b/>
      <sz val="10"/>
      <color indexed="8"/>
      <name val="宋体"/>
      <family val="3"/>
      <charset val="134"/>
      <scheme val="minor"/>
    </font>
    <font>
      <sz val="10"/>
      <color indexed="8"/>
      <name val="Arial Narrow"/>
      <family val="2"/>
    </font>
    <font>
      <b/>
      <sz val="10"/>
      <color indexed="8"/>
      <name val="Arial Narrow"/>
      <family val="2"/>
    </font>
    <font>
      <b/>
      <sz val="10"/>
      <color rgb="FFFF0000"/>
      <name val="宋体"/>
      <family val="3"/>
      <charset val="134"/>
      <scheme val="minor"/>
    </font>
    <font>
      <sz val="10"/>
      <color rgb="FF0000FF"/>
      <name val="宋体"/>
      <family val="3"/>
      <charset val="134"/>
      <scheme val="minor"/>
    </font>
    <font>
      <b/>
      <sz val="10"/>
      <color rgb="FF0000FF"/>
      <name val="宋体"/>
      <family val="3"/>
      <charset val="134"/>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b/>
      <sz val="10"/>
      <color indexed="8"/>
      <name val="宋体"/>
      <family val="3"/>
      <charset val="134"/>
    </font>
    <font>
      <sz val="10"/>
      <color indexed="8"/>
      <name val="宋体"/>
      <family val="3"/>
      <charset val="134"/>
    </font>
    <font>
      <sz val="10"/>
      <color indexed="12"/>
      <name val="宋体"/>
      <family val="3"/>
      <charset val="134"/>
    </font>
    <font>
      <b/>
      <sz val="10"/>
      <color indexed="12"/>
      <name val="宋体"/>
      <family val="3"/>
      <charset val="134"/>
    </font>
    <font>
      <u/>
      <sz val="10"/>
      <color indexed="12"/>
      <name val="宋体"/>
      <family val="3"/>
      <charset val="134"/>
    </font>
    <font>
      <b/>
      <sz val="10"/>
      <color rgb="FFFF0000"/>
      <name val="宋体"/>
      <family val="3"/>
      <charset val="134"/>
    </font>
    <font>
      <sz val="10"/>
      <color indexed="12"/>
      <name val="宋体"/>
      <family val="3"/>
      <charset val="134"/>
      <scheme val="minor"/>
    </font>
    <font>
      <b/>
      <sz val="10"/>
      <color rgb="FF0000FF"/>
      <name val="宋体"/>
      <family val="3"/>
      <charset val="134"/>
      <scheme val="minor"/>
    </font>
    <font>
      <b/>
      <sz val="10"/>
      <color rgb="FFE92841"/>
      <name val="宋体"/>
      <family val="3"/>
      <charset val="134"/>
      <scheme val="minor"/>
    </font>
    <font>
      <sz val="10"/>
      <color theme="1"/>
      <name val="宋体"/>
      <family val="3"/>
      <charset val="134"/>
      <scheme val="minor"/>
    </font>
    <font>
      <i/>
      <sz val="10"/>
      <color indexed="12"/>
      <name val="宋体"/>
      <family val="3"/>
      <charset val="134"/>
      <scheme val="minor"/>
    </font>
    <font>
      <b/>
      <sz val="10"/>
      <color indexed="12"/>
      <name val="宋体"/>
      <family val="3"/>
      <charset val="134"/>
      <scheme val="minor"/>
    </font>
    <font>
      <b/>
      <sz val="10"/>
      <color indexed="10"/>
      <name val="宋体"/>
      <family val="3"/>
      <charset val="134"/>
      <scheme val="minor"/>
    </font>
    <font>
      <b/>
      <sz val="12"/>
      <name val="Arial Narrow"/>
      <family val="2"/>
    </font>
    <font>
      <b/>
      <sz val="12"/>
      <name val="仿宋_GB2312"/>
      <family val="3"/>
      <charset val="134"/>
    </font>
    <font>
      <sz val="12"/>
      <name val="仿宋_GB2312"/>
      <family val="3"/>
      <charset val="134"/>
    </font>
    <font>
      <sz val="12"/>
      <name val="Arial Narrow"/>
      <family val="2"/>
    </font>
    <font>
      <sz val="10.5"/>
      <name val="仿宋_GB2312"/>
      <family val="3"/>
      <charset val="134"/>
    </font>
    <font>
      <b/>
      <sz val="10.5"/>
      <name val="仿宋_GB2312"/>
      <family val="3"/>
      <charset val="134"/>
    </font>
    <font>
      <sz val="10"/>
      <name val="仿宋_GB2312"/>
      <family val="3"/>
      <charset val="134"/>
    </font>
    <font>
      <sz val="10.5"/>
      <name val="Arial Narrow"/>
      <family val="2"/>
    </font>
    <font>
      <b/>
      <sz val="10.5"/>
      <color rgb="FF000000"/>
      <name val="仿宋_GB2312"/>
      <family val="3"/>
      <charset val="134"/>
    </font>
    <font>
      <b/>
      <sz val="10.5"/>
      <name val="Arial Narrow"/>
      <family val="2"/>
    </font>
    <font>
      <sz val="10.5"/>
      <color rgb="FFFF0000"/>
      <name val="仿宋_GB2312"/>
      <family val="3"/>
      <charset val="134"/>
    </font>
    <font>
      <sz val="12"/>
      <color theme="1"/>
      <name val="Arial Narrow"/>
      <family val="2"/>
    </font>
    <font>
      <sz val="12"/>
      <color rgb="FF0000FF"/>
      <name val="Arial Narrow"/>
      <family val="2"/>
    </font>
    <font>
      <b/>
      <sz val="12"/>
      <color theme="1"/>
      <name val="Arial Narrow"/>
      <family val="2"/>
    </font>
    <font>
      <sz val="12"/>
      <color theme="1"/>
      <name val="仿宋_GB2312"/>
      <family val="3"/>
      <charset val="134"/>
    </font>
    <font>
      <sz val="12"/>
      <color rgb="FF0000FF"/>
      <name val="仿宋_GB2312"/>
      <family val="3"/>
      <charset val="134"/>
    </font>
    <font>
      <b/>
      <sz val="12"/>
      <color theme="1"/>
      <name val="仿宋_GB2312"/>
      <family val="3"/>
      <charset val="134"/>
    </font>
    <font>
      <sz val="12"/>
      <color rgb="FFFF0000"/>
      <name val="仿宋_GB2312"/>
      <family val="3"/>
      <charset val="134"/>
    </font>
    <font>
      <b/>
      <sz val="12"/>
      <color rgb="FF000000"/>
      <name val="Arial Narrow"/>
      <family val="2"/>
    </font>
    <font>
      <b/>
      <sz val="12"/>
      <name val="微软雅黑"/>
      <family val="2"/>
      <charset val="134"/>
    </font>
    <font>
      <sz val="12"/>
      <color rgb="FFFF0000"/>
      <name val="Arial Narrow"/>
      <family val="2"/>
    </font>
    <font>
      <b/>
      <sz val="12"/>
      <color rgb="FF000000"/>
      <name val="仿宋_GB2312"/>
      <family val="3"/>
      <charset val="134"/>
    </font>
    <font>
      <sz val="12"/>
      <color rgb="FF000000"/>
      <name val="仿宋_GB2312"/>
      <family val="3"/>
      <charset val="134"/>
    </font>
    <font>
      <i/>
      <u/>
      <sz val="10"/>
      <color indexed="12"/>
      <name val="宋体"/>
      <family val="3"/>
      <charset val="134"/>
    </font>
    <font>
      <u/>
      <sz val="10"/>
      <name val="Arial Narrow"/>
      <family val="2"/>
    </font>
    <font>
      <sz val="10"/>
      <color theme="1"/>
      <name val="宋体"/>
      <family val="3"/>
      <charset val="134"/>
    </font>
    <font>
      <sz val="10"/>
      <color theme="1"/>
      <name val="Arial Narrow"/>
      <family val="2"/>
    </font>
    <font>
      <b/>
      <sz val="10"/>
      <color theme="1"/>
      <name val="宋体"/>
      <family val="3"/>
      <charset val="134"/>
    </font>
    <font>
      <sz val="11"/>
      <color theme="1"/>
      <name val="宋体"/>
      <family val="3"/>
      <charset val="134"/>
      <scheme val="minor"/>
    </font>
    <font>
      <u/>
      <sz val="12"/>
      <color indexed="12"/>
      <name val="宋体"/>
      <family val="3"/>
      <charset val="134"/>
    </font>
    <font>
      <sz val="10"/>
      <name val="Arial"/>
      <family val="2"/>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1"/>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8"/>
      <name val="Century Schoolbook"/>
      <family val="1"/>
    </font>
    <font>
      <sz val="12"/>
      <name val="Times New Roman"/>
      <family val="1"/>
    </font>
    <font>
      <sz val="11"/>
      <name val="蹈框"/>
      <charset val="134"/>
    </font>
    <font>
      <sz val="11"/>
      <name val="ＭＳ Ｐゴシック"/>
      <family val="2"/>
    </font>
    <font>
      <sz val="12"/>
      <name val="바탕체"/>
      <family val="3"/>
    </font>
    <font>
      <b/>
      <sz val="10"/>
      <color rgb="FF0000FF"/>
      <name val="Arial Narrow"/>
      <family val="2"/>
    </font>
    <font>
      <sz val="12"/>
      <name val="宋体"/>
      <family val="3"/>
      <charset val="134"/>
    </font>
    <font>
      <sz val="9"/>
      <name val="宋体"/>
      <family val="3"/>
      <charset val="134"/>
    </font>
    <font>
      <sz val="10"/>
      <color indexed="12"/>
      <name val="Arial Narrow"/>
      <family val="2"/>
    </font>
    <font>
      <sz val="9"/>
      <name val="宋体"/>
      <family val="2"/>
      <charset val="134"/>
      <scheme val="minor"/>
    </font>
    <font>
      <sz val="12"/>
      <color indexed="8"/>
      <name val="Arial Narrow"/>
      <family val="2"/>
    </font>
    <font>
      <b/>
      <sz val="9"/>
      <color indexed="81"/>
      <name val="宋体"/>
      <family val="3"/>
      <charset val="134"/>
    </font>
    <font>
      <sz val="9"/>
      <color indexed="81"/>
      <name val="宋体"/>
      <family val="3"/>
      <charset val="134"/>
    </font>
  </fonts>
  <fills count="36">
    <fill>
      <patternFill patternType="none"/>
    </fill>
    <fill>
      <patternFill patternType="gray125"/>
    </fill>
    <fill>
      <patternFill patternType="solid">
        <fgColor rgb="FFE4DFEC"/>
        <bgColor indexed="64"/>
      </patternFill>
    </fill>
    <fill>
      <patternFill patternType="solid">
        <fgColor theme="0"/>
        <bgColor indexed="64"/>
      </patternFill>
    </fill>
    <fill>
      <patternFill patternType="solid">
        <fgColor theme="7" tint="0.79995117038483843"/>
        <bgColor indexed="64"/>
      </patternFill>
    </fill>
    <fill>
      <patternFill patternType="solid">
        <fgColor rgb="FFE4DFEC"/>
        <bgColor rgb="FFB7DEE8"/>
      </patternFill>
    </fill>
    <fill>
      <patternFill patternType="solid">
        <fgColor indexed="9"/>
        <bgColor indexed="64"/>
      </patternFill>
    </fill>
    <fill>
      <patternFill patternType="solid">
        <fgColor rgb="FFDCD5E5"/>
        <bgColor indexed="64"/>
      </patternFill>
    </fill>
    <fill>
      <patternFill patternType="solid">
        <fgColor rgb="FFFFFF99"/>
        <bgColor indexed="64"/>
      </patternFill>
    </fill>
    <fill>
      <patternFill patternType="solid">
        <fgColor rgb="FFFFFFFF"/>
        <bgColor indexed="64"/>
      </patternFill>
    </fill>
    <fill>
      <patternFill patternType="solid">
        <fgColor theme="0" tint="-0.14996795556505021"/>
        <bgColor indexed="64"/>
      </patternFill>
    </fill>
    <fill>
      <patternFill patternType="solid">
        <fgColor indexed="14"/>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theme="7" tint="0.79998168889431442"/>
        <bgColor indexed="64"/>
      </patternFill>
    </fill>
  </fills>
  <borders count="32">
    <border>
      <left/>
      <right/>
      <top/>
      <bottom/>
      <diagonal/>
    </border>
    <border>
      <left style="hair">
        <color auto="1"/>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hair">
        <color auto="1"/>
      </right>
      <top style="hair">
        <color auto="1"/>
      </top>
      <bottom style="hair">
        <color auto="1"/>
      </bottom>
      <diagonal/>
    </border>
    <border>
      <left/>
      <right/>
      <top style="medium">
        <color auto="1"/>
      </top>
      <bottom/>
      <diagonal/>
    </border>
    <border>
      <left/>
      <right/>
      <top style="medium">
        <color auto="1"/>
      </top>
      <bottom style="medium">
        <color auto="1"/>
      </bottom>
      <diagonal/>
    </border>
    <border>
      <left/>
      <right/>
      <top/>
      <bottom style="medium">
        <color auto="1"/>
      </bottom>
      <diagonal/>
    </border>
    <border>
      <left/>
      <right/>
      <top style="thin">
        <color auto="1"/>
      </top>
      <bottom/>
      <diagonal/>
    </border>
    <border>
      <left/>
      <right/>
      <top/>
      <bottom style="thick">
        <color auto="1"/>
      </bottom>
      <diagonal/>
    </border>
    <border>
      <left style="hair">
        <color indexed="8"/>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237">
    <xf numFmtId="176" fontId="0" fillId="0" borderId="0">
      <protection locked="0"/>
    </xf>
    <xf numFmtId="43" fontId="122" fillId="0" borderId="0" applyFont="0" applyFill="0" applyBorder="0" applyAlignment="0" applyProtection="0"/>
    <xf numFmtId="9" fontId="122" fillId="0" borderId="0" applyFont="0" applyFill="0" applyBorder="0" applyAlignment="0" applyProtection="0"/>
    <xf numFmtId="176" fontId="70" fillId="0" borderId="0" applyNumberFormat="0" applyFill="0" applyBorder="0" applyAlignment="0" applyProtection="0">
      <alignment vertical="top"/>
      <protection locked="0"/>
    </xf>
    <xf numFmtId="176" fontId="71" fillId="0" borderId="0"/>
    <xf numFmtId="176" fontId="71" fillId="0" borderId="0"/>
    <xf numFmtId="176" fontId="71" fillId="0" borderId="0"/>
    <xf numFmtId="176" fontId="71" fillId="0" borderId="0"/>
    <xf numFmtId="49" fontId="72" fillId="0" borderId="0" applyProtection="0">
      <alignment horizontal="left"/>
    </xf>
    <xf numFmtId="176" fontId="73" fillId="0" borderId="0">
      <alignment vertical="top"/>
      <protection locked="0"/>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xf>
    <xf numFmtId="176" fontId="73" fillId="0" borderId="0">
      <alignment vertical="top"/>
      <protection locked="0"/>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xf>
    <xf numFmtId="176" fontId="73" fillId="0" borderId="0">
      <alignment vertical="top"/>
    </xf>
    <xf numFmtId="176" fontId="73" fillId="0" borderId="0">
      <alignment vertical="top"/>
    </xf>
    <xf numFmtId="176" fontId="73" fillId="0" borderId="0">
      <alignment vertical="top"/>
      <protection locked="0"/>
    </xf>
    <xf numFmtId="176" fontId="73" fillId="0" borderId="0">
      <alignment vertical="top"/>
      <protection locked="0"/>
    </xf>
    <xf numFmtId="176" fontId="73" fillId="0" borderId="0">
      <alignment vertical="top"/>
    </xf>
    <xf numFmtId="176" fontId="73" fillId="0" borderId="0">
      <alignment vertical="top"/>
      <protection locked="0"/>
    </xf>
    <xf numFmtId="177" fontId="72" fillId="0" borderId="0" applyFill="0" applyBorder="0" applyProtection="0">
      <alignment horizontal="right"/>
    </xf>
    <xf numFmtId="178" fontId="72" fillId="0" borderId="0" applyFill="0" applyBorder="0" applyProtection="0">
      <alignment horizontal="right"/>
    </xf>
    <xf numFmtId="179" fontId="74" fillId="0" borderId="0" applyFill="0" applyBorder="0" applyProtection="0">
      <alignment horizontal="center"/>
    </xf>
    <xf numFmtId="180" fontId="74" fillId="0" borderId="0" applyFill="0" applyBorder="0" applyProtection="0">
      <alignment horizontal="center"/>
    </xf>
    <xf numFmtId="181" fontId="75" fillId="0" borderId="0" applyFill="0" applyBorder="0" applyProtection="0">
      <alignment horizontal="right"/>
    </xf>
    <xf numFmtId="182" fontId="72" fillId="0" borderId="0" applyFill="0" applyBorder="0" applyProtection="0">
      <alignment horizontal="right"/>
    </xf>
    <xf numFmtId="183" fontId="72" fillId="0" borderId="0" applyFill="0" applyBorder="0" applyProtection="0">
      <alignment horizontal="right"/>
    </xf>
    <xf numFmtId="184" fontId="72" fillId="0" borderId="0" applyFill="0" applyBorder="0" applyProtection="0">
      <alignment horizontal="right"/>
    </xf>
    <xf numFmtId="185" fontId="72" fillId="0" borderId="0" applyFill="0" applyBorder="0" applyProtection="0">
      <alignment horizontal="right"/>
    </xf>
    <xf numFmtId="186" fontId="76" fillId="0" borderId="0" applyFont="0" applyFill="0" applyBorder="0" applyAlignment="0" applyProtection="0"/>
    <xf numFmtId="187" fontId="76" fillId="0" borderId="0" applyFont="0" applyFill="0" applyBorder="0" applyAlignment="0" applyProtection="0"/>
    <xf numFmtId="10" fontId="76" fillId="0" borderId="0" applyFont="0" applyFill="0" applyBorder="0" applyAlignment="0" applyProtection="0"/>
    <xf numFmtId="176" fontId="77" fillId="12" borderId="0" applyNumberFormat="0" applyBorder="0" applyAlignment="0" applyProtection="0"/>
    <xf numFmtId="176" fontId="77" fillId="13" borderId="0" applyNumberFormat="0" applyBorder="0" applyAlignment="0" applyProtection="0"/>
    <xf numFmtId="176" fontId="77" fillId="14" borderId="0" applyNumberFormat="0" applyBorder="0" applyAlignment="0" applyProtection="0"/>
    <xf numFmtId="176" fontId="77" fillId="15" borderId="0" applyNumberFormat="0" applyBorder="0" applyAlignment="0" applyProtection="0"/>
    <xf numFmtId="176" fontId="77" fillId="16" borderId="0" applyNumberFormat="0" applyBorder="0" applyAlignment="0" applyProtection="0"/>
    <xf numFmtId="176" fontId="77" fillId="17" borderId="0" applyNumberFormat="0" applyBorder="0" applyAlignment="0" applyProtection="0"/>
    <xf numFmtId="176" fontId="77" fillId="18" borderId="0" applyNumberFormat="0" applyBorder="0" applyAlignment="0" applyProtection="0"/>
    <xf numFmtId="176" fontId="77" fillId="19" borderId="0" applyNumberFormat="0" applyBorder="0" applyAlignment="0" applyProtection="0"/>
    <xf numFmtId="176" fontId="77" fillId="20" borderId="0" applyNumberFormat="0" applyBorder="0" applyAlignment="0" applyProtection="0"/>
    <xf numFmtId="176" fontId="77" fillId="15" borderId="0" applyNumberFormat="0" applyBorder="0" applyAlignment="0" applyProtection="0"/>
    <xf numFmtId="176" fontId="77" fillId="18" borderId="0" applyNumberFormat="0" applyBorder="0" applyAlignment="0" applyProtection="0"/>
    <xf numFmtId="176" fontId="77" fillId="21" borderId="0" applyNumberFormat="0" applyBorder="0" applyAlignment="0" applyProtection="0"/>
    <xf numFmtId="176" fontId="78" fillId="22" borderId="0" applyNumberFormat="0" applyBorder="0" applyAlignment="0" applyProtection="0"/>
    <xf numFmtId="176" fontId="78" fillId="19" borderId="0" applyNumberFormat="0" applyBorder="0" applyAlignment="0" applyProtection="0"/>
    <xf numFmtId="176" fontId="78" fillId="20" borderId="0" applyNumberFormat="0" applyBorder="0" applyAlignment="0" applyProtection="0"/>
    <xf numFmtId="176" fontId="78" fillId="23" borderId="0" applyNumberFormat="0" applyBorder="0" applyAlignment="0" applyProtection="0"/>
    <xf numFmtId="176" fontId="78" fillId="24" borderId="0" applyNumberFormat="0" applyBorder="0" applyAlignment="0" applyProtection="0"/>
    <xf numFmtId="176" fontId="78" fillId="25" borderId="0" applyNumberFormat="0" applyBorder="0" applyAlignment="0" applyProtection="0"/>
    <xf numFmtId="176" fontId="78" fillId="26" borderId="0" applyNumberFormat="0" applyBorder="0" applyAlignment="0" applyProtection="0"/>
    <xf numFmtId="176" fontId="78" fillId="27" borderId="0" applyNumberFormat="0" applyBorder="0" applyAlignment="0" applyProtection="0"/>
    <xf numFmtId="176" fontId="78" fillId="28" borderId="0" applyNumberFormat="0" applyBorder="0" applyAlignment="0" applyProtection="0"/>
    <xf numFmtId="176" fontId="78" fillId="23" borderId="0" applyNumberFormat="0" applyBorder="0" applyAlignment="0" applyProtection="0"/>
    <xf numFmtId="176" fontId="78" fillId="24" borderId="0" applyNumberFormat="0" applyBorder="0" applyAlignment="0" applyProtection="0"/>
    <xf numFmtId="176" fontId="78" fillId="29" borderId="0" applyNumberFormat="0" applyBorder="0" applyAlignment="0" applyProtection="0"/>
    <xf numFmtId="176" fontId="79" fillId="13" borderId="0" applyNumberFormat="0" applyBorder="0" applyAlignment="0" applyProtection="0"/>
    <xf numFmtId="3" fontId="80" fillId="0" borderId="0"/>
    <xf numFmtId="188" fontId="81" fillId="0" borderId="12" applyAlignment="0" applyProtection="0"/>
    <xf numFmtId="188" fontId="81" fillId="0" borderId="12" applyAlignment="0" applyProtection="0"/>
    <xf numFmtId="189" fontId="73" fillId="0" borderId="0" applyFill="0" applyBorder="0" applyAlignment="0"/>
    <xf numFmtId="176" fontId="82" fillId="30" borderId="18" applyNumberFormat="0" applyAlignment="0" applyProtection="0"/>
    <xf numFmtId="176" fontId="83" fillId="31" borderId="19" applyNumberFormat="0" applyAlignment="0" applyProtection="0"/>
    <xf numFmtId="176" fontId="84" fillId="0" borderId="20" applyNumberFormat="0" applyFill="0" applyProtection="0">
      <alignment horizontal="center"/>
    </xf>
    <xf numFmtId="176" fontId="85" fillId="0" borderId="21">
      <alignment horizontal="center"/>
    </xf>
    <xf numFmtId="190" fontId="71" fillId="0" borderId="0"/>
    <xf numFmtId="190" fontId="71" fillId="0" borderId="0"/>
    <xf numFmtId="190" fontId="71" fillId="0" borderId="0"/>
    <xf numFmtId="190" fontId="71" fillId="0" borderId="0"/>
    <xf numFmtId="190" fontId="71" fillId="0" borderId="0"/>
    <xf numFmtId="190" fontId="71" fillId="0" borderId="0"/>
    <xf numFmtId="190" fontId="71" fillId="0" borderId="0"/>
    <xf numFmtId="190" fontId="71" fillId="0" borderId="0"/>
    <xf numFmtId="38" fontId="86" fillId="0" borderId="0" applyFont="0" applyFill="0" applyBorder="0" applyAlignment="0" applyProtection="0"/>
    <xf numFmtId="37" fontId="76" fillId="0" borderId="0" applyFont="0" applyFill="0" applyBorder="0" applyAlignment="0" applyProtection="0"/>
    <xf numFmtId="191" fontId="76" fillId="0" borderId="0" applyFont="0" applyFill="0" applyBorder="0" applyAlignment="0" applyProtection="0"/>
    <xf numFmtId="39" fontId="76" fillId="0" borderId="0" applyFont="0" applyFill="0" applyBorder="0" applyAlignment="0" applyProtection="0"/>
    <xf numFmtId="40" fontId="86" fillId="0" borderId="0" applyFont="0" applyFill="0" applyBorder="0" applyAlignment="0" applyProtection="0"/>
    <xf numFmtId="192" fontId="122" fillId="0" borderId="0" applyFont="0" applyFill="0" applyBorder="0" applyAlignment="0" applyProtection="0"/>
    <xf numFmtId="188" fontId="76" fillId="0" borderId="0" applyFont="0" applyFill="0" applyBorder="0" applyAlignment="0" applyProtection="0"/>
    <xf numFmtId="193" fontId="76" fillId="0" borderId="0" applyFont="0" applyFill="0" applyBorder="0" applyAlignment="0" applyProtection="0"/>
    <xf numFmtId="194" fontId="122" fillId="0" borderId="0" applyFont="0" applyFill="0" applyBorder="0" applyAlignment="0" applyProtection="0"/>
    <xf numFmtId="41" fontId="71" fillId="0" borderId="0" applyFont="0" applyFill="0" applyBorder="0" applyAlignment="0" applyProtection="0"/>
    <xf numFmtId="43" fontId="71" fillId="0" borderId="0" applyFont="0" applyFill="0" applyBorder="0" applyAlignment="0" applyProtection="0"/>
    <xf numFmtId="176" fontId="87" fillId="0" borderId="0">
      <alignment horizontal="left"/>
    </xf>
    <xf numFmtId="176" fontId="88" fillId="32" borderId="16"/>
    <xf numFmtId="176" fontId="72" fillId="0" borderId="0" applyFont="0" applyFill="0" applyBorder="0" applyAlignment="0" applyProtection="0"/>
    <xf numFmtId="176" fontId="89" fillId="0" borderId="0" applyNumberFormat="0" applyFill="0" applyBorder="0" applyAlignment="0" applyProtection="0"/>
    <xf numFmtId="176" fontId="90" fillId="0" borderId="0" applyNumberFormat="0" applyFill="0" applyBorder="0" applyAlignment="0" applyProtection="0">
      <alignment vertical="top"/>
      <protection locked="0"/>
    </xf>
    <xf numFmtId="176" fontId="91" fillId="14" borderId="0" applyNumberFormat="0" applyBorder="0" applyAlignment="0" applyProtection="0"/>
    <xf numFmtId="38" fontId="88" fillId="30" borderId="0" applyNumberFormat="0" applyBorder="0" applyAlignment="0" applyProtection="0"/>
    <xf numFmtId="176" fontId="92" fillId="0" borderId="10" applyNumberFormat="0" applyAlignment="0" applyProtection="0">
      <alignment horizontal="left" vertical="center"/>
    </xf>
    <xf numFmtId="176" fontId="92" fillId="0" borderId="22">
      <alignment horizontal="left" vertical="center"/>
    </xf>
    <xf numFmtId="14" fontId="93" fillId="16" borderId="11">
      <alignment horizontal="center" vertical="center" wrapText="1"/>
    </xf>
    <xf numFmtId="176" fontId="94" fillId="0" borderId="23" applyNumberFormat="0" applyFill="0" applyAlignment="0" applyProtection="0"/>
    <xf numFmtId="176" fontId="95" fillId="0" borderId="24" applyNumberFormat="0" applyFill="0" applyAlignment="0" applyProtection="0"/>
    <xf numFmtId="176" fontId="96" fillId="0" borderId="25" applyNumberFormat="0" applyFill="0" applyAlignment="0" applyProtection="0"/>
    <xf numFmtId="176" fontId="96" fillId="0" borderId="0" applyNumberFormat="0" applyFill="0" applyBorder="0" applyAlignment="0" applyProtection="0"/>
    <xf numFmtId="14" fontId="93" fillId="16" borderId="11">
      <alignment horizontal="center" vertical="center" wrapText="1"/>
    </xf>
    <xf numFmtId="176" fontId="97" fillId="0" borderId="0" applyNumberFormat="0" applyFill="0" applyBorder="0" applyAlignment="0" applyProtection="0">
      <alignment vertical="top"/>
      <protection locked="0"/>
    </xf>
    <xf numFmtId="176" fontId="98" fillId="17" borderId="18" applyNumberFormat="0" applyAlignment="0" applyProtection="0"/>
    <xf numFmtId="10" fontId="88" fillId="33" borderId="16" applyNumberFormat="0" applyBorder="0" applyAlignment="0" applyProtection="0"/>
    <xf numFmtId="176" fontId="72" fillId="0" borderId="0" applyNumberFormat="0" applyFont="0" applyFill="0" applyBorder="0" applyProtection="0">
      <alignment horizontal="left" vertical="center"/>
    </xf>
    <xf numFmtId="176" fontId="99" fillId="0" borderId="26" applyNumberFormat="0" applyFill="0" applyAlignment="0" applyProtection="0"/>
    <xf numFmtId="41" fontId="71" fillId="0" borderId="0" applyFont="0" applyFill="0" applyBorder="0" applyAlignment="0" applyProtection="0"/>
    <xf numFmtId="43" fontId="71" fillId="0" borderId="0" applyFont="0" applyFill="0" applyBorder="0" applyAlignment="0" applyProtection="0"/>
    <xf numFmtId="195" fontId="122" fillId="0" borderId="0" applyFont="0" applyFill="0" applyBorder="0" applyAlignment="0" applyProtection="0"/>
    <xf numFmtId="196" fontId="122" fillId="0" borderId="0" applyFont="0" applyFill="0" applyBorder="0" applyAlignment="0" applyProtection="0"/>
    <xf numFmtId="197" fontId="71" fillId="0" borderId="0" applyFont="0" applyFill="0" applyBorder="0" applyAlignment="0" applyProtection="0"/>
    <xf numFmtId="198" fontId="71" fillId="0" borderId="0" applyFont="0" applyFill="0" applyBorder="0" applyAlignment="0" applyProtection="0"/>
    <xf numFmtId="199" fontId="71" fillId="0" borderId="0" applyFont="0" applyFill="0" applyBorder="0" applyAlignment="0" applyProtection="0"/>
    <xf numFmtId="200" fontId="122" fillId="0" borderId="0" applyFont="0" applyFill="0" applyBorder="0" applyAlignment="0" applyProtection="0"/>
    <xf numFmtId="176" fontId="100" fillId="34" borderId="0" applyNumberFormat="0" applyBorder="0" applyAlignment="0" applyProtection="0"/>
    <xf numFmtId="37" fontId="101" fillId="0" borderId="0"/>
    <xf numFmtId="176" fontId="102" fillId="0" borderId="0"/>
    <xf numFmtId="201" fontId="122" fillId="0" borderId="0"/>
    <xf numFmtId="176" fontId="71" fillId="0" borderId="0"/>
    <xf numFmtId="176" fontId="71" fillId="0" borderId="0"/>
    <xf numFmtId="176" fontId="122" fillId="0" borderId="0">
      <alignment vertical="center"/>
    </xf>
    <xf numFmtId="176" fontId="86" fillId="0" borderId="0"/>
    <xf numFmtId="176" fontId="103" fillId="0" borderId="0"/>
    <xf numFmtId="176" fontId="71" fillId="33" borderId="27" applyNumberFormat="0" applyFont="0" applyAlignment="0" applyProtection="0"/>
    <xf numFmtId="176" fontId="104" fillId="30" borderId="28" applyNumberFormat="0" applyAlignment="0" applyProtection="0"/>
    <xf numFmtId="202" fontId="71" fillId="0" borderId="0" applyFont="0" applyFill="0" applyBorder="0" applyAlignment="0" applyProtection="0"/>
    <xf numFmtId="10" fontId="71" fillId="0" borderId="0" applyFont="0" applyFill="0" applyBorder="0" applyAlignment="0" applyProtection="0"/>
    <xf numFmtId="9" fontId="23" fillId="0" borderId="0" applyFont="0" applyFill="0" applyBorder="0" applyAlignment="0" applyProtection="0">
      <alignment vertical="center"/>
    </xf>
    <xf numFmtId="176" fontId="88" fillId="30" borderId="16"/>
    <xf numFmtId="4" fontId="87" fillId="0" borderId="0">
      <alignment horizontal="right"/>
    </xf>
    <xf numFmtId="3" fontId="105" fillId="0" borderId="0"/>
    <xf numFmtId="4" fontId="106" fillId="0" borderId="0">
      <alignment horizontal="right"/>
    </xf>
    <xf numFmtId="176" fontId="107" fillId="0" borderId="0">
      <alignment horizontal="left"/>
    </xf>
    <xf numFmtId="176" fontId="108" fillId="0" borderId="16">
      <alignment horizontal="center"/>
    </xf>
    <xf numFmtId="176" fontId="108" fillId="0" borderId="0">
      <alignment horizontal="center" vertical="center"/>
    </xf>
    <xf numFmtId="176" fontId="109" fillId="0" borderId="0" applyNumberFormat="0" applyFill="0">
      <alignment horizontal="left" vertical="center"/>
    </xf>
    <xf numFmtId="176" fontId="110" fillId="0" borderId="0" applyFill="0" applyBorder="0" applyProtection="0">
      <alignment horizontal="left" vertical="top"/>
    </xf>
    <xf numFmtId="176" fontId="111" fillId="0" borderId="0">
      <alignment horizontal="center"/>
    </xf>
    <xf numFmtId="176" fontId="112" fillId="0" borderId="29" applyNumberFormat="0" applyFill="0" applyAlignment="0" applyProtection="0"/>
    <xf numFmtId="176" fontId="113" fillId="0" borderId="0" applyNumberFormat="0" applyFill="0" applyBorder="0" applyAlignment="0" applyProtection="0"/>
    <xf numFmtId="176" fontId="114" fillId="0" borderId="0" applyNumberFormat="0" applyFont="0" applyFill="0" applyBorder="0" applyProtection="0">
      <alignment horizontal="center" vertical="center" wrapText="1"/>
    </xf>
    <xf numFmtId="9" fontId="115" fillId="0" borderId="0" applyFont="0" applyFill="0" applyBorder="0" applyAlignment="0" applyProtection="0"/>
    <xf numFmtId="9" fontId="71" fillId="0" borderId="0" applyFont="0" applyFill="0" applyBorder="0" applyAlignment="0" applyProtection="0"/>
    <xf numFmtId="9" fontId="122" fillId="0" borderId="0" applyFont="0" applyFill="0" applyBorder="0" applyAlignment="0" applyProtection="0"/>
    <xf numFmtId="9" fontId="122" fillId="0" borderId="0" applyFont="0" applyFill="0" applyBorder="0" applyAlignment="0" applyProtection="0"/>
    <xf numFmtId="9" fontId="23" fillId="0" borderId="0">
      <alignment vertical="center"/>
    </xf>
    <xf numFmtId="4" fontId="116" fillId="0" borderId="0">
      <alignment horizontal="right"/>
    </xf>
    <xf numFmtId="176" fontId="69" fillId="0" borderId="0">
      <alignment vertical="center"/>
    </xf>
    <xf numFmtId="176" fontId="122" fillId="0" borderId="0">
      <alignment vertical="center"/>
    </xf>
    <xf numFmtId="176" fontId="122" fillId="0" borderId="0">
      <alignment vertical="center"/>
      <protection locked="0"/>
    </xf>
    <xf numFmtId="176" fontId="71" fillId="0" borderId="0"/>
    <xf numFmtId="0" fontId="122" fillId="0" borderId="0">
      <alignment vertical="center"/>
      <protection locked="0"/>
    </xf>
    <xf numFmtId="176" fontId="69" fillId="0" borderId="0"/>
    <xf numFmtId="176" fontId="69" fillId="0" borderId="0"/>
    <xf numFmtId="176" fontId="122" fillId="0" borderId="0">
      <alignment vertical="center"/>
      <protection locked="0"/>
    </xf>
    <xf numFmtId="176" fontId="122" fillId="0" borderId="0">
      <protection locked="0"/>
    </xf>
    <xf numFmtId="0" fontId="122" fillId="0" borderId="0">
      <protection locked="0"/>
    </xf>
    <xf numFmtId="176" fontId="122" fillId="0" borderId="0">
      <protection locked="0"/>
    </xf>
    <xf numFmtId="176" fontId="122" fillId="0" borderId="0">
      <protection locked="0"/>
    </xf>
    <xf numFmtId="176" fontId="122" fillId="0" borderId="0">
      <protection locked="0"/>
    </xf>
    <xf numFmtId="176" fontId="122" fillId="0" borderId="0">
      <protection locked="0"/>
    </xf>
    <xf numFmtId="176" fontId="122" fillId="0" borderId="0"/>
    <xf numFmtId="176" fontId="122" fillId="0" borderId="0"/>
    <xf numFmtId="176" fontId="122" fillId="0" borderId="0">
      <alignment vertical="center"/>
      <protection locked="0"/>
    </xf>
    <xf numFmtId="176" fontId="69" fillId="0" borderId="0">
      <alignment vertical="center"/>
    </xf>
    <xf numFmtId="176" fontId="122" fillId="0" borderId="0"/>
    <xf numFmtId="176" fontId="69" fillId="0" borderId="0">
      <alignment vertical="center"/>
    </xf>
    <xf numFmtId="176" fontId="69" fillId="0" borderId="0">
      <alignment vertical="center"/>
    </xf>
    <xf numFmtId="176" fontId="122" fillId="0" borderId="0">
      <protection locked="0"/>
    </xf>
    <xf numFmtId="176" fontId="23"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22" fillId="0" borderId="0">
      <alignment vertical="center"/>
    </xf>
    <xf numFmtId="176" fontId="117" fillId="0" borderId="0"/>
    <xf numFmtId="176" fontId="122" fillId="0" borderId="0"/>
    <xf numFmtId="176" fontId="122" fillId="0" borderId="0"/>
    <xf numFmtId="176" fontId="122" fillId="0" borderId="0"/>
    <xf numFmtId="176" fontId="122" fillId="0" borderId="0" applyFill="0" applyBorder="0"/>
    <xf numFmtId="176" fontId="122" fillId="0" borderId="0" applyFill="0" applyBorder="0"/>
    <xf numFmtId="176" fontId="122" fillId="0" borderId="0">
      <alignment vertical="center"/>
    </xf>
    <xf numFmtId="176" fontId="122" fillId="0" borderId="0">
      <alignment vertical="center"/>
    </xf>
    <xf numFmtId="176" fontId="32" fillId="0" borderId="0" applyNumberFormat="0" applyFill="0" applyBorder="0" applyAlignment="0" applyProtection="0">
      <alignment vertical="top"/>
      <protection locked="0"/>
    </xf>
    <xf numFmtId="176" fontId="70" fillId="0" borderId="0" applyNumberFormat="0" applyFill="0" applyBorder="0" applyAlignment="0" applyProtection="0">
      <alignment vertical="top"/>
      <protection locked="0"/>
    </xf>
    <xf numFmtId="176" fontId="70" fillId="0" borderId="0" applyNumberFormat="0" applyFill="0" applyBorder="0" applyAlignment="0" applyProtection="0">
      <alignment vertical="top"/>
      <protection locked="0"/>
    </xf>
    <xf numFmtId="176" fontId="32" fillId="0" borderId="0">
      <alignment vertical="top"/>
      <protection locked="0"/>
    </xf>
    <xf numFmtId="176" fontId="70" fillId="0" borderId="0" applyNumberFormat="0" applyFill="0" applyBorder="0" applyAlignment="0" applyProtection="0">
      <alignment vertical="top"/>
      <protection locked="0"/>
    </xf>
    <xf numFmtId="176" fontId="81" fillId="0" borderId="0" applyNumberFormat="0" applyFill="0" applyBorder="0" applyAlignment="0" applyProtection="0"/>
    <xf numFmtId="4" fontId="114" fillId="0" borderId="0" applyFont="0" applyFill="0" applyBorder="0" applyAlignment="0" applyProtection="0"/>
    <xf numFmtId="41" fontId="71" fillId="0" borderId="0" applyFont="0" applyFill="0" applyBorder="0" applyAlignment="0" applyProtection="0"/>
    <xf numFmtId="203" fontId="117" fillId="0" borderId="0" applyFont="0" applyFill="0" applyBorder="0" applyAlignment="0" applyProtection="0"/>
    <xf numFmtId="204" fontId="122" fillId="0" borderId="0" applyFont="0" applyFill="0" applyBorder="0" applyAlignment="0" applyProtection="0"/>
    <xf numFmtId="205" fontId="117" fillId="0" borderId="0" applyFont="0" applyFill="0" applyBorder="0" applyAlignment="0" applyProtection="0"/>
    <xf numFmtId="206" fontId="117" fillId="0" borderId="0" applyFont="0" applyFill="0" applyBorder="0" applyAlignment="0" applyProtection="0"/>
    <xf numFmtId="176" fontId="72" fillId="0" borderId="0"/>
    <xf numFmtId="41" fontId="72" fillId="0" borderId="0" applyFont="0" applyFill="0" applyBorder="0" applyAlignment="0" applyProtection="0"/>
    <xf numFmtId="43" fontId="72"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122" fillId="0" borderId="0" applyFont="0" applyFill="0" applyBorder="0" applyAlignment="0" applyProtection="0">
      <alignment vertical="center"/>
    </xf>
    <xf numFmtId="43" fontId="122" fillId="0" borderId="0" applyFont="0" applyFill="0" applyBorder="0" applyAlignment="0" applyProtection="0">
      <alignment vertical="center"/>
    </xf>
    <xf numFmtId="43" fontId="122" fillId="0" borderId="0" applyFont="0" applyFill="0" applyBorder="0" applyAlignment="0" applyProtection="0">
      <alignment vertical="center"/>
    </xf>
    <xf numFmtId="43" fontId="122" fillId="0" borderId="0" applyFont="0" applyFill="0" applyBorder="0" applyAlignment="0" applyProtection="0">
      <alignment vertical="center"/>
    </xf>
    <xf numFmtId="176" fontId="71" fillId="0" borderId="0" applyFont="0" applyFill="0" applyBorder="0" applyAlignment="0" applyProtection="0"/>
    <xf numFmtId="43" fontId="122" fillId="0" borderId="0" applyFont="0" applyFill="0" applyBorder="0" applyAlignment="0" applyProtection="0"/>
    <xf numFmtId="207" fontId="23" fillId="0" borderId="0">
      <alignment vertical="center"/>
    </xf>
    <xf numFmtId="43" fontId="23" fillId="0" borderId="0">
      <alignment vertical="center"/>
    </xf>
    <xf numFmtId="207" fontId="23" fillId="0" borderId="0">
      <alignment vertical="center"/>
    </xf>
    <xf numFmtId="176" fontId="118" fillId="0" borderId="0"/>
    <xf numFmtId="198" fontId="71" fillId="0" borderId="0" applyFont="0" applyFill="0" applyBorder="0" applyAlignment="0" applyProtection="0"/>
    <xf numFmtId="208" fontId="114" fillId="0" borderId="0" applyFont="0" applyFill="0" applyBorder="0" applyAlignment="0" applyProtection="0"/>
    <xf numFmtId="176" fontId="73" fillId="0" borderId="0">
      <alignment vertical="top"/>
    </xf>
    <xf numFmtId="38" fontId="119" fillId="0" borderId="0" applyFont="0" applyFill="0" applyBorder="0" applyAlignment="0" applyProtection="0"/>
    <xf numFmtId="40" fontId="119" fillId="0" borderId="0" applyFont="0" applyFill="0" applyBorder="0" applyAlignment="0" applyProtection="0"/>
    <xf numFmtId="176" fontId="119" fillId="0" borderId="0" applyFont="0" applyFill="0" applyBorder="0" applyAlignment="0" applyProtection="0"/>
    <xf numFmtId="176" fontId="119" fillId="0" borderId="0" applyFont="0" applyFill="0" applyBorder="0" applyAlignment="0" applyProtection="0"/>
    <xf numFmtId="176" fontId="120" fillId="0" borderId="0"/>
    <xf numFmtId="176" fontId="1" fillId="0" borderId="0">
      <alignment vertical="center"/>
    </xf>
  </cellStyleXfs>
  <cellXfs count="764">
    <xf numFmtId="176" fontId="0" fillId="0" borderId="0" xfId="0">
      <protection locked="0"/>
    </xf>
    <xf numFmtId="176" fontId="2" fillId="0" borderId="0" xfId="175" applyFont="1" applyAlignment="1">
      <alignment vertical="center" wrapText="1"/>
      <protection locked="0"/>
    </xf>
    <xf numFmtId="176" fontId="3" fillId="0" borderId="0" xfId="175" applyFont="1" applyAlignment="1">
      <alignment vertical="center" wrapText="1"/>
      <protection locked="0"/>
    </xf>
    <xf numFmtId="176" fontId="4" fillId="0" borderId="0" xfId="175" applyFont="1" applyAlignment="1">
      <alignment vertical="center" wrapText="1"/>
      <protection locked="0"/>
    </xf>
    <xf numFmtId="176" fontId="6" fillId="0" borderId="0" xfId="0" applyFont="1">
      <protection locked="0"/>
    </xf>
    <xf numFmtId="43" fontId="6" fillId="0" borderId="0" xfId="197" applyNumberFormat="1" applyFont="1" applyBorder="1" applyAlignment="1">
      <alignment vertical="center"/>
    </xf>
    <xf numFmtId="176" fontId="6" fillId="0" borderId="0" xfId="175" applyFont="1" applyAlignment="1">
      <alignment horizontal="right" vertical="center"/>
      <protection locked="0"/>
    </xf>
    <xf numFmtId="176" fontId="9" fillId="0" borderId="0" xfId="3" applyFont="1" applyAlignment="1">
      <alignment horizontal="left" vertical="center"/>
      <protection locked="0"/>
    </xf>
    <xf numFmtId="49" fontId="6" fillId="0" borderId="0" xfId="197" applyNumberFormat="1" applyFont="1" applyBorder="1" applyAlignment="1">
      <alignment vertical="center"/>
    </xf>
    <xf numFmtId="209" fontId="6" fillId="0" borderId="0" xfId="175" applyNumberFormat="1" applyFont="1" applyAlignment="1">
      <alignment horizontal="left" vertical="center"/>
      <protection locked="0"/>
    </xf>
    <xf numFmtId="176" fontId="10" fillId="0" borderId="0" xfId="175" applyFont="1" applyAlignment="1">
      <alignment vertical="center"/>
      <protection locked="0"/>
    </xf>
    <xf numFmtId="176" fontId="6" fillId="0" borderId="0" xfId="175" applyFont="1" applyAlignment="1">
      <alignment vertical="center"/>
      <protection locked="0"/>
    </xf>
    <xf numFmtId="176" fontId="11" fillId="0" borderId="0" xfId="0" applyFont="1" applyAlignment="1">
      <alignment horizontal="left" vertical="center"/>
      <protection locked="0"/>
    </xf>
    <xf numFmtId="176" fontId="6" fillId="0" borderId="0" xfId="0" applyFont="1" applyAlignment="1">
      <alignment vertical="center" wrapText="1"/>
      <protection locked="0"/>
    </xf>
    <xf numFmtId="43" fontId="6" fillId="0" borderId="0" xfId="197" applyNumberFormat="1" applyFont="1" applyBorder="1" applyAlignment="1">
      <alignment vertical="center" wrapText="1"/>
    </xf>
    <xf numFmtId="176" fontId="6" fillId="0" borderId="0" xfId="0" applyFont="1" applyAlignment="1">
      <alignment horizontal="right" vertical="center" wrapText="1"/>
      <protection locked="0"/>
    </xf>
    <xf numFmtId="176" fontId="10" fillId="0" borderId="0" xfId="174" applyFont="1" applyAlignment="1">
      <alignment vertical="center"/>
      <protection locked="0"/>
    </xf>
    <xf numFmtId="176" fontId="6" fillId="0" borderId="0" xfId="174" applyFont="1" applyAlignment="1">
      <alignment vertical="center" wrapText="1"/>
      <protection locked="0"/>
    </xf>
    <xf numFmtId="176" fontId="10" fillId="2" borderId="2" xfId="175" applyFont="1" applyFill="1" applyBorder="1" applyAlignment="1">
      <alignment horizontal="center" vertical="center" wrapText="1"/>
      <protection locked="0"/>
    </xf>
    <xf numFmtId="49" fontId="11" fillId="0" borderId="2" xfId="176" applyNumberFormat="1" applyFont="1" applyBorder="1" applyAlignment="1">
      <alignment horizontal="left" vertical="center" wrapText="1"/>
      <protection locked="0"/>
    </xf>
    <xf numFmtId="43" fontId="12" fillId="0" borderId="2" xfId="1" applyFont="1" applyFill="1" applyBorder="1" applyAlignment="1">
      <alignment horizontal="right" vertical="center"/>
    </xf>
    <xf numFmtId="43" fontId="12" fillId="0" borderId="2" xfId="2" applyNumberFormat="1" applyFont="1" applyFill="1" applyBorder="1" applyAlignment="1">
      <alignment horizontal="center" vertical="center"/>
    </xf>
    <xf numFmtId="43" fontId="4" fillId="2" borderId="2" xfId="176" applyNumberFormat="1" applyFont="1" applyFill="1" applyBorder="1" applyAlignment="1">
      <alignment horizontal="left" vertical="center" wrapText="1"/>
      <protection locked="0"/>
    </xf>
    <xf numFmtId="43" fontId="4" fillId="2" borderId="2" xfId="1" applyFont="1" applyFill="1" applyBorder="1" applyAlignment="1">
      <alignment horizontal="right" vertical="center"/>
    </xf>
    <xf numFmtId="49" fontId="6" fillId="0" borderId="2" xfId="2" applyNumberFormat="1" applyFont="1" applyFill="1" applyBorder="1" applyAlignment="1">
      <alignment horizontal="center" vertical="center"/>
    </xf>
    <xf numFmtId="10" fontId="6" fillId="0" borderId="2" xfId="2" applyNumberFormat="1" applyFont="1" applyFill="1" applyBorder="1" applyAlignment="1">
      <alignment horizontal="center" vertical="center"/>
    </xf>
    <xf numFmtId="49" fontId="13" fillId="0" borderId="2" xfId="2" applyNumberFormat="1" applyFont="1" applyFill="1" applyBorder="1" applyAlignment="1">
      <alignment horizontal="center" vertical="center"/>
    </xf>
    <xf numFmtId="10" fontId="13" fillId="0" borderId="2" xfId="2" applyNumberFormat="1" applyFont="1" applyFill="1" applyBorder="1" applyAlignment="1">
      <alignment horizontal="center" vertical="center"/>
    </xf>
    <xf numFmtId="176" fontId="14" fillId="2" borderId="2" xfId="176" applyFont="1" applyFill="1" applyBorder="1" applyAlignment="1">
      <alignment horizontal="center" vertical="center" wrapText="1"/>
      <protection locked="0"/>
    </xf>
    <xf numFmtId="43" fontId="15" fillId="2" borderId="2" xfId="1" applyFont="1" applyFill="1" applyBorder="1" applyAlignment="1">
      <alignment horizontal="right" vertical="center"/>
    </xf>
    <xf numFmtId="43" fontId="15" fillId="2" borderId="2" xfId="2" applyNumberFormat="1" applyFont="1" applyFill="1" applyBorder="1" applyAlignment="1">
      <alignment horizontal="right" vertical="center"/>
    </xf>
    <xf numFmtId="43" fontId="16" fillId="2" borderId="2" xfId="1" applyFont="1" applyFill="1" applyBorder="1" applyAlignment="1">
      <alignment horizontal="right" vertical="center"/>
    </xf>
    <xf numFmtId="49" fontId="17" fillId="2" borderId="2" xfId="1" applyNumberFormat="1" applyFont="1" applyFill="1" applyBorder="1" applyAlignment="1">
      <alignment horizontal="right" vertical="center"/>
    </xf>
    <xf numFmtId="43" fontId="17" fillId="2" borderId="2" xfId="1" applyFont="1" applyFill="1" applyBorder="1" applyAlignment="1">
      <alignment horizontal="right" vertical="center"/>
    </xf>
    <xf numFmtId="176" fontId="11" fillId="0" borderId="2" xfId="176" applyFont="1" applyBorder="1" applyAlignment="1">
      <alignment horizontal="left" vertical="center" wrapText="1"/>
      <protection locked="0"/>
    </xf>
    <xf numFmtId="43" fontId="4" fillId="0" borderId="2" xfId="1" applyFont="1" applyFill="1" applyBorder="1" applyAlignment="1">
      <alignment horizontal="right" vertical="center"/>
    </xf>
    <xf numFmtId="43" fontId="18" fillId="0" borderId="2" xfId="2" applyNumberFormat="1" applyFont="1" applyFill="1" applyBorder="1" applyAlignment="1">
      <alignment horizontal="center" vertical="center"/>
    </xf>
    <xf numFmtId="43" fontId="18" fillId="2" borderId="2" xfId="1" applyFont="1" applyFill="1" applyBorder="1" applyAlignment="1">
      <alignment horizontal="right" vertical="center"/>
    </xf>
    <xf numFmtId="43" fontId="18" fillId="0" borderId="2" xfId="1" applyFont="1" applyFill="1" applyBorder="1" applyAlignment="1">
      <alignment horizontal="right" vertical="center"/>
    </xf>
    <xf numFmtId="43" fontId="19" fillId="2" borderId="2" xfId="1" applyFont="1" applyFill="1" applyBorder="1" applyAlignment="1">
      <alignment horizontal="right" vertical="center"/>
    </xf>
    <xf numFmtId="43" fontId="19" fillId="2" borderId="2" xfId="2" applyNumberFormat="1" applyFont="1" applyFill="1" applyBorder="1" applyAlignment="1">
      <alignment horizontal="right" vertical="center"/>
    </xf>
    <xf numFmtId="176" fontId="10" fillId="0" borderId="0" xfId="0" applyFont="1" applyAlignment="1">
      <alignment vertical="center"/>
      <protection locked="0"/>
    </xf>
    <xf numFmtId="176" fontId="20" fillId="0" borderId="0" xfId="0" applyFont="1" applyAlignment="1">
      <alignment horizontal="center" vertical="center"/>
      <protection locked="0"/>
    </xf>
    <xf numFmtId="176" fontId="6" fillId="0" borderId="0" xfId="0" applyFont="1" applyAlignment="1">
      <alignment vertical="center"/>
      <protection locked="0"/>
    </xf>
    <xf numFmtId="176" fontId="21" fillId="0" borderId="0" xfId="0" applyFont="1" applyAlignment="1">
      <alignment vertical="center"/>
      <protection locked="0"/>
    </xf>
    <xf numFmtId="176" fontId="11" fillId="0" borderId="0" xfId="0" applyFont="1" applyAlignment="1">
      <alignment vertical="center"/>
      <protection locked="0"/>
    </xf>
    <xf numFmtId="176" fontId="6" fillId="3" borderId="0" xfId="189" applyFont="1" applyFill="1" applyAlignment="1">
      <alignment vertical="center" wrapText="1"/>
    </xf>
    <xf numFmtId="176" fontId="6" fillId="3" borderId="0" xfId="175" applyFont="1" applyFill="1" applyAlignment="1">
      <alignment vertical="center"/>
      <protection locked="0"/>
    </xf>
    <xf numFmtId="176" fontId="6" fillId="3" borderId="0" xfId="175" applyFont="1" applyFill="1" applyAlignment="1">
      <alignment vertical="center" wrapText="1"/>
      <protection locked="0"/>
    </xf>
    <xf numFmtId="176" fontId="6" fillId="3" borderId="0" xfId="175" applyFont="1" applyFill="1" applyAlignment="1">
      <alignment horizontal="right" vertical="center"/>
      <protection locked="0"/>
    </xf>
    <xf numFmtId="176" fontId="10" fillId="3" borderId="0" xfId="194" applyFont="1" applyFill="1" applyAlignment="1">
      <alignment horizontal="left" vertical="center"/>
    </xf>
    <xf numFmtId="176" fontId="11" fillId="3" borderId="0" xfId="175" applyFont="1" applyFill="1" applyAlignment="1">
      <alignment vertical="center"/>
      <protection locked="0"/>
    </xf>
    <xf numFmtId="176" fontId="6" fillId="3" borderId="0" xfId="175" applyFont="1" applyFill="1" applyAlignment="1">
      <alignment horizontal="justify" vertical="center" wrapText="1"/>
      <protection locked="0"/>
    </xf>
    <xf numFmtId="176" fontId="10" fillId="3" borderId="0" xfId="175" applyFont="1" applyFill="1" applyAlignment="1">
      <alignment vertical="center"/>
      <protection locked="0"/>
    </xf>
    <xf numFmtId="176" fontId="21" fillId="3" borderId="0" xfId="0" applyFont="1" applyFill="1" applyAlignment="1">
      <alignment vertical="center"/>
      <protection locked="0"/>
    </xf>
    <xf numFmtId="176" fontId="21" fillId="3" borderId="0" xfId="175" applyFont="1" applyFill="1" applyAlignment="1">
      <alignment vertical="center" wrapText="1"/>
      <protection locked="0"/>
    </xf>
    <xf numFmtId="176" fontId="21" fillId="3" borderId="0" xfId="175" applyFont="1" applyFill="1" applyAlignment="1">
      <alignment horizontal="left" vertical="center" wrapText="1"/>
      <protection locked="0"/>
    </xf>
    <xf numFmtId="176" fontId="21" fillId="3" borderId="0" xfId="175" applyFont="1" applyFill="1" applyAlignment="1">
      <alignment horizontal="left" vertical="center"/>
      <protection locked="0"/>
    </xf>
    <xf numFmtId="176" fontId="6" fillId="3" borderId="0" xfId="175" applyFont="1" applyFill="1" applyAlignment="1">
      <alignment horizontal="center" vertical="center" wrapText="1"/>
      <protection locked="0"/>
    </xf>
    <xf numFmtId="176" fontId="21" fillId="3" borderId="0" xfId="175" applyFont="1" applyFill="1" applyAlignment="1">
      <alignment vertical="center"/>
      <protection locked="0"/>
    </xf>
    <xf numFmtId="176" fontId="6" fillId="3" borderId="0" xfId="175" applyFont="1" applyFill="1" applyAlignment="1">
      <alignment horizontal="left" vertical="center" wrapText="1"/>
      <protection locked="0"/>
    </xf>
    <xf numFmtId="176" fontId="6" fillId="3" borderId="0" xfId="0" applyFont="1" applyFill="1" applyAlignment="1">
      <alignment horizontal="left" vertical="center" wrapText="1"/>
      <protection locked="0"/>
    </xf>
    <xf numFmtId="176" fontId="22" fillId="0" borderId="0" xfId="175" applyFont="1" applyAlignment="1">
      <alignment vertical="center"/>
      <protection locked="0"/>
    </xf>
    <xf numFmtId="176" fontId="11" fillId="3" borderId="0" xfId="0" applyFont="1" applyFill="1" applyAlignment="1">
      <alignment vertical="center"/>
      <protection locked="0"/>
    </xf>
    <xf numFmtId="176" fontId="6" fillId="3" borderId="0" xfId="0" applyFont="1" applyFill="1" applyAlignment="1">
      <alignment vertical="center"/>
      <protection locked="0"/>
    </xf>
    <xf numFmtId="176" fontId="6" fillId="3" borderId="0" xfId="0" applyFont="1" applyFill="1">
      <protection locked="0"/>
    </xf>
    <xf numFmtId="176" fontId="20" fillId="3" borderId="0" xfId="0" applyFont="1" applyFill="1" applyAlignment="1">
      <alignment vertical="center"/>
      <protection locked="0"/>
    </xf>
    <xf numFmtId="176" fontId="20" fillId="3" borderId="0" xfId="175" applyFont="1" applyFill="1" applyAlignment="1">
      <alignment horizontal="left" vertical="center"/>
      <protection locked="0"/>
    </xf>
    <xf numFmtId="176" fontId="23" fillId="0" borderId="0" xfId="172" applyFont="1" applyAlignment="1">
      <alignment horizontal="center" vertical="center"/>
      <protection locked="0"/>
    </xf>
    <xf numFmtId="176" fontId="23" fillId="0" borderId="0" xfId="172" applyFont="1" applyAlignment="1">
      <alignment vertical="center"/>
      <protection locked="0"/>
    </xf>
    <xf numFmtId="43" fontId="23" fillId="0" borderId="0" xfId="197" applyNumberFormat="1" applyFont="1" applyBorder="1" applyAlignment="1">
      <alignment vertical="center"/>
    </xf>
    <xf numFmtId="176" fontId="23" fillId="0" borderId="0" xfId="174" applyFont="1" applyAlignment="1">
      <alignment vertical="center"/>
      <protection locked="0"/>
    </xf>
    <xf numFmtId="176" fontId="23" fillId="0" borderId="0" xfId="174" applyFont="1" applyAlignment="1">
      <alignment horizontal="right" vertical="center"/>
      <protection locked="0"/>
    </xf>
    <xf numFmtId="176" fontId="26" fillId="0" borderId="0" xfId="174" applyFont="1" applyAlignment="1">
      <alignment vertical="center"/>
      <protection locked="0"/>
    </xf>
    <xf numFmtId="43" fontId="27" fillId="0" borderId="0" xfId="172" applyNumberFormat="1" applyFont="1" applyAlignment="1">
      <alignment horizontal="left" vertical="center"/>
      <protection locked="0"/>
    </xf>
    <xf numFmtId="43" fontId="23" fillId="0" borderId="0" xfId="172" applyNumberFormat="1" applyFont="1" applyAlignment="1">
      <alignment horizontal="center" vertical="center"/>
      <protection locked="0"/>
    </xf>
    <xf numFmtId="176" fontId="26" fillId="0" borderId="0" xfId="172" applyFont="1" applyAlignment="1">
      <alignment vertical="center"/>
      <protection locked="0"/>
    </xf>
    <xf numFmtId="176" fontId="26" fillId="4" borderId="2" xfId="172" applyFont="1" applyFill="1" applyBorder="1" applyAlignment="1">
      <alignment horizontal="center" vertical="center"/>
      <protection locked="0"/>
    </xf>
    <xf numFmtId="176" fontId="26" fillId="4" borderId="2" xfId="172" applyFont="1" applyFill="1" applyBorder="1" applyAlignment="1">
      <alignment horizontal="center" vertical="center" wrapText="1"/>
      <protection locked="0"/>
    </xf>
    <xf numFmtId="176" fontId="23" fillId="0" borderId="2" xfId="172" applyFont="1" applyBorder="1" applyAlignment="1">
      <alignment vertical="center"/>
      <protection locked="0"/>
    </xf>
    <xf numFmtId="43" fontId="4" fillId="0" borderId="2" xfId="172" applyNumberFormat="1" applyFont="1" applyBorder="1" applyAlignment="1">
      <alignment vertical="center"/>
      <protection locked="0"/>
    </xf>
    <xf numFmtId="0" fontId="4" fillId="0" borderId="2" xfId="172" applyNumberFormat="1" applyFont="1" applyBorder="1" applyAlignment="1">
      <alignment vertical="center"/>
      <protection locked="0"/>
    </xf>
    <xf numFmtId="176" fontId="26" fillId="2" borderId="2" xfId="172" applyFont="1" applyFill="1" applyBorder="1" applyAlignment="1">
      <alignment horizontal="center" vertical="center"/>
      <protection locked="0"/>
    </xf>
    <xf numFmtId="176" fontId="23" fillId="2" borderId="2" xfId="172" applyFont="1" applyFill="1" applyBorder="1" applyAlignment="1">
      <alignment vertical="center"/>
      <protection locked="0"/>
    </xf>
    <xf numFmtId="43" fontId="4" fillId="2" borderId="2" xfId="1" applyFont="1" applyFill="1" applyBorder="1" applyAlignment="1" applyProtection="1">
      <alignment vertical="center"/>
      <protection locked="0"/>
    </xf>
    <xf numFmtId="0" fontId="4" fillId="2" borderId="2" xfId="172" applyNumberFormat="1" applyFont="1" applyFill="1" applyBorder="1" applyAlignment="1">
      <alignment vertical="center"/>
      <protection locked="0"/>
    </xf>
    <xf numFmtId="0" fontId="23" fillId="2" borderId="2" xfId="172" applyNumberFormat="1" applyFont="1" applyFill="1" applyBorder="1" applyAlignment="1">
      <alignment vertical="center"/>
      <protection locked="0"/>
    </xf>
    <xf numFmtId="0" fontId="23" fillId="0" borderId="0" xfId="0" applyNumberFormat="1" applyFont="1" applyAlignment="1">
      <alignment vertical="center"/>
      <protection locked="0"/>
    </xf>
    <xf numFmtId="0" fontId="23" fillId="0" borderId="0" xfId="197" applyNumberFormat="1" applyFont="1" applyBorder="1" applyAlignment="1">
      <alignment vertical="center"/>
    </xf>
    <xf numFmtId="0" fontId="23" fillId="0" borderId="0" xfId="172" applyNumberFormat="1" applyFont="1" applyAlignment="1">
      <alignment vertical="center"/>
      <protection locked="0"/>
    </xf>
    <xf numFmtId="0" fontId="26" fillId="0" borderId="0" xfId="172" applyNumberFormat="1" applyFont="1" applyAlignment="1">
      <alignment vertical="center"/>
      <protection locked="0"/>
    </xf>
    <xf numFmtId="0" fontId="27" fillId="0" borderId="0" xfId="172" applyNumberFormat="1" applyFont="1" applyAlignment="1">
      <alignment vertical="center"/>
      <protection locked="0"/>
    </xf>
    <xf numFmtId="0" fontId="26" fillId="2" borderId="3" xfId="0" applyNumberFormat="1" applyFont="1" applyFill="1" applyBorder="1" applyAlignment="1" applyProtection="1">
      <alignment horizontal="center" vertical="center" wrapText="1"/>
    </xf>
    <xf numFmtId="0" fontId="23" fillId="0" borderId="2" xfId="0" applyNumberFormat="1" applyFont="1" applyBorder="1" applyAlignment="1">
      <alignment vertical="center"/>
      <protection locked="0"/>
    </xf>
    <xf numFmtId="0" fontId="4" fillId="0" borderId="2" xfId="0" applyNumberFormat="1" applyFont="1" applyBorder="1" applyAlignment="1" applyProtection="1">
      <alignment vertical="center" wrapText="1"/>
    </xf>
    <xf numFmtId="14" fontId="4" fillId="0" borderId="2" xfId="0" applyNumberFormat="1" applyFont="1" applyBorder="1" applyAlignment="1" applyProtection="1">
      <alignment vertical="center" wrapText="1"/>
    </xf>
    <xf numFmtId="14" fontId="4" fillId="0" borderId="2" xfId="0" applyNumberFormat="1" applyFont="1" applyBorder="1" applyAlignment="1">
      <alignment vertical="center"/>
      <protection locked="0"/>
    </xf>
    <xf numFmtId="43" fontId="4" fillId="0" borderId="2" xfId="0" applyNumberFormat="1" applyFont="1" applyBorder="1" applyAlignment="1">
      <alignment vertical="center"/>
      <protection locked="0"/>
    </xf>
    <xf numFmtId="0" fontId="4" fillId="0" borderId="2" xfId="0" applyNumberFormat="1" applyFont="1" applyBorder="1" applyAlignment="1">
      <alignment vertical="center"/>
      <protection locked="0"/>
    </xf>
    <xf numFmtId="0" fontId="26" fillId="2" borderId="2" xfId="0" applyNumberFormat="1" applyFont="1" applyFill="1" applyBorder="1" applyAlignment="1" applyProtection="1">
      <alignment horizontal="center" vertical="center"/>
    </xf>
    <xf numFmtId="0" fontId="16" fillId="2" borderId="2" xfId="218" applyNumberFormat="1" applyFont="1" applyFill="1" applyBorder="1" applyAlignment="1">
      <alignment horizontal="center" vertical="center"/>
    </xf>
    <xf numFmtId="0" fontId="26" fillId="2" borderId="2" xfId="218" applyNumberFormat="1" applyFont="1" applyFill="1" applyBorder="1" applyAlignment="1">
      <alignment horizontal="center" vertical="center"/>
    </xf>
    <xf numFmtId="43" fontId="16" fillId="2" borderId="2" xfId="218" applyFont="1" applyFill="1" applyBorder="1" applyAlignment="1">
      <alignment horizontal="center" vertical="center"/>
    </xf>
    <xf numFmtId="0" fontId="23" fillId="0" borderId="0" xfId="174" applyNumberFormat="1" applyFont="1" applyAlignment="1">
      <alignment horizontal="right" vertical="center"/>
      <protection locked="0"/>
    </xf>
    <xf numFmtId="0" fontId="23" fillId="0" borderId="0" xfId="174" applyNumberFormat="1" applyFont="1" applyAlignment="1">
      <alignment horizontal="center" vertical="center"/>
      <protection locked="0"/>
    </xf>
    <xf numFmtId="0" fontId="23" fillId="0" borderId="0" xfId="174" applyNumberFormat="1" applyFont="1" applyAlignment="1">
      <alignment vertical="center" wrapText="1"/>
      <protection locked="0"/>
    </xf>
    <xf numFmtId="0" fontId="28" fillId="2" borderId="3" xfId="0" applyNumberFormat="1" applyFont="1" applyFill="1" applyBorder="1" applyAlignment="1" applyProtection="1">
      <alignment horizontal="center" vertical="center" wrapText="1"/>
    </xf>
    <xf numFmtId="0" fontId="26" fillId="2" borderId="3" xfId="0" applyNumberFormat="1" applyFont="1" applyFill="1" applyBorder="1" applyAlignment="1" applyProtection="1">
      <alignment horizontal="center" vertical="center"/>
    </xf>
    <xf numFmtId="210" fontId="4" fillId="0" borderId="2" xfId="0" applyNumberFormat="1" applyFont="1" applyBorder="1" applyAlignment="1">
      <alignment vertical="center"/>
      <protection locked="0"/>
    </xf>
    <xf numFmtId="43" fontId="4" fillId="0" borderId="2" xfId="0" applyNumberFormat="1" applyFont="1" applyBorder="1" applyAlignment="1" applyProtection="1">
      <alignment vertical="center" wrapText="1"/>
    </xf>
    <xf numFmtId="0" fontId="23" fillId="0" borderId="2" xfId="0" applyNumberFormat="1" applyFont="1" applyBorder="1" applyAlignment="1" applyProtection="1">
      <alignment vertical="center" wrapText="1"/>
    </xf>
    <xf numFmtId="0" fontId="23" fillId="0" borderId="2" xfId="1" applyNumberFormat="1" applyFont="1" applyFill="1" applyBorder="1" applyAlignment="1">
      <alignment vertical="center" wrapText="1"/>
    </xf>
    <xf numFmtId="0" fontId="29" fillId="0" borderId="2" xfId="1" applyNumberFormat="1" applyFont="1" applyFill="1" applyBorder="1" applyAlignment="1">
      <alignment horizontal="justify" vertical="center" wrapText="1"/>
    </xf>
    <xf numFmtId="0" fontId="18" fillId="0" borderId="2" xfId="1" applyNumberFormat="1" applyFont="1" applyFill="1" applyBorder="1" applyAlignment="1">
      <alignment horizontal="justify" vertical="center" wrapText="1"/>
    </xf>
    <xf numFmtId="210" fontId="16" fillId="2" borderId="2" xfId="218" applyNumberFormat="1" applyFont="1" applyFill="1" applyBorder="1" applyAlignment="1">
      <alignment horizontal="center" vertical="center"/>
    </xf>
    <xf numFmtId="0" fontId="26" fillId="2" borderId="2" xfId="0" applyNumberFormat="1" applyFont="1" applyFill="1" applyBorder="1" applyAlignment="1" applyProtection="1">
      <alignment vertical="center"/>
    </xf>
    <xf numFmtId="176" fontId="23" fillId="0" borderId="0" xfId="190" applyFont="1" applyAlignment="1">
      <alignment vertical="center" wrapText="1"/>
    </xf>
    <xf numFmtId="176" fontId="26" fillId="0" borderId="0" xfId="185" applyFont="1" applyAlignment="1">
      <alignment vertical="center" wrapText="1"/>
      <protection locked="0"/>
    </xf>
    <xf numFmtId="176" fontId="26" fillId="4" borderId="0" xfId="185" applyFont="1" applyFill="1" applyAlignment="1">
      <alignment vertical="center" wrapText="1"/>
      <protection locked="0"/>
    </xf>
    <xf numFmtId="176" fontId="23" fillId="0" borderId="0" xfId="185" applyFont="1" applyAlignment="1">
      <alignment vertical="center"/>
      <protection locked="0"/>
    </xf>
    <xf numFmtId="176" fontId="23" fillId="0" borderId="0" xfId="185" applyFont="1" applyAlignment="1">
      <alignment vertical="center" wrapText="1"/>
      <protection locked="0"/>
    </xf>
    <xf numFmtId="43" fontId="23" fillId="0" borderId="0" xfId="198" applyNumberFormat="1" applyFont="1" applyBorder="1" applyAlignment="1">
      <alignment vertical="center"/>
    </xf>
    <xf numFmtId="49" fontId="23" fillId="0" borderId="0" xfId="198" applyNumberFormat="1" applyFont="1" applyBorder="1" applyAlignment="1">
      <alignment vertical="center"/>
    </xf>
    <xf numFmtId="176" fontId="27" fillId="0" borderId="0" xfId="172" applyFont="1" applyAlignment="1">
      <alignment vertical="center"/>
      <protection locked="0"/>
    </xf>
    <xf numFmtId="176" fontId="2" fillId="0" borderId="0" xfId="185" applyFont="1" applyAlignment="1">
      <alignment vertical="center"/>
      <protection locked="0"/>
    </xf>
    <xf numFmtId="176" fontId="26" fillId="4" borderId="2" xfId="185" applyFont="1" applyFill="1" applyBorder="1" applyAlignment="1">
      <alignment horizontal="center" vertical="center" wrapText="1"/>
      <protection locked="0"/>
    </xf>
    <xf numFmtId="176" fontId="26" fillId="2" borderId="2" xfId="185" applyFont="1" applyFill="1" applyBorder="1" applyAlignment="1">
      <alignment horizontal="center" vertical="center" wrapText="1"/>
      <protection locked="0"/>
    </xf>
    <xf numFmtId="176" fontId="23" fillId="0" borderId="2" xfId="185" applyFont="1" applyBorder="1" applyAlignment="1">
      <alignment horizontal="left" vertical="center" wrapText="1"/>
      <protection locked="0"/>
    </xf>
    <xf numFmtId="43" fontId="4" fillId="0" borderId="2" xfId="218" applyFont="1" applyFill="1" applyBorder="1" applyAlignment="1" applyProtection="1">
      <alignment horizontal="left" vertical="center" wrapText="1"/>
      <protection locked="0"/>
    </xf>
    <xf numFmtId="43" fontId="4" fillId="4" borderId="2" xfId="218" applyFont="1" applyFill="1" applyBorder="1" applyAlignment="1" applyProtection="1">
      <alignment horizontal="left" vertical="center" wrapText="1"/>
      <protection locked="0"/>
    </xf>
    <xf numFmtId="43" fontId="4" fillId="0" borderId="2" xfId="218" applyFont="1" applyBorder="1" applyAlignment="1" applyProtection="1">
      <alignment horizontal="left" vertical="center" wrapText="1"/>
      <protection locked="0"/>
    </xf>
    <xf numFmtId="43" fontId="4" fillId="4" borderId="2" xfId="218" applyFont="1" applyFill="1" applyBorder="1" applyAlignment="1" applyProtection="1">
      <alignment vertical="center"/>
    </xf>
    <xf numFmtId="176" fontId="26" fillId="4" borderId="2" xfId="185" applyFont="1" applyFill="1" applyBorder="1" applyAlignment="1">
      <alignment horizontal="left" vertical="center" wrapText="1"/>
      <protection locked="0"/>
    </xf>
    <xf numFmtId="43" fontId="16" fillId="4" borderId="2" xfId="218" applyFont="1" applyFill="1" applyBorder="1" applyAlignment="1" applyProtection="1">
      <alignment vertical="center"/>
    </xf>
    <xf numFmtId="176" fontId="26" fillId="0" borderId="0" xfId="185" applyFont="1" applyAlignment="1">
      <alignment vertical="center"/>
      <protection locked="0"/>
    </xf>
    <xf numFmtId="176" fontId="30" fillId="0" borderId="0" xfId="185" applyFont="1" applyAlignment="1">
      <alignment vertical="center"/>
      <protection locked="0"/>
    </xf>
    <xf numFmtId="176" fontId="31" fillId="0" borderId="0" xfId="185" applyFont="1" applyAlignment="1">
      <alignment horizontal="right" vertical="center"/>
      <protection locked="0"/>
    </xf>
    <xf numFmtId="176" fontId="30" fillId="0" borderId="0" xfId="185" applyFont="1" applyAlignment="1">
      <alignment horizontal="right" vertical="center"/>
      <protection locked="0"/>
    </xf>
    <xf numFmtId="176" fontId="23" fillId="4" borderId="0" xfId="185" applyFont="1" applyFill="1" applyAlignment="1">
      <alignment vertical="center" wrapText="1"/>
      <protection locked="0"/>
    </xf>
    <xf numFmtId="176" fontId="32" fillId="0" borderId="0" xfId="205" applyNumberFormat="1" applyFont="1" applyFill="1" applyAlignment="1" applyProtection="1">
      <alignment vertical="center"/>
    </xf>
    <xf numFmtId="14" fontId="23" fillId="0" borderId="0" xfId="185" applyNumberFormat="1" applyFont="1" applyAlignment="1">
      <alignment vertical="center"/>
      <protection locked="0"/>
    </xf>
    <xf numFmtId="43" fontId="23" fillId="0" borderId="0" xfId="198" applyNumberFormat="1" applyFont="1" applyBorder="1" applyAlignment="1">
      <alignment horizontal="right" vertical="center"/>
    </xf>
    <xf numFmtId="176" fontId="33" fillId="0" borderId="0" xfId="185" applyFont="1" applyAlignment="1">
      <alignment vertical="center" wrapText="1"/>
      <protection locked="0"/>
    </xf>
    <xf numFmtId="176" fontId="23" fillId="0" borderId="2" xfId="185" applyFont="1" applyBorder="1" applyAlignment="1">
      <alignment horizontal="center" vertical="center" wrapText="1"/>
      <protection locked="0"/>
    </xf>
    <xf numFmtId="176" fontId="4" fillId="0" borderId="2" xfId="185" applyFont="1" applyBorder="1" applyAlignment="1">
      <alignment horizontal="center" vertical="center" wrapText="1"/>
      <protection locked="0"/>
    </xf>
    <xf numFmtId="176" fontId="4" fillId="4" borderId="2" xfId="185" applyFont="1" applyFill="1" applyBorder="1" applyAlignment="1">
      <alignment horizontal="center" vertical="center" wrapText="1"/>
      <protection locked="0"/>
    </xf>
    <xf numFmtId="176" fontId="23" fillId="4" borderId="2" xfId="185" applyFont="1" applyFill="1" applyBorder="1" applyAlignment="1">
      <alignment horizontal="center" vertical="center" wrapText="1"/>
      <protection locked="0"/>
    </xf>
    <xf numFmtId="0" fontId="6" fillId="0" borderId="0" xfId="172" applyNumberFormat="1" applyFont="1">
      <protection locked="0"/>
    </xf>
    <xf numFmtId="0" fontId="23" fillId="0" borderId="0" xfId="177" applyNumberFormat="1" applyFont="1" applyAlignment="1">
      <alignment vertical="center"/>
      <protection locked="0"/>
    </xf>
    <xf numFmtId="0" fontId="122" fillId="0" borderId="0" xfId="173">
      <protection locked="0"/>
    </xf>
    <xf numFmtId="176" fontId="23" fillId="0" borderId="0" xfId="0" applyFont="1">
      <protection locked="0"/>
    </xf>
    <xf numFmtId="49" fontId="23" fillId="0" borderId="0" xfId="197" applyNumberFormat="1" applyFont="1" applyBorder="1" applyAlignment="1">
      <alignment vertical="center"/>
    </xf>
    <xf numFmtId="176" fontId="26" fillId="0" borderId="0" xfId="194" applyFont="1" applyAlignment="1">
      <alignment horizontal="left" vertical="center"/>
    </xf>
    <xf numFmtId="176" fontId="23" fillId="0" borderId="0" xfId="194" applyFont="1" applyAlignment="1">
      <alignment horizontal="left" vertical="center"/>
    </xf>
    <xf numFmtId="176" fontId="2" fillId="0" borderId="0" xfId="194" applyFont="1" applyAlignment="1">
      <alignment horizontal="left" vertical="center"/>
    </xf>
    <xf numFmtId="176" fontId="23" fillId="0" borderId="0" xfId="194" applyFont="1" applyAlignment="1">
      <alignment horizontal="left" vertical="center" wrapText="1"/>
    </xf>
    <xf numFmtId="176" fontId="26" fillId="0" borderId="0" xfId="194" applyFont="1" applyBorder="1" applyAlignment="1">
      <alignment vertical="center"/>
    </xf>
    <xf numFmtId="176" fontId="12" fillId="0" borderId="0" xfId="0" applyFont="1" applyFill="1" applyBorder="1" applyAlignment="1">
      <alignment horizontal="left" vertical="center"/>
      <protection locked="0"/>
    </xf>
    <xf numFmtId="0" fontId="10" fillId="0" borderId="0" xfId="194" applyNumberFormat="1" applyFont="1" applyAlignment="1">
      <alignment vertical="center"/>
    </xf>
    <xf numFmtId="0" fontId="26" fillId="2" borderId="2" xfId="173" applyFont="1" applyFill="1" applyBorder="1" applyAlignment="1">
      <alignment horizontal="center" vertical="center"/>
      <protection locked="0"/>
    </xf>
    <xf numFmtId="0" fontId="26" fillId="2" borderId="2" xfId="173" applyFont="1" applyFill="1" applyBorder="1" applyAlignment="1">
      <alignment horizontal="center" vertical="center" wrapText="1"/>
      <protection locked="0"/>
    </xf>
    <xf numFmtId="0" fontId="4" fillId="0" borderId="2" xfId="173" applyFont="1" applyBorder="1" applyAlignment="1">
      <alignment vertical="center"/>
      <protection locked="0"/>
    </xf>
    <xf numFmtId="14" fontId="4" fillId="0" borderId="2" xfId="173" applyNumberFormat="1" applyFont="1" applyBorder="1" applyAlignment="1">
      <alignment horizontal="center" vertical="center"/>
      <protection locked="0"/>
    </xf>
    <xf numFmtId="49" fontId="4" fillId="0" borderId="2" xfId="173" applyNumberFormat="1" applyFont="1" applyBorder="1" applyAlignment="1">
      <alignment horizontal="center" vertical="center"/>
      <protection locked="0"/>
    </xf>
    <xf numFmtId="0" fontId="23" fillId="0" borderId="2" xfId="173" applyFont="1" applyBorder="1" applyAlignment="1">
      <alignment vertical="center"/>
      <protection locked="0"/>
    </xf>
    <xf numFmtId="207" fontId="4" fillId="0" borderId="2" xfId="226" applyFont="1" applyBorder="1" applyAlignment="1" applyProtection="1">
      <alignment vertical="center"/>
      <protection locked="0"/>
    </xf>
    <xf numFmtId="0" fontId="26" fillId="4" borderId="2" xfId="173" applyFont="1" applyFill="1" applyBorder="1" applyAlignment="1">
      <alignment horizontal="center" vertical="center"/>
      <protection locked="0"/>
    </xf>
    <xf numFmtId="0" fontId="23" fillId="4" borderId="2" xfId="173" applyFont="1" applyFill="1" applyBorder="1" applyAlignment="1">
      <alignment vertical="center"/>
      <protection locked="0"/>
    </xf>
    <xf numFmtId="207" fontId="16" fillId="4" borderId="2" xfId="226" applyFont="1" applyFill="1" applyBorder="1" applyAlignment="1" applyProtection="1">
      <alignment vertical="center"/>
      <protection locked="0"/>
    </xf>
    <xf numFmtId="0" fontId="26" fillId="0" borderId="0" xfId="195" applyNumberFormat="1" applyFont="1" applyBorder="1" applyAlignment="1">
      <alignment vertical="center"/>
    </xf>
    <xf numFmtId="49" fontId="23" fillId="0" borderId="2" xfId="173" applyNumberFormat="1" applyFont="1" applyBorder="1" applyAlignment="1">
      <alignment horizontal="center" vertical="center"/>
      <protection locked="0"/>
    </xf>
    <xf numFmtId="0" fontId="16" fillId="2" borderId="2" xfId="0" applyNumberFormat="1" applyFont="1" applyFill="1" applyBorder="1" applyAlignment="1" applyProtection="1">
      <alignment horizontal="center" vertical="center"/>
      <protection locked="0"/>
    </xf>
    <xf numFmtId="176" fontId="4" fillId="0" borderId="2" xfId="0" applyFont="1" applyBorder="1" applyAlignment="1" applyProtection="1">
      <alignment horizontal="center" vertical="center"/>
      <protection locked="0"/>
    </xf>
    <xf numFmtId="0" fontId="4" fillId="0" borderId="2" xfId="226" applyNumberFormat="1" applyFont="1" applyBorder="1" applyAlignment="1" applyProtection="1">
      <alignment horizontal="center" vertical="center"/>
      <protection locked="0"/>
    </xf>
    <xf numFmtId="49" fontId="4" fillId="0" borderId="2" xfId="173" applyNumberFormat="1" applyFont="1" applyBorder="1" applyAlignment="1">
      <alignment vertical="center"/>
      <protection locked="0"/>
    </xf>
    <xf numFmtId="0" fontId="26" fillId="4" borderId="2" xfId="173" applyFont="1" applyFill="1" applyBorder="1" applyAlignment="1">
      <alignment vertical="center"/>
      <protection locked="0"/>
    </xf>
    <xf numFmtId="0" fontId="6" fillId="0" borderId="0" xfId="173" applyFont="1">
      <protection locked="0"/>
    </xf>
    <xf numFmtId="176" fontId="23" fillId="0" borderId="0" xfId="174" applyFont="1" applyAlignment="1">
      <alignment horizontal="center" vertical="center"/>
      <protection locked="0"/>
    </xf>
    <xf numFmtId="176" fontId="10" fillId="0" borderId="0" xfId="189" applyFont="1">
      <alignment vertical="center"/>
    </xf>
    <xf numFmtId="176" fontId="17" fillId="0" borderId="0" xfId="0" applyFont="1" applyAlignment="1" applyProtection="1">
      <alignment vertical="center"/>
    </xf>
    <xf numFmtId="176" fontId="13" fillId="0" borderId="0" xfId="0" applyFont="1" applyAlignment="1" applyProtection="1">
      <alignment vertical="center"/>
    </xf>
    <xf numFmtId="176" fontId="11" fillId="0" borderId="0" xfId="182" applyFont="1" applyAlignment="1">
      <alignment vertical="center"/>
    </xf>
    <xf numFmtId="176" fontId="6" fillId="0" borderId="0" xfId="182" applyFont="1" applyAlignment="1">
      <alignment vertical="center"/>
    </xf>
    <xf numFmtId="176" fontId="10" fillId="4" borderId="2" xfId="0" applyFont="1" applyFill="1" applyBorder="1" applyAlignment="1" applyProtection="1">
      <alignment horizontal="center" vertical="center"/>
    </xf>
    <xf numFmtId="176" fontId="6" fillId="6" borderId="2" xfId="165" applyFont="1" applyFill="1" applyBorder="1" applyAlignment="1">
      <alignment horizontal="left" vertical="center"/>
    </xf>
    <xf numFmtId="43" fontId="4" fillId="6" borderId="2" xfId="1" applyFont="1" applyFill="1" applyBorder="1" applyAlignment="1">
      <alignment horizontal="right" vertical="center"/>
    </xf>
    <xf numFmtId="211" fontId="4" fillId="6" borderId="2" xfId="165" applyNumberFormat="1" applyFont="1" applyFill="1" applyBorder="1" applyAlignment="1">
      <alignment horizontal="center" vertical="center"/>
    </xf>
    <xf numFmtId="210" fontId="4" fillId="6" borderId="2" xfId="165" applyNumberFormat="1" applyFont="1" applyFill="1" applyBorder="1" applyAlignment="1">
      <alignment horizontal="center" vertical="center"/>
    </xf>
    <xf numFmtId="43" fontId="4" fillId="6" borderId="2" xfId="165" applyNumberFormat="1" applyFont="1" applyFill="1" applyBorder="1" applyAlignment="1">
      <alignment horizontal="center" vertical="center"/>
    </xf>
    <xf numFmtId="41" fontId="4" fillId="2" borderId="2" xfId="1" applyNumberFormat="1" applyFont="1" applyFill="1" applyBorder="1" applyAlignment="1">
      <alignment horizontal="right" vertical="center"/>
    </xf>
    <xf numFmtId="176" fontId="6" fillId="2" borderId="5" xfId="165" applyFont="1" applyFill="1" applyBorder="1" applyAlignment="1">
      <alignment horizontal="center" vertical="center"/>
    </xf>
    <xf numFmtId="176" fontId="4" fillId="2" borderId="2" xfId="165" applyFont="1" applyFill="1" applyBorder="1" applyAlignment="1">
      <alignment horizontal="center" vertical="center"/>
    </xf>
    <xf numFmtId="41" fontId="4" fillId="2" borderId="2" xfId="1" applyNumberFormat="1" applyFont="1" applyFill="1" applyBorder="1" applyAlignment="1">
      <alignment horizontal="center" vertical="center"/>
    </xf>
    <xf numFmtId="176" fontId="11" fillId="0" borderId="0" xfId="0" applyFont="1">
      <protection locked="0"/>
    </xf>
    <xf numFmtId="176" fontId="21" fillId="0" borderId="0" xfId="0" applyFont="1">
      <protection locked="0"/>
    </xf>
    <xf numFmtId="176" fontId="6" fillId="0" borderId="0" xfId="0" applyFont="1" applyAlignment="1">
      <alignment horizontal="right" vertical="center"/>
      <protection locked="0"/>
    </xf>
    <xf numFmtId="9" fontId="4" fillId="0" borderId="2" xfId="1" applyNumberFormat="1" applyFont="1" applyFill="1" applyBorder="1" applyAlignment="1">
      <alignment horizontal="right" vertical="center"/>
    </xf>
    <xf numFmtId="212" fontId="6" fillId="0" borderId="2" xfId="165" applyNumberFormat="1" applyFont="1" applyBorder="1" applyAlignment="1">
      <alignment horizontal="right" vertical="center"/>
    </xf>
    <xf numFmtId="212" fontId="6" fillId="2" borderId="2" xfId="165" applyNumberFormat="1" applyFont="1" applyFill="1" applyBorder="1" applyAlignment="1">
      <alignment horizontal="right" vertical="center"/>
    </xf>
    <xf numFmtId="176" fontId="6" fillId="0" borderId="0" xfId="192" applyFont="1">
      <alignment vertical="center"/>
    </xf>
    <xf numFmtId="14" fontId="6" fillId="0" borderId="0" xfId="192" applyNumberFormat="1" applyFont="1">
      <alignment vertical="center"/>
    </xf>
    <xf numFmtId="176" fontId="11" fillId="0" borderId="0" xfId="196" applyFont="1" applyAlignment="1">
      <alignment horizontal="left" vertical="center"/>
    </xf>
    <xf numFmtId="43" fontId="14" fillId="4" borderId="2" xfId="1" applyFont="1" applyFill="1" applyBorder="1" applyAlignment="1">
      <alignment horizontal="center" vertical="center"/>
    </xf>
    <xf numFmtId="176" fontId="14" fillId="4" borderId="2" xfId="0" applyFont="1" applyFill="1" applyBorder="1" applyAlignment="1" applyProtection="1">
      <alignment horizontal="center" vertical="center"/>
    </xf>
    <xf numFmtId="176" fontId="6" fillId="0" borderId="2" xfId="1" applyNumberFormat="1" applyFont="1" applyBorder="1" applyAlignment="1">
      <alignment vertical="center"/>
    </xf>
    <xf numFmtId="176" fontId="4" fillId="0" borderId="2" xfId="1" applyNumberFormat="1" applyFont="1" applyBorder="1" applyAlignment="1">
      <alignment vertical="center"/>
    </xf>
    <xf numFmtId="14" fontId="4" fillId="0" borderId="2" xfId="1" applyNumberFormat="1" applyFont="1" applyBorder="1" applyAlignment="1">
      <alignment vertical="center"/>
    </xf>
    <xf numFmtId="43" fontId="6" fillId="0" borderId="2" xfId="1" applyFont="1" applyBorder="1" applyAlignment="1">
      <alignment vertical="center"/>
    </xf>
    <xf numFmtId="176" fontId="6" fillId="0" borderId="2" xfId="192" applyFont="1" applyBorder="1">
      <alignment vertical="center"/>
    </xf>
    <xf numFmtId="213" fontId="6" fillId="0" borderId="2" xfId="1" applyNumberFormat="1" applyFont="1" applyBorder="1" applyAlignment="1">
      <alignment vertical="center"/>
    </xf>
    <xf numFmtId="213" fontId="4" fillId="0" borderId="2" xfId="1" applyNumberFormat="1" applyFont="1" applyBorder="1" applyAlignment="1">
      <alignment vertical="center"/>
    </xf>
    <xf numFmtId="176" fontId="6" fillId="2" borderId="2" xfId="192" applyFont="1" applyFill="1" applyBorder="1" applyAlignment="1">
      <alignment horizontal="center" vertical="center"/>
    </xf>
    <xf numFmtId="176" fontId="6" fillId="2" borderId="2" xfId="192" applyFont="1" applyFill="1" applyBorder="1">
      <alignment vertical="center"/>
    </xf>
    <xf numFmtId="43" fontId="6" fillId="2" borderId="2" xfId="1" applyFont="1" applyFill="1" applyBorder="1" applyAlignment="1">
      <alignment vertical="center"/>
    </xf>
    <xf numFmtId="43" fontId="6" fillId="2" borderId="2" xfId="192" applyNumberFormat="1" applyFont="1" applyFill="1" applyBorder="1">
      <alignment vertical="center"/>
    </xf>
    <xf numFmtId="43" fontId="10" fillId="0" borderId="7" xfId="1" applyFont="1" applyFill="1" applyBorder="1" applyAlignment="1">
      <alignment vertical="center"/>
    </xf>
    <xf numFmtId="176" fontId="10" fillId="0" borderId="7" xfId="192" applyFont="1" applyBorder="1">
      <alignment vertical="center"/>
    </xf>
    <xf numFmtId="176" fontId="17" fillId="0" borderId="0" xfId="174" applyFont="1" applyAlignment="1" applyProtection="1">
      <alignment vertical="center"/>
    </xf>
    <xf numFmtId="176" fontId="13" fillId="0" borderId="0" xfId="174" applyFont="1" applyAlignment="1" applyProtection="1">
      <alignment vertical="center"/>
    </xf>
    <xf numFmtId="176" fontId="17" fillId="2" borderId="2" xfId="174" applyFont="1" applyFill="1" applyBorder="1" applyAlignment="1" applyProtection="1">
      <alignment horizontal="center" vertical="center" wrapText="1"/>
    </xf>
    <xf numFmtId="176" fontId="17" fillId="2" borderId="2" xfId="174" applyFont="1" applyFill="1" applyBorder="1" applyAlignment="1" applyProtection="1">
      <alignment vertical="center" wrapText="1"/>
    </xf>
    <xf numFmtId="176" fontId="17" fillId="2" borderId="2" xfId="174" applyFont="1" applyFill="1" applyBorder="1" applyAlignment="1" applyProtection="1">
      <alignment horizontal="center" vertical="center"/>
    </xf>
    <xf numFmtId="43" fontId="13" fillId="2" borderId="2" xfId="174" applyNumberFormat="1" applyFont="1" applyFill="1" applyBorder="1" applyAlignment="1" applyProtection="1">
      <alignment horizontal="left" vertical="center"/>
    </xf>
    <xf numFmtId="43" fontId="13" fillId="0" borderId="2" xfId="1" applyFont="1" applyFill="1" applyBorder="1" applyAlignment="1" applyProtection="1">
      <alignment vertical="center"/>
    </xf>
    <xf numFmtId="43" fontId="13" fillId="0" borderId="2" xfId="1" applyFont="1" applyFill="1" applyBorder="1" applyAlignment="1" applyProtection="1">
      <alignment horizontal="center" vertical="center"/>
    </xf>
    <xf numFmtId="43" fontId="13" fillId="2" borderId="2" xfId="1" applyFont="1" applyFill="1" applyBorder="1" applyAlignment="1" applyProtection="1">
      <alignment horizontal="center" vertical="center"/>
    </xf>
    <xf numFmtId="176" fontId="6" fillId="0" borderId="0" xfId="174" applyFont="1" applyAlignment="1" applyProtection="1">
      <alignment vertical="center"/>
    </xf>
    <xf numFmtId="176" fontId="11" fillId="0" borderId="0" xfId="174" applyFont="1" applyAlignment="1" applyProtection="1">
      <alignment vertical="center"/>
    </xf>
    <xf numFmtId="176" fontId="11" fillId="0" borderId="0" xfId="192" applyFont="1">
      <alignment vertical="center"/>
    </xf>
    <xf numFmtId="176" fontId="21" fillId="0" borderId="0" xfId="192" applyFont="1">
      <alignment vertical="center"/>
    </xf>
    <xf numFmtId="176" fontId="6" fillId="0" borderId="0" xfId="199" applyFont="1">
      <alignment vertical="center"/>
    </xf>
    <xf numFmtId="176" fontId="4" fillId="0" borderId="0" xfId="0" applyFont="1" applyAlignment="1">
      <alignment vertical="center"/>
      <protection locked="0"/>
    </xf>
    <xf numFmtId="14" fontId="6" fillId="0" borderId="2" xfId="1" applyNumberFormat="1" applyFont="1" applyBorder="1" applyAlignment="1">
      <alignment vertical="center"/>
    </xf>
    <xf numFmtId="176" fontId="4" fillId="0" borderId="2" xfId="192" applyFont="1" applyBorder="1">
      <alignment vertical="center"/>
    </xf>
    <xf numFmtId="14" fontId="6" fillId="2" borderId="2" xfId="192" applyNumberFormat="1" applyFont="1" applyFill="1" applyBorder="1">
      <alignment vertical="center"/>
    </xf>
    <xf numFmtId="14" fontId="10" fillId="0" borderId="7" xfId="192" applyNumberFormat="1" applyFont="1" applyBorder="1">
      <alignment vertical="center"/>
    </xf>
    <xf numFmtId="176" fontId="6" fillId="0" borderId="0" xfId="182" applyFont="1" applyAlignment="1">
      <alignment horizontal="left" vertical="center" indent="1"/>
    </xf>
    <xf numFmtId="176" fontId="6" fillId="0" borderId="0" xfId="0" applyFont="1" applyAlignment="1" applyProtection="1">
      <alignment horizontal="left" vertical="center"/>
    </xf>
    <xf numFmtId="176" fontId="28" fillId="0" borderId="0" xfId="0" applyFont="1" applyAlignment="1" applyProtection="1">
      <alignment vertical="center"/>
    </xf>
    <xf numFmtId="176" fontId="27" fillId="0" borderId="2" xfId="0" applyFont="1" applyBorder="1" applyAlignment="1">
      <alignment horizontal="left" vertical="center" wrapText="1"/>
      <protection locked="0"/>
    </xf>
    <xf numFmtId="210" fontId="4" fillId="6" borderId="2" xfId="0" applyNumberFormat="1" applyFont="1" applyFill="1" applyBorder="1" applyAlignment="1" applyProtection="1">
      <alignment horizontal="center" vertical="center" wrapText="1"/>
    </xf>
    <xf numFmtId="176" fontId="23" fillId="6" borderId="2" xfId="0" applyFont="1" applyFill="1" applyBorder="1" applyAlignment="1" applyProtection="1">
      <alignment horizontal="left" vertical="center" wrapText="1"/>
    </xf>
    <xf numFmtId="49" fontId="4" fillId="6" borderId="2" xfId="0" applyNumberFormat="1" applyFont="1" applyFill="1" applyBorder="1" applyAlignment="1" applyProtection="1">
      <alignment horizontal="center" vertical="center"/>
    </xf>
    <xf numFmtId="43" fontId="4" fillId="6" borderId="2" xfId="1" applyFont="1" applyFill="1" applyBorder="1" applyAlignment="1" applyProtection="1">
      <alignment horizontal="right" vertical="center"/>
    </xf>
    <xf numFmtId="210" fontId="4" fillId="6" borderId="2" xfId="0" applyNumberFormat="1" applyFont="1" applyFill="1" applyBorder="1" applyAlignment="1" applyProtection="1">
      <alignment horizontal="center" vertical="center"/>
    </xf>
    <xf numFmtId="176" fontId="26" fillId="2" borderId="2" xfId="0" applyFont="1" applyFill="1" applyBorder="1" applyAlignment="1" applyProtection="1">
      <alignment horizontal="center" vertical="center"/>
    </xf>
    <xf numFmtId="176" fontId="4" fillId="6" borderId="2" xfId="0" applyFont="1" applyFill="1" applyBorder="1" applyAlignment="1" applyProtection="1">
      <alignment horizontal="left" vertical="center" wrapText="1"/>
    </xf>
    <xf numFmtId="49" fontId="23" fillId="6" borderId="2" xfId="0" applyNumberFormat="1" applyFont="1" applyFill="1" applyBorder="1" applyAlignment="1" applyProtection="1">
      <alignment horizontal="left" vertical="center"/>
    </xf>
    <xf numFmtId="176" fontId="4" fillId="0" borderId="2" xfId="0" applyFont="1" applyBorder="1" applyAlignment="1" applyProtection="1">
      <alignment horizontal="left" vertical="center" wrapText="1"/>
    </xf>
    <xf numFmtId="176" fontId="23" fillId="0" borderId="2" xfId="0" applyFont="1" applyBorder="1" applyAlignment="1" applyProtection="1">
      <alignment horizontal="left" vertical="center" wrapText="1"/>
    </xf>
    <xf numFmtId="43" fontId="4" fillId="0" borderId="2" xfId="1" applyFont="1" applyFill="1" applyBorder="1" applyAlignment="1" applyProtection="1">
      <alignment horizontal="right" vertical="center"/>
    </xf>
    <xf numFmtId="49" fontId="23" fillId="0" borderId="2" xfId="0" applyNumberFormat="1" applyFont="1" applyBorder="1" applyAlignment="1" applyProtection="1">
      <alignment horizontal="left" vertical="center"/>
    </xf>
    <xf numFmtId="210" fontId="4" fillId="0" borderId="2" xfId="0" applyNumberFormat="1" applyFont="1" applyBorder="1" applyAlignment="1" applyProtection="1">
      <alignment horizontal="center" vertical="center"/>
    </xf>
    <xf numFmtId="210" fontId="4" fillId="0" borderId="2" xfId="0" applyNumberFormat="1" applyFont="1" applyBorder="1" applyAlignment="1" applyProtection="1">
      <alignment horizontal="center" vertical="center" wrapText="1"/>
    </xf>
    <xf numFmtId="176" fontId="26" fillId="2" borderId="2" xfId="0" applyFont="1" applyFill="1" applyBorder="1" applyAlignment="1">
      <alignment horizontal="center"/>
      <protection locked="0"/>
    </xf>
    <xf numFmtId="176" fontId="16" fillId="2" borderId="2" xfId="0" applyFont="1" applyFill="1" applyBorder="1" applyAlignment="1">
      <alignment horizontal="center"/>
      <protection locked="0"/>
    </xf>
    <xf numFmtId="43" fontId="4" fillId="2" borderId="2" xfId="1" applyFont="1" applyFill="1" applyBorder="1" applyAlignment="1" applyProtection="1">
      <alignment horizontal="right" vertical="center"/>
    </xf>
    <xf numFmtId="14" fontId="4" fillId="2" borderId="2" xfId="0" applyNumberFormat="1" applyFont="1" applyFill="1" applyBorder="1" applyAlignment="1" applyProtection="1">
      <alignment horizontal="left" vertical="center"/>
    </xf>
    <xf numFmtId="14" fontId="4" fillId="2" borderId="2" xfId="0" applyNumberFormat="1" applyFont="1" applyFill="1" applyBorder="1" applyAlignment="1" applyProtection="1">
      <alignment horizontal="left" vertical="center" wrapText="1"/>
    </xf>
    <xf numFmtId="176" fontId="6" fillId="0" borderId="0" xfId="0" applyFont="1" applyAlignment="1">
      <alignment horizontal="center" vertical="center"/>
      <protection locked="0"/>
    </xf>
    <xf numFmtId="176" fontId="6" fillId="0" borderId="0" xfId="196" applyFont="1" applyAlignment="1">
      <alignment vertical="center"/>
    </xf>
    <xf numFmtId="43" fontId="6" fillId="0" borderId="0" xfId="1" applyFont="1" applyBorder="1" applyAlignment="1">
      <alignment vertical="center"/>
    </xf>
    <xf numFmtId="210" fontId="23" fillId="6" borderId="2" xfId="0" applyNumberFormat="1" applyFont="1" applyFill="1" applyBorder="1" applyAlignment="1" applyProtection="1">
      <alignment horizontal="center" vertical="center" wrapText="1"/>
    </xf>
    <xf numFmtId="212" fontId="4" fillId="6" borderId="2" xfId="0" applyNumberFormat="1" applyFont="1" applyFill="1" applyBorder="1" applyAlignment="1" applyProtection="1">
      <alignment horizontal="center" vertical="center"/>
    </xf>
    <xf numFmtId="210" fontId="23" fillId="6" borderId="2" xfId="0" applyNumberFormat="1" applyFont="1" applyFill="1" applyBorder="1" applyAlignment="1" applyProtection="1">
      <alignment horizontal="center" vertical="center"/>
    </xf>
    <xf numFmtId="176" fontId="4" fillId="0" borderId="2" xfId="0" applyFont="1" applyBorder="1">
      <protection locked="0"/>
    </xf>
    <xf numFmtId="210" fontId="23" fillId="0" borderId="2" xfId="0" applyNumberFormat="1" applyFont="1" applyBorder="1" applyAlignment="1" applyProtection="1">
      <alignment horizontal="center" vertical="center" wrapText="1"/>
    </xf>
    <xf numFmtId="210" fontId="23" fillId="0" borderId="2" xfId="0" applyNumberFormat="1" applyFont="1" applyBorder="1" applyAlignment="1" applyProtection="1">
      <alignment horizontal="center" vertical="center"/>
    </xf>
    <xf numFmtId="176" fontId="4" fillId="2" borderId="2" xfId="0" applyFont="1" applyFill="1" applyBorder="1">
      <protection locked="0"/>
    </xf>
    <xf numFmtId="176" fontId="7" fillId="0" borderId="0" xfId="0" applyFont="1" applyAlignment="1">
      <alignment vertical="center"/>
      <protection locked="0"/>
    </xf>
    <xf numFmtId="176" fontId="8" fillId="0" borderId="0" xfId="0" applyFont="1" applyAlignment="1">
      <alignment vertical="center"/>
      <protection locked="0"/>
    </xf>
    <xf numFmtId="176" fontId="6" fillId="0" borderId="0" xfId="0" applyFont="1" applyAlignment="1" applyProtection="1">
      <alignment vertical="center"/>
    </xf>
    <xf numFmtId="176" fontId="6" fillId="0" borderId="0" xfId="0" applyFont="1" applyAlignment="1">
      <alignment horizontal="justify" vertical="center" wrapText="1"/>
      <protection locked="0"/>
    </xf>
    <xf numFmtId="176" fontId="6" fillId="0" borderId="0" xfId="196" applyFont="1" applyAlignment="1">
      <alignment horizontal="left" vertical="center" wrapText="1"/>
    </xf>
    <xf numFmtId="176" fontId="6" fillId="0" borderId="0" xfId="196" applyFont="1" applyAlignment="1">
      <alignment horizontal="center" vertical="center" wrapText="1"/>
    </xf>
    <xf numFmtId="176" fontId="10" fillId="2" borderId="0" xfId="196" applyFont="1" applyFill="1" applyAlignment="1">
      <alignment horizontal="center" vertical="center" wrapText="1"/>
    </xf>
    <xf numFmtId="14" fontId="4" fillId="0" borderId="0" xfId="196" applyNumberFormat="1" applyFont="1" applyFill="1" applyAlignment="1">
      <alignment horizontal="center" vertical="center" wrapText="1"/>
    </xf>
    <xf numFmtId="176" fontId="6" fillId="0" borderId="0" xfId="196" applyFont="1" applyAlignment="1">
      <alignment horizontal="left" vertical="center"/>
    </xf>
    <xf numFmtId="176" fontId="6" fillId="0" borderId="2" xfId="0" applyFont="1" applyBorder="1" applyAlignment="1">
      <alignment vertical="center"/>
      <protection locked="0"/>
    </xf>
    <xf numFmtId="209" fontId="4" fillId="0" borderId="2" xfId="0" applyNumberFormat="1" applyFont="1" applyBorder="1" applyAlignment="1">
      <alignment vertical="center"/>
      <protection locked="0"/>
    </xf>
    <xf numFmtId="14" fontId="4" fillId="0" borderId="2" xfId="0" applyNumberFormat="1" applyFont="1" applyBorder="1" applyAlignment="1">
      <alignment horizontal="left" vertical="center"/>
      <protection locked="0"/>
    </xf>
    <xf numFmtId="176" fontId="4" fillId="0" borderId="2" xfId="0" applyFont="1" applyBorder="1" applyAlignment="1">
      <alignment vertical="center"/>
      <protection locked="0"/>
    </xf>
    <xf numFmtId="176" fontId="6" fillId="2" borderId="2" xfId="0" applyFont="1" applyFill="1" applyBorder="1" applyAlignment="1">
      <alignment vertical="center"/>
      <protection locked="0"/>
    </xf>
    <xf numFmtId="209" fontId="4" fillId="2" borderId="2" xfId="0" applyNumberFormat="1" applyFont="1" applyFill="1" applyBorder="1" applyAlignment="1">
      <alignment vertical="center"/>
      <protection locked="0"/>
    </xf>
    <xf numFmtId="176" fontId="4" fillId="2" borderId="2" xfId="0" applyFont="1" applyFill="1" applyBorder="1" applyAlignment="1">
      <alignment vertical="center"/>
      <protection locked="0"/>
    </xf>
    <xf numFmtId="43" fontId="4" fillId="2" borderId="2" xfId="0" applyNumberFormat="1" applyFont="1" applyFill="1" applyBorder="1" applyAlignment="1">
      <alignment vertical="center"/>
      <protection locked="0"/>
    </xf>
    <xf numFmtId="14" fontId="6" fillId="0" borderId="2" xfId="0" applyNumberFormat="1" applyFont="1" applyBorder="1" applyAlignment="1">
      <alignment vertical="center"/>
      <protection locked="0"/>
    </xf>
    <xf numFmtId="43" fontId="6" fillId="2" borderId="2" xfId="0" applyNumberFormat="1" applyFont="1" applyFill="1" applyBorder="1" applyAlignment="1">
      <alignment vertical="center"/>
      <protection locked="0"/>
    </xf>
    <xf numFmtId="176" fontId="10" fillId="2" borderId="2" xfId="0" applyFont="1" applyFill="1" applyBorder="1" applyAlignment="1">
      <alignment horizontal="center" vertical="center"/>
      <protection locked="0"/>
    </xf>
    <xf numFmtId="43" fontId="6" fillId="2" borderId="2" xfId="1" applyFont="1" applyFill="1" applyBorder="1" applyAlignment="1" applyProtection="1">
      <alignment vertical="center"/>
      <protection locked="0"/>
    </xf>
    <xf numFmtId="176" fontId="20" fillId="0" borderId="0" xfId="0" applyFont="1" applyAlignment="1">
      <alignment horizontal="left" vertical="center"/>
      <protection locked="0"/>
    </xf>
    <xf numFmtId="176" fontId="20" fillId="2" borderId="2" xfId="0" applyFont="1" applyFill="1" applyBorder="1" applyAlignment="1">
      <alignment horizontal="center" vertical="center"/>
      <protection locked="0"/>
    </xf>
    <xf numFmtId="43" fontId="20" fillId="2" borderId="2" xfId="1" applyFont="1" applyFill="1" applyBorder="1" applyAlignment="1" applyProtection="1">
      <alignment vertical="center"/>
      <protection locked="0"/>
    </xf>
    <xf numFmtId="176" fontId="20" fillId="0" borderId="2" xfId="0" applyFont="1" applyBorder="1" applyAlignment="1">
      <alignment vertical="center"/>
      <protection locked="0"/>
    </xf>
    <xf numFmtId="43" fontId="12" fillId="2" borderId="2" xfId="0" applyNumberFormat="1" applyFont="1" applyFill="1" applyBorder="1" applyAlignment="1">
      <alignment horizontal="center" vertical="center"/>
      <protection locked="0"/>
    </xf>
    <xf numFmtId="43" fontId="12" fillId="2" borderId="2" xfId="0" applyNumberFormat="1" applyFont="1" applyFill="1" applyBorder="1" applyAlignment="1" applyProtection="1">
      <alignment horizontal="right" vertical="center"/>
    </xf>
    <xf numFmtId="176" fontId="11" fillId="2" borderId="2" xfId="0" applyFont="1" applyFill="1" applyBorder="1" applyAlignment="1">
      <alignment horizontal="left" vertical="center"/>
      <protection locked="0"/>
    </xf>
    <xf numFmtId="43" fontId="12" fillId="2" borderId="2" xfId="0" applyNumberFormat="1" applyFont="1" applyFill="1" applyBorder="1" applyAlignment="1">
      <alignment vertical="center"/>
      <protection locked="0"/>
    </xf>
    <xf numFmtId="43" fontId="12" fillId="2" borderId="2" xfId="0" applyNumberFormat="1" applyFont="1" applyFill="1" applyBorder="1" applyAlignment="1" applyProtection="1">
      <alignment vertical="center"/>
    </xf>
    <xf numFmtId="176" fontId="20" fillId="2" borderId="2" xfId="0" applyFont="1" applyFill="1" applyBorder="1" applyAlignment="1">
      <alignment vertical="center"/>
      <protection locked="0"/>
    </xf>
    <xf numFmtId="207" fontId="11" fillId="2" borderId="2" xfId="0" applyNumberFormat="1" applyFont="1" applyFill="1" applyBorder="1" applyAlignment="1" applyProtection="1">
      <alignment horizontal="center" vertical="center"/>
    </xf>
    <xf numFmtId="176" fontId="11" fillId="2" borderId="2" xfId="0" applyFont="1" applyFill="1" applyBorder="1" applyAlignment="1">
      <alignment vertical="center"/>
      <protection locked="0"/>
    </xf>
    <xf numFmtId="176" fontId="21" fillId="0" borderId="0" xfId="175" applyFont="1" applyAlignment="1">
      <alignment horizontal="left" vertical="center"/>
      <protection locked="0"/>
    </xf>
    <xf numFmtId="43" fontId="10" fillId="0" borderId="0" xfId="197" applyNumberFormat="1" applyFont="1" applyBorder="1" applyAlignment="1">
      <alignment vertical="center"/>
    </xf>
    <xf numFmtId="43" fontId="34" fillId="0" borderId="0" xfId="197" applyNumberFormat="1" applyFont="1" applyBorder="1" applyAlignment="1">
      <alignment vertical="center"/>
    </xf>
    <xf numFmtId="176" fontId="6" fillId="0" borderId="0" xfId="196" applyFont="1" applyAlignment="1">
      <alignment vertical="center" wrapText="1"/>
    </xf>
    <xf numFmtId="176" fontId="14" fillId="2" borderId="2" xfId="0" applyFont="1" applyFill="1" applyBorder="1" applyAlignment="1" applyProtection="1">
      <alignment horizontal="center" vertical="center" wrapText="1"/>
    </xf>
    <xf numFmtId="176" fontId="14" fillId="4" borderId="2" xfId="0" applyFont="1" applyFill="1" applyBorder="1" applyAlignment="1" applyProtection="1">
      <alignment horizontal="center" vertical="center" wrapText="1"/>
    </xf>
    <xf numFmtId="176" fontId="14" fillId="4" borderId="2" xfId="0" applyFont="1" applyFill="1" applyBorder="1" applyAlignment="1">
      <alignment horizontal="center" vertical="center" wrapText="1"/>
      <protection locked="0"/>
    </xf>
    <xf numFmtId="14" fontId="4" fillId="2" borderId="2" xfId="0" applyNumberFormat="1" applyFont="1" applyFill="1" applyBorder="1" applyAlignment="1">
      <alignment vertical="center"/>
      <protection locked="0"/>
    </xf>
    <xf numFmtId="14" fontId="6" fillId="2" borderId="2" xfId="0" applyNumberFormat="1" applyFont="1" applyFill="1" applyBorder="1" applyAlignment="1">
      <alignment vertical="center"/>
      <protection locked="0"/>
    </xf>
    <xf numFmtId="43" fontId="10" fillId="0" borderId="0" xfId="0" applyNumberFormat="1" applyFont="1" applyAlignment="1">
      <alignment vertical="center"/>
      <protection locked="0"/>
    </xf>
    <xf numFmtId="43" fontId="20" fillId="2" borderId="8" xfId="0" applyNumberFormat="1" applyFont="1" applyFill="1" applyBorder="1" applyAlignment="1">
      <alignment vertical="center"/>
      <protection locked="0"/>
    </xf>
    <xf numFmtId="43" fontId="12" fillId="2" borderId="8" xfId="0" applyNumberFormat="1" applyFont="1" applyFill="1" applyBorder="1" applyAlignment="1" applyProtection="1">
      <alignment vertical="center"/>
    </xf>
    <xf numFmtId="43" fontId="12" fillId="2" borderId="8" xfId="0" applyNumberFormat="1" applyFont="1" applyFill="1" applyBorder="1" applyAlignment="1" applyProtection="1">
      <alignment horizontal="left" vertical="center"/>
    </xf>
    <xf numFmtId="14" fontId="6" fillId="0" borderId="0" xfId="0" applyNumberFormat="1" applyFont="1" applyAlignment="1" applyProtection="1">
      <alignment horizontal="left" vertical="center"/>
    </xf>
    <xf numFmtId="176" fontId="12" fillId="0" borderId="0" xfId="0" applyFont="1" applyAlignment="1">
      <alignment vertical="center"/>
      <protection locked="0"/>
    </xf>
    <xf numFmtId="176" fontId="14" fillId="2" borderId="2" xfId="0" applyFont="1" applyFill="1" applyBorder="1" applyAlignment="1" applyProtection="1">
      <alignment horizontal="center" vertical="center"/>
    </xf>
    <xf numFmtId="176" fontId="14" fillId="2" borderId="2" xfId="0" applyFont="1" applyFill="1" applyBorder="1" applyAlignment="1">
      <alignment horizontal="center" vertical="center"/>
      <protection locked="0"/>
    </xf>
    <xf numFmtId="176" fontId="14" fillId="2" borderId="2" xfId="0" applyFont="1" applyFill="1" applyBorder="1" applyAlignment="1">
      <alignment horizontal="left" vertical="center" wrapText="1"/>
      <protection locked="0"/>
    </xf>
    <xf numFmtId="176" fontId="14" fillId="2" borderId="2" xfId="0" applyFont="1" applyFill="1" applyBorder="1" applyAlignment="1">
      <alignment vertical="center" wrapText="1"/>
      <protection locked="0"/>
    </xf>
    <xf numFmtId="43" fontId="6" fillId="0" borderId="2" xfId="1" applyFont="1" applyBorder="1" applyAlignment="1" applyProtection="1">
      <alignment vertical="center"/>
      <protection locked="0"/>
    </xf>
    <xf numFmtId="43" fontId="6" fillId="0" borderId="0" xfId="1" applyFont="1" applyFill="1" applyBorder="1" applyAlignment="1" applyProtection="1">
      <alignment vertical="center"/>
      <protection locked="0"/>
    </xf>
    <xf numFmtId="14" fontId="6" fillId="0" borderId="0" xfId="0" applyNumberFormat="1" applyFont="1" applyAlignment="1" applyProtection="1">
      <alignment horizontal="center" vertical="center"/>
    </xf>
    <xf numFmtId="176" fontId="14" fillId="4" borderId="2" xfId="0" applyFont="1" applyFill="1" applyBorder="1" applyAlignment="1">
      <alignment vertical="center" wrapText="1"/>
      <protection locked="0"/>
    </xf>
    <xf numFmtId="43" fontId="4" fillId="0" borderId="2" xfId="1" applyFont="1" applyBorder="1" applyAlignment="1" applyProtection="1">
      <alignment vertical="center"/>
      <protection locked="0"/>
    </xf>
    <xf numFmtId="14" fontId="6" fillId="0" borderId="0" xfId="0" applyNumberFormat="1" applyFont="1" applyAlignment="1">
      <alignment vertical="center"/>
      <protection locked="0"/>
    </xf>
    <xf numFmtId="176" fontId="6" fillId="0" borderId="0" xfId="189" applyFont="1" applyAlignment="1">
      <alignment vertical="center" wrapText="1"/>
    </xf>
    <xf numFmtId="176" fontId="6" fillId="0" borderId="0" xfId="175" applyFont="1" applyAlignment="1">
      <alignment vertical="center" wrapText="1"/>
      <protection locked="0"/>
    </xf>
    <xf numFmtId="176" fontId="10" fillId="0" borderId="0" xfId="194" applyFont="1" applyAlignment="1">
      <alignment horizontal="left" vertical="center"/>
    </xf>
    <xf numFmtId="176" fontId="6" fillId="0" borderId="0" xfId="175" applyFont="1" applyAlignment="1">
      <alignment horizontal="left" vertical="center"/>
      <protection locked="0"/>
    </xf>
    <xf numFmtId="176" fontId="6" fillId="0" borderId="0" xfId="175" applyFont="1" applyAlignment="1">
      <alignment horizontal="left" vertical="center" wrapText="1"/>
      <protection locked="0"/>
    </xf>
    <xf numFmtId="176" fontId="11" fillId="0" borderId="0" xfId="175" applyFont="1" applyAlignment="1">
      <alignment vertical="center"/>
      <protection locked="0"/>
    </xf>
    <xf numFmtId="176" fontId="10" fillId="7" borderId="2" xfId="175" applyFont="1" applyFill="1" applyBorder="1" applyAlignment="1">
      <alignment horizontal="center" vertical="center" wrapText="1"/>
      <protection locked="0"/>
    </xf>
    <xf numFmtId="176" fontId="14" fillId="7" borderId="2" xfId="175" applyFont="1" applyFill="1" applyBorder="1" applyAlignment="1">
      <alignment horizontal="center" vertical="center" wrapText="1"/>
      <protection locked="0"/>
    </xf>
    <xf numFmtId="176" fontId="11" fillId="0" borderId="2" xfId="175" applyFont="1" applyBorder="1" applyAlignment="1">
      <alignment vertical="center" wrapText="1"/>
      <protection locked="0"/>
    </xf>
    <xf numFmtId="176" fontId="11" fillId="0" borderId="2" xfId="175" applyFont="1" applyBorder="1" applyAlignment="1">
      <alignment horizontal="left" vertical="center" wrapText="1"/>
      <protection locked="0"/>
    </xf>
    <xf numFmtId="176" fontId="21" fillId="0" borderId="2" xfId="175" applyFont="1" applyBorder="1" applyAlignment="1">
      <alignment horizontal="left" vertical="center" wrapText="1"/>
      <protection locked="0"/>
    </xf>
    <xf numFmtId="176" fontId="20" fillId="0" borderId="0" xfId="175" applyFont="1" applyAlignment="1">
      <alignment vertical="center" wrapText="1"/>
      <protection locked="0"/>
    </xf>
    <xf numFmtId="176" fontId="6" fillId="0" borderId="2" xfId="175" applyFont="1" applyBorder="1" applyAlignment="1">
      <alignment vertical="center" wrapText="1"/>
      <protection locked="0"/>
    </xf>
    <xf numFmtId="176" fontId="11" fillId="0" borderId="0" xfId="175" applyFont="1" applyAlignment="1">
      <alignment vertical="center" wrapText="1"/>
      <protection locked="0"/>
    </xf>
    <xf numFmtId="176" fontId="21" fillId="0" borderId="0" xfId="175" applyFont="1" applyAlignment="1">
      <alignment horizontal="center" vertical="center" wrapText="1"/>
      <protection locked="0"/>
    </xf>
    <xf numFmtId="176" fontId="10" fillId="2" borderId="2" xfId="175" applyFont="1" applyFill="1" applyBorder="1" applyAlignment="1">
      <alignment vertical="center" wrapText="1"/>
      <protection locked="0"/>
    </xf>
    <xf numFmtId="176" fontId="20" fillId="7" borderId="2" xfId="175" applyFont="1" applyFill="1" applyBorder="1" applyAlignment="1">
      <alignment horizontal="center" vertical="center" wrapText="1"/>
      <protection locked="0"/>
    </xf>
    <xf numFmtId="176" fontId="20" fillId="8" borderId="0" xfId="172" applyFont="1" applyFill="1" applyAlignment="1">
      <alignment horizontal="left" vertical="center"/>
      <protection locked="0"/>
    </xf>
    <xf numFmtId="176" fontId="35" fillId="8" borderId="0" xfId="172" applyFont="1" applyFill="1" applyAlignment="1">
      <alignment horizontal="center" vertical="center" wrapText="1"/>
      <protection locked="0"/>
    </xf>
    <xf numFmtId="176" fontId="6" fillId="0" borderId="2" xfId="175" applyFont="1" applyBorder="1" applyAlignment="1">
      <alignment horizontal="center" vertical="center" wrapText="1"/>
      <protection locked="0"/>
    </xf>
    <xf numFmtId="176" fontId="20" fillId="8" borderId="0" xfId="172" applyFont="1" applyFill="1" applyAlignment="1">
      <alignment horizontal="center" vertical="center" wrapText="1"/>
      <protection locked="0"/>
    </xf>
    <xf numFmtId="176" fontId="6" fillId="2" borderId="2" xfId="175" applyFont="1" applyFill="1" applyBorder="1" applyAlignment="1">
      <alignment vertical="center" wrapText="1"/>
      <protection locked="0"/>
    </xf>
    <xf numFmtId="176" fontId="6" fillId="2" borderId="2" xfId="175" applyFont="1" applyFill="1" applyBorder="1" applyAlignment="1">
      <alignment horizontal="left" vertical="center" wrapText="1"/>
      <protection locked="0"/>
    </xf>
    <xf numFmtId="176" fontId="10" fillId="0" borderId="0" xfId="194" applyFont="1" applyAlignment="1">
      <alignment vertical="center"/>
    </xf>
    <xf numFmtId="176" fontId="21" fillId="0" borderId="0" xfId="175" applyFont="1" applyAlignment="1">
      <alignment vertical="center" wrapText="1"/>
      <protection locked="0"/>
    </xf>
    <xf numFmtId="176" fontId="21" fillId="0" borderId="0" xfId="175" applyFont="1" applyAlignment="1">
      <alignment vertical="center"/>
      <protection locked="0"/>
    </xf>
    <xf numFmtId="176" fontId="35" fillId="0" borderId="0" xfId="175" applyFont="1" applyAlignment="1">
      <alignment horizontal="left" vertical="center"/>
      <protection locked="0"/>
    </xf>
    <xf numFmtId="176" fontId="21" fillId="8" borderId="0" xfId="176" applyFont="1" applyFill="1" applyAlignment="1">
      <alignment horizontal="center" vertical="center" wrapText="1"/>
      <protection locked="0"/>
    </xf>
    <xf numFmtId="0" fontId="6" fillId="0" borderId="0" xfId="0" applyNumberFormat="1" applyFont="1" applyAlignment="1">
      <alignment vertical="center"/>
      <protection locked="0"/>
    </xf>
    <xf numFmtId="0" fontId="6" fillId="0" borderId="0" xfId="197" applyNumberFormat="1" applyFont="1" applyBorder="1" applyAlignment="1">
      <alignment vertical="center"/>
    </xf>
    <xf numFmtId="0" fontId="6" fillId="0" borderId="0" xfId="197" applyNumberFormat="1" applyFont="1" applyBorder="1" applyAlignment="1">
      <alignment horizontal="left" vertical="center"/>
    </xf>
    <xf numFmtId="0" fontId="17" fillId="4" borderId="2" xfId="166" applyNumberFormat="1" applyFont="1" applyFill="1" applyBorder="1" applyAlignment="1" applyProtection="1">
      <alignment horizontal="center" vertical="center"/>
    </xf>
    <xf numFmtId="0" fontId="17" fillId="4" borderId="2" xfId="166" applyNumberFormat="1" applyFont="1" applyFill="1" applyBorder="1" applyAlignment="1" applyProtection="1">
      <alignment horizontal="center" vertical="center" wrapText="1"/>
    </xf>
    <xf numFmtId="0" fontId="10" fillId="4" borderId="2" xfId="166" applyNumberFormat="1" applyFont="1" applyFill="1" applyBorder="1" applyAlignment="1" applyProtection="1">
      <alignment horizontal="center" vertical="center" wrapText="1"/>
    </xf>
    <xf numFmtId="0" fontId="10" fillId="4" borderId="2" xfId="179" applyNumberFormat="1" applyFont="1" applyFill="1" applyBorder="1" applyAlignment="1" applyProtection="1">
      <alignment horizontal="center" vertical="center" wrapText="1"/>
      <protection locked="0"/>
    </xf>
    <xf numFmtId="0" fontId="36" fillId="4" borderId="2" xfId="179" applyNumberFormat="1" applyFont="1" applyFill="1" applyBorder="1" applyAlignment="1" applyProtection="1">
      <alignment horizontal="center" vertical="center" wrapText="1"/>
      <protection locked="0"/>
    </xf>
    <xf numFmtId="0" fontId="13" fillId="0" borderId="2" xfId="166" applyNumberFormat="1" applyFont="1" applyBorder="1" applyProtection="1">
      <alignment vertical="center"/>
    </xf>
    <xf numFmtId="43" fontId="18" fillId="0" borderId="2" xfId="166" applyNumberFormat="1" applyFont="1" applyBorder="1" applyProtection="1">
      <alignment vertical="center"/>
    </xf>
    <xf numFmtId="0" fontId="6" fillId="0" borderId="2" xfId="166" applyNumberFormat="1" applyFont="1" applyBorder="1" applyProtection="1">
      <alignment vertical="center"/>
    </xf>
    <xf numFmtId="0" fontId="11" fillId="0" borderId="2" xfId="166" applyNumberFormat="1" applyFont="1" applyBorder="1" applyAlignment="1" applyProtection="1">
      <alignment horizontal="left" vertical="center"/>
    </xf>
    <xf numFmtId="0" fontId="17" fillId="0" borderId="2" xfId="166" applyNumberFormat="1" applyFont="1" applyBorder="1" applyAlignment="1" applyProtection="1">
      <alignment horizontal="center" vertical="center"/>
    </xf>
    <xf numFmtId="0" fontId="21" fillId="0" borderId="0" xfId="166" applyNumberFormat="1" applyFont="1" applyAlignment="1">
      <alignment vertical="center"/>
      <protection locked="0"/>
    </xf>
    <xf numFmtId="0" fontId="6" fillId="0" borderId="0" xfId="166" applyNumberFormat="1" applyFont="1">
      <alignment vertical="center"/>
      <protection locked="0"/>
    </xf>
    <xf numFmtId="0" fontId="6" fillId="0" borderId="0" xfId="166" applyNumberFormat="1" applyFont="1" applyAlignment="1">
      <alignment vertical="center" wrapText="1"/>
      <protection locked="0"/>
    </xf>
    <xf numFmtId="0" fontId="6" fillId="0" borderId="0" xfId="197" applyNumberFormat="1" applyFont="1" applyBorder="1" applyAlignment="1">
      <alignment horizontal="right" vertical="center"/>
    </xf>
    <xf numFmtId="0" fontId="18" fillId="0" borderId="2" xfId="166" applyNumberFormat="1" applyFont="1" applyBorder="1" applyProtection="1">
      <alignment vertical="center"/>
    </xf>
    <xf numFmtId="176" fontId="10" fillId="2" borderId="2" xfId="135" applyFont="1" applyFill="1" applyBorder="1" applyAlignment="1">
      <alignment horizontal="center" vertical="center"/>
    </xf>
    <xf numFmtId="176" fontId="10" fillId="2" borderId="2" xfId="135" applyFont="1" applyFill="1" applyBorder="1" applyAlignment="1">
      <alignment vertical="center" shrinkToFit="1"/>
    </xf>
    <xf numFmtId="43" fontId="4" fillId="2" borderId="2" xfId="1" applyFont="1" applyFill="1" applyBorder="1" applyAlignment="1" applyProtection="1">
      <alignment vertical="center" shrinkToFit="1"/>
    </xf>
    <xf numFmtId="176" fontId="10" fillId="2" borderId="2" xfId="135" applyFont="1" applyFill="1" applyBorder="1" applyAlignment="1" applyProtection="1">
      <alignment vertical="center" shrinkToFit="1"/>
      <protection locked="0"/>
    </xf>
    <xf numFmtId="43" fontId="4" fillId="0" borderId="2" xfId="1" applyFont="1" applyFill="1" applyBorder="1" applyAlignment="1" applyProtection="1">
      <alignment vertical="center" shrinkToFit="1"/>
      <protection locked="0"/>
    </xf>
    <xf numFmtId="43" fontId="4" fillId="2" borderId="2" xfId="1" applyFont="1" applyFill="1" applyBorder="1" applyAlignment="1" applyProtection="1">
      <alignment vertical="center" shrinkToFit="1"/>
      <protection locked="0"/>
    </xf>
    <xf numFmtId="176" fontId="10" fillId="2" borderId="2" xfId="135" applyFont="1" applyFill="1" applyBorder="1" applyAlignment="1" applyProtection="1">
      <alignment horizontal="left" vertical="center" shrinkToFit="1"/>
      <protection locked="0"/>
    </xf>
    <xf numFmtId="176" fontId="10" fillId="2" borderId="2" xfId="135" applyFont="1" applyFill="1" applyBorder="1" applyAlignment="1" applyProtection="1">
      <alignment horizontal="left" vertical="center" indent="4" shrinkToFit="1"/>
      <protection locked="0"/>
    </xf>
    <xf numFmtId="176" fontId="10" fillId="2" borderId="2" xfId="135" applyFont="1" applyFill="1" applyBorder="1" applyAlignment="1">
      <alignment horizontal="center" vertical="center" shrinkToFit="1"/>
    </xf>
    <xf numFmtId="43" fontId="16" fillId="2" borderId="2" xfId="1" applyFont="1" applyFill="1" applyBorder="1" applyAlignment="1" applyProtection="1">
      <alignment vertical="center" shrinkToFit="1"/>
    </xf>
    <xf numFmtId="43" fontId="4" fillId="0" borderId="2" xfId="1" applyFont="1" applyFill="1" applyBorder="1" applyAlignment="1" applyProtection="1">
      <alignment vertical="center" shrinkToFit="1"/>
    </xf>
    <xf numFmtId="209" fontId="6" fillId="0" borderId="0" xfId="0" applyNumberFormat="1" applyFont="1" applyAlignment="1">
      <alignment horizontal="center" vertical="center"/>
      <protection locked="0"/>
    </xf>
    <xf numFmtId="176" fontId="34" fillId="0" borderId="0" xfId="0" applyFont="1" applyAlignment="1">
      <alignment vertical="center"/>
      <protection locked="0"/>
    </xf>
    <xf numFmtId="176" fontId="34" fillId="0" borderId="0" xfId="0" applyFont="1">
      <protection locked="0"/>
    </xf>
    <xf numFmtId="176" fontId="6" fillId="0" borderId="0" xfId="0" applyFont="1" applyAlignment="1">
      <alignment horizontal="left" vertical="center" indent="1"/>
      <protection locked="0"/>
    </xf>
    <xf numFmtId="176" fontId="37" fillId="0" borderId="0" xfId="182" applyFont="1" applyAlignment="1">
      <alignment horizontal="left" vertical="center" indent="1"/>
    </xf>
    <xf numFmtId="176" fontId="10" fillId="0" borderId="0" xfId="0" applyFont="1" applyAlignment="1">
      <alignment horizontal="justify" vertical="center" wrapText="1"/>
      <protection locked="0"/>
    </xf>
    <xf numFmtId="176" fontId="10" fillId="2" borderId="3" xfId="0" applyFont="1" applyFill="1" applyBorder="1" applyAlignment="1">
      <alignment horizontal="center" vertical="center" wrapText="1"/>
      <protection locked="0"/>
    </xf>
    <xf numFmtId="43" fontId="10" fillId="2" borderId="2" xfId="1" applyFont="1" applyFill="1" applyBorder="1" applyAlignment="1">
      <alignment horizontal="center" vertical="center"/>
    </xf>
    <xf numFmtId="43" fontId="16" fillId="2" borderId="2" xfId="0" applyNumberFormat="1" applyFont="1" applyFill="1" applyBorder="1" applyAlignment="1">
      <alignment vertical="center"/>
      <protection locked="0"/>
    </xf>
    <xf numFmtId="176" fontId="38" fillId="0" borderId="0" xfId="0" applyFont="1" applyAlignment="1">
      <alignment vertical="center"/>
      <protection locked="0"/>
    </xf>
    <xf numFmtId="176" fontId="39" fillId="0" borderId="0" xfId="0" applyFont="1" applyAlignment="1">
      <alignment vertical="center"/>
      <protection locked="0"/>
    </xf>
    <xf numFmtId="176" fontId="39" fillId="0" borderId="0" xfId="0" applyFont="1" applyAlignment="1">
      <alignment horizontal="right"/>
      <protection locked="0"/>
    </xf>
    <xf numFmtId="176" fontId="34" fillId="0" borderId="0" xfId="0" applyFont="1" applyAlignment="1">
      <alignment horizontal="right"/>
      <protection locked="0"/>
    </xf>
    <xf numFmtId="176" fontId="40" fillId="0" borderId="0" xfId="0" applyFont="1" applyAlignment="1">
      <alignment vertical="center"/>
      <protection locked="0"/>
    </xf>
    <xf numFmtId="176" fontId="10" fillId="2" borderId="2" xfId="0" applyFont="1" applyFill="1" applyBorder="1" applyAlignment="1">
      <alignment horizontal="center" vertical="center" wrapText="1"/>
      <protection locked="0"/>
    </xf>
    <xf numFmtId="176" fontId="16" fillId="0" borderId="0" xfId="189" applyFont="1">
      <alignment vertical="center"/>
    </xf>
    <xf numFmtId="176" fontId="41" fillId="0" borderId="0" xfId="0" applyFont="1" applyAlignment="1">
      <alignment vertical="center"/>
      <protection locked="0"/>
    </xf>
    <xf numFmtId="176" fontId="4" fillId="0" borderId="0" xfId="175" applyFont="1" applyAlignment="1">
      <alignment vertical="center"/>
      <protection locked="0"/>
    </xf>
    <xf numFmtId="176" fontId="4" fillId="0" borderId="0" xfId="0" applyFont="1" applyAlignment="1">
      <alignment horizontal="right" vertical="center"/>
      <protection locked="0"/>
    </xf>
    <xf numFmtId="176" fontId="42" fillId="0" borderId="0" xfId="175" applyFont="1" applyAlignment="1">
      <alignment horizontal="justify" vertical="center"/>
      <protection locked="0"/>
    </xf>
    <xf numFmtId="176" fontId="4" fillId="0" borderId="0" xfId="0" applyFont="1" applyAlignment="1">
      <alignment horizontal="justify" vertical="center" wrapText="1"/>
      <protection locked="0"/>
    </xf>
    <xf numFmtId="176" fontId="42" fillId="0" borderId="9" xfId="0" applyFont="1" applyBorder="1" applyAlignment="1">
      <alignment horizontal="center" vertical="center"/>
      <protection locked="0"/>
    </xf>
    <xf numFmtId="176" fontId="41" fillId="0" borderId="10" xfId="0" applyFont="1" applyBorder="1" applyAlignment="1">
      <alignment horizontal="center" vertical="center"/>
      <protection locked="0"/>
    </xf>
    <xf numFmtId="176" fontId="43" fillId="0" borderId="9" xfId="0" applyFont="1" applyBorder="1" applyAlignment="1">
      <alignment vertical="center"/>
      <protection locked="0"/>
    </xf>
    <xf numFmtId="43" fontId="44" fillId="0" borderId="9" xfId="1" applyFont="1" applyBorder="1" applyAlignment="1" applyProtection="1">
      <alignment vertical="center"/>
      <protection locked="0"/>
    </xf>
    <xf numFmtId="176" fontId="43" fillId="0" borderId="0" xfId="0" applyFont="1" applyAlignment="1">
      <alignment vertical="center"/>
      <protection locked="0"/>
    </xf>
    <xf numFmtId="43" fontId="44" fillId="0" borderId="0" xfId="1" applyFont="1" applyBorder="1" applyAlignment="1" applyProtection="1">
      <alignment vertical="center"/>
      <protection locked="0"/>
    </xf>
    <xf numFmtId="43" fontId="44" fillId="0" borderId="11" xfId="1" applyFont="1" applyBorder="1" applyAlignment="1" applyProtection="1">
      <alignment vertical="center"/>
      <protection locked="0"/>
    </xf>
    <xf numFmtId="43" fontId="44" fillId="0" borderId="10" xfId="1" applyFont="1" applyBorder="1" applyAlignment="1" applyProtection="1">
      <alignment vertical="center"/>
      <protection locked="0"/>
    </xf>
    <xf numFmtId="43" fontId="45" fillId="0" borderId="0" xfId="0" applyNumberFormat="1" applyFont="1" applyAlignment="1" applyProtection="1">
      <alignment vertical="center"/>
    </xf>
    <xf numFmtId="43" fontId="46" fillId="0" borderId="0" xfId="0" applyNumberFormat="1" applyFont="1" applyAlignment="1" applyProtection="1">
      <alignment horizontal="right" vertical="center" wrapText="1"/>
    </xf>
    <xf numFmtId="43" fontId="46" fillId="0" borderId="11" xfId="0" applyNumberFormat="1" applyFont="1" applyBorder="1" applyAlignment="1" applyProtection="1">
      <alignment horizontal="right" vertical="center" wrapText="1"/>
    </xf>
    <xf numFmtId="43" fontId="45" fillId="0" borderId="0" xfId="0" applyNumberFormat="1" applyFont="1" applyAlignment="1" applyProtection="1">
      <alignment horizontal="justify" vertical="center" wrapText="1"/>
    </xf>
    <xf numFmtId="43" fontId="45" fillId="0" borderId="0" xfId="0" applyNumberFormat="1" applyFont="1" applyAlignment="1" applyProtection="1">
      <alignment horizontal="right" vertical="center" wrapText="1"/>
    </xf>
    <xf numFmtId="43" fontId="48" fillId="0" borderId="0" xfId="0" applyNumberFormat="1" applyFont="1" applyAlignment="1" applyProtection="1">
      <alignment horizontal="right" vertical="center" wrapText="1"/>
    </xf>
    <xf numFmtId="43" fontId="48" fillId="0" borderId="12" xfId="1" applyFont="1" applyBorder="1" applyAlignment="1">
      <alignment horizontal="right" vertical="center" wrapText="1"/>
    </xf>
    <xf numFmtId="43" fontId="48" fillId="0" borderId="11" xfId="1" applyFont="1" applyBorder="1" applyAlignment="1">
      <alignment horizontal="right" vertical="center" wrapText="1"/>
    </xf>
    <xf numFmtId="43" fontId="49" fillId="0" borderId="10" xfId="0" applyNumberFormat="1" applyFont="1" applyBorder="1" applyAlignment="1" applyProtection="1">
      <alignment horizontal="justify" vertical="center" wrapText="1"/>
    </xf>
    <xf numFmtId="43" fontId="46" fillId="0" borderId="10" xfId="0" applyNumberFormat="1" applyFont="1" applyBorder="1" applyAlignment="1" applyProtection="1">
      <alignment horizontal="right" vertical="center" wrapText="1"/>
    </xf>
    <xf numFmtId="43" fontId="48" fillId="0" borderId="10" xfId="0" applyNumberFormat="1" applyFont="1" applyBorder="1" applyAlignment="1" applyProtection="1">
      <alignment horizontal="right" vertical="center" wrapText="1"/>
    </xf>
    <xf numFmtId="43" fontId="50" fillId="0" borderId="11" xfId="1" applyFont="1" applyBorder="1" applyAlignment="1">
      <alignment horizontal="right" vertical="center" wrapText="1"/>
    </xf>
    <xf numFmtId="43" fontId="48" fillId="0" borderId="0" xfId="1" applyFont="1" applyAlignment="1">
      <alignment horizontal="right" vertical="center" wrapText="1"/>
    </xf>
    <xf numFmtId="43" fontId="50" fillId="0" borderId="10" xfId="1" applyFont="1" applyBorder="1" applyAlignment="1">
      <alignment horizontal="right" vertical="center" wrapText="1"/>
    </xf>
    <xf numFmtId="43" fontId="46" fillId="0" borderId="0" xfId="0" applyNumberFormat="1" applyFont="1" applyAlignment="1" applyProtection="1">
      <alignment vertical="center"/>
    </xf>
    <xf numFmtId="43" fontId="46" fillId="0" borderId="9" xfId="0" applyNumberFormat="1" applyFont="1" applyBorder="1" applyAlignment="1" applyProtection="1">
      <alignment horizontal="justify" vertical="center" wrapText="1"/>
    </xf>
    <xf numFmtId="43" fontId="45" fillId="0" borderId="9" xfId="0" applyNumberFormat="1" applyFont="1" applyBorder="1" applyAlignment="1" applyProtection="1">
      <alignment horizontal="justify" vertical="center" wrapText="1"/>
    </xf>
    <xf numFmtId="43" fontId="45" fillId="0" borderId="9" xfId="0" applyNumberFormat="1" applyFont="1" applyBorder="1" applyAlignment="1" applyProtection="1">
      <alignment horizontal="right" vertical="center" wrapText="1"/>
    </xf>
    <xf numFmtId="43" fontId="48" fillId="0" borderId="9" xfId="0" applyNumberFormat="1" applyFont="1" applyBorder="1" applyAlignment="1" applyProtection="1">
      <alignment horizontal="right" vertical="center" wrapText="1"/>
    </xf>
    <xf numFmtId="43" fontId="45" fillId="0" borderId="11" xfId="0" applyNumberFormat="1" applyFont="1" applyBorder="1" applyAlignment="1" applyProtection="1">
      <alignment horizontal="justify" vertical="center" wrapText="1"/>
    </xf>
    <xf numFmtId="43" fontId="45" fillId="0" borderId="11" xfId="0" applyNumberFormat="1" applyFont="1" applyBorder="1" applyAlignment="1" applyProtection="1">
      <alignment horizontal="right" vertical="center" wrapText="1"/>
    </xf>
    <xf numFmtId="43" fontId="48" fillId="0" borderId="11" xfId="0" applyNumberFormat="1" applyFont="1" applyBorder="1" applyAlignment="1" applyProtection="1">
      <alignment horizontal="right" vertical="center" wrapText="1"/>
    </xf>
    <xf numFmtId="43" fontId="46" fillId="0" borderId="11" xfId="0" applyNumberFormat="1" applyFont="1" applyBorder="1" applyAlignment="1" applyProtection="1">
      <alignment horizontal="justify" vertical="center" wrapText="1"/>
    </xf>
    <xf numFmtId="43" fontId="51" fillId="0" borderId="0" xfId="0" applyNumberFormat="1" applyFont="1" applyAlignment="1" applyProtection="1">
      <alignment horizontal="justify" vertical="center" wrapText="1"/>
    </xf>
    <xf numFmtId="43" fontId="46" fillId="0" borderId="9" xfId="0" applyNumberFormat="1" applyFont="1" applyBorder="1" applyAlignment="1" applyProtection="1">
      <alignment horizontal="right" vertical="center" wrapText="1"/>
    </xf>
    <xf numFmtId="43" fontId="51" fillId="0" borderId="11" xfId="0" applyNumberFormat="1" applyFont="1" applyBorder="1" applyAlignment="1" applyProtection="1">
      <alignment horizontal="justify" vertical="center" wrapText="1"/>
    </xf>
    <xf numFmtId="43" fontId="49" fillId="0" borderId="11" xfId="0" applyNumberFormat="1" applyFont="1" applyBorder="1" applyAlignment="1" applyProtection="1">
      <alignment horizontal="justify" vertical="center" wrapText="1"/>
    </xf>
    <xf numFmtId="43" fontId="49" fillId="0" borderId="11" xfId="0" applyNumberFormat="1" applyFont="1" applyBorder="1" applyAlignment="1" applyProtection="1">
      <alignment horizontal="right" vertical="center" wrapText="1"/>
    </xf>
    <xf numFmtId="43" fontId="46" fillId="9" borderId="9" xfId="0" applyNumberFormat="1" applyFont="1" applyFill="1" applyBorder="1" applyAlignment="1" applyProtection="1">
      <alignment horizontal="right" vertical="center" wrapText="1"/>
    </xf>
    <xf numFmtId="43" fontId="46" fillId="9" borderId="11" xfId="0" applyNumberFormat="1" applyFont="1" applyFill="1" applyBorder="1" applyAlignment="1" applyProtection="1">
      <alignment horizontal="right" vertical="center" wrapText="1"/>
    </xf>
    <xf numFmtId="43" fontId="46" fillId="9" borderId="11" xfId="0" applyNumberFormat="1" applyFont="1" applyFill="1" applyBorder="1" applyAlignment="1" applyProtection="1">
      <alignment horizontal="center" vertical="center" wrapText="1"/>
    </xf>
    <xf numFmtId="176" fontId="43" fillId="0" borderId="0" xfId="175" applyFont="1" applyAlignment="1">
      <alignment vertical="center"/>
      <protection locked="0"/>
    </xf>
    <xf numFmtId="176" fontId="41" fillId="0" borderId="0" xfId="175" applyFont="1" applyAlignment="1">
      <alignment vertical="center"/>
      <protection locked="0"/>
    </xf>
    <xf numFmtId="176" fontId="44" fillId="0" borderId="0" xfId="175" applyFont="1" applyAlignment="1">
      <alignment vertical="center"/>
      <protection locked="0"/>
    </xf>
    <xf numFmtId="176" fontId="41" fillId="0" borderId="0" xfId="0" applyFont="1" applyAlignment="1">
      <alignment horizontal="right" vertical="center"/>
      <protection locked="0"/>
    </xf>
    <xf numFmtId="176" fontId="44" fillId="0" borderId="0" xfId="0" applyFont="1" applyAlignment="1">
      <alignment vertical="center"/>
      <protection locked="0"/>
    </xf>
    <xf numFmtId="176" fontId="52" fillId="0" borderId="9" xfId="0" applyFont="1" applyBorder="1" applyAlignment="1" applyProtection="1">
      <alignment horizontal="justify" vertical="center" wrapText="1"/>
    </xf>
    <xf numFmtId="43" fontId="52" fillId="0" borderId="9" xfId="1" applyFont="1" applyBorder="1" applyAlignment="1" applyProtection="1">
      <alignment horizontal="right" vertical="center" wrapText="1"/>
    </xf>
    <xf numFmtId="43" fontId="44" fillId="0" borderId="0" xfId="175" applyNumberFormat="1" applyFont="1" applyAlignment="1">
      <alignment vertical="center"/>
      <protection locked="0"/>
    </xf>
    <xf numFmtId="176" fontId="52" fillId="0" borderId="0" xfId="0" applyFont="1" applyAlignment="1" applyProtection="1">
      <alignment horizontal="justify" vertical="center" wrapText="1"/>
    </xf>
    <xf numFmtId="43" fontId="52" fillId="0" borderId="0" xfId="1" applyFont="1" applyBorder="1" applyAlignment="1" applyProtection="1">
      <alignment horizontal="right" vertical="center" wrapText="1"/>
    </xf>
    <xf numFmtId="176" fontId="53" fillId="0" borderId="0" xfId="0" applyFont="1" applyAlignment="1" applyProtection="1">
      <alignment horizontal="justify" vertical="center" wrapText="1"/>
    </xf>
    <xf numFmtId="176" fontId="52" fillId="0" borderId="0" xfId="0" applyFont="1" applyAlignment="1" applyProtection="1">
      <alignment horizontal="right" vertical="center" wrapText="1"/>
    </xf>
    <xf numFmtId="176" fontId="16" fillId="0" borderId="0" xfId="0" applyFont="1" applyAlignment="1">
      <alignment vertical="center"/>
      <protection locked="0"/>
    </xf>
    <xf numFmtId="176" fontId="54" fillId="0" borderId="10" xfId="0" applyFont="1" applyBorder="1" applyAlignment="1" applyProtection="1">
      <alignment horizontal="center" vertical="center" wrapText="1"/>
    </xf>
    <xf numFmtId="43" fontId="52" fillId="0" borderId="10" xfId="0" applyNumberFormat="1" applyFont="1" applyBorder="1" applyAlignment="1" applyProtection="1">
      <alignment horizontal="right" vertical="center" wrapText="1"/>
    </xf>
    <xf numFmtId="176" fontId="55" fillId="0" borderId="0" xfId="0" applyFont="1" applyAlignment="1" applyProtection="1">
      <alignment vertical="center"/>
    </xf>
    <xf numFmtId="176" fontId="54" fillId="0" borderId="0" xfId="0" applyFont="1" applyAlignment="1" applyProtection="1">
      <alignment vertical="center"/>
    </xf>
    <xf numFmtId="176" fontId="52" fillId="0" borderId="0" xfId="0" applyFont="1" applyAlignment="1" applyProtection="1">
      <alignment vertical="center"/>
    </xf>
    <xf numFmtId="176" fontId="44" fillId="0" borderId="9" xfId="0" applyFont="1" applyBorder="1" applyAlignment="1">
      <alignment vertical="center"/>
      <protection locked="0"/>
    </xf>
    <xf numFmtId="43" fontId="44" fillId="0" borderId="9" xfId="1" applyFont="1" applyFill="1" applyBorder="1" applyAlignment="1" applyProtection="1">
      <alignment vertical="center"/>
      <protection locked="0"/>
    </xf>
    <xf numFmtId="43" fontId="44" fillId="0" borderId="0" xfId="1" applyFont="1" applyFill="1" applyBorder="1" applyAlignment="1" applyProtection="1">
      <alignment vertical="center"/>
      <protection locked="0"/>
    </xf>
    <xf numFmtId="176" fontId="53" fillId="0" borderId="0" xfId="0" applyFont="1" applyAlignment="1" applyProtection="1">
      <alignment vertical="center"/>
    </xf>
    <xf numFmtId="176" fontId="43" fillId="0" borderId="0" xfId="0" applyFont="1" applyAlignment="1">
      <alignment horizontal="left" vertical="center"/>
      <protection locked="0"/>
    </xf>
    <xf numFmtId="176" fontId="41" fillId="0" borderId="10" xfId="0" applyFont="1" applyBorder="1" applyAlignment="1">
      <alignment horizontal="center" vertical="center" wrapText="1"/>
      <protection locked="0"/>
    </xf>
    <xf numFmtId="176" fontId="43" fillId="0" borderId="10" xfId="0" applyFont="1" applyBorder="1" applyAlignment="1">
      <alignment horizontal="justify" vertical="center" wrapText="1"/>
      <protection locked="0"/>
    </xf>
    <xf numFmtId="43" fontId="44" fillId="0" borderId="10" xfId="0" applyNumberFormat="1" applyFont="1" applyBorder="1" applyAlignment="1">
      <alignment horizontal="center" vertical="center" wrapText="1"/>
      <protection locked="0"/>
    </xf>
    <xf numFmtId="176" fontId="41" fillId="0" borderId="9" xfId="0" applyFont="1" applyBorder="1" applyAlignment="1">
      <alignment horizontal="center" vertical="center" wrapText="1"/>
      <protection locked="0"/>
    </xf>
    <xf numFmtId="176" fontId="42" fillId="0" borderId="9" xfId="0" applyFont="1" applyBorder="1" applyAlignment="1">
      <alignment horizontal="center" vertical="center" wrapText="1"/>
      <protection locked="0"/>
    </xf>
    <xf numFmtId="176" fontId="44" fillId="0" borderId="0" xfId="0" applyFont="1" applyAlignment="1">
      <alignment horizontal="justify" vertical="center"/>
      <protection locked="0"/>
    </xf>
    <xf numFmtId="176" fontId="44" fillId="0" borderId="0" xfId="0" applyFont="1" applyAlignment="1">
      <alignment horizontal="right" vertical="center"/>
      <protection locked="0"/>
    </xf>
    <xf numFmtId="43" fontId="44" fillId="0" borderId="0" xfId="1" applyFont="1" applyFill="1" applyBorder="1" applyAlignment="1" applyProtection="1">
      <alignment horizontal="right" vertical="center"/>
      <protection locked="0"/>
    </xf>
    <xf numFmtId="176" fontId="53" fillId="0" borderId="0" xfId="0" applyFont="1" applyAlignment="1">
      <alignment horizontal="justify" vertical="center"/>
      <protection locked="0"/>
    </xf>
    <xf numFmtId="176" fontId="53" fillId="0" borderId="0" xfId="0" applyFont="1" applyAlignment="1">
      <alignment horizontal="right" vertical="center"/>
      <protection locked="0"/>
    </xf>
    <xf numFmtId="43" fontId="53" fillId="0" borderId="0" xfId="1" applyFont="1" applyFill="1" applyBorder="1" applyAlignment="1" applyProtection="1">
      <alignment horizontal="right" vertical="center"/>
      <protection locked="0"/>
    </xf>
    <xf numFmtId="176" fontId="53" fillId="0" borderId="10" xfId="0" applyFont="1" applyBorder="1" applyAlignment="1">
      <alignment horizontal="right" vertical="center"/>
      <protection locked="0"/>
    </xf>
    <xf numFmtId="43" fontId="41" fillId="0" borderId="10" xfId="1" applyFont="1" applyFill="1" applyBorder="1" applyAlignment="1" applyProtection="1">
      <alignment horizontal="right" vertical="center" shrinkToFit="1"/>
      <protection locked="0"/>
    </xf>
    <xf numFmtId="176" fontId="43" fillId="0" borderId="0" xfId="186" applyFont="1" applyAlignment="1">
      <alignment horizontal="justify" vertical="center"/>
    </xf>
    <xf numFmtId="176" fontId="56" fillId="0" borderId="0" xfId="186" applyFont="1" applyAlignment="1">
      <alignment horizontal="left" vertical="center"/>
    </xf>
    <xf numFmtId="176" fontId="42" fillId="0" borderId="0" xfId="175" applyFont="1" applyAlignment="1">
      <alignment vertical="center"/>
      <protection locked="0"/>
    </xf>
    <xf numFmtId="176" fontId="57" fillId="0" borderId="0" xfId="0" applyFont="1" applyAlignment="1" applyProtection="1">
      <alignment vertical="center"/>
    </xf>
    <xf numFmtId="176" fontId="58" fillId="0" borderId="0" xfId="186" applyFont="1" applyAlignment="1">
      <alignment horizontal="left" vertical="center"/>
    </xf>
    <xf numFmtId="176" fontId="41" fillId="0" borderId="11" xfId="0" applyFont="1" applyBorder="1" applyAlignment="1">
      <alignment horizontal="center" vertical="center" wrapText="1"/>
      <protection locked="0"/>
    </xf>
    <xf numFmtId="176" fontId="42" fillId="0" borderId="11" xfId="0" applyFont="1" applyBorder="1" applyAlignment="1">
      <alignment horizontal="center" vertical="center" wrapText="1"/>
      <protection locked="0"/>
    </xf>
    <xf numFmtId="176" fontId="24" fillId="0" borderId="11" xfId="0" applyFont="1" applyBorder="1" applyAlignment="1">
      <alignment horizontal="center" vertical="center" wrapText="1"/>
      <protection locked="0"/>
    </xf>
    <xf numFmtId="176" fontId="43" fillId="0" borderId="9" xfId="0" applyFont="1" applyBorder="1" applyAlignment="1">
      <alignment horizontal="left" vertical="center" wrapText="1"/>
      <protection locked="0"/>
    </xf>
    <xf numFmtId="43" fontId="44" fillId="0" borderId="0" xfId="0" applyNumberFormat="1" applyFont="1" applyAlignment="1">
      <alignment vertical="center"/>
      <protection locked="0"/>
    </xf>
    <xf numFmtId="9" fontId="44" fillId="0" borderId="0" xfId="162" applyFont="1" applyAlignment="1">
      <alignment horizontal="right" vertical="center" wrapText="1"/>
    </xf>
    <xf numFmtId="176" fontId="58" fillId="0" borderId="0" xfId="0" applyFont="1" applyAlignment="1">
      <alignment horizontal="justify" vertical="center" wrapText="1"/>
      <protection locked="0"/>
    </xf>
    <xf numFmtId="176" fontId="43" fillId="0" borderId="0" xfId="0" applyFont="1" applyAlignment="1">
      <alignment horizontal="left" vertical="center" wrapText="1"/>
      <protection locked="0"/>
    </xf>
    <xf numFmtId="176" fontId="58" fillId="0" borderId="0" xfId="0" applyFont="1" applyAlignment="1">
      <alignment horizontal="left" vertical="center" wrapText="1"/>
      <protection locked="0"/>
    </xf>
    <xf numFmtId="9" fontId="44" fillId="0" borderId="13" xfId="162" applyFont="1" applyBorder="1" applyAlignment="1">
      <alignment horizontal="right" vertical="center" wrapText="1"/>
    </xf>
    <xf numFmtId="43" fontId="59" fillId="0" borderId="10" xfId="1" applyFont="1" applyFill="1" applyBorder="1" applyAlignment="1" applyProtection="1">
      <alignment vertical="center" shrinkToFit="1"/>
      <protection locked="0"/>
    </xf>
    <xf numFmtId="10" fontId="59" fillId="0" borderId="10" xfId="2" applyNumberFormat="1" applyFont="1" applyFill="1" applyBorder="1" applyAlignment="1" applyProtection="1">
      <alignment vertical="center" shrinkToFit="1"/>
      <protection locked="0"/>
    </xf>
    <xf numFmtId="9" fontId="41" fillId="0" borderId="10" xfId="162" applyFont="1" applyBorder="1" applyAlignment="1">
      <alignment horizontal="right" vertical="center" wrapText="1"/>
    </xf>
    <xf numFmtId="176" fontId="23" fillId="0" borderId="0" xfId="0" applyFont="1" applyAlignment="1">
      <alignment vertical="center"/>
      <protection locked="0"/>
    </xf>
    <xf numFmtId="10" fontId="44" fillId="0" borderId="0" xfId="2" applyNumberFormat="1" applyFont="1" applyFill="1" applyBorder="1" applyAlignment="1" applyProtection="1">
      <alignment vertical="center"/>
      <protection locked="0"/>
    </xf>
    <xf numFmtId="176" fontId="43" fillId="0" borderId="0" xfId="0" applyFont="1" applyAlignment="1" applyProtection="1">
      <alignment horizontal="justify" vertical="center"/>
    </xf>
    <xf numFmtId="176" fontId="0" fillId="0" borderId="0" xfId="0" applyFont="1" applyAlignment="1" applyProtection="1">
      <alignment vertical="center"/>
    </xf>
    <xf numFmtId="176" fontId="42" fillId="0" borderId="10" xfId="0" applyFont="1" applyBorder="1" applyAlignment="1" applyProtection="1">
      <alignment horizontal="justify" vertical="center" wrapText="1"/>
    </xf>
    <xf numFmtId="176" fontId="42" fillId="0" borderId="11" xfId="0" applyFont="1" applyBorder="1" applyAlignment="1" applyProtection="1">
      <alignment horizontal="right" vertical="center" wrapText="1"/>
    </xf>
    <xf numFmtId="176" fontId="44" fillId="0" borderId="0" xfId="0" applyFont="1" applyAlignment="1" applyProtection="1">
      <alignment horizontal="justify" vertical="center" wrapText="1"/>
    </xf>
    <xf numFmtId="176" fontId="44" fillId="0" borderId="0" xfId="0" applyFont="1" applyAlignment="1" applyProtection="1">
      <alignment horizontal="right" vertical="center" wrapText="1"/>
    </xf>
    <xf numFmtId="176" fontId="44" fillId="0" borderId="11" xfId="0" applyFont="1" applyBorder="1" applyAlignment="1" applyProtection="1">
      <alignment horizontal="justify" vertical="center" wrapText="1"/>
    </xf>
    <xf numFmtId="176" fontId="44" fillId="0" borderId="11" xfId="0" applyFont="1" applyBorder="1" applyAlignment="1" applyProtection="1">
      <alignment horizontal="right" vertical="center" wrapText="1"/>
    </xf>
    <xf numFmtId="176" fontId="42" fillId="0" borderId="11" xfId="0" applyFont="1" applyBorder="1" applyAlignment="1" applyProtection="1">
      <alignment horizontal="justify" vertical="center" wrapText="1"/>
    </xf>
    <xf numFmtId="43" fontId="41" fillId="0" borderId="11" xfId="224" applyNumberFormat="1" applyFont="1" applyBorder="1" applyAlignment="1">
      <alignment horizontal="right" vertical="center" wrapText="1"/>
    </xf>
    <xf numFmtId="9" fontId="44" fillId="0" borderId="10" xfId="162" applyFont="1" applyBorder="1" applyAlignment="1">
      <alignment horizontal="right" vertical="center" wrapText="1"/>
    </xf>
    <xf numFmtId="176" fontId="41" fillId="0" borderId="11" xfId="0" applyFont="1" applyBorder="1" applyAlignment="1" applyProtection="1">
      <alignment horizontal="right" vertical="center" wrapText="1"/>
    </xf>
    <xf numFmtId="176" fontId="58" fillId="0" borderId="0" xfId="0" applyFont="1" applyAlignment="1" applyProtection="1">
      <alignment horizontal="justify" vertical="center" wrapText="1"/>
    </xf>
    <xf numFmtId="176" fontId="61" fillId="0" borderId="0" xfId="0" applyFont="1" applyAlignment="1" applyProtection="1">
      <alignment horizontal="justify" vertical="center" wrapText="1"/>
    </xf>
    <xf numFmtId="176" fontId="61" fillId="0" borderId="11" xfId="0" applyFont="1" applyBorder="1" applyAlignment="1" applyProtection="1">
      <alignment horizontal="justify" vertical="center" wrapText="1"/>
    </xf>
    <xf numFmtId="176" fontId="62" fillId="0" borderId="11" xfId="0" applyFont="1" applyBorder="1" applyAlignment="1" applyProtection="1">
      <alignment horizontal="justify" vertical="center" wrapText="1"/>
    </xf>
    <xf numFmtId="176" fontId="63" fillId="0" borderId="0" xfId="0" applyFont="1" applyAlignment="1" applyProtection="1">
      <alignment horizontal="left" vertical="center"/>
    </xf>
    <xf numFmtId="176" fontId="56" fillId="0" borderId="0" xfId="0" applyFont="1" applyAlignment="1" applyProtection="1">
      <alignment horizontal="left" vertical="center"/>
    </xf>
    <xf numFmtId="176" fontId="44" fillId="0" borderId="0" xfId="0" applyFont="1" applyAlignment="1" applyProtection="1">
      <alignment horizontal="left" vertical="center"/>
    </xf>
    <xf numFmtId="176" fontId="41" fillId="0" borderId="10" xfId="0" applyFont="1" applyBorder="1" applyAlignment="1" applyProtection="1">
      <alignment horizontal="justify" vertical="center" wrapText="1"/>
    </xf>
    <xf numFmtId="176" fontId="62" fillId="0" borderId="10" xfId="0" applyFont="1" applyBorder="1" applyAlignment="1" applyProtection="1">
      <alignment horizontal="right" vertical="center" wrapText="1"/>
    </xf>
    <xf numFmtId="176" fontId="43" fillId="0" borderId="0" xfId="0" applyFont="1" applyAlignment="1" applyProtection="1">
      <alignment horizontal="justify" vertical="center" wrapText="1"/>
    </xf>
    <xf numFmtId="43" fontId="44" fillId="0" borderId="11" xfId="224" applyNumberFormat="1" applyFont="1" applyBorder="1" applyAlignment="1">
      <alignment horizontal="right" vertical="center" wrapText="1"/>
    </xf>
    <xf numFmtId="176" fontId="43" fillId="0" borderId="0" xfId="0" applyFont="1" applyAlignment="1" applyProtection="1">
      <alignment horizontal="left" vertical="center"/>
    </xf>
    <xf numFmtId="176" fontId="42" fillId="0" borderId="10" xfId="0" applyFont="1" applyBorder="1" applyAlignment="1" applyProtection="1">
      <alignment horizontal="right" vertical="center" wrapText="1"/>
    </xf>
    <xf numFmtId="176" fontId="56" fillId="0" borderId="0" xfId="0" applyFont="1" applyAlignment="1" applyProtection="1">
      <alignment horizontal="justify" vertical="center" wrapText="1"/>
    </xf>
    <xf numFmtId="176" fontId="53" fillId="0" borderId="11" xfId="0" applyFont="1" applyBorder="1" applyAlignment="1" applyProtection="1">
      <alignment horizontal="justify" vertical="center" wrapText="1"/>
    </xf>
    <xf numFmtId="176" fontId="43" fillId="0" borderId="11" xfId="0" applyFont="1" applyBorder="1" applyAlignment="1" applyProtection="1">
      <alignment horizontal="justify" vertical="center" wrapText="1"/>
    </xf>
    <xf numFmtId="176" fontId="42" fillId="0" borderId="9" xfId="0" applyFont="1" applyBorder="1" applyAlignment="1" applyProtection="1">
      <alignment horizontal="justify" vertical="center" wrapText="1"/>
    </xf>
    <xf numFmtId="176" fontId="42" fillId="0" borderId="9" xfId="0" applyFont="1" applyBorder="1" applyAlignment="1" applyProtection="1">
      <alignment horizontal="right" vertical="center" wrapText="1"/>
    </xf>
    <xf numFmtId="176" fontId="44" fillId="0" borderId="9" xfId="0" applyFont="1" applyBorder="1" applyAlignment="1" applyProtection="1">
      <alignment horizontal="justify" vertical="center" wrapText="1"/>
    </xf>
    <xf numFmtId="43" fontId="44" fillId="0" borderId="9" xfId="224" applyNumberFormat="1" applyFont="1" applyBorder="1" applyAlignment="1">
      <alignment horizontal="right" vertical="center" wrapText="1"/>
    </xf>
    <xf numFmtId="176" fontId="44" fillId="0" borderId="9" xfId="0" applyFont="1" applyBorder="1" applyAlignment="1" applyProtection="1">
      <alignment horizontal="right" vertical="center" wrapText="1"/>
    </xf>
    <xf numFmtId="43" fontId="44" fillId="0" borderId="0" xfId="224" applyNumberFormat="1" applyFont="1" applyAlignment="1">
      <alignment horizontal="right" vertical="center" wrapText="1"/>
    </xf>
    <xf numFmtId="176" fontId="41" fillId="0" borderId="11" xfId="0" applyFont="1" applyBorder="1" applyAlignment="1" applyProtection="1">
      <alignment horizontal="justify" vertical="center" wrapText="1"/>
    </xf>
    <xf numFmtId="176" fontId="63" fillId="0" borderId="0" xfId="0" applyFont="1" applyAlignment="1" applyProtection="1">
      <alignment horizontal="justify" vertical="center"/>
    </xf>
    <xf numFmtId="43" fontId="26" fillId="0" borderId="0" xfId="197" applyNumberFormat="1" applyFont="1" applyBorder="1" applyAlignment="1">
      <alignment vertical="center"/>
    </xf>
    <xf numFmtId="43" fontId="26" fillId="0" borderId="0" xfId="197" applyNumberFormat="1" applyFont="1" applyFill="1" applyBorder="1" applyAlignment="1">
      <alignment vertical="center"/>
    </xf>
    <xf numFmtId="43" fontId="23" fillId="0" borderId="0" xfId="197" applyNumberFormat="1" applyFont="1" applyFill="1" applyBorder="1" applyAlignment="1">
      <alignment vertical="center"/>
    </xf>
    <xf numFmtId="49" fontId="23" fillId="0" borderId="0" xfId="197" applyNumberFormat="1" applyFont="1" applyFill="1" applyBorder="1" applyAlignment="1">
      <alignment vertical="center"/>
    </xf>
    <xf numFmtId="43" fontId="26" fillId="4" borderId="14" xfId="1" applyFont="1" applyFill="1" applyBorder="1" applyAlignment="1">
      <alignment horizontal="center" vertical="center" shrinkToFit="1"/>
    </xf>
    <xf numFmtId="43" fontId="26" fillId="4" borderId="14" xfId="1" applyFont="1" applyFill="1" applyBorder="1" applyAlignment="1">
      <alignment horizontal="left" vertical="center"/>
    </xf>
    <xf numFmtId="43" fontId="23" fillId="3" borderId="14" xfId="1" applyFont="1" applyFill="1" applyBorder="1" applyAlignment="1">
      <alignment horizontal="left" vertical="center"/>
    </xf>
    <xf numFmtId="43" fontId="4" fillId="2" borderId="14" xfId="1" applyFont="1" applyFill="1" applyBorder="1" applyAlignment="1">
      <alignment horizontal="right" vertical="center"/>
    </xf>
    <xf numFmtId="43" fontId="4" fillId="2" borderId="14" xfId="1" applyFont="1" applyFill="1" applyBorder="1" applyAlignment="1">
      <alignment vertical="center" shrinkToFit="1"/>
    </xf>
    <xf numFmtId="43" fontId="26" fillId="3" borderId="14" xfId="1" applyFont="1" applyFill="1" applyBorder="1" applyAlignment="1">
      <alignment horizontal="center" vertical="center"/>
    </xf>
    <xf numFmtId="43" fontId="26" fillId="2" borderId="14" xfId="1" applyFont="1" applyFill="1" applyBorder="1" applyAlignment="1">
      <alignment horizontal="left" vertical="center"/>
    </xf>
    <xf numFmtId="43" fontId="16" fillId="2" borderId="14" xfId="1" applyFont="1" applyFill="1" applyBorder="1" applyAlignment="1">
      <alignment horizontal="center" vertical="center" shrinkToFit="1"/>
    </xf>
    <xf numFmtId="43" fontId="26" fillId="2" borderId="14" xfId="1" applyFont="1" applyFill="1" applyBorder="1" applyAlignment="1">
      <alignment horizontal="center" vertical="center"/>
    </xf>
    <xf numFmtId="43" fontId="23" fillId="0" borderId="0" xfId="1" applyFont="1" applyFill="1" applyBorder="1" applyAlignment="1">
      <alignment horizontal="right" vertical="center"/>
    </xf>
    <xf numFmtId="43" fontId="4" fillId="0" borderId="0" xfId="1" applyFont="1" applyFill="1" applyBorder="1" applyAlignment="1">
      <alignment horizontal="right" vertical="center"/>
    </xf>
    <xf numFmtId="43" fontId="26" fillId="0" borderId="0" xfId="1" applyFont="1" applyFill="1" applyBorder="1" applyAlignment="1">
      <alignment horizontal="center" vertical="center"/>
    </xf>
    <xf numFmtId="43" fontId="64" fillId="0" borderId="0" xfId="3" applyNumberFormat="1" applyFont="1" applyBorder="1" applyAlignment="1" applyProtection="1">
      <alignment vertical="center"/>
    </xf>
    <xf numFmtId="176" fontId="23" fillId="0" borderId="0" xfId="193" applyFont="1" applyAlignment="1">
      <alignment vertical="center"/>
    </xf>
    <xf numFmtId="10" fontId="65" fillId="2" borderId="0" xfId="2" applyNumberFormat="1" applyFont="1" applyFill="1" applyBorder="1" applyAlignment="1">
      <alignment horizontal="center" vertical="center"/>
    </xf>
    <xf numFmtId="176" fontId="27" fillId="0" borderId="0" xfId="193" applyFont="1" applyAlignment="1">
      <alignment vertical="center"/>
    </xf>
    <xf numFmtId="176" fontId="26" fillId="0" borderId="0" xfId="193" applyFont="1" applyAlignment="1">
      <alignment vertical="center"/>
    </xf>
    <xf numFmtId="43" fontId="31" fillId="0" borderId="0" xfId="197" applyNumberFormat="1" applyFont="1" applyBorder="1" applyAlignment="1">
      <alignment vertical="center"/>
    </xf>
    <xf numFmtId="43" fontId="30" fillId="0" borderId="0" xfId="197" applyNumberFormat="1" applyFont="1" applyBorder="1" applyAlignment="1">
      <alignment horizontal="left" vertical="center"/>
    </xf>
    <xf numFmtId="43" fontId="30" fillId="0" borderId="0" xfId="197" applyNumberFormat="1" applyFont="1" applyBorder="1" applyAlignment="1">
      <alignment vertical="center"/>
    </xf>
    <xf numFmtId="176" fontId="26" fillId="4" borderId="2" xfId="175" applyFont="1" applyFill="1" applyBorder="1" applyAlignment="1">
      <alignment horizontal="center" vertical="center"/>
      <protection locked="0"/>
    </xf>
    <xf numFmtId="176" fontId="28" fillId="4" borderId="2" xfId="175" applyFont="1" applyFill="1" applyBorder="1" applyAlignment="1">
      <alignment horizontal="center" vertical="center" wrapText="1"/>
      <protection locked="0"/>
    </xf>
    <xf numFmtId="176" fontId="29" fillId="4" borderId="2" xfId="0" applyFont="1" applyFill="1" applyBorder="1" applyAlignment="1" applyProtection="1">
      <alignment vertical="center"/>
    </xf>
    <xf numFmtId="43" fontId="4" fillId="2" borderId="2" xfId="2" applyNumberFormat="1" applyFont="1" applyFill="1" applyBorder="1" applyAlignment="1">
      <alignment horizontal="right" vertical="center" wrapText="1"/>
    </xf>
    <xf numFmtId="43" fontId="23" fillId="0" borderId="2" xfId="1" applyFont="1" applyBorder="1" applyAlignment="1">
      <alignment horizontal="right" vertical="center" shrinkToFit="1"/>
    </xf>
    <xf numFmtId="43" fontId="23" fillId="0" borderId="15" xfId="1" applyFont="1" applyBorder="1" applyAlignment="1">
      <alignment horizontal="right" vertical="center" shrinkToFit="1"/>
    </xf>
    <xf numFmtId="43" fontId="16" fillId="2" borderId="2" xfId="175" applyNumberFormat="1" applyFont="1" applyFill="1" applyBorder="1" applyAlignment="1">
      <alignment horizontal="center" vertical="center"/>
      <protection locked="0"/>
    </xf>
    <xf numFmtId="43" fontId="19" fillId="2" borderId="2" xfId="175" applyNumberFormat="1" applyFont="1" applyFill="1" applyBorder="1" applyAlignment="1">
      <alignment horizontal="center" vertical="center" wrapText="1"/>
      <protection locked="0"/>
    </xf>
    <xf numFmtId="43" fontId="23" fillId="2" borderId="14" xfId="1" applyFont="1" applyFill="1" applyBorder="1" applyAlignment="1">
      <alignment horizontal="right" vertical="center" shrinkToFit="1"/>
    </xf>
    <xf numFmtId="43" fontId="23" fillId="0" borderId="14" xfId="1" applyFont="1" applyBorder="1" applyAlignment="1">
      <alignment horizontal="right" vertical="center" shrinkToFit="1"/>
    </xf>
    <xf numFmtId="43" fontId="23" fillId="7" borderId="14" xfId="1" applyFont="1" applyFill="1" applyBorder="1" applyAlignment="1">
      <alignment horizontal="right" vertical="center" shrinkToFit="1"/>
    </xf>
    <xf numFmtId="10" fontId="23" fillId="0" borderId="0" xfId="2" applyNumberFormat="1" applyFont="1" applyFill="1" applyBorder="1" applyAlignment="1">
      <alignment horizontal="right" vertical="center" wrapText="1"/>
    </xf>
    <xf numFmtId="43" fontId="23" fillId="0" borderId="0" xfId="1" applyFont="1" applyFill="1" applyBorder="1" applyAlignment="1">
      <alignment horizontal="right" vertical="center" shrinkToFit="1"/>
    </xf>
    <xf numFmtId="176" fontId="23" fillId="0" borderId="0" xfId="193" applyFont="1" applyAlignment="1">
      <alignment horizontal="center" vertical="center"/>
    </xf>
    <xf numFmtId="176" fontId="6" fillId="0" borderId="0" xfId="191" applyFont="1">
      <alignment vertical="center"/>
    </xf>
    <xf numFmtId="176" fontId="6" fillId="0" borderId="0" xfId="171" applyFont="1">
      <alignment vertical="center"/>
      <protection locked="0"/>
    </xf>
    <xf numFmtId="49" fontId="10" fillId="0" borderId="0" xfId="200" applyNumberFormat="1" applyFont="1" applyAlignment="1">
      <alignment horizontal="left" vertical="center"/>
    </xf>
    <xf numFmtId="176" fontId="6" fillId="0" borderId="0" xfId="200" applyFont="1">
      <alignment vertical="center"/>
    </xf>
    <xf numFmtId="176" fontId="6" fillId="0" borderId="0" xfId="171" applyFont="1" applyAlignment="1">
      <alignment horizontal="left" vertical="center"/>
      <protection locked="0"/>
    </xf>
    <xf numFmtId="176" fontId="6" fillId="0" borderId="0" xfId="171" applyFont="1" applyAlignment="1">
      <alignment horizontal="right" vertical="center"/>
      <protection locked="0"/>
    </xf>
    <xf numFmtId="176" fontId="10" fillId="0" borderId="0" xfId="171" applyFont="1" applyAlignment="1">
      <alignment horizontal="left" vertical="center"/>
      <protection locked="0"/>
    </xf>
    <xf numFmtId="176" fontId="6" fillId="0" borderId="0" xfId="171" applyFont="1" applyAlignment="1">
      <alignment vertical="center" wrapText="1"/>
      <protection locked="0"/>
    </xf>
    <xf numFmtId="49" fontId="10" fillId="0" borderId="0" xfId="171" applyNumberFormat="1" applyFont="1" applyAlignment="1">
      <alignment horizontal="left" vertical="center"/>
      <protection locked="0"/>
    </xf>
    <xf numFmtId="176" fontId="10" fillId="0" borderId="0" xfId="171" applyFont="1" applyAlignment="1">
      <alignment horizontal="justify" vertical="center"/>
      <protection locked="0"/>
    </xf>
    <xf numFmtId="176" fontId="10" fillId="4" borderId="2" xfId="183" applyFont="1" applyFill="1" applyBorder="1" applyAlignment="1" applyProtection="1">
      <alignment horizontal="center" vertical="center" wrapText="1"/>
      <protection locked="0"/>
    </xf>
    <xf numFmtId="176" fontId="10" fillId="4" borderId="2" xfId="183" applyFont="1" applyFill="1" applyBorder="1" applyAlignment="1" applyProtection="1">
      <alignment horizontal="center" vertical="center"/>
      <protection locked="0"/>
    </xf>
    <xf numFmtId="49" fontId="4" fillId="0" borderId="2" xfId="199" applyNumberFormat="1" applyFont="1" applyBorder="1" applyAlignment="1">
      <alignment horizontal="center" vertical="center"/>
    </xf>
    <xf numFmtId="176" fontId="37" fillId="0" borderId="2" xfId="172" applyFont="1" applyBorder="1" applyAlignment="1">
      <alignment horizontal="left" vertical="center" wrapText="1"/>
      <protection locked="0"/>
    </xf>
    <xf numFmtId="176" fontId="37" fillId="0" borderId="2" xfId="172" applyFont="1" applyBorder="1" applyAlignment="1">
      <alignment horizontal="center" vertical="center" wrapText="1"/>
      <protection locked="0"/>
    </xf>
    <xf numFmtId="176" fontId="66" fillId="0" borderId="2" xfId="183" applyFont="1" applyFill="1" applyBorder="1" applyAlignment="1">
      <alignment horizontal="center" vertical="center" wrapText="1"/>
    </xf>
    <xf numFmtId="176" fontId="67" fillId="0" borderId="2" xfId="183" applyFont="1" applyFill="1" applyBorder="1" applyAlignment="1">
      <alignment horizontal="center" vertical="center" wrapText="1"/>
    </xf>
    <xf numFmtId="176" fontId="68" fillId="0" borderId="2" xfId="183" applyFont="1" applyFill="1" applyBorder="1" applyAlignment="1">
      <alignment horizontal="center" vertical="center" wrapText="1"/>
    </xf>
    <xf numFmtId="176" fontId="4" fillId="0" borderId="2" xfId="172" applyFont="1" applyBorder="1" applyAlignment="1">
      <alignment horizontal="center" vertical="center" wrapText="1"/>
      <protection locked="0"/>
    </xf>
    <xf numFmtId="176" fontId="67" fillId="0" borderId="2" xfId="183" applyFont="1" applyFill="1" applyBorder="1" applyAlignment="1">
      <alignment vertical="center" wrapText="1"/>
    </xf>
    <xf numFmtId="176" fontId="37" fillId="0" borderId="2" xfId="171" applyFont="1" applyBorder="1" applyAlignment="1" applyProtection="1">
      <alignment horizontal="center" vertical="center" wrapText="1"/>
    </xf>
    <xf numFmtId="176" fontId="4" fillId="0" borderId="2" xfId="171" applyFont="1" applyBorder="1" applyAlignment="1">
      <alignment horizontal="center" vertical="center" wrapText="1"/>
      <protection locked="0"/>
    </xf>
    <xf numFmtId="176" fontId="66" fillId="0" borderId="2" xfId="164" applyFont="1" applyFill="1" applyBorder="1" applyAlignment="1">
      <alignment horizontal="center" vertical="center" wrapText="1"/>
    </xf>
    <xf numFmtId="176" fontId="16" fillId="0" borderId="2" xfId="172" applyFont="1" applyBorder="1" applyAlignment="1">
      <alignment horizontal="center" vertical="center" wrapText="1"/>
      <protection locked="0"/>
    </xf>
    <xf numFmtId="176" fontId="67" fillId="0" borderId="2" xfId="180" applyFont="1" applyFill="1" applyBorder="1" applyAlignment="1" applyProtection="1">
      <alignment vertical="center" wrapText="1"/>
    </xf>
    <xf numFmtId="176" fontId="67" fillId="0" borderId="2" xfId="164" applyFont="1" applyFill="1" applyBorder="1" applyAlignment="1">
      <alignment vertical="center" wrapText="1"/>
    </xf>
    <xf numFmtId="176" fontId="26" fillId="0" borderId="2" xfId="172" applyFont="1" applyBorder="1" applyAlignment="1">
      <alignment horizontal="center" vertical="center" wrapText="1"/>
      <protection locked="0"/>
    </xf>
    <xf numFmtId="49" fontId="6" fillId="0" borderId="0" xfId="199" applyNumberFormat="1" applyFont="1" applyAlignment="1">
      <alignment horizontal="left" vertical="center"/>
    </xf>
    <xf numFmtId="176" fontId="10" fillId="0" borderId="0" xfId="191" applyFont="1" applyAlignment="1">
      <alignment horizontal="center" vertical="center"/>
    </xf>
    <xf numFmtId="176" fontId="10" fillId="4" borderId="0" xfId="172" applyFont="1" applyFill="1" applyAlignment="1">
      <alignment horizontal="center" vertical="center" wrapText="1"/>
      <protection locked="0"/>
    </xf>
    <xf numFmtId="176" fontId="6" fillId="0" borderId="0" xfId="172" applyFont="1" applyAlignment="1">
      <alignment horizontal="center" vertical="center" wrapText="1"/>
      <protection locked="0"/>
    </xf>
    <xf numFmtId="176" fontId="12" fillId="0" borderId="2" xfId="171" applyFont="1" applyBorder="1" applyAlignment="1">
      <alignment horizontal="center" vertical="center" wrapText="1"/>
      <protection locked="0"/>
    </xf>
    <xf numFmtId="176" fontId="21" fillId="0" borderId="0" xfId="171" applyFont="1" applyAlignment="1">
      <alignment horizontal="left" vertical="center" wrapText="1"/>
      <protection locked="0"/>
    </xf>
    <xf numFmtId="176" fontId="21" fillId="0" borderId="0" xfId="172" applyFont="1" applyAlignment="1">
      <alignment horizontal="left" vertical="center" wrapText="1"/>
      <protection locked="0"/>
    </xf>
    <xf numFmtId="176" fontId="21" fillId="0" borderId="0" xfId="172" applyFont="1" applyAlignment="1">
      <alignment horizontal="left" vertical="center"/>
      <protection locked="0"/>
    </xf>
    <xf numFmtId="176" fontId="21" fillId="10" borderId="0" xfId="183" applyFont="1" applyFill="1" applyAlignment="1" applyProtection="1">
      <alignment horizontal="left" vertical="center" wrapText="1"/>
      <protection locked="0"/>
    </xf>
    <xf numFmtId="176" fontId="4" fillId="0" borderId="2" xfId="172" applyFont="1" applyBorder="1" applyAlignment="1">
      <alignment horizontal="center" vertical="center"/>
      <protection locked="0"/>
    </xf>
    <xf numFmtId="176" fontId="6" fillId="0" borderId="0" xfId="172" applyFont="1" applyAlignment="1">
      <alignment horizontal="center" vertical="center"/>
      <protection locked="0"/>
    </xf>
    <xf numFmtId="176" fontId="35" fillId="0" borderId="0" xfId="172" applyFont="1" applyAlignment="1">
      <alignment horizontal="center" vertical="center" wrapText="1"/>
      <protection locked="0"/>
    </xf>
    <xf numFmtId="176" fontId="26" fillId="0" borderId="0" xfId="0" applyFont="1" applyAlignment="1">
      <alignment vertical="center"/>
      <protection locked="0"/>
    </xf>
    <xf numFmtId="176" fontId="23" fillId="11" borderId="0" xfId="0" applyFont="1" applyFill="1" applyAlignment="1">
      <alignment horizontal="justify" vertical="center" wrapText="1"/>
      <protection locked="0"/>
    </xf>
    <xf numFmtId="176" fontId="48" fillId="0" borderId="0" xfId="0" applyFont="1" applyAlignment="1">
      <alignment horizontal="justify" vertical="center" wrapText="1"/>
      <protection locked="0"/>
    </xf>
    <xf numFmtId="176" fontId="4" fillId="0" borderId="0" xfId="0" applyFont="1" applyAlignment="1">
      <alignment horizontal="center" vertical="center"/>
      <protection locked="0"/>
    </xf>
    <xf numFmtId="209" fontId="4" fillId="0" borderId="16" xfId="0" applyNumberFormat="1" applyFont="1" applyBorder="1" applyAlignment="1">
      <alignment horizontal="center" vertical="center"/>
      <protection locked="0"/>
    </xf>
    <xf numFmtId="176" fontId="0" fillId="0" borderId="0" xfId="0" applyFont="1" applyAlignment="1">
      <alignment vertical="center"/>
      <protection locked="0"/>
    </xf>
    <xf numFmtId="176" fontId="44" fillId="0" borderId="0" xfId="0" applyFont="1" applyAlignment="1">
      <alignment horizontal="center" vertical="center"/>
      <protection locked="0"/>
    </xf>
    <xf numFmtId="176" fontId="4" fillId="0" borderId="16" xfId="0" applyFont="1" applyBorder="1" applyAlignment="1">
      <alignment horizontal="center" vertical="center"/>
      <protection locked="0"/>
    </xf>
    <xf numFmtId="176" fontId="124" fillId="0" borderId="0" xfId="3" applyFont="1" applyAlignment="1">
      <alignment horizontal="left" vertical="center"/>
      <protection locked="0"/>
    </xf>
    <xf numFmtId="176" fontId="124" fillId="3" borderId="0" xfId="3" applyFont="1" applyFill="1" applyAlignment="1">
      <alignment vertical="center"/>
      <protection locked="0"/>
    </xf>
    <xf numFmtId="176" fontId="124" fillId="0" borderId="0" xfId="3" applyFont="1" applyBorder="1" applyAlignment="1">
      <alignment vertical="center"/>
      <protection locked="0"/>
    </xf>
    <xf numFmtId="176" fontId="124" fillId="0" borderId="0" xfId="3" applyFont="1" applyAlignment="1">
      <alignment vertical="center"/>
      <protection locked="0"/>
    </xf>
    <xf numFmtId="0" fontId="124" fillId="0" borderId="0" xfId="3" applyNumberFormat="1" applyFont="1" applyAlignment="1">
      <alignment horizontal="left" vertical="center"/>
      <protection locked="0"/>
    </xf>
    <xf numFmtId="43" fontId="124" fillId="0" borderId="0" xfId="3" applyNumberFormat="1" applyFont="1" applyBorder="1" applyAlignment="1" applyProtection="1">
      <alignment horizontal="left" vertical="center"/>
    </xf>
    <xf numFmtId="176" fontId="3" fillId="0" borderId="0" xfId="3" applyFont="1" applyAlignment="1">
      <alignment horizontal="left" vertical="center"/>
      <protection locked="0"/>
    </xf>
    <xf numFmtId="43" fontId="52" fillId="0" borderId="0" xfId="1" applyFont="1" applyFill="1" applyBorder="1" applyAlignment="1" applyProtection="1">
      <alignment horizontal="right" vertical="center" wrapText="1"/>
    </xf>
    <xf numFmtId="49" fontId="23" fillId="0" borderId="2" xfId="173" applyNumberFormat="1" applyFont="1" applyBorder="1" applyAlignment="1">
      <alignment horizontal="center" vertical="center"/>
      <protection locked="0"/>
    </xf>
    <xf numFmtId="176" fontId="70" fillId="0" borderId="17" xfId="3" applyBorder="1" applyAlignment="1">
      <alignment vertical="center"/>
      <protection locked="0"/>
    </xf>
    <xf numFmtId="176" fontId="4" fillId="11" borderId="0" xfId="0" applyFont="1" applyFill="1" applyBorder="1" applyAlignment="1">
      <alignment horizontal="justify" vertical="center" wrapText="1"/>
      <protection locked="0"/>
    </xf>
    <xf numFmtId="176" fontId="25" fillId="0" borderId="0" xfId="0" applyFont="1" applyAlignment="1">
      <alignment horizontal="center" vertical="center"/>
      <protection locked="0"/>
    </xf>
    <xf numFmtId="176" fontId="122" fillId="0" borderId="30" xfId="3" applyFont="1" applyBorder="1" applyAlignment="1">
      <alignment vertical="center"/>
      <protection locked="0"/>
    </xf>
    <xf numFmtId="176" fontId="44" fillId="0" borderId="30" xfId="0" applyFont="1" applyBorder="1" applyAlignment="1">
      <alignment horizontal="center" vertical="center"/>
      <protection locked="0"/>
    </xf>
    <xf numFmtId="176" fontId="126" fillId="0" borderId="30" xfId="0" applyFont="1" applyBorder="1" applyAlignment="1" applyProtection="1">
      <alignment horizontal="center" vertical="center"/>
    </xf>
    <xf numFmtId="176" fontId="2" fillId="0" borderId="0" xfId="236" applyFont="1" applyFill="1" applyAlignment="1">
      <alignment horizontal="left" vertical="center"/>
    </xf>
    <xf numFmtId="14" fontId="4" fillId="2" borderId="2" xfId="0" applyNumberFormat="1" applyFont="1" applyFill="1" applyBorder="1" applyAlignment="1" applyProtection="1">
      <alignment horizontal="centerContinuous" vertical="center"/>
    </xf>
    <xf numFmtId="176" fontId="4" fillId="2" borderId="2" xfId="0" applyFont="1" applyFill="1" applyBorder="1" applyAlignment="1" applyProtection="1">
      <alignment horizontal="centerContinuous" vertical="center"/>
    </xf>
    <xf numFmtId="176" fontId="4" fillId="2" borderId="2" xfId="0" applyFont="1" applyFill="1" applyBorder="1" applyAlignment="1" applyProtection="1">
      <alignment horizontal="center" vertical="center"/>
    </xf>
    <xf numFmtId="43" fontId="4" fillId="2" borderId="2" xfId="1" applyFont="1" applyFill="1" applyBorder="1" applyAlignment="1" applyProtection="1">
      <alignment horizontal="left" vertical="center"/>
    </xf>
    <xf numFmtId="43" fontId="4" fillId="2" borderId="2" xfId="1" applyFont="1" applyFill="1" applyBorder="1" applyAlignment="1" applyProtection="1">
      <alignment horizontal="left" vertical="center" wrapText="1"/>
    </xf>
    <xf numFmtId="176" fontId="4" fillId="2" borderId="2" xfId="0" applyFont="1" applyFill="1" applyBorder="1" applyAlignment="1" applyProtection="1">
      <alignment horizontal="left" vertical="center" wrapText="1"/>
    </xf>
    <xf numFmtId="0" fontId="26" fillId="4" borderId="0" xfId="173" applyFont="1" applyFill="1" applyBorder="1" applyAlignment="1">
      <alignment horizontal="center" vertical="center"/>
      <protection locked="0"/>
    </xf>
    <xf numFmtId="0" fontId="23" fillId="4" borderId="0" xfId="173" applyFont="1" applyFill="1" applyBorder="1" applyAlignment="1">
      <alignment vertical="center"/>
      <protection locked="0"/>
    </xf>
    <xf numFmtId="207" fontId="16" fillId="4" borderId="0" xfId="226" applyFont="1" applyFill="1" applyBorder="1" applyAlignment="1" applyProtection="1">
      <alignment vertical="center"/>
      <protection locked="0"/>
    </xf>
    <xf numFmtId="0" fontId="26" fillId="4" borderId="0" xfId="173" applyFont="1" applyFill="1" applyBorder="1" applyAlignment="1">
      <alignment vertical="center"/>
      <protection locked="0"/>
    </xf>
    <xf numFmtId="176" fontId="4" fillId="0" borderId="0" xfId="172" applyFont="1" applyAlignment="1">
      <alignment vertical="center"/>
      <protection locked="0"/>
    </xf>
    <xf numFmtId="176" fontId="23" fillId="0" borderId="2" xfId="0" applyFont="1" applyBorder="1" applyAlignment="1">
      <alignment horizontal="center" vertical="center"/>
      <protection locked="0"/>
    </xf>
    <xf numFmtId="176" fontId="16" fillId="0" borderId="0" xfId="172" applyFont="1" applyAlignment="1">
      <alignment vertical="center"/>
      <protection locked="0"/>
    </xf>
    <xf numFmtId="43" fontId="4" fillId="0" borderId="2" xfId="218" applyFont="1" applyBorder="1" applyAlignment="1" applyProtection="1">
      <alignment horizontal="center" vertical="center"/>
      <protection locked="0"/>
    </xf>
    <xf numFmtId="10" fontId="4" fillId="0" borderId="2" xfId="2" applyNumberFormat="1" applyFont="1" applyBorder="1" applyAlignment="1" applyProtection="1">
      <alignment horizontal="center" vertical="center"/>
      <protection locked="0"/>
    </xf>
    <xf numFmtId="176" fontId="12" fillId="0" borderId="0" xfId="172" applyFont="1" applyAlignment="1">
      <alignment vertical="center"/>
      <protection locked="0"/>
    </xf>
    <xf numFmtId="176" fontId="23" fillId="0" borderId="0" xfId="0" applyFont="1" applyBorder="1" applyAlignment="1">
      <alignment horizontal="center" vertical="center"/>
      <protection locked="0"/>
    </xf>
    <xf numFmtId="43" fontId="4" fillId="0" borderId="0" xfId="218" applyFont="1" applyBorder="1" applyAlignment="1" applyProtection="1">
      <alignment horizontal="center" vertical="center"/>
      <protection locked="0"/>
    </xf>
    <xf numFmtId="10" fontId="4" fillId="0" borderId="0" xfId="2" applyNumberFormat="1" applyFont="1" applyBorder="1" applyAlignment="1" applyProtection="1">
      <alignment horizontal="center" vertical="center"/>
      <protection locked="0"/>
    </xf>
    <xf numFmtId="43" fontId="4" fillId="35" borderId="2" xfId="0" applyNumberFormat="1" applyFont="1" applyFill="1" applyBorder="1" applyAlignment="1">
      <alignment vertical="center"/>
      <protection locked="0"/>
    </xf>
    <xf numFmtId="176" fontId="41" fillId="0" borderId="0" xfId="0" applyFont="1" applyAlignment="1">
      <alignment horizontal="left" vertical="center" wrapText="1"/>
      <protection locked="0"/>
    </xf>
    <xf numFmtId="176" fontId="44" fillId="0" borderId="0" xfId="0" applyFont="1" applyAlignment="1">
      <alignment horizontal="left" vertical="center" wrapText="1"/>
      <protection locked="0"/>
    </xf>
    <xf numFmtId="176" fontId="7" fillId="0" borderId="0" xfId="191" applyFont="1" applyAlignment="1">
      <alignment horizontal="center" vertical="center"/>
    </xf>
    <xf numFmtId="176" fontId="8" fillId="0" borderId="0" xfId="191" applyFont="1" applyAlignment="1">
      <alignment horizontal="center" vertical="center"/>
    </xf>
    <xf numFmtId="176" fontId="6" fillId="0" borderId="0" xfId="171" applyFont="1" applyAlignment="1">
      <alignment horizontal="left" vertical="center"/>
      <protection locked="0"/>
    </xf>
    <xf numFmtId="176" fontId="10" fillId="0" borderId="0" xfId="171" applyFont="1" applyAlignment="1">
      <alignment horizontal="left" vertical="center"/>
      <protection locked="0"/>
    </xf>
    <xf numFmtId="176" fontId="4" fillId="0" borderId="2" xfId="183" applyFont="1" applyBorder="1" applyAlignment="1" applyProtection="1">
      <alignment horizontal="left" vertical="center" wrapText="1"/>
      <protection locked="0"/>
    </xf>
    <xf numFmtId="176" fontId="6" fillId="0" borderId="0" xfId="171" applyFont="1" applyAlignment="1">
      <alignment horizontal="left" vertical="center" wrapText="1"/>
      <protection locked="0"/>
    </xf>
    <xf numFmtId="176" fontId="10" fillId="4" borderId="2" xfId="183" applyFont="1" applyFill="1" applyBorder="1" applyAlignment="1" applyProtection="1">
      <alignment horizontal="center" vertical="center" wrapText="1"/>
      <protection locked="0"/>
    </xf>
    <xf numFmtId="176" fontId="10" fillId="4" borderId="2" xfId="172" applyFont="1" applyFill="1" applyBorder="1" applyAlignment="1">
      <alignment horizontal="center" vertical="center" wrapText="1"/>
      <protection locked="0"/>
    </xf>
    <xf numFmtId="49" fontId="10" fillId="4" borderId="3" xfId="172" applyNumberFormat="1" applyFont="1" applyFill="1" applyBorder="1" applyAlignment="1">
      <alignment horizontal="center" vertical="center"/>
      <protection locked="0"/>
    </xf>
    <xf numFmtId="49" fontId="10" fillId="4" borderId="4" xfId="172" applyNumberFormat="1" applyFont="1" applyFill="1" applyBorder="1" applyAlignment="1">
      <alignment horizontal="center" vertical="center"/>
      <protection locked="0"/>
    </xf>
    <xf numFmtId="176" fontId="26" fillId="35" borderId="31" xfId="183" applyFont="1" applyFill="1" applyBorder="1" applyAlignment="1" applyProtection="1">
      <alignment horizontal="center" vertical="center" wrapText="1"/>
      <protection locked="0"/>
    </xf>
    <xf numFmtId="176" fontId="17" fillId="4" borderId="3" xfId="172" applyFont="1" applyFill="1" applyBorder="1" applyAlignment="1">
      <alignment horizontal="center" vertical="center" wrapText="1"/>
      <protection locked="0"/>
    </xf>
    <xf numFmtId="176" fontId="17" fillId="4" borderId="4" xfId="172" applyFont="1" applyFill="1" applyBorder="1" applyAlignment="1">
      <alignment horizontal="center" vertical="center" wrapText="1"/>
      <protection locked="0"/>
    </xf>
    <xf numFmtId="176" fontId="10" fillId="4" borderId="3" xfId="172" applyFont="1" applyFill="1" applyBorder="1" applyAlignment="1">
      <alignment horizontal="center" vertical="center" wrapText="1"/>
      <protection locked="0"/>
    </xf>
    <xf numFmtId="176" fontId="10" fillId="4" borderId="4" xfId="172" applyFont="1" applyFill="1" applyBorder="1" applyAlignment="1">
      <alignment horizontal="center" vertical="center" wrapText="1"/>
      <protection locked="0"/>
    </xf>
    <xf numFmtId="176" fontId="6" fillId="0" borderId="2" xfId="183" applyFont="1" applyBorder="1" applyAlignment="1" applyProtection="1">
      <alignment horizontal="center" vertical="center" wrapText="1"/>
      <protection locked="0"/>
    </xf>
    <xf numFmtId="43" fontId="24" fillId="0" borderId="0" xfId="197" applyNumberFormat="1" applyFont="1" applyBorder="1" applyAlignment="1">
      <alignment horizontal="center" vertical="center"/>
    </xf>
    <xf numFmtId="43" fontId="25" fillId="0" borderId="0" xfId="197" applyNumberFormat="1" applyFont="1" applyBorder="1" applyAlignment="1">
      <alignment horizontal="center" vertical="center"/>
    </xf>
    <xf numFmtId="43" fontId="26" fillId="4" borderId="14" xfId="1" applyFont="1" applyFill="1" applyBorder="1" applyAlignment="1">
      <alignment horizontal="center" vertical="center"/>
    </xf>
    <xf numFmtId="176" fontId="28" fillId="4" borderId="2" xfId="174" applyFont="1" applyFill="1" applyBorder="1" applyAlignment="1">
      <alignment horizontal="center" vertical="center" wrapText="1"/>
      <protection locked="0"/>
    </xf>
    <xf numFmtId="176" fontId="26" fillId="4" borderId="2" xfId="174" applyFont="1" applyFill="1" applyBorder="1" applyAlignment="1">
      <alignment horizontal="center" vertical="center" wrapText="1"/>
      <protection locked="0"/>
    </xf>
    <xf numFmtId="176" fontId="28" fillId="4" borderId="2" xfId="0" applyFont="1" applyFill="1" applyBorder="1" applyAlignment="1" applyProtection="1">
      <alignment horizontal="center" vertical="center"/>
    </xf>
    <xf numFmtId="176" fontId="29" fillId="4" borderId="2" xfId="0" applyFont="1" applyFill="1" applyBorder="1" applyAlignment="1" applyProtection="1">
      <alignment vertical="center"/>
    </xf>
    <xf numFmtId="176" fontId="16" fillId="0" borderId="0" xfId="0" applyFont="1" applyAlignment="1">
      <alignment horizontal="center" vertical="center"/>
      <protection locked="0"/>
    </xf>
    <xf numFmtId="176" fontId="41" fillId="0" borderId="0" xfId="0" applyFont="1" applyAlignment="1">
      <alignment horizontal="center" vertical="center"/>
      <protection locked="0"/>
    </xf>
    <xf numFmtId="176" fontId="42" fillId="0" borderId="10" xfId="0" applyFont="1" applyBorder="1" applyAlignment="1">
      <alignment horizontal="center" vertical="center"/>
      <protection locked="0"/>
    </xf>
    <xf numFmtId="176" fontId="41" fillId="0" borderId="10" xfId="0" applyFont="1" applyBorder="1" applyAlignment="1">
      <alignment horizontal="center" vertical="center"/>
      <protection locked="0"/>
    </xf>
    <xf numFmtId="176" fontId="42" fillId="0" borderId="9" xfId="0" applyFont="1" applyBorder="1" applyAlignment="1">
      <alignment horizontal="center" vertical="center" wrapText="1"/>
      <protection locked="0"/>
    </xf>
    <xf numFmtId="176" fontId="41" fillId="0" borderId="9" xfId="0" applyFont="1" applyBorder="1" applyAlignment="1">
      <alignment horizontal="center" vertical="center" wrapText="1"/>
      <protection locked="0"/>
    </xf>
    <xf numFmtId="176" fontId="60" fillId="0" borderId="9" xfId="0" applyFont="1" applyBorder="1" applyAlignment="1" applyProtection="1">
      <alignment horizontal="center" vertical="center" wrapText="1"/>
    </xf>
    <xf numFmtId="176" fontId="0" fillId="0" borderId="9" xfId="0" applyBorder="1" applyProtection="1"/>
    <xf numFmtId="176" fontId="41" fillId="0" borderId="9" xfId="0" applyFont="1" applyBorder="1" applyAlignment="1" applyProtection="1">
      <alignment horizontal="center" vertical="center" wrapText="1"/>
    </xf>
    <xf numFmtId="176" fontId="56" fillId="0" borderId="9" xfId="0" applyFont="1" applyBorder="1" applyAlignment="1">
      <alignment horizontal="left" vertical="center" wrapText="1"/>
      <protection locked="0"/>
    </xf>
    <xf numFmtId="176" fontId="42" fillId="0" borderId="9" xfId="0" applyFont="1" applyBorder="1" applyAlignment="1">
      <alignment horizontal="center" vertical="center"/>
      <protection locked="0"/>
    </xf>
    <xf numFmtId="176" fontId="42" fillId="0" borderId="11" xfId="0" applyFont="1" applyBorder="1" applyAlignment="1">
      <alignment horizontal="center" vertical="center"/>
      <protection locked="0"/>
    </xf>
    <xf numFmtId="176" fontId="41" fillId="0" borderId="11" xfId="0" applyFont="1" applyBorder="1" applyAlignment="1">
      <alignment horizontal="center" vertical="center" wrapText="1"/>
      <protection locked="0"/>
    </xf>
    <xf numFmtId="176" fontId="42" fillId="0" borderId="10" xfId="0" applyFont="1" applyBorder="1" applyAlignment="1" applyProtection="1">
      <alignment horizontal="justify" vertical="center" wrapText="1"/>
    </xf>
    <xf numFmtId="176" fontId="0" fillId="0" borderId="11" xfId="0" applyBorder="1" applyProtection="1"/>
    <xf numFmtId="43" fontId="46" fillId="9" borderId="10" xfId="0" applyNumberFormat="1" applyFont="1" applyFill="1" applyBorder="1" applyAlignment="1" applyProtection="1">
      <alignment horizontal="right" vertical="center" wrapText="1"/>
    </xf>
    <xf numFmtId="43" fontId="46" fillId="9" borderId="9" xfId="0" applyNumberFormat="1" applyFont="1" applyFill="1" applyBorder="1" applyAlignment="1" applyProtection="1">
      <alignment horizontal="center" vertical="center" wrapText="1"/>
    </xf>
    <xf numFmtId="176" fontId="56" fillId="0" borderId="0" xfId="0" applyFont="1" applyAlignment="1">
      <alignment horizontal="left" vertical="center" wrapText="1"/>
      <protection locked="0"/>
    </xf>
    <xf numFmtId="176" fontId="53" fillId="0" borderId="0" xfId="0" applyFont="1" applyAlignment="1">
      <alignment horizontal="left" vertical="center" wrapText="1"/>
      <protection locked="0"/>
    </xf>
    <xf numFmtId="43" fontId="46" fillId="9" borderId="10" xfId="0" applyNumberFormat="1" applyFont="1" applyFill="1" applyBorder="1" applyAlignment="1" applyProtection="1">
      <alignment horizontal="justify" vertical="center" wrapText="1"/>
    </xf>
    <xf numFmtId="43" fontId="49" fillId="9" borderId="10" xfId="0" applyNumberFormat="1" applyFont="1" applyFill="1" applyBorder="1" applyAlignment="1" applyProtection="1">
      <alignment horizontal="right" vertical="center" wrapText="1"/>
    </xf>
    <xf numFmtId="43" fontId="46" fillId="0" borderId="10" xfId="0" applyNumberFormat="1" applyFont="1" applyBorder="1" applyAlignment="1" applyProtection="1">
      <alignment horizontal="justify" vertical="center" wrapText="1"/>
    </xf>
    <xf numFmtId="43" fontId="47" fillId="0" borderId="0" xfId="0" applyNumberFormat="1" applyFont="1" applyAlignment="1" applyProtection="1">
      <alignment vertical="center"/>
    </xf>
    <xf numFmtId="43" fontId="46" fillId="0" borderId="9" xfId="0" applyNumberFormat="1" applyFont="1" applyBorder="1" applyAlignment="1" applyProtection="1">
      <alignment horizontal="justify" vertical="center" wrapText="1"/>
    </xf>
    <xf numFmtId="43" fontId="46" fillId="0" borderId="0" xfId="0" applyNumberFormat="1" applyFont="1" applyAlignment="1" applyProtection="1">
      <alignment horizontal="center" vertical="center" wrapText="1"/>
    </xf>
    <xf numFmtId="43" fontId="49" fillId="0" borderId="9" xfId="0" applyNumberFormat="1" applyFont="1" applyBorder="1" applyAlignment="1" applyProtection="1">
      <alignment horizontal="center" vertical="center" wrapText="1"/>
    </xf>
    <xf numFmtId="43" fontId="46" fillId="0" borderId="9" xfId="0" applyNumberFormat="1" applyFont="1" applyBorder="1" applyAlignment="1" applyProtection="1">
      <alignment horizontal="center" vertical="center" wrapText="1"/>
    </xf>
    <xf numFmtId="176" fontId="24" fillId="0" borderId="0" xfId="0" applyFont="1" applyAlignment="1">
      <alignment horizontal="center" vertical="center"/>
      <protection locked="0"/>
    </xf>
    <xf numFmtId="176" fontId="7" fillId="0" borderId="0" xfId="0" applyFont="1" applyAlignment="1">
      <alignment horizontal="center" vertical="center" wrapText="1"/>
      <protection locked="0"/>
    </xf>
    <xf numFmtId="176" fontId="8" fillId="0" borderId="0" xfId="0" applyFont="1" applyAlignment="1">
      <alignment horizontal="center" vertical="center" wrapText="1"/>
      <protection locked="0"/>
    </xf>
    <xf numFmtId="176" fontId="7" fillId="0" borderId="0" xfId="0" applyFont="1" applyAlignment="1">
      <alignment horizontal="center" vertical="center"/>
      <protection locked="0"/>
    </xf>
    <xf numFmtId="176" fontId="8" fillId="0" borderId="0" xfId="0" applyFont="1" applyAlignment="1">
      <alignment horizontal="center" vertical="center"/>
      <protection locked="0"/>
    </xf>
    <xf numFmtId="176" fontId="10" fillId="2" borderId="2" xfId="135" applyFont="1" applyFill="1" applyBorder="1" applyAlignment="1">
      <alignment horizontal="center" vertical="center"/>
    </xf>
    <xf numFmtId="0" fontId="7" fillId="0" borderId="0" xfId="197" applyNumberFormat="1" applyFont="1" applyBorder="1" applyAlignment="1">
      <alignment horizontal="center" vertical="center"/>
    </xf>
    <xf numFmtId="0" fontId="8" fillId="0" borderId="0" xfId="197" applyNumberFormat="1" applyFont="1" applyBorder="1" applyAlignment="1">
      <alignment horizontal="center" vertical="center"/>
    </xf>
    <xf numFmtId="176" fontId="7" fillId="0" borderId="0" xfId="187" applyFont="1" applyAlignment="1">
      <alignment horizontal="center" vertical="center" wrapText="1"/>
    </xf>
    <xf numFmtId="176" fontId="8" fillId="0" borderId="0" xfId="187" applyFont="1" applyAlignment="1">
      <alignment horizontal="center" vertical="center" wrapText="1"/>
    </xf>
    <xf numFmtId="176" fontId="6" fillId="0" borderId="0" xfId="175" applyFont="1" applyAlignment="1">
      <alignment horizontal="left" vertical="center" wrapText="1"/>
      <protection locked="0"/>
    </xf>
    <xf numFmtId="176" fontId="10" fillId="0" borderId="0" xfId="194" applyFont="1" applyAlignment="1">
      <alignment horizontal="left" vertical="center"/>
    </xf>
    <xf numFmtId="176" fontId="14" fillId="2" borderId="2" xfId="196" applyFont="1" applyFill="1" applyBorder="1" applyAlignment="1">
      <alignment horizontal="center" vertical="center" wrapText="1"/>
    </xf>
    <xf numFmtId="176" fontId="26" fillId="4" borderId="3" xfId="0" applyFont="1" applyFill="1" applyBorder="1" applyAlignment="1">
      <alignment horizontal="center" vertical="center" wrapText="1"/>
      <protection locked="0"/>
    </xf>
    <xf numFmtId="176" fontId="26" fillId="4" borderId="4" xfId="0" applyFont="1" applyFill="1" applyBorder="1" applyAlignment="1">
      <alignment horizontal="center" vertical="center" wrapText="1"/>
      <protection locked="0"/>
    </xf>
    <xf numFmtId="43" fontId="14" fillId="4" borderId="2" xfId="1" applyFont="1" applyFill="1" applyBorder="1" applyAlignment="1">
      <alignment horizontal="center" vertical="center"/>
    </xf>
    <xf numFmtId="43" fontId="10" fillId="4" borderId="2" xfId="1" applyFont="1" applyFill="1" applyBorder="1" applyAlignment="1">
      <alignment horizontal="center" vertical="center"/>
    </xf>
    <xf numFmtId="176" fontId="10" fillId="2" borderId="2" xfId="192" applyFont="1" applyFill="1" applyBorder="1" applyAlignment="1">
      <alignment horizontal="center" vertical="center"/>
    </xf>
    <xf numFmtId="176" fontId="24" fillId="0" borderId="0" xfId="188" applyFont="1" applyAlignment="1">
      <alignment horizontal="center" vertical="center" wrapText="1"/>
    </xf>
    <xf numFmtId="176" fontId="25" fillId="0" borderId="0" xfId="188" applyFont="1" applyAlignment="1">
      <alignment horizontal="center" vertical="center" wrapText="1"/>
    </xf>
    <xf numFmtId="0" fontId="24" fillId="0" borderId="0" xfId="174" applyNumberFormat="1" applyFont="1" applyAlignment="1">
      <alignment horizontal="center" vertical="center"/>
      <protection locked="0"/>
    </xf>
    <xf numFmtId="0" fontId="25" fillId="0" borderId="0" xfId="174" applyNumberFormat="1" applyFont="1" applyAlignment="1">
      <alignment horizontal="center" vertical="center"/>
      <protection locked="0"/>
    </xf>
    <xf numFmtId="176" fontId="24" fillId="0" borderId="0" xfId="174" applyFont="1" applyAlignment="1">
      <alignment horizontal="center" vertical="center"/>
      <protection locked="0"/>
    </xf>
    <xf numFmtId="176" fontId="25" fillId="0" borderId="0" xfId="174" applyFont="1" applyAlignment="1">
      <alignment horizontal="center" vertical="center"/>
      <protection locked="0"/>
    </xf>
    <xf numFmtId="0" fontId="26" fillId="2" borderId="2" xfId="173" applyFont="1" applyFill="1" applyBorder="1" applyAlignment="1">
      <alignment horizontal="center" vertical="center"/>
      <protection locked="0"/>
    </xf>
    <xf numFmtId="176" fontId="16" fillId="2" borderId="5" xfId="0" applyFont="1" applyFill="1" applyBorder="1" applyAlignment="1" applyProtection="1">
      <alignment horizontal="center" vertical="center"/>
      <protection locked="0"/>
    </xf>
    <xf numFmtId="176" fontId="16" fillId="2" borderId="6" xfId="0" applyFont="1" applyFill="1" applyBorder="1" applyAlignment="1" applyProtection="1">
      <alignment horizontal="center" vertical="center"/>
      <protection locked="0"/>
    </xf>
    <xf numFmtId="176" fontId="16" fillId="2" borderId="2" xfId="0" applyFont="1" applyFill="1" applyBorder="1" applyAlignment="1" applyProtection="1">
      <alignment horizontal="center" vertical="center"/>
      <protection locked="0"/>
    </xf>
    <xf numFmtId="0" fontId="26" fillId="5" borderId="3" xfId="173" applyFont="1" applyFill="1" applyBorder="1" applyAlignment="1" applyProtection="1">
      <alignment horizontal="center" vertical="center" wrapText="1"/>
    </xf>
    <xf numFmtId="0" fontId="26" fillId="5" borderId="4" xfId="173" applyFont="1" applyFill="1" applyBorder="1" applyAlignment="1" applyProtection="1">
      <alignment horizontal="center" vertical="center" wrapText="1"/>
    </xf>
    <xf numFmtId="0" fontId="26" fillId="2" borderId="2" xfId="168" applyFont="1" applyFill="1" applyBorder="1" applyAlignment="1">
      <alignment horizontal="center" vertical="center"/>
      <protection locked="0"/>
    </xf>
    <xf numFmtId="0" fontId="16" fillId="2" borderId="2" xfId="168" applyFont="1" applyFill="1" applyBorder="1" applyAlignment="1">
      <alignment horizontal="center" vertical="center"/>
      <protection locked="0"/>
    </xf>
    <xf numFmtId="0" fontId="26" fillId="2" borderId="3" xfId="168" applyFont="1" applyFill="1" applyBorder="1" applyAlignment="1">
      <alignment horizontal="center" vertical="center"/>
      <protection locked="0"/>
    </xf>
    <xf numFmtId="0" fontId="26" fillId="2" borderId="4" xfId="168" applyFont="1" applyFill="1" applyBorder="1" applyAlignment="1">
      <alignment horizontal="center" vertical="center"/>
      <protection locked="0"/>
    </xf>
    <xf numFmtId="0" fontId="23" fillId="4" borderId="2" xfId="173" applyFont="1" applyFill="1" applyBorder="1" applyAlignment="1">
      <alignment horizontal="center" vertical="center"/>
      <protection locked="0"/>
    </xf>
    <xf numFmtId="0" fontId="26" fillId="2" borderId="3" xfId="173" applyFont="1" applyFill="1" applyBorder="1" applyAlignment="1">
      <alignment horizontal="center" vertical="center"/>
      <protection locked="0"/>
    </xf>
    <xf numFmtId="0" fontId="26" fillId="2" borderId="4" xfId="173" applyFont="1" applyFill="1" applyBorder="1" applyAlignment="1">
      <alignment horizontal="center" vertical="center"/>
      <protection locked="0"/>
    </xf>
    <xf numFmtId="0" fontId="26" fillId="2" borderId="2" xfId="168" applyFont="1" applyFill="1" applyBorder="1" applyAlignment="1">
      <alignment horizontal="center" vertical="center" wrapText="1"/>
      <protection locked="0"/>
    </xf>
    <xf numFmtId="0" fontId="16" fillId="2" borderId="2" xfId="168" applyFont="1" applyFill="1" applyBorder="1" applyAlignment="1">
      <alignment horizontal="center" vertical="center" wrapText="1"/>
      <protection locked="0"/>
    </xf>
    <xf numFmtId="0" fontId="26" fillId="5" borderId="2" xfId="173" applyFont="1" applyFill="1" applyBorder="1" applyAlignment="1" applyProtection="1">
      <alignment horizontal="center" vertical="center" wrapText="1"/>
    </xf>
    <xf numFmtId="49" fontId="23" fillId="0" borderId="2" xfId="173" applyNumberFormat="1" applyFont="1" applyBorder="1" applyAlignment="1">
      <alignment horizontal="center" vertical="center"/>
      <protection locked="0"/>
    </xf>
    <xf numFmtId="176" fontId="7" fillId="3" borderId="0" xfId="187" applyFont="1" applyFill="1" applyAlignment="1">
      <alignment horizontal="center" vertical="center" wrapText="1"/>
    </xf>
    <xf numFmtId="176" fontId="8" fillId="3" borderId="0" xfId="187" applyFont="1" applyFill="1" applyAlignment="1">
      <alignment horizontal="center" vertical="center" wrapText="1"/>
    </xf>
    <xf numFmtId="176" fontId="10" fillId="3" borderId="0" xfId="194" applyFont="1" applyFill="1" applyAlignment="1">
      <alignment horizontal="left" vertical="center"/>
    </xf>
    <xf numFmtId="176" fontId="21" fillId="3" borderId="0" xfId="175" applyFont="1" applyFill="1" applyAlignment="1">
      <alignment horizontal="left" vertical="center" wrapText="1"/>
      <protection locked="0"/>
    </xf>
    <xf numFmtId="176" fontId="6" fillId="3" borderId="0" xfId="175" applyFont="1" applyFill="1" applyAlignment="1">
      <alignment horizontal="left" vertical="center" wrapText="1"/>
      <protection locked="0"/>
    </xf>
    <xf numFmtId="176" fontId="6" fillId="3" borderId="0" xfId="0" applyFont="1" applyFill="1" applyAlignment="1">
      <alignment horizontal="left" vertical="center" wrapText="1"/>
      <protection locked="0"/>
    </xf>
    <xf numFmtId="176" fontId="11" fillId="3" borderId="0" xfId="175" applyFont="1" applyFill="1" applyAlignment="1">
      <alignment horizontal="left" vertical="center" wrapText="1"/>
      <protection locked="0"/>
    </xf>
    <xf numFmtId="176" fontId="2" fillId="0" borderId="0" xfId="175" applyFont="1" applyAlignment="1">
      <alignment horizontal="left" vertical="center" wrapText="1"/>
      <protection locked="0"/>
    </xf>
    <xf numFmtId="176" fontId="5" fillId="0" borderId="0" xfId="0" applyFont="1" applyAlignment="1">
      <alignment horizontal="left" vertical="center" wrapText="1"/>
      <protection locked="0"/>
    </xf>
    <xf numFmtId="176" fontId="7" fillId="0" borderId="0" xfId="175" applyFont="1" applyAlignment="1">
      <alignment horizontal="center" vertical="center"/>
      <protection locked="0"/>
    </xf>
    <xf numFmtId="176" fontId="8" fillId="0" borderId="0" xfId="175" applyFont="1" applyAlignment="1">
      <alignment horizontal="center" vertical="center"/>
      <protection locked="0"/>
    </xf>
    <xf numFmtId="176" fontId="10" fillId="2" borderId="2" xfId="175" applyFont="1" applyFill="1" applyBorder="1" applyAlignment="1">
      <alignment horizontal="center" vertical="center" wrapText="1"/>
      <protection locked="0"/>
    </xf>
    <xf numFmtId="176" fontId="3" fillId="0" borderId="1" xfId="175" applyFont="1" applyBorder="1" applyAlignment="1">
      <alignment vertical="center" wrapText="1"/>
      <protection locked="0"/>
    </xf>
    <xf numFmtId="176" fontId="5" fillId="0" borderId="1" xfId="0" applyFont="1" applyBorder="1" applyAlignment="1">
      <alignment vertical="center" wrapText="1"/>
      <protection locked="0"/>
    </xf>
  </cellXfs>
  <cellStyles count="237">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51"/>
    <cellStyle name="20% - Accent2" xfId="52"/>
    <cellStyle name="20% - Accent3" xfId="53"/>
    <cellStyle name="20% - Accent4" xfId="54"/>
    <cellStyle name="20% - Accent5" xfId="55"/>
    <cellStyle name="20% - Accent6" xfId="56"/>
    <cellStyle name="40% - Accent1" xfId="57"/>
    <cellStyle name="40% - Accent2" xfId="58"/>
    <cellStyle name="40% - Accent3" xfId="59"/>
    <cellStyle name="40% - Accent4" xfId="60"/>
    <cellStyle name="40% - Accent5" xfId="61"/>
    <cellStyle name="40% - Accent6" xfId="62"/>
    <cellStyle name="60% - Accent1" xfId="63"/>
    <cellStyle name="60% - Accent2" xfId="64"/>
    <cellStyle name="60% - Accent3" xfId="65"/>
    <cellStyle name="60% - Accent4" xfId="66"/>
    <cellStyle name="60% - Accent5" xfId="67"/>
    <cellStyle name="60% - Accent6" xfId="68"/>
    <cellStyle name="Accent1" xfId="69"/>
    <cellStyle name="Accent2" xfId="70"/>
    <cellStyle name="Accent3" xfId="71"/>
    <cellStyle name="Accent4" xfId="72"/>
    <cellStyle name="Accent5" xfId="73"/>
    <cellStyle name="Accent6" xfId="74"/>
    <cellStyle name="Bad" xfId="75"/>
    <cellStyle name="Black" xfId="76"/>
    <cellStyle name="Border" xfId="77"/>
    <cellStyle name="Border 2" xfId="78"/>
    <cellStyle name="Calc Currency (0)" xfId="79"/>
    <cellStyle name="Calculation" xfId="80"/>
    <cellStyle name="Check Cell" xfId="81"/>
    <cellStyle name="Col Heads" xfId="82"/>
    <cellStyle name="Column_Title" xfId="83"/>
    <cellStyle name="Comma  - Style1" xfId="84"/>
    <cellStyle name="Comma  - Style2" xfId="85"/>
    <cellStyle name="Comma  - Style3" xfId="86"/>
    <cellStyle name="Comma  - Style4" xfId="87"/>
    <cellStyle name="Comma  - Style5" xfId="88"/>
    <cellStyle name="Comma  - Style6" xfId="89"/>
    <cellStyle name="Comma  - Style7" xfId="90"/>
    <cellStyle name="Comma  - Style8" xfId="91"/>
    <cellStyle name="Comma [0]_ rislugp" xfId="92"/>
    <cellStyle name="Comma,0" xfId="93"/>
    <cellStyle name="Comma,1" xfId="94"/>
    <cellStyle name="Comma,2" xfId="95"/>
    <cellStyle name="Comma_ rislugp" xfId="96"/>
    <cellStyle name="Currency [0]_ rislugp" xfId="97"/>
    <cellStyle name="Currency,0" xfId="98"/>
    <cellStyle name="Currency,2" xfId="99"/>
    <cellStyle name="Currency_ rislugp" xfId="100"/>
    <cellStyle name="Dezimal [0]_laroux" xfId="101"/>
    <cellStyle name="Dezimal_laroux" xfId="102"/>
    <cellStyle name="entry" xfId="103"/>
    <cellStyle name="entry box" xfId="104"/>
    <cellStyle name="Euro" xfId="105"/>
    <cellStyle name="Explanatory Text" xfId="106"/>
    <cellStyle name="Followed Hyperlink_AheadBehind.xls Chart 23" xfId="107"/>
    <cellStyle name="Good" xfId="108"/>
    <cellStyle name="Grey" xfId="109"/>
    <cellStyle name="Header1" xfId="110"/>
    <cellStyle name="Header2" xfId="111"/>
    <cellStyle name="Heading" xfId="112"/>
    <cellStyle name="Heading 1" xfId="113"/>
    <cellStyle name="Heading 2" xfId="114"/>
    <cellStyle name="Heading 3" xfId="115"/>
    <cellStyle name="Heading 4" xfId="116"/>
    <cellStyle name="Heading 5" xfId="117"/>
    <cellStyle name="Hyperlink_AheadBehind.xls Chart 23" xfId="118"/>
    <cellStyle name="Input" xfId="119"/>
    <cellStyle name="Input [yellow]" xfId="120"/>
    <cellStyle name="left" xfId="121"/>
    <cellStyle name="Linked Cell" xfId="122"/>
    <cellStyle name="Millares [0]_laroux" xfId="123"/>
    <cellStyle name="Millares_laroux" xfId="124"/>
    <cellStyle name="Milliers [0]_laroux" xfId="125"/>
    <cellStyle name="Milliers_laroux" xfId="126"/>
    <cellStyle name="Moneda [0]_laroux" xfId="127"/>
    <cellStyle name="Moneda_laroux" xfId="128"/>
    <cellStyle name="Mon閠aire [0]_laroux" xfId="129"/>
    <cellStyle name="Mon閠aire_laroux" xfId="130"/>
    <cellStyle name="Neutral" xfId="131"/>
    <cellStyle name="no dec" xfId="132"/>
    <cellStyle name="Non défini" xfId="133"/>
    <cellStyle name="Normal - Style1" xfId="134"/>
    <cellStyle name="Normal 2" xfId="135"/>
    <cellStyle name="Normal 2 2" xfId="136"/>
    <cellStyle name="Normal 3 2" xfId="137"/>
    <cellStyle name="Normal_ rislugp" xfId="138"/>
    <cellStyle name="Normalny_Arkusz1" xfId="139"/>
    <cellStyle name="Note" xfId="140"/>
    <cellStyle name="Output" xfId="141"/>
    <cellStyle name="Percent (0)" xfId="142"/>
    <cellStyle name="Percent [2]" xfId="143"/>
    <cellStyle name="Percent 2" xfId="144"/>
    <cellStyle name="Prefilled" xfId="145"/>
    <cellStyle name="price" xfId="146"/>
    <cellStyle name="Red" xfId="147"/>
    <cellStyle name="revised" xfId="148"/>
    <cellStyle name="section" xfId="149"/>
    <cellStyle name="style" xfId="150"/>
    <cellStyle name="style1" xfId="151"/>
    <cellStyle name="style2" xfId="152"/>
    <cellStyle name="Tickmark" xfId="153"/>
    <cellStyle name="title" xfId="154"/>
    <cellStyle name="Total" xfId="155"/>
    <cellStyle name="Warning Text" xfId="156"/>
    <cellStyle name="wrap" xfId="157"/>
    <cellStyle name="パーセント_laroux" xfId="158"/>
    <cellStyle name="百分比" xfId="2" builtinId="5"/>
    <cellStyle name="百分比 2" xfId="159"/>
    <cellStyle name="百分比 2 2" xfId="160"/>
    <cellStyle name="百分比 3" xfId="161"/>
    <cellStyle name="百分比 4" xfId="162"/>
    <cellStyle name="標準_１１月価格表" xfId="163"/>
    <cellStyle name="常规" xfId="0" builtinId="0"/>
    <cellStyle name="常规 11 5" xfId="236"/>
    <cellStyle name="常规 13" xfId="164"/>
    <cellStyle name="常规 2" xfId="165"/>
    <cellStyle name="常规 2 2" xfId="166"/>
    <cellStyle name="常规 2 2 2" xfId="167"/>
    <cellStyle name="常规 2 2 3 2" xfId="168"/>
    <cellStyle name="常规 2 3" xfId="169"/>
    <cellStyle name="常规 2 3 3" xfId="170"/>
    <cellStyle name="常规 2 4 3" xfId="171"/>
    <cellStyle name="常规 2 8" xfId="172"/>
    <cellStyle name="常规 2 8 2" xfId="173"/>
    <cellStyle name="常规 3" xfId="174"/>
    <cellStyle name="常规 3 2" xfId="175"/>
    <cellStyle name="常规 3 2 2" xfId="176"/>
    <cellStyle name="常规 3 2 3" xfId="177"/>
    <cellStyle name="常规 4" xfId="178"/>
    <cellStyle name="常规 4 2" xfId="179"/>
    <cellStyle name="常规 5" xfId="180"/>
    <cellStyle name="常规 5 2" xfId="181"/>
    <cellStyle name="常规 6" xfId="182"/>
    <cellStyle name="常规 7" xfId="183"/>
    <cellStyle name="常规 7 2" xfId="184"/>
    <cellStyle name="常规 8" xfId="185"/>
    <cellStyle name="常规 8 2" xfId="186"/>
    <cellStyle name="常规_2-1项目审定表－模板" xfId="187"/>
    <cellStyle name="常规_2-1项目审定表－模板 3" xfId="188"/>
    <cellStyle name="常规_Book1" xfId="189"/>
    <cellStyle name="常规_Book1 2" xfId="190"/>
    <cellStyle name="常规_Book1 2 2" xfId="191"/>
    <cellStyle name="常规_Book3" xfId="192"/>
    <cellStyle name="常规_c-资产类" xfId="193"/>
    <cellStyle name="常规_进一步审计程序--销售与收款循环" xfId="194"/>
    <cellStyle name="常规_进一步审计程序--销售与收款循环 3" xfId="195"/>
    <cellStyle name="常规_科目审定表模版" xfId="196"/>
    <cellStyle name="常规_新审定表" xfId="197"/>
    <cellStyle name="常规_新审定表 3" xfId="198"/>
    <cellStyle name="常规_制造费用" xfId="199"/>
    <cellStyle name="常规_制造费用 2" xfId="200"/>
    <cellStyle name="超级链接_B4-1审计项目工时预算与控制表(集团)" xfId="201"/>
    <cellStyle name="超链接" xfId="3" builtinId="8"/>
    <cellStyle name="超链接 2" xfId="202"/>
    <cellStyle name="超链接 2 2" xfId="203"/>
    <cellStyle name="超链接 3" xfId="204"/>
    <cellStyle name="超链接 4" xfId="205"/>
    <cellStyle name="分级显示行_1_4附件二凯旋评估表" xfId="206"/>
    <cellStyle name="桁区切り [0.00]_１１月価格表" xfId="207"/>
    <cellStyle name="桁区切り_１１月価格表" xfId="208"/>
    <cellStyle name="霓付 [0]_97MBO" xfId="209"/>
    <cellStyle name="霓付_97MBO" xfId="210"/>
    <cellStyle name="烹拳 [0]_97MBO" xfId="211"/>
    <cellStyle name="烹拳_97MBO" xfId="212"/>
    <cellStyle name="普通_ 白土" xfId="213"/>
    <cellStyle name="千分位[0]_ 白土" xfId="214"/>
    <cellStyle name="千分位_ 白土" xfId="215"/>
    <cellStyle name="千位[0]_97汇总" xfId="216"/>
    <cellStyle name="千位_97汇总" xfId="217"/>
    <cellStyle name="千位分隔" xfId="1" builtinId="3"/>
    <cellStyle name="千位分隔 2" xfId="218"/>
    <cellStyle name="千位分隔 2 2" xfId="219"/>
    <cellStyle name="千位分隔 2 2 12" xfId="220"/>
    <cellStyle name="千位分隔 2 3" xfId="221"/>
    <cellStyle name="千位分隔 3" xfId="222"/>
    <cellStyle name="千位分隔 4" xfId="223"/>
    <cellStyle name="千位分隔 4 2" xfId="224"/>
    <cellStyle name="千位分隔 4 2 2" xfId="225"/>
    <cellStyle name="千位分隔 6" xfId="226"/>
    <cellStyle name="钎霖_laroux" xfId="227"/>
    <cellStyle name="通貨 [0.00]_１１月価格表" xfId="228"/>
    <cellStyle name="通貨_１１月価格表" xfId="229"/>
    <cellStyle name="样式 1" xfId="230"/>
    <cellStyle name="콤마 [0]_BOILER-CO1" xfId="231"/>
    <cellStyle name="콤마_BOILER-CO1" xfId="232"/>
    <cellStyle name="통화 [0]_BOILER-CO1" xfId="233"/>
    <cellStyle name="통화_BOILER-CO1" xfId="234"/>
    <cellStyle name="표준_0N-HANDLING " xfId="235"/>
  </cellStyles>
  <dxfs count="0"/>
  <tableStyles count="0" defaultTableStyle="TableStyleMedium9" defaultPivotStyle="PivotStyleLight16"/>
  <colors>
    <mruColors>
      <color rgb="FF0000FF"/>
      <color rgb="FFE4DFEC"/>
      <color rgb="FF0000CC"/>
      <color rgb="FFFFFF99"/>
      <color rgb="FFDCD5E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9"/>
  <sheetViews>
    <sheetView tabSelected="1" view="pageBreakPreview" zoomScaleNormal="100" workbookViewId="0"/>
  </sheetViews>
  <sheetFormatPr defaultColWidth="9" defaultRowHeight="20.100000000000001" customHeight="1"/>
  <cols>
    <col min="1" max="1" width="77.59765625" style="231" customWidth="1"/>
    <col min="2" max="2" width="2" style="448" customWidth="1"/>
    <col min="3" max="3" width="2.09765625" style="448" customWidth="1"/>
    <col min="4" max="4" width="6.09765625" style="231" customWidth="1"/>
    <col min="5" max="5" width="37.8984375" style="231" customWidth="1"/>
    <col min="6" max="6" width="13.09765625" style="616" customWidth="1"/>
    <col min="7" max="16384" width="9" style="448"/>
  </cols>
  <sheetData>
    <row r="1" spans="1:8" ht="24.9" customHeight="1">
      <c r="A1" s="613" t="s">
        <v>0</v>
      </c>
      <c r="D1" s="448"/>
      <c r="E1" s="448"/>
      <c r="F1" s="619"/>
    </row>
    <row r="2" spans="1:8" ht="20.100000000000001" customHeight="1">
      <c r="A2" s="614" t="s">
        <v>1</v>
      </c>
      <c r="B2" s="615"/>
      <c r="C2" s="615"/>
      <c r="G2" s="615"/>
      <c r="H2" s="615"/>
    </row>
    <row r="3" spans="1:8" ht="20.100000000000001" customHeight="1">
      <c r="A3" s="631" t="s">
        <v>600</v>
      </c>
      <c r="B3" s="615"/>
      <c r="C3" s="615"/>
      <c r="D3" s="616" t="s">
        <v>2</v>
      </c>
      <c r="E3" s="616" t="s">
        <v>3</v>
      </c>
      <c r="F3" s="616" t="s">
        <v>579</v>
      </c>
      <c r="G3" s="615"/>
      <c r="H3" s="615"/>
    </row>
    <row r="4" spans="1:8" ht="20.100000000000001" customHeight="1">
      <c r="A4" s="614" t="s">
        <v>5</v>
      </c>
      <c r="D4" s="617">
        <v>1</v>
      </c>
      <c r="E4" s="630" t="s">
        <v>6</v>
      </c>
      <c r="F4" s="620" t="s">
        <v>7</v>
      </c>
      <c r="G4" s="615"/>
      <c r="H4" s="615"/>
    </row>
    <row r="5" spans="1:8" ht="20.100000000000001" customHeight="1">
      <c r="A5" s="614" t="s">
        <v>8</v>
      </c>
      <c r="D5" s="617">
        <v>2</v>
      </c>
      <c r="E5" s="630" t="s">
        <v>9</v>
      </c>
      <c r="F5" s="620" t="s">
        <v>578</v>
      </c>
    </row>
    <row r="6" spans="1:8" ht="20.100000000000001" customHeight="1">
      <c r="A6" s="614" t="s">
        <v>10</v>
      </c>
      <c r="D6" s="617">
        <v>3</v>
      </c>
      <c r="E6" s="630" t="s">
        <v>11</v>
      </c>
      <c r="F6" s="620"/>
      <c r="G6" s="618" t="s">
        <v>12</v>
      </c>
    </row>
    <row r="7" spans="1:8" ht="20.100000000000001" customHeight="1">
      <c r="A7" s="614" t="s">
        <v>13</v>
      </c>
      <c r="D7" s="617">
        <v>4</v>
      </c>
      <c r="E7" s="630" t="s">
        <v>14</v>
      </c>
      <c r="F7" s="620"/>
      <c r="G7" s="618" t="s">
        <v>12</v>
      </c>
    </row>
    <row r="8" spans="1:8" ht="20.100000000000001" customHeight="1">
      <c r="D8" s="617">
        <v>5</v>
      </c>
      <c r="E8" s="630" t="s">
        <v>15</v>
      </c>
      <c r="F8" s="620" t="s">
        <v>16</v>
      </c>
    </row>
    <row r="9" spans="1:8" ht="20.100000000000001" customHeight="1">
      <c r="A9" s="632" t="s">
        <v>601</v>
      </c>
      <c r="D9" s="617">
        <v>6</v>
      </c>
      <c r="E9" s="630" t="s">
        <v>17</v>
      </c>
      <c r="F9" s="620" t="s">
        <v>18</v>
      </c>
    </row>
    <row r="10" spans="1:8" ht="20.100000000000001" customHeight="1">
      <c r="A10" s="657" t="s">
        <v>602</v>
      </c>
      <c r="D10" s="617">
        <v>7</v>
      </c>
      <c r="E10" s="630" t="s">
        <v>19</v>
      </c>
      <c r="F10" s="620" t="s">
        <v>20</v>
      </c>
    </row>
    <row r="11" spans="1:8" ht="20.100000000000001" customHeight="1">
      <c r="A11" s="657"/>
      <c r="D11" s="617">
        <v>8</v>
      </c>
      <c r="E11" s="630" t="s">
        <v>21</v>
      </c>
      <c r="F11" s="620" t="s">
        <v>22</v>
      </c>
    </row>
    <row r="12" spans="1:8" ht="20.100000000000001" customHeight="1">
      <c r="A12" s="657"/>
      <c r="D12" s="617">
        <v>9</v>
      </c>
      <c r="E12" s="630" t="s">
        <v>23</v>
      </c>
      <c r="F12" s="620" t="s">
        <v>24</v>
      </c>
    </row>
    <row r="13" spans="1:8" ht="20.100000000000001" customHeight="1">
      <c r="A13" s="657"/>
      <c r="D13" s="617">
        <v>10</v>
      </c>
      <c r="E13" s="630" t="s">
        <v>25</v>
      </c>
      <c r="F13" s="620" t="s">
        <v>26</v>
      </c>
    </row>
    <row r="14" spans="1:8" ht="20.100000000000001" customHeight="1">
      <c r="A14" s="657" t="s">
        <v>603</v>
      </c>
      <c r="D14" s="617">
        <v>11</v>
      </c>
      <c r="E14" s="630" t="s">
        <v>27</v>
      </c>
      <c r="F14" s="620" t="s">
        <v>28</v>
      </c>
    </row>
    <row r="15" spans="1:8" ht="20.100000000000001" customHeight="1">
      <c r="A15" s="657"/>
      <c r="D15" s="617">
        <v>12</v>
      </c>
      <c r="E15" s="630" t="s">
        <v>31</v>
      </c>
      <c r="F15" s="620" t="s">
        <v>30</v>
      </c>
    </row>
    <row r="16" spans="1:8" ht="20.100000000000001" customHeight="1">
      <c r="A16" s="657"/>
      <c r="D16" s="617">
        <v>13</v>
      </c>
      <c r="E16" s="630" t="s">
        <v>29</v>
      </c>
      <c r="F16" s="620" t="s">
        <v>32</v>
      </c>
    </row>
    <row r="17" spans="1:6" ht="20.100000000000001" customHeight="1">
      <c r="A17" s="658" t="s">
        <v>604</v>
      </c>
      <c r="D17" s="617">
        <v>14</v>
      </c>
      <c r="E17" s="630" t="s">
        <v>35</v>
      </c>
      <c r="F17" s="620" t="s">
        <v>34</v>
      </c>
    </row>
    <row r="18" spans="1:6" ht="20.100000000000001" customHeight="1">
      <c r="A18" s="658"/>
      <c r="D18" s="617">
        <v>15</v>
      </c>
      <c r="E18" s="630" t="s">
        <v>37</v>
      </c>
      <c r="F18" s="620" t="s">
        <v>36</v>
      </c>
    </row>
    <row r="19" spans="1:6" ht="18.75" customHeight="1">
      <c r="A19" s="658"/>
      <c r="D19" s="617">
        <v>16</v>
      </c>
      <c r="E19" s="633" t="s">
        <v>605</v>
      </c>
      <c r="F19" s="634" t="s">
        <v>611</v>
      </c>
    </row>
    <row r="20" spans="1:6" ht="20.100000000000001" customHeight="1">
      <c r="D20" s="617">
        <v>17</v>
      </c>
      <c r="E20" s="633" t="s">
        <v>606</v>
      </c>
      <c r="F20" s="634" t="s">
        <v>612</v>
      </c>
    </row>
    <row r="21" spans="1:6" ht="20.100000000000001" customHeight="1">
      <c r="D21" s="617">
        <v>18</v>
      </c>
      <c r="E21" s="633" t="s">
        <v>607</v>
      </c>
      <c r="F21" s="635" t="s">
        <v>613</v>
      </c>
    </row>
    <row r="22" spans="1:6" ht="20.100000000000001" customHeight="1">
      <c r="D22" s="617">
        <v>19</v>
      </c>
      <c r="E22" s="633" t="s">
        <v>608</v>
      </c>
      <c r="F22" s="634" t="s">
        <v>614</v>
      </c>
    </row>
    <row r="23" spans="1:6" ht="20.100000000000001" customHeight="1">
      <c r="D23" s="617">
        <v>20</v>
      </c>
      <c r="E23" s="633" t="s">
        <v>615</v>
      </c>
      <c r="F23" s="634" t="s">
        <v>616</v>
      </c>
    </row>
    <row r="24" spans="1:6" ht="20.100000000000001" customHeight="1">
      <c r="D24" s="617">
        <v>21</v>
      </c>
      <c r="E24" s="633" t="s">
        <v>609</v>
      </c>
      <c r="F24" s="634" t="s">
        <v>617</v>
      </c>
    </row>
    <row r="25" spans="1:6" ht="20.100000000000001" customHeight="1">
      <c r="D25" s="617">
        <v>22</v>
      </c>
      <c r="E25" s="633" t="s">
        <v>610</v>
      </c>
      <c r="F25" s="634" t="s">
        <v>618</v>
      </c>
    </row>
    <row r="26" spans="1:6" ht="20.100000000000001" customHeight="1">
      <c r="D26" s="617">
        <v>23</v>
      </c>
      <c r="E26" s="630" t="s">
        <v>33</v>
      </c>
      <c r="F26" s="620" t="s">
        <v>38</v>
      </c>
    </row>
    <row r="27" spans="1:6" ht="20.100000000000001" customHeight="1">
      <c r="D27" s="617">
        <v>24</v>
      </c>
      <c r="E27" s="630" t="s">
        <v>41</v>
      </c>
      <c r="F27" s="620" t="s">
        <v>40</v>
      </c>
    </row>
    <row r="28" spans="1:6" ht="20.100000000000001" customHeight="1">
      <c r="D28" s="617">
        <v>25</v>
      </c>
      <c r="E28" s="630" t="s">
        <v>43</v>
      </c>
      <c r="F28" s="620" t="s">
        <v>42</v>
      </c>
    </row>
    <row r="29" spans="1:6" ht="20.100000000000001" customHeight="1">
      <c r="D29" s="617">
        <v>26</v>
      </c>
      <c r="E29" s="630" t="s">
        <v>39</v>
      </c>
      <c r="F29" s="620" t="s">
        <v>44</v>
      </c>
    </row>
  </sheetData>
  <mergeCells count="3">
    <mergeCell ref="A10:A13"/>
    <mergeCell ref="A14:A16"/>
    <mergeCell ref="A17:A19"/>
  </mergeCells>
  <phoneticPr fontId="123" type="noConversion"/>
  <hyperlinks>
    <hyperlink ref="E6" location="'附注披露信息（上市公司）'!A1" display="附注披露信息(上市公司)"/>
    <hyperlink ref="E8" location="'原值明细表（按类别）D1-2'!Print_Area" display="原值明细表（按类别）"/>
    <hyperlink ref="E5" location="'审定表D1-1'!A1" display="审定表"/>
    <hyperlink ref="E13:E16" location="'坏账准备会计政策D1-6-1'!A1" display="应收票据备查簿核对"/>
    <hyperlink ref="E13" location="'应收票据备查簿核对D1-7'!A1" display="应收票据备查簿核对"/>
    <hyperlink ref="E16" location="'应收票据监盘D1-10'!A1" display="应收票据监盘表"/>
    <hyperlink ref="E15" location="'应收票据贴息检查表D1-9'!A1" display="应收票据贴息检查表"/>
    <hyperlink ref="E26" location="'应收票据检查表D1-13'!A1" display="应收票据检查表"/>
    <hyperlink ref="E28" location="'应收票据坏账准备测试表D1-15'!A1" display="坏账准备测试表"/>
    <hyperlink ref="E12" location="'应收票据业务模式分析D1-6'!A1" display="应收票据业务模式分析"/>
    <hyperlink ref="E27" location="'应收票据坏账准备会计政策检查D1-14'!A1" display="坏账准备会计政策检查"/>
    <hyperlink ref="E4" location="应收票据审计程序表D1A!Print_Area" display="程序表"/>
    <hyperlink ref="E7" location="'附注披露信息（国企）'!A1" display="附注披露信息(国企)"/>
    <hyperlink ref="E11" location="'调整分录汇总表D1-5'!A1" display="调整分录汇总表"/>
    <hyperlink ref="E9" location="'原值明细表（按客户）D1-3'!Print_Area" display="原值明细表（按客户）"/>
    <hyperlink ref="E10" location="'坏账准备明细表D1-4'!A1" display="坏账准备明细表"/>
    <hyperlink ref="E17" location="'关联方关系及交易检查表D1-11'!A1" display="关联方及交易检查表"/>
    <hyperlink ref="E18" location="'应收票据质押检查表D1-12'!A1" display="应收票据质押检查表"/>
    <hyperlink ref="E29" location="'坏账准备转回、核销检查表D1-16'!A1" display="坏账准备转回、核销检查表"/>
    <hyperlink ref="E14" location="'应收票据贴现、票据已背书未到期明细表D1-8'!A1" display="应收票据贴现、票据已背书未到期明细表"/>
  </hyperlinks>
  <pageMargins left="0.70833333333333304" right="0.70833333333333304" top="0.74791666666666701" bottom="0.74791666666666701" header="0.31458333333333299" footer="0.31458333333333299"/>
  <pageSetup paperSize="9" scale="59" orientation="portrait" blackAndWhite="1" horizontalDpi="1200" verticalDpi="1200" r:id="rId1"/>
  <headerFooter alignWithMargins="0">
    <oddFooter>&amp;C&amp;P/&amp;N</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N35"/>
  <sheetViews>
    <sheetView view="pageBreakPreview" zoomScaleNormal="100" workbookViewId="0">
      <selection sqref="A1:I1"/>
    </sheetView>
  </sheetViews>
  <sheetFormatPr defaultColWidth="9" defaultRowHeight="20.100000000000001" customHeight="1"/>
  <cols>
    <col min="1" max="1" width="5.09765625" style="576" customWidth="1"/>
    <col min="2" max="2" width="63.796875" style="577" customWidth="1"/>
    <col min="3" max="3" width="11.19921875" style="577" customWidth="1"/>
    <col min="4" max="5" width="5.3984375" style="577" customWidth="1"/>
    <col min="6" max="6" width="6.09765625" style="577" customWidth="1"/>
    <col min="7" max="7" width="7" style="577" customWidth="1"/>
    <col min="8" max="8" width="5.3984375" style="577" customWidth="1"/>
    <col min="9" max="9" width="6.69921875" style="577" customWidth="1"/>
    <col min="10" max="10" width="58.5" style="577" customWidth="1"/>
    <col min="11" max="11" width="16.59765625" style="577" customWidth="1"/>
    <col min="12" max="16384" width="9" style="577"/>
  </cols>
  <sheetData>
    <row r="1" spans="1:14" s="574" customFormat="1" ht="20.100000000000001" customHeight="1">
      <c r="A1" s="659" t="s">
        <v>45</v>
      </c>
      <c r="B1" s="659"/>
      <c r="C1" s="659"/>
      <c r="D1" s="659"/>
      <c r="E1" s="659"/>
      <c r="F1" s="659"/>
      <c r="G1" s="659"/>
      <c r="H1" s="659"/>
      <c r="I1" s="659"/>
      <c r="J1" s="602"/>
    </row>
    <row r="2" spans="1:14" s="574" customFormat="1" ht="20.100000000000001" customHeight="1">
      <c r="A2" s="660" t="s">
        <v>46</v>
      </c>
      <c r="B2" s="660"/>
      <c r="C2" s="660"/>
      <c r="D2" s="660"/>
      <c r="E2" s="660"/>
      <c r="F2" s="660"/>
      <c r="G2" s="660"/>
      <c r="H2" s="660"/>
      <c r="I2" s="660"/>
      <c r="J2" s="602"/>
    </row>
    <row r="3" spans="1:14" s="575" customFormat="1" ht="20.100000000000001" customHeight="1">
      <c r="A3" s="661" t="str">
        <f>底稿目录!A2</f>
        <v>被审计单位名称：</v>
      </c>
      <c r="B3" s="661"/>
      <c r="C3" s="575" t="str">
        <f>底稿目录!A4</f>
        <v>编制人：</v>
      </c>
      <c r="F3" s="575" t="str">
        <f>底稿目录!A5</f>
        <v>编制日期：</v>
      </c>
      <c r="H3" s="579" t="s">
        <v>47</v>
      </c>
      <c r="I3" s="627" t="s">
        <v>7</v>
      </c>
    </row>
    <row r="4" spans="1:14" s="575" customFormat="1" ht="20.100000000000001" customHeight="1">
      <c r="A4" s="661" t="str">
        <f>底稿目录!A3</f>
        <v>截止日：202X年12月31日</v>
      </c>
      <c r="B4" s="661"/>
      <c r="C4" s="575" t="str">
        <f>底稿目录!A6</f>
        <v>复核人：</v>
      </c>
      <c r="F4" s="575" t="str">
        <f>底稿目录!A7</f>
        <v>复核日期：</v>
      </c>
      <c r="H4" s="579" t="s">
        <v>48</v>
      </c>
      <c r="I4" s="578"/>
      <c r="J4" s="578"/>
    </row>
    <row r="5" spans="1:14" ht="20.100000000000001" customHeight="1">
      <c r="A5" s="662" t="s">
        <v>49</v>
      </c>
      <c r="B5" s="662"/>
    </row>
    <row r="6" spans="1:14" ht="20.100000000000001" customHeight="1">
      <c r="A6" s="664" t="s">
        <v>50</v>
      </c>
      <c r="B6" s="664"/>
      <c r="C6" s="581"/>
      <c r="D6" s="581"/>
      <c r="E6" s="581"/>
      <c r="F6" s="581"/>
      <c r="G6" s="581"/>
      <c r="H6" s="581"/>
      <c r="I6" s="581"/>
      <c r="J6" s="581"/>
    </row>
    <row r="7" spans="1:14" s="575" customFormat="1" ht="20.100000000000001" customHeight="1">
      <c r="A7" s="582" t="s">
        <v>51</v>
      </c>
      <c r="B7" s="580"/>
      <c r="C7" s="583"/>
    </row>
    <row r="8" spans="1:14" s="575" customFormat="1" ht="19.95" customHeight="1">
      <c r="A8" s="665" t="s">
        <v>52</v>
      </c>
      <c r="B8" s="665"/>
      <c r="C8" s="665"/>
      <c r="D8" s="665"/>
      <c r="E8" s="665"/>
      <c r="F8" s="665"/>
      <c r="G8" s="665" t="s">
        <v>53</v>
      </c>
      <c r="H8" s="665"/>
      <c r="I8" s="665"/>
    </row>
    <row r="9" spans="1:14" s="575" customFormat="1" ht="19.95" customHeight="1">
      <c r="A9" s="663" t="s">
        <v>54</v>
      </c>
      <c r="B9" s="663"/>
      <c r="C9" s="663"/>
      <c r="D9" s="663"/>
      <c r="E9" s="663"/>
      <c r="F9" s="663"/>
      <c r="G9" s="674" t="s">
        <v>55</v>
      </c>
      <c r="H9" s="674"/>
      <c r="I9" s="674"/>
    </row>
    <row r="10" spans="1:14" s="575" customFormat="1" ht="19.95" customHeight="1">
      <c r="A10" s="663" t="s">
        <v>56</v>
      </c>
      <c r="B10" s="663"/>
      <c r="C10" s="663"/>
      <c r="D10" s="663"/>
      <c r="E10" s="663"/>
      <c r="F10" s="663"/>
      <c r="G10" s="674" t="s">
        <v>57</v>
      </c>
      <c r="H10" s="674"/>
      <c r="I10" s="674"/>
    </row>
    <row r="11" spans="1:14" s="575" customFormat="1" ht="19.95" customHeight="1">
      <c r="A11" s="663" t="s">
        <v>58</v>
      </c>
      <c r="B11" s="663"/>
      <c r="C11" s="663"/>
      <c r="D11" s="663"/>
      <c r="E11" s="663"/>
      <c r="F11" s="663"/>
      <c r="G11" s="674" t="s">
        <v>59</v>
      </c>
      <c r="H11" s="674"/>
      <c r="I11" s="674"/>
    </row>
    <row r="12" spans="1:14" s="575" customFormat="1" ht="19.95" customHeight="1">
      <c r="A12" s="663" t="s">
        <v>60</v>
      </c>
      <c r="B12" s="663"/>
      <c r="C12" s="663"/>
      <c r="D12" s="663"/>
      <c r="E12" s="663"/>
      <c r="F12" s="663"/>
      <c r="G12" s="674" t="s">
        <v>61</v>
      </c>
      <c r="H12" s="674"/>
      <c r="I12" s="674"/>
    </row>
    <row r="13" spans="1:14" s="575" customFormat="1" ht="19.95" customHeight="1">
      <c r="A13" s="663" t="s">
        <v>62</v>
      </c>
      <c r="B13" s="663"/>
      <c r="C13" s="663"/>
      <c r="D13" s="663"/>
      <c r="E13" s="663"/>
      <c r="F13" s="663"/>
      <c r="G13" s="674" t="s">
        <v>63</v>
      </c>
      <c r="H13" s="674"/>
      <c r="I13" s="674"/>
    </row>
    <row r="14" spans="1:14" s="575" customFormat="1" ht="20.100000000000001" customHeight="1">
      <c r="A14" s="662" t="s">
        <v>64</v>
      </c>
      <c r="B14" s="662"/>
      <c r="C14" s="583"/>
    </row>
    <row r="15" spans="1:14" ht="20.100000000000001" customHeight="1">
      <c r="A15" s="667" t="s">
        <v>65</v>
      </c>
      <c r="B15" s="669" t="s">
        <v>620</v>
      </c>
      <c r="C15" s="670" t="s">
        <v>66</v>
      </c>
      <c r="D15" s="666" t="s">
        <v>67</v>
      </c>
      <c r="E15" s="666"/>
      <c r="F15" s="666"/>
      <c r="G15" s="666"/>
      <c r="H15" s="666"/>
      <c r="I15" s="672" t="s">
        <v>68</v>
      </c>
      <c r="J15" s="603"/>
      <c r="K15" s="394"/>
      <c r="L15" s="394"/>
      <c r="M15" s="394"/>
      <c r="N15" s="394"/>
    </row>
    <row r="16" spans="1:14" ht="37.5" customHeight="1">
      <c r="A16" s="668"/>
      <c r="B16" s="669"/>
      <c r="C16" s="671"/>
      <c r="D16" s="585" t="s">
        <v>55</v>
      </c>
      <c r="E16" s="585" t="s">
        <v>57</v>
      </c>
      <c r="F16" s="584" t="s">
        <v>69</v>
      </c>
      <c r="G16" s="584" t="s">
        <v>61</v>
      </c>
      <c r="H16" s="584" t="s">
        <v>63</v>
      </c>
      <c r="I16" s="673"/>
      <c r="J16" s="636" t="s">
        <v>619</v>
      </c>
      <c r="K16" s="385"/>
      <c r="L16" s="385"/>
      <c r="M16" s="385"/>
      <c r="N16" s="385"/>
    </row>
    <row r="17" spans="1:14" ht="66" customHeight="1">
      <c r="A17" s="586" t="s">
        <v>70</v>
      </c>
      <c r="B17" s="587" t="s">
        <v>581</v>
      </c>
      <c r="C17" s="588" t="s">
        <v>71</v>
      </c>
      <c r="D17" s="589" t="s">
        <v>72</v>
      </c>
      <c r="E17" s="589" t="s">
        <v>72</v>
      </c>
      <c r="F17" s="590"/>
      <c r="G17" s="591" t="s">
        <v>72</v>
      </c>
      <c r="H17" s="592"/>
      <c r="I17" s="592" t="s">
        <v>580</v>
      </c>
      <c r="J17" s="604"/>
      <c r="K17" s="385"/>
      <c r="L17" s="385"/>
      <c r="M17" s="385"/>
      <c r="N17" s="385"/>
    </row>
    <row r="18" spans="1:14" ht="45.6" customHeight="1">
      <c r="A18" s="586" t="s">
        <v>73</v>
      </c>
      <c r="B18" s="593" t="s">
        <v>74</v>
      </c>
      <c r="C18" s="594" t="s">
        <v>71</v>
      </c>
      <c r="D18" s="595"/>
      <c r="E18" s="591" t="s">
        <v>72</v>
      </c>
      <c r="F18" s="590"/>
      <c r="G18" s="589" t="s">
        <v>72</v>
      </c>
      <c r="H18" s="595"/>
      <c r="I18" s="605" t="s">
        <v>75</v>
      </c>
      <c r="J18" s="606" t="s">
        <v>76</v>
      </c>
      <c r="K18" s="385"/>
      <c r="L18" s="385"/>
      <c r="M18" s="385"/>
      <c r="N18" s="385"/>
    </row>
    <row r="19" spans="1:14" ht="43.2" customHeight="1">
      <c r="A19" s="586" t="s">
        <v>77</v>
      </c>
      <c r="B19" s="587" t="s">
        <v>78</v>
      </c>
      <c r="C19" s="596" t="s">
        <v>79</v>
      </c>
      <c r="D19" s="591" t="s">
        <v>72</v>
      </c>
      <c r="E19" s="589" t="s">
        <v>72</v>
      </c>
      <c r="F19" s="589" t="s">
        <v>72</v>
      </c>
      <c r="G19" s="589" t="s">
        <v>72</v>
      </c>
      <c r="H19" s="592"/>
      <c r="I19" s="592"/>
      <c r="J19" s="607" t="s">
        <v>80</v>
      </c>
      <c r="K19" s="385"/>
      <c r="L19" s="385"/>
      <c r="M19" s="385"/>
      <c r="N19" s="385"/>
    </row>
    <row r="20" spans="1:14" ht="31.5" customHeight="1">
      <c r="A20" s="586" t="s">
        <v>81</v>
      </c>
      <c r="B20" s="587" t="s">
        <v>82</v>
      </c>
      <c r="C20" s="588" t="s">
        <v>71</v>
      </c>
      <c r="D20" s="597"/>
      <c r="E20" s="592"/>
      <c r="F20" s="592"/>
      <c r="G20" s="592"/>
      <c r="H20" s="597" t="s">
        <v>83</v>
      </c>
      <c r="I20" s="592" t="s">
        <v>24</v>
      </c>
      <c r="J20" s="608" t="s">
        <v>84</v>
      </c>
    </row>
    <row r="21" spans="1:14" ht="33.6" customHeight="1">
      <c r="A21" s="586" t="s">
        <v>85</v>
      </c>
      <c r="B21" s="587" t="s">
        <v>86</v>
      </c>
      <c r="C21" s="594" t="s">
        <v>71</v>
      </c>
      <c r="D21" s="591" t="s">
        <v>72</v>
      </c>
      <c r="E21" s="591" t="s">
        <v>72</v>
      </c>
      <c r="F21" s="592"/>
      <c r="G21" s="592"/>
      <c r="H21" s="592"/>
      <c r="I21" s="592" t="s">
        <v>26</v>
      </c>
      <c r="J21" s="604"/>
      <c r="K21" s="609"/>
    </row>
    <row r="22" spans="1:14" ht="40.799999999999997" customHeight="1">
      <c r="A22" s="586" t="s">
        <v>87</v>
      </c>
      <c r="B22" s="587" t="s">
        <v>582</v>
      </c>
      <c r="C22" s="588" t="s">
        <v>71</v>
      </c>
      <c r="D22" s="591" t="s">
        <v>72</v>
      </c>
      <c r="E22" s="592"/>
      <c r="F22" s="592" t="s">
        <v>88</v>
      </c>
      <c r="G22" s="597" t="s">
        <v>83</v>
      </c>
      <c r="H22" s="592"/>
      <c r="I22" s="592" t="s">
        <v>583</v>
      </c>
      <c r="J22" s="604"/>
    </row>
    <row r="23" spans="1:14" ht="90" customHeight="1">
      <c r="A23" s="586" t="s">
        <v>89</v>
      </c>
      <c r="B23" s="587" t="s">
        <v>638</v>
      </c>
      <c r="C23" s="588" t="s">
        <v>71</v>
      </c>
      <c r="D23" s="597" t="s">
        <v>83</v>
      </c>
      <c r="E23" s="592" t="s">
        <v>88</v>
      </c>
      <c r="F23" s="597" t="s">
        <v>83</v>
      </c>
      <c r="G23" s="592" t="s">
        <v>88</v>
      </c>
      <c r="H23" s="592"/>
      <c r="I23" s="592" t="s">
        <v>584</v>
      </c>
      <c r="J23" s="604"/>
      <c r="K23" s="609"/>
    </row>
    <row r="24" spans="1:14" ht="37.200000000000003" customHeight="1">
      <c r="A24" s="586" t="s">
        <v>90</v>
      </c>
      <c r="B24" s="587" t="s">
        <v>91</v>
      </c>
      <c r="C24" s="588" t="s">
        <v>79</v>
      </c>
      <c r="D24" s="592"/>
      <c r="E24" s="592"/>
      <c r="F24" s="592"/>
      <c r="G24" s="597" t="s">
        <v>83</v>
      </c>
      <c r="H24" s="592"/>
      <c r="I24" s="610"/>
      <c r="J24" s="611"/>
    </row>
    <row r="25" spans="1:14" ht="112.8" customHeight="1">
      <c r="A25" s="586" t="s">
        <v>92</v>
      </c>
      <c r="B25" s="587" t="s">
        <v>93</v>
      </c>
      <c r="C25" s="588" t="s">
        <v>71</v>
      </c>
      <c r="D25" s="591" t="s">
        <v>72</v>
      </c>
      <c r="E25" s="591" t="s">
        <v>72</v>
      </c>
      <c r="F25" s="589" t="s">
        <v>72</v>
      </c>
      <c r="G25" s="591" t="s">
        <v>72</v>
      </c>
      <c r="H25" s="589" t="s">
        <v>72</v>
      </c>
      <c r="I25" s="610" t="s">
        <v>591</v>
      </c>
      <c r="J25" s="611"/>
    </row>
    <row r="26" spans="1:14" ht="27.6" customHeight="1">
      <c r="A26" s="586" t="s">
        <v>94</v>
      </c>
      <c r="B26" s="587" t="s">
        <v>590</v>
      </c>
      <c r="C26" s="588" t="s">
        <v>71</v>
      </c>
      <c r="D26" s="591"/>
      <c r="E26" s="591"/>
      <c r="F26" s="591" t="s">
        <v>72</v>
      </c>
      <c r="G26" s="591"/>
      <c r="H26" s="589"/>
      <c r="I26" s="610" t="s">
        <v>586</v>
      </c>
      <c r="J26" s="611"/>
    </row>
    <row r="27" spans="1:14" ht="168" customHeight="1">
      <c r="A27" s="586" t="s">
        <v>96</v>
      </c>
      <c r="B27" s="598" t="s">
        <v>97</v>
      </c>
      <c r="C27" s="588" t="s">
        <v>71</v>
      </c>
      <c r="D27" s="591" t="s">
        <v>72</v>
      </c>
      <c r="E27" s="589" t="s">
        <v>72</v>
      </c>
      <c r="F27" s="591" t="s">
        <v>72</v>
      </c>
      <c r="G27" s="589" t="s">
        <v>72</v>
      </c>
      <c r="H27" s="599"/>
      <c r="I27" s="592" t="s">
        <v>98</v>
      </c>
      <c r="J27" s="612"/>
    </row>
    <row r="28" spans="1:14" ht="34.5" customHeight="1">
      <c r="A28" s="586" t="s">
        <v>99</v>
      </c>
      <c r="B28" s="587" t="s">
        <v>95</v>
      </c>
      <c r="C28" s="588" t="s">
        <v>71</v>
      </c>
      <c r="D28" s="597" t="s">
        <v>83</v>
      </c>
      <c r="E28" s="592"/>
      <c r="F28" s="592"/>
      <c r="G28" s="592" t="s">
        <v>88</v>
      </c>
      <c r="H28" s="592"/>
      <c r="I28" s="610" t="s">
        <v>592</v>
      </c>
      <c r="J28" s="611"/>
    </row>
    <row r="29" spans="1:14" ht="33.6" customHeight="1">
      <c r="A29" s="586" t="s">
        <v>101</v>
      </c>
      <c r="B29" s="587" t="s">
        <v>100</v>
      </c>
      <c r="C29" s="588" t="s">
        <v>71</v>
      </c>
      <c r="D29" s="597" t="s">
        <v>83</v>
      </c>
      <c r="E29" s="592"/>
      <c r="F29" s="592"/>
      <c r="G29" s="597"/>
      <c r="H29" s="592"/>
      <c r="I29" s="610" t="s">
        <v>593</v>
      </c>
      <c r="J29" s="604"/>
    </row>
    <row r="30" spans="1:14" ht="91.95" customHeight="1">
      <c r="A30" s="586" t="s">
        <v>103</v>
      </c>
      <c r="B30" s="587" t="s">
        <v>102</v>
      </c>
      <c r="C30" s="588" t="s">
        <v>71</v>
      </c>
      <c r="D30" s="592"/>
      <c r="E30" s="592"/>
      <c r="F30" s="592"/>
      <c r="G30" s="597" t="s">
        <v>83</v>
      </c>
      <c r="H30" s="592"/>
      <c r="I30" s="592" t="s">
        <v>587</v>
      </c>
      <c r="J30" s="604"/>
    </row>
    <row r="31" spans="1:14" ht="26.4" customHeight="1">
      <c r="A31" s="586" t="s">
        <v>105</v>
      </c>
      <c r="B31" s="587" t="s">
        <v>104</v>
      </c>
      <c r="C31" s="588" t="s">
        <v>79</v>
      </c>
      <c r="D31" s="597"/>
      <c r="E31" s="600" t="s">
        <v>72</v>
      </c>
      <c r="F31" s="592"/>
      <c r="G31" s="597"/>
      <c r="H31" s="592"/>
      <c r="I31" s="610"/>
      <c r="J31" s="604"/>
    </row>
    <row r="32" spans="1:14" ht="40.950000000000003" customHeight="1">
      <c r="A32" s="586" t="s">
        <v>108</v>
      </c>
      <c r="B32" s="587" t="s">
        <v>106</v>
      </c>
      <c r="C32" s="588" t="s">
        <v>107</v>
      </c>
      <c r="D32" s="597" t="s">
        <v>83</v>
      </c>
      <c r="E32" s="592"/>
      <c r="F32" s="592"/>
      <c r="G32" s="597"/>
      <c r="H32" s="592"/>
      <c r="I32" s="610"/>
      <c r="J32" s="612"/>
    </row>
    <row r="33" spans="1:10" ht="34.799999999999997" customHeight="1">
      <c r="A33" s="586" t="s">
        <v>110</v>
      </c>
      <c r="B33" s="587" t="s">
        <v>109</v>
      </c>
      <c r="C33" s="588" t="s">
        <v>107</v>
      </c>
      <c r="D33" s="592"/>
      <c r="E33" s="592"/>
      <c r="F33" s="592"/>
      <c r="G33" s="592"/>
      <c r="H33" s="592"/>
      <c r="I33" s="610"/>
      <c r="J33" s="611"/>
    </row>
    <row r="34" spans="1:10" ht="36" customHeight="1">
      <c r="A34" s="586" t="s">
        <v>594</v>
      </c>
      <c r="B34" s="587" t="s">
        <v>111</v>
      </c>
      <c r="C34" s="588" t="s">
        <v>71</v>
      </c>
      <c r="D34" s="592"/>
      <c r="E34" s="592"/>
      <c r="F34" s="592"/>
      <c r="G34" s="592"/>
      <c r="H34" s="592" t="s">
        <v>88</v>
      </c>
      <c r="I34" s="592" t="s">
        <v>112</v>
      </c>
      <c r="J34" s="604"/>
    </row>
    <row r="35" spans="1:10" ht="20.100000000000001" customHeight="1">
      <c r="A35" s="601"/>
      <c r="B35" s="230"/>
      <c r="C35" s="230"/>
      <c r="D35" s="230"/>
      <c r="E35" s="230"/>
      <c r="F35" s="230"/>
      <c r="G35" s="230"/>
      <c r="H35" s="230"/>
      <c r="I35" s="230"/>
      <c r="J35" s="230"/>
    </row>
  </sheetData>
  <mergeCells count="24">
    <mergeCell ref="I15:I16"/>
    <mergeCell ref="G8:I8"/>
    <mergeCell ref="G9:I9"/>
    <mergeCell ref="G10:I10"/>
    <mergeCell ref="G11:I11"/>
    <mergeCell ref="G12:I12"/>
    <mergeCell ref="G13:I13"/>
    <mergeCell ref="A14:B14"/>
    <mergeCell ref="D15:H15"/>
    <mergeCell ref="A15:A16"/>
    <mergeCell ref="B15:B16"/>
    <mergeCell ref="C15:C16"/>
    <mergeCell ref="A13:F13"/>
    <mergeCell ref="A10:F10"/>
    <mergeCell ref="A11:F11"/>
    <mergeCell ref="A12:F12"/>
    <mergeCell ref="A6:B6"/>
    <mergeCell ref="A8:F8"/>
    <mergeCell ref="A9:F9"/>
    <mergeCell ref="A1:I1"/>
    <mergeCell ref="A2:I2"/>
    <mergeCell ref="A3:B3"/>
    <mergeCell ref="A4:B4"/>
    <mergeCell ref="A5:B5"/>
  </mergeCells>
  <phoneticPr fontId="123" type="noConversion"/>
  <hyperlinks>
    <hyperlink ref="I3" location="底稿目录!A1" display="D1A"/>
  </hyperlinks>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35"/>
  <sheetViews>
    <sheetView view="pageBreakPreview" zoomScaleNormal="130" workbookViewId="0">
      <selection sqref="A1:L1"/>
    </sheetView>
  </sheetViews>
  <sheetFormatPr defaultColWidth="9" defaultRowHeight="20.100000000000001" customHeight="1"/>
  <cols>
    <col min="1" max="1" width="19.69921875" style="70" customWidth="1"/>
    <col min="2" max="2" width="12.69921875" style="70" customWidth="1"/>
    <col min="3" max="3" width="12.59765625" style="70" customWidth="1"/>
    <col min="4" max="4" width="11.09765625" style="70" customWidth="1"/>
    <col min="5" max="5" width="12.69921875" style="70" customWidth="1"/>
    <col min="6" max="6" width="12.09765625" style="70" customWidth="1"/>
    <col min="7" max="7" width="9" style="70" customWidth="1"/>
    <col min="8" max="8" width="11.19921875" style="70" customWidth="1"/>
    <col min="9" max="9" width="12.8984375" style="70" customWidth="1"/>
    <col min="10" max="10" width="10.19921875" style="70" customWidth="1"/>
    <col min="11" max="11" width="8.5" style="70" customWidth="1"/>
    <col min="12" max="12" width="12.19921875" style="70" customWidth="1"/>
    <col min="13" max="16384" width="9" style="70"/>
  </cols>
  <sheetData>
    <row r="1" spans="1:12" ht="20.100000000000001" customHeight="1">
      <c r="A1" s="675" t="s">
        <v>45</v>
      </c>
      <c r="B1" s="675"/>
      <c r="C1" s="675"/>
      <c r="D1" s="675"/>
      <c r="E1" s="675"/>
      <c r="F1" s="675"/>
      <c r="G1" s="675"/>
      <c r="H1" s="675"/>
      <c r="I1" s="675"/>
      <c r="J1" s="675"/>
      <c r="K1" s="675"/>
      <c r="L1" s="675"/>
    </row>
    <row r="2" spans="1:12" ht="20.100000000000001" customHeight="1">
      <c r="A2" s="676" t="s">
        <v>113</v>
      </c>
      <c r="B2" s="676"/>
      <c r="C2" s="676"/>
      <c r="D2" s="676"/>
      <c r="E2" s="676"/>
      <c r="F2" s="676"/>
      <c r="G2" s="676"/>
      <c r="H2" s="676"/>
      <c r="I2" s="676"/>
      <c r="J2" s="676"/>
      <c r="K2" s="676"/>
      <c r="L2" s="676"/>
    </row>
    <row r="3" spans="1:12" ht="20.100000000000001" customHeight="1">
      <c r="A3" s="70" t="str">
        <f>底稿目录!A2</f>
        <v>被审计单位名称：</v>
      </c>
      <c r="B3" s="538"/>
      <c r="E3" s="70" t="str">
        <f>底稿目录!A4</f>
        <v>编制人：</v>
      </c>
      <c r="H3" s="70" t="str">
        <f>底稿目录!A5</f>
        <v>编制日期：</v>
      </c>
      <c r="K3" s="70" t="s">
        <v>47</v>
      </c>
      <c r="L3" s="626" t="s">
        <v>578</v>
      </c>
    </row>
    <row r="4" spans="1:12" ht="20.100000000000001" customHeight="1">
      <c r="A4" s="70" t="str">
        <f>底稿目录!A3</f>
        <v>截止日：202X年12月31日</v>
      </c>
      <c r="B4" s="539"/>
      <c r="E4" s="70" t="str">
        <f>底稿目录!A6</f>
        <v>复核人：</v>
      </c>
      <c r="H4" s="70" t="str">
        <f>底稿目录!A7</f>
        <v>复核日期：</v>
      </c>
      <c r="K4" s="70" t="s">
        <v>48</v>
      </c>
    </row>
    <row r="5" spans="1:12" ht="20.100000000000001" customHeight="1">
      <c r="A5" s="677" t="s">
        <v>114</v>
      </c>
      <c r="B5" s="677" t="s">
        <v>115</v>
      </c>
      <c r="C5" s="677"/>
      <c r="D5" s="677"/>
      <c r="E5" s="677"/>
      <c r="F5" s="677" t="s">
        <v>116</v>
      </c>
      <c r="G5" s="677"/>
      <c r="H5" s="677"/>
      <c r="I5" s="677"/>
      <c r="J5" s="678" t="s">
        <v>117</v>
      </c>
      <c r="K5" s="679"/>
      <c r="L5" s="680" t="s">
        <v>118</v>
      </c>
    </row>
    <row r="6" spans="1:12" ht="20.100000000000001" customHeight="1">
      <c r="A6" s="677"/>
      <c r="B6" s="540" t="s">
        <v>119</v>
      </c>
      <c r="C6" s="540" t="s">
        <v>120</v>
      </c>
      <c r="D6" s="540" t="s">
        <v>121</v>
      </c>
      <c r="E6" s="540" t="s">
        <v>122</v>
      </c>
      <c r="F6" s="540" t="s">
        <v>119</v>
      </c>
      <c r="G6" s="540" t="s">
        <v>120</v>
      </c>
      <c r="H6" s="540" t="s">
        <v>121</v>
      </c>
      <c r="I6" s="540" t="s">
        <v>122</v>
      </c>
      <c r="J6" s="560" t="s">
        <v>123</v>
      </c>
      <c r="K6" s="561" t="s">
        <v>124</v>
      </c>
      <c r="L6" s="681"/>
    </row>
    <row r="7" spans="1:12" ht="20.100000000000001" customHeight="1">
      <c r="A7" s="541" t="s">
        <v>125</v>
      </c>
      <c r="B7" s="540"/>
      <c r="C7" s="540"/>
      <c r="D7" s="540"/>
      <c r="E7" s="540"/>
      <c r="F7" s="540"/>
      <c r="G7" s="540"/>
      <c r="H7" s="540"/>
      <c r="I7" s="540"/>
      <c r="J7" s="560"/>
      <c r="K7" s="561"/>
      <c r="L7" s="562"/>
    </row>
    <row r="8" spans="1:12" ht="20.100000000000001" customHeight="1">
      <c r="A8" s="542" t="s">
        <v>126</v>
      </c>
      <c r="B8" s="543">
        <f>'原值明细表（按类别）D1-2'!B14</f>
        <v>0</v>
      </c>
      <c r="C8" s="543">
        <f>'原值明细表（按类别）D1-2'!C14</f>
        <v>0</v>
      </c>
      <c r="D8" s="543">
        <f>'原值明细表（按类别）D1-2'!D14</f>
        <v>0</v>
      </c>
      <c r="E8" s="544">
        <f>B8+C8+D8</f>
        <v>0</v>
      </c>
      <c r="F8" s="543">
        <f>'原值明细表（按类别）D1-2'!H11</f>
        <v>0</v>
      </c>
      <c r="G8" s="543">
        <f>'原值明细表（按类别）D1-2'!I11</f>
        <v>0</v>
      </c>
      <c r="H8" s="543">
        <f>'原值明细表（按类别）D1-2'!J11</f>
        <v>0</v>
      </c>
      <c r="I8" s="544">
        <f>F8+G8+H8</f>
        <v>0</v>
      </c>
      <c r="J8" s="23">
        <f>I8-E8</f>
        <v>0</v>
      </c>
      <c r="K8" s="563" t="str">
        <f>IF(AND(E8=0,I8=0),"",IF(AND(E8=0,I8&gt;0),1,J8/E8))</f>
        <v/>
      </c>
      <c r="L8" s="564"/>
    </row>
    <row r="9" spans="1:12" ht="20.100000000000001" customHeight="1">
      <c r="A9" s="542" t="s">
        <v>127</v>
      </c>
      <c r="B9" s="543">
        <f>'原值明细表（按类别）D1-2'!B13</f>
        <v>0</v>
      </c>
      <c r="C9" s="543">
        <f>'原值明细表（按类别）D1-2'!C13</f>
        <v>0</v>
      </c>
      <c r="D9" s="543">
        <f>'原值明细表（按类别）D1-2'!D13</f>
        <v>0</v>
      </c>
      <c r="E9" s="544">
        <f>B9+C9+D9</f>
        <v>0</v>
      </c>
      <c r="F9" s="543">
        <f>'原值明细表（按类别）D1-2'!H13</f>
        <v>0</v>
      </c>
      <c r="G9" s="543">
        <f>'原值明细表（按类别）D1-2'!I13</f>
        <v>0</v>
      </c>
      <c r="H9" s="543">
        <f>'原值明细表（按类别）D1-2'!J13</f>
        <v>0</v>
      </c>
      <c r="I9" s="544">
        <f>F9+G9+H9</f>
        <v>0</v>
      </c>
      <c r="J9" s="23">
        <f>I9-E9</f>
        <v>0</v>
      </c>
      <c r="K9" s="563" t="str">
        <f>IF(AND(E9=0,I9=0),"",IF(AND(E9=0,I9&gt;0),1,J9/E9))</f>
        <v/>
      </c>
      <c r="L9" s="564"/>
    </row>
    <row r="10" spans="1:12" s="536" customFormat="1" ht="20.100000000000001" customHeight="1">
      <c r="A10" s="545" t="s">
        <v>128</v>
      </c>
      <c r="B10" s="543">
        <f t="shared" ref="B10:I10" si="0">SUM(B8:B9)</f>
        <v>0</v>
      </c>
      <c r="C10" s="543">
        <f t="shared" si="0"/>
        <v>0</v>
      </c>
      <c r="D10" s="543">
        <f t="shared" si="0"/>
        <v>0</v>
      </c>
      <c r="E10" s="543">
        <f t="shared" si="0"/>
        <v>0</v>
      </c>
      <c r="F10" s="543">
        <f t="shared" si="0"/>
        <v>0</v>
      </c>
      <c r="G10" s="543">
        <f t="shared" si="0"/>
        <v>0</v>
      </c>
      <c r="H10" s="543">
        <f t="shared" si="0"/>
        <v>0</v>
      </c>
      <c r="I10" s="543">
        <f t="shared" si="0"/>
        <v>0</v>
      </c>
      <c r="J10" s="23">
        <f>I10-E10</f>
        <v>0</v>
      </c>
      <c r="K10" s="563" t="str">
        <f>IF(AND(E10=0,I10=0),"",IF(AND(E10=0,I10&gt;0),1,J10/E10))</f>
        <v/>
      </c>
      <c r="L10" s="565"/>
    </row>
    <row r="11" spans="1:12" s="536" customFormat="1" ht="20.100000000000001" customHeight="1">
      <c r="A11" s="546" t="s">
        <v>129</v>
      </c>
      <c r="B11" s="547"/>
      <c r="C11" s="547"/>
      <c r="D11" s="547"/>
      <c r="E11" s="547"/>
      <c r="F11" s="547"/>
      <c r="G11" s="547"/>
      <c r="H11" s="547"/>
      <c r="I11" s="547"/>
      <c r="J11" s="566"/>
      <c r="K11" s="567"/>
      <c r="L11" s="568"/>
    </row>
    <row r="12" spans="1:12" s="536" customFormat="1" ht="20.100000000000001" customHeight="1">
      <c r="A12" s="542" t="s">
        <v>126</v>
      </c>
      <c r="B12" s="543">
        <f>'坏账准备明细表D1-4'!B23</f>
        <v>0</v>
      </c>
      <c r="C12" s="543">
        <f>'坏账准备明细表D1-4'!C23</f>
        <v>0</v>
      </c>
      <c r="D12" s="543"/>
      <c r="E12" s="544">
        <f>B12+C12+D12</f>
        <v>0</v>
      </c>
      <c r="F12" s="543">
        <f>'坏账准备明细表D1-4'!K23</f>
        <v>0</v>
      </c>
      <c r="G12" s="543">
        <f>'坏账准备明细表D1-4'!L23</f>
        <v>0</v>
      </c>
      <c r="H12" s="543"/>
      <c r="I12" s="544">
        <f>F12+G12+H12</f>
        <v>0</v>
      </c>
      <c r="J12" s="23">
        <f>I12-E12</f>
        <v>0</v>
      </c>
      <c r="K12" s="563" t="str">
        <f>IF(AND(E12=0,I12=0),"",IF(AND(E12=0,I12&gt;0),1,J12/E12))</f>
        <v/>
      </c>
      <c r="L12" s="569"/>
    </row>
    <row r="13" spans="1:12" s="536" customFormat="1" ht="20.100000000000001" customHeight="1">
      <c r="A13" s="542" t="s">
        <v>127</v>
      </c>
      <c r="B13" s="543">
        <f>'坏账准备明细表D1-4'!B24</f>
        <v>0</v>
      </c>
      <c r="C13" s="543">
        <f>'坏账准备明细表D1-4'!C24</f>
        <v>0</v>
      </c>
      <c r="D13" s="543"/>
      <c r="E13" s="544">
        <f>B13+C13+D13</f>
        <v>0</v>
      </c>
      <c r="F13" s="543">
        <f>'坏账准备明细表D1-4'!K24</f>
        <v>0</v>
      </c>
      <c r="G13" s="543">
        <f>'坏账准备明细表D1-4'!L24</f>
        <v>0</v>
      </c>
      <c r="H13" s="543"/>
      <c r="I13" s="544">
        <f>F13+G13+H13</f>
        <v>0</v>
      </c>
      <c r="J13" s="23">
        <f>I13-E13</f>
        <v>0</v>
      </c>
      <c r="K13" s="563" t="str">
        <f>IF(AND(E13=0,I13=0),"",IF(AND(E13=0,I13&gt;0),1,J13/E13))</f>
        <v/>
      </c>
      <c r="L13" s="569"/>
    </row>
    <row r="14" spans="1:12" s="536" customFormat="1" ht="20.100000000000001" customHeight="1">
      <c r="A14" s="545" t="s">
        <v>128</v>
      </c>
      <c r="B14" s="543">
        <f t="shared" ref="B14:I14" si="1">SUM(B12:B13)</f>
        <v>0</v>
      </c>
      <c r="C14" s="543">
        <f t="shared" si="1"/>
        <v>0</v>
      </c>
      <c r="D14" s="543">
        <f t="shared" si="1"/>
        <v>0</v>
      </c>
      <c r="E14" s="543">
        <f t="shared" si="1"/>
        <v>0</v>
      </c>
      <c r="F14" s="543">
        <f t="shared" si="1"/>
        <v>0</v>
      </c>
      <c r="G14" s="543">
        <f t="shared" si="1"/>
        <v>0</v>
      </c>
      <c r="H14" s="543">
        <f t="shared" si="1"/>
        <v>0</v>
      </c>
      <c r="I14" s="543">
        <f t="shared" si="1"/>
        <v>0</v>
      </c>
      <c r="J14" s="23">
        <f>I14-E14</f>
        <v>0</v>
      </c>
      <c r="K14" s="563" t="str">
        <f>IF(AND(E14=0,I14=0),"",IF(AND(E14=0,I14&gt;0),1,J14/E14))</f>
        <v/>
      </c>
      <c r="L14" s="569"/>
    </row>
    <row r="15" spans="1:12" s="536" customFormat="1" ht="20.100000000000001" customHeight="1">
      <c r="A15" s="546" t="s">
        <v>130</v>
      </c>
      <c r="B15" s="547"/>
      <c r="C15" s="547"/>
      <c r="D15" s="547"/>
      <c r="E15" s="547"/>
      <c r="F15" s="547"/>
      <c r="G15" s="547"/>
      <c r="H15" s="547"/>
      <c r="I15" s="547"/>
      <c r="J15" s="566"/>
      <c r="K15" s="567"/>
      <c r="L15" s="570"/>
    </row>
    <row r="16" spans="1:12" s="536" customFormat="1" ht="20.100000000000001" customHeight="1">
      <c r="A16" s="542" t="s">
        <v>126</v>
      </c>
      <c r="B16" s="543">
        <f t="shared" ref="B16:D17" si="2">B8-B12</f>
        <v>0</v>
      </c>
      <c r="C16" s="543">
        <f t="shared" si="2"/>
        <v>0</v>
      </c>
      <c r="D16" s="543">
        <f t="shared" si="2"/>
        <v>0</v>
      </c>
      <c r="E16" s="544">
        <f>B16+C16+D16</f>
        <v>0</v>
      </c>
      <c r="F16" s="543">
        <f t="shared" ref="F16:H17" si="3">F8-F12</f>
        <v>0</v>
      </c>
      <c r="G16" s="543">
        <f t="shared" si="3"/>
        <v>0</v>
      </c>
      <c r="H16" s="543">
        <f t="shared" si="3"/>
        <v>0</v>
      </c>
      <c r="I16" s="544">
        <f>F16+G16+H16</f>
        <v>0</v>
      </c>
      <c r="J16" s="23">
        <f>I16-E16</f>
        <v>0</v>
      </c>
      <c r="K16" s="563" t="str">
        <f>IF(AND(E16=0,I16=0),"",IF(AND(E16=0,I16&gt;0),1,J16/E16))</f>
        <v/>
      </c>
      <c r="L16" s="569"/>
    </row>
    <row r="17" spans="1:15" s="536" customFormat="1" ht="20.100000000000001" customHeight="1">
      <c r="A17" s="542" t="s">
        <v>127</v>
      </c>
      <c r="B17" s="543">
        <f t="shared" si="2"/>
        <v>0</v>
      </c>
      <c r="C17" s="543">
        <f t="shared" si="2"/>
        <v>0</v>
      </c>
      <c r="D17" s="543">
        <f t="shared" si="2"/>
        <v>0</v>
      </c>
      <c r="E17" s="544">
        <f>B17+C17+D17</f>
        <v>0</v>
      </c>
      <c r="F17" s="543">
        <f t="shared" si="3"/>
        <v>0</v>
      </c>
      <c r="G17" s="543">
        <f t="shared" si="3"/>
        <v>0</v>
      </c>
      <c r="H17" s="543">
        <f t="shared" si="3"/>
        <v>0</v>
      </c>
      <c r="I17" s="544">
        <f>F17+G17+H17</f>
        <v>0</v>
      </c>
      <c r="J17" s="23">
        <f>I17-E17</f>
        <v>0</v>
      </c>
      <c r="K17" s="563" t="str">
        <f>IF(AND(E17=0,I17=0),"",IF(AND(E17=0,I17&gt;0),1,J17/E17))</f>
        <v/>
      </c>
      <c r="L17" s="569"/>
    </row>
    <row r="18" spans="1:15" s="536" customFormat="1" ht="20.100000000000001" customHeight="1">
      <c r="A18" s="548" t="s">
        <v>131</v>
      </c>
      <c r="B18" s="543">
        <f t="shared" ref="B18:I18" si="4">SUM(B16:B17)</f>
        <v>0</v>
      </c>
      <c r="C18" s="543">
        <f t="shared" si="4"/>
        <v>0</v>
      </c>
      <c r="D18" s="543">
        <f t="shared" si="4"/>
        <v>0</v>
      </c>
      <c r="E18" s="543">
        <f t="shared" si="4"/>
        <v>0</v>
      </c>
      <c r="F18" s="543">
        <f t="shared" si="4"/>
        <v>0</v>
      </c>
      <c r="G18" s="543">
        <f t="shared" si="4"/>
        <v>0</v>
      </c>
      <c r="H18" s="543">
        <f t="shared" si="4"/>
        <v>0</v>
      </c>
      <c r="I18" s="543">
        <f t="shared" si="4"/>
        <v>0</v>
      </c>
      <c r="J18" s="23">
        <f>I18-E18</f>
        <v>0</v>
      </c>
      <c r="K18" s="563" t="str">
        <f>IF(AND(E18=0,I18=0),"",IF(AND(E18=0,I18&gt;0),1,J18/E18))</f>
        <v/>
      </c>
      <c r="L18" s="568"/>
    </row>
    <row r="19" spans="1:15" s="537" customFormat="1" ht="20.100000000000001" customHeight="1">
      <c r="A19" s="537" t="s">
        <v>132</v>
      </c>
      <c r="B19" s="549"/>
      <c r="C19" s="549"/>
      <c r="D19" s="549"/>
      <c r="E19" s="550"/>
      <c r="F19" s="549"/>
      <c r="G19" s="549"/>
      <c r="H19" s="549"/>
      <c r="I19" s="550"/>
      <c r="J19" s="549"/>
      <c r="K19" s="571"/>
      <c r="L19" s="572"/>
    </row>
    <row r="20" spans="1:15" s="537" customFormat="1" ht="20.100000000000001" customHeight="1">
      <c r="A20" s="537" t="s">
        <v>133</v>
      </c>
      <c r="B20" s="549"/>
      <c r="C20" s="549"/>
      <c r="D20" s="549"/>
      <c r="E20" s="543">
        <f>E18-E19</f>
        <v>0</v>
      </c>
      <c r="F20" s="549"/>
      <c r="G20" s="549"/>
      <c r="H20" s="549"/>
      <c r="I20" s="543">
        <f>I18-I19</f>
        <v>0</v>
      </c>
      <c r="J20" s="549"/>
      <c r="K20" s="571"/>
      <c r="L20" s="572"/>
    </row>
    <row r="21" spans="1:15" s="537" customFormat="1" ht="20.100000000000001" customHeight="1">
      <c r="A21" s="551"/>
      <c r="B21" s="549"/>
      <c r="C21" s="549"/>
      <c r="D21" s="549"/>
      <c r="E21" s="549"/>
      <c r="F21" s="549"/>
      <c r="G21" s="549"/>
      <c r="H21" s="549"/>
      <c r="I21" s="549"/>
      <c r="J21" s="549"/>
      <c r="K21" s="571"/>
      <c r="L21" s="572"/>
    </row>
    <row r="22" spans="1:15" ht="20.100000000000001" customHeight="1">
      <c r="A22" s="537" t="s">
        <v>134</v>
      </c>
      <c r="B22" s="552"/>
      <c r="G22" s="553"/>
      <c r="H22" s="553"/>
      <c r="J22" s="552"/>
      <c r="K22" s="552"/>
      <c r="L22" s="553"/>
      <c r="M22" s="573"/>
      <c r="N22" s="573"/>
      <c r="O22" s="573"/>
    </row>
    <row r="23" spans="1:15" ht="20.100000000000001" customHeight="1">
      <c r="A23" s="553" t="s">
        <v>135</v>
      </c>
      <c r="B23" s="553"/>
      <c r="E23" s="554">
        <f>IF(AND(E18=0,I18=0),0,IF(AND(E18=0,I18&gt;0),1,(I18-E18)/E18))</f>
        <v>0</v>
      </c>
      <c r="G23" s="553"/>
      <c r="M23" s="573"/>
      <c r="N23" s="573"/>
      <c r="O23" s="573"/>
    </row>
    <row r="24" spans="1:15" ht="20.100000000000001" customHeight="1">
      <c r="A24" s="555" t="s">
        <v>136</v>
      </c>
      <c r="B24" s="553"/>
      <c r="C24" s="553"/>
      <c r="D24" s="553"/>
      <c r="E24" s="553"/>
      <c r="F24" s="553"/>
      <c r="G24" s="553"/>
      <c r="M24" s="573"/>
      <c r="N24" s="573"/>
      <c r="O24" s="573"/>
    </row>
    <row r="25" spans="1:15" ht="20.100000000000001" customHeight="1">
      <c r="A25" s="553"/>
      <c r="B25" s="553"/>
      <c r="C25" s="553"/>
      <c r="D25" s="553"/>
      <c r="E25" s="553"/>
      <c r="F25" s="553"/>
      <c r="G25" s="553"/>
      <c r="M25" s="573"/>
      <c r="N25" s="573"/>
      <c r="O25" s="573"/>
    </row>
    <row r="26" spans="1:15" ht="20.100000000000001" customHeight="1">
      <c r="A26" s="553"/>
      <c r="B26" s="553"/>
      <c r="C26" s="553"/>
      <c r="D26" s="553"/>
      <c r="E26" s="553"/>
      <c r="F26" s="553"/>
      <c r="G26" s="553"/>
      <c r="M26" s="573"/>
      <c r="N26" s="573"/>
      <c r="O26" s="573"/>
    </row>
    <row r="27" spans="1:15" ht="20.100000000000001" customHeight="1">
      <c r="A27" s="553" t="s">
        <v>137</v>
      </c>
      <c r="B27" s="553"/>
      <c r="C27" s="553"/>
      <c r="D27" s="553"/>
      <c r="E27" s="553"/>
      <c r="F27" s="553"/>
      <c r="G27" s="553"/>
      <c r="M27" s="573"/>
      <c r="N27" s="573"/>
      <c r="O27" s="573"/>
    </row>
    <row r="28" spans="1:15" ht="20.100000000000001" customHeight="1">
      <c r="A28" s="537" t="s">
        <v>138</v>
      </c>
      <c r="B28" s="553"/>
      <c r="C28" s="553"/>
      <c r="D28" s="553"/>
      <c r="E28" s="553"/>
      <c r="F28" s="553"/>
      <c r="G28" s="553"/>
      <c r="M28" s="573"/>
      <c r="N28" s="573"/>
      <c r="O28" s="573"/>
    </row>
    <row r="29" spans="1:15" ht="20.100000000000001" customHeight="1">
      <c r="A29" s="537"/>
      <c r="B29" s="553"/>
      <c r="C29" s="553"/>
      <c r="D29" s="553"/>
      <c r="E29" s="553"/>
      <c r="F29" s="553"/>
      <c r="G29" s="553"/>
      <c r="M29" s="573"/>
      <c r="N29" s="573"/>
      <c r="O29" s="573"/>
    </row>
    <row r="30" spans="1:15" ht="20.100000000000001" customHeight="1">
      <c r="B30" s="552"/>
      <c r="C30" s="553"/>
      <c r="D30" s="553"/>
      <c r="E30" s="553"/>
      <c r="F30" s="553"/>
      <c r="G30" s="553"/>
      <c r="H30" s="553"/>
      <c r="I30" s="553"/>
      <c r="J30" s="553"/>
      <c r="K30" s="553"/>
      <c r="L30" s="553"/>
      <c r="M30" s="573"/>
      <c r="N30" s="573"/>
      <c r="O30" s="573"/>
    </row>
    <row r="31" spans="1:15" ht="20.100000000000001" customHeight="1">
      <c r="A31" s="556"/>
      <c r="B31" s="553"/>
      <c r="C31" s="553"/>
      <c r="D31" s="553"/>
      <c r="E31" s="553"/>
      <c r="F31" s="553"/>
      <c r="G31" s="553"/>
      <c r="H31" s="553"/>
      <c r="I31" s="553"/>
      <c r="J31" s="553"/>
      <c r="K31" s="553"/>
      <c r="L31" s="553"/>
      <c r="M31" s="573"/>
      <c r="N31" s="573"/>
      <c r="O31" s="573"/>
    </row>
    <row r="32" spans="1:15" ht="20.100000000000001" customHeight="1">
      <c r="A32" s="557"/>
    </row>
    <row r="33" spans="1:2" ht="20.100000000000001" customHeight="1">
      <c r="A33" s="558"/>
      <c r="B33" s="559"/>
    </row>
    <row r="34" spans="1:2" ht="20.100000000000001" customHeight="1">
      <c r="A34" s="558"/>
      <c r="B34" s="559"/>
    </row>
    <row r="35" spans="1:2" ht="20.100000000000001" customHeight="1">
      <c r="A35" s="558"/>
      <c r="B35" s="559"/>
    </row>
  </sheetData>
  <mergeCells count="7">
    <mergeCell ref="A1:L1"/>
    <mergeCell ref="A2:L2"/>
    <mergeCell ref="B5:E5"/>
    <mergeCell ref="F5:I5"/>
    <mergeCell ref="J5:K5"/>
    <mergeCell ref="A5:A6"/>
    <mergeCell ref="L5:L6"/>
  </mergeCells>
  <phoneticPr fontId="123" type="noConversion"/>
  <hyperlinks>
    <hyperlink ref="L3" location="底稿目录!A1" display="D1"/>
  </hyperlinks>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19"/>
  <sheetViews>
    <sheetView view="pageBreakPreview" zoomScaleNormal="100" workbookViewId="0">
      <selection sqref="A1:G1"/>
    </sheetView>
  </sheetViews>
  <sheetFormatPr defaultColWidth="9" defaultRowHeight="13.8"/>
  <cols>
    <col min="1" max="1" width="30.19921875" style="231" customWidth="1"/>
    <col min="2" max="2" width="21.19921875" style="231" customWidth="1"/>
    <col min="3" max="3" width="20.8984375" style="231" customWidth="1"/>
    <col min="4" max="4" width="14.69921875" style="231" customWidth="1"/>
    <col min="5" max="5" width="13.5" style="231" customWidth="1"/>
    <col min="6" max="6" width="14.09765625" style="231" customWidth="1"/>
    <col min="7" max="7" width="14" style="231" customWidth="1"/>
    <col min="8" max="16384" width="9" style="231"/>
  </cols>
  <sheetData>
    <row r="1" spans="1:14" s="399" customFormat="1" ht="20.100000000000001" customHeight="1">
      <c r="A1" s="682" t="s">
        <v>139</v>
      </c>
      <c r="B1" s="682"/>
      <c r="C1" s="682"/>
      <c r="D1" s="682"/>
      <c r="E1" s="682"/>
      <c r="F1" s="682"/>
      <c r="G1" s="682"/>
      <c r="H1" s="456"/>
      <c r="I1" s="456"/>
      <c r="J1" s="456"/>
      <c r="K1" s="456"/>
      <c r="L1" s="456"/>
    </row>
    <row r="2" spans="1:14" s="400" customFormat="1" ht="24.9" customHeight="1">
      <c r="A2" s="683" t="s">
        <v>140</v>
      </c>
      <c r="B2" s="683"/>
      <c r="C2" s="683"/>
      <c r="D2" s="683"/>
      <c r="E2" s="683"/>
      <c r="F2" s="683"/>
      <c r="G2" s="683"/>
    </row>
    <row r="3" spans="1:14" ht="20.100000000000001" customHeight="1">
      <c r="A3" s="231" t="str">
        <f>底稿目录!A2</f>
        <v>被审计单位名称：</v>
      </c>
      <c r="C3" s="231" t="str">
        <f>底稿目录!A4</f>
        <v>编制人：</v>
      </c>
      <c r="E3" s="231" t="str">
        <f>底稿目录!A5</f>
        <v>编制日期：</v>
      </c>
      <c r="G3" s="402" t="s">
        <v>141</v>
      </c>
      <c r="H3" s="404"/>
      <c r="I3" s="404"/>
      <c r="J3" s="404"/>
      <c r="K3" s="404"/>
      <c r="L3" s="404"/>
      <c r="M3" s="404"/>
      <c r="N3" s="404"/>
    </row>
    <row r="4" spans="1:14" ht="20.100000000000001" customHeight="1">
      <c r="A4" s="231" t="str">
        <f>底稿目录!A3</f>
        <v>截止日：202X年12月31日</v>
      </c>
      <c r="C4" s="231" t="str">
        <f>底稿目录!A6</f>
        <v>复核人：</v>
      </c>
      <c r="E4" s="231" t="str">
        <f>底稿目录!A7</f>
        <v>复核日期：</v>
      </c>
      <c r="G4" s="402" t="s">
        <v>142</v>
      </c>
      <c r="H4" s="404"/>
      <c r="I4" s="404"/>
      <c r="J4" s="404"/>
      <c r="K4" s="404"/>
      <c r="L4" s="404"/>
      <c r="M4" s="404"/>
      <c r="N4" s="404"/>
    </row>
    <row r="5" spans="1:14" ht="20.100000000000001" customHeight="1">
      <c r="H5" s="404"/>
      <c r="I5" s="404"/>
      <c r="J5" s="404"/>
      <c r="K5" s="404"/>
      <c r="L5" s="404"/>
      <c r="M5" s="404"/>
      <c r="N5" s="404"/>
    </row>
    <row r="6" spans="1:14" ht="20.100000000000001" customHeight="1">
      <c r="A6" s="403" t="s">
        <v>50</v>
      </c>
      <c r="D6" s="402"/>
      <c r="E6" s="404"/>
      <c r="F6" s="404"/>
      <c r="G6" s="404"/>
      <c r="H6" s="404"/>
      <c r="I6" s="404"/>
    </row>
    <row r="7" spans="1:14" ht="20.100000000000001" customHeight="1">
      <c r="A7" s="692" t="s">
        <v>143</v>
      </c>
      <c r="B7" s="684" t="s">
        <v>144</v>
      </c>
      <c r="C7" s="685"/>
      <c r="D7" s="685"/>
      <c r="E7" s="684" t="s">
        <v>145</v>
      </c>
      <c r="F7" s="685"/>
      <c r="G7" s="685"/>
    </row>
    <row r="8" spans="1:14" ht="20.100000000000001" customHeight="1">
      <c r="A8" s="693"/>
      <c r="B8" s="405" t="s">
        <v>144</v>
      </c>
      <c r="C8" s="405" t="s">
        <v>146</v>
      </c>
      <c r="D8" s="405" t="s">
        <v>147</v>
      </c>
      <c r="E8" s="405" t="s">
        <v>148</v>
      </c>
      <c r="F8" s="405" t="s">
        <v>146</v>
      </c>
      <c r="G8" s="405" t="s">
        <v>149</v>
      </c>
    </row>
    <row r="9" spans="1:14" ht="20.100000000000001" customHeight="1">
      <c r="A9" s="407" t="s">
        <v>126</v>
      </c>
      <c r="B9" s="408">
        <f>'审定表D1-1'!I8</f>
        <v>0</v>
      </c>
      <c r="C9" s="408">
        <f>'审定表D1-1'!I12</f>
        <v>0</v>
      </c>
      <c r="D9" s="408">
        <f>B9-C9</f>
        <v>0</v>
      </c>
      <c r="E9" s="408">
        <f>'审定表D1-1'!E8</f>
        <v>0</v>
      </c>
      <c r="F9" s="408">
        <f>'审定表D1-1'!E12</f>
        <v>0</v>
      </c>
      <c r="G9" s="408">
        <f>E9-F9</f>
        <v>0</v>
      </c>
    </row>
    <row r="10" spans="1:14" ht="20.100000000000001" customHeight="1">
      <c r="A10" s="409" t="s">
        <v>127</v>
      </c>
      <c r="B10" s="410">
        <f>'审定表D1-1'!I9</f>
        <v>0</v>
      </c>
      <c r="C10" s="411">
        <f>'审定表D1-1'!I13</f>
        <v>0</v>
      </c>
      <c r="D10" s="411">
        <f>B10-C10</f>
        <v>0</v>
      </c>
      <c r="E10" s="410">
        <f>'审定表D1-1'!E9</f>
        <v>0</v>
      </c>
      <c r="F10" s="411">
        <f>'审定表D1-1'!E13</f>
        <v>0</v>
      </c>
      <c r="G10" s="411">
        <f>E10-F10</f>
        <v>0</v>
      </c>
    </row>
    <row r="11" spans="1:14" ht="20.100000000000001" customHeight="1">
      <c r="A11" s="406" t="s">
        <v>150</v>
      </c>
      <c r="B11" s="412">
        <f t="shared" ref="B11:G11" si="0">SUM(B9:B10)</f>
        <v>0</v>
      </c>
      <c r="C11" s="412">
        <f t="shared" si="0"/>
        <v>0</v>
      </c>
      <c r="D11" s="412">
        <f t="shared" si="0"/>
        <v>0</v>
      </c>
      <c r="E11" s="412">
        <f t="shared" si="0"/>
        <v>0</v>
      </c>
      <c r="F11" s="412">
        <f t="shared" si="0"/>
        <v>0</v>
      </c>
      <c r="G11" s="412">
        <f t="shared" si="0"/>
        <v>0</v>
      </c>
    </row>
    <row r="12" spans="1:14" ht="20.100000000000001" customHeight="1">
      <c r="A12" s="480" t="s">
        <v>151</v>
      </c>
      <c r="B12" s="410"/>
      <c r="C12" s="410"/>
      <c r="D12" s="410"/>
      <c r="E12" s="410"/>
      <c r="F12" s="410"/>
      <c r="G12" s="410"/>
    </row>
    <row r="13" spans="1:14" ht="20.100000000000001" customHeight="1">
      <c r="A13" s="481" t="s">
        <v>152</v>
      </c>
      <c r="B13" s="410"/>
      <c r="C13" s="410"/>
      <c r="D13" s="410"/>
      <c r="E13" s="410"/>
      <c r="F13" s="410"/>
      <c r="G13" s="410"/>
    </row>
    <row r="14" spans="1:14" s="401" customFormat="1" ht="20.100000000000001" customHeight="1">
      <c r="A14" s="482" t="s">
        <v>153</v>
      </c>
      <c r="B14" s="445"/>
      <c r="C14" s="445"/>
      <c r="D14" s="446"/>
    </row>
    <row r="15" spans="1:14" ht="20.100000000000001" customHeight="1">
      <c r="A15" s="406" t="s">
        <v>154</v>
      </c>
      <c r="B15" s="406" t="s">
        <v>155</v>
      </c>
      <c r="C15" s="447"/>
      <c r="D15" s="448"/>
    </row>
    <row r="16" spans="1:14" s="401" customFormat="1" ht="20.100000000000001" customHeight="1">
      <c r="A16" s="449" t="s">
        <v>156</v>
      </c>
      <c r="B16" s="450"/>
      <c r="C16" s="446"/>
      <c r="D16" s="451"/>
    </row>
    <row r="17" spans="1:4" s="401" customFormat="1" ht="20.100000000000001" customHeight="1">
      <c r="A17" s="452" t="s">
        <v>157</v>
      </c>
      <c r="B17" s="628"/>
      <c r="C17" s="446"/>
      <c r="D17" s="451"/>
    </row>
    <row r="18" spans="1:4" s="401" customFormat="1" ht="20.100000000000001" customHeight="1">
      <c r="A18" s="454" t="s">
        <v>158</v>
      </c>
      <c r="B18" s="455"/>
      <c r="C18" s="446"/>
      <c r="D18" s="446"/>
    </row>
    <row r="19" spans="1:4" s="401" customFormat="1" ht="20.100000000000001" customHeight="1">
      <c r="A19" s="457" t="s">
        <v>159</v>
      </c>
      <c r="B19" s="458">
        <f>SUM(B16:B18)</f>
        <v>0</v>
      </c>
      <c r="C19" s="446"/>
      <c r="D19" s="446"/>
    </row>
    <row r="20" spans="1:4" s="401" customFormat="1" ht="20.100000000000001" customHeight="1">
      <c r="A20" s="483" t="s">
        <v>160</v>
      </c>
      <c r="B20" s="460"/>
      <c r="C20" s="460"/>
      <c r="D20" s="461"/>
    </row>
    <row r="21" spans="1:4" ht="19.5" customHeight="1">
      <c r="A21" s="406" t="s">
        <v>154</v>
      </c>
      <c r="B21" s="406" t="s">
        <v>161</v>
      </c>
      <c r="C21" s="406" t="s">
        <v>162</v>
      </c>
      <c r="D21" s="448"/>
    </row>
    <row r="22" spans="1:4" ht="20.100000000000001" customHeight="1">
      <c r="A22" s="462" t="s">
        <v>156</v>
      </c>
      <c r="B22" s="463"/>
      <c r="C22" s="463"/>
      <c r="D22" s="448"/>
    </row>
    <row r="23" spans="1:4" ht="20.100000000000001" customHeight="1">
      <c r="A23" s="448" t="s">
        <v>157</v>
      </c>
      <c r="B23" s="464"/>
      <c r="C23" s="464"/>
      <c r="D23" s="448"/>
    </row>
    <row r="24" spans="1:4" ht="20.100000000000001" customHeight="1">
      <c r="A24" s="448" t="s">
        <v>158</v>
      </c>
      <c r="B24" s="464"/>
      <c r="C24" s="464"/>
      <c r="D24" s="448"/>
    </row>
    <row r="25" spans="1:4" s="401" customFormat="1" ht="20.100000000000001" customHeight="1">
      <c r="A25" s="457" t="s">
        <v>159</v>
      </c>
      <c r="B25" s="458">
        <f>SUM(B22:B24)</f>
        <v>0</v>
      </c>
      <c r="C25" s="458">
        <f>SUM(C22:C24)</f>
        <v>0</v>
      </c>
      <c r="D25" s="446"/>
    </row>
    <row r="26" spans="1:4" s="401" customFormat="1" ht="20.100000000000001" customHeight="1">
      <c r="A26" s="481" t="s">
        <v>163</v>
      </c>
      <c r="B26" s="465"/>
      <c r="C26" s="465"/>
      <c r="D26" s="465"/>
    </row>
    <row r="27" spans="1:4" s="401" customFormat="1" ht="20.100000000000001" customHeight="1">
      <c r="A27" s="481" t="s">
        <v>164</v>
      </c>
      <c r="B27" s="465"/>
      <c r="C27" s="465"/>
      <c r="D27" s="465"/>
    </row>
    <row r="28" spans="1:4" s="401" customFormat="1" ht="20.100000000000001" customHeight="1">
      <c r="A28" s="481" t="s">
        <v>165</v>
      </c>
      <c r="B28" s="465"/>
      <c r="C28" s="465"/>
      <c r="D28" s="465"/>
    </row>
    <row r="29" spans="1:4" s="401" customFormat="1" ht="20.100000000000001" customHeight="1">
      <c r="A29" s="484" t="s">
        <v>166</v>
      </c>
      <c r="B29" s="465"/>
      <c r="C29" s="465"/>
      <c r="D29" s="465"/>
    </row>
    <row r="30" spans="1:4" s="401" customFormat="1" ht="20.100000000000001" customHeight="1">
      <c r="A30" s="481" t="s">
        <v>167</v>
      </c>
      <c r="B30" s="465"/>
      <c r="C30" s="465"/>
      <c r="D30" s="465"/>
    </row>
    <row r="31" spans="1:4" s="401" customFormat="1" ht="20.100000000000001" customHeight="1">
      <c r="A31" s="483" t="s">
        <v>168</v>
      </c>
      <c r="B31" s="460"/>
      <c r="C31" s="460"/>
      <c r="D31" s="446"/>
    </row>
    <row r="32" spans="1:4" ht="20.100000000000001" customHeight="1">
      <c r="A32" s="406" t="s">
        <v>154</v>
      </c>
      <c r="B32" s="406" t="s">
        <v>169</v>
      </c>
      <c r="C32" s="448"/>
    </row>
    <row r="33" spans="1:6" ht="20.100000000000001" customHeight="1">
      <c r="A33" s="462" t="s">
        <v>157</v>
      </c>
      <c r="B33" s="408"/>
      <c r="C33" s="448"/>
    </row>
    <row r="34" spans="1:6" ht="20.100000000000001" customHeight="1">
      <c r="A34" s="448"/>
      <c r="B34" s="410"/>
      <c r="C34" s="448"/>
    </row>
    <row r="35" spans="1:6" ht="20.100000000000001" customHeight="1">
      <c r="A35" s="448"/>
      <c r="B35" s="410"/>
      <c r="C35" s="448"/>
    </row>
    <row r="36" spans="1:6" s="401" customFormat="1" ht="20.100000000000001" customHeight="1">
      <c r="A36" s="457" t="s">
        <v>170</v>
      </c>
      <c r="B36" s="458">
        <f>SUM(B33:B35)</f>
        <v>0</v>
      </c>
      <c r="C36" s="446"/>
    </row>
    <row r="37" spans="1:6" ht="15.6">
      <c r="A37" s="483" t="s">
        <v>171</v>
      </c>
    </row>
    <row r="38" spans="1:6" ht="15.6">
      <c r="A38" s="686" t="s">
        <v>172</v>
      </c>
      <c r="B38" s="686" t="s">
        <v>144</v>
      </c>
      <c r="C38" s="687"/>
      <c r="D38" s="687"/>
      <c r="E38" s="687"/>
      <c r="F38" s="687"/>
    </row>
    <row r="39" spans="1:6" ht="31.2">
      <c r="A39" s="694"/>
      <c r="B39" s="485" t="s">
        <v>173</v>
      </c>
      <c r="C39" s="486" t="s">
        <v>174</v>
      </c>
      <c r="D39" s="485" t="s">
        <v>175</v>
      </c>
      <c r="E39" s="486" t="s">
        <v>176</v>
      </c>
      <c r="F39" s="487" t="s">
        <v>177</v>
      </c>
    </row>
    <row r="40" spans="1:6" ht="15.6">
      <c r="A40" s="488" t="s">
        <v>178</v>
      </c>
      <c r="B40" s="489">
        <f>SUM(B41:B44)</f>
        <v>0</v>
      </c>
      <c r="C40" s="490">
        <f>IFERROR(B40/$B$49,0)</f>
        <v>0</v>
      </c>
      <c r="D40" s="489">
        <f>SUM(D41:D44)</f>
        <v>0</v>
      </c>
      <c r="E40" s="490">
        <f>IFERROR(D40/B40,0)</f>
        <v>0</v>
      </c>
      <c r="F40" s="489">
        <f>B40-D40</f>
        <v>0</v>
      </c>
    </row>
    <row r="41" spans="1:6" ht="15.6">
      <c r="A41" s="491" t="s">
        <v>179</v>
      </c>
      <c r="B41" s="489"/>
      <c r="C41" s="490">
        <f t="shared" ref="C41:C49" si="1">IFERROR(B41/$B$49,0)</f>
        <v>0</v>
      </c>
      <c r="D41" s="489"/>
      <c r="E41" s="490">
        <f t="shared" ref="E41:E49" si="2">IFERROR(D41/B41,0)</f>
        <v>0</v>
      </c>
      <c r="F41" s="489">
        <f t="shared" ref="F41:F48" si="3">B41-D41</f>
        <v>0</v>
      </c>
    </row>
    <row r="42" spans="1:6" ht="15.6">
      <c r="A42" s="492"/>
      <c r="B42" s="489"/>
      <c r="C42" s="490">
        <f t="shared" si="1"/>
        <v>0</v>
      </c>
      <c r="D42" s="489"/>
      <c r="E42" s="490">
        <f t="shared" si="2"/>
        <v>0</v>
      </c>
      <c r="F42" s="489">
        <f t="shared" si="3"/>
        <v>0</v>
      </c>
    </row>
    <row r="43" spans="1:6" ht="15.6">
      <c r="A43" s="492"/>
      <c r="B43" s="489"/>
      <c r="C43" s="490">
        <f t="shared" si="1"/>
        <v>0</v>
      </c>
      <c r="D43" s="489"/>
      <c r="E43" s="490">
        <f t="shared" si="2"/>
        <v>0</v>
      </c>
      <c r="F43" s="489">
        <f t="shared" si="3"/>
        <v>0</v>
      </c>
    </row>
    <row r="44" spans="1:6" ht="15.6">
      <c r="A44" s="492"/>
      <c r="B44" s="489"/>
      <c r="C44" s="490">
        <f t="shared" si="1"/>
        <v>0</v>
      </c>
      <c r="D44" s="489"/>
      <c r="E44" s="490">
        <f t="shared" si="2"/>
        <v>0</v>
      </c>
      <c r="F44" s="489">
        <f t="shared" si="3"/>
        <v>0</v>
      </c>
    </row>
    <row r="45" spans="1:6" ht="15.6">
      <c r="A45" s="492" t="s">
        <v>180</v>
      </c>
      <c r="B45" s="489">
        <f>B47+B48</f>
        <v>0</v>
      </c>
      <c r="C45" s="490">
        <f t="shared" si="1"/>
        <v>0</v>
      </c>
      <c r="D45" s="489">
        <f>D47+D48</f>
        <v>0</v>
      </c>
      <c r="E45" s="490">
        <f t="shared" si="2"/>
        <v>0</v>
      </c>
      <c r="F45" s="489">
        <f t="shared" si="3"/>
        <v>0</v>
      </c>
    </row>
    <row r="46" spans="1:6" ht="15.6">
      <c r="A46" s="491" t="s">
        <v>179</v>
      </c>
      <c r="B46" s="489"/>
      <c r="C46" s="490"/>
      <c r="D46" s="489"/>
      <c r="E46" s="490"/>
      <c r="F46" s="489"/>
    </row>
    <row r="47" spans="1:6" ht="15.6">
      <c r="A47" s="491" t="s">
        <v>126</v>
      </c>
      <c r="B47" s="489"/>
      <c r="C47" s="490">
        <f t="shared" si="1"/>
        <v>0</v>
      </c>
      <c r="D47" s="489"/>
      <c r="E47" s="490">
        <f t="shared" si="2"/>
        <v>0</v>
      </c>
      <c r="F47" s="489">
        <f t="shared" si="3"/>
        <v>0</v>
      </c>
    </row>
    <row r="48" spans="1:6" ht="15.6">
      <c r="A48" s="493" t="s">
        <v>127</v>
      </c>
      <c r="B48" s="489"/>
      <c r="C48" s="494">
        <f t="shared" si="1"/>
        <v>0</v>
      </c>
      <c r="D48" s="489"/>
      <c r="E48" s="490">
        <f t="shared" si="2"/>
        <v>0</v>
      </c>
      <c r="F48" s="489">
        <f t="shared" si="3"/>
        <v>0</v>
      </c>
    </row>
    <row r="49" spans="1:7" ht="16.2">
      <c r="A49" s="467" t="s">
        <v>181</v>
      </c>
      <c r="B49" s="495">
        <f>B40+B45</f>
        <v>0</v>
      </c>
      <c r="C49" s="496">
        <f t="shared" si="1"/>
        <v>0</v>
      </c>
      <c r="D49" s="495">
        <f>D40+D45</f>
        <v>0</v>
      </c>
      <c r="E49" s="497">
        <f t="shared" si="2"/>
        <v>0</v>
      </c>
      <c r="F49" s="495">
        <f>F40+F45</f>
        <v>0</v>
      </c>
    </row>
    <row r="50" spans="1:7">
      <c r="A50" s="498" t="s">
        <v>182</v>
      </c>
    </row>
    <row r="51" spans="1:7" ht="15.6">
      <c r="A51" s="686" t="s">
        <v>172</v>
      </c>
      <c r="B51" s="686" t="s">
        <v>145</v>
      </c>
      <c r="C51" s="687"/>
      <c r="D51" s="687"/>
      <c r="E51" s="687"/>
      <c r="F51" s="687"/>
    </row>
    <row r="52" spans="1:7" ht="31.2">
      <c r="A52" s="694"/>
      <c r="B52" s="485" t="s">
        <v>173</v>
      </c>
      <c r="C52" s="486" t="s">
        <v>174</v>
      </c>
      <c r="D52" s="485" t="s">
        <v>175</v>
      </c>
      <c r="E52" s="486" t="s">
        <v>176</v>
      </c>
      <c r="F52" s="487" t="s">
        <v>177</v>
      </c>
    </row>
    <row r="53" spans="1:7" ht="15.6">
      <c r="A53" s="488" t="s">
        <v>178</v>
      </c>
      <c r="B53" s="489">
        <f>SUM(B54:B57)</f>
        <v>0</v>
      </c>
      <c r="C53" s="490">
        <f t="shared" ref="C53:C61" si="4">IFERROR(B53/$B$47,0)</f>
        <v>0</v>
      </c>
      <c r="D53" s="489">
        <f>SUM(D54:D57)</f>
        <v>0</v>
      </c>
      <c r="E53" s="499">
        <f>IF(B53=0,,D53/B53)</f>
        <v>0</v>
      </c>
      <c r="F53" s="489">
        <f>B53-D53</f>
        <v>0</v>
      </c>
    </row>
    <row r="54" spans="1:7" ht="15.6">
      <c r="A54" s="491" t="s">
        <v>179</v>
      </c>
      <c r="B54" s="489"/>
      <c r="C54" s="490">
        <f t="shared" si="4"/>
        <v>0</v>
      </c>
      <c r="D54" s="489"/>
      <c r="E54" s="499">
        <f t="shared" ref="E54:E58" si="5">IF(B54=0,,D54/B54)</f>
        <v>0</v>
      </c>
      <c r="F54" s="489">
        <f t="shared" ref="F54:F61" si="6">B54-D54</f>
        <v>0</v>
      </c>
    </row>
    <row r="55" spans="1:7" ht="15.6">
      <c r="A55" s="492"/>
      <c r="B55" s="489"/>
      <c r="C55" s="490">
        <f t="shared" si="4"/>
        <v>0</v>
      </c>
      <c r="D55" s="489"/>
      <c r="E55" s="499">
        <f t="shared" si="5"/>
        <v>0</v>
      </c>
      <c r="F55" s="489">
        <f t="shared" si="6"/>
        <v>0</v>
      </c>
    </row>
    <row r="56" spans="1:7" ht="15.6">
      <c r="A56" s="492"/>
      <c r="B56" s="489"/>
      <c r="C56" s="490">
        <f t="shared" si="4"/>
        <v>0</v>
      </c>
      <c r="D56" s="489"/>
      <c r="E56" s="499">
        <f t="shared" si="5"/>
        <v>0</v>
      </c>
      <c r="F56" s="489">
        <f t="shared" si="6"/>
        <v>0</v>
      </c>
    </row>
    <row r="57" spans="1:7" ht="15.6">
      <c r="A57" s="492"/>
      <c r="B57" s="489"/>
      <c r="C57" s="490">
        <f t="shared" si="4"/>
        <v>0</v>
      </c>
      <c r="D57" s="489"/>
      <c r="E57" s="499">
        <f t="shared" si="5"/>
        <v>0</v>
      </c>
      <c r="F57" s="489">
        <f t="shared" si="6"/>
        <v>0</v>
      </c>
    </row>
    <row r="58" spans="1:7" ht="15.6">
      <c r="A58" s="492" t="s">
        <v>180</v>
      </c>
      <c r="B58" s="489">
        <f>B59+B61</f>
        <v>0</v>
      </c>
      <c r="C58" s="490">
        <f t="shared" si="4"/>
        <v>0</v>
      </c>
      <c r="D58" s="489">
        <f>D59+D61</f>
        <v>0</v>
      </c>
      <c r="E58" s="499">
        <f t="shared" si="5"/>
        <v>0</v>
      </c>
      <c r="F58" s="489">
        <f t="shared" si="6"/>
        <v>0</v>
      </c>
    </row>
    <row r="59" spans="1:7" ht="15.6">
      <c r="A59" s="491" t="s">
        <v>179</v>
      </c>
      <c r="B59" s="489"/>
      <c r="C59" s="499"/>
      <c r="D59" s="489"/>
      <c r="E59" s="499"/>
      <c r="F59" s="489">
        <f t="shared" si="6"/>
        <v>0</v>
      </c>
    </row>
    <row r="60" spans="1:7" ht="15.6">
      <c r="A60" s="491" t="s">
        <v>126</v>
      </c>
      <c r="B60" s="489"/>
      <c r="C60" s="490">
        <f t="shared" si="4"/>
        <v>0</v>
      </c>
      <c r="D60" s="489"/>
      <c r="E60" s="499"/>
      <c r="F60" s="489"/>
    </row>
    <row r="61" spans="1:7" ht="15.6">
      <c r="A61" s="493" t="s">
        <v>127</v>
      </c>
      <c r="B61" s="489"/>
      <c r="C61" s="490">
        <f t="shared" si="4"/>
        <v>0</v>
      </c>
      <c r="D61" s="489"/>
      <c r="E61" s="499">
        <f>IF(B61=0,,D61/B61)</f>
        <v>0</v>
      </c>
      <c r="F61" s="489">
        <f t="shared" si="6"/>
        <v>0</v>
      </c>
    </row>
    <row r="62" spans="1:7" ht="16.2">
      <c r="A62" s="467" t="s">
        <v>181</v>
      </c>
      <c r="B62" s="495">
        <f>B53+B58</f>
        <v>0</v>
      </c>
      <c r="C62" s="496">
        <f>IFERROR(B62/$B$62,0)</f>
        <v>0</v>
      </c>
      <c r="D62" s="495">
        <f>D53+D58</f>
        <v>0</v>
      </c>
      <c r="E62" s="497">
        <f t="shared" ref="E62" si="7">IFERROR(D62/B62,0)</f>
        <v>0</v>
      </c>
      <c r="F62" s="495">
        <f>F53+F58</f>
        <v>0</v>
      </c>
    </row>
    <row r="63" spans="1:7" ht="31.2">
      <c r="A63" s="500" t="s">
        <v>183</v>
      </c>
      <c r="B63" s="501"/>
      <c r="C63" s="501"/>
      <c r="D63" s="501"/>
      <c r="E63" s="501"/>
      <c r="F63" s="501"/>
      <c r="G63" s="501"/>
    </row>
    <row r="64" spans="1:7" ht="15.6">
      <c r="A64" s="695" t="s">
        <v>184</v>
      </c>
      <c r="B64" s="688" t="s">
        <v>144</v>
      </c>
      <c r="C64" s="689"/>
      <c r="D64" s="689"/>
      <c r="E64" s="689"/>
      <c r="F64" s="501"/>
      <c r="G64" s="501"/>
    </row>
    <row r="65" spans="1:7" ht="31.2">
      <c r="A65" s="696"/>
      <c r="B65" s="503" t="s">
        <v>185</v>
      </c>
      <c r="C65" s="503" t="s">
        <v>146</v>
      </c>
      <c r="D65" s="503" t="s">
        <v>186</v>
      </c>
      <c r="E65" s="503" t="s">
        <v>187</v>
      </c>
      <c r="F65" s="501"/>
      <c r="G65" s="501"/>
    </row>
    <row r="66" spans="1:7" ht="15.6">
      <c r="A66" s="504"/>
      <c r="B66" s="505"/>
      <c r="C66" s="505"/>
      <c r="D66" s="490">
        <f>IFERROR(C66/B66,0)</f>
        <v>0</v>
      </c>
      <c r="E66" s="505"/>
      <c r="F66" s="501"/>
      <c r="G66" s="501"/>
    </row>
    <row r="67" spans="1:7" ht="15.6">
      <c r="A67" s="506"/>
      <c r="B67" s="507"/>
      <c r="C67" s="507"/>
      <c r="D67" s="490">
        <f>IFERROR(C67/B67,0)</f>
        <v>0</v>
      </c>
      <c r="E67" s="507"/>
      <c r="F67" s="501"/>
      <c r="G67" s="501"/>
    </row>
    <row r="68" spans="1:7" ht="15.6">
      <c r="A68" s="508" t="s">
        <v>188</v>
      </c>
      <c r="B68" s="509">
        <f>SUM(B66:B67)</f>
        <v>0</v>
      </c>
      <c r="C68" s="509">
        <f>SUM(C66:C67)</f>
        <v>0</v>
      </c>
      <c r="D68" s="510">
        <f>IFERROR(C68/B68,0)</f>
        <v>0</v>
      </c>
      <c r="E68" s="511" t="s">
        <v>189</v>
      </c>
      <c r="F68" s="501"/>
      <c r="G68" s="501"/>
    </row>
    <row r="69" spans="1:7" ht="15.6">
      <c r="A69" s="500" t="s">
        <v>190</v>
      </c>
      <c r="B69" s="501"/>
      <c r="C69" s="501"/>
      <c r="D69" s="501"/>
      <c r="E69" s="501"/>
      <c r="F69" s="501"/>
      <c r="G69" s="501"/>
    </row>
    <row r="70" spans="1:7" ht="15.6">
      <c r="A70" s="695" t="s">
        <v>184</v>
      </c>
      <c r="B70" s="688" t="s">
        <v>145</v>
      </c>
      <c r="C70" s="689"/>
      <c r="D70" s="689"/>
      <c r="E70" s="689"/>
      <c r="F70" s="501"/>
      <c r="G70" s="501"/>
    </row>
    <row r="71" spans="1:7" ht="31.2">
      <c r="A71" s="696"/>
      <c r="B71" s="503" t="s">
        <v>185</v>
      </c>
      <c r="C71" s="503" t="s">
        <v>146</v>
      </c>
      <c r="D71" s="503" t="s">
        <v>186</v>
      </c>
      <c r="E71" s="503" t="s">
        <v>187</v>
      </c>
      <c r="F71" s="501"/>
      <c r="G71" s="501"/>
    </row>
    <row r="72" spans="1:7" ht="15.6">
      <c r="A72" s="504"/>
      <c r="B72" s="505"/>
      <c r="C72" s="505"/>
      <c r="D72" s="490">
        <f>IFERROR(C72/B72,0)</f>
        <v>0</v>
      </c>
      <c r="E72" s="505"/>
      <c r="F72" s="501"/>
      <c r="G72" s="501"/>
    </row>
    <row r="73" spans="1:7" ht="15.6">
      <c r="A73" s="506"/>
      <c r="B73" s="507"/>
      <c r="C73" s="507"/>
      <c r="D73" s="490">
        <f>IFERROR(C73/B73,0)</f>
        <v>0</v>
      </c>
      <c r="E73" s="507"/>
      <c r="F73" s="501"/>
      <c r="G73" s="501"/>
    </row>
    <row r="74" spans="1:7" ht="15.6">
      <c r="A74" s="508" t="s">
        <v>188</v>
      </c>
      <c r="B74" s="509">
        <f>SUM(B72:B73)</f>
        <v>0</v>
      </c>
      <c r="C74" s="509">
        <f>SUM(C72:C73)</f>
        <v>0</v>
      </c>
      <c r="D74" s="510">
        <f>IFERROR(C74/B74,0)</f>
        <v>0</v>
      </c>
      <c r="E74" s="511" t="s">
        <v>189</v>
      </c>
      <c r="F74" s="501"/>
      <c r="G74" s="501"/>
    </row>
    <row r="75" spans="1:7" ht="15.6">
      <c r="A75" s="500" t="s">
        <v>191</v>
      </c>
      <c r="B75" s="501"/>
      <c r="C75" s="501"/>
      <c r="D75" s="501"/>
      <c r="E75" s="501"/>
      <c r="F75" s="501"/>
      <c r="G75" s="501"/>
    </row>
    <row r="76" spans="1:7" ht="15.6">
      <c r="A76" s="500" t="s">
        <v>192</v>
      </c>
      <c r="B76" s="501"/>
      <c r="C76" s="501"/>
      <c r="D76" s="501"/>
      <c r="E76" s="501"/>
      <c r="F76" s="501"/>
      <c r="G76" s="501"/>
    </row>
    <row r="77" spans="1:7" ht="15.6">
      <c r="A77" s="695" t="s">
        <v>184</v>
      </c>
      <c r="B77" s="688" t="s">
        <v>144</v>
      </c>
      <c r="C77" s="689"/>
      <c r="D77" s="689"/>
      <c r="E77" s="688" t="s">
        <v>145</v>
      </c>
      <c r="F77" s="689"/>
      <c r="G77" s="689"/>
    </row>
    <row r="78" spans="1:7" ht="31.2">
      <c r="A78" s="696"/>
      <c r="B78" s="503" t="s">
        <v>50</v>
      </c>
      <c r="C78" s="503" t="s">
        <v>146</v>
      </c>
      <c r="D78" s="503" t="s">
        <v>193</v>
      </c>
      <c r="E78" s="503" t="s">
        <v>50</v>
      </c>
      <c r="F78" s="503" t="s">
        <v>146</v>
      </c>
      <c r="G78" s="503" t="s">
        <v>193</v>
      </c>
    </row>
    <row r="79" spans="1:7" ht="15.6">
      <c r="A79" s="512" t="s">
        <v>194</v>
      </c>
      <c r="B79" s="505"/>
      <c r="C79" s="505"/>
      <c r="D79" s="490">
        <f>IFERROR(C79/B79,0)</f>
        <v>0</v>
      </c>
      <c r="E79" s="505"/>
      <c r="F79" s="505"/>
      <c r="G79" s="490">
        <f>IFERROR(F79/E79,0)</f>
        <v>0</v>
      </c>
    </row>
    <row r="80" spans="1:7" ht="15.6">
      <c r="A80" s="513"/>
      <c r="B80" s="505"/>
      <c r="C80" s="505"/>
      <c r="D80" s="490">
        <f>IFERROR(C80/B80,0)</f>
        <v>0</v>
      </c>
      <c r="E80" s="505"/>
      <c r="F80" s="505"/>
      <c r="G80" s="490">
        <f>IFERROR(F80/E80,0)</f>
        <v>0</v>
      </c>
    </row>
    <row r="81" spans="1:7" ht="15.6">
      <c r="A81" s="514"/>
      <c r="B81" s="507"/>
      <c r="C81" s="507"/>
      <c r="D81" s="490">
        <f>IFERROR(C81/B81,0)</f>
        <v>0</v>
      </c>
      <c r="E81" s="507"/>
      <c r="F81" s="507"/>
      <c r="G81" s="490">
        <f>IFERROR(F81/E81,0)</f>
        <v>0</v>
      </c>
    </row>
    <row r="82" spans="1:7" ht="15.6">
      <c r="A82" s="515" t="s">
        <v>188</v>
      </c>
      <c r="B82" s="509">
        <f>SUM(B79:B81)</f>
        <v>0</v>
      </c>
      <c r="C82" s="509">
        <f>SUM(C79:C81)</f>
        <v>0</v>
      </c>
      <c r="D82" s="510">
        <f>IFERROR(C82/B82,0)</f>
        <v>0</v>
      </c>
      <c r="E82" s="509">
        <f>SUM(E79:E81)</f>
        <v>0</v>
      </c>
      <c r="F82" s="509">
        <f>SUM(F79:F81)</f>
        <v>0</v>
      </c>
      <c r="G82" s="510">
        <f>IFERROR(F82/E82,0)</f>
        <v>0</v>
      </c>
    </row>
    <row r="83" spans="1:7" ht="15.6">
      <c r="A83" s="500" t="s">
        <v>195</v>
      </c>
      <c r="B83" s="501"/>
      <c r="C83" s="501"/>
      <c r="D83" s="501"/>
      <c r="E83" s="501"/>
      <c r="F83" s="501"/>
      <c r="G83" s="501"/>
    </row>
    <row r="84" spans="1:7" ht="15.6">
      <c r="A84" s="695" t="s">
        <v>184</v>
      </c>
      <c r="B84" s="688" t="s">
        <v>144</v>
      </c>
      <c r="C84" s="689"/>
      <c r="D84" s="689"/>
      <c r="E84" s="690" t="s">
        <v>196</v>
      </c>
      <c r="F84" s="689"/>
      <c r="G84" s="689"/>
    </row>
    <row r="85" spans="1:7" ht="31.2">
      <c r="A85" s="696"/>
      <c r="B85" s="503" t="s">
        <v>50</v>
      </c>
      <c r="C85" s="503" t="s">
        <v>146</v>
      </c>
      <c r="D85" s="503" t="s">
        <v>193</v>
      </c>
      <c r="E85" s="503" t="s">
        <v>50</v>
      </c>
      <c r="F85" s="503" t="s">
        <v>146</v>
      </c>
      <c r="G85" s="503" t="s">
        <v>193</v>
      </c>
    </row>
    <row r="86" spans="1:7" ht="15.6">
      <c r="A86" s="512" t="s">
        <v>194</v>
      </c>
      <c r="B86" s="505"/>
      <c r="C86" s="505"/>
      <c r="D86" s="490">
        <f>IFERROR(C86/B86,0)</f>
        <v>0</v>
      </c>
      <c r="E86" s="505"/>
      <c r="F86" s="505"/>
      <c r="G86" s="490">
        <f>IFERROR(F86/E86,0)</f>
        <v>0</v>
      </c>
    </row>
    <row r="87" spans="1:7" ht="15.6">
      <c r="A87" s="513"/>
      <c r="B87" s="505"/>
      <c r="C87" s="505"/>
      <c r="D87" s="490">
        <f>IFERROR(C87/B87,0)</f>
        <v>0</v>
      </c>
      <c r="E87" s="505"/>
      <c r="F87" s="505"/>
      <c r="G87" s="490">
        <f>IFERROR(F87/E87,0)</f>
        <v>0</v>
      </c>
    </row>
    <row r="88" spans="1:7" ht="15.6">
      <c r="A88" s="514"/>
      <c r="B88" s="507"/>
      <c r="C88" s="507"/>
      <c r="D88" s="490">
        <f>IFERROR(C88/B88,0)</f>
        <v>0</v>
      </c>
      <c r="E88" s="507"/>
      <c r="F88" s="507"/>
      <c r="G88" s="490">
        <f>IFERROR(F88/E88,0)</f>
        <v>0</v>
      </c>
    </row>
    <row r="89" spans="1:7" ht="15.6">
      <c r="A89" s="515" t="s">
        <v>188</v>
      </c>
      <c r="B89" s="509">
        <f>SUM(B86:B88)</f>
        <v>0</v>
      </c>
      <c r="C89" s="509">
        <f>SUM(C86:C88)</f>
        <v>0</v>
      </c>
      <c r="D89" s="510">
        <f>IFERROR(C89/B89,0)</f>
        <v>0</v>
      </c>
      <c r="E89" s="509">
        <f>SUM(E86:E88)</f>
        <v>0</v>
      </c>
      <c r="F89" s="509">
        <f>SUM(F86:F88)</f>
        <v>0</v>
      </c>
      <c r="G89" s="510">
        <f>IFERROR(F89/E89,0)</f>
        <v>0</v>
      </c>
    </row>
    <row r="90" spans="1:7" ht="15.6">
      <c r="A90" s="516" t="s">
        <v>197</v>
      </c>
      <c r="B90" s="501"/>
      <c r="C90" s="501"/>
      <c r="D90" s="501"/>
      <c r="E90" s="501"/>
      <c r="F90" s="501"/>
      <c r="G90" s="501"/>
    </row>
    <row r="91" spans="1:7" ht="15.6">
      <c r="A91" s="517" t="s">
        <v>198</v>
      </c>
      <c r="B91" s="501"/>
      <c r="C91" s="501"/>
      <c r="D91" s="501"/>
      <c r="E91" s="501"/>
      <c r="F91" s="501"/>
      <c r="G91" s="501"/>
    </row>
    <row r="92" spans="1:7" ht="15.6">
      <c r="A92" s="518" t="s">
        <v>199</v>
      </c>
      <c r="B92" s="501"/>
      <c r="C92" s="501"/>
      <c r="D92" s="501"/>
      <c r="E92" s="501"/>
      <c r="F92" s="501"/>
      <c r="G92" s="501"/>
    </row>
    <row r="93" spans="1:7" ht="15.6">
      <c r="A93" s="519"/>
      <c r="B93" s="520" t="s">
        <v>200</v>
      </c>
      <c r="C93" s="501"/>
      <c r="D93" s="501"/>
      <c r="E93" s="501"/>
      <c r="F93" s="501"/>
      <c r="G93" s="501"/>
    </row>
    <row r="94" spans="1:7" ht="15.6">
      <c r="A94" s="504" t="s">
        <v>196</v>
      </c>
      <c r="B94" s="505"/>
      <c r="C94" s="501"/>
      <c r="D94" s="501"/>
      <c r="E94" s="501"/>
      <c r="F94" s="501"/>
      <c r="G94" s="501"/>
    </row>
    <row r="95" spans="1:7" ht="15.6">
      <c r="A95" s="521" t="s">
        <v>201</v>
      </c>
      <c r="B95" s="505"/>
      <c r="C95" s="501"/>
      <c r="D95" s="501"/>
      <c r="E95" s="501"/>
      <c r="F95" s="501"/>
      <c r="G95" s="501"/>
    </row>
    <row r="96" spans="1:7" ht="15.6">
      <c r="A96" s="521" t="s">
        <v>202</v>
      </c>
      <c r="B96" s="505"/>
      <c r="C96" s="501"/>
      <c r="D96" s="501"/>
      <c r="E96" s="501"/>
      <c r="F96" s="501"/>
      <c r="G96" s="501"/>
    </row>
    <row r="97" spans="1:7" ht="15.6">
      <c r="A97" s="521" t="s">
        <v>203</v>
      </c>
      <c r="B97" s="505"/>
      <c r="C97" s="501"/>
      <c r="D97" s="501"/>
      <c r="E97" s="501"/>
      <c r="F97" s="501"/>
      <c r="G97" s="501"/>
    </row>
    <row r="98" spans="1:7" ht="15.6">
      <c r="A98" s="513" t="s">
        <v>204</v>
      </c>
      <c r="B98" s="505"/>
      <c r="C98" s="501"/>
      <c r="D98" s="501"/>
      <c r="E98" s="501"/>
      <c r="F98" s="501"/>
      <c r="G98" s="501"/>
    </row>
    <row r="99" spans="1:7" ht="15.6">
      <c r="A99" s="513" t="s">
        <v>205</v>
      </c>
      <c r="B99" s="505"/>
      <c r="C99" s="501"/>
      <c r="D99" s="501"/>
      <c r="E99" s="501"/>
      <c r="F99" s="501"/>
      <c r="G99" s="501"/>
    </row>
    <row r="100" spans="1:7" ht="15.6">
      <c r="A100" s="506" t="s">
        <v>116</v>
      </c>
      <c r="B100" s="522">
        <f>B94+B95-B96-B97-B98-B99</f>
        <v>0</v>
      </c>
      <c r="C100" s="501"/>
      <c r="D100" s="501"/>
      <c r="E100" s="501"/>
      <c r="F100" s="501"/>
      <c r="G100" s="501"/>
    </row>
    <row r="101" spans="1:7" ht="15.6">
      <c r="A101" s="523" t="s">
        <v>206</v>
      </c>
      <c r="B101" s="501"/>
      <c r="C101" s="501"/>
      <c r="D101" s="501"/>
      <c r="E101" s="501"/>
      <c r="F101" s="501"/>
      <c r="G101" s="501"/>
    </row>
    <row r="102" spans="1:7" ht="31.2">
      <c r="A102" s="502" t="s">
        <v>207</v>
      </c>
      <c r="B102" s="502" t="s">
        <v>208</v>
      </c>
      <c r="C102" s="502" t="s">
        <v>209</v>
      </c>
      <c r="D102" s="502" t="s">
        <v>210</v>
      </c>
      <c r="E102" s="524" t="s">
        <v>211</v>
      </c>
      <c r="F102" s="501"/>
      <c r="G102" s="501"/>
    </row>
    <row r="103" spans="1:7" ht="15.6">
      <c r="A103" s="454"/>
      <c r="B103" s="504"/>
      <c r="C103" s="504"/>
      <c r="D103" s="504"/>
      <c r="E103" s="505"/>
      <c r="F103" s="501"/>
      <c r="G103" s="501"/>
    </row>
    <row r="104" spans="1:7" ht="15.6">
      <c r="A104" s="525" t="s">
        <v>212</v>
      </c>
      <c r="B104" s="504"/>
      <c r="C104" s="504"/>
      <c r="D104" s="504"/>
      <c r="E104" s="505"/>
      <c r="F104" s="501"/>
      <c r="G104" s="501"/>
    </row>
    <row r="105" spans="1:7" ht="15.6">
      <c r="A105" s="526"/>
      <c r="B105" s="506"/>
      <c r="C105" s="506"/>
      <c r="D105" s="506"/>
      <c r="E105" s="507"/>
      <c r="F105" s="501"/>
      <c r="G105" s="501"/>
    </row>
    <row r="106" spans="1:7" ht="15.6">
      <c r="A106" s="508" t="s">
        <v>188</v>
      </c>
      <c r="B106" s="506"/>
      <c r="C106" s="506"/>
      <c r="D106" s="506"/>
      <c r="E106" s="522">
        <f>SUM(E103:E105)</f>
        <v>0</v>
      </c>
      <c r="F106" s="501"/>
      <c r="G106" s="501"/>
    </row>
    <row r="107" spans="1:7" ht="15.6">
      <c r="A107" s="518" t="s">
        <v>213</v>
      </c>
      <c r="B107" s="501"/>
      <c r="C107" s="501"/>
      <c r="D107" s="501"/>
      <c r="E107" s="501"/>
      <c r="F107" s="501"/>
      <c r="G107" s="501"/>
    </row>
    <row r="108" spans="1:7" ht="15.6">
      <c r="A108" s="502" t="s">
        <v>214</v>
      </c>
      <c r="B108" s="524" t="s">
        <v>215</v>
      </c>
      <c r="C108" s="501"/>
      <c r="D108" s="501"/>
      <c r="E108" s="501"/>
      <c r="F108" s="501"/>
      <c r="G108" s="501"/>
    </row>
    <row r="109" spans="1:7" ht="15.6">
      <c r="A109" s="527" t="s">
        <v>216</v>
      </c>
      <c r="B109" s="507"/>
      <c r="C109" s="501"/>
      <c r="D109" s="501"/>
      <c r="E109" s="501"/>
      <c r="F109" s="501"/>
      <c r="G109" s="501"/>
    </row>
    <row r="110" spans="1:7" ht="15.6">
      <c r="A110" s="523" t="s">
        <v>217</v>
      </c>
      <c r="B110" s="501"/>
      <c r="C110" s="501"/>
      <c r="D110" s="501"/>
      <c r="E110" s="501"/>
      <c r="F110" s="501"/>
      <c r="G110" s="501"/>
    </row>
    <row r="111" spans="1:7" ht="31.2">
      <c r="A111" s="528" t="s">
        <v>207</v>
      </c>
      <c r="B111" s="528" t="s">
        <v>50</v>
      </c>
      <c r="C111" s="529" t="s">
        <v>215</v>
      </c>
      <c r="D111" s="529" t="s">
        <v>218</v>
      </c>
      <c r="E111" s="529" t="s">
        <v>219</v>
      </c>
      <c r="F111" s="529" t="s">
        <v>220</v>
      </c>
      <c r="G111" s="501"/>
    </row>
    <row r="112" spans="1:7" ht="15.6">
      <c r="A112" s="530"/>
      <c r="B112" s="530"/>
      <c r="C112" s="531"/>
      <c r="D112" s="532"/>
      <c r="E112" s="532"/>
      <c r="F112" s="532"/>
      <c r="G112" s="501"/>
    </row>
    <row r="113" spans="1:7" ht="15.6">
      <c r="A113" s="504"/>
      <c r="B113" s="504"/>
      <c r="C113" s="533"/>
      <c r="D113" s="505"/>
      <c r="E113" s="505"/>
      <c r="F113" s="505"/>
      <c r="G113" s="501"/>
    </row>
    <row r="114" spans="1:7" ht="15.6">
      <c r="A114" s="506"/>
      <c r="B114" s="506"/>
      <c r="C114" s="522"/>
      <c r="D114" s="507"/>
      <c r="E114" s="507"/>
      <c r="F114" s="507"/>
      <c r="G114" s="501"/>
    </row>
    <row r="115" spans="1:7" ht="15.6">
      <c r="A115" s="508" t="s">
        <v>188</v>
      </c>
      <c r="B115" s="534"/>
      <c r="C115" s="509">
        <f>SUM(C112:C114)</f>
        <v>0</v>
      </c>
      <c r="D115" s="511"/>
      <c r="E115" s="511"/>
      <c r="F115" s="511"/>
      <c r="G115" s="501"/>
    </row>
    <row r="116" spans="1:7" ht="15.6">
      <c r="A116" s="535" t="s">
        <v>151</v>
      </c>
      <c r="B116" s="501"/>
      <c r="C116" s="501"/>
      <c r="D116" s="501"/>
      <c r="E116" s="501"/>
      <c r="F116" s="501"/>
      <c r="G116" s="501"/>
    </row>
    <row r="117" spans="1:7" ht="15.6">
      <c r="A117" s="501"/>
      <c r="B117" s="501"/>
      <c r="C117" s="501"/>
      <c r="D117" s="501"/>
      <c r="E117" s="501"/>
      <c r="F117" s="501"/>
      <c r="G117" s="501"/>
    </row>
    <row r="118" spans="1:7" ht="15.6">
      <c r="A118" s="691" t="s">
        <v>221</v>
      </c>
      <c r="B118" s="691"/>
      <c r="C118" s="691"/>
      <c r="D118" s="691"/>
      <c r="E118" s="691"/>
      <c r="F118" s="691"/>
      <c r="G118" s="501"/>
    </row>
    <row r="119" spans="1:7" ht="15.6">
      <c r="A119" s="501"/>
      <c r="B119" s="501"/>
      <c r="C119" s="501"/>
      <c r="D119" s="501"/>
      <c r="E119" s="501"/>
      <c r="F119" s="501"/>
      <c r="G119" s="501"/>
    </row>
  </sheetData>
  <mergeCells count="20">
    <mergeCell ref="B84:D84"/>
    <mergeCell ref="E84:G84"/>
    <mergeCell ref="A118:F118"/>
    <mergeCell ref="A7:A8"/>
    <mergeCell ref="A38:A39"/>
    <mergeCell ref="A51:A52"/>
    <mergeCell ref="A64:A65"/>
    <mergeCell ref="A70:A71"/>
    <mergeCell ref="A77:A78"/>
    <mergeCell ref="A84:A85"/>
    <mergeCell ref="B51:F51"/>
    <mergeCell ref="B64:E64"/>
    <mergeCell ref="B70:E70"/>
    <mergeCell ref="B77:D77"/>
    <mergeCell ref="E77:G77"/>
    <mergeCell ref="A1:G1"/>
    <mergeCell ref="A2:G2"/>
    <mergeCell ref="B7:D7"/>
    <mergeCell ref="E7:G7"/>
    <mergeCell ref="B38:F38"/>
  </mergeCells>
  <phoneticPr fontId="123" type="noConversion"/>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89"/>
  <sheetViews>
    <sheetView view="pageBreakPreview" zoomScaleNormal="100" workbookViewId="0">
      <selection sqref="A1:H1"/>
    </sheetView>
  </sheetViews>
  <sheetFormatPr defaultColWidth="9" defaultRowHeight="13.8"/>
  <cols>
    <col min="1" max="1" width="30.19921875" style="231" customWidth="1"/>
    <col min="2" max="2" width="21.19921875" style="231" customWidth="1"/>
    <col min="3" max="3" width="20.8984375" style="231" customWidth="1"/>
    <col min="4" max="4" width="14.69921875" style="231" customWidth="1"/>
    <col min="5" max="5" width="13.5" style="231" customWidth="1"/>
    <col min="6" max="6" width="14.09765625" style="231" customWidth="1"/>
    <col min="7" max="7" width="14" style="231" customWidth="1"/>
    <col min="8" max="8" width="11.19921875" style="231" customWidth="1"/>
    <col min="9" max="9" width="14.19921875" style="231" customWidth="1"/>
    <col min="10" max="16384" width="9" style="231"/>
  </cols>
  <sheetData>
    <row r="1" spans="1:16" s="399" customFormat="1" ht="20.100000000000001" customHeight="1">
      <c r="A1" s="682" t="s">
        <v>139</v>
      </c>
      <c r="B1" s="682"/>
      <c r="C1" s="682"/>
      <c r="D1" s="682"/>
      <c r="E1" s="682"/>
      <c r="F1" s="682"/>
      <c r="G1" s="682"/>
      <c r="H1" s="682"/>
      <c r="I1" s="231"/>
      <c r="J1" s="456"/>
      <c r="K1" s="456"/>
      <c r="L1" s="456"/>
      <c r="M1" s="456"/>
      <c r="N1" s="456"/>
    </row>
    <row r="2" spans="1:16" s="400" customFormat="1" ht="24.9" customHeight="1">
      <c r="A2" s="709" t="s">
        <v>222</v>
      </c>
      <c r="B2" s="709"/>
      <c r="C2" s="709"/>
      <c r="D2" s="709"/>
      <c r="E2" s="709"/>
      <c r="F2" s="709"/>
      <c r="G2" s="709"/>
      <c r="H2" s="709"/>
      <c r="I2" s="231"/>
    </row>
    <row r="3" spans="1:16" ht="20.100000000000001" customHeight="1">
      <c r="A3" s="231" t="str">
        <f>底稿目录!A2</f>
        <v>被审计单位名称：</v>
      </c>
      <c r="C3" s="231" t="str">
        <f>底稿目录!A4</f>
        <v>编制人：</v>
      </c>
      <c r="E3" s="231" t="str">
        <f>底稿目录!A5</f>
        <v>编制日期：</v>
      </c>
      <c r="H3" s="402" t="s">
        <v>599</v>
      </c>
      <c r="J3" s="404"/>
      <c r="K3" s="404"/>
      <c r="L3" s="404"/>
      <c r="M3" s="404"/>
      <c r="N3" s="404"/>
      <c r="O3" s="404"/>
      <c r="P3" s="404"/>
    </row>
    <row r="4" spans="1:16" ht="20.100000000000001" customHeight="1">
      <c r="A4" s="231" t="str">
        <f>底稿目录!A3</f>
        <v>截止日：202X年12月31日</v>
      </c>
      <c r="C4" s="231" t="str">
        <f>底稿目录!A6</f>
        <v>复核人：</v>
      </c>
      <c r="E4" s="231" t="str">
        <f>底稿目录!A7</f>
        <v>复核日期：</v>
      </c>
      <c r="H4" s="402" t="s">
        <v>142</v>
      </c>
      <c r="J4" s="404"/>
      <c r="K4" s="404"/>
      <c r="L4" s="404"/>
      <c r="M4" s="404"/>
      <c r="N4" s="404"/>
      <c r="O4" s="404"/>
      <c r="P4" s="404"/>
    </row>
    <row r="5" spans="1:16" ht="20.100000000000001" customHeight="1">
      <c r="A5" s="403" t="s">
        <v>223</v>
      </c>
      <c r="D5" s="402"/>
      <c r="E5" s="404"/>
      <c r="F5" s="404"/>
      <c r="G5" s="404"/>
      <c r="H5" s="404"/>
      <c r="I5" s="404"/>
      <c r="J5" s="404"/>
      <c r="K5" s="404"/>
    </row>
    <row r="6" spans="1:16" ht="20.100000000000001" customHeight="1">
      <c r="A6" s="692" t="s">
        <v>143</v>
      </c>
      <c r="B6" s="685" t="s">
        <v>224</v>
      </c>
      <c r="C6" s="685"/>
      <c r="D6" s="685"/>
      <c r="E6" s="684" t="s">
        <v>115</v>
      </c>
      <c r="F6" s="685"/>
      <c r="G6" s="685"/>
    </row>
    <row r="7" spans="1:16" ht="20.100000000000001" customHeight="1">
      <c r="A7" s="693"/>
      <c r="B7" s="405" t="s">
        <v>144</v>
      </c>
      <c r="C7" s="405" t="s">
        <v>146</v>
      </c>
      <c r="D7" s="405" t="s">
        <v>147</v>
      </c>
      <c r="E7" s="405" t="s">
        <v>225</v>
      </c>
      <c r="F7" s="405" t="s">
        <v>146</v>
      </c>
      <c r="G7" s="405" t="s">
        <v>226</v>
      </c>
    </row>
    <row r="8" spans="1:16" ht="20.100000000000001" customHeight="1">
      <c r="A8" s="407" t="s">
        <v>126</v>
      </c>
      <c r="B8" s="408">
        <f>'审定表D1-1'!I8</f>
        <v>0</v>
      </c>
      <c r="C8" s="408">
        <f>'审定表D1-1'!I12</f>
        <v>0</v>
      </c>
      <c r="D8" s="408">
        <f>B8-C8</f>
        <v>0</v>
      </c>
      <c r="E8" s="408">
        <f>'审定表D1-1'!E8</f>
        <v>0</v>
      </c>
      <c r="F8" s="408">
        <f>'审定表D1-1'!E12</f>
        <v>0</v>
      </c>
      <c r="G8" s="408">
        <f>E8-F8</f>
        <v>0</v>
      </c>
    </row>
    <row r="9" spans="1:16" ht="20.100000000000001" customHeight="1">
      <c r="A9" s="409" t="s">
        <v>127</v>
      </c>
      <c r="B9" s="410">
        <f>'审定表D1-1'!I9</f>
        <v>0</v>
      </c>
      <c r="C9" s="411">
        <f>'审定表D1-1'!I13</f>
        <v>0</v>
      </c>
      <c r="D9" s="411">
        <f>B9-C9</f>
        <v>0</v>
      </c>
      <c r="E9" s="410">
        <f>'审定表D1-1'!E9</f>
        <v>0</v>
      </c>
      <c r="F9" s="411">
        <f>'审定表D1-1'!E13</f>
        <v>0</v>
      </c>
      <c r="G9" s="411">
        <f>E9-F9</f>
        <v>0</v>
      </c>
    </row>
    <row r="10" spans="1:16" ht="20.100000000000001" customHeight="1">
      <c r="A10" s="406" t="s">
        <v>150</v>
      </c>
      <c r="B10" s="412">
        <f t="shared" ref="B10:G10" si="0">SUM(B8:B9)</f>
        <v>0</v>
      </c>
      <c r="C10" s="412">
        <f t="shared" si="0"/>
        <v>0</v>
      </c>
      <c r="D10" s="412">
        <f t="shared" si="0"/>
        <v>0</v>
      </c>
      <c r="E10" s="412">
        <f t="shared" si="0"/>
        <v>0</v>
      </c>
      <c r="F10" s="412">
        <f t="shared" si="0"/>
        <v>0</v>
      </c>
      <c r="G10" s="412">
        <f t="shared" si="0"/>
        <v>0</v>
      </c>
    </row>
    <row r="11" spans="1:16" ht="20.100000000000001" customHeight="1">
      <c r="A11" s="413" t="s">
        <v>227</v>
      </c>
      <c r="B11" s="413"/>
      <c r="C11" s="413"/>
      <c r="D11" s="413"/>
      <c r="E11" s="413"/>
      <c r="F11" s="413"/>
      <c r="G11" s="413"/>
    </row>
    <row r="12" spans="1:16" ht="20.100000000000001" customHeight="1">
      <c r="A12" s="413" t="s">
        <v>228</v>
      </c>
      <c r="B12" s="413"/>
      <c r="C12" s="413"/>
      <c r="D12" s="413"/>
      <c r="E12" s="413"/>
      <c r="F12" s="413"/>
      <c r="G12" s="413"/>
    </row>
    <row r="13" spans="1:16" ht="20.100000000000001" customHeight="1">
      <c r="A13" s="703" t="s">
        <v>229</v>
      </c>
      <c r="B13" s="708" t="s">
        <v>116</v>
      </c>
      <c r="C13" s="689"/>
      <c r="D13" s="689"/>
      <c r="E13" s="689"/>
      <c r="F13" s="689"/>
      <c r="G13" s="413"/>
    </row>
    <row r="14" spans="1:16" ht="20.100000000000001" customHeight="1">
      <c r="A14" s="704"/>
      <c r="B14" s="706" t="s">
        <v>185</v>
      </c>
      <c r="C14" s="704"/>
      <c r="D14" s="706" t="s">
        <v>146</v>
      </c>
      <c r="E14" s="704"/>
      <c r="F14" s="414" t="s">
        <v>230</v>
      </c>
      <c r="G14" s="413"/>
    </row>
    <row r="15" spans="1:16" ht="20.100000000000001" customHeight="1">
      <c r="A15" s="696"/>
      <c r="B15" s="415" t="s">
        <v>231</v>
      </c>
      <c r="C15" s="415" t="s">
        <v>232</v>
      </c>
      <c r="D15" s="415" t="s">
        <v>231</v>
      </c>
      <c r="E15" s="415" t="s">
        <v>193</v>
      </c>
      <c r="F15" s="415" t="s">
        <v>233</v>
      </c>
      <c r="G15" s="413"/>
    </row>
    <row r="16" spans="1:16" ht="20.100000000000001" customHeight="1">
      <c r="A16" s="416" t="s">
        <v>178</v>
      </c>
      <c r="B16" s="417"/>
      <c r="C16" s="418">
        <f>IFERROR(B16/$B$15*100,0)</f>
        <v>0</v>
      </c>
      <c r="D16" s="417"/>
      <c r="E16" s="419">
        <f>IFERROR(D16/B16*100,0)</f>
        <v>0</v>
      </c>
      <c r="F16" s="417">
        <f>B16-D16</f>
        <v>0</v>
      </c>
      <c r="G16" s="413"/>
    </row>
    <row r="17" spans="1:7" ht="20.100000000000001" customHeight="1">
      <c r="A17" s="416" t="s">
        <v>180</v>
      </c>
      <c r="B17" s="417"/>
      <c r="C17" s="418">
        <f>IFERROR(B17/$B$15*100,0)</f>
        <v>0</v>
      </c>
      <c r="D17" s="417"/>
      <c r="E17" s="420">
        <f>IFERROR(D17/B17*100,0)</f>
        <v>0</v>
      </c>
      <c r="F17" s="417">
        <f>B17-D17</f>
        <v>0</v>
      </c>
      <c r="G17" s="413"/>
    </row>
    <row r="18" spans="1:7" ht="20.100000000000001" customHeight="1">
      <c r="A18" s="421" t="s">
        <v>188</v>
      </c>
      <c r="B18" s="422">
        <f>SUM(B16:B17)</f>
        <v>0</v>
      </c>
      <c r="C18" s="423">
        <f>IFERROR(B18/$B$57*100,0)</f>
        <v>0</v>
      </c>
      <c r="D18" s="422">
        <f>SUM(D16:D17)</f>
        <v>0</v>
      </c>
      <c r="E18" s="424">
        <f>IFERROR(D18/B18*100,0)</f>
        <v>0</v>
      </c>
      <c r="F18" s="422">
        <f>B18-D18</f>
        <v>0</v>
      </c>
      <c r="G18" s="413"/>
    </row>
    <row r="19" spans="1:7" ht="20.100000000000001" customHeight="1">
      <c r="A19" s="413" t="s">
        <v>234</v>
      </c>
      <c r="B19" s="413"/>
      <c r="C19" s="413"/>
      <c r="D19" s="413"/>
      <c r="E19" s="413"/>
      <c r="F19" s="413"/>
      <c r="G19" s="413"/>
    </row>
    <row r="20" spans="1:7" ht="20.100000000000001" customHeight="1">
      <c r="A20" s="703" t="s">
        <v>229</v>
      </c>
      <c r="B20" s="707" t="s">
        <v>115</v>
      </c>
      <c r="C20" s="689"/>
      <c r="D20" s="689"/>
      <c r="E20" s="689"/>
      <c r="F20" s="689"/>
      <c r="G20" s="413"/>
    </row>
    <row r="21" spans="1:7" ht="20.100000000000001" customHeight="1">
      <c r="A21" s="704"/>
      <c r="B21" s="706" t="s">
        <v>185</v>
      </c>
      <c r="C21" s="704"/>
      <c r="D21" s="706" t="s">
        <v>146</v>
      </c>
      <c r="E21" s="704"/>
      <c r="F21" s="414" t="s">
        <v>230</v>
      </c>
      <c r="G21" s="413"/>
    </row>
    <row r="22" spans="1:7" ht="20.100000000000001" customHeight="1">
      <c r="A22" s="696"/>
      <c r="B22" s="415" t="s">
        <v>231</v>
      </c>
      <c r="C22" s="415" t="s">
        <v>232</v>
      </c>
      <c r="D22" s="415" t="s">
        <v>231</v>
      </c>
      <c r="E22" s="415" t="s">
        <v>193</v>
      </c>
      <c r="F22" s="415" t="s">
        <v>233</v>
      </c>
      <c r="G22" s="413"/>
    </row>
    <row r="23" spans="1:7" ht="20.100000000000001" customHeight="1">
      <c r="A23" s="416" t="s">
        <v>178</v>
      </c>
      <c r="B23" s="417"/>
      <c r="C23" s="418">
        <f>IFERROR(B23/$B$22*100,0)</f>
        <v>0</v>
      </c>
      <c r="D23" s="417"/>
      <c r="E23" s="425">
        <f>IFERROR(D23/B23*100,0)</f>
        <v>0</v>
      </c>
      <c r="F23" s="417">
        <f>B23-D23</f>
        <v>0</v>
      </c>
      <c r="G23" s="413"/>
    </row>
    <row r="24" spans="1:7" ht="20.100000000000001" customHeight="1">
      <c r="A24" s="416" t="s">
        <v>180</v>
      </c>
      <c r="B24" s="417"/>
      <c r="C24" s="418">
        <f>IFERROR(B24/$B$22*100,0)</f>
        <v>0</v>
      </c>
      <c r="D24" s="417"/>
      <c r="E24" s="425">
        <f>IFERROR(D24/B24*100,0)</f>
        <v>0</v>
      </c>
      <c r="F24" s="417">
        <f>B24-D24</f>
        <v>0</v>
      </c>
      <c r="G24" s="413"/>
    </row>
    <row r="25" spans="1:7" ht="20.100000000000001" customHeight="1">
      <c r="A25" s="421" t="s">
        <v>188</v>
      </c>
      <c r="B25" s="422">
        <f>B23+B24</f>
        <v>0</v>
      </c>
      <c r="C25" s="423">
        <f>IFERROR(B25/$B$22*100,0)</f>
        <v>0</v>
      </c>
      <c r="D25" s="422">
        <f>SUM(D23:D24)</f>
        <v>0</v>
      </c>
      <c r="E25" s="426">
        <f>IFERROR(D25/B25*100,0)</f>
        <v>0</v>
      </c>
      <c r="F25" s="422">
        <f>B25-D25</f>
        <v>0</v>
      </c>
      <c r="G25" s="427"/>
    </row>
    <row r="26" spans="1:7" ht="20.100000000000001" customHeight="1">
      <c r="A26" s="413" t="s">
        <v>183</v>
      </c>
      <c r="B26" s="413"/>
      <c r="C26" s="413"/>
      <c r="D26" s="413"/>
      <c r="E26" s="413"/>
      <c r="F26" s="413"/>
      <c r="G26" s="413"/>
    </row>
    <row r="27" spans="1:7" ht="20.100000000000001" customHeight="1">
      <c r="A27" s="705" t="s">
        <v>235</v>
      </c>
      <c r="B27" s="708" t="s">
        <v>116</v>
      </c>
      <c r="C27" s="689"/>
      <c r="D27" s="689"/>
      <c r="E27" s="689"/>
      <c r="F27" s="413"/>
      <c r="G27" s="413"/>
    </row>
    <row r="28" spans="1:7" ht="20.100000000000001" customHeight="1">
      <c r="A28" s="704"/>
      <c r="B28" s="414" t="s">
        <v>185</v>
      </c>
      <c r="C28" s="414" t="s">
        <v>146</v>
      </c>
      <c r="D28" s="414" t="s">
        <v>186</v>
      </c>
      <c r="E28" s="414" t="s">
        <v>236</v>
      </c>
      <c r="F28" s="413"/>
      <c r="G28" s="413"/>
    </row>
    <row r="29" spans="1:7" ht="20.100000000000001" customHeight="1">
      <c r="A29" s="429"/>
      <c r="B29" s="430"/>
      <c r="C29" s="430"/>
      <c r="D29" s="431">
        <f>IFERROR(C29/B29*100,0)</f>
        <v>0</v>
      </c>
      <c r="E29" s="430"/>
      <c r="F29" s="413"/>
      <c r="G29" s="413"/>
    </row>
    <row r="30" spans="1:7" ht="20.100000000000001" customHeight="1">
      <c r="A30" s="416"/>
      <c r="B30" s="417"/>
      <c r="C30" s="417"/>
      <c r="D30" s="418">
        <f>IFERROR(C30/B30*100,0)</f>
        <v>0</v>
      </c>
      <c r="E30" s="417"/>
      <c r="F30" s="413"/>
      <c r="G30" s="413"/>
    </row>
    <row r="31" spans="1:7" ht="20.100000000000001" customHeight="1">
      <c r="A31" s="432"/>
      <c r="B31" s="433"/>
      <c r="C31" s="433"/>
      <c r="D31" s="434">
        <f>IFERROR(C31/B31*100,0)</f>
        <v>0</v>
      </c>
      <c r="E31" s="433"/>
      <c r="F31" s="413"/>
      <c r="G31" s="413"/>
    </row>
    <row r="32" spans="1:7" ht="20.100000000000001" customHeight="1">
      <c r="A32" s="435" t="s">
        <v>188</v>
      </c>
      <c r="B32" s="415">
        <f>SUM(B29:B31)</f>
        <v>0</v>
      </c>
      <c r="C32" s="415">
        <f>SUM(C29:C31)</f>
        <v>0</v>
      </c>
      <c r="D32" s="434">
        <f>IFERROR(C32/B32*100,0)</f>
        <v>0</v>
      </c>
      <c r="E32" s="415"/>
      <c r="F32" s="413"/>
      <c r="G32" s="413"/>
    </row>
    <row r="33" spans="1:7" ht="20.100000000000001" customHeight="1">
      <c r="A33" s="413" t="s">
        <v>237</v>
      </c>
      <c r="B33" s="413"/>
      <c r="C33" s="413"/>
      <c r="D33" s="413"/>
      <c r="E33" s="413"/>
      <c r="F33" s="413"/>
      <c r="G33" s="413"/>
    </row>
    <row r="34" spans="1:7" ht="20.100000000000001" customHeight="1">
      <c r="A34" s="703" t="s">
        <v>235</v>
      </c>
      <c r="B34" s="708" t="s">
        <v>116</v>
      </c>
      <c r="C34" s="689"/>
      <c r="D34" s="689"/>
      <c r="E34" s="413"/>
      <c r="F34" s="413"/>
      <c r="G34" s="413"/>
    </row>
    <row r="35" spans="1:7" ht="20.100000000000001" customHeight="1">
      <c r="A35" s="696"/>
      <c r="B35" s="415" t="s">
        <v>185</v>
      </c>
      <c r="C35" s="415" t="s">
        <v>146</v>
      </c>
      <c r="D35" s="415" t="s">
        <v>193</v>
      </c>
      <c r="E35" s="413"/>
      <c r="F35" s="413"/>
      <c r="G35" s="413"/>
    </row>
    <row r="36" spans="1:7" ht="20.100000000000001" customHeight="1">
      <c r="A36" s="432" t="s">
        <v>238</v>
      </c>
      <c r="B36" s="415">
        <f>SUM(B37:B38)</f>
        <v>0</v>
      </c>
      <c r="C36" s="415">
        <f>SUM(C37:C38)</f>
        <v>0</v>
      </c>
      <c r="D36" s="434">
        <f t="shared" ref="D36:D42" si="1">IFERROR(C36/B36*100,0)</f>
        <v>0</v>
      </c>
      <c r="E36" s="413"/>
      <c r="F36" s="413"/>
      <c r="G36" s="413"/>
    </row>
    <row r="37" spans="1:7" ht="20.100000000000001" customHeight="1">
      <c r="A37" s="436" t="s">
        <v>194</v>
      </c>
      <c r="B37" s="414"/>
      <c r="C37" s="414"/>
      <c r="D37" s="418">
        <f t="shared" si="1"/>
        <v>0</v>
      </c>
      <c r="E37" s="413"/>
      <c r="F37" s="413"/>
      <c r="G37" s="413"/>
    </row>
    <row r="38" spans="1:7" ht="20.100000000000001" customHeight="1">
      <c r="A38" s="436" t="s">
        <v>239</v>
      </c>
      <c r="B38" s="414"/>
      <c r="C38" s="414"/>
      <c r="D38" s="418">
        <f t="shared" si="1"/>
        <v>0</v>
      </c>
      <c r="E38" s="413"/>
      <c r="F38" s="413"/>
      <c r="G38" s="413"/>
    </row>
    <row r="39" spans="1:7" ht="20.100000000000001" customHeight="1">
      <c r="A39" s="429" t="s">
        <v>240</v>
      </c>
      <c r="B39" s="437">
        <f>SUM(B40:B41)</f>
        <v>0</v>
      </c>
      <c r="C39" s="437">
        <f>SUM(C40:C41)</f>
        <v>0</v>
      </c>
      <c r="D39" s="431">
        <f t="shared" si="1"/>
        <v>0</v>
      </c>
      <c r="E39" s="413"/>
      <c r="F39" s="413"/>
      <c r="G39" s="413"/>
    </row>
    <row r="40" spans="1:7" ht="20.100000000000001" customHeight="1">
      <c r="A40" s="436" t="s">
        <v>241</v>
      </c>
      <c r="B40" s="414"/>
      <c r="C40" s="414"/>
      <c r="D40" s="418">
        <f t="shared" si="1"/>
        <v>0</v>
      </c>
      <c r="E40" s="413"/>
      <c r="F40" s="413"/>
      <c r="G40" s="413"/>
    </row>
    <row r="41" spans="1:7" ht="20.100000000000001" customHeight="1">
      <c r="A41" s="438" t="s">
        <v>239</v>
      </c>
      <c r="B41" s="415"/>
      <c r="C41" s="415"/>
      <c r="D41" s="434">
        <f t="shared" si="1"/>
        <v>0</v>
      </c>
      <c r="E41" s="413"/>
      <c r="F41" s="413"/>
      <c r="G41" s="413"/>
    </row>
    <row r="42" spans="1:7" ht="20.100000000000001" customHeight="1">
      <c r="A42" s="439" t="s">
        <v>188</v>
      </c>
      <c r="B42" s="440">
        <f>B36+B39</f>
        <v>0</v>
      </c>
      <c r="C42" s="440">
        <f>C36+C39</f>
        <v>0</v>
      </c>
      <c r="D42" s="434">
        <f t="shared" si="1"/>
        <v>0</v>
      </c>
      <c r="E42" s="413"/>
      <c r="F42" s="413"/>
      <c r="G42" s="413"/>
    </row>
    <row r="43" spans="1:7" ht="20.100000000000001" customHeight="1">
      <c r="A43" s="413" t="s">
        <v>197</v>
      </c>
      <c r="B43" s="413"/>
      <c r="C43" s="413"/>
      <c r="D43" s="413"/>
      <c r="E43" s="413"/>
      <c r="F43" s="413"/>
      <c r="G43" s="413"/>
    </row>
    <row r="44" spans="1:7" ht="20.100000000000001" customHeight="1">
      <c r="A44" s="413" t="s">
        <v>198</v>
      </c>
      <c r="B44" s="413"/>
      <c r="C44" s="413"/>
      <c r="D44" s="413"/>
      <c r="E44" s="413"/>
      <c r="F44" s="413"/>
      <c r="G44" s="413"/>
    </row>
    <row r="45" spans="1:7" ht="20.100000000000001" customHeight="1">
      <c r="A45" s="413" t="s">
        <v>242</v>
      </c>
      <c r="B45" s="413"/>
      <c r="C45" s="413"/>
      <c r="D45" s="413"/>
      <c r="E45" s="413"/>
      <c r="F45" s="413"/>
      <c r="G45" s="413"/>
    </row>
    <row r="46" spans="1:7" ht="20.100000000000001" customHeight="1">
      <c r="A46" s="701" t="s">
        <v>229</v>
      </c>
      <c r="B46" s="702" t="s">
        <v>115</v>
      </c>
      <c r="C46" s="698" t="s">
        <v>243</v>
      </c>
      <c r="D46" s="689"/>
      <c r="E46" s="689"/>
      <c r="F46" s="441"/>
      <c r="G46" s="697" t="s">
        <v>116</v>
      </c>
    </row>
    <row r="47" spans="1:7" ht="20.100000000000001" customHeight="1">
      <c r="A47" s="696"/>
      <c r="B47" s="696"/>
      <c r="C47" s="442" t="s">
        <v>244</v>
      </c>
      <c r="D47" s="442" t="s">
        <v>245</v>
      </c>
      <c r="E47" s="443" t="s">
        <v>246</v>
      </c>
      <c r="F47" s="442" t="s">
        <v>247</v>
      </c>
      <c r="G47" s="696"/>
    </row>
    <row r="48" spans="1:7" ht="20.100000000000001" customHeight="1">
      <c r="A48" s="416" t="s">
        <v>248</v>
      </c>
      <c r="B48" s="417"/>
      <c r="C48" s="417"/>
      <c r="D48" s="417"/>
      <c r="E48" s="417"/>
      <c r="F48" s="417"/>
      <c r="G48" s="417">
        <f>B48+C48-D48-E48-F48</f>
        <v>0</v>
      </c>
    </row>
    <row r="49" spans="1:7" ht="20.100000000000001" customHeight="1">
      <c r="A49" s="416" t="s">
        <v>249</v>
      </c>
      <c r="B49" s="417">
        <f>SUM(B50:B51)</f>
        <v>0</v>
      </c>
      <c r="C49" s="417">
        <f>SUM(C50:C51)</f>
        <v>0</v>
      </c>
      <c r="D49" s="417">
        <f>SUM(D50:D51)</f>
        <v>0</v>
      </c>
      <c r="E49" s="417">
        <f>SUM(E50:E51)</f>
        <v>0</v>
      </c>
      <c r="F49" s="417">
        <f>SUM(F50:F51)</f>
        <v>0</v>
      </c>
      <c r="G49" s="417">
        <f>B49+C49-D49-E49-F49</f>
        <v>0</v>
      </c>
    </row>
    <row r="50" spans="1:7" ht="20.100000000000001" customHeight="1">
      <c r="A50" s="416" t="s">
        <v>250</v>
      </c>
      <c r="B50" s="417"/>
      <c r="C50" s="417"/>
      <c r="D50" s="417"/>
      <c r="E50" s="417"/>
      <c r="F50" s="417"/>
      <c r="G50" s="417">
        <f>B50+C50-D50-E50-F50</f>
        <v>0</v>
      </c>
    </row>
    <row r="51" spans="1:7" ht="20.100000000000001" customHeight="1">
      <c r="A51" s="432"/>
      <c r="B51" s="433"/>
      <c r="C51" s="433"/>
      <c r="D51" s="433"/>
      <c r="E51" s="433"/>
      <c r="F51" s="433"/>
      <c r="G51" s="433">
        <f>B51+C51-D51-E51-F51</f>
        <v>0</v>
      </c>
    </row>
    <row r="52" spans="1:7" ht="20.100000000000001" customHeight="1">
      <c r="A52" s="439" t="s">
        <v>188</v>
      </c>
      <c r="B52" s="415">
        <f>B48+B49</f>
        <v>0</v>
      </c>
      <c r="C52" s="415">
        <f>C48+C49</f>
        <v>0</v>
      </c>
      <c r="D52" s="415">
        <f>D48+D49</f>
        <v>0</v>
      </c>
      <c r="E52" s="415">
        <f>E48+E49</f>
        <v>0</v>
      </c>
      <c r="F52" s="415">
        <f>F48+F49</f>
        <v>0</v>
      </c>
      <c r="G52" s="433">
        <f>B52+C52-D52-E52-F52</f>
        <v>0</v>
      </c>
    </row>
    <row r="53" spans="1:7" ht="20.100000000000001" customHeight="1">
      <c r="A53" s="413" t="s">
        <v>251</v>
      </c>
      <c r="B53" s="413"/>
      <c r="C53" s="413"/>
      <c r="D53" s="413"/>
      <c r="E53" s="413"/>
      <c r="F53" s="413"/>
      <c r="G53" s="413"/>
    </row>
    <row r="54" spans="1:7" ht="20.100000000000001" customHeight="1">
      <c r="A54" s="428" t="s">
        <v>252</v>
      </c>
      <c r="B54" s="437" t="s">
        <v>211</v>
      </c>
      <c r="C54" s="437" t="s">
        <v>253</v>
      </c>
      <c r="D54" s="437" t="s">
        <v>254</v>
      </c>
      <c r="E54" s="413"/>
      <c r="F54" s="413"/>
      <c r="G54" s="413"/>
    </row>
    <row r="55" spans="1:7" ht="20.100000000000001" customHeight="1">
      <c r="A55" s="429"/>
      <c r="B55" s="430"/>
      <c r="C55" s="430"/>
      <c r="D55" s="430"/>
      <c r="E55" s="413"/>
      <c r="F55" s="413"/>
      <c r="G55" s="413"/>
    </row>
    <row r="56" spans="1:7" ht="20.100000000000001" customHeight="1">
      <c r="A56" s="416"/>
      <c r="B56" s="417"/>
      <c r="C56" s="417"/>
      <c r="D56" s="417"/>
      <c r="E56" s="413"/>
      <c r="F56" s="413"/>
      <c r="G56" s="413"/>
    </row>
    <row r="57" spans="1:7" ht="20.100000000000001" customHeight="1">
      <c r="A57" s="416"/>
      <c r="B57" s="417"/>
      <c r="C57" s="417"/>
      <c r="D57" s="417"/>
      <c r="E57" s="413"/>
      <c r="F57" s="413"/>
      <c r="G57" s="413"/>
    </row>
    <row r="58" spans="1:7" ht="20.100000000000001" customHeight="1">
      <c r="A58" s="432"/>
      <c r="B58" s="433"/>
      <c r="C58" s="433"/>
      <c r="D58" s="433"/>
      <c r="E58" s="413"/>
      <c r="F58" s="413"/>
      <c r="G58" s="413"/>
    </row>
    <row r="59" spans="1:7" ht="20.100000000000001" customHeight="1">
      <c r="A59" s="435" t="s">
        <v>188</v>
      </c>
      <c r="B59" s="415">
        <f>SUM(B55:B58)</f>
        <v>0</v>
      </c>
      <c r="C59" s="415">
        <f>SUM(C55:C58)</f>
        <v>0</v>
      </c>
      <c r="D59" s="415"/>
      <c r="E59" s="413"/>
      <c r="F59" s="413"/>
      <c r="G59" s="413"/>
    </row>
    <row r="60" spans="1:7" s="401" customFormat="1" ht="20.100000000000001" customHeight="1">
      <c r="A60" s="444" t="s">
        <v>255</v>
      </c>
      <c r="B60" s="445"/>
      <c r="C60" s="445"/>
      <c r="D60" s="446"/>
    </row>
    <row r="61" spans="1:7" ht="20.100000000000001" customHeight="1">
      <c r="A61" s="406" t="s">
        <v>154</v>
      </c>
      <c r="B61" s="406" t="s">
        <v>155</v>
      </c>
      <c r="C61" s="447"/>
      <c r="D61" s="448"/>
    </row>
    <row r="62" spans="1:7" s="401" customFormat="1" ht="20.100000000000001" customHeight="1">
      <c r="A62" s="449" t="s">
        <v>156</v>
      </c>
      <c r="B62" s="450"/>
      <c r="C62" s="446"/>
      <c r="D62" s="451"/>
    </row>
    <row r="63" spans="1:7" s="401" customFormat="1" ht="20.100000000000001" customHeight="1">
      <c r="A63" s="452" t="s">
        <v>157</v>
      </c>
      <c r="B63" s="453"/>
      <c r="C63" s="446"/>
      <c r="D63" s="451"/>
    </row>
    <row r="64" spans="1:7" s="401" customFormat="1" ht="20.100000000000001" customHeight="1">
      <c r="A64" s="454" t="s">
        <v>158</v>
      </c>
      <c r="B64" s="455"/>
      <c r="C64" s="446"/>
      <c r="D64" s="446"/>
    </row>
    <row r="65" spans="1:6" s="401" customFormat="1" ht="20.100000000000001" customHeight="1">
      <c r="A65" s="457" t="s">
        <v>159</v>
      </c>
      <c r="B65" s="458">
        <f>SUM(B62:B64)</f>
        <v>0</v>
      </c>
      <c r="C65" s="446"/>
      <c r="D65" s="446"/>
    </row>
    <row r="66" spans="1:6" s="401" customFormat="1" ht="20.100000000000001" customHeight="1">
      <c r="A66" s="459" t="s">
        <v>256</v>
      </c>
      <c r="B66" s="460"/>
      <c r="C66" s="460"/>
      <c r="D66" s="461"/>
    </row>
    <row r="67" spans="1:6" ht="19.5" customHeight="1">
      <c r="A67" s="406" t="s">
        <v>154</v>
      </c>
      <c r="B67" s="406" t="s">
        <v>161</v>
      </c>
      <c r="C67" s="406" t="s">
        <v>162</v>
      </c>
      <c r="D67" s="448"/>
    </row>
    <row r="68" spans="1:6" ht="20.100000000000001" customHeight="1">
      <c r="A68" s="462" t="s">
        <v>156</v>
      </c>
      <c r="B68" s="463"/>
      <c r="C68" s="463"/>
      <c r="D68" s="448"/>
    </row>
    <row r="69" spans="1:6" ht="20.100000000000001" customHeight="1">
      <c r="A69" s="448" t="s">
        <v>157</v>
      </c>
      <c r="B69" s="464"/>
      <c r="C69" s="464"/>
      <c r="D69" s="448"/>
    </row>
    <row r="70" spans="1:6" ht="20.100000000000001" customHeight="1">
      <c r="A70" s="448" t="s">
        <v>158</v>
      </c>
      <c r="B70" s="464"/>
      <c r="C70" s="464"/>
      <c r="D70" s="448"/>
    </row>
    <row r="71" spans="1:6" s="401" customFormat="1" ht="20.100000000000001" customHeight="1">
      <c r="A71" s="457" t="s">
        <v>159</v>
      </c>
      <c r="B71" s="458">
        <f>SUM(B68:B70)</f>
        <v>0</v>
      </c>
      <c r="C71" s="458">
        <f>SUM(C68:C70)</f>
        <v>0</v>
      </c>
      <c r="D71" s="446"/>
    </row>
    <row r="72" spans="1:6" s="401" customFormat="1" ht="20.100000000000001" customHeight="1">
      <c r="A72" s="465" t="s">
        <v>257</v>
      </c>
      <c r="B72" s="465"/>
      <c r="C72" s="465"/>
      <c r="D72" s="465"/>
    </row>
    <row r="73" spans="1:6" s="401" customFormat="1" ht="20.100000000000001" customHeight="1">
      <c r="A73" s="465" t="s">
        <v>258</v>
      </c>
      <c r="B73" s="465"/>
      <c r="C73" s="465"/>
      <c r="D73" s="465"/>
    </row>
    <row r="74" spans="1:6" s="401" customFormat="1" ht="20.100000000000001" customHeight="1">
      <c r="A74" s="459" t="s">
        <v>259</v>
      </c>
      <c r="B74" s="460"/>
      <c r="C74" s="460"/>
      <c r="D74" s="446"/>
    </row>
    <row r="75" spans="1:6" ht="20.100000000000001" customHeight="1">
      <c r="A75" s="406" t="s">
        <v>154</v>
      </c>
      <c r="B75" s="406" t="s">
        <v>169</v>
      </c>
      <c r="C75" s="448"/>
    </row>
    <row r="76" spans="1:6" ht="20.100000000000001" customHeight="1">
      <c r="A76" s="462" t="s">
        <v>157</v>
      </c>
      <c r="B76" s="408"/>
      <c r="C76" s="448"/>
    </row>
    <row r="77" spans="1:6" ht="20.100000000000001" customHeight="1">
      <c r="A77" s="448"/>
      <c r="B77" s="410"/>
      <c r="C77" s="448"/>
    </row>
    <row r="78" spans="1:6" ht="20.100000000000001" customHeight="1">
      <c r="A78" s="448"/>
      <c r="B78" s="410"/>
      <c r="C78" s="448"/>
    </row>
    <row r="79" spans="1:6" s="401" customFormat="1" ht="20.100000000000001" customHeight="1">
      <c r="A79" s="457" t="s">
        <v>170</v>
      </c>
      <c r="B79" s="458">
        <f>SUM(B76:B78)</f>
        <v>0</v>
      </c>
      <c r="C79" s="446"/>
    </row>
    <row r="80" spans="1:6" ht="15.6">
      <c r="A80" s="466" t="s">
        <v>260</v>
      </c>
      <c r="B80" s="448"/>
      <c r="C80" s="448"/>
      <c r="D80" s="448"/>
      <c r="E80" s="448"/>
      <c r="F80" s="448"/>
    </row>
    <row r="81" spans="1:6" ht="15.6">
      <c r="A81" s="467" t="s">
        <v>261</v>
      </c>
      <c r="B81" s="467" t="s">
        <v>262</v>
      </c>
      <c r="C81" s="448"/>
      <c r="D81" s="448"/>
      <c r="E81" s="448"/>
      <c r="F81" s="448"/>
    </row>
    <row r="82" spans="1:6" ht="15.6">
      <c r="A82" s="468" t="s">
        <v>216</v>
      </c>
      <c r="B82" s="469">
        <v>0</v>
      </c>
      <c r="C82" s="448"/>
      <c r="D82" s="448"/>
      <c r="E82" s="448"/>
      <c r="F82" s="448"/>
    </row>
    <row r="83" spans="1:6" ht="15.6">
      <c r="A83" s="466" t="s">
        <v>263</v>
      </c>
      <c r="B83" s="448"/>
      <c r="C83" s="448"/>
      <c r="D83" s="448"/>
      <c r="E83" s="448"/>
      <c r="F83" s="448"/>
    </row>
    <row r="84" spans="1:6" ht="31.2">
      <c r="A84" s="470" t="s">
        <v>264</v>
      </c>
      <c r="B84" s="471" t="s">
        <v>265</v>
      </c>
      <c r="C84" s="470" t="s">
        <v>262</v>
      </c>
      <c r="D84" s="470" t="s">
        <v>266</v>
      </c>
      <c r="E84" s="470" t="s">
        <v>267</v>
      </c>
      <c r="F84" s="470" t="s">
        <v>268</v>
      </c>
    </row>
    <row r="85" spans="1:6" ht="15.6">
      <c r="A85" s="472"/>
      <c r="B85" s="473"/>
      <c r="C85" s="474"/>
      <c r="D85" s="473"/>
      <c r="E85" s="473"/>
      <c r="F85" s="473"/>
    </row>
    <row r="86" spans="1:6" ht="15.6">
      <c r="A86" s="472"/>
      <c r="B86" s="473"/>
      <c r="C86" s="474"/>
      <c r="D86" s="473"/>
      <c r="E86" s="473"/>
      <c r="F86" s="473"/>
    </row>
    <row r="87" spans="1:6" ht="15.6">
      <c r="A87" s="475"/>
      <c r="B87" s="476"/>
      <c r="C87" s="477"/>
      <c r="D87" s="476"/>
      <c r="E87" s="476"/>
      <c r="F87" s="476"/>
    </row>
    <row r="88" spans="1:6" ht="15.6">
      <c r="A88" s="406" t="s">
        <v>181</v>
      </c>
      <c r="B88" s="478"/>
      <c r="C88" s="479">
        <f>SUM(C85:C87)</f>
        <v>0</v>
      </c>
      <c r="D88" s="478"/>
      <c r="E88" s="478"/>
      <c r="F88" s="478"/>
    </row>
    <row r="89" spans="1:6" ht="15.6">
      <c r="A89" s="699"/>
      <c r="B89" s="700"/>
      <c r="C89" s="700"/>
      <c r="D89" s="700"/>
      <c r="E89" s="700"/>
      <c r="F89" s="700"/>
    </row>
  </sheetData>
  <mergeCells count="22">
    <mergeCell ref="A2:H2"/>
    <mergeCell ref="A1:H1"/>
    <mergeCell ref="B6:D6"/>
    <mergeCell ref="E6:G6"/>
    <mergeCell ref="B13:F13"/>
    <mergeCell ref="A6:A7"/>
    <mergeCell ref="A13:A15"/>
    <mergeCell ref="A20:A22"/>
    <mergeCell ref="A27:A28"/>
    <mergeCell ref="A34:A35"/>
    <mergeCell ref="B14:C14"/>
    <mergeCell ref="D14:E14"/>
    <mergeCell ref="B20:F20"/>
    <mergeCell ref="B21:C21"/>
    <mergeCell ref="D21:E21"/>
    <mergeCell ref="B27:E27"/>
    <mergeCell ref="B34:D34"/>
    <mergeCell ref="G46:G47"/>
    <mergeCell ref="C46:E46"/>
    <mergeCell ref="A89:F89"/>
    <mergeCell ref="A46:A47"/>
    <mergeCell ref="B46:B47"/>
  </mergeCells>
  <phoneticPr fontId="123" type="noConversion"/>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36"/>
  <sheetViews>
    <sheetView view="pageBreakPreview" zoomScaleNormal="100" workbookViewId="0">
      <selection sqref="A1:K1"/>
    </sheetView>
  </sheetViews>
  <sheetFormatPr defaultColWidth="9" defaultRowHeight="20.100000000000001" customHeight="1"/>
  <cols>
    <col min="1" max="1" width="15.59765625" style="43" customWidth="1"/>
    <col min="2" max="2" width="14" style="43" customWidth="1"/>
    <col min="3" max="3" width="14.19921875" style="43" customWidth="1"/>
    <col min="4" max="4" width="14" style="43" customWidth="1"/>
    <col min="5" max="5" width="15.59765625" style="43" customWidth="1"/>
    <col min="6" max="6" width="14.19921875" style="43" customWidth="1"/>
    <col min="7" max="7" width="13.8984375" style="43" customWidth="1"/>
    <col min="8" max="8" width="13.59765625" style="43" customWidth="1"/>
    <col min="9" max="9" width="14.19921875" style="43" customWidth="1"/>
    <col min="10" max="10" width="12.09765625" style="43" customWidth="1"/>
    <col min="11" max="11" width="13.3984375" style="43" customWidth="1"/>
    <col min="12" max="16384" width="9" style="43"/>
  </cols>
  <sheetData>
    <row r="1" spans="1:11" s="178" customFormat="1" ht="20.100000000000001" customHeight="1">
      <c r="A1" s="710" t="s">
        <v>45</v>
      </c>
      <c r="B1" s="710"/>
      <c r="C1" s="710"/>
      <c r="D1" s="710"/>
      <c r="E1" s="710"/>
      <c r="F1" s="710"/>
      <c r="G1" s="710"/>
      <c r="H1" s="710"/>
      <c r="I1" s="710"/>
      <c r="J1" s="710"/>
      <c r="K1" s="710"/>
    </row>
    <row r="2" spans="1:11" s="178" customFormat="1" ht="20.100000000000001" customHeight="1">
      <c r="A2" s="711" t="s">
        <v>269</v>
      </c>
      <c r="B2" s="711"/>
      <c r="C2" s="711"/>
      <c r="D2" s="711"/>
      <c r="E2" s="711"/>
      <c r="F2" s="711"/>
      <c r="G2" s="711"/>
      <c r="H2" s="711"/>
      <c r="I2" s="711"/>
      <c r="J2" s="711"/>
      <c r="K2" s="711"/>
    </row>
    <row r="3" spans="1:11" ht="20.100000000000001" customHeight="1">
      <c r="A3" s="43" t="str">
        <f>底稿目录!A2</f>
        <v>被审计单位名称：</v>
      </c>
      <c r="D3" s="43" t="str">
        <f>底稿目录!A4</f>
        <v>编制人：</v>
      </c>
      <c r="G3" s="43" t="str">
        <f>底稿目录!A5</f>
        <v>编制日期：</v>
      </c>
      <c r="I3" s="230"/>
      <c r="J3" s="195" t="s">
        <v>47</v>
      </c>
      <c r="K3" s="621" t="s">
        <v>16</v>
      </c>
    </row>
    <row r="4" spans="1:11" ht="20.100000000000001" customHeight="1">
      <c r="A4" s="43" t="str">
        <f>底稿目录!A3</f>
        <v>截止日：202X年12月31日</v>
      </c>
      <c r="D4" s="43" t="str">
        <f>底稿目录!A6</f>
        <v>复核人：</v>
      </c>
      <c r="G4" s="43" t="str">
        <f>底稿目录!A7</f>
        <v>复核日期：</v>
      </c>
      <c r="I4" s="230"/>
      <c r="J4" s="195" t="s">
        <v>48</v>
      </c>
    </row>
    <row r="5" spans="1:11" ht="20.100000000000001" customHeight="1">
      <c r="A5" s="179" t="s">
        <v>270</v>
      </c>
      <c r="B5" s="387"/>
      <c r="C5" s="387"/>
      <c r="D5" s="387"/>
      <c r="E5" s="388"/>
      <c r="F5" s="387"/>
      <c r="I5" s="230"/>
    </row>
    <row r="6" spans="1:11" ht="20.100000000000001" customHeight="1">
      <c r="A6" s="182" t="s">
        <v>271</v>
      </c>
      <c r="B6" s="387"/>
      <c r="C6" s="387"/>
      <c r="D6" s="387"/>
      <c r="E6" s="388"/>
      <c r="F6" s="387"/>
      <c r="I6" s="230"/>
    </row>
    <row r="7" spans="1:11" ht="20.100000000000001" customHeight="1">
      <c r="A7" s="179" t="s">
        <v>272</v>
      </c>
      <c r="C7" s="236"/>
      <c r="D7" s="236"/>
      <c r="E7" s="388"/>
      <c r="F7" s="236"/>
      <c r="G7" s="230"/>
      <c r="I7" s="230"/>
    </row>
    <row r="8" spans="1:11" ht="20.100000000000001" customHeight="1">
      <c r="A8" s="181" t="s">
        <v>273</v>
      </c>
      <c r="B8" s="236"/>
      <c r="C8" s="236"/>
      <c r="D8" s="236"/>
      <c r="E8" s="236"/>
      <c r="F8" s="236"/>
      <c r="G8" s="230"/>
      <c r="I8" s="230"/>
    </row>
    <row r="9" spans="1:11" ht="20.100000000000001" customHeight="1">
      <c r="A9" s="182"/>
      <c r="B9" s="389"/>
      <c r="C9" s="389"/>
      <c r="D9" s="389"/>
      <c r="E9" s="389"/>
      <c r="F9" s="389"/>
      <c r="G9" s="389"/>
      <c r="H9" s="389"/>
      <c r="I9" s="389"/>
      <c r="J9" s="389"/>
      <c r="K9" s="389"/>
    </row>
    <row r="10" spans="1:11" ht="20.100000000000001" customHeight="1">
      <c r="A10" s="398" t="s">
        <v>143</v>
      </c>
      <c r="B10" s="398" t="s">
        <v>274</v>
      </c>
      <c r="C10" s="398" t="s">
        <v>120</v>
      </c>
      <c r="D10" s="398" t="s">
        <v>121</v>
      </c>
      <c r="E10" s="398" t="s">
        <v>275</v>
      </c>
      <c r="F10" s="398" t="s">
        <v>276</v>
      </c>
      <c r="G10" s="398" t="s">
        <v>277</v>
      </c>
      <c r="H10" s="398" t="s">
        <v>278</v>
      </c>
      <c r="I10" s="398" t="s">
        <v>120</v>
      </c>
      <c r="J10" s="398" t="s">
        <v>121</v>
      </c>
      <c r="K10" s="398" t="s">
        <v>279</v>
      </c>
    </row>
    <row r="11" spans="1:11" ht="20.100000000000001" customHeight="1">
      <c r="A11" s="278" t="s">
        <v>126</v>
      </c>
      <c r="B11" s="97"/>
      <c r="C11" s="97"/>
      <c r="D11" s="97"/>
      <c r="E11" s="285">
        <f>B11+C11+D11</f>
        <v>0</v>
      </c>
      <c r="F11" s="97"/>
      <c r="G11" s="97"/>
      <c r="H11" s="285">
        <f>B11+F11-G11</f>
        <v>0</v>
      </c>
      <c r="I11" s="97"/>
      <c r="J11" s="97"/>
      <c r="K11" s="285">
        <f>H11+I11+J11</f>
        <v>0</v>
      </c>
    </row>
    <row r="12" spans="1:11" ht="20.100000000000001" customHeight="1">
      <c r="A12" s="278" t="s">
        <v>595</v>
      </c>
      <c r="B12" s="97"/>
      <c r="C12" s="97"/>
      <c r="D12" s="97"/>
      <c r="E12" s="285">
        <f t="shared" ref="E12:E13" si="0">B12+C12+D12</f>
        <v>0</v>
      </c>
      <c r="F12" s="97"/>
      <c r="G12" s="97"/>
      <c r="H12" s="285">
        <f t="shared" ref="H12:H13" si="1">B12+F12-G12</f>
        <v>0</v>
      </c>
      <c r="I12" s="97"/>
      <c r="J12" s="97"/>
      <c r="K12" s="285">
        <f t="shared" ref="K12:K13" si="2">H12+I12+J12</f>
        <v>0</v>
      </c>
    </row>
    <row r="13" spans="1:11" ht="20.100000000000001" customHeight="1">
      <c r="A13" s="278" t="s">
        <v>127</v>
      </c>
      <c r="B13" s="97"/>
      <c r="C13" s="97"/>
      <c r="D13" s="97"/>
      <c r="E13" s="285">
        <f t="shared" si="0"/>
        <v>0</v>
      </c>
      <c r="F13" s="97"/>
      <c r="G13" s="97"/>
      <c r="H13" s="285">
        <f t="shared" si="1"/>
        <v>0</v>
      </c>
      <c r="I13" s="97"/>
      <c r="J13" s="97"/>
      <c r="K13" s="285">
        <f t="shared" si="2"/>
        <v>0</v>
      </c>
    </row>
    <row r="14" spans="1:11" ht="20.100000000000001" customHeight="1">
      <c r="A14" s="391" t="s">
        <v>131</v>
      </c>
      <c r="B14" s="392">
        <f t="shared" ref="B14:K14" si="3">SUM(B11:B13)</f>
        <v>0</v>
      </c>
      <c r="C14" s="392">
        <f t="shared" si="3"/>
        <v>0</v>
      </c>
      <c r="D14" s="392">
        <f t="shared" si="3"/>
        <v>0</v>
      </c>
      <c r="E14" s="392">
        <f t="shared" si="3"/>
        <v>0</v>
      </c>
      <c r="F14" s="392">
        <f t="shared" si="3"/>
        <v>0</v>
      </c>
      <c r="G14" s="392">
        <f t="shared" si="3"/>
        <v>0</v>
      </c>
      <c r="H14" s="392">
        <f t="shared" si="3"/>
        <v>0</v>
      </c>
      <c r="I14" s="392">
        <f t="shared" si="3"/>
        <v>0</v>
      </c>
      <c r="J14" s="392">
        <f t="shared" si="3"/>
        <v>0</v>
      </c>
      <c r="K14" s="392">
        <f t="shared" si="3"/>
        <v>0</v>
      </c>
    </row>
    <row r="15" spans="1:11" ht="20.100000000000001" customHeight="1">
      <c r="A15" s="41" t="s">
        <v>280</v>
      </c>
      <c r="B15" s="41"/>
      <c r="C15" s="41"/>
      <c r="D15" s="41"/>
      <c r="E15" s="41"/>
    </row>
    <row r="16" spans="1:11" ht="20.100000000000001" customHeight="1">
      <c r="A16" s="41"/>
      <c r="B16" s="41"/>
      <c r="C16" s="41"/>
      <c r="D16" s="41"/>
      <c r="E16" s="41"/>
    </row>
    <row r="17" spans="1:5" ht="20.100000000000001" customHeight="1">
      <c r="A17" s="41"/>
      <c r="B17" s="41"/>
      <c r="C17" s="41"/>
      <c r="D17" s="41"/>
      <c r="E17" s="41"/>
    </row>
    <row r="18" spans="1:5" ht="20.100000000000001" customHeight="1">
      <c r="A18" s="41"/>
      <c r="B18" s="41"/>
      <c r="C18" s="41"/>
      <c r="D18" s="41"/>
      <c r="E18" s="41"/>
    </row>
    <row r="19" spans="1:5" ht="20.100000000000001" customHeight="1">
      <c r="A19" s="41" t="s">
        <v>281</v>
      </c>
      <c r="B19" s="41"/>
      <c r="C19" s="41"/>
      <c r="D19" s="41"/>
      <c r="E19" s="41"/>
    </row>
    <row r="20" spans="1:5" ht="20.100000000000001" customHeight="1">
      <c r="A20" s="41"/>
      <c r="B20" s="41"/>
      <c r="C20" s="41"/>
      <c r="D20" s="41"/>
      <c r="E20" s="41"/>
    </row>
    <row r="22" spans="1:5" ht="20.100000000000001" customHeight="1">
      <c r="A22" s="393"/>
      <c r="B22" s="393"/>
      <c r="C22" s="393"/>
      <c r="D22" s="393"/>
      <c r="E22" s="393"/>
    </row>
    <row r="23" spans="1:5" ht="20.100000000000001" customHeight="1">
      <c r="E23" s="394"/>
    </row>
    <row r="24" spans="1:5" ht="20.100000000000001" customHeight="1">
      <c r="E24" s="385"/>
    </row>
    <row r="25" spans="1:5" ht="20.100000000000001" customHeight="1">
      <c r="E25" s="385"/>
    </row>
    <row r="26" spans="1:5" ht="20.100000000000001" customHeight="1">
      <c r="E26" s="385"/>
    </row>
    <row r="27" spans="1:5" ht="20.100000000000001" customHeight="1">
      <c r="E27" s="385"/>
    </row>
    <row r="28" spans="1:5" ht="20.100000000000001" customHeight="1">
      <c r="A28" s="393"/>
      <c r="B28" s="393"/>
      <c r="C28" s="393"/>
      <c r="D28" s="393"/>
      <c r="E28" s="393"/>
    </row>
    <row r="29" spans="1:5" s="385" customFormat="1" ht="20.100000000000001" customHeight="1"/>
    <row r="30" spans="1:5" s="386" customFormat="1" ht="20.100000000000001" customHeight="1"/>
    <row r="31" spans="1:5" s="386" customFormat="1" ht="20.100000000000001" customHeight="1">
      <c r="A31" s="395"/>
      <c r="B31" s="395"/>
      <c r="C31" s="395"/>
      <c r="D31" s="395"/>
      <c r="E31" s="395"/>
    </row>
    <row r="32" spans="1:5" s="386" customFormat="1" ht="20.100000000000001" customHeight="1">
      <c r="A32" s="396"/>
      <c r="B32" s="396"/>
      <c r="C32" s="396"/>
      <c r="D32" s="396"/>
      <c r="E32" s="396"/>
    </row>
    <row r="33" spans="1:5" s="386" customFormat="1" ht="20.100000000000001" customHeight="1">
      <c r="A33" s="396"/>
      <c r="B33" s="396"/>
      <c r="C33" s="396"/>
      <c r="D33" s="396"/>
      <c r="E33" s="396"/>
    </row>
    <row r="34" spans="1:5" s="386" customFormat="1" ht="20.100000000000001" customHeight="1">
      <c r="A34" s="396"/>
      <c r="B34" s="396"/>
      <c r="C34" s="396"/>
      <c r="D34" s="396"/>
      <c r="E34" s="396"/>
    </row>
    <row r="36" spans="1:5" ht="20.100000000000001" customHeight="1">
      <c r="A36" s="397"/>
      <c r="B36" s="397"/>
      <c r="C36" s="397"/>
      <c r="D36" s="397"/>
      <c r="E36" s="397"/>
    </row>
  </sheetData>
  <mergeCells count="2">
    <mergeCell ref="A1:K1"/>
    <mergeCell ref="A2:K2"/>
  </mergeCells>
  <phoneticPr fontId="123" type="noConversion"/>
  <hyperlinks>
    <hyperlink ref="K3" location="底稿目录!A1" display="D1-2"/>
  </hyperlinks>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P44"/>
  <sheetViews>
    <sheetView view="pageBreakPreview" zoomScaleNormal="100" workbookViewId="0">
      <selection activeCell="K10" sqref="K10"/>
    </sheetView>
  </sheetViews>
  <sheetFormatPr defaultColWidth="9" defaultRowHeight="20.100000000000001" customHeight="1"/>
  <cols>
    <col min="1" max="1" width="15.59765625" style="43" customWidth="1"/>
    <col min="2" max="2" width="11.3984375" style="43" customWidth="1"/>
    <col min="3" max="3" width="12" style="43" customWidth="1"/>
    <col min="4" max="4" width="11.8984375" style="43" customWidth="1"/>
    <col min="5" max="5" width="11.59765625" style="43" customWidth="1"/>
    <col min="6" max="7" width="11.296875" style="43" customWidth="1"/>
    <col min="8" max="15" width="10.8984375" style="43" customWidth="1"/>
    <col min="16" max="16384" width="9" style="43"/>
  </cols>
  <sheetData>
    <row r="1" spans="1:16" s="178" customFormat="1" ht="20.100000000000001" customHeight="1">
      <c r="A1" s="710" t="s">
        <v>45</v>
      </c>
      <c r="B1" s="710"/>
      <c r="C1" s="710"/>
      <c r="D1" s="710"/>
      <c r="E1" s="710"/>
      <c r="F1" s="710"/>
      <c r="G1" s="710"/>
      <c r="H1" s="710"/>
      <c r="I1" s="710"/>
      <c r="J1" s="710"/>
      <c r="K1" s="710"/>
      <c r="L1" s="710"/>
      <c r="M1" s="710"/>
      <c r="N1" s="710"/>
      <c r="O1" s="710"/>
    </row>
    <row r="2" spans="1:16" s="178" customFormat="1" ht="20.100000000000001" customHeight="1">
      <c r="A2" s="711" t="s">
        <v>282</v>
      </c>
      <c r="B2" s="711"/>
      <c r="C2" s="711"/>
      <c r="D2" s="711"/>
      <c r="E2" s="711"/>
      <c r="F2" s="711"/>
      <c r="G2" s="711"/>
      <c r="H2" s="711"/>
      <c r="I2" s="711"/>
      <c r="J2" s="711"/>
      <c r="K2" s="711"/>
      <c r="L2" s="711"/>
      <c r="M2" s="711"/>
      <c r="N2" s="711"/>
      <c r="O2" s="711"/>
    </row>
    <row r="3" spans="1:16" ht="20.100000000000001" customHeight="1">
      <c r="A3" s="43" t="str">
        <f>底稿目录!A2</f>
        <v>被审计单位名称：</v>
      </c>
      <c r="F3" s="43" t="str">
        <f>底稿目录!A4</f>
        <v>编制人：</v>
      </c>
      <c r="I3" s="43" t="str">
        <f>底稿目录!A5</f>
        <v>编制日期：</v>
      </c>
      <c r="M3" s="230"/>
      <c r="N3" s="195" t="s">
        <v>47</v>
      </c>
      <c r="O3" s="621" t="s">
        <v>18</v>
      </c>
    </row>
    <row r="4" spans="1:16" ht="20.100000000000001" customHeight="1">
      <c r="A4" s="43" t="str">
        <f>底稿目录!A3</f>
        <v>截止日：202X年12月31日</v>
      </c>
      <c r="F4" s="43" t="str">
        <f>底稿目录!A6</f>
        <v>复核人：</v>
      </c>
      <c r="I4" s="43" t="str">
        <f>底稿目录!A7</f>
        <v>复核日期：</v>
      </c>
      <c r="M4" s="230"/>
      <c r="N4" s="195" t="s">
        <v>283</v>
      </c>
    </row>
    <row r="5" spans="1:16" ht="20.100000000000001" customHeight="1">
      <c r="A5" s="179" t="s">
        <v>270</v>
      </c>
      <c r="B5" s="179"/>
      <c r="C5" s="179"/>
      <c r="D5" s="387"/>
      <c r="E5" s="387"/>
      <c r="F5" s="387"/>
      <c r="G5" s="388"/>
      <c r="H5" s="387"/>
      <c r="M5" s="230"/>
    </row>
    <row r="6" spans="1:16" ht="20.100000000000001" customHeight="1">
      <c r="A6" s="182" t="s">
        <v>271</v>
      </c>
      <c r="B6" s="182"/>
      <c r="C6" s="182"/>
      <c r="D6" s="236"/>
      <c r="E6" s="236"/>
      <c r="F6" s="236"/>
      <c r="G6" s="236"/>
      <c r="H6" s="236"/>
      <c r="I6" s="230"/>
      <c r="J6" s="230"/>
      <c r="K6" s="230"/>
      <c r="M6" s="230"/>
    </row>
    <row r="7" spans="1:16" ht="20.100000000000001" customHeight="1">
      <c r="A7" s="179" t="s">
        <v>272</v>
      </c>
      <c r="B7" s="179"/>
      <c r="C7" s="179"/>
      <c r="E7" s="236"/>
      <c r="F7" s="236"/>
      <c r="G7" s="388"/>
      <c r="H7" s="236"/>
      <c r="I7" s="230"/>
      <c r="J7" s="230"/>
      <c r="K7" s="230"/>
      <c r="M7" s="230"/>
    </row>
    <row r="8" spans="1:16" ht="20.100000000000001" customHeight="1">
      <c r="A8" s="181" t="s">
        <v>273</v>
      </c>
      <c r="B8" s="181"/>
      <c r="C8" s="182"/>
      <c r="D8" s="236"/>
      <c r="E8" s="236"/>
      <c r="F8" s="236"/>
      <c r="G8" s="236"/>
      <c r="H8" s="236"/>
      <c r="I8" s="230"/>
      <c r="J8" s="230"/>
      <c r="K8" s="230"/>
      <c r="M8" s="230"/>
    </row>
    <row r="9" spans="1:16" ht="20.100000000000001" customHeight="1">
      <c r="A9" s="182"/>
      <c r="B9" s="182"/>
      <c r="C9" s="182"/>
      <c r="D9" s="389"/>
      <c r="E9" s="389"/>
      <c r="F9" s="389"/>
      <c r="G9" s="389"/>
      <c r="H9" s="389"/>
      <c r="I9" s="389"/>
      <c r="J9" s="389"/>
      <c r="K9" s="389"/>
      <c r="L9" s="389"/>
      <c r="M9" s="389"/>
      <c r="N9" s="389"/>
      <c r="O9" s="389"/>
    </row>
    <row r="10" spans="1:16" ht="25.2" customHeight="1">
      <c r="A10" s="390" t="s">
        <v>284</v>
      </c>
      <c r="B10" s="390" t="s">
        <v>633</v>
      </c>
      <c r="C10" s="390" t="s">
        <v>285</v>
      </c>
      <c r="D10" s="390" t="s">
        <v>274</v>
      </c>
      <c r="E10" s="390" t="s">
        <v>120</v>
      </c>
      <c r="F10" s="390" t="s">
        <v>121</v>
      </c>
      <c r="G10" s="390" t="s">
        <v>275</v>
      </c>
      <c r="H10" s="390" t="s">
        <v>276</v>
      </c>
      <c r="I10" s="390" t="s">
        <v>277</v>
      </c>
      <c r="J10" s="390" t="s">
        <v>634</v>
      </c>
      <c r="K10" s="390" t="s">
        <v>635</v>
      </c>
      <c r="L10" s="390" t="s">
        <v>636</v>
      </c>
      <c r="M10" s="390" t="s">
        <v>120</v>
      </c>
      <c r="N10" s="390" t="s">
        <v>121</v>
      </c>
      <c r="O10" s="390" t="s">
        <v>279</v>
      </c>
    </row>
    <row r="11" spans="1:16" ht="20.100000000000001" customHeight="1">
      <c r="A11" s="278"/>
      <c r="B11" s="278"/>
      <c r="C11" s="278"/>
      <c r="D11" s="97"/>
      <c r="E11" s="97"/>
      <c r="F11" s="97"/>
      <c r="G11" s="285">
        <f>D11+E11+F11</f>
        <v>0</v>
      </c>
      <c r="H11" s="97"/>
      <c r="I11" s="97"/>
      <c r="J11" s="656">
        <f>D11+H11-I11</f>
        <v>0</v>
      </c>
      <c r="K11" s="97"/>
      <c r="L11" s="285">
        <f>J11+K11</f>
        <v>0</v>
      </c>
      <c r="M11" s="97"/>
      <c r="N11" s="97"/>
      <c r="O11" s="285">
        <f>L11+M11+N11</f>
        <v>0</v>
      </c>
      <c r="P11" s="43" t="s">
        <v>286</v>
      </c>
    </row>
    <row r="12" spans="1:16" ht="20.100000000000001" customHeight="1">
      <c r="A12" s="278"/>
      <c r="B12" s="278"/>
      <c r="C12" s="278"/>
      <c r="D12" s="97"/>
      <c r="E12" s="97"/>
      <c r="F12" s="97"/>
      <c r="G12" s="285">
        <f t="shared" ref="G12:G20" si="0">D12+E12+F12</f>
        <v>0</v>
      </c>
      <c r="H12" s="97"/>
      <c r="I12" s="97"/>
      <c r="J12" s="656">
        <f t="shared" ref="J12:J20" si="1">D12+H12-I12</f>
        <v>0</v>
      </c>
      <c r="K12" s="97"/>
      <c r="L12" s="285">
        <f t="shared" ref="L12:L20" si="2">J12+K12</f>
        <v>0</v>
      </c>
      <c r="M12" s="97"/>
      <c r="N12" s="97"/>
      <c r="O12" s="285">
        <f t="shared" ref="O12:O20" si="3">L12+M12+N12</f>
        <v>0</v>
      </c>
      <c r="P12" s="43" t="s">
        <v>287</v>
      </c>
    </row>
    <row r="13" spans="1:16" ht="20.100000000000001" customHeight="1">
      <c r="A13" s="278"/>
      <c r="B13" s="278"/>
      <c r="C13" s="278"/>
      <c r="D13" s="97"/>
      <c r="E13" s="97"/>
      <c r="F13" s="97"/>
      <c r="G13" s="285">
        <f t="shared" si="0"/>
        <v>0</v>
      </c>
      <c r="H13" s="97"/>
      <c r="I13" s="97"/>
      <c r="J13" s="656">
        <f t="shared" si="1"/>
        <v>0</v>
      </c>
      <c r="K13" s="97"/>
      <c r="L13" s="285">
        <f t="shared" si="2"/>
        <v>0</v>
      </c>
      <c r="M13" s="97"/>
      <c r="N13" s="97"/>
      <c r="O13" s="285">
        <f t="shared" si="3"/>
        <v>0</v>
      </c>
      <c r="P13" s="43" t="s">
        <v>288</v>
      </c>
    </row>
    <row r="14" spans="1:16" ht="20.100000000000001" customHeight="1">
      <c r="A14" s="278"/>
      <c r="B14" s="278"/>
      <c r="C14" s="278"/>
      <c r="D14" s="97"/>
      <c r="E14" s="97"/>
      <c r="F14" s="97"/>
      <c r="G14" s="285">
        <f t="shared" si="0"/>
        <v>0</v>
      </c>
      <c r="H14" s="97"/>
      <c r="I14" s="97"/>
      <c r="J14" s="656">
        <f t="shared" si="1"/>
        <v>0</v>
      </c>
      <c r="K14" s="97"/>
      <c r="L14" s="285">
        <f t="shared" si="2"/>
        <v>0</v>
      </c>
      <c r="M14" s="97"/>
      <c r="N14" s="97"/>
      <c r="O14" s="285">
        <f t="shared" si="3"/>
        <v>0</v>
      </c>
    </row>
    <row r="15" spans="1:16" ht="20.100000000000001" customHeight="1">
      <c r="A15" s="278"/>
      <c r="B15" s="278"/>
      <c r="C15" s="278"/>
      <c r="D15" s="97"/>
      <c r="E15" s="97"/>
      <c r="F15" s="97"/>
      <c r="G15" s="285">
        <f t="shared" si="0"/>
        <v>0</v>
      </c>
      <c r="H15" s="97"/>
      <c r="I15" s="97"/>
      <c r="J15" s="656">
        <f t="shared" si="1"/>
        <v>0</v>
      </c>
      <c r="K15" s="97"/>
      <c r="L15" s="285">
        <f t="shared" si="2"/>
        <v>0</v>
      </c>
      <c r="M15" s="97"/>
      <c r="N15" s="97"/>
      <c r="O15" s="285">
        <f t="shared" si="3"/>
        <v>0</v>
      </c>
    </row>
    <row r="16" spans="1:16" ht="20.100000000000001" customHeight="1">
      <c r="A16" s="278"/>
      <c r="B16" s="278"/>
      <c r="C16" s="278"/>
      <c r="D16" s="97"/>
      <c r="E16" s="97"/>
      <c r="F16" s="97"/>
      <c r="G16" s="285">
        <f t="shared" si="0"/>
        <v>0</v>
      </c>
      <c r="H16" s="97"/>
      <c r="I16" s="97"/>
      <c r="J16" s="656">
        <f t="shared" si="1"/>
        <v>0</v>
      </c>
      <c r="K16" s="97"/>
      <c r="L16" s="285">
        <f t="shared" si="2"/>
        <v>0</v>
      </c>
      <c r="M16" s="97"/>
      <c r="N16" s="97"/>
      <c r="O16" s="285">
        <f t="shared" si="3"/>
        <v>0</v>
      </c>
    </row>
    <row r="17" spans="1:15" ht="20.100000000000001" customHeight="1">
      <c r="A17" s="278"/>
      <c r="B17" s="278"/>
      <c r="C17" s="278"/>
      <c r="D17" s="97"/>
      <c r="E17" s="97"/>
      <c r="F17" s="97"/>
      <c r="G17" s="285">
        <f t="shared" si="0"/>
        <v>0</v>
      </c>
      <c r="H17" s="97"/>
      <c r="I17" s="97"/>
      <c r="J17" s="656">
        <f t="shared" si="1"/>
        <v>0</v>
      </c>
      <c r="K17" s="97"/>
      <c r="L17" s="285">
        <f t="shared" si="2"/>
        <v>0</v>
      </c>
      <c r="M17" s="97"/>
      <c r="N17" s="97"/>
      <c r="O17" s="285">
        <f t="shared" si="3"/>
        <v>0</v>
      </c>
    </row>
    <row r="18" spans="1:15" ht="20.100000000000001" customHeight="1">
      <c r="A18" s="278"/>
      <c r="B18" s="278"/>
      <c r="C18" s="278"/>
      <c r="D18" s="97"/>
      <c r="E18" s="97"/>
      <c r="F18" s="97"/>
      <c r="G18" s="285">
        <f t="shared" si="0"/>
        <v>0</v>
      </c>
      <c r="H18" s="97"/>
      <c r="I18" s="97"/>
      <c r="J18" s="656">
        <f t="shared" si="1"/>
        <v>0</v>
      </c>
      <c r="K18" s="97"/>
      <c r="L18" s="285">
        <f t="shared" si="2"/>
        <v>0</v>
      </c>
      <c r="M18" s="97"/>
      <c r="N18" s="97"/>
      <c r="O18" s="285">
        <f t="shared" si="3"/>
        <v>0</v>
      </c>
    </row>
    <row r="19" spans="1:15" ht="20.100000000000001" customHeight="1">
      <c r="A19" s="278"/>
      <c r="B19" s="278"/>
      <c r="C19" s="278"/>
      <c r="D19" s="97"/>
      <c r="E19" s="97"/>
      <c r="F19" s="97"/>
      <c r="G19" s="285">
        <f t="shared" si="0"/>
        <v>0</v>
      </c>
      <c r="H19" s="97"/>
      <c r="I19" s="97"/>
      <c r="J19" s="656">
        <f t="shared" si="1"/>
        <v>0</v>
      </c>
      <c r="K19" s="97"/>
      <c r="L19" s="285">
        <f t="shared" si="2"/>
        <v>0</v>
      </c>
      <c r="M19" s="97"/>
      <c r="N19" s="97"/>
      <c r="O19" s="285">
        <f t="shared" si="3"/>
        <v>0</v>
      </c>
    </row>
    <row r="20" spans="1:15" ht="20.100000000000001" customHeight="1">
      <c r="A20" s="278"/>
      <c r="B20" s="278"/>
      <c r="C20" s="278"/>
      <c r="D20" s="97"/>
      <c r="E20" s="97"/>
      <c r="F20" s="97"/>
      <c r="G20" s="285">
        <f t="shared" si="0"/>
        <v>0</v>
      </c>
      <c r="H20" s="97"/>
      <c r="I20" s="97"/>
      <c r="J20" s="656">
        <f t="shared" si="1"/>
        <v>0</v>
      </c>
      <c r="K20" s="97"/>
      <c r="L20" s="285">
        <f t="shared" si="2"/>
        <v>0</v>
      </c>
      <c r="M20" s="97"/>
      <c r="N20" s="97"/>
      <c r="O20" s="285">
        <f t="shared" si="3"/>
        <v>0</v>
      </c>
    </row>
    <row r="21" spans="1:15" ht="20.100000000000001" customHeight="1">
      <c r="A21" s="391" t="s">
        <v>131</v>
      </c>
      <c r="B21" s="391"/>
      <c r="C21" s="391"/>
      <c r="D21" s="392">
        <f t="shared" ref="D21:O21" si="4">SUM(D11:D20)</f>
        <v>0</v>
      </c>
      <c r="E21" s="392">
        <f t="shared" si="4"/>
        <v>0</v>
      </c>
      <c r="F21" s="392">
        <f t="shared" si="4"/>
        <v>0</v>
      </c>
      <c r="G21" s="392">
        <f t="shared" si="4"/>
        <v>0</v>
      </c>
      <c r="H21" s="392">
        <f t="shared" si="4"/>
        <v>0</v>
      </c>
      <c r="I21" s="392">
        <f t="shared" si="4"/>
        <v>0</v>
      </c>
      <c r="J21" s="392">
        <f t="shared" si="4"/>
        <v>0</v>
      </c>
      <c r="K21" s="392"/>
      <c r="L21" s="392">
        <f t="shared" si="4"/>
        <v>0</v>
      </c>
      <c r="M21" s="392">
        <f t="shared" si="4"/>
        <v>0</v>
      </c>
      <c r="N21" s="392">
        <f t="shared" si="4"/>
        <v>0</v>
      </c>
      <c r="O21" s="392">
        <f t="shared" si="4"/>
        <v>0</v>
      </c>
    </row>
    <row r="22" spans="1:15" ht="20.100000000000001" customHeight="1">
      <c r="A22" s="41" t="s">
        <v>280</v>
      </c>
      <c r="B22" s="41"/>
      <c r="C22" s="41"/>
      <c r="D22" s="41"/>
      <c r="E22" s="41"/>
      <c r="F22" s="41"/>
      <c r="G22" s="41"/>
    </row>
    <row r="23" spans="1:15" ht="20.100000000000001" customHeight="1">
      <c r="A23" s="41"/>
      <c r="B23" s="41"/>
      <c r="C23" s="41"/>
      <c r="D23" s="41"/>
      <c r="E23" s="41"/>
      <c r="F23" s="41"/>
      <c r="G23" s="41"/>
    </row>
    <row r="24" spans="1:15" ht="20.100000000000001" customHeight="1">
      <c r="A24" s="41"/>
      <c r="B24" s="41"/>
      <c r="C24" s="41"/>
      <c r="D24" s="41"/>
      <c r="E24" s="41"/>
      <c r="F24" s="41"/>
      <c r="G24" s="41"/>
    </row>
    <row r="25" spans="1:15" ht="20.100000000000001" customHeight="1">
      <c r="A25" s="41"/>
      <c r="B25" s="41"/>
      <c r="C25" s="41"/>
      <c r="D25" s="41"/>
      <c r="E25" s="41"/>
      <c r="F25" s="41"/>
      <c r="G25" s="41"/>
    </row>
    <row r="26" spans="1:15" ht="20.100000000000001" customHeight="1">
      <c r="A26" s="41" t="s">
        <v>281</v>
      </c>
      <c r="B26" s="41"/>
      <c r="C26" s="41"/>
      <c r="D26" s="41"/>
      <c r="E26" s="41"/>
      <c r="F26" s="41"/>
      <c r="G26" s="41"/>
    </row>
    <row r="27" spans="1:15" ht="20.100000000000001" customHeight="1">
      <c r="A27" s="41"/>
      <c r="B27" s="41"/>
      <c r="C27" s="41"/>
      <c r="D27" s="41"/>
      <c r="E27" s="41"/>
      <c r="F27" s="41"/>
      <c r="G27" s="41"/>
    </row>
    <row r="28" spans="1:15" ht="20.100000000000001" customHeight="1">
      <c r="A28" s="41"/>
      <c r="B28" s="41"/>
      <c r="C28" s="41"/>
      <c r="D28" s="41"/>
      <c r="E28" s="41"/>
      <c r="F28" s="41"/>
      <c r="G28" s="41"/>
    </row>
    <row r="30" spans="1:15" ht="20.100000000000001" customHeight="1">
      <c r="A30" s="393"/>
      <c r="B30" s="393"/>
      <c r="C30" s="393"/>
      <c r="D30" s="393"/>
      <c r="E30" s="393"/>
      <c r="F30" s="393"/>
      <c r="G30" s="393"/>
    </row>
    <row r="31" spans="1:15" ht="20.100000000000001" customHeight="1">
      <c r="G31" s="394"/>
    </row>
    <row r="32" spans="1:15" ht="20.100000000000001" customHeight="1">
      <c r="G32" s="385"/>
    </row>
    <row r="33" spans="1:7" ht="20.100000000000001" customHeight="1">
      <c r="G33" s="385"/>
    </row>
    <row r="34" spans="1:7" ht="20.100000000000001" customHeight="1">
      <c r="G34" s="385"/>
    </row>
    <row r="35" spans="1:7" ht="20.100000000000001" customHeight="1">
      <c r="G35" s="385"/>
    </row>
    <row r="36" spans="1:7" ht="20.100000000000001" customHeight="1">
      <c r="A36" s="393"/>
      <c r="B36" s="393"/>
      <c r="C36" s="393"/>
      <c r="D36" s="393"/>
      <c r="E36" s="393"/>
      <c r="F36" s="393"/>
      <c r="G36" s="393"/>
    </row>
    <row r="37" spans="1:7" s="385" customFormat="1" ht="20.100000000000001" customHeight="1"/>
    <row r="38" spans="1:7" s="386" customFormat="1" ht="20.100000000000001" customHeight="1"/>
    <row r="39" spans="1:7" s="386" customFormat="1" ht="20.100000000000001" customHeight="1">
      <c r="A39" s="395"/>
      <c r="B39" s="395"/>
      <c r="C39" s="395"/>
      <c r="D39" s="395"/>
      <c r="E39" s="395"/>
      <c r="F39" s="395"/>
      <c r="G39" s="395"/>
    </row>
    <row r="40" spans="1:7" s="386" customFormat="1" ht="20.100000000000001" customHeight="1">
      <c r="A40" s="396"/>
      <c r="B40" s="396"/>
      <c r="C40" s="396"/>
      <c r="D40" s="396"/>
      <c r="E40" s="396"/>
      <c r="F40" s="396"/>
      <c r="G40" s="396"/>
    </row>
    <row r="41" spans="1:7" s="386" customFormat="1" ht="20.100000000000001" customHeight="1">
      <c r="A41" s="396"/>
      <c r="B41" s="396"/>
      <c r="C41" s="396"/>
      <c r="D41" s="396"/>
      <c r="E41" s="396"/>
      <c r="F41" s="396"/>
      <c r="G41" s="396"/>
    </row>
    <row r="42" spans="1:7" s="386" customFormat="1" ht="20.100000000000001" customHeight="1">
      <c r="A42" s="396"/>
      <c r="B42" s="396"/>
      <c r="C42" s="396"/>
      <c r="D42" s="396"/>
      <c r="E42" s="396"/>
      <c r="F42" s="396"/>
      <c r="G42" s="396"/>
    </row>
    <row r="44" spans="1:7" ht="20.100000000000001" customHeight="1">
      <c r="A44" s="397"/>
      <c r="B44" s="397"/>
      <c r="C44" s="397"/>
      <c r="D44" s="397"/>
      <c r="E44" s="397"/>
      <c r="F44" s="397"/>
      <c r="G44" s="397"/>
    </row>
  </sheetData>
  <mergeCells count="2">
    <mergeCell ref="A1:O1"/>
    <mergeCell ref="A2:O2"/>
  </mergeCells>
  <phoneticPr fontId="123" type="noConversion"/>
  <dataValidations count="1">
    <dataValidation type="list" allowBlank="1" showInputMessage="1" showErrorMessage="1" sqref="C11">
      <formula1>$P$11:$P$13</formula1>
    </dataValidation>
  </dataValidations>
  <hyperlinks>
    <hyperlink ref="O3" location="底稿目录!A1" display="D1-3"/>
  </hyperlinks>
  <pageMargins left="0.70866141732283472" right="0.70866141732283472" top="0.74803149606299213" bottom="0.74803149606299213" header="0.31496062992125984" footer="0.31496062992125984"/>
  <pageSetup paperSize="9" scale="70" fitToHeight="0" orientation="landscape" blackAndWhite="1"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N30"/>
  <sheetViews>
    <sheetView view="pageBreakPreview" zoomScaleNormal="100" workbookViewId="0">
      <selection sqref="A1:N1"/>
    </sheetView>
  </sheetViews>
  <sheetFormatPr defaultColWidth="9" defaultRowHeight="20.100000000000001" customHeight="1"/>
  <cols>
    <col min="1" max="1" width="16.09765625" style="4" customWidth="1"/>
    <col min="2" max="2" width="11.59765625" style="4" customWidth="1"/>
    <col min="3" max="4" width="11.8984375" style="4" customWidth="1"/>
    <col min="5" max="5" width="12.69921875" style="4" customWidth="1"/>
    <col min="6" max="6" width="10" style="4" customWidth="1"/>
    <col min="7" max="7" width="9.69921875" style="4" customWidth="1"/>
    <col min="8" max="10" width="9" style="4"/>
    <col min="11" max="11" width="11.19921875" style="4" customWidth="1"/>
    <col min="12" max="13" width="11.69921875" style="4" customWidth="1"/>
    <col min="14" max="14" width="10.59765625" style="4" customWidth="1"/>
    <col min="15" max="16384" width="9" style="4"/>
  </cols>
  <sheetData>
    <row r="1" spans="1:14" ht="20.100000000000001" customHeight="1">
      <c r="A1" s="712" t="s">
        <v>45</v>
      </c>
      <c r="B1" s="712"/>
      <c r="C1" s="712"/>
      <c r="D1" s="712"/>
      <c r="E1" s="712"/>
      <c r="F1" s="712"/>
      <c r="G1" s="712"/>
      <c r="H1" s="712"/>
      <c r="I1" s="712"/>
      <c r="J1" s="712"/>
      <c r="K1" s="712"/>
      <c r="L1" s="712"/>
      <c r="M1" s="712"/>
      <c r="N1" s="712"/>
    </row>
    <row r="2" spans="1:14" ht="20.100000000000001" customHeight="1">
      <c r="A2" s="713" t="s">
        <v>289</v>
      </c>
      <c r="B2" s="713"/>
      <c r="C2" s="713"/>
      <c r="D2" s="713"/>
      <c r="E2" s="713"/>
      <c r="F2" s="713"/>
      <c r="G2" s="713"/>
      <c r="H2" s="713"/>
      <c r="I2" s="713"/>
      <c r="J2" s="713"/>
      <c r="K2" s="713"/>
      <c r="L2" s="713"/>
      <c r="M2" s="713"/>
      <c r="N2" s="713"/>
    </row>
    <row r="3" spans="1:14" ht="20.100000000000001" customHeight="1">
      <c r="A3" s="43" t="str">
        <f>底稿目录!A2</f>
        <v>被审计单位名称：</v>
      </c>
      <c r="B3" s="43"/>
      <c r="C3" s="43"/>
      <c r="D3" s="43"/>
      <c r="E3" s="43" t="str">
        <f>底稿目录!A4</f>
        <v>编制人：</v>
      </c>
      <c r="G3" s="43"/>
      <c r="H3" s="43"/>
      <c r="I3" s="43" t="str">
        <f>底稿目录!A5</f>
        <v>编制日期：</v>
      </c>
      <c r="K3" s="43"/>
      <c r="M3" s="195" t="s">
        <v>47</v>
      </c>
      <c r="N3" s="621" t="s">
        <v>20</v>
      </c>
    </row>
    <row r="4" spans="1:14" ht="20.100000000000001" customHeight="1">
      <c r="A4" s="43" t="str">
        <f>底稿目录!A3</f>
        <v>截止日：202X年12月31日</v>
      </c>
      <c r="B4" s="43"/>
      <c r="C4" s="43"/>
      <c r="D4" s="43"/>
      <c r="E4" s="43" t="str">
        <f>底稿目录!A6</f>
        <v>复核人：</v>
      </c>
      <c r="G4" s="43"/>
      <c r="H4" s="43"/>
      <c r="I4" s="43" t="str">
        <f>底稿目录!A7</f>
        <v>复核日期：</v>
      </c>
      <c r="K4" s="43"/>
      <c r="M4" s="195" t="s">
        <v>290</v>
      </c>
      <c r="N4" s="384"/>
    </row>
    <row r="5" spans="1:14" ht="20.100000000000001" customHeight="1">
      <c r="A5" s="179" t="s">
        <v>291</v>
      </c>
    </row>
    <row r="6" spans="1:14" ht="20.100000000000001" customHeight="1">
      <c r="A6" s="180" t="s">
        <v>271</v>
      </c>
    </row>
    <row r="7" spans="1:14" ht="20.100000000000001" customHeight="1">
      <c r="A7" s="179" t="s">
        <v>292</v>
      </c>
    </row>
    <row r="8" spans="1:14" ht="20.100000000000001" customHeight="1">
      <c r="A8" s="193" t="s">
        <v>273</v>
      </c>
    </row>
    <row r="10" spans="1:14" ht="20.100000000000001" customHeight="1">
      <c r="A10" s="714" t="s">
        <v>114</v>
      </c>
      <c r="B10" s="714" t="s">
        <v>148</v>
      </c>
      <c r="C10" s="714"/>
      <c r="D10" s="714"/>
      <c r="E10" s="714"/>
      <c r="F10" s="714" t="s">
        <v>276</v>
      </c>
      <c r="G10" s="714"/>
      <c r="H10" s="714" t="s">
        <v>277</v>
      </c>
      <c r="I10" s="714"/>
      <c r="J10" s="714"/>
      <c r="K10" s="714" t="s">
        <v>144</v>
      </c>
      <c r="L10" s="714"/>
      <c r="M10" s="714"/>
      <c r="N10" s="714"/>
    </row>
    <row r="11" spans="1:14" ht="20.100000000000001" customHeight="1">
      <c r="A11" s="714"/>
      <c r="B11" s="373" t="s">
        <v>274</v>
      </c>
      <c r="C11" s="373" t="s">
        <v>120</v>
      </c>
      <c r="D11" s="373" t="s">
        <v>121</v>
      </c>
      <c r="E11" s="373" t="s">
        <v>275</v>
      </c>
      <c r="F11" s="373" t="s">
        <v>244</v>
      </c>
      <c r="G11" s="373" t="s">
        <v>293</v>
      </c>
      <c r="H11" s="373" t="s">
        <v>294</v>
      </c>
      <c r="I11" s="373" t="s">
        <v>246</v>
      </c>
      <c r="J11" s="373" t="s">
        <v>295</v>
      </c>
      <c r="K11" s="373" t="s">
        <v>278</v>
      </c>
      <c r="L11" s="373" t="s">
        <v>120</v>
      </c>
      <c r="M11" s="373" t="s">
        <v>121</v>
      </c>
      <c r="N11" s="373" t="s">
        <v>279</v>
      </c>
    </row>
    <row r="12" spans="1:14" ht="20.100000000000001" customHeight="1">
      <c r="A12" s="374" t="s">
        <v>296</v>
      </c>
      <c r="B12" s="375">
        <f>SUM(B13:B16)</f>
        <v>0</v>
      </c>
      <c r="C12" s="375">
        <f t="shared" ref="C12:J12" si="0">SUM(C13:C16)</f>
        <v>0</v>
      </c>
      <c r="D12" s="375">
        <f t="shared" si="0"/>
        <v>0</v>
      </c>
      <c r="E12" s="375">
        <f t="shared" si="0"/>
        <v>0</v>
      </c>
      <c r="F12" s="375">
        <f t="shared" si="0"/>
        <v>0</v>
      </c>
      <c r="G12" s="375">
        <f t="shared" si="0"/>
        <v>0</v>
      </c>
      <c r="H12" s="375">
        <f t="shared" si="0"/>
        <v>0</v>
      </c>
      <c r="I12" s="375">
        <f t="shared" si="0"/>
        <v>0</v>
      </c>
      <c r="J12" s="375">
        <f t="shared" si="0"/>
        <v>0</v>
      </c>
      <c r="K12" s="375">
        <f t="shared" ref="K12:K21" si="1">B12+SUM(F12:G12)-SUM(H12:J12)</f>
        <v>0</v>
      </c>
      <c r="L12" s="375">
        <f>SUM(L13:L16)</f>
        <v>0</v>
      </c>
      <c r="M12" s="375">
        <f>SUM(M13:M16)</f>
        <v>0</v>
      </c>
      <c r="N12" s="375">
        <f>SUM(N13:N16)</f>
        <v>0</v>
      </c>
    </row>
    <row r="13" spans="1:14" ht="20.100000000000001" customHeight="1">
      <c r="A13" s="376" t="s">
        <v>179</v>
      </c>
      <c r="B13" s="377"/>
      <c r="C13" s="377"/>
      <c r="D13" s="377"/>
      <c r="E13" s="378">
        <f>B13+C13+D13</f>
        <v>0</v>
      </c>
      <c r="F13" s="377"/>
      <c r="G13" s="377"/>
      <c r="H13" s="377"/>
      <c r="I13" s="377"/>
      <c r="J13" s="377"/>
      <c r="K13" s="375">
        <f t="shared" si="1"/>
        <v>0</v>
      </c>
      <c r="L13" s="377"/>
      <c r="M13" s="377"/>
      <c r="N13" s="378">
        <f>K13+L13+M13</f>
        <v>0</v>
      </c>
    </row>
    <row r="14" spans="1:14" ht="20.100000000000001" customHeight="1">
      <c r="A14" s="376"/>
      <c r="B14" s="377"/>
      <c r="C14" s="377"/>
      <c r="D14" s="377"/>
      <c r="E14" s="378">
        <f t="shared" ref="E14:E21" si="2">B14+C14+D14</f>
        <v>0</v>
      </c>
      <c r="F14" s="377"/>
      <c r="G14" s="377"/>
      <c r="H14" s="377"/>
      <c r="I14" s="377"/>
      <c r="J14" s="377"/>
      <c r="K14" s="375">
        <f t="shared" si="1"/>
        <v>0</v>
      </c>
      <c r="L14" s="377"/>
      <c r="M14" s="377"/>
      <c r="N14" s="378">
        <f t="shared" ref="N14:N16" si="3">K14+L14+M14</f>
        <v>0</v>
      </c>
    </row>
    <row r="15" spans="1:14" ht="20.100000000000001" customHeight="1">
      <c r="A15" s="376"/>
      <c r="B15" s="377"/>
      <c r="C15" s="377"/>
      <c r="D15" s="377"/>
      <c r="E15" s="378">
        <f t="shared" si="2"/>
        <v>0</v>
      </c>
      <c r="F15" s="377"/>
      <c r="G15" s="377"/>
      <c r="H15" s="377"/>
      <c r="I15" s="377"/>
      <c r="J15" s="377"/>
      <c r="K15" s="375">
        <f t="shared" si="1"/>
        <v>0</v>
      </c>
      <c r="L15" s="377"/>
      <c r="M15" s="377"/>
      <c r="N15" s="378">
        <f t="shared" si="3"/>
        <v>0</v>
      </c>
    </row>
    <row r="16" spans="1:14" ht="20.100000000000001" customHeight="1">
      <c r="A16" s="376"/>
      <c r="B16" s="377"/>
      <c r="C16" s="377"/>
      <c r="D16" s="377"/>
      <c r="E16" s="378">
        <f t="shared" si="2"/>
        <v>0</v>
      </c>
      <c r="F16" s="377"/>
      <c r="G16" s="377"/>
      <c r="H16" s="377"/>
      <c r="I16" s="377"/>
      <c r="J16" s="377"/>
      <c r="K16" s="375">
        <f t="shared" si="1"/>
        <v>0</v>
      </c>
      <c r="L16" s="377"/>
      <c r="M16" s="377"/>
      <c r="N16" s="378">
        <f t="shared" si="3"/>
        <v>0</v>
      </c>
    </row>
    <row r="17" spans="1:14" ht="20.100000000000001" customHeight="1">
      <c r="A17" s="374" t="s">
        <v>297</v>
      </c>
      <c r="B17" s="375">
        <f t="shared" ref="B17:J17" si="4">SUM(B18:B21)</f>
        <v>0</v>
      </c>
      <c r="C17" s="375">
        <f t="shared" si="4"/>
        <v>0</v>
      </c>
      <c r="D17" s="375">
        <f t="shared" si="4"/>
        <v>0</v>
      </c>
      <c r="E17" s="375">
        <f t="shared" si="4"/>
        <v>0</v>
      </c>
      <c r="F17" s="375">
        <f t="shared" si="4"/>
        <v>0</v>
      </c>
      <c r="G17" s="375">
        <f t="shared" si="4"/>
        <v>0</v>
      </c>
      <c r="H17" s="375">
        <f t="shared" si="4"/>
        <v>0</v>
      </c>
      <c r="I17" s="375">
        <f t="shared" si="4"/>
        <v>0</v>
      </c>
      <c r="J17" s="375">
        <f t="shared" si="4"/>
        <v>0</v>
      </c>
      <c r="K17" s="375">
        <f t="shared" si="1"/>
        <v>0</v>
      </c>
      <c r="L17" s="375">
        <f>SUM(L18:L21)</f>
        <v>0</v>
      </c>
      <c r="M17" s="375">
        <f>SUM(M18:M21)</f>
        <v>0</v>
      </c>
      <c r="N17" s="375">
        <f>SUM(N18:N21)</f>
        <v>0</v>
      </c>
    </row>
    <row r="18" spans="1:14" ht="20.100000000000001" customHeight="1">
      <c r="A18" s="379" t="s">
        <v>179</v>
      </c>
      <c r="B18" s="377"/>
      <c r="C18" s="377"/>
      <c r="D18" s="377"/>
      <c r="E18" s="378">
        <f t="shared" si="2"/>
        <v>0</v>
      </c>
      <c r="F18" s="377"/>
      <c r="G18" s="377"/>
      <c r="H18" s="377"/>
      <c r="I18" s="377"/>
      <c r="J18" s="377"/>
      <c r="K18" s="375">
        <f t="shared" si="1"/>
        <v>0</v>
      </c>
      <c r="L18" s="377"/>
      <c r="M18" s="377"/>
      <c r="N18" s="378">
        <f>K18+L18+M18</f>
        <v>0</v>
      </c>
    </row>
    <row r="19" spans="1:14" ht="20.100000000000001" customHeight="1">
      <c r="A19" s="379"/>
      <c r="B19" s="377"/>
      <c r="C19" s="377"/>
      <c r="D19" s="377"/>
      <c r="E19" s="378">
        <f t="shared" si="2"/>
        <v>0</v>
      </c>
      <c r="F19" s="377"/>
      <c r="G19" s="377"/>
      <c r="H19" s="377"/>
      <c r="I19" s="377"/>
      <c r="J19" s="377"/>
      <c r="K19" s="375">
        <f t="shared" si="1"/>
        <v>0</v>
      </c>
      <c r="L19" s="377"/>
      <c r="M19" s="377"/>
      <c r="N19" s="378">
        <f t="shared" ref="N19:N21" si="5">K19+L19+M19</f>
        <v>0</v>
      </c>
    </row>
    <row r="20" spans="1:14" ht="20.100000000000001" customHeight="1">
      <c r="A20" s="380"/>
      <c r="B20" s="377"/>
      <c r="C20" s="377"/>
      <c r="D20" s="377"/>
      <c r="E20" s="378">
        <f t="shared" si="2"/>
        <v>0</v>
      </c>
      <c r="F20" s="377"/>
      <c r="G20" s="377"/>
      <c r="H20" s="377"/>
      <c r="I20" s="377"/>
      <c r="J20" s="377"/>
      <c r="K20" s="375">
        <f t="shared" si="1"/>
        <v>0</v>
      </c>
      <c r="L20" s="377"/>
      <c r="M20" s="377"/>
      <c r="N20" s="378">
        <f t="shared" si="5"/>
        <v>0</v>
      </c>
    </row>
    <row r="21" spans="1:14" ht="20.100000000000001" customHeight="1">
      <c r="A21" s="376"/>
      <c r="B21" s="377"/>
      <c r="C21" s="377"/>
      <c r="D21" s="377"/>
      <c r="E21" s="378">
        <f t="shared" si="2"/>
        <v>0</v>
      </c>
      <c r="F21" s="377"/>
      <c r="G21" s="377"/>
      <c r="H21" s="377"/>
      <c r="I21" s="377"/>
      <c r="J21" s="377"/>
      <c r="K21" s="375">
        <f t="shared" si="1"/>
        <v>0</v>
      </c>
      <c r="L21" s="377"/>
      <c r="M21" s="377"/>
      <c r="N21" s="378">
        <f t="shared" si="5"/>
        <v>0</v>
      </c>
    </row>
    <row r="22" spans="1:14" ht="20.100000000000001" customHeight="1">
      <c r="A22" s="381" t="s">
        <v>298</v>
      </c>
      <c r="B22" s="382">
        <f>B12+B17</f>
        <v>0</v>
      </c>
      <c r="C22" s="382">
        <f t="shared" ref="C22:E22" si="6">C12+C17</f>
        <v>0</v>
      </c>
      <c r="D22" s="382">
        <f t="shared" si="6"/>
        <v>0</v>
      </c>
      <c r="E22" s="382">
        <f t="shared" si="6"/>
        <v>0</v>
      </c>
      <c r="F22" s="382">
        <f t="shared" ref="F22:N22" si="7">F12+F17</f>
        <v>0</v>
      </c>
      <c r="G22" s="382">
        <f t="shared" si="7"/>
        <v>0</v>
      </c>
      <c r="H22" s="382">
        <f t="shared" si="7"/>
        <v>0</v>
      </c>
      <c r="I22" s="382">
        <f t="shared" si="7"/>
        <v>0</v>
      </c>
      <c r="J22" s="382">
        <f t="shared" si="7"/>
        <v>0</v>
      </c>
      <c r="K22" s="382">
        <f t="shared" si="7"/>
        <v>0</v>
      </c>
      <c r="L22" s="382">
        <f t="shared" si="7"/>
        <v>0</v>
      </c>
      <c r="M22" s="382">
        <f t="shared" si="7"/>
        <v>0</v>
      </c>
      <c r="N22" s="382">
        <f t="shared" si="7"/>
        <v>0</v>
      </c>
    </row>
    <row r="23" spans="1:14" ht="20.100000000000001" customHeight="1">
      <c r="A23" s="381" t="s">
        <v>299</v>
      </c>
      <c r="B23" s="383"/>
      <c r="C23" s="383"/>
      <c r="D23" s="377"/>
      <c r="E23" s="375">
        <f>B23+C23+D23</f>
        <v>0</v>
      </c>
      <c r="F23" s="383"/>
      <c r="G23" s="383"/>
      <c r="H23" s="383"/>
      <c r="I23" s="383"/>
      <c r="J23" s="383"/>
      <c r="K23" s="375">
        <f t="shared" ref="K23:K24" si="8">B23+SUM(F23:G23)-SUM(H23:J23)</f>
        <v>0</v>
      </c>
      <c r="L23" s="383"/>
      <c r="M23" s="383"/>
      <c r="N23" s="375">
        <f>K23+L23+M23</f>
        <v>0</v>
      </c>
    </row>
    <row r="24" spans="1:14" ht="20.100000000000001" customHeight="1">
      <c r="A24" s="381" t="s">
        <v>300</v>
      </c>
      <c r="B24" s="383"/>
      <c r="C24" s="383"/>
      <c r="D24" s="377"/>
      <c r="E24" s="375">
        <f>B24+C24+D24</f>
        <v>0</v>
      </c>
      <c r="F24" s="383"/>
      <c r="G24" s="383"/>
      <c r="H24" s="383"/>
      <c r="I24" s="383"/>
      <c r="J24" s="383"/>
      <c r="K24" s="375">
        <f t="shared" si="8"/>
        <v>0</v>
      </c>
      <c r="L24" s="383"/>
      <c r="M24" s="383"/>
      <c r="N24" s="375">
        <f>K24+L24+M24</f>
        <v>0</v>
      </c>
    </row>
    <row r="25" spans="1:14" ht="20.100000000000001" customHeight="1">
      <c r="A25" s="179" t="s">
        <v>301</v>
      </c>
    </row>
    <row r="26" spans="1:14" ht="20.100000000000001" customHeight="1">
      <c r="A26" s="179"/>
    </row>
    <row r="27" spans="1:14" ht="20.100000000000001" customHeight="1">
      <c r="A27" s="259"/>
    </row>
    <row r="28" spans="1:14" ht="20.100000000000001" customHeight="1">
      <c r="A28" s="259"/>
    </row>
    <row r="29" spans="1:14" ht="20.100000000000001" customHeight="1">
      <c r="A29" s="179" t="s">
        <v>302</v>
      </c>
    </row>
    <row r="30" spans="1:14" ht="20.100000000000001" customHeight="1">
      <c r="A30" s="179"/>
    </row>
  </sheetData>
  <mergeCells count="7">
    <mergeCell ref="A1:N1"/>
    <mergeCell ref="A2:N2"/>
    <mergeCell ref="B10:E10"/>
    <mergeCell ref="F10:G10"/>
    <mergeCell ref="H10:J10"/>
    <mergeCell ref="K10:N10"/>
    <mergeCell ref="A10:A11"/>
  </mergeCells>
  <phoneticPr fontId="123" type="noConversion"/>
  <hyperlinks>
    <hyperlink ref="N3" location="底稿目录!A1" display="D1-4"/>
  </hyperlinks>
  <pageMargins left="0.70833333333333304" right="0.70833333333333304" top="0.74791666666666701" bottom="0.74791666666666701" header="0.31458333333333299" footer="0.31458333333333299"/>
  <pageSetup paperSize="9" scale="78"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J25"/>
  <sheetViews>
    <sheetView view="pageBreakPreview" zoomScaleNormal="100" workbookViewId="0">
      <selection activeCell="A6" sqref="A6"/>
    </sheetView>
  </sheetViews>
  <sheetFormatPr defaultColWidth="9" defaultRowHeight="20.100000000000001" customHeight="1"/>
  <cols>
    <col min="1" max="1" width="12.19921875" style="355" customWidth="1"/>
    <col min="2" max="2" width="14.59765625" style="355" customWidth="1"/>
    <col min="3" max="3" width="13.59765625" style="355" customWidth="1"/>
    <col min="4" max="4" width="15.69921875" style="355" customWidth="1"/>
    <col min="5" max="5" width="16.59765625" style="355" customWidth="1"/>
    <col min="6" max="6" width="9" style="355"/>
    <col min="7" max="7" width="10.3984375" style="355" customWidth="1"/>
    <col min="8" max="8" width="10.5" style="355" customWidth="1"/>
    <col min="9" max="16384" width="9" style="355"/>
  </cols>
  <sheetData>
    <row r="1" spans="1:10" ht="20.100000000000001" customHeight="1">
      <c r="A1" s="715" t="s">
        <v>45</v>
      </c>
      <c r="B1" s="715"/>
      <c r="C1" s="715"/>
      <c r="D1" s="715"/>
      <c r="E1" s="715"/>
      <c r="F1" s="715"/>
      <c r="G1" s="715"/>
      <c r="H1" s="715"/>
      <c r="I1" s="715"/>
      <c r="J1" s="715"/>
    </row>
    <row r="2" spans="1:10" ht="20.100000000000001" customHeight="1">
      <c r="A2" s="716" t="s">
        <v>303</v>
      </c>
      <c r="B2" s="716"/>
      <c r="C2" s="716"/>
      <c r="D2" s="716"/>
      <c r="E2" s="716"/>
      <c r="F2" s="716"/>
      <c r="G2" s="716"/>
      <c r="H2" s="716"/>
      <c r="I2" s="716"/>
      <c r="J2" s="716"/>
    </row>
    <row r="3" spans="1:10" ht="20.100000000000001" customHeight="1">
      <c r="A3" s="356" t="str">
        <f>底稿目录!A2</f>
        <v>被审计单位名称：</v>
      </c>
      <c r="B3" s="356"/>
      <c r="C3" s="356"/>
      <c r="D3" s="356" t="str">
        <f>底稿目录!A4</f>
        <v>编制人：</v>
      </c>
      <c r="E3" s="356"/>
      <c r="F3" s="357"/>
      <c r="G3" s="356" t="str">
        <f>底稿目录!A5</f>
        <v>编制日期：</v>
      </c>
      <c r="H3" s="356"/>
      <c r="I3" s="371" t="s">
        <v>47</v>
      </c>
      <c r="J3" s="625" t="s">
        <v>22</v>
      </c>
    </row>
    <row r="4" spans="1:10" ht="20.100000000000001" customHeight="1">
      <c r="A4" s="356" t="str">
        <f>底稿目录!A3</f>
        <v>截止日：202X年12月31日</v>
      </c>
      <c r="B4" s="356"/>
      <c r="C4" s="356"/>
      <c r="D4" s="356" t="str">
        <f>底稿目录!A6</f>
        <v>复核人：</v>
      </c>
      <c r="E4" s="356"/>
      <c r="F4" s="357"/>
      <c r="G4" s="356" t="str">
        <f>底稿目录!A7</f>
        <v>复核日期：</v>
      </c>
      <c r="H4" s="356"/>
      <c r="I4" s="371" t="s">
        <v>48</v>
      </c>
    </row>
    <row r="5" spans="1:10" ht="40.799999999999997" customHeight="1">
      <c r="A5" s="358" t="s">
        <v>304</v>
      </c>
      <c r="B5" s="359" t="s">
        <v>305</v>
      </c>
      <c r="C5" s="360" t="s">
        <v>306</v>
      </c>
      <c r="D5" s="361" t="s">
        <v>307</v>
      </c>
      <c r="E5" s="361" t="s">
        <v>308</v>
      </c>
      <c r="F5" s="362" t="s">
        <v>309</v>
      </c>
      <c r="G5" s="361" t="s">
        <v>310</v>
      </c>
      <c r="H5" s="361" t="s">
        <v>311</v>
      </c>
      <c r="I5" s="361" t="s">
        <v>312</v>
      </c>
      <c r="J5" s="361" t="s">
        <v>313</v>
      </c>
    </row>
    <row r="6" spans="1:10" ht="20.100000000000001" customHeight="1">
      <c r="A6" s="363"/>
      <c r="B6" s="363"/>
      <c r="C6" s="363"/>
      <c r="D6" s="363"/>
      <c r="E6" s="363"/>
      <c r="F6" s="363"/>
      <c r="G6" s="364"/>
      <c r="H6" s="364"/>
      <c r="I6" s="372"/>
      <c r="J6" s="363"/>
    </row>
    <row r="7" spans="1:10" ht="20.100000000000001" customHeight="1">
      <c r="A7" s="365"/>
      <c r="B7" s="363"/>
      <c r="C7" s="363"/>
      <c r="D7" s="363"/>
      <c r="E7" s="363"/>
      <c r="F7" s="363"/>
      <c r="G7" s="364"/>
      <c r="H7" s="364"/>
      <c r="I7" s="372"/>
      <c r="J7" s="363"/>
    </row>
    <row r="8" spans="1:10" ht="20.100000000000001" customHeight="1">
      <c r="A8" s="366"/>
      <c r="B8" s="363"/>
      <c r="C8" s="363"/>
      <c r="D8" s="363"/>
      <c r="E8" s="363"/>
      <c r="F8" s="363"/>
      <c r="G8" s="364"/>
      <c r="H8" s="364"/>
      <c r="I8" s="372"/>
      <c r="J8" s="363"/>
    </row>
    <row r="9" spans="1:10" ht="20.100000000000001" customHeight="1">
      <c r="A9" s="366"/>
      <c r="B9" s="363"/>
      <c r="C9" s="363"/>
      <c r="D9" s="363"/>
      <c r="E9" s="363"/>
      <c r="F9" s="363"/>
      <c r="G9" s="364"/>
      <c r="H9" s="364"/>
      <c r="I9" s="372"/>
      <c r="J9" s="363"/>
    </row>
    <row r="10" spans="1:10" ht="20.100000000000001" customHeight="1">
      <c r="A10" s="366"/>
      <c r="B10" s="363"/>
      <c r="C10" s="363"/>
      <c r="D10" s="363"/>
      <c r="E10" s="363"/>
      <c r="F10" s="363"/>
      <c r="G10" s="364"/>
      <c r="H10" s="364"/>
      <c r="I10" s="372"/>
      <c r="J10" s="363"/>
    </row>
    <row r="11" spans="1:10" ht="20.100000000000001" customHeight="1">
      <c r="A11" s="367"/>
      <c r="B11" s="363"/>
      <c r="C11" s="363"/>
      <c r="D11" s="363"/>
      <c r="E11" s="363"/>
      <c r="F11" s="363"/>
      <c r="G11" s="364"/>
      <c r="H11" s="364"/>
      <c r="I11" s="372"/>
      <c r="J11" s="363"/>
    </row>
    <row r="12" spans="1:10" ht="20.100000000000001" customHeight="1">
      <c r="A12" s="366"/>
      <c r="B12" s="363"/>
      <c r="C12" s="363"/>
      <c r="D12" s="363"/>
      <c r="E12" s="363"/>
      <c r="F12" s="363"/>
      <c r="G12" s="364"/>
      <c r="H12" s="364"/>
      <c r="I12" s="372"/>
      <c r="J12" s="363"/>
    </row>
    <row r="13" spans="1:10" ht="20.100000000000001" customHeight="1">
      <c r="A13" s="366"/>
      <c r="B13" s="363"/>
      <c r="C13" s="363"/>
      <c r="D13" s="363"/>
      <c r="E13" s="363"/>
      <c r="F13" s="363"/>
      <c r="G13" s="364"/>
      <c r="H13" s="364"/>
      <c r="I13" s="372"/>
      <c r="J13" s="363"/>
    </row>
    <row r="14" spans="1:10" ht="20.100000000000001" customHeight="1">
      <c r="A14" s="366"/>
      <c r="B14" s="363"/>
      <c r="C14" s="363"/>
      <c r="D14" s="363"/>
      <c r="E14" s="363"/>
      <c r="F14" s="363"/>
      <c r="G14" s="364"/>
      <c r="H14" s="364"/>
      <c r="I14" s="372"/>
      <c r="J14" s="363"/>
    </row>
    <row r="15" spans="1:10" ht="20.100000000000001" customHeight="1">
      <c r="A15" s="366"/>
      <c r="B15" s="363"/>
      <c r="C15" s="363"/>
      <c r="D15" s="363"/>
      <c r="E15" s="363"/>
      <c r="F15" s="363"/>
      <c r="G15" s="364"/>
      <c r="H15" s="364"/>
      <c r="I15" s="372"/>
      <c r="J15" s="363"/>
    </row>
    <row r="16" spans="1:10" ht="20.100000000000001" customHeight="1">
      <c r="A16" s="366"/>
      <c r="B16" s="363"/>
      <c r="C16" s="363"/>
      <c r="D16" s="363"/>
      <c r="E16" s="363"/>
      <c r="F16" s="363"/>
      <c r="G16" s="364"/>
      <c r="H16" s="364"/>
      <c r="I16" s="372"/>
      <c r="J16" s="363"/>
    </row>
    <row r="17" spans="1:10" ht="20.100000000000001" customHeight="1">
      <c r="A17" s="366"/>
      <c r="B17" s="363"/>
      <c r="C17" s="363"/>
      <c r="D17" s="363"/>
      <c r="E17" s="363"/>
      <c r="F17" s="363"/>
      <c r="G17" s="364"/>
      <c r="H17" s="364"/>
      <c r="I17" s="372"/>
      <c r="J17" s="363"/>
    </row>
    <row r="18" spans="1:10" ht="20.100000000000001" customHeight="1">
      <c r="A18" s="366"/>
      <c r="B18" s="363"/>
      <c r="C18" s="363"/>
      <c r="D18" s="363"/>
      <c r="E18" s="363"/>
      <c r="F18" s="363"/>
      <c r="G18" s="364"/>
      <c r="H18" s="364"/>
      <c r="I18" s="372"/>
      <c r="J18" s="363"/>
    </row>
    <row r="19" spans="1:10" ht="20.100000000000001" customHeight="1">
      <c r="A19" s="366"/>
      <c r="B19" s="363"/>
      <c r="C19" s="363"/>
      <c r="D19" s="363"/>
      <c r="E19" s="363"/>
      <c r="F19" s="363"/>
      <c r="G19" s="364"/>
      <c r="H19" s="364"/>
      <c r="I19" s="372"/>
      <c r="J19" s="363"/>
    </row>
    <row r="20" spans="1:10" ht="20.100000000000001" customHeight="1">
      <c r="A20" s="366"/>
      <c r="B20" s="363"/>
      <c r="C20" s="363"/>
      <c r="D20" s="363"/>
      <c r="E20" s="363"/>
      <c r="F20" s="363"/>
      <c r="G20" s="364"/>
      <c r="H20" s="364"/>
      <c r="I20" s="372"/>
      <c r="J20" s="363"/>
    </row>
    <row r="21" spans="1:10" ht="20.100000000000001" customHeight="1">
      <c r="A21" s="368" t="s">
        <v>314</v>
      </c>
      <c r="B21" s="369"/>
      <c r="C21" s="369"/>
      <c r="D21" s="369"/>
      <c r="E21" s="369"/>
      <c r="F21" s="369"/>
      <c r="G21" s="369"/>
      <c r="H21" s="369"/>
      <c r="I21" s="369"/>
      <c r="J21" s="369"/>
    </row>
    <row r="22" spans="1:10" ht="20.100000000000001" customHeight="1">
      <c r="A22" s="369"/>
      <c r="B22" s="369"/>
      <c r="C22" s="369"/>
      <c r="D22" s="369"/>
      <c r="E22" s="369"/>
      <c r="F22" s="369"/>
      <c r="G22" s="369"/>
      <c r="H22" s="369"/>
      <c r="I22" s="369"/>
      <c r="J22" s="369"/>
    </row>
    <row r="23" spans="1:10" ht="36.75" customHeight="1">
      <c r="B23" s="370"/>
      <c r="C23" s="370"/>
      <c r="D23" s="370"/>
      <c r="E23" s="370"/>
      <c r="F23" s="370"/>
      <c r="G23" s="370"/>
      <c r="H23" s="370"/>
      <c r="I23" s="370"/>
      <c r="J23" s="370"/>
    </row>
    <row r="24" spans="1:10" ht="20.100000000000001" customHeight="1">
      <c r="A24" s="369"/>
      <c r="B24" s="369"/>
      <c r="C24" s="369"/>
      <c r="D24" s="369"/>
      <c r="E24" s="369"/>
      <c r="F24" s="369"/>
      <c r="G24" s="369"/>
      <c r="H24" s="369"/>
      <c r="I24" s="369"/>
      <c r="J24" s="369"/>
    </row>
    <row r="25" spans="1:10" ht="20.100000000000001" customHeight="1">
      <c r="A25" s="369"/>
      <c r="B25" s="369"/>
      <c r="C25" s="369"/>
      <c r="D25" s="369"/>
      <c r="E25" s="369"/>
      <c r="F25" s="369"/>
      <c r="G25" s="369"/>
      <c r="H25" s="369"/>
      <c r="I25" s="369"/>
      <c r="J25" s="369"/>
    </row>
  </sheetData>
  <mergeCells count="2">
    <mergeCell ref="A1:J1"/>
    <mergeCell ref="A2:J2"/>
  </mergeCells>
  <phoneticPr fontId="123" type="noConversion"/>
  <dataValidations count="1">
    <dataValidation type="list" allowBlank="1" showInputMessage="1" showErrorMessage="1" sqref="B6:B20">
      <formula1>"账项调整,报表调整,其他"</formula1>
    </dataValidation>
  </dataValidations>
  <hyperlinks>
    <hyperlink ref="J3" location="底稿目录!A1" display="D1-5"/>
  </hyperlinks>
  <pageMargins left="0.70866141732283472" right="0.70866141732283472" top="0.74803149606299213" bottom="0.74803149606299213" header="0.31496062992125984" footer="0.31496062992125984"/>
  <pageSetup paperSize="9" scale="95" fitToHeight="0" orientation="landscape"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44"/>
  <sheetViews>
    <sheetView view="pageBreakPreview" zoomScaleNormal="130" workbookViewId="0">
      <selection sqref="A1:E1"/>
    </sheetView>
  </sheetViews>
  <sheetFormatPr defaultColWidth="9" defaultRowHeight="20.100000000000001" customHeight="1"/>
  <cols>
    <col min="1" max="1" width="45.19921875" style="328" customWidth="1"/>
    <col min="2" max="2" width="27.796875" style="328" customWidth="1"/>
    <col min="3" max="3" width="22.09765625" style="328" customWidth="1"/>
    <col min="4" max="4" width="20.19921875" style="328" customWidth="1"/>
    <col min="5" max="5" width="12.59765625" style="328" customWidth="1"/>
    <col min="6" max="6" width="17.19921875" style="328" customWidth="1"/>
    <col min="7" max="16384" width="9" style="328"/>
  </cols>
  <sheetData>
    <row r="1" spans="1:12" s="327" customFormat="1" ht="20.100000000000001" customHeight="1">
      <c r="A1" s="717" t="s">
        <v>45</v>
      </c>
      <c r="B1" s="717"/>
      <c r="C1" s="717"/>
      <c r="D1" s="717"/>
      <c r="E1" s="717"/>
    </row>
    <row r="2" spans="1:12" s="327" customFormat="1" ht="20.100000000000001" customHeight="1">
      <c r="A2" s="718" t="s">
        <v>23</v>
      </c>
      <c r="B2" s="718"/>
      <c r="C2" s="718"/>
      <c r="D2" s="718"/>
      <c r="E2" s="718"/>
    </row>
    <row r="3" spans="1:12" ht="20.100000000000001" customHeight="1">
      <c r="A3" s="11" t="str">
        <f>底稿目录!A2</f>
        <v>被审计单位名称：</v>
      </c>
      <c r="B3" s="11" t="str">
        <f>底稿目录!A4</f>
        <v>编制人：</v>
      </c>
      <c r="C3" s="11" t="str">
        <f>底稿目录!A5</f>
        <v>编制日期：</v>
      </c>
      <c r="D3" s="6" t="s">
        <v>47</v>
      </c>
      <c r="E3" s="621" t="s">
        <v>24</v>
      </c>
    </row>
    <row r="4" spans="1:12" ht="20.100000000000001" customHeight="1">
      <c r="A4" s="11" t="str">
        <f>底稿目录!A3</f>
        <v>截止日：202X年12月31日</v>
      </c>
      <c r="B4" s="11" t="str">
        <f>底稿目录!A6</f>
        <v>复核人：</v>
      </c>
      <c r="C4" s="11" t="str">
        <f>底稿目录!A7</f>
        <v>复核日期：</v>
      </c>
      <c r="D4" s="6" t="s">
        <v>48</v>
      </c>
      <c r="E4" s="6"/>
    </row>
    <row r="5" spans="1:12" s="11" customFormat="1" ht="20.100000000000001" customHeight="1">
      <c r="A5" s="720" t="s">
        <v>270</v>
      </c>
      <c r="B5" s="720"/>
      <c r="C5" s="720"/>
      <c r="D5" s="720"/>
      <c r="E5" s="329"/>
    </row>
    <row r="6" spans="1:12" s="11" customFormat="1" ht="20.100000000000001" customHeight="1">
      <c r="A6" s="330" t="s">
        <v>315</v>
      </c>
      <c r="B6" s="328"/>
      <c r="C6" s="328"/>
      <c r="D6" s="328"/>
      <c r="E6" s="328"/>
      <c r="F6" s="719"/>
      <c r="G6" s="719"/>
      <c r="H6" s="719"/>
      <c r="I6" s="719"/>
      <c r="J6" s="719"/>
      <c r="K6" s="719"/>
    </row>
    <row r="7" spans="1:12" s="11" customFormat="1" ht="20.100000000000001" customHeight="1">
      <c r="A7" s="720" t="s">
        <v>316</v>
      </c>
      <c r="B7" s="720"/>
      <c r="C7" s="720"/>
      <c r="D7" s="720"/>
      <c r="E7" s="329"/>
      <c r="F7" s="719"/>
      <c r="G7" s="719"/>
      <c r="H7" s="719"/>
      <c r="I7" s="719"/>
      <c r="J7" s="719"/>
      <c r="K7" s="719"/>
    </row>
    <row r="8" spans="1:12" ht="20.100000000000001" customHeight="1">
      <c r="A8" s="332" t="s">
        <v>273</v>
      </c>
    </row>
    <row r="10" spans="1:12" ht="20.100000000000001" customHeight="1">
      <c r="A10" s="10" t="s">
        <v>317</v>
      </c>
    </row>
    <row r="11" spans="1:12" ht="36" customHeight="1">
      <c r="A11" s="333" t="s">
        <v>318</v>
      </c>
      <c r="B11" s="334" t="s">
        <v>319</v>
      </c>
      <c r="C11" s="334" t="s">
        <v>320</v>
      </c>
      <c r="D11" s="334" t="s">
        <v>4</v>
      </c>
      <c r="E11" s="334" t="s">
        <v>313</v>
      </c>
    </row>
    <row r="12" spans="1:12" ht="31.95" customHeight="1">
      <c r="A12" s="335" t="s">
        <v>321</v>
      </c>
      <c r="B12" s="336" t="s">
        <v>322</v>
      </c>
      <c r="C12" s="335" t="s">
        <v>323</v>
      </c>
      <c r="D12" s="337"/>
      <c r="E12" s="337"/>
      <c r="F12" s="338"/>
    </row>
    <row r="13" spans="1:12" ht="20.100000000000001" customHeight="1">
      <c r="A13" s="335" t="s">
        <v>324</v>
      </c>
      <c r="B13" s="336" t="s">
        <v>325</v>
      </c>
      <c r="C13" s="339"/>
      <c r="D13" s="337"/>
      <c r="E13" s="337"/>
      <c r="F13" s="340"/>
    </row>
    <row r="14" spans="1:12" ht="20.100000000000001" customHeight="1">
      <c r="A14" s="335" t="s">
        <v>127</v>
      </c>
      <c r="B14" s="336" t="s">
        <v>325</v>
      </c>
      <c r="C14" s="339"/>
      <c r="D14" s="337"/>
      <c r="E14" s="337"/>
      <c r="F14" s="340"/>
    </row>
    <row r="15" spans="1:12" ht="20.100000000000001" customHeight="1">
      <c r="A15" s="10" t="s">
        <v>326</v>
      </c>
      <c r="B15" s="341"/>
      <c r="C15" s="341"/>
      <c r="D15" s="341"/>
      <c r="E15" s="341"/>
      <c r="F15" s="340"/>
    </row>
    <row r="16" spans="1:12" ht="29.25" customHeight="1">
      <c r="A16" s="342" t="s">
        <v>327</v>
      </c>
      <c r="B16" s="343" t="s">
        <v>321</v>
      </c>
      <c r="C16" s="343" t="s">
        <v>324</v>
      </c>
      <c r="D16" s="343" t="s">
        <v>127</v>
      </c>
      <c r="E16" s="333" t="s">
        <v>313</v>
      </c>
      <c r="F16" s="344"/>
      <c r="G16" s="345"/>
      <c r="H16" s="345"/>
      <c r="I16" s="345"/>
      <c r="J16" s="354"/>
      <c r="K16" s="354"/>
      <c r="L16" s="351"/>
    </row>
    <row r="17" spans="1:12" ht="31.5" customHeight="1">
      <c r="A17" s="339" t="s">
        <v>328</v>
      </c>
      <c r="B17" s="346" t="s">
        <v>329</v>
      </c>
      <c r="C17" s="346" t="s">
        <v>329</v>
      </c>
      <c r="D17" s="346" t="s">
        <v>329</v>
      </c>
      <c r="E17" s="346"/>
      <c r="F17" s="347"/>
      <c r="G17" s="345"/>
      <c r="H17" s="345"/>
      <c r="I17" s="345"/>
      <c r="J17" s="354"/>
      <c r="K17" s="354"/>
      <c r="L17" s="351"/>
    </row>
    <row r="18" spans="1:12" ht="39" customHeight="1">
      <c r="A18" s="339" t="s">
        <v>330</v>
      </c>
      <c r="B18" s="346" t="s">
        <v>331</v>
      </c>
      <c r="C18" s="346" t="s">
        <v>329</v>
      </c>
      <c r="D18" s="346" t="s">
        <v>329</v>
      </c>
      <c r="E18" s="346"/>
      <c r="F18" s="347"/>
      <c r="G18" s="345"/>
      <c r="H18" s="345"/>
      <c r="I18" s="345"/>
      <c r="J18" s="354"/>
      <c r="K18" s="354"/>
      <c r="L18" s="351"/>
    </row>
    <row r="19" spans="1:12" ht="34.5" customHeight="1">
      <c r="A19" s="339" t="s">
        <v>332</v>
      </c>
      <c r="B19" s="346" t="s">
        <v>331</v>
      </c>
      <c r="C19" s="346" t="s">
        <v>331</v>
      </c>
      <c r="D19" s="346" t="s">
        <v>331</v>
      </c>
      <c r="E19" s="346"/>
      <c r="F19" s="347"/>
      <c r="G19" s="345"/>
      <c r="H19" s="345"/>
      <c r="I19" s="345"/>
      <c r="J19" s="354"/>
      <c r="K19" s="354"/>
      <c r="L19" s="351"/>
    </row>
    <row r="20" spans="1:12" ht="35.25" customHeight="1">
      <c r="A20" s="339" t="s">
        <v>333</v>
      </c>
      <c r="B20" s="346" t="s">
        <v>331</v>
      </c>
      <c r="C20" s="346" t="s">
        <v>331</v>
      </c>
      <c r="D20" s="346" t="s">
        <v>331</v>
      </c>
      <c r="E20" s="346"/>
      <c r="F20" s="347"/>
      <c r="G20" s="345"/>
      <c r="H20" s="345"/>
      <c r="I20" s="345"/>
      <c r="J20" s="354"/>
      <c r="K20" s="354"/>
      <c r="L20" s="351"/>
    </row>
    <row r="21" spans="1:12" ht="35.25" customHeight="1">
      <c r="A21" s="348" t="s">
        <v>334</v>
      </c>
      <c r="B21" s="348" t="str">
        <f>IF(AND(B17="是",B18="否"),"属于以收取合同现金流量和出售金融资产为目标的业务模式",IF(AND(B17="是",B18="是"),"属于其他业务模式",IF(AND(B19="是",B20&lt;&gt;"是"),"属于以收取合同现金流量和出售金融资产为目标的业务模式",IF(B20="是","属于其他业务模式","属于以收取合同现金流量为目标的业务模式"))))</f>
        <v>属于以收取合同现金流量和出售金融资产为目标的业务模式</v>
      </c>
      <c r="C21" s="348" t="str">
        <f>IF(AND(C17="是",C18="否"),"属于以收取合同现金流量和出售金融资产为目标的业务模式",IF(AND(C17="是",C18="是"),"属于其他业务模式",IF(AND(C19="是",C20&lt;&gt;"是"),"属于以收取合同现金流量和出售金融资产为目标的业务模式",IF(C20="是","属于其他业务模式","属于以收取合同现金流量为目标的业务模式"))))</f>
        <v>属于其他业务模式</v>
      </c>
      <c r="D21" s="348" t="str">
        <f t="shared" ref="D21" si="0">IF(AND(D17="是",D18="否"),"属于以收取合同现金流量和出售金融资产为目标的业务模式",IF(AND(D17="是",D18="是"),"属于其他业务模式",IF(AND(D19="是",D20&lt;&gt;"是"),"属于以收取合同现金流量和出售金融资产为目标的业务模式",IF(D20="是","属于其他业务模式","属于以收取合同现金流量为目标的业务模式"))))</f>
        <v>属于其他业务模式</v>
      </c>
      <c r="E21" s="348"/>
      <c r="F21" s="338"/>
    </row>
    <row r="22" spans="1:12" ht="27.75" customHeight="1">
      <c r="A22" s="349" t="s">
        <v>335</v>
      </c>
      <c r="B22" s="348" t="str">
        <f>IF(B21="属于以收取合同现金流量和出售金融资产为目标的业务模式","应列报为应收款项融资","")</f>
        <v>应列报为应收款项融资</v>
      </c>
      <c r="C22" s="348" t="str">
        <f t="shared" ref="C22:D22" si="1">IF(C21="属于以收取合同现金流量和出售金融资产为目标的业务模式","应列报为应收款项融资","")</f>
        <v/>
      </c>
      <c r="D22" s="348" t="str">
        <f t="shared" si="1"/>
        <v/>
      </c>
      <c r="E22" s="348"/>
      <c r="F22" s="338"/>
    </row>
    <row r="23" spans="1:12" ht="20.100000000000001" customHeight="1">
      <c r="A23" s="350" t="s">
        <v>280</v>
      </c>
      <c r="B23" s="341"/>
      <c r="C23" s="341"/>
      <c r="D23" s="341"/>
      <c r="E23" s="341"/>
    </row>
    <row r="24" spans="1:12" ht="20.100000000000001" customHeight="1">
      <c r="A24" s="350"/>
      <c r="B24" s="341"/>
      <c r="C24" s="341"/>
      <c r="D24" s="341"/>
      <c r="E24" s="341"/>
    </row>
    <row r="25" spans="1:12" ht="20.100000000000001" customHeight="1">
      <c r="A25" s="350"/>
      <c r="B25" s="341"/>
      <c r="C25" s="341"/>
      <c r="D25" s="341"/>
      <c r="E25" s="341"/>
    </row>
    <row r="26" spans="1:12" ht="20.100000000000001" customHeight="1">
      <c r="A26" s="341"/>
      <c r="B26" s="341"/>
      <c r="C26" s="341"/>
      <c r="D26" s="341"/>
      <c r="E26" s="341"/>
    </row>
    <row r="27" spans="1:12" ht="20.100000000000001" customHeight="1">
      <c r="A27" s="350" t="s">
        <v>281</v>
      </c>
      <c r="B27" s="350"/>
      <c r="C27" s="350"/>
      <c r="D27" s="350"/>
      <c r="E27" s="350"/>
    </row>
    <row r="28" spans="1:12" ht="20.100000000000001" customHeight="1">
      <c r="A28" s="350"/>
      <c r="B28" s="350"/>
      <c r="C28" s="350"/>
      <c r="D28" s="350"/>
      <c r="E28" s="350"/>
    </row>
    <row r="29" spans="1:12" ht="20.100000000000001" customHeight="1">
      <c r="A29" s="302" t="s">
        <v>596</v>
      </c>
      <c r="B29" s="302"/>
      <c r="C29" s="302"/>
      <c r="D29" s="302"/>
      <c r="E29" s="302"/>
    </row>
    <row r="30" spans="1:12" ht="20.100000000000001" customHeight="1">
      <c r="A30" s="302" t="s">
        <v>336</v>
      </c>
      <c r="B30" s="351"/>
      <c r="C30" s="302"/>
      <c r="D30" s="302"/>
      <c r="E30" s="302"/>
    </row>
    <row r="31" spans="1:12" ht="20.100000000000001" customHeight="1">
      <c r="A31" s="302" t="s">
        <v>337</v>
      </c>
      <c r="B31" s="351"/>
      <c r="C31" s="302"/>
      <c r="D31" s="302"/>
      <c r="E31" s="302"/>
    </row>
    <row r="32" spans="1:12" ht="20.100000000000001" customHeight="1">
      <c r="A32" s="352" t="s">
        <v>338</v>
      </c>
      <c r="B32" s="351"/>
      <c r="C32" s="302"/>
      <c r="D32" s="302"/>
      <c r="E32" s="302"/>
    </row>
    <row r="33" spans="1:8" ht="20.100000000000001" customHeight="1">
      <c r="A33" s="302" t="s">
        <v>339</v>
      </c>
      <c r="B33" s="351"/>
      <c r="C33" s="351"/>
      <c r="D33" s="351"/>
      <c r="E33" s="351"/>
    </row>
    <row r="34" spans="1:8" ht="20.100000000000001" customHeight="1">
      <c r="A34" s="302"/>
      <c r="F34" s="351"/>
      <c r="G34" s="351"/>
      <c r="H34" s="351"/>
    </row>
    <row r="35" spans="1:8" ht="20.100000000000001" customHeight="1">
      <c r="A35" s="302" t="s">
        <v>597</v>
      </c>
      <c r="F35" s="351"/>
      <c r="G35" s="351"/>
      <c r="H35" s="351"/>
    </row>
    <row r="36" spans="1:8" ht="20.100000000000001" customHeight="1">
      <c r="A36" s="302" t="s">
        <v>598</v>
      </c>
      <c r="F36" s="351"/>
      <c r="G36" s="351"/>
      <c r="H36" s="351"/>
    </row>
    <row r="37" spans="1:8" ht="20.100000000000001" customHeight="1">
      <c r="A37" s="302"/>
      <c r="F37" s="351"/>
      <c r="G37" s="351"/>
      <c r="H37" s="351"/>
    </row>
    <row r="38" spans="1:8" ht="20.100000000000001" customHeight="1">
      <c r="A38" s="353" t="s">
        <v>340</v>
      </c>
    </row>
    <row r="39" spans="1:8" ht="20.100000000000001" customHeight="1">
      <c r="A39" s="302" t="s">
        <v>341</v>
      </c>
      <c r="F39" s="351"/>
      <c r="G39" s="351"/>
      <c r="H39" s="351"/>
    </row>
    <row r="40" spans="1:8" ht="20.100000000000001" customHeight="1">
      <c r="A40" s="302" t="s">
        <v>342</v>
      </c>
      <c r="F40" s="351"/>
      <c r="G40" s="351"/>
      <c r="H40" s="351"/>
    </row>
    <row r="41" spans="1:8" ht="20.100000000000001" customHeight="1">
      <c r="A41" s="302" t="s">
        <v>343</v>
      </c>
      <c r="F41" s="351"/>
      <c r="G41" s="351"/>
      <c r="H41" s="351"/>
    </row>
    <row r="42" spans="1:8" ht="20.100000000000001" customHeight="1">
      <c r="F42" s="351"/>
      <c r="G42" s="351"/>
      <c r="H42" s="351"/>
    </row>
    <row r="43" spans="1:8" ht="20.100000000000001" customHeight="1">
      <c r="B43" s="350"/>
      <c r="C43" s="350"/>
      <c r="D43" s="350"/>
      <c r="E43" s="350"/>
    </row>
    <row r="44" spans="1:8" ht="20.100000000000001" customHeight="1">
      <c r="A44" s="719"/>
      <c r="B44" s="719"/>
      <c r="C44" s="719"/>
      <c r="D44" s="719"/>
      <c r="E44" s="331"/>
    </row>
  </sheetData>
  <mergeCells count="7">
    <mergeCell ref="A1:E1"/>
    <mergeCell ref="A2:E2"/>
    <mergeCell ref="A44:D44"/>
    <mergeCell ref="A5:D5"/>
    <mergeCell ref="F6:K6"/>
    <mergeCell ref="A7:D7"/>
    <mergeCell ref="F7:K7"/>
  </mergeCells>
  <phoneticPr fontId="123" type="noConversion"/>
  <dataValidations count="1">
    <dataValidation type="list" allowBlank="1" showInputMessage="1" showErrorMessage="1" sqref="B17:E20">
      <formula1>"是,否"</formula1>
    </dataValidation>
  </dataValidations>
  <hyperlinks>
    <hyperlink ref="E3" location="底稿目录!A1" display="D1-6"/>
  </hyperlinks>
  <pageMargins left="0.70833333333333304" right="0.70833333333333304" top="0.74791666666666701" bottom="0.74791666666666701" header="0.31458333333333299" footer="0.31458333333333299"/>
  <pageSetup paperSize="9" scale="76" fitToHeight="0" orientation="landscape"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E45"/>
  <sheetViews>
    <sheetView view="pageBreakPreview" zoomScaleNormal="100" workbookViewId="0">
      <selection sqref="A1:P1"/>
    </sheetView>
  </sheetViews>
  <sheetFormatPr defaultColWidth="9" defaultRowHeight="20.100000000000001" customHeight="1"/>
  <cols>
    <col min="1" max="1" width="13.19921875" style="43" customWidth="1"/>
    <col min="2" max="2" width="13.5" style="43" customWidth="1"/>
    <col min="3" max="3" width="13" style="43" customWidth="1"/>
    <col min="4" max="4" width="14.09765625" style="43" customWidth="1"/>
    <col min="5" max="5" width="11.19921875" style="43" customWidth="1"/>
    <col min="6" max="6" width="16.59765625" style="43" customWidth="1"/>
    <col min="7" max="7" width="17.09765625" style="43" customWidth="1"/>
    <col min="8" max="8" width="10.19921875" style="43" customWidth="1"/>
    <col min="9" max="9" width="10.8984375" style="43" customWidth="1"/>
    <col min="10" max="10" width="13.59765625" style="43" customWidth="1"/>
    <col min="11" max="11" width="11.3984375" style="43" customWidth="1"/>
    <col min="12" max="12" width="16.19921875" style="43" customWidth="1"/>
    <col min="13" max="13" width="11" style="43" customWidth="1"/>
    <col min="14" max="16" width="9.8984375" style="43" customWidth="1"/>
    <col min="17" max="20" width="11.8984375" style="43" customWidth="1"/>
    <col min="21" max="21" width="12.5" style="43" customWidth="1"/>
    <col min="22" max="22" width="12.8984375" style="43" customWidth="1"/>
    <col min="23" max="23" width="15.19921875" style="43" customWidth="1"/>
    <col min="24" max="24" width="16.8984375" style="43" customWidth="1"/>
    <col min="25" max="25" width="15.8984375" style="43" customWidth="1"/>
    <col min="26" max="26" width="17" style="43" customWidth="1"/>
    <col min="27" max="27" width="13.59765625" style="43" customWidth="1"/>
    <col min="28" max="16384" width="9" style="43"/>
  </cols>
  <sheetData>
    <row r="1" spans="1:31" s="178" customFormat="1" ht="20.100000000000001" customHeight="1">
      <c r="A1" s="712" t="s">
        <v>45</v>
      </c>
      <c r="B1" s="712"/>
      <c r="C1" s="712"/>
      <c r="D1" s="712"/>
      <c r="E1" s="712"/>
      <c r="F1" s="712"/>
      <c r="G1" s="712"/>
      <c r="H1" s="712"/>
      <c r="I1" s="712"/>
      <c r="J1" s="712"/>
      <c r="K1" s="712"/>
      <c r="L1" s="712"/>
      <c r="M1" s="712"/>
      <c r="N1" s="712"/>
      <c r="O1" s="712"/>
      <c r="P1" s="712"/>
      <c r="Q1" s="712" t="s">
        <v>45</v>
      </c>
      <c r="R1" s="712"/>
      <c r="S1" s="712"/>
      <c r="T1" s="712"/>
      <c r="U1" s="712"/>
      <c r="V1" s="712"/>
      <c r="W1" s="712"/>
      <c r="X1" s="712"/>
      <c r="Y1" s="712"/>
      <c r="Z1" s="712"/>
      <c r="AA1" s="712"/>
      <c r="AB1" s="712"/>
      <c r="AC1" s="712"/>
      <c r="AD1" s="712"/>
    </row>
    <row r="2" spans="1:31" s="41" customFormat="1" ht="20.100000000000001" customHeight="1">
      <c r="A2" s="713" t="s">
        <v>344</v>
      </c>
      <c r="B2" s="713"/>
      <c r="C2" s="713"/>
      <c r="D2" s="713"/>
      <c r="E2" s="713"/>
      <c r="F2" s="713"/>
      <c r="G2" s="713"/>
      <c r="H2" s="713"/>
      <c r="I2" s="713"/>
      <c r="J2" s="713"/>
      <c r="K2" s="713"/>
      <c r="L2" s="713"/>
      <c r="M2" s="713"/>
      <c r="N2" s="713"/>
      <c r="O2" s="713"/>
      <c r="P2" s="713"/>
      <c r="Q2" s="713" t="s">
        <v>344</v>
      </c>
      <c r="R2" s="713"/>
      <c r="S2" s="713"/>
      <c r="T2" s="713"/>
      <c r="U2" s="713"/>
      <c r="V2" s="713"/>
      <c r="W2" s="713"/>
      <c r="X2" s="713"/>
      <c r="Y2" s="713"/>
      <c r="Z2" s="713"/>
      <c r="AA2" s="713"/>
      <c r="AB2" s="713"/>
      <c r="AC2" s="713"/>
      <c r="AD2" s="713"/>
    </row>
    <row r="3" spans="1:31" ht="20.100000000000001" customHeight="1">
      <c r="A3" s="43" t="str">
        <f>底稿目录!A2</f>
        <v>被审计单位名称：</v>
      </c>
      <c r="E3" s="43" t="str">
        <f>底稿目录!A4</f>
        <v>编制人：</v>
      </c>
      <c r="I3" s="43" t="str">
        <f>底稿目录!A5</f>
        <v>编制日期：</v>
      </c>
      <c r="O3" s="195" t="s">
        <v>47</v>
      </c>
      <c r="P3" s="621" t="s">
        <v>26</v>
      </c>
      <c r="Q3" s="43" t="str">
        <f>底稿目录!A2</f>
        <v>被审计单位名称：</v>
      </c>
      <c r="V3" s="43" t="str">
        <f>底稿目录!A4</f>
        <v>编制人：</v>
      </c>
      <c r="Z3" s="43" t="str">
        <f>底稿目录!A5</f>
        <v>编制日期：</v>
      </c>
      <c r="AA3" s="272"/>
      <c r="AC3" s="195" t="s">
        <v>47</v>
      </c>
      <c r="AD3" s="621" t="s">
        <v>26</v>
      </c>
    </row>
    <row r="4" spans="1:31" ht="20.100000000000001" customHeight="1">
      <c r="A4" s="43" t="str">
        <f>底稿目录!A3</f>
        <v>截止日：202X年12月31日</v>
      </c>
      <c r="E4" s="43" t="str">
        <f>底稿目录!A6</f>
        <v>复核人：</v>
      </c>
      <c r="I4" s="43" t="str">
        <f>底稿目录!A7</f>
        <v>复核日期：</v>
      </c>
      <c r="O4" s="195" t="s">
        <v>290</v>
      </c>
      <c r="P4" s="259"/>
      <c r="Q4" s="43" t="str">
        <f>底稿目录!A3</f>
        <v>截止日：202X年12月31日</v>
      </c>
      <c r="V4" s="43" t="str">
        <f>底稿目录!A6</f>
        <v>复核人：</v>
      </c>
      <c r="Z4" s="43" t="str">
        <f>底稿目录!A7</f>
        <v>复核日期：</v>
      </c>
      <c r="AA4" s="272"/>
      <c r="AC4" s="195" t="s">
        <v>290</v>
      </c>
      <c r="AD4" s="259"/>
    </row>
    <row r="5" spans="1:31" ht="20.100000000000001" customHeight="1">
      <c r="A5" s="179" t="s">
        <v>270</v>
      </c>
      <c r="B5" s="179"/>
      <c r="I5" s="260"/>
      <c r="J5" s="260"/>
      <c r="K5" s="260"/>
      <c r="L5" s="260"/>
      <c r="M5" s="260"/>
      <c r="N5" s="260"/>
      <c r="O5" s="260"/>
      <c r="P5" s="260"/>
      <c r="Q5" s="260"/>
      <c r="R5" s="260"/>
      <c r="S5" s="260"/>
      <c r="T5" s="260"/>
      <c r="U5" s="271"/>
      <c r="V5" s="271"/>
      <c r="W5" s="271"/>
      <c r="X5" s="271"/>
      <c r="Y5" s="271"/>
      <c r="Z5" s="271"/>
    </row>
    <row r="6" spans="1:31" ht="20.100000000000001" customHeight="1">
      <c r="A6" s="182" t="s">
        <v>345</v>
      </c>
      <c r="B6" s="236"/>
      <c r="C6" s="182"/>
      <c r="I6" s="260"/>
      <c r="J6" s="260"/>
      <c r="K6" s="260"/>
      <c r="L6" s="260"/>
      <c r="M6" s="260"/>
      <c r="N6" s="260"/>
      <c r="O6" s="260"/>
      <c r="P6" s="260"/>
      <c r="Q6" s="260"/>
      <c r="R6" s="260"/>
      <c r="S6" s="260"/>
      <c r="T6" s="260"/>
      <c r="U6" s="271"/>
      <c r="V6" s="271"/>
      <c r="W6" s="271"/>
      <c r="X6" s="271"/>
      <c r="Y6" s="271"/>
      <c r="Z6" s="271"/>
    </row>
    <row r="7" spans="1:31" ht="20.100000000000001" customHeight="1">
      <c r="A7" s="179" t="s">
        <v>292</v>
      </c>
      <c r="B7" s="179"/>
    </row>
    <row r="8" spans="1:31" ht="20.100000000000001" customHeight="1">
      <c r="A8" s="201" t="s">
        <v>273</v>
      </c>
      <c r="B8" s="237"/>
      <c r="I8" s="261"/>
      <c r="J8" s="261"/>
      <c r="K8" s="261"/>
      <c r="L8" s="261"/>
      <c r="M8" s="261"/>
      <c r="N8" s="261"/>
      <c r="O8" s="261"/>
      <c r="P8" s="261"/>
      <c r="Q8" s="261"/>
      <c r="R8" s="261"/>
      <c r="S8" s="261"/>
      <c r="T8" s="261"/>
      <c r="U8" s="261"/>
      <c r="V8" s="261"/>
      <c r="W8" s="261"/>
      <c r="X8" s="261"/>
      <c r="Y8" s="261"/>
      <c r="Z8" s="261"/>
    </row>
    <row r="9" spans="1:31" ht="20.100000000000001" customHeight="1">
      <c r="A9" s="273"/>
      <c r="B9" s="274"/>
    </row>
    <row r="10" spans="1:31" ht="20.100000000000001" customHeight="1">
      <c r="A10" s="275" t="s">
        <v>346</v>
      </c>
      <c r="B10" s="276">
        <v>45657</v>
      </c>
      <c r="D10" s="277"/>
      <c r="E10" s="277"/>
      <c r="F10" s="277"/>
      <c r="G10" s="277"/>
      <c r="H10" s="277"/>
      <c r="I10" s="305"/>
      <c r="J10" s="305"/>
      <c r="K10" s="305"/>
      <c r="L10" s="305"/>
      <c r="M10" s="305"/>
      <c r="N10" s="305"/>
      <c r="O10" s="305"/>
      <c r="P10" s="305"/>
      <c r="Q10" s="305"/>
      <c r="R10" s="305"/>
      <c r="S10" s="305"/>
      <c r="T10" s="305"/>
      <c r="U10" s="305"/>
      <c r="V10" s="305"/>
      <c r="W10" s="305"/>
      <c r="X10" s="305"/>
      <c r="Y10" s="305"/>
      <c r="Z10" s="305"/>
    </row>
    <row r="11" spans="1:31" ht="20.100000000000001" customHeight="1">
      <c r="A11" s="721" t="s">
        <v>347</v>
      </c>
      <c r="B11" s="721"/>
      <c r="C11" s="721"/>
      <c r="D11" s="721"/>
      <c r="E11" s="721"/>
      <c r="F11" s="721"/>
      <c r="G11" s="721"/>
      <c r="H11" s="721"/>
      <c r="I11" s="721"/>
      <c r="J11" s="721"/>
      <c r="K11" s="721"/>
      <c r="L11" s="721"/>
      <c r="M11" s="721"/>
      <c r="N11" s="721"/>
      <c r="O11" s="721"/>
      <c r="P11" s="721"/>
      <c r="Q11" s="721" t="s">
        <v>348</v>
      </c>
      <c r="R11" s="721"/>
      <c r="S11" s="721"/>
      <c r="T11" s="721"/>
      <c r="U11" s="721"/>
      <c r="V11" s="721"/>
      <c r="W11" s="721"/>
      <c r="X11" s="721"/>
      <c r="Y11" s="721"/>
      <c r="Z11" s="721"/>
      <c r="AA11" s="721"/>
      <c r="AB11" s="721"/>
      <c r="AC11" s="721"/>
      <c r="AD11" s="721"/>
    </row>
    <row r="12" spans="1:31" ht="35.4" customHeight="1">
      <c r="A12" s="203" t="s">
        <v>349</v>
      </c>
      <c r="B12" s="203" t="s">
        <v>350</v>
      </c>
      <c r="C12" s="203" t="s">
        <v>351</v>
      </c>
      <c r="D12" s="203" t="s">
        <v>352</v>
      </c>
      <c r="E12" s="203" t="s">
        <v>353</v>
      </c>
      <c r="F12" s="203" t="s">
        <v>354</v>
      </c>
      <c r="G12" s="203" t="s">
        <v>355</v>
      </c>
      <c r="H12" s="203" t="s">
        <v>356</v>
      </c>
      <c r="I12" s="203" t="s">
        <v>357</v>
      </c>
      <c r="J12" s="306" t="s">
        <v>358</v>
      </c>
      <c r="K12" s="307" t="s">
        <v>359</v>
      </c>
      <c r="L12" s="203" t="s">
        <v>360</v>
      </c>
      <c r="M12" s="203" t="s">
        <v>361</v>
      </c>
      <c r="N12" s="203" t="s">
        <v>362</v>
      </c>
      <c r="O12" s="203" t="s">
        <v>363</v>
      </c>
      <c r="P12" s="308" t="s">
        <v>364</v>
      </c>
      <c r="Q12" s="203" t="s">
        <v>225</v>
      </c>
      <c r="R12" s="203" t="s">
        <v>365</v>
      </c>
      <c r="S12" s="203" t="s">
        <v>366</v>
      </c>
      <c r="T12" s="317" t="s">
        <v>367</v>
      </c>
      <c r="U12" s="318" t="s">
        <v>368</v>
      </c>
      <c r="V12" s="319" t="s">
        <v>369</v>
      </c>
      <c r="W12" s="319" t="s">
        <v>370</v>
      </c>
      <c r="X12" s="320" t="s">
        <v>371</v>
      </c>
      <c r="Y12" s="317" t="s">
        <v>372</v>
      </c>
      <c r="Z12" s="317" t="s">
        <v>373</v>
      </c>
      <c r="AA12" s="317" t="s">
        <v>374</v>
      </c>
      <c r="AB12" s="320" t="s">
        <v>375</v>
      </c>
      <c r="AC12" s="324" t="s">
        <v>376</v>
      </c>
      <c r="AD12" s="308" t="s">
        <v>377</v>
      </c>
    </row>
    <row r="13" spans="1:31" ht="20.100000000000001" customHeight="1">
      <c r="A13" s="278" t="s">
        <v>126</v>
      </c>
      <c r="B13" s="279"/>
      <c r="C13" s="280"/>
      <c r="D13" s="278"/>
      <c r="E13" s="281"/>
      <c r="F13" s="278"/>
      <c r="G13" s="278"/>
      <c r="H13" s="97"/>
      <c r="I13" s="96"/>
      <c r="J13" s="96"/>
      <c r="K13" s="286"/>
      <c r="L13" s="286"/>
      <c r="M13" s="286"/>
      <c r="N13" s="96"/>
      <c r="O13" s="286"/>
      <c r="P13" s="286"/>
      <c r="Q13" s="285">
        <f>IF(YEAR(C13)=YEAR($B$10)-1,H13,0)</f>
        <v>0</v>
      </c>
      <c r="R13" s="285">
        <f>H13-Q13</f>
        <v>0</v>
      </c>
      <c r="S13" s="285">
        <f>IF(K13="背书",H13,0)</f>
        <v>0</v>
      </c>
      <c r="T13" s="285">
        <f>IF(K13="到期承兑",H13,0)</f>
        <v>0</v>
      </c>
      <c r="U13" s="285">
        <f>IF(K13="贴现",H13,0)</f>
        <v>0</v>
      </c>
      <c r="V13" s="84">
        <f>Q13+R13-S13-T13-U13</f>
        <v>0</v>
      </c>
      <c r="W13" s="84">
        <f>IF(I13&lt;$B$10,0,IF(J13&lt;I13,S13+U13,0))</f>
        <v>0</v>
      </c>
      <c r="X13" s="321"/>
      <c r="Y13" s="321"/>
      <c r="Z13" s="325"/>
      <c r="AA13" s="97"/>
      <c r="AB13" s="278"/>
      <c r="AC13" s="278"/>
      <c r="AD13" s="278"/>
      <c r="AE13" s="326" t="s">
        <v>378</v>
      </c>
    </row>
    <row r="14" spans="1:31" ht="20.100000000000001" customHeight="1">
      <c r="A14" s="278" t="s">
        <v>126</v>
      </c>
      <c r="B14" s="279"/>
      <c r="C14" s="280"/>
      <c r="D14" s="278"/>
      <c r="E14" s="281"/>
      <c r="F14" s="278"/>
      <c r="G14" s="278"/>
      <c r="H14" s="97"/>
      <c r="I14" s="96"/>
      <c r="J14" s="96"/>
      <c r="K14" s="286"/>
      <c r="L14" s="286"/>
      <c r="M14" s="286"/>
      <c r="N14" s="96"/>
      <c r="O14" s="286"/>
      <c r="P14" s="286"/>
      <c r="Q14" s="285">
        <f>IF(YEAR(C14)=YEAR($B$10)-1,H14,0)</f>
        <v>0</v>
      </c>
      <c r="R14" s="285">
        <f>H14-Q14</f>
        <v>0</v>
      </c>
      <c r="S14" s="285">
        <f>IF(K14="背书",H14,0)</f>
        <v>0</v>
      </c>
      <c r="T14" s="285">
        <f>IF(K14="到期承兑",H14,0)</f>
        <v>0</v>
      </c>
      <c r="U14" s="285">
        <f>IF(K14="贴现",H14,0)</f>
        <v>0</v>
      </c>
      <c r="V14" s="84">
        <f>Q14+R14-S14-T14-U14</f>
        <v>0</v>
      </c>
      <c r="W14" s="84">
        <f>IF(I14&lt;$B$10,0,IF(J14&lt;I14,S14+U14,0))</f>
        <v>0</v>
      </c>
      <c r="X14" s="321"/>
      <c r="Y14" s="321"/>
      <c r="Z14" s="97"/>
      <c r="AA14" s="97"/>
      <c r="AB14" s="278"/>
      <c r="AC14" s="278"/>
      <c r="AD14" s="278"/>
      <c r="AE14" s="326" t="s">
        <v>379</v>
      </c>
    </row>
    <row r="15" spans="1:31" ht="20.100000000000001" customHeight="1">
      <c r="A15" s="278" t="s">
        <v>126</v>
      </c>
      <c r="B15" s="279"/>
      <c r="C15" s="280"/>
      <c r="D15" s="278"/>
      <c r="E15" s="281"/>
      <c r="F15" s="278"/>
      <c r="G15" s="278"/>
      <c r="H15" s="97"/>
      <c r="I15" s="96"/>
      <c r="J15" s="96"/>
      <c r="K15" s="286"/>
      <c r="L15" s="286"/>
      <c r="M15" s="286"/>
      <c r="N15" s="96"/>
      <c r="O15" s="286"/>
      <c r="P15" s="286"/>
      <c r="Q15" s="285">
        <f>IF(YEAR(C15)=YEAR($B$10)-1,H15,0)</f>
        <v>0</v>
      </c>
      <c r="R15" s="285">
        <f>H15-Q15</f>
        <v>0</v>
      </c>
      <c r="S15" s="285">
        <f>IF(K15="背书",H15,0)</f>
        <v>0</v>
      </c>
      <c r="T15" s="285">
        <f>IF(K15="到期承兑",H15,0)</f>
        <v>0</v>
      </c>
      <c r="U15" s="285">
        <f>IF(K15="贴现",H15,0)</f>
        <v>0</v>
      </c>
      <c r="V15" s="84">
        <f>Q15+R15-S15-T15-U15</f>
        <v>0</v>
      </c>
      <c r="W15" s="84">
        <f>IF(I15&lt;$B$10,0,IF(J15&lt;I15,S15+U15,0))</f>
        <v>0</v>
      </c>
      <c r="X15" s="321"/>
      <c r="Y15" s="321"/>
      <c r="Z15" s="97"/>
      <c r="AA15" s="97"/>
      <c r="AB15" s="278"/>
      <c r="AC15" s="278"/>
      <c r="AD15" s="278"/>
      <c r="AE15" s="326" t="s">
        <v>380</v>
      </c>
    </row>
    <row r="16" spans="1:31" ht="20.100000000000001" customHeight="1">
      <c r="A16" s="278" t="s">
        <v>126</v>
      </c>
      <c r="B16" s="279"/>
      <c r="C16" s="280"/>
      <c r="D16" s="278"/>
      <c r="E16" s="281"/>
      <c r="F16" s="278"/>
      <c r="G16" s="278"/>
      <c r="H16" s="97"/>
      <c r="I16" s="96"/>
      <c r="J16" s="96"/>
      <c r="K16" s="286"/>
      <c r="L16" s="286"/>
      <c r="M16" s="286"/>
      <c r="N16" s="96"/>
      <c r="O16" s="286"/>
      <c r="P16" s="286"/>
      <c r="Q16" s="285">
        <f>IF(YEAR(C16)=YEAR($B$10)-1,H16,0)</f>
        <v>0</v>
      </c>
      <c r="R16" s="285">
        <f>H16-Q16</f>
        <v>0</v>
      </c>
      <c r="S16" s="285">
        <f>IF(K16="背书",H16,0)</f>
        <v>0</v>
      </c>
      <c r="T16" s="285">
        <f>IF(K16="到期承兑",H16,0)</f>
        <v>0</v>
      </c>
      <c r="U16" s="285">
        <f>IF(K16="贴现",H16,0)</f>
        <v>0</v>
      </c>
      <c r="V16" s="84">
        <f>Q16+R16-S16-T16-U16</f>
        <v>0</v>
      </c>
      <c r="W16" s="84">
        <f>IF(I16&lt;$B$10,0,IF(J16&lt;I16,S16+U16,0))</f>
        <v>0</v>
      </c>
      <c r="X16" s="321"/>
      <c r="Y16" s="321"/>
      <c r="Z16" s="97"/>
      <c r="AA16" s="97"/>
      <c r="AB16" s="278"/>
      <c r="AC16" s="278"/>
      <c r="AD16" s="278"/>
      <c r="AE16" s="326" t="s">
        <v>381</v>
      </c>
    </row>
    <row r="17" spans="1:31" ht="20.100000000000001" customHeight="1">
      <c r="A17" s="278"/>
      <c r="B17" s="279"/>
      <c r="C17" s="96"/>
      <c r="D17" s="278"/>
      <c r="E17" s="281"/>
      <c r="F17" s="278"/>
      <c r="G17" s="278"/>
      <c r="H17" s="97"/>
      <c r="I17" s="96"/>
      <c r="J17" s="96"/>
      <c r="K17" s="286"/>
      <c r="L17" s="286"/>
      <c r="M17" s="286"/>
      <c r="N17" s="96"/>
      <c r="O17" s="286"/>
      <c r="P17" s="286"/>
      <c r="Q17" s="285">
        <f>IF(YEAR(C17)=YEAR($B$10)-1,H17,0)</f>
        <v>0</v>
      </c>
      <c r="R17" s="285">
        <f>H17-Q17</f>
        <v>0</v>
      </c>
      <c r="S17" s="285">
        <f>IF(K17="背书",H17,0)</f>
        <v>0</v>
      </c>
      <c r="T17" s="285">
        <f>IF(K17="到期承兑",H17,0)</f>
        <v>0</v>
      </c>
      <c r="U17" s="285">
        <f>IF(K17="贴现",H17,0)</f>
        <v>0</v>
      </c>
      <c r="V17" s="84">
        <f>Q17+R17-S17-T17-U17</f>
        <v>0</v>
      </c>
      <c r="W17" s="84">
        <f>IF(I17&lt;$B$10,0,IF(J17&lt;I17,S17+U17,0))</f>
        <v>0</v>
      </c>
      <c r="X17" s="321"/>
      <c r="Y17" s="321"/>
      <c r="Z17" s="97"/>
      <c r="AA17" s="97"/>
      <c r="AB17" s="278"/>
      <c r="AC17" s="278"/>
      <c r="AD17" s="278"/>
    </row>
    <row r="18" spans="1:31" ht="20.100000000000001" customHeight="1">
      <c r="A18" s="282" t="s">
        <v>299</v>
      </c>
      <c r="B18" s="283"/>
      <c r="C18" s="284"/>
      <c r="D18" s="282"/>
      <c r="E18" s="284"/>
      <c r="F18" s="282"/>
      <c r="G18" s="282"/>
      <c r="H18" s="285"/>
      <c r="I18" s="309"/>
      <c r="J18" s="309"/>
      <c r="K18" s="310"/>
      <c r="L18" s="310"/>
      <c r="M18" s="310"/>
      <c r="N18" s="309"/>
      <c r="O18" s="310"/>
      <c r="P18" s="310"/>
      <c r="Q18" s="285">
        <f>SUM(Q13:Q17)</f>
        <v>0</v>
      </c>
      <c r="R18" s="285">
        <f t="shared" ref="R18:W18" si="0">SUM(R13:R17)</f>
        <v>0</v>
      </c>
      <c r="S18" s="285">
        <f t="shared" si="0"/>
        <v>0</v>
      </c>
      <c r="T18" s="285">
        <f t="shared" si="0"/>
        <v>0</v>
      </c>
      <c r="U18" s="285">
        <f t="shared" si="0"/>
        <v>0</v>
      </c>
      <c r="V18" s="285">
        <f t="shared" si="0"/>
        <v>0</v>
      </c>
      <c r="W18" s="84">
        <f t="shared" si="0"/>
        <v>0</v>
      </c>
      <c r="X18" s="289"/>
      <c r="Y18" s="289"/>
      <c r="Z18" s="285"/>
      <c r="AA18" s="285"/>
      <c r="AB18" s="282"/>
      <c r="AC18" s="282"/>
      <c r="AD18" s="282"/>
    </row>
    <row r="19" spans="1:31" ht="20.100000000000001" customHeight="1">
      <c r="A19" s="278" t="s">
        <v>127</v>
      </c>
      <c r="B19" s="279"/>
      <c r="C19" s="280"/>
      <c r="D19" s="278"/>
      <c r="E19" s="281"/>
      <c r="F19" s="278"/>
      <c r="G19" s="278"/>
      <c r="H19" s="97"/>
      <c r="I19" s="96"/>
      <c r="J19" s="96"/>
      <c r="K19" s="286"/>
      <c r="L19" s="286"/>
      <c r="M19" s="286"/>
      <c r="N19" s="96"/>
      <c r="O19" s="286"/>
      <c r="P19" s="286"/>
      <c r="Q19" s="285">
        <f>IF(YEAR(C19)=YEAR($B$10)-1,H19,0)</f>
        <v>0</v>
      </c>
      <c r="R19" s="285">
        <f>H19-Q19</f>
        <v>0</v>
      </c>
      <c r="S19" s="285">
        <f>IF(K19="背书",H19,0)</f>
        <v>0</v>
      </c>
      <c r="T19" s="285">
        <f>IF(K19="到期承兑",H19,0)</f>
        <v>0</v>
      </c>
      <c r="U19" s="285">
        <f>IF(K19="贴现",H19,0)</f>
        <v>0</v>
      </c>
      <c r="V19" s="84">
        <f>Q19+R19-S19-T19-U19</f>
        <v>0</v>
      </c>
      <c r="W19" s="84">
        <f>IF(I19&lt;$B$10,0,IF(J19&lt;I19,S19+U19,0))</f>
        <v>0</v>
      </c>
      <c r="X19" s="321"/>
      <c r="Y19" s="321"/>
      <c r="Z19" s="97"/>
      <c r="AA19" s="97"/>
      <c r="AB19" s="278"/>
      <c r="AC19" s="278"/>
      <c r="AD19" s="278"/>
      <c r="AE19" s="43" t="s">
        <v>329</v>
      </c>
    </row>
    <row r="20" spans="1:31" ht="20.100000000000001" customHeight="1">
      <c r="A20" s="278" t="s">
        <v>127</v>
      </c>
      <c r="B20" s="279"/>
      <c r="C20" s="280"/>
      <c r="D20" s="278"/>
      <c r="E20" s="281"/>
      <c r="F20" s="278"/>
      <c r="G20" s="278"/>
      <c r="H20" s="97"/>
      <c r="I20" s="96"/>
      <c r="J20" s="96"/>
      <c r="K20" s="286"/>
      <c r="L20" s="286"/>
      <c r="M20" s="286"/>
      <c r="N20" s="96"/>
      <c r="O20" s="286"/>
      <c r="P20" s="286"/>
      <c r="Q20" s="285">
        <f>IF(YEAR(C20)=YEAR($B$10)-1,H20,0)</f>
        <v>0</v>
      </c>
      <c r="R20" s="285">
        <f>H20-Q20</f>
        <v>0</v>
      </c>
      <c r="S20" s="285">
        <f>IF(K20="背书",H20,0)</f>
        <v>0</v>
      </c>
      <c r="T20" s="285">
        <f>IF(K20="到期承兑",H20,0)</f>
        <v>0</v>
      </c>
      <c r="U20" s="285">
        <f>IF(K20="贴现",H20,0)</f>
        <v>0</v>
      </c>
      <c r="V20" s="84">
        <f>Q20+R20-S20-T20-U20</f>
        <v>0</v>
      </c>
      <c r="W20" s="84">
        <f>IF(I20&lt;$B$10,0,IF(J20&lt;I20,S20+U20,0))</f>
        <v>0</v>
      </c>
      <c r="X20" s="321"/>
      <c r="Y20" s="321"/>
      <c r="Z20" s="97"/>
      <c r="AA20" s="97"/>
      <c r="AB20" s="278"/>
      <c r="AC20" s="278"/>
      <c r="AD20" s="278"/>
      <c r="AE20" s="43" t="s">
        <v>331</v>
      </c>
    </row>
    <row r="21" spans="1:31" ht="20.100000000000001" customHeight="1">
      <c r="A21" s="278" t="s">
        <v>127</v>
      </c>
      <c r="B21" s="279"/>
      <c r="C21" s="280"/>
      <c r="D21" s="278"/>
      <c r="E21" s="281"/>
      <c r="F21" s="278"/>
      <c r="G21" s="278"/>
      <c r="H21" s="97"/>
      <c r="I21" s="96"/>
      <c r="J21" s="96"/>
      <c r="K21" s="286"/>
      <c r="L21" s="286"/>
      <c r="M21" s="286"/>
      <c r="N21" s="96"/>
      <c r="O21" s="286"/>
      <c r="P21" s="286"/>
      <c r="Q21" s="285">
        <f>IF(YEAR(C21)=YEAR($B$10)-1,H21,0)</f>
        <v>0</v>
      </c>
      <c r="R21" s="285">
        <f>H21-Q21</f>
        <v>0</v>
      </c>
      <c r="S21" s="285">
        <f>IF(K21="背书",H21,0)</f>
        <v>0</v>
      </c>
      <c r="T21" s="285">
        <f>IF(K21="到期承兑",H21,0)</f>
        <v>0</v>
      </c>
      <c r="U21" s="285">
        <f>IF(K21="贴现",H21,0)</f>
        <v>0</v>
      </c>
      <c r="V21" s="84">
        <f>Q21+R21-S21-T21-U21</f>
        <v>0</v>
      </c>
      <c r="W21" s="84">
        <f>IF(I21&lt;$B$10,0,IF(J21&lt;I21,S21+U21,0))</f>
        <v>0</v>
      </c>
      <c r="X21" s="321"/>
      <c r="Y21" s="321"/>
      <c r="Z21" s="97"/>
      <c r="AA21" s="97"/>
      <c r="AB21" s="278"/>
      <c r="AC21" s="278"/>
      <c r="AD21" s="278"/>
      <c r="AE21" s="43" t="s">
        <v>382</v>
      </c>
    </row>
    <row r="22" spans="1:31" ht="20.100000000000001" customHeight="1">
      <c r="A22" s="278" t="s">
        <v>127</v>
      </c>
      <c r="B22" s="279"/>
      <c r="C22" s="280"/>
      <c r="D22" s="278"/>
      <c r="E22" s="281"/>
      <c r="F22" s="278"/>
      <c r="G22" s="278"/>
      <c r="H22" s="97"/>
      <c r="I22" s="96"/>
      <c r="J22" s="96"/>
      <c r="K22" s="286"/>
      <c r="L22" s="286"/>
      <c r="M22" s="286"/>
      <c r="N22" s="96"/>
      <c r="O22" s="286"/>
      <c r="P22" s="286"/>
      <c r="Q22" s="285">
        <f>IF(YEAR(C22)=YEAR($B$10)-1,H22,0)</f>
        <v>0</v>
      </c>
      <c r="R22" s="285">
        <f>H22-Q22</f>
        <v>0</v>
      </c>
      <c r="S22" s="285">
        <f>IF(K22="背书",H22,0)</f>
        <v>0</v>
      </c>
      <c r="T22" s="285">
        <f>IF(K22="到期承兑",H22,0)</f>
        <v>0</v>
      </c>
      <c r="U22" s="285">
        <f>IF(K22="贴现",H22,0)</f>
        <v>0</v>
      </c>
      <c r="V22" s="84">
        <f>Q22+R22-S22-T22-U22</f>
        <v>0</v>
      </c>
      <c r="W22" s="84">
        <f>IF(I22&lt;$B$10,0,IF(J22&lt;I22,S22+U22,0))</f>
        <v>0</v>
      </c>
      <c r="X22" s="321"/>
      <c r="Y22" s="321"/>
      <c r="Z22" s="97"/>
      <c r="AA22" s="97"/>
      <c r="AB22" s="278"/>
      <c r="AC22" s="278"/>
      <c r="AD22" s="278"/>
    </row>
    <row r="23" spans="1:31" ht="20.100000000000001" customHeight="1">
      <c r="A23" s="286"/>
      <c r="B23" s="279"/>
      <c r="C23" s="281"/>
      <c r="D23" s="278"/>
      <c r="E23" s="281"/>
      <c r="F23" s="278"/>
      <c r="G23" s="278"/>
      <c r="H23" s="97"/>
      <c r="I23" s="96"/>
      <c r="J23" s="96"/>
      <c r="K23" s="286"/>
      <c r="L23" s="286"/>
      <c r="M23" s="286"/>
      <c r="N23" s="96"/>
      <c r="O23" s="286"/>
      <c r="P23" s="286"/>
      <c r="Q23" s="285">
        <f t="shared" ref="Q23" si="1">IF(YEAR(A23)=YEAR($B$10)-1,H23,0)</f>
        <v>0</v>
      </c>
      <c r="R23" s="285">
        <f>H23-Q23</f>
        <v>0</v>
      </c>
      <c r="S23" s="285">
        <f>IF(K23="背书",H23,0)</f>
        <v>0</v>
      </c>
      <c r="T23" s="285">
        <f>IF(K23="到期承兑",H23,0)</f>
        <v>0</v>
      </c>
      <c r="U23" s="285">
        <f>IF(K23="贴现",H23,0)</f>
        <v>0</v>
      </c>
      <c r="V23" s="84">
        <f>Q23+R23-S23-T23-U23</f>
        <v>0</v>
      </c>
      <c r="W23" s="84">
        <f>IF(I23&lt;$B$10,0,IF(J23&lt;I23,S23+U23,0))</f>
        <v>0</v>
      </c>
      <c r="X23" s="321"/>
      <c r="Y23" s="321"/>
      <c r="Z23" s="97"/>
      <c r="AA23" s="97"/>
      <c r="AB23" s="278"/>
      <c r="AC23" s="278"/>
      <c r="AD23" s="278"/>
    </row>
    <row r="24" spans="1:31" ht="20.100000000000001" customHeight="1">
      <c r="A24" s="282" t="s">
        <v>300</v>
      </c>
      <c r="B24" s="282"/>
      <c r="C24" s="282"/>
      <c r="D24" s="282"/>
      <c r="E24" s="282"/>
      <c r="F24" s="282"/>
      <c r="G24" s="282"/>
      <c r="H24" s="287"/>
      <c r="I24" s="310"/>
      <c r="J24" s="310"/>
      <c r="K24" s="310"/>
      <c r="L24" s="310"/>
      <c r="M24" s="310"/>
      <c r="N24" s="310"/>
      <c r="O24" s="310"/>
      <c r="P24" s="310"/>
      <c r="Q24" s="285">
        <f>SUM(Q19:Q23)</f>
        <v>0</v>
      </c>
      <c r="R24" s="285">
        <f t="shared" ref="R24:W24" si="2">SUM(R19:R23)</f>
        <v>0</v>
      </c>
      <c r="S24" s="285">
        <f t="shared" si="2"/>
        <v>0</v>
      </c>
      <c r="T24" s="285">
        <f t="shared" si="2"/>
        <v>0</v>
      </c>
      <c r="U24" s="285">
        <f t="shared" si="2"/>
        <v>0</v>
      </c>
      <c r="V24" s="285">
        <f t="shared" si="2"/>
        <v>0</v>
      </c>
      <c r="W24" s="285">
        <f t="shared" si="2"/>
        <v>0</v>
      </c>
      <c r="X24" s="289"/>
      <c r="Y24" s="289"/>
      <c r="Z24" s="285"/>
      <c r="AA24" s="285"/>
      <c r="AB24" s="282"/>
      <c r="AC24" s="282"/>
      <c r="AD24" s="282"/>
    </row>
    <row r="25" spans="1:31" ht="20.100000000000001" customHeight="1">
      <c r="A25" s="288" t="s">
        <v>131</v>
      </c>
      <c r="B25" s="282"/>
      <c r="C25" s="282"/>
      <c r="D25" s="282"/>
      <c r="E25" s="282"/>
      <c r="F25" s="282"/>
      <c r="G25" s="282"/>
      <c r="H25" s="289"/>
      <c r="I25" s="310"/>
      <c r="J25" s="282"/>
      <c r="K25" s="282"/>
      <c r="L25" s="282"/>
      <c r="M25" s="282"/>
      <c r="N25" s="84">
        <f t="shared" ref="N25" si="3">SUM(N13:N24)</f>
        <v>0</v>
      </c>
      <c r="O25" s="84"/>
      <c r="P25" s="84"/>
      <c r="Q25" s="84">
        <f>Q24+Q18</f>
        <v>0</v>
      </c>
      <c r="R25" s="84">
        <f t="shared" ref="R25:W25" si="4">R24+R18</f>
        <v>0</v>
      </c>
      <c r="S25" s="84">
        <f t="shared" si="4"/>
        <v>0</v>
      </c>
      <c r="T25" s="84">
        <f t="shared" si="4"/>
        <v>0</v>
      </c>
      <c r="U25" s="84">
        <f t="shared" si="4"/>
        <v>0</v>
      </c>
      <c r="V25" s="84">
        <f t="shared" si="4"/>
        <v>0</v>
      </c>
      <c r="W25" s="84">
        <f t="shared" si="4"/>
        <v>0</v>
      </c>
      <c r="X25" s="289"/>
      <c r="Y25" s="289"/>
      <c r="Z25" s="285"/>
      <c r="AA25" s="285"/>
      <c r="AB25" s="282"/>
      <c r="AC25" s="282"/>
      <c r="AD25" s="282"/>
    </row>
    <row r="26" spans="1:31" ht="20.100000000000001" customHeight="1">
      <c r="A26" s="179" t="s">
        <v>301</v>
      </c>
      <c r="B26" s="259"/>
      <c r="C26" s="45"/>
    </row>
    <row r="27" spans="1:31" ht="20.100000000000001" customHeight="1">
      <c r="A27" s="290" t="s">
        <v>383</v>
      </c>
      <c r="B27" s="42"/>
      <c r="C27" s="45"/>
      <c r="D27" s="45"/>
      <c r="E27" s="45"/>
      <c r="G27" s="290" t="s">
        <v>384</v>
      </c>
      <c r="H27" s="45"/>
      <c r="I27" s="45"/>
      <c r="K27" s="311"/>
      <c r="L27" s="41"/>
      <c r="M27" s="41"/>
      <c r="N27" s="41"/>
      <c r="O27" s="41"/>
      <c r="P27" s="41"/>
      <c r="Q27" s="41"/>
      <c r="R27" s="322"/>
      <c r="S27" s="322"/>
      <c r="T27" s="322"/>
      <c r="U27" s="322"/>
      <c r="V27" s="322"/>
      <c r="W27" s="322"/>
      <c r="X27" s="322"/>
      <c r="Y27" s="322"/>
      <c r="Z27" s="322"/>
    </row>
    <row r="28" spans="1:31" ht="20.100000000000001" customHeight="1">
      <c r="A28" s="291" t="s">
        <v>114</v>
      </c>
      <c r="B28" s="291" t="s">
        <v>148</v>
      </c>
      <c r="C28" s="291" t="s">
        <v>385</v>
      </c>
      <c r="D28" s="291" t="s">
        <v>386</v>
      </c>
      <c r="E28" s="291" t="s">
        <v>144</v>
      </c>
      <c r="G28" s="291" t="s">
        <v>387</v>
      </c>
      <c r="H28" s="292" t="s">
        <v>388</v>
      </c>
      <c r="I28" s="312" t="s">
        <v>389</v>
      </c>
      <c r="K28" s="311"/>
      <c r="L28" s="41"/>
      <c r="M28" s="41"/>
      <c r="N28" s="41"/>
      <c r="O28" s="41"/>
      <c r="P28" s="41"/>
      <c r="Q28" s="41"/>
      <c r="R28" s="322"/>
      <c r="S28" s="322"/>
      <c r="T28" s="322"/>
      <c r="U28" s="322"/>
      <c r="V28" s="322"/>
      <c r="X28" s="322"/>
      <c r="Y28" s="322"/>
      <c r="Z28" s="322"/>
    </row>
    <row r="29" spans="1:31" s="259" customFormat="1" ht="20.100000000000001" customHeight="1">
      <c r="A29" s="293" t="s">
        <v>390</v>
      </c>
      <c r="B29" s="294">
        <f>Q25</f>
        <v>0</v>
      </c>
      <c r="C29" s="294">
        <f>R25</f>
        <v>0</v>
      </c>
      <c r="D29" s="294">
        <f>S25+T25+U25</f>
        <v>0</v>
      </c>
      <c r="E29" s="295">
        <f>B29+C29-D29</f>
        <v>0</v>
      </c>
      <c r="G29" s="296" t="s">
        <v>391</v>
      </c>
      <c r="H29" s="297">
        <f>SUMIFS($W$13:$W$24,$X$13:$X$24,"是",$K$13:$K$24,"背书",$A$13:$A$24,"银行承兑汇票")</f>
        <v>0</v>
      </c>
      <c r="I29" s="313">
        <f>SUMIFS($W$13:$W$24,$X$13:$X$24,"否",$K$13:$K$24,"背书",$A$13:$A$24,"银行承兑汇票")</f>
        <v>0</v>
      </c>
      <c r="K29" s="271"/>
      <c r="L29" s="271"/>
      <c r="M29" s="271"/>
      <c r="N29" s="271"/>
      <c r="O29" s="271"/>
      <c r="P29" s="271"/>
      <c r="Q29" s="271"/>
    </row>
    <row r="30" spans="1:31" ht="20.100000000000001" customHeight="1">
      <c r="A30" s="293" t="s">
        <v>392</v>
      </c>
      <c r="B30" s="294">
        <f>'原值明细表（按类别）D1-2'!B14</f>
        <v>0</v>
      </c>
      <c r="C30" s="295">
        <f>'原值明细表（按类别）D1-2'!F14</f>
        <v>0</v>
      </c>
      <c r="D30" s="295">
        <f>'原值明细表（按类别）D1-2'!G14</f>
        <v>0</v>
      </c>
      <c r="E30" s="295">
        <f>B30+C30-D30</f>
        <v>0</v>
      </c>
      <c r="G30" s="296" t="s">
        <v>393</v>
      </c>
      <c r="H30" s="298">
        <f>SUMIFS($W$13:$W$24,$X$13:$X$24,"是",$K$13:$K$24,"背书",$A$13:$A$24,"商业承兑汇票")</f>
        <v>0</v>
      </c>
      <c r="I30" s="313">
        <f>SUMIFS($W$13:$W$24,$X$13:$X$24,"否",$K$13:$K$24,"背书",$A$13:$A$24,"商业承兑汇票")</f>
        <v>0</v>
      </c>
      <c r="K30" s="271"/>
      <c r="L30" s="271"/>
      <c r="M30" s="271"/>
      <c r="N30" s="271"/>
      <c r="O30" s="271"/>
      <c r="P30" s="271"/>
      <c r="Q30" s="271"/>
    </row>
    <row r="31" spans="1:31" ht="20.100000000000001" customHeight="1">
      <c r="A31" s="299" t="s">
        <v>394</v>
      </c>
      <c r="B31" s="294">
        <f>B29-B30</f>
        <v>0</v>
      </c>
      <c r="C31" s="294">
        <f t="shared" ref="C31:E31" si="5">C29-C30</f>
        <v>0</v>
      </c>
      <c r="D31" s="294">
        <f t="shared" si="5"/>
        <v>0</v>
      </c>
      <c r="E31" s="294">
        <f t="shared" si="5"/>
        <v>0</v>
      </c>
      <c r="G31" s="296" t="s">
        <v>395</v>
      </c>
      <c r="H31" s="298">
        <f>SUMIFS($W$13:$W$24,$X$13:$X$24,"是",$K$13:$K$24,"贴现",$A$13:$A$24,"银行承兑汇票")</f>
        <v>0</v>
      </c>
      <c r="I31" s="313">
        <f>SUMIFS($W$13:$W$24,$X$13:$X$24,"否",$K$13:$K$24,"贴现",$A$13:$A$24,"银行承兑汇票")</f>
        <v>0</v>
      </c>
      <c r="K31" s="271"/>
      <c r="L31" s="271"/>
      <c r="M31" s="271"/>
      <c r="N31" s="271"/>
      <c r="O31" s="271"/>
      <c r="P31" s="271"/>
      <c r="Q31" s="271"/>
    </row>
    <row r="32" spans="1:31" ht="20.100000000000001" customHeight="1">
      <c r="G32" s="296" t="s">
        <v>396</v>
      </c>
      <c r="H32" s="298">
        <f>SUMIFS($W$13:$W$24,$X$13:$X$24,"是",$K$13:$K$24,"贴现",$A$13:$A$24,"商业承兑汇票")</f>
        <v>0</v>
      </c>
      <c r="I32" s="314">
        <f>SUMIFS($W$13:$W$24,$X$13:$X$24,"否",$K$13:$K$24,"贴现",$A$13:$A$24,"商业承兑汇票")</f>
        <v>0</v>
      </c>
      <c r="K32" s="315"/>
      <c r="L32" s="271"/>
      <c r="M32" s="271"/>
      <c r="N32" s="271"/>
      <c r="O32" s="271"/>
      <c r="P32" s="271"/>
      <c r="Q32" s="323"/>
    </row>
    <row r="33" spans="1:17" ht="20.100000000000001" customHeight="1">
      <c r="B33" s="271"/>
      <c r="C33" s="271"/>
      <c r="D33" s="271"/>
      <c r="F33" s="271"/>
      <c r="G33" s="300" t="s">
        <v>131</v>
      </c>
      <c r="H33" s="298">
        <f>SUM(H29:H32)</f>
        <v>0</v>
      </c>
      <c r="I33" s="313">
        <f>SUM(I29:I32)</f>
        <v>0</v>
      </c>
      <c r="K33" s="315"/>
      <c r="L33" s="271"/>
      <c r="M33" s="271"/>
      <c r="N33" s="271"/>
      <c r="O33" s="271"/>
      <c r="P33" s="271"/>
      <c r="Q33" s="323"/>
    </row>
    <row r="34" spans="1:17" ht="20.100000000000001" customHeight="1">
      <c r="B34" s="259"/>
      <c r="C34" s="45"/>
      <c r="G34" s="301" t="s">
        <v>397</v>
      </c>
      <c r="H34" s="297">
        <f>W25-H33-I33</f>
        <v>0</v>
      </c>
      <c r="I34" s="316"/>
    </row>
    <row r="35" spans="1:17" ht="20.100000000000001" customHeight="1">
      <c r="A35" s="179" t="s">
        <v>302</v>
      </c>
    </row>
    <row r="36" spans="1:17" ht="20.100000000000001" customHeight="1">
      <c r="A36" s="179"/>
    </row>
    <row r="37" spans="1:17" ht="20.100000000000001" customHeight="1">
      <c r="A37" s="302" t="s">
        <v>398</v>
      </c>
    </row>
    <row r="38" spans="1:17" ht="20.100000000000001" customHeight="1">
      <c r="A38" s="302" t="s">
        <v>399</v>
      </c>
    </row>
    <row r="39" spans="1:17" ht="20.100000000000001" customHeight="1">
      <c r="A39" s="302" t="s">
        <v>400</v>
      </c>
      <c r="B39" s="302"/>
      <c r="C39" s="302"/>
      <c r="D39" s="302"/>
      <c r="E39" s="302"/>
      <c r="F39" s="302"/>
      <c r="G39" s="302"/>
    </row>
    <row r="40" spans="1:17" ht="20.100000000000001" customHeight="1">
      <c r="A40" s="302" t="s">
        <v>401</v>
      </c>
      <c r="B40" s="302"/>
      <c r="C40" s="302"/>
      <c r="D40" s="302"/>
      <c r="E40" s="302"/>
      <c r="F40" s="302"/>
      <c r="G40" s="302"/>
    </row>
    <row r="41" spans="1:17" ht="20.100000000000001" customHeight="1">
      <c r="A41" s="302"/>
    </row>
    <row r="44" spans="1:17" ht="20.100000000000001" customHeight="1">
      <c r="A44" s="303"/>
      <c r="B44" s="304"/>
      <c r="C44" s="304"/>
      <c r="D44" s="304"/>
      <c r="E44" s="304"/>
      <c r="F44" s="304"/>
      <c r="G44" s="304"/>
      <c r="H44" s="304"/>
      <c r="I44" s="304"/>
      <c r="J44" s="304"/>
      <c r="K44" s="304"/>
    </row>
    <row r="45" spans="1:17" ht="20.100000000000001" customHeight="1">
      <c r="A45" s="5"/>
      <c r="B45" s="304"/>
      <c r="C45" s="304"/>
      <c r="D45" s="304"/>
      <c r="E45" s="304"/>
      <c r="F45" s="304"/>
      <c r="G45" s="304"/>
      <c r="H45" s="304"/>
      <c r="I45" s="304"/>
      <c r="J45" s="304"/>
      <c r="K45" s="304"/>
    </row>
  </sheetData>
  <mergeCells count="6">
    <mergeCell ref="A1:P1"/>
    <mergeCell ref="Q1:AD1"/>
    <mergeCell ref="A2:P2"/>
    <mergeCell ref="Q2:AD2"/>
    <mergeCell ref="A11:P11"/>
    <mergeCell ref="Q11:AD11"/>
  </mergeCells>
  <phoneticPr fontId="123" type="noConversion"/>
  <dataValidations count="5">
    <dataValidation allowBlank="1" showInputMessage="1" sqref="H31:I31 I32 K32:K33"/>
    <dataValidation type="list" allowBlank="1" showInputMessage="1" sqref="K31">
      <formula1>"核对无差额，借方发生额可以确认,存在差额的主要原因为："</formula1>
    </dataValidation>
    <dataValidation type="list" allowBlank="1" showInputMessage="1" showErrorMessage="1" sqref="K13:K24">
      <formula1>$AE$13:$AE$16</formula1>
    </dataValidation>
    <dataValidation type="list" allowBlank="1" showInputMessage="1" showErrorMessage="1" sqref="X13:X17 X20:X23">
      <formula1>$AE$19:$AE$21</formula1>
    </dataValidation>
    <dataValidation type="list" allowBlank="1" showInputMessage="1" showErrorMessage="1" sqref="AC13:AC17 AC19:AC23 O19:P23 O13:P17">
      <formula1>$AE$19:$AE$20</formula1>
    </dataValidation>
  </dataValidations>
  <hyperlinks>
    <hyperlink ref="AD3" location="底稿目录!A1" display="D1-7"/>
    <hyperlink ref="P3" location="底稿目录!A1" display="D1-7"/>
  </hyperlinks>
  <pageMargins left="0.70833333333333304" right="0.70833333333333304" top="0.74791666666666701" bottom="0.74791666666666701" header="0.31458333333333299" footer="0.31458333333333299"/>
  <pageSetup paperSize="9" scale="61" fitToHeight="0" orientation="landscape" blackAndWhite="1" r:id="rId1"/>
  <headerFooter alignWithMargins="0">
    <oddFooter>&amp;C&amp;P/&amp;N</oddFooter>
  </headerFooter>
  <colBreaks count="1" manualBreakCount="1">
    <brk id="16" max="3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
  <sheetViews>
    <sheetView view="pageBreakPreview" zoomScaleNormal="100" workbookViewId="0">
      <selection sqref="A1:P1"/>
    </sheetView>
  </sheetViews>
  <sheetFormatPr defaultColWidth="8.69921875" defaultRowHeight="19.95" customHeight="1"/>
  <cols>
    <col min="1" max="2" width="8.69921875" style="150"/>
    <col min="3" max="3" width="12.8984375" style="150" customWidth="1"/>
    <col min="4" max="8" width="8.69921875" style="150"/>
    <col min="9" max="9" width="12.8984375" style="150" customWidth="1"/>
    <col min="10" max="10" width="8.69921875" style="150"/>
    <col min="11" max="11" width="15.5" style="150" customWidth="1"/>
    <col min="12" max="16384" width="8.69921875" style="150"/>
  </cols>
  <sheetData>
    <row r="1" spans="1:30" s="178" customFormat="1" ht="20.100000000000001" customHeight="1">
      <c r="A1" s="712" t="s">
        <v>45</v>
      </c>
      <c r="B1" s="712"/>
      <c r="C1" s="712"/>
      <c r="D1" s="712"/>
      <c r="E1" s="712"/>
      <c r="F1" s="712"/>
      <c r="G1" s="712"/>
      <c r="H1" s="712"/>
      <c r="I1" s="712"/>
      <c r="J1" s="712"/>
      <c r="K1" s="712"/>
      <c r="L1" s="712"/>
      <c r="M1" s="712"/>
      <c r="N1" s="712"/>
      <c r="O1" s="712"/>
      <c r="P1" s="712"/>
      <c r="Q1" s="269"/>
      <c r="R1" s="269"/>
      <c r="S1" s="269"/>
      <c r="T1" s="269"/>
      <c r="U1" s="269"/>
      <c r="V1" s="269"/>
      <c r="W1" s="269"/>
      <c r="X1" s="269"/>
      <c r="Y1" s="269"/>
      <c r="Z1" s="269"/>
      <c r="AA1" s="269"/>
      <c r="AB1" s="269"/>
      <c r="AC1" s="269"/>
      <c r="AD1" s="269"/>
    </row>
    <row r="2" spans="1:30" s="41" customFormat="1" ht="20.100000000000001" customHeight="1">
      <c r="A2" s="713" t="s">
        <v>27</v>
      </c>
      <c r="B2" s="713"/>
      <c r="C2" s="713"/>
      <c r="D2" s="713"/>
      <c r="E2" s="713"/>
      <c r="F2" s="713"/>
      <c r="G2" s="713"/>
      <c r="H2" s="713"/>
      <c r="I2" s="713"/>
      <c r="J2" s="713"/>
      <c r="K2" s="713"/>
      <c r="L2" s="713"/>
      <c r="M2" s="713"/>
      <c r="N2" s="713"/>
      <c r="O2" s="713"/>
      <c r="P2" s="713"/>
      <c r="Q2" s="270"/>
      <c r="R2" s="270"/>
      <c r="S2" s="270"/>
      <c r="T2" s="270"/>
      <c r="U2" s="270"/>
      <c r="V2" s="270"/>
      <c r="W2" s="270"/>
      <c r="X2" s="270"/>
      <c r="Y2" s="270"/>
      <c r="Z2" s="270"/>
      <c r="AA2" s="270"/>
      <c r="AB2" s="270"/>
      <c r="AC2" s="270"/>
      <c r="AD2" s="270"/>
    </row>
    <row r="3" spans="1:30" s="43" customFormat="1" ht="20.100000000000001" customHeight="1">
      <c r="A3" s="43" t="str">
        <f>底稿目录!A2</f>
        <v>被审计单位名称：</v>
      </c>
      <c r="E3" s="43" t="str">
        <f>底稿目录!A4</f>
        <v>编制人：</v>
      </c>
      <c r="I3" s="43" t="str">
        <f>底稿目录!A5</f>
        <v>编制日期：</v>
      </c>
      <c r="O3" s="195" t="s">
        <v>47</v>
      </c>
      <c r="P3" s="621" t="str">
        <f>底稿目录!F14</f>
        <v>D1-8</v>
      </c>
      <c r="AA3" s="272"/>
      <c r="AC3" s="195"/>
      <c r="AD3" s="7"/>
    </row>
    <row r="4" spans="1:30" s="43" customFormat="1" ht="20.100000000000001" customHeight="1">
      <c r="A4" s="43" t="str">
        <f>底稿目录!A3</f>
        <v>截止日：202X年12月31日</v>
      </c>
      <c r="E4" s="43" t="str">
        <f>底稿目录!A6</f>
        <v>复核人：</v>
      </c>
      <c r="I4" s="43" t="str">
        <f>底稿目录!A7</f>
        <v>复核日期：</v>
      </c>
      <c r="O4" s="195" t="s">
        <v>290</v>
      </c>
      <c r="P4" s="259"/>
      <c r="AA4" s="272"/>
      <c r="AC4" s="195"/>
      <c r="AD4" s="259"/>
    </row>
    <row r="5" spans="1:30" s="43" customFormat="1" ht="20.100000000000001" customHeight="1">
      <c r="A5" s="179" t="s">
        <v>270</v>
      </c>
      <c r="B5" s="179"/>
      <c r="I5" s="260"/>
      <c r="J5" s="260"/>
      <c r="K5" s="260"/>
      <c r="L5" s="260"/>
      <c r="M5" s="260"/>
      <c r="N5" s="260"/>
      <c r="O5" s="260"/>
      <c r="P5" s="260"/>
      <c r="Q5" s="260"/>
      <c r="R5" s="260"/>
      <c r="S5" s="260"/>
      <c r="T5" s="260"/>
      <c r="U5" s="271"/>
      <c r="V5" s="271"/>
      <c r="W5" s="271"/>
      <c r="X5" s="271"/>
      <c r="Y5" s="271"/>
      <c r="Z5" s="271"/>
    </row>
    <row r="6" spans="1:30" s="43" customFormat="1" ht="20.100000000000001" customHeight="1">
      <c r="A6" s="182" t="s">
        <v>402</v>
      </c>
      <c r="B6" s="236"/>
      <c r="C6" s="182"/>
      <c r="I6" s="260"/>
      <c r="J6" s="260"/>
      <c r="K6" s="260"/>
      <c r="L6" s="260"/>
      <c r="M6" s="260"/>
      <c r="N6" s="260"/>
      <c r="O6" s="260"/>
      <c r="P6" s="260"/>
      <c r="Q6" s="260"/>
      <c r="R6" s="260"/>
      <c r="S6" s="260"/>
      <c r="T6" s="260"/>
      <c r="U6" s="271"/>
      <c r="V6" s="271"/>
      <c r="W6" s="271"/>
      <c r="X6" s="271"/>
      <c r="Y6" s="271"/>
      <c r="Z6" s="271"/>
    </row>
    <row r="7" spans="1:30" s="43" customFormat="1" ht="20.100000000000001" customHeight="1">
      <c r="A7" s="182" t="s">
        <v>403</v>
      </c>
      <c r="B7" s="236"/>
      <c r="C7" s="182"/>
      <c r="I7" s="260"/>
      <c r="J7" s="260"/>
      <c r="K7" s="260"/>
      <c r="L7" s="260"/>
      <c r="M7" s="260"/>
      <c r="N7" s="260"/>
      <c r="O7" s="260"/>
      <c r="P7" s="260"/>
      <c r="Q7" s="260"/>
      <c r="R7" s="260"/>
      <c r="S7" s="260"/>
      <c r="T7" s="260"/>
      <c r="U7" s="271"/>
      <c r="V7" s="271"/>
      <c r="W7" s="271"/>
      <c r="X7" s="271"/>
      <c r="Y7" s="271"/>
      <c r="Z7" s="271"/>
    </row>
    <row r="8" spans="1:30" s="43" customFormat="1" ht="20.100000000000001" customHeight="1">
      <c r="A8" s="179" t="s">
        <v>292</v>
      </c>
      <c r="B8" s="179"/>
    </row>
    <row r="9" spans="1:30" s="43" customFormat="1" ht="20.100000000000001" customHeight="1">
      <c r="A9" s="201" t="s">
        <v>273</v>
      </c>
      <c r="B9" s="237"/>
      <c r="I9" s="261"/>
      <c r="J9" s="261"/>
      <c r="K9" s="261"/>
      <c r="L9" s="261"/>
      <c r="M9" s="261"/>
      <c r="N9" s="261"/>
      <c r="O9" s="261"/>
      <c r="P9" s="261"/>
      <c r="Q9" s="261"/>
      <c r="R9" s="261"/>
      <c r="S9" s="261"/>
      <c r="T9" s="261"/>
      <c r="U9" s="261"/>
      <c r="V9" s="261"/>
      <c r="W9" s="261"/>
      <c r="X9" s="261"/>
      <c r="Y9" s="261"/>
      <c r="Z9" s="261"/>
    </row>
    <row r="11" spans="1:30" ht="19.95" customHeight="1">
      <c r="A11" s="238" t="s">
        <v>404</v>
      </c>
    </row>
    <row r="12" spans="1:30" ht="19.95" customHeight="1">
      <c r="A12" s="722" t="s">
        <v>143</v>
      </c>
      <c r="B12" s="722" t="s">
        <v>405</v>
      </c>
      <c r="C12" s="722" t="s">
        <v>406</v>
      </c>
      <c r="D12" s="722" t="s">
        <v>350</v>
      </c>
      <c r="E12" s="722" t="s">
        <v>407</v>
      </c>
      <c r="F12" s="722" t="s">
        <v>408</v>
      </c>
      <c r="G12" s="722" t="s">
        <v>353</v>
      </c>
      <c r="H12" s="722" t="s">
        <v>409</v>
      </c>
      <c r="I12" s="722" t="s">
        <v>410</v>
      </c>
      <c r="J12" s="722" t="s">
        <v>411</v>
      </c>
      <c r="K12" s="722" t="s">
        <v>361</v>
      </c>
      <c r="L12" s="722" t="s">
        <v>412</v>
      </c>
      <c r="M12" s="722" t="s">
        <v>362</v>
      </c>
      <c r="N12" s="722" t="s">
        <v>413</v>
      </c>
      <c r="O12" s="722" t="s">
        <v>414</v>
      </c>
      <c r="P12" s="722" t="s">
        <v>4</v>
      </c>
    </row>
    <row r="13" spans="1:30" ht="19.95" customHeight="1">
      <c r="A13" s="723"/>
      <c r="B13" s="723"/>
      <c r="C13" s="723"/>
      <c r="D13" s="723"/>
      <c r="E13" s="723"/>
      <c r="F13" s="723"/>
      <c r="G13" s="723"/>
      <c r="H13" s="723"/>
      <c r="I13" s="723"/>
      <c r="J13" s="723"/>
      <c r="K13" s="723"/>
      <c r="L13" s="723"/>
      <c r="M13" s="723"/>
      <c r="N13" s="723"/>
      <c r="O13" s="723"/>
      <c r="P13" s="723"/>
    </row>
    <row r="14" spans="1:30" ht="19.95" customHeight="1">
      <c r="A14" s="239"/>
      <c r="B14" s="240"/>
      <c r="C14" s="241"/>
      <c r="D14" s="242"/>
      <c r="E14" s="243"/>
      <c r="F14" s="243"/>
      <c r="G14" s="244"/>
      <c r="H14" s="240"/>
      <c r="I14" s="262"/>
      <c r="J14" s="262"/>
      <c r="K14" s="241"/>
      <c r="L14" s="243"/>
      <c r="M14" s="243"/>
      <c r="N14" s="241"/>
      <c r="O14" s="241"/>
      <c r="P14" s="263"/>
    </row>
    <row r="15" spans="1:30" ht="19.95" customHeight="1">
      <c r="A15" s="239"/>
      <c r="B15" s="240"/>
      <c r="C15" s="241"/>
      <c r="D15" s="242"/>
      <c r="E15" s="243"/>
      <c r="F15" s="243"/>
      <c r="G15" s="244"/>
      <c r="H15" s="240"/>
      <c r="I15" s="262"/>
      <c r="J15" s="262"/>
      <c r="K15" s="241"/>
      <c r="L15" s="243"/>
      <c r="M15" s="243"/>
      <c r="N15" s="241"/>
      <c r="O15" s="241"/>
      <c r="P15" s="263"/>
    </row>
    <row r="16" spans="1:30" ht="19.95" customHeight="1">
      <c r="A16" s="239"/>
      <c r="B16" s="240"/>
      <c r="C16" s="241"/>
      <c r="D16" s="242"/>
      <c r="E16" s="243"/>
      <c r="F16" s="243"/>
      <c r="G16" s="244"/>
      <c r="H16" s="240"/>
      <c r="I16" s="262"/>
      <c r="J16" s="262"/>
      <c r="K16" s="241"/>
      <c r="L16" s="243"/>
      <c r="M16" s="243"/>
      <c r="N16" s="241"/>
      <c r="O16" s="241"/>
      <c r="P16" s="263"/>
    </row>
    <row r="17" spans="1:16" ht="19.95" customHeight="1">
      <c r="A17" s="239"/>
      <c r="B17" s="240"/>
      <c r="C17" s="241"/>
      <c r="D17" s="242"/>
      <c r="E17" s="243"/>
      <c r="F17" s="243"/>
      <c r="G17" s="244"/>
      <c r="H17" s="240"/>
      <c r="I17" s="262"/>
      <c r="J17" s="262"/>
      <c r="K17" s="241"/>
      <c r="L17" s="243"/>
      <c r="M17" s="243"/>
      <c r="N17" s="241"/>
      <c r="O17" s="241"/>
      <c r="P17" s="263"/>
    </row>
    <row r="18" spans="1:16" ht="19.95" customHeight="1">
      <c r="A18" s="239"/>
      <c r="B18" s="240"/>
      <c r="C18" s="241"/>
      <c r="D18" s="242"/>
      <c r="E18" s="243"/>
      <c r="F18" s="243"/>
      <c r="G18" s="244"/>
      <c r="H18" s="240"/>
      <c r="I18" s="262"/>
      <c r="J18" s="262"/>
      <c r="K18" s="241"/>
      <c r="L18" s="243"/>
      <c r="M18" s="243"/>
      <c r="N18" s="241"/>
      <c r="O18" s="241"/>
      <c r="P18" s="263"/>
    </row>
    <row r="19" spans="1:16" ht="19.95" customHeight="1">
      <c r="A19" s="239"/>
      <c r="B19" s="240"/>
      <c r="C19" s="241"/>
      <c r="D19" s="242"/>
      <c r="E19" s="243"/>
      <c r="F19" s="243"/>
      <c r="G19" s="244"/>
      <c r="H19" s="240"/>
      <c r="I19" s="262"/>
      <c r="J19" s="262"/>
      <c r="K19" s="241"/>
      <c r="L19" s="243"/>
      <c r="M19" s="243"/>
      <c r="N19" s="241"/>
      <c r="O19" s="241"/>
      <c r="P19" s="263"/>
    </row>
    <row r="20" spans="1:16" ht="19.95" customHeight="1">
      <c r="A20" s="239"/>
      <c r="B20" s="240"/>
      <c r="C20" s="241"/>
      <c r="D20" s="242"/>
      <c r="E20" s="243"/>
      <c r="F20" s="243"/>
      <c r="G20" s="244"/>
      <c r="H20" s="240"/>
      <c r="I20" s="262"/>
      <c r="J20" s="262"/>
      <c r="K20" s="241"/>
      <c r="L20" s="243"/>
      <c r="M20" s="243"/>
      <c r="N20" s="241"/>
      <c r="O20" s="241"/>
      <c r="P20" s="263"/>
    </row>
    <row r="21" spans="1:16" ht="19.95" customHeight="1">
      <c r="A21" s="239"/>
      <c r="B21" s="240"/>
      <c r="C21" s="241"/>
      <c r="D21" s="242"/>
      <c r="E21" s="243"/>
      <c r="F21" s="243"/>
      <c r="G21" s="244"/>
      <c r="H21" s="240"/>
      <c r="I21" s="262"/>
      <c r="J21" s="262"/>
      <c r="K21" s="241"/>
      <c r="L21" s="243"/>
      <c r="M21" s="243"/>
      <c r="N21" s="241"/>
      <c r="O21" s="241"/>
      <c r="P21" s="263"/>
    </row>
    <row r="22" spans="1:16" ht="19.95" customHeight="1">
      <c r="A22" s="245" t="s">
        <v>131</v>
      </c>
      <c r="B22" s="637"/>
      <c r="C22" s="638"/>
      <c r="D22" s="639"/>
      <c r="E22" s="256">
        <f>SUM(E14:E21)</f>
        <v>0</v>
      </c>
      <c r="F22" s="256">
        <f>SUM(F14:F21)</f>
        <v>0</v>
      </c>
      <c r="G22" s="640"/>
      <c r="H22" s="641"/>
      <c r="I22" s="641"/>
      <c r="J22" s="641"/>
      <c r="K22" s="641"/>
      <c r="L22" s="256">
        <f>SUM(L14:L21)</f>
        <v>0</v>
      </c>
      <c r="M22" s="256">
        <f>SUM(M14:M21)</f>
        <v>0</v>
      </c>
      <c r="N22" s="641"/>
      <c r="O22" s="641"/>
      <c r="P22" s="256"/>
    </row>
    <row r="23" spans="1:16" ht="19.95" customHeight="1">
      <c r="A23" s="238" t="s">
        <v>415</v>
      </c>
    </row>
    <row r="24" spans="1:16" ht="19.95" customHeight="1">
      <c r="A24" s="722" t="s">
        <v>143</v>
      </c>
      <c r="B24" s="722" t="s">
        <v>405</v>
      </c>
      <c r="C24" s="722" t="s">
        <v>406</v>
      </c>
      <c r="D24" s="722" t="s">
        <v>350</v>
      </c>
      <c r="E24" s="722" t="s">
        <v>407</v>
      </c>
      <c r="F24" s="722" t="s">
        <v>416</v>
      </c>
      <c r="G24" s="722" t="s">
        <v>353</v>
      </c>
      <c r="H24" s="722" t="s">
        <v>409</v>
      </c>
      <c r="I24" s="722" t="s">
        <v>410</v>
      </c>
      <c r="J24" s="722" t="s">
        <v>411</v>
      </c>
      <c r="K24" s="722" t="s">
        <v>417</v>
      </c>
      <c r="L24" s="722" t="s">
        <v>418</v>
      </c>
      <c r="M24" s="722" t="s">
        <v>419</v>
      </c>
      <c r="N24" s="722" t="s">
        <v>413</v>
      </c>
      <c r="O24" s="722" t="s">
        <v>414</v>
      </c>
      <c r="P24" s="722" t="s">
        <v>4</v>
      </c>
    </row>
    <row r="25" spans="1:16" ht="19.95" customHeight="1">
      <c r="A25" s="723"/>
      <c r="B25" s="723"/>
      <c r="C25" s="723"/>
      <c r="D25" s="723"/>
      <c r="E25" s="723"/>
      <c r="F25" s="723"/>
      <c r="G25" s="723"/>
      <c r="H25" s="723"/>
      <c r="I25" s="723"/>
      <c r="J25" s="723"/>
      <c r="K25" s="723"/>
      <c r="L25" s="723"/>
      <c r="M25" s="723"/>
      <c r="N25" s="723"/>
      <c r="O25" s="723"/>
      <c r="P25" s="723"/>
    </row>
    <row r="26" spans="1:16" ht="19.95" customHeight="1">
      <c r="A26" s="239"/>
      <c r="B26" s="246"/>
      <c r="C26" s="241"/>
      <c r="D26" s="242"/>
      <c r="E26" s="243"/>
      <c r="F26" s="247"/>
      <c r="G26" s="244"/>
      <c r="H26" s="240"/>
      <c r="I26" s="262"/>
      <c r="J26" s="262"/>
      <c r="K26" s="241"/>
      <c r="L26" s="244"/>
      <c r="M26" s="264"/>
      <c r="N26" s="241"/>
      <c r="O26" s="241"/>
      <c r="P26" s="265"/>
    </row>
    <row r="27" spans="1:16" ht="19.95" customHeight="1">
      <c r="A27" s="239"/>
      <c r="B27" s="246"/>
      <c r="C27" s="241"/>
      <c r="D27" s="242"/>
      <c r="E27" s="243"/>
      <c r="F27" s="247"/>
      <c r="G27" s="244"/>
      <c r="H27" s="240"/>
      <c r="I27" s="262"/>
      <c r="J27" s="262"/>
      <c r="K27" s="241"/>
      <c r="L27" s="244"/>
      <c r="M27" s="264"/>
      <c r="N27" s="241"/>
      <c r="O27" s="241"/>
      <c r="P27" s="265"/>
    </row>
    <row r="28" spans="1:16" ht="19.95" customHeight="1">
      <c r="A28" s="239"/>
      <c r="B28" s="246"/>
      <c r="C28" s="241"/>
      <c r="D28" s="242"/>
      <c r="E28" s="243"/>
      <c r="F28" s="247"/>
      <c r="G28" s="244"/>
      <c r="H28" s="240"/>
      <c r="I28" s="262"/>
      <c r="J28" s="262"/>
      <c r="K28" s="241"/>
      <c r="L28" s="244"/>
      <c r="M28" s="264"/>
      <c r="N28" s="241"/>
      <c r="O28" s="241"/>
      <c r="P28" s="265"/>
    </row>
    <row r="29" spans="1:16" ht="19.95" customHeight="1">
      <c r="A29" s="239"/>
      <c r="B29" s="246"/>
      <c r="C29" s="241"/>
      <c r="D29" s="242"/>
      <c r="E29" s="243"/>
      <c r="F29" s="247"/>
      <c r="G29" s="244"/>
      <c r="H29" s="240"/>
      <c r="I29" s="262"/>
      <c r="J29" s="262"/>
      <c r="K29" s="241"/>
      <c r="L29" s="244"/>
      <c r="M29" s="264"/>
      <c r="N29" s="241"/>
      <c r="O29" s="241"/>
      <c r="P29" s="265"/>
    </row>
    <row r="30" spans="1:16" ht="19.95" customHeight="1">
      <c r="A30" s="239"/>
      <c r="B30" s="246"/>
      <c r="C30" s="241"/>
      <c r="D30" s="242"/>
      <c r="E30" s="243"/>
      <c r="F30" s="247"/>
      <c r="G30" s="244"/>
      <c r="H30" s="240"/>
      <c r="I30" s="262"/>
      <c r="J30" s="262"/>
      <c r="K30" s="241"/>
      <c r="L30" s="244"/>
      <c r="M30" s="264"/>
      <c r="N30" s="241"/>
      <c r="O30" s="241"/>
      <c r="P30" s="265"/>
    </row>
    <row r="31" spans="1:16" ht="19.95" customHeight="1">
      <c r="A31" s="239"/>
      <c r="B31" s="246"/>
      <c r="C31" s="241"/>
      <c r="D31" s="242"/>
      <c r="E31" s="243"/>
      <c r="F31" s="247"/>
      <c r="G31" s="244"/>
      <c r="H31" s="240"/>
      <c r="I31" s="262"/>
      <c r="J31" s="262"/>
      <c r="K31" s="241"/>
      <c r="L31" s="244"/>
      <c r="M31" s="264"/>
      <c r="N31" s="241"/>
      <c r="O31" s="241"/>
      <c r="P31" s="265"/>
    </row>
    <row r="32" spans="1:16" ht="19.95" customHeight="1">
      <c r="A32" s="239"/>
      <c r="B32" s="246"/>
      <c r="C32" s="241"/>
      <c r="D32" s="242"/>
      <c r="E32" s="243"/>
      <c r="F32" s="247"/>
      <c r="G32" s="244"/>
      <c r="H32" s="240"/>
      <c r="I32" s="262"/>
      <c r="J32" s="262"/>
      <c r="K32" s="241"/>
      <c r="L32" s="244"/>
      <c r="M32" s="264"/>
      <c r="N32" s="241"/>
      <c r="O32" s="241"/>
      <c r="P32" s="265"/>
    </row>
    <row r="33" spans="1:16" ht="19.95" customHeight="1">
      <c r="A33" s="239"/>
      <c r="B33" s="248"/>
      <c r="C33" s="249"/>
      <c r="D33" s="242"/>
      <c r="E33" s="250"/>
      <c r="F33" s="251"/>
      <c r="G33" s="252"/>
      <c r="H33" s="253"/>
      <c r="I33" s="266"/>
      <c r="J33" s="266"/>
      <c r="K33" s="249"/>
      <c r="L33" s="252"/>
      <c r="M33" s="267"/>
      <c r="N33" s="241"/>
      <c r="O33" s="241"/>
      <c r="P33" s="265"/>
    </row>
    <row r="34" spans="1:16" ht="19.95" customHeight="1">
      <c r="A34" s="254" t="s">
        <v>131</v>
      </c>
      <c r="B34" s="638"/>
      <c r="C34" s="642"/>
      <c r="D34" s="255"/>
      <c r="E34" s="256">
        <f>SUM(E26:E33)</f>
        <v>0</v>
      </c>
      <c r="F34" s="639"/>
      <c r="G34" s="257"/>
      <c r="H34" s="258"/>
      <c r="I34" s="258"/>
      <c r="J34" s="258"/>
      <c r="K34" s="642"/>
      <c r="L34" s="257"/>
      <c r="M34" s="257"/>
      <c r="N34" s="268"/>
      <c r="O34" s="268"/>
      <c r="P34" s="268"/>
    </row>
    <row r="35" spans="1:16" ht="19.95" customHeight="1">
      <c r="A35" s="179" t="s">
        <v>301</v>
      </c>
    </row>
    <row r="38" spans="1:16" ht="19.95" customHeight="1">
      <c r="A38" s="179" t="s">
        <v>302</v>
      </c>
    </row>
  </sheetData>
  <mergeCells count="34">
    <mergeCell ref="N12:N13"/>
    <mergeCell ref="N24:N25"/>
    <mergeCell ref="O12:O13"/>
    <mergeCell ref="O24:O25"/>
    <mergeCell ref="P12:P13"/>
    <mergeCell ref="P24:P25"/>
    <mergeCell ref="K12:K13"/>
    <mergeCell ref="K24:K25"/>
    <mergeCell ref="L12:L13"/>
    <mergeCell ref="L24:L25"/>
    <mergeCell ref="M12:M13"/>
    <mergeCell ref="M24:M25"/>
    <mergeCell ref="H12:H13"/>
    <mergeCell ref="H24:H25"/>
    <mergeCell ref="I12:I13"/>
    <mergeCell ref="I24:I25"/>
    <mergeCell ref="J12:J13"/>
    <mergeCell ref="J24:J25"/>
    <mergeCell ref="A1:P1"/>
    <mergeCell ref="A2:P2"/>
    <mergeCell ref="A12:A13"/>
    <mergeCell ref="A24:A25"/>
    <mergeCell ref="B12:B13"/>
    <mergeCell ref="B24:B25"/>
    <mergeCell ref="C12:C13"/>
    <mergeCell ref="C24:C25"/>
    <mergeCell ref="D12:D13"/>
    <mergeCell ref="D24:D25"/>
    <mergeCell ref="E12:E13"/>
    <mergeCell ref="E24:E25"/>
    <mergeCell ref="F12:F13"/>
    <mergeCell ref="F24:F25"/>
    <mergeCell ref="G12:G13"/>
    <mergeCell ref="G24:G25"/>
  </mergeCells>
  <phoneticPr fontId="123" type="noConversion"/>
  <dataValidations count="2">
    <dataValidation type="list" allowBlank="1" showInputMessage="1" showErrorMessage="1" prompt="如要修改下列框的选项，单击“数据-数据有效性-设置-序列-来源”，并相应修改审定表和附注披露表中的款项性质。" sqref="A14:A21 A26:A33">
      <formula1>"银行承兑汇票,商业承兑汇票"</formula1>
    </dataValidation>
    <dataValidation type="list" allowBlank="1" showInputMessage="1" showErrorMessage="1" sqref="N14:O21 N26:O33">
      <formula1>"是,否"</formula1>
    </dataValidation>
  </dataValidations>
  <hyperlinks>
    <hyperlink ref="P3" location="底稿目录!A1" display="D1-8"/>
  </hyperlinks>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M35"/>
  <sheetViews>
    <sheetView view="pageBreakPreview" zoomScaleNormal="100" workbookViewId="0">
      <selection activeCell="B18" sqref="B18"/>
    </sheetView>
  </sheetViews>
  <sheetFormatPr defaultColWidth="9" defaultRowHeight="20.100000000000001" customHeight="1"/>
  <cols>
    <col min="1" max="1" width="14.19921875" style="4" customWidth="1"/>
    <col min="2" max="5" width="11.5" style="4" customWidth="1"/>
    <col min="6" max="6" width="14.5" style="4" customWidth="1"/>
    <col min="7" max="12" width="11.5" style="4" customWidth="1"/>
    <col min="13" max="16384" width="9" style="4"/>
  </cols>
  <sheetData>
    <row r="1" spans="1:13" s="178" customFormat="1" ht="20.100000000000001" customHeight="1">
      <c r="A1" s="710" t="s">
        <v>45</v>
      </c>
      <c r="B1" s="710"/>
      <c r="C1" s="710"/>
      <c r="D1" s="710"/>
      <c r="E1" s="710"/>
      <c r="F1" s="710"/>
      <c r="G1" s="710"/>
      <c r="H1" s="710"/>
      <c r="I1" s="710"/>
      <c r="J1" s="710"/>
      <c r="K1" s="710"/>
      <c r="L1" s="710"/>
      <c r="M1" s="710"/>
    </row>
    <row r="2" spans="1:13" s="178" customFormat="1" ht="20.100000000000001" customHeight="1">
      <c r="A2" s="711" t="s">
        <v>31</v>
      </c>
      <c r="B2" s="711"/>
      <c r="C2" s="711"/>
      <c r="D2" s="711"/>
      <c r="E2" s="711"/>
      <c r="F2" s="711"/>
      <c r="G2" s="711"/>
      <c r="H2" s="711"/>
      <c r="I2" s="711"/>
      <c r="J2" s="711"/>
      <c r="K2" s="711"/>
      <c r="L2" s="711"/>
      <c r="M2" s="711"/>
    </row>
    <row r="3" spans="1:13" s="43" customFormat="1" ht="20.100000000000001" customHeight="1">
      <c r="A3" s="43" t="str">
        <f>底稿目录!A2</f>
        <v>被审计单位名称：</v>
      </c>
      <c r="D3" s="43" t="str">
        <f>底稿目录!A4</f>
        <v>编制人：</v>
      </c>
      <c r="H3" s="43" t="str">
        <f>底稿目录!A5</f>
        <v>编制日期：</v>
      </c>
      <c r="L3" s="195" t="s">
        <v>47</v>
      </c>
      <c r="M3" s="624" t="str">
        <f>底稿目录!F15</f>
        <v>D1-9</v>
      </c>
    </row>
    <row r="4" spans="1:13" s="43" customFormat="1" ht="20.100000000000001" customHeight="1">
      <c r="A4" s="43" t="str">
        <f>底稿目录!A3</f>
        <v>截止日：202X年12月31日</v>
      </c>
      <c r="D4" s="43" t="str">
        <f>底稿目录!A6</f>
        <v>复核人：</v>
      </c>
      <c r="H4" s="43" t="str">
        <f>底稿目录!A7</f>
        <v>复核日期：</v>
      </c>
      <c r="L4" s="195" t="s">
        <v>290</v>
      </c>
    </row>
    <row r="5" spans="1:13" ht="20.100000000000001" customHeight="1">
      <c r="A5" s="179" t="s">
        <v>270</v>
      </c>
    </row>
    <row r="6" spans="1:13" ht="20.100000000000001" customHeight="1">
      <c r="A6" s="180" t="s">
        <v>444</v>
      </c>
    </row>
    <row r="7" spans="1:13" ht="20.100000000000001" customHeight="1">
      <c r="A7" s="179" t="s">
        <v>316</v>
      </c>
    </row>
    <row r="8" spans="1:13" ht="20.100000000000001" customHeight="1">
      <c r="A8" s="181" t="s">
        <v>273</v>
      </c>
    </row>
    <row r="9" spans="1:13" ht="20.100000000000001" customHeight="1">
      <c r="A9" s="182"/>
    </row>
    <row r="10" spans="1:13" ht="20.100000000000001" customHeight="1">
      <c r="A10" s="183" t="s">
        <v>349</v>
      </c>
      <c r="B10" s="183" t="s">
        <v>445</v>
      </c>
      <c r="C10" s="183" t="s">
        <v>446</v>
      </c>
      <c r="D10" s="183" t="s">
        <v>353</v>
      </c>
      <c r="E10" s="183" t="s">
        <v>357</v>
      </c>
      <c r="F10" s="183" t="s">
        <v>447</v>
      </c>
      <c r="G10" s="183" t="s">
        <v>448</v>
      </c>
      <c r="H10" s="183" t="s">
        <v>576</v>
      </c>
      <c r="I10" s="183" t="s">
        <v>449</v>
      </c>
      <c r="J10" s="183" t="s">
        <v>577</v>
      </c>
      <c r="K10" s="183" t="s">
        <v>450</v>
      </c>
      <c r="L10" s="183" t="s">
        <v>451</v>
      </c>
      <c r="M10" s="183" t="s">
        <v>313</v>
      </c>
    </row>
    <row r="11" spans="1:13" ht="20.100000000000001" customHeight="1">
      <c r="A11" s="184"/>
      <c r="B11" s="185"/>
      <c r="C11" s="186"/>
      <c r="D11" s="187"/>
      <c r="E11" s="187"/>
      <c r="F11" s="188"/>
      <c r="G11" s="187"/>
      <c r="H11" s="189">
        <f>E11-G11</f>
        <v>0</v>
      </c>
      <c r="I11" s="196"/>
      <c r="J11" s="23">
        <f>I11/365*H11*B11</f>
        <v>0</v>
      </c>
      <c r="K11" s="35"/>
      <c r="L11" s="23">
        <f>J11-K11</f>
        <v>0</v>
      </c>
      <c r="M11" s="197"/>
    </row>
    <row r="12" spans="1:13" ht="20.100000000000001" customHeight="1">
      <c r="A12" s="184"/>
      <c r="B12" s="185"/>
      <c r="C12" s="186"/>
      <c r="D12" s="187"/>
      <c r="E12" s="187"/>
      <c r="F12" s="188"/>
      <c r="G12" s="187"/>
      <c r="H12" s="189">
        <f t="shared" ref="H12:H17" si="0">E12-G12</f>
        <v>0</v>
      </c>
      <c r="I12" s="196"/>
      <c r="J12" s="23">
        <f t="shared" ref="J12:J16" si="1">I12/365*H12*B12</f>
        <v>0</v>
      </c>
      <c r="K12" s="35"/>
      <c r="L12" s="23">
        <f t="shared" ref="L12:L17" si="2">J12-K12</f>
        <v>0</v>
      </c>
      <c r="M12" s="197"/>
    </row>
    <row r="13" spans="1:13" ht="20.100000000000001" customHeight="1">
      <c r="A13" s="184"/>
      <c r="B13" s="185"/>
      <c r="C13" s="186"/>
      <c r="D13" s="187"/>
      <c r="E13" s="187"/>
      <c r="F13" s="188"/>
      <c r="G13" s="187"/>
      <c r="H13" s="189">
        <f t="shared" si="0"/>
        <v>0</v>
      </c>
      <c r="I13" s="196"/>
      <c r="J13" s="23">
        <f t="shared" si="1"/>
        <v>0</v>
      </c>
      <c r="K13" s="35"/>
      <c r="L13" s="23">
        <f t="shared" si="2"/>
        <v>0</v>
      </c>
      <c r="M13" s="197"/>
    </row>
    <row r="14" spans="1:13" ht="20.100000000000001" customHeight="1">
      <c r="A14" s="184"/>
      <c r="B14" s="185"/>
      <c r="C14" s="186"/>
      <c r="D14" s="187"/>
      <c r="E14" s="187"/>
      <c r="F14" s="188"/>
      <c r="G14" s="187"/>
      <c r="H14" s="189">
        <f t="shared" si="0"/>
        <v>0</v>
      </c>
      <c r="I14" s="196"/>
      <c r="J14" s="23">
        <f t="shared" si="1"/>
        <v>0</v>
      </c>
      <c r="K14" s="35"/>
      <c r="L14" s="23">
        <f t="shared" si="2"/>
        <v>0</v>
      </c>
      <c r="M14" s="197"/>
    </row>
    <row r="15" spans="1:13" ht="20.100000000000001" customHeight="1">
      <c r="A15" s="184"/>
      <c r="B15" s="185"/>
      <c r="C15" s="186"/>
      <c r="D15" s="187"/>
      <c r="E15" s="187"/>
      <c r="F15" s="188"/>
      <c r="G15" s="187"/>
      <c r="H15" s="189">
        <f t="shared" si="0"/>
        <v>0</v>
      </c>
      <c r="I15" s="196"/>
      <c r="J15" s="23">
        <f t="shared" si="1"/>
        <v>0</v>
      </c>
      <c r="K15" s="35"/>
      <c r="L15" s="23">
        <f t="shared" si="2"/>
        <v>0</v>
      </c>
      <c r="M15" s="197"/>
    </row>
    <row r="16" spans="1:13" ht="20.100000000000001" customHeight="1">
      <c r="A16" s="184"/>
      <c r="B16" s="185"/>
      <c r="C16" s="186"/>
      <c r="D16" s="187"/>
      <c r="E16" s="187"/>
      <c r="F16" s="188"/>
      <c r="G16" s="187"/>
      <c r="H16" s="189">
        <f t="shared" si="0"/>
        <v>0</v>
      </c>
      <c r="I16" s="196"/>
      <c r="J16" s="23">
        <f t="shared" si="1"/>
        <v>0</v>
      </c>
      <c r="K16" s="35"/>
      <c r="L16" s="23">
        <f t="shared" si="2"/>
        <v>0</v>
      </c>
      <c r="M16" s="197"/>
    </row>
    <row r="17" spans="1:13" ht="20.100000000000001" customHeight="1">
      <c r="A17" s="184"/>
      <c r="B17" s="185"/>
      <c r="C17" s="186"/>
      <c r="D17" s="187"/>
      <c r="E17" s="187"/>
      <c r="F17" s="188"/>
      <c r="G17" s="187"/>
      <c r="H17" s="189">
        <f t="shared" si="0"/>
        <v>0</v>
      </c>
      <c r="I17" s="196"/>
      <c r="J17" s="23">
        <f>I17/365*H17*B17</f>
        <v>0</v>
      </c>
      <c r="K17" s="35"/>
      <c r="L17" s="23">
        <f t="shared" si="2"/>
        <v>0</v>
      </c>
      <c r="M17" s="197"/>
    </row>
    <row r="18" spans="1:13" ht="20.100000000000001" customHeight="1">
      <c r="A18" s="190" t="s">
        <v>131</v>
      </c>
      <c r="B18" s="23">
        <f>SUM(B11:B17)</f>
        <v>0</v>
      </c>
      <c r="C18" s="191"/>
      <c r="D18" s="191"/>
      <c r="E18" s="191"/>
      <c r="F18" s="191"/>
      <c r="G18" s="191"/>
      <c r="H18" s="192"/>
      <c r="I18" s="192"/>
      <c r="J18" s="23">
        <f>SUM(J11:J17)</f>
        <v>0</v>
      </c>
      <c r="K18" s="23">
        <f>SUM(K11:K17)</f>
        <v>0</v>
      </c>
      <c r="L18" s="23">
        <f>SUM(L11:L17)</f>
        <v>0</v>
      </c>
      <c r="M18" s="198"/>
    </row>
    <row r="19" spans="1:13" ht="20.100000000000001" customHeight="1">
      <c r="A19" s="41" t="s">
        <v>280</v>
      </c>
    </row>
    <row r="20" spans="1:13" ht="20.100000000000001" customHeight="1">
      <c r="A20" s="41"/>
    </row>
    <row r="21" spans="1:13" ht="20.100000000000001" customHeight="1">
      <c r="A21" s="41"/>
    </row>
    <row r="22" spans="1:13" ht="20.100000000000001" customHeight="1">
      <c r="A22" s="41"/>
    </row>
    <row r="23" spans="1:13" ht="20.100000000000001" customHeight="1">
      <c r="A23" s="41" t="s">
        <v>281</v>
      </c>
    </row>
    <row r="24" spans="1:13" ht="20.100000000000001" customHeight="1">
      <c r="A24" s="41"/>
    </row>
    <row r="25" spans="1:13" ht="20.100000000000001" customHeight="1">
      <c r="A25" s="41"/>
    </row>
    <row r="27" spans="1:13" ht="20.100000000000001" customHeight="1">
      <c r="A27" s="193"/>
    </row>
    <row r="28" spans="1:13" ht="20.100000000000001" customHeight="1">
      <c r="A28" s="194"/>
    </row>
    <row r="29" spans="1:13" ht="20.100000000000001" customHeight="1">
      <c r="A29" s="194"/>
    </row>
    <row r="30" spans="1:13" ht="20.100000000000001" customHeight="1">
      <c r="A30" s="194"/>
    </row>
    <row r="32" spans="1:13" ht="20.100000000000001" customHeight="1">
      <c r="B32" s="193"/>
      <c r="C32" s="193"/>
      <c r="D32" s="193"/>
      <c r="E32" s="193"/>
      <c r="F32" s="193"/>
      <c r="G32" s="193"/>
      <c r="H32" s="193"/>
    </row>
    <row r="33" spans="1:8" ht="20.100000000000001" customHeight="1">
      <c r="A33" s="193"/>
      <c r="B33" s="193"/>
      <c r="C33" s="193"/>
      <c r="D33" s="193"/>
      <c r="E33" s="193"/>
      <c r="F33" s="193"/>
      <c r="G33" s="193"/>
      <c r="H33" s="193"/>
    </row>
    <row r="34" spans="1:8" ht="20.100000000000001" customHeight="1">
      <c r="A34" s="193"/>
      <c r="B34" s="193"/>
      <c r="C34" s="193"/>
      <c r="D34" s="193"/>
      <c r="E34" s="193"/>
      <c r="F34" s="193"/>
      <c r="G34" s="193"/>
      <c r="H34" s="193"/>
    </row>
    <row r="35" spans="1:8" ht="20.100000000000001" customHeight="1">
      <c r="A35" s="193"/>
      <c r="B35" s="193"/>
      <c r="C35" s="193"/>
      <c r="D35" s="193"/>
      <c r="E35" s="193"/>
      <c r="F35" s="193"/>
      <c r="G35" s="193"/>
      <c r="H35" s="193"/>
    </row>
  </sheetData>
  <mergeCells count="2">
    <mergeCell ref="A1:M1"/>
    <mergeCell ref="A2:M2"/>
  </mergeCells>
  <phoneticPr fontId="123" type="noConversion"/>
  <hyperlinks>
    <hyperlink ref="M3" location="底稿目录!A1" display="D1-10"/>
  </hyperlinks>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35"/>
  <sheetViews>
    <sheetView view="pageBreakPreview" topLeftCell="A22" zoomScaleNormal="100" workbookViewId="0">
      <selection activeCell="C31" sqref="C31"/>
    </sheetView>
  </sheetViews>
  <sheetFormatPr defaultColWidth="9" defaultRowHeight="20.100000000000001" customHeight="1"/>
  <cols>
    <col min="1" max="1" width="11.296875" style="199" customWidth="1"/>
    <col min="2" max="2" width="13.3984375" style="199" customWidth="1"/>
    <col min="3" max="3" width="11.3984375" style="199" customWidth="1"/>
    <col min="4" max="4" width="12.5" style="199" customWidth="1"/>
    <col min="5" max="5" width="9.5" style="199" customWidth="1"/>
    <col min="6" max="6" width="13.19921875" style="199" customWidth="1"/>
    <col min="7" max="8" width="10.59765625" style="199" customWidth="1"/>
    <col min="9" max="9" width="10.5" style="200" customWidth="1"/>
    <col min="10" max="10" width="11.8984375" style="200" customWidth="1"/>
    <col min="11" max="11" width="13.5" style="200" customWidth="1"/>
    <col min="12" max="12" width="12.59765625" style="200" customWidth="1"/>
    <col min="13" max="13" width="10.8984375" style="199" customWidth="1"/>
    <col min="14" max="14" width="12.19921875" style="199" customWidth="1"/>
    <col min="15" max="16384" width="9" style="199"/>
  </cols>
  <sheetData>
    <row r="1" spans="1:15" s="178" customFormat="1" ht="20.100000000000001" customHeight="1">
      <c r="A1" s="710" t="s">
        <v>45</v>
      </c>
      <c r="B1" s="710"/>
      <c r="C1" s="710"/>
      <c r="D1" s="710"/>
      <c r="E1" s="710"/>
      <c r="F1" s="710"/>
      <c r="G1" s="710"/>
      <c r="H1" s="710"/>
      <c r="I1" s="710"/>
      <c r="J1" s="710"/>
      <c r="K1" s="710"/>
      <c r="L1" s="710"/>
      <c r="M1" s="710"/>
      <c r="N1" s="710"/>
      <c r="O1" s="710"/>
    </row>
    <row r="2" spans="1:15" s="178" customFormat="1" ht="20.100000000000001" customHeight="1">
      <c r="A2" s="711" t="s">
        <v>29</v>
      </c>
      <c r="B2" s="711"/>
      <c r="C2" s="711"/>
      <c r="D2" s="711"/>
      <c r="E2" s="711"/>
      <c r="F2" s="711"/>
      <c r="G2" s="711"/>
      <c r="H2" s="711"/>
      <c r="I2" s="711"/>
      <c r="J2" s="711"/>
      <c r="K2" s="711"/>
      <c r="L2" s="711"/>
      <c r="M2" s="711"/>
      <c r="N2" s="711"/>
      <c r="O2" s="711"/>
    </row>
    <row r="3" spans="1:15" s="43" customFormat="1" ht="20.100000000000001" customHeight="1">
      <c r="A3" s="43" t="str">
        <f>底稿目录!A2</f>
        <v>被审计单位名称：</v>
      </c>
      <c r="F3" s="43" t="str">
        <f>底稿目录!A4</f>
        <v>编制人：</v>
      </c>
      <c r="I3" s="230"/>
      <c r="J3" s="43" t="str">
        <f>底稿目录!A5</f>
        <v>编制日期：</v>
      </c>
      <c r="K3" s="230"/>
      <c r="L3" s="230"/>
      <c r="N3" s="195" t="s">
        <v>47</v>
      </c>
      <c r="O3" s="624" t="str">
        <f>底稿目录!F16</f>
        <v>D1-10</v>
      </c>
    </row>
    <row r="4" spans="1:15" s="43" customFormat="1" ht="20.100000000000001" customHeight="1">
      <c r="A4" s="43" t="str">
        <f>底稿目录!A3</f>
        <v>截止日：202X年12月31日</v>
      </c>
      <c r="F4" s="43" t="str">
        <f>底稿目录!A6</f>
        <v>复核人：</v>
      </c>
      <c r="I4" s="230"/>
      <c r="J4" s="43" t="str">
        <f>底稿目录!A7</f>
        <v>复核日期：</v>
      </c>
      <c r="K4" s="230"/>
      <c r="L4" s="230"/>
      <c r="N4" s="195" t="s">
        <v>48</v>
      </c>
      <c r="O4" s="231"/>
    </row>
    <row r="5" spans="1:15" ht="20.100000000000001" customHeight="1">
      <c r="A5" s="179" t="s">
        <v>270</v>
      </c>
    </row>
    <row r="6" spans="1:15" ht="20.100000000000001" customHeight="1">
      <c r="A6" s="182" t="s">
        <v>420</v>
      </c>
    </row>
    <row r="7" spans="1:15" ht="20.100000000000001" customHeight="1">
      <c r="A7" s="182" t="s">
        <v>421</v>
      </c>
    </row>
    <row r="8" spans="1:15" ht="20.100000000000001" customHeight="1">
      <c r="A8" s="179" t="s">
        <v>292</v>
      </c>
    </row>
    <row r="9" spans="1:15" s="43" customFormat="1" ht="20.100000000000001" customHeight="1">
      <c r="A9" s="201" t="s">
        <v>273</v>
      </c>
      <c r="I9" s="230"/>
      <c r="J9" s="230"/>
      <c r="K9" s="230"/>
      <c r="L9" s="230"/>
      <c r="M9" s="195"/>
    </row>
    <row r="10" spans="1:15" s="43" customFormat="1" ht="20.100000000000001" customHeight="1">
      <c r="B10" s="199"/>
      <c r="C10" s="199"/>
      <c r="D10" s="199"/>
      <c r="E10" s="199"/>
      <c r="F10" s="199"/>
      <c r="G10" s="199"/>
      <c r="H10" s="199"/>
      <c r="I10" s="199"/>
      <c r="J10" s="199"/>
      <c r="K10" s="199"/>
      <c r="L10" s="199"/>
      <c r="M10" s="195"/>
    </row>
    <row r="11" spans="1:15" s="43" customFormat="1" ht="20.100000000000001" customHeight="1">
      <c r="A11" s="41" t="s">
        <v>422</v>
      </c>
      <c r="I11" s="230"/>
      <c r="J11" s="230"/>
      <c r="K11" s="230"/>
      <c r="L11" s="230"/>
      <c r="M11" s="195"/>
    </row>
    <row r="12" spans="1:15" ht="20.100000000000001" customHeight="1">
      <c r="A12" s="724" t="s">
        <v>423</v>
      </c>
      <c r="B12" s="724"/>
      <c r="C12" s="724"/>
      <c r="D12" s="724"/>
      <c r="E12" s="724"/>
      <c r="F12" s="724"/>
      <c r="G12" s="724"/>
      <c r="H12" s="724"/>
      <c r="I12" s="724"/>
      <c r="J12" s="724"/>
      <c r="K12" s="724"/>
      <c r="L12" s="724"/>
      <c r="M12" s="724" t="s">
        <v>424</v>
      </c>
      <c r="N12" s="725" t="s">
        <v>425</v>
      </c>
      <c r="O12" s="726" t="s">
        <v>4</v>
      </c>
    </row>
    <row r="13" spans="1:15" ht="20.100000000000001" customHeight="1">
      <c r="A13" s="202" t="s">
        <v>349</v>
      </c>
      <c r="B13" s="203" t="s">
        <v>350</v>
      </c>
      <c r="C13" s="202" t="s">
        <v>351</v>
      </c>
      <c r="D13" s="203" t="s">
        <v>352</v>
      </c>
      <c r="E13" s="203" t="s">
        <v>353</v>
      </c>
      <c r="F13" s="203" t="s">
        <v>354</v>
      </c>
      <c r="G13" s="203" t="s">
        <v>355</v>
      </c>
      <c r="H13" s="203" t="s">
        <v>356</v>
      </c>
      <c r="I13" s="203" t="s">
        <v>357</v>
      </c>
      <c r="J13" s="203" t="s">
        <v>360</v>
      </c>
      <c r="K13" s="203" t="s">
        <v>426</v>
      </c>
      <c r="L13" s="202" t="s">
        <v>363</v>
      </c>
      <c r="M13" s="724"/>
      <c r="N13" s="725"/>
      <c r="O13" s="726"/>
    </row>
    <row r="14" spans="1:15" ht="20.100000000000001" customHeight="1">
      <c r="A14" s="204"/>
      <c r="B14" s="205"/>
      <c r="C14" s="206"/>
      <c r="D14" s="207"/>
      <c r="E14" s="206"/>
      <c r="F14" s="208"/>
      <c r="G14" s="209"/>
      <c r="H14" s="210"/>
      <c r="I14" s="206"/>
      <c r="J14" s="232"/>
      <c r="K14" s="232"/>
      <c r="L14" s="232"/>
      <c r="M14" s="208"/>
      <c r="N14" s="208"/>
      <c r="O14" s="233"/>
    </row>
    <row r="15" spans="1:15" ht="20.100000000000001" customHeight="1">
      <c r="A15" s="204"/>
      <c r="B15" s="205"/>
      <c r="C15" s="206"/>
      <c r="D15" s="207"/>
      <c r="E15" s="206"/>
      <c r="F15" s="208"/>
      <c r="G15" s="209"/>
      <c r="H15" s="210"/>
      <c r="I15" s="206"/>
      <c r="J15" s="232"/>
      <c r="K15" s="232"/>
      <c r="L15" s="232"/>
      <c r="M15" s="208"/>
      <c r="N15" s="208"/>
      <c r="O15" s="233"/>
    </row>
    <row r="16" spans="1:15" ht="20.100000000000001" customHeight="1">
      <c r="A16" s="204"/>
      <c r="B16" s="205"/>
      <c r="C16" s="206"/>
      <c r="D16" s="207"/>
      <c r="E16" s="206"/>
      <c r="F16" s="208"/>
      <c r="G16" s="209"/>
      <c r="H16" s="210"/>
      <c r="I16" s="206"/>
      <c r="J16" s="232"/>
      <c r="K16" s="232"/>
      <c r="L16" s="232"/>
      <c r="M16" s="208"/>
      <c r="N16" s="208"/>
      <c r="O16" s="233"/>
    </row>
    <row r="17" spans="1:15" ht="20.100000000000001" customHeight="1">
      <c r="A17" s="204"/>
      <c r="B17" s="205"/>
      <c r="C17" s="206"/>
      <c r="D17" s="207"/>
      <c r="E17" s="206"/>
      <c r="F17" s="208"/>
      <c r="G17" s="209"/>
      <c r="H17" s="210"/>
      <c r="I17" s="206"/>
      <c r="J17" s="232"/>
      <c r="K17" s="232"/>
      <c r="L17" s="232"/>
      <c r="M17" s="208"/>
      <c r="N17" s="208"/>
      <c r="O17" s="233"/>
    </row>
    <row r="18" spans="1:15" ht="20.100000000000001" customHeight="1">
      <c r="A18" s="204"/>
      <c r="B18" s="205"/>
      <c r="C18" s="206"/>
      <c r="D18" s="207"/>
      <c r="E18" s="206"/>
      <c r="F18" s="208"/>
      <c r="G18" s="209"/>
      <c r="H18" s="210"/>
      <c r="I18" s="206"/>
      <c r="J18" s="232"/>
      <c r="K18" s="232"/>
      <c r="L18" s="232"/>
      <c r="M18" s="208"/>
      <c r="N18" s="208"/>
      <c r="O18" s="233"/>
    </row>
    <row r="19" spans="1:15" ht="20.100000000000001" customHeight="1">
      <c r="A19" s="204"/>
      <c r="B19" s="205"/>
      <c r="C19" s="206"/>
      <c r="D19" s="207"/>
      <c r="E19" s="206"/>
      <c r="F19" s="208"/>
      <c r="G19" s="209"/>
      <c r="H19" s="210"/>
      <c r="I19" s="206"/>
      <c r="J19" s="232"/>
      <c r="K19" s="232"/>
      <c r="L19" s="232"/>
      <c r="M19" s="208"/>
      <c r="N19" s="208"/>
      <c r="O19" s="233"/>
    </row>
    <row r="20" spans="1:15" ht="20.100000000000001" customHeight="1">
      <c r="A20" s="204"/>
      <c r="B20" s="205"/>
      <c r="C20" s="206"/>
      <c r="D20" s="207"/>
      <c r="E20" s="206"/>
      <c r="F20" s="208"/>
      <c r="G20" s="209"/>
      <c r="H20" s="210"/>
      <c r="I20" s="206"/>
      <c r="J20" s="232"/>
      <c r="K20" s="232"/>
      <c r="L20" s="232"/>
      <c r="M20" s="208"/>
      <c r="N20" s="208"/>
      <c r="O20" s="233"/>
    </row>
    <row r="21" spans="1:15" ht="20.100000000000001" customHeight="1">
      <c r="A21" s="211" t="s">
        <v>131</v>
      </c>
      <c r="B21" s="212"/>
      <c r="C21" s="212"/>
      <c r="D21" s="212"/>
      <c r="E21" s="212"/>
      <c r="F21" s="212"/>
      <c r="G21" s="213"/>
      <c r="H21" s="214">
        <f>SUM(H14:H20)</f>
        <v>0</v>
      </c>
      <c r="I21" s="234"/>
      <c r="J21" s="234"/>
      <c r="K21" s="234"/>
      <c r="L21" s="234"/>
      <c r="M21" s="212"/>
      <c r="N21" s="212"/>
      <c r="O21" s="212"/>
    </row>
    <row r="22" spans="1:15" ht="20.100000000000001" customHeight="1">
      <c r="A22" s="215" t="s">
        <v>427</v>
      </c>
      <c r="B22" s="215"/>
      <c r="C22" s="215"/>
      <c r="D22" s="216"/>
      <c r="E22" s="216"/>
      <c r="F22" s="215" t="s">
        <v>428</v>
      </c>
      <c r="G22" s="216"/>
      <c r="H22" s="216"/>
      <c r="I22" s="235"/>
      <c r="J22" s="235"/>
      <c r="K22" s="235"/>
      <c r="L22" s="235"/>
      <c r="M22" s="216" t="s">
        <v>429</v>
      </c>
      <c r="N22" s="216"/>
    </row>
    <row r="23" spans="1:15" ht="20.100000000000001" customHeight="1">
      <c r="A23" s="217" t="s">
        <v>430</v>
      </c>
      <c r="B23" s="218"/>
      <c r="C23" s="218"/>
      <c r="D23" s="218"/>
      <c r="E23" s="218"/>
      <c r="F23" s="218"/>
      <c r="G23" s="218"/>
      <c r="H23" s="218"/>
      <c r="I23" s="217" t="s">
        <v>431</v>
      </c>
      <c r="J23" s="218"/>
      <c r="K23" s="218"/>
      <c r="L23" s="218"/>
      <c r="M23" s="218"/>
      <c r="N23" s="218"/>
      <c r="O23" s="218"/>
    </row>
    <row r="24" spans="1:15" ht="58.5" customHeight="1">
      <c r="A24" s="219" t="s">
        <v>432</v>
      </c>
      <c r="B24" s="219" t="s">
        <v>433</v>
      </c>
      <c r="C24" s="220" t="s">
        <v>434</v>
      </c>
      <c r="D24" s="220" t="s">
        <v>435</v>
      </c>
      <c r="E24" s="220" t="s">
        <v>436</v>
      </c>
      <c r="F24" s="219" t="s">
        <v>437</v>
      </c>
      <c r="G24" s="221" t="s">
        <v>313</v>
      </c>
      <c r="I24" s="219" t="s">
        <v>432</v>
      </c>
      <c r="J24" s="219" t="s">
        <v>433</v>
      </c>
      <c r="K24" s="220" t="s">
        <v>434</v>
      </c>
      <c r="L24" s="220" t="s">
        <v>438</v>
      </c>
      <c r="M24" s="220" t="s">
        <v>436</v>
      </c>
      <c r="N24" s="219" t="s">
        <v>437</v>
      </c>
      <c r="O24" s="221" t="s">
        <v>313</v>
      </c>
    </row>
    <row r="25" spans="1:15" ht="20.100000000000001" customHeight="1">
      <c r="A25" s="222">
        <f>H21</f>
        <v>0</v>
      </c>
      <c r="B25" s="223"/>
      <c r="C25" s="223"/>
      <c r="D25" s="224">
        <f>A25+B25-C25</f>
        <v>0</v>
      </c>
      <c r="E25" s="224"/>
      <c r="F25" s="225">
        <f>D25-E25</f>
        <v>0</v>
      </c>
      <c r="G25" s="225"/>
      <c r="I25" s="222">
        <f>H24</f>
        <v>0</v>
      </c>
      <c r="J25" s="223"/>
      <c r="K25" s="223"/>
      <c r="L25" s="224">
        <f>I25+K25-J25</f>
        <v>0</v>
      </c>
      <c r="M25" s="224"/>
      <c r="N25" s="225">
        <f>L25-M25</f>
        <v>0</v>
      </c>
      <c r="O25" s="225"/>
    </row>
    <row r="26" spans="1:15" ht="20.100000000000001" customHeight="1">
      <c r="A26" s="226" t="s">
        <v>301</v>
      </c>
      <c r="B26" s="226"/>
      <c r="C26" s="226"/>
      <c r="D26" s="226"/>
      <c r="E26" s="226"/>
      <c r="F26" s="226"/>
      <c r="G26" s="226"/>
      <c r="H26" s="226"/>
      <c r="I26" s="226"/>
      <c r="J26" s="226"/>
      <c r="K26" s="226"/>
      <c r="L26" s="226"/>
      <c r="M26" s="226"/>
    </row>
    <row r="27" spans="1:15" ht="20.100000000000001" customHeight="1">
      <c r="A27" s="227" t="s">
        <v>439</v>
      </c>
      <c r="B27" s="226"/>
      <c r="C27" s="226"/>
      <c r="D27" s="226"/>
      <c r="E27" s="226"/>
      <c r="F27" s="226"/>
      <c r="G27" s="226"/>
      <c r="H27" s="226"/>
      <c r="I27" s="226"/>
      <c r="J27" s="226"/>
      <c r="K27" s="226"/>
      <c r="L27" s="226"/>
      <c r="M27" s="226"/>
    </row>
    <row r="28" spans="1:15" ht="20.100000000000001" customHeight="1">
      <c r="A28" s="227" t="s">
        <v>637</v>
      </c>
      <c r="B28" s="226"/>
      <c r="C28" s="226"/>
      <c r="D28" s="226"/>
      <c r="E28" s="226"/>
      <c r="F28" s="226"/>
      <c r="G28" s="226"/>
      <c r="H28" s="226"/>
      <c r="I28" s="226"/>
      <c r="J28" s="226"/>
      <c r="K28" s="226"/>
      <c r="L28" s="226"/>
      <c r="M28" s="226"/>
    </row>
    <row r="29" spans="1:15" ht="20.100000000000001" customHeight="1">
      <c r="A29" s="228" t="s">
        <v>440</v>
      </c>
    </row>
    <row r="30" spans="1:15" ht="20.100000000000001" customHeight="1">
      <c r="A30" s="228" t="s">
        <v>441</v>
      </c>
    </row>
    <row r="31" spans="1:15" ht="20.100000000000001" customHeight="1">
      <c r="A31" s="228" t="s">
        <v>442</v>
      </c>
    </row>
    <row r="32" spans="1:15" ht="20.100000000000001" customHeight="1">
      <c r="A32" s="199" t="s">
        <v>302</v>
      </c>
    </row>
    <row r="35" spans="1:1" ht="20.100000000000001" customHeight="1">
      <c r="A35" s="229" t="s">
        <v>443</v>
      </c>
    </row>
  </sheetData>
  <mergeCells count="6">
    <mergeCell ref="A1:O1"/>
    <mergeCell ref="A2:O2"/>
    <mergeCell ref="A12:L12"/>
    <mergeCell ref="M12:M13"/>
    <mergeCell ref="N12:N13"/>
    <mergeCell ref="O12:O13"/>
  </mergeCells>
  <phoneticPr fontId="123" type="noConversion"/>
  <hyperlinks>
    <hyperlink ref="O3" location="底稿目录!A1" display="D1-9"/>
  </hyperlinks>
  <pageMargins left="0.70833333333333304" right="0.70833333333333304" top="0.74791666666666701" bottom="0.74791666666666701" header="0.31458333333333299" footer="0.31458333333333299"/>
  <pageSetup paperSize="9" scale="71" fitToHeight="0" orientation="landscape" blackAndWhite="1"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P32"/>
  <sheetViews>
    <sheetView view="pageBreakPreview" zoomScaleNormal="130" workbookViewId="0">
      <selection activeCell="M3" sqref="M3"/>
    </sheetView>
  </sheetViews>
  <sheetFormatPr defaultColWidth="9" defaultRowHeight="12"/>
  <cols>
    <col min="1" max="1" width="16.09765625" style="120" customWidth="1"/>
    <col min="2" max="2" width="12.19921875" style="120" customWidth="1"/>
    <col min="3" max="8" width="12" style="120" customWidth="1"/>
    <col min="9" max="9" width="11" style="120" customWidth="1"/>
    <col min="10" max="10" width="12.59765625" style="120" customWidth="1"/>
    <col min="11" max="11" width="11.8984375" style="120" customWidth="1"/>
    <col min="12" max="12" width="10" style="120" customWidth="1"/>
    <col min="13" max="13" width="8.59765625" style="120" customWidth="1"/>
    <col min="14" max="14" width="9" style="120"/>
    <col min="15" max="15" width="27.09765625" style="120" customWidth="1"/>
    <col min="16" max="16384" width="9" style="120"/>
  </cols>
  <sheetData>
    <row r="1" spans="1:16" s="116" customFormat="1" ht="19.95" customHeight="1">
      <c r="A1" s="727" t="s">
        <v>45</v>
      </c>
      <c r="B1" s="727"/>
      <c r="C1" s="727"/>
      <c r="D1" s="727"/>
      <c r="E1" s="727"/>
      <c r="F1" s="727"/>
      <c r="G1" s="727"/>
      <c r="H1" s="727"/>
      <c r="I1" s="727"/>
      <c r="J1" s="727"/>
      <c r="K1" s="727"/>
      <c r="L1" s="727"/>
      <c r="M1" s="727"/>
    </row>
    <row r="2" spans="1:16" s="116" customFormat="1" ht="19.95" customHeight="1">
      <c r="A2" s="728" t="s">
        <v>482</v>
      </c>
      <c r="B2" s="728"/>
      <c r="C2" s="728"/>
      <c r="D2" s="728"/>
      <c r="E2" s="728"/>
      <c r="F2" s="728"/>
      <c r="G2" s="728"/>
      <c r="H2" s="728"/>
      <c r="I2" s="728"/>
      <c r="J2" s="728"/>
      <c r="K2" s="728"/>
      <c r="L2" s="728"/>
      <c r="M2" s="728"/>
      <c r="N2" s="139"/>
    </row>
    <row r="3" spans="1:16" ht="19.95" customHeight="1">
      <c r="A3" s="121" t="str">
        <f>底稿目录!A2</f>
        <v>被审计单位名称：</v>
      </c>
      <c r="B3" s="121"/>
      <c r="C3" s="121"/>
      <c r="D3" s="121"/>
      <c r="E3" s="121" t="str">
        <f>底稿目录!A4</f>
        <v>编制人：</v>
      </c>
      <c r="F3" s="121"/>
      <c r="I3" s="121" t="str">
        <f>底稿目录!A5</f>
        <v>编制日期：</v>
      </c>
      <c r="J3" s="140"/>
      <c r="K3" s="140"/>
      <c r="L3" s="141" t="s">
        <v>47</v>
      </c>
      <c r="M3" s="623" t="str">
        <f>底稿目录!F17</f>
        <v>D1-11</v>
      </c>
    </row>
    <row r="4" spans="1:16" ht="19.95" customHeight="1">
      <c r="A4" s="121" t="str">
        <f>底稿目录!A3</f>
        <v>截止日：202X年12月31日</v>
      </c>
      <c r="B4" s="121"/>
      <c r="C4" s="121"/>
      <c r="D4" s="121"/>
      <c r="E4" s="121" t="str">
        <f>底稿目录!A6</f>
        <v>复核人：</v>
      </c>
      <c r="F4" s="122"/>
      <c r="I4" s="121" t="str">
        <f>底稿目录!A7</f>
        <v>复核日期：</v>
      </c>
      <c r="J4" s="140"/>
      <c r="K4" s="140"/>
      <c r="L4" s="141" t="s">
        <v>48</v>
      </c>
      <c r="M4" s="119"/>
    </row>
    <row r="5" spans="1:16" ht="19.95" customHeight="1">
      <c r="A5" s="76" t="s">
        <v>291</v>
      </c>
      <c r="B5" s="121"/>
      <c r="C5" s="121"/>
      <c r="D5" s="121"/>
      <c r="E5" s="121"/>
      <c r="F5" s="122"/>
      <c r="I5" s="121"/>
      <c r="J5" s="140"/>
      <c r="K5" s="140"/>
      <c r="L5" s="121"/>
      <c r="M5" s="119"/>
    </row>
    <row r="6" spans="1:16" ht="19.95" customHeight="1">
      <c r="A6" s="69" t="s">
        <v>483</v>
      </c>
      <c r="B6" s="121"/>
      <c r="C6" s="121"/>
      <c r="D6" s="121"/>
      <c r="E6" s="121"/>
      <c r="F6" s="122"/>
      <c r="I6" s="121"/>
      <c r="J6" s="140"/>
      <c r="K6" s="140"/>
      <c r="L6" s="121"/>
      <c r="M6" s="119"/>
    </row>
    <row r="7" spans="1:16" ht="19.95" customHeight="1">
      <c r="A7" s="76" t="s">
        <v>292</v>
      </c>
      <c r="B7" s="121"/>
      <c r="C7" s="121"/>
      <c r="D7" s="121"/>
      <c r="E7" s="121"/>
      <c r="F7" s="122"/>
      <c r="I7" s="121"/>
      <c r="J7" s="140"/>
      <c r="K7" s="140"/>
      <c r="L7" s="121"/>
      <c r="M7" s="119"/>
    </row>
    <row r="8" spans="1:16" ht="19.95" customHeight="1">
      <c r="A8" s="123" t="s">
        <v>273</v>
      </c>
      <c r="B8" s="121"/>
      <c r="C8" s="121"/>
      <c r="D8" s="121"/>
      <c r="E8" s="121"/>
      <c r="F8" s="122"/>
      <c r="I8" s="121"/>
      <c r="J8" s="140"/>
      <c r="K8" s="140"/>
      <c r="L8" s="121"/>
      <c r="M8" s="119"/>
    </row>
    <row r="9" spans="1:16" ht="19.95" customHeight="1">
      <c r="A9" s="124"/>
      <c r="B9" s="124"/>
      <c r="C9" s="124"/>
      <c r="D9" s="124"/>
      <c r="E9" s="124"/>
      <c r="F9" s="122"/>
      <c r="G9" s="121"/>
      <c r="I9" s="121"/>
      <c r="J9" s="140"/>
      <c r="K9" s="140"/>
      <c r="L9" s="121"/>
      <c r="M9" s="119"/>
    </row>
    <row r="10" spans="1:16" s="117" customFormat="1" ht="38.25" customHeight="1">
      <c r="A10" s="125" t="s">
        <v>484</v>
      </c>
      <c r="B10" s="126" t="s">
        <v>285</v>
      </c>
      <c r="C10" s="126" t="s">
        <v>148</v>
      </c>
      <c r="D10" s="126" t="s">
        <v>485</v>
      </c>
      <c r="E10" s="126" t="s">
        <v>486</v>
      </c>
      <c r="F10" s="126" t="s">
        <v>144</v>
      </c>
      <c r="G10" s="125" t="s">
        <v>487</v>
      </c>
      <c r="H10" s="125" t="s">
        <v>177</v>
      </c>
      <c r="I10" s="125" t="s">
        <v>488</v>
      </c>
      <c r="J10" s="125" t="s">
        <v>489</v>
      </c>
      <c r="K10" s="125" t="s">
        <v>490</v>
      </c>
      <c r="L10" s="125" t="s">
        <v>4</v>
      </c>
      <c r="M10" s="125" t="s">
        <v>313</v>
      </c>
      <c r="O10" s="120"/>
      <c r="P10" s="142"/>
    </row>
    <row r="11" spans="1:16" ht="19.95" customHeight="1">
      <c r="A11" s="127" t="s">
        <v>491</v>
      </c>
      <c r="B11" s="127"/>
      <c r="C11" s="128"/>
      <c r="D11" s="128"/>
      <c r="E11" s="128"/>
      <c r="F11" s="129">
        <f>C11+D11-E11</f>
        <v>0</v>
      </c>
      <c r="G11" s="130"/>
      <c r="H11" s="131">
        <f>F11-G11</f>
        <v>0</v>
      </c>
      <c r="I11" s="143"/>
      <c r="J11" s="127"/>
      <c r="K11" s="130"/>
      <c r="L11" s="144"/>
      <c r="M11" s="143"/>
    </row>
    <row r="12" spans="1:16" ht="19.95" customHeight="1">
      <c r="A12" s="127" t="s">
        <v>492</v>
      </c>
      <c r="B12" s="127"/>
      <c r="C12" s="128"/>
      <c r="D12" s="128"/>
      <c r="E12" s="128"/>
      <c r="F12" s="129">
        <f t="shared" ref="F12:F13" si="0">C12+D12-E12</f>
        <v>0</v>
      </c>
      <c r="G12" s="130"/>
      <c r="H12" s="131">
        <f t="shared" ref="H12:H13" si="1">F12-G12</f>
        <v>0</v>
      </c>
      <c r="I12" s="143"/>
      <c r="J12" s="127"/>
      <c r="K12" s="130"/>
      <c r="L12" s="144"/>
      <c r="M12" s="143"/>
    </row>
    <row r="13" spans="1:16" ht="19.95" customHeight="1">
      <c r="A13" s="127" t="s">
        <v>309</v>
      </c>
      <c r="B13" s="127"/>
      <c r="C13" s="128"/>
      <c r="D13" s="128"/>
      <c r="E13" s="128"/>
      <c r="F13" s="129">
        <f t="shared" si="0"/>
        <v>0</v>
      </c>
      <c r="G13" s="130"/>
      <c r="H13" s="131">
        <f t="shared" si="1"/>
        <v>0</v>
      </c>
      <c r="I13" s="143"/>
      <c r="J13" s="127"/>
      <c r="K13" s="130"/>
      <c r="L13" s="144"/>
      <c r="M13" s="143"/>
    </row>
    <row r="14" spans="1:16" s="118" customFormat="1" ht="19.95" customHeight="1">
      <c r="A14" s="125" t="s">
        <v>131</v>
      </c>
      <c r="B14" s="132"/>
      <c r="C14" s="133">
        <f t="shared" ref="C14:H14" si="2">SUM(C11:C13)</f>
        <v>0</v>
      </c>
      <c r="D14" s="133">
        <f t="shared" si="2"/>
        <v>0</v>
      </c>
      <c r="E14" s="133">
        <f t="shared" si="2"/>
        <v>0</v>
      </c>
      <c r="F14" s="133">
        <f t="shared" si="2"/>
        <v>0</v>
      </c>
      <c r="G14" s="133">
        <f t="shared" si="2"/>
        <v>0</v>
      </c>
      <c r="H14" s="133">
        <f t="shared" si="2"/>
        <v>0</v>
      </c>
      <c r="I14" s="125"/>
      <c r="J14" s="132"/>
      <c r="K14" s="133">
        <f>SUM(K11:K13)</f>
        <v>0</v>
      </c>
      <c r="L14" s="145"/>
      <c r="M14" s="146"/>
    </row>
    <row r="15" spans="1:16" s="119" customFormat="1" ht="19.95" customHeight="1">
      <c r="A15" s="134" t="s">
        <v>493</v>
      </c>
      <c r="B15" s="134"/>
      <c r="C15" s="134"/>
      <c r="D15" s="134"/>
      <c r="E15" s="134"/>
      <c r="F15" s="135"/>
      <c r="G15" s="135"/>
      <c r="H15" s="135"/>
      <c r="I15" s="135"/>
      <c r="J15" s="135"/>
      <c r="K15" s="135"/>
      <c r="L15" s="135"/>
      <c r="M15" s="135"/>
      <c r="N15" s="135"/>
    </row>
    <row r="16" spans="1:16" s="119" customFormat="1" ht="19.95" customHeight="1">
      <c r="A16" s="134"/>
      <c r="B16" s="134"/>
      <c r="C16" s="134"/>
      <c r="D16" s="134"/>
      <c r="E16" s="134"/>
      <c r="F16" s="135"/>
      <c r="G16" s="135"/>
      <c r="H16" s="135"/>
      <c r="I16" s="135"/>
      <c r="J16" s="135"/>
      <c r="K16" s="135"/>
      <c r="L16" s="135"/>
      <c r="M16" s="135"/>
      <c r="N16" s="135"/>
    </row>
    <row r="17" spans="1:14" s="119" customFormat="1" ht="19.95" customHeight="1">
      <c r="A17" s="134"/>
      <c r="B17" s="134"/>
      <c r="C17" s="134"/>
      <c r="D17" s="134"/>
      <c r="E17" s="134"/>
      <c r="F17" s="135"/>
      <c r="G17" s="135"/>
      <c r="H17" s="135"/>
      <c r="I17" s="135"/>
      <c r="J17" s="135"/>
      <c r="K17" s="135"/>
      <c r="L17" s="135"/>
      <c r="M17" s="135"/>
      <c r="N17" s="135"/>
    </row>
    <row r="18" spans="1:14" ht="19.95" customHeight="1"/>
    <row r="19" spans="1:14" ht="19.95" customHeight="1">
      <c r="A19" s="117" t="s">
        <v>281</v>
      </c>
      <c r="B19" s="117"/>
      <c r="C19" s="117"/>
      <c r="D19" s="117"/>
      <c r="E19" s="117"/>
    </row>
    <row r="20" spans="1:14" ht="19.95" customHeight="1">
      <c r="A20" s="117"/>
      <c r="B20" s="117"/>
      <c r="C20" s="117"/>
      <c r="D20" s="117"/>
      <c r="E20" s="117"/>
    </row>
    <row r="21" spans="1:14" ht="19.95" customHeight="1">
      <c r="A21" s="117"/>
      <c r="B21" s="117"/>
      <c r="C21" s="117"/>
      <c r="D21" s="117"/>
      <c r="E21" s="117"/>
    </row>
    <row r="22" spans="1:14" ht="19.95" customHeight="1"/>
    <row r="23" spans="1:14" ht="18" customHeight="1">
      <c r="A23" s="135"/>
      <c r="B23" s="135"/>
      <c r="C23" s="135"/>
      <c r="D23" s="135"/>
      <c r="E23" s="135"/>
      <c r="F23" s="119"/>
      <c r="G23" s="119"/>
      <c r="H23" s="119"/>
      <c r="I23" s="119"/>
      <c r="J23" s="119"/>
      <c r="K23" s="119"/>
      <c r="L23" s="119"/>
      <c r="M23" s="119"/>
      <c r="N23" s="119"/>
    </row>
    <row r="24" spans="1:14" ht="18" customHeight="1">
      <c r="A24" s="135"/>
      <c r="B24" s="135" t="s">
        <v>585</v>
      </c>
      <c r="C24" s="135"/>
      <c r="D24" s="135"/>
      <c r="E24" s="135"/>
      <c r="F24" s="119"/>
      <c r="G24" s="119"/>
      <c r="H24" s="119"/>
      <c r="I24" s="119"/>
      <c r="K24" s="119"/>
      <c r="L24" s="119"/>
      <c r="M24" s="119"/>
      <c r="N24" s="119"/>
    </row>
    <row r="25" spans="1:14" ht="18" customHeight="1">
      <c r="A25" s="135"/>
      <c r="B25" s="120" t="s">
        <v>494</v>
      </c>
      <c r="C25" s="135"/>
      <c r="D25" s="135"/>
      <c r="E25" s="135"/>
      <c r="F25" s="119"/>
      <c r="G25" s="119"/>
      <c r="H25" s="119"/>
      <c r="I25" s="119"/>
      <c r="K25" s="119"/>
      <c r="L25" s="119"/>
      <c r="M25" s="119"/>
      <c r="N25" s="119"/>
    </row>
    <row r="26" spans="1:14" ht="18" customHeight="1">
      <c r="A26" s="136"/>
      <c r="B26" s="120" t="s">
        <v>495</v>
      </c>
      <c r="C26" s="136"/>
      <c r="D26" s="136"/>
      <c r="E26" s="136"/>
      <c r="F26" s="119"/>
      <c r="G26" s="119"/>
      <c r="H26" s="119"/>
      <c r="I26" s="119"/>
      <c r="K26" s="119"/>
      <c r="L26" s="119"/>
      <c r="M26" s="119"/>
      <c r="N26" s="119"/>
    </row>
    <row r="27" spans="1:14" ht="18" customHeight="1">
      <c r="A27" s="137"/>
      <c r="B27" s="120" t="s">
        <v>496</v>
      </c>
      <c r="C27" s="137"/>
      <c r="D27" s="137"/>
      <c r="E27" s="137"/>
      <c r="G27" s="119"/>
      <c r="H27" s="119"/>
      <c r="I27" s="119"/>
      <c r="K27" s="119"/>
      <c r="L27" s="119"/>
      <c r="M27" s="119"/>
      <c r="N27" s="119"/>
    </row>
    <row r="28" spans="1:14" ht="18" customHeight="1">
      <c r="A28" s="137"/>
      <c r="B28" s="138" t="s">
        <v>497</v>
      </c>
      <c r="C28" s="137"/>
      <c r="D28" s="137"/>
      <c r="E28" s="137"/>
      <c r="G28" s="119"/>
      <c r="H28" s="119"/>
      <c r="I28" s="119"/>
      <c r="K28" s="119"/>
      <c r="L28" s="119"/>
      <c r="M28" s="119"/>
      <c r="N28" s="119"/>
    </row>
    <row r="29" spans="1:14" ht="18" customHeight="1">
      <c r="A29" s="137"/>
      <c r="B29" s="120" t="s">
        <v>498</v>
      </c>
      <c r="C29" s="137"/>
      <c r="D29" s="137"/>
      <c r="E29" s="137"/>
      <c r="G29" s="119"/>
      <c r="H29" s="119"/>
      <c r="I29" s="119"/>
      <c r="K29" s="119"/>
      <c r="L29" s="119"/>
      <c r="M29" s="119"/>
      <c r="N29" s="119"/>
    </row>
    <row r="30" spans="1:14">
      <c r="B30" s="119" t="s">
        <v>499</v>
      </c>
    </row>
    <row r="31" spans="1:14" ht="24">
      <c r="B31" s="120" t="s">
        <v>500</v>
      </c>
    </row>
    <row r="32" spans="1:14">
      <c r="B32" s="120" t="s">
        <v>501</v>
      </c>
    </row>
  </sheetData>
  <mergeCells count="2">
    <mergeCell ref="A1:M1"/>
    <mergeCell ref="A2:M2"/>
  </mergeCells>
  <phoneticPr fontId="123" type="noConversion"/>
  <dataValidations count="1">
    <dataValidation type="list" allowBlank="1" showInputMessage="1" showErrorMessage="1" sqref="B11:B13">
      <formula1>$B$25:$B$32</formula1>
    </dataValidation>
  </dataValidations>
  <hyperlinks>
    <hyperlink ref="M3" location="底稿目录!A1" display="D1-12"/>
  </hyperlinks>
  <pageMargins left="0.70833333333333304" right="0.70833333333333304" top="0.74791666666666701" bottom="0.74791666666666701" header="0.31458333333333299" footer="0.31458333333333299"/>
  <pageSetup paperSize="9" scale="79" fitToHeight="0" orientation="landscape" blackAndWhite="1"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P24"/>
  <sheetViews>
    <sheetView view="pageBreakPreview" zoomScaleNormal="100" workbookViewId="0">
      <selection sqref="A1:P1"/>
    </sheetView>
  </sheetViews>
  <sheetFormatPr defaultColWidth="9" defaultRowHeight="20.100000000000001" customHeight="1"/>
  <cols>
    <col min="1" max="1" width="9" style="87"/>
    <col min="2" max="2" width="14.5" style="87" customWidth="1"/>
    <col min="3" max="3" width="12.5" style="87" customWidth="1"/>
    <col min="4" max="4" width="16.69921875" style="87" customWidth="1"/>
    <col min="5" max="5" width="10.19921875" style="87" customWidth="1"/>
    <col min="6" max="6" width="16.69921875" style="87" customWidth="1"/>
    <col min="7" max="7" width="10.8984375" style="87" customWidth="1"/>
    <col min="8" max="8" width="9" style="87"/>
    <col min="9" max="9" width="10.19921875" style="87" customWidth="1"/>
    <col min="10" max="16384" width="9" style="87"/>
  </cols>
  <sheetData>
    <row r="1" spans="1:16" ht="20.100000000000001" customHeight="1">
      <c r="A1" s="729" t="s">
        <v>45</v>
      </c>
      <c r="B1" s="729"/>
      <c r="C1" s="729"/>
      <c r="D1" s="729"/>
      <c r="E1" s="729"/>
      <c r="F1" s="729"/>
      <c r="G1" s="729"/>
      <c r="H1" s="729"/>
      <c r="I1" s="729"/>
      <c r="J1" s="729"/>
      <c r="K1" s="729"/>
      <c r="L1" s="729"/>
      <c r="M1" s="729"/>
      <c r="N1" s="729"/>
      <c r="O1" s="729"/>
      <c r="P1" s="729"/>
    </row>
    <row r="2" spans="1:16" ht="20.100000000000001" customHeight="1">
      <c r="A2" s="730" t="s">
        <v>502</v>
      </c>
      <c r="B2" s="730"/>
      <c r="C2" s="730"/>
      <c r="D2" s="730"/>
      <c r="E2" s="730"/>
      <c r="F2" s="730"/>
      <c r="G2" s="730"/>
      <c r="H2" s="730"/>
      <c r="I2" s="730"/>
      <c r="J2" s="730"/>
      <c r="K2" s="730"/>
      <c r="L2" s="730"/>
      <c r="M2" s="730"/>
      <c r="N2" s="730"/>
      <c r="O2" s="730"/>
      <c r="P2" s="730"/>
    </row>
    <row r="3" spans="1:16" ht="20.100000000000001" customHeight="1">
      <c r="A3" s="88" t="str">
        <f>底稿目录!A2</f>
        <v>被审计单位名称：</v>
      </c>
      <c r="B3" s="89"/>
      <c r="C3" s="89"/>
      <c r="F3" s="88" t="str">
        <f>底稿目录!A4</f>
        <v>编制人：</v>
      </c>
      <c r="G3" s="88"/>
      <c r="J3" s="88" t="str">
        <f>底稿目录!A5</f>
        <v>编制日期：</v>
      </c>
      <c r="O3" s="103" t="s">
        <v>47</v>
      </c>
      <c r="P3" s="621" t="str">
        <f>底稿目录!F18</f>
        <v>D1-12</v>
      </c>
    </row>
    <row r="4" spans="1:16" ht="20.100000000000001" customHeight="1">
      <c r="A4" s="88" t="str">
        <f>底稿目录!A3</f>
        <v>截止日：202X年12月31日</v>
      </c>
      <c r="B4" s="89"/>
      <c r="C4" s="89"/>
      <c r="F4" s="88" t="str">
        <f>底稿目录!A6</f>
        <v>复核人：</v>
      </c>
      <c r="G4" s="88"/>
      <c r="J4" s="88" t="str">
        <f>底稿目录!A7</f>
        <v>复核日期：</v>
      </c>
      <c r="O4" s="103" t="s">
        <v>290</v>
      </c>
      <c r="P4" s="104"/>
    </row>
    <row r="5" spans="1:16" ht="20.100000000000001" customHeight="1">
      <c r="A5" s="90" t="s">
        <v>588</v>
      </c>
    </row>
    <row r="6" spans="1:16" ht="20.100000000000001" customHeight="1">
      <c r="A6" s="89" t="s">
        <v>589</v>
      </c>
    </row>
    <row r="7" spans="1:16" ht="20.100000000000001" customHeight="1">
      <c r="A7" s="90" t="s">
        <v>316</v>
      </c>
    </row>
    <row r="8" spans="1:16" ht="20.100000000000001" customHeight="1">
      <c r="A8" s="91" t="s">
        <v>273</v>
      </c>
      <c r="B8" s="89"/>
      <c r="C8" s="89"/>
      <c r="D8" s="88"/>
      <c r="E8" s="88"/>
      <c r="F8" s="88"/>
      <c r="I8" s="103"/>
      <c r="J8" s="104"/>
    </row>
    <row r="9" spans="1:16" ht="20.100000000000001" customHeight="1">
      <c r="A9" s="91"/>
      <c r="B9" s="89"/>
      <c r="C9" s="89"/>
      <c r="D9" s="88"/>
      <c r="E9" s="88"/>
      <c r="F9" s="88"/>
      <c r="I9" s="103"/>
      <c r="J9" s="104"/>
    </row>
    <row r="10" spans="1:16" ht="20.100000000000001" customHeight="1">
      <c r="A10" s="88"/>
      <c r="B10" s="89"/>
      <c r="C10" s="89"/>
      <c r="D10" s="88"/>
      <c r="E10" s="88"/>
      <c r="G10" s="88"/>
      <c r="I10" s="105"/>
      <c r="J10" s="103"/>
    </row>
    <row r="11" spans="1:16" ht="20.100000000000001" customHeight="1">
      <c r="A11" s="92" t="s">
        <v>349</v>
      </c>
      <c r="B11" s="92" t="s">
        <v>503</v>
      </c>
      <c r="C11" s="92" t="s">
        <v>351</v>
      </c>
      <c r="D11" s="92" t="s">
        <v>352</v>
      </c>
      <c r="E11" s="92" t="s">
        <v>353</v>
      </c>
      <c r="F11" s="92" t="s">
        <v>354</v>
      </c>
      <c r="G11" s="92" t="s">
        <v>355</v>
      </c>
      <c r="H11" s="92" t="s">
        <v>356</v>
      </c>
      <c r="I11" s="92" t="s">
        <v>357</v>
      </c>
      <c r="J11" s="106" t="s">
        <v>504</v>
      </c>
      <c r="K11" s="106" t="s">
        <v>505</v>
      </c>
      <c r="L11" s="92" t="s">
        <v>506</v>
      </c>
      <c r="M11" s="92" t="s">
        <v>507</v>
      </c>
      <c r="N11" s="92" t="s">
        <v>508</v>
      </c>
      <c r="O11" s="92" t="s">
        <v>509</v>
      </c>
      <c r="P11" s="107" t="s">
        <v>4</v>
      </c>
    </row>
    <row r="12" spans="1:16" ht="20.100000000000001" customHeight="1">
      <c r="A12" s="93"/>
      <c r="B12" s="94"/>
      <c r="C12" s="95"/>
      <c r="D12" s="93"/>
      <c r="E12" s="96"/>
      <c r="F12" s="93"/>
      <c r="G12" s="93"/>
      <c r="H12" s="97"/>
      <c r="I12" s="108"/>
      <c r="J12" s="109"/>
      <c r="K12" s="110"/>
      <c r="L12" s="111"/>
      <c r="M12" s="112"/>
      <c r="N12" s="112"/>
      <c r="O12" s="112"/>
      <c r="P12" s="113"/>
    </row>
    <row r="13" spans="1:16" ht="20.100000000000001" customHeight="1">
      <c r="A13" s="93"/>
      <c r="B13" s="94"/>
      <c r="C13" s="94"/>
      <c r="D13" s="93"/>
      <c r="E13" s="98"/>
      <c r="F13" s="93"/>
      <c r="G13" s="93"/>
      <c r="H13" s="97"/>
      <c r="I13" s="108"/>
      <c r="J13" s="109"/>
      <c r="K13" s="110"/>
      <c r="L13" s="111"/>
      <c r="M13" s="112"/>
      <c r="N13" s="112"/>
      <c r="O13" s="112"/>
      <c r="P13" s="113"/>
    </row>
    <row r="14" spans="1:16" ht="20.100000000000001" customHeight="1">
      <c r="A14" s="93"/>
      <c r="B14" s="94"/>
      <c r="C14" s="94"/>
      <c r="D14" s="93"/>
      <c r="E14" s="98"/>
      <c r="F14" s="93"/>
      <c r="G14" s="93"/>
      <c r="H14" s="97"/>
      <c r="I14" s="108"/>
      <c r="J14" s="109"/>
      <c r="K14" s="110"/>
      <c r="L14" s="111"/>
      <c r="M14" s="112"/>
      <c r="N14" s="112"/>
      <c r="O14" s="112"/>
      <c r="P14" s="113"/>
    </row>
    <row r="15" spans="1:16" ht="20.100000000000001" customHeight="1">
      <c r="A15" s="93"/>
      <c r="B15" s="94"/>
      <c r="C15" s="94"/>
      <c r="D15" s="93"/>
      <c r="E15" s="98"/>
      <c r="F15" s="93"/>
      <c r="G15" s="93"/>
      <c r="H15" s="97"/>
      <c r="I15" s="108"/>
      <c r="J15" s="109"/>
      <c r="K15" s="110"/>
      <c r="L15" s="111"/>
      <c r="M15" s="112"/>
      <c r="N15" s="112"/>
      <c r="O15" s="112"/>
      <c r="P15" s="113"/>
    </row>
    <row r="16" spans="1:16" ht="20.100000000000001" customHeight="1">
      <c r="A16" s="93"/>
      <c r="B16" s="94"/>
      <c r="C16" s="94"/>
      <c r="D16" s="93"/>
      <c r="E16" s="98"/>
      <c r="F16" s="93"/>
      <c r="G16" s="93"/>
      <c r="H16" s="97"/>
      <c r="I16" s="108"/>
      <c r="J16" s="109"/>
      <c r="K16" s="110"/>
      <c r="L16" s="111"/>
      <c r="M16" s="112"/>
      <c r="N16" s="112"/>
      <c r="O16" s="112"/>
      <c r="P16" s="113"/>
    </row>
    <row r="17" spans="1:16" ht="20.100000000000001" customHeight="1">
      <c r="A17" s="93"/>
      <c r="B17" s="94"/>
      <c r="C17" s="94"/>
      <c r="D17" s="93"/>
      <c r="E17" s="98"/>
      <c r="F17" s="93"/>
      <c r="G17" s="93"/>
      <c r="H17" s="97"/>
      <c r="I17" s="108"/>
      <c r="J17" s="109"/>
      <c r="K17" s="110"/>
      <c r="L17" s="111"/>
      <c r="M17" s="112"/>
      <c r="N17" s="112"/>
      <c r="O17" s="112"/>
      <c r="P17" s="113"/>
    </row>
    <row r="18" spans="1:16" ht="20.100000000000001" customHeight="1">
      <c r="A18" s="99" t="s">
        <v>131</v>
      </c>
      <c r="B18" s="100"/>
      <c r="C18" s="100"/>
      <c r="D18" s="101"/>
      <c r="E18" s="100"/>
      <c r="F18" s="101"/>
      <c r="G18" s="101"/>
      <c r="H18" s="102">
        <f>SUM(H12:H17)</f>
        <v>0</v>
      </c>
      <c r="I18" s="114"/>
      <c r="J18" s="102">
        <f>SUM(J12:J17)</f>
        <v>0</v>
      </c>
      <c r="K18" s="115"/>
      <c r="L18" s="115"/>
      <c r="M18" s="115"/>
      <c r="N18" s="115"/>
      <c r="O18" s="115"/>
      <c r="P18" s="115"/>
    </row>
    <row r="19" spans="1:16" ht="20.100000000000001" customHeight="1">
      <c r="A19" s="90" t="s">
        <v>280</v>
      </c>
    </row>
    <row r="20" spans="1:16" ht="20.100000000000001" customHeight="1">
      <c r="A20" s="90"/>
    </row>
    <row r="21" spans="1:16" ht="20.100000000000001" customHeight="1">
      <c r="A21" s="89"/>
    </row>
    <row r="22" spans="1:16" ht="20.100000000000001" customHeight="1">
      <c r="A22" s="89"/>
    </row>
    <row r="23" spans="1:16" ht="20.100000000000001" customHeight="1">
      <c r="A23" s="90" t="s">
        <v>281</v>
      </c>
    </row>
    <row r="24" spans="1:16" ht="20.100000000000001" customHeight="1">
      <c r="A24" s="90"/>
    </row>
  </sheetData>
  <mergeCells count="2">
    <mergeCell ref="A1:P1"/>
    <mergeCell ref="A2:P2"/>
  </mergeCells>
  <phoneticPr fontId="123" type="noConversion"/>
  <hyperlinks>
    <hyperlink ref="P3" location="底稿目录!Print_Area" display="底稿目录!Print_Area"/>
  </hyperlinks>
  <pageMargins left="0.70833333333333304" right="0.70833333333333304" top="0.74791666666666701" bottom="0.74791666666666701" header="0.31458333333333299" footer="0.31458333333333299"/>
  <pageSetup paperSize="9" scale="71" fitToHeight="0" orientation="landscape" blackAndWhite="1" r:id="rId1"/>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Q54"/>
  <sheetViews>
    <sheetView view="pageBreakPreview" zoomScaleNormal="100" workbookViewId="0">
      <selection activeCell="Q3" sqref="Q3"/>
    </sheetView>
  </sheetViews>
  <sheetFormatPr defaultColWidth="9" defaultRowHeight="21.75" customHeight="1"/>
  <cols>
    <col min="1" max="4" width="9" style="150"/>
    <col min="5" max="5" width="9" style="150" customWidth="1"/>
    <col min="6" max="6" width="12.3984375" style="150" customWidth="1"/>
    <col min="7" max="7" width="10.3984375" style="150" customWidth="1"/>
    <col min="8" max="8" width="11.59765625" style="150" customWidth="1"/>
    <col min="9" max="9" width="24.69921875" style="150" customWidth="1"/>
    <col min="10" max="14" width="4" style="150" customWidth="1"/>
    <col min="15" max="15" width="10.09765625" style="150" customWidth="1"/>
    <col min="16" max="16" width="7.19921875" style="150" customWidth="1"/>
    <col min="17" max="17" width="15.09765625" style="150" customWidth="1"/>
    <col min="18" max="16384" width="9" style="150"/>
  </cols>
  <sheetData>
    <row r="1" spans="1:17" s="69" customFormat="1" ht="21.75" customHeight="1">
      <c r="A1" s="731" t="s">
        <v>45</v>
      </c>
      <c r="B1" s="731"/>
      <c r="C1" s="731"/>
      <c r="D1" s="731"/>
      <c r="E1" s="731"/>
      <c r="F1" s="731"/>
      <c r="G1" s="731"/>
      <c r="H1" s="731"/>
      <c r="I1" s="731"/>
      <c r="J1" s="731"/>
      <c r="K1" s="731"/>
      <c r="L1" s="731"/>
      <c r="M1" s="731"/>
      <c r="N1" s="731"/>
      <c r="O1" s="731"/>
      <c r="P1" s="731"/>
      <c r="Q1" s="731"/>
    </row>
    <row r="2" spans="1:17" s="69" customFormat="1" ht="21.75" customHeight="1">
      <c r="A2" s="732" t="s">
        <v>33</v>
      </c>
      <c r="B2" s="732"/>
      <c r="C2" s="732"/>
      <c r="D2" s="732"/>
      <c r="E2" s="732"/>
      <c r="F2" s="732"/>
      <c r="G2" s="732"/>
      <c r="H2" s="732"/>
      <c r="I2" s="732"/>
      <c r="J2" s="732"/>
      <c r="K2" s="732"/>
      <c r="L2" s="732"/>
      <c r="M2" s="732"/>
      <c r="N2" s="732"/>
      <c r="O2" s="732"/>
      <c r="P2" s="732"/>
      <c r="Q2" s="732"/>
    </row>
    <row r="3" spans="1:17" s="69" customFormat="1" ht="21.75" customHeight="1">
      <c r="A3" s="70" t="str">
        <f>底稿目录!A2</f>
        <v>被审计单位名称：</v>
      </c>
      <c r="B3" s="70"/>
      <c r="C3" s="70"/>
      <c r="E3" s="70"/>
      <c r="F3" s="70" t="str">
        <f>底稿目录!A4</f>
        <v>编制人：</v>
      </c>
      <c r="G3" s="70"/>
      <c r="H3" s="70"/>
      <c r="I3" s="70" t="str">
        <f>底稿目录!A5</f>
        <v>编制日期：</v>
      </c>
      <c r="P3" s="72" t="s">
        <v>47</v>
      </c>
      <c r="Q3" s="621" t="str">
        <f>底稿目录!F26</f>
        <v>D1-13</v>
      </c>
    </row>
    <row r="4" spans="1:17" s="69" customFormat="1" ht="21.75" customHeight="1">
      <c r="A4" s="70" t="str">
        <f>底稿目录!A3</f>
        <v>截止日：202X年12月31日</v>
      </c>
      <c r="B4" s="70"/>
      <c r="C4" s="70"/>
      <c r="E4" s="151"/>
      <c r="F4" s="70" t="str">
        <f>底稿目录!A6</f>
        <v>复核人：</v>
      </c>
      <c r="G4" s="151"/>
      <c r="H4" s="151"/>
      <c r="I4" s="70" t="str">
        <f>底稿目录!A7</f>
        <v>复核日期：</v>
      </c>
      <c r="P4" s="72" t="s">
        <v>290</v>
      </c>
      <c r="Q4" s="177"/>
    </row>
    <row r="5" spans="1:17" s="69" customFormat="1" ht="21.75" customHeight="1">
      <c r="A5" s="76" t="s">
        <v>291</v>
      </c>
      <c r="B5" s="76"/>
      <c r="C5" s="76"/>
    </row>
    <row r="6" spans="1:17" s="69" customFormat="1" ht="21.75" customHeight="1">
      <c r="A6" s="69" t="s">
        <v>452</v>
      </c>
      <c r="B6" s="76"/>
      <c r="C6" s="76"/>
      <c r="D6" s="76"/>
      <c r="E6" s="76"/>
      <c r="F6" s="76"/>
      <c r="G6" s="76"/>
      <c r="H6" s="76"/>
    </row>
    <row r="7" spans="1:17" s="69" customFormat="1" ht="21.75" customHeight="1">
      <c r="A7" s="152" t="s">
        <v>453</v>
      </c>
      <c r="B7" s="152"/>
      <c r="C7" s="149"/>
      <c r="D7" s="149"/>
      <c r="E7" s="149"/>
      <c r="F7" s="149"/>
      <c r="G7" s="149"/>
      <c r="H7" s="149"/>
      <c r="I7" s="149"/>
      <c r="J7" s="149"/>
      <c r="K7" s="149"/>
    </row>
    <row r="8" spans="1:17" s="69" customFormat="1" ht="21.75" customHeight="1">
      <c r="A8" s="153" t="s">
        <v>454</v>
      </c>
      <c r="B8" s="154" t="s">
        <v>455</v>
      </c>
      <c r="C8" s="149"/>
      <c r="D8" s="149"/>
      <c r="E8" s="149"/>
      <c r="F8" s="153"/>
      <c r="G8" s="154"/>
      <c r="H8" s="153" t="s">
        <v>456</v>
      </c>
      <c r="I8" s="154" t="s">
        <v>457</v>
      </c>
      <c r="J8" s="149"/>
    </row>
    <row r="9" spans="1:17" s="69" customFormat="1" ht="21.75" customHeight="1">
      <c r="A9" s="153" t="s">
        <v>458</v>
      </c>
      <c r="B9" s="154" t="s">
        <v>459</v>
      </c>
      <c r="C9" s="149"/>
      <c r="D9" s="149"/>
      <c r="E9" s="149"/>
      <c r="F9" s="153"/>
      <c r="G9" s="154"/>
      <c r="H9" s="155" t="s">
        <v>460</v>
      </c>
      <c r="I9" s="154" t="s">
        <v>461</v>
      </c>
      <c r="L9" s="154"/>
    </row>
    <row r="10" spans="1:17" s="69" customFormat="1" ht="21.75" customHeight="1">
      <c r="A10" s="153" t="s">
        <v>462</v>
      </c>
      <c r="B10" s="154" t="s">
        <v>621</v>
      </c>
      <c r="C10" s="149"/>
      <c r="D10" s="149"/>
      <c r="E10" s="149"/>
      <c r="F10" s="153"/>
      <c r="G10" s="154"/>
      <c r="H10" s="153" t="s">
        <v>463</v>
      </c>
      <c r="I10" s="154" t="s">
        <v>464</v>
      </c>
      <c r="J10"/>
    </row>
    <row r="11" spans="1:17" s="69" customFormat="1" ht="21.75" customHeight="1">
      <c r="A11" s="156" t="s">
        <v>465</v>
      </c>
      <c r="B11" s="156"/>
      <c r="C11" s="149"/>
      <c r="D11" s="149"/>
      <c r="E11" s="149"/>
      <c r="F11" s="149"/>
      <c r="G11" s="149"/>
      <c r="H11" s="149"/>
      <c r="I11" s="149"/>
      <c r="J11" s="149"/>
      <c r="K11" s="149"/>
    </row>
    <row r="12" spans="1:17" s="69" customFormat="1" ht="21.75" customHeight="1">
      <c r="A12" s="157" t="s">
        <v>466</v>
      </c>
      <c r="B12" s="156"/>
      <c r="C12" s="149"/>
      <c r="D12" s="149"/>
      <c r="E12" s="149"/>
      <c r="F12" s="149"/>
      <c r="G12" s="149"/>
      <c r="H12" s="149"/>
      <c r="I12" s="149"/>
      <c r="J12" s="149"/>
      <c r="K12" s="149"/>
    </row>
    <row r="13" spans="1:17" s="147" customFormat="1" ht="20.100000000000001" customHeight="1">
      <c r="A13" s="158" t="s">
        <v>467</v>
      </c>
    </row>
    <row r="14" spans="1:17" s="148" customFormat="1" ht="20.100000000000001" customHeight="1">
      <c r="A14" s="744" t="s">
        <v>468</v>
      </c>
      <c r="B14" s="733" t="s">
        <v>469</v>
      </c>
      <c r="C14" s="733"/>
      <c r="D14" s="733"/>
      <c r="E14" s="733"/>
      <c r="F14" s="733"/>
      <c r="G14" s="733"/>
      <c r="H14" s="733"/>
      <c r="I14" s="746" t="s">
        <v>470</v>
      </c>
      <c r="J14" s="734" t="s">
        <v>471</v>
      </c>
      <c r="K14" s="735"/>
      <c r="L14" s="735"/>
      <c r="M14" s="735"/>
      <c r="N14" s="735"/>
      <c r="O14" s="748" t="s">
        <v>4</v>
      </c>
      <c r="P14" s="737" t="s">
        <v>472</v>
      </c>
      <c r="Q14" s="739" t="s">
        <v>473</v>
      </c>
    </row>
    <row r="15" spans="1:17" s="148" customFormat="1" ht="20.100000000000001" customHeight="1">
      <c r="A15" s="745"/>
      <c r="B15" s="159" t="s">
        <v>474</v>
      </c>
      <c r="C15" s="159" t="s">
        <v>475</v>
      </c>
      <c r="D15" s="159" t="s">
        <v>476</v>
      </c>
      <c r="E15" s="159" t="s">
        <v>477</v>
      </c>
      <c r="F15" s="159" t="s">
        <v>478</v>
      </c>
      <c r="G15" s="160" t="s">
        <v>479</v>
      </c>
      <c r="H15" s="160" t="s">
        <v>480</v>
      </c>
      <c r="I15" s="747"/>
      <c r="J15" s="171">
        <v>1</v>
      </c>
      <c r="K15" s="171">
        <v>2</v>
      </c>
      <c r="L15" s="171">
        <v>3</v>
      </c>
      <c r="M15" s="171">
        <v>4</v>
      </c>
      <c r="N15" s="171">
        <v>5</v>
      </c>
      <c r="O15" s="748"/>
      <c r="P15" s="738"/>
      <c r="Q15" s="740"/>
    </row>
    <row r="16" spans="1:17" s="148" customFormat="1" ht="19.95" customHeight="1">
      <c r="A16" s="161"/>
      <c r="B16" s="162"/>
      <c r="C16" s="163"/>
      <c r="D16" s="164"/>
      <c r="E16" s="164"/>
      <c r="F16" s="164"/>
      <c r="G16" s="165"/>
      <c r="H16" s="165"/>
      <c r="I16" s="170"/>
      <c r="J16" s="172"/>
      <c r="K16" s="172"/>
      <c r="L16" s="172"/>
      <c r="M16" s="172"/>
      <c r="N16" s="172"/>
      <c r="O16" s="173"/>
      <c r="P16" s="174"/>
      <c r="Q16" s="174"/>
    </row>
    <row r="17" spans="1:17" s="148" customFormat="1" ht="19.95" customHeight="1">
      <c r="A17" s="161"/>
      <c r="B17" s="162"/>
      <c r="C17" s="163"/>
      <c r="D17" s="164"/>
      <c r="E17" s="164"/>
      <c r="F17" s="164"/>
      <c r="G17" s="165"/>
      <c r="H17" s="165"/>
      <c r="I17" s="629"/>
      <c r="J17" s="172"/>
      <c r="K17" s="172"/>
      <c r="L17" s="172"/>
      <c r="M17" s="172"/>
      <c r="N17" s="172"/>
      <c r="O17" s="173"/>
      <c r="P17" s="174"/>
      <c r="Q17" s="174"/>
    </row>
    <row r="18" spans="1:17" s="148" customFormat="1" ht="19.95" customHeight="1">
      <c r="A18" s="161"/>
      <c r="B18" s="162"/>
      <c r="C18" s="163"/>
      <c r="D18" s="164"/>
      <c r="E18" s="164"/>
      <c r="F18" s="164"/>
      <c r="G18" s="165"/>
      <c r="H18" s="165"/>
      <c r="I18" s="629"/>
      <c r="J18" s="172"/>
      <c r="K18" s="172"/>
      <c r="L18" s="172"/>
      <c r="M18" s="172"/>
      <c r="N18" s="172"/>
      <c r="O18" s="173"/>
      <c r="P18" s="174"/>
      <c r="Q18" s="174"/>
    </row>
    <row r="19" spans="1:17" s="148" customFormat="1" ht="19.95" customHeight="1">
      <c r="A19" s="161"/>
      <c r="B19" s="162"/>
      <c r="C19" s="163"/>
      <c r="D19" s="164"/>
      <c r="E19" s="164"/>
      <c r="F19" s="164"/>
      <c r="G19" s="165"/>
      <c r="H19" s="165"/>
      <c r="I19" s="629"/>
      <c r="J19" s="172"/>
      <c r="K19" s="172"/>
      <c r="L19" s="172"/>
      <c r="M19" s="172"/>
      <c r="N19" s="172"/>
      <c r="O19" s="173"/>
      <c r="P19" s="174"/>
      <c r="Q19" s="174"/>
    </row>
    <row r="20" spans="1:17" s="148" customFormat="1" ht="19.95" customHeight="1">
      <c r="A20" s="161"/>
      <c r="B20" s="162"/>
      <c r="C20" s="163"/>
      <c r="D20" s="164"/>
      <c r="E20" s="164"/>
      <c r="F20" s="164"/>
      <c r="G20" s="165"/>
      <c r="H20" s="165"/>
      <c r="I20" s="629"/>
      <c r="J20" s="172"/>
      <c r="K20" s="172"/>
      <c r="L20" s="172"/>
      <c r="M20" s="172"/>
      <c r="N20" s="172"/>
      <c r="O20" s="173"/>
      <c r="P20" s="174"/>
      <c r="Q20" s="174"/>
    </row>
    <row r="21" spans="1:17" s="148" customFormat="1" ht="19.95" customHeight="1">
      <c r="A21" s="161"/>
      <c r="B21" s="162"/>
      <c r="C21" s="163"/>
      <c r="D21" s="164"/>
      <c r="E21" s="164"/>
      <c r="F21" s="164"/>
      <c r="G21" s="165"/>
      <c r="H21" s="165"/>
      <c r="I21" s="629"/>
      <c r="J21" s="172"/>
      <c r="K21" s="172"/>
      <c r="L21" s="172"/>
      <c r="M21" s="172"/>
      <c r="N21" s="172"/>
      <c r="O21" s="173"/>
      <c r="P21" s="174"/>
      <c r="Q21" s="174"/>
    </row>
    <row r="22" spans="1:17" s="148" customFormat="1" ht="19.95" customHeight="1">
      <c r="A22" s="161"/>
      <c r="B22" s="162"/>
      <c r="C22" s="163"/>
      <c r="D22" s="164"/>
      <c r="E22" s="164"/>
      <c r="F22" s="164"/>
      <c r="G22" s="165"/>
      <c r="H22" s="165"/>
      <c r="I22" s="629"/>
      <c r="J22" s="172"/>
      <c r="K22" s="172"/>
      <c r="L22" s="172"/>
      <c r="M22" s="172"/>
      <c r="N22" s="172"/>
      <c r="O22" s="173"/>
      <c r="P22" s="174"/>
      <c r="Q22" s="174"/>
    </row>
    <row r="23" spans="1:17" s="148" customFormat="1" ht="19.95" customHeight="1">
      <c r="A23" s="161"/>
      <c r="B23" s="162"/>
      <c r="C23" s="163"/>
      <c r="D23" s="164"/>
      <c r="E23" s="164"/>
      <c r="F23" s="164"/>
      <c r="G23" s="165"/>
      <c r="H23" s="165"/>
      <c r="I23" s="629"/>
      <c r="J23" s="172"/>
      <c r="K23" s="172"/>
      <c r="L23" s="172"/>
      <c r="M23" s="172"/>
      <c r="N23" s="172"/>
      <c r="O23" s="173"/>
      <c r="P23" s="174"/>
      <c r="Q23" s="174"/>
    </row>
    <row r="24" spans="1:17" s="148" customFormat="1" ht="19.95" customHeight="1">
      <c r="A24" s="161"/>
      <c r="B24" s="162"/>
      <c r="C24" s="163"/>
      <c r="D24" s="164"/>
      <c r="E24" s="164"/>
      <c r="F24" s="164"/>
      <c r="G24" s="165"/>
      <c r="H24" s="165"/>
      <c r="I24" s="629"/>
      <c r="J24" s="172"/>
      <c r="K24" s="172"/>
      <c r="L24" s="172"/>
      <c r="M24" s="172"/>
      <c r="N24" s="172"/>
      <c r="O24" s="173"/>
      <c r="P24" s="174"/>
      <c r="Q24" s="174"/>
    </row>
    <row r="25" spans="1:17" s="148" customFormat="1" ht="19.95" customHeight="1">
      <c r="A25" s="161"/>
      <c r="B25" s="162"/>
      <c r="C25" s="163"/>
      <c r="D25" s="164"/>
      <c r="E25" s="164"/>
      <c r="F25" s="164"/>
      <c r="G25" s="165"/>
      <c r="H25" s="165"/>
      <c r="I25" s="629"/>
      <c r="J25" s="172"/>
      <c r="K25" s="172"/>
      <c r="L25" s="172"/>
      <c r="M25" s="172"/>
      <c r="N25" s="172"/>
      <c r="O25" s="173"/>
      <c r="P25" s="174"/>
      <c r="Q25" s="174"/>
    </row>
    <row r="26" spans="1:17" s="148" customFormat="1" ht="19.95" customHeight="1">
      <c r="A26" s="161"/>
      <c r="B26" s="162"/>
      <c r="C26" s="163"/>
      <c r="D26" s="164"/>
      <c r="E26" s="164"/>
      <c r="F26" s="164"/>
      <c r="G26" s="165"/>
      <c r="H26" s="165"/>
      <c r="I26" s="629"/>
      <c r="J26" s="172"/>
      <c r="K26" s="172"/>
      <c r="L26" s="172"/>
      <c r="M26" s="172"/>
      <c r="N26" s="172"/>
      <c r="O26" s="173"/>
      <c r="P26" s="174"/>
      <c r="Q26" s="174"/>
    </row>
    <row r="27" spans="1:17" s="148" customFormat="1" ht="19.95" customHeight="1">
      <c r="A27" s="161"/>
      <c r="B27" s="162"/>
      <c r="C27" s="163"/>
      <c r="D27" s="164"/>
      <c r="E27" s="164"/>
      <c r="F27" s="164"/>
      <c r="G27" s="165"/>
      <c r="H27" s="165"/>
      <c r="I27" s="629"/>
      <c r="J27" s="172"/>
      <c r="K27" s="172"/>
      <c r="L27" s="172"/>
      <c r="M27" s="172"/>
      <c r="N27" s="172"/>
      <c r="O27" s="173"/>
      <c r="P27" s="174"/>
      <c r="Q27" s="174"/>
    </row>
    <row r="28" spans="1:17" s="148" customFormat="1" ht="19.95" customHeight="1">
      <c r="A28" s="161"/>
      <c r="B28" s="162"/>
      <c r="C28" s="163"/>
      <c r="D28" s="164"/>
      <c r="E28" s="164"/>
      <c r="F28" s="164"/>
      <c r="G28" s="165"/>
      <c r="H28" s="165"/>
      <c r="I28" s="170"/>
      <c r="J28" s="172"/>
      <c r="K28" s="172"/>
      <c r="L28" s="172"/>
      <c r="M28" s="172"/>
      <c r="N28" s="172"/>
      <c r="O28" s="173"/>
      <c r="P28" s="174"/>
      <c r="Q28" s="174"/>
    </row>
    <row r="29" spans="1:17" s="148" customFormat="1" ht="19.95" customHeight="1">
      <c r="A29" s="161"/>
      <c r="B29" s="162"/>
      <c r="C29" s="163"/>
      <c r="D29" s="164"/>
      <c r="E29" s="164"/>
      <c r="F29" s="164"/>
      <c r="G29" s="165"/>
      <c r="H29" s="165"/>
      <c r="I29" s="170"/>
      <c r="J29" s="172"/>
      <c r="K29" s="172"/>
      <c r="L29" s="172"/>
      <c r="M29" s="172"/>
      <c r="N29" s="172"/>
      <c r="O29" s="173"/>
      <c r="P29" s="174"/>
      <c r="Q29" s="174"/>
    </row>
    <row r="30" spans="1:17" s="148" customFormat="1" ht="19.95" customHeight="1">
      <c r="A30" s="161"/>
      <c r="B30" s="162"/>
      <c r="C30" s="163"/>
      <c r="D30" s="164"/>
      <c r="E30" s="164"/>
      <c r="F30" s="164"/>
      <c r="G30" s="165"/>
      <c r="H30" s="165"/>
      <c r="I30" s="170"/>
      <c r="J30" s="172"/>
      <c r="K30" s="172"/>
      <c r="L30" s="172"/>
      <c r="M30" s="172"/>
      <c r="N30" s="172"/>
      <c r="O30" s="173"/>
      <c r="P30" s="174"/>
      <c r="Q30" s="174"/>
    </row>
    <row r="31" spans="1:17" s="149" customFormat="1" ht="19.95" customHeight="1">
      <c r="A31" s="161"/>
      <c r="B31" s="162"/>
      <c r="C31" s="163"/>
      <c r="D31" s="164"/>
      <c r="E31" s="164"/>
      <c r="F31" s="164"/>
      <c r="G31" s="165"/>
      <c r="H31" s="165"/>
      <c r="I31" s="170"/>
      <c r="J31" s="172"/>
      <c r="K31" s="172"/>
      <c r="L31" s="172"/>
      <c r="M31" s="172"/>
      <c r="N31" s="172"/>
      <c r="O31" s="173"/>
      <c r="P31" s="174"/>
      <c r="Q31" s="174"/>
    </row>
    <row r="32" spans="1:17" s="149" customFormat="1" ht="19.95" customHeight="1">
      <c r="A32" s="166" t="s">
        <v>131</v>
      </c>
      <c r="B32" s="167"/>
      <c r="C32" s="167"/>
      <c r="D32" s="167"/>
      <c r="E32" s="167"/>
      <c r="F32" s="167"/>
      <c r="G32" s="168">
        <f>SUM(G16:G31)</f>
        <v>0</v>
      </c>
      <c r="H32" s="168">
        <f>SUM(H16:H31)</f>
        <v>0</v>
      </c>
      <c r="I32" s="175"/>
      <c r="J32" s="175"/>
      <c r="K32" s="175"/>
      <c r="L32" s="168"/>
      <c r="M32" s="175"/>
      <c r="N32" s="175"/>
      <c r="O32" s="168"/>
      <c r="P32" s="175"/>
      <c r="Q32" s="175"/>
    </row>
    <row r="33" spans="1:17" s="149" customFormat="1" ht="19.95" customHeight="1">
      <c r="A33" s="643"/>
      <c r="B33" s="644"/>
      <c r="C33" s="644"/>
      <c r="D33" s="644"/>
      <c r="E33" s="644"/>
      <c r="F33" s="644"/>
      <c r="G33" s="645"/>
      <c r="H33" s="645"/>
      <c r="I33" s="646"/>
      <c r="J33" s="646"/>
      <c r="K33" s="646"/>
      <c r="L33" s="645"/>
      <c r="M33" s="646"/>
      <c r="N33" s="646"/>
      <c r="O33" s="645"/>
      <c r="P33" s="646"/>
      <c r="Q33" s="646"/>
    </row>
    <row r="34" spans="1:17" s="149" customFormat="1" ht="19.95" customHeight="1">
      <c r="A34" s="169" t="s">
        <v>481</v>
      </c>
      <c r="I34" s="176"/>
      <c r="M34" s="176"/>
    </row>
    <row r="35" spans="1:17" s="148" customFormat="1" ht="20.100000000000001" customHeight="1">
      <c r="A35" s="733" t="s">
        <v>468</v>
      </c>
      <c r="B35" s="733" t="s">
        <v>469</v>
      </c>
      <c r="C35" s="733"/>
      <c r="D35" s="733"/>
      <c r="E35" s="733"/>
      <c r="F35" s="733"/>
      <c r="G35" s="733"/>
      <c r="H35" s="746" t="s">
        <v>470</v>
      </c>
      <c r="I35" s="746"/>
      <c r="J35" s="736" t="s">
        <v>471</v>
      </c>
      <c r="K35" s="736"/>
      <c r="L35" s="736"/>
      <c r="M35" s="736"/>
      <c r="N35" s="736"/>
      <c r="O35" s="737" t="s">
        <v>4</v>
      </c>
      <c r="P35" s="737" t="s">
        <v>472</v>
      </c>
      <c r="Q35" s="741" t="s">
        <v>473</v>
      </c>
    </row>
    <row r="36" spans="1:17" s="148" customFormat="1" ht="20.100000000000001" customHeight="1">
      <c r="A36" s="733"/>
      <c r="B36" s="159" t="s">
        <v>474</v>
      </c>
      <c r="C36" s="159" t="s">
        <v>475</v>
      </c>
      <c r="D36" s="159" t="s">
        <v>476</v>
      </c>
      <c r="E36" s="159" t="s">
        <v>477</v>
      </c>
      <c r="F36" s="159" t="s">
        <v>478</v>
      </c>
      <c r="G36" s="160" t="s">
        <v>480</v>
      </c>
      <c r="H36" s="746"/>
      <c r="I36" s="746"/>
      <c r="J36" s="171">
        <v>1</v>
      </c>
      <c r="K36" s="171">
        <v>2</v>
      </c>
      <c r="L36" s="171">
        <v>3</v>
      </c>
      <c r="M36" s="171">
        <v>4</v>
      </c>
      <c r="N36" s="171">
        <v>5</v>
      </c>
      <c r="O36" s="738"/>
      <c r="P36" s="738"/>
      <c r="Q36" s="742"/>
    </row>
    <row r="37" spans="1:17" s="148" customFormat="1" ht="20.100000000000001" customHeight="1">
      <c r="A37" s="161"/>
      <c r="B37" s="162"/>
      <c r="C37" s="163"/>
      <c r="D37" s="164"/>
      <c r="E37" s="164"/>
      <c r="F37" s="164"/>
      <c r="G37" s="165"/>
      <c r="H37" s="749"/>
      <c r="I37" s="749"/>
      <c r="J37" s="172"/>
      <c r="K37" s="172"/>
      <c r="L37" s="172"/>
      <c r="M37" s="172"/>
      <c r="N37" s="172"/>
      <c r="O37" s="173"/>
      <c r="P37" s="174"/>
      <c r="Q37" s="174"/>
    </row>
    <row r="38" spans="1:17" s="148" customFormat="1" ht="20.100000000000001" customHeight="1">
      <c r="A38" s="161"/>
      <c r="B38" s="162"/>
      <c r="C38" s="163"/>
      <c r="D38" s="164"/>
      <c r="E38" s="164"/>
      <c r="F38" s="164"/>
      <c r="G38" s="165"/>
      <c r="H38" s="749"/>
      <c r="I38" s="749"/>
      <c r="J38" s="172"/>
      <c r="K38" s="172"/>
      <c r="L38" s="172"/>
      <c r="M38" s="172"/>
      <c r="N38" s="172"/>
      <c r="O38" s="173"/>
      <c r="P38" s="174"/>
      <c r="Q38" s="174"/>
    </row>
    <row r="39" spans="1:17" s="148" customFormat="1" ht="20.100000000000001" customHeight="1">
      <c r="A39" s="161"/>
      <c r="B39" s="162"/>
      <c r="C39" s="163"/>
      <c r="D39" s="164"/>
      <c r="E39" s="164"/>
      <c r="F39" s="164"/>
      <c r="G39" s="165"/>
      <c r="H39" s="749"/>
      <c r="I39" s="749"/>
      <c r="J39" s="172"/>
      <c r="K39" s="172"/>
      <c r="L39" s="172"/>
      <c r="M39" s="172"/>
      <c r="N39" s="172"/>
      <c r="O39" s="173"/>
      <c r="P39" s="174"/>
      <c r="Q39" s="174"/>
    </row>
    <row r="40" spans="1:17" s="148" customFormat="1" ht="20.100000000000001" customHeight="1">
      <c r="A40" s="161"/>
      <c r="B40" s="162"/>
      <c r="C40" s="163"/>
      <c r="D40" s="164"/>
      <c r="E40" s="164"/>
      <c r="F40" s="164"/>
      <c r="G40" s="165"/>
      <c r="H40" s="749"/>
      <c r="I40" s="749"/>
      <c r="J40" s="172"/>
      <c r="K40" s="172"/>
      <c r="L40" s="172"/>
      <c r="M40" s="172"/>
      <c r="N40" s="172"/>
      <c r="O40" s="173"/>
      <c r="P40" s="174"/>
      <c r="Q40" s="174"/>
    </row>
    <row r="41" spans="1:17" s="148" customFormat="1" ht="20.100000000000001" customHeight="1">
      <c r="A41" s="161"/>
      <c r="B41" s="162"/>
      <c r="C41" s="163"/>
      <c r="D41" s="164"/>
      <c r="E41" s="164"/>
      <c r="F41" s="164"/>
      <c r="G41" s="165"/>
      <c r="H41" s="749"/>
      <c r="I41" s="749"/>
      <c r="J41" s="172"/>
      <c r="K41" s="172"/>
      <c r="L41" s="172"/>
      <c r="M41" s="172"/>
      <c r="N41" s="172"/>
      <c r="O41" s="173"/>
      <c r="P41" s="174"/>
      <c r="Q41" s="174"/>
    </row>
    <row r="42" spans="1:17" s="148" customFormat="1" ht="20.100000000000001" customHeight="1">
      <c r="A42" s="161"/>
      <c r="B42" s="162"/>
      <c r="C42" s="163"/>
      <c r="D42" s="164"/>
      <c r="E42" s="164"/>
      <c r="F42" s="164"/>
      <c r="G42" s="165"/>
      <c r="H42" s="749"/>
      <c r="I42" s="749"/>
      <c r="J42" s="172"/>
      <c r="K42" s="172"/>
      <c r="L42" s="172"/>
      <c r="M42" s="172"/>
      <c r="N42" s="172"/>
      <c r="O42" s="173"/>
      <c r="P42" s="174"/>
      <c r="Q42" s="174"/>
    </row>
    <row r="43" spans="1:17" s="148" customFormat="1" ht="20.100000000000001" customHeight="1">
      <c r="A43" s="161"/>
      <c r="B43" s="162"/>
      <c r="C43" s="163"/>
      <c r="D43" s="164"/>
      <c r="E43" s="164"/>
      <c r="F43" s="164"/>
      <c r="G43" s="165"/>
      <c r="H43" s="749"/>
      <c r="I43" s="749"/>
      <c r="J43" s="172"/>
      <c r="K43" s="172"/>
      <c r="L43" s="172"/>
      <c r="M43" s="172"/>
      <c r="N43" s="172"/>
      <c r="O43" s="173"/>
      <c r="P43" s="174"/>
      <c r="Q43" s="174"/>
    </row>
    <row r="44" spans="1:17" s="149" customFormat="1" ht="19.95" customHeight="1">
      <c r="A44" s="161"/>
      <c r="B44" s="162"/>
      <c r="C44" s="163"/>
      <c r="D44" s="164"/>
      <c r="E44" s="164"/>
      <c r="F44" s="164"/>
      <c r="G44" s="165"/>
      <c r="H44" s="749"/>
      <c r="I44" s="749"/>
      <c r="J44" s="172"/>
      <c r="K44" s="172"/>
      <c r="L44" s="172"/>
      <c r="M44" s="172"/>
      <c r="N44" s="172"/>
      <c r="O44" s="173"/>
      <c r="P44" s="174"/>
      <c r="Q44" s="174"/>
    </row>
    <row r="45" spans="1:17" s="149" customFormat="1" ht="19.95" customHeight="1">
      <c r="A45" s="166" t="s">
        <v>131</v>
      </c>
      <c r="B45" s="167"/>
      <c r="C45" s="167"/>
      <c r="D45" s="167"/>
      <c r="E45" s="167"/>
      <c r="F45" s="167"/>
      <c r="G45" s="168">
        <f>SUM(G37:G44)</f>
        <v>0</v>
      </c>
      <c r="H45" s="743"/>
      <c r="I45" s="743"/>
      <c r="J45" s="175"/>
      <c r="K45" s="175"/>
      <c r="L45" s="168"/>
      <c r="M45" s="175"/>
      <c r="N45" s="175"/>
      <c r="O45" s="168"/>
      <c r="P45" s="175"/>
      <c r="Q45" s="175"/>
    </row>
    <row r="46" spans="1:17" ht="21.75" customHeight="1">
      <c r="A46" s="76" t="s">
        <v>301</v>
      </c>
      <c r="B46" s="76"/>
      <c r="C46" s="76"/>
    </row>
    <row r="47" spans="1:17" ht="19.95" customHeight="1">
      <c r="A47" s="647" t="s">
        <v>625</v>
      </c>
      <c r="B47" s="647"/>
      <c r="C47"/>
      <c r="D47" s="648" t="s">
        <v>622</v>
      </c>
      <c r="E47" s="648" t="s">
        <v>623</v>
      </c>
      <c r="F47" s="648" t="s">
        <v>626</v>
      </c>
      <c r="G47" s="648" t="s">
        <v>627</v>
      </c>
      <c r="H47" s="123" t="s">
        <v>624</v>
      </c>
    </row>
    <row r="48" spans="1:17" ht="19.95" customHeight="1">
      <c r="A48" s="649"/>
      <c r="B48" s="649"/>
      <c r="C48"/>
      <c r="D48" s="648" t="s">
        <v>628</v>
      </c>
      <c r="E48" s="650">
        <f>'原值明细表（按类别）D1-2'!F14</f>
        <v>0</v>
      </c>
      <c r="F48" s="650">
        <f>G32</f>
        <v>0</v>
      </c>
      <c r="G48" s="651" t="e">
        <f>ROUND(F48/E48,4)</f>
        <v>#DIV/0!</v>
      </c>
      <c r="H48" s="498"/>
    </row>
    <row r="49" spans="1:8" ht="19.95" customHeight="1">
      <c r="A49" s="649"/>
      <c r="B49" s="649"/>
      <c r="C49"/>
      <c r="D49" s="648" t="s">
        <v>629</v>
      </c>
      <c r="E49" s="650">
        <f>'原值明细表（按类别）D1-2'!G14</f>
        <v>0</v>
      </c>
      <c r="F49" s="650">
        <f>H32</f>
        <v>0</v>
      </c>
      <c r="G49" s="651" t="e">
        <f>ROUND(F49/E49,2)</f>
        <v>#DIV/0!</v>
      </c>
      <c r="H49" s="498"/>
    </row>
    <row r="50" spans="1:8" ht="19.95" customHeight="1">
      <c r="A50" s="649"/>
      <c r="B50" s="649"/>
      <c r="C50"/>
      <c r="D50" s="648" t="s">
        <v>630</v>
      </c>
      <c r="E50" s="650">
        <f>'原值明细表（按类别）D1-2'!K14</f>
        <v>0</v>
      </c>
      <c r="F50" s="650">
        <f>G45</f>
        <v>0</v>
      </c>
      <c r="G50" s="651" t="e">
        <f>ROUND(F50/E50,2)</f>
        <v>#DIV/0!</v>
      </c>
      <c r="H50" s="498"/>
    </row>
    <row r="51" spans="1:8" ht="19.95" customHeight="1">
      <c r="A51" s="652" t="s">
        <v>631</v>
      </c>
      <c r="B51" s="649"/>
      <c r="C51"/>
      <c r="D51" s="653"/>
      <c r="E51" s="654"/>
      <c r="F51" s="654"/>
      <c r="G51" s="655"/>
      <c r="H51" s="498"/>
    </row>
    <row r="52" spans="1:8" ht="19.95" customHeight="1">
      <c r="A52" s="69"/>
      <c r="B52" s="69"/>
      <c r="C52" s="69"/>
    </row>
    <row r="53" spans="1:8" ht="19.95" customHeight="1">
      <c r="A53" s="76" t="s">
        <v>302</v>
      </c>
      <c r="B53" s="76"/>
      <c r="C53" s="76"/>
    </row>
    <row r="54" spans="1:8" ht="19.95" customHeight="1">
      <c r="A54" s="76"/>
      <c r="B54" s="76"/>
      <c r="C54" s="76"/>
    </row>
  </sheetData>
  <mergeCells count="25">
    <mergeCell ref="H45:I45"/>
    <mergeCell ref="A14:A15"/>
    <mergeCell ref="A35:A36"/>
    <mergeCell ref="I14:I15"/>
    <mergeCell ref="O14:O15"/>
    <mergeCell ref="O35:O36"/>
    <mergeCell ref="H35:I36"/>
    <mergeCell ref="H37:I37"/>
    <mergeCell ref="H41:I41"/>
    <mergeCell ref="H42:I42"/>
    <mergeCell ref="H43:I43"/>
    <mergeCell ref="H44:I44"/>
    <mergeCell ref="H38:I38"/>
    <mergeCell ref="H39:I39"/>
    <mergeCell ref="H40:I40"/>
    <mergeCell ref="A1:Q1"/>
    <mergeCell ref="A2:Q2"/>
    <mergeCell ref="B14:H14"/>
    <mergeCell ref="J14:N14"/>
    <mergeCell ref="B35:G35"/>
    <mergeCell ref="J35:N35"/>
    <mergeCell ref="P14:P15"/>
    <mergeCell ref="P35:P36"/>
    <mergeCell ref="Q14:Q15"/>
    <mergeCell ref="Q35:Q36"/>
  </mergeCells>
  <phoneticPr fontId="123" type="noConversion"/>
  <dataValidations count="1">
    <dataValidation type="list" allowBlank="1" showInputMessage="1" showErrorMessage="1" sqref="J16:N31 J37:N44">
      <formula1>"√,X"</formula1>
    </dataValidation>
  </dataValidations>
  <hyperlinks>
    <hyperlink ref="Q3" location="底稿目录!Print_Area" display="D1-11"/>
  </hyperlinks>
  <pageMargins left="0.70833333333333304" right="0.70833333333333304" top="0.74791666666666701" bottom="0.74791666666666701" header="0.31458333333333299" footer="0.31458333333333299"/>
  <pageSetup paperSize="9" scale="78" fitToHeight="0" orientation="landscape" blackAndWhite="1" r:id="rId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42"/>
  <sheetViews>
    <sheetView view="pageBreakPreview" zoomScaleNormal="130" workbookViewId="0">
      <selection sqref="A1:I1"/>
    </sheetView>
  </sheetViews>
  <sheetFormatPr defaultColWidth="9" defaultRowHeight="20.100000000000001" customHeight="1"/>
  <cols>
    <col min="1" max="1" width="15.59765625" style="48" customWidth="1"/>
    <col min="2" max="2" width="11" style="48" customWidth="1"/>
    <col min="3" max="3" width="12.09765625" style="48" customWidth="1"/>
    <col min="4" max="4" width="15.09765625" style="48" customWidth="1"/>
    <col min="5" max="5" width="10.09765625" style="48" customWidth="1"/>
    <col min="6" max="6" width="6.3984375" style="48" customWidth="1"/>
    <col min="7" max="8" width="9" style="48"/>
    <col min="9" max="9" width="6.69921875" style="48" customWidth="1"/>
    <col min="10" max="16384" width="9" style="48"/>
  </cols>
  <sheetData>
    <row r="1" spans="1:19" s="46" customFormat="1" ht="20.100000000000001" customHeight="1">
      <c r="A1" s="750" t="s">
        <v>45</v>
      </c>
      <c r="B1" s="750"/>
      <c r="C1" s="750"/>
      <c r="D1" s="750"/>
      <c r="E1" s="750"/>
      <c r="F1" s="750"/>
      <c r="G1" s="750"/>
      <c r="H1" s="750"/>
      <c r="I1" s="750"/>
    </row>
    <row r="2" spans="1:19" s="46" customFormat="1" ht="20.100000000000001" customHeight="1">
      <c r="A2" s="751" t="s">
        <v>518</v>
      </c>
      <c r="B2" s="751"/>
      <c r="C2" s="751"/>
      <c r="D2" s="751"/>
      <c r="E2" s="751"/>
      <c r="F2" s="751"/>
      <c r="G2" s="751"/>
      <c r="H2" s="751"/>
      <c r="I2" s="751"/>
    </row>
    <row r="3" spans="1:19" ht="20.100000000000001" customHeight="1">
      <c r="A3" s="47" t="str">
        <f>底稿目录!A2</f>
        <v>被审计单位名称：</v>
      </c>
      <c r="B3" s="47"/>
      <c r="C3" s="47"/>
      <c r="D3" s="47" t="str">
        <f>底稿目录!A4</f>
        <v>编制人：</v>
      </c>
      <c r="E3" s="47"/>
      <c r="F3" s="47" t="str">
        <f>底稿目录!A5</f>
        <v>编制日期：</v>
      </c>
      <c r="G3" s="47"/>
      <c r="H3" s="49" t="s">
        <v>47</v>
      </c>
      <c r="I3" s="622" t="str">
        <f>底稿目录!F27</f>
        <v>D1-14</v>
      </c>
    </row>
    <row r="4" spans="1:19" ht="20.100000000000001" customHeight="1">
      <c r="A4" s="47" t="str">
        <f>底稿目录!A3</f>
        <v>截止日：202X年12月31日</v>
      </c>
      <c r="B4" s="47"/>
      <c r="D4" s="47" t="str">
        <f>底稿目录!A6</f>
        <v>复核人：</v>
      </c>
      <c r="E4" s="47"/>
      <c r="F4" s="47" t="str">
        <f>底稿目录!A7</f>
        <v>复核日期：</v>
      </c>
      <c r="G4" s="47"/>
      <c r="H4" s="49" t="s">
        <v>48</v>
      </c>
      <c r="I4" s="47"/>
    </row>
    <row r="5" spans="1:19" s="47" customFormat="1" ht="20.100000000000001" customHeight="1">
      <c r="A5" s="752" t="s">
        <v>270</v>
      </c>
      <c r="B5" s="752"/>
      <c r="C5" s="752"/>
      <c r="D5" s="752"/>
      <c r="E5" s="752"/>
      <c r="F5" s="752"/>
      <c r="G5" s="752"/>
      <c r="H5" s="752"/>
      <c r="I5" s="752"/>
    </row>
    <row r="6" spans="1:19" s="47" customFormat="1" ht="20.100000000000001" customHeight="1">
      <c r="A6" s="47" t="s">
        <v>271</v>
      </c>
      <c r="B6" s="48"/>
      <c r="C6" s="48"/>
      <c r="D6" s="48"/>
      <c r="E6" s="48"/>
      <c r="F6" s="48"/>
      <c r="G6" s="48"/>
      <c r="H6" s="48"/>
      <c r="I6" s="48"/>
      <c r="J6" s="63"/>
      <c r="K6" s="64"/>
      <c r="L6" s="64"/>
      <c r="M6" s="65"/>
      <c r="N6" s="65"/>
    </row>
    <row r="7" spans="1:19" s="47" customFormat="1" ht="20.100000000000001" customHeight="1">
      <c r="A7" s="752" t="s">
        <v>316</v>
      </c>
      <c r="B7" s="752"/>
      <c r="C7" s="752"/>
      <c r="D7" s="752"/>
      <c r="E7" s="752"/>
      <c r="F7" s="752"/>
      <c r="G7" s="752"/>
      <c r="H7" s="752"/>
      <c r="I7" s="752"/>
      <c r="J7" s="63"/>
      <c r="K7" s="64"/>
      <c r="L7" s="64"/>
      <c r="M7" s="65"/>
      <c r="N7" s="65"/>
    </row>
    <row r="8" spans="1:19" ht="20.100000000000001" customHeight="1">
      <c r="A8" s="51" t="s">
        <v>273</v>
      </c>
      <c r="B8" s="52"/>
      <c r="C8" s="52"/>
      <c r="E8" s="52"/>
      <c r="F8" s="52"/>
      <c r="H8" s="52"/>
      <c r="I8" s="52"/>
      <c r="J8" s="63"/>
      <c r="K8" s="64"/>
      <c r="L8" s="64"/>
      <c r="M8" s="65"/>
      <c r="N8" s="65"/>
    </row>
    <row r="9" spans="1:19" ht="20.100000000000001" customHeight="1">
      <c r="A9" s="47"/>
      <c r="J9" s="54"/>
      <c r="K9" s="64"/>
      <c r="L9" s="64"/>
      <c r="M9" s="65"/>
      <c r="N9" s="65"/>
      <c r="O9" s="65"/>
      <c r="P9" s="65"/>
      <c r="Q9" s="65"/>
      <c r="R9" s="65"/>
      <c r="S9" s="65"/>
    </row>
    <row r="10" spans="1:19" ht="20.100000000000001" customHeight="1">
      <c r="A10" s="47"/>
      <c r="J10" s="66"/>
      <c r="K10" s="64"/>
      <c r="L10" s="64"/>
      <c r="M10" s="65"/>
      <c r="N10" s="65"/>
      <c r="O10" s="65"/>
      <c r="P10" s="65"/>
      <c r="Q10" s="65"/>
      <c r="R10" s="65"/>
      <c r="S10" s="65"/>
    </row>
    <row r="11" spans="1:19" ht="20.100000000000001" customHeight="1">
      <c r="A11" s="53" t="s">
        <v>519</v>
      </c>
      <c r="C11" s="54"/>
      <c r="J11" s="67"/>
      <c r="K11" s="64"/>
      <c r="L11" s="64"/>
      <c r="M11" s="65"/>
      <c r="N11" s="65"/>
      <c r="O11" s="65"/>
      <c r="P11" s="65"/>
      <c r="Q11" s="65"/>
      <c r="R11" s="65"/>
      <c r="S11" s="65"/>
    </row>
    <row r="12" spans="1:19" ht="17.25" customHeight="1">
      <c r="A12" s="55"/>
      <c r="B12" s="55"/>
      <c r="C12" s="55"/>
      <c r="D12" s="55"/>
      <c r="E12" s="55"/>
      <c r="F12" s="55"/>
      <c r="G12" s="55"/>
      <c r="H12" s="55"/>
      <c r="I12" s="55"/>
      <c r="J12" s="54"/>
      <c r="K12" s="64"/>
      <c r="L12" s="64"/>
      <c r="M12" s="65"/>
      <c r="N12" s="65"/>
      <c r="O12" s="65"/>
      <c r="P12" s="65"/>
      <c r="Q12" s="65"/>
      <c r="R12" s="65"/>
      <c r="S12" s="65"/>
    </row>
    <row r="13" spans="1:19" ht="17.25" customHeight="1">
      <c r="A13" s="56"/>
      <c r="B13" s="56"/>
      <c r="C13" s="56"/>
      <c r="D13" s="56"/>
      <c r="E13" s="56"/>
      <c r="F13" s="56"/>
      <c r="G13" s="56"/>
      <c r="H13" s="56"/>
      <c r="I13" s="56"/>
      <c r="J13" s="54"/>
      <c r="K13" s="64"/>
      <c r="L13" s="64"/>
      <c r="M13" s="65"/>
      <c r="N13" s="65"/>
      <c r="O13" s="65"/>
      <c r="P13" s="65"/>
      <c r="Q13" s="65"/>
      <c r="R13" s="65"/>
      <c r="S13" s="65"/>
    </row>
    <row r="14" spans="1:19" ht="17.25" customHeight="1">
      <c r="A14" s="56"/>
      <c r="B14" s="56"/>
      <c r="C14" s="56"/>
      <c r="D14" s="56"/>
      <c r="E14" s="56"/>
      <c r="F14" s="56"/>
      <c r="G14" s="56"/>
      <c r="H14" s="56"/>
      <c r="I14" s="56"/>
      <c r="J14" s="54"/>
      <c r="K14" s="64"/>
      <c r="L14" s="64"/>
      <c r="M14" s="65"/>
      <c r="N14" s="65"/>
      <c r="O14" s="65"/>
      <c r="P14" s="65"/>
      <c r="Q14" s="65"/>
      <c r="R14" s="65"/>
      <c r="S14" s="65"/>
    </row>
    <row r="15" spans="1:19" ht="17.25" customHeight="1">
      <c r="A15" s="57" t="s">
        <v>520</v>
      </c>
      <c r="B15" s="56"/>
      <c r="C15" s="56"/>
      <c r="D15" s="56"/>
      <c r="E15" s="56"/>
      <c r="F15" s="56"/>
      <c r="G15" s="56"/>
      <c r="H15" s="56"/>
      <c r="I15" s="56"/>
      <c r="J15" s="54"/>
      <c r="K15" s="64"/>
      <c r="L15" s="64"/>
      <c r="M15" s="65"/>
      <c r="N15" s="65"/>
      <c r="O15" s="65"/>
      <c r="P15" s="65"/>
      <c r="Q15" s="65"/>
      <c r="R15" s="65"/>
      <c r="S15" s="65"/>
    </row>
    <row r="16" spans="1:19" ht="20.100000000000001" customHeight="1">
      <c r="A16" s="53" t="s">
        <v>521</v>
      </c>
      <c r="B16" s="58"/>
      <c r="C16" s="59"/>
      <c r="D16" s="58"/>
      <c r="E16" s="58"/>
      <c r="F16" s="58"/>
      <c r="G16" s="58"/>
      <c r="H16" s="58"/>
    </row>
    <row r="17" spans="1:18" ht="20.100000000000001" customHeight="1">
      <c r="A17" s="55"/>
      <c r="B17" s="55"/>
      <c r="C17" s="55"/>
      <c r="D17" s="55"/>
      <c r="E17" s="55"/>
      <c r="F17" s="55"/>
      <c r="G17" s="55"/>
      <c r="H17" s="55"/>
      <c r="I17" s="55"/>
    </row>
    <row r="18" spans="1:18" ht="20.100000000000001" customHeight="1">
      <c r="A18" s="56"/>
      <c r="B18" s="56"/>
      <c r="C18" s="56"/>
      <c r="D18" s="56"/>
      <c r="E18" s="56"/>
      <c r="F18" s="56"/>
      <c r="G18" s="56"/>
      <c r="H18" s="56"/>
      <c r="I18" s="56"/>
    </row>
    <row r="19" spans="1:18" ht="20.100000000000001" customHeight="1">
      <c r="A19" s="56"/>
      <c r="B19" s="56"/>
      <c r="C19" s="56"/>
      <c r="D19" s="56"/>
      <c r="E19" s="56"/>
      <c r="F19" s="56"/>
      <c r="G19" s="56"/>
      <c r="H19" s="56"/>
      <c r="I19" s="56"/>
    </row>
    <row r="20" spans="1:18" ht="20.100000000000001" customHeight="1">
      <c r="A20" s="56"/>
      <c r="B20" s="56"/>
      <c r="C20" s="56"/>
      <c r="D20" s="56"/>
      <c r="E20" s="56"/>
      <c r="F20" s="56"/>
      <c r="G20" s="56"/>
      <c r="H20" s="56"/>
      <c r="I20" s="56"/>
    </row>
    <row r="21" spans="1:18" ht="20.100000000000001" customHeight="1">
      <c r="A21" s="57" t="s">
        <v>522</v>
      </c>
      <c r="B21" s="56"/>
      <c r="C21" s="56"/>
      <c r="D21" s="56"/>
      <c r="E21" s="56"/>
      <c r="F21" s="56"/>
      <c r="G21" s="56"/>
      <c r="H21" s="56"/>
      <c r="I21" s="56"/>
    </row>
    <row r="22" spans="1:18" ht="20.100000000000001" customHeight="1">
      <c r="A22" s="53" t="s">
        <v>523</v>
      </c>
      <c r="B22" s="58"/>
      <c r="C22" s="58"/>
      <c r="D22" s="58"/>
      <c r="E22" s="58"/>
      <c r="F22" s="58"/>
      <c r="G22" s="58"/>
      <c r="H22" s="58"/>
      <c r="J22" s="753"/>
      <c r="K22" s="753"/>
      <c r="L22" s="753"/>
      <c r="M22" s="753"/>
      <c r="N22" s="753"/>
      <c r="O22" s="753"/>
      <c r="P22" s="753"/>
      <c r="Q22" s="753"/>
      <c r="R22" s="753"/>
    </row>
    <row r="23" spans="1:18" ht="20.100000000000001" customHeight="1">
      <c r="A23" s="55"/>
      <c r="B23" s="55"/>
      <c r="C23" s="55"/>
      <c r="D23" s="55"/>
      <c r="E23" s="55"/>
      <c r="F23" s="55"/>
      <c r="G23" s="55"/>
      <c r="H23" s="55"/>
      <c r="I23" s="55"/>
    </row>
    <row r="24" spans="1:18" ht="20.100000000000001" customHeight="1">
      <c r="A24" s="56"/>
      <c r="B24" s="56"/>
      <c r="C24" s="56"/>
      <c r="D24" s="56"/>
      <c r="E24" s="56"/>
      <c r="F24" s="56"/>
      <c r="G24" s="56"/>
      <c r="H24" s="56"/>
      <c r="I24" s="56"/>
    </row>
    <row r="25" spans="1:18" ht="20.100000000000001" customHeight="1">
      <c r="A25" s="56"/>
      <c r="B25" s="56"/>
      <c r="C25" s="56"/>
      <c r="D25" s="56"/>
      <c r="E25" s="56"/>
      <c r="F25" s="56"/>
      <c r="G25" s="56"/>
      <c r="H25" s="56"/>
      <c r="I25" s="56"/>
    </row>
    <row r="26" spans="1:18" ht="20.100000000000001" customHeight="1">
      <c r="A26" s="57" t="s">
        <v>524</v>
      </c>
      <c r="B26" s="56"/>
      <c r="C26" s="56"/>
      <c r="D26" s="56"/>
      <c r="E26" s="56"/>
      <c r="F26" s="56"/>
      <c r="G26" s="56"/>
      <c r="H26" s="56"/>
      <c r="I26" s="56"/>
    </row>
    <row r="27" spans="1:18" ht="20.100000000000001" customHeight="1">
      <c r="A27" s="57" t="s">
        <v>525</v>
      </c>
      <c r="B27" s="56"/>
      <c r="C27" s="56"/>
      <c r="D27" s="56"/>
      <c r="E27" s="56"/>
      <c r="F27" s="56"/>
      <c r="G27" s="56"/>
      <c r="H27" s="56"/>
      <c r="I27" s="56"/>
    </row>
    <row r="28" spans="1:18" ht="20.100000000000001" customHeight="1">
      <c r="A28" s="53" t="s">
        <v>526</v>
      </c>
      <c r="B28" s="58"/>
      <c r="C28" s="58"/>
      <c r="D28" s="58"/>
      <c r="E28" s="58"/>
      <c r="F28" s="58"/>
      <c r="G28" s="58"/>
      <c r="H28" s="58"/>
    </row>
    <row r="29" spans="1:18" ht="20.100000000000001" customHeight="1">
      <c r="A29" s="53" t="s">
        <v>527</v>
      </c>
      <c r="B29" s="754"/>
      <c r="C29" s="755"/>
      <c r="D29" s="755"/>
      <c r="E29" s="755"/>
      <c r="F29" s="755"/>
      <c r="G29" s="755"/>
      <c r="H29" s="755"/>
      <c r="I29" s="755"/>
    </row>
    <row r="30" spans="1:18" ht="20.100000000000001" customHeight="1">
      <c r="A30" s="53" t="s">
        <v>527</v>
      </c>
      <c r="B30" s="60"/>
      <c r="C30" s="61"/>
      <c r="D30" s="61"/>
      <c r="E30" s="61"/>
      <c r="F30" s="61"/>
      <c r="G30" s="61"/>
      <c r="H30" s="61"/>
      <c r="I30" s="61"/>
    </row>
    <row r="31" spans="1:18" ht="20.100000000000001" customHeight="1">
      <c r="A31" s="752" t="s">
        <v>280</v>
      </c>
      <c r="B31" s="752"/>
      <c r="C31" s="752"/>
      <c r="D31" s="752"/>
      <c r="E31" s="752"/>
      <c r="F31" s="752"/>
      <c r="G31" s="752"/>
      <c r="H31" s="752"/>
      <c r="I31" s="752"/>
      <c r="J31" s="753"/>
      <c r="K31" s="753"/>
      <c r="L31" s="753"/>
      <c r="M31" s="753"/>
      <c r="N31" s="753"/>
      <c r="O31" s="753"/>
      <c r="P31" s="753"/>
      <c r="Q31" s="753"/>
      <c r="R31" s="753"/>
    </row>
    <row r="32" spans="1:18" ht="20.100000000000001" customHeight="1">
      <c r="A32" s="50"/>
      <c r="B32" s="50"/>
      <c r="C32" s="50"/>
      <c r="D32" s="50"/>
      <c r="E32" s="50"/>
      <c r="F32" s="50"/>
      <c r="G32" s="50"/>
      <c r="H32" s="50"/>
      <c r="I32" s="50"/>
      <c r="J32" s="56"/>
      <c r="K32" s="56"/>
      <c r="L32" s="56"/>
      <c r="M32" s="56"/>
      <c r="N32" s="56"/>
      <c r="O32" s="56"/>
      <c r="P32" s="56"/>
      <c r="Q32" s="56"/>
      <c r="R32" s="56"/>
    </row>
    <row r="33" spans="1:18" ht="20.100000000000001" customHeight="1">
      <c r="A33" s="50"/>
      <c r="B33" s="50"/>
      <c r="C33" s="50"/>
      <c r="D33" s="50"/>
      <c r="E33" s="50"/>
      <c r="F33" s="50"/>
      <c r="G33" s="50"/>
      <c r="H33" s="50"/>
      <c r="I33" s="50"/>
      <c r="J33" s="56"/>
      <c r="K33" s="56"/>
      <c r="L33" s="56"/>
      <c r="M33" s="56"/>
      <c r="N33" s="56"/>
      <c r="O33" s="56"/>
      <c r="P33" s="56"/>
      <c r="Q33" s="56"/>
      <c r="R33" s="56"/>
    </row>
    <row r="34" spans="1:18" ht="20.100000000000001" customHeight="1">
      <c r="A34" s="754"/>
      <c r="B34" s="754"/>
      <c r="C34" s="754"/>
      <c r="D34" s="754"/>
      <c r="E34" s="754"/>
      <c r="F34" s="754"/>
      <c r="G34" s="754"/>
      <c r="H34" s="754"/>
      <c r="I34" s="754"/>
    </row>
    <row r="35" spans="1:18" ht="20.100000000000001" customHeight="1">
      <c r="A35" s="752" t="s">
        <v>281</v>
      </c>
      <c r="B35" s="752"/>
      <c r="C35" s="752"/>
      <c r="D35" s="752"/>
      <c r="E35" s="752"/>
      <c r="F35" s="752"/>
      <c r="G35" s="752"/>
      <c r="H35" s="752"/>
      <c r="I35" s="752"/>
    </row>
    <row r="36" spans="1:18" ht="36" customHeight="1">
      <c r="A36" s="756" t="s">
        <v>528</v>
      </c>
      <c r="B36" s="756"/>
      <c r="C36" s="756"/>
      <c r="D36" s="756"/>
      <c r="E36" s="756"/>
      <c r="F36" s="756"/>
      <c r="G36" s="756"/>
      <c r="H36" s="756"/>
      <c r="I36" s="756"/>
    </row>
    <row r="37" spans="1:18" ht="20.100000000000001" customHeight="1">
      <c r="A37" s="57" t="s">
        <v>529</v>
      </c>
      <c r="B37" s="58"/>
      <c r="C37" s="58"/>
      <c r="D37" s="58"/>
      <c r="E37" s="58"/>
      <c r="F37" s="58"/>
      <c r="G37" s="58"/>
      <c r="H37" s="58"/>
    </row>
    <row r="38" spans="1:18" ht="157.5" customHeight="1">
      <c r="A38" s="62" t="s">
        <v>530</v>
      </c>
      <c r="B38" s="757" t="s">
        <v>531</v>
      </c>
      <c r="C38" s="758"/>
      <c r="D38" s="758"/>
      <c r="E38" s="758"/>
      <c r="F38" s="758"/>
      <c r="G38" s="758"/>
      <c r="H38" s="758"/>
      <c r="I38" s="758"/>
    </row>
    <row r="39" spans="1:18" ht="55.5" customHeight="1">
      <c r="A39" s="62" t="s">
        <v>532</v>
      </c>
      <c r="B39" s="757" t="s">
        <v>533</v>
      </c>
      <c r="C39" s="758"/>
      <c r="D39" s="758"/>
      <c r="E39" s="758"/>
      <c r="F39" s="758"/>
      <c r="G39" s="758"/>
      <c r="H39" s="758"/>
      <c r="I39" s="758"/>
    </row>
    <row r="40" spans="1:18" ht="96.75" customHeight="1">
      <c r="A40" s="62" t="s">
        <v>534</v>
      </c>
      <c r="B40" s="757" t="s">
        <v>535</v>
      </c>
      <c r="C40" s="758"/>
      <c r="D40" s="758"/>
      <c r="E40" s="758"/>
      <c r="F40" s="758"/>
      <c r="G40" s="758"/>
      <c r="H40" s="758"/>
      <c r="I40" s="758"/>
    </row>
    <row r="41" spans="1:18" ht="98.25" customHeight="1">
      <c r="A41" s="62" t="s">
        <v>536</v>
      </c>
      <c r="B41" s="757" t="s">
        <v>537</v>
      </c>
      <c r="C41" s="758"/>
      <c r="D41" s="758"/>
      <c r="E41" s="758"/>
      <c r="F41" s="758"/>
      <c r="G41" s="758"/>
      <c r="H41" s="758"/>
      <c r="I41" s="758"/>
    </row>
    <row r="42" spans="1:18" ht="20.100000000000001" customHeight="1">
      <c r="A42" s="58"/>
      <c r="B42" s="58"/>
      <c r="C42" s="58"/>
      <c r="D42" s="58"/>
      <c r="E42" s="58"/>
      <c r="F42" s="58"/>
      <c r="G42" s="58"/>
      <c r="H42" s="58"/>
    </row>
  </sheetData>
  <mergeCells count="15">
    <mergeCell ref="A36:I36"/>
    <mergeCell ref="B38:I38"/>
    <mergeCell ref="B39:I39"/>
    <mergeCell ref="B40:I40"/>
    <mergeCell ref="B41:I41"/>
    <mergeCell ref="B29:I29"/>
    <mergeCell ref="A31:I31"/>
    <mergeCell ref="J31:R31"/>
    <mergeCell ref="A34:I34"/>
    <mergeCell ref="A35:I35"/>
    <mergeCell ref="A1:I1"/>
    <mergeCell ref="A2:I2"/>
    <mergeCell ref="A5:I5"/>
    <mergeCell ref="A7:I7"/>
    <mergeCell ref="J22:R22"/>
  </mergeCells>
  <phoneticPr fontId="123" type="noConversion"/>
  <hyperlinks>
    <hyperlink ref="I3" location="底稿目录!A1" display="D1-15"/>
  </hyperlinks>
  <pageMargins left="0.70833333333333304" right="0.70833333333333304" top="0.74791666666666701" bottom="0.74791666666666701" header="0.31458333333333299" footer="0.31458333333333299"/>
  <pageSetup paperSize="9" scale="80" fitToHeight="0" orientation="portrait" blackAndWhite="1" r:id="rId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33"/>
  <sheetViews>
    <sheetView view="pageBreakPreview" zoomScaleNormal="100" workbookViewId="0">
      <selection sqref="A1:H1"/>
    </sheetView>
  </sheetViews>
  <sheetFormatPr defaultColWidth="9" defaultRowHeight="20.100000000000001" customHeight="1"/>
  <cols>
    <col min="1" max="1" width="26.5" style="4" customWidth="1"/>
    <col min="2" max="2" width="13.5" style="4" customWidth="1"/>
    <col min="3" max="3" width="9.69921875" style="4" customWidth="1"/>
    <col min="4" max="4" width="12.09765625" style="4" customWidth="1"/>
    <col min="5" max="5" width="12.69921875" style="4" customWidth="1"/>
    <col min="6" max="6" width="11.69921875" style="4" customWidth="1"/>
    <col min="7" max="7" width="10.69921875" style="4" customWidth="1"/>
    <col min="8" max="8" width="12.3984375" style="4" customWidth="1"/>
    <col min="9" max="16384" width="9" style="4"/>
  </cols>
  <sheetData>
    <row r="1" spans="1:8" ht="19.5" customHeight="1">
      <c r="A1" s="759" t="s">
        <v>45</v>
      </c>
      <c r="B1" s="759"/>
      <c r="C1" s="759"/>
      <c r="D1" s="759"/>
      <c r="E1" s="759"/>
      <c r="F1" s="759"/>
      <c r="G1" s="759"/>
      <c r="H1" s="759"/>
    </row>
    <row r="2" spans="1:8" ht="19.5" customHeight="1">
      <c r="A2" s="760" t="s">
        <v>538</v>
      </c>
      <c r="B2" s="760"/>
      <c r="C2" s="760"/>
      <c r="D2" s="760"/>
      <c r="E2" s="760"/>
      <c r="F2" s="760"/>
      <c r="G2" s="760"/>
      <c r="H2" s="760"/>
    </row>
    <row r="3" spans="1:8" ht="20.100000000000001" customHeight="1">
      <c r="A3" s="5" t="str">
        <f>底稿目录!A2</f>
        <v>被审计单位名称：</v>
      </c>
      <c r="B3" s="5"/>
      <c r="C3" s="5" t="str">
        <f>底稿目录!A4</f>
        <v>编制人：</v>
      </c>
      <c r="E3" s="5" t="str">
        <f>底稿目录!A5</f>
        <v>编制日期：</v>
      </c>
      <c r="G3" s="6" t="s">
        <v>47</v>
      </c>
      <c r="H3" s="621" t="str">
        <f>底稿目录!F28</f>
        <v>D1-15</v>
      </c>
    </row>
    <row r="4" spans="1:8" ht="20.100000000000001" customHeight="1">
      <c r="A4" s="5" t="str">
        <f>底稿目录!A3</f>
        <v>截止日：202X年12月31日</v>
      </c>
      <c r="B4" s="8"/>
      <c r="C4" s="5" t="str">
        <f>底稿目录!A6</f>
        <v>复核人：</v>
      </c>
      <c r="E4" s="5" t="str">
        <f>底稿目录!A7</f>
        <v>复核日期：</v>
      </c>
      <c r="G4" s="6" t="s">
        <v>48</v>
      </c>
      <c r="H4" s="9"/>
    </row>
    <row r="5" spans="1:8" ht="20.100000000000001" customHeight="1">
      <c r="A5" s="10" t="s">
        <v>291</v>
      </c>
      <c r="B5" s="11"/>
      <c r="C5" s="11"/>
      <c r="D5" s="11"/>
      <c r="E5" s="11"/>
      <c r="F5" s="11"/>
      <c r="G5" s="11"/>
      <c r="H5" s="11"/>
    </row>
    <row r="6" spans="1:8" ht="20.100000000000001" customHeight="1">
      <c r="A6" s="11" t="s">
        <v>511</v>
      </c>
      <c r="B6" s="11"/>
      <c r="C6" s="11"/>
      <c r="D6" s="11"/>
      <c r="E6" s="11"/>
      <c r="F6" s="11"/>
      <c r="G6" s="11"/>
      <c r="H6" s="11"/>
    </row>
    <row r="7" spans="1:8" ht="20.100000000000001" customHeight="1">
      <c r="A7" s="10" t="s">
        <v>292</v>
      </c>
      <c r="B7" s="11"/>
      <c r="C7" s="11"/>
      <c r="D7" s="11"/>
      <c r="E7" s="11"/>
      <c r="F7" s="11"/>
      <c r="G7" s="11"/>
      <c r="H7" s="11"/>
    </row>
    <row r="8" spans="1:8" ht="20.100000000000001" customHeight="1">
      <c r="A8" s="12" t="s">
        <v>539</v>
      </c>
      <c r="B8" s="5"/>
      <c r="C8" s="13"/>
      <c r="D8" s="14"/>
      <c r="E8" s="14"/>
      <c r="F8" s="14"/>
      <c r="G8" s="14"/>
      <c r="H8" s="14"/>
    </row>
    <row r="9" spans="1:8" ht="20.100000000000001" customHeight="1">
      <c r="A9" s="15"/>
      <c r="B9" s="5"/>
      <c r="C9" s="13"/>
      <c r="D9" s="14"/>
      <c r="E9" s="14"/>
      <c r="F9" s="14"/>
      <c r="G9" s="14"/>
      <c r="H9" s="14"/>
    </row>
    <row r="10" spans="1:8" ht="20.100000000000001" customHeight="1">
      <c r="A10" s="15"/>
      <c r="B10" s="5"/>
      <c r="C10" s="13"/>
      <c r="D10" s="14"/>
      <c r="E10" s="14"/>
      <c r="F10" s="14"/>
      <c r="G10" s="14"/>
      <c r="H10" s="14"/>
    </row>
    <row r="11" spans="1:8" ht="20.100000000000001" customHeight="1">
      <c r="A11" s="16" t="s">
        <v>540</v>
      </c>
      <c r="B11" s="16"/>
      <c r="C11" s="16"/>
      <c r="D11" s="17"/>
      <c r="E11" s="17"/>
      <c r="F11" s="17"/>
      <c r="G11" s="17"/>
      <c r="H11" s="17"/>
    </row>
    <row r="12" spans="1:8" ht="37.5" customHeight="1">
      <c r="A12" s="761" t="s">
        <v>252</v>
      </c>
      <c r="B12" s="18" t="s">
        <v>541</v>
      </c>
      <c r="C12" s="18" t="s">
        <v>542</v>
      </c>
      <c r="D12" s="18" t="s">
        <v>543</v>
      </c>
      <c r="E12" s="18" t="s">
        <v>544</v>
      </c>
      <c r="F12" s="18" t="s">
        <v>451</v>
      </c>
      <c r="G12" s="18" t="s">
        <v>545</v>
      </c>
      <c r="H12" s="18" t="s">
        <v>4</v>
      </c>
    </row>
    <row r="13" spans="1:8" ht="20.100000000000001" customHeight="1">
      <c r="A13" s="761"/>
      <c r="B13" s="18" t="s">
        <v>546</v>
      </c>
      <c r="C13" s="18" t="s">
        <v>547</v>
      </c>
      <c r="D13" s="18" t="s">
        <v>548</v>
      </c>
      <c r="E13" s="18" t="s">
        <v>549</v>
      </c>
      <c r="F13" s="18" t="s">
        <v>550</v>
      </c>
      <c r="G13" s="18"/>
      <c r="H13" s="18"/>
    </row>
    <row r="14" spans="1:8" ht="20.100000000000001" customHeight="1">
      <c r="A14" s="19"/>
      <c r="B14" s="20"/>
      <c r="C14" s="21"/>
      <c r="D14" s="22">
        <f>B14*C14</f>
        <v>0</v>
      </c>
      <c r="E14" s="23">
        <f>B14-D14</f>
        <v>0</v>
      </c>
      <c r="F14" s="23">
        <f>D14-E14</f>
        <v>0</v>
      </c>
      <c r="G14" s="24"/>
      <c r="H14" s="25"/>
    </row>
    <row r="15" spans="1:8" ht="20.100000000000001" customHeight="1">
      <c r="A15" s="19"/>
      <c r="B15" s="20"/>
      <c r="C15" s="21"/>
      <c r="D15" s="22">
        <f>B15*C15</f>
        <v>0</v>
      </c>
      <c r="E15" s="23">
        <f t="shared" ref="E15:E17" si="0">B15-D15</f>
        <v>0</v>
      </c>
      <c r="F15" s="23">
        <f t="shared" ref="F15:F17" si="1">D15-E15</f>
        <v>0</v>
      </c>
      <c r="G15" s="26"/>
      <c r="H15" s="27"/>
    </row>
    <row r="16" spans="1:8" ht="20.100000000000001" customHeight="1">
      <c r="A16" s="19"/>
      <c r="B16" s="20"/>
      <c r="C16" s="21"/>
      <c r="D16" s="22">
        <f t="shared" ref="D16:D17" si="2">B16*C16</f>
        <v>0</v>
      </c>
      <c r="E16" s="23">
        <f t="shared" si="0"/>
        <v>0</v>
      </c>
      <c r="F16" s="23">
        <f t="shared" si="1"/>
        <v>0</v>
      </c>
      <c r="G16" s="26"/>
      <c r="H16" s="27"/>
    </row>
    <row r="17" spans="1:11" ht="20.100000000000001" customHeight="1">
      <c r="A17" s="19"/>
      <c r="B17" s="20"/>
      <c r="C17" s="21"/>
      <c r="D17" s="22">
        <f t="shared" si="2"/>
        <v>0</v>
      </c>
      <c r="E17" s="23">
        <f t="shared" si="0"/>
        <v>0</v>
      </c>
      <c r="F17" s="23">
        <f t="shared" si="1"/>
        <v>0</v>
      </c>
      <c r="G17" s="26"/>
      <c r="H17" s="27"/>
    </row>
    <row r="18" spans="1:11" ht="20.100000000000001" customHeight="1">
      <c r="A18" s="28" t="s">
        <v>128</v>
      </c>
      <c r="B18" s="29">
        <f>SUM(B14:B17)</f>
        <v>0</v>
      </c>
      <c r="C18" s="30"/>
      <c r="D18" s="31">
        <f>SUM(D14:D17)</f>
        <v>0</v>
      </c>
      <c r="E18" s="31">
        <f>SUM(E14:E17)</f>
        <v>0</v>
      </c>
      <c r="F18" s="31">
        <f>SUM(F14:F17)</f>
        <v>0</v>
      </c>
      <c r="G18" s="32"/>
      <c r="H18" s="33"/>
    </row>
    <row r="19" spans="1:11" ht="20.100000000000001" customHeight="1">
      <c r="A19" s="16" t="s">
        <v>551</v>
      </c>
      <c r="B19" s="13"/>
      <c r="C19" s="13"/>
      <c r="D19" s="14"/>
      <c r="E19" s="14"/>
      <c r="F19" s="14"/>
      <c r="G19" s="14"/>
      <c r="H19" s="14"/>
    </row>
    <row r="20" spans="1:11" ht="36.75" customHeight="1">
      <c r="A20" s="761" t="s">
        <v>318</v>
      </c>
      <c r="B20" s="18" t="s">
        <v>541</v>
      </c>
      <c r="C20" s="18" t="s">
        <v>542</v>
      </c>
      <c r="D20" s="18" t="s">
        <v>543</v>
      </c>
      <c r="E20" s="18" t="s">
        <v>544</v>
      </c>
      <c r="F20" s="18" t="s">
        <v>451</v>
      </c>
      <c r="G20" s="18" t="s">
        <v>545</v>
      </c>
      <c r="H20" s="18" t="s">
        <v>4</v>
      </c>
    </row>
    <row r="21" spans="1:11" ht="20.100000000000001" customHeight="1">
      <c r="A21" s="761"/>
      <c r="B21" s="18" t="s">
        <v>546</v>
      </c>
      <c r="C21" s="18" t="s">
        <v>547</v>
      </c>
      <c r="D21" s="18" t="s">
        <v>548</v>
      </c>
      <c r="E21" s="18" t="s">
        <v>549</v>
      </c>
      <c r="F21" s="18" t="s">
        <v>550</v>
      </c>
      <c r="G21" s="18"/>
      <c r="H21" s="18"/>
    </row>
    <row r="22" spans="1:11" ht="20.100000000000001" customHeight="1">
      <c r="A22" s="34" t="s">
        <v>552</v>
      </c>
      <c r="B22" s="35"/>
      <c r="C22" s="36"/>
      <c r="D22" s="22">
        <f>B22*C22</f>
        <v>0</v>
      </c>
      <c r="E22" s="37">
        <f>B22-D22</f>
        <v>0</v>
      </c>
      <c r="F22" s="37">
        <f>D22-E22</f>
        <v>0</v>
      </c>
      <c r="G22" s="25"/>
      <c r="H22" s="25"/>
    </row>
    <row r="23" spans="1:11" ht="20.100000000000001" customHeight="1">
      <c r="A23" s="34" t="s">
        <v>553</v>
      </c>
      <c r="B23" s="35"/>
      <c r="C23" s="36"/>
      <c r="D23" s="22">
        <f>B23*C23</f>
        <v>0</v>
      </c>
      <c r="E23" s="37">
        <f>B23-D23</f>
        <v>0</v>
      </c>
      <c r="F23" s="37">
        <f t="shared" ref="F23:F24" si="3">D23-E23</f>
        <v>0</v>
      </c>
      <c r="G23" s="25"/>
      <c r="H23" s="25"/>
    </row>
    <row r="24" spans="1:11" ht="20.100000000000001" customHeight="1">
      <c r="A24" s="34" t="s">
        <v>127</v>
      </c>
      <c r="B24" s="38"/>
      <c r="C24" s="36"/>
      <c r="D24" s="22">
        <f>B24*C24</f>
        <v>0</v>
      </c>
      <c r="E24" s="37">
        <f>B24-D24</f>
        <v>0</v>
      </c>
      <c r="F24" s="37">
        <f t="shared" si="3"/>
        <v>0</v>
      </c>
      <c r="G24" s="27"/>
      <c r="H24" s="27"/>
    </row>
    <row r="25" spans="1:11" ht="20.100000000000001" customHeight="1">
      <c r="A25" s="28" t="s">
        <v>128</v>
      </c>
      <c r="B25" s="39">
        <f>SUM(B22:B24)</f>
        <v>0</v>
      </c>
      <c r="C25" s="40"/>
      <c r="D25" s="39">
        <f>SUM(D22:D24)</f>
        <v>0</v>
      </c>
      <c r="E25" s="39">
        <f>SUM(E22:E24)</f>
        <v>0</v>
      </c>
      <c r="F25" s="39">
        <f>SUM(F22:F24)</f>
        <v>0</v>
      </c>
      <c r="G25" s="33"/>
      <c r="H25" s="33">
        <f>SUM(H22:H24)</f>
        <v>0</v>
      </c>
    </row>
    <row r="26" spans="1:11" ht="20.100000000000001" customHeight="1">
      <c r="A26" s="41" t="s">
        <v>301</v>
      </c>
    </row>
    <row r="27" spans="1:11" ht="20.100000000000001" customHeight="1">
      <c r="A27" s="42"/>
      <c r="D27" s="43"/>
      <c r="E27" s="43"/>
      <c r="F27" s="43"/>
      <c r="G27" s="43"/>
      <c r="H27" s="43"/>
    </row>
    <row r="28" spans="1:11" ht="20.100000000000001" customHeight="1">
      <c r="D28" s="43"/>
      <c r="E28" s="43"/>
      <c r="F28" s="43"/>
      <c r="G28" s="43"/>
      <c r="H28" s="43"/>
    </row>
    <row r="29" spans="1:11" ht="20.100000000000001" customHeight="1">
      <c r="D29" s="43"/>
      <c r="E29" s="43"/>
      <c r="F29" s="43"/>
      <c r="G29" s="43"/>
      <c r="H29" s="43"/>
      <c r="I29" s="45"/>
      <c r="J29" s="43"/>
      <c r="K29" s="43"/>
    </row>
    <row r="30" spans="1:11" ht="20.100000000000001" customHeight="1">
      <c r="A30" s="41" t="s">
        <v>281</v>
      </c>
      <c r="D30" s="43"/>
      <c r="E30" s="43"/>
      <c r="F30" s="43"/>
      <c r="G30" s="43"/>
      <c r="H30" s="43"/>
      <c r="I30" s="43"/>
      <c r="J30" s="43"/>
      <c r="K30" s="43"/>
    </row>
    <row r="31" spans="1:11" ht="20.100000000000001" customHeight="1">
      <c r="A31" s="41"/>
      <c r="D31" s="43"/>
      <c r="E31" s="43"/>
      <c r="F31" s="43"/>
      <c r="G31" s="43"/>
      <c r="H31" s="43"/>
      <c r="I31" s="43"/>
      <c r="J31" s="43"/>
      <c r="K31" s="43"/>
    </row>
    <row r="32" spans="1:11" ht="20.100000000000001" customHeight="1">
      <c r="A32" s="44" t="s">
        <v>554</v>
      </c>
      <c r="D32" s="43"/>
      <c r="E32" s="43"/>
      <c r="F32" s="43"/>
      <c r="G32" s="43"/>
      <c r="H32" s="43"/>
      <c r="J32" s="43"/>
      <c r="K32" s="43"/>
    </row>
    <row r="33" spans="1:11" ht="20.100000000000001" customHeight="1">
      <c r="A33" s="44" t="s">
        <v>555</v>
      </c>
      <c r="D33" s="43"/>
      <c r="E33" s="43"/>
      <c r="F33" s="43"/>
      <c r="G33" s="43"/>
      <c r="H33" s="43"/>
      <c r="J33" s="43"/>
      <c r="K33" s="43"/>
    </row>
  </sheetData>
  <mergeCells count="4">
    <mergeCell ref="A1:H1"/>
    <mergeCell ref="A2:H2"/>
    <mergeCell ref="A12:A13"/>
    <mergeCell ref="A20:A21"/>
  </mergeCells>
  <phoneticPr fontId="123" type="noConversion"/>
  <dataValidations count="1">
    <dataValidation allowBlank="1" showInputMessage="1" showErrorMessage="1" prompt="债务人超过10户时，请在“合计”行以上添加行，并下拉公式，如不足10户，请删除多余的行。" sqref="A14 A22:A23"/>
  </dataValidations>
  <hyperlinks>
    <hyperlink ref="H3" location="底稿目录!Print_Area" display="D1-16"/>
  </hyperlinks>
  <pageMargins left="0.70833333333333304" right="0.70833333333333304" top="0.74791666666666701" bottom="0.74791666666666701" header="0.31458333333333299" footer="0.31458333333333299"/>
  <pageSetup paperSize="9" scale="75" fitToHeight="0" orientation="portrait" blackAndWhite="1" r:id="rId1"/>
  <headerFooter alignWithMargins="0">
    <oddFooter>&amp;C&amp;P/&amp;N</oddFooter>
  </headerFooter>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H28"/>
  <sheetViews>
    <sheetView view="pageBreakPreview" zoomScaleNormal="100" workbookViewId="0">
      <selection sqref="A1:H1"/>
    </sheetView>
  </sheetViews>
  <sheetFormatPr defaultColWidth="9" defaultRowHeight="20.100000000000001" customHeight="1"/>
  <cols>
    <col min="1" max="1" width="16.19921875" style="69" customWidth="1"/>
    <col min="2" max="2" width="13.3984375" style="69" customWidth="1"/>
    <col min="3" max="3" width="11.09765625" style="69" customWidth="1"/>
    <col min="4" max="4" width="11.5" style="69" customWidth="1"/>
    <col min="5" max="5" width="12" style="69" customWidth="1"/>
    <col min="6" max="6" width="11.8984375" style="69" customWidth="1"/>
    <col min="7" max="7" width="11.69921875" style="69" customWidth="1"/>
    <col min="8" max="8" width="12.19921875" style="69" customWidth="1"/>
    <col min="9" max="16384" width="9" style="69"/>
  </cols>
  <sheetData>
    <row r="1" spans="1:8" ht="20.100000000000001" customHeight="1">
      <c r="A1" s="731" t="s">
        <v>45</v>
      </c>
      <c r="B1" s="731"/>
      <c r="C1" s="731"/>
      <c r="D1" s="731"/>
      <c r="E1" s="731"/>
      <c r="F1" s="731"/>
      <c r="G1" s="731"/>
      <c r="H1" s="731"/>
    </row>
    <row r="2" spans="1:8" ht="20.100000000000001" customHeight="1">
      <c r="A2" s="732" t="s">
        <v>510</v>
      </c>
      <c r="B2" s="732"/>
      <c r="C2" s="732"/>
      <c r="D2" s="732"/>
      <c r="E2" s="732"/>
      <c r="F2" s="732"/>
      <c r="G2" s="732"/>
      <c r="H2" s="732"/>
    </row>
    <row r="3" spans="1:8" ht="20.100000000000001" customHeight="1">
      <c r="A3" s="70" t="str">
        <f>底稿目录!A2</f>
        <v>被审计单位名称：</v>
      </c>
      <c r="B3" s="71"/>
      <c r="C3" s="70" t="str">
        <f>底稿目录!A4</f>
        <v>编制人：</v>
      </c>
      <c r="E3" s="70" t="str">
        <f>底稿目录!A5</f>
        <v>编制日期：</v>
      </c>
      <c r="G3" s="72" t="s">
        <v>47</v>
      </c>
      <c r="H3" s="621" t="str">
        <f>底稿目录!F29</f>
        <v>D1-16</v>
      </c>
    </row>
    <row r="4" spans="1:8" ht="20.100000000000001" customHeight="1">
      <c r="A4" s="70" t="str">
        <f>底稿目录!A3</f>
        <v>截止日：202X年12月31日</v>
      </c>
      <c r="B4" s="71"/>
      <c r="C4" s="70" t="str">
        <f>底稿目录!A6</f>
        <v>复核人：</v>
      </c>
      <c r="E4" s="70" t="str">
        <f>底稿目录!A7</f>
        <v>复核日期：</v>
      </c>
      <c r="G4" s="72" t="s">
        <v>283</v>
      </c>
    </row>
    <row r="5" spans="1:8" ht="20.100000000000001" customHeight="1">
      <c r="A5" s="73" t="s">
        <v>291</v>
      </c>
      <c r="B5" s="71"/>
    </row>
    <row r="6" spans="1:8" ht="20.100000000000001" customHeight="1">
      <c r="A6" s="71" t="s">
        <v>511</v>
      </c>
    </row>
    <row r="7" spans="1:8" ht="20.100000000000001" customHeight="1">
      <c r="A7" s="73" t="s">
        <v>292</v>
      </c>
      <c r="B7" s="71"/>
    </row>
    <row r="8" spans="1:8" ht="20.100000000000001" customHeight="1">
      <c r="A8" s="74" t="s">
        <v>273</v>
      </c>
    </row>
    <row r="9" spans="1:8" ht="20.100000000000001" customHeight="1">
      <c r="A9" s="75"/>
    </row>
    <row r="10" spans="1:8" ht="20.100000000000001" customHeight="1">
      <c r="A10" s="76" t="s">
        <v>512</v>
      </c>
      <c r="B10" s="76"/>
    </row>
    <row r="11" spans="1:8" s="68" customFormat="1" ht="42.75" customHeight="1">
      <c r="A11" s="77" t="s">
        <v>207</v>
      </c>
      <c r="B11" s="77" t="s">
        <v>208</v>
      </c>
      <c r="C11" s="77" t="s">
        <v>209</v>
      </c>
      <c r="D11" s="78" t="s">
        <v>210</v>
      </c>
      <c r="E11" s="78" t="s">
        <v>513</v>
      </c>
      <c r="F11" s="78" t="s">
        <v>514</v>
      </c>
      <c r="G11" s="78" t="s">
        <v>515</v>
      </c>
      <c r="H11" s="78" t="s">
        <v>4</v>
      </c>
    </row>
    <row r="12" spans="1:8" ht="20.100000000000001" customHeight="1">
      <c r="A12" s="79"/>
      <c r="B12" s="79"/>
      <c r="C12" s="79"/>
      <c r="D12" s="79"/>
      <c r="E12" s="80"/>
      <c r="F12" s="80"/>
      <c r="G12" s="79"/>
      <c r="H12" s="81"/>
    </row>
    <row r="13" spans="1:8" ht="20.100000000000001" customHeight="1">
      <c r="A13" s="79"/>
      <c r="B13" s="79"/>
      <c r="C13" s="79"/>
      <c r="D13" s="79"/>
      <c r="E13" s="80"/>
      <c r="F13" s="80"/>
      <c r="G13" s="79"/>
      <c r="H13" s="81"/>
    </row>
    <row r="14" spans="1:8" ht="20.100000000000001" customHeight="1">
      <c r="A14" s="79"/>
      <c r="B14" s="79"/>
      <c r="C14" s="79"/>
      <c r="D14" s="79"/>
      <c r="E14" s="80"/>
      <c r="F14" s="80"/>
      <c r="G14" s="79"/>
      <c r="H14" s="81"/>
    </row>
    <row r="15" spans="1:8" ht="20.100000000000001" customHeight="1">
      <c r="A15" s="82" t="s">
        <v>131</v>
      </c>
      <c r="B15" s="83"/>
      <c r="C15" s="83"/>
      <c r="D15" s="83"/>
      <c r="E15" s="84">
        <f>SUM(E12:E14)</f>
        <v>0</v>
      </c>
      <c r="F15" s="84">
        <f>SUM(F12:F14)</f>
        <v>0</v>
      </c>
      <c r="G15" s="83"/>
      <c r="H15" s="85"/>
    </row>
    <row r="16" spans="1:8" ht="20.100000000000001" customHeight="1">
      <c r="A16" s="76" t="s">
        <v>516</v>
      </c>
      <c r="B16" s="76"/>
    </row>
    <row r="17" spans="1:8" ht="33.75" customHeight="1">
      <c r="A17" s="78" t="s">
        <v>207</v>
      </c>
      <c r="B17" s="78" t="s">
        <v>265</v>
      </c>
      <c r="C17" s="78" t="s">
        <v>215</v>
      </c>
      <c r="D17" s="78" t="s">
        <v>218</v>
      </c>
      <c r="E17" s="78" t="s">
        <v>219</v>
      </c>
      <c r="F17" s="78" t="s">
        <v>517</v>
      </c>
      <c r="G17" s="78" t="s">
        <v>515</v>
      </c>
      <c r="H17" s="78" t="s">
        <v>4</v>
      </c>
    </row>
    <row r="18" spans="1:8" ht="20.100000000000001" customHeight="1">
      <c r="A18" s="79"/>
      <c r="B18" s="79"/>
      <c r="C18" s="80"/>
      <c r="D18" s="79"/>
      <c r="E18" s="79"/>
      <c r="F18" s="79"/>
      <c r="G18" s="79"/>
      <c r="H18" s="81"/>
    </row>
    <row r="19" spans="1:8" ht="20.100000000000001" customHeight="1">
      <c r="A19" s="79"/>
      <c r="B19" s="79"/>
      <c r="C19" s="80"/>
      <c r="D19" s="79"/>
      <c r="E19" s="79"/>
      <c r="F19" s="79"/>
      <c r="G19" s="79"/>
      <c r="H19" s="81"/>
    </row>
    <row r="20" spans="1:8" ht="20.100000000000001" customHeight="1">
      <c r="A20" s="79"/>
      <c r="B20" s="79"/>
      <c r="C20" s="80"/>
      <c r="D20" s="79"/>
      <c r="E20" s="79"/>
      <c r="F20" s="79"/>
      <c r="G20" s="79"/>
      <c r="H20" s="81"/>
    </row>
    <row r="21" spans="1:8" ht="20.100000000000001" customHeight="1">
      <c r="A21" s="82" t="s">
        <v>131</v>
      </c>
      <c r="B21" s="83"/>
      <c r="C21" s="84">
        <f>SUM(C18:C20)</f>
        <v>0</v>
      </c>
      <c r="D21" s="83"/>
      <c r="E21" s="83"/>
      <c r="F21" s="83"/>
      <c r="G21" s="83"/>
      <c r="H21" s="86"/>
    </row>
    <row r="22" spans="1:8" ht="20.100000000000001" customHeight="1">
      <c r="A22" s="76" t="s">
        <v>301</v>
      </c>
    </row>
    <row r="23" spans="1:8" ht="20.100000000000001" customHeight="1">
      <c r="A23" s="76"/>
    </row>
    <row r="26" spans="1:8" ht="20.100000000000001" customHeight="1">
      <c r="A26" s="76" t="s">
        <v>302</v>
      </c>
    </row>
    <row r="27" spans="1:8" ht="20.100000000000001" customHeight="1">
      <c r="A27" s="76"/>
    </row>
    <row r="28" spans="1:8" ht="20.100000000000001" customHeight="1">
      <c r="A28" s="76"/>
    </row>
  </sheetData>
  <mergeCells count="2">
    <mergeCell ref="A1:H1"/>
    <mergeCell ref="A2:H2"/>
  </mergeCells>
  <phoneticPr fontId="123" type="noConversion"/>
  <hyperlinks>
    <hyperlink ref="H3" location="底稿目录!A1" display="D1-14"/>
  </hyperlinks>
  <pageMargins left="0.70833333333333304" right="0.70833333333333304" top="0.74791666666666701" bottom="0.74791666666666701" header="0.31458333333333299" footer="0.31458333333333299"/>
  <pageSetup paperSize="9" scale="80" fitToHeight="0" orientation="portrait" blackAndWhite="1" r:id="rId1"/>
  <headerFooter alignWithMargins="0">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92D050"/>
  </sheetPr>
  <dimension ref="A1:G31"/>
  <sheetViews>
    <sheetView view="pageBreakPreview" zoomScaleNormal="100" workbookViewId="0">
      <selection activeCell="D11" sqref="D11"/>
    </sheetView>
  </sheetViews>
  <sheetFormatPr defaultColWidth="9" defaultRowHeight="15.6"/>
  <cols>
    <col min="1" max="1" width="81.5" customWidth="1"/>
  </cols>
  <sheetData>
    <row r="1" spans="1:7">
      <c r="A1" s="1" t="s">
        <v>632</v>
      </c>
    </row>
    <row r="2" spans="1:7">
      <c r="A2" s="1" t="s">
        <v>556</v>
      </c>
    </row>
    <row r="3" spans="1:7">
      <c r="A3" s="1" t="s">
        <v>557</v>
      </c>
    </row>
    <row r="4" spans="1:7">
      <c r="A4" s="1" t="s">
        <v>558</v>
      </c>
    </row>
    <row r="5" spans="1:7">
      <c r="A5" s="1" t="s">
        <v>559</v>
      </c>
    </row>
    <row r="6" spans="1:7" ht="24">
      <c r="A6" s="1" t="s">
        <v>560</v>
      </c>
    </row>
    <row r="7" spans="1:7">
      <c r="A7" s="1"/>
    </row>
    <row r="8" spans="1:7">
      <c r="A8" s="1" t="s">
        <v>561</v>
      </c>
    </row>
    <row r="9" spans="1:7" ht="31.5" customHeight="1">
      <c r="A9" s="2" t="s">
        <v>562</v>
      </c>
      <c r="B9" s="2"/>
      <c r="C9" s="2"/>
      <c r="D9" s="2"/>
      <c r="E9" s="2"/>
      <c r="F9" s="2"/>
      <c r="G9" s="2"/>
    </row>
    <row r="10" spans="1:7" ht="31.5" customHeight="1">
      <c r="A10" s="2" t="s">
        <v>563</v>
      </c>
      <c r="B10" s="2"/>
      <c r="C10" s="2"/>
      <c r="D10" s="2"/>
      <c r="E10" s="2"/>
      <c r="F10" s="2"/>
      <c r="G10" s="2"/>
    </row>
    <row r="11" spans="1:7" ht="43.05" customHeight="1">
      <c r="A11" s="2" t="s">
        <v>564</v>
      </c>
      <c r="B11" s="2"/>
      <c r="C11" s="2"/>
      <c r="D11" s="2"/>
      <c r="E11" s="2"/>
      <c r="F11" s="2"/>
      <c r="G11" s="2"/>
    </row>
    <row r="12" spans="1:7" ht="31.5" customHeight="1">
      <c r="A12" s="2" t="s">
        <v>565</v>
      </c>
      <c r="B12" s="2"/>
      <c r="C12" s="2"/>
      <c r="D12" s="2"/>
      <c r="E12" s="2"/>
      <c r="F12" s="2"/>
      <c r="G12" s="2"/>
    </row>
    <row r="13" spans="1:7" ht="31.5" customHeight="1">
      <c r="A13" s="2" t="s">
        <v>566</v>
      </c>
      <c r="B13" s="2"/>
      <c r="C13" s="2"/>
      <c r="D13" s="2"/>
      <c r="E13" s="2"/>
      <c r="F13" s="2"/>
      <c r="G13" s="2"/>
    </row>
    <row r="14" spans="1:7" ht="31.5" customHeight="1">
      <c r="A14" s="2" t="s">
        <v>567</v>
      </c>
      <c r="B14" s="2"/>
      <c r="C14" s="2"/>
      <c r="D14" s="2"/>
      <c r="E14" s="2"/>
      <c r="F14" s="2"/>
      <c r="G14" s="2"/>
    </row>
    <row r="15" spans="1:7" ht="31.5" customHeight="1">
      <c r="A15" s="2" t="s">
        <v>568</v>
      </c>
      <c r="B15" s="2"/>
      <c r="C15" s="2"/>
      <c r="D15" s="2"/>
      <c r="E15" s="2"/>
      <c r="F15" s="2"/>
      <c r="G15" s="2"/>
    </row>
    <row r="16" spans="1:7" ht="31.5" customHeight="1">
      <c r="A16" s="2" t="s">
        <v>569</v>
      </c>
      <c r="B16" s="2"/>
      <c r="C16" s="2"/>
      <c r="D16" s="2"/>
      <c r="E16" s="2"/>
      <c r="F16" s="2"/>
      <c r="G16" s="2"/>
    </row>
    <row r="17" spans="1:7" ht="31.5" customHeight="1">
      <c r="A17" s="2" t="s">
        <v>570</v>
      </c>
      <c r="B17" s="2"/>
      <c r="C17" s="2"/>
      <c r="D17" s="2"/>
      <c r="E17" s="2"/>
      <c r="F17" s="2"/>
      <c r="G17" s="2"/>
    </row>
    <row r="18" spans="1:7" ht="31.5" customHeight="1">
      <c r="A18" s="2" t="s">
        <v>571</v>
      </c>
      <c r="B18" s="2"/>
      <c r="C18" s="2"/>
      <c r="D18" s="2"/>
      <c r="E18" s="2"/>
      <c r="F18" s="2"/>
      <c r="G18" s="2"/>
    </row>
    <row r="19" spans="1:7" ht="31.5" customHeight="1">
      <c r="A19" s="2" t="s">
        <v>572</v>
      </c>
      <c r="B19" s="2"/>
      <c r="C19" s="2"/>
      <c r="D19" s="2"/>
      <c r="E19" s="2"/>
      <c r="F19" s="2"/>
      <c r="G19" s="2"/>
    </row>
    <row r="20" spans="1:7" ht="31.5" customHeight="1">
      <c r="A20" s="2" t="s">
        <v>573</v>
      </c>
      <c r="B20" s="2"/>
      <c r="C20" s="2"/>
      <c r="D20" s="2"/>
      <c r="E20" s="2"/>
      <c r="F20" s="2"/>
      <c r="G20" s="2"/>
    </row>
    <row r="21" spans="1:7" ht="31.5" customHeight="1">
      <c r="A21" s="2" t="s">
        <v>574</v>
      </c>
      <c r="B21" s="2"/>
      <c r="C21" s="2"/>
      <c r="D21" s="2"/>
      <c r="E21" s="2"/>
      <c r="F21" s="2"/>
      <c r="G21" s="2"/>
    </row>
    <row r="22" spans="1:7" ht="31.5" customHeight="1">
      <c r="A22" s="2" t="s">
        <v>575</v>
      </c>
      <c r="B22" s="2"/>
      <c r="C22" s="2"/>
      <c r="D22" s="2"/>
      <c r="E22" s="2"/>
      <c r="F22" s="2"/>
      <c r="G22" s="2"/>
    </row>
    <row r="26" spans="1:7">
      <c r="A26" s="1"/>
    </row>
    <row r="27" spans="1:7">
      <c r="A27" s="3"/>
    </row>
    <row r="28" spans="1:7">
      <c r="A28" s="3"/>
    </row>
    <row r="29" spans="1:7">
      <c r="A29" s="2"/>
    </row>
    <row r="30" spans="1:7">
      <c r="A30" s="762"/>
    </row>
    <row r="31" spans="1:7">
      <c r="A31" s="763"/>
    </row>
  </sheetData>
  <mergeCells count="1">
    <mergeCell ref="A30:A31"/>
  </mergeCells>
  <phoneticPr fontId="123" type="noConversion"/>
  <pageMargins left="0.70866141732283505" right="0.70866141732283505" top="0.74803149606299202" bottom="0.74803149606299202" header="0.31496062992126" footer="0.31496062992126"/>
  <pageSetup paperSize="9" orientation="portrait"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22</vt:i4>
      </vt:variant>
    </vt:vector>
  </HeadingPairs>
  <TitlesOfParts>
    <vt:vector size="43" baseType="lpstr">
      <vt:lpstr>底稿目录</vt:lpstr>
      <vt:lpstr>应收票据审计程序表D1A</vt:lpstr>
      <vt:lpstr>审定表D1-1</vt:lpstr>
      <vt:lpstr>附注披露信息（上市公司）</vt:lpstr>
      <vt:lpstr>附注披露信息（国企）</vt:lpstr>
      <vt:lpstr>原值明细表（按类别）D1-2</vt:lpstr>
      <vt:lpstr>原值明细表（按客户）D1-3</vt:lpstr>
      <vt:lpstr>坏账准备明细表D1-4</vt:lpstr>
      <vt:lpstr>调整分录汇总表D1-5</vt:lpstr>
      <vt:lpstr>应收票据业务模式分析D1-6</vt:lpstr>
      <vt:lpstr>应收票据备查簿核对D1-7</vt:lpstr>
      <vt:lpstr>应收票据贴现、票据已背书未到期明细表D1-8</vt:lpstr>
      <vt:lpstr>应收票据贴息检查表D1-9</vt:lpstr>
      <vt:lpstr>应收票据监盘D1-10</vt:lpstr>
      <vt:lpstr>关联方关系及交易检查表D1-11</vt:lpstr>
      <vt:lpstr>应收票据质押检查表D1-12</vt:lpstr>
      <vt:lpstr>应收票据检查表D1-13</vt:lpstr>
      <vt:lpstr>应收票据坏账准备会计政策检查D1-14</vt:lpstr>
      <vt:lpstr>应收票据坏账准备测试表D1-15</vt:lpstr>
      <vt:lpstr>坏账准备转回、核销检查表D1-16</vt:lpstr>
      <vt:lpstr>应收票据业务模式分析提示</vt:lpstr>
      <vt:lpstr>底稿目录!Print_Area</vt:lpstr>
      <vt:lpstr>'调整分录汇总表D1-5'!Print_Area</vt:lpstr>
      <vt:lpstr>'附注披露信息（国企）'!Print_Area</vt:lpstr>
      <vt:lpstr>'附注披露信息（上市公司）'!Print_Area</vt:lpstr>
      <vt:lpstr>'关联方关系及交易检查表D1-11'!Print_Area</vt:lpstr>
      <vt:lpstr>'坏账准备明细表D1-4'!Print_Area</vt:lpstr>
      <vt:lpstr>'坏账准备转回、核销检查表D1-16'!Print_Area</vt:lpstr>
      <vt:lpstr>'审定表D1-1'!Print_Area</vt:lpstr>
      <vt:lpstr>'应收票据备查簿核对D1-7'!Print_Area</vt:lpstr>
      <vt:lpstr>'应收票据坏账准备测试表D1-15'!Print_Area</vt:lpstr>
      <vt:lpstr>'应收票据坏账准备会计政策检查D1-14'!Print_Area</vt:lpstr>
      <vt:lpstr>'应收票据监盘D1-10'!Print_Area</vt:lpstr>
      <vt:lpstr>'应收票据检查表D1-13'!Print_Area</vt:lpstr>
      <vt:lpstr>应收票据审计程序表D1A!Print_Area</vt:lpstr>
      <vt:lpstr>'应收票据贴息检查表D1-9'!Print_Area</vt:lpstr>
      <vt:lpstr>'应收票据贴现、票据已背书未到期明细表D1-8'!Print_Area</vt:lpstr>
      <vt:lpstr>'应收票据业务模式分析D1-6'!Print_Area</vt:lpstr>
      <vt:lpstr>应收票据业务模式分析提示!Print_Area</vt:lpstr>
      <vt:lpstr>'应收票据质押检查表D1-12'!Print_Area</vt:lpstr>
      <vt:lpstr>'原值明细表（按客户）D1-3'!Print_Area</vt:lpstr>
      <vt:lpstr>'原值明细表（按类别）D1-2'!Print_Area</vt:lpstr>
      <vt:lpstr>应收票据审计程序表D1A!Print_Titles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2025-10-29T08:25:07Z</cp:lastPrinted>
  <dcterms:created xsi:type="dcterms:W3CDTF">2007-05-20T08:51:00Z</dcterms:created>
  <dcterms:modified xsi:type="dcterms:W3CDTF">2025-10-31T07:22:24Z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F6F241D78AF5459286E283552914BE4F_12</vt:lpwstr>
  </property>
  <property fmtid="{D5CDD505-2E9C-101B-9397-08002B2CF9AE}" pid="3" name="KSOProductBuildVer">
    <vt:lpwstr>2052-12.1.0.22529</vt:lpwstr>
  </property>
</Properties>
</file>