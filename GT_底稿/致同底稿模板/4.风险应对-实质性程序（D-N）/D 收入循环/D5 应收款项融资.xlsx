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D 收入循环 修订10.28\"/>
    </mc:Choice>
  </mc:AlternateContent>
  <bookViews>
    <workbookView xWindow="0" yWindow="0" windowWidth="22188" windowHeight="9180" tabRatio="917"/>
  </bookViews>
  <sheets>
    <sheet name="底稿目录" sheetId="11" r:id="rId1"/>
    <sheet name="应收款项融资审计程序表D5A" sheetId="22" r:id="rId2"/>
    <sheet name="审定表D5" sheetId="16" r:id="rId3"/>
    <sheet name="附注披露信息（上市公司）" sheetId="2" r:id="rId4"/>
    <sheet name="附注披露信息（国企）" sheetId="3" r:id="rId5"/>
    <sheet name="应收款项融资明细表D5-2" sheetId="24" r:id="rId6"/>
    <sheet name="调整分录汇总表D5-3" sheetId="23" r:id="rId7"/>
    <sheet name="应收款项融资公允价值测算表D5-4" sheetId="4" r:id="rId8"/>
  </sheets>
  <externalReferences>
    <externalReference r:id="rId9"/>
    <externalReference r:id="rId10"/>
    <externalReference r:id="rId11"/>
    <externalReference r:id="rId12"/>
  </externalReferences>
  <definedNames>
    <definedName name="_xlnm._FilterDatabase" localSheetId="1" hidden="1">应收款项融资审计程序表D5A!$A$15:$I$23</definedName>
    <definedName name="_xlnm._FilterDatabase" hidden="1">#REF!</definedName>
    <definedName name="AFV" localSheetId="1" hidden="1">#REF!</definedName>
    <definedName name="AFV" hidden="1">#REF!</definedName>
    <definedName name="AS2DocOpenMode" hidden="1">"AS2DocumentEdit"</definedName>
    <definedName name="b" localSheetId="1" hidden="1">#REF!</definedName>
    <definedName name="bs" localSheetId="1" hidden="1">{#N/A,#N/A,FALSE,"BBPREP"}</definedName>
    <definedName name="bs" hidden="1">{#N/A,#N/A,FALSE,"BBPREP"}</definedName>
    <definedName name="bs_1" localSheetId="1" hidden="1">{#N/A,#N/A,FALSE,"BBPREP"}</definedName>
    <definedName name="bs_1" hidden="1">{#N/A,#N/A,FALSE,"BBPREP"}</definedName>
    <definedName name="CCD" localSheetId="1" hidden="1">#REF!</definedName>
    <definedName name="CCD" hidden="1">#REF!</definedName>
    <definedName name="CDE" localSheetId="1" hidden="1">#REF!</definedName>
    <definedName name="CDE" hidden="1">#REF!</definedName>
    <definedName name="DEX" localSheetId="1" hidden="1">#REF!</definedName>
    <definedName name="DEX" hidden="1">#REF!</definedName>
    <definedName name="EDC" localSheetId="1" hidden="1">#REF!</definedName>
    <definedName name="EDC" hidden="1">#REF!</definedName>
    <definedName name="FAD" localSheetId="1" hidden="1">[1]Breakdown!#REF!</definedName>
    <definedName name="FAD" hidden="1">[1]Breakdown!#REF!</definedName>
    <definedName name="FASD" localSheetId="1" hidden="1">#REF!</definedName>
    <definedName name="FASD" hidden="1">#REF!</definedName>
    <definedName name="FEDC" localSheetId="1" hidden="1">'[2]2004'!#REF!</definedName>
    <definedName name="FEDC" hidden="1">'[2]2004'!#REF!</definedName>
    <definedName name="L" hidden="1">{#N/A,#N/A,FALSE,"BBPREP"}</definedName>
    <definedName name="_xlnm.Print_Area" localSheetId="0">底稿目录!$A$1:$F$17</definedName>
    <definedName name="_xlnm.Print_Area" localSheetId="6">'调整分录汇总表D5-3'!$A$1:$J$26</definedName>
    <definedName name="_xlnm.Print_Area" localSheetId="4">'附注披露信息（国企）'!$A$1:$F$14</definedName>
    <definedName name="_xlnm.Print_Area" localSheetId="3">'附注披露信息（上市公司）'!$A$1:$I$38</definedName>
    <definedName name="_xlnm.Print_Area" localSheetId="2">审定表D5!$A$1:$K$18</definedName>
    <definedName name="_xlnm.Print_Area" localSheetId="7">'应收款项融资公允价值测算表D5-4'!$A$1:$M$23</definedName>
    <definedName name="_xlnm.Print_Area" localSheetId="5">'应收款项融资明细表D5-2'!$A$1:$Q$23</definedName>
    <definedName name="_xlnm.Print_Area" localSheetId="1">应收款项融资审计程序表D5A!$A$1:$I$23</definedName>
    <definedName name="_xlnm.Print_Titles" localSheetId="2">审定表D5!$2:$6</definedName>
    <definedName name="_xlnm.Print_Titles" localSheetId="1">应收款项融资审计程序表D5A!$15:$15</definedName>
    <definedName name="RDES" localSheetId="1" hidden="1">#REF!</definedName>
    <definedName name="RDES" hidden="1">#REF!</definedName>
    <definedName name="s" hidden="1">{#N/A,#N/A,FALSE,"BBPREP"}</definedName>
    <definedName name="t" hidden="1">{#N/A,#N/A,FALSE,"BBPREP"}</definedName>
    <definedName name="TextRefCopyRangeCount" hidden="1">136</definedName>
    <definedName name="VFE" localSheetId="1" hidden="1">#REF!</definedName>
    <definedName name="VFE" hidden="1">#REF!</definedName>
    <definedName name="XAP" localSheetId="1" hidden="1">#REF!</definedName>
    <definedName name="XAP" hidden="1">#REF!</definedName>
    <definedName name="XAQ" localSheetId="1" hidden="1">#REF!</definedName>
    <definedName name="XAQ" hidden="1">#REF!</definedName>
    <definedName name="XCD" localSheetId="1" hidden="1">#REF!</definedName>
    <definedName name="XCD" hidden="1">#REF!</definedName>
    <definedName name="XREF_COLUMN_1" localSheetId="1" hidden="1">#REF!</definedName>
    <definedName name="XREF_COLUMN_1" hidden="1">#REF!</definedName>
    <definedName name="XREF_COLUMN_2" localSheetId="1" hidden="1">[1]Breakdown!#REF!</definedName>
    <definedName name="XREF_COLUMN_2" hidden="1">[1]Breakdown!#REF!</definedName>
    <definedName name="XREF_COLUMN_3" localSheetId="1" hidden="1">#REF!</definedName>
    <definedName name="XREF_COLUMN_3" hidden="1">#REF!</definedName>
    <definedName name="XREF_COLUMN_5" localSheetId="1" hidden="1">'[2]2004'!#REF!</definedName>
    <definedName name="XREF_COLUMN_5" hidden="1">'[2]2004'!#REF!</definedName>
    <definedName name="XRefActiveRow" localSheetId="1" hidden="1">#REF!</definedName>
    <definedName name="XRefActiveRow" hidden="1">#REF!</definedName>
    <definedName name="XRefColumnsCount" hidden="1">2</definedName>
    <definedName name="XRefCopy1" localSheetId="1" hidden="1">#REF!</definedName>
    <definedName name="XRefCopy1" hidden="1">#REF!</definedName>
    <definedName name="XRefCopy1Row" localSheetId="1" hidden="1">#REF!</definedName>
    <definedName name="XRefCopy1Row" hidden="1">#REF!</definedName>
    <definedName name="XRefCopy2Row" localSheetId="1" hidden="1">#REF!</definedName>
    <definedName name="XRefCopy2Row" hidden="1">#REF!</definedName>
    <definedName name="XRefCopyRangeCount" hidden="1">2</definedName>
    <definedName name="XRefPaste1" localSheetId="1" hidden="1">#REF!</definedName>
    <definedName name="XRefPaste1" hidden="1">#REF!</definedName>
    <definedName name="XRefPaste1Row" localSheetId="1" hidden="1">#REF!</definedName>
    <definedName name="XRefPaste1Row" hidden="1">#REF!</definedName>
    <definedName name="XRefPaste2" localSheetId="1" hidden="1">#REF!</definedName>
    <definedName name="XRefPaste2" hidden="1">#REF!</definedName>
    <definedName name="XRefPaste2Row" localSheetId="1" hidden="1">#REF!</definedName>
    <definedName name="XRefPaste2Row" hidden="1">#REF!</definedName>
    <definedName name="XRefPaste3" localSheetId="1" hidden="1">#REF!</definedName>
    <definedName name="XRefPaste3" hidden="1">#REF!</definedName>
    <definedName name="XRefPaste3Row" localSheetId="1" hidden="1">#REF!</definedName>
    <definedName name="XRefPaste3Row" hidden="1">#REF!</definedName>
    <definedName name="XRefPasteRangeCount" hidden="1">2</definedName>
    <definedName name="本循环科目" localSheetId="1" hidden="1">[3]索引!$D$15:$D$76</definedName>
    <definedName name="本循环科目" hidden="1">[4]索引!$D$15:$D$76</definedName>
    <definedName name="底稿目录" localSheetId="1" hidden="1">#REF!</definedName>
    <definedName name="底稿目录" hidden="1">#REF!</definedName>
    <definedName name="去" hidden="1">#REF!</definedName>
    <definedName name="新目录" localSheetId="1" hidden="1">#REF!</definedName>
    <definedName name="新目录" hidden="1">#REF!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7" i="24" l="1"/>
  <c r="L17" i="24"/>
  <c r="L13" i="24"/>
  <c r="L14" i="24"/>
  <c r="L15" i="24"/>
  <c r="L16" i="24"/>
  <c r="L12" i="24"/>
  <c r="J12" i="24"/>
  <c r="J12" i="4" l="1"/>
  <c r="I12" i="4"/>
  <c r="G12" i="4"/>
  <c r="K17" i="4" l="1"/>
  <c r="J17" i="4"/>
  <c r="I17" i="4"/>
  <c r="D17" i="4"/>
  <c r="K16" i="4"/>
  <c r="K15" i="4"/>
  <c r="K14" i="4"/>
  <c r="K13" i="4"/>
  <c r="K12" i="4"/>
  <c r="I4" i="4"/>
  <c r="E4" i="4"/>
  <c r="A4" i="4"/>
  <c r="I3" i="4"/>
  <c r="E3" i="4"/>
  <c r="A3" i="4"/>
  <c r="F4" i="23"/>
  <c r="D4" i="23"/>
  <c r="A4" i="23"/>
  <c r="F3" i="23"/>
  <c r="D3" i="23"/>
  <c r="A3" i="23"/>
  <c r="P17" i="24"/>
  <c r="O17" i="24"/>
  <c r="N17" i="24"/>
  <c r="M17" i="24"/>
  <c r="J17" i="24"/>
  <c r="I17" i="24"/>
  <c r="H17" i="24"/>
  <c r="G17" i="24"/>
  <c r="F17" i="24"/>
  <c r="E17" i="24"/>
  <c r="D17" i="24"/>
  <c r="C17" i="24"/>
  <c r="O16" i="24"/>
  <c r="J16" i="24"/>
  <c r="F16" i="24"/>
  <c r="O15" i="24"/>
  <c r="J15" i="24"/>
  <c r="F15" i="24"/>
  <c r="O14" i="24"/>
  <c r="J14" i="24"/>
  <c r="F14" i="24"/>
  <c r="O13" i="24"/>
  <c r="J13" i="24"/>
  <c r="F13" i="24"/>
  <c r="O12" i="24"/>
  <c r="F12" i="24"/>
  <c r="J4" i="24"/>
  <c r="F4" i="24"/>
  <c r="A4" i="24"/>
  <c r="J3" i="24"/>
  <c r="F3" i="24"/>
  <c r="A3" i="24"/>
  <c r="C10" i="3"/>
  <c r="B10" i="3"/>
  <c r="E4" i="3"/>
  <c r="C4" i="3"/>
  <c r="A4" i="3"/>
  <c r="E3" i="3"/>
  <c r="C3" i="3"/>
  <c r="A3" i="3"/>
  <c r="C38" i="2"/>
  <c r="B38" i="2"/>
  <c r="B33" i="2"/>
  <c r="B27" i="2"/>
  <c r="B21" i="2"/>
  <c r="C12" i="2"/>
  <c r="B12" i="2"/>
  <c r="E4" i="2"/>
  <c r="C4" i="2"/>
  <c r="A4" i="2"/>
  <c r="E3" i="2"/>
  <c r="C3" i="2"/>
  <c r="A3" i="2"/>
  <c r="K10" i="16"/>
  <c r="J10" i="16"/>
  <c r="I10" i="16"/>
  <c r="E10" i="16"/>
  <c r="H8" i="16"/>
  <c r="G8" i="16"/>
  <c r="F8" i="16"/>
  <c r="I8" i="16" s="1"/>
  <c r="D8" i="16"/>
  <c r="C8" i="16"/>
  <c r="B8" i="16"/>
  <c r="E8" i="16" s="1"/>
  <c r="H7" i="16"/>
  <c r="H9" i="16" s="1"/>
  <c r="G7" i="16"/>
  <c r="G11" i="16" s="1"/>
  <c r="F7" i="16"/>
  <c r="I7" i="16" s="1"/>
  <c r="D7" i="16"/>
  <c r="D9" i="16" s="1"/>
  <c r="C7" i="16"/>
  <c r="C9" i="16" s="1"/>
  <c r="B7" i="16"/>
  <c r="B9" i="16" s="1"/>
  <c r="H4" i="16"/>
  <c r="E4" i="16"/>
  <c r="A4" i="16"/>
  <c r="H3" i="16"/>
  <c r="E3" i="16"/>
  <c r="A3" i="16"/>
  <c r="E4" i="22"/>
  <c r="C4" i="22"/>
  <c r="A4" i="22"/>
  <c r="E3" i="22"/>
  <c r="C3" i="22"/>
  <c r="A3" i="22"/>
  <c r="C10" i="2" l="1"/>
  <c r="K8" i="16"/>
  <c r="B9" i="2"/>
  <c r="I11" i="16"/>
  <c r="E9" i="16"/>
  <c r="B10" i="2"/>
  <c r="J8" i="16"/>
  <c r="F9" i="16"/>
  <c r="H11" i="16"/>
  <c r="G9" i="16"/>
  <c r="B11" i="16"/>
  <c r="E7" i="16"/>
  <c r="C11" i="16"/>
  <c r="D11" i="16"/>
  <c r="F11" i="16"/>
  <c r="C9" i="2" l="1"/>
  <c r="E11" i="16"/>
  <c r="K7" i="16"/>
  <c r="J7" i="16"/>
  <c r="K9" i="16"/>
  <c r="C11" i="2"/>
  <c r="C13" i="2" s="1"/>
  <c r="I13" i="16"/>
  <c r="J11" i="16"/>
  <c r="I9" i="16"/>
  <c r="E13" i="16" l="1"/>
  <c r="K11" i="16"/>
  <c r="J9" i="16"/>
  <c r="B11" i="2"/>
  <c r="B13" i="2" s="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<sst xmlns="http://schemas.openxmlformats.org/spreadsheetml/2006/main" count="276" uniqueCount="193">
  <si>
    <t>底稿开列时，可先在以下单元格填写有关内容，以便其他底稿引用有关数据：</t>
  </si>
  <si>
    <t>被审计单位名称：</t>
  </si>
  <si>
    <t>序号</t>
  </si>
  <si>
    <t>内容</t>
  </si>
  <si>
    <t>索引号</t>
  </si>
  <si>
    <t>D5A</t>
  </si>
  <si>
    <t>编制人：</t>
  </si>
  <si>
    <t>D5-1</t>
  </si>
  <si>
    <t>编制日期：</t>
  </si>
  <si>
    <t>无需打印</t>
  </si>
  <si>
    <t>复核人：</t>
  </si>
  <si>
    <t>附注披露信息（国企）</t>
  </si>
  <si>
    <t>复核日期：</t>
  </si>
  <si>
    <t>D5-2</t>
  </si>
  <si>
    <t>D5-3</t>
  </si>
  <si>
    <t>D5-4</t>
  </si>
  <si>
    <t>致同会计师事务所</t>
  </si>
  <si>
    <t>应收款项融资实质性程序表</t>
  </si>
  <si>
    <t>索引号：</t>
  </si>
  <si>
    <t>页次：</t>
  </si>
  <si>
    <t>一、本账户涉及的科目</t>
  </si>
  <si>
    <t>应收款项融资</t>
  </si>
  <si>
    <t>二、审计目标与认定的对应关系</t>
  </si>
  <si>
    <t>审计目标</t>
  </si>
  <si>
    <t>财务报表的认定　</t>
  </si>
  <si>
    <t>A.资产负债表中记录的应收款项融资是存在的，且已经记录在恰当的账户中</t>
  </si>
  <si>
    <t>存在</t>
  </si>
  <si>
    <t>B.所有应记录的应收款项融资均已记录，所有应当包括在财务报表中的相关披露均已包括</t>
  </si>
  <si>
    <t>完整性</t>
  </si>
  <si>
    <t>C.记录的应收款项融资由被审计单位拥有或控制</t>
  </si>
  <si>
    <t>权利和义务</t>
  </si>
  <si>
    <t xml:space="preserve">D.应收款项融资以恰当的金额包括在财务报表中，与之相关的计价或分摊调整已恰当记录，相关披露已得到恰当计量和描述 </t>
  </si>
  <si>
    <t>准确性、计价和分摊</t>
  </si>
  <si>
    <t>E.应收款项融资已被恰当地汇总或分解且表述清楚，相关披露在按照企业会计准则的编制基础下是相关的、可理解的</t>
  </si>
  <si>
    <t>列报</t>
  </si>
  <si>
    <t>三、计划实施的实质性程序</t>
  </si>
  <si>
    <t>程序分类</t>
  </si>
  <si>
    <t>财务报表的认定</t>
  </si>
  <si>
    <t>底稿索引号</t>
  </si>
  <si>
    <t>权利和
义务</t>
  </si>
  <si>
    <t>1</t>
  </si>
  <si>
    <t>获取或编制应收款项融资明细表，复核加计是否正确，与总账、明细账合计数核对是否相符，并编制审定表。</t>
  </si>
  <si>
    <t>常规★</t>
  </si>
  <si>
    <t>√</t>
  </si>
  <si>
    <t>D5-1
/D5-2</t>
  </si>
  <si>
    <t>2</t>
  </si>
  <si>
    <t>备选</t>
  </si>
  <si>
    <t>3</t>
  </si>
  <si>
    <t>结合应收票据、应收账款科目审计，对应收款项融资执行函证、监盘等程序。</t>
  </si>
  <si>
    <r>
      <rPr>
        <b/>
        <sz val="10"/>
        <rFont val="宋体"/>
        <family val="3"/>
        <charset val="134"/>
      </rPr>
      <t>√</t>
    </r>
  </si>
  <si>
    <r>
      <rPr>
        <sz val="10"/>
        <rFont val="宋体"/>
        <family val="3"/>
        <charset val="134"/>
      </rPr>
      <t>√</t>
    </r>
  </si>
  <si>
    <t>了解并观察被审计单位被审计单位管理应收款项融资的业务模式，结合合同现金流量特征，判断应收款项融资分类是否正确。</t>
  </si>
  <si>
    <t>D1-6
/D2-13</t>
  </si>
  <si>
    <t>重新计算应收款项融资公允价值计量是否正确</t>
  </si>
  <si>
    <t>检查应收款项融资是否已按企业会计准则或其他适用的规定在财务报表中做出恰当列报和披露。</t>
  </si>
  <si>
    <r>
      <rPr>
        <sz val="10"/>
        <rFont val="Arial Narrow"/>
        <family val="2"/>
      </rPr>
      <t>A1-1/</t>
    </r>
    <r>
      <rPr>
        <sz val="10"/>
        <color rgb="FFFF0000"/>
        <rFont val="Arial Narrow"/>
        <family val="2"/>
      </rPr>
      <t>A1-15 /A1-16</t>
    </r>
  </si>
  <si>
    <t>应收款项融资审定表</t>
  </si>
  <si>
    <t>项目</t>
  </si>
  <si>
    <t>期初数</t>
  </si>
  <si>
    <t>期末数</t>
  </si>
  <si>
    <t>期末与期初审定数比较</t>
  </si>
  <si>
    <t>未审数</t>
  </si>
  <si>
    <t>账项调整</t>
  </si>
  <si>
    <t>重分类调整</t>
  </si>
  <si>
    <t>审定数</t>
  </si>
  <si>
    <t>变动额</t>
  </si>
  <si>
    <t>变动率</t>
  </si>
  <si>
    <t>应收票据</t>
  </si>
  <si>
    <t>应收账款</t>
  </si>
  <si>
    <t>小计</t>
  </si>
  <si>
    <t>减：其他综合收益-公允价值变动</t>
  </si>
  <si>
    <t>应收款项融资公允价值合计</t>
  </si>
  <si>
    <t>试算平衡表数</t>
  </si>
  <si>
    <t>差异数</t>
  </si>
  <si>
    <r>
      <rPr>
        <b/>
        <sz val="10"/>
        <rFont val="宋体"/>
        <family val="3"/>
        <charset val="134"/>
        <scheme val="minor"/>
      </rPr>
      <t>1.审计说明</t>
    </r>
  </si>
  <si>
    <t>2.审计结论</t>
  </si>
  <si>
    <t>（1）应收款项融资本期较上期增加（负数为减少）：</t>
  </si>
  <si>
    <r>
      <rPr>
        <sz val="10"/>
        <rFont val="宋体"/>
        <family val="3"/>
        <charset val="134"/>
        <scheme val="minor"/>
      </rPr>
      <t>主要原因</t>
    </r>
    <r>
      <rPr>
        <sz val="10"/>
        <color indexed="10"/>
        <rFont val="宋体"/>
        <family val="3"/>
        <charset val="134"/>
        <scheme val="minor"/>
      </rPr>
      <t>（比例超过30%的）</t>
    </r>
    <r>
      <rPr>
        <sz val="10"/>
        <rFont val="宋体"/>
        <family val="3"/>
        <charset val="134"/>
        <scheme val="minor"/>
      </rPr>
      <t>：</t>
    </r>
  </si>
  <si>
    <r>
      <rPr>
        <b/>
        <sz val="10"/>
        <rFont val="宋体"/>
        <family val="3"/>
        <charset val="134"/>
      </rPr>
      <t>致同会计师事务所</t>
    </r>
  </si>
  <si>
    <r>
      <rPr>
        <b/>
        <sz val="12"/>
        <rFont val="宋体"/>
        <family val="3"/>
        <charset val="134"/>
      </rPr>
      <t>附注披露信息（上市公司）</t>
    </r>
  </si>
  <si>
    <r>
      <rPr>
        <sz val="10"/>
        <rFont val="宋体"/>
        <family val="3"/>
        <charset val="134"/>
      </rPr>
      <t>页次：</t>
    </r>
  </si>
  <si>
    <r>
      <rPr>
        <sz val="12"/>
        <color theme="1"/>
        <rFont val="仿宋_GB2312"/>
        <family val="3"/>
        <charset val="134"/>
      </rPr>
      <t>附注披露信息</t>
    </r>
  </si>
  <si>
    <t>【提示：“应收款项融资”项目，反映资产负债表日以公允价值计量且其变动计入其他综合收益的应收票据和应收账款等。
就票据的贴现或背书而言，首先需要分析贴现或背书是否导致了终止确认。对于信用等级较低的银行承兑的汇票或由企业承兑的商业承兑汇票，贴现或背书时并不能终止确认，因此并未导致会计上的“出售”，进而也不会改变企业管理应收票据的业务模式仍然是以收取合同现金流量为目标。其次，若企业的贴现或背书行为并不频繁，或者虽然频繁但金额不大，则也可能不改变以收取合同现金流量为目标的业务模式。
如果企业经常贴现或背书信用等级较高的银行承兑的汇票，则其业务模式可能是既以收取合同现金流量为目标又以出售该金融资产为目标，从而可能需要在“应收款项融资”项目列报。】</t>
  </si>
  <si>
    <t>【应收款项融资的披露应当参考应收账款和应收票据的相关披露内容。】</t>
  </si>
  <si>
    <t>项  目</t>
  </si>
  <si>
    <t>期末余额</t>
  </si>
  <si>
    <t>上年年末余额</t>
  </si>
  <si>
    <t>小  计</t>
  </si>
  <si>
    <t>期末公允价值</t>
  </si>
  <si>
    <t>【应收票据票面金额或应收账款余额-公允价值变动=期末公允价值】</t>
  </si>
  <si>
    <t>说明：应收款项融资本期增减变动及公允价值变动情况。</t>
  </si>
  <si>
    <t>本公司所属部分子公司视其日常资金管理的需要将一部分银行承兑汇票进行贴现和背书，故将该子公司的银行承兑汇票分类为以公允价值计量且其变动计入其他综合收益的金融资产。</t>
  </si>
  <si>
    <t>本公司无单项计提减值准备的银行承兑汇票。于2021年12月31日，本公司认为所持有的银行承兑汇票不存在重大信用风险，不会因银行违约而产生重大损失。</t>
  </si>
  <si>
    <t>或</t>
  </si>
  <si>
    <t>（1）本期计提、收回或转回的减值准备情况</t>
  </si>
  <si>
    <t>减值准备金额</t>
  </si>
  <si>
    <t>本期计提</t>
  </si>
  <si>
    <t>本期收回或转回</t>
  </si>
  <si>
    <t>本期核销</t>
  </si>
  <si>
    <t>[本期转销]</t>
  </si>
  <si>
    <t>[其他]</t>
  </si>
  <si>
    <t>【提示：若涉及应收账款，本期计提、收回或转回的减值准备情况参考应收账款（2）（3）进行披露。】</t>
  </si>
  <si>
    <t>（2）期末本公司已质押的应收票据</t>
  </si>
  <si>
    <t>种  类</t>
  </si>
  <si>
    <t>期末已质押金额</t>
  </si>
  <si>
    <t>银行承兑票据</t>
  </si>
  <si>
    <t>商业承兑票据</t>
  </si>
  <si>
    <t>合  计</t>
  </si>
  <si>
    <t>（3）期末本公司已背书或贴现但尚未到期的应收票据</t>
  </si>
  <si>
    <t>期末终止确认金额</t>
  </si>
  <si>
    <t>期末未终止确认金额</t>
  </si>
  <si>
    <t>【上面各张表均可添加行项目】</t>
  </si>
  <si>
    <t>（如根据《企业会计准则第23号——金融资产转移》终止确认的应收票据，列示其终止确认的金额，及与终止确认相关的利得和损失）</t>
  </si>
  <si>
    <t>【提示：证监会《2014 年上市公司年报会计监管报告》，对已背书或贴现且尚未到期的银行承兑汇票予以终止确认后，需在财务报表中补充披露终止确认的票据以及对票据被追索时可能存在的支付风险予以清晰说明。参考披露：</t>
  </si>
  <si>
    <t>用于贴现的银行承兑汇票是由信用等级较高的银行承兑，信用风险和延期付款风险很小，并且票据相关的利率风险已转移给银行，可以判断票据所有权上的主要风险和报酬已经转移，故终止确认。</t>
  </si>
  <si>
    <t>或：用于贴现的银行承兑汇票是由信用等级不高的银行承兑，贴现不影响追索权，票据相关的信用风险和延期付款风险仍没有转移，故未终止确认。】</t>
  </si>
  <si>
    <t>附注披露信息</t>
  </si>
  <si>
    <r>
      <rPr>
        <sz val="12"/>
        <color theme="1"/>
        <rFont val="仿宋_GB2312"/>
        <family val="3"/>
        <charset val="134"/>
      </rPr>
      <t>（</t>
    </r>
    <r>
      <rPr>
        <sz val="12"/>
        <color theme="1"/>
        <rFont val="Arial Narrow"/>
        <family val="2"/>
      </rPr>
      <t>1</t>
    </r>
    <r>
      <rPr>
        <sz val="12"/>
        <color theme="1"/>
        <rFont val="仿宋_GB2312"/>
        <family val="3"/>
        <charset val="134"/>
      </rPr>
      <t>）应收款项融资分项目列示</t>
    </r>
  </si>
  <si>
    <t>期初余额</t>
  </si>
  <si>
    <t>【提示：1、应收账款，本期计提、收回或转回的减值准备情况参考附注八、5、（3）进行披露；本期实际核销的应收款项融资情况参考附注八、5、（4）进行披露。</t>
  </si>
  <si>
    <r>
      <rPr>
        <sz val="12"/>
        <color rgb="FF0000FF"/>
        <rFont val="Arial Narrow"/>
        <family val="2"/>
      </rPr>
      <t>2</t>
    </r>
    <r>
      <rPr>
        <sz val="12"/>
        <color rgb="FF0000FF"/>
        <rFont val="微软雅黑"/>
        <family val="2"/>
        <charset val="134"/>
      </rPr>
      <t>、应收票据，期末质押、背书或贴现且在资产负债表日尚未到期、出票人未履约、坏账准备计提情况参考附注八、</t>
    </r>
    <r>
      <rPr>
        <sz val="12"/>
        <color rgb="FF0000FF"/>
        <rFont val="Arial Narrow"/>
        <family val="2"/>
      </rPr>
      <t>4</t>
    </r>
    <r>
      <rPr>
        <sz val="12"/>
        <color rgb="FF0000FF"/>
        <rFont val="微软雅黑"/>
        <family val="2"/>
        <charset val="134"/>
      </rPr>
      <t>、（</t>
    </r>
    <r>
      <rPr>
        <sz val="12"/>
        <color rgb="FF0000FF"/>
        <rFont val="Arial Narrow"/>
        <family val="2"/>
      </rPr>
      <t>2</t>
    </r>
    <r>
      <rPr>
        <sz val="12"/>
        <color rgb="FF0000FF"/>
        <rFont val="微软雅黑"/>
        <family val="2"/>
        <charset val="134"/>
      </rPr>
      <t>）（</t>
    </r>
    <r>
      <rPr>
        <sz val="12"/>
        <color rgb="FF0000FF"/>
        <rFont val="Arial Narrow"/>
        <family val="2"/>
      </rPr>
      <t>3</t>
    </r>
    <r>
      <rPr>
        <sz val="12"/>
        <color rgb="FF0000FF"/>
        <rFont val="微软雅黑"/>
        <family val="2"/>
        <charset val="134"/>
      </rPr>
      <t>）（</t>
    </r>
    <r>
      <rPr>
        <sz val="12"/>
        <color rgb="FF0000FF"/>
        <rFont val="Arial Narrow"/>
        <family val="2"/>
      </rPr>
      <t>4</t>
    </r>
    <r>
      <rPr>
        <sz val="12"/>
        <color rgb="FF0000FF"/>
        <rFont val="微软雅黑"/>
        <family val="2"/>
        <charset val="134"/>
      </rPr>
      <t>）（</t>
    </r>
    <r>
      <rPr>
        <sz val="12"/>
        <color rgb="FF0000FF"/>
        <rFont val="Arial Narrow"/>
        <family val="2"/>
      </rPr>
      <t>5</t>
    </r>
    <r>
      <rPr>
        <sz val="12"/>
        <color rgb="FF0000FF"/>
        <rFont val="微软雅黑"/>
        <family val="2"/>
        <charset val="134"/>
      </rPr>
      <t>）（</t>
    </r>
    <r>
      <rPr>
        <sz val="12"/>
        <color rgb="FF0000FF"/>
        <rFont val="Arial Narrow"/>
        <family val="2"/>
      </rPr>
      <t>6</t>
    </r>
    <r>
      <rPr>
        <sz val="12"/>
        <color rgb="FF0000FF"/>
        <rFont val="微软雅黑"/>
        <family val="2"/>
        <charset val="134"/>
      </rPr>
      <t>）进行披露】</t>
    </r>
  </si>
  <si>
    <t>应收款项融资明细表</t>
  </si>
  <si>
    <t>一、审计目标</t>
  </si>
  <si>
    <t>所有应记录的应收款项融资均已记录，所有应当包括在财务报表中的相关披露均已包括</t>
  </si>
  <si>
    <t>二、审计过程</t>
  </si>
  <si>
    <t>1.……</t>
  </si>
  <si>
    <t>类别</t>
  </si>
  <si>
    <t>明细项目</t>
  </si>
  <si>
    <t>本期变动</t>
  </si>
  <si>
    <t>备注</t>
  </si>
  <si>
    <t>其他综合收益-应收款项融资减值准备余额</t>
  </si>
  <si>
    <t>本期增加</t>
  </si>
  <si>
    <t>本期减少</t>
  </si>
  <si>
    <t>合计</t>
  </si>
  <si>
    <t>三、审计说明</t>
  </si>
  <si>
    <t>四、审计结论</t>
  </si>
  <si>
    <t>提示：应收款项融资分类为以公允价值计量且其变动计入其他综合收益的金融资产，产生的预期信用损失应列报在其他综合收益-信用减值准备，不影响应收款项融资报表项目数据。</t>
  </si>
  <si>
    <t>应收款项融资调整分录汇总表</t>
  </si>
  <si>
    <t>调整事项说明</t>
  </si>
  <si>
    <t>类别（报表调整/账项调整/其他）</t>
  </si>
  <si>
    <t>报表项目</t>
  </si>
  <si>
    <t>科目名称</t>
  </si>
  <si>
    <t>附注项目</t>
  </si>
  <si>
    <t>……</t>
  </si>
  <si>
    <t>借方调整金额</t>
  </si>
  <si>
    <t>贷方调整金额</t>
  </si>
  <si>
    <t>索引</t>
  </si>
  <si>
    <r>
      <rPr>
        <b/>
        <sz val="10"/>
        <rFont val="宋体"/>
        <family val="3"/>
        <charset val="134"/>
      </rPr>
      <t>1.审计说明</t>
    </r>
  </si>
  <si>
    <t>提示：本底稿适用于调整分录较多、较复杂的项目，且仅列示与本报表项目相关的审计调整。项目组可根据项目实际情况选择是否使用该底稿。</t>
  </si>
  <si>
    <t>应收款项融资公允价值测算表</t>
  </si>
  <si>
    <t>应收款项融资以恰当的金额包括在财务报表中，与之相关的计价或分摊调整已恰当记录，相关披露已得到恰当计量和描述</t>
  </si>
  <si>
    <t>市场贴现利率</t>
  </si>
  <si>
    <t>贴现利息/
保理费用</t>
  </si>
  <si>
    <t>贴现金额/
保理金额</t>
  </si>
  <si>
    <t>应收款项融资期末公允价值</t>
  </si>
  <si>
    <t>公允价值层次</t>
  </si>
  <si>
    <t>票据号</t>
  </si>
  <si>
    <t>票面金额</t>
  </si>
  <si>
    <t>计量日</t>
  </si>
  <si>
    <t>到期日</t>
  </si>
  <si>
    <t>剩余日期（天）</t>
  </si>
  <si>
    <t>应收银行承兑汇票</t>
  </si>
  <si>
    <t>第二层次</t>
  </si>
  <si>
    <t>三、审计说明：</t>
  </si>
  <si>
    <t>四、审计结论：</t>
  </si>
  <si>
    <t>提示1：票据背书金额是结算负债的金额，因此不是公允价值（公允价值是脱手价）。公允价值，是指市场参与者在计量日发生的有序交易中，出售一项资产所能收到或者转移一项负债所需支付的价格。</t>
  </si>
  <si>
    <r>
      <rPr>
        <sz val="10"/>
        <rFont val="宋体"/>
        <family val="3"/>
        <charset val="134"/>
      </rPr>
      <t>对期初余额的审计，取得应收款项融资期初余额明细表复核加计是否正确，与总账、明细账合计数是否相符，检查期初金额在本期出售或收回情况，必要时，函证期初余额以及其他必要追加的审计程序。</t>
    </r>
    <r>
      <rPr>
        <sz val="10"/>
        <color rgb="FFFF0000"/>
        <rFont val="宋体"/>
        <family val="3"/>
        <charset val="134"/>
      </rPr>
      <t>（适用于首次承接）</t>
    </r>
    <phoneticPr fontId="158" type="noConversion"/>
  </si>
  <si>
    <t>D0
/D1-7
/D1-10</t>
    <phoneticPr fontId="158" type="noConversion"/>
  </si>
  <si>
    <t>根据评估的舞弊风险等因素增加的审计程序。</t>
    <phoneticPr fontId="160" type="noConversion"/>
  </si>
  <si>
    <t>IPO/上市/新三板/重组/舞弊应对</t>
    <phoneticPr fontId="161" type="noConversion"/>
  </si>
  <si>
    <t>4</t>
  </si>
  <si>
    <t>5</t>
  </si>
  <si>
    <t>6</t>
  </si>
  <si>
    <t>7</t>
  </si>
  <si>
    <t>提示2：若贴现利率属于可观察输入值，则公允价值属于第二层次；若贴现利率不属于可观察输入值（例如单独协商），则公允价值属于第三层次；</t>
    <phoneticPr fontId="158" type="noConversion"/>
  </si>
  <si>
    <t xml:space="preserve">       另外，若考虑重要性后直接以票面金额作为公允价值的替代，则属于第三层次。</t>
    <phoneticPr fontId="158" type="noConversion"/>
  </si>
  <si>
    <r>
      <rPr>
        <u/>
        <sz val="11"/>
        <color theme="10"/>
        <rFont val="宋体"/>
        <family val="3"/>
        <charset val="134"/>
      </rPr>
      <t>程序表</t>
    </r>
  </si>
  <si>
    <r>
      <rPr>
        <u/>
        <sz val="11"/>
        <color theme="10"/>
        <rFont val="宋体"/>
        <family val="3"/>
        <charset val="134"/>
      </rPr>
      <t>审定表</t>
    </r>
  </si>
  <si>
    <r>
      <rPr>
        <u/>
        <sz val="11"/>
        <color theme="10"/>
        <rFont val="宋体"/>
        <family val="3"/>
        <charset val="134"/>
      </rPr>
      <t>附注披露信息（上市公司）</t>
    </r>
  </si>
  <si>
    <r>
      <rPr>
        <u/>
        <sz val="11"/>
        <color theme="10"/>
        <rFont val="宋体"/>
        <family val="3"/>
        <charset val="134"/>
      </rPr>
      <t>附注披露信息（国企）</t>
    </r>
  </si>
  <si>
    <r>
      <rPr>
        <u/>
        <sz val="11"/>
        <rFont val="宋体"/>
        <family val="3"/>
        <charset val="134"/>
      </rPr>
      <t>明细表</t>
    </r>
  </si>
  <si>
    <r>
      <rPr>
        <u/>
        <sz val="11"/>
        <rFont val="宋体"/>
        <family val="3"/>
        <charset val="134"/>
      </rPr>
      <t>调整分录汇总表</t>
    </r>
  </si>
  <si>
    <r>
      <rPr>
        <u/>
        <sz val="11"/>
        <rFont val="宋体"/>
        <family val="3"/>
        <charset val="134"/>
      </rPr>
      <t>公允价值测算表</t>
    </r>
  </si>
  <si>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160" type="noConversion"/>
  </si>
  <si>
    <t>关于工作底稿与审计程序索引号对应的说明</t>
    <phoneticPr fontId="160" type="noConversion"/>
  </si>
  <si>
    <r>
      <t>1.</t>
    </r>
    <r>
      <rPr>
        <b/>
        <sz val="12"/>
        <rFont val="宋体"/>
        <family val="3"/>
        <charset val="134"/>
      </rPr>
      <t>编制的审计工作底稿应与审计程序对应。</t>
    </r>
    <r>
      <rPr>
        <sz val="11"/>
        <color theme="1"/>
        <rFont val="宋体"/>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60" type="noConversion"/>
  </si>
  <si>
    <r>
      <t>2.</t>
    </r>
    <r>
      <rPr>
        <b/>
        <sz val="12"/>
        <rFont val="宋体"/>
        <family val="3"/>
        <charset val="134"/>
      </rPr>
      <t>获取的支持性证据应与审计底稿或程序对应。</t>
    </r>
    <r>
      <rPr>
        <sz val="11"/>
        <color theme="1"/>
        <rFont val="宋体"/>
        <charset val="134"/>
        <scheme val="minor"/>
      </rPr>
      <t>审计项目组在完成底稿时获取的支持性证据应根据底稿索引号编制下一级按自然顺序排序的索引号（如</t>
    </r>
    <r>
      <rPr>
        <sz val="12"/>
        <rFont val="Arial Narrow"/>
        <family val="2"/>
      </rPr>
      <t>D1-2-1</t>
    </r>
    <r>
      <rPr>
        <sz val="11"/>
        <color theme="1"/>
        <rFont val="宋体"/>
        <charset val="134"/>
        <scheme val="minor"/>
      </rPr>
      <t>、</t>
    </r>
    <r>
      <rPr>
        <sz val="12"/>
        <rFont val="Arial Narrow"/>
        <family val="2"/>
      </rPr>
      <t>D1-2-2</t>
    </r>
    <r>
      <rPr>
        <sz val="11"/>
        <color theme="1"/>
        <rFont val="宋体"/>
        <charset val="134"/>
        <scheme val="minor"/>
      </rPr>
      <t>、</t>
    </r>
    <r>
      <rPr>
        <sz val="12"/>
        <rFont val="Arial Narrow"/>
        <family val="2"/>
      </rPr>
      <t>……</t>
    </r>
    <r>
      <rPr>
        <sz val="11"/>
        <color theme="1"/>
        <rFont val="宋体"/>
        <charset val="134"/>
        <scheme val="minor"/>
      </rPr>
      <t>），并在底稿中说明引用的支持性证据、关联索引号。</t>
    </r>
    <phoneticPr fontId="160" type="noConversion"/>
  </si>
  <si>
    <r>
      <rPr>
        <b/>
        <sz val="12"/>
        <rFont val="Arial Narrow"/>
        <family val="2"/>
      </rPr>
      <t>3.</t>
    </r>
    <r>
      <rPr>
        <b/>
        <sz val="12"/>
        <rFont val="宋体"/>
        <family val="3"/>
        <charset val="134"/>
      </rPr>
      <t>工作底稿索引号的编码规则：</t>
    </r>
    <r>
      <rPr>
        <sz val="11"/>
        <color theme="1"/>
        <rFont val="宋体"/>
        <charset val="134"/>
        <scheme val="minor"/>
      </rPr>
      <t>实质性程序索引号按循环从</t>
    </r>
    <r>
      <rPr>
        <sz val="12"/>
        <rFont val="Arial Narrow"/>
        <family val="2"/>
      </rPr>
      <t>“D”</t>
    </r>
    <r>
      <rPr>
        <sz val="11"/>
        <color theme="1"/>
        <rFont val="宋体"/>
        <charset val="134"/>
        <scheme val="minor"/>
      </rPr>
      <t>到</t>
    </r>
    <r>
      <rPr>
        <sz val="12"/>
        <rFont val="Arial Narrow"/>
        <family val="2"/>
      </rPr>
      <t>“N”,</t>
    </r>
    <r>
      <rPr>
        <sz val="11"/>
        <color theme="1"/>
        <rFont val="宋体"/>
        <charset val="134"/>
        <scheme val="minor"/>
      </rPr>
      <t>循环内账户以顺序号排列，模板中底稿索引号按账户顺序</t>
    </r>
    <r>
      <rPr>
        <sz val="12"/>
        <rFont val="Arial Narrow"/>
        <family val="2"/>
      </rPr>
      <t>+</t>
    </r>
    <r>
      <rPr>
        <sz val="11"/>
        <color theme="1"/>
        <rFont val="宋体"/>
        <charset val="134"/>
        <scheme val="minor"/>
      </rPr>
      <t>自然数顺序（即模板中索引号按二级自然顺序排列，如</t>
    </r>
    <r>
      <rPr>
        <sz val="12"/>
        <rFont val="Arial Narrow"/>
        <family val="2"/>
      </rPr>
      <t>D1-1</t>
    </r>
    <r>
      <rPr>
        <sz val="11"/>
        <color theme="1"/>
        <rFont val="宋体"/>
        <charset val="134"/>
        <scheme val="minor"/>
      </rPr>
      <t>、</t>
    </r>
    <r>
      <rPr>
        <sz val="12"/>
        <rFont val="Arial Narrow"/>
        <family val="2"/>
      </rPr>
      <t>D1-2</t>
    </r>
    <r>
      <rPr>
        <sz val="11"/>
        <color theme="1"/>
        <rFont val="宋体"/>
        <charset val="134"/>
        <scheme val="minor"/>
      </rPr>
      <t>、</t>
    </r>
    <r>
      <rPr>
        <sz val="12"/>
        <rFont val="Arial Narrow"/>
        <family val="2"/>
      </rPr>
      <t>D1-3</t>
    </r>
    <r>
      <rPr>
        <sz val="11"/>
        <color theme="1"/>
        <rFont val="宋体"/>
        <charset val="134"/>
        <scheme val="minor"/>
      </rPr>
      <t>、</t>
    </r>
    <r>
      <rPr>
        <sz val="12"/>
        <rFont val="Arial Narrow"/>
        <family val="2"/>
      </rPr>
      <t>……D1-N</t>
    </r>
    <r>
      <rPr>
        <sz val="11"/>
        <color theme="1"/>
        <rFont val="宋体"/>
        <charset val="134"/>
        <scheme val="minor"/>
      </rPr>
      <t>）。</t>
    </r>
    <phoneticPr fontId="160" type="noConversion"/>
  </si>
  <si>
    <t>根据被审计单位实际情况和风险评估情况裁剪、修改或增加审计程序</t>
    <phoneticPr fontId="160" type="noConversion"/>
  </si>
  <si>
    <t>审计程序</t>
    <phoneticPr fontId="161" type="noConversion"/>
  </si>
  <si>
    <t>期末余额</t>
    <phoneticPr fontId="158" type="noConversion"/>
  </si>
  <si>
    <t>被审计单位重分类调整</t>
  </si>
  <si>
    <t>期末未审余额</t>
    <phoneticPr fontId="15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</si>
</sst>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1">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0;\-\¥#,##0"/>
    <numFmt numFmtId="189" formatCode="#.\ \ "/>
    <numFmt numFmtId="190" formatCode="##.\ \ "/>
    <numFmt numFmtId="191" formatCode="&quot;$&quot;#,##0_);\(&quot;$&quot;#,##0\)"/>
    <numFmt numFmtId="192" formatCode="#,##0;\-#,##0;&quot;-&quot;"/>
    <numFmt numFmtId="193" formatCode="\(#,##0\)\ "/>
    <numFmt numFmtId="194" formatCode="[Blue]0.0%;[Blue]\(0.0%\)"/>
    <numFmt numFmtId="195" formatCode="0.0%;\(0.0%\)"/>
    <numFmt numFmtId="196" formatCode="[Red]0.0%;[Red]\(0.0%\)"/>
    <numFmt numFmtId="197" formatCode="[Blue]#,##0_);[Blue]\(#,##0\)"/>
    <numFmt numFmtId="198" formatCode="#,##0_);[Blue]\(#,##0\)"/>
    <numFmt numFmtId="199" formatCode="&quot;$&quot;#,##0;[Red]&quot;$&quot;&quot;$&quot;&quot;$&quot;&quot;$&quot;&quot;$&quot;&quot;$&quot;&quot;$&quot;\-#,##0"/>
    <numFmt numFmtId="200" formatCode="_(&quot;$&quot;* #,##0_);_(&quot;$&quot;* \(#,##0\);_(&quot;$&quot;* &quot;-&quot;_);_(@_)"/>
    <numFmt numFmtId="201" formatCode="#,##0;\(#,##0\)"/>
    <numFmt numFmtId="202" formatCode="#,##0.0_);\(#,##0.0\)"/>
    <numFmt numFmtId="203" formatCode="&quot;$&quot;#,##0.00_);\(&quot;$&quot;#,##0.00\)"/>
    <numFmt numFmtId="204" formatCode=";;;"/>
    <numFmt numFmtId="205" formatCode="\$#,##0.00;\(\$#,##0.00\)"/>
    <numFmt numFmtId="206" formatCode="#,##0.000000"/>
    <numFmt numFmtId="207" formatCode="\$#,##0;\(\$#,##0\)"/>
    <numFmt numFmtId="208" formatCode="#,##0.00\¥;\-#,##0.00\¥"/>
    <numFmt numFmtId="209" formatCode="_-* #,##0.00\¥_-;\-* #,##0.00\¥_-;_-* &quot;-&quot;??\¥_-;_-@_-"/>
    <numFmt numFmtId="210" formatCode="0.000%"/>
    <numFmt numFmtId="211" formatCode="_(&quot;$&quot;* #,##0.00_);_(&quot;$&quot;* \(#,##0.00\);_(&quot;$&quot;* &quot;-&quot;??_);_(@_)"/>
    <numFmt numFmtId="212" formatCode="_-* #,##0\¥_-;\-* #,##0\¥_-;_-* &quot;-&quot;\¥_-;_-@_-"/>
    <numFmt numFmtId="213" formatCode="_-* #,##0_-;\-* #,##0_-;_-* &quot;-&quot;??_-;_-@_-"/>
    <numFmt numFmtId="214" formatCode="0.00000000000_);[Red]\(0.00000000000\)"/>
    <numFmt numFmtId="215" formatCode="&quot;\&quot;#,##0;&quot;\&quot;&quot;\&quot;\-#,##0"/>
    <numFmt numFmtId="216" formatCode="_-* #,##0.00_-;\-* #,##0.00_-;_-* &quot;-&quot;??_-;_-@_-"/>
    <numFmt numFmtId="217" formatCode="_-* #,##0_-;\-* #,##0_-;_-* &quot;-&quot;_-;_-@_-"/>
    <numFmt numFmtId="218" formatCode="0%_);\(0%\)"/>
    <numFmt numFmtId="219" formatCode="&quot;$&quot;#,##0;\-&quot;$&quot;#,##0"/>
    <numFmt numFmtId="220" formatCode="#,##0.00\¥;[Red]\-#,##0.00\¥"/>
    <numFmt numFmtId="221" formatCode="#,##0&quot; $&quot;;[Red]\-#,##0&quot; $&quot;"/>
    <numFmt numFmtId="222" formatCode="\ \ @"/>
    <numFmt numFmtId="223" formatCode="#,##0_);\(#,##0_)"/>
    <numFmt numFmtId="224" formatCode="_-* #,##0\ _k_r_-;\-* #,##0\ _k_r_-;_-* &quot;-&quot;\ _k_r_-;_-@_-"/>
    <numFmt numFmtId="225" formatCode="_-* #,##0.00\ _k_r_-;\-* #,##0.00\ _k_r_-;_-* &quot;-&quot;??\ _k_r_-;_-@_-"/>
    <numFmt numFmtId="226" formatCode="#,##0.00_);#,##0.00\)"/>
    <numFmt numFmtId="227" formatCode="0.00000&quot;  &quot;"/>
    <numFmt numFmtId="228" formatCode="_-&quot;$&quot;* #,##0_-;\-&quot;$&quot;* #,##0_-;_-&quot;$&quot;* &quot;-&quot;_-;_-@_-"/>
    <numFmt numFmtId="229" formatCode="_-&quot;$&quot;* #,##0.00_-;\-&quot;$&quot;* #,##0.00_-;_-&quot;$&quot;* &quot;-&quot;??_-;_-@_-"/>
    <numFmt numFmtId="230" formatCode="&quot;\&quot;#,##0;[Red]&quot;\&quot;&quot;\&quot;\-#,##0"/>
    <numFmt numFmtId="231" formatCode="&quot;\&quot;#,##0.00;[Red]&quot;\&quot;&quot;\&quot;&quot;\&quot;&quot;\&quot;&quot;\&quot;&quot;\&quot;\-#,##0.00"/>
    <numFmt numFmtId="232" formatCode="&quot;\&quot;#,##0.00;[Red]&quot;\&quot;\-#,##0.00"/>
    <numFmt numFmtId="233" formatCode="&quot;\&quot;#,##0;[Red]&quot;\&quot;\-#,##0"/>
    <numFmt numFmtId="234"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69">
    <font>
      <sz val="11"/>
      <color theme="1"/>
      <name val="宋体"/>
      <charset val="134"/>
      <scheme val="minor"/>
    </font>
    <font>
      <sz val="11"/>
      <color theme="1"/>
      <name val="宋体"/>
      <family val="2"/>
      <charset val="134"/>
      <scheme val="minor"/>
    </font>
    <font>
      <sz val="10"/>
      <name val="宋体"/>
      <family val="3"/>
      <charset val="134"/>
      <scheme val="minor"/>
    </font>
    <font>
      <b/>
      <sz val="12"/>
      <name val="宋体"/>
      <family val="3"/>
      <charset val="134"/>
      <scheme val="minor"/>
    </font>
    <font>
      <b/>
      <sz val="14"/>
      <name val="宋体"/>
      <family val="3"/>
      <charset val="134"/>
      <scheme val="minor"/>
    </font>
    <font>
      <b/>
      <sz val="10"/>
      <name val="宋体"/>
      <family val="3"/>
      <charset val="134"/>
      <scheme val="minor"/>
    </font>
    <font>
      <sz val="10"/>
      <color rgb="FFFF0000"/>
      <name val="宋体"/>
      <family val="3"/>
      <charset val="134"/>
      <scheme val="minor"/>
    </font>
    <font>
      <sz val="10"/>
      <color theme="1"/>
      <name val="宋体"/>
      <family val="3"/>
      <charset val="134"/>
      <scheme val="minor"/>
    </font>
    <font>
      <sz val="10"/>
      <color rgb="FFFF0000"/>
      <name val="Arial Narrow"/>
      <family val="2"/>
    </font>
    <font>
      <sz val="10"/>
      <name val="Arial Narrow"/>
      <family val="2"/>
    </font>
    <font>
      <b/>
      <sz val="10"/>
      <color indexed="8"/>
      <name val="Arial Narrow"/>
      <family val="2"/>
    </font>
    <font>
      <sz val="10"/>
      <color rgb="FF0000FF"/>
      <name val="宋体"/>
      <family val="3"/>
      <charset val="134"/>
      <scheme val="minor"/>
    </font>
    <font>
      <sz val="10"/>
      <color indexed="12"/>
      <name val="宋体"/>
      <family val="3"/>
      <charset val="134"/>
      <scheme val="minor"/>
    </font>
    <font>
      <sz val="10"/>
      <color indexed="8"/>
      <name val="Arial Narrow"/>
      <family val="2"/>
    </font>
    <font>
      <b/>
      <sz val="10"/>
      <color indexed="8"/>
      <name val="宋体"/>
      <family val="3"/>
      <charset val="134"/>
      <scheme val="minor"/>
    </font>
    <font>
      <sz val="10"/>
      <color theme="1"/>
      <name val="宋体"/>
      <family val="3"/>
      <charset val="134"/>
    </font>
    <font>
      <b/>
      <sz val="12"/>
      <name val="宋体"/>
      <family val="3"/>
      <charset val="134"/>
    </font>
    <font>
      <b/>
      <sz val="14"/>
      <name val="宋体"/>
      <family val="3"/>
      <charset val="134"/>
    </font>
    <font>
      <sz val="10"/>
      <name val="宋体"/>
      <family val="3"/>
      <charset val="134"/>
    </font>
    <font>
      <b/>
      <sz val="10"/>
      <color indexed="8"/>
      <name val="宋体"/>
      <family val="3"/>
      <charset val="134"/>
    </font>
    <font>
      <b/>
      <sz val="10"/>
      <name val="宋体"/>
      <family val="3"/>
      <charset val="134"/>
    </font>
    <font>
      <b/>
      <sz val="10"/>
      <color rgb="FFE92841"/>
      <name val="宋体"/>
      <family val="3"/>
      <charset val="134"/>
    </font>
    <font>
      <sz val="10"/>
      <color indexed="8"/>
      <name val="宋体"/>
      <family val="3"/>
      <charset val="134"/>
    </font>
    <font>
      <sz val="10"/>
      <color rgb="FFFF0000"/>
      <name val="宋体"/>
      <family val="3"/>
      <charset val="134"/>
    </font>
    <font>
      <sz val="10"/>
      <color indexed="12"/>
      <name val="宋体"/>
      <family val="3"/>
      <charset val="134"/>
    </font>
    <font>
      <b/>
      <sz val="10"/>
      <name val="Arial Narrow"/>
      <family val="2"/>
    </font>
    <font>
      <sz val="10"/>
      <color rgb="FF0000FF"/>
      <name val="宋体"/>
      <family val="3"/>
      <charset val="134"/>
    </font>
    <font>
      <b/>
      <sz val="12"/>
      <name val="Arial Narrow"/>
      <family val="2"/>
    </font>
    <font>
      <sz val="12"/>
      <name val="Arial Narrow"/>
      <family val="2"/>
    </font>
    <font>
      <sz val="12"/>
      <color theme="1"/>
      <name val="Arial Narrow"/>
      <family val="2"/>
    </font>
    <font>
      <b/>
      <sz val="12"/>
      <color rgb="FF000000"/>
      <name val="仿宋_GB2312"/>
      <family val="3"/>
      <charset val="134"/>
    </font>
    <font>
      <sz val="12"/>
      <color theme="1"/>
      <name val="仿宋_GB2312"/>
      <family val="3"/>
      <charset val="134"/>
    </font>
    <font>
      <sz val="12"/>
      <name val="仿宋_GB2312"/>
      <family val="3"/>
      <charset val="134"/>
    </font>
    <font>
      <sz val="10.5"/>
      <name val="仿宋_GB2312"/>
      <family val="3"/>
      <charset val="134"/>
    </font>
    <font>
      <sz val="12"/>
      <color rgb="FF000000"/>
      <name val="仿宋_GB2312"/>
      <family val="3"/>
      <charset val="134"/>
    </font>
    <font>
      <sz val="12"/>
      <color rgb="FF0000FF"/>
      <name val="仿宋_GB2312"/>
      <family val="3"/>
      <charset val="134"/>
    </font>
    <font>
      <sz val="12"/>
      <color rgb="FF0000FF"/>
      <name val="Arial Narrow"/>
      <family val="2"/>
    </font>
    <font>
      <sz val="10"/>
      <name val="仿宋_GB2312"/>
      <family val="3"/>
      <charset val="134"/>
    </font>
    <font>
      <sz val="12"/>
      <name val="宋体"/>
      <family val="3"/>
      <charset val="134"/>
    </font>
    <font>
      <b/>
      <sz val="12"/>
      <color rgb="FF000000"/>
      <name val="Arial Narrow"/>
      <family val="2"/>
    </font>
    <font>
      <sz val="12"/>
      <color rgb="FFFF0000"/>
      <name val="仿宋_GB2312"/>
      <family val="3"/>
      <charset val="134"/>
    </font>
    <font>
      <sz val="12"/>
      <color rgb="FF212121"/>
      <name val="Arial Narrow"/>
      <family val="2"/>
    </font>
    <font>
      <sz val="12"/>
      <color rgb="FF212121"/>
      <name val="仿宋_GB2312"/>
      <family val="3"/>
      <charset val="134"/>
    </font>
    <font>
      <sz val="12"/>
      <color rgb="FFFF0000"/>
      <name val="Arial Narrow"/>
      <family val="2"/>
    </font>
    <font>
      <b/>
      <sz val="12"/>
      <name val="仿宋_GB2312"/>
      <family val="3"/>
      <charset val="134"/>
    </font>
    <font>
      <sz val="10"/>
      <color indexed="8"/>
      <name val="宋体"/>
      <family val="3"/>
      <charset val="134"/>
      <scheme val="minor"/>
    </font>
    <font>
      <i/>
      <u/>
      <sz val="10"/>
      <color indexed="12"/>
      <name val="宋体"/>
      <family val="3"/>
      <charset val="134"/>
      <scheme val="minor"/>
    </font>
    <font>
      <u/>
      <sz val="10"/>
      <name val="宋体"/>
      <family val="3"/>
      <charset val="134"/>
      <scheme val="minor"/>
    </font>
    <font>
      <sz val="10"/>
      <color theme="1"/>
      <name val="Arial Narrow"/>
      <family val="2"/>
    </font>
    <font>
      <b/>
      <sz val="10"/>
      <color theme="1"/>
      <name val="宋体"/>
      <family val="3"/>
      <charset val="134"/>
    </font>
    <font>
      <sz val="12"/>
      <name val="Arial"/>
      <family val="2"/>
    </font>
    <font>
      <sz val="10"/>
      <name val="Arial"/>
      <family val="2"/>
    </font>
    <font>
      <sz val="10.5"/>
      <name val="Arial"/>
      <family val="2"/>
    </font>
    <font>
      <b/>
      <sz val="11"/>
      <name val="宋体"/>
      <family val="3"/>
      <charset val="134"/>
    </font>
    <font>
      <sz val="10.5"/>
      <name val="宋体"/>
      <family val="3"/>
      <charset val="134"/>
    </font>
    <font>
      <sz val="11"/>
      <name val="宋体"/>
      <family val="3"/>
      <charset val="134"/>
    </font>
    <font>
      <sz val="10.5"/>
      <name val="Times New Roman"/>
      <family val="1"/>
    </font>
    <font>
      <sz val="11"/>
      <color rgb="FF0000FF"/>
      <name val="宋体"/>
      <family val="3"/>
      <charset val="134"/>
    </font>
    <font>
      <u/>
      <sz val="12"/>
      <color indexed="12"/>
      <name val="宋体"/>
      <family val="3"/>
      <charset val="134"/>
    </font>
    <font>
      <u/>
      <sz val="11"/>
      <color theme="10"/>
      <name val="宋体"/>
      <family val="3"/>
      <charset val="134"/>
    </font>
    <font>
      <sz val="11"/>
      <name val="ＭＳ Ｐゴシック"/>
      <family val="2"/>
    </font>
    <font>
      <sz val="12"/>
      <name val="???"/>
      <family val="1"/>
    </font>
    <font>
      <sz val="10"/>
      <name val="Times New Roman"/>
      <family val="1"/>
    </font>
    <font>
      <sz val="10"/>
      <color indexed="8"/>
      <name val="Arial"/>
      <family val="2"/>
    </font>
    <font>
      <sz val="10"/>
      <name val="Helv"/>
      <family val="2"/>
    </font>
    <font>
      <sz val="12"/>
      <name val="Times New Roman"/>
      <family val="1"/>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0"/>
      <name val="Book Antiqua"/>
      <family val="1"/>
    </font>
    <font>
      <b/>
      <sz val="10"/>
      <name val="Book Antiqua"/>
      <family val="1"/>
    </font>
    <font>
      <sz val="12"/>
      <color indexed="8"/>
      <name val="宋体"/>
      <family val="3"/>
      <charset val="134"/>
    </font>
    <font>
      <sz val="12"/>
      <color indexed="9"/>
      <name val="宋体"/>
      <family val="3"/>
      <charset val="134"/>
    </font>
    <font>
      <sz val="8"/>
      <name val="Times New Roman"/>
      <family val="1"/>
    </font>
    <font>
      <sz val="11"/>
      <color indexed="20"/>
      <name val="Calibri"/>
      <family val="2"/>
    </font>
    <font>
      <sz val="7"/>
      <name val="Helv"/>
      <family val="2"/>
    </font>
    <font>
      <b/>
      <sz val="10"/>
      <name val="MS Sans Serif"/>
      <family val="1"/>
    </font>
    <font>
      <b/>
      <sz val="11"/>
      <color indexed="52"/>
      <name val="Calibri"/>
      <family val="2"/>
    </font>
    <font>
      <b/>
      <sz val="10"/>
      <name val="Helv"/>
      <family val="2"/>
    </font>
    <font>
      <b/>
      <sz val="11"/>
      <color indexed="9"/>
      <name val="Calibri"/>
      <family val="2"/>
    </font>
    <font>
      <b/>
      <sz val="13"/>
      <name val="Tms Rmn"/>
      <family val="1"/>
    </font>
    <font>
      <b/>
      <sz val="8"/>
      <name val="Arial"/>
      <family val="2"/>
    </font>
    <font>
      <sz val="10"/>
      <name val="MS Sans Serif"/>
      <family val="2"/>
    </font>
    <font>
      <sz val="10"/>
      <name val="MS Serif"/>
      <family val="1"/>
    </font>
    <font>
      <sz val="10"/>
      <name val="Courier"/>
      <family val="3"/>
    </font>
    <font>
      <sz val="12"/>
      <name val="Tms Rmn"/>
      <family val="1"/>
    </font>
    <font>
      <sz val="10"/>
      <color indexed="16"/>
      <name val="MS Serif"/>
      <family val="1"/>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Helv"/>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2"/>
      <name val="Helv"/>
      <family val="2"/>
    </font>
    <font>
      <sz val="11"/>
      <color indexed="52"/>
      <name val="Calibri"/>
      <family val="2"/>
    </font>
    <font>
      <sz val="12"/>
      <color indexed="9"/>
      <name val="Helv"/>
      <family val="2"/>
    </font>
    <font>
      <b/>
      <sz val="11"/>
      <name val="Helv"/>
      <family val="2"/>
    </font>
    <font>
      <sz val="11"/>
      <color indexed="60"/>
      <name val="Calibri"/>
      <family val="2"/>
    </font>
    <font>
      <sz val="7"/>
      <name val="Small Fonts"/>
      <family val="2"/>
    </font>
    <font>
      <sz val="10"/>
      <color indexed="8"/>
      <name val="MS Sans Serif"/>
      <family val="2"/>
    </font>
    <font>
      <b/>
      <sz val="11"/>
      <color indexed="63"/>
      <name val="Calibri"/>
      <family val="2"/>
    </font>
    <font>
      <sz val="10"/>
      <name val="Tms Rmn"/>
      <family val="1"/>
    </font>
    <font>
      <sz val="7"/>
      <color indexed="10"/>
      <name val="Helv"/>
      <family val="2"/>
    </font>
    <font>
      <sz val="8"/>
      <color indexed="16"/>
      <name val="Century Schoolbook"/>
      <family val="1"/>
    </font>
    <font>
      <sz val="9"/>
      <color indexed="8"/>
      <name val="宋体"/>
      <family val="3"/>
      <charset val="134"/>
    </font>
    <font>
      <b/>
      <sz val="10"/>
      <color indexed="8"/>
      <name val="Arial"/>
      <family val="2"/>
    </font>
    <font>
      <b/>
      <sz val="10"/>
      <color indexed="39"/>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2"/>
      <name val="MS Sans Serif"/>
      <family val="2"/>
    </font>
    <font>
      <sz val="12"/>
      <name val="MS Sans Serif"/>
      <family val="2"/>
    </font>
    <font>
      <b/>
      <sz val="8"/>
      <color indexed="8"/>
      <name val="Helv"/>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1"/>
    </font>
    <font>
      <sz val="11"/>
      <name val="明朝"/>
      <family val="2"/>
    </font>
    <font>
      <sz val="14"/>
      <name val="柧挬"/>
      <charset val="134"/>
    </font>
    <font>
      <sz val="8"/>
      <name val="Century Schoolbook"/>
      <family val="1"/>
    </font>
    <font>
      <b/>
      <sz val="18"/>
      <color indexed="62"/>
      <name val="宋体"/>
      <family val="3"/>
      <charset val="134"/>
    </font>
    <font>
      <sz val="11"/>
      <color indexed="26"/>
      <name val="宋体"/>
      <family val="3"/>
      <charset val="134"/>
    </font>
    <font>
      <sz val="11"/>
      <color indexed="20"/>
      <name val="宋体"/>
      <family val="3"/>
      <charset val="134"/>
    </font>
    <font>
      <sz val="12"/>
      <color indexed="16"/>
      <name val="宋体"/>
      <family val="3"/>
      <charset val="134"/>
    </font>
    <font>
      <sz val="11"/>
      <color indexed="9"/>
      <name val="宋体"/>
      <family val="3"/>
      <charset val="134"/>
    </font>
    <font>
      <sz val="11"/>
      <color rgb="FF9C0006"/>
      <name val="宋体"/>
      <family val="3"/>
      <charset val="134"/>
      <scheme val="minor"/>
    </font>
    <font>
      <sz val="12"/>
      <color indexed="20"/>
      <name val="宋体"/>
      <family val="3"/>
      <charset val="134"/>
    </font>
    <font>
      <sz val="10"/>
      <color indexed="20"/>
      <name val="Times New Roman"/>
      <family val="1"/>
    </font>
    <font>
      <sz val="11"/>
      <color indexed="8"/>
      <name val="宋体"/>
      <family val="3"/>
      <charset val="134"/>
    </font>
    <font>
      <u/>
      <sz val="9"/>
      <color indexed="12"/>
      <name val="Times New Roman"/>
      <family val="1"/>
    </font>
    <font>
      <sz val="11"/>
      <color indexed="38"/>
      <name val="宋体"/>
      <family val="3"/>
      <charset val="134"/>
    </font>
    <font>
      <sz val="11"/>
      <color indexed="17"/>
      <name val="宋体"/>
      <family val="3"/>
      <charset val="134"/>
    </font>
    <font>
      <sz val="12"/>
      <color indexed="17"/>
      <name val="宋体"/>
      <family val="3"/>
      <charset val="134"/>
    </font>
    <font>
      <sz val="11"/>
      <color rgb="FF006100"/>
      <name val="宋体"/>
      <family val="3"/>
      <charset val="134"/>
      <scheme val="minor"/>
    </font>
    <font>
      <sz val="10"/>
      <color indexed="17"/>
      <name val="Times New Roman"/>
      <family val="1"/>
    </font>
    <font>
      <sz val="11"/>
      <color indexed="21"/>
      <name val="宋体"/>
      <family val="3"/>
      <charset val="134"/>
    </font>
    <font>
      <sz val="12"/>
      <name val="新細明體"/>
      <charset val="134"/>
    </font>
    <font>
      <sz val="12"/>
      <name val="官帕眉"/>
      <charset val="134"/>
    </font>
    <font>
      <sz val="10"/>
      <name val="奔覆眉"/>
      <charset val="134"/>
    </font>
    <font>
      <b/>
      <sz val="12"/>
      <color indexed="8"/>
      <name val="宋体"/>
      <family val="3"/>
      <charset val="134"/>
    </font>
    <font>
      <sz val="12"/>
      <name val="柧挬"/>
      <charset val="134"/>
    </font>
    <font>
      <sz val="12"/>
      <name val="바탕체"/>
      <family val="3"/>
    </font>
    <font>
      <sz val="10"/>
      <color indexed="10"/>
      <name val="宋体"/>
      <family val="3"/>
      <charset val="134"/>
      <scheme val="minor"/>
    </font>
    <font>
      <sz val="12"/>
      <color rgb="FF0000FF"/>
      <name val="微软雅黑"/>
      <family val="2"/>
      <charset val="134"/>
    </font>
    <font>
      <sz val="11"/>
      <color theme="1"/>
      <name val="宋体"/>
      <family val="3"/>
      <charset val="134"/>
      <scheme val="minor"/>
    </font>
    <font>
      <sz val="10"/>
      <name val="宋体"/>
      <family val="3"/>
      <charset val="134"/>
    </font>
    <font>
      <sz val="9"/>
      <name val="宋体"/>
      <family val="3"/>
      <charset val="134"/>
      <scheme val="minor"/>
    </font>
    <font>
      <sz val="10"/>
      <color theme="1"/>
      <name val="宋体"/>
      <family val="3"/>
      <charset val="134"/>
    </font>
    <font>
      <sz val="9"/>
      <name val="宋体"/>
      <family val="3"/>
      <charset val="134"/>
    </font>
    <font>
      <sz val="9"/>
      <name val="宋体"/>
      <family val="2"/>
      <charset val="134"/>
      <scheme val="minor"/>
    </font>
    <font>
      <u/>
      <sz val="11"/>
      <name val="宋体"/>
      <family val="3"/>
      <charset val="134"/>
    </font>
    <font>
      <sz val="11"/>
      <name val="Arial Narrow"/>
      <family val="2"/>
    </font>
    <font>
      <u/>
      <sz val="11"/>
      <color theme="10"/>
      <name val="Arial Narrow"/>
      <family val="2"/>
    </font>
    <font>
      <u/>
      <sz val="11"/>
      <name val="Arial Narrow"/>
      <family val="2"/>
    </font>
    <font>
      <b/>
      <sz val="9"/>
      <color indexed="81"/>
      <name val="宋体"/>
      <family val="3"/>
      <charset val="134"/>
    </font>
    <font>
      <sz val="9"/>
      <color indexed="81"/>
      <name val="宋体"/>
      <family val="3"/>
      <charset val="134"/>
    </font>
    <font>
      <sz val="10"/>
      <color theme="10"/>
      <name val="Arial Narrow"/>
      <family val="2"/>
    </font>
  </fonts>
  <fills count="56">
    <fill>
      <patternFill patternType="none"/>
    </fill>
    <fill>
      <patternFill patternType="gray125"/>
    </fill>
    <fill>
      <patternFill patternType="solid">
        <fgColor theme="7" tint="0.79995117038483843"/>
        <bgColor indexed="64"/>
      </patternFill>
    </fill>
    <fill>
      <patternFill patternType="solid">
        <fgColor rgb="FFE4DFEC"/>
        <bgColor indexed="64"/>
      </patternFill>
    </fill>
    <fill>
      <patternFill patternType="solid">
        <fgColor indexed="14"/>
        <bgColor indexed="64"/>
      </patternFill>
    </fill>
    <fill>
      <patternFill patternType="solid">
        <fgColor rgb="FFC6EFCE"/>
        <bgColor indexed="64"/>
      </patternFill>
    </fill>
    <fill>
      <patternFill patternType="solid">
        <fgColor rgb="FFFFC7CE"/>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5"/>
        <bgColor indexed="64"/>
      </patternFill>
    </fill>
    <fill>
      <patternFill patternType="gray0625">
        <fgColor indexed="10"/>
      </patternFill>
    </fill>
    <fill>
      <patternFill patternType="solid">
        <fgColor indexed="62"/>
        <bgColor indexed="64"/>
      </patternFill>
    </fill>
    <fill>
      <patternFill patternType="solid">
        <fgColor indexed="31"/>
        <bgColor indexed="31"/>
      </patternFill>
    </fill>
    <fill>
      <patternFill patternType="solid">
        <fgColor indexed="44"/>
        <bgColor indexed="44"/>
      </patternFill>
    </fill>
    <fill>
      <patternFill patternType="solid">
        <fgColor indexed="10"/>
        <bgColor indexed="6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57"/>
        <bgColor indexed="64"/>
      </patternFill>
    </fill>
    <fill>
      <patternFill patternType="solid">
        <fgColor indexed="42"/>
        <bgColor indexed="42"/>
      </patternFill>
    </fill>
    <fill>
      <patternFill patternType="solid">
        <fgColor indexed="27"/>
        <bgColor indexed="27"/>
      </patternFill>
    </fill>
    <fill>
      <patternFill patternType="solid">
        <fgColor indexed="53"/>
        <bgColor indexed="64"/>
      </patternFill>
    </fill>
    <fill>
      <patternFill patternType="solid">
        <fgColor indexed="47"/>
        <bgColor indexed="47"/>
      </patternFill>
    </fill>
    <fill>
      <patternFill patternType="solid">
        <fgColor indexed="22"/>
        <bgColor indexed="64"/>
      </patternFill>
    </fill>
    <fill>
      <patternFill patternType="solid">
        <fgColor indexed="55"/>
        <bgColor indexed="64"/>
      </patternFill>
    </fill>
    <fill>
      <patternFill patternType="solid">
        <fgColor indexed="13"/>
        <bgColor indexed="64"/>
      </patternFill>
    </fill>
    <fill>
      <patternFill patternType="solid">
        <fgColor indexed="26"/>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indexed="9"/>
        <bgColor indexed="64"/>
      </patternFill>
    </fill>
    <fill>
      <patternFill patternType="solid">
        <fgColor indexed="40"/>
        <bgColor indexed="64"/>
      </patternFill>
    </fill>
    <fill>
      <patternFill patternType="solid">
        <fgColor indexed="50"/>
        <bgColor indexed="64"/>
      </patternFill>
    </fill>
    <fill>
      <patternFill patternType="lightUp">
        <fgColor indexed="48"/>
        <bgColor indexed="41"/>
      </patternFill>
    </fill>
    <fill>
      <patternFill patternType="solid">
        <fgColor indexed="41"/>
        <bgColor indexed="64"/>
      </patternFill>
    </fill>
    <fill>
      <patternFill patternType="solid">
        <fgColor indexed="54"/>
        <bgColor indexed="64"/>
      </patternFill>
    </fill>
    <fill>
      <patternFill patternType="solid">
        <fgColor indexed="45"/>
        <bgColor indexed="45"/>
      </patternFill>
    </fill>
    <fill>
      <patternFill patternType="solid">
        <fgColor indexed="56"/>
        <bgColor indexed="64"/>
      </patternFill>
    </fill>
    <fill>
      <patternFill patternType="solid">
        <fgColor indexed="18"/>
        <bgColor indexed="64"/>
      </patternFill>
    </fill>
    <fill>
      <patternFill patternType="solid">
        <fgColor indexed="5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theme="7" tint="0.79998168889431442"/>
        <bgColor indexed="64"/>
      </patternFill>
    </fill>
  </fills>
  <borders count="25">
    <border>
      <left/>
      <right/>
      <top/>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right/>
      <top style="medium">
        <color auto="1"/>
      </top>
      <bottom style="medium">
        <color auto="1"/>
      </bottom>
      <diagonal/>
    </border>
    <border>
      <left/>
      <right/>
      <top/>
      <bottom style="medium">
        <color auto="1"/>
      </bottom>
      <diagonal/>
    </border>
    <border>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62"/>
      </top>
      <bottom style="double">
        <color indexed="62"/>
      </bottom>
      <diagonal/>
    </border>
  </borders>
  <cellStyleXfs count="728">
    <xf numFmtId="0" fontId="0" fillId="0" borderId="0">
      <alignment vertical="center"/>
    </xf>
    <xf numFmtId="43" fontId="156" fillId="0" borderId="0" applyFont="0" applyFill="0" applyBorder="0" applyAlignment="0" applyProtection="0">
      <alignment vertical="center"/>
    </xf>
    <xf numFmtId="0" fontId="59" fillId="0" borderId="0" applyNumberFormat="0" applyFill="0" applyBorder="0" applyAlignment="0" applyProtection="0">
      <alignment vertical="top"/>
      <protection locked="0"/>
    </xf>
    <xf numFmtId="0" fontId="51" fillId="0" borderId="0"/>
    <xf numFmtId="0" fontId="51" fillId="0" borderId="0"/>
    <xf numFmtId="0" fontId="38" fillId="0" borderId="0" applyNumberFormat="0" applyFill="0" applyBorder="0" applyAlignment="0" applyProtection="0"/>
    <xf numFmtId="0" fontId="51" fillId="0" borderId="0"/>
    <xf numFmtId="0" fontId="51" fillId="0" borderId="0"/>
    <xf numFmtId="176" fontId="51" fillId="0" borderId="0"/>
    <xf numFmtId="0" fontId="60" fillId="0" borderId="0" applyFont="0" applyFill="0" applyBorder="0" applyAlignment="0" applyProtection="0"/>
    <xf numFmtId="0" fontId="60" fillId="0" borderId="0" applyFont="0" applyFill="0" applyBorder="0" applyAlignment="0" applyProtection="0"/>
    <xf numFmtId="0" fontId="61" fillId="0" borderId="0"/>
    <xf numFmtId="0" fontId="51" fillId="0" borderId="0"/>
    <xf numFmtId="0" fontId="51" fillId="0" borderId="0"/>
    <xf numFmtId="176" fontId="51" fillId="0" borderId="0"/>
    <xf numFmtId="0" fontId="51" fillId="0" borderId="0"/>
    <xf numFmtId="0" fontId="51" fillId="0" borderId="0"/>
    <xf numFmtId="176" fontId="51" fillId="0" borderId="0"/>
    <xf numFmtId="0" fontId="51" fillId="0" borderId="0"/>
    <xf numFmtId="0" fontId="51" fillId="0" borderId="0"/>
    <xf numFmtId="176" fontId="51" fillId="0" borderId="0"/>
    <xf numFmtId="49" fontId="62" fillId="0" borderId="0" applyProtection="0">
      <alignment horizontal="left"/>
    </xf>
    <xf numFmtId="49" fontId="62" fillId="0" borderId="0" applyProtection="0">
      <alignment horizontal="left"/>
    </xf>
    <xf numFmtId="0" fontId="63" fillId="0" borderId="0">
      <alignment vertical="top"/>
      <protection locked="0"/>
    </xf>
    <xf numFmtId="0" fontId="63" fillId="0" borderId="0">
      <alignment vertical="top"/>
    </xf>
    <xf numFmtId="0" fontId="51" fillId="0" borderId="0" applyNumberFormat="0" applyFill="0" applyBorder="0" applyAlignment="0">
      <protection locked="0"/>
    </xf>
    <xf numFmtId="0" fontId="63" fillId="0" borderId="0">
      <alignment vertical="top"/>
      <protection locked="0"/>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protection locked="0"/>
    </xf>
    <xf numFmtId="0" fontId="63" fillId="0" borderId="0">
      <alignment vertical="top"/>
      <protection locked="0"/>
    </xf>
    <xf numFmtId="176" fontId="63" fillId="0" borderId="0">
      <alignment vertical="top"/>
      <protection locked="0"/>
    </xf>
    <xf numFmtId="0" fontId="63" fillId="0" borderId="0">
      <alignment vertical="top"/>
      <protection locked="0"/>
    </xf>
    <xf numFmtId="0" fontId="63" fillId="0" borderId="0">
      <alignment vertical="top"/>
      <protection locked="0"/>
    </xf>
    <xf numFmtId="0" fontId="63" fillId="0" borderId="0">
      <alignment vertical="top"/>
      <protection locked="0"/>
    </xf>
    <xf numFmtId="0" fontId="63" fillId="0" borderId="0">
      <alignment vertical="top"/>
      <protection locked="0"/>
    </xf>
    <xf numFmtId="176" fontId="63" fillId="0" borderId="0">
      <alignment vertical="top"/>
      <protection locked="0"/>
    </xf>
    <xf numFmtId="0" fontId="63" fillId="0" borderId="0">
      <alignment vertical="top"/>
      <protection locked="0"/>
    </xf>
    <xf numFmtId="0" fontId="63" fillId="0" borderId="0">
      <alignment vertical="top"/>
      <protection locked="0"/>
    </xf>
    <xf numFmtId="0" fontId="63" fillId="0" borderId="0">
      <alignment vertical="top"/>
      <protection locked="0"/>
    </xf>
    <xf numFmtId="0" fontId="63" fillId="0" borderId="0">
      <alignment vertical="top"/>
      <protection locked="0"/>
    </xf>
    <xf numFmtId="176" fontId="63" fillId="0" borderId="0">
      <alignment vertical="top"/>
      <protection locked="0"/>
    </xf>
    <xf numFmtId="0" fontId="51" fillId="0" borderId="0" applyNumberFormat="0" applyFill="0" applyBorder="0" applyAlignment="0">
      <protection locked="0"/>
    </xf>
    <xf numFmtId="0" fontId="64" fillId="0" borderId="0"/>
    <xf numFmtId="0" fontId="64" fillId="0" borderId="0"/>
    <xf numFmtId="0" fontId="64" fillId="0" borderId="0"/>
    <xf numFmtId="0" fontId="64" fillId="0" borderId="0"/>
    <xf numFmtId="0" fontId="64" fillId="0" borderId="0"/>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4" fillId="0" borderId="0"/>
    <xf numFmtId="0" fontId="64" fillId="0" borderId="0"/>
    <xf numFmtId="0" fontId="64" fillId="0" borderId="0"/>
    <xf numFmtId="0" fontId="64" fillId="0" borderId="0"/>
    <xf numFmtId="0" fontId="64" fillId="0" borderId="0"/>
    <xf numFmtId="0" fontId="63" fillId="0" borderId="0">
      <alignment vertical="top"/>
    </xf>
    <xf numFmtId="0" fontId="63" fillId="0" borderId="0">
      <alignment vertical="top"/>
    </xf>
    <xf numFmtId="176" fontId="63" fillId="0" borderId="0">
      <alignment vertical="top"/>
    </xf>
    <xf numFmtId="0" fontId="63" fillId="0" borderId="0">
      <alignment vertical="top"/>
    </xf>
    <xf numFmtId="0" fontId="64" fillId="0" borderId="0"/>
    <xf numFmtId="0" fontId="64" fillId="0" borderId="0"/>
    <xf numFmtId="0" fontId="64" fillId="0" borderId="0"/>
    <xf numFmtId="0" fontId="64" fillId="0" borderId="0"/>
    <xf numFmtId="0" fontId="64" fillId="0" borderId="0"/>
    <xf numFmtId="0" fontId="63" fillId="0" borderId="0">
      <alignment vertical="top"/>
    </xf>
    <xf numFmtId="0" fontId="51" fillId="0" borderId="0" applyNumberFormat="0" applyFill="0" applyBorder="0" applyAlignment="0" applyProtection="0"/>
    <xf numFmtId="0" fontId="63" fillId="0" borderId="0">
      <alignment vertical="top"/>
      <protection locked="0"/>
    </xf>
    <xf numFmtId="0" fontId="63" fillId="0" borderId="0">
      <alignment vertical="top"/>
      <protection locked="0"/>
    </xf>
    <xf numFmtId="0" fontId="63" fillId="0" borderId="0">
      <alignment vertical="top"/>
      <protection locked="0"/>
    </xf>
    <xf numFmtId="0" fontId="63" fillId="0" borderId="0">
      <alignment vertical="top"/>
    </xf>
    <xf numFmtId="0" fontId="63" fillId="0" borderId="0">
      <alignment vertical="top"/>
    </xf>
    <xf numFmtId="0" fontId="65" fillId="0" borderId="0"/>
    <xf numFmtId="0" fontId="63" fillId="0" borderId="0">
      <alignment vertical="top"/>
    </xf>
    <xf numFmtId="0" fontId="63" fillId="0" borderId="0">
      <alignment vertical="top"/>
    </xf>
    <xf numFmtId="176" fontId="63" fillId="0" borderId="0">
      <alignment vertical="top"/>
    </xf>
    <xf numFmtId="0" fontId="63" fillId="0" borderId="0">
      <alignment vertical="top"/>
    </xf>
    <xf numFmtId="0" fontId="63" fillId="0" borderId="0">
      <alignment vertical="top"/>
      <protection locked="0"/>
    </xf>
    <xf numFmtId="0" fontId="63" fillId="0" borderId="0">
      <alignment vertical="top"/>
      <protection locked="0"/>
    </xf>
    <xf numFmtId="176" fontId="63" fillId="0" borderId="0">
      <alignment vertical="top"/>
      <protection locked="0"/>
    </xf>
    <xf numFmtId="0" fontId="63" fillId="0" borderId="0">
      <alignment vertical="top"/>
    </xf>
    <xf numFmtId="0" fontId="63" fillId="0" borderId="0">
      <alignment vertical="top"/>
    </xf>
    <xf numFmtId="176" fontId="63" fillId="0" borderId="0">
      <alignment vertical="top"/>
    </xf>
    <xf numFmtId="0" fontId="63" fillId="0" borderId="0">
      <alignment vertical="top"/>
    </xf>
    <xf numFmtId="0" fontId="63" fillId="0" borderId="0">
      <alignment vertical="top"/>
    </xf>
    <xf numFmtId="176" fontId="63" fillId="0" borderId="0">
      <alignment vertical="top"/>
    </xf>
    <xf numFmtId="0" fontId="63" fillId="0" borderId="0">
      <alignment vertical="top"/>
      <protection locked="0"/>
    </xf>
    <xf numFmtId="0" fontId="63" fillId="0" borderId="0">
      <alignment vertical="top"/>
      <protection locked="0"/>
    </xf>
    <xf numFmtId="176" fontId="63" fillId="0" borderId="0">
      <alignment vertical="top"/>
      <protection locked="0"/>
    </xf>
    <xf numFmtId="0" fontId="63" fillId="0" borderId="0">
      <alignment vertical="top"/>
      <protection locked="0"/>
    </xf>
    <xf numFmtId="0" fontId="63" fillId="0" borderId="0">
      <alignment vertical="top"/>
      <protection locked="0"/>
    </xf>
    <xf numFmtId="176" fontId="63" fillId="0" borderId="0">
      <alignment vertical="top"/>
      <protection locked="0"/>
    </xf>
    <xf numFmtId="0" fontId="63" fillId="0" borderId="0">
      <alignment vertical="top"/>
      <protection locked="0"/>
    </xf>
    <xf numFmtId="0" fontId="63" fillId="0" borderId="0">
      <alignment vertical="top"/>
      <protection locked="0"/>
    </xf>
    <xf numFmtId="176" fontId="63" fillId="0" borderId="0">
      <alignment vertical="top"/>
      <protection locked="0"/>
    </xf>
    <xf numFmtId="0" fontId="63" fillId="0" borderId="0">
      <alignment vertical="top"/>
    </xf>
    <xf numFmtId="0" fontId="63" fillId="0" borderId="0">
      <alignment vertical="top"/>
    </xf>
    <xf numFmtId="176" fontId="63" fillId="0" borderId="0">
      <alignment vertical="top"/>
    </xf>
    <xf numFmtId="0" fontId="63" fillId="0" borderId="0">
      <alignment vertical="top"/>
    </xf>
    <xf numFmtId="0" fontId="63" fillId="0" borderId="0">
      <alignment vertical="top"/>
    </xf>
    <xf numFmtId="176" fontId="63" fillId="0" borderId="0">
      <alignment vertical="top"/>
    </xf>
    <xf numFmtId="0" fontId="63" fillId="0" borderId="0">
      <alignment vertical="top"/>
      <protection locked="0"/>
    </xf>
    <xf numFmtId="0" fontId="63" fillId="0" borderId="0">
      <alignment vertical="top"/>
      <protection locked="0"/>
    </xf>
    <xf numFmtId="176" fontId="63" fillId="0" borderId="0">
      <alignment vertical="top"/>
      <protection locked="0"/>
    </xf>
    <xf numFmtId="0" fontId="63" fillId="0" borderId="0">
      <alignment vertical="top"/>
      <protection locked="0"/>
    </xf>
    <xf numFmtId="0" fontId="63" fillId="0" borderId="0">
      <alignment vertical="top"/>
    </xf>
    <xf numFmtId="0" fontId="63" fillId="0" borderId="0">
      <alignment vertical="top"/>
    </xf>
    <xf numFmtId="176" fontId="63" fillId="0" borderId="0">
      <alignment vertical="top"/>
    </xf>
    <xf numFmtId="0" fontId="63" fillId="0" borderId="0">
      <alignment vertical="top"/>
    </xf>
    <xf numFmtId="0" fontId="63" fillId="0" borderId="0">
      <alignment vertical="top"/>
    </xf>
    <xf numFmtId="176" fontId="63" fillId="0" borderId="0">
      <alignment vertical="top"/>
    </xf>
    <xf numFmtId="0" fontId="63" fillId="0" borderId="0">
      <alignment vertical="top"/>
    </xf>
    <xf numFmtId="0" fontId="63" fillId="0" borderId="0">
      <alignment vertical="top"/>
    </xf>
    <xf numFmtId="176" fontId="63" fillId="0" borderId="0">
      <alignment vertical="top"/>
    </xf>
    <xf numFmtId="0" fontId="63" fillId="0" borderId="0">
      <alignment vertical="top"/>
      <protection locked="0"/>
    </xf>
    <xf numFmtId="0" fontId="63" fillId="0" borderId="0">
      <alignment vertical="top"/>
      <protection locked="0"/>
    </xf>
    <xf numFmtId="176" fontId="63" fillId="0" borderId="0">
      <alignment vertical="top"/>
      <protection locked="0"/>
    </xf>
    <xf numFmtId="0" fontId="64" fillId="0" borderId="0"/>
    <xf numFmtId="0" fontId="63" fillId="0" borderId="0">
      <alignment vertical="top"/>
    </xf>
    <xf numFmtId="0" fontId="63" fillId="0" borderId="0">
      <alignment vertical="top"/>
    </xf>
    <xf numFmtId="176" fontId="63" fillId="0" borderId="0">
      <alignment vertical="top"/>
    </xf>
    <xf numFmtId="0" fontId="64" fillId="0" borderId="0"/>
    <xf numFmtId="0" fontId="64" fillId="0" borderId="0"/>
    <xf numFmtId="0" fontId="64" fillId="0" borderId="0"/>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4" fillId="0" borderId="0"/>
    <xf numFmtId="0" fontId="63" fillId="0" borderId="0">
      <alignment vertical="top"/>
      <protection locked="0"/>
    </xf>
    <xf numFmtId="0" fontId="63" fillId="0" borderId="0">
      <alignment vertical="top"/>
      <protection locked="0"/>
    </xf>
    <xf numFmtId="176" fontId="63" fillId="0" borderId="0">
      <alignment vertical="top"/>
      <protection locked="0"/>
    </xf>
    <xf numFmtId="0" fontId="63" fillId="0" borderId="0">
      <alignment vertical="top"/>
      <protection locked="0"/>
    </xf>
    <xf numFmtId="0" fontId="63" fillId="0" borderId="0">
      <alignment vertical="top"/>
      <protection locked="0"/>
    </xf>
    <xf numFmtId="176" fontId="63" fillId="0" borderId="0">
      <alignment vertical="top"/>
      <protection locked="0"/>
    </xf>
    <xf numFmtId="0" fontId="63" fillId="0" borderId="0">
      <alignment vertical="top"/>
      <protection locked="0"/>
    </xf>
    <xf numFmtId="0" fontId="63" fillId="0" borderId="0">
      <alignment vertical="top"/>
      <protection locked="0"/>
    </xf>
    <xf numFmtId="0" fontId="63" fillId="0" borderId="0">
      <alignment vertical="top"/>
      <protection locked="0"/>
    </xf>
    <xf numFmtId="0" fontId="63" fillId="0" borderId="0">
      <alignment vertical="top"/>
      <protection locked="0"/>
    </xf>
    <xf numFmtId="176" fontId="63" fillId="0" borderId="0">
      <alignment vertical="top"/>
      <protection locked="0"/>
    </xf>
    <xf numFmtId="0" fontId="63" fillId="0" borderId="0">
      <alignment vertical="top"/>
    </xf>
    <xf numFmtId="0" fontId="63" fillId="0" borderId="0">
      <alignment vertical="top"/>
    </xf>
    <xf numFmtId="176"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176" fontId="63" fillId="0" borderId="0">
      <alignment vertical="top"/>
    </xf>
    <xf numFmtId="0" fontId="63" fillId="0" borderId="0">
      <alignment vertical="top"/>
    </xf>
    <xf numFmtId="0" fontId="63" fillId="0" borderId="0">
      <alignment vertical="top"/>
      <protection locked="0"/>
    </xf>
    <xf numFmtId="0" fontId="64" fillId="0" borderId="0"/>
    <xf numFmtId="0" fontId="63" fillId="0" borderId="0">
      <alignment vertical="top"/>
    </xf>
    <xf numFmtId="0" fontId="63" fillId="0" borderId="0">
      <alignment vertical="top"/>
    </xf>
    <xf numFmtId="176" fontId="63" fillId="0" borderId="0">
      <alignment vertical="top"/>
    </xf>
    <xf numFmtId="0" fontId="63" fillId="0" borderId="0">
      <alignment vertical="top"/>
      <protection locked="0"/>
    </xf>
    <xf numFmtId="0" fontId="63" fillId="0" borderId="0">
      <alignment vertical="top"/>
    </xf>
    <xf numFmtId="0" fontId="63" fillId="0" borderId="0">
      <alignment vertical="top"/>
    </xf>
    <xf numFmtId="176" fontId="63" fillId="0" borderId="0">
      <alignment vertical="top"/>
    </xf>
    <xf numFmtId="0" fontId="63" fillId="0" borderId="0">
      <alignment vertical="top"/>
      <protection locked="0"/>
    </xf>
    <xf numFmtId="0" fontId="63" fillId="0" borderId="0">
      <alignment vertical="top"/>
      <protection locked="0"/>
    </xf>
    <xf numFmtId="0" fontId="63" fillId="0" borderId="0">
      <alignment vertical="top"/>
    </xf>
    <xf numFmtId="0" fontId="63" fillId="0" borderId="0">
      <alignment vertical="top"/>
      <protection locked="0"/>
    </xf>
    <xf numFmtId="0" fontId="63" fillId="0" borderId="0">
      <alignment vertical="top"/>
    </xf>
    <xf numFmtId="0" fontId="63" fillId="0" borderId="0">
      <alignment vertical="top"/>
      <protection locked="0"/>
    </xf>
    <xf numFmtId="0" fontId="63" fillId="0" borderId="0">
      <alignment vertical="top"/>
      <protection locked="0"/>
    </xf>
    <xf numFmtId="176" fontId="63" fillId="0" borderId="0">
      <alignment vertical="top"/>
      <protection locked="0"/>
    </xf>
    <xf numFmtId="0" fontId="63" fillId="0" borderId="0">
      <alignment vertical="top"/>
      <protection locked="0"/>
    </xf>
    <xf numFmtId="0" fontId="63" fillId="0" borderId="0">
      <alignment vertical="top"/>
      <protection locked="0"/>
    </xf>
    <xf numFmtId="176" fontId="63" fillId="0" borderId="0">
      <alignment vertical="top"/>
      <protection locked="0"/>
    </xf>
    <xf numFmtId="0" fontId="63" fillId="0" borderId="0">
      <alignment vertical="top"/>
      <protection locked="0"/>
    </xf>
    <xf numFmtId="0" fontId="64" fillId="0" borderId="0"/>
    <xf numFmtId="0" fontId="63" fillId="0" borderId="0">
      <alignment vertical="top"/>
    </xf>
    <xf numFmtId="0" fontId="63" fillId="0" borderId="0">
      <alignment vertical="top"/>
    </xf>
    <xf numFmtId="176" fontId="63" fillId="0" borderId="0">
      <alignment vertical="top"/>
    </xf>
    <xf numFmtId="0" fontId="63" fillId="0" borderId="0">
      <alignment vertical="top"/>
      <protection locked="0"/>
    </xf>
    <xf numFmtId="0" fontId="63" fillId="0" borderId="0">
      <alignment vertical="top"/>
      <protection locked="0"/>
    </xf>
    <xf numFmtId="0" fontId="63" fillId="0" borderId="0">
      <alignment vertical="top"/>
      <protection locked="0"/>
    </xf>
    <xf numFmtId="176" fontId="63" fillId="0" borderId="0">
      <alignment vertical="top"/>
      <protection locked="0"/>
    </xf>
    <xf numFmtId="0" fontId="64" fillId="0" borderId="0"/>
    <xf numFmtId="177" fontId="62" fillId="0" borderId="0" applyFill="0" applyBorder="0" applyProtection="0">
      <alignment horizontal="right"/>
    </xf>
    <xf numFmtId="178" fontId="62" fillId="0" borderId="0" applyFill="0" applyBorder="0" applyProtection="0">
      <alignment horizontal="right"/>
    </xf>
    <xf numFmtId="179" fontId="66" fillId="0" borderId="0" applyFill="0" applyBorder="0" applyProtection="0">
      <alignment horizontal="center"/>
    </xf>
    <xf numFmtId="180" fontId="66" fillId="0" borderId="0" applyFill="0" applyBorder="0" applyProtection="0">
      <alignment horizontal="center"/>
    </xf>
    <xf numFmtId="181" fontId="67" fillId="0" borderId="0" applyFill="0" applyBorder="0" applyProtection="0">
      <alignment horizontal="right"/>
    </xf>
    <xf numFmtId="182" fontId="62" fillId="0" borderId="0" applyFill="0" applyBorder="0" applyProtection="0">
      <alignment horizontal="right"/>
    </xf>
    <xf numFmtId="183" fontId="62" fillId="0" borderId="0" applyFill="0" applyBorder="0" applyProtection="0">
      <alignment horizontal="right"/>
    </xf>
    <xf numFmtId="184" fontId="62" fillId="0" borderId="0" applyFill="0" applyBorder="0" applyProtection="0">
      <alignment horizontal="right"/>
    </xf>
    <xf numFmtId="185" fontId="62" fillId="0" borderId="0" applyFill="0" applyBorder="0" applyProtection="0">
      <alignment horizontal="right"/>
    </xf>
    <xf numFmtId="186" fontId="68" fillId="0" borderId="0" applyFont="0" applyFill="0" applyBorder="0" applyAlignment="0" applyProtection="0"/>
    <xf numFmtId="0" fontId="65" fillId="0" borderId="0"/>
    <xf numFmtId="0" fontId="63" fillId="0" borderId="0">
      <alignment vertical="top"/>
      <protection locked="0"/>
    </xf>
    <xf numFmtId="187" fontId="68" fillId="0" borderId="0" applyFont="0" applyFill="0" applyBorder="0" applyAlignment="0" applyProtection="0"/>
    <xf numFmtId="10" fontId="68" fillId="0" borderId="0" applyFont="0" applyFill="0" applyBorder="0" applyAlignment="0" applyProtection="0"/>
    <xf numFmtId="188" fontId="38" fillId="0" borderId="0" applyFont="0" applyFill="0" applyBorder="0" applyAlignment="0" applyProtection="0"/>
    <xf numFmtId="176" fontId="69" fillId="7" borderId="0" applyNumberFormat="0" applyBorder="0" applyAlignment="0" applyProtection="0"/>
    <xf numFmtId="176" fontId="69" fillId="8" borderId="0" applyNumberFormat="0" applyBorder="0" applyAlignment="0" applyProtection="0"/>
    <xf numFmtId="176" fontId="69" fillId="9" borderId="0" applyNumberFormat="0" applyBorder="0" applyAlignment="0" applyProtection="0"/>
    <xf numFmtId="176" fontId="69" fillId="10" borderId="0" applyNumberFormat="0" applyBorder="0" applyAlignment="0" applyProtection="0"/>
    <xf numFmtId="176" fontId="69" fillId="11" borderId="0" applyNumberFormat="0" applyBorder="0" applyAlignment="0" applyProtection="0"/>
    <xf numFmtId="176" fontId="69" fillId="12" borderId="0" applyNumberFormat="0" applyBorder="0" applyAlignment="0" applyProtection="0"/>
    <xf numFmtId="176" fontId="69" fillId="13" borderId="0" applyNumberFormat="0" applyBorder="0" applyAlignment="0" applyProtection="0"/>
    <xf numFmtId="176" fontId="69" fillId="14" borderId="0" applyNumberFormat="0" applyBorder="0" applyAlignment="0" applyProtection="0"/>
    <xf numFmtId="176" fontId="69" fillId="15" borderId="0" applyNumberFormat="0" applyBorder="0" applyAlignment="0" applyProtection="0"/>
    <xf numFmtId="176" fontId="69" fillId="10" borderId="0" applyNumberFormat="0" applyBorder="0" applyAlignment="0" applyProtection="0"/>
    <xf numFmtId="176" fontId="69" fillId="13" borderId="0" applyNumberFormat="0" applyBorder="0" applyAlignment="0" applyProtection="0"/>
    <xf numFmtId="176" fontId="69" fillId="16" borderId="0" applyNumberFormat="0" applyBorder="0" applyAlignment="0" applyProtection="0"/>
    <xf numFmtId="176" fontId="70" fillId="17" borderId="0" applyNumberFormat="0" applyBorder="0" applyAlignment="0" applyProtection="0"/>
    <xf numFmtId="176" fontId="70" fillId="14" borderId="0" applyNumberFormat="0" applyBorder="0" applyAlignment="0" applyProtection="0"/>
    <xf numFmtId="176" fontId="70" fillId="15" borderId="0" applyNumberFormat="0" applyBorder="0" applyAlignment="0" applyProtection="0"/>
    <xf numFmtId="176" fontId="70" fillId="18" borderId="0" applyNumberFormat="0" applyBorder="0" applyAlignment="0" applyProtection="0"/>
    <xf numFmtId="176" fontId="70" fillId="19" borderId="0" applyNumberFormat="0" applyBorder="0" applyAlignment="0" applyProtection="0"/>
    <xf numFmtId="176" fontId="70" fillId="20" borderId="0" applyNumberFormat="0" applyBorder="0" applyAlignment="0" applyProtection="0"/>
    <xf numFmtId="0" fontId="71" fillId="0" borderId="9">
      <alignment horizontal="center"/>
    </xf>
    <xf numFmtId="0" fontId="72" fillId="0" borderId="0"/>
    <xf numFmtId="0" fontId="72" fillId="0" borderId="7" applyFill="0">
      <alignment horizontal="center"/>
      <protection locked="0"/>
    </xf>
    <xf numFmtId="0" fontId="71" fillId="0" borderId="0" applyFill="0">
      <alignment horizontal="center"/>
      <protection locked="0"/>
    </xf>
    <xf numFmtId="0" fontId="71" fillId="21" borderId="0"/>
    <xf numFmtId="0" fontId="71" fillId="0" borderId="0">
      <protection locked="0"/>
    </xf>
    <xf numFmtId="0" fontId="71" fillId="0" borderId="0"/>
    <xf numFmtId="189" fontId="71" fillId="0" borderId="0"/>
    <xf numFmtId="190" fontId="71" fillId="0" borderId="0"/>
    <xf numFmtId="0" fontId="72" fillId="22" borderId="0">
      <alignment horizontal="right"/>
    </xf>
    <xf numFmtId="0" fontId="71" fillId="0" borderId="0"/>
    <xf numFmtId="176" fontId="70" fillId="23" borderId="0" applyNumberFormat="0" applyBorder="0" applyAlignment="0" applyProtection="0"/>
    <xf numFmtId="0" fontId="73" fillId="24" borderId="0" applyNumberFormat="0" applyBorder="0" applyAlignment="0" applyProtection="0"/>
    <xf numFmtId="0" fontId="73" fillId="24" borderId="0" applyNumberFormat="0" applyBorder="0" applyAlignment="0" applyProtection="0"/>
    <xf numFmtId="0" fontId="74" fillId="25" borderId="0" applyNumberFormat="0" applyBorder="0" applyAlignment="0" applyProtection="0"/>
    <xf numFmtId="176" fontId="70" fillId="26" borderId="0" applyNumberFormat="0" applyBorder="0" applyAlignment="0" applyProtection="0"/>
    <xf numFmtId="0" fontId="73" fillId="27" borderId="0" applyNumberFormat="0" applyBorder="0" applyAlignment="0" applyProtection="0"/>
    <xf numFmtId="0" fontId="73" fillId="28" borderId="0" applyNumberFormat="0" applyBorder="0" applyAlignment="0" applyProtection="0"/>
    <xf numFmtId="0" fontId="74" fillId="29" borderId="0" applyNumberFormat="0" applyBorder="0" applyAlignment="0" applyProtection="0"/>
    <xf numFmtId="176" fontId="70" fillId="30" borderId="0" applyNumberFormat="0" applyBorder="0" applyAlignment="0" applyProtection="0"/>
    <xf numFmtId="0" fontId="73" fillId="27" borderId="0" applyNumberFormat="0" applyBorder="0" applyAlignment="0" applyProtection="0"/>
    <xf numFmtId="0" fontId="73" fillId="31" borderId="0" applyNumberFormat="0" applyBorder="0" applyAlignment="0" applyProtection="0"/>
    <xf numFmtId="0" fontId="74" fillId="28" borderId="0" applyNumberFormat="0" applyBorder="0" applyAlignment="0" applyProtection="0"/>
    <xf numFmtId="176" fontId="70" fillId="18" borderId="0" applyNumberFormat="0" applyBorder="0" applyAlignment="0" applyProtection="0"/>
    <xf numFmtId="0" fontId="73" fillId="24" borderId="0" applyNumberFormat="0" applyBorder="0" applyAlignment="0" applyProtection="0"/>
    <xf numFmtId="0" fontId="73" fillId="28" borderId="0" applyNumberFormat="0" applyBorder="0" applyAlignment="0" applyProtection="0"/>
    <xf numFmtId="0" fontId="74" fillId="28" borderId="0" applyNumberFormat="0" applyBorder="0" applyAlignment="0" applyProtection="0"/>
    <xf numFmtId="176" fontId="70" fillId="19" borderId="0" applyNumberFormat="0" applyBorder="0" applyAlignment="0" applyProtection="0"/>
    <xf numFmtId="0" fontId="73" fillId="32" borderId="0" applyNumberFormat="0" applyBorder="0" applyAlignment="0" applyProtection="0"/>
    <xf numFmtId="0" fontId="73" fillId="24" borderId="0" applyNumberFormat="0" applyBorder="0" applyAlignment="0" applyProtection="0"/>
    <xf numFmtId="0" fontId="74" fillId="25" borderId="0" applyNumberFormat="0" applyBorder="0" applyAlignment="0" applyProtection="0"/>
    <xf numFmtId="176" fontId="70" fillId="33" borderId="0" applyNumberFormat="0" applyBorder="0" applyAlignment="0" applyProtection="0"/>
    <xf numFmtId="0" fontId="73" fillId="27" borderId="0" applyNumberFormat="0" applyBorder="0" applyAlignment="0" applyProtection="0"/>
    <xf numFmtId="0" fontId="73" fillId="34" borderId="0" applyNumberFormat="0" applyBorder="0" applyAlignment="0" applyProtection="0"/>
    <xf numFmtId="0" fontId="74" fillId="34" borderId="0" applyNumberFormat="0" applyBorder="0" applyAlignment="0" applyProtection="0"/>
    <xf numFmtId="0" fontId="75" fillId="0" borderId="0">
      <alignment horizontal="center" wrapText="1"/>
      <protection locked="0"/>
    </xf>
    <xf numFmtId="176" fontId="76" fillId="8" borderId="0" applyNumberFormat="0" applyBorder="0" applyAlignment="0" applyProtection="0"/>
    <xf numFmtId="3" fontId="77" fillId="0" borderId="0"/>
    <xf numFmtId="191" fontId="78" fillId="0" borderId="10" applyAlignment="0" applyProtection="0"/>
    <xf numFmtId="192" fontId="63" fillId="0" borderId="0" applyFill="0" applyBorder="0" applyAlignment="0"/>
    <xf numFmtId="193" fontId="51" fillId="0" borderId="0" applyFill="0" applyBorder="0" applyAlignment="0"/>
    <xf numFmtId="194" fontId="51" fillId="0" borderId="0" applyFill="0" applyBorder="0" applyAlignment="0"/>
    <xf numFmtId="195" fontId="51" fillId="0" borderId="0" applyFill="0" applyBorder="0" applyAlignment="0"/>
    <xf numFmtId="196" fontId="51" fillId="0" borderId="0" applyFill="0" applyBorder="0" applyAlignment="0"/>
    <xf numFmtId="197" fontId="51" fillId="0" borderId="0" applyFill="0" applyBorder="0" applyAlignment="0"/>
    <xf numFmtId="198" fontId="51" fillId="0" borderId="0" applyFill="0" applyBorder="0" applyAlignment="0"/>
    <xf numFmtId="193" fontId="51" fillId="0" borderId="0" applyFill="0" applyBorder="0" applyAlignment="0"/>
    <xf numFmtId="176" fontId="79" fillId="35" borderId="11" applyNumberFormat="0" applyAlignment="0" applyProtection="0"/>
    <xf numFmtId="0" fontId="80" fillId="0" borderId="0"/>
    <xf numFmtId="176" fontId="81" fillId="36" borderId="12" applyNumberFormat="0" applyAlignment="0" applyProtection="0"/>
    <xf numFmtId="0" fontId="82" fillId="0" borderId="13" applyNumberFormat="0" applyFill="0" applyProtection="0">
      <alignment horizontal="center"/>
    </xf>
    <xf numFmtId="0" fontId="83" fillId="0" borderId="14">
      <alignment horizontal="center"/>
    </xf>
    <xf numFmtId="199" fontId="51" fillId="0" borderId="0"/>
    <xf numFmtId="199" fontId="51" fillId="0" borderId="0"/>
    <xf numFmtId="199" fontId="51" fillId="0" borderId="0"/>
    <xf numFmtId="199" fontId="51" fillId="0" borderId="0"/>
    <xf numFmtId="199" fontId="51" fillId="0" borderId="0"/>
    <xf numFmtId="199" fontId="51" fillId="0" borderId="0"/>
    <xf numFmtId="199" fontId="51" fillId="0" borderId="0"/>
    <xf numFmtId="199" fontId="51" fillId="0" borderId="0"/>
    <xf numFmtId="200" fontId="38" fillId="0" borderId="0" applyFont="0" applyFill="0" applyBorder="0" applyAlignment="0" applyProtection="0"/>
    <xf numFmtId="197" fontId="51" fillId="0" borderId="0" applyFont="0" applyFill="0" applyBorder="0" applyAlignment="0" applyProtection="0"/>
    <xf numFmtId="43" fontId="18" fillId="0" borderId="0" applyFont="0" applyFill="0" applyBorder="0" applyAlignment="0" applyProtection="0">
      <alignment vertical="center"/>
    </xf>
    <xf numFmtId="43" fontId="38" fillId="0" borderId="0" applyFont="0" applyFill="0" applyBorder="0" applyAlignment="0" applyProtection="0"/>
    <xf numFmtId="201" fontId="62" fillId="0" borderId="0"/>
    <xf numFmtId="37" fontId="68" fillId="0" borderId="0" applyFont="0" applyFill="0" applyBorder="0" applyAlignment="0" applyProtection="0"/>
    <xf numFmtId="202" fontId="68" fillId="0" borderId="0" applyFont="0" applyFill="0" applyBorder="0" applyAlignment="0" applyProtection="0"/>
    <xf numFmtId="39" fontId="68" fillId="0" borderId="0" applyFont="0" applyFill="0" applyBorder="0" applyAlignment="0" applyProtection="0"/>
    <xf numFmtId="40" fontId="84" fillId="0" borderId="0" applyFont="0" applyFill="0" applyBorder="0" applyAlignment="0" applyProtection="0"/>
    <xf numFmtId="0" fontId="85" fillId="0" borderId="0" applyNumberFormat="0" applyAlignment="0">
      <alignment horizontal="left"/>
    </xf>
    <xf numFmtId="0" fontId="86" fillId="0" borderId="0" applyNumberFormat="0" applyAlignment="0"/>
    <xf numFmtId="200" fontId="50" fillId="0" borderId="0" applyFont="0" applyFill="0" applyBorder="0" applyAlignment="0" applyProtection="0"/>
    <xf numFmtId="193" fontId="51" fillId="0" borderId="0" applyFont="0" applyFill="0" applyBorder="0" applyAlignment="0" applyProtection="0"/>
    <xf numFmtId="191" fontId="68" fillId="0" borderId="0" applyFont="0" applyFill="0" applyBorder="0" applyAlignment="0" applyProtection="0"/>
    <xf numFmtId="203" fontId="68" fillId="0" borderId="0" applyFont="0" applyFill="0" applyBorder="0" applyAlignment="0" applyProtection="0"/>
    <xf numFmtId="204" fontId="38" fillId="0" borderId="0" applyFont="0" applyFill="0" applyBorder="0" applyAlignment="0" applyProtection="0"/>
    <xf numFmtId="205" fontId="62" fillId="0" borderId="0"/>
    <xf numFmtId="15" fontId="84" fillId="0" borderId="0"/>
    <xf numFmtId="15" fontId="84" fillId="0" borderId="0"/>
    <xf numFmtId="206" fontId="51" fillId="0" borderId="0">
      <protection locked="0"/>
    </xf>
    <xf numFmtId="14" fontId="63" fillId="0" borderId="0" applyFill="0" applyBorder="0" applyAlignment="0"/>
    <xf numFmtId="206" fontId="51" fillId="0" borderId="0">
      <protection locked="0"/>
    </xf>
    <xf numFmtId="41" fontId="51" fillId="0" borderId="0" applyFont="0" applyFill="0" applyBorder="0" applyAlignment="0" applyProtection="0"/>
    <xf numFmtId="43" fontId="51" fillId="0" borderId="0" applyFont="0" applyFill="0" applyBorder="0" applyAlignment="0" applyProtection="0"/>
    <xf numFmtId="207" fontId="62" fillId="0" borderId="0"/>
    <xf numFmtId="0" fontId="87" fillId="0" borderId="0" applyNumberFormat="0" applyFill="0" applyBorder="0" applyAlignment="0" applyProtection="0"/>
    <xf numFmtId="197" fontId="51" fillId="0" borderId="0" applyFill="0" applyBorder="0" applyAlignment="0"/>
    <xf numFmtId="193" fontId="51" fillId="0" borderId="0" applyFill="0" applyBorder="0" applyAlignment="0"/>
    <xf numFmtId="197" fontId="51" fillId="0" borderId="0" applyFill="0" applyBorder="0" applyAlignment="0"/>
    <xf numFmtId="198" fontId="51" fillId="0" borderId="0" applyFill="0" applyBorder="0" applyAlignment="0"/>
    <xf numFmtId="193" fontId="51" fillId="0" borderId="0" applyFill="0" applyBorder="0" applyAlignment="0"/>
    <xf numFmtId="0" fontId="88" fillId="0" borderId="0" applyNumberFormat="0" applyAlignment="0">
      <alignment horizontal="left"/>
    </xf>
    <xf numFmtId="0" fontId="89" fillId="0" borderId="0">
      <alignment horizontal="left"/>
    </xf>
    <xf numFmtId="0" fontId="89" fillId="0" borderId="0">
      <alignment horizontal="left"/>
    </xf>
    <xf numFmtId="176" fontId="89" fillId="0" borderId="0">
      <alignment horizontal="left"/>
    </xf>
    <xf numFmtId="0" fontId="90" fillId="37" borderId="9"/>
    <xf numFmtId="0" fontId="90" fillId="37" borderId="9"/>
    <xf numFmtId="176" fontId="90" fillId="37" borderId="9"/>
    <xf numFmtId="176" fontId="62" fillId="0" borderId="0" applyFont="0" applyFill="0" applyBorder="0" applyAlignment="0" applyProtection="0"/>
    <xf numFmtId="176" fontId="91" fillId="0" borderId="0" applyNumberFormat="0" applyFill="0" applyBorder="0" applyAlignment="0" applyProtection="0"/>
    <xf numFmtId="206" fontId="51" fillId="0" borderId="0">
      <protection locked="0"/>
    </xf>
    <xf numFmtId="206" fontId="51" fillId="0" borderId="0">
      <protection locked="0"/>
    </xf>
    <xf numFmtId="206" fontId="51" fillId="0" borderId="0">
      <protection locked="0"/>
    </xf>
    <xf numFmtId="206" fontId="51" fillId="0" borderId="0">
      <protection locked="0"/>
    </xf>
    <xf numFmtId="206" fontId="51" fillId="0" borderId="0">
      <protection locked="0"/>
    </xf>
    <xf numFmtId="206" fontId="51" fillId="0" borderId="0">
      <protection locked="0"/>
    </xf>
    <xf numFmtId="206" fontId="51" fillId="0" borderId="0">
      <protection locked="0"/>
    </xf>
    <xf numFmtId="206" fontId="51" fillId="0" borderId="0">
      <protection locked="0"/>
    </xf>
    <xf numFmtId="0" fontId="92" fillId="0" borderId="0" applyNumberFormat="0" applyFill="0" applyBorder="0" applyAlignment="0" applyProtection="0">
      <alignment vertical="top"/>
      <protection locked="0"/>
    </xf>
    <xf numFmtId="176" fontId="93" fillId="9" borderId="0" applyNumberFormat="0" applyBorder="0" applyAlignment="0" applyProtection="0"/>
    <xf numFmtId="38" fontId="90" fillId="35" borderId="0" applyNumberFormat="0" applyBorder="0" applyAlignment="0" applyProtection="0"/>
    <xf numFmtId="0" fontId="94" fillId="0" borderId="0">
      <alignment horizontal="left"/>
    </xf>
    <xf numFmtId="0" fontId="95" fillId="0" borderId="6" applyNumberFormat="0" applyAlignment="0" applyProtection="0">
      <alignment horizontal="left" vertical="center"/>
    </xf>
    <xf numFmtId="0" fontId="95" fillId="0" borderId="6" applyNumberFormat="0" applyAlignment="0" applyProtection="0">
      <alignment horizontal="left" vertical="center"/>
    </xf>
    <xf numFmtId="176" fontId="95" fillId="0" borderId="6" applyNumberFormat="0" applyAlignment="0" applyProtection="0">
      <alignment horizontal="left" vertical="center"/>
    </xf>
    <xf numFmtId="0" fontId="95" fillId="0" borderId="15">
      <alignment horizontal="left" vertical="center"/>
    </xf>
    <xf numFmtId="0" fontId="95" fillId="0" borderId="15">
      <alignment horizontal="left" vertical="center"/>
    </xf>
    <xf numFmtId="176" fontId="95" fillId="0" borderId="15">
      <alignment horizontal="left" vertical="center"/>
    </xf>
    <xf numFmtId="14" fontId="96" fillId="11" borderId="7">
      <alignment horizontal="center" vertical="center" wrapText="1"/>
    </xf>
    <xf numFmtId="176" fontId="97" fillId="0" borderId="16" applyNumberFormat="0" applyFill="0" applyAlignment="0" applyProtection="0"/>
    <xf numFmtId="176" fontId="98" fillId="0" borderId="17" applyNumberFormat="0" applyFill="0" applyAlignment="0" applyProtection="0"/>
    <xf numFmtId="176" fontId="99" fillId="0" borderId="18" applyNumberFormat="0" applyFill="0" applyAlignment="0" applyProtection="0"/>
    <xf numFmtId="176" fontId="99" fillId="0" borderId="0" applyNumberFormat="0" applyFill="0" applyBorder="0" applyAlignment="0" applyProtection="0"/>
    <xf numFmtId="206" fontId="51" fillId="0" borderId="0">
      <protection locked="0"/>
    </xf>
    <xf numFmtId="206" fontId="51" fillId="0" borderId="0">
      <protection locked="0"/>
    </xf>
    <xf numFmtId="0" fontId="100" fillId="0" borderId="0" applyNumberFormat="0" applyFill="0" applyBorder="0" applyAlignment="0" applyProtection="0">
      <alignment vertical="top"/>
      <protection locked="0"/>
    </xf>
    <xf numFmtId="176" fontId="101" fillId="12" borderId="11" applyNumberFormat="0" applyAlignment="0" applyProtection="0"/>
    <xf numFmtId="10" fontId="90" fillId="38" borderId="9" applyNumberFormat="0" applyBorder="0" applyAlignment="0" applyProtection="0"/>
    <xf numFmtId="208" fontId="38" fillId="39" borderId="0"/>
    <xf numFmtId="208" fontId="38" fillId="39" borderId="0"/>
    <xf numFmtId="202" fontId="102" fillId="39" borderId="0"/>
    <xf numFmtId="0" fontId="62" fillId="0" borderId="0" applyNumberFormat="0" applyFont="0" applyFill="0" applyBorder="0" applyProtection="0">
      <alignment horizontal="left" vertical="center"/>
    </xf>
    <xf numFmtId="0" fontId="62" fillId="0" borderId="0" applyNumberFormat="0" applyFont="0" applyFill="0" applyBorder="0" applyProtection="0">
      <alignment horizontal="left" vertical="center"/>
    </xf>
    <xf numFmtId="176" fontId="62" fillId="0" borderId="0" applyNumberFormat="0" applyFont="0" applyFill="0" applyBorder="0" applyProtection="0">
      <alignment horizontal="left" vertical="center"/>
    </xf>
    <xf numFmtId="197" fontId="51" fillId="0" borderId="0" applyFill="0" applyBorder="0" applyAlignment="0"/>
    <xf numFmtId="193" fontId="51" fillId="0" borderId="0" applyFill="0" applyBorder="0" applyAlignment="0"/>
    <xf numFmtId="197" fontId="51" fillId="0" borderId="0" applyFill="0" applyBorder="0" applyAlignment="0"/>
    <xf numFmtId="198" fontId="51" fillId="0" borderId="0" applyFill="0" applyBorder="0" applyAlignment="0"/>
    <xf numFmtId="193" fontId="51" fillId="0" borderId="0" applyFill="0" applyBorder="0" applyAlignment="0"/>
    <xf numFmtId="176" fontId="103" fillId="0" borderId="19" applyNumberFormat="0" applyFill="0" applyAlignment="0" applyProtection="0"/>
    <xf numFmtId="208" fontId="38" fillId="40" borderId="0"/>
    <xf numFmtId="208" fontId="38" fillId="40" borderId="0"/>
    <xf numFmtId="202" fontId="104" fillId="40" borderId="0"/>
    <xf numFmtId="41" fontId="51" fillId="0" borderId="0" applyFont="0" applyFill="0" applyBorder="0" applyAlignment="0" applyProtection="0"/>
    <xf numFmtId="43" fontId="51" fillId="0" borderId="0" applyFont="0" applyFill="0" applyBorder="0" applyAlignment="0" applyProtection="0"/>
    <xf numFmtId="209" fontId="38" fillId="0" borderId="0" applyFont="0" applyFill="0" applyBorder="0" applyAlignment="0" applyProtection="0"/>
    <xf numFmtId="210" fontId="38" fillId="0" borderId="0" applyFont="0" applyFill="0" applyBorder="0" applyAlignment="0" applyProtection="0"/>
    <xf numFmtId="0" fontId="105" fillId="0" borderId="7"/>
    <xf numFmtId="200" fontId="51" fillId="0" borderId="0" applyFont="0" applyFill="0" applyBorder="0" applyAlignment="0" applyProtection="0"/>
    <xf numFmtId="211" fontId="51" fillId="0" borderId="0" applyFont="0" applyFill="0" applyBorder="0" applyAlignment="0" applyProtection="0"/>
    <xf numFmtId="212" fontId="38" fillId="0" borderId="0" applyFont="0" applyFill="0" applyBorder="0" applyAlignment="0" applyProtection="0"/>
    <xf numFmtId="187" fontId="38" fillId="0" borderId="0" applyFont="0" applyFill="0" applyBorder="0" applyAlignment="0" applyProtection="0"/>
    <xf numFmtId="213" fontId="51" fillId="0" borderId="0" applyFont="0" applyFill="0" applyBorder="0" applyAlignment="0" applyProtection="0"/>
    <xf numFmtId="214" fontId="38" fillId="0" borderId="0" applyFont="0" applyFill="0" applyBorder="0" applyAlignment="0" applyProtection="0"/>
    <xf numFmtId="176" fontId="106" fillId="41" borderId="0" applyNumberFormat="0" applyBorder="0" applyAlignment="0" applyProtection="0"/>
    <xf numFmtId="0" fontId="62" fillId="0" borderId="0"/>
    <xf numFmtId="37" fontId="107" fillId="0" borderId="0"/>
    <xf numFmtId="0" fontId="86" fillId="0" borderId="0"/>
    <xf numFmtId="215" fontId="38" fillId="0" borderId="0"/>
    <xf numFmtId="0" fontId="51" fillId="0" borderId="0"/>
    <xf numFmtId="0" fontId="51" fillId="0" borderId="0"/>
    <xf numFmtId="0" fontId="38" fillId="0" borderId="0"/>
    <xf numFmtId="0" fontId="38" fillId="0" borderId="0">
      <alignment vertical="center"/>
    </xf>
    <xf numFmtId="0" fontId="84" fillId="0" borderId="0"/>
    <xf numFmtId="0" fontId="108" fillId="0" borderId="0"/>
    <xf numFmtId="176" fontId="51" fillId="38" borderId="20" applyNumberFormat="0" applyFont="0" applyAlignment="0" applyProtection="0"/>
    <xf numFmtId="216" fontId="51" fillId="0" borderId="0" applyFont="0" applyFill="0" applyBorder="0" applyAlignment="0" applyProtection="0"/>
    <xf numFmtId="217" fontId="51" fillId="0" borderId="0" applyFont="0" applyFill="0" applyBorder="0" applyAlignment="0" applyProtection="0"/>
    <xf numFmtId="176" fontId="109" fillId="35" borderId="21" applyNumberFormat="0" applyAlignment="0" applyProtection="0"/>
    <xf numFmtId="14" fontId="75" fillId="0" borderId="0">
      <alignment horizontal="center" wrapText="1"/>
      <protection locked="0"/>
    </xf>
    <xf numFmtId="218" fontId="51" fillId="0" borderId="0" applyFont="0" applyFill="0" applyBorder="0" applyAlignment="0" applyProtection="0"/>
    <xf numFmtId="196" fontId="51" fillId="0" borderId="0" applyFont="0" applyFill="0" applyBorder="0" applyAlignment="0" applyProtection="0"/>
    <xf numFmtId="186" fontId="51" fillId="0" borderId="0" applyFont="0" applyFill="0" applyBorder="0" applyAlignment="0" applyProtection="0"/>
    <xf numFmtId="10" fontId="51" fillId="0" borderId="0" applyFont="0" applyFill="0" applyBorder="0" applyAlignment="0" applyProtection="0"/>
    <xf numFmtId="9" fontId="64" fillId="0" borderId="0" applyFont="0" applyFill="0" applyBorder="0" applyAlignment="0" applyProtection="0"/>
    <xf numFmtId="13" fontId="51" fillId="0" borderId="0" applyFont="0" applyFill="0" applyProtection="0"/>
    <xf numFmtId="0" fontId="90" fillId="35" borderId="9"/>
    <xf numFmtId="0" fontId="90" fillId="35" borderId="9"/>
    <xf numFmtId="176" fontId="90" fillId="35" borderId="9"/>
    <xf numFmtId="197" fontId="51" fillId="0" borderId="0" applyFill="0" applyBorder="0" applyAlignment="0"/>
    <xf numFmtId="193" fontId="51" fillId="0" borderId="0" applyFill="0" applyBorder="0" applyAlignment="0"/>
    <xf numFmtId="197" fontId="51" fillId="0" borderId="0" applyFill="0" applyBorder="0" applyAlignment="0"/>
    <xf numFmtId="198" fontId="51" fillId="0" borderId="0" applyFill="0" applyBorder="0" applyAlignment="0"/>
    <xf numFmtId="193" fontId="51" fillId="0" borderId="0" applyFill="0" applyBorder="0" applyAlignment="0"/>
    <xf numFmtId="4" fontId="89" fillId="0" borderId="0">
      <alignment horizontal="right"/>
    </xf>
    <xf numFmtId="188" fontId="110" fillId="0" borderId="0"/>
    <xf numFmtId="188" fontId="110" fillId="0" borderId="0"/>
    <xf numFmtId="219" fontId="110" fillId="0" borderId="0"/>
    <xf numFmtId="0" fontId="84" fillId="0" borderId="0" applyNumberFormat="0" applyFont="0" applyFill="0" applyBorder="0" applyAlignment="0" applyProtection="0">
      <alignment horizontal="left"/>
    </xf>
    <xf numFmtId="0" fontId="78" fillId="0" borderId="7">
      <alignment horizontal="center"/>
    </xf>
    <xf numFmtId="3" fontId="111" fillId="0" borderId="0"/>
    <xf numFmtId="4" fontId="112" fillId="0" borderId="0">
      <alignment horizontal="right"/>
    </xf>
    <xf numFmtId="220" fontId="38" fillId="0" borderId="0" applyNumberFormat="0" applyFill="0" applyBorder="0" applyAlignment="0" applyProtection="0">
      <alignment horizontal="left"/>
    </xf>
    <xf numFmtId="220" fontId="38" fillId="0" borderId="0" applyNumberFormat="0" applyFill="0" applyBorder="0" applyAlignment="0" applyProtection="0">
      <alignment horizontal="left"/>
    </xf>
    <xf numFmtId="221" fontId="65" fillId="0" borderId="0" applyNumberFormat="0" applyFill="0" applyBorder="0" applyAlignment="0" applyProtection="0">
      <alignment horizontal="left"/>
    </xf>
    <xf numFmtId="41" fontId="62" fillId="0" borderId="0" applyFont="0" applyFill="0" applyBorder="0" applyAlignment="0" applyProtection="0"/>
    <xf numFmtId="0" fontId="113" fillId="42" borderId="0">
      <alignment horizontal="left" vertical="center"/>
    </xf>
    <xf numFmtId="0" fontId="113" fillId="42" borderId="0">
      <alignment horizontal="right" vertical="center"/>
    </xf>
    <xf numFmtId="4" fontId="114" fillId="41" borderId="22" applyNumberFormat="0" applyProtection="0">
      <alignment vertical="center"/>
    </xf>
    <xf numFmtId="4" fontId="115" fillId="41" borderId="22" applyNumberFormat="0" applyProtection="0">
      <alignment vertical="center"/>
    </xf>
    <xf numFmtId="4" fontId="114" fillId="41" borderId="22" applyNumberFormat="0" applyProtection="0">
      <alignment horizontal="left" vertical="center" indent="1"/>
    </xf>
    <xf numFmtId="0" fontId="114" fillId="41" borderId="22" applyNumberFormat="0" applyProtection="0">
      <alignment horizontal="left" vertical="top" indent="1"/>
    </xf>
    <xf numFmtId="4" fontId="114" fillId="43" borderId="0" applyNumberFormat="0" applyProtection="0">
      <alignment horizontal="left" vertical="center" indent="1"/>
    </xf>
    <xf numFmtId="4" fontId="63" fillId="8" borderId="22" applyNumberFormat="0" applyProtection="0">
      <alignment horizontal="right" vertical="center"/>
    </xf>
    <xf numFmtId="4" fontId="63" fillId="14" borderId="22" applyNumberFormat="0" applyProtection="0">
      <alignment horizontal="right" vertical="center"/>
    </xf>
    <xf numFmtId="4" fontId="63" fillId="26" borderId="22" applyNumberFormat="0" applyProtection="0">
      <alignment horizontal="right" vertical="center"/>
    </xf>
    <xf numFmtId="4" fontId="63" fillId="16" borderId="22" applyNumberFormat="0" applyProtection="0">
      <alignment horizontal="right" vertical="center"/>
    </xf>
    <xf numFmtId="4" fontId="63" fillId="20" borderId="22" applyNumberFormat="0" applyProtection="0">
      <alignment horizontal="right" vertical="center"/>
    </xf>
    <xf numFmtId="4" fontId="63" fillId="33" borderId="22" applyNumberFormat="0" applyProtection="0">
      <alignment horizontal="right" vertical="center"/>
    </xf>
    <xf numFmtId="4" fontId="63" fillId="30" borderId="22" applyNumberFormat="0" applyProtection="0">
      <alignment horizontal="right" vertical="center"/>
    </xf>
    <xf numFmtId="4" fontId="63" fillId="44" borderId="22" applyNumberFormat="0" applyProtection="0">
      <alignment horizontal="right" vertical="center"/>
    </xf>
    <xf numFmtId="4" fontId="63" fillId="15" borderId="22" applyNumberFormat="0" applyProtection="0">
      <alignment horizontal="right" vertical="center"/>
    </xf>
    <xf numFmtId="4" fontId="114" fillId="45" borderId="23" applyNumberFormat="0" applyProtection="0">
      <alignment horizontal="left" vertical="center" indent="1"/>
    </xf>
    <xf numFmtId="4" fontId="63" fillId="46" borderId="0" applyNumberFormat="0" applyProtection="0">
      <alignment horizontal="left" vertical="center" indent="1"/>
    </xf>
    <xf numFmtId="4" fontId="116" fillId="47" borderId="0" applyNumberFormat="0" applyProtection="0">
      <alignment horizontal="left" vertical="center" indent="1"/>
    </xf>
    <xf numFmtId="4" fontId="63" fillId="43" borderId="22" applyNumberFormat="0" applyProtection="0">
      <alignment horizontal="right" vertical="center"/>
    </xf>
    <xf numFmtId="4" fontId="63" fillId="46" borderId="0" applyNumberFormat="0" applyProtection="0">
      <alignment horizontal="left" vertical="center" indent="1"/>
    </xf>
    <xf numFmtId="4" fontId="63" fillId="43" borderId="0" applyNumberFormat="0" applyProtection="0">
      <alignment horizontal="left" vertical="center" indent="1"/>
    </xf>
    <xf numFmtId="0" fontId="51" fillId="47" borderId="22" applyNumberFormat="0" applyProtection="0">
      <alignment horizontal="left" vertical="center" indent="1"/>
    </xf>
    <xf numFmtId="0" fontId="51" fillId="47" borderId="22" applyNumberFormat="0" applyProtection="0">
      <alignment horizontal="left" vertical="top" indent="1"/>
    </xf>
    <xf numFmtId="0" fontId="51" fillId="43" borderId="22" applyNumberFormat="0" applyProtection="0">
      <alignment horizontal="left" vertical="center" indent="1"/>
    </xf>
    <xf numFmtId="0" fontId="51" fillId="43" borderId="22" applyNumberFormat="0" applyProtection="0">
      <alignment horizontal="left" vertical="top" indent="1"/>
    </xf>
    <xf numFmtId="0" fontId="51" fillId="13" borderId="22" applyNumberFormat="0" applyProtection="0">
      <alignment horizontal="left" vertical="center" indent="1"/>
    </xf>
    <xf numFmtId="0" fontId="51" fillId="13" borderId="22" applyNumberFormat="0" applyProtection="0">
      <alignment horizontal="left" vertical="top" indent="1"/>
    </xf>
    <xf numFmtId="0" fontId="51" fillId="46" borderId="22" applyNumberFormat="0" applyProtection="0">
      <alignment horizontal="left" vertical="center" indent="1"/>
    </xf>
    <xf numFmtId="0" fontId="51" fillId="46" borderId="22" applyNumberFormat="0" applyProtection="0">
      <alignment horizontal="left" vertical="top" indent="1"/>
    </xf>
    <xf numFmtId="4" fontId="63" fillId="38" borderId="22" applyNumberFormat="0" applyProtection="0">
      <alignment vertical="center"/>
    </xf>
    <xf numFmtId="4" fontId="117" fillId="38" borderId="22" applyNumberFormat="0" applyProtection="0">
      <alignment vertical="center"/>
    </xf>
    <xf numFmtId="4" fontId="63" fillId="38" borderId="22" applyNumberFormat="0" applyProtection="0">
      <alignment horizontal="left" vertical="center" indent="1"/>
    </xf>
    <xf numFmtId="0" fontId="63" fillId="38" borderId="22" applyNumberFormat="0" applyProtection="0">
      <alignment horizontal="left" vertical="top" indent="1"/>
    </xf>
    <xf numFmtId="4" fontId="63" fillId="46" borderId="22" applyNumberFormat="0" applyProtection="0">
      <alignment horizontal="right" vertical="center"/>
    </xf>
    <xf numFmtId="4" fontId="117" fillId="46" borderId="22" applyNumberFormat="0" applyProtection="0">
      <alignment horizontal="right" vertical="center"/>
    </xf>
    <xf numFmtId="4" fontId="63" fillId="43" borderId="22" applyNumberFormat="0" applyProtection="0">
      <alignment horizontal="left" vertical="center" indent="1"/>
    </xf>
    <xf numFmtId="0" fontId="63" fillId="43" borderId="22" applyNumberFormat="0" applyProtection="0">
      <alignment horizontal="left" vertical="top" indent="1"/>
    </xf>
    <xf numFmtId="4" fontId="118" fillId="39" borderId="0" applyNumberFormat="0" applyProtection="0">
      <alignment horizontal="left" vertical="center" indent="1"/>
    </xf>
    <xf numFmtId="4" fontId="119" fillId="46" borderId="22" applyNumberFormat="0" applyProtection="0">
      <alignment horizontal="right" vertical="center"/>
    </xf>
    <xf numFmtId="0" fontId="120" fillId="0" borderId="0">
      <alignment horizontal="left"/>
    </xf>
    <xf numFmtId="0" fontId="120" fillId="0" borderId="0">
      <alignment horizontal="left"/>
    </xf>
    <xf numFmtId="176" fontId="120" fillId="0" borderId="0">
      <alignment horizontal="left"/>
    </xf>
    <xf numFmtId="43" fontId="90" fillId="0" borderId="5"/>
    <xf numFmtId="0" fontId="108" fillId="0" borderId="0"/>
    <xf numFmtId="0" fontId="121" fillId="0" borderId="9">
      <alignment horizontal="center"/>
    </xf>
    <xf numFmtId="0" fontId="121" fillId="0" borderId="9">
      <alignment horizontal="center"/>
    </xf>
    <xf numFmtId="176" fontId="121" fillId="0" borderId="9">
      <alignment horizontal="center"/>
    </xf>
    <xf numFmtId="0" fontId="121" fillId="0" borderId="0">
      <alignment horizontal="center" vertical="center"/>
    </xf>
    <xf numFmtId="0" fontId="121" fillId="0" borderId="0">
      <alignment horizontal="center" vertical="center"/>
    </xf>
    <xf numFmtId="176" fontId="121" fillId="0" borderId="0">
      <alignment horizontal="center" vertical="center"/>
    </xf>
    <xf numFmtId="0" fontId="122" fillId="0" borderId="0" applyNumberFormat="0" applyFill="0">
      <alignment horizontal="left" vertical="center"/>
    </xf>
    <xf numFmtId="0" fontId="122" fillId="0" borderId="0" applyNumberFormat="0" applyFill="0">
      <alignment horizontal="left" vertical="center"/>
    </xf>
    <xf numFmtId="176" fontId="122" fillId="0" borderId="0" applyNumberFormat="0" applyFill="0">
      <alignment horizontal="left" vertical="center"/>
    </xf>
    <xf numFmtId="0" fontId="105" fillId="0" borderId="0"/>
    <xf numFmtId="40" fontId="123" fillId="0" borderId="0" applyBorder="0">
      <alignment horizontal="right"/>
    </xf>
    <xf numFmtId="49" fontId="63" fillId="0" borderId="0" applyFill="0" applyBorder="0" applyAlignment="0"/>
    <xf numFmtId="222" fontId="63" fillId="0" borderId="0" applyFill="0" applyBorder="0" applyAlignment="0"/>
    <xf numFmtId="223" fontId="51" fillId="0" borderId="0" applyFill="0" applyBorder="0" applyAlignment="0"/>
    <xf numFmtId="0" fontId="124" fillId="0" borderId="0" applyFill="0" applyBorder="0" applyProtection="0">
      <alignment horizontal="left" vertical="top"/>
    </xf>
    <xf numFmtId="0" fontId="124" fillId="0" borderId="0" applyFill="0" applyBorder="0" applyProtection="0">
      <alignment horizontal="left" vertical="top"/>
    </xf>
    <xf numFmtId="176" fontId="124" fillId="0" borderId="0" applyFill="0" applyBorder="0" applyProtection="0">
      <alignment horizontal="left" vertical="top"/>
    </xf>
    <xf numFmtId="0" fontId="125" fillId="0" borderId="0">
      <alignment horizontal="center"/>
    </xf>
    <xf numFmtId="0" fontId="125" fillId="0" borderId="0">
      <alignment horizontal="center"/>
    </xf>
    <xf numFmtId="176" fontId="125" fillId="0" borderId="0">
      <alignment horizontal="center"/>
    </xf>
    <xf numFmtId="176" fontId="126" fillId="0" borderId="24" applyNumberFormat="0" applyFill="0" applyAlignment="0" applyProtection="0"/>
    <xf numFmtId="224" fontId="51" fillId="0" borderId="0" applyFont="0" applyFill="0" applyBorder="0" applyAlignment="0" applyProtection="0"/>
    <xf numFmtId="225" fontId="51" fillId="0" borderId="0" applyFont="0" applyFill="0" applyBorder="0" applyAlignment="0" applyProtection="0"/>
    <xf numFmtId="226" fontId="38" fillId="0" borderId="0" applyFont="0" applyFill="0" applyBorder="0" applyAlignment="0" applyProtection="0"/>
    <xf numFmtId="227" fontId="38" fillId="0" borderId="0" applyFont="0" applyFill="0" applyBorder="0" applyAlignment="0" applyProtection="0"/>
    <xf numFmtId="176" fontId="127" fillId="0" borderId="0" applyNumberFormat="0" applyFill="0" applyBorder="0" applyAlignment="0" applyProtection="0"/>
    <xf numFmtId="0" fontId="128" fillId="0" borderId="0" applyNumberFormat="0" applyFont="0" applyFill="0" applyBorder="0" applyProtection="0">
      <alignment horizontal="center" vertical="center" wrapText="1"/>
    </xf>
    <xf numFmtId="0" fontId="128" fillId="0" borderId="0" applyNumberFormat="0" applyFont="0" applyFill="0" applyBorder="0" applyProtection="0">
      <alignment horizontal="center" vertical="center" wrapText="1"/>
    </xf>
    <xf numFmtId="176" fontId="128" fillId="0" borderId="0" applyNumberFormat="0" applyFont="0" applyFill="0" applyBorder="0" applyProtection="0">
      <alignment horizontal="center" vertical="center" wrapText="1"/>
    </xf>
    <xf numFmtId="9" fontId="129" fillId="0" borderId="0" applyFont="0" applyFill="0" applyBorder="0" applyAlignment="0" applyProtection="0"/>
    <xf numFmtId="0" fontId="65" fillId="0" borderId="0"/>
    <xf numFmtId="0" fontId="9" fillId="0" borderId="0"/>
    <xf numFmtId="217" fontId="65" fillId="0" borderId="0" applyFont="0" applyFill="0" applyBorder="0" applyAlignment="0" applyProtection="0"/>
    <xf numFmtId="216" fontId="65" fillId="0" borderId="0" applyFont="0" applyFill="0" applyBorder="0" applyAlignment="0" applyProtection="0"/>
    <xf numFmtId="41" fontId="51" fillId="0" borderId="0" applyFont="0" applyFill="0" applyBorder="0" applyAlignment="0" applyProtection="0"/>
    <xf numFmtId="9" fontId="65" fillId="0" borderId="0" applyFont="0" applyFill="0" applyBorder="0" applyAlignment="0" applyProtection="0"/>
    <xf numFmtId="9" fontId="38" fillId="0" borderId="0" applyFont="0" applyFill="0" applyBorder="0" applyAlignment="0" applyProtection="0">
      <alignment vertical="center"/>
    </xf>
    <xf numFmtId="9" fontId="38" fillId="0" borderId="0" applyFont="0" applyFill="0" applyBorder="0" applyAlignment="0" applyProtection="0">
      <alignment vertical="center"/>
    </xf>
    <xf numFmtId="9" fontId="51" fillId="0" borderId="0" applyFont="0" applyFill="0" applyBorder="0" applyAlignment="0" applyProtection="0"/>
    <xf numFmtId="9" fontId="38" fillId="0" borderId="0" applyFont="0" applyFill="0" applyBorder="0" applyAlignment="0" applyProtection="0"/>
    <xf numFmtId="0" fontId="130" fillId="0" borderId="0" applyFont="0" applyFill="0" applyBorder="0" applyAlignment="0" applyProtection="0"/>
    <xf numFmtId="0" fontId="130" fillId="0" borderId="0" applyFont="0" applyFill="0" applyBorder="0" applyAlignment="0" applyProtection="0"/>
    <xf numFmtId="4" fontId="131" fillId="0" borderId="0">
      <alignment horizontal="right"/>
    </xf>
    <xf numFmtId="0" fontId="132" fillId="0" borderId="0" applyNumberFormat="0" applyFill="0" applyBorder="0" applyAlignment="0" applyProtection="0"/>
    <xf numFmtId="0" fontId="133" fillId="16" borderId="0" applyNumberFormat="0" applyBorder="0" applyAlignment="0" applyProtection="0">
      <alignment vertical="center"/>
    </xf>
    <xf numFmtId="0" fontId="134" fillId="8" borderId="0" applyNumberFormat="0" applyBorder="0" applyAlignment="0" applyProtection="0">
      <alignment vertical="center"/>
    </xf>
    <xf numFmtId="0" fontId="134" fillId="8" borderId="0" applyNumberFormat="0" applyBorder="0" applyAlignment="0" applyProtection="0">
      <alignment vertical="center"/>
    </xf>
    <xf numFmtId="0" fontId="133" fillId="16" borderId="0" applyNumberFormat="0" applyBorder="0" applyAlignment="0" applyProtection="0">
      <alignment vertical="center"/>
    </xf>
    <xf numFmtId="0" fontId="135" fillId="48" borderId="0" applyNumberFormat="0" applyBorder="0" applyAlignment="0" applyProtection="0"/>
    <xf numFmtId="0" fontId="134" fillId="8" borderId="0" applyNumberFormat="0" applyBorder="0" applyAlignment="0" applyProtection="0">
      <alignment vertical="center"/>
    </xf>
    <xf numFmtId="0" fontId="134" fillId="8" borderId="0" applyNumberFormat="0" applyBorder="0" applyAlignment="0" applyProtection="0">
      <alignment vertical="center"/>
    </xf>
    <xf numFmtId="0" fontId="134" fillId="8" borderId="0" applyNumberFormat="0" applyBorder="0" applyAlignment="0" applyProtection="0">
      <alignment vertical="center"/>
    </xf>
    <xf numFmtId="0" fontId="134" fillId="8" borderId="0" applyNumberFormat="0" applyBorder="0" applyAlignment="0" applyProtection="0">
      <alignment vertical="center"/>
    </xf>
    <xf numFmtId="0" fontId="134" fillId="8" borderId="0" applyNumberFormat="0" applyBorder="0" applyAlignment="0" applyProtection="0">
      <alignment vertical="center"/>
    </xf>
    <xf numFmtId="0" fontId="134" fillId="8" borderId="0" applyNumberFormat="0" applyBorder="0" applyAlignment="0" applyProtection="0">
      <alignment vertical="center"/>
    </xf>
    <xf numFmtId="0" fontId="134" fillId="8" borderId="0" applyNumberFormat="0" applyBorder="0" applyAlignment="0" applyProtection="0">
      <alignment vertical="center"/>
    </xf>
    <xf numFmtId="0" fontId="134" fillId="8" borderId="0" applyNumberFormat="0" applyBorder="0" applyAlignment="0" applyProtection="0">
      <alignment vertical="center"/>
    </xf>
    <xf numFmtId="0" fontId="133" fillId="16" borderId="0" applyNumberFormat="0" applyBorder="0" applyAlignment="0" applyProtection="0">
      <alignment vertical="center"/>
    </xf>
    <xf numFmtId="0" fontId="133" fillId="16" borderId="0" applyNumberFormat="0" applyBorder="0" applyAlignment="0" applyProtection="0">
      <alignment vertical="center"/>
    </xf>
    <xf numFmtId="0" fontId="136" fillId="37" borderId="0" applyNumberFormat="0" applyBorder="0" applyAlignment="0" applyProtection="0">
      <alignment vertical="center"/>
    </xf>
    <xf numFmtId="0" fontId="134" fillId="8" borderId="0" applyNumberFormat="0" applyBorder="0" applyAlignment="0" applyProtection="0">
      <alignment vertical="center"/>
    </xf>
    <xf numFmtId="0" fontId="137" fillId="6" borderId="0" applyNumberFormat="0" applyBorder="0" applyAlignment="0" applyProtection="0">
      <alignment vertical="center"/>
    </xf>
    <xf numFmtId="0" fontId="138" fillId="8" borderId="0" applyNumberFormat="0" applyBorder="0" applyAlignment="0" applyProtection="0">
      <alignment vertical="center"/>
    </xf>
    <xf numFmtId="0" fontId="138" fillId="8" borderId="0" applyNumberFormat="0" applyBorder="0" applyAlignment="0" applyProtection="0">
      <alignment vertical="center"/>
    </xf>
    <xf numFmtId="0" fontId="133" fillId="16" borderId="0" applyNumberFormat="0" applyBorder="0" applyAlignment="0" applyProtection="0">
      <alignment vertical="center"/>
    </xf>
    <xf numFmtId="0" fontId="133" fillId="16" borderId="0" applyNumberFormat="0" applyBorder="0" applyAlignment="0" applyProtection="0">
      <alignment vertical="center"/>
    </xf>
    <xf numFmtId="0" fontId="133" fillId="16" borderId="0" applyNumberFormat="0" applyBorder="0" applyAlignment="0" applyProtection="0">
      <alignment vertical="center"/>
    </xf>
    <xf numFmtId="0" fontId="133" fillId="16" borderId="0" applyNumberFormat="0" applyBorder="0" applyAlignment="0" applyProtection="0">
      <alignment vertical="center"/>
    </xf>
    <xf numFmtId="0" fontId="136" fillId="37" borderId="0" applyNumberFormat="0" applyBorder="0" applyAlignment="0" applyProtection="0">
      <alignment vertical="center"/>
    </xf>
    <xf numFmtId="0" fontId="133" fillId="16" borderId="0" applyNumberFormat="0" applyBorder="0" applyAlignment="0" applyProtection="0">
      <alignment vertical="center"/>
    </xf>
    <xf numFmtId="0" fontId="133" fillId="16" borderId="0" applyNumberFormat="0" applyBorder="0" applyAlignment="0" applyProtection="0">
      <alignment vertical="center"/>
    </xf>
    <xf numFmtId="0" fontId="133" fillId="16" borderId="0" applyNumberFormat="0" applyBorder="0" applyAlignment="0" applyProtection="0">
      <alignment vertical="center"/>
    </xf>
    <xf numFmtId="0" fontId="133" fillId="16" borderId="0" applyNumberFormat="0" applyBorder="0" applyAlignment="0" applyProtection="0">
      <alignment vertical="center"/>
    </xf>
    <xf numFmtId="0" fontId="134" fillId="8" borderId="0" applyNumberFormat="0" applyBorder="0" applyAlignment="0" applyProtection="0">
      <alignment vertical="center"/>
    </xf>
    <xf numFmtId="0" fontId="133" fillId="16" borderId="0" applyNumberFormat="0" applyBorder="0" applyAlignment="0" applyProtection="0">
      <alignment vertical="center"/>
    </xf>
    <xf numFmtId="0" fontId="134" fillId="8" borderId="0" applyNumberFormat="0" applyBorder="0" applyAlignment="0" applyProtection="0">
      <alignment vertical="center"/>
    </xf>
    <xf numFmtId="0" fontId="133" fillId="16" borderId="0" applyNumberFormat="0" applyBorder="0" applyAlignment="0" applyProtection="0">
      <alignment vertical="center"/>
    </xf>
    <xf numFmtId="0" fontId="133" fillId="16" borderId="0" applyNumberFormat="0" applyBorder="0" applyAlignment="0" applyProtection="0">
      <alignment vertical="center"/>
    </xf>
    <xf numFmtId="0" fontId="133" fillId="16" borderId="0" applyNumberFormat="0" applyBorder="0" applyAlignment="0" applyProtection="0">
      <alignment vertical="center"/>
    </xf>
    <xf numFmtId="0" fontId="133" fillId="16" borderId="0" applyNumberFormat="0" applyBorder="0" applyAlignment="0" applyProtection="0">
      <alignment vertical="center"/>
    </xf>
    <xf numFmtId="0" fontId="133" fillId="16" borderId="0" applyNumberFormat="0" applyBorder="0" applyAlignment="0" applyProtection="0">
      <alignment vertical="center"/>
    </xf>
    <xf numFmtId="0" fontId="133" fillId="16" borderId="0" applyNumberFormat="0" applyBorder="0" applyAlignment="0" applyProtection="0">
      <alignment vertical="center"/>
    </xf>
    <xf numFmtId="0" fontId="133" fillId="16" borderId="0" applyNumberFormat="0" applyBorder="0" applyAlignment="0" applyProtection="0">
      <alignment vertical="center"/>
    </xf>
    <xf numFmtId="0" fontId="133" fillId="16" borderId="0" applyNumberFormat="0" applyBorder="0" applyAlignment="0" applyProtection="0">
      <alignment vertical="center"/>
    </xf>
    <xf numFmtId="0" fontId="133" fillId="33" borderId="0" applyNumberFormat="0" applyBorder="0" applyAlignment="0" applyProtection="0">
      <alignment vertical="center"/>
    </xf>
    <xf numFmtId="0" fontId="133" fillId="16" borderId="0" applyNumberFormat="0" applyBorder="0" applyAlignment="0" applyProtection="0">
      <alignment vertical="center"/>
    </xf>
    <xf numFmtId="0" fontId="133" fillId="16" borderId="0" applyNumberFormat="0" applyBorder="0" applyAlignment="0" applyProtection="0">
      <alignment vertical="center"/>
    </xf>
    <xf numFmtId="0" fontId="139" fillId="10" borderId="0" applyNumberFormat="0" applyBorder="0" applyAlignment="0" applyProtection="0">
      <alignment vertical="center"/>
    </xf>
    <xf numFmtId="0" fontId="156" fillId="0" borderId="0">
      <alignment vertical="center"/>
    </xf>
    <xf numFmtId="0" fontId="18" fillId="0" borderId="0">
      <alignment vertical="center"/>
    </xf>
    <xf numFmtId="176" fontId="156" fillId="0" borderId="0">
      <alignment vertical="center"/>
    </xf>
    <xf numFmtId="0" fontId="38" fillId="0" borderId="0">
      <protection locked="0"/>
    </xf>
    <xf numFmtId="0" fontId="156" fillId="0" borderId="0">
      <alignment vertical="center"/>
    </xf>
    <xf numFmtId="0" fontId="51" fillId="0" borderId="0"/>
    <xf numFmtId="0" fontId="38" fillId="0" borderId="0"/>
    <xf numFmtId="0" fontId="38" fillId="0" borderId="0">
      <alignment vertical="center"/>
      <protection locked="0"/>
    </xf>
    <xf numFmtId="0" fontId="156" fillId="0" borderId="0">
      <alignment vertical="center"/>
    </xf>
    <xf numFmtId="0" fontId="38" fillId="0" borderId="0">
      <alignment vertical="center"/>
      <protection locked="0"/>
    </xf>
    <xf numFmtId="0" fontId="156" fillId="0" borderId="0">
      <alignment vertical="center"/>
    </xf>
    <xf numFmtId="0" fontId="156" fillId="0" borderId="0">
      <alignment vertical="center"/>
    </xf>
    <xf numFmtId="0" fontId="156" fillId="0" borderId="0"/>
    <xf numFmtId="0" fontId="156" fillId="0" borderId="0"/>
    <xf numFmtId="176" fontId="38" fillId="0" borderId="0">
      <alignment vertical="center"/>
      <protection locked="0"/>
    </xf>
    <xf numFmtId="0" fontId="38" fillId="0" borderId="0">
      <alignment vertical="center"/>
    </xf>
    <xf numFmtId="0" fontId="156" fillId="0" borderId="0"/>
    <xf numFmtId="0" fontId="38" fillId="0" borderId="0">
      <protection locked="0"/>
    </xf>
    <xf numFmtId="0" fontId="38" fillId="0" borderId="0"/>
    <xf numFmtId="0" fontId="38" fillId="0" borderId="0">
      <alignment vertical="center"/>
      <protection locked="0"/>
    </xf>
    <xf numFmtId="176" fontId="38" fillId="0" borderId="0">
      <protection locked="0"/>
    </xf>
    <xf numFmtId="0" fontId="38" fillId="0" borderId="0">
      <protection locked="0"/>
    </xf>
    <xf numFmtId="176" fontId="38" fillId="0" borderId="0">
      <protection locked="0"/>
    </xf>
    <xf numFmtId="0" fontId="18" fillId="0" borderId="0"/>
    <xf numFmtId="0" fontId="38" fillId="0" borderId="0">
      <protection locked="0"/>
    </xf>
    <xf numFmtId="0" fontId="38" fillId="0" borderId="0">
      <alignment vertical="center"/>
      <protection locked="0"/>
    </xf>
    <xf numFmtId="0" fontId="18" fillId="0" borderId="0"/>
    <xf numFmtId="0" fontId="38" fillId="0" borderId="0">
      <protection locked="0"/>
    </xf>
    <xf numFmtId="176" fontId="38" fillId="0" borderId="0"/>
    <xf numFmtId="0" fontId="38" fillId="0" borderId="0">
      <protection locked="0"/>
    </xf>
    <xf numFmtId="0" fontId="140" fillId="0" borderId="0">
      <alignment vertical="center"/>
    </xf>
    <xf numFmtId="0" fontId="156" fillId="0" borderId="0">
      <alignment vertical="center"/>
    </xf>
    <xf numFmtId="0" fontId="140" fillId="0" borderId="0">
      <alignment vertical="center"/>
    </xf>
    <xf numFmtId="0" fontId="38" fillId="0" borderId="0">
      <alignment vertical="center"/>
      <protection locked="0"/>
    </xf>
    <xf numFmtId="0" fontId="51" fillId="0" borderId="0"/>
    <xf numFmtId="0" fontId="38" fillId="0" borderId="0" applyNumberFormat="0" applyFill="0" applyBorder="0" applyAlignment="0" applyProtection="0"/>
    <xf numFmtId="0" fontId="38" fillId="0" borderId="0" applyNumberFormat="0" applyFill="0" applyBorder="0" applyAlignment="0" applyProtection="0"/>
    <xf numFmtId="0" fontId="156" fillId="0" borderId="0">
      <alignment vertical="center"/>
    </xf>
    <xf numFmtId="0" fontId="156" fillId="0" borderId="0">
      <alignment vertical="center"/>
    </xf>
    <xf numFmtId="0" fontId="156" fillId="0" borderId="0">
      <alignment vertical="center"/>
    </xf>
    <xf numFmtId="0" fontId="156" fillId="0" borderId="0">
      <alignment vertical="center"/>
    </xf>
    <xf numFmtId="0" fontId="156" fillId="0" borderId="0">
      <alignment vertical="center"/>
    </xf>
    <xf numFmtId="0" fontId="156" fillId="0" borderId="0">
      <alignment vertical="center"/>
    </xf>
    <xf numFmtId="0" fontId="156" fillId="0" borderId="0">
      <alignment vertical="center"/>
    </xf>
    <xf numFmtId="0" fontId="156" fillId="0" borderId="0">
      <alignment vertical="center"/>
    </xf>
    <xf numFmtId="0" fontId="51" fillId="0" borderId="0"/>
    <xf numFmtId="0" fontId="156" fillId="0" borderId="0">
      <alignment vertical="center"/>
    </xf>
    <xf numFmtId="0" fontId="156" fillId="0" borderId="0">
      <alignment vertical="center"/>
    </xf>
    <xf numFmtId="0" fontId="156" fillId="0" borderId="0">
      <alignment vertical="center"/>
    </xf>
    <xf numFmtId="0" fontId="156" fillId="0" borderId="0">
      <alignment vertical="center"/>
    </xf>
    <xf numFmtId="0" fontId="156" fillId="0" borderId="0">
      <alignment vertical="center"/>
    </xf>
    <xf numFmtId="0" fontId="156" fillId="0" borderId="0">
      <alignment vertical="center"/>
    </xf>
    <xf numFmtId="176" fontId="156" fillId="0" borderId="0">
      <alignment vertical="center"/>
    </xf>
    <xf numFmtId="0" fontId="156" fillId="0" borderId="0">
      <alignment vertical="center"/>
    </xf>
    <xf numFmtId="0" fontId="156" fillId="0" borderId="0">
      <alignment vertical="center"/>
    </xf>
    <xf numFmtId="0" fontId="38" fillId="0" borderId="0">
      <alignment vertical="center"/>
    </xf>
    <xf numFmtId="0" fontId="38" fillId="0" borderId="0">
      <alignment vertical="center"/>
    </xf>
    <xf numFmtId="176" fontId="38" fillId="0" borderId="0">
      <alignment vertical="center"/>
    </xf>
    <xf numFmtId="0" fontId="65" fillId="0" borderId="0"/>
    <xf numFmtId="0" fontId="62" fillId="0" borderId="0">
      <protection locked="0"/>
    </xf>
    <xf numFmtId="0" fontId="38" fillId="0" borderId="0" applyFill="0" applyBorder="0"/>
    <xf numFmtId="176" fontId="38" fillId="0" borderId="0">
      <alignment vertical="center"/>
    </xf>
    <xf numFmtId="0" fontId="141" fillId="0" borderId="0" applyNumberFormat="0" applyFill="0" applyBorder="0" applyAlignment="0" applyProtection="0">
      <alignment vertical="top"/>
      <protection locked="0"/>
    </xf>
    <xf numFmtId="0" fontId="58" fillId="0" borderId="0" applyNumberFormat="0" applyFill="0" applyBorder="0" applyAlignment="0" applyProtection="0">
      <alignment vertical="top"/>
      <protection locked="0"/>
    </xf>
    <xf numFmtId="176" fontId="58" fillId="0" borderId="0" applyNumberFormat="0" applyFill="0" applyBorder="0" applyAlignment="0" applyProtection="0">
      <alignment vertical="top"/>
      <protection locked="0"/>
    </xf>
    <xf numFmtId="0" fontId="58"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78" fillId="0" borderId="0" applyNumberFormat="0" applyFill="0" applyBorder="0" applyAlignment="0" applyProtection="0"/>
    <xf numFmtId="0" fontId="142" fillId="49" borderId="0" applyNumberFormat="0" applyBorder="0" applyAlignment="0" applyProtection="0">
      <alignment vertical="center"/>
    </xf>
    <xf numFmtId="0" fontId="143" fillId="9" borderId="0" applyNumberFormat="0" applyBorder="0" applyAlignment="0" applyProtection="0">
      <alignment vertical="center"/>
    </xf>
    <xf numFmtId="0" fontId="143" fillId="49" borderId="0" applyNumberFormat="0" applyBorder="0" applyAlignment="0" applyProtection="0">
      <alignment vertical="center"/>
    </xf>
    <xf numFmtId="0" fontId="143" fillId="49" borderId="0" applyNumberFormat="0" applyBorder="0" applyAlignment="0" applyProtection="0">
      <alignment vertical="center"/>
    </xf>
    <xf numFmtId="0" fontId="143" fillId="49" borderId="0" applyNumberFormat="0" applyBorder="0" applyAlignment="0" applyProtection="0">
      <alignment vertical="center"/>
    </xf>
    <xf numFmtId="0" fontId="143" fillId="9" borderId="0" applyNumberFormat="0" applyBorder="0" applyAlignment="0" applyProtection="0">
      <alignment vertical="center"/>
    </xf>
    <xf numFmtId="0" fontId="142" fillId="49" borderId="0" applyNumberFormat="0" applyBorder="0" applyAlignment="0" applyProtection="0">
      <alignment vertical="center"/>
    </xf>
    <xf numFmtId="0" fontId="144" fillId="31" borderId="0" applyNumberFormat="0" applyBorder="0" applyAlignment="0" applyProtection="0"/>
    <xf numFmtId="0" fontId="143" fillId="9" borderId="0" applyNumberFormat="0" applyBorder="0" applyAlignment="0" applyProtection="0">
      <alignment vertical="center"/>
    </xf>
    <xf numFmtId="0" fontId="143" fillId="9" borderId="0" applyNumberFormat="0" applyBorder="0" applyAlignment="0" applyProtection="0">
      <alignment vertical="center"/>
    </xf>
    <xf numFmtId="0" fontId="143" fillId="9" borderId="0" applyNumberFormat="0" applyBorder="0" applyAlignment="0" applyProtection="0">
      <alignment vertical="center"/>
    </xf>
    <xf numFmtId="0" fontId="143" fillId="9" borderId="0" applyNumberFormat="0" applyBorder="0" applyAlignment="0" applyProtection="0">
      <alignment vertical="center"/>
    </xf>
    <xf numFmtId="0" fontId="143" fillId="9" borderId="0" applyNumberFormat="0" applyBorder="0" applyAlignment="0" applyProtection="0">
      <alignment vertical="center"/>
    </xf>
    <xf numFmtId="0" fontId="143" fillId="9" borderId="0" applyNumberFormat="0" applyBorder="0" applyAlignment="0" applyProtection="0">
      <alignment vertical="center"/>
    </xf>
    <xf numFmtId="0" fontId="143" fillId="9" borderId="0" applyNumberFormat="0" applyBorder="0" applyAlignment="0" applyProtection="0">
      <alignment vertical="center"/>
    </xf>
    <xf numFmtId="0" fontId="143" fillId="9" borderId="0" applyNumberFormat="0" applyBorder="0" applyAlignment="0" applyProtection="0">
      <alignment vertical="center"/>
    </xf>
    <xf numFmtId="0" fontId="143" fillId="49" borderId="0" applyNumberFormat="0" applyBorder="0" applyAlignment="0" applyProtection="0">
      <alignment vertical="center"/>
    </xf>
    <xf numFmtId="0" fontId="142" fillId="49" borderId="0" applyNumberFormat="0" applyBorder="0" applyAlignment="0" applyProtection="0">
      <alignment vertical="center"/>
    </xf>
    <xf numFmtId="0" fontId="143" fillId="9" borderId="0" applyNumberFormat="0" applyBorder="0" applyAlignment="0" applyProtection="0">
      <alignment vertical="center"/>
    </xf>
    <xf numFmtId="0" fontId="145" fillId="5" borderId="0" applyNumberFormat="0" applyBorder="0" applyAlignment="0" applyProtection="0">
      <alignment vertical="center"/>
    </xf>
    <xf numFmtId="0" fontId="146" fillId="9" borderId="0" applyNumberFormat="0" applyBorder="0" applyAlignment="0" applyProtection="0">
      <alignment vertical="center"/>
    </xf>
    <xf numFmtId="0" fontId="144" fillId="9" borderId="0" applyNumberFormat="0" applyBorder="0" applyAlignment="0" applyProtection="0">
      <alignment vertical="center"/>
    </xf>
    <xf numFmtId="0" fontId="142" fillId="49" borderId="0" applyNumberFormat="0" applyBorder="0" applyAlignment="0" applyProtection="0">
      <alignment vertical="center"/>
    </xf>
    <xf numFmtId="0" fontId="143" fillId="49" borderId="0" applyNumberFormat="0" applyBorder="0" applyAlignment="0" applyProtection="0">
      <alignment vertical="center"/>
    </xf>
    <xf numFmtId="0" fontId="142" fillId="49" borderId="0" applyNumberFormat="0" applyBorder="0" applyAlignment="0" applyProtection="0">
      <alignment vertical="center"/>
    </xf>
    <xf numFmtId="0" fontId="142" fillId="49" borderId="0" applyNumberFormat="0" applyBorder="0" applyAlignment="0" applyProtection="0">
      <alignment vertical="center"/>
    </xf>
    <xf numFmtId="0" fontId="142" fillId="49" borderId="0" applyNumberFormat="0" applyBorder="0" applyAlignment="0" applyProtection="0">
      <alignment vertical="center"/>
    </xf>
    <xf numFmtId="0" fontId="147" fillId="50" borderId="0" applyNumberFormat="0" applyBorder="0" applyAlignment="0" applyProtection="0">
      <alignment vertical="center"/>
    </xf>
    <xf numFmtId="0" fontId="142" fillId="49" borderId="0" applyNumberFormat="0" applyBorder="0" applyAlignment="0" applyProtection="0">
      <alignment vertical="center"/>
    </xf>
    <xf numFmtId="0" fontId="147" fillId="50" borderId="0" applyNumberFormat="0" applyBorder="0" applyAlignment="0" applyProtection="0">
      <alignment vertical="center"/>
    </xf>
    <xf numFmtId="0" fontId="143" fillId="49" borderId="0" applyNumberFormat="0" applyBorder="0" applyAlignment="0" applyProtection="0">
      <alignment vertical="center"/>
    </xf>
    <xf numFmtId="0" fontId="142" fillId="49" borderId="0" applyNumberFormat="0" applyBorder="0" applyAlignment="0" applyProtection="0">
      <alignment vertical="center"/>
    </xf>
    <xf numFmtId="0" fontId="142" fillId="49" borderId="0" applyNumberFormat="0" applyBorder="0" applyAlignment="0" applyProtection="0">
      <alignment vertical="center"/>
    </xf>
    <xf numFmtId="0" fontId="143" fillId="9" borderId="0" applyNumberFormat="0" applyBorder="0" applyAlignment="0" applyProtection="0">
      <alignment vertical="center"/>
    </xf>
    <xf numFmtId="0" fontId="142" fillId="49" borderId="0" applyNumberFormat="0" applyBorder="0" applyAlignment="0" applyProtection="0">
      <alignment vertical="center"/>
    </xf>
    <xf numFmtId="0" fontId="143" fillId="9" borderId="0" applyNumberFormat="0" applyBorder="0" applyAlignment="0" applyProtection="0">
      <alignment vertical="center"/>
    </xf>
    <xf numFmtId="0" fontId="142" fillId="49" borderId="0" applyNumberFormat="0" applyBorder="0" applyAlignment="0" applyProtection="0">
      <alignment vertical="center"/>
    </xf>
    <xf numFmtId="0" fontId="143" fillId="49" borderId="0" applyNumberFormat="0" applyBorder="0" applyAlignment="0" applyProtection="0">
      <alignment vertical="center"/>
    </xf>
    <xf numFmtId="0" fontId="142" fillId="49" borderId="0" applyNumberFormat="0" applyBorder="0" applyAlignment="0" applyProtection="0">
      <alignment vertical="center"/>
    </xf>
    <xf numFmtId="0" fontId="143" fillId="49" borderId="0" applyNumberFormat="0" applyBorder="0" applyAlignment="0" applyProtection="0">
      <alignment vertical="center"/>
    </xf>
    <xf numFmtId="0" fontId="142" fillId="49" borderId="0" applyNumberFormat="0" applyBorder="0" applyAlignment="0" applyProtection="0">
      <alignment vertical="center"/>
    </xf>
    <xf numFmtId="0" fontId="142" fillId="49" borderId="0" applyNumberFormat="0" applyBorder="0" applyAlignment="0" applyProtection="0">
      <alignment vertical="center"/>
    </xf>
    <xf numFmtId="0" fontId="142" fillId="49" borderId="0" applyNumberFormat="0" applyBorder="0" applyAlignment="0" applyProtection="0">
      <alignment vertical="center"/>
    </xf>
    <xf numFmtId="0" fontId="142" fillId="49" borderId="0" applyNumberFormat="0" applyBorder="0" applyAlignment="0" applyProtection="0">
      <alignment vertical="center"/>
    </xf>
    <xf numFmtId="0" fontId="143" fillId="49" borderId="0" applyNumberFormat="0" applyBorder="0" applyAlignment="0" applyProtection="0">
      <alignment vertical="center"/>
    </xf>
    <xf numFmtId="0" fontId="142" fillId="49" borderId="0" applyNumberFormat="0" applyBorder="0" applyAlignment="0" applyProtection="0">
      <alignment vertical="center"/>
    </xf>
    <xf numFmtId="0" fontId="142" fillId="49" borderId="0" applyNumberFormat="0" applyBorder="0" applyAlignment="0" applyProtection="0">
      <alignment vertical="center"/>
    </xf>
    <xf numFmtId="0" fontId="143" fillId="49" borderId="0" applyNumberFormat="0" applyBorder="0" applyAlignment="0" applyProtection="0">
      <alignment vertical="center"/>
    </xf>
    <xf numFmtId="0" fontId="142" fillId="49" borderId="0" applyNumberFormat="0" applyBorder="0" applyAlignment="0" applyProtection="0">
      <alignment vertical="center"/>
    </xf>
    <xf numFmtId="0" fontId="142" fillId="49" borderId="0" applyNumberFormat="0" applyBorder="0" applyAlignment="0" applyProtection="0">
      <alignment vertical="center"/>
    </xf>
    <xf numFmtId="0" fontId="143" fillId="49" borderId="0" applyNumberFormat="0" applyBorder="0" applyAlignment="0" applyProtection="0">
      <alignment vertical="center"/>
    </xf>
    <xf numFmtId="0" fontId="142" fillId="49" borderId="0" applyNumberFormat="0" applyBorder="0" applyAlignment="0" applyProtection="0">
      <alignment vertical="center"/>
    </xf>
    <xf numFmtId="0" fontId="143" fillId="51" borderId="0" applyNumberFormat="0" applyBorder="0" applyAlignment="0" applyProtection="0">
      <alignment vertical="center"/>
    </xf>
    <xf numFmtId="0" fontId="142" fillId="49" borderId="0" applyNumberFormat="0" applyBorder="0" applyAlignment="0" applyProtection="0">
      <alignment vertical="center"/>
    </xf>
    <xf numFmtId="0" fontId="147" fillId="50" borderId="0" applyNumberFormat="0" applyBorder="0" applyAlignment="0" applyProtection="0">
      <alignment vertical="center"/>
    </xf>
    <xf numFmtId="0" fontId="142" fillId="49" borderId="0" applyNumberFormat="0" applyBorder="0" applyAlignment="0" applyProtection="0">
      <alignment vertical="center"/>
    </xf>
    <xf numFmtId="0" fontId="147" fillId="50" borderId="0" applyNumberFormat="0" applyBorder="0" applyAlignment="0" applyProtection="0">
      <alignment vertical="center"/>
    </xf>
    <xf numFmtId="0" fontId="143" fillId="49" borderId="0" applyNumberFormat="0" applyBorder="0" applyAlignment="0" applyProtection="0">
      <alignment vertical="center"/>
    </xf>
    <xf numFmtId="0" fontId="146" fillId="11" borderId="0" applyNumberFormat="0" applyBorder="0" applyAlignment="0" applyProtection="0">
      <alignment vertical="center"/>
    </xf>
    <xf numFmtId="4" fontId="128" fillId="0" borderId="0" applyFont="0" applyFill="0" applyBorder="0" applyAlignment="0" applyProtection="0"/>
    <xf numFmtId="41" fontId="51" fillId="0" borderId="0" applyFont="0" applyFill="0" applyBorder="0" applyAlignment="0" applyProtection="0"/>
    <xf numFmtId="228" fontId="148" fillId="0" borderId="0" applyFont="0" applyFill="0" applyBorder="0" applyAlignment="0" applyProtection="0"/>
    <xf numFmtId="229" fontId="148" fillId="0" borderId="0" applyFont="0" applyFill="0" applyBorder="0" applyAlignment="0" applyProtection="0"/>
    <xf numFmtId="230" fontId="51" fillId="0" borderId="0" applyFont="0" applyFill="0" applyBorder="0" applyAlignment="0" applyProtection="0"/>
    <xf numFmtId="231" fontId="51" fillId="0" borderId="0" applyFont="0" applyFill="0" applyBorder="0" applyAlignment="0" applyProtection="0"/>
    <xf numFmtId="0" fontId="65" fillId="0" borderId="0"/>
    <xf numFmtId="1" fontId="65" fillId="0" borderId="0"/>
    <xf numFmtId="232" fontId="149" fillId="0" borderId="0" applyFont="0" applyFill="0" applyBorder="0" applyAlignment="0" applyProtection="0"/>
    <xf numFmtId="233" fontId="149" fillId="0" borderId="0" applyFont="0" applyFill="0" applyBorder="0" applyAlignment="0" applyProtection="0"/>
    <xf numFmtId="228" fontId="65" fillId="0" borderId="0" applyFont="0" applyFill="0" applyBorder="0" applyAlignment="0" applyProtection="0"/>
    <xf numFmtId="229" fontId="65" fillId="0" borderId="0" applyFont="0" applyFill="0" applyBorder="0" applyAlignment="0" applyProtection="0"/>
    <xf numFmtId="0" fontId="62" fillId="0" borderId="0"/>
    <xf numFmtId="41" fontId="62" fillId="0" borderId="0" applyFont="0" applyFill="0" applyBorder="0" applyAlignment="0" applyProtection="0"/>
    <xf numFmtId="43" fontId="62" fillId="0" borderId="0" applyFont="0" applyFill="0" applyBorder="0" applyAlignment="0" applyProtection="0"/>
    <xf numFmtId="41" fontId="65" fillId="0" borderId="0" applyFont="0" applyFill="0" applyBorder="0" applyAlignment="0" applyProtection="0"/>
    <xf numFmtId="43" fontId="65" fillId="0" borderId="0" applyFont="0" applyFill="0" applyBorder="0" applyAlignment="0" applyProtection="0"/>
    <xf numFmtId="43" fontId="38" fillId="0" borderId="0" applyFont="0" applyFill="0" applyBorder="0" applyAlignment="0" applyProtection="0">
      <alignment vertical="center"/>
    </xf>
    <xf numFmtId="43" fontId="38" fillId="0" borderId="0" applyFont="0" applyFill="0" applyBorder="0" applyAlignment="0" applyProtection="0"/>
    <xf numFmtId="43" fontId="38" fillId="0" borderId="0" applyFont="0" applyFill="0" applyBorder="0" applyAlignment="0" applyProtection="0">
      <alignment vertical="center"/>
    </xf>
    <xf numFmtId="43" fontId="38" fillId="0" borderId="0" applyFont="0" applyFill="0" applyBorder="0" applyAlignment="0" applyProtection="0"/>
    <xf numFmtId="43" fontId="18" fillId="0" borderId="0" applyFont="0" applyFill="0" applyBorder="0" applyAlignment="0" applyProtection="0"/>
    <xf numFmtId="43" fontId="38" fillId="0" borderId="0" applyFont="0" applyFill="0" applyBorder="0" applyAlignment="0" applyProtection="0"/>
    <xf numFmtId="0" fontId="51" fillId="0" borderId="0" applyFont="0" applyFill="0" applyBorder="0" applyAlignment="0" applyProtection="0"/>
    <xf numFmtId="43" fontId="38" fillId="0" borderId="0" applyFont="0" applyFill="0" applyBorder="0" applyAlignment="0" applyProtection="0"/>
    <xf numFmtId="43" fontId="156" fillId="0" borderId="0" applyFont="0" applyFill="0" applyBorder="0" applyAlignment="0" applyProtection="0">
      <alignment vertical="center"/>
    </xf>
    <xf numFmtId="41" fontId="38" fillId="0" borderId="0" applyFont="0" applyFill="0" applyBorder="0" applyAlignment="0" applyProtection="0"/>
    <xf numFmtId="0" fontId="150" fillId="0" borderId="0"/>
    <xf numFmtId="0" fontId="151" fillId="52" borderId="0" applyNumberFormat="0" applyBorder="0" applyAlignment="0" applyProtection="0"/>
    <xf numFmtId="0" fontId="151" fillId="53" borderId="0" applyNumberFormat="0" applyBorder="0" applyAlignment="0" applyProtection="0"/>
    <xf numFmtId="0" fontId="151" fillId="54" borderId="0" applyNumberFormat="0" applyBorder="0" applyAlignment="0" applyProtection="0"/>
    <xf numFmtId="211" fontId="51" fillId="0" borderId="0" applyFont="0" applyFill="0" applyBorder="0" applyAlignment="0" applyProtection="0"/>
    <xf numFmtId="234" fontId="128" fillId="0" borderId="0" applyFont="0" applyFill="0" applyBorder="0" applyAlignment="0" applyProtection="0"/>
    <xf numFmtId="0" fontId="63" fillId="0" borderId="0">
      <alignment vertical="top"/>
    </xf>
    <xf numFmtId="0" fontId="63" fillId="0" borderId="0">
      <alignment vertical="top"/>
      <protection locked="0"/>
    </xf>
    <xf numFmtId="0" fontId="63" fillId="0" borderId="0">
      <alignment vertical="top"/>
    </xf>
    <xf numFmtId="176" fontId="63" fillId="0" borderId="0">
      <alignment vertical="top"/>
    </xf>
    <xf numFmtId="0" fontId="148" fillId="0" borderId="0"/>
    <xf numFmtId="0" fontId="152" fillId="0" borderId="0"/>
    <xf numFmtId="40" fontId="130" fillId="0" borderId="0" applyFont="0" applyFill="0" applyBorder="0" applyAlignment="0" applyProtection="0"/>
    <xf numFmtId="38" fontId="130" fillId="0" borderId="0" applyFont="0" applyFill="0" applyBorder="0" applyAlignment="0" applyProtection="0"/>
    <xf numFmtId="216" fontId="51" fillId="0" borderId="9" applyNumberFormat="0"/>
    <xf numFmtId="38" fontId="60" fillId="0" borderId="0" applyFont="0" applyFill="0" applyBorder="0" applyAlignment="0" applyProtection="0"/>
    <xf numFmtId="40" fontId="60" fillId="0" borderId="0" applyFont="0" applyFill="0" applyBorder="0" applyAlignment="0" applyProtection="0"/>
    <xf numFmtId="0" fontId="60" fillId="0" borderId="0" applyFont="0" applyFill="0" applyBorder="0" applyAlignment="0" applyProtection="0"/>
    <xf numFmtId="0" fontId="60" fillId="0" borderId="0" applyFont="0" applyFill="0" applyBorder="0" applyAlignment="0" applyProtection="0"/>
    <xf numFmtId="0" fontId="153" fillId="0" borderId="0"/>
    <xf numFmtId="176" fontId="1" fillId="0" borderId="0">
      <alignment vertical="center"/>
    </xf>
  </cellStyleXfs>
  <cellXfs count="264">
    <xf numFmtId="0" fontId="0" fillId="0" borderId="0" xfId="0">
      <alignment vertical="center"/>
    </xf>
    <xf numFmtId="0" fontId="2" fillId="0" borderId="0" xfId="609" applyFont="1">
      <alignment vertical="center"/>
    </xf>
    <xf numFmtId="0" fontId="2" fillId="0" borderId="0" xfId="556" applyFont="1" applyAlignment="1">
      <alignment vertical="center"/>
      <protection locked="0"/>
    </xf>
    <xf numFmtId="0" fontId="2" fillId="0" borderId="0" xfId="556" applyFont="1" applyAlignment="1">
      <alignment horizontal="left" vertical="center"/>
      <protection locked="0"/>
    </xf>
    <xf numFmtId="0" fontId="2" fillId="0" borderId="0" xfId="608" applyFont="1" applyAlignment="1">
      <alignment horizontal="left" vertical="center"/>
    </xf>
    <xf numFmtId="0" fontId="2" fillId="0" borderId="0" xfId="608" applyFont="1" applyAlignment="1">
      <alignment horizontal="justify" vertical="center" wrapText="1"/>
    </xf>
    <xf numFmtId="0" fontId="5" fillId="0" borderId="0" xfId="608" applyFont="1" applyAlignment="1">
      <alignment horizontal="left" vertical="center"/>
    </xf>
    <xf numFmtId="0" fontId="2" fillId="0" borderId="0" xfId="608" applyFont="1">
      <alignment vertical="center"/>
    </xf>
    <xf numFmtId="0" fontId="2" fillId="0" borderId="0" xfId="608" applyFont="1" applyAlignment="1">
      <alignment horizontal="left" vertical="center" indent="1"/>
    </xf>
    <xf numFmtId="0" fontId="6" fillId="0" borderId="0" xfId="580" applyFont="1" applyAlignment="1">
      <alignment horizontal="center" vertical="center"/>
      <protection locked="0"/>
    </xf>
    <xf numFmtId="0" fontId="2" fillId="0" borderId="0" xfId="580" applyFont="1" applyAlignment="1">
      <alignment horizontal="center" vertical="center"/>
      <protection locked="0"/>
    </xf>
    <xf numFmtId="0" fontId="5" fillId="2" borderId="5" xfId="570" applyFont="1" applyFill="1" applyBorder="1" applyAlignment="1">
      <alignment horizontal="center" vertical="center" wrapText="1"/>
      <protection locked="0"/>
    </xf>
    <xf numFmtId="0" fontId="6" fillId="0" borderId="5" xfId="570" applyFont="1" applyBorder="1" applyAlignment="1" applyProtection="1">
      <alignment horizontal="center" vertical="center" wrapText="1"/>
    </xf>
    <xf numFmtId="43" fontId="8" fillId="0" borderId="5" xfId="570" applyNumberFormat="1" applyFont="1" applyBorder="1" applyAlignment="1" applyProtection="1">
      <alignment horizontal="right" vertical="center" shrinkToFit="1"/>
    </xf>
    <xf numFmtId="14" fontId="8" fillId="0" borderId="5" xfId="570" applyNumberFormat="1" applyFont="1" applyBorder="1" applyAlignment="1" applyProtection="1">
      <alignment horizontal="center" vertical="center" shrinkToFit="1"/>
    </xf>
    <xf numFmtId="0" fontId="8" fillId="0" borderId="5" xfId="570" applyFont="1" applyBorder="1" applyAlignment="1" applyProtection="1">
      <alignment horizontal="center" vertical="center" shrinkToFit="1"/>
    </xf>
    <xf numFmtId="10" fontId="8" fillId="0" borderId="5" xfId="570" applyNumberFormat="1" applyFont="1" applyBorder="1" applyAlignment="1" applyProtection="1">
      <alignment horizontal="center" vertical="center" shrinkToFit="1"/>
    </xf>
    <xf numFmtId="0" fontId="2" fillId="0" borderId="5" xfId="570" applyFont="1" applyBorder="1" applyAlignment="1" applyProtection="1">
      <alignment horizontal="center" vertical="center" wrapText="1"/>
    </xf>
    <xf numFmtId="43" fontId="2" fillId="0" borderId="5" xfId="570" applyNumberFormat="1" applyFont="1" applyBorder="1" applyAlignment="1" applyProtection="1">
      <alignment horizontal="left" vertical="center" shrinkToFit="1"/>
    </xf>
    <xf numFmtId="43" fontId="9" fillId="0" borderId="5" xfId="570" applyNumberFormat="1" applyFont="1" applyBorder="1" applyAlignment="1" applyProtection="1">
      <alignment horizontal="right" vertical="center" shrinkToFit="1"/>
    </xf>
    <xf numFmtId="43" fontId="9" fillId="0" borderId="5" xfId="570" applyNumberFormat="1" applyFont="1" applyBorder="1" applyAlignment="1" applyProtection="1">
      <alignment horizontal="center" vertical="center" shrinkToFit="1"/>
    </xf>
    <xf numFmtId="14" fontId="9" fillId="0" borderId="5" xfId="570" applyNumberFormat="1" applyFont="1" applyBorder="1" applyAlignment="1" applyProtection="1">
      <alignment horizontal="center" vertical="center" shrinkToFit="1"/>
    </xf>
    <xf numFmtId="0" fontId="9" fillId="0" borderId="5" xfId="570" applyFont="1" applyBorder="1" applyAlignment="1" applyProtection="1">
      <alignment horizontal="center" vertical="center" shrinkToFit="1"/>
    </xf>
    <xf numFmtId="10" fontId="9" fillId="0" borderId="5" xfId="570" applyNumberFormat="1" applyFont="1" applyBorder="1" applyAlignment="1" applyProtection="1">
      <alignment horizontal="center" vertical="center" shrinkToFit="1"/>
    </xf>
    <xf numFmtId="43" fontId="10" fillId="3" borderId="5" xfId="700" applyFont="1" applyFill="1" applyBorder="1" applyAlignment="1">
      <alignment horizontal="center" vertical="center"/>
    </xf>
    <xf numFmtId="43" fontId="10" fillId="3" borderId="5" xfId="700" applyFont="1" applyFill="1" applyBorder="1" applyAlignment="1">
      <alignment horizontal="right" vertical="center"/>
    </xf>
    <xf numFmtId="14" fontId="10" fillId="3" borderId="5" xfId="700" applyNumberFormat="1" applyFont="1" applyFill="1" applyBorder="1" applyAlignment="1">
      <alignment horizontal="center" vertical="center"/>
    </xf>
    <xf numFmtId="0" fontId="5" fillId="0" borderId="0" xfId="556" applyFont="1" applyAlignment="1">
      <alignment vertical="center"/>
      <protection locked="0"/>
    </xf>
    <xf numFmtId="0" fontId="2" fillId="0" borderId="0" xfId="556" applyFont="1" applyAlignment="1">
      <alignment horizontal="left" vertical="center" indent="1"/>
      <protection locked="0"/>
    </xf>
    <xf numFmtId="0" fontId="11" fillId="0" borderId="0" xfId="580" applyFont="1" applyAlignment="1">
      <alignment horizontal="left" vertical="center"/>
      <protection locked="0"/>
    </xf>
    <xf numFmtId="0" fontId="11" fillId="0" borderId="0" xfId="556" applyFont="1" applyAlignment="1">
      <alignment vertical="center"/>
      <protection locked="0"/>
    </xf>
    <xf numFmtId="0" fontId="12" fillId="0" borderId="0" xfId="556" applyFont="1" applyAlignment="1">
      <alignment vertical="center"/>
      <protection locked="0"/>
    </xf>
    <xf numFmtId="0" fontId="2" fillId="0" borderId="0" xfId="556" applyFont="1" applyAlignment="1">
      <alignment horizontal="right" vertical="center" wrapText="1"/>
      <protection locked="0"/>
    </xf>
    <xf numFmtId="0" fontId="2" fillId="0" borderId="0" xfId="556" applyFont="1" applyAlignment="1">
      <alignment horizontal="center" vertical="center"/>
      <protection locked="0"/>
    </xf>
    <xf numFmtId="43" fontId="8" fillId="3" borderId="5" xfId="700" applyFont="1" applyFill="1" applyBorder="1" applyAlignment="1">
      <alignment horizontal="right" vertical="center"/>
    </xf>
    <xf numFmtId="0" fontId="6" fillId="0" borderId="5" xfId="612" applyFont="1" applyBorder="1" applyAlignment="1">
      <alignment horizontal="center" vertical="center"/>
      <protection locked="0"/>
    </xf>
    <xf numFmtId="0" fontId="2" fillId="0" borderId="5" xfId="612" applyFont="1" applyBorder="1">
      <protection locked="0"/>
    </xf>
    <xf numFmtId="43" fontId="13" fillId="3" borderId="5" xfId="700" applyFont="1" applyFill="1" applyBorder="1" applyAlignment="1">
      <alignment horizontal="right" vertical="center"/>
    </xf>
    <xf numFmtId="0" fontId="2" fillId="0" borderId="5" xfId="612" applyFont="1" applyBorder="1" applyAlignment="1">
      <alignment horizontal="center" vertical="center"/>
      <protection locked="0"/>
    </xf>
    <xf numFmtId="43" fontId="14" fillId="3" borderId="5" xfId="700" applyFont="1" applyFill="1" applyBorder="1" applyAlignment="1">
      <alignment horizontal="right" vertical="center"/>
    </xf>
    <xf numFmtId="0" fontId="5" fillId="3" borderId="5" xfId="612" applyFont="1" applyFill="1" applyBorder="1">
      <protection locked="0"/>
    </xf>
    <xf numFmtId="0" fontId="15" fillId="0" borderId="0" xfId="0" applyFont="1">
      <alignment vertical="center"/>
    </xf>
    <xf numFmtId="0" fontId="18" fillId="0" borderId="0" xfId="613" applyFont="1" applyBorder="1" applyAlignment="1">
      <alignment vertical="center"/>
    </xf>
    <xf numFmtId="0" fontId="19" fillId="2" borderId="5" xfId="557" applyFont="1" applyFill="1" applyBorder="1" applyAlignment="1">
      <alignment horizontal="center" vertical="center"/>
    </xf>
    <xf numFmtId="0" fontId="19" fillId="2" borderId="5" xfId="557" applyFont="1" applyFill="1" applyBorder="1" applyAlignment="1">
      <alignment horizontal="center" vertical="center" wrapText="1"/>
    </xf>
    <xf numFmtId="0" fontId="20" fillId="2" borderId="5" xfId="581" applyNumberFormat="1" applyFont="1" applyFill="1" applyBorder="1" applyAlignment="1" applyProtection="1">
      <alignment horizontal="center" vertical="center" wrapText="1"/>
      <protection locked="0"/>
    </xf>
    <xf numFmtId="0" fontId="21" fillId="2" borderId="5" xfId="581" applyNumberFormat="1" applyFont="1" applyFill="1" applyBorder="1" applyAlignment="1" applyProtection="1">
      <alignment horizontal="center" vertical="center" wrapText="1"/>
      <protection locked="0"/>
    </xf>
    <xf numFmtId="0" fontId="22" fillId="0" borderId="5" xfId="557" applyFont="1" applyBorder="1">
      <alignment vertical="center"/>
    </xf>
    <xf numFmtId="43" fontId="13" fillId="0" borderId="5" xfId="557" applyNumberFormat="1" applyFont="1" applyBorder="1">
      <alignment vertical="center"/>
    </xf>
    <xf numFmtId="0" fontId="18" fillId="0" borderId="5" xfId="557" applyFont="1" applyBorder="1">
      <alignment vertical="center"/>
    </xf>
    <xf numFmtId="0" fontId="23" fillId="0" borderId="5" xfId="557" applyFont="1" applyBorder="1" applyAlignment="1">
      <alignment horizontal="left" vertical="center"/>
    </xf>
    <xf numFmtId="0" fontId="19" fillId="0" borderId="5" xfId="557" applyFont="1" applyBorder="1" applyAlignment="1">
      <alignment horizontal="center" vertical="center"/>
    </xf>
    <xf numFmtId="0" fontId="20" fillId="0" borderId="0" xfId="613" applyFont="1" applyBorder="1" applyAlignment="1">
      <alignment horizontal="left" vertical="center"/>
    </xf>
    <xf numFmtId="0" fontId="18" fillId="0" borderId="0" xfId="611" applyFont="1" applyAlignment="1">
      <alignment vertical="center"/>
    </xf>
    <xf numFmtId="0" fontId="18" fillId="0" borderId="0" xfId="611" applyFont="1" applyAlignment="1">
      <alignment horizontal="left" vertical="center"/>
    </xf>
    <xf numFmtId="0" fontId="18" fillId="0" borderId="0" xfId="613" applyFont="1" applyFill="1" applyBorder="1" applyAlignment="1">
      <alignment vertical="center"/>
    </xf>
    <xf numFmtId="0" fontId="20" fillId="0" borderId="0" xfId="611" applyFont="1" applyAlignment="1">
      <alignment vertical="center"/>
    </xf>
    <xf numFmtId="0" fontId="15" fillId="0" borderId="0" xfId="557" applyFont="1" applyProtection="1">
      <alignment vertical="center"/>
      <protection locked="0"/>
    </xf>
    <xf numFmtId="0" fontId="18" fillId="0" borderId="0" xfId="613" applyFont="1" applyBorder="1" applyAlignment="1">
      <alignment horizontal="left" vertical="center"/>
    </xf>
    <xf numFmtId="0" fontId="13" fillId="0" borderId="5" xfId="557" applyFont="1" applyBorder="1">
      <alignment vertical="center"/>
    </xf>
    <xf numFmtId="0" fontId="18" fillId="0" borderId="0" xfId="556" applyFont="1" applyAlignment="1">
      <alignment vertical="center"/>
      <protection locked="0"/>
    </xf>
    <xf numFmtId="0" fontId="18" fillId="0" borderId="0" xfId="556" applyFont="1" applyAlignment="1">
      <alignment horizontal="left" vertical="center"/>
      <protection locked="0"/>
    </xf>
    <xf numFmtId="0" fontId="18" fillId="0" borderId="0" xfId="608" applyFont="1" applyAlignment="1">
      <alignment horizontal="left" vertical="center"/>
    </xf>
    <xf numFmtId="0" fontId="18" fillId="0" borderId="0" xfId="608" applyFont="1" applyAlignment="1">
      <alignment horizontal="justify" vertical="center" wrapText="1"/>
    </xf>
    <xf numFmtId="0" fontId="20" fillId="0" borderId="0" xfId="608" applyFont="1" applyAlignment="1">
      <alignment horizontal="left" vertical="center"/>
    </xf>
    <xf numFmtId="0" fontId="18" fillId="0" borderId="0" xfId="608" applyFont="1">
      <alignment vertical="center"/>
    </xf>
    <xf numFmtId="0" fontId="23" fillId="0" borderId="0" xfId="580" applyFont="1" applyAlignment="1">
      <alignment horizontal="left" vertical="center"/>
      <protection locked="0"/>
    </xf>
    <xf numFmtId="0" fontId="20" fillId="3" borderId="5" xfId="383" applyFont="1" applyFill="1" applyBorder="1" applyAlignment="1">
      <alignment horizontal="center" vertical="center" wrapText="1"/>
    </xf>
    <xf numFmtId="0" fontId="20" fillId="2" borderId="1" xfId="0" applyFont="1" applyFill="1" applyBorder="1" applyAlignment="1" applyProtection="1">
      <alignment horizontal="center" vertical="center" wrapText="1"/>
      <protection locked="0"/>
    </xf>
    <xf numFmtId="0" fontId="20" fillId="2" borderId="5" xfId="0" applyFont="1" applyFill="1" applyBorder="1" applyAlignment="1" applyProtection="1">
      <alignment horizontal="center" vertical="center" wrapText="1"/>
      <protection locked="0"/>
    </xf>
    <xf numFmtId="0" fontId="18" fillId="0" borderId="5" xfId="383" applyFont="1" applyBorder="1" applyAlignment="1" applyProtection="1">
      <alignment horizontal="left" vertical="center" shrinkToFit="1"/>
      <protection locked="0"/>
    </xf>
    <xf numFmtId="43" fontId="9" fillId="0" borderId="5" xfId="1" applyFont="1" applyFill="1" applyBorder="1" applyAlignment="1" applyProtection="1">
      <alignment horizontal="left" vertical="center" shrinkToFit="1"/>
      <protection locked="0"/>
    </xf>
    <xf numFmtId="43" fontId="9" fillId="3" borderId="5" xfId="1" applyFont="1" applyFill="1" applyBorder="1" applyAlignment="1" applyProtection="1">
      <alignment horizontal="left" vertical="center" shrinkToFit="1"/>
      <protection locked="0"/>
    </xf>
    <xf numFmtId="0" fontId="20" fillId="3" borderId="5" xfId="383" applyFont="1" applyFill="1" applyBorder="1" applyAlignment="1">
      <alignment horizontal="center" vertical="center" shrinkToFit="1"/>
    </xf>
    <xf numFmtId="43" fontId="25" fillId="3" borderId="5" xfId="383" applyNumberFormat="1" applyFont="1" applyFill="1" applyBorder="1" applyAlignment="1">
      <alignment horizontal="left" vertical="center" shrinkToFit="1"/>
    </xf>
    <xf numFmtId="0" fontId="26" fillId="0" borderId="0" xfId="0" applyFont="1">
      <alignment vertical="center"/>
    </xf>
    <xf numFmtId="0" fontId="18" fillId="0" borderId="0" xfId="556" applyFont="1" applyAlignment="1">
      <alignment horizontal="right" vertical="center" wrapText="1"/>
      <protection locked="0"/>
    </xf>
    <xf numFmtId="43" fontId="9" fillId="3" borderId="5" xfId="1" applyFont="1" applyFill="1" applyBorder="1" applyAlignment="1" applyProtection="1">
      <alignment vertical="center" shrinkToFit="1"/>
      <protection locked="0"/>
    </xf>
    <xf numFmtId="43" fontId="9" fillId="0" borderId="5" xfId="1" applyFont="1" applyFill="1" applyBorder="1" applyAlignment="1" applyProtection="1">
      <alignment vertical="center" shrinkToFit="1"/>
      <protection locked="0"/>
    </xf>
    <xf numFmtId="0" fontId="18" fillId="0" borderId="5" xfId="286" applyNumberFormat="1" applyFont="1" applyFill="1" applyBorder="1" applyAlignment="1" applyProtection="1">
      <alignment vertical="center" shrinkToFit="1"/>
      <protection locked="0"/>
    </xf>
    <xf numFmtId="0" fontId="20" fillId="3" borderId="5" xfId="1" applyNumberFormat="1" applyFont="1" applyFill="1" applyBorder="1" applyAlignment="1" applyProtection="1">
      <alignment vertical="center" shrinkToFit="1"/>
    </xf>
    <xf numFmtId="0" fontId="25" fillId="0" borderId="0" xfId="556" applyFont="1" applyAlignment="1">
      <alignment vertical="center"/>
      <protection locked="0"/>
    </xf>
    <xf numFmtId="0" fontId="27" fillId="0" borderId="0" xfId="556" applyFont="1" applyAlignment="1">
      <alignment vertical="center"/>
      <protection locked="0"/>
    </xf>
    <xf numFmtId="0" fontId="9" fillId="0" borderId="0" xfId="556" applyFont="1" applyAlignment="1">
      <alignment vertical="center"/>
      <protection locked="0"/>
    </xf>
    <xf numFmtId="0" fontId="28" fillId="0" borderId="0" xfId="556" applyFont="1">
      <protection locked="0"/>
    </xf>
    <xf numFmtId="0" fontId="9" fillId="0" borderId="0" xfId="556" applyFont="1">
      <protection locked="0"/>
    </xf>
    <xf numFmtId="0" fontId="9" fillId="0" borderId="0" xfId="556" applyFont="1" applyAlignment="1">
      <alignment horizontal="left" vertical="center"/>
      <protection locked="0"/>
    </xf>
    <xf numFmtId="14" fontId="9" fillId="0" borderId="0" xfId="556" applyNumberFormat="1" applyFont="1" applyAlignment="1">
      <alignment horizontal="left" vertical="center"/>
      <protection locked="0"/>
    </xf>
    <xf numFmtId="0" fontId="9" fillId="0" borderId="0" xfId="608" applyFont="1" applyAlignment="1">
      <alignment horizontal="justify" vertical="center" wrapText="1"/>
    </xf>
    <xf numFmtId="0" fontId="29" fillId="0" borderId="0" xfId="0" applyFont="1" applyAlignment="1">
      <alignment horizontal="left" vertical="center"/>
    </xf>
    <xf numFmtId="0" fontId="29" fillId="0" borderId="0" xfId="0" applyFont="1">
      <alignment vertical="center"/>
    </xf>
    <xf numFmtId="0" fontId="30" fillId="0" borderId="6" xfId="0" applyFont="1" applyBorder="1" applyAlignment="1">
      <alignment horizontal="justify" vertical="center" wrapText="1"/>
    </xf>
    <xf numFmtId="0" fontId="30" fillId="0" borderId="6" xfId="0" applyFont="1" applyBorder="1" applyAlignment="1">
      <alignment horizontal="right" vertical="center" wrapText="1"/>
    </xf>
    <xf numFmtId="0" fontId="31" fillId="0" borderId="0" xfId="0" applyFont="1">
      <alignment vertical="center"/>
    </xf>
    <xf numFmtId="0" fontId="32" fillId="0" borderId="0" xfId="556" applyFont="1">
      <protection locked="0"/>
    </xf>
    <xf numFmtId="43" fontId="33" fillId="0" borderId="0" xfId="554" applyNumberFormat="1" applyFont="1" applyAlignment="1">
      <alignment horizontal="justify" vertical="center" wrapText="1"/>
    </xf>
    <xf numFmtId="43" fontId="34" fillId="0" borderId="0" xfId="0" applyNumberFormat="1" applyFont="1" applyAlignment="1">
      <alignment horizontal="right" vertical="center" wrapText="1"/>
    </xf>
    <xf numFmtId="43" fontId="33" fillId="0" borderId="7" xfId="554" applyNumberFormat="1" applyFont="1" applyBorder="1" applyAlignment="1">
      <alignment horizontal="justify" vertical="center" wrapText="1"/>
    </xf>
    <xf numFmtId="43" fontId="30" fillId="0" borderId="6" xfId="0" applyNumberFormat="1" applyFont="1" applyBorder="1" applyAlignment="1">
      <alignment horizontal="right" vertical="center" wrapText="1"/>
    </xf>
    <xf numFmtId="0" fontId="35" fillId="0" borderId="0" xfId="0" applyFont="1" applyAlignment="1">
      <alignment horizontal="left" vertical="center"/>
    </xf>
    <xf numFmtId="0" fontId="36" fillId="0" borderId="0" xfId="0" applyFont="1">
      <alignment vertical="center"/>
    </xf>
    <xf numFmtId="0" fontId="37" fillId="0" borderId="0" xfId="556" applyFont="1">
      <protection locked="0"/>
    </xf>
    <xf numFmtId="14" fontId="9" fillId="0" borderId="0" xfId="556" applyNumberFormat="1" applyFont="1" applyAlignment="1">
      <alignment vertical="center"/>
      <protection locked="0"/>
    </xf>
    <xf numFmtId="43" fontId="9" fillId="0" borderId="0" xfId="613" applyNumberFormat="1" applyFont="1" applyFill="1" applyBorder="1" applyAlignment="1">
      <alignment horizontal="left" vertical="center"/>
    </xf>
    <xf numFmtId="43" fontId="9" fillId="0" borderId="0" xfId="613" applyNumberFormat="1" applyFont="1" applyFill="1" applyBorder="1" applyAlignment="1">
      <alignment vertical="center"/>
    </xf>
    <xf numFmtId="0" fontId="29" fillId="0" borderId="0" xfId="0" applyFont="1" applyAlignment="1">
      <alignment horizontal="justify" vertical="center"/>
    </xf>
    <xf numFmtId="0" fontId="38" fillId="0" borderId="0" xfId="0" applyFont="1" applyAlignment="1">
      <alignment horizontal="left" vertical="center"/>
    </xf>
    <xf numFmtId="0" fontId="38" fillId="0" borderId="0" xfId="0" applyFont="1">
      <alignment vertical="center"/>
    </xf>
    <xf numFmtId="0" fontId="30" fillId="0" borderId="6" xfId="0" applyFont="1" applyBorder="1" applyAlignment="1">
      <alignment horizontal="left" vertical="center" wrapText="1"/>
    </xf>
    <xf numFmtId="0" fontId="39" fillId="0" borderId="6" xfId="0" applyFont="1" applyBorder="1" applyAlignment="1">
      <alignment horizontal="left" vertical="center" wrapText="1"/>
    </xf>
    <xf numFmtId="0" fontId="34" fillId="0" borderId="0" xfId="0" applyFont="1" applyAlignment="1">
      <alignment horizontal="left" vertical="center" wrapText="1"/>
    </xf>
    <xf numFmtId="43" fontId="28" fillId="0" borderId="0" xfId="0" applyNumberFormat="1" applyFont="1" applyAlignment="1">
      <alignment horizontal="left" vertical="center" wrapText="1"/>
    </xf>
    <xf numFmtId="0" fontId="40" fillId="0" borderId="0" xfId="0" applyFont="1" applyAlignment="1">
      <alignment horizontal="left" vertical="center" wrapText="1"/>
    </xf>
    <xf numFmtId="43" fontId="28" fillId="0" borderId="0" xfId="1" applyFont="1" applyFill="1" applyAlignment="1">
      <alignment horizontal="left" vertical="center" wrapText="1"/>
    </xf>
    <xf numFmtId="0" fontId="30" fillId="0" borderId="7" xfId="0" applyFont="1" applyBorder="1" applyAlignment="1">
      <alignment horizontal="left" vertical="center" wrapText="1"/>
    </xf>
    <xf numFmtId="43" fontId="27" fillId="0" borderId="7" xfId="0" applyNumberFormat="1" applyFont="1" applyBorder="1" applyAlignment="1">
      <alignment horizontal="left" vertical="center" wrapText="1"/>
    </xf>
    <xf numFmtId="0" fontId="34" fillId="0" borderId="0" xfId="0" applyFont="1" applyAlignment="1">
      <alignment horizontal="left" vertical="center"/>
    </xf>
    <xf numFmtId="0" fontId="40" fillId="0" borderId="0" xfId="0" applyFont="1" applyAlignment="1">
      <alignment horizontal="left" vertical="center"/>
    </xf>
    <xf numFmtId="0" fontId="28" fillId="0" borderId="0" xfId="0" applyFont="1" applyAlignment="1">
      <alignment horizontal="left" vertical="center"/>
    </xf>
    <xf numFmtId="0" fontId="41" fillId="0" borderId="6" xfId="0" applyFont="1" applyBorder="1" applyAlignment="1">
      <alignment horizontal="left" vertical="center" wrapText="1"/>
    </xf>
    <xf numFmtId="0" fontId="28" fillId="0" borderId="0" xfId="0" applyFont="1" applyAlignment="1">
      <alignment horizontal="left" vertical="center" wrapText="1"/>
    </xf>
    <xf numFmtId="0" fontId="42" fillId="0" borderId="0" xfId="0" applyFont="1" applyAlignment="1">
      <alignment horizontal="left" vertical="center" wrapText="1"/>
    </xf>
    <xf numFmtId="0" fontId="43" fillId="0" borderId="0" xfId="0" applyFont="1" applyAlignment="1">
      <alignment horizontal="left" vertical="center" wrapText="1"/>
    </xf>
    <xf numFmtId="0" fontId="39" fillId="0" borderId="7" xfId="0" applyFont="1" applyBorder="1" applyAlignment="1">
      <alignment horizontal="left" vertical="center" wrapText="1"/>
    </xf>
    <xf numFmtId="43" fontId="27" fillId="0" borderId="7" xfId="1" applyFont="1" applyFill="1" applyBorder="1" applyAlignment="1">
      <alignment horizontal="right" vertical="center" wrapText="1"/>
    </xf>
    <xf numFmtId="0" fontId="44" fillId="0" borderId="6" xfId="0" applyFont="1" applyBorder="1" applyAlignment="1">
      <alignment horizontal="left" vertical="center" wrapText="1"/>
    </xf>
    <xf numFmtId="0" fontId="32" fillId="0" borderId="0" xfId="0" applyFont="1" applyAlignment="1">
      <alignment horizontal="left" vertical="center" wrapText="1"/>
    </xf>
    <xf numFmtId="0" fontId="32" fillId="0" borderId="7" xfId="0" applyFont="1" applyBorder="1" applyAlignment="1">
      <alignment horizontal="left" vertical="center" wrapText="1"/>
    </xf>
    <xf numFmtId="0" fontId="28" fillId="0" borderId="7" xfId="0" applyFont="1" applyBorder="1" applyAlignment="1">
      <alignment horizontal="left" vertical="center" wrapText="1"/>
    </xf>
    <xf numFmtId="0" fontId="44" fillId="0" borderId="7" xfId="0" applyFont="1" applyBorder="1" applyAlignment="1">
      <alignment horizontal="left" vertical="center" wrapText="1"/>
    </xf>
    <xf numFmtId="43" fontId="27" fillId="0" borderId="7" xfId="1" applyFont="1" applyFill="1" applyBorder="1" applyAlignment="1">
      <alignment horizontal="left" vertical="center" wrapText="1"/>
    </xf>
    <xf numFmtId="0" fontId="5" fillId="0" borderId="0" xfId="613" applyFont="1" applyBorder="1" applyAlignment="1">
      <alignment vertical="center"/>
    </xf>
    <xf numFmtId="0" fontId="5" fillId="0" borderId="0" xfId="613" applyFont="1" applyFill="1" applyBorder="1" applyAlignment="1">
      <alignment vertical="center"/>
    </xf>
    <xf numFmtId="0" fontId="2" fillId="0" borderId="0" xfId="613" applyFont="1" applyFill="1" applyBorder="1" applyAlignment="1">
      <alignment vertical="center"/>
    </xf>
    <xf numFmtId="0" fontId="2" fillId="0" borderId="0" xfId="613" applyFont="1" applyBorder="1" applyAlignment="1">
      <alignment vertical="center"/>
    </xf>
    <xf numFmtId="0" fontId="2" fillId="0" borderId="0" xfId="613" applyFont="1" applyBorder="1" applyAlignment="1">
      <alignment horizontal="left" vertical="center"/>
    </xf>
    <xf numFmtId="0" fontId="5" fillId="2" borderId="5" xfId="581" applyNumberFormat="1" applyFont="1" applyFill="1" applyBorder="1" applyAlignment="1" applyProtection="1">
      <alignment horizontal="center" vertical="center" wrapText="1"/>
      <protection locked="0"/>
    </xf>
    <xf numFmtId="0" fontId="45" fillId="0" borderId="5" xfId="570" applyFont="1" applyBorder="1" applyAlignment="1" applyProtection="1">
      <alignment vertical="center"/>
    </xf>
    <xf numFmtId="0" fontId="45" fillId="0" borderId="5" xfId="570" applyFont="1" applyBorder="1" applyAlignment="1" applyProtection="1">
      <alignment horizontal="center" vertical="center"/>
    </xf>
    <xf numFmtId="43" fontId="13" fillId="0" borderId="5" xfId="700" applyFont="1" applyFill="1" applyBorder="1" applyAlignment="1">
      <alignment horizontal="right" vertical="center"/>
    </xf>
    <xf numFmtId="0" fontId="14" fillId="3" borderId="5" xfId="570" applyFont="1" applyFill="1" applyBorder="1" applyAlignment="1" applyProtection="1">
      <alignment horizontal="center" vertical="center"/>
    </xf>
    <xf numFmtId="0" fontId="5" fillId="0" borderId="5" xfId="613" applyFont="1" applyFill="1" applyBorder="1" applyAlignment="1">
      <alignment vertical="center"/>
    </xf>
    <xf numFmtId="0" fontId="14" fillId="0" borderId="5" xfId="700" applyNumberFormat="1" applyFont="1" applyFill="1" applyBorder="1" applyAlignment="1">
      <alignment horizontal="right" vertical="center"/>
    </xf>
    <xf numFmtId="0" fontId="5" fillId="0" borderId="0" xfId="613" applyFont="1" applyBorder="1" applyAlignment="1">
      <alignment horizontal="left" vertical="center"/>
    </xf>
    <xf numFmtId="0" fontId="5" fillId="0" borderId="0" xfId="611" applyFont="1" applyAlignment="1">
      <alignment vertical="center"/>
    </xf>
    <xf numFmtId="0" fontId="46" fillId="0" borderId="0" xfId="616" applyNumberFormat="1" applyFont="1" applyBorder="1" applyAlignment="1" applyProtection="1">
      <alignment horizontal="center" vertical="center"/>
    </xf>
    <xf numFmtId="0" fontId="2" fillId="0" borderId="0" xfId="611" applyFont="1" applyAlignment="1">
      <alignment vertical="center"/>
    </xf>
    <xf numFmtId="0" fontId="47" fillId="0" borderId="0" xfId="504" applyNumberFormat="1" applyFont="1" applyBorder="1" applyAlignment="1">
      <alignment horizontal="left" vertical="center"/>
    </xf>
    <xf numFmtId="0" fontId="2" fillId="0" borderId="0" xfId="611" applyFont="1" applyAlignment="1">
      <alignment horizontal="left" vertical="center"/>
    </xf>
    <xf numFmtId="0" fontId="2" fillId="0" borderId="0" xfId="613" applyFont="1" applyBorder="1" applyAlignment="1">
      <alignment horizontal="right" vertical="center"/>
    </xf>
    <xf numFmtId="0" fontId="14" fillId="2" borderId="5" xfId="574" applyFont="1" applyFill="1" applyBorder="1" applyAlignment="1">
      <alignment horizontal="center" vertical="center" wrapText="1"/>
      <protection locked="0"/>
    </xf>
    <xf numFmtId="0" fontId="5" fillId="2" borderId="5" xfId="574" applyFont="1" applyFill="1" applyBorder="1" applyAlignment="1">
      <alignment horizontal="center" vertical="center"/>
      <protection locked="0"/>
    </xf>
    <xf numFmtId="43" fontId="9" fillId="3" borderId="5" xfId="700" applyFont="1" applyFill="1" applyBorder="1" applyAlignment="1">
      <alignment horizontal="right" vertical="center" wrapText="1"/>
    </xf>
    <xf numFmtId="43" fontId="9" fillId="3" borderId="5" xfId="504" applyNumberFormat="1" applyFont="1" applyFill="1" applyBorder="1" applyAlignment="1">
      <alignment horizontal="right" vertical="center" wrapText="1"/>
    </xf>
    <xf numFmtId="0" fontId="2" fillId="0" borderId="5" xfId="504" applyNumberFormat="1" applyFont="1" applyFill="1" applyBorder="1" applyAlignment="1">
      <alignment horizontal="right" vertical="center" wrapText="1"/>
    </xf>
    <xf numFmtId="0" fontId="18" fillId="0" borderId="0" xfId="610" applyNumberFormat="1" applyFont="1">
      <alignment vertical="center"/>
    </xf>
    <xf numFmtId="0" fontId="18" fillId="0" borderId="0" xfId="567" applyNumberFormat="1" applyFont="1">
      <alignment vertical="center"/>
      <protection locked="0"/>
    </xf>
    <xf numFmtId="0" fontId="7" fillId="0" borderId="0" xfId="0" applyFont="1" applyProtection="1">
      <alignment vertical="center"/>
      <protection locked="0"/>
    </xf>
    <xf numFmtId="0" fontId="20" fillId="0" borderId="0" xfId="614" applyNumberFormat="1" applyFont="1" applyAlignment="1">
      <alignment horizontal="left" vertical="center"/>
    </xf>
    <xf numFmtId="0" fontId="18" fillId="0" borderId="0" xfId="614" applyNumberFormat="1" applyFont="1">
      <alignment vertical="center"/>
    </xf>
    <xf numFmtId="0" fontId="18" fillId="0" borderId="0" xfId="567" applyNumberFormat="1" applyFont="1" applyAlignment="1">
      <alignment horizontal="right" vertical="center"/>
      <protection locked="0"/>
    </xf>
    <xf numFmtId="0" fontId="20" fillId="0" borderId="0" xfId="567" applyNumberFormat="1" applyFont="1" applyAlignment="1">
      <alignment horizontal="left" vertical="center"/>
      <protection locked="0"/>
    </xf>
    <xf numFmtId="0" fontId="20" fillId="0" borderId="0" xfId="567" applyNumberFormat="1" applyFont="1" applyAlignment="1">
      <alignment horizontal="justify" vertical="center"/>
      <protection locked="0"/>
    </xf>
    <xf numFmtId="0" fontId="20" fillId="2" borderId="5" xfId="601" applyFont="1" applyFill="1" applyBorder="1" applyAlignment="1" applyProtection="1">
      <alignment horizontal="center" vertical="center" wrapText="1"/>
      <protection locked="0"/>
    </xf>
    <xf numFmtId="0" fontId="20" fillId="2" borderId="5" xfId="601" applyFont="1" applyFill="1" applyBorder="1" applyAlignment="1" applyProtection="1">
      <alignment horizontal="center" vertical="center"/>
      <protection locked="0"/>
    </xf>
    <xf numFmtId="0" fontId="9" fillId="0" borderId="5" xfId="0" applyFont="1" applyBorder="1" applyAlignment="1" applyProtection="1">
      <alignment horizontal="center" vertical="center"/>
      <protection locked="0"/>
    </xf>
    <xf numFmtId="0" fontId="18" fillId="0" borderId="5" xfId="0" applyFont="1" applyBorder="1" applyAlignment="1" applyProtection="1">
      <alignment horizontal="left" vertical="center" wrapText="1"/>
      <protection locked="0"/>
    </xf>
    <xf numFmtId="0" fontId="18" fillId="0" borderId="5" xfId="0" applyFont="1" applyBorder="1" applyAlignment="1" applyProtection="1">
      <alignment horizontal="center" vertical="center" wrapText="1"/>
      <protection locked="0"/>
    </xf>
    <xf numFmtId="0" fontId="15" fillId="0" borderId="5" xfId="601" applyFont="1" applyFill="1" applyBorder="1" applyAlignment="1">
      <alignment horizontal="center" vertical="center" wrapText="1"/>
    </xf>
    <xf numFmtId="0" fontId="48" fillId="0" borderId="5" xfId="601" applyFont="1" applyFill="1" applyBorder="1" applyAlignment="1">
      <alignment horizontal="center" vertical="center" wrapText="1"/>
    </xf>
    <xf numFmtId="0" fontId="49" fillId="0" borderId="5" xfId="601" applyFont="1" applyFill="1" applyBorder="1" applyAlignment="1">
      <alignment horizontal="center" vertical="center" wrapText="1"/>
    </xf>
    <xf numFmtId="0" fontId="9" fillId="0" borderId="5" xfId="567" applyNumberFormat="1" applyFont="1" applyBorder="1" applyAlignment="1">
      <alignment horizontal="center" vertical="center" wrapText="1"/>
      <protection locked="0"/>
    </xf>
    <xf numFmtId="0" fontId="18" fillId="0" borderId="5" xfId="567" applyNumberFormat="1" applyFont="1" applyBorder="1" applyAlignment="1">
      <alignment horizontal="left" vertical="center" wrapText="1"/>
      <protection locked="0"/>
    </xf>
    <xf numFmtId="176" fontId="15" fillId="0" borderId="5" xfId="555" applyFont="1" applyFill="1" applyBorder="1" applyAlignment="1">
      <alignment horizontal="center" vertical="center" wrapText="1"/>
    </xf>
    <xf numFmtId="176" fontId="48" fillId="0" borderId="5" xfId="555" applyFont="1" applyFill="1" applyBorder="1" applyAlignment="1">
      <alignment vertical="center" wrapText="1"/>
    </xf>
    <xf numFmtId="0" fontId="18" fillId="0" borderId="5" xfId="567" applyNumberFormat="1" applyFont="1" applyBorder="1" applyAlignment="1" applyProtection="1">
      <alignment horizontal="center" vertical="center" wrapText="1"/>
    </xf>
    <xf numFmtId="0" fontId="25" fillId="0" borderId="5" xfId="570" applyFont="1" applyBorder="1" applyAlignment="1">
      <alignment horizontal="center" vertical="center" wrapText="1"/>
      <protection locked="0"/>
    </xf>
    <xf numFmtId="0" fontId="9" fillId="0" borderId="5" xfId="570" applyFont="1" applyBorder="1" applyAlignment="1">
      <alignment horizontal="center" vertical="center" wrapText="1"/>
      <protection locked="0"/>
    </xf>
    <xf numFmtId="0" fontId="18" fillId="0" borderId="5" xfId="570" applyFont="1" applyBorder="1" applyAlignment="1">
      <alignment horizontal="left" vertical="center" wrapText="1"/>
      <protection locked="0"/>
    </xf>
    <xf numFmtId="0" fontId="18" fillId="0" borderId="5" xfId="570" applyFont="1" applyBorder="1" applyAlignment="1">
      <alignment horizontal="center" vertical="center" wrapText="1"/>
      <protection locked="0"/>
    </xf>
    <xf numFmtId="176" fontId="9" fillId="0" borderId="5" xfId="605" applyFont="1" applyBorder="1" applyAlignment="1">
      <alignment vertical="center" wrapText="1"/>
    </xf>
    <xf numFmtId="0" fontId="38" fillId="0" borderId="0" xfId="556" applyAlignment="1">
      <alignment vertical="center"/>
      <protection locked="0"/>
    </xf>
    <xf numFmtId="0" fontId="50" fillId="0" borderId="0" xfId="556" applyFont="1">
      <protection locked="0"/>
    </xf>
    <xf numFmtId="0" fontId="51" fillId="0" borderId="0" xfId="556" applyFont="1">
      <protection locked="0"/>
    </xf>
    <xf numFmtId="0" fontId="38" fillId="0" borderId="0" xfId="556">
      <protection locked="0"/>
    </xf>
    <xf numFmtId="0" fontId="54" fillId="0" borderId="0" xfId="556" applyFont="1" applyAlignment="1">
      <alignment horizontal="justify" wrapText="1"/>
      <protection locked="0"/>
    </xf>
    <xf numFmtId="0" fontId="55" fillId="0" borderId="0" xfId="556" applyFont="1" applyAlignment="1">
      <alignment horizontal="justify" wrapText="1"/>
      <protection locked="0"/>
    </xf>
    <xf numFmtId="0" fontId="54" fillId="0" borderId="0" xfId="556" applyFont="1" applyAlignment="1">
      <alignment horizontal="justify" vertical="top" wrapText="1"/>
      <protection locked="0"/>
    </xf>
    <xf numFmtId="0" fontId="56" fillId="0" borderId="0" xfId="556" applyFont="1" applyAlignment="1">
      <alignment horizontal="justify" wrapText="1"/>
      <protection locked="0"/>
    </xf>
    <xf numFmtId="0" fontId="57" fillId="0" borderId="0" xfId="556" applyFont="1">
      <protection locked="0"/>
    </xf>
    <xf numFmtId="0" fontId="55" fillId="0" borderId="0" xfId="556" applyFont="1">
      <protection locked="0"/>
    </xf>
    <xf numFmtId="43" fontId="6" fillId="0" borderId="5" xfId="570" quotePrefix="1" applyNumberFormat="1" applyFont="1" applyBorder="1" applyAlignment="1" applyProtection="1">
      <alignment horizontal="left" vertical="center" shrinkToFit="1"/>
    </xf>
    <xf numFmtId="0" fontId="157" fillId="0" borderId="5" xfId="567" applyNumberFormat="1" applyFont="1" applyBorder="1" applyAlignment="1">
      <alignment horizontal="left" vertical="center" wrapText="1"/>
      <protection locked="0"/>
    </xf>
    <xf numFmtId="0" fontId="5" fillId="3" borderId="5" xfId="570" applyFont="1" applyFill="1" applyBorder="1" applyAlignment="1" applyProtection="1">
      <alignment horizontal="center" vertical="center" wrapText="1"/>
    </xf>
    <xf numFmtId="0" fontId="5" fillId="3" borderId="5" xfId="570" applyFont="1" applyFill="1" applyBorder="1" applyAlignment="1" applyProtection="1">
      <alignment vertical="center" wrapText="1"/>
    </xf>
    <xf numFmtId="0" fontId="159" fillId="0" borderId="5" xfId="601" applyFont="1" applyFill="1" applyBorder="1" applyAlignment="1">
      <alignment vertical="center" wrapText="1"/>
    </xf>
    <xf numFmtId="0" fontId="159" fillId="0" borderId="5" xfId="601" applyFont="1" applyFill="1" applyBorder="1" applyAlignment="1">
      <alignment horizontal="center" vertical="center" wrapText="1"/>
    </xf>
    <xf numFmtId="0" fontId="9" fillId="0" borderId="5" xfId="601" applyFont="1" applyFill="1" applyBorder="1" applyAlignment="1">
      <alignment horizontal="center" vertical="center" wrapText="1"/>
    </xf>
    <xf numFmtId="0" fontId="163" fillId="0" borderId="9" xfId="556" applyFont="1" applyBorder="1" applyAlignment="1">
      <alignment horizontal="center" wrapText="1"/>
      <protection locked="0"/>
    </xf>
    <xf numFmtId="0" fontId="164" fillId="0" borderId="9" xfId="2" applyFont="1" applyBorder="1" applyAlignment="1">
      <protection locked="0"/>
    </xf>
    <xf numFmtId="0" fontId="164" fillId="0" borderId="9" xfId="2" quotePrefix="1" applyFont="1" applyBorder="1" applyAlignment="1">
      <protection locked="0"/>
    </xf>
    <xf numFmtId="0" fontId="165" fillId="0" borderId="9" xfId="2" quotePrefix="1" applyFont="1" applyBorder="1" applyAlignment="1">
      <protection locked="0"/>
    </xf>
    <xf numFmtId="0" fontId="18" fillId="0" borderId="0" xfId="567" applyNumberFormat="1" applyFont="1" applyBorder="1" applyAlignment="1">
      <alignment horizontal="left" vertical="center"/>
      <protection locked="0"/>
    </xf>
    <xf numFmtId="0" fontId="20" fillId="2" borderId="5" xfId="605" applyNumberFormat="1" applyFont="1" applyFill="1" applyBorder="1" applyAlignment="1" applyProtection="1">
      <alignment horizontal="center" vertical="center" wrapText="1"/>
      <protection locked="0"/>
    </xf>
    <xf numFmtId="0" fontId="18" fillId="0" borderId="5" xfId="605" applyNumberFormat="1" applyFont="1" applyBorder="1" applyAlignment="1" applyProtection="1">
      <alignment horizontal="left" vertical="center" wrapText="1"/>
      <protection locked="0"/>
    </xf>
    <xf numFmtId="0" fontId="16" fillId="0" borderId="0" xfId="610" applyNumberFormat="1" applyFont="1" applyAlignment="1">
      <alignment horizontal="center" vertical="center"/>
    </xf>
    <xf numFmtId="0" fontId="17" fillId="0" borderId="0" xfId="610" applyNumberFormat="1" applyFont="1" applyAlignment="1">
      <alignment horizontal="center" vertical="center"/>
    </xf>
    <xf numFmtId="0" fontId="18" fillId="0" borderId="0" xfId="567" applyNumberFormat="1" applyFont="1" applyAlignment="1">
      <alignment horizontal="left" vertical="center"/>
      <protection locked="0"/>
    </xf>
    <xf numFmtId="0" fontId="20" fillId="0" borderId="0" xfId="567" applyNumberFormat="1" applyFont="1" applyAlignment="1">
      <alignment horizontal="left" vertical="center"/>
      <protection locked="0"/>
    </xf>
    <xf numFmtId="0" fontId="18" fillId="0" borderId="5" xfId="605" applyNumberFormat="1" applyFont="1" applyBorder="1" applyAlignment="1" applyProtection="1">
      <alignment horizontal="center" vertical="center" wrapText="1"/>
      <protection locked="0"/>
    </xf>
    <xf numFmtId="0" fontId="20" fillId="2" borderId="5" xfId="601" applyFont="1" applyFill="1" applyBorder="1" applyAlignment="1" applyProtection="1">
      <alignment horizontal="center" vertical="center" wrapText="1"/>
      <protection locked="0"/>
    </xf>
    <xf numFmtId="0" fontId="25" fillId="2" borderId="5" xfId="601" applyFont="1" applyFill="1" applyBorder="1" applyAlignment="1" applyProtection="1">
      <alignment horizontal="center" vertical="center" wrapText="1"/>
      <protection locked="0"/>
    </xf>
    <xf numFmtId="0" fontId="20" fillId="2" borderId="5" xfId="601" applyFont="1" applyFill="1" applyBorder="1" applyAlignment="1" applyProtection="1">
      <alignment horizontal="center" vertical="center"/>
      <protection locked="0"/>
    </xf>
    <xf numFmtId="0" fontId="25" fillId="2" borderId="5" xfId="601" applyFont="1" applyFill="1" applyBorder="1" applyAlignment="1" applyProtection="1">
      <alignment horizontal="center" vertical="center"/>
      <protection locked="0"/>
    </xf>
    <xf numFmtId="49" fontId="20" fillId="2" borderId="5" xfId="555" applyNumberFormat="1" applyFont="1" applyFill="1" applyBorder="1" applyAlignment="1" applyProtection="1">
      <alignment horizontal="center" vertical="center"/>
      <protection locked="0"/>
    </xf>
    <xf numFmtId="0" fontId="3" fillId="0" borderId="0" xfId="613" applyFont="1" applyBorder="1" applyAlignment="1">
      <alignment horizontal="center" vertical="center"/>
    </xf>
    <xf numFmtId="0" fontId="4" fillId="0" borderId="0" xfId="613" applyFont="1" applyBorder="1" applyAlignment="1">
      <alignment horizontal="center" vertical="center"/>
    </xf>
    <xf numFmtId="0" fontId="5" fillId="2" borderId="2" xfId="581" applyNumberFormat="1" applyFont="1" applyFill="1" applyBorder="1" applyAlignment="1" applyProtection="1">
      <alignment horizontal="center" vertical="center" wrapText="1"/>
      <protection locked="0"/>
    </xf>
    <xf numFmtId="0" fontId="5" fillId="2" borderId="3" xfId="581" applyNumberFormat="1" applyFont="1" applyFill="1" applyBorder="1" applyAlignment="1" applyProtection="1">
      <alignment horizontal="center" vertical="center" wrapText="1"/>
      <protection locked="0"/>
    </xf>
    <xf numFmtId="0" fontId="5" fillId="2" borderId="8" xfId="581" applyNumberFormat="1" applyFont="1" applyFill="1" applyBorder="1" applyAlignment="1" applyProtection="1">
      <alignment horizontal="center" vertical="center" wrapText="1"/>
      <protection locked="0"/>
    </xf>
    <xf numFmtId="0" fontId="14" fillId="2" borderId="5" xfId="574" applyFont="1" applyFill="1" applyBorder="1" applyAlignment="1">
      <alignment horizontal="center" vertical="center" wrapText="1"/>
      <protection locked="0"/>
    </xf>
    <xf numFmtId="0" fontId="5" fillId="2" borderId="5" xfId="574" applyFont="1" applyFill="1" applyBorder="1" applyAlignment="1">
      <alignment horizontal="center" vertical="center" wrapText="1"/>
      <protection locked="0"/>
    </xf>
    <xf numFmtId="0" fontId="14" fillId="2" borderId="1" xfId="570" applyFont="1" applyFill="1" applyBorder="1" applyAlignment="1" applyProtection="1">
      <alignment horizontal="center" vertical="center" wrapText="1"/>
    </xf>
    <xf numFmtId="0" fontId="14" fillId="2" borderId="4" xfId="570" applyFont="1" applyFill="1" applyBorder="1" applyAlignment="1" applyProtection="1">
      <alignment vertical="center" wrapText="1"/>
    </xf>
    <xf numFmtId="0" fontId="25" fillId="0" borderId="0" xfId="556" applyFont="1" applyAlignment="1">
      <alignment horizontal="center" vertical="center"/>
      <protection locked="0"/>
    </xf>
    <xf numFmtId="0" fontId="27" fillId="0" borderId="0" xfId="556" applyFont="1" applyAlignment="1">
      <alignment horizontal="center" vertical="center"/>
      <protection locked="0"/>
    </xf>
    <xf numFmtId="0" fontId="16" fillId="0" borderId="0" xfId="609" applyFont="1" applyAlignment="1">
      <alignment horizontal="center" vertical="center"/>
    </xf>
    <xf numFmtId="0" fontId="17" fillId="0" borderId="0" xfId="609" applyFont="1" applyAlignment="1">
      <alignment horizontal="center" vertical="center"/>
    </xf>
    <xf numFmtId="0" fontId="20" fillId="3" borderId="5" xfId="383" applyFont="1" applyFill="1" applyBorder="1" applyAlignment="1">
      <alignment horizontal="center" vertical="center" wrapText="1"/>
    </xf>
    <xf numFmtId="0" fontId="20" fillId="3" borderId="1" xfId="383" applyFont="1" applyFill="1" applyBorder="1" applyAlignment="1">
      <alignment horizontal="center" vertical="center" wrapText="1"/>
    </xf>
    <xf numFmtId="0" fontId="20" fillId="3" borderId="4" xfId="383" applyFont="1" applyFill="1" applyBorder="1" applyAlignment="1">
      <alignment horizontal="center" vertical="center" wrapText="1"/>
    </xf>
    <xf numFmtId="0" fontId="16" fillId="0" borderId="0" xfId="613" applyFont="1" applyBorder="1" applyAlignment="1">
      <alignment horizontal="center" vertical="center"/>
    </xf>
    <xf numFmtId="0" fontId="17" fillId="0" borderId="0" xfId="613" applyFont="1" applyBorder="1" applyAlignment="1">
      <alignment horizontal="center" vertical="center"/>
    </xf>
    <xf numFmtId="0" fontId="24" fillId="0" borderId="0" xfId="557" applyFont="1" applyAlignment="1" applyProtection="1">
      <alignment horizontal="left" vertical="center" wrapText="1"/>
      <protection locked="0"/>
    </xf>
    <xf numFmtId="0" fontId="18" fillId="0" borderId="0" xfId="557" applyFont="1" applyAlignment="1" applyProtection="1">
      <alignment horizontal="left" vertical="center" wrapText="1"/>
      <protection locked="0"/>
    </xf>
    <xf numFmtId="0" fontId="3" fillId="0" borderId="0" xfId="609" applyFont="1" applyAlignment="1">
      <alignment horizontal="center" vertical="center"/>
    </xf>
    <xf numFmtId="0" fontId="4" fillId="0" borderId="0" xfId="609" applyFont="1" applyAlignment="1">
      <alignment horizontal="center" vertical="center"/>
    </xf>
    <xf numFmtId="0" fontId="5" fillId="2" borderId="5" xfId="570" applyFont="1" applyFill="1" applyBorder="1" applyAlignment="1">
      <alignment horizontal="center" vertical="center" wrapText="1"/>
      <protection locked="0"/>
    </xf>
    <xf numFmtId="0" fontId="7" fillId="0" borderId="5" xfId="0" applyFont="1" applyBorder="1" applyAlignment="1">
      <alignment horizontal="center" vertical="center" wrapText="1"/>
    </xf>
    <xf numFmtId="0" fontId="5" fillId="2" borderId="5" xfId="556" applyFont="1" applyFill="1" applyBorder="1" applyAlignment="1">
      <alignment horizontal="center" vertical="center" wrapText="1"/>
      <protection locked="0"/>
    </xf>
    <xf numFmtId="0" fontId="9" fillId="4" borderId="0" xfId="0" applyFont="1" applyFill="1" applyBorder="1" applyAlignment="1" applyProtection="1">
      <alignment horizontal="justify" vertical="center" wrapText="1"/>
      <protection locked="0"/>
    </xf>
    <xf numFmtId="0" fontId="16" fillId="0" borderId="0" xfId="556" applyFont="1" applyBorder="1" applyAlignment="1">
      <alignment vertical="center"/>
      <protection locked="0"/>
    </xf>
    <xf numFmtId="0" fontId="50" fillId="0" borderId="0" xfId="556" applyFont="1" applyBorder="1" applyAlignment="1">
      <alignment vertical="center"/>
      <protection locked="0"/>
    </xf>
    <xf numFmtId="0" fontId="38" fillId="0" borderId="0" xfId="556" applyBorder="1" applyAlignment="1">
      <alignment vertical="center"/>
      <protection locked="0"/>
    </xf>
    <xf numFmtId="0" fontId="18" fillId="4" borderId="0" xfId="556" applyFont="1" applyFill="1" applyBorder="1" applyAlignment="1">
      <alignment horizontal="justify" vertical="center" wrapText="1"/>
      <protection locked="0"/>
    </xf>
    <xf numFmtId="0" fontId="52" fillId="0" borderId="0" xfId="556" applyFont="1" applyBorder="1" applyAlignment="1">
      <alignment horizontal="justify" wrapText="1"/>
      <protection locked="0"/>
    </xf>
    <xf numFmtId="0" fontId="50" fillId="0" borderId="0" xfId="556" applyFont="1" applyBorder="1">
      <protection locked="0"/>
    </xf>
    <xf numFmtId="0" fontId="18" fillId="4" borderId="0" xfId="0" applyFont="1" applyFill="1" applyBorder="1" applyAlignment="1" applyProtection="1">
      <alignment horizontal="justify" vertical="center" wrapText="1"/>
      <protection locked="0"/>
    </xf>
    <xf numFmtId="0" fontId="17" fillId="0" borderId="0" xfId="0" applyFont="1" applyBorder="1" applyAlignment="1" applyProtection="1">
      <alignment horizontal="center" vertical="center"/>
      <protection locked="0"/>
    </xf>
    <xf numFmtId="0" fontId="27" fillId="0" borderId="0" xfId="0" applyFont="1" applyBorder="1" applyAlignment="1" applyProtection="1">
      <alignment horizontal="left" vertical="center" wrapText="1"/>
      <protection locked="0"/>
    </xf>
    <xf numFmtId="0" fontId="51" fillId="0" borderId="0" xfId="556" applyFont="1" applyBorder="1">
      <protection locked="0"/>
    </xf>
    <xf numFmtId="0" fontId="28" fillId="0" borderId="0" xfId="0" applyFont="1" applyBorder="1" applyAlignment="1" applyProtection="1">
      <alignment horizontal="left" vertical="center" wrapText="1"/>
      <protection locked="0"/>
    </xf>
    <xf numFmtId="0" fontId="53" fillId="0" borderId="9" xfId="556" applyFont="1" applyBorder="1" applyAlignment="1">
      <alignment horizontal="center" vertical="center"/>
      <protection locked="0"/>
    </xf>
    <xf numFmtId="0" fontId="50" fillId="0" borderId="9" xfId="556" applyFont="1" applyBorder="1" applyAlignment="1">
      <alignment horizontal="center"/>
      <protection locked="0"/>
    </xf>
    <xf numFmtId="0" fontId="58" fillId="0" borderId="9" xfId="616" applyBorder="1" applyAlignment="1">
      <protection locked="0"/>
    </xf>
    <xf numFmtId="0" fontId="51" fillId="0" borderId="9" xfId="556" applyFont="1" applyBorder="1">
      <protection locked="0"/>
    </xf>
    <xf numFmtId="176" fontId="26" fillId="0" borderId="0" xfId="727" applyFont="1" applyFill="1" applyAlignment="1">
      <alignment horizontal="left" vertical="center"/>
    </xf>
    <xf numFmtId="0" fontId="20" fillId="55" borderId="5" xfId="601" applyFont="1" applyFill="1" applyBorder="1" applyAlignment="1" applyProtection="1">
      <alignment horizontal="center" vertical="center" wrapText="1"/>
      <protection locked="0"/>
    </xf>
    <xf numFmtId="0" fontId="168" fillId="0" borderId="0" xfId="2" applyFont="1" applyAlignment="1">
      <alignment horizontal="left" vertical="center"/>
      <protection locked="0"/>
    </xf>
    <xf numFmtId="0" fontId="38" fillId="0" borderId="0" xfId="556" applyBorder="1" applyAlignment="1">
      <alignment horizontal="center" vertical="center"/>
      <protection locked="0"/>
    </xf>
    <xf numFmtId="0" fontId="163" fillId="0" borderId="9" xfId="556" applyFont="1" applyBorder="1" applyAlignment="1">
      <alignment horizontal="center"/>
      <protection locked="0"/>
    </xf>
    <xf numFmtId="0" fontId="51" fillId="0" borderId="9" xfId="556" applyFont="1" applyBorder="1" applyAlignment="1">
      <alignment horizontal="center"/>
      <protection locked="0"/>
    </xf>
    <xf numFmtId="0" fontId="51" fillId="0" borderId="0" xfId="556" applyFont="1" applyBorder="1" applyAlignment="1">
      <alignment horizontal="center"/>
      <protection locked="0"/>
    </xf>
    <xf numFmtId="0" fontId="51" fillId="0" borderId="0" xfId="556" applyFont="1" applyAlignment="1">
      <alignment horizontal="center"/>
      <protection locked="0"/>
    </xf>
  </cellXfs>
  <cellStyles count="728">
    <cellStyle name="_x000a_mouse.drv=lm" xfId="3"/>
    <cellStyle name="%" xfId="4"/>
    <cellStyle name="% 2" xfId="5"/>
    <cellStyle name="?" xfId="6"/>
    <cellStyle name="? 2" xfId="7"/>
    <cellStyle name="? 3" xfId="8"/>
    <cellStyle name="??" xfId="9"/>
    <cellStyle name="?? [0]" xfId="10"/>
    <cellStyle name="??_0N-HANDLING " xfId="11"/>
    <cellStyle name="?餡_x000c_k" xfId="12"/>
    <cellStyle name="?餡_x000c_k 2" xfId="13"/>
    <cellStyle name="?餡_x000c_k 3" xfId="14"/>
    <cellStyle name="?餡_x000c_k?_x000d_^" xfId="15"/>
    <cellStyle name="?餡_x000c_k?_x000d_^ 2" xfId="16"/>
    <cellStyle name="?餡_x000c_k?_x000d_^ 3" xfId="17"/>
    <cellStyle name="?餡_x000c_k?_x000d_^黇_x0001_??_x0007__x0001__x0001_" xfId="18"/>
    <cellStyle name="?餡_x000c_k?_x000d_^黇_x0001_??_x0007__x0001__x0001_ 2" xfId="19"/>
    <cellStyle name="?餡_x000c_k?_x000d_^黇_x0001_??_x0007__x0001__x0001_ 3" xfId="20"/>
    <cellStyle name="@_text" xfId="21"/>
    <cellStyle name="@_text_子公司附注汇总(房开公司)" xfId="22"/>
    <cellStyle name="_(本部)2006年年报审计PBC表" xfId="23"/>
    <cellStyle name="_07930建造合同" xfId="24"/>
    <cellStyle name="_12月项目部访问及审计-德勤" xfId="25"/>
    <cellStyle name="_2005-08-31审计底稿－李" xfId="26"/>
    <cellStyle name="_2005年工作底稿" xfId="27"/>
    <cellStyle name="_2005年工作底稿_3-2-A1B-银行存款" xfId="28"/>
    <cellStyle name="_2005年工作底稿_3-2-Z17A-固定资产" xfId="29"/>
    <cellStyle name="_2005年工作底稿_Sheet1" xfId="30"/>
    <cellStyle name="_2005审计报表及附注-中国建材股份模板（房屋）" xfId="31"/>
    <cellStyle name="_2005审计报表及附注-中国建材股份模板（房屋） 2" xfId="32"/>
    <cellStyle name="_2005审计报表及附注-中国建材股份模板（房屋） 3" xfId="33"/>
    <cellStyle name="_2006年年报审计PBC表（合并）" xfId="34"/>
    <cellStyle name="_2006年年报审计PBC表-XX" xfId="35"/>
    <cellStyle name="_2006年年报审计PBC表-XXX" xfId="36"/>
    <cellStyle name="_2006年年报审计PBC表-XXX 2" xfId="37"/>
    <cellStyle name="_2006年年报审计PBC表-XXX 3" xfId="38"/>
    <cellStyle name="_2006年年报审计PBC表-福州分公司" xfId="39"/>
    <cellStyle name="_2006年年报审计PBC表-云南分公司" xfId="40"/>
    <cellStyle name="_2006年年报审计填报资料" xfId="41"/>
    <cellStyle name="_2006年年报审计填报资料 2" xfId="42"/>
    <cellStyle name="_2006年年报审计填报资料 3" xfId="43"/>
    <cellStyle name="_2007调整分录-鲁佳" xfId="44"/>
    <cellStyle name="_3-2-A22-无形资产" xfId="45"/>
    <cellStyle name="_3-2-A4-应收账款" xfId="46"/>
    <cellStyle name="_A17固定资产" xfId="47"/>
    <cellStyle name="_A23无形资产" xfId="48"/>
    <cellStyle name="_A3应收票据" xfId="49"/>
    <cellStyle name="_A6应收账款" xfId="50"/>
    <cellStyle name="_A6应收账款_3-2-A1B-银行存款" xfId="51"/>
    <cellStyle name="_A6应收账款_3-2-Z17A-固定资产" xfId="52"/>
    <cellStyle name="_A6应收账款_Sheet1" xfId="53"/>
    <cellStyle name="_B10其他未交款" xfId="54"/>
    <cellStyle name="_B13预收账款2005" xfId="55"/>
    <cellStyle name="_B6应付工资" xfId="56"/>
    <cellStyle name="_B7应付福利费" xfId="57"/>
    <cellStyle name="_B9应交税金2005" xfId="58"/>
    <cellStyle name="_Book1" xfId="59"/>
    <cellStyle name="_Book1 2" xfId="60"/>
    <cellStyle name="_Book1 3" xfId="61"/>
    <cellStyle name="_CREC(Huo" xfId="62"/>
    <cellStyle name="_D11营业外支出" xfId="63"/>
    <cellStyle name="_D12所得税2005" xfId="64"/>
    <cellStyle name="_D1主营业务收入" xfId="65"/>
    <cellStyle name="_D3主营业务税金及附加" xfId="66"/>
    <cellStyle name="_D4其他业务利润" xfId="67"/>
    <cellStyle name="_ET_STYLE_NoName_00_" xfId="68"/>
    <cellStyle name="_ET_STYLE_NoName_00__2007调整分录-鲁佳" xfId="69"/>
    <cellStyle name="_ET_STYLE_NoName_00__股份本部" xfId="70"/>
    <cellStyle name="_ET_STYLE_NoName_00__股份本部_1" xfId="71"/>
    <cellStyle name="_ET_STYLE_NoName_00__股份本部_3" xfId="72"/>
    <cellStyle name="_ET_STYLE_NoName_00__股份本部_6_股份本部_2" xfId="73"/>
    <cellStyle name="_ET_STYLE_NoName_00__股份本部_7_股份本部_3" xfId="74"/>
    <cellStyle name="_J1000-存货-ZHHG" xfId="75"/>
    <cellStyle name="_PBC审核提示" xfId="76"/>
    <cellStyle name="_PBC审核提示 2" xfId="77"/>
    <cellStyle name="_PBC审核提示 3" xfId="78"/>
    <cellStyle name="_Sheet1" xfId="79"/>
    <cellStyle name="_宝丽华房地产20051231" xfId="80"/>
    <cellStyle name="_宝丽华房地产20051231 2" xfId="81"/>
    <cellStyle name="_宝丽华房地产20051231 3" xfId="82"/>
    <cellStyle name="_保证金-企业填写部分" xfId="83"/>
    <cellStyle name="_保证金-企业填写部分 2" xfId="84"/>
    <cellStyle name="_保证金-企业填写部分 3" xfId="85"/>
    <cellStyle name="_北新房屋2004年审-刘" xfId="86"/>
    <cellStyle name="_北新房屋2004年审-刘 2" xfId="87"/>
    <cellStyle name="_北新房屋2004年审-刘 3" xfId="88"/>
    <cellStyle name="_北新股份2005年审工作底稿" xfId="89"/>
    <cellStyle name="_北新股份2005年审工作底稿 2" xfId="90"/>
    <cellStyle name="_北新股份2005年审工作底稿 3" xfId="91"/>
    <cellStyle name="_北新建材关连交易基础表051230（10－12月版）更新稿" xfId="92"/>
    <cellStyle name="_北新建材关连交易基础表051230（10－12月版）更新稿 2" xfId="93"/>
    <cellStyle name="_北新建材关连交易基础表051230（10－12月版）更新稿 3" xfId="94"/>
    <cellStyle name="_北新建材-会计报表附注模版" xfId="95"/>
    <cellStyle name="_北新建材-会计报表附注模版 2" xfId="96"/>
    <cellStyle name="_北新建材-会计报表附注模版 3" xfId="97"/>
    <cellStyle name="_北新龙之星2004年审工作底稿" xfId="98"/>
    <cellStyle name="_北新龙之星2004年审工作底稿 2" xfId="99"/>
    <cellStyle name="_北新龙之星2004年审工作底稿 3" xfId="100"/>
    <cellStyle name="_北新物流2005底稿-刘" xfId="101"/>
    <cellStyle name="_北新物流2005底稿-刘 2" xfId="102"/>
    <cellStyle name="_北新物流2005底稿-刘 3" xfId="103"/>
    <cellStyle name="_北新置换memo" xfId="104"/>
    <cellStyle name="_北新置换memo 2" xfId="105"/>
    <cellStyle name="_北新置换memo 3" xfId="106"/>
    <cellStyle name="_本部其他应收应付年审底稿--鲁佳pb" xfId="107"/>
    <cellStyle name="_存货结转测试" xfId="108"/>
    <cellStyle name="_存货结转测试 2" xfId="109"/>
    <cellStyle name="_存货结转测试 3" xfId="110"/>
    <cellStyle name="_存货数量与明细05.12" xfId="111"/>
    <cellStyle name="_存货数量与明细05.12 2" xfId="112"/>
    <cellStyle name="_存货数量与明细05.12 3" xfId="113"/>
    <cellStyle name="_动力厂2004年审工作底稿-刘" xfId="114"/>
    <cellStyle name="_动力厂2004年审工作底稿-刘 2" xfId="115"/>
    <cellStyle name="_动力厂2004年审工作底稿-刘 3" xfId="116"/>
    <cellStyle name="_分工" xfId="117"/>
    <cellStyle name="_分工 2" xfId="118"/>
    <cellStyle name="_分工 3" xfId="119"/>
    <cellStyle name="_封面" xfId="120"/>
    <cellStyle name="_工程施工项目现场审计提示" xfId="121"/>
    <cellStyle name="_工程施工项目现场审计提示 2" xfId="122"/>
    <cellStyle name="_工程施工项目现场审计提示 3" xfId="123"/>
    <cellStyle name="_公司填表" xfId="124"/>
    <cellStyle name="_公司填表-2005蔡" xfId="125"/>
    <cellStyle name="_公司填表-2005李志刚" xfId="126"/>
    <cellStyle name="_公司填表2005-吴" xfId="127"/>
    <cellStyle name="_公司填表2005-吴_3-2-A1B-银行存款" xfId="128"/>
    <cellStyle name="_公司填表2005-吴_3-2-Z17A-固定资产" xfId="129"/>
    <cellStyle name="_公司填表2005-吴_Sheet1" xfId="130"/>
    <cellStyle name="_公司填表2005-修改" xfId="131"/>
    <cellStyle name="_公司填表2005-修改_3-2-A1B-银行存款" xfId="132"/>
    <cellStyle name="_公司填表2005-修改_3-2-Z17A-固定资产" xfId="133"/>
    <cellStyle name="_公司填表2005-修改_Sheet1" xfId="134"/>
    <cellStyle name="_公司填表2005-修改后" xfId="135"/>
    <cellStyle name="_公司填表2005-修改后_3-2-A1B-银行存款" xfId="136"/>
    <cellStyle name="_公司填表2005-修改后_3-2-Z17A-固定资产" xfId="137"/>
    <cellStyle name="_公司填表2005-修改后_Sheet1" xfId="138"/>
    <cellStyle name="_公司填表-2005杨" xfId="139"/>
    <cellStyle name="_关联交易" xfId="140"/>
    <cellStyle name="_关联交易 2" xfId="141"/>
    <cellStyle name="_关联交易 3" xfId="142"/>
    <cellStyle name="_关联交易、往来统计表" xfId="143"/>
    <cellStyle name="_关联交易、往来统计表 2" xfId="144"/>
    <cellStyle name="_关联交易、往来统计表 3" xfId="145"/>
    <cellStyle name="_合并报表审计调整模板(CREC)" xfId="146"/>
    <cellStyle name="_合并公司2006年度科目明细表(定稿)" xfId="147"/>
    <cellStyle name="_建造合同-宜万指（正式版）" xfId="148"/>
    <cellStyle name="_建造合同-宜万指（正式版） 2" xfId="149"/>
    <cellStyle name="_建造合同-宜万指（正式版） 3" xfId="150"/>
    <cellStyle name="_科目核对表" xfId="151"/>
    <cellStyle name="_科目核对表 2" xfId="152"/>
    <cellStyle name="_科目核对表 3" xfId="153"/>
    <cellStyle name="_刘青分工填列信息统计" xfId="154"/>
    <cellStyle name="_刘青分工－子公司审计模板-电务" xfId="155"/>
    <cellStyle name="_刘青分工－子公司审计模板－铁达本部" xfId="156"/>
    <cellStyle name="_母PL" xfId="157"/>
    <cellStyle name="_母PL 2" xfId="158"/>
    <cellStyle name="_母PL 3" xfId="159"/>
    <cellStyle name="_母公司底稿-鲁佳" xfId="160"/>
    <cellStyle name="_年审筹资循环资料清单" xfId="161"/>
    <cellStyle name="_凭证抽查-05年" xfId="162"/>
    <cellStyle name="_人员分工备忘录" xfId="163"/>
    <cellStyle name="_人员分工备忘录 2" xfId="164"/>
    <cellStyle name="_人员分工备忘录 3" xfId="165"/>
    <cellStyle name="_审计底稿-轩" xfId="166"/>
    <cellStyle name="_审计所需资料清单－子公司" xfId="167"/>
    <cellStyle name="_审计所需资料清单－子公司 2" xfId="168"/>
    <cellStyle name="_审计所需资料清单－子公司 3" xfId="169"/>
    <cellStyle name="_审计提示模版" xfId="170"/>
    <cellStyle name="_审计提示模版-母公司部分" xfId="171"/>
    <cellStyle name="_铁鸿源－刘青分工－子公司审计模板" xfId="172"/>
    <cellStyle name="_兴华审计成本" xfId="173"/>
    <cellStyle name="_岩土长投--急0121报王占学" xfId="174"/>
    <cellStyle name="_一公司建造合同前5名" xfId="175"/>
    <cellStyle name="_一公司建造合同前5名 2" xfId="176"/>
    <cellStyle name="_一公司建造合同前5名 3" xfId="177"/>
    <cellStyle name="_一公司－刘丰收" xfId="178"/>
    <cellStyle name="_一公司－刘丰收 2" xfId="179"/>
    <cellStyle name="_一公司－刘丰收 3" xfId="180"/>
    <cellStyle name="_银行询证函统计－大表" xfId="181"/>
    <cellStyle name="_应收账款账龄--04、05" xfId="182"/>
    <cellStyle name="_长期借款－江阴" xfId="183"/>
    <cellStyle name="_长期借款－江阴 2" xfId="184"/>
    <cellStyle name="_长期借款－江阴 3" xfId="185"/>
    <cellStyle name="_子公司筹资循环－刘青" xfId="186"/>
    <cellStyle name="_子公司审计提示模版-Liufs" xfId="187"/>
    <cellStyle name="_子公司审计提示模版-Liufs 2" xfId="188"/>
    <cellStyle name="_子公司审计提示模版-Liufs 3" xfId="189"/>
    <cellStyle name="_子公司填表" xfId="190"/>
    <cellStyle name="{Comma [0]}" xfId="191"/>
    <cellStyle name="{Comma}" xfId="192"/>
    <cellStyle name="{Date}" xfId="193"/>
    <cellStyle name="{Month}" xfId="194"/>
    <cellStyle name="{Percent}" xfId="195"/>
    <cellStyle name="{Thousand [0]}" xfId="196"/>
    <cellStyle name="{Thousand}" xfId="197"/>
    <cellStyle name="{Z'0000(1 dec)}" xfId="198"/>
    <cellStyle name="{Z'0000(4 dec)}" xfId="199"/>
    <cellStyle name="0%" xfId="200"/>
    <cellStyle name="0,0_x000d__x000a_NA_x000d__x000a_" xfId="201"/>
    <cellStyle name="0,0_x000d__x000a_NA_x000d__x000a_ 2" xfId="202"/>
    <cellStyle name="0.0%" xfId="203"/>
    <cellStyle name="0.00%" xfId="204"/>
    <cellStyle name="00" xfId="205"/>
    <cellStyle name="20% - Accent1" xfId="206"/>
    <cellStyle name="20% - Accent2" xfId="207"/>
    <cellStyle name="20% - Accent3" xfId="208"/>
    <cellStyle name="20% - Accent4" xfId="209"/>
    <cellStyle name="20% - Accent5" xfId="210"/>
    <cellStyle name="20% - Accent6" xfId="211"/>
    <cellStyle name="40% - Accent1" xfId="212"/>
    <cellStyle name="40% - Accent2" xfId="213"/>
    <cellStyle name="40% - Accent3" xfId="214"/>
    <cellStyle name="40% - Accent4" xfId="215"/>
    <cellStyle name="40% - Accent5" xfId="216"/>
    <cellStyle name="40% - Accent6" xfId="217"/>
    <cellStyle name="60% - Accent1" xfId="218"/>
    <cellStyle name="60% - Accent2" xfId="219"/>
    <cellStyle name="60% - Accent3" xfId="220"/>
    <cellStyle name="60% - Accent4" xfId="221"/>
    <cellStyle name="60% - Accent5" xfId="222"/>
    <cellStyle name="60% - Accent6" xfId="223"/>
    <cellStyle name="AA FRAME" xfId="224"/>
    <cellStyle name="AA HEADING" xfId="225"/>
    <cellStyle name="AA INITIALS" xfId="226"/>
    <cellStyle name="AA INPUT" xfId="227"/>
    <cellStyle name="AA LOCK" xfId="228"/>
    <cellStyle name="AA MGR NAME" xfId="229"/>
    <cellStyle name="AA NORMAL" xfId="230"/>
    <cellStyle name="AA NUMBER" xfId="231"/>
    <cellStyle name="AA NUMBER2" xfId="232"/>
    <cellStyle name="AA QUESTION" xfId="233"/>
    <cellStyle name="AA SHADE" xfId="234"/>
    <cellStyle name="Accent1" xfId="235"/>
    <cellStyle name="Accent1 - 20%" xfId="236"/>
    <cellStyle name="Accent1 - 40%" xfId="237"/>
    <cellStyle name="Accent1 - 60%" xfId="238"/>
    <cellStyle name="Accent2" xfId="239"/>
    <cellStyle name="Accent2 - 20%" xfId="240"/>
    <cellStyle name="Accent2 - 40%" xfId="241"/>
    <cellStyle name="Accent2 - 60%" xfId="242"/>
    <cellStyle name="Accent3" xfId="243"/>
    <cellStyle name="Accent3 - 20%" xfId="244"/>
    <cellStyle name="Accent3 - 40%" xfId="245"/>
    <cellStyle name="Accent3 - 60%" xfId="246"/>
    <cellStyle name="Accent4" xfId="247"/>
    <cellStyle name="Accent4 - 20%" xfId="248"/>
    <cellStyle name="Accent4 - 40%" xfId="249"/>
    <cellStyle name="Accent4 - 60%" xfId="250"/>
    <cellStyle name="Accent5" xfId="251"/>
    <cellStyle name="Accent5 - 20%" xfId="252"/>
    <cellStyle name="Accent5 - 40%" xfId="253"/>
    <cellStyle name="Accent5 - 60%" xfId="254"/>
    <cellStyle name="Accent6" xfId="255"/>
    <cellStyle name="Accent6 - 20%" xfId="256"/>
    <cellStyle name="Accent6 - 40%" xfId="257"/>
    <cellStyle name="Accent6 - 60%" xfId="258"/>
    <cellStyle name="args.style" xfId="259"/>
    <cellStyle name="Bad" xfId="260"/>
    <cellStyle name="Black" xfId="261"/>
    <cellStyle name="Border" xfId="262"/>
    <cellStyle name="Calc Currency (0)" xfId="263"/>
    <cellStyle name="Calc Currency (2)" xfId="264"/>
    <cellStyle name="Calc Percent (0)" xfId="265"/>
    <cellStyle name="Calc Percent (1)" xfId="266"/>
    <cellStyle name="Calc Percent (2)" xfId="267"/>
    <cellStyle name="Calc Units (0)" xfId="268"/>
    <cellStyle name="Calc Units (1)" xfId="269"/>
    <cellStyle name="Calc Units (2)" xfId="270"/>
    <cellStyle name="Calculation" xfId="271"/>
    <cellStyle name="category" xfId="272"/>
    <cellStyle name="Check Cell" xfId="273"/>
    <cellStyle name="Col Heads" xfId="274"/>
    <cellStyle name="Column_Title" xfId="275"/>
    <cellStyle name="Comma  - Style1" xfId="276"/>
    <cellStyle name="Comma  - Style2" xfId="277"/>
    <cellStyle name="Comma  - Style3" xfId="278"/>
    <cellStyle name="Comma  - Style4" xfId="279"/>
    <cellStyle name="Comma  - Style5" xfId="280"/>
    <cellStyle name="Comma  - Style6" xfId="281"/>
    <cellStyle name="Comma  - Style7" xfId="282"/>
    <cellStyle name="Comma  - Style8" xfId="283"/>
    <cellStyle name="Comma [0]" xfId="284"/>
    <cellStyle name="Comma [00]" xfId="285"/>
    <cellStyle name="Comma 2" xfId="286"/>
    <cellStyle name="Comma 28" xfId="287"/>
    <cellStyle name="comma zerodec" xfId="288"/>
    <cellStyle name="Comma,0" xfId="289"/>
    <cellStyle name="Comma,1" xfId="290"/>
    <cellStyle name="Comma,2" xfId="291"/>
    <cellStyle name="Comma_ rislugp" xfId="292"/>
    <cellStyle name="Copied" xfId="293"/>
    <cellStyle name="COST1" xfId="294"/>
    <cellStyle name="Currency [0]" xfId="295"/>
    <cellStyle name="Currency [00]" xfId="296"/>
    <cellStyle name="Currency,0" xfId="297"/>
    <cellStyle name="Currency,2" xfId="298"/>
    <cellStyle name="Currency_ rislugp" xfId="299"/>
    <cellStyle name="Currency1" xfId="300"/>
    <cellStyle name="Date" xfId="301"/>
    <cellStyle name="Date 2" xfId="302"/>
    <cellStyle name="Date 3" xfId="303"/>
    <cellStyle name="Date Short" xfId="304"/>
    <cellStyle name="Date_ A1-货币资金审定表" xfId="305"/>
    <cellStyle name="Dezimal [0]_laroux" xfId="306"/>
    <cellStyle name="Dezimal_laroux" xfId="307"/>
    <cellStyle name="Dollar (zero dec)" xfId="308"/>
    <cellStyle name="E&amp;Y House" xfId="309"/>
    <cellStyle name="Enter Currency (0)" xfId="310"/>
    <cellStyle name="Enter Currency (2)" xfId="311"/>
    <cellStyle name="Enter Units (0)" xfId="312"/>
    <cellStyle name="Enter Units (1)" xfId="313"/>
    <cellStyle name="Enter Units (2)" xfId="314"/>
    <cellStyle name="Entered" xfId="315"/>
    <cellStyle name="entry" xfId="316"/>
    <cellStyle name="entry 2" xfId="317"/>
    <cellStyle name="entry 3" xfId="318"/>
    <cellStyle name="entry box" xfId="319"/>
    <cellStyle name="entry box 2" xfId="320"/>
    <cellStyle name="entry box 3" xfId="321"/>
    <cellStyle name="Euro" xfId="322"/>
    <cellStyle name="Explanatory Text" xfId="323"/>
    <cellStyle name="F2" xfId="324"/>
    <cellStyle name="F3" xfId="325"/>
    <cellStyle name="F4" xfId="326"/>
    <cellStyle name="F5" xfId="327"/>
    <cellStyle name="F6" xfId="328"/>
    <cellStyle name="F7" xfId="329"/>
    <cellStyle name="F8" xfId="330"/>
    <cellStyle name="Fixed" xfId="331"/>
    <cellStyle name="Followed Hyperlink_AheadBehind.xls Chart 23" xfId="332"/>
    <cellStyle name="Good" xfId="333"/>
    <cellStyle name="Grey" xfId="334"/>
    <cellStyle name="HEADER" xfId="335"/>
    <cellStyle name="Header1" xfId="336"/>
    <cellStyle name="Header1 2" xfId="337"/>
    <cellStyle name="Header1 3" xfId="338"/>
    <cellStyle name="Header2" xfId="339"/>
    <cellStyle name="Header2 2" xfId="340"/>
    <cellStyle name="Header2 3" xfId="341"/>
    <cellStyle name="Heading" xfId="342"/>
    <cellStyle name="Heading 1" xfId="343"/>
    <cellStyle name="Heading 2" xfId="344"/>
    <cellStyle name="Heading 3" xfId="345"/>
    <cellStyle name="Heading 4" xfId="346"/>
    <cellStyle name="Heading1" xfId="347"/>
    <cellStyle name="Heading2" xfId="348"/>
    <cellStyle name="Hyperlink_AheadBehind.xls Chart 23" xfId="349"/>
    <cellStyle name="Input" xfId="350"/>
    <cellStyle name="Input [yellow]" xfId="351"/>
    <cellStyle name="Input Cells" xfId="352"/>
    <cellStyle name="Input Cells 2" xfId="353"/>
    <cellStyle name="Input Cells 3" xfId="354"/>
    <cellStyle name="left" xfId="355"/>
    <cellStyle name="left 2" xfId="356"/>
    <cellStyle name="left 3" xfId="357"/>
    <cellStyle name="Link Currency (0)" xfId="358"/>
    <cellStyle name="Link Currency (2)" xfId="359"/>
    <cellStyle name="Link Units (0)" xfId="360"/>
    <cellStyle name="Link Units (1)" xfId="361"/>
    <cellStyle name="Link Units (2)" xfId="362"/>
    <cellStyle name="Linked Cell" xfId="363"/>
    <cellStyle name="Linked Cells" xfId="364"/>
    <cellStyle name="Linked Cells 2" xfId="365"/>
    <cellStyle name="Linked Cells 3" xfId="366"/>
    <cellStyle name="Millares [0]_laroux" xfId="367"/>
    <cellStyle name="Millares_laroux" xfId="368"/>
    <cellStyle name="Milliers [0]_!!!GO" xfId="369"/>
    <cellStyle name="Milliers_!!!GO" xfId="370"/>
    <cellStyle name="Model" xfId="371"/>
    <cellStyle name="Moneda [0]_laroux" xfId="372"/>
    <cellStyle name="Moneda_laroux" xfId="373"/>
    <cellStyle name="Monétaire [0]_!!!GO" xfId="374"/>
    <cellStyle name="Monétaire_!!!GO" xfId="375"/>
    <cellStyle name="Mon閠aire [0]_laroux" xfId="376"/>
    <cellStyle name="Mon閠aire_laroux" xfId="377"/>
    <cellStyle name="Neutral" xfId="378"/>
    <cellStyle name="New Times Roman" xfId="379"/>
    <cellStyle name="no dec" xfId="380"/>
    <cellStyle name="Non défini" xfId="381"/>
    <cellStyle name="Normal - Style1" xfId="382"/>
    <cellStyle name="Normal 2" xfId="383"/>
    <cellStyle name="Normal 2 2" xfId="384"/>
    <cellStyle name="Normal 21" xfId="385"/>
    <cellStyle name="Normal 3 2" xfId="386"/>
    <cellStyle name="Normal_ rislugp" xfId="387"/>
    <cellStyle name="Normalny_Arkusz1" xfId="388"/>
    <cellStyle name="Note" xfId="389"/>
    <cellStyle name="Œ…‹æØ‚è [0.00]_Region Orders (2)" xfId="390"/>
    <cellStyle name="Œ…‹æØ‚è_Region Orders (2)" xfId="391"/>
    <cellStyle name="Output" xfId="392"/>
    <cellStyle name="per.style" xfId="393"/>
    <cellStyle name="Percent (0)" xfId="394"/>
    <cellStyle name="Percent [0]" xfId="395"/>
    <cellStyle name="Percent [00]" xfId="396"/>
    <cellStyle name="Percent [2]" xfId="397"/>
    <cellStyle name="Percent_!!!GO" xfId="398"/>
    <cellStyle name="Pourcentage_pldt" xfId="399"/>
    <cellStyle name="Prefilled" xfId="400"/>
    <cellStyle name="Prefilled 2" xfId="401"/>
    <cellStyle name="Prefilled 3" xfId="402"/>
    <cellStyle name="PrePop Currency (0)" xfId="403"/>
    <cellStyle name="PrePop Currency (2)" xfId="404"/>
    <cellStyle name="PrePop Units (0)" xfId="405"/>
    <cellStyle name="PrePop Units (1)" xfId="406"/>
    <cellStyle name="PrePop Units (2)" xfId="407"/>
    <cellStyle name="price" xfId="408"/>
    <cellStyle name="pricing" xfId="409"/>
    <cellStyle name="pricing 2" xfId="410"/>
    <cellStyle name="pricing 3" xfId="411"/>
    <cellStyle name="PSChar" xfId="412"/>
    <cellStyle name="PSHeading" xfId="413"/>
    <cellStyle name="Red" xfId="414"/>
    <cellStyle name="revised" xfId="415"/>
    <cellStyle name="RevList" xfId="416"/>
    <cellStyle name="RevList 2" xfId="417"/>
    <cellStyle name="RevList 3" xfId="418"/>
    <cellStyle name="row_def_array" xfId="419"/>
    <cellStyle name="S4" xfId="420"/>
    <cellStyle name="S5" xfId="421"/>
    <cellStyle name="SAPBEXaggData" xfId="422"/>
    <cellStyle name="SAPBEXaggDataEmph" xfId="423"/>
    <cellStyle name="SAPBEXaggItem" xfId="424"/>
    <cellStyle name="SAPBEXaggItemX" xfId="425"/>
    <cellStyle name="SAPBEXchaText" xfId="426"/>
    <cellStyle name="SAPBEXexcBad7" xfId="427"/>
    <cellStyle name="SAPBEXexcBad8" xfId="428"/>
    <cellStyle name="SAPBEXexcBad9" xfId="429"/>
    <cellStyle name="SAPBEXexcCritical4" xfId="430"/>
    <cellStyle name="SAPBEXexcCritical5" xfId="431"/>
    <cellStyle name="SAPBEXexcCritical6" xfId="432"/>
    <cellStyle name="SAPBEXexcGood1" xfId="433"/>
    <cellStyle name="SAPBEXexcGood2" xfId="434"/>
    <cellStyle name="SAPBEXexcGood3" xfId="435"/>
    <cellStyle name="SAPBEXfilterDrill" xfId="436"/>
    <cellStyle name="SAPBEXfilterItem" xfId="437"/>
    <cellStyle name="SAPBEXfilterText" xfId="438"/>
    <cellStyle name="SAPBEXformats" xfId="439"/>
    <cellStyle name="SAPBEXheaderItem" xfId="440"/>
    <cellStyle name="SAPBEXheaderText" xfId="441"/>
    <cellStyle name="SAPBEXHLevel0" xfId="442"/>
    <cellStyle name="SAPBEXHLevel0X" xfId="443"/>
    <cellStyle name="SAPBEXHLevel1" xfId="444"/>
    <cellStyle name="SAPBEXHLevel1X" xfId="445"/>
    <cellStyle name="SAPBEXHLevel2" xfId="446"/>
    <cellStyle name="SAPBEXHLevel2X" xfId="447"/>
    <cellStyle name="SAPBEXHLevel3" xfId="448"/>
    <cellStyle name="SAPBEXHLevel3X" xfId="449"/>
    <cellStyle name="SAPBEXresData" xfId="450"/>
    <cellStyle name="SAPBEXresDataEmph" xfId="451"/>
    <cellStyle name="SAPBEXresItem" xfId="452"/>
    <cellStyle name="SAPBEXresItemX" xfId="453"/>
    <cellStyle name="SAPBEXstdData" xfId="454"/>
    <cellStyle name="SAPBEXstdDataEmph" xfId="455"/>
    <cellStyle name="SAPBEXstdItem" xfId="456"/>
    <cellStyle name="SAPBEXstdItemX" xfId="457"/>
    <cellStyle name="SAPBEXtitle" xfId="458"/>
    <cellStyle name="SAPBEXundefined" xfId="459"/>
    <cellStyle name="section" xfId="460"/>
    <cellStyle name="section 2" xfId="461"/>
    <cellStyle name="section 3" xfId="462"/>
    <cellStyle name="SOR" xfId="463"/>
    <cellStyle name="Standard_AREAS" xfId="464"/>
    <cellStyle name="style" xfId="465"/>
    <cellStyle name="style 2" xfId="466"/>
    <cellStyle name="style 3" xfId="467"/>
    <cellStyle name="style1" xfId="468"/>
    <cellStyle name="style1 2" xfId="469"/>
    <cellStyle name="style1 3" xfId="470"/>
    <cellStyle name="style2" xfId="471"/>
    <cellStyle name="style2 2" xfId="472"/>
    <cellStyle name="style2 3" xfId="473"/>
    <cellStyle name="subhead" xfId="474"/>
    <cellStyle name="Subtotal" xfId="475"/>
    <cellStyle name="Text Indent A" xfId="476"/>
    <cellStyle name="Text Indent B" xfId="477"/>
    <cellStyle name="Text Indent C" xfId="478"/>
    <cellStyle name="Tickmark" xfId="479"/>
    <cellStyle name="Tickmark 2" xfId="480"/>
    <cellStyle name="Tickmark 3" xfId="481"/>
    <cellStyle name="title" xfId="482"/>
    <cellStyle name="title 2" xfId="483"/>
    <cellStyle name="title 3" xfId="484"/>
    <cellStyle name="Total" xfId="485"/>
    <cellStyle name="Tusental (0)_pldt" xfId="486"/>
    <cellStyle name="Tusental_pldt" xfId="487"/>
    <cellStyle name="Valuta (0)_pldt" xfId="488"/>
    <cellStyle name="Valuta_pldt" xfId="489"/>
    <cellStyle name="Warning Text" xfId="490"/>
    <cellStyle name="wrap" xfId="491"/>
    <cellStyle name="wrap 2" xfId="492"/>
    <cellStyle name="wrap 3" xfId="493"/>
    <cellStyle name="パーセント_laroux" xfId="494"/>
    <cellStyle name="_PLDT" xfId="495"/>
    <cellStyle name="_laroux" xfId="496"/>
    <cellStyle name="だ[0]_PLDT" xfId="497"/>
    <cellStyle name="だ_PLDT" xfId="498"/>
    <cellStyle name="だ[0]_Total (2)" xfId="499"/>
    <cellStyle name="だ_laroux" xfId="500"/>
    <cellStyle name="百分比 2" xfId="501"/>
    <cellStyle name="百分比 2 2" xfId="502"/>
    <cellStyle name="百分比 2 3" xfId="503"/>
    <cellStyle name="百分比 3" xfId="504"/>
    <cellStyle name="捠壿 [0.00]_PRODUCT DETAIL Q1" xfId="505"/>
    <cellStyle name="捠壿_PRODUCT DETAIL Q1" xfId="506"/>
    <cellStyle name="標準_１１月価格表" xfId="507"/>
    <cellStyle name="表标题" xfId="508"/>
    <cellStyle name="差_10存货" xfId="509"/>
    <cellStyle name="差_19-无形资产（空白模板）" xfId="510"/>
    <cellStyle name="差_2-交易性金融资产（空白模板）" xfId="511"/>
    <cellStyle name="差_2应收账款" xfId="512"/>
    <cellStyle name="差_3-2 进一步审计程序-采购与付款循环" xfId="513"/>
    <cellStyle name="差_3-3 进一步审计程序-存货与生产循环" xfId="514"/>
    <cellStyle name="差_37-长期借款（空白模板）" xfId="515"/>
    <cellStyle name="差_49-营业收入（空白模板）" xfId="516"/>
    <cellStyle name="差_4-应收账款（空白模板）" xfId="517"/>
    <cellStyle name="差_50-营业成本（空白模板）" xfId="518"/>
    <cellStyle name="差_51-营业税金及附加（空白模板）" xfId="519"/>
    <cellStyle name="差_54-财务费用（空白模板）" xfId="520"/>
    <cellStyle name="差_55-资产减值损失（空白模板）" xfId="521"/>
    <cellStyle name="差_9管理费用" xfId="522"/>
    <cellStyle name="差_Book2" xfId="523"/>
    <cellStyle name="差_dxn底稿目录" xfId="524"/>
    <cellStyle name="差_Sheet1" xfId="525"/>
    <cellStyle name="差_StartUp" xfId="526"/>
    <cellStyle name="差_T1000-主营业务收入-LJCH" xfId="527"/>
    <cellStyle name="差_Z14-长期应收款（函证汇总表样本）" xfId="528"/>
    <cellStyle name="差_ZA0货币资金审定表 " xfId="529"/>
    <cellStyle name="差_财务费用" xfId="530"/>
    <cellStyle name="差_程序表模版" xfId="531"/>
    <cellStyle name="差_存货" xfId="532"/>
    <cellStyle name="差_大信底稿目录" xfId="533"/>
    <cellStyle name="差_底稿设置宏" xfId="534"/>
    <cellStyle name="差_管理费用" xfId="535"/>
    <cellStyle name="差_货币资金" xfId="536"/>
    <cellStyle name="差_货币资金 天职" xfId="537"/>
    <cellStyle name="差_货币资金 岳华" xfId="538"/>
    <cellStyle name="差_其他应付款" xfId="539"/>
    <cellStyle name="差_其他应付款—YH" xfId="540"/>
    <cellStyle name="差_未分配利润" xfId="541"/>
    <cellStyle name="差_无形资产" xfId="542"/>
    <cellStyle name="差_应付账款" xfId="543"/>
    <cellStyle name="差_应付职工薪酬" xfId="544"/>
    <cellStyle name="差_应收账款" xfId="545"/>
    <cellStyle name="差_盈余公积" xfId="546"/>
    <cellStyle name="差_长期应付款" xfId="547"/>
    <cellStyle name="差_账项明细表" xfId="548"/>
    <cellStyle name="差_资本公积" xfId="549"/>
    <cellStyle name="差_资产负债标准底稿" xfId="550"/>
    <cellStyle name="差_资产负债类底稿模版" xfId="551"/>
    <cellStyle name="差_子公司附注汇总(房开公司)" xfId="552"/>
    <cellStyle name="常规" xfId="0" builtinId="0"/>
    <cellStyle name="常规 10" xfId="553"/>
    <cellStyle name="常规 11" xfId="554"/>
    <cellStyle name="常规 11 5" xfId="727"/>
    <cellStyle name="常规 13" xfId="555"/>
    <cellStyle name="常规 2" xfId="556"/>
    <cellStyle name="常规 2 2" xfId="557"/>
    <cellStyle name="常规 2 2 2" xfId="558"/>
    <cellStyle name="常规 2 2 3" xfId="559"/>
    <cellStyle name="常规 2 2 3 2" xfId="560"/>
    <cellStyle name="常规 2 2 4" xfId="561"/>
    <cellStyle name="常规 2 2 5" xfId="562"/>
    <cellStyle name="常规 2 3" xfId="563"/>
    <cellStyle name="常规 2 3 2" xfId="564"/>
    <cellStyle name="常规 2 3 3" xfId="565"/>
    <cellStyle name="常规 2 4" xfId="566"/>
    <cellStyle name="常规 2 4 3" xfId="567"/>
    <cellStyle name="常规 2 5" xfId="568"/>
    <cellStyle name="常规 2 6" xfId="569"/>
    <cellStyle name="常规 2 8" xfId="570"/>
    <cellStyle name="常规 2_10存货" xfId="571"/>
    <cellStyle name="常规 3" xfId="572"/>
    <cellStyle name="常规 3 2" xfId="573"/>
    <cellStyle name="常规 3 2 2" xfId="574"/>
    <cellStyle name="常规 3 2 3" xfId="575"/>
    <cellStyle name="常规 3 2 4" xfId="576"/>
    <cellStyle name="常规 3 3" xfId="577"/>
    <cellStyle name="常规 3 4" xfId="578"/>
    <cellStyle name="常规 3_10存货" xfId="579"/>
    <cellStyle name="常规 4" xfId="580"/>
    <cellStyle name="常规 4 2" xfId="581"/>
    <cellStyle name="常规 4 3" xfId="582"/>
    <cellStyle name="常规 5" xfId="583"/>
    <cellStyle name="常规 5 2" xfId="584"/>
    <cellStyle name="常规 5 3" xfId="585"/>
    <cellStyle name="常规 5 4" xfId="586"/>
    <cellStyle name="常规 6" xfId="587"/>
    <cellStyle name="常规 6 2" xfId="588"/>
    <cellStyle name="常规 6 2 2" xfId="589"/>
    <cellStyle name="常规 6 2 3" xfId="590"/>
    <cellStyle name="常规 6 2 4" xfId="591"/>
    <cellStyle name="常规 6 3" xfId="592"/>
    <cellStyle name="常规 6 3 2" xfId="593"/>
    <cellStyle name="常规 6 3 2 2" xfId="594"/>
    <cellStyle name="常规 6 3 3" xfId="595"/>
    <cellStyle name="常规 6 4" xfId="596"/>
    <cellStyle name="常规 6 4 2" xfId="597"/>
    <cellStyle name="常规 6 5" xfId="598"/>
    <cellStyle name="常规 6 6" xfId="599"/>
    <cellStyle name="常规 6 7" xfId="600"/>
    <cellStyle name="常规 7" xfId="601"/>
    <cellStyle name="常规 7 2" xfId="602"/>
    <cellStyle name="常规 7 2 2" xfId="603"/>
    <cellStyle name="常规 7 3" xfId="604"/>
    <cellStyle name="常规 7 4" xfId="605"/>
    <cellStyle name="常规 8" xfId="606"/>
    <cellStyle name="常规 9" xfId="607"/>
    <cellStyle name="常规_2-1项目审定表－模板" xfId="608"/>
    <cellStyle name="常规_Book1" xfId="609"/>
    <cellStyle name="常规_Book1 2 2" xfId="610"/>
    <cellStyle name="常规_c-资产类" xfId="611"/>
    <cellStyle name="常规_sheet" xfId="612"/>
    <cellStyle name="常规_新审定表" xfId="613"/>
    <cellStyle name="常规_制造费用 2" xfId="614"/>
    <cellStyle name="超级链接_A4应收账款" xfId="615"/>
    <cellStyle name="超链接" xfId="2" builtinId="8"/>
    <cellStyle name="超链接 2" xfId="616"/>
    <cellStyle name="超链接 2 2" xfId="617"/>
    <cellStyle name="超链接 2 3" xfId="618"/>
    <cellStyle name="超链接 3" xfId="619"/>
    <cellStyle name="分级显示行_1_4附件二凯旋评估表" xfId="620"/>
    <cellStyle name="好_10存货" xfId="621"/>
    <cellStyle name="好_19-无形资产（空白模板）" xfId="622"/>
    <cellStyle name="好_1财务费用" xfId="623"/>
    <cellStyle name="好_1营业收入" xfId="624"/>
    <cellStyle name="好_1资产减值损失" xfId="625"/>
    <cellStyle name="好_2-交易性金融资产（空白模板）" xfId="626"/>
    <cellStyle name="好_2应收账款" xfId="627"/>
    <cellStyle name="好_3-2 进一步审计程序-采购与付款循环" xfId="628"/>
    <cellStyle name="好_3-3 进一步审计程序-存货与生产循环" xfId="629"/>
    <cellStyle name="好_37-长期借款（空白模板）" xfId="630"/>
    <cellStyle name="好_49-营业收入（空白模板）" xfId="631"/>
    <cellStyle name="好_4-应收账款（空白模板）" xfId="632"/>
    <cellStyle name="好_50-营业成本（空白模板）" xfId="633"/>
    <cellStyle name="好_51-营业税金及附加（空白模板）" xfId="634"/>
    <cellStyle name="好_54-财务费用（空白模板）" xfId="635"/>
    <cellStyle name="好_55-资产减值损失（空白模板）" xfId="636"/>
    <cellStyle name="好_9管理费用" xfId="637"/>
    <cellStyle name="好_Book2" xfId="638"/>
    <cellStyle name="好_Sheet1" xfId="639"/>
    <cellStyle name="好_StartUp" xfId="640"/>
    <cellStyle name="好_T1000-主营业务收入" xfId="641"/>
    <cellStyle name="好_Z14-长期应收款（函证汇总表样本）" xfId="642"/>
    <cellStyle name="好_ZA0货币资金审定表 " xfId="643"/>
    <cellStyle name="好_财务费用" xfId="644"/>
    <cellStyle name="好_程序表模版" xfId="645"/>
    <cellStyle name="好_存货" xfId="646"/>
    <cellStyle name="好_存货 - 复制" xfId="647"/>
    <cellStyle name="好_大信底稿目录" xfId="648"/>
    <cellStyle name="好_底稿设置宏" xfId="649"/>
    <cellStyle name="好_底稿设置宏_大信底稿目录" xfId="650"/>
    <cellStyle name="好_管理费用" xfId="651"/>
    <cellStyle name="好_货币资金" xfId="652"/>
    <cellStyle name="好_货币资金 天职" xfId="653"/>
    <cellStyle name="好_货币资金 岳华" xfId="654"/>
    <cellStyle name="好_其他应付款" xfId="655"/>
    <cellStyle name="好_其他应付款—YH" xfId="656"/>
    <cellStyle name="好_其他应收款" xfId="657"/>
    <cellStyle name="好_实收资本(股本)" xfId="658"/>
    <cellStyle name="好_未分配利润" xfId="659"/>
    <cellStyle name="好_无形资产" xfId="660"/>
    <cellStyle name="好_银行函证结果汇总表" xfId="661"/>
    <cellStyle name="好_应付债券" xfId="662"/>
    <cellStyle name="好_应付账款" xfId="663"/>
    <cellStyle name="好_应付职工薪酬" xfId="664"/>
    <cellStyle name="好_应收利息" xfId="665"/>
    <cellStyle name="好_应收账款" xfId="666"/>
    <cellStyle name="好_盈余公积" xfId="667"/>
    <cellStyle name="好_营业收入" xfId="668"/>
    <cellStyle name="好_预收款项" xfId="669"/>
    <cellStyle name="好_长期借款—TZ" xfId="670"/>
    <cellStyle name="好_长期应付款" xfId="671"/>
    <cellStyle name="好_账项明细表" xfId="672"/>
    <cellStyle name="好_资本公积" xfId="673"/>
    <cellStyle name="好_资产负债标准底稿" xfId="674"/>
    <cellStyle name="好_资产负债标准底稿_大信底稿目录" xfId="675"/>
    <cellStyle name="好_资产负债类底稿模版" xfId="676"/>
    <cellStyle name="好_资产负债类底稿模版_大信底稿目录" xfId="677"/>
    <cellStyle name="好_资产减值损失" xfId="678"/>
    <cellStyle name="好_子公司附注汇总(房开公司)" xfId="679"/>
    <cellStyle name="桁区切り [0.00]_１１月価格表" xfId="680"/>
    <cellStyle name="桁区切り_１１月価格表" xfId="681"/>
    <cellStyle name="貨幣 [0]_SGV" xfId="682"/>
    <cellStyle name="貨幣_SGV" xfId="683"/>
    <cellStyle name="霓付 [0]_1202" xfId="684"/>
    <cellStyle name="霓付_1202" xfId="685"/>
    <cellStyle name="妞" xfId="686"/>
    <cellStyle name="欧" xfId="687"/>
    <cellStyle name="烹拳 [0]_1202" xfId="688"/>
    <cellStyle name="烹拳_1202" xfId="689"/>
    <cellStyle name="砯刽 [0]_PLDT" xfId="690"/>
    <cellStyle name="砯刽_PLDT" xfId="691"/>
    <cellStyle name="普通_ 白土" xfId="692"/>
    <cellStyle name="千分位[0]_ 白土" xfId="693"/>
    <cellStyle name="千分位_ 白土" xfId="694"/>
    <cellStyle name="千位[0]_ 应交税金审定表" xfId="695"/>
    <cellStyle name="千位_ 应交税金审定表" xfId="696"/>
    <cellStyle name="千位分隔" xfId="1" builtinId="3"/>
    <cellStyle name="千位分隔 2" xfId="697"/>
    <cellStyle name="千位分隔 2 2" xfId="698"/>
    <cellStyle name="千位分隔 2 3" xfId="699"/>
    <cellStyle name="千位分隔 3" xfId="700"/>
    <cellStyle name="千位分隔 3 2" xfId="701"/>
    <cellStyle name="千位分隔 3 3" xfId="702"/>
    <cellStyle name="千位分隔 3 4" xfId="703"/>
    <cellStyle name="千位分隔 4" xfId="704"/>
    <cellStyle name="千位分隔 5" xfId="705"/>
    <cellStyle name="千位分隔[0] 2" xfId="706"/>
    <cellStyle name="钎霖_(沥焊何巩)岿喊牢盔拌裙" xfId="707"/>
    <cellStyle name="强调 1" xfId="708"/>
    <cellStyle name="强调 2" xfId="709"/>
    <cellStyle name="强调 3" xfId="710"/>
    <cellStyle name="通貨 [0.00]_１１月価格表" xfId="711"/>
    <cellStyle name="通貨_１１月価格表" xfId="712"/>
    <cellStyle name="样式 1" xfId="713"/>
    <cellStyle name="样式 1 2" xfId="714"/>
    <cellStyle name="样式 1 2 2" xfId="715"/>
    <cellStyle name="样式 1 3" xfId="716"/>
    <cellStyle name="一般_SGV" xfId="717"/>
    <cellStyle name="昗弨_BOOKSHIP" xfId="718"/>
    <cellStyle name="寘嬫愗傝 [0.00]_PRODUCT DETAIL Q1" xfId="719"/>
    <cellStyle name="寘嬫愗傝_PRODUCT DETAIL Q1" xfId="720"/>
    <cellStyle name="资产" xfId="721"/>
    <cellStyle name="콤마 [0]_BOILER-CO1" xfId="722"/>
    <cellStyle name="콤마_BOILER-CO1" xfId="723"/>
    <cellStyle name="통화 [0]_BOILER-CO1" xfId="724"/>
    <cellStyle name="통화_BOILER-CO1" xfId="725"/>
    <cellStyle name="표준_0N-HANDLING " xfId="726"/>
  </cellStyles>
  <dxfs count="0"/>
  <tableStyles count="0" defaultTableStyle="TableStyleMedium2" defaultPivotStyle="PivotStyleLight16"/>
  <colors>
    <mruColors>
      <color rgb="FFE4DFEC"/>
      <color rgb="FF0000FF"/>
      <color rgb="FFFBD4D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or/&#26700;&#38754;/to&#65293;&#20869;&#37096;&#25511;&#21046;&#32452;/&#20854;&#20182;&#25152;/&#22825;&#24314;/&#22269;&#36152;_2005_&#38543;&#2041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审计调整"/>
      <sheetName val="选择键"/>
      <sheetName val="&lt;原报&gt;资产负债表"/>
      <sheetName val="W"/>
      <sheetName val="其他应收款－个人借款明细"/>
      <sheetName val="无正式发票的支出"/>
      <sheetName val="E1020"/>
      <sheetName val="UFPrn20080707101342"/>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表头（请先填写）"/>
      <sheetName val="目錄"/>
      <sheetName val="生产成本"/>
      <sheetName val="完"/>
      <sheetName val="企业表一"/>
      <sheetName val="M-5C"/>
      <sheetName val="M-5A"/>
      <sheetName val="200)年受限统计表"/>
      <sheetName val="35.1租赁明滆"/>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税金汇总"/>
      <sheetName val="1-6yue"/>
      <sheetName val="原材料余额表"/>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lookup"/>
      <sheetName val="Unit Information"/>
      <sheetName val="Company Information"/>
      <sheetName val="基础数据"/>
      <sheetName val="主营业务税金及附加Dy"/>
      <sheetName val="应收账款Dy"/>
      <sheetName val="YS02-02"/>
      <sheetName val="Appendix"/>
      <sheetName val="3mon-1Year"/>
      <sheetName val="per mgt"/>
      <sheetName val="above5y"/>
      <sheetName val="1-3MON"/>
      <sheetName val="1year-5year"/>
      <sheetName val="个人借款明细"/>
      <sheetName val="POWER ASSUMPTIONS"/>
      <sheetName val="21710103"/>
      <sheetName val="2171010501"/>
      <sheetName val="2171010502"/>
      <sheetName val="217102"/>
      <sheetName val="cover"/>
      <sheetName val="Toolbox"/>
      <sheetName val="PTC"/>
      <sheetName val="Worksheet in 8240 COS breakdown"/>
      <sheetName val="余额表"/>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XL4Poppy"/>
      <sheetName val="09差异分摊计算表"/>
      <sheetName val="08差异分摊计算表"/>
      <sheetName val="7-11销售"/>
      <sheetName val="FA-2"/>
      <sheetName val="BALANCE SHEET"/>
      <sheetName val="制造费用"/>
      <sheetName val="关联交易-存款"/>
      <sheetName val="报表科目"/>
      <sheetName val="Stock turnove_x0002_"/>
      <sheetName val="凤县折旧测算"/>
      <sheetName val="附注汇总"/>
      <sheetName val="应收账款贷方余额表"/>
      <sheetName val="应收账款借方余额表"/>
      <sheetName val="应收账款余额表"/>
      <sheetName val="试算"/>
      <sheetName val="科目名称表"/>
      <sheetName val="表头信息"/>
      <sheetName val="国内CP2产品收入明细"/>
      <sheetName val="Sheet1"/>
      <sheetName val="original"/>
      <sheetName val="账面外销"/>
      <sheetName val="调整分录汇总"/>
      <sheetName val="收入明细－按客户"/>
      <sheetName val="折旧测试2007"/>
      <sheetName val="剥离前"/>
      <sheetName val="Stock turnove_x005f_x0002_"/>
      <sheetName val="中山低值"/>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应收账款明细分类账2019"/>
      <sheetName val="20年销售出库"/>
      <sheetName val="2-R1619"/>
      <sheetName val="递延所得税资产Dy"/>
      <sheetName val="FIN48 TP Doc"/>
      <sheetName val="应付帐款余额表"/>
      <sheetName val="或有事项"/>
      <sheetName val="关联方交易"/>
      <sheetName val="其他综合收益"/>
      <sheetName val="审定表M4"/>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服务部待报废"/>
      <sheetName val="VAS TB"/>
      <sheetName val="frm销售合同-S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35.1租赁明细"/>
      <sheetName val="XL4Poppy"/>
      <sheetName val="Investment Propert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KKKKKKKK"/>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lt;原报&gt;资产负债表"/>
      <sheetName val="W"/>
      <sheetName val="生产成本"/>
      <sheetName val="三兴2"/>
      <sheetName val="coding"/>
      <sheetName val="基础数据"/>
      <sheetName val="基本参数"/>
      <sheetName val="表头"/>
      <sheetName val="Toolbox"/>
      <sheetName val="Appendix"/>
      <sheetName val="PRC BS"/>
      <sheetName val="完"/>
      <sheetName val="인사현황(부서)"/>
      <sheetName val="Cover"/>
      <sheetName val="营业费用测试"/>
      <sheetName val="PTC"/>
      <sheetName val="表头（请先填写+核心提示）"/>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B"/>
      <sheetName val="应收账款余额表"/>
      <sheetName val="所得税明细表"/>
      <sheetName val="账面外销"/>
      <sheetName val="BALANCE SHEET"/>
      <sheetName val="产销存"/>
      <sheetName val="1-6累计销售"/>
      <sheetName val="收入个月"/>
      <sheetName val="累计产销存"/>
      <sheetName val="AGRO-DATA"/>
      <sheetName val="报表科目"/>
      <sheetName val="应收账款贷方余额表"/>
      <sheetName val="应收账款借方余额表"/>
      <sheetName val=""/>
      <sheetName val="5月"/>
      <sheetName val="6月"/>
      <sheetName val="上期报表"/>
      <sheetName val="表头信息"/>
      <sheetName val="2-1主营业务收入查证表1"/>
      <sheetName val="审计说明"/>
      <sheetName val="FA-2"/>
      <sheetName val="目錄"/>
      <sheetName val="P12 TB SZ"/>
      <sheetName val="短期投资股票投资.dbf"/>
      <sheetName val="短期投资国债投资.dbf"/>
      <sheetName val="股票投资收益.dbf"/>
      <sheetName val="其他货币海通.dbf"/>
      <sheetName val="其他货币零领路.dbf"/>
      <sheetName val="投资收益债券.dbf"/>
      <sheetName val="资产负债表"/>
      <sheetName val="YS02-02"/>
      <sheetName val="管理费用(集团董事会)"/>
      <sheetName val="C_301"/>
      <sheetName val="C_311"/>
      <sheetName val="C_318"/>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Sheet120"/>
      <sheetName val="报表11"/>
      <sheetName val="其它业务收入分类"/>
      <sheetName val="壓摸穿燈"/>
      <sheetName val="Rate"/>
      <sheetName val="校验"/>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现调整"/>
      <sheetName val="（附表2）固定资产处理情况表"/>
      <sheetName val="科余表"/>
      <sheetName val="FIRE Parameters"/>
      <sheetName val="瓶差"/>
      <sheetName val="本期毛利"/>
      <sheetName val="余额表数量"/>
      <sheetName val="_Profile"/>
      <sheetName val="Acc1"/>
      <sheetName val="accode"/>
      <sheetName val="基本情况"/>
      <sheetName val="上市1"/>
      <sheetName val="上市2"/>
      <sheetName val="上市3"/>
      <sheetName val="上市4"/>
      <sheetName val="上市5"/>
      <sheetName val="上市6"/>
      <sheetName val="上市7"/>
      <sheetName val="上市8"/>
      <sheetName val="上市9"/>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refreshError="1"/>
      <sheetData sheetId="1319"/>
      <sheetData sheetId="1320"/>
      <sheetData sheetId="1321"/>
      <sheetData sheetId="1322"/>
      <sheetData sheetId="1323"/>
      <sheetData sheetId="1324"/>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sheetData sheetId="1400"/>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sheetData sheetId="1413"/>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本期报表"/>
      <sheetName val="2004"/>
      <sheetName val="余额表"/>
      <sheetName val="完"/>
      <sheetName val="企业表一"/>
      <sheetName val="M-5C"/>
      <sheetName val="M-5A"/>
      <sheetName val="上期报表"/>
      <sheetName val="原TB表"/>
      <sheetName val="AGRO PRC DATABASE"/>
      <sheetName val="Breakdown"/>
      <sheetName val="cover"/>
      <sheetName val="E1"/>
      <sheetName val="填写参数"/>
      <sheetName val="3-2-8"/>
      <sheetName val="3-2-7"/>
      <sheetName val="3-2-9"/>
      <sheetName val="1-7-1"/>
      <sheetName val="重分类调整"/>
      <sheetName val="成本日报(4-10)"/>
      <sheetName val="现金流量表所需提供的资料"/>
      <sheetName val="利润及利润分配表试算表"/>
      <sheetName val="资产试算表"/>
      <sheetName val="负债试算表"/>
      <sheetName val="2013调整分录"/>
      <sheetName val="2012调整分录"/>
      <sheetName val="项目索引"/>
      <sheetName val="2009调整分录"/>
      <sheetName val="12月份品种酒生产月报表"/>
      <sheetName val="Investment Property"/>
      <sheetName val="W"/>
      <sheetName val="Detailed Testing"/>
      <sheetName val="银行借款询证"/>
      <sheetName val="A3"/>
      <sheetName val="报表层次重要性水平"/>
      <sheetName val="多级销售汇总表（备用）"/>
      <sheetName val="所有者权益(股东权益)变动表(未审)"/>
      <sheetName val="2006"/>
      <sheetName val="折旧测试2007"/>
      <sheetName val="科目余额表"/>
      <sheetName val="外地"/>
      <sheetName val="坯布"/>
      <sheetName val="材料"/>
      <sheetName val="外销"/>
      <sheetName val="材料采购-入库"/>
      <sheetName val="原材料－其他"/>
      <sheetName val="材料成本差异－运费等"/>
      <sheetName val="材料采购－原材料（购价）"/>
      <sheetName val="剥离前"/>
      <sheetName val="2011调整分录"/>
      <sheetName val="表头"/>
      <sheetName val="其他业务收支"/>
      <sheetName val="03"/>
      <sheetName val="E1020"/>
      <sheetName val="UFPrn20060308121009"/>
      <sheetName val="试算"/>
      <sheetName val="名称（勿删）"/>
      <sheetName val="基础信息"/>
      <sheetName val="UFPrn20050930091710"/>
      <sheetName val="UFPrn20050930204109"/>
      <sheetName val="科目名称表"/>
      <sheetName val="利润及分配表"/>
      <sheetName val="资产方"/>
      <sheetName val="减值准备表"/>
      <sheetName val="负债方"/>
      <sheetName val="ZH1-4其他应收款个别认定"/>
      <sheetName val="ZH1-3应收账款个别认定"/>
      <sheetName val="广州库"/>
      <sheetName val="自定义名称"/>
      <sheetName val="35.1租赁明细"/>
      <sheetName val="Show Reporting Month"/>
      <sheetName val="&lt;原报&gt;资产负债表"/>
      <sheetName val="U1.6"/>
      <sheetName val="差异调整97"/>
      <sheetName val="差异调整95"/>
      <sheetName val="差异调整96"/>
      <sheetName val="1月固定资产清单"/>
      <sheetName val="关联方—创斯达"/>
      <sheetName val="关联方—东风汽车"/>
      <sheetName val="预收帐款"/>
      <sheetName val="预付账款Dy"/>
      <sheetName val="Sheet2"/>
      <sheetName val="投资性房地产Dy"/>
      <sheetName val="原材料"/>
      <sheetName val="资产负债表"/>
      <sheetName val="Sheet1"/>
      <sheetName val="B"/>
      <sheetName val="IMPORT"/>
      <sheetName val="一般管理费用基础表01"/>
      <sheetName val="基本情况表"/>
      <sheetName val="设备部房屋"/>
      <sheetName val="短期投资股票投资.dbf"/>
      <sheetName val="短期投资国债投资.dbf"/>
      <sheetName val="股票投资收益.dbf"/>
      <sheetName val="其他货币海通.dbf"/>
      <sheetName val="其他货币零领路.dbf"/>
      <sheetName val="投资收益债券.dbf"/>
      <sheetName val="sell"/>
      <sheetName val="fin"/>
      <sheetName val="SW-TEO"/>
      <sheetName val="邻酮定乙酚发出测试"/>
      <sheetName val="二级明细"/>
      <sheetName val="其他应收-导出"/>
      <sheetName val="营业外支出"/>
      <sheetName val="Toolbox"/>
      <sheetName val="DATA"/>
      <sheetName val="委托加工材料"/>
      <sheetName val="eqpmad2"/>
      <sheetName val="1月"/>
      <sheetName val="出租开发产品明细"/>
      <sheetName val="暂估"/>
      <sheetName val="original"/>
      <sheetName val="4-货币资金-现金"/>
      <sheetName val="G.1R-Shou COP Gf"/>
      <sheetName val="流资汇总"/>
      <sheetName val="披露表(上市)"/>
      <sheetName val="Chart of Account"/>
      <sheetName val="产品销售利润明细表"/>
      <sheetName val="Title"/>
      <sheetName val="其他货币资金.dbf"/>
      <sheetName val="银行存款.dbf"/>
      <sheetName val="A430"/>
      <sheetName val="累计销售"/>
      <sheetName val="库存商品余额表.dbf"/>
      <sheetName val="P12 TB SZ"/>
    </sheetNames>
    <sheetDataSet>
      <sheetData sheetId="0" refreshError="1">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企业表一"/>
      <sheetName val="M-5C"/>
      <sheetName val="M-5A"/>
      <sheetName val="资产负债表"/>
      <sheetName val="数量金额总账"/>
      <sheetName val="设备部房屋"/>
      <sheetName val="核算项目余额表"/>
      <sheetName val="完"/>
      <sheetName val="W"/>
      <sheetName val="2004"/>
      <sheetName val="B"/>
      <sheetName val="表头"/>
      <sheetName val="PER SALES ORG"/>
      <sheetName val="1月"/>
      <sheetName val="SW-TEO"/>
      <sheetName val="Detailed Testing"/>
      <sheetName val="银行借款询证"/>
      <sheetName val="余额表"/>
      <sheetName val="本期报表"/>
      <sheetName val="breakdown"/>
      <sheetName val="盈余公积 （合并)"/>
      <sheetName val="Toolbox"/>
      <sheetName val="eqpmad2"/>
      <sheetName val="提足折旧"/>
      <sheetName val="DATA"/>
      <sheetName val="委托加工材料"/>
      <sheetName val="材料采购-入库"/>
      <sheetName val="原材料－其他"/>
      <sheetName val="材料成本差异－运费等"/>
      <sheetName val="邻酮定乙酚发出测试"/>
      <sheetName val="管理费用(集团董事会)"/>
      <sheetName val="Sheet1"/>
      <sheetName val="FS"/>
      <sheetName val="gl"/>
      <sheetName val="Adm"/>
      <sheetName val="sell"/>
      <sheetName val="Fin"/>
      <sheetName val="Erection"/>
      <sheetName val="剥离前"/>
      <sheetName val="XL4Poppy"/>
      <sheetName val="08"/>
      <sheetName val="02"/>
      <sheetName val="03"/>
      <sheetName val="04"/>
      <sheetName val="05"/>
      <sheetName val="06"/>
      <sheetName val="07"/>
      <sheetName val="10"/>
      <sheetName val="09"/>
      <sheetName val="UFPrn20031114182129"/>
      <sheetName val="订单418"/>
      <sheetName val="Collateral"/>
      <sheetName val="Disposition"/>
      <sheetName val="Validation"/>
      <sheetName val="35.1租赁明细"/>
      <sheetName val="中山低值"/>
      <sheetName val="分产品销售收入、成本分析表"/>
      <sheetName val="E1020"/>
      <sheetName val="1月固定资产清单"/>
      <sheetName val="关联方—创斯达"/>
      <sheetName val="关联方—东风汽车"/>
      <sheetName val="ZH1-4其他应收款个别认定"/>
      <sheetName val="ZH1-3应收账款个别认定"/>
      <sheetName val="各单位目标指标"/>
      <sheetName val="新城资金明细"/>
      <sheetName val="申鑫大厦租金明细"/>
      <sheetName val="三林明细"/>
      <sheetName val="东陆明细"/>
      <sheetName val="4-货币资金-现金"/>
      <sheetName val="基础信息"/>
      <sheetName val="XREF"/>
      <sheetName val="A430"/>
      <sheetName val="货币资金审定表"/>
      <sheetName val="balance"/>
      <sheetName val="PRC-BS-SZ"/>
      <sheetName val="A1"/>
      <sheetName val="账面外销"/>
      <sheetName val="销售费用Dy"/>
      <sheetName val="细节测试审计抽样"/>
      <sheetName val="YS02-02"/>
      <sheetName val="短期借款Dy"/>
      <sheetName val="采购订单3名"/>
      <sheetName val="P12 TB SZ"/>
      <sheetName val="选择报表"/>
      <sheetName val="CF附注"/>
      <sheetName val="试算平衡表"/>
      <sheetName val="原TB表"/>
      <sheetName val="工资"/>
      <sheetName val="27-7"/>
      <sheetName val="dxnsjtempsheet"/>
      <sheetName val="５８D"/>
      <sheetName val="存货明细表"/>
      <sheetName val="清单12.31"/>
      <sheetName val="短期投资股票投资.dbf"/>
      <sheetName val="短期投资国债投资.dbf"/>
      <sheetName val="股票投资收益.dbf"/>
      <sheetName val="其他货币海通.dbf"/>
      <sheetName val="其他货币零领路.dbf"/>
      <sheetName val="投资收益债券.dbf"/>
      <sheetName val="营业费用测试"/>
      <sheetName val="科目余额表"/>
      <sheetName val="凭证抽查表 "/>
      <sheetName val="资产减值损失审核表"/>
      <sheetName val="坯布"/>
      <sheetName val="材料"/>
      <sheetName val="外销"/>
      <sheetName val="Summary"/>
      <sheetName val="dghn"/>
      <sheetName val="报表项目"/>
      <sheetName val="01"/>
      <sheetName val="010"/>
      <sheetName val="011"/>
      <sheetName val="012"/>
      <sheetName val="表头（请先填写）"/>
      <sheetName val="调整分录汇总表"/>
      <sheetName val="明细表（账龄）D2-2"/>
      <sheetName val="其他应付款科目余额2005.12.31"/>
      <sheetName val="期末应付帐款明细表"/>
      <sheetName val="期初应付帐款明细表"/>
      <sheetName val="其他应收款－个人借款明细"/>
      <sheetName val="生产成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9"/>
  <sheetViews>
    <sheetView tabSelected="1" zoomScaleNormal="100" zoomScaleSheetLayoutView="100" workbookViewId="0"/>
  </sheetViews>
  <sheetFormatPr defaultColWidth="9" defaultRowHeight="20.100000000000001" customHeight="1"/>
  <cols>
    <col min="1" max="1" width="77.5546875" style="182" customWidth="1"/>
    <col min="2" max="2" width="2" style="182" customWidth="1"/>
    <col min="3" max="3" width="2.109375" style="182" customWidth="1"/>
    <col min="4" max="4" width="6.109375" style="183" customWidth="1"/>
    <col min="5" max="5" width="25.88671875" style="183" customWidth="1"/>
    <col min="6" max="6" width="10.44140625" style="263" customWidth="1"/>
    <col min="7" max="16384" width="9" style="184"/>
  </cols>
  <sheetData>
    <row r="1" spans="1:8" s="181" customFormat="1" ht="19.95" customHeight="1">
      <c r="A1" s="241" t="s">
        <v>0</v>
      </c>
      <c r="B1" s="242"/>
      <c r="C1" s="242"/>
      <c r="D1" s="243"/>
      <c r="E1" s="243"/>
      <c r="F1" s="259"/>
    </row>
    <row r="2" spans="1:8" ht="19.95" customHeight="1">
      <c r="A2" s="244" t="s">
        <v>1</v>
      </c>
      <c r="B2" s="245"/>
      <c r="C2" s="245"/>
      <c r="D2" s="252" t="s">
        <v>2</v>
      </c>
      <c r="E2" s="252" t="s">
        <v>3</v>
      </c>
      <c r="F2" s="252" t="s">
        <v>4</v>
      </c>
      <c r="G2" s="185"/>
      <c r="H2" s="185"/>
    </row>
    <row r="3" spans="1:8" ht="19.95" customHeight="1">
      <c r="A3" s="240" t="s">
        <v>183</v>
      </c>
      <c r="B3" s="245"/>
      <c r="C3" s="245"/>
      <c r="D3" s="198">
        <v>1</v>
      </c>
      <c r="E3" s="199" t="s">
        <v>176</v>
      </c>
      <c r="F3" s="260" t="s">
        <v>5</v>
      </c>
      <c r="G3" s="186"/>
      <c r="H3" s="187"/>
    </row>
    <row r="4" spans="1:8" ht="19.95" customHeight="1">
      <c r="A4" s="244" t="s">
        <v>6</v>
      </c>
      <c r="B4" s="246"/>
      <c r="C4" s="246"/>
      <c r="D4" s="198">
        <v>2</v>
      </c>
      <c r="E4" s="199" t="s">
        <v>177</v>
      </c>
      <c r="F4" s="260" t="s">
        <v>7</v>
      </c>
      <c r="G4" s="186"/>
      <c r="H4" s="188"/>
    </row>
    <row r="5" spans="1:8" ht="19.95" customHeight="1">
      <c r="A5" s="244" t="s">
        <v>8</v>
      </c>
      <c r="B5" s="246"/>
      <c r="C5" s="246"/>
      <c r="D5" s="198">
        <v>3</v>
      </c>
      <c r="E5" s="200" t="s">
        <v>178</v>
      </c>
      <c r="F5" s="260"/>
      <c r="G5" s="189" t="s">
        <v>9</v>
      </c>
    </row>
    <row r="6" spans="1:8" ht="19.95" customHeight="1">
      <c r="A6" s="247" t="s">
        <v>10</v>
      </c>
      <c r="B6" s="246"/>
      <c r="C6" s="246"/>
      <c r="D6" s="198">
        <v>4</v>
      </c>
      <c r="E6" s="200" t="s">
        <v>179</v>
      </c>
      <c r="F6" s="260"/>
      <c r="G6" s="189" t="s">
        <v>9</v>
      </c>
    </row>
    <row r="7" spans="1:8" ht="19.95" customHeight="1">
      <c r="A7" s="247" t="s">
        <v>12</v>
      </c>
      <c r="B7" s="246"/>
      <c r="C7" s="246"/>
      <c r="D7" s="198">
        <v>5</v>
      </c>
      <c r="E7" s="201" t="s">
        <v>180</v>
      </c>
      <c r="F7" s="260" t="s">
        <v>13</v>
      </c>
      <c r="G7" s="190"/>
    </row>
    <row r="8" spans="1:8" ht="19.95" customHeight="1">
      <c r="A8" s="246"/>
      <c r="B8" s="246"/>
      <c r="C8" s="246"/>
      <c r="D8" s="198">
        <v>6</v>
      </c>
      <c r="E8" s="201" t="s">
        <v>181</v>
      </c>
      <c r="F8" s="260" t="s">
        <v>14</v>
      </c>
      <c r="G8" s="190"/>
    </row>
    <row r="9" spans="1:8" ht="19.95" customHeight="1">
      <c r="A9" s="248" t="s">
        <v>184</v>
      </c>
      <c r="B9" s="246"/>
      <c r="C9" s="246"/>
      <c r="D9" s="198">
        <v>7</v>
      </c>
      <c r="E9" s="201" t="s">
        <v>182</v>
      </c>
      <c r="F9" s="260" t="s">
        <v>15</v>
      </c>
      <c r="G9" s="190"/>
    </row>
    <row r="10" spans="1:8" ht="19.95" customHeight="1">
      <c r="A10" s="249" t="s">
        <v>185</v>
      </c>
      <c r="B10" s="246"/>
      <c r="C10" s="246"/>
      <c r="D10" s="253"/>
      <c r="E10" s="254"/>
      <c r="F10" s="261"/>
      <c r="G10" s="190"/>
    </row>
    <row r="11" spans="1:8" ht="19.95" customHeight="1">
      <c r="A11" s="249"/>
      <c r="B11" s="246"/>
      <c r="C11" s="246"/>
      <c r="D11" s="255"/>
      <c r="E11" s="255"/>
      <c r="F11" s="261"/>
    </row>
    <row r="12" spans="1:8" ht="19.95" customHeight="1">
      <c r="A12" s="249"/>
      <c r="B12" s="246"/>
      <c r="C12" s="246"/>
      <c r="D12" s="255"/>
      <c r="E12" s="255"/>
      <c r="F12" s="261"/>
    </row>
    <row r="13" spans="1:8" ht="19.95" customHeight="1">
      <c r="A13" s="249"/>
      <c r="B13" s="246"/>
      <c r="C13" s="246"/>
      <c r="D13" s="255"/>
      <c r="E13" s="255"/>
      <c r="F13" s="261"/>
    </row>
    <row r="14" spans="1:8" ht="19.95" customHeight="1">
      <c r="A14" s="249" t="s">
        <v>186</v>
      </c>
      <c r="B14" s="246"/>
      <c r="C14" s="246"/>
      <c r="D14" s="255"/>
      <c r="E14" s="255"/>
      <c r="F14" s="261"/>
    </row>
    <row r="15" spans="1:8" ht="19.95" customHeight="1">
      <c r="A15" s="249"/>
      <c r="B15" s="246"/>
      <c r="C15" s="246"/>
      <c r="D15" s="255"/>
      <c r="E15" s="255"/>
      <c r="F15" s="261"/>
    </row>
    <row r="16" spans="1:8" ht="19.95" customHeight="1">
      <c r="A16" s="249"/>
      <c r="B16" s="246"/>
      <c r="C16" s="246"/>
      <c r="D16" s="250"/>
      <c r="E16" s="250"/>
      <c r="F16" s="262"/>
    </row>
    <row r="17" spans="1:6" ht="20.399999999999999" customHeight="1">
      <c r="A17" s="251" t="s">
        <v>187</v>
      </c>
      <c r="B17" s="246"/>
      <c r="C17" s="246"/>
      <c r="D17" s="250"/>
      <c r="E17" s="250"/>
      <c r="F17" s="262"/>
    </row>
    <row r="18" spans="1:6" ht="20.100000000000001" customHeight="1">
      <c r="A18" s="251"/>
      <c r="B18" s="246"/>
      <c r="C18" s="246"/>
      <c r="D18" s="250"/>
      <c r="E18" s="250"/>
      <c r="F18" s="262"/>
    </row>
    <row r="19" spans="1:6" ht="20.100000000000001" customHeight="1">
      <c r="A19" s="251"/>
      <c r="B19" s="246"/>
      <c r="C19" s="246"/>
      <c r="D19" s="250"/>
      <c r="E19" s="250"/>
      <c r="F19" s="262"/>
    </row>
  </sheetData>
  <mergeCells count="3">
    <mergeCell ref="A10:A13"/>
    <mergeCell ref="A14:A16"/>
    <mergeCell ref="A17:A19"/>
  </mergeCells>
  <phoneticPr fontId="158" type="noConversion"/>
  <hyperlinks>
    <hyperlink ref="E4" location="审定表D5!A1" display="审定表"/>
    <hyperlink ref="E5" location="'附注披露信息（上市公司）'!A1" display="附注披露信息（上市公司）"/>
    <hyperlink ref="E6" location="'附注披露信息（国企）'!A1" display="附注披露信息（国企）"/>
    <hyperlink ref="E7" location="'应收款项融资明细表D5-2'!A1" display="明细表"/>
    <hyperlink ref="E9" location="'应收款项融资公允价值测算表D5-4'!A1" display="公允价值测算表"/>
    <hyperlink ref="E3" location="应收款项融资审计程序表D5A!A1" display="程序表"/>
    <hyperlink ref="E8" location="'调整分录汇总表D5-3'!Print_Area" display="调整分录汇总表"/>
  </hyperlinks>
  <pageMargins left="0.70833333333333304" right="0.70833333333333304" top="0.74791666666666701" bottom="0.74791666666666701" header="0.31458333333333299" footer="0.31458333333333299"/>
  <pageSetup paperSize="9" scale="67" orientation="portrait" blackAndWhite="1" r:id="rId1"/>
  <headerFooter>
    <oddFooter>&amp;C&amp;P/&amp;N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23"/>
  <sheetViews>
    <sheetView view="pageBreakPreview" zoomScaleNormal="100" workbookViewId="0">
      <selection sqref="A1:I1"/>
    </sheetView>
  </sheetViews>
  <sheetFormatPr defaultColWidth="9" defaultRowHeight="20.100000000000001" customHeight="1"/>
  <cols>
    <col min="1" max="1" width="5.88671875" style="158" customWidth="1"/>
    <col min="2" max="2" width="69.109375" style="159" customWidth="1"/>
    <col min="3" max="3" width="9.44140625" style="159" customWidth="1"/>
    <col min="4" max="4" width="6.33203125" style="159" customWidth="1"/>
    <col min="5" max="5" width="7.77734375" style="159" customWidth="1"/>
    <col min="6" max="6" width="6.88671875" style="159" customWidth="1"/>
    <col min="7" max="7" width="7.6640625" style="159" customWidth="1"/>
    <col min="8" max="8" width="6.109375" style="159" customWidth="1"/>
    <col min="9" max="9" width="8.109375" style="159" customWidth="1"/>
    <col min="10" max="16384" width="9" style="159"/>
  </cols>
  <sheetData>
    <row r="1" spans="1:10" s="155" customFormat="1" ht="20.100000000000001" customHeight="1">
      <c r="A1" s="205" t="s">
        <v>16</v>
      </c>
      <c r="B1" s="205"/>
      <c r="C1" s="205"/>
      <c r="D1" s="205"/>
      <c r="E1" s="205"/>
      <c r="F1" s="205"/>
      <c r="G1" s="205"/>
      <c r="H1" s="205"/>
      <c r="I1" s="205"/>
    </row>
    <row r="2" spans="1:10" s="155" customFormat="1" ht="20.100000000000001" customHeight="1">
      <c r="A2" s="206" t="s">
        <v>17</v>
      </c>
      <c r="B2" s="206"/>
      <c r="C2" s="206"/>
      <c r="D2" s="206"/>
      <c r="E2" s="206"/>
      <c r="F2" s="206"/>
      <c r="G2" s="206"/>
      <c r="H2" s="206"/>
      <c r="I2" s="206"/>
    </row>
    <row r="3" spans="1:10" s="156" customFormat="1" ht="20.100000000000001" customHeight="1">
      <c r="A3" s="207" t="str">
        <f>底稿目录!A2</f>
        <v>被审计单位名称：</v>
      </c>
      <c r="B3" s="207"/>
      <c r="C3" s="156" t="str">
        <f>底稿目录!A4</f>
        <v>编制人：</v>
      </c>
      <c r="E3" s="156" t="str">
        <f>底稿目录!A5</f>
        <v>编制日期：</v>
      </c>
      <c r="H3" s="160" t="s">
        <v>18</v>
      </c>
      <c r="I3" s="258" t="s">
        <v>5</v>
      </c>
    </row>
    <row r="4" spans="1:10" s="156" customFormat="1" ht="20.100000000000001" customHeight="1">
      <c r="A4" s="207" t="str">
        <f>底稿目录!A3</f>
        <v>截止日：202X年12月31日</v>
      </c>
      <c r="B4" s="207"/>
      <c r="C4" s="156" t="str">
        <f>底稿目录!A6</f>
        <v>复核人：</v>
      </c>
      <c r="E4" s="156" t="str">
        <f>底稿目录!A7</f>
        <v>复核日期：</v>
      </c>
      <c r="H4" s="160" t="s">
        <v>19</v>
      </c>
    </row>
    <row r="5" spans="1:10" ht="20.100000000000001" customHeight="1">
      <c r="A5" s="208" t="s">
        <v>20</v>
      </c>
      <c r="B5" s="208"/>
    </row>
    <row r="6" spans="1:10" ht="20.100000000000001" customHeight="1">
      <c r="A6" s="202" t="s">
        <v>21</v>
      </c>
      <c r="B6" s="202"/>
      <c r="C6" s="202"/>
    </row>
    <row r="7" spans="1:10" s="156" customFormat="1" ht="20.100000000000001" customHeight="1">
      <c r="A7" s="161" t="s">
        <v>22</v>
      </c>
      <c r="B7" s="161"/>
      <c r="C7" s="162"/>
      <c r="D7" s="159"/>
      <c r="E7" s="159"/>
      <c r="F7" s="159"/>
      <c r="G7" s="159"/>
      <c r="H7" s="159"/>
      <c r="I7" s="159"/>
      <c r="J7" s="159"/>
    </row>
    <row r="8" spans="1:10" s="156" customFormat="1" ht="19.95" customHeight="1">
      <c r="A8" s="203" t="s">
        <v>23</v>
      </c>
      <c r="B8" s="203"/>
      <c r="C8" s="203"/>
      <c r="D8" s="203"/>
      <c r="E8" s="203"/>
      <c r="F8" s="203"/>
      <c r="G8" s="203" t="s">
        <v>24</v>
      </c>
      <c r="H8" s="203"/>
      <c r="I8" s="203"/>
      <c r="J8" s="159"/>
    </row>
    <row r="9" spans="1:10" s="156" customFormat="1" ht="19.95" customHeight="1">
      <c r="A9" s="204" t="s">
        <v>25</v>
      </c>
      <c r="B9" s="204"/>
      <c r="C9" s="204"/>
      <c r="D9" s="204"/>
      <c r="E9" s="204"/>
      <c r="F9" s="204"/>
      <c r="G9" s="209" t="s">
        <v>26</v>
      </c>
      <c r="H9" s="209"/>
      <c r="I9" s="209"/>
    </row>
    <row r="10" spans="1:10" s="156" customFormat="1" ht="19.95" customHeight="1">
      <c r="A10" s="204" t="s">
        <v>27</v>
      </c>
      <c r="B10" s="204"/>
      <c r="C10" s="204"/>
      <c r="D10" s="204"/>
      <c r="E10" s="204"/>
      <c r="F10" s="204"/>
      <c r="G10" s="209" t="s">
        <v>28</v>
      </c>
      <c r="H10" s="209"/>
      <c r="I10" s="209"/>
    </row>
    <row r="11" spans="1:10" s="156" customFormat="1" ht="19.95" customHeight="1">
      <c r="A11" s="204" t="s">
        <v>29</v>
      </c>
      <c r="B11" s="204"/>
      <c r="C11" s="204"/>
      <c r="D11" s="204"/>
      <c r="E11" s="204"/>
      <c r="F11" s="204"/>
      <c r="G11" s="209" t="s">
        <v>30</v>
      </c>
      <c r="H11" s="209"/>
      <c r="I11" s="209"/>
    </row>
    <row r="12" spans="1:10" s="156" customFormat="1" ht="19.95" customHeight="1">
      <c r="A12" s="204" t="s">
        <v>31</v>
      </c>
      <c r="B12" s="204"/>
      <c r="C12" s="204"/>
      <c r="D12" s="204"/>
      <c r="E12" s="204"/>
      <c r="F12" s="204"/>
      <c r="G12" s="209" t="s">
        <v>32</v>
      </c>
      <c r="H12" s="209"/>
      <c r="I12" s="209"/>
    </row>
    <row r="13" spans="1:10" s="156" customFormat="1" ht="19.95" customHeight="1">
      <c r="A13" s="204" t="s">
        <v>33</v>
      </c>
      <c r="B13" s="204"/>
      <c r="C13" s="204"/>
      <c r="D13" s="204"/>
      <c r="E13" s="204"/>
      <c r="F13" s="204"/>
      <c r="G13" s="209" t="s">
        <v>34</v>
      </c>
      <c r="H13" s="209"/>
      <c r="I13" s="209"/>
    </row>
    <row r="14" spans="1:10" s="156" customFormat="1" ht="20.100000000000001" customHeight="1">
      <c r="A14" s="208" t="s">
        <v>35</v>
      </c>
      <c r="B14" s="208"/>
      <c r="C14" s="162"/>
    </row>
    <row r="15" spans="1:10" ht="21" customHeight="1">
      <c r="A15" s="214" t="s">
        <v>2</v>
      </c>
      <c r="B15" s="257" t="s">
        <v>189</v>
      </c>
      <c r="C15" s="210" t="s">
        <v>36</v>
      </c>
      <c r="D15" s="212" t="s">
        <v>37</v>
      </c>
      <c r="E15" s="213"/>
      <c r="F15" s="213"/>
      <c r="G15" s="213"/>
      <c r="H15" s="213"/>
      <c r="I15" s="210" t="s">
        <v>38</v>
      </c>
    </row>
    <row r="16" spans="1:10" ht="41.4" customHeight="1">
      <c r="A16" s="214"/>
      <c r="B16" s="257"/>
      <c r="C16" s="210"/>
      <c r="D16" s="164" t="s">
        <v>26</v>
      </c>
      <c r="E16" s="164" t="s">
        <v>28</v>
      </c>
      <c r="F16" s="163" t="s">
        <v>39</v>
      </c>
      <c r="G16" s="163" t="s">
        <v>32</v>
      </c>
      <c r="H16" s="163" t="s">
        <v>34</v>
      </c>
      <c r="I16" s="211"/>
      <c r="J16" s="256" t="s">
        <v>188</v>
      </c>
    </row>
    <row r="17" spans="1:9" ht="39" customHeight="1">
      <c r="A17" s="165" t="s">
        <v>40</v>
      </c>
      <c r="B17" s="166" t="s">
        <v>41</v>
      </c>
      <c r="C17" s="167" t="s">
        <v>42</v>
      </c>
      <c r="D17" s="168" t="s">
        <v>43</v>
      </c>
      <c r="E17" s="168" t="s">
        <v>43</v>
      </c>
      <c r="F17" s="169"/>
      <c r="G17" s="170" t="s">
        <v>43</v>
      </c>
      <c r="H17" s="171"/>
      <c r="I17" s="177" t="s">
        <v>44</v>
      </c>
    </row>
    <row r="18" spans="1:9" s="157" customFormat="1" ht="45" customHeight="1">
      <c r="A18" s="165" t="s">
        <v>45</v>
      </c>
      <c r="B18" s="192" t="s">
        <v>166</v>
      </c>
      <c r="C18" s="173" t="s">
        <v>46</v>
      </c>
      <c r="D18" s="170" t="s">
        <v>43</v>
      </c>
      <c r="E18" s="168" t="s">
        <v>43</v>
      </c>
      <c r="F18" s="168" t="s">
        <v>43</v>
      </c>
      <c r="G18" s="168" t="s">
        <v>43</v>
      </c>
      <c r="H18" s="174"/>
      <c r="I18" s="171"/>
    </row>
    <row r="19" spans="1:9" ht="33" customHeight="1">
      <c r="A19" s="165" t="s">
        <v>47</v>
      </c>
      <c r="B19" s="178" t="s">
        <v>51</v>
      </c>
      <c r="C19" s="179" t="s">
        <v>42</v>
      </c>
      <c r="D19" s="177" t="s">
        <v>50</v>
      </c>
      <c r="E19" s="177"/>
      <c r="F19" s="177"/>
      <c r="G19" s="177"/>
      <c r="H19" s="176" t="s">
        <v>49</v>
      </c>
      <c r="I19" s="177" t="s">
        <v>52</v>
      </c>
    </row>
    <row r="20" spans="1:9" s="157" customFormat="1" ht="39" customHeight="1">
      <c r="A20" s="165" t="s">
        <v>170</v>
      </c>
      <c r="B20" s="172" t="s">
        <v>48</v>
      </c>
      <c r="C20" s="175" t="s">
        <v>42</v>
      </c>
      <c r="D20" s="176" t="s">
        <v>49</v>
      </c>
      <c r="E20" s="177" t="s">
        <v>50</v>
      </c>
      <c r="F20" s="177" t="s">
        <v>50</v>
      </c>
      <c r="G20" s="177" t="s">
        <v>50</v>
      </c>
      <c r="H20" s="171"/>
      <c r="I20" s="171" t="s">
        <v>167</v>
      </c>
    </row>
    <row r="21" spans="1:9" ht="33" customHeight="1">
      <c r="A21" s="165" t="s">
        <v>171</v>
      </c>
      <c r="B21" s="178" t="s">
        <v>53</v>
      </c>
      <c r="C21" s="175" t="s">
        <v>42</v>
      </c>
      <c r="D21" s="177"/>
      <c r="E21" s="177"/>
      <c r="F21" s="177"/>
      <c r="G21" s="176" t="s">
        <v>49</v>
      </c>
      <c r="H21" s="176"/>
      <c r="I21" s="177" t="s">
        <v>15</v>
      </c>
    </row>
    <row r="22" spans="1:9" ht="49.2" customHeight="1">
      <c r="A22" s="165" t="s">
        <v>172</v>
      </c>
      <c r="B22" s="195" t="s">
        <v>168</v>
      </c>
      <c r="C22" s="196" t="s">
        <v>169</v>
      </c>
      <c r="D22" s="169"/>
      <c r="E22" s="169"/>
      <c r="F22" s="169"/>
      <c r="G22" s="169"/>
      <c r="H22" s="169"/>
      <c r="I22" s="197"/>
    </row>
    <row r="23" spans="1:9" ht="33" customHeight="1">
      <c r="A23" s="165" t="s">
        <v>173</v>
      </c>
      <c r="B23" s="178" t="s">
        <v>54</v>
      </c>
      <c r="C23" s="167" t="s">
        <v>42</v>
      </c>
      <c r="D23" s="177"/>
      <c r="E23" s="177"/>
      <c r="F23" s="177"/>
      <c r="G23" s="177"/>
      <c r="H23" s="171" t="s">
        <v>50</v>
      </c>
      <c r="I23" s="180" t="s">
        <v>55</v>
      </c>
    </row>
  </sheetData>
  <mergeCells count="24">
    <mergeCell ref="A13:F13"/>
    <mergeCell ref="A10:F10"/>
    <mergeCell ref="A11:F11"/>
    <mergeCell ref="A12:F12"/>
    <mergeCell ref="I15:I16"/>
    <mergeCell ref="G10:I10"/>
    <mergeCell ref="G11:I11"/>
    <mergeCell ref="G12:I12"/>
    <mergeCell ref="G13:I13"/>
    <mergeCell ref="A14:B14"/>
    <mergeCell ref="D15:H15"/>
    <mergeCell ref="A15:A16"/>
    <mergeCell ref="B15:B16"/>
    <mergeCell ref="C15:C16"/>
    <mergeCell ref="A6:C6"/>
    <mergeCell ref="A8:F8"/>
    <mergeCell ref="A9:F9"/>
    <mergeCell ref="A1:I1"/>
    <mergeCell ref="A2:I2"/>
    <mergeCell ref="A3:B3"/>
    <mergeCell ref="A4:B4"/>
    <mergeCell ref="A5:B5"/>
    <mergeCell ref="G8:I8"/>
    <mergeCell ref="G9:I9"/>
  </mergeCells>
  <phoneticPr fontId="158" type="noConversion"/>
  <hyperlinks>
    <hyperlink ref="I3" location="底稿目录!A1" display="D5A"/>
  </hyperlinks>
  <pageMargins left="0.70833333333333304" right="0.70833333333333304" top="0.74791666666666701" bottom="0.74791666666666701" header="0.31458333333333299" footer="0.31458333333333299"/>
  <pageSetup paperSize="9" scale="70" fitToHeight="50" orientation="portrait" blackAndWhite="1" r:id="rId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18"/>
  <sheetViews>
    <sheetView view="pageBreakPreview" zoomScaleNormal="100" workbookViewId="0">
      <pane xSplit="1" ySplit="6" topLeftCell="B7" activePane="bottomRight" state="frozen"/>
      <selection pane="topRight"/>
      <selection pane="bottomLeft"/>
      <selection pane="bottomRight" sqref="A1:K1"/>
    </sheetView>
  </sheetViews>
  <sheetFormatPr defaultColWidth="9" defaultRowHeight="20.100000000000001" customHeight="1"/>
  <cols>
    <col min="1" max="1" width="29.44140625" style="134" customWidth="1"/>
    <col min="2" max="2" width="11.5546875" style="134" customWidth="1"/>
    <col min="3" max="3" width="9.44140625" style="134" customWidth="1"/>
    <col min="4" max="4" width="11.109375" style="134" customWidth="1"/>
    <col min="5" max="5" width="12.109375" style="134" customWidth="1"/>
    <col min="6" max="6" width="13" style="134" customWidth="1"/>
    <col min="7" max="7" width="10.21875" style="134" customWidth="1"/>
    <col min="8" max="8" width="11" style="134" customWidth="1"/>
    <col min="9" max="9" width="12" style="134" customWidth="1"/>
    <col min="10" max="10" width="10.21875" style="134" customWidth="1"/>
    <col min="11" max="11" width="8.21875" style="134" customWidth="1"/>
    <col min="12" max="12" width="13.44140625" style="134" customWidth="1"/>
    <col min="13" max="16384" width="9" style="134"/>
  </cols>
  <sheetData>
    <row r="1" spans="1:12" ht="20.100000000000001" customHeight="1">
      <c r="A1" s="215" t="s">
        <v>16</v>
      </c>
      <c r="B1" s="215"/>
      <c r="C1" s="215"/>
      <c r="D1" s="215"/>
      <c r="E1" s="215"/>
      <c r="F1" s="215"/>
      <c r="G1" s="215"/>
      <c r="H1" s="215"/>
      <c r="I1" s="215"/>
      <c r="J1" s="215"/>
      <c r="K1" s="215"/>
    </row>
    <row r="2" spans="1:12" ht="20.100000000000001" customHeight="1">
      <c r="A2" s="216" t="s">
        <v>56</v>
      </c>
      <c r="B2" s="216"/>
      <c r="C2" s="216"/>
      <c r="D2" s="216"/>
      <c r="E2" s="216"/>
      <c r="F2" s="216"/>
      <c r="G2" s="216"/>
      <c r="H2" s="216"/>
      <c r="I2" s="216"/>
      <c r="J2" s="216"/>
      <c r="K2" s="216"/>
    </row>
    <row r="3" spans="1:12" ht="20.100000000000001" customHeight="1">
      <c r="A3" s="134" t="str">
        <f>底稿目录!A2</f>
        <v>被审计单位名称：</v>
      </c>
      <c r="E3" s="135" t="str">
        <f>底稿目录!A4</f>
        <v>编制人：</v>
      </c>
      <c r="H3" s="135" t="str">
        <f>底稿目录!A5</f>
        <v>编制日期：</v>
      </c>
      <c r="J3" s="149" t="s">
        <v>18</v>
      </c>
      <c r="K3" s="258" t="s">
        <v>7</v>
      </c>
    </row>
    <row r="4" spans="1:12" ht="20.100000000000001" customHeight="1">
      <c r="A4" s="134" t="str">
        <f>底稿目录!A3</f>
        <v>截止日：202X年12月31日</v>
      </c>
      <c r="E4" s="135" t="str">
        <f>底稿目录!A6</f>
        <v>复核人：</v>
      </c>
      <c r="H4" s="135" t="str">
        <f>底稿目录!A7</f>
        <v>复核日期：</v>
      </c>
      <c r="J4" s="149" t="s">
        <v>19</v>
      </c>
    </row>
    <row r="5" spans="1:12" ht="30" customHeight="1">
      <c r="A5" s="222" t="s">
        <v>57</v>
      </c>
      <c r="B5" s="217" t="s">
        <v>58</v>
      </c>
      <c r="C5" s="218"/>
      <c r="D5" s="218"/>
      <c r="E5" s="219"/>
      <c r="F5" s="217" t="s">
        <v>59</v>
      </c>
      <c r="G5" s="218"/>
      <c r="H5" s="218"/>
      <c r="I5" s="219"/>
      <c r="J5" s="220" t="s">
        <v>60</v>
      </c>
      <c r="K5" s="221"/>
    </row>
    <row r="6" spans="1:12" ht="20.100000000000001" customHeight="1">
      <c r="A6" s="223"/>
      <c r="B6" s="136" t="s">
        <v>61</v>
      </c>
      <c r="C6" s="136" t="s">
        <v>62</v>
      </c>
      <c r="D6" s="136" t="s">
        <v>63</v>
      </c>
      <c r="E6" s="136" t="s">
        <v>64</v>
      </c>
      <c r="F6" s="136" t="s">
        <v>61</v>
      </c>
      <c r="G6" s="136" t="s">
        <v>62</v>
      </c>
      <c r="H6" s="136" t="s">
        <v>63</v>
      </c>
      <c r="I6" s="136" t="s">
        <v>64</v>
      </c>
      <c r="J6" s="151" t="s">
        <v>65</v>
      </c>
      <c r="K6" s="150" t="s">
        <v>66</v>
      </c>
    </row>
    <row r="7" spans="1:12" s="131" customFormat="1" ht="20.100000000000001" customHeight="1">
      <c r="A7" s="137" t="s">
        <v>67</v>
      </c>
      <c r="B7" s="37">
        <f>SUMIF('应收款项融资明细表D5-2'!$B$12:$B$16,A7,'应收款项融资明细表D5-2'!C12:C16)</f>
        <v>0</v>
      </c>
      <c r="C7" s="37">
        <f>SUMIF('应收款项融资明细表D5-2'!$B$12:$B$16,A7,'应收款项融资明细表D5-2'!D12:D16)</f>
        <v>0</v>
      </c>
      <c r="D7" s="37">
        <f>SUMIF('应收款项融资明细表D5-2'!$B$12:$B$16,A7,'应收款项融资明细表D5-2'!E12:E16)</f>
        <v>0</v>
      </c>
      <c r="E7" s="37">
        <f>B7+C7+D7</f>
        <v>0</v>
      </c>
      <c r="F7" s="37">
        <f>SUMIF('应收款项融资明细表D5-2'!$B$12:$B$16,A7,'应收款项融资明细表D5-2'!J12:J16)</f>
        <v>0</v>
      </c>
      <c r="G7" s="37">
        <f>SUMIF('应收款项融资明细表D5-2'!$B$12:$B$16,A7,'应收款项融资明细表D5-2'!M12:M16)</f>
        <v>0</v>
      </c>
      <c r="H7" s="37">
        <f>SUMIF('应收款项融资明细表D5-2'!$B$12:$B$16,A7,'应收款项融资明细表D5-2'!N12:N16)</f>
        <v>0</v>
      </c>
      <c r="I7" s="37">
        <f>F7+G7+H7</f>
        <v>0</v>
      </c>
      <c r="J7" s="152">
        <f>I7-E7</f>
        <v>0</v>
      </c>
      <c r="K7" s="153" t="str">
        <f>IF(AND(E7=0,I7=0),"",IF(AND(E7=0,I7&gt;0),1,J7/E7))</f>
        <v/>
      </c>
    </row>
    <row r="8" spans="1:12" s="131" customFormat="1" ht="20.100000000000001" customHeight="1">
      <c r="A8" s="137" t="s">
        <v>68</v>
      </c>
      <c r="B8" s="37">
        <f>SUMIF('应收款项融资明细表D5-2'!$B$12:$B$16,A8,'应收款项融资明细表D5-2'!C12:C16)</f>
        <v>0</v>
      </c>
      <c r="C8" s="37">
        <f>SUMIF('应收款项融资明细表D5-2'!$B$12:$B$16,A8,'应收款项融资明细表D5-2'!D12:D16)</f>
        <v>0</v>
      </c>
      <c r="D8" s="37">
        <f>SUMIF('应收款项融资明细表D5-2'!$B$12:$B$16,A8,'应收款项融资明细表D5-2'!E12:E16)</f>
        <v>0</v>
      </c>
      <c r="E8" s="37">
        <f>B8+C8+D8</f>
        <v>0</v>
      </c>
      <c r="F8" s="37">
        <f>SUMIF('应收款项融资明细表D5-2'!$B$12:$B$16,A8,'应收款项融资明细表D5-2'!J12:J16)</f>
        <v>0</v>
      </c>
      <c r="G8" s="37">
        <f>SUMIF('应收款项融资明细表D5-2'!$B$12:$B$16,A8,'应收款项融资明细表D5-2'!M12:M16)</f>
        <v>0</v>
      </c>
      <c r="H8" s="37">
        <f>SUMIF('应收款项融资明细表D5-2'!$B$12:$B$16,A8,'应收款项融资明细表D5-2'!N12:N16)</f>
        <v>0</v>
      </c>
      <c r="I8" s="37">
        <f>F8+G8+H8</f>
        <v>0</v>
      </c>
      <c r="J8" s="152">
        <f t="shared" ref="J8" si="0">I8-E8</f>
        <v>0</v>
      </c>
      <c r="K8" s="153" t="str">
        <f t="shared" ref="K8:K10" si="1">IF(AND(E8=0,I8=0),"",IF(AND(E8=0,I8&gt;0),1,J8/E8))</f>
        <v/>
      </c>
    </row>
    <row r="9" spans="1:12" s="131" customFormat="1" ht="20.100000000000001" customHeight="1">
      <c r="A9" s="138" t="s">
        <v>69</v>
      </c>
      <c r="B9" s="37">
        <f>SUM(B7:B8)</f>
        <v>0</v>
      </c>
      <c r="C9" s="37">
        <f t="shared" ref="C9:D9" si="2">SUM(C7:C8)</f>
        <v>0</v>
      </c>
      <c r="D9" s="37">
        <f t="shared" si="2"/>
        <v>0</v>
      </c>
      <c r="E9" s="37">
        <f>B9+C9+D9</f>
        <v>0</v>
      </c>
      <c r="F9" s="37">
        <f>SUM(F7:F8)</f>
        <v>0</v>
      </c>
      <c r="G9" s="37">
        <f t="shared" ref="G9" si="3">SUM(G7:G8)</f>
        <v>0</v>
      </c>
      <c r="H9" s="37">
        <f t="shared" ref="H9" si="4">SUM(H7:H8)</f>
        <v>0</v>
      </c>
      <c r="I9" s="37">
        <f>F9+G9+H9</f>
        <v>0</v>
      </c>
      <c r="J9" s="152">
        <f t="shared" ref="J9:J11" si="5">I9-E9</f>
        <v>0</v>
      </c>
      <c r="K9" s="153" t="str">
        <f t="shared" ref="K9" si="6">IF(AND(E9=0,I9=0),"",IF(AND(E9=0,I9&gt;0),1,J9/E9))</f>
        <v/>
      </c>
    </row>
    <row r="10" spans="1:12" s="131" customFormat="1" ht="20.100000000000001" customHeight="1">
      <c r="A10" s="137" t="s">
        <v>70</v>
      </c>
      <c r="B10" s="139"/>
      <c r="C10" s="139"/>
      <c r="D10" s="139"/>
      <c r="E10" s="37">
        <f>B10+C10+D10</f>
        <v>0</v>
      </c>
      <c r="F10" s="139"/>
      <c r="G10" s="139"/>
      <c r="H10" s="139"/>
      <c r="I10" s="37">
        <f t="shared" ref="I10" si="7">F10+G10+H10</f>
        <v>0</v>
      </c>
      <c r="J10" s="152">
        <f t="shared" si="5"/>
        <v>0</v>
      </c>
      <c r="K10" s="153" t="str">
        <f t="shared" si="1"/>
        <v/>
      </c>
    </row>
    <row r="11" spans="1:12" s="131" customFormat="1" ht="20.100000000000001" customHeight="1">
      <c r="A11" s="140" t="s">
        <v>71</v>
      </c>
      <c r="B11" s="25">
        <f>B7+B8-B10</f>
        <v>0</v>
      </c>
      <c r="C11" s="25">
        <f t="shared" ref="C11:E11" si="8">C7+C8-C10</f>
        <v>0</v>
      </c>
      <c r="D11" s="25">
        <f t="shared" si="8"/>
        <v>0</v>
      </c>
      <c r="E11" s="25">
        <f t="shared" si="8"/>
        <v>0</v>
      </c>
      <c r="F11" s="25">
        <f t="shared" ref="F11:I11" si="9">F7+F8-F10</f>
        <v>0</v>
      </c>
      <c r="G11" s="25">
        <f t="shared" si="9"/>
        <v>0</v>
      </c>
      <c r="H11" s="25">
        <f t="shared" si="9"/>
        <v>0</v>
      </c>
      <c r="I11" s="25">
        <f t="shared" si="9"/>
        <v>0</v>
      </c>
      <c r="J11" s="152">
        <f t="shared" si="5"/>
        <v>0</v>
      </c>
      <c r="K11" s="153" t="str">
        <f t="shared" ref="K11" si="10">IF(AND(E11=0,I11=0),"",IF(AND(E11=0,I11&gt;0),1,J11/E11))</f>
        <v/>
      </c>
    </row>
    <row r="12" spans="1:12" s="132" customFormat="1" ht="20.100000000000001" customHeight="1">
      <c r="A12" s="141" t="s">
        <v>72</v>
      </c>
      <c r="B12" s="142"/>
      <c r="C12" s="142"/>
      <c r="D12" s="142"/>
      <c r="E12" s="142"/>
      <c r="F12" s="142"/>
      <c r="G12" s="142"/>
      <c r="H12" s="142"/>
      <c r="I12" s="142"/>
      <c r="J12" s="142"/>
      <c r="K12" s="154"/>
    </row>
    <row r="13" spans="1:12" s="132" customFormat="1" ht="20.100000000000001" customHeight="1">
      <c r="A13" s="141" t="s">
        <v>73</v>
      </c>
      <c r="B13" s="142"/>
      <c r="C13" s="142"/>
      <c r="D13" s="142"/>
      <c r="E13" s="25">
        <f>E11-E12</f>
        <v>0</v>
      </c>
      <c r="F13" s="142"/>
      <c r="G13" s="142"/>
      <c r="H13" s="142"/>
      <c r="I13" s="25">
        <f>I11-I12</f>
        <v>0</v>
      </c>
      <c r="J13" s="142"/>
      <c r="K13" s="154"/>
    </row>
    <row r="14" spans="1:12" s="132" customFormat="1" ht="20.100000000000001" customHeight="1">
      <c r="A14" s="143" t="s">
        <v>74</v>
      </c>
      <c r="B14" s="135"/>
      <c r="C14" s="135"/>
      <c r="D14" s="135"/>
      <c r="E14" s="135"/>
      <c r="F14" s="144" t="s">
        <v>75</v>
      </c>
      <c r="G14" s="145"/>
      <c r="H14" s="135"/>
      <c r="J14" s="134"/>
      <c r="K14" s="134"/>
      <c r="L14" s="134"/>
    </row>
    <row r="15" spans="1:12" s="133" customFormat="1" ht="20.100000000000001" customHeight="1">
      <c r="A15" s="146" t="s">
        <v>76</v>
      </c>
      <c r="B15" s="146"/>
      <c r="C15" s="146"/>
      <c r="D15" s="147"/>
      <c r="E15" s="146"/>
      <c r="F15" s="147"/>
      <c r="G15" s="147"/>
      <c r="H15" s="147"/>
      <c r="I15" s="147"/>
      <c r="J15" s="147"/>
      <c r="K15" s="147"/>
      <c r="L15" s="134"/>
    </row>
    <row r="16" spans="1:12" s="132" customFormat="1" ht="20.100000000000001" customHeight="1">
      <c r="A16" s="146" t="s">
        <v>77</v>
      </c>
      <c r="B16" s="146"/>
      <c r="C16" s="146"/>
      <c r="D16" s="146"/>
      <c r="E16" s="146"/>
      <c r="F16" s="146"/>
      <c r="G16" s="146"/>
      <c r="H16" s="146"/>
      <c r="I16" s="146"/>
      <c r="J16" s="146"/>
      <c r="K16" s="146"/>
      <c r="L16" s="134"/>
    </row>
    <row r="17" spans="1:12" s="133" customFormat="1" ht="20.100000000000001" customHeight="1">
      <c r="A17" s="146"/>
      <c r="B17" s="146"/>
      <c r="C17" s="146"/>
      <c r="D17" s="146"/>
      <c r="E17" s="146"/>
      <c r="F17" s="146"/>
      <c r="G17" s="146"/>
      <c r="H17" s="146"/>
      <c r="I17" s="146"/>
      <c r="J17" s="146"/>
      <c r="K17" s="146"/>
      <c r="L17" s="134"/>
    </row>
    <row r="18" spans="1:12" s="133" customFormat="1" ht="20.100000000000001" customHeight="1">
      <c r="A18" s="148"/>
      <c r="B18" s="146"/>
      <c r="C18" s="146"/>
      <c r="D18" s="146"/>
      <c r="E18" s="146"/>
      <c r="F18" s="146"/>
      <c r="G18" s="146"/>
      <c r="H18" s="146"/>
      <c r="I18" s="146"/>
      <c r="J18" s="146"/>
      <c r="K18" s="146"/>
      <c r="L18" s="134"/>
    </row>
  </sheetData>
  <mergeCells count="6">
    <mergeCell ref="A1:K1"/>
    <mergeCell ref="A2:K2"/>
    <mergeCell ref="B5:E5"/>
    <mergeCell ref="F5:I5"/>
    <mergeCell ref="J5:K5"/>
    <mergeCell ref="A5:A6"/>
  </mergeCells>
  <phoneticPr fontId="158" type="noConversion"/>
  <hyperlinks>
    <hyperlink ref="K3" location="底稿目录!A1" display="D5-1"/>
  </hyperlinks>
  <pageMargins left="0.70833333333333304" right="0.70833333333333304" top="0.74791666666666701" bottom="0.74791666666666701" header="0.31458333333333299" footer="0.31458333333333299"/>
  <pageSetup paperSize="9" scale="95" fitToHeight="3" orientation="landscape" blackAndWhite="1"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G43"/>
  <sheetViews>
    <sheetView view="pageBreakPreview" zoomScaleNormal="100" workbookViewId="0">
      <selection activeCell="F9" sqref="F9"/>
    </sheetView>
  </sheetViews>
  <sheetFormatPr defaultColWidth="9" defaultRowHeight="13.8"/>
  <cols>
    <col min="1" max="1" width="36.21875" style="85" customWidth="1"/>
    <col min="2" max="2" width="19.44140625" style="85" customWidth="1"/>
    <col min="3" max="3" width="13.88671875" style="85" customWidth="1"/>
    <col min="4" max="4" width="12.88671875" style="85" customWidth="1"/>
    <col min="5" max="5" width="14.109375" style="85" customWidth="1"/>
    <col min="6" max="6" width="13.109375" style="85" customWidth="1"/>
    <col min="7" max="7" width="12.88671875" style="85" customWidth="1"/>
    <col min="8" max="8" width="12.44140625" style="85" customWidth="1"/>
    <col min="9" max="16384" width="9" style="85"/>
  </cols>
  <sheetData>
    <row r="1" spans="1:7" s="81" customFormat="1" ht="20.100000000000001" customHeight="1">
      <c r="A1" s="224" t="s">
        <v>78</v>
      </c>
      <c r="B1" s="224"/>
      <c r="C1" s="224"/>
      <c r="D1" s="224"/>
      <c r="E1" s="224"/>
      <c r="F1" s="224"/>
      <c r="G1" s="224"/>
    </row>
    <row r="2" spans="1:7" s="82" customFormat="1" ht="24.9" customHeight="1">
      <c r="A2" s="225" t="s">
        <v>79</v>
      </c>
      <c r="B2" s="225"/>
      <c r="C2" s="225"/>
      <c r="D2" s="225"/>
      <c r="E2" s="225"/>
      <c r="F2" s="225"/>
      <c r="G2" s="225"/>
    </row>
    <row r="3" spans="1:7" s="83" customFormat="1" ht="20.100000000000001" customHeight="1">
      <c r="A3" s="83" t="str">
        <f>底稿目录!A2</f>
        <v>被审计单位名称：</v>
      </c>
      <c r="C3" s="86" t="str">
        <f>底稿目录!A4</f>
        <v>编制人：</v>
      </c>
      <c r="E3" s="87" t="str">
        <f>底稿目录!A5</f>
        <v>编制日期：</v>
      </c>
      <c r="F3" s="102"/>
      <c r="G3" s="61" t="s">
        <v>18</v>
      </c>
    </row>
    <row r="4" spans="1:7" s="83" customFormat="1" ht="20.100000000000001" customHeight="1">
      <c r="A4" s="88" t="str">
        <f>底稿目录!A3</f>
        <v>截止日：202X年12月31日</v>
      </c>
      <c r="C4" s="103" t="str">
        <f>底稿目录!A6</f>
        <v>复核人：</v>
      </c>
      <c r="D4" s="104"/>
      <c r="E4" s="104" t="str">
        <f>底稿目录!A7</f>
        <v>复核日期：</v>
      </c>
      <c r="F4" s="103"/>
      <c r="G4" s="86" t="s">
        <v>80</v>
      </c>
    </row>
    <row r="5" spans="1:7" s="84" customFormat="1" ht="20.100000000000001" customHeight="1">
      <c r="A5" s="105" t="s">
        <v>81</v>
      </c>
    </row>
    <row r="6" spans="1:7" s="84" customFormat="1" ht="20.100000000000001" customHeight="1">
      <c r="A6" s="99" t="s">
        <v>82</v>
      </c>
    </row>
    <row r="7" spans="1:7" s="84" customFormat="1" ht="20.100000000000001" customHeight="1">
      <c r="A7" s="99" t="s">
        <v>83</v>
      </c>
      <c r="B7" s="106"/>
      <c r="C7" s="106"/>
      <c r="D7" s="107"/>
      <c r="E7" s="107"/>
      <c r="F7" s="107"/>
      <c r="G7" s="93"/>
    </row>
    <row r="8" spans="1:7" s="84" customFormat="1" ht="20.100000000000001" customHeight="1">
      <c r="A8" s="108" t="s">
        <v>84</v>
      </c>
      <c r="B8" s="109" t="s">
        <v>85</v>
      </c>
      <c r="C8" s="109" t="s">
        <v>86</v>
      </c>
      <c r="D8" s="107"/>
      <c r="E8" s="107"/>
      <c r="F8" s="107"/>
      <c r="G8" s="93"/>
    </row>
    <row r="9" spans="1:7" ht="15.6">
      <c r="A9" s="110" t="s">
        <v>67</v>
      </c>
      <c r="B9" s="111">
        <f>审定表D5!I7</f>
        <v>0</v>
      </c>
      <c r="C9" s="111">
        <f>审定表D5!E7</f>
        <v>0</v>
      </c>
      <c r="D9" s="107"/>
      <c r="E9" s="107"/>
      <c r="F9" s="107"/>
    </row>
    <row r="10" spans="1:7" ht="15.6">
      <c r="A10" s="112" t="s">
        <v>68</v>
      </c>
      <c r="B10" s="111">
        <f>审定表D5!I8</f>
        <v>0</v>
      </c>
      <c r="C10" s="111">
        <f>审定表D5!E8</f>
        <v>0</v>
      </c>
      <c r="D10" s="107"/>
      <c r="E10" s="107"/>
      <c r="F10" s="107"/>
    </row>
    <row r="11" spans="1:7" ht="15.6">
      <c r="A11" s="110" t="s">
        <v>87</v>
      </c>
      <c r="B11" s="113">
        <f>审定表D5!I9</f>
        <v>0</v>
      </c>
      <c r="C11" s="113">
        <f>审定表D5!E9</f>
        <v>0</v>
      </c>
      <c r="D11" s="107"/>
      <c r="E11" s="107"/>
      <c r="F11" s="107"/>
    </row>
    <row r="12" spans="1:7" ht="15.6">
      <c r="A12" s="110" t="s">
        <v>70</v>
      </c>
      <c r="B12" s="113">
        <f>审定表D5!I10</f>
        <v>0</v>
      </c>
      <c r="C12" s="113">
        <f>审定表D5!E10</f>
        <v>0</v>
      </c>
      <c r="D12" s="107"/>
      <c r="E12" s="107"/>
      <c r="F12" s="107"/>
    </row>
    <row r="13" spans="1:7" ht="15.6">
      <c r="A13" s="114" t="s">
        <v>88</v>
      </c>
      <c r="B13" s="115">
        <f>B11-B12</f>
        <v>0</v>
      </c>
      <c r="C13" s="115">
        <f>C11-C12</f>
        <v>0</v>
      </c>
      <c r="D13" s="107"/>
      <c r="E13" s="107"/>
      <c r="F13" s="107"/>
    </row>
    <row r="14" spans="1:7" ht="15.6">
      <c r="A14" s="99" t="s">
        <v>89</v>
      </c>
      <c r="B14" s="106"/>
      <c r="C14" s="106"/>
      <c r="D14" s="107"/>
      <c r="E14" s="107"/>
      <c r="F14" s="107"/>
    </row>
    <row r="15" spans="1:7" ht="15.6">
      <c r="A15" s="116" t="s">
        <v>90</v>
      </c>
      <c r="B15" s="106"/>
      <c r="C15" s="106"/>
      <c r="D15" s="107"/>
      <c r="E15" s="107"/>
      <c r="F15" s="107"/>
    </row>
    <row r="16" spans="1:7" ht="15.6">
      <c r="A16" s="117" t="s">
        <v>91</v>
      </c>
      <c r="B16" s="106"/>
      <c r="C16" s="106"/>
      <c r="D16" s="107"/>
      <c r="E16" s="107"/>
      <c r="F16" s="107"/>
    </row>
    <row r="17" spans="1:6" ht="15.6">
      <c r="A17" s="117" t="s">
        <v>92</v>
      </c>
      <c r="B17" s="106"/>
      <c r="C17" s="106"/>
      <c r="D17" s="107"/>
      <c r="E17" s="107"/>
      <c r="F17" s="107"/>
    </row>
    <row r="18" spans="1:6" ht="15.6">
      <c r="A18" s="99" t="s">
        <v>93</v>
      </c>
      <c r="B18" s="106"/>
      <c r="C18" s="106"/>
      <c r="D18" s="107"/>
      <c r="E18" s="107"/>
      <c r="F18" s="107"/>
    </row>
    <row r="19" spans="1:6" ht="15.6">
      <c r="A19" s="118" t="s">
        <v>94</v>
      </c>
      <c r="B19" s="106"/>
      <c r="C19" s="106"/>
      <c r="D19" s="107"/>
      <c r="E19" s="107"/>
      <c r="F19" s="107"/>
    </row>
    <row r="20" spans="1:6" ht="15.6">
      <c r="A20" s="119"/>
      <c r="B20" s="108" t="s">
        <v>95</v>
      </c>
      <c r="C20" s="106"/>
      <c r="D20" s="107"/>
      <c r="E20" s="107"/>
      <c r="F20" s="107"/>
    </row>
    <row r="21" spans="1:6" ht="15.6">
      <c r="A21" s="120" t="s">
        <v>86</v>
      </c>
      <c r="B21" s="111" t="e">
        <f>审定表D5!#REF!</f>
        <v>#REF!</v>
      </c>
      <c r="C21" s="106"/>
      <c r="D21" s="107"/>
      <c r="E21" s="107"/>
      <c r="F21" s="107"/>
    </row>
    <row r="22" spans="1:6" ht="15.6">
      <c r="A22" s="121" t="s">
        <v>96</v>
      </c>
      <c r="B22" s="120"/>
      <c r="C22" s="106"/>
      <c r="D22" s="107"/>
      <c r="E22" s="107"/>
      <c r="F22" s="107"/>
    </row>
    <row r="23" spans="1:6" ht="15.6">
      <c r="A23" s="121" t="s">
        <v>97</v>
      </c>
      <c r="B23" s="120"/>
      <c r="C23" s="106"/>
      <c r="D23" s="107"/>
      <c r="E23" s="107"/>
      <c r="F23" s="107"/>
    </row>
    <row r="24" spans="1:6" ht="15.6">
      <c r="A24" s="121" t="s">
        <v>98</v>
      </c>
      <c r="B24" s="120"/>
      <c r="C24" s="106"/>
      <c r="D24" s="107"/>
      <c r="E24" s="107"/>
      <c r="F24" s="107"/>
    </row>
    <row r="25" spans="1:6" ht="15.6">
      <c r="A25" s="122" t="s">
        <v>99</v>
      </c>
      <c r="B25" s="120"/>
      <c r="C25" s="106"/>
      <c r="D25" s="107"/>
      <c r="E25" s="107"/>
      <c r="F25" s="107"/>
    </row>
    <row r="26" spans="1:6" ht="15.6">
      <c r="A26" s="122" t="s">
        <v>100</v>
      </c>
      <c r="B26" s="120"/>
      <c r="C26" s="106"/>
      <c r="D26" s="107"/>
      <c r="E26" s="107"/>
      <c r="F26" s="107"/>
    </row>
    <row r="27" spans="1:6" ht="15.6">
      <c r="A27" s="123" t="s">
        <v>85</v>
      </c>
      <c r="B27" s="124" t="e">
        <f>B21+B22-B23-B24-B25-B26</f>
        <v>#REF!</v>
      </c>
      <c r="C27" s="106"/>
      <c r="D27" s="107"/>
      <c r="E27" s="107"/>
      <c r="F27" s="107"/>
    </row>
    <row r="28" spans="1:6" ht="15.6">
      <c r="A28" s="99" t="s">
        <v>101</v>
      </c>
      <c r="B28" s="106"/>
      <c r="C28" s="106"/>
      <c r="D28" s="107"/>
      <c r="E28" s="107"/>
      <c r="F28" s="107"/>
    </row>
    <row r="29" spans="1:6" ht="15.6">
      <c r="A29" s="118" t="s">
        <v>102</v>
      </c>
      <c r="B29" s="106"/>
      <c r="C29" s="106"/>
      <c r="D29" s="107"/>
      <c r="E29" s="107"/>
      <c r="F29" s="107"/>
    </row>
    <row r="30" spans="1:6" ht="15.6">
      <c r="A30" s="125" t="s">
        <v>103</v>
      </c>
      <c r="B30" s="125" t="s">
        <v>104</v>
      </c>
      <c r="C30" s="106"/>
      <c r="D30" s="107"/>
      <c r="E30" s="107"/>
      <c r="F30" s="107"/>
    </row>
    <row r="31" spans="1:6" ht="15.6">
      <c r="A31" s="126" t="s">
        <v>105</v>
      </c>
      <c r="B31" s="120"/>
      <c r="C31" s="106"/>
      <c r="D31" s="107"/>
      <c r="E31" s="107"/>
      <c r="F31" s="107"/>
    </row>
    <row r="32" spans="1:6" ht="15.6">
      <c r="A32" s="127" t="s">
        <v>106</v>
      </c>
      <c r="B32" s="128"/>
      <c r="C32" s="106"/>
      <c r="D32" s="107"/>
      <c r="E32" s="107"/>
      <c r="F32" s="107"/>
    </row>
    <row r="33" spans="1:6" ht="15.6">
      <c r="A33" s="129" t="s">
        <v>107</v>
      </c>
      <c r="B33" s="130">
        <f>SUM(B31:B32)</f>
        <v>0</v>
      </c>
      <c r="C33" s="106"/>
      <c r="D33" s="107"/>
      <c r="E33" s="107"/>
      <c r="F33" s="107"/>
    </row>
    <row r="34" spans="1:6" ht="15.6">
      <c r="A34" s="118" t="s">
        <v>108</v>
      </c>
      <c r="B34" s="106"/>
      <c r="C34" s="106"/>
      <c r="D34" s="107"/>
      <c r="E34" s="107"/>
      <c r="F34" s="107"/>
    </row>
    <row r="35" spans="1:6" ht="31.2">
      <c r="A35" s="125" t="s">
        <v>103</v>
      </c>
      <c r="B35" s="125" t="s">
        <v>109</v>
      </c>
      <c r="C35" s="125" t="s">
        <v>110</v>
      </c>
      <c r="D35" s="107"/>
      <c r="E35" s="107"/>
      <c r="F35" s="107"/>
    </row>
    <row r="36" spans="1:6" ht="15.6">
      <c r="A36" s="126" t="s">
        <v>105</v>
      </c>
      <c r="B36" s="120"/>
      <c r="C36" s="120"/>
      <c r="D36" s="107"/>
      <c r="E36" s="107"/>
      <c r="F36" s="107"/>
    </row>
    <row r="37" spans="1:6" ht="15.6">
      <c r="A37" s="127" t="s">
        <v>106</v>
      </c>
      <c r="B37" s="128"/>
      <c r="C37" s="128"/>
      <c r="D37" s="107"/>
      <c r="E37" s="107"/>
      <c r="F37" s="107"/>
    </row>
    <row r="38" spans="1:6" ht="15.6">
      <c r="A38" s="129" t="s">
        <v>107</v>
      </c>
      <c r="B38" s="130">
        <f>SUM(B36:B37)</f>
        <v>0</v>
      </c>
      <c r="C38" s="130">
        <f>SUM(C36:C37)</f>
        <v>0</v>
      </c>
      <c r="D38" s="107"/>
      <c r="E38" s="107"/>
      <c r="F38" s="107"/>
    </row>
    <row r="39" spans="1:6" ht="15.6">
      <c r="A39" s="99" t="s">
        <v>111</v>
      </c>
      <c r="B39" s="106"/>
      <c r="C39" s="106"/>
      <c r="D39" s="107"/>
      <c r="E39" s="107"/>
      <c r="F39" s="107"/>
    </row>
    <row r="40" spans="1:6" ht="15.6">
      <c r="A40" s="99" t="s">
        <v>112</v>
      </c>
      <c r="B40" s="106"/>
      <c r="C40" s="106"/>
      <c r="D40" s="107"/>
      <c r="E40" s="107"/>
      <c r="F40" s="107"/>
    </row>
    <row r="41" spans="1:6" ht="15.6">
      <c r="A41" s="99" t="s">
        <v>113</v>
      </c>
      <c r="B41" s="106"/>
      <c r="C41" s="106"/>
      <c r="D41" s="107"/>
      <c r="E41" s="107"/>
      <c r="F41" s="107"/>
    </row>
    <row r="42" spans="1:6" ht="15.6">
      <c r="A42" s="117" t="s">
        <v>114</v>
      </c>
      <c r="B42" s="106"/>
      <c r="C42" s="106"/>
      <c r="D42" s="107"/>
      <c r="E42" s="107"/>
      <c r="F42" s="107"/>
    </row>
    <row r="43" spans="1:6" ht="15.6">
      <c r="A43" s="117" t="s">
        <v>115</v>
      </c>
      <c r="B43" s="106"/>
      <c r="C43" s="106"/>
      <c r="D43" s="107"/>
      <c r="E43" s="107"/>
      <c r="F43" s="107"/>
    </row>
  </sheetData>
  <mergeCells count="2">
    <mergeCell ref="A1:G1"/>
    <mergeCell ref="A2:G2"/>
  </mergeCells>
  <phoneticPr fontId="158" type="noConversion"/>
  <pageMargins left="0.70833333333333304" right="0.70833333333333304" top="0.74791666666666701" bottom="0.74791666666666701" header="0.31458333333333299" footer="0.31458333333333299"/>
  <pageSetup paperSize="9" scale="92" fitToHeight="100" orientation="landscape" blackAndWhite="1"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8"/>
  <sheetViews>
    <sheetView view="pageBreakPreview" zoomScaleNormal="100" workbookViewId="0">
      <selection activeCell="F8" sqref="F8"/>
    </sheetView>
  </sheetViews>
  <sheetFormatPr defaultColWidth="9" defaultRowHeight="13.8"/>
  <cols>
    <col min="1" max="1" width="19.44140625" style="85" customWidth="1"/>
    <col min="2" max="2" width="11" style="85" customWidth="1"/>
    <col min="3" max="4" width="12.44140625" style="85" customWidth="1"/>
    <col min="5" max="5" width="12.88671875" style="85" customWidth="1"/>
    <col min="6" max="6" width="12.109375" style="85" customWidth="1"/>
    <col min="7" max="16384" width="9" style="85"/>
  </cols>
  <sheetData>
    <row r="1" spans="1:7" s="81" customFormat="1" ht="20.100000000000001" customHeight="1">
      <c r="A1" s="224" t="s">
        <v>16</v>
      </c>
      <c r="B1" s="224"/>
      <c r="C1" s="224"/>
      <c r="D1" s="224"/>
      <c r="E1" s="224"/>
      <c r="F1" s="224"/>
    </row>
    <row r="2" spans="1:7" s="82" customFormat="1" ht="24.9" customHeight="1">
      <c r="A2" s="225" t="s">
        <v>11</v>
      </c>
      <c r="B2" s="225"/>
      <c r="C2" s="225"/>
      <c r="D2" s="225"/>
      <c r="E2" s="225"/>
      <c r="F2" s="225"/>
    </row>
    <row r="3" spans="1:7" s="83" customFormat="1" ht="20.100000000000001" customHeight="1">
      <c r="A3" s="83" t="str">
        <f>底稿目录!A2</f>
        <v>被审计单位名称：</v>
      </c>
      <c r="C3" s="86" t="str">
        <f>底稿目录!A4</f>
        <v>编制人：</v>
      </c>
      <c r="E3" s="87" t="str">
        <f>底稿目录!A5</f>
        <v>编制日期：</v>
      </c>
      <c r="F3" s="61" t="s">
        <v>18</v>
      </c>
    </row>
    <row r="4" spans="1:7" s="83" customFormat="1" ht="20.100000000000001" customHeight="1">
      <c r="A4" s="88" t="str">
        <f>底稿目录!A3</f>
        <v>截止日：202X年12月31日</v>
      </c>
      <c r="C4" s="86" t="str">
        <f>底稿目录!A6</f>
        <v>复核人：</v>
      </c>
      <c r="E4" s="87" t="str">
        <f>底稿目录!A7</f>
        <v>复核日期：</v>
      </c>
      <c r="F4" s="86" t="s">
        <v>19</v>
      </c>
    </row>
    <row r="5" spans="1:7" s="84" customFormat="1" ht="20.100000000000001" customHeight="1">
      <c r="A5" s="89" t="s">
        <v>116</v>
      </c>
    </row>
    <row r="6" spans="1:7" s="84" customFormat="1" ht="20.100000000000001" customHeight="1">
      <c r="A6" s="89" t="s">
        <v>117</v>
      </c>
      <c r="B6" s="90"/>
      <c r="C6" s="90"/>
      <c r="D6" s="90"/>
      <c r="E6" s="90"/>
      <c r="F6" s="90"/>
    </row>
    <row r="7" spans="1:7" s="84" customFormat="1" ht="20.100000000000001" customHeight="1">
      <c r="A7" s="91" t="s">
        <v>84</v>
      </c>
      <c r="B7" s="92" t="s">
        <v>85</v>
      </c>
      <c r="C7" s="92" t="s">
        <v>118</v>
      </c>
      <c r="D7" s="93"/>
      <c r="E7" s="93"/>
      <c r="F7" s="93"/>
      <c r="G7" s="94"/>
    </row>
    <row r="8" spans="1:7" s="84" customFormat="1" ht="20.100000000000001" customHeight="1">
      <c r="A8" s="95" t="s">
        <v>67</v>
      </c>
      <c r="B8" s="96"/>
      <c r="C8" s="96"/>
      <c r="D8" s="93"/>
      <c r="E8" s="93"/>
      <c r="F8" s="93"/>
      <c r="G8" s="94"/>
    </row>
    <row r="9" spans="1:7" s="84" customFormat="1" ht="20.100000000000001" customHeight="1">
      <c r="A9" s="97" t="s">
        <v>68</v>
      </c>
      <c r="B9" s="96"/>
      <c r="C9" s="96"/>
      <c r="D9" s="93"/>
      <c r="E9" s="93"/>
      <c r="F9" s="93"/>
      <c r="G9" s="94"/>
    </row>
    <row r="10" spans="1:7" s="84" customFormat="1" ht="20.100000000000001" customHeight="1">
      <c r="A10" s="91" t="s">
        <v>107</v>
      </c>
      <c r="B10" s="98">
        <f>SUM(B8:B9)</f>
        <v>0</v>
      </c>
      <c r="C10" s="98">
        <f>SUM(C8:C9)</f>
        <v>0</v>
      </c>
      <c r="D10" s="93"/>
      <c r="E10" s="93"/>
      <c r="F10" s="93"/>
      <c r="G10" s="94"/>
    </row>
    <row r="11" spans="1:7" s="84" customFormat="1" ht="16.2">
      <c r="A11" s="99" t="s">
        <v>119</v>
      </c>
      <c r="B11" s="94"/>
      <c r="C11" s="94"/>
      <c r="D11" s="94"/>
      <c r="E11" s="94"/>
      <c r="F11" s="94"/>
      <c r="G11" s="94"/>
    </row>
    <row r="12" spans="1:7" s="84" customFormat="1" ht="17.399999999999999">
      <c r="A12" s="100" t="s">
        <v>120</v>
      </c>
      <c r="B12" s="94"/>
      <c r="C12" s="94"/>
      <c r="D12" s="94"/>
      <c r="E12" s="94"/>
      <c r="F12" s="94"/>
      <c r="G12" s="94"/>
    </row>
    <row r="13" spans="1:7" s="84" customFormat="1" ht="16.2">
      <c r="A13" s="94"/>
      <c r="B13" s="94"/>
      <c r="C13" s="94"/>
      <c r="D13" s="94"/>
      <c r="E13" s="94"/>
      <c r="F13" s="94"/>
      <c r="G13" s="94"/>
    </row>
    <row r="14" spans="1:7">
      <c r="A14" s="101"/>
      <c r="B14" s="101"/>
      <c r="C14" s="101"/>
      <c r="D14" s="101"/>
      <c r="E14" s="101"/>
      <c r="F14" s="101"/>
      <c r="G14" s="101"/>
    </row>
    <row r="15" spans="1:7">
      <c r="A15" s="101"/>
      <c r="B15" s="101"/>
      <c r="C15" s="101"/>
      <c r="D15" s="101"/>
      <c r="E15" s="101"/>
      <c r="F15" s="101"/>
      <c r="G15" s="101"/>
    </row>
    <row r="16" spans="1:7">
      <c r="A16" s="101"/>
      <c r="B16" s="101"/>
      <c r="C16" s="101"/>
      <c r="D16" s="101"/>
      <c r="E16" s="101"/>
      <c r="F16" s="101"/>
      <c r="G16" s="101"/>
    </row>
    <row r="17" spans="1:7">
      <c r="A17" s="101"/>
      <c r="B17" s="101"/>
      <c r="C17" s="101"/>
      <c r="D17" s="101"/>
      <c r="E17" s="101"/>
      <c r="F17" s="101"/>
      <c r="G17" s="101"/>
    </row>
    <row r="18" spans="1:7">
      <c r="A18" s="101"/>
      <c r="B18" s="101"/>
      <c r="C18" s="101"/>
      <c r="D18" s="101"/>
      <c r="E18" s="101"/>
      <c r="F18" s="101"/>
      <c r="G18" s="101"/>
    </row>
  </sheetData>
  <mergeCells count="2">
    <mergeCell ref="A1:F1"/>
    <mergeCell ref="A2:F2"/>
  </mergeCells>
  <phoneticPr fontId="158" type="noConversion"/>
  <pageMargins left="0.70833333333333304" right="0.70833333333333304" top="0.74791666666666701" bottom="0.74791666666666701" header="0.31458333333333299" footer="0.31458333333333299"/>
  <pageSetup paperSize="9" fitToHeight="100" orientation="portrait" blackAndWhite="1" r:id="rId1"/>
  <headerFoot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6"/>
  <sheetViews>
    <sheetView view="pageBreakPreview" zoomScaleNormal="100" workbookViewId="0">
      <selection sqref="A1:Q1"/>
    </sheetView>
  </sheetViews>
  <sheetFormatPr defaultColWidth="9" defaultRowHeight="20.100000000000001" customHeight="1"/>
  <cols>
    <col min="1" max="1" width="14.21875" style="41" customWidth="1"/>
    <col min="2" max="2" width="15.6640625" style="41" customWidth="1"/>
    <col min="3" max="3" width="9" style="41" customWidth="1"/>
    <col min="4" max="4" width="9" style="41"/>
    <col min="5" max="5" width="10.44140625" style="41" customWidth="1"/>
    <col min="6" max="6" width="9" style="41"/>
    <col min="7" max="7" width="11" style="41" customWidth="1"/>
    <col min="8" max="10" width="9" style="41"/>
    <col min="11" max="11" width="10.21875" style="41" customWidth="1"/>
    <col min="12" max="12" width="10.6640625" style="41" customWidth="1"/>
    <col min="13" max="13" width="9" style="41"/>
    <col min="14" max="14" width="10.44140625" style="41" customWidth="1"/>
    <col min="15" max="15" width="9" style="41"/>
    <col min="16" max="16" width="11.77734375" style="41" customWidth="1"/>
    <col min="17" max="17" width="10" style="41" customWidth="1"/>
    <col min="18" max="16384" width="9" style="41"/>
  </cols>
  <sheetData>
    <row r="1" spans="1:17" ht="20.100000000000001" customHeight="1">
      <c r="A1" s="226" t="s">
        <v>16</v>
      </c>
      <c r="B1" s="226"/>
      <c r="C1" s="226"/>
      <c r="D1" s="226"/>
      <c r="E1" s="226"/>
      <c r="F1" s="226"/>
      <c r="G1" s="226"/>
      <c r="H1" s="226"/>
      <c r="I1" s="226"/>
      <c r="J1" s="226"/>
      <c r="K1" s="226"/>
      <c r="L1" s="226"/>
      <c r="M1" s="226"/>
      <c r="N1" s="226"/>
      <c r="O1" s="226"/>
      <c r="P1" s="226"/>
      <c r="Q1" s="226"/>
    </row>
    <row r="2" spans="1:17" ht="20.100000000000001" customHeight="1">
      <c r="A2" s="227" t="s">
        <v>121</v>
      </c>
      <c r="B2" s="227"/>
      <c r="C2" s="227"/>
      <c r="D2" s="227"/>
      <c r="E2" s="227"/>
      <c r="F2" s="227"/>
      <c r="G2" s="227"/>
      <c r="H2" s="227"/>
      <c r="I2" s="227"/>
      <c r="J2" s="227"/>
      <c r="K2" s="227"/>
      <c r="L2" s="227"/>
      <c r="M2" s="227"/>
      <c r="N2" s="227"/>
      <c r="O2" s="227"/>
      <c r="P2" s="227"/>
      <c r="Q2" s="227"/>
    </row>
    <row r="3" spans="1:17" ht="20.100000000000001" customHeight="1">
      <c r="A3" s="60" t="str">
        <f>底稿目录!A2</f>
        <v>被审计单位名称：</v>
      </c>
      <c r="B3" s="60"/>
      <c r="C3" s="60"/>
      <c r="D3" s="60"/>
      <c r="E3" s="60"/>
      <c r="F3" s="61" t="str">
        <f>底稿目录!A4</f>
        <v>编制人：</v>
      </c>
      <c r="G3" s="60"/>
      <c r="H3" s="60"/>
      <c r="I3" s="60"/>
      <c r="J3" s="61" t="str">
        <f>底稿目录!A5</f>
        <v>编制日期：</v>
      </c>
      <c r="K3" s="61"/>
      <c r="L3" s="61"/>
      <c r="M3" s="60"/>
      <c r="N3" s="60"/>
      <c r="P3" s="76" t="s">
        <v>18</v>
      </c>
      <c r="Q3" s="258" t="s">
        <v>13</v>
      </c>
    </row>
    <row r="4" spans="1:17" ht="20.100000000000001" customHeight="1">
      <c r="A4" s="62" t="str">
        <f>底稿目录!A3</f>
        <v>截止日：202X年12月31日</v>
      </c>
      <c r="B4" s="62"/>
      <c r="C4" s="63"/>
      <c r="D4" s="60"/>
      <c r="E4" s="60"/>
      <c r="F4" s="61" t="str">
        <f>底稿目录!A6</f>
        <v>复核人：</v>
      </c>
      <c r="G4" s="60"/>
      <c r="H4" s="60"/>
      <c r="I4" s="60"/>
      <c r="J4" s="61" t="str">
        <f>底稿目录!A7</f>
        <v>复核日期：</v>
      </c>
      <c r="K4" s="61"/>
      <c r="L4" s="61"/>
      <c r="M4" s="60"/>
      <c r="N4" s="60"/>
      <c r="P4" s="76" t="s">
        <v>19</v>
      </c>
    </row>
    <row r="5" spans="1:17" ht="20.100000000000001" customHeight="1">
      <c r="A5" s="64" t="s">
        <v>122</v>
      </c>
      <c r="B5" s="64"/>
      <c r="C5" s="64"/>
      <c r="D5" s="60"/>
      <c r="E5" s="61"/>
      <c r="F5" s="61"/>
      <c r="G5" s="60"/>
      <c r="H5" s="60"/>
      <c r="I5" s="60"/>
      <c r="J5" s="60"/>
      <c r="K5" s="60"/>
      <c r="L5" s="60"/>
      <c r="M5" s="60"/>
      <c r="N5" s="60"/>
      <c r="O5" s="60"/>
      <c r="P5" s="60"/>
    </row>
    <row r="6" spans="1:17" ht="20.100000000000001" customHeight="1">
      <c r="A6" s="65" t="s">
        <v>123</v>
      </c>
      <c r="B6" s="65"/>
      <c r="C6" s="62"/>
      <c r="D6" s="60"/>
      <c r="E6" s="61"/>
      <c r="F6" s="61"/>
      <c r="G6" s="60"/>
      <c r="H6" s="60"/>
      <c r="I6" s="60"/>
      <c r="J6" s="60"/>
      <c r="K6" s="60"/>
      <c r="L6" s="60"/>
      <c r="M6" s="60"/>
      <c r="N6" s="60"/>
      <c r="O6" s="60"/>
      <c r="P6" s="60"/>
    </row>
    <row r="7" spans="1:17" ht="20.100000000000001" customHeight="1">
      <c r="A7" s="64" t="s">
        <v>124</v>
      </c>
      <c r="B7" s="64"/>
      <c r="C7" s="64"/>
      <c r="D7" s="60"/>
      <c r="E7" s="61"/>
      <c r="F7" s="61"/>
      <c r="G7" s="60"/>
      <c r="H7" s="60"/>
      <c r="I7" s="60"/>
      <c r="J7" s="60"/>
      <c r="K7" s="60"/>
      <c r="L7" s="60"/>
      <c r="M7" s="60"/>
      <c r="N7" s="60"/>
      <c r="O7" s="60"/>
      <c r="P7" s="60"/>
    </row>
    <row r="8" spans="1:17" ht="20.100000000000001" customHeight="1">
      <c r="A8" s="66" t="s">
        <v>125</v>
      </c>
      <c r="B8" s="66"/>
      <c r="C8" s="65"/>
      <c r="D8" s="60"/>
      <c r="E8" s="61"/>
      <c r="F8" s="61"/>
      <c r="G8" s="60"/>
      <c r="H8" s="60"/>
      <c r="I8" s="60"/>
      <c r="J8" s="60"/>
      <c r="K8" s="60"/>
      <c r="L8" s="60"/>
      <c r="M8" s="60"/>
      <c r="N8" s="60"/>
      <c r="O8" s="60"/>
      <c r="P8" s="60"/>
    </row>
    <row r="10" spans="1:17" ht="20.100000000000001" customHeight="1">
      <c r="A10" s="228" t="s">
        <v>126</v>
      </c>
      <c r="B10" s="229" t="s">
        <v>127</v>
      </c>
      <c r="C10" s="228" t="s">
        <v>58</v>
      </c>
      <c r="D10" s="228"/>
      <c r="E10" s="228"/>
      <c r="F10" s="228"/>
      <c r="G10" s="228"/>
      <c r="H10" s="228" t="s">
        <v>128</v>
      </c>
      <c r="I10" s="228"/>
      <c r="J10" s="228" t="s">
        <v>59</v>
      </c>
      <c r="K10" s="228"/>
      <c r="L10" s="228"/>
      <c r="M10" s="228"/>
      <c r="N10" s="228"/>
      <c r="O10" s="228"/>
      <c r="P10" s="228"/>
      <c r="Q10" s="228" t="s">
        <v>129</v>
      </c>
    </row>
    <row r="11" spans="1:17" ht="61.05" customHeight="1">
      <c r="A11" s="228"/>
      <c r="B11" s="230"/>
      <c r="C11" s="68" t="s">
        <v>61</v>
      </c>
      <c r="D11" s="69" t="s">
        <v>62</v>
      </c>
      <c r="E11" s="69" t="s">
        <v>63</v>
      </c>
      <c r="F11" s="69" t="s">
        <v>64</v>
      </c>
      <c r="G11" s="67" t="s">
        <v>130</v>
      </c>
      <c r="H11" s="67" t="s">
        <v>131</v>
      </c>
      <c r="I11" s="67" t="s">
        <v>132</v>
      </c>
      <c r="J11" s="68" t="s">
        <v>190</v>
      </c>
      <c r="K11" s="68" t="s">
        <v>191</v>
      </c>
      <c r="L11" s="68" t="s">
        <v>192</v>
      </c>
      <c r="M11" s="69" t="s">
        <v>62</v>
      </c>
      <c r="N11" s="69" t="s">
        <v>63</v>
      </c>
      <c r="O11" s="69" t="s">
        <v>64</v>
      </c>
      <c r="P11" s="67" t="s">
        <v>130</v>
      </c>
      <c r="Q11" s="228"/>
    </row>
    <row r="12" spans="1:17" ht="20.100000000000001" customHeight="1">
      <c r="A12" s="70"/>
      <c r="B12" s="70"/>
      <c r="C12" s="71"/>
      <c r="D12" s="71"/>
      <c r="E12" s="71"/>
      <c r="F12" s="72">
        <f>C12+E12+D12</f>
        <v>0</v>
      </c>
      <c r="G12" s="71"/>
      <c r="H12" s="71"/>
      <c r="I12" s="71"/>
      <c r="J12" s="72">
        <f>C12+H12-I12</f>
        <v>0</v>
      </c>
      <c r="K12" s="71"/>
      <c r="L12" s="72">
        <f>J12+K12</f>
        <v>0</v>
      </c>
      <c r="M12" s="71"/>
      <c r="N12" s="71"/>
      <c r="O12" s="77">
        <f>J12+N12+M12</f>
        <v>0</v>
      </c>
      <c r="P12" s="78"/>
      <c r="Q12" s="79"/>
    </row>
    <row r="13" spans="1:17" ht="20.100000000000001" customHeight="1">
      <c r="A13" s="70"/>
      <c r="B13" s="70"/>
      <c r="C13" s="71"/>
      <c r="D13" s="71"/>
      <c r="E13" s="71"/>
      <c r="F13" s="72">
        <f t="shared" ref="F13:F16" si="0">C13+E13+D13</f>
        <v>0</v>
      </c>
      <c r="G13" s="71"/>
      <c r="H13" s="71"/>
      <c r="I13" s="71"/>
      <c r="J13" s="72">
        <f t="shared" ref="J13:J16" si="1">C13+H13-I13</f>
        <v>0</v>
      </c>
      <c r="K13" s="71"/>
      <c r="L13" s="72">
        <f t="shared" ref="L13:L16" si="2">J13+K13</f>
        <v>0</v>
      </c>
      <c r="M13" s="71"/>
      <c r="N13" s="71"/>
      <c r="O13" s="77">
        <f t="shared" ref="O13:O16" si="3">J13+N13+M13</f>
        <v>0</v>
      </c>
      <c r="P13" s="78"/>
      <c r="Q13" s="79"/>
    </row>
    <row r="14" spans="1:17" ht="20.100000000000001" customHeight="1">
      <c r="A14" s="70"/>
      <c r="B14" s="70"/>
      <c r="C14" s="71"/>
      <c r="D14" s="71"/>
      <c r="E14" s="71"/>
      <c r="F14" s="72">
        <f t="shared" si="0"/>
        <v>0</v>
      </c>
      <c r="G14" s="71"/>
      <c r="H14" s="71"/>
      <c r="I14" s="71"/>
      <c r="J14" s="72">
        <f t="shared" si="1"/>
        <v>0</v>
      </c>
      <c r="K14" s="71"/>
      <c r="L14" s="72">
        <f t="shared" si="2"/>
        <v>0</v>
      </c>
      <c r="M14" s="71"/>
      <c r="N14" s="71"/>
      <c r="O14" s="77">
        <f t="shared" si="3"/>
        <v>0</v>
      </c>
      <c r="P14" s="78"/>
      <c r="Q14" s="79"/>
    </row>
    <row r="15" spans="1:17" ht="20.100000000000001" customHeight="1">
      <c r="A15" s="70"/>
      <c r="B15" s="70"/>
      <c r="C15" s="71"/>
      <c r="D15" s="71"/>
      <c r="E15" s="71"/>
      <c r="F15" s="72">
        <f t="shared" si="0"/>
        <v>0</v>
      </c>
      <c r="G15" s="71"/>
      <c r="H15" s="71"/>
      <c r="I15" s="71"/>
      <c r="J15" s="72">
        <f t="shared" si="1"/>
        <v>0</v>
      </c>
      <c r="K15" s="71"/>
      <c r="L15" s="72">
        <f t="shared" si="2"/>
        <v>0</v>
      </c>
      <c r="M15" s="71"/>
      <c r="N15" s="71"/>
      <c r="O15" s="77">
        <f t="shared" si="3"/>
        <v>0</v>
      </c>
      <c r="P15" s="78"/>
      <c r="Q15" s="79"/>
    </row>
    <row r="16" spans="1:17" ht="20.100000000000001" customHeight="1">
      <c r="A16" s="70"/>
      <c r="B16" s="70"/>
      <c r="C16" s="71"/>
      <c r="D16" s="71"/>
      <c r="E16" s="71"/>
      <c r="F16" s="72">
        <f t="shared" si="0"/>
        <v>0</v>
      </c>
      <c r="G16" s="71"/>
      <c r="H16" s="71"/>
      <c r="I16" s="71"/>
      <c r="J16" s="72">
        <f t="shared" si="1"/>
        <v>0</v>
      </c>
      <c r="K16" s="71"/>
      <c r="L16" s="72">
        <f t="shared" si="2"/>
        <v>0</v>
      </c>
      <c r="M16" s="71"/>
      <c r="N16" s="71"/>
      <c r="O16" s="77">
        <f t="shared" si="3"/>
        <v>0</v>
      </c>
      <c r="P16" s="78"/>
      <c r="Q16" s="79"/>
    </row>
    <row r="17" spans="1:17" ht="20.100000000000001" customHeight="1">
      <c r="A17" s="73" t="s">
        <v>133</v>
      </c>
      <c r="B17" s="73"/>
      <c r="C17" s="74">
        <f>SUM(C12:C16)</f>
        <v>0</v>
      </c>
      <c r="D17" s="74">
        <f>SUM(D12:D16)</f>
        <v>0</v>
      </c>
      <c r="E17" s="74">
        <f>SUM(E12:E16)</f>
        <v>0</v>
      </c>
      <c r="F17" s="74">
        <f>SUM(F12:F16)</f>
        <v>0</v>
      </c>
      <c r="G17" s="74">
        <f t="shared" ref="G17:P17" si="4">SUM(G12:G16)</f>
        <v>0</v>
      </c>
      <c r="H17" s="74">
        <f t="shared" si="4"/>
        <v>0</v>
      </c>
      <c r="I17" s="74">
        <f t="shared" si="4"/>
        <v>0</v>
      </c>
      <c r="J17" s="74">
        <f t="shared" si="4"/>
        <v>0</v>
      </c>
      <c r="K17" s="74">
        <f t="shared" si="4"/>
        <v>0</v>
      </c>
      <c r="L17" s="74">
        <f t="shared" si="4"/>
        <v>0</v>
      </c>
      <c r="M17" s="74">
        <f t="shared" si="4"/>
        <v>0</v>
      </c>
      <c r="N17" s="74">
        <f t="shared" si="4"/>
        <v>0</v>
      </c>
      <c r="O17" s="74">
        <f t="shared" si="4"/>
        <v>0</v>
      </c>
      <c r="P17" s="74">
        <f t="shared" si="4"/>
        <v>0</v>
      </c>
      <c r="Q17" s="80"/>
    </row>
    <row r="18" spans="1:17" ht="20.100000000000001" customHeight="1">
      <c r="A18" s="64" t="s">
        <v>134</v>
      </c>
      <c r="B18" s="64"/>
    </row>
    <row r="19" spans="1:17" ht="20.100000000000001" customHeight="1">
      <c r="A19" s="64"/>
      <c r="B19" s="64"/>
    </row>
    <row r="22" spans="1:17" ht="20.100000000000001" customHeight="1">
      <c r="A22" s="64" t="s">
        <v>135</v>
      </c>
      <c r="B22" s="64"/>
    </row>
    <row r="23" spans="1:17" ht="20.100000000000001" customHeight="1">
      <c r="A23" s="64"/>
      <c r="B23" s="64"/>
    </row>
    <row r="24" spans="1:17" ht="20.100000000000001" customHeight="1">
      <c r="A24" s="75" t="s">
        <v>136</v>
      </c>
      <c r="B24" s="64"/>
    </row>
    <row r="26" spans="1:17" ht="20.100000000000001" customHeight="1">
      <c r="B26" s="75"/>
    </row>
  </sheetData>
  <mergeCells count="8">
    <mergeCell ref="A1:Q1"/>
    <mergeCell ref="A2:Q2"/>
    <mergeCell ref="C10:G10"/>
    <mergeCell ref="H10:I10"/>
    <mergeCell ref="J10:P10"/>
    <mergeCell ref="A10:A11"/>
    <mergeCell ref="B10:B11"/>
    <mergeCell ref="Q10:Q11"/>
  </mergeCells>
  <phoneticPr fontId="158" type="noConversion"/>
  <hyperlinks>
    <hyperlink ref="Q3" location="底稿目录!A1" display="D5-2"/>
  </hyperlinks>
  <pageMargins left="0.70866141732283472" right="0.70866141732283472" top="0.74803149606299213" bottom="0.74803149606299213" header="0.31496062992125984" footer="0.31496062992125984"/>
  <pageSetup paperSize="9" scale="75" orientation="landscape" blackAndWhite="1" r:id="rId1"/>
  <headerFooter>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view="pageBreakPreview" zoomScaleNormal="100" workbookViewId="0">
      <selection sqref="A1:J1"/>
    </sheetView>
  </sheetViews>
  <sheetFormatPr defaultColWidth="9" defaultRowHeight="20.100000000000001" customHeight="1"/>
  <cols>
    <col min="1" max="1" width="14.33203125" style="41" customWidth="1"/>
    <col min="2" max="16384" width="9" style="41"/>
  </cols>
  <sheetData>
    <row r="1" spans="1:10" ht="20.100000000000001" customHeight="1">
      <c r="A1" s="231" t="s">
        <v>16</v>
      </c>
      <c r="B1" s="231"/>
      <c r="C1" s="231"/>
      <c r="D1" s="231"/>
      <c r="E1" s="231"/>
      <c r="F1" s="231"/>
      <c r="G1" s="231"/>
      <c r="H1" s="231"/>
      <c r="I1" s="231"/>
      <c r="J1" s="231"/>
    </row>
    <row r="2" spans="1:10" ht="20.100000000000001" customHeight="1">
      <c r="A2" s="232" t="s">
        <v>137</v>
      </c>
      <c r="B2" s="232"/>
      <c r="C2" s="232"/>
      <c r="D2" s="232"/>
      <c r="E2" s="232"/>
      <c r="F2" s="232"/>
      <c r="G2" s="232"/>
      <c r="H2" s="232"/>
      <c r="I2" s="232"/>
      <c r="J2" s="232"/>
    </row>
    <row r="3" spans="1:10" ht="20.100000000000001" customHeight="1">
      <c r="A3" s="42" t="str">
        <f>底稿目录!A2</f>
        <v>被审计单位名称：</v>
      </c>
      <c r="B3" s="42"/>
      <c r="C3" s="42"/>
      <c r="D3" s="42" t="str">
        <f>底稿目录!A4</f>
        <v>编制人：</v>
      </c>
      <c r="E3" s="42"/>
      <c r="F3" s="42" t="str">
        <f>底稿目录!A5</f>
        <v>编制日期：</v>
      </c>
      <c r="G3" s="42"/>
      <c r="I3" s="58" t="s">
        <v>18</v>
      </c>
      <c r="J3" s="258" t="s">
        <v>14</v>
      </c>
    </row>
    <row r="4" spans="1:10" ht="20.100000000000001" customHeight="1">
      <c r="A4" s="42" t="str">
        <f>底稿目录!A3</f>
        <v>截止日：202X年12月31日</v>
      </c>
      <c r="B4" s="42"/>
      <c r="C4" s="42"/>
      <c r="D4" s="42" t="str">
        <f>底稿目录!A6</f>
        <v>复核人：</v>
      </c>
      <c r="E4" s="42"/>
      <c r="F4" s="42" t="str">
        <f>底稿目录!A7</f>
        <v>复核日期：</v>
      </c>
      <c r="G4" s="42"/>
      <c r="I4" s="58" t="s">
        <v>19</v>
      </c>
      <c r="J4" s="58"/>
    </row>
    <row r="5" spans="1:10" ht="49.8" customHeight="1">
      <c r="A5" s="43" t="s">
        <v>138</v>
      </c>
      <c r="B5" s="44" t="s">
        <v>139</v>
      </c>
      <c r="C5" s="44" t="s">
        <v>140</v>
      </c>
      <c r="D5" s="45" t="s">
        <v>141</v>
      </c>
      <c r="E5" s="45" t="s">
        <v>142</v>
      </c>
      <c r="F5" s="46" t="s">
        <v>143</v>
      </c>
      <c r="G5" s="45" t="s">
        <v>144</v>
      </c>
      <c r="H5" s="45" t="s">
        <v>145</v>
      </c>
      <c r="I5" s="45" t="s">
        <v>146</v>
      </c>
      <c r="J5" s="45" t="s">
        <v>129</v>
      </c>
    </row>
    <row r="6" spans="1:10" ht="20.100000000000001" customHeight="1">
      <c r="A6" s="47"/>
      <c r="B6" s="47"/>
      <c r="C6" s="47"/>
      <c r="D6" s="47"/>
      <c r="E6" s="47"/>
      <c r="F6" s="47"/>
      <c r="G6" s="48"/>
      <c r="H6" s="48"/>
      <c r="I6" s="59"/>
      <c r="J6" s="47"/>
    </row>
    <row r="7" spans="1:10" ht="20.100000000000001" customHeight="1">
      <c r="A7" s="49"/>
      <c r="B7" s="47"/>
      <c r="C7" s="47"/>
      <c r="D7" s="47"/>
      <c r="E7" s="47"/>
      <c r="F7" s="47"/>
      <c r="G7" s="48"/>
      <c r="H7" s="48"/>
      <c r="I7" s="59"/>
      <c r="J7" s="47"/>
    </row>
    <row r="8" spans="1:10" ht="20.100000000000001" customHeight="1">
      <c r="A8" s="50"/>
      <c r="B8" s="47"/>
      <c r="C8" s="47"/>
      <c r="D8" s="47"/>
      <c r="E8" s="47"/>
      <c r="F8" s="47"/>
      <c r="G8" s="48"/>
      <c r="H8" s="48"/>
      <c r="I8" s="59"/>
      <c r="J8" s="47"/>
    </row>
    <row r="9" spans="1:10" ht="20.100000000000001" customHeight="1">
      <c r="A9" s="50"/>
      <c r="B9" s="47"/>
      <c r="C9" s="47"/>
      <c r="D9" s="47"/>
      <c r="E9" s="47"/>
      <c r="F9" s="47"/>
      <c r="G9" s="48"/>
      <c r="H9" s="48"/>
      <c r="I9" s="59"/>
      <c r="J9" s="47"/>
    </row>
    <row r="10" spans="1:10" ht="20.100000000000001" customHeight="1">
      <c r="A10" s="50"/>
      <c r="B10" s="47"/>
      <c r="C10" s="47"/>
      <c r="D10" s="47"/>
      <c r="E10" s="47"/>
      <c r="F10" s="47"/>
      <c r="G10" s="48"/>
      <c r="H10" s="48"/>
      <c r="I10" s="59"/>
      <c r="J10" s="47"/>
    </row>
    <row r="11" spans="1:10" ht="20.100000000000001" customHeight="1">
      <c r="A11" s="51"/>
      <c r="B11" s="47"/>
      <c r="C11" s="47"/>
      <c r="D11" s="47"/>
      <c r="E11" s="47"/>
      <c r="F11" s="47"/>
      <c r="G11" s="48"/>
      <c r="H11" s="48"/>
      <c r="I11" s="59"/>
      <c r="J11" s="47"/>
    </row>
    <row r="12" spans="1:10" ht="20.100000000000001" customHeight="1">
      <c r="A12" s="50"/>
      <c r="B12" s="47"/>
      <c r="C12" s="47"/>
      <c r="D12" s="47"/>
      <c r="E12" s="47"/>
      <c r="F12" s="47"/>
      <c r="G12" s="48"/>
      <c r="H12" s="48"/>
      <c r="I12" s="59"/>
      <c r="J12" s="47"/>
    </row>
    <row r="13" spans="1:10" ht="20.100000000000001" customHeight="1">
      <c r="A13" s="50"/>
      <c r="B13" s="47"/>
      <c r="C13" s="47"/>
      <c r="D13" s="47"/>
      <c r="E13" s="47"/>
      <c r="F13" s="47"/>
      <c r="G13" s="48"/>
      <c r="H13" s="48"/>
      <c r="I13" s="59"/>
      <c r="J13" s="47"/>
    </row>
    <row r="14" spans="1:10" ht="20.100000000000001" customHeight="1">
      <c r="A14" s="50"/>
      <c r="B14" s="47"/>
      <c r="C14" s="47"/>
      <c r="D14" s="47"/>
      <c r="E14" s="47"/>
      <c r="F14" s="47"/>
      <c r="G14" s="48"/>
      <c r="H14" s="48"/>
      <c r="I14" s="59"/>
      <c r="J14" s="47"/>
    </row>
    <row r="15" spans="1:10" ht="20.100000000000001" customHeight="1">
      <c r="A15" s="50"/>
      <c r="B15" s="47"/>
      <c r="C15" s="47"/>
      <c r="D15" s="47"/>
      <c r="E15" s="47"/>
      <c r="F15" s="47"/>
      <c r="G15" s="48"/>
      <c r="H15" s="48"/>
      <c r="I15" s="59"/>
      <c r="J15" s="47"/>
    </row>
    <row r="16" spans="1:10" ht="20.100000000000001" customHeight="1">
      <c r="A16" s="50"/>
      <c r="B16" s="47"/>
      <c r="C16" s="47"/>
      <c r="D16" s="47"/>
      <c r="E16" s="47"/>
      <c r="F16" s="47"/>
      <c r="G16" s="48"/>
      <c r="H16" s="48"/>
      <c r="I16" s="59"/>
      <c r="J16" s="47"/>
    </row>
    <row r="17" spans="1:10" ht="20.100000000000001" customHeight="1">
      <c r="A17" s="50"/>
      <c r="B17" s="47"/>
      <c r="C17" s="47"/>
      <c r="D17" s="47"/>
      <c r="E17" s="47"/>
      <c r="F17" s="47"/>
      <c r="G17" s="48"/>
      <c r="H17" s="48"/>
      <c r="I17" s="59"/>
      <c r="J17" s="47"/>
    </row>
    <row r="18" spans="1:10" ht="20.100000000000001" customHeight="1">
      <c r="A18" s="50"/>
      <c r="B18" s="47"/>
      <c r="C18" s="47"/>
      <c r="D18" s="47"/>
      <c r="E18" s="47"/>
      <c r="F18" s="47"/>
      <c r="G18" s="48"/>
      <c r="H18" s="48"/>
      <c r="I18" s="59"/>
      <c r="J18" s="47"/>
    </row>
    <row r="19" spans="1:10" ht="20.100000000000001" customHeight="1">
      <c r="A19" s="50"/>
      <c r="B19" s="47"/>
      <c r="C19" s="47"/>
      <c r="D19" s="47"/>
      <c r="E19" s="47"/>
      <c r="F19" s="47"/>
      <c r="G19" s="48"/>
      <c r="H19" s="48"/>
      <c r="I19" s="59"/>
      <c r="J19" s="47"/>
    </row>
    <row r="20" spans="1:10" ht="20.100000000000001" customHeight="1">
      <c r="A20" s="50"/>
      <c r="B20" s="47"/>
      <c r="C20" s="47"/>
      <c r="D20" s="47"/>
      <c r="E20" s="47"/>
      <c r="F20" s="47"/>
      <c r="G20" s="48"/>
      <c r="H20" s="48"/>
      <c r="I20" s="59"/>
      <c r="J20" s="47"/>
    </row>
    <row r="21" spans="1:10" ht="20.100000000000001" customHeight="1">
      <c r="A21" s="52" t="s">
        <v>147</v>
      </c>
      <c r="B21" s="53"/>
      <c r="C21" s="53"/>
      <c r="D21" s="53"/>
      <c r="E21" s="53"/>
      <c r="F21" s="53"/>
      <c r="G21" s="53"/>
      <c r="H21" s="53"/>
      <c r="I21" s="53"/>
      <c r="J21" s="53"/>
    </row>
    <row r="22" spans="1:10" ht="20.100000000000001" customHeight="1">
      <c r="A22" s="53"/>
      <c r="B22" s="53"/>
      <c r="C22" s="53"/>
      <c r="D22" s="53"/>
      <c r="E22" s="53"/>
      <c r="F22" s="53"/>
      <c r="G22" s="53"/>
      <c r="H22" s="53"/>
      <c r="I22" s="53"/>
      <c r="J22" s="53"/>
    </row>
    <row r="23" spans="1:10" ht="20.100000000000001" customHeight="1">
      <c r="A23" s="54"/>
      <c r="B23" s="54"/>
      <c r="C23" s="54"/>
      <c r="D23" s="53"/>
      <c r="E23" s="53"/>
      <c r="F23" s="53"/>
      <c r="G23" s="53"/>
      <c r="H23" s="53"/>
      <c r="I23" s="53"/>
      <c r="J23" s="53"/>
    </row>
    <row r="24" spans="1:10" ht="20.100000000000001" customHeight="1">
      <c r="A24" s="55"/>
      <c r="B24" s="55"/>
      <c r="C24" s="55"/>
      <c r="D24" s="54"/>
      <c r="E24" s="54"/>
      <c r="F24" s="54"/>
      <c r="G24" s="54"/>
      <c r="H24" s="54"/>
      <c r="I24" s="54"/>
      <c r="J24" s="54"/>
    </row>
    <row r="25" spans="1:10" ht="20.100000000000001" customHeight="1">
      <c r="A25" s="56" t="s">
        <v>75</v>
      </c>
      <c r="B25" s="56"/>
      <c r="C25" s="56"/>
      <c r="D25" s="54"/>
      <c r="E25" s="54"/>
      <c r="F25" s="54"/>
      <c r="G25" s="54"/>
      <c r="H25" s="54"/>
      <c r="I25" s="54"/>
      <c r="J25" s="54"/>
    </row>
    <row r="26" spans="1:10" ht="20.100000000000001" customHeight="1">
      <c r="A26" s="56"/>
      <c r="B26" s="56"/>
      <c r="C26" s="56"/>
      <c r="D26" s="53"/>
      <c r="E26" s="53"/>
      <c r="F26" s="53"/>
      <c r="G26" s="53"/>
      <c r="H26" s="53"/>
      <c r="I26" s="53"/>
      <c r="J26" s="53"/>
    </row>
    <row r="27" spans="1:10" ht="26.4" customHeight="1">
      <c r="A27" s="233" t="s">
        <v>148</v>
      </c>
      <c r="B27" s="234"/>
      <c r="C27" s="234"/>
      <c r="D27" s="234"/>
      <c r="E27" s="234"/>
      <c r="F27" s="234"/>
      <c r="G27" s="234"/>
      <c r="H27" s="234"/>
      <c r="I27" s="234"/>
      <c r="J27" s="234"/>
    </row>
    <row r="28" spans="1:10" ht="20.100000000000001" customHeight="1">
      <c r="A28" s="57"/>
      <c r="B28" s="57"/>
      <c r="C28" s="57"/>
      <c r="D28" s="57"/>
      <c r="E28" s="57"/>
      <c r="F28" s="57"/>
      <c r="G28" s="57"/>
      <c r="H28" s="57"/>
      <c r="I28" s="57"/>
      <c r="J28" s="57"/>
    </row>
    <row r="29" spans="1:10" ht="20.100000000000001" customHeight="1">
      <c r="A29" s="57"/>
      <c r="B29" s="57"/>
      <c r="C29" s="57"/>
      <c r="D29" s="57"/>
      <c r="E29" s="57"/>
      <c r="F29" s="57"/>
      <c r="G29" s="57"/>
      <c r="H29" s="57"/>
      <c r="I29" s="57"/>
      <c r="J29" s="57"/>
    </row>
  </sheetData>
  <mergeCells count="3">
    <mergeCell ref="A1:J1"/>
    <mergeCell ref="A2:J2"/>
    <mergeCell ref="A27:J27"/>
  </mergeCells>
  <phoneticPr fontId="158" type="noConversion"/>
  <dataValidations count="1">
    <dataValidation type="list" allowBlank="1" showInputMessage="1" showErrorMessage="1" sqref="B6:C20">
      <formula1>"账项调整,报表调整,其他"</formula1>
    </dataValidation>
  </dataValidations>
  <hyperlinks>
    <hyperlink ref="J3" location="底稿目录!A1" display="D5-3"/>
  </hyperlinks>
  <pageMargins left="0.70833333333333304" right="0.70833333333333304" top="0.74791666666666701" bottom="0.74791666666666701" header="0.31458333333333299" footer="0.31458333333333299"/>
  <pageSetup paperSize="9" scale="90" orientation="portrait"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M26"/>
  <sheetViews>
    <sheetView view="pageBreakPreview" zoomScaleNormal="115" workbookViewId="0">
      <selection activeCell="M3" sqref="M3"/>
    </sheetView>
  </sheetViews>
  <sheetFormatPr defaultColWidth="9" defaultRowHeight="20.100000000000001" customHeight="1"/>
  <cols>
    <col min="1" max="1" width="8.5546875" style="2" customWidth="1"/>
    <col min="2" max="2" width="16.6640625" style="2" customWidth="1"/>
    <col min="3" max="3" width="15.21875" style="2" customWidth="1"/>
    <col min="4" max="4" width="13.5546875" style="2" customWidth="1"/>
    <col min="5" max="5" width="9.5546875" style="2" customWidth="1"/>
    <col min="6" max="6" width="10.109375" style="2" customWidth="1"/>
    <col min="7" max="7" width="9.21875" style="2" customWidth="1"/>
    <col min="8" max="8" width="8.5546875" style="2" customWidth="1"/>
    <col min="9" max="9" width="12.44140625" style="2" customWidth="1"/>
    <col min="10" max="10" width="13.88671875" style="2" customWidth="1"/>
    <col min="11" max="11" width="14.21875" style="2" customWidth="1"/>
    <col min="12" max="12" width="11" style="2" customWidth="1"/>
    <col min="13" max="13" width="9.5546875" style="2" customWidth="1"/>
    <col min="14" max="16384" width="9" style="2"/>
  </cols>
  <sheetData>
    <row r="1" spans="1:13" s="1" customFormat="1" ht="20.100000000000001" customHeight="1">
      <c r="A1" s="235" t="s">
        <v>16</v>
      </c>
      <c r="B1" s="235"/>
      <c r="C1" s="235"/>
      <c r="D1" s="235"/>
      <c r="E1" s="235"/>
      <c r="F1" s="235"/>
      <c r="G1" s="235"/>
      <c r="H1" s="235"/>
      <c r="I1" s="235"/>
      <c r="J1" s="235"/>
      <c r="K1" s="235"/>
      <c r="L1" s="235"/>
      <c r="M1" s="235"/>
    </row>
    <row r="2" spans="1:13" s="1" customFormat="1" ht="20.100000000000001" customHeight="1">
      <c r="A2" s="236" t="s">
        <v>149</v>
      </c>
      <c r="B2" s="236"/>
      <c r="C2" s="236"/>
      <c r="D2" s="236"/>
      <c r="E2" s="236"/>
      <c r="F2" s="236"/>
      <c r="G2" s="236"/>
      <c r="H2" s="236"/>
      <c r="I2" s="236"/>
      <c r="J2" s="236"/>
      <c r="K2" s="236"/>
      <c r="L2" s="236"/>
      <c r="M2" s="236"/>
    </row>
    <row r="3" spans="1:13" ht="20.100000000000001" customHeight="1">
      <c r="A3" s="2" t="str">
        <f>底稿目录!A2</f>
        <v>被审计单位名称：</v>
      </c>
      <c r="E3" s="3" t="str">
        <f>底稿目录!A4</f>
        <v>编制人：</v>
      </c>
      <c r="I3" s="3" t="str">
        <f>底稿目录!A5</f>
        <v>编制日期：</v>
      </c>
      <c r="L3" s="32" t="s">
        <v>18</v>
      </c>
      <c r="M3" s="258" t="s">
        <v>15</v>
      </c>
    </row>
    <row r="4" spans="1:13" ht="20.100000000000001" customHeight="1">
      <c r="A4" s="4" t="str">
        <f>底稿目录!A3</f>
        <v>截止日：202X年12月31日</v>
      </c>
      <c r="B4" s="5"/>
      <c r="E4" s="3" t="str">
        <f>底稿目录!A6</f>
        <v>复核人：</v>
      </c>
      <c r="I4" s="3" t="str">
        <f>底稿目录!A7</f>
        <v>复核日期：</v>
      </c>
      <c r="L4" s="32" t="s">
        <v>19</v>
      </c>
      <c r="M4" s="33"/>
    </row>
    <row r="5" spans="1:13" ht="20.100000000000001" customHeight="1">
      <c r="A5" s="6" t="s">
        <v>122</v>
      </c>
      <c r="B5" s="6"/>
      <c r="D5" s="3"/>
      <c r="E5" s="3"/>
    </row>
    <row r="6" spans="1:13" ht="20.100000000000001" customHeight="1">
      <c r="A6" s="7" t="s">
        <v>150</v>
      </c>
      <c r="B6" s="8"/>
      <c r="D6" s="3"/>
      <c r="E6" s="3"/>
    </row>
    <row r="7" spans="1:13" ht="20.100000000000001" customHeight="1">
      <c r="A7" s="6" t="s">
        <v>124</v>
      </c>
      <c r="B7" s="6"/>
      <c r="D7" s="3"/>
      <c r="E7" s="3"/>
    </row>
    <row r="8" spans="1:13" ht="20.100000000000001" customHeight="1">
      <c r="A8" s="9" t="s">
        <v>125</v>
      </c>
      <c r="B8" s="7"/>
      <c r="D8" s="3"/>
      <c r="E8" s="3"/>
      <c r="G8" s="10"/>
      <c r="H8" s="7"/>
    </row>
    <row r="9" spans="1:13" ht="20.100000000000001" customHeight="1">
      <c r="A9" s="10"/>
      <c r="B9" s="7"/>
      <c r="D9" s="3"/>
      <c r="E9" s="3"/>
      <c r="G9" s="10"/>
      <c r="H9" s="7"/>
    </row>
    <row r="10" spans="1:13" ht="20.100000000000001" customHeight="1">
      <c r="A10" s="239" t="s">
        <v>126</v>
      </c>
      <c r="B10" s="239" t="s">
        <v>127</v>
      </c>
      <c r="C10" s="237" t="s">
        <v>85</v>
      </c>
      <c r="D10" s="238"/>
      <c r="E10" s="238"/>
      <c r="F10" s="238"/>
      <c r="G10" s="238"/>
      <c r="H10" s="237" t="s">
        <v>151</v>
      </c>
      <c r="I10" s="237" t="s">
        <v>152</v>
      </c>
      <c r="J10" s="237" t="s">
        <v>153</v>
      </c>
      <c r="K10" s="237" t="s">
        <v>154</v>
      </c>
      <c r="L10" s="237" t="s">
        <v>155</v>
      </c>
      <c r="M10" s="237" t="s">
        <v>129</v>
      </c>
    </row>
    <row r="11" spans="1:13" ht="20.100000000000001" customHeight="1">
      <c r="A11" s="238"/>
      <c r="B11" s="238"/>
      <c r="C11" s="11" t="s">
        <v>156</v>
      </c>
      <c r="D11" s="11" t="s">
        <v>157</v>
      </c>
      <c r="E11" s="11" t="s">
        <v>158</v>
      </c>
      <c r="F11" s="11" t="s">
        <v>159</v>
      </c>
      <c r="G11" s="11" t="s">
        <v>160</v>
      </c>
      <c r="H11" s="237"/>
      <c r="I11" s="238"/>
      <c r="J11" s="237"/>
      <c r="K11" s="238"/>
      <c r="L11" s="237"/>
      <c r="M11" s="237"/>
    </row>
    <row r="12" spans="1:13" ht="20.100000000000001" customHeight="1">
      <c r="A12" s="12" t="s">
        <v>67</v>
      </c>
      <c r="B12" s="191" t="s">
        <v>161</v>
      </c>
      <c r="C12" s="13"/>
      <c r="D12" s="13">
        <v>13000000</v>
      </c>
      <c r="E12" s="14">
        <v>44561</v>
      </c>
      <c r="F12" s="14">
        <v>44742</v>
      </c>
      <c r="G12" s="15">
        <f>F12-E12</f>
        <v>181</v>
      </c>
      <c r="H12" s="16">
        <v>4.0399999999999998E-2</v>
      </c>
      <c r="I12" s="13">
        <f>D12*H12*G12/365</f>
        <v>260441.64383561644</v>
      </c>
      <c r="J12" s="34">
        <f>D12-I12</f>
        <v>12739558.356164383</v>
      </c>
      <c r="K12" s="34">
        <f>J12</f>
        <v>12739558.3561644</v>
      </c>
      <c r="L12" s="35" t="s">
        <v>162</v>
      </c>
      <c r="M12" s="36"/>
    </row>
    <row r="13" spans="1:13" ht="20.100000000000001" customHeight="1">
      <c r="A13" s="17"/>
      <c r="B13" s="18"/>
      <c r="C13" s="19"/>
      <c r="D13" s="19"/>
      <c r="E13" s="20"/>
      <c r="F13" s="21"/>
      <c r="G13" s="22"/>
      <c r="H13" s="23"/>
      <c r="I13" s="19"/>
      <c r="J13" s="37"/>
      <c r="K13" s="37">
        <f t="shared" ref="K13:K16" si="0">J13</f>
        <v>0</v>
      </c>
      <c r="L13" s="38"/>
      <c r="M13" s="36"/>
    </row>
    <row r="14" spans="1:13" ht="20.100000000000001" customHeight="1">
      <c r="A14" s="17"/>
      <c r="B14" s="18"/>
      <c r="C14" s="19"/>
      <c r="D14" s="19"/>
      <c r="E14" s="20"/>
      <c r="F14" s="21"/>
      <c r="G14" s="22"/>
      <c r="H14" s="23"/>
      <c r="I14" s="19"/>
      <c r="J14" s="37"/>
      <c r="K14" s="37">
        <f t="shared" si="0"/>
        <v>0</v>
      </c>
      <c r="L14" s="38"/>
      <c r="M14" s="36"/>
    </row>
    <row r="15" spans="1:13" ht="20.100000000000001" customHeight="1">
      <c r="A15" s="17"/>
      <c r="B15" s="18"/>
      <c r="C15" s="19"/>
      <c r="D15" s="19"/>
      <c r="E15" s="20"/>
      <c r="F15" s="21"/>
      <c r="G15" s="22"/>
      <c r="H15" s="23"/>
      <c r="I15" s="19"/>
      <c r="J15" s="37"/>
      <c r="K15" s="37">
        <f t="shared" si="0"/>
        <v>0</v>
      </c>
      <c r="L15" s="38"/>
      <c r="M15" s="36"/>
    </row>
    <row r="16" spans="1:13" ht="20.100000000000001" customHeight="1">
      <c r="A16" s="17"/>
      <c r="B16" s="18"/>
      <c r="C16" s="19"/>
      <c r="D16" s="19"/>
      <c r="E16" s="20"/>
      <c r="F16" s="21"/>
      <c r="G16" s="22"/>
      <c r="H16" s="23"/>
      <c r="I16" s="19"/>
      <c r="J16" s="37"/>
      <c r="K16" s="37">
        <f t="shared" si="0"/>
        <v>0</v>
      </c>
      <c r="L16" s="38"/>
      <c r="M16" s="36"/>
    </row>
    <row r="17" spans="1:13" ht="20.100000000000001" customHeight="1">
      <c r="A17" s="193" t="s">
        <v>133</v>
      </c>
      <c r="B17" s="194"/>
      <c r="C17" s="24"/>
      <c r="D17" s="25">
        <f>SUM(D12:D16)</f>
        <v>13000000</v>
      </c>
      <c r="E17" s="24"/>
      <c r="F17" s="26"/>
      <c r="G17" s="24"/>
      <c r="H17" s="24"/>
      <c r="I17" s="25">
        <f>SUM(I12:I16)</f>
        <v>260441.64383561601</v>
      </c>
      <c r="J17" s="25">
        <f>SUM(J12:J16)</f>
        <v>12739558.3561644</v>
      </c>
      <c r="K17" s="25">
        <f>SUM(K12:K16)</f>
        <v>12739558.3561644</v>
      </c>
      <c r="L17" s="39"/>
      <c r="M17" s="40"/>
    </row>
    <row r="18" spans="1:13" ht="20.100000000000001" customHeight="1">
      <c r="A18" s="27" t="s">
        <v>163</v>
      </c>
      <c r="B18" s="27"/>
    </row>
    <row r="19" spans="1:13" ht="20.100000000000001" customHeight="1">
      <c r="A19" s="28"/>
      <c r="B19" s="27"/>
    </row>
    <row r="20" spans="1:13" ht="20.100000000000001" customHeight="1">
      <c r="A20" s="28"/>
      <c r="B20" s="27"/>
    </row>
    <row r="21" spans="1:13" ht="20.100000000000001" customHeight="1">
      <c r="A21" s="28"/>
      <c r="B21" s="27"/>
    </row>
    <row r="22" spans="1:13" ht="20.100000000000001" customHeight="1">
      <c r="A22" s="27" t="s">
        <v>164</v>
      </c>
      <c r="B22" s="27"/>
    </row>
    <row r="23" spans="1:13" ht="20.100000000000001" customHeight="1">
      <c r="A23" s="28"/>
      <c r="B23" s="27"/>
    </row>
    <row r="24" spans="1:13" ht="20.100000000000001" customHeight="1">
      <c r="A24" s="29" t="s">
        <v>165</v>
      </c>
    </row>
    <row r="25" spans="1:13" ht="20.100000000000001" customHeight="1">
      <c r="A25" s="30" t="s">
        <v>174</v>
      </c>
      <c r="B25" s="31"/>
    </row>
    <row r="26" spans="1:13" ht="20.100000000000001" customHeight="1">
      <c r="A26" s="30" t="s">
        <v>175</v>
      </c>
      <c r="B26" s="31"/>
    </row>
  </sheetData>
  <mergeCells count="11">
    <mergeCell ref="A1:M1"/>
    <mergeCell ref="A2:M2"/>
    <mergeCell ref="C10:G10"/>
    <mergeCell ref="A10:A11"/>
    <mergeCell ref="B10:B11"/>
    <mergeCell ref="H10:H11"/>
    <mergeCell ref="I10:I11"/>
    <mergeCell ref="J10:J11"/>
    <mergeCell ref="K10:K11"/>
    <mergeCell ref="L10:L11"/>
    <mergeCell ref="M10:M11"/>
  </mergeCells>
  <phoneticPr fontId="158" type="noConversion"/>
  <hyperlinks>
    <hyperlink ref="M3" location="底稿目录!A1" display="D5-4"/>
  </hyperlinks>
  <pageMargins left="0.70833333333333304" right="0.70833333333333304" top="0.74791666666666701" bottom="0.74791666666666701" header="0.31458333333333299" footer="0.31458333333333299"/>
  <pageSetup paperSize="9" scale="80" fitToHeight="0" orientation="landscape" blackAndWhite="1"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命名范围</vt:lpstr>
      </vt:variant>
      <vt:variant>
        <vt:i4>10</vt:i4>
      </vt:variant>
    </vt:vector>
  </HeadingPairs>
  <TitlesOfParts>
    <vt:vector size="18" baseType="lpstr">
      <vt:lpstr>底稿目录</vt:lpstr>
      <vt:lpstr>应收款项融资审计程序表D5A</vt:lpstr>
      <vt:lpstr>审定表D5</vt:lpstr>
      <vt:lpstr>附注披露信息（上市公司）</vt:lpstr>
      <vt:lpstr>附注披露信息（国企）</vt:lpstr>
      <vt:lpstr>应收款项融资明细表D5-2</vt:lpstr>
      <vt:lpstr>调整分录汇总表D5-3</vt:lpstr>
      <vt:lpstr>应收款项融资公允价值测算表D5-4</vt:lpstr>
      <vt:lpstr>底稿目录!Print_Area</vt:lpstr>
      <vt:lpstr>'调整分录汇总表D5-3'!Print_Area</vt:lpstr>
      <vt:lpstr>'附注披露信息（国企）'!Print_Area</vt:lpstr>
      <vt:lpstr>'附注披露信息（上市公司）'!Print_Area</vt:lpstr>
      <vt:lpstr>审定表D5!Print_Area</vt:lpstr>
      <vt:lpstr>'应收款项融资公允价值测算表D5-4'!Print_Area</vt:lpstr>
      <vt:lpstr>'应收款项融资明细表D5-2'!Print_Area</vt:lpstr>
      <vt:lpstr>应收款项融资审计程序表D5A!Print_Area</vt:lpstr>
      <vt:lpstr>审定表D5!Print_Titles</vt:lpstr>
      <vt:lpstr>应收款项融资审计程序表D5A!Print_Titles</vt:lpstr>
    </vt:vector>
  </TitlesOfParts>
  <Company>cngti.com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2025-10-30T02:12:54Z</cp:lastPrinted>
  <dcterms:created xsi:type="dcterms:W3CDTF">2014-10-22T07:44:00Z</dcterms:created>
  <dcterms:modified xsi:type="dcterms:W3CDTF">2025-10-30T02:14:27Z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966DA5DE4CEA4D209EB6E0377A130FC5_12</vt:lpwstr>
  </property>
  <property fmtid="{D5CDD505-2E9C-101B-9397-08002B2CF9AE}" pid="3" name="KSOProductBuildVer">
    <vt:lpwstr>2052-12.1.0.22529</vt:lpwstr>
  </property>
</Properties>
</file>