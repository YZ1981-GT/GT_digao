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D2应收账款\"/>
    </mc:Choice>
  </mc:AlternateContent>
  <bookViews>
    <workbookView xWindow="0" yWindow="0" windowWidth="28800" windowHeight="12240" tabRatio="812"/>
  </bookViews>
  <sheets>
    <sheet name="预期信用损失的计量测试D2-10" sheetId="1" r:id="rId1"/>
    <sheet name="预期信用损失的计量测试D2-10 " sheetId="2" r:id="rId2"/>
    <sheet name="前瞻性调整D2-10-1（打分卡)" sheetId="3" r:id="rId3"/>
    <sheet name="前瞻性调整D2-10-1（量化分析）" sheetId="4" r:id="rId4"/>
    <sheet name="变量相关性分析D2-10-2" sheetId="5" r:id="rId5"/>
    <sheet name="多重共线性分析D2-10-2" sheetId="6" r:id="rId6"/>
    <sheet name="应收账款保理合同检查（示例）" sheetId="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1、" localSheetId="4">#REF!</definedName>
    <definedName name="_1、" localSheetId="5">#REF!</definedName>
    <definedName name="_1、" localSheetId="2">#REF!</definedName>
    <definedName name="_1、" localSheetId="3">#REF!</definedName>
    <definedName name="_1、" localSheetId="6">#REF!</definedName>
    <definedName name="_1、" localSheetId="0">#REF!</definedName>
    <definedName name="_1、" localSheetId="1">#REF!</definedName>
    <definedName name="_1、">#REF!</definedName>
    <definedName name="_1、受本循环影响的相关交易和账户余额" localSheetId="4">#REF!</definedName>
    <definedName name="_1、受本循环影响的相关交易和账户余额" localSheetId="5">#REF!</definedName>
    <definedName name="_1、受本循环影响的相关交易和账户余额" localSheetId="2">#REF!</definedName>
    <definedName name="_1、受本循环影响的相关交易和账户余额" localSheetId="3">#REF!</definedName>
    <definedName name="_1、受本循环影响的相关交易和账户余额" localSheetId="6">#REF!</definedName>
    <definedName name="_1、受本循环影响的相关交易和账户余额" localSheetId="0">#REF!</definedName>
    <definedName name="_1、受本循环影响的相关交易和账户余额" localSheetId="1">#REF!</definedName>
    <definedName name="_1、受本循环影响的相关交易和账户余额">#REF!</definedName>
    <definedName name="_2、主要业务活动" localSheetId="4">#REF!</definedName>
    <definedName name="_2、主要业务活动" localSheetId="5">#REF!</definedName>
    <definedName name="_2、主要业务活动" localSheetId="2">#REF!</definedName>
    <definedName name="_2、主要业务活动" localSheetId="3">#REF!</definedName>
    <definedName name="_2、主要业务活动" localSheetId="6">#REF!</definedName>
    <definedName name="_2、主要业务活动" localSheetId="0">#REF!</definedName>
    <definedName name="_2、主要业务活动" localSheetId="1">#REF!</definedName>
    <definedName name="_2、主要业务活动">#REF!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3">#REF!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0">#REF!</definedName>
    <definedName name="_2、注册会计师通常应在本循环中了解与上述业务活动相关的内部控制_如果计划在其他业务循环中对上述" localSheetId="1">#REF!</definedName>
    <definedName name="_2、注册会计师通常应在本循环中了解与上述业务活动相关的内部控制_如果计划在其他业务循环中对上述">#REF!</definedName>
    <definedName name="_xlnm._FilterDatabase" hidden="1">#REF!</definedName>
    <definedName name="AFV" localSheetId="4" hidden="1">#REF!</definedName>
    <definedName name="AFV" localSheetId="5" hidden="1">#REF!</definedName>
    <definedName name="AFV" localSheetId="2" hidden="1">#REF!</definedName>
    <definedName name="AFV" localSheetId="3" hidden="1">#REF!</definedName>
    <definedName name="AFV" localSheetId="6" hidden="1">#REF!</definedName>
    <definedName name="AFV" localSheetId="0" hidden="1">#REF!</definedName>
    <definedName name="AFV" localSheetId="1"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4">#REF!</definedName>
    <definedName name="CarryKnown" localSheetId="5">#REF!</definedName>
    <definedName name="CarryKnown" localSheetId="2">#REF!</definedName>
    <definedName name="CarryKnown" localSheetId="3">#REF!</definedName>
    <definedName name="CarryKnown" localSheetId="6">#REF!</definedName>
    <definedName name="CarryKnown" localSheetId="0">#REF!</definedName>
    <definedName name="CarryKnown" localSheetId="1">#REF!</definedName>
    <definedName name="CarryKnown">#REF!</definedName>
    <definedName name="CarryKnownTable" localSheetId="4">#REF!</definedName>
    <definedName name="CarryKnownTable" localSheetId="5">#REF!</definedName>
    <definedName name="CarryKnownTable" localSheetId="2">#REF!</definedName>
    <definedName name="CarryKnownTable" localSheetId="3">#REF!</definedName>
    <definedName name="CarryKnownTable" localSheetId="6">#REF!</definedName>
    <definedName name="CarryKnownTable" localSheetId="0">#REF!</definedName>
    <definedName name="CarryKnownTable" localSheetId="1">#REF!</definedName>
    <definedName name="CarryKnownTable">#REF!</definedName>
    <definedName name="CarryLikely" localSheetId="4">#REF!</definedName>
    <definedName name="CarryLikely" localSheetId="5">#REF!</definedName>
    <definedName name="CarryLikely" localSheetId="2">#REF!</definedName>
    <definedName name="CarryLikely" localSheetId="3">#REF!</definedName>
    <definedName name="CarryLikely" localSheetId="6">#REF!</definedName>
    <definedName name="CarryLikely" localSheetId="0">#REF!</definedName>
    <definedName name="CarryLikely" localSheetId="1">#REF!</definedName>
    <definedName name="CarryLikely">#REF!</definedName>
    <definedName name="CarryLikelyTable" localSheetId="4">#REF!</definedName>
    <definedName name="CarryLikelyTable" localSheetId="5">#REF!</definedName>
    <definedName name="CarryLikelyTable" localSheetId="2">#REF!</definedName>
    <definedName name="CarryLikelyTable" localSheetId="3">#REF!</definedName>
    <definedName name="CarryLikelyTable" localSheetId="6">#REF!</definedName>
    <definedName name="CarryLikelyTable" localSheetId="0">#REF!</definedName>
    <definedName name="CarryLikelyTable" localSheetId="1">#REF!</definedName>
    <definedName name="CarryLikelyTable">#REF!</definedName>
    <definedName name="Carryover_Effect_of_Prior_Year" localSheetId="4">#REF!</definedName>
    <definedName name="Carryover_Effect_of_Prior_Year" localSheetId="5">#REF!</definedName>
    <definedName name="Carryover_Effect_of_Prior_Year" localSheetId="2">#REF!</definedName>
    <definedName name="Carryover_Effect_of_Prior_Year" localSheetId="3">#REF!</definedName>
    <definedName name="Carryover_Effect_of_Prior_Year" localSheetId="6">#REF!</definedName>
    <definedName name="Carryover_Effect_of_Prior_Year" localSheetId="0">#REF!</definedName>
    <definedName name="Carryover_Effect_of_Prior_Year" localSheetId="1">#REF!</definedName>
    <definedName name="Carryover_Effect_of_Prior_Year">#REF!</definedName>
    <definedName name="CarryoverTitle" localSheetId="4">#REF!</definedName>
    <definedName name="CarryoverTitle" localSheetId="5">#REF!</definedName>
    <definedName name="CarryoverTitle" localSheetId="2">#REF!</definedName>
    <definedName name="CarryoverTitle" localSheetId="3">#REF!</definedName>
    <definedName name="CarryoverTitle" localSheetId="6">#REF!</definedName>
    <definedName name="CarryoverTitle" localSheetId="0">#REF!</definedName>
    <definedName name="CarryoverTitle" localSheetId="1">#REF!</definedName>
    <definedName name="CarryoverTitle">#REF!</definedName>
    <definedName name="CC_Instruction" localSheetId="4">#REF!</definedName>
    <definedName name="CC_Instruction" localSheetId="5">#REF!</definedName>
    <definedName name="CC_Instruction" localSheetId="2">#REF!</definedName>
    <definedName name="CC_Instruction" localSheetId="3">#REF!</definedName>
    <definedName name="CC_Instruction" localSheetId="6">#REF!</definedName>
    <definedName name="CC_Instruction" localSheetId="0">#REF!</definedName>
    <definedName name="CC_Instruction" localSheetId="1">#REF!</definedName>
    <definedName name="CC_Instruction">#REF!</definedName>
    <definedName name="CCD" localSheetId="4" hidden="1">#REF!</definedName>
    <definedName name="CCD" localSheetId="5" hidden="1">#REF!</definedName>
    <definedName name="CCD" localSheetId="2" hidden="1">#REF!</definedName>
    <definedName name="CCD" localSheetId="3" hidden="1">#REF!</definedName>
    <definedName name="CCD" localSheetId="6" hidden="1">#REF!</definedName>
    <definedName name="CCD" localSheetId="0" hidden="1">#REF!</definedName>
    <definedName name="CCD" localSheetId="1" hidden="1">#REF!</definedName>
    <definedName name="CCD" hidden="1">#REF!</definedName>
    <definedName name="CDE" localSheetId="4" hidden="1">#REF!</definedName>
    <definedName name="CDE" localSheetId="5" hidden="1">#REF!</definedName>
    <definedName name="CDE" localSheetId="2" hidden="1">#REF!</definedName>
    <definedName name="CDE" localSheetId="3" hidden="1">#REF!</definedName>
    <definedName name="CDE" localSheetId="6" hidden="1">#REF!</definedName>
    <definedName name="CDE" localSheetId="0" hidden="1">#REF!</definedName>
    <definedName name="CDE" localSheetId="1" hidden="1">#REF!</definedName>
    <definedName name="CDE" hidden="1">#REF!</definedName>
    <definedName name="CE_CarryKnownProtection" localSheetId="4">#REF!</definedName>
    <definedName name="CE_CarryKnownProtection" localSheetId="5">#REF!</definedName>
    <definedName name="CE_CarryKnownProtection" localSheetId="2">#REF!</definedName>
    <definedName name="CE_CarryKnownProtection" localSheetId="3">#REF!</definedName>
    <definedName name="CE_CarryKnownProtection" localSheetId="6">#REF!</definedName>
    <definedName name="CE_CarryKnownProtection" localSheetId="0">#REF!</definedName>
    <definedName name="CE_CarryKnownProtection" localSheetId="1">#REF!</definedName>
    <definedName name="CE_CarryKnownProtection">#REF!</definedName>
    <definedName name="CE_CarryKnownTable" localSheetId="4">#REF!</definedName>
    <definedName name="CE_CarryKnownTable" localSheetId="5">#REF!</definedName>
    <definedName name="CE_CarryKnownTable" localSheetId="2">#REF!</definedName>
    <definedName name="CE_CarryKnownTable" localSheetId="3">#REF!</definedName>
    <definedName name="CE_CarryKnownTable" localSheetId="6">#REF!</definedName>
    <definedName name="CE_CarryKnownTable" localSheetId="0">#REF!</definedName>
    <definedName name="CE_CarryKnownTable" localSheetId="1">#REF!</definedName>
    <definedName name="CE_CarryKnownTable">#REF!</definedName>
    <definedName name="CE_CarryLikely1Protection" localSheetId="4">#REF!</definedName>
    <definedName name="CE_CarryLikely1Protection" localSheetId="5">#REF!</definedName>
    <definedName name="CE_CarryLikely1Protection" localSheetId="2">#REF!</definedName>
    <definedName name="CE_CarryLikely1Protection" localSheetId="3">#REF!</definedName>
    <definedName name="CE_CarryLikely1Protection" localSheetId="6">#REF!</definedName>
    <definedName name="CE_CarryLikely1Protection" localSheetId="0">#REF!</definedName>
    <definedName name="CE_CarryLikely1Protection" localSheetId="1">#REF!</definedName>
    <definedName name="CE_CarryLikely1Protection">#REF!</definedName>
    <definedName name="CE_CarryLikely1Table" localSheetId="4">#REF!</definedName>
    <definedName name="CE_CarryLikely1Table" localSheetId="5">#REF!</definedName>
    <definedName name="CE_CarryLikely1Table" localSheetId="2">#REF!</definedName>
    <definedName name="CE_CarryLikely1Table" localSheetId="3">#REF!</definedName>
    <definedName name="CE_CarryLikely1Table" localSheetId="6">#REF!</definedName>
    <definedName name="CE_CarryLikely1Table" localSheetId="0">#REF!</definedName>
    <definedName name="CE_CarryLikely1Table" localSheetId="1">#REF!</definedName>
    <definedName name="CE_CarryLikely1Table">#REF!</definedName>
    <definedName name="CE_CarryLikely2Protection" localSheetId="4">#REF!</definedName>
    <definedName name="CE_CarryLikely2Protection" localSheetId="5">#REF!</definedName>
    <definedName name="CE_CarryLikely2Protection" localSheetId="2">#REF!</definedName>
    <definedName name="CE_CarryLikely2Protection" localSheetId="3">#REF!</definedName>
    <definedName name="CE_CarryLikely2Protection" localSheetId="6">#REF!</definedName>
    <definedName name="CE_CarryLikely2Protection" localSheetId="0">#REF!</definedName>
    <definedName name="CE_CarryLikely2Protection" localSheetId="1">#REF!</definedName>
    <definedName name="CE_CarryLikely2Protection">#REF!</definedName>
    <definedName name="CE_CarryLikely2Table" localSheetId="4">#REF!</definedName>
    <definedName name="CE_CarryLikely2Table" localSheetId="5">#REF!</definedName>
    <definedName name="CE_CarryLikely2Table" localSheetId="2">#REF!</definedName>
    <definedName name="CE_CarryLikely2Table" localSheetId="3">#REF!</definedName>
    <definedName name="CE_CarryLikely2Table" localSheetId="6">#REF!</definedName>
    <definedName name="CE_CarryLikely2Table" localSheetId="0">#REF!</definedName>
    <definedName name="CE_CarryLikely2Table" localSheetId="1">#REF!</definedName>
    <definedName name="CE_CarryLikely2Table">#REF!</definedName>
    <definedName name="CE_CarryTaxable" localSheetId="4">#REF!</definedName>
    <definedName name="CE_CarryTaxable" localSheetId="5">#REF!</definedName>
    <definedName name="CE_CarryTaxable" localSheetId="2">#REF!</definedName>
    <definedName name="CE_CarryTaxable" localSheetId="3">#REF!</definedName>
    <definedName name="CE_CarryTaxable" localSheetId="6">#REF!</definedName>
    <definedName name="CE_CarryTaxable" localSheetId="0">#REF!</definedName>
    <definedName name="CE_CarryTaxable" localSheetId="1">#REF!</definedName>
    <definedName name="CE_CarryTaxable">#REF!</definedName>
    <definedName name="CE_Desc" localSheetId="4">#REF!</definedName>
    <definedName name="CE_Desc" localSheetId="5">#REF!</definedName>
    <definedName name="CE_Desc" localSheetId="2">#REF!</definedName>
    <definedName name="CE_Desc" localSheetId="3">#REF!</definedName>
    <definedName name="CE_Desc" localSheetId="6">#REF!</definedName>
    <definedName name="CE_Desc" localSheetId="0">#REF!</definedName>
    <definedName name="CE_Desc" localSheetId="1">#REF!</definedName>
    <definedName name="CE_Desc">#REF!</definedName>
    <definedName name="CE_Income" localSheetId="4">#REF!</definedName>
    <definedName name="CE_Income" localSheetId="5">#REF!</definedName>
    <definedName name="CE_Income" localSheetId="2">#REF!</definedName>
    <definedName name="CE_Income" localSheetId="3">#REF!</definedName>
    <definedName name="CE_Income" localSheetId="6">#REF!</definedName>
    <definedName name="CE_Income" localSheetId="0">#REF!</definedName>
    <definedName name="CE_Income" localSheetId="1">#REF!</definedName>
    <definedName name="CE_Income">#REF!</definedName>
    <definedName name="CE_KeepFormat" localSheetId="4">#REF!</definedName>
    <definedName name="CE_KeepFormat" localSheetId="5">#REF!</definedName>
    <definedName name="CE_KeepFormat" localSheetId="2">#REF!</definedName>
    <definedName name="CE_KeepFormat" localSheetId="3">#REF!</definedName>
    <definedName name="CE_KeepFormat" localSheetId="6">#REF!</definedName>
    <definedName name="CE_KeepFormat" localSheetId="0">#REF!</definedName>
    <definedName name="CE_KeepFormat" localSheetId="1">#REF!</definedName>
    <definedName name="CE_KeepFormat">#REF!</definedName>
    <definedName name="CE_KnownChange" localSheetId="4">#REF!</definedName>
    <definedName name="CE_KnownChange" localSheetId="5">#REF!</definedName>
    <definedName name="CE_KnownChange" localSheetId="2">#REF!</definedName>
    <definedName name="CE_KnownChange" localSheetId="3">#REF!</definedName>
    <definedName name="CE_KnownChange" localSheetId="6">#REF!</definedName>
    <definedName name="CE_KnownChange" localSheetId="0">#REF!</definedName>
    <definedName name="CE_KnownChange" localSheetId="1">#REF!</definedName>
    <definedName name="CE_KnownChange">#REF!</definedName>
    <definedName name="CE_KnownFormulaProtection" localSheetId="4">#REF!</definedName>
    <definedName name="CE_KnownFormulaProtection" localSheetId="5">#REF!</definedName>
    <definedName name="CE_KnownFormulaProtection" localSheetId="2">#REF!</definedName>
    <definedName name="CE_KnownFormulaProtection" localSheetId="3">#REF!</definedName>
    <definedName name="CE_KnownFormulaProtection" localSheetId="6">#REF!</definedName>
    <definedName name="CE_KnownFormulaProtection" localSheetId="0">#REF!</definedName>
    <definedName name="CE_KnownFormulaProtection" localSheetId="1">#REF!</definedName>
    <definedName name="CE_KnownFormulaProtection">#REF!</definedName>
    <definedName name="CE_KnownImpact" localSheetId="4">#REF!</definedName>
    <definedName name="CE_KnownImpact" localSheetId="5">#REF!</definedName>
    <definedName name="CE_KnownImpact" localSheetId="2">#REF!</definedName>
    <definedName name="CE_KnownImpact" localSheetId="3">#REF!</definedName>
    <definedName name="CE_KnownImpact" localSheetId="6">#REF!</definedName>
    <definedName name="CE_KnownImpact" localSheetId="0">#REF!</definedName>
    <definedName name="CE_KnownImpact" localSheetId="1">#REF!</definedName>
    <definedName name="CE_KnownImpact">#REF!</definedName>
    <definedName name="CE_Likely1Change" localSheetId="4">#REF!</definedName>
    <definedName name="CE_Likely1Change" localSheetId="5">#REF!</definedName>
    <definedName name="CE_Likely1Change" localSheetId="2">#REF!</definedName>
    <definedName name="CE_Likely1Change" localSheetId="3">#REF!</definedName>
    <definedName name="CE_Likely1Change" localSheetId="6">#REF!</definedName>
    <definedName name="CE_Likely1Change" localSheetId="0">#REF!</definedName>
    <definedName name="CE_Likely1Change" localSheetId="1">#REF!</definedName>
    <definedName name="CE_Likely1Change">#REF!</definedName>
    <definedName name="CE_Likely1FormulaProtection" localSheetId="4">#REF!</definedName>
    <definedName name="CE_Likely1FormulaProtection" localSheetId="5">#REF!</definedName>
    <definedName name="CE_Likely1FormulaProtection" localSheetId="2">#REF!</definedName>
    <definedName name="CE_Likely1FormulaProtection" localSheetId="3">#REF!</definedName>
    <definedName name="CE_Likely1FormulaProtection" localSheetId="6">#REF!</definedName>
    <definedName name="CE_Likely1FormulaProtection" localSheetId="0">#REF!</definedName>
    <definedName name="CE_Likely1FormulaProtection" localSheetId="1">#REF!</definedName>
    <definedName name="CE_Likely1FormulaProtection">#REF!</definedName>
    <definedName name="CE_Likely1Impact" localSheetId="4">#REF!</definedName>
    <definedName name="CE_Likely1Impact" localSheetId="5">#REF!</definedName>
    <definedName name="CE_Likely1Impact" localSheetId="2">#REF!</definedName>
    <definedName name="CE_Likely1Impact" localSheetId="3">#REF!</definedName>
    <definedName name="CE_Likely1Impact" localSheetId="6">#REF!</definedName>
    <definedName name="CE_Likely1Impact" localSheetId="0">#REF!</definedName>
    <definedName name="CE_Likely1Impact" localSheetId="1">#REF!</definedName>
    <definedName name="CE_Likely1Impact">#REF!</definedName>
    <definedName name="CE_Likely2Change" localSheetId="4">#REF!</definedName>
    <definedName name="CE_Likely2Change" localSheetId="5">#REF!</definedName>
    <definedName name="CE_Likely2Change" localSheetId="2">#REF!</definedName>
    <definedName name="CE_Likely2Change" localSheetId="3">#REF!</definedName>
    <definedName name="CE_Likely2Change" localSheetId="6">#REF!</definedName>
    <definedName name="CE_Likely2Change" localSheetId="0">#REF!</definedName>
    <definedName name="CE_Likely2Change" localSheetId="1">#REF!</definedName>
    <definedName name="CE_Likely2Change">#REF!</definedName>
    <definedName name="CE_Likely2FormulaProtection" localSheetId="4">#REF!</definedName>
    <definedName name="CE_Likely2FormulaProtection" localSheetId="5">#REF!</definedName>
    <definedName name="CE_Likely2FormulaProtection" localSheetId="2">#REF!</definedName>
    <definedName name="CE_Likely2FormulaProtection" localSheetId="3">#REF!</definedName>
    <definedName name="CE_Likely2FormulaProtection" localSheetId="6">#REF!</definedName>
    <definedName name="CE_Likely2FormulaProtection" localSheetId="0">#REF!</definedName>
    <definedName name="CE_Likely2FormulaProtection" localSheetId="1">#REF!</definedName>
    <definedName name="CE_Likely2FormulaProtection">#REF!</definedName>
    <definedName name="CE_Likely2Impact" localSheetId="4">#REF!</definedName>
    <definedName name="CE_Likely2Impact" localSheetId="5">#REF!</definedName>
    <definedName name="CE_Likely2Impact" localSheetId="2">#REF!</definedName>
    <definedName name="CE_Likely2Impact" localSheetId="3">#REF!</definedName>
    <definedName name="CE_Likely2Impact" localSheetId="6">#REF!</definedName>
    <definedName name="CE_Likely2Impact" localSheetId="0">#REF!</definedName>
    <definedName name="CE_Likely2Impact" localSheetId="1">#REF!</definedName>
    <definedName name="CE_Likely2Impact">#REF!</definedName>
    <definedName name="CE_SheetCorrect" localSheetId="4">#REF!</definedName>
    <definedName name="CE_SheetCorrect" localSheetId="5">#REF!</definedName>
    <definedName name="CE_SheetCorrect" localSheetId="2">#REF!</definedName>
    <definedName name="CE_SheetCorrect" localSheetId="3">#REF!</definedName>
    <definedName name="CE_SheetCorrect" localSheetId="6">#REF!</definedName>
    <definedName name="CE_SheetCorrect" localSheetId="0">#REF!</definedName>
    <definedName name="CE_SheetCorrect" localSheetId="1">#REF!</definedName>
    <definedName name="CE_SheetCorrect">#REF!</definedName>
    <definedName name="CE_StatementImpact" localSheetId="4">#REF!</definedName>
    <definedName name="CE_StatementImpact" localSheetId="5">#REF!</definedName>
    <definedName name="CE_StatementImpact" localSheetId="2">#REF!</definedName>
    <definedName name="CE_StatementImpact" localSheetId="3">#REF!</definedName>
    <definedName name="CE_StatementImpact" localSheetId="6">#REF!</definedName>
    <definedName name="CE_StatementImpact" localSheetId="0">#REF!</definedName>
    <definedName name="CE_StatementImpact" localSheetId="1">#REF!</definedName>
    <definedName name="CE_StatementImpact">#REF!</definedName>
    <definedName name="CE_TotalProtection" localSheetId="4">#REF!</definedName>
    <definedName name="CE_TotalProtection" localSheetId="5">#REF!</definedName>
    <definedName name="CE_TotalProtection" localSheetId="2">#REF!</definedName>
    <definedName name="CE_TotalProtection" localSheetId="3">#REF!</definedName>
    <definedName name="CE_TotalProtection" localSheetId="6">#REF!</definedName>
    <definedName name="CE_TotalProtection" localSheetId="0">#REF!</definedName>
    <definedName name="CE_TotalProtection" localSheetId="1">#REF!</definedName>
    <definedName name="CE_TotalProtection">#REF!</definedName>
    <definedName name="CE_WholeSheet" localSheetId="4">#REF!</definedName>
    <definedName name="CE_WholeSheet" localSheetId="5">#REF!</definedName>
    <definedName name="CE_WholeSheet" localSheetId="2">#REF!</definedName>
    <definedName name="CE_WholeSheet" localSheetId="3">#REF!</definedName>
    <definedName name="CE_WholeSheet" localSheetId="6">#REF!</definedName>
    <definedName name="CE_WholeSheet" localSheetId="0">#REF!</definedName>
    <definedName name="CE_WholeSheet" localSheetId="1">#REF!</definedName>
    <definedName name="CE_WholeSheet">#REF!</definedName>
    <definedName name="CE_XF1" localSheetId="4">#REF!</definedName>
    <definedName name="CE_XF1" localSheetId="5">#REF!</definedName>
    <definedName name="CE_XF1" localSheetId="2">#REF!</definedName>
    <definedName name="CE_XF1" localSheetId="3">#REF!</definedName>
    <definedName name="CE_XF1" localSheetId="6">#REF!</definedName>
    <definedName name="CE_XF1" localSheetId="0">#REF!</definedName>
    <definedName name="CE_XF1" localSheetId="1">#REF!</definedName>
    <definedName name="CE_XF1">#REF!</definedName>
    <definedName name="CE_XF1Rng1" localSheetId="4">#REF!</definedName>
    <definedName name="CE_XF1Rng1" localSheetId="5">#REF!</definedName>
    <definedName name="CE_XF1Rng1" localSheetId="2">#REF!</definedName>
    <definedName name="CE_XF1Rng1" localSheetId="3">#REF!</definedName>
    <definedName name="CE_XF1Rng1" localSheetId="6">#REF!</definedName>
    <definedName name="CE_XF1Rng1" localSheetId="0">#REF!</definedName>
    <definedName name="CE_XF1Rng1" localSheetId="1">#REF!</definedName>
    <definedName name="CE_XF1Rng1">#REF!</definedName>
    <definedName name="CE_XF1Rng2" localSheetId="4">#REF!</definedName>
    <definedName name="CE_XF1Rng2" localSheetId="5">#REF!</definedName>
    <definedName name="CE_XF1Rng2" localSheetId="2">#REF!</definedName>
    <definedName name="CE_XF1Rng2" localSheetId="3">#REF!</definedName>
    <definedName name="CE_XF1Rng2" localSheetId="6">#REF!</definedName>
    <definedName name="CE_XF1Rng2" localSheetId="0">#REF!</definedName>
    <definedName name="CE_XF1Rng2" localSheetId="1">#REF!</definedName>
    <definedName name="CE_XF1Rng2">#REF!</definedName>
    <definedName name="CE_XF2" localSheetId="4">#REF!</definedName>
    <definedName name="CE_XF2" localSheetId="5">#REF!</definedName>
    <definedName name="CE_XF2" localSheetId="2">#REF!</definedName>
    <definedName name="CE_XF2" localSheetId="3">#REF!</definedName>
    <definedName name="CE_XF2" localSheetId="6">#REF!</definedName>
    <definedName name="CE_XF2" localSheetId="0">#REF!</definedName>
    <definedName name="CE_XF2" localSheetId="1">#REF!</definedName>
    <definedName name="CE_XF2">#REF!</definedName>
    <definedName name="CE_XF2Rng1" localSheetId="4">#REF!</definedName>
    <definedName name="CE_XF2Rng1" localSheetId="5">#REF!</definedName>
    <definedName name="CE_XF2Rng1" localSheetId="2">#REF!</definedName>
    <definedName name="CE_XF2Rng1" localSheetId="3">#REF!</definedName>
    <definedName name="CE_XF2Rng1" localSheetId="6">#REF!</definedName>
    <definedName name="CE_XF2Rng1" localSheetId="0">#REF!</definedName>
    <definedName name="CE_XF2Rng1" localSheetId="1">#REF!</definedName>
    <definedName name="CE_XF2Rng1">#REF!</definedName>
    <definedName name="CE_XF2Rng2" localSheetId="4">#REF!</definedName>
    <definedName name="CE_XF2Rng2" localSheetId="5">#REF!</definedName>
    <definedName name="CE_XF2Rng2" localSheetId="2">#REF!</definedName>
    <definedName name="CE_XF2Rng2" localSheetId="3">#REF!</definedName>
    <definedName name="CE_XF2Rng2" localSheetId="6">#REF!</definedName>
    <definedName name="CE_XF2Rng2" localSheetId="0">#REF!</definedName>
    <definedName name="CE_XF2Rng2" localSheetId="1">#REF!</definedName>
    <definedName name="CE_XF2Rng2">#REF!</definedName>
    <definedName name="CE_XF3" localSheetId="4">#REF!</definedName>
    <definedName name="CE_XF3" localSheetId="5">#REF!</definedName>
    <definedName name="CE_XF3" localSheetId="2">#REF!</definedName>
    <definedName name="CE_XF3" localSheetId="3">#REF!</definedName>
    <definedName name="CE_XF3" localSheetId="6">#REF!</definedName>
    <definedName name="CE_XF3" localSheetId="0">#REF!</definedName>
    <definedName name="CE_XF3" localSheetId="1">#REF!</definedName>
    <definedName name="CE_XF3">#REF!</definedName>
    <definedName name="CE_XF3Rng1" localSheetId="4">#REF!</definedName>
    <definedName name="CE_XF3Rng1" localSheetId="5">#REF!</definedName>
    <definedName name="CE_XF3Rng1" localSheetId="2">#REF!</definedName>
    <definedName name="CE_XF3Rng1" localSheetId="3">#REF!</definedName>
    <definedName name="CE_XF3Rng1" localSheetId="6">#REF!</definedName>
    <definedName name="CE_XF3Rng1" localSheetId="0">#REF!</definedName>
    <definedName name="CE_XF3Rng1" localSheetId="1">#REF!</definedName>
    <definedName name="CE_XF3Rng1">#REF!</definedName>
    <definedName name="CE_XF3Rng2" localSheetId="4">#REF!</definedName>
    <definedName name="CE_XF3Rng2" localSheetId="5">#REF!</definedName>
    <definedName name="CE_XF3Rng2" localSheetId="2">#REF!</definedName>
    <definedName name="CE_XF3Rng2" localSheetId="3">#REF!</definedName>
    <definedName name="CE_XF3Rng2" localSheetId="6">#REF!</definedName>
    <definedName name="CE_XF3Rng2" localSheetId="0">#REF!</definedName>
    <definedName name="CE_XF3Rng2" localSheetId="1">#REF!</definedName>
    <definedName name="CE_XF3Rng2">#REF!</definedName>
    <definedName name="ChecklistQuestion1" localSheetId="4">#REF!</definedName>
    <definedName name="ChecklistQuestion1" localSheetId="5">#REF!</definedName>
    <definedName name="ChecklistQuestion1" localSheetId="2">#REF!</definedName>
    <definedName name="ChecklistQuestion1" localSheetId="3">#REF!</definedName>
    <definedName name="ChecklistQuestion1" localSheetId="6">#REF!</definedName>
    <definedName name="ChecklistQuestion1" localSheetId="0">#REF!</definedName>
    <definedName name="ChecklistQuestion1" localSheetId="1">#REF!</definedName>
    <definedName name="ChecklistQuestion1">#REF!</definedName>
    <definedName name="ChecklistQuestion2" localSheetId="4">#REF!</definedName>
    <definedName name="ChecklistQuestion2" localSheetId="5">#REF!</definedName>
    <definedName name="ChecklistQuestion2" localSheetId="2">#REF!</definedName>
    <definedName name="ChecklistQuestion2" localSheetId="3">#REF!</definedName>
    <definedName name="ChecklistQuestion2" localSheetId="6">#REF!</definedName>
    <definedName name="ChecklistQuestion2" localSheetId="0">#REF!</definedName>
    <definedName name="ChecklistQuestion2" localSheetId="1">#REF!</definedName>
    <definedName name="ChecklistQuestion2">#REF!</definedName>
    <definedName name="ChecklistQuestion3" localSheetId="4">#REF!</definedName>
    <definedName name="ChecklistQuestion3" localSheetId="5">#REF!</definedName>
    <definedName name="ChecklistQuestion3" localSheetId="2">#REF!</definedName>
    <definedName name="ChecklistQuestion3" localSheetId="3">#REF!</definedName>
    <definedName name="ChecklistQuestion3" localSheetId="6">#REF!</definedName>
    <definedName name="ChecklistQuestion3" localSheetId="0">#REF!</definedName>
    <definedName name="ChecklistQuestion3" localSheetId="1">#REF!</definedName>
    <definedName name="ChecklistQuestion3">#REF!</definedName>
    <definedName name="Conclusions1" localSheetId="4">#REF!</definedName>
    <definedName name="Conclusions1" localSheetId="5">#REF!</definedName>
    <definedName name="Conclusions1" localSheetId="2">#REF!</definedName>
    <definedName name="Conclusions1" localSheetId="3">#REF!</definedName>
    <definedName name="Conclusions1" localSheetId="6">#REF!</definedName>
    <definedName name="Conclusions1" localSheetId="0">#REF!</definedName>
    <definedName name="Conclusions1" localSheetId="1">#REF!</definedName>
    <definedName name="Conclusions1">#REF!</definedName>
    <definedName name="Conclusions2" localSheetId="4">#REF!</definedName>
    <definedName name="Conclusions2" localSheetId="5">#REF!</definedName>
    <definedName name="Conclusions2" localSheetId="2">#REF!</definedName>
    <definedName name="Conclusions2" localSheetId="3">#REF!</definedName>
    <definedName name="Conclusions2" localSheetId="6">#REF!</definedName>
    <definedName name="Conclusions2" localSheetId="0">#REF!</definedName>
    <definedName name="Conclusions2" localSheetId="1">#REF!</definedName>
    <definedName name="Conclusions2">#REF!</definedName>
    <definedName name="Conclusions3" localSheetId="4">#REF!</definedName>
    <definedName name="Conclusions3" localSheetId="5">#REF!</definedName>
    <definedName name="Conclusions3" localSheetId="2">#REF!</definedName>
    <definedName name="Conclusions3" localSheetId="3">#REF!</definedName>
    <definedName name="Conclusions3" localSheetId="6">#REF!</definedName>
    <definedName name="Conclusions3" localSheetId="0">#REF!</definedName>
    <definedName name="Conclusions3" localSheetId="1">#REF!</definedName>
    <definedName name="Conclusions3">#REF!</definedName>
    <definedName name="Conclusions4" localSheetId="4">#REF!</definedName>
    <definedName name="Conclusions4" localSheetId="5">#REF!</definedName>
    <definedName name="Conclusions4" localSheetId="2">#REF!</definedName>
    <definedName name="Conclusions4" localSheetId="3">#REF!</definedName>
    <definedName name="Conclusions4" localSheetId="6">#REF!</definedName>
    <definedName name="Conclusions4" localSheetId="0">#REF!</definedName>
    <definedName name="Conclusions4" localSheetId="1">#REF!</definedName>
    <definedName name="Conclusions4">#REF!</definedName>
    <definedName name="CorrectKey" localSheetId="4">#REF!</definedName>
    <definedName name="CorrectKey" localSheetId="5">#REF!</definedName>
    <definedName name="CorrectKey" localSheetId="2">#REF!</definedName>
    <definedName name="CorrectKey" localSheetId="3">#REF!</definedName>
    <definedName name="CorrectKey" localSheetId="6">#REF!</definedName>
    <definedName name="CorrectKey" localSheetId="0">#REF!</definedName>
    <definedName name="CorrectKey" localSheetId="1">#REF!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2">#REF!</definedName>
    <definedName name="Current_Year_Known_and_Likely_Misstatements" localSheetId="3">#REF!</definedName>
    <definedName name="Current_Year_Known_and_Likely_Misstatements" localSheetId="6">#REF!</definedName>
    <definedName name="Current_Year_Known_and_Likely_Misstatements" localSheetId="0">#REF!</definedName>
    <definedName name="Current_Year_Known_and_Likely_Misstatements" localSheetId="1">#REF!</definedName>
    <definedName name="Current_Year_Known_and_Likely_Misstatements">#REF!</definedName>
    <definedName name="CY_all_Assets" localSheetId="4">#REF!</definedName>
    <definedName name="CY_all_Assets" localSheetId="5">#REF!</definedName>
    <definedName name="CY_all_Assets" localSheetId="2">#REF!</definedName>
    <definedName name="CY_all_Assets" localSheetId="3">#REF!</definedName>
    <definedName name="CY_all_Assets" localSheetId="6">#REF!</definedName>
    <definedName name="CY_all_Assets" localSheetId="0">#REF!</definedName>
    <definedName name="CY_all_Assets" localSheetId="1">#REF!</definedName>
    <definedName name="CY_all_Assets">#REF!</definedName>
    <definedName name="CY_all_Equity" localSheetId="4">#REF!</definedName>
    <definedName name="CY_all_Equity" localSheetId="5">#REF!</definedName>
    <definedName name="CY_all_Equity" localSheetId="2">#REF!</definedName>
    <definedName name="CY_all_Equity" localSheetId="3">#REF!</definedName>
    <definedName name="CY_all_Equity" localSheetId="6">#REF!</definedName>
    <definedName name="CY_all_Equity" localSheetId="0">#REF!</definedName>
    <definedName name="CY_all_Equity" localSheetId="1">#REF!</definedName>
    <definedName name="CY_all_Equity">#REF!</definedName>
    <definedName name="CY_all_Income" localSheetId="4">#REF!</definedName>
    <definedName name="CY_all_Income" localSheetId="5">#REF!</definedName>
    <definedName name="CY_all_Income" localSheetId="2">#REF!</definedName>
    <definedName name="CY_all_Income" localSheetId="3">#REF!</definedName>
    <definedName name="CY_all_Income" localSheetId="6">#REF!</definedName>
    <definedName name="CY_all_Income" localSheetId="0">#REF!</definedName>
    <definedName name="CY_all_Income" localSheetId="1">#REF!</definedName>
    <definedName name="CY_all_Income">#REF!</definedName>
    <definedName name="CY_all_Liabs" localSheetId="4">#REF!</definedName>
    <definedName name="CY_all_Liabs" localSheetId="5">#REF!</definedName>
    <definedName name="CY_all_Liabs" localSheetId="2">#REF!</definedName>
    <definedName name="CY_all_Liabs" localSheetId="3">#REF!</definedName>
    <definedName name="CY_all_Liabs" localSheetId="6">#REF!</definedName>
    <definedName name="CY_all_Liabs" localSheetId="0">#REF!</definedName>
    <definedName name="CY_all_Liabs" localSheetId="1">#REF!</definedName>
    <definedName name="CY_all_Liabs">#REF!</definedName>
    <definedName name="CY_all_RetEarn_bf" localSheetId="4">#REF!</definedName>
    <definedName name="CY_all_RetEarn_bf" localSheetId="5">#REF!</definedName>
    <definedName name="CY_all_RetEarn_bf" localSheetId="2">#REF!</definedName>
    <definedName name="CY_all_RetEarn_bf" localSheetId="3">#REF!</definedName>
    <definedName name="CY_all_RetEarn_bf" localSheetId="6">#REF!</definedName>
    <definedName name="CY_all_RetEarn_bf" localSheetId="0">#REF!</definedName>
    <definedName name="CY_all_RetEarn_bf" localSheetId="1">#REF!</definedName>
    <definedName name="CY_all_RetEarn_bf">#REF!</definedName>
    <definedName name="CY_knw_Assets" localSheetId="4">#REF!</definedName>
    <definedName name="CY_knw_Assets" localSheetId="5">#REF!</definedName>
    <definedName name="CY_knw_Assets" localSheetId="2">#REF!</definedName>
    <definedName name="CY_knw_Assets" localSheetId="3">#REF!</definedName>
    <definedName name="CY_knw_Assets" localSheetId="6">#REF!</definedName>
    <definedName name="CY_knw_Assets" localSheetId="0">#REF!</definedName>
    <definedName name="CY_knw_Assets" localSheetId="1">#REF!</definedName>
    <definedName name="CY_knw_Assets">#REF!</definedName>
    <definedName name="CY_knw_Equity" localSheetId="4">#REF!</definedName>
    <definedName name="CY_knw_Equity" localSheetId="5">#REF!</definedName>
    <definedName name="CY_knw_Equity" localSheetId="2">#REF!</definedName>
    <definedName name="CY_knw_Equity" localSheetId="3">#REF!</definedName>
    <definedName name="CY_knw_Equity" localSheetId="6">#REF!</definedName>
    <definedName name="CY_knw_Equity" localSheetId="0">#REF!</definedName>
    <definedName name="CY_knw_Equity" localSheetId="1">#REF!</definedName>
    <definedName name="CY_knw_Equity">#REF!</definedName>
    <definedName name="CY_knw_Income" localSheetId="4">#REF!</definedName>
    <definedName name="CY_knw_Income" localSheetId="5">#REF!</definedName>
    <definedName name="CY_knw_Income" localSheetId="2">#REF!</definedName>
    <definedName name="CY_knw_Income" localSheetId="3">#REF!</definedName>
    <definedName name="CY_knw_Income" localSheetId="6">#REF!</definedName>
    <definedName name="CY_knw_Income" localSheetId="0">#REF!</definedName>
    <definedName name="CY_knw_Income" localSheetId="1">#REF!</definedName>
    <definedName name="CY_knw_Income">#REF!</definedName>
    <definedName name="CY_knw_Liabs" localSheetId="4">#REF!</definedName>
    <definedName name="CY_knw_Liabs" localSheetId="5">#REF!</definedName>
    <definedName name="CY_knw_Liabs" localSheetId="2">#REF!</definedName>
    <definedName name="CY_knw_Liabs" localSheetId="3">#REF!</definedName>
    <definedName name="CY_knw_Liabs" localSheetId="6">#REF!</definedName>
    <definedName name="CY_knw_Liabs" localSheetId="0">#REF!</definedName>
    <definedName name="CY_knw_Liabs" localSheetId="1">#REF!</definedName>
    <definedName name="CY_knw_Liabs">#REF!</definedName>
    <definedName name="CY_knw_RetEarn_bf" localSheetId="4">#REF!</definedName>
    <definedName name="CY_knw_RetEarn_bf" localSheetId="5">#REF!</definedName>
    <definedName name="CY_knw_RetEarn_bf" localSheetId="2">#REF!</definedName>
    <definedName name="CY_knw_RetEarn_bf" localSheetId="3">#REF!</definedName>
    <definedName name="CY_knw_RetEarn_bf" localSheetId="6">#REF!</definedName>
    <definedName name="CY_knw_RetEarn_bf" localSheetId="0">#REF!</definedName>
    <definedName name="CY_knw_RetEarn_bf" localSheetId="1">#REF!</definedName>
    <definedName name="CY_knw_RetEarn_bf">#REF!</definedName>
    <definedName name="CY_lik_Assets" localSheetId="4">#REF!</definedName>
    <definedName name="CY_lik_Assets" localSheetId="5">#REF!</definedName>
    <definedName name="CY_lik_Assets" localSheetId="2">#REF!</definedName>
    <definedName name="CY_lik_Assets" localSheetId="3">#REF!</definedName>
    <definedName name="CY_lik_Assets" localSheetId="6">#REF!</definedName>
    <definedName name="CY_lik_Assets" localSheetId="0">#REF!</definedName>
    <definedName name="CY_lik_Assets" localSheetId="1">#REF!</definedName>
    <definedName name="CY_lik_Assets">#REF!</definedName>
    <definedName name="CY_lik_Assets_ex" localSheetId="4">#REF!</definedName>
    <definedName name="CY_lik_Assets_ex" localSheetId="5">#REF!</definedName>
    <definedName name="CY_lik_Assets_ex" localSheetId="2">#REF!</definedName>
    <definedName name="CY_lik_Assets_ex" localSheetId="3">#REF!</definedName>
    <definedName name="CY_lik_Assets_ex" localSheetId="6">#REF!</definedName>
    <definedName name="CY_lik_Assets_ex" localSheetId="0">#REF!</definedName>
    <definedName name="CY_lik_Assets_ex" localSheetId="1">#REF!</definedName>
    <definedName name="CY_lik_Assets_ex">#REF!</definedName>
    <definedName name="CY_lik_Assets_ext" localSheetId="4">#REF!</definedName>
    <definedName name="CY_lik_Assets_ext" localSheetId="5">#REF!</definedName>
    <definedName name="CY_lik_Assets_ext" localSheetId="2">#REF!</definedName>
    <definedName name="CY_lik_Assets_ext" localSheetId="3">#REF!</definedName>
    <definedName name="CY_lik_Assets_ext" localSheetId="6">#REF!</definedName>
    <definedName name="CY_lik_Assets_ext" localSheetId="0">#REF!</definedName>
    <definedName name="CY_lik_Assets_ext" localSheetId="1">#REF!</definedName>
    <definedName name="CY_lik_Assets_ext">#REF!</definedName>
    <definedName name="CY_lik_Equity" localSheetId="4">#REF!</definedName>
    <definedName name="CY_lik_Equity" localSheetId="5">#REF!</definedName>
    <definedName name="CY_lik_Equity" localSheetId="2">#REF!</definedName>
    <definedName name="CY_lik_Equity" localSheetId="3">#REF!</definedName>
    <definedName name="CY_lik_Equity" localSheetId="6">#REF!</definedName>
    <definedName name="CY_lik_Equity" localSheetId="0">#REF!</definedName>
    <definedName name="CY_lik_Equity" localSheetId="1">#REF!</definedName>
    <definedName name="CY_lik_Equity">#REF!</definedName>
    <definedName name="CY_lik_Equity_eX" localSheetId="4">#REF!</definedName>
    <definedName name="CY_lik_Equity_eX" localSheetId="5">#REF!</definedName>
    <definedName name="CY_lik_Equity_eX" localSheetId="2">#REF!</definedName>
    <definedName name="CY_lik_Equity_eX" localSheetId="3">#REF!</definedName>
    <definedName name="CY_lik_Equity_eX" localSheetId="6">#REF!</definedName>
    <definedName name="CY_lik_Equity_eX" localSheetId="0">#REF!</definedName>
    <definedName name="CY_lik_Equity_eX" localSheetId="1">#REF!</definedName>
    <definedName name="CY_lik_Equity_eX">#REF!</definedName>
    <definedName name="CY_lik_Equity_eXt" localSheetId="4">#REF!</definedName>
    <definedName name="CY_lik_Equity_eXt" localSheetId="5">#REF!</definedName>
    <definedName name="CY_lik_Equity_eXt" localSheetId="2">#REF!</definedName>
    <definedName name="CY_lik_Equity_eXt" localSheetId="3">#REF!</definedName>
    <definedName name="CY_lik_Equity_eXt" localSheetId="6">#REF!</definedName>
    <definedName name="CY_lik_Equity_eXt" localSheetId="0">#REF!</definedName>
    <definedName name="CY_lik_Equity_eXt" localSheetId="1">#REF!</definedName>
    <definedName name="CY_lik_Equity_eXt">#REF!</definedName>
    <definedName name="CY_lik_Income" localSheetId="4">#REF!</definedName>
    <definedName name="CY_lik_Income" localSheetId="5">#REF!</definedName>
    <definedName name="CY_lik_Income" localSheetId="2">#REF!</definedName>
    <definedName name="CY_lik_Income" localSheetId="3">#REF!</definedName>
    <definedName name="CY_lik_Income" localSheetId="6">#REF!</definedName>
    <definedName name="CY_lik_Income" localSheetId="0">#REF!</definedName>
    <definedName name="CY_lik_Income" localSheetId="1">#REF!</definedName>
    <definedName name="CY_lik_Income">#REF!</definedName>
    <definedName name="CY_lik_Income_Ex" localSheetId="4">#REF!</definedName>
    <definedName name="CY_lik_Income_Ex" localSheetId="5">#REF!</definedName>
    <definedName name="CY_lik_Income_Ex" localSheetId="2">#REF!</definedName>
    <definedName name="CY_lik_Income_Ex" localSheetId="3">#REF!</definedName>
    <definedName name="CY_lik_Income_Ex" localSheetId="6">#REF!</definedName>
    <definedName name="CY_lik_Income_Ex" localSheetId="0">#REF!</definedName>
    <definedName name="CY_lik_Income_Ex" localSheetId="1">#REF!</definedName>
    <definedName name="CY_lik_Income_Ex">#REF!</definedName>
    <definedName name="CY_lik_Income_Ext" localSheetId="4">#REF!</definedName>
    <definedName name="CY_lik_Income_Ext" localSheetId="5">#REF!</definedName>
    <definedName name="CY_lik_Income_Ext" localSheetId="2">#REF!</definedName>
    <definedName name="CY_lik_Income_Ext" localSheetId="3">#REF!</definedName>
    <definedName name="CY_lik_Income_Ext" localSheetId="6">#REF!</definedName>
    <definedName name="CY_lik_Income_Ext" localSheetId="0">#REF!</definedName>
    <definedName name="CY_lik_Income_Ext" localSheetId="1">#REF!</definedName>
    <definedName name="CY_lik_Income_Ext">#REF!</definedName>
    <definedName name="CY_lik_Liabs" localSheetId="4">#REF!</definedName>
    <definedName name="CY_lik_Liabs" localSheetId="5">#REF!</definedName>
    <definedName name="CY_lik_Liabs" localSheetId="2">#REF!</definedName>
    <definedName name="CY_lik_Liabs" localSheetId="3">#REF!</definedName>
    <definedName name="CY_lik_Liabs" localSheetId="6">#REF!</definedName>
    <definedName name="CY_lik_Liabs" localSheetId="0">#REF!</definedName>
    <definedName name="CY_lik_Liabs" localSheetId="1">#REF!</definedName>
    <definedName name="CY_lik_Liabs">#REF!</definedName>
    <definedName name="CY_lik_Liabs_EX" localSheetId="4">#REF!</definedName>
    <definedName name="CY_lik_Liabs_EX" localSheetId="5">#REF!</definedName>
    <definedName name="CY_lik_Liabs_EX" localSheetId="2">#REF!</definedName>
    <definedName name="CY_lik_Liabs_EX" localSheetId="3">#REF!</definedName>
    <definedName name="CY_lik_Liabs_EX" localSheetId="6">#REF!</definedName>
    <definedName name="CY_lik_Liabs_EX" localSheetId="0">#REF!</definedName>
    <definedName name="CY_lik_Liabs_EX" localSheetId="1">#REF!</definedName>
    <definedName name="CY_lik_Liabs_EX">#REF!</definedName>
    <definedName name="CY_lik_Liabs_EXt" localSheetId="4">#REF!</definedName>
    <definedName name="CY_lik_Liabs_EXt" localSheetId="5">#REF!</definedName>
    <definedName name="CY_lik_Liabs_EXt" localSheetId="2">#REF!</definedName>
    <definedName name="CY_lik_Liabs_EXt" localSheetId="3">#REF!</definedName>
    <definedName name="CY_lik_Liabs_EXt" localSheetId="6">#REF!</definedName>
    <definedName name="CY_lik_Liabs_EXt" localSheetId="0">#REF!</definedName>
    <definedName name="CY_lik_Liabs_EXt" localSheetId="1">#REF!</definedName>
    <definedName name="CY_lik_Liabs_EXt">#REF!</definedName>
    <definedName name="CY_lik_RetEarn_bf" localSheetId="4">#REF!</definedName>
    <definedName name="CY_lik_RetEarn_bf" localSheetId="5">#REF!</definedName>
    <definedName name="CY_lik_RetEarn_bf" localSheetId="2">#REF!</definedName>
    <definedName name="CY_lik_RetEarn_bf" localSheetId="3">#REF!</definedName>
    <definedName name="CY_lik_RetEarn_bf" localSheetId="6">#REF!</definedName>
    <definedName name="CY_lik_RetEarn_bf" localSheetId="0">#REF!</definedName>
    <definedName name="CY_lik_RetEarn_bf" localSheetId="1">#REF!</definedName>
    <definedName name="CY_lik_RetEarn_bf">#REF!</definedName>
    <definedName name="CY_tx_all_Equity" localSheetId="4">#REF!</definedName>
    <definedName name="CY_tx_all_Equity" localSheetId="5">#REF!</definedName>
    <definedName name="CY_tx_all_Equity" localSheetId="2">#REF!</definedName>
    <definedName name="CY_tx_all_Equity" localSheetId="3">#REF!</definedName>
    <definedName name="CY_tx_all_Equity" localSheetId="6">#REF!</definedName>
    <definedName name="CY_tx_all_Equity" localSheetId="0">#REF!</definedName>
    <definedName name="CY_tx_all_Equity" localSheetId="1">#REF!</definedName>
    <definedName name="CY_tx_all_Equity">#REF!</definedName>
    <definedName name="CY_tx_all_Income" localSheetId="4">#REF!</definedName>
    <definedName name="CY_tx_all_Income" localSheetId="5">#REF!</definedName>
    <definedName name="CY_tx_all_Income" localSheetId="2">#REF!</definedName>
    <definedName name="CY_tx_all_Income" localSheetId="3">#REF!</definedName>
    <definedName name="CY_tx_all_Income" localSheetId="6">#REF!</definedName>
    <definedName name="CY_tx_all_Income" localSheetId="0">#REF!</definedName>
    <definedName name="CY_tx_all_Income" localSheetId="1">#REF!</definedName>
    <definedName name="CY_tx_all_Income">#REF!</definedName>
    <definedName name="CY_tx_all_Liabs" localSheetId="4">#REF!</definedName>
    <definedName name="CY_tx_all_Liabs" localSheetId="5">#REF!</definedName>
    <definedName name="CY_tx_all_Liabs" localSheetId="2">#REF!</definedName>
    <definedName name="CY_tx_all_Liabs" localSheetId="3">#REF!</definedName>
    <definedName name="CY_tx_all_Liabs" localSheetId="6">#REF!</definedName>
    <definedName name="CY_tx_all_Liabs" localSheetId="0">#REF!</definedName>
    <definedName name="CY_tx_all_Liabs" localSheetId="1">#REF!</definedName>
    <definedName name="CY_tx_all_Liabs">#REF!</definedName>
    <definedName name="CY_tx_all_RetEarn_bf" localSheetId="4">#REF!</definedName>
    <definedName name="CY_tx_all_RetEarn_bf" localSheetId="5">#REF!</definedName>
    <definedName name="CY_tx_all_RetEarn_bf" localSheetId="2">#REF!</definedName>
    <definedName name="CY_tx_all_RetEarn_bf" localSheetId="3">#REF!</definedName>
    <definedName name="CY_tx_all_RetEarn_bf" localSheetId="6">#REF!</definedName>
    <definedName name="CY_tx_all_RetEarn_bf" localSheetId="0">#REF!</definedName>
    <definedName name="CY_tx_all_RetEarn_bf" localSheetId="1">#REF!</definedName>
    <definedName name="CY_tx_all_RetEarn_bf">#REF!</definedName>
    <definedName name="CY_tx_knw_Equity" localSheetId="4">#REF!</definedName>
    <definedName name="CY_tx_knw_Equity" localSheetId="5">#REF!</definedName>
    <definedName name="CY_tx_knw_Equity" localSheetId="2">#REF!</definedName>
    <definedName name="CY_tx_knw_Equity" localSheetId="3">#REF!</definedName>
    <definedName name="CY_tx_knw_Equity" localSheetId="6">#REF!</definedName>
    <definedName name="CY_tx_knw_Equity" localSheetId="0">#REF!</definedName>
    <definedName name="CY_tx_knw_Equity" localSheetId="1">#REF!</definedName>
    <definedName name="CY_tx_knw_Equity">#REF!</definedName>
    <definedName name="CY_tx_knw_Income" localSheetId="4">#REF!</definedName>
    <definedName name="CY_tx_knw_Income" localSheetId="5">#REF!</definedName>
    <definedName name="CY_tx_knw_Income" localSheetId="2">#REF!</definedName>
    <definedName name="CY_tx_knw_Income" localSheetId="3">#REF!</definedName>
    <definedName name="CY_tx_knw_Income" localSheetId="6">#REF!</definedName>
    <definedName name="CY_tx_knw_Income" localSheetId="0">#REF!</definedName>
    <definedName name="CY_tx_knw_Income" localSheetId="1">#REF!</definedName>
    <definedName name="CY_tx_knw_Income">#REF!</definedName>
    <definedName name="CY_tx_knw_Liabs" localSheetId="4">#REF!</definedName>
    <definedName name="CY_tx_knw_Liabs" localSheetId="5">#REF!</definedName>
    <definedName name="CY_tx_knw_Liabs" localSheetId="2">#REF!</definedName>
    <definedName name="CY_tx_knw_Liabs" localSheetId="3">#REF!</definedName>
    <definedName name="CY_tx_knw_Liabs" localSheetId="6">#REF!</definedName>
    <definedName name="CY_tx_knw_Liabs" localSheetId="0">#REF!</definedName>
    <definedName name="CY_tx_knw_Liabs" localSheetId="1">#REF!</definedName>
    <definedName name="CY_tx_knw_Liabs">#REF!</definedName>
    <definedName name="CY_tx_knw_RetEarn_bf" localSheetId="4">#REF!</definedName>
    <definedName name="CY_tx_knw_RetEarn_bf" localSheetId="5">#REF!</definedName>
    <definedName name="CY_tx_knw_RetEarn_bf" localSheetId="2">#REF!</definedName>
    <definedName name="CY_tx_knw_RetEarn_bf" localSheetId="3">#REF!</definedName>
    <definedName name="CY_tx_knw_RetEarn_bf" localSheetId="6">#REF!</definedName>
    <definedName name="CY_tx_knw_RetEarn_bf" localSheetId="0">#REF!</definedName>
    <definedName name="CY_tx_knw_RetEarn_bf" localSheetId="1">#REF!</definedName>
    <definedName name="CY_tx_knw_RetEarn_bf">#REF!</definedName>
    <definedName name="CY_tx_lik_Equity" localSheetId="4">#REF!</definedName>
    <definedName name="CY_tx_lik_Equity" localSheetId="5">#REF!</definedName>
    <definedName name="CY_tx_lik_Equity" localSheetId="2">#REF!</definedName>
    <definedName name="CY_tx_lik_Equity" localSheetId="3">#REF!</definedName>
    <definedName name="CY_tx_lik_Equity" localSheetId="6">#REF!</definedName>
    <definedName name="CY_tx_lik_Equity" localSheetId="0">#REF!</definedName>
    <definedName name="CY_tx_lik_Equity" localSheetId="1">#REF!</definedName>
    <definedName name="CY_tx_lik_Equity">#REF!</definedName>
    <definedName name="CY_tx_lik_Equity_ex" localSheetId="4">#REF!</definedName>
    <definedName name="CY_tx_lik_Equity_ex" localSheetId="5">#REF!</definedName>
    <definedName name="CY_tx_lik_Equity_ex" localSheetId="2">#REF!</definedName>
    <definedName name="CY_tx_lik_Equity_ex" localSheetId="3">#REF!</definedName>
    <definedName name="CY_tx_lik_Equity_ex" localSheetId="6">#REF!</definedName>
    <definedName name="CY_tx_lik_Equity_ex" localSheetId="0">#REF!</definedName>
    <definedName name="CY_tx_lik_Equity_ex" localSheetId="1">#REF!</definedName>
    <definedName name="CY_tx_lik_Equity_ex">#REF!</definedName>
    <definedName name="CY_tx_lik_Equity_ext" localSheetId="4">#REF!</definedName>
    <definedName name="CY_tx_lik_Equity_ext" localSheetId="5">#REF!</definedName>
    <definedName name="CY_tx_lik_Equity_ext" localSheetId="2">#REF!</definedName>
    <definedName name="CY_tx_lik_Equity_ext" localSheetId="3">#REF!</definedName>
    <definedName name="CY_tx_lik_Equity_ext" localSheetId="6">#REF!</definedName>
    <definedName name="CY_tx_lik_Equity_ext" localSheetId="0">#REF!</definedName>
    <definedName name="CY_tx_lik_Equity_ext" localSheetId="1">#REF!</definedName>
    <definedName name="CY_tx_lik_Equity_ext">#REF!</definedName>
    <definedName name="CY_tx_lik_Income" localSheetId="4">#REF!</definedName>
    <definedName name="CY_tx_lik_Income" localSheetId="5">#REF!</definedName>
    <definedName name="CY_tx_lik_Income" localSheetId="2">#REF!</definedName>
    <definedName name="CY_tx_lik_Income" localSheetId="3">#REF!</definedName>
    <definedName name="CY_tx_lik_Income" localSheetId="6">#REF!</definedName>
    <definedName name="CY_tx_lik_Income" localSheetId="0">#REF!</definedName>
    <definedName name="CY_tx_lik_Income" localSheetId="1">#REF!</definedName>
    <definedName name="CY_tx_lik_Income">#REF!</definedName>
    <definedName name="CY_tx_lik_Income_ex" localSheetId="4">#REF!</definedName>
    <definedName name="CY_tx_lik_Income_ex" localSheetId="5">#REF!</definedName>
    <definedName name="CY_tx_lik_Income_ex" localSheetId="2">#REF!</definedName>
    <definedName name="CY_tx_lik_Income_ex" localSheetId="3">#REF!</definedName>
    <definedName name="CY_tx_lik_Income_ex" localSheetId="6">#REF!</definedName>
    <definedName name="CY_tx_lik_Income_ex" localSheetId="0">#REF!</definedName>
    <definedName name="CY_tx_lik_Income_ex" localSheetId="1">#REF!</definedName>
    <definedName name="CY_tx_lik_Income_ex">#REF!</definedName>
    <definedName name="CY_tx_lik_Income_ext" localSheetId="4">#REF!</definedName>
    <definedName name="CY_tx_lik_Income_ext" localSheetId="5">#REF!</definedName>
    <definedName name="CY_tx_lik_Income_ext" localSheetId="2">#REF!</definedName>
    <definedName name="CY_tx_lik_Income_ext" localSheetId="3">#REF!</definedName>
    <definedName name="CY_tx_lik_Income_ext" localSheetId="6">#REF!</definedName>
    <definedName name="CY_tx_lik_Income_ext" localSheetId="0">#REF!</definedName>
    <definedName name="CY_tx_lik_Income_ext" localSheetId="1">#REF!</definedName>
    <definedName name="CY_tx_lik_Income_ext">#REF!</definedName>
    <definedName name="CY_tx_lik_Liabs" localSheetId="4">#REF!</definedName>
    <definedName name="CY_tx_lik_Liabs" localSheetId="5">#REF!</definedName>
    <definedName name="CY_tx_lik_Liabs" localSheetId="2">#REF!</definedName>
    <definedName name="CY_tx_lik_Liabs" localSheetId="3">#REF!</definedName>
    <definedName name="CY_tx_lik_Liabs" localSheetId="6">#REF!</definedName>
    <definedName name="CY_tx_lik_Liabs" localSheetId="0">#REF!</definedName>
    <definedName name="CY_tx_lik_Liabs" localSheetId="1">#REF!</definedName>
    <definedName name="CY_tx_lik_Liabs">#REF!</definedName>
    <definedName name="CY_tx_lik_Liabs_ex" localSheetId="4">#REF!</definedName>
    <definedName name="CY_tx_lik_Liabs_ex" localSheetId="5">#REF!</definedName>
    <definedName name="CY_tx_lik_Liabs_ex" localSheetId="2">#REF!</definedName>
    <definedName name="CY_tx_lik_Liabs_ex" localSheetId="3">#REF!</definedName>
    <definedName name="CY_tx_lik_Liabs_ex" localSheetId="6">#REF!</definedName>
    <definedName name="CY_tx_lik_Liabs_ex" localSheetId="0">#REF!</definedName>
    <definedName name="CY_tx_lik_Liabs_ex" localSheetId="1">#REF!</definedName>
    <definedName name="CY_tx_lik_Liabs_ex">#REF!</definedName>
    <definedName name="CY_tx_lik_Liabs_ext" localSheetId="4">#REF!</definedName>
    <definedName name="CY_tx_lik_Liabs_ext" localSheetId="5">#REF!</definedName>
    <definedName name="CY_tx_lik_Liabs_ext" localSheetId="2">#REF!</definedName>
    <definedName name="CY_tx_lik_Liabs_ext" localSheetId="3">#REF!</definedName>
    <definedName name="CY_tx_lik_Liabs_ext" localSheetId="6">#REF!</definedName>
    <definedName name="CY_tx_lik_Liabs_ext" localSheetId="0">#REF!</definedName>
    <definedName name="CY_tx_lik_Liabs_ext" localSheetId="1">#REF!</definedName>
    <definedName name="CY_tx_lik_Liabs_ext">#REF!</definedName>
    <definedName name="CY_tx_lik_RetEarn_bf" localSheetId="4">#REF!</definedName>
    <definedName name="CY_tx_lik_RetEarn_bf" localSheetId="5">#REF!</definedName>
    <definedName name="CY_tx_lik_RetEarn_bf" localSheetId="2">#REF!</definedName>
    <definedName name="CY_tx_lik_RetEarn_bf" localSheetId="3">#REF!</definedName>
    <definedName name="CY_tx_lik_RetEarn_bf" localSheetId="6">#REF!</definedName>
    <definedName name="CY_tx_lik_RetEarn_bf" localSheetId="0">#REF!</definedName>
    <definedName name="CY_tx_lik_RetEarn_bf" localSheetId="1">#REF!</definedName>
    <definedName name="CY_tx_lik_RetEarn_bf">#REF!</definedName>
    <definedName name="CY_tx_lik_RetEarn_bf_ex" localSheetId="4">#REF!</definedName>
    <definedName name="CY_tx_lik_RetEarn_bf_ex" localSheetId="5">#REF!</definedName>
    <definedName name="CY_tx_lik_RetEarn_bf_ex" localSheetId="2">#REF!</definedName>
    <definedName name="CY_tx_lik_RetEarn_bf_ex" localSheetId="3">#REF!</definedName>
    <definedName name="CY_tx_lik_RetEarn_bf_ex" localSheetId="6">#REF!</definedName>
    <definedName name="CY_tx_lik_RetEarn_bf_ex" localSheetId="0">#REF!</definedName>
    <definedName name="CY_tx_lik_RetEarn_bf_ex" localSheetId="1">#REF!</definedName>
    <definedName name="CY_tx_lik_RetEarn_bf_ex">#REF!</definedName>
    <definedName name="CY_tx_lik_RetEarn_bf_ext" localSheetId="4">#REF!</definedName>
    <definedName name="CY_tx_lik_RetEarn_bf_ext" localSheetId="5">#REF!</definedName>
    <definedName name="CY_tx_lik_RetEarn_bf_ext" localSheetId="2">#REF!</definedName>
    <definedName name="CY_tx_lik_RetEarn_bf_ext" localSheetId="3">#REF!</definedName>
    <definedName name="CY_tx_lik_RetEarn_bf_ext" localSheetId="6">#REF!</definedName>
    <definedName name="CY_tx_lik_RetEarn_bf_ext" localSheetId="0">#REF!</definedName>
    <definedName name="CY_tx_lik_RetEarn_bf_ext" localSheetId="1">#REF!</definedName>
    <definedName name="CY_tx_lik_RetEarn_bf_ext">#REF!</definedName>
    <definedName name="_xlnm.Database" localSheetId="4">[2]B!#REF!</definedName>
    <definedName name="_xlnm.Database" localSheetId="5">[2]B!#REF!</definedName>
    <definedName name="_xlnm.Database" localSheetId="2">[2]B!#REF!</definedName>
    <definedName name="_xlnm.Database" localSheetId="3">[2]B!#REF!</definedName>
    <definedName name="_xlnm.Database" localSheetId="6">[2]B!#REF!</definedName>
    <definedName name="_xlnm.Database" localSheetId="0">[2]B!#REF!</definedName>
    <definedName name="_xlnm.Database" localSheetId="1">[2]B!#REF!</definedName>
    <definedName name="_xlnm.Database">[2]B!#REF!</definedName>
    <definedName name="DEX" localSheetId="4" hidden="1">#REF!</definedName>
    <definedName name="DEX" localSheetId="5" hidden="1">#REF!</definedName>
    <definedName name="DEX" localSheetId="2" hidden="1">#REF!</definedName>
    <definedName name="DEX" localSheetId="3" hidden="1">#REF!</definedName>
    <definedName name="DEX" localSheetId="6" hidden="1">#REF!</definedName>
    <definedName name="DEX" localSheetId="0" hidden="1">#REF!</definedName>
    <definedName name="DEX" localSheetId="1" hidden="1">#REF!</definedName>
    <definedName name="DEX" hidden="1">#REF!</definedName>
    <definedName name="EDC" localSheetId="4" hidden="1">#REF!</definedName>
    <definedName name="EDC" localSheetId="5" hidden="1">#REF!</definedName>
    <definedName name="EDC" localSheetId="2" hidden="1">#REF!</definedName>
    <definedName name="EDC" localSheetId="3" hidden="1">#REF!</definedName>
    <definedName name="EDC" localSheetId="6" hidden="1">#REF!</definedName>
    <definedName name="EDC" localSheetId="0" hidden="1">#REF!</definedName>
    <definedName name="EDC" localSheetId="1" hidden="1">#REF!</definedName>
    <definedName name="EDC" hidden="1">#REF!</definedName>
    <definedName name="Effective_Tax_Rate" localSheetId="4">#REF!</definedName>
    <definedName name="Effective_Tax_Rate" localSheetId="5">#REF!</definedName>
    <definedName name="Effective_Tax_Rate" localSheetId="2">#REF!</definedName>
    <definedName name="Effective_Tax_Rate" localSheetId="3">#REF!</definedName>
    <definedName name="Effective_Tax_Rate" localSheetId="6">#REF!</definedName>
    <definedName name="Effective_Tax_Rate" localSheetId="0">#REF!</definedName>
    <definedName name="Effective_Tax_Rate" localSheetId="1">#REF!</definedName>
    <definedName name="Effective_Tax_Rate">#REF!</definedName>
    <definedName name="FAD" localSheetId="4" hidden="1">[3]Breakdown!#REF!</definedName>
    <definedName name="FAD" localSheetId="5" hidden="1">[3]Breakdown!#REF!</definedName>
    <definedName name="FAD" localSheetId="2" hidden="1">[3]Breakdown!#REF!</definedName>
    <definedName name="FAD" localSheetId="3" hidden="1">[3]Breakdown!#REF!</definedName>
    <definedName name="FAD" localSheetId="6" hidden="1">[3]Breakdown!#REF!</definedName>
    <definedName name="FAD" localSheetId="0" hidden="1">[3]Breakdown!#REF!</definedName>
    <definedName name="FAD" localSheetId="1" hidden="1">[3]Breakdown!#REF!</definedName>
    <definedName name="FAD" hidden="1">[3]Breakdown!#REF!</definedName>
    <definedName name="FASD" localSheetId="4" hidden="1">#REF!</definedName>
    <definedName name="FASD" localSheetId="5" hidden="1">#REF!</definedName>
    <definedName name="FASD" localSheetId="2" hidden="1">#REF!</definedName>
    <definedName name="FASD" localSheetId="3" hidden="1">#REF!</definedName>
    <definedName name="FASD" localSheetId="6" hidden="1">#REF!</definedName>
    <definedName name="FASD" localSheetId="0" hidden="1">#REF!</definedName>
    <definedName name="FASD" localSheetId="1" hidden="1">#REF!</definedName>
    <definedName name="FASD" hidden="1">#REF!</definedName>
    <definedName name="FEDC" localSheetId="4" hidden="1">'[4]2004'!#REF!</definedName>
    <definedName name="FEDC" localSheetId="5" hidden="1">'[4]2004'!#REF!</definedName>
    <definedName name="FEDC" localSheetId="2" hidden="1">'[4]2004'!#REF!</definedName>
    <definedName name="FEDC" localSheetId="3" hidden="1">'[4]2004'!#REF!</definedName>
    <definedName name="FEDC" localSheetId="6" hidden="1">'[4]2004'!#REF!</definedName>
    <definedName name="FEDC" localSheetId="0" hidden="1">'[4]2004'!#REF!</definedName>
    <definedName name="FEDC" localSheetId="1" hidden="1">'[4]2004'!#REF!</definedName>
    <definedName name="FEDC" hidden="1">'[4]2004'!#REF!</definedName>
    <definedName name="ffd">[1]企业表一!$E$20</definedName>
    <definedName name="Known" localSheetId="4">#REF!</definedName>
    <definedName name="Known" localSheetId="5">#REF!</definedName>
    <definedName name="Known" localSheetId="2">#REF!</definedName>
    <definedName name="Known" localSheetId="3">#REF!</definedName>
    <definedName name="Known" localSheetId="6">#REF!</definedName>
    <definedName name="Known" localSheetId="0">#REF!</definedName>
    <definedName name="Known" localSheetId="1">#REF!</definedName>
    <definedName name="Known">#REF!</definedName>
    <definedName name="KnownTable" localSheetId="4">#REF!</definedName>
    <definedName name="KnownTable" localSheetId="5">#REF!</definedName>
    <definedName name="KnownTable" localSheetId="2">#REF!</definedName>
    <definedName name="KnownTable" localSheetId="3">#REF!</definedName>
    <definedName name="KnownTable" localSheetId="6">#REF!</definedName>
    <definedName name="KnownTable" localSheetId="0">#REF!</definedName>
    <definedName name="KnownTable" localSheetId="1">#REF!</definedName>
    <definedName name="KnownTable">#REF!</definedName>
    <definedName name="KnownTitle" localSheetId="4">#REF!</definedName>
    <definedName name="KnownTitle" localSheetId="5">#REF!</definedName>
    <definedName name="KnownTitle" localSheetId="2">#REF!</definedName>
    <definedName name="KnownTitle" localSheetId="3">#REF!</definedName>
    <definedName name="KnownTitle" localSheetId="6">#REF!</definedName>
    <definedName name="KnownTitle" localSheetId="0">#REF!</definedName>
    <definedName name="KnownTitle" localSheetId="1">#REF!</definedName>
    <definedName name="KnownTitle">#REF!</definedName>
    <definedName name="Likely1" localSheetId="4">#REF!</definedName>
    <definedName name="Likely1" localSheetId="5">#REF!</definedName>
    <definedName name="Likely1" localSheetId="2">#REF!</definedName>
    <definedName name="Likely1" localSheetId="3">#REF!</definedName>
    <definedName name="Likely1" localSheetId="6">#REF!</definedName>
    <definedName name="Likely1" localSheetId="0">#REF!</definedName>
    <definedName name="Likely1" localSheetId="1">#REF!</definedName>
    <definedName name="Likely1">#REF!</definedName>
    <definedName name="Likely2" localSheetId="4">#REF!</definedName>
    <definedName name="Likely2" localSheetId="5">#REF!</definedName>
    <definedName name="Likely2" localSheetId="2">#REF!</definedName>
    <definedName name="Likely2" localSheetId="3">#REF!</definedName>
    <definedName name="Likely2" localSheetId="6">#REF!</definedName>
    <definedName name="Likely2" localSheetId="0">#REF!</definedName>
    <definedName name="Likely2" localSheetId="1">#REF!</definedName>
    <definedName name="Likely2">#REF!</definedName>
    <definedName name="LikelyTable1" localSheetId="4">#REF!</definedName>
    <definedName name="LikelyTable1" localSheetId="5">#REF!</definedName>
    <definedName name="LikelyTable1" localSheetId="2">#REF!</definedName>
    <definedName name="LikelyTable1" localSheetId="3">#REF!</definedName>
    <definedName name="LikelyTable1" localSheetId="6">#REF!</definedName>
    <definedName name="LikelyTable1" localSheetId="0">#REF!</definedName>
    <definedName name="LikelyTable1" localSheetId="1">#REF!</definedName>
    <definedName name="LikelyTable1">#REF!</definedName>
    <definedName name="LikelyTable2" localSheetId="4">#REF!</definedName>
    <definedName name="LikelyTable2" localSheetId="5">#REF!</definedName>
    <definedName name="LikelyTable2" localSheetId="2">#REF!</definedName>
    <definedName name="LikelyTable2" localSheetId="3">#REF!</definedName>
    <definedName name="LikelyTable2" localSheetId="6">#REF!</definedName>
    <definedName name="LikelyTable2" localSheetId="0">#REF!</definedName>
    <definedName name="LikelyTable2" localSheetId="1">#REF!</definedName>
    <definedName name="LikelyTable2">#REF!</definedName>
    <definedName name="LikelyTitle" localSheetId="4">#REF!</definedName>
    <definedName name="LikelyTitle" localSheetId="5">#REF!</definedName>
    <definedName name="LikelyTitle" localSheetId="2">#REF!</definedName>
    <definedName name="LikelyTitle" localSheetId="3">#REF!</definedName>
    <definedName name="LikelyTitle" localSheetId="6">#REF!</definedName>
    <definedName name="LikelyTitle" localSheetId="0">#REF!</definedName>
    <definedName name="LikelyTitle" localSheetId="1">#REF!</definedName>
    <definedName name="LikelyTitle">#REF!</definedName>
    <definedName name="Materiality" localSheetId="4">#REF!</definedName>
    <definedName name="Materiality" localSheetId="5">#REF!</definedName>
    <definedName name="Materiality" localSheetId="2">#REF!</definedName>
    <definedName name="Materiality" localSheetId="3">#REF!</definedName>
    <definedName name="Materiality" localSheetId="6">#REF!</definedName>
    <definedName name="Materiality" localSheetId="0">#REF!</definedName>
    <definedName name="Materiality" localSheetId="1">#REF!</definedName>
    <definedName name="Materiality">#REF!</definedName>
    <definedName name="Monetary_Precision" localSheetId="4">#REF!</definedName>
    <definedName name="Monetary_Precision" localSheetId="5">#REF!</definedName>
    <definedName name="Monetary_Precision" localSheetId="2">#REF!</definedName>
    <definedName name="Monetary_Precision" localSheetId="3">#REF!</definedName>
    <definedName name="Monetary_Precision" localSheetId="6">#REF!</definedName>
    <definedName name="Monetary_Precision" localSheetId="0">#REF!</definedName>
    <definedName name="Monetary_Precision" localSheetId="1">#REF!</definedName>
    <definedName name="Monetary_Precision">#REF!</definedName>
    <definedName name="OC_Instruction" localSheetId="4">#REF!</definedName>
    <definedName name="OC_Instruction" localSheetId="5">#REF!</definedName>
    <definedName name="OC_Instruction" localSheetId="2">#REF!</definedName>
    <definedName name="OC_Instruction" localSheetId="3">#REF!</definedName>
    <definedName name="OC_Instruction" localSheetId="6">#REF!</definedName>
    <definedName name="OC_Instruction" localSheetId="0">#REF!</definedName>
    <definedName name="OC_Instruction" localSheetId="1">#REF!</definedName>
    <definedName name="OC_Instruction">#REF!</definedName>
    <definedName name="OtherConditions" localSheetId="4">#REF!</definedName>
    <definedName name="OtherConditions" localSheetId="5">#REF!</definedName>
    <definedName name="OtherConditions" localSheetId="2">#REF!</definedName>
    <definedName name="OtherConditions" localSheetId="3">#REF!</definedName>
    <definedName name="OtherConditions" localSheetId="6">#REF!</definedName>
    <definedName name="OtherConditions" localSheetId="0">#REF!</definedName>
    <definedName name="OtherConditions" localSheetId="1">#REF!</definedName>
    <definedName name="OtherConditions">#REF!</definedName>
    <definedName name="Pre_tax_materiality" localSheetId="4">#REF!</definedName>
    <definedName name="Pre_tax_materiality" localSheetId="5">#REF!</definedName>
    <definedName name="Pre_tax_materiality" localSheetId="2">#REF!</definedName>
    <definedName name="Pre_tax_materiality" localSheetId="3">#REF!</definedName>
    <definedName name="Pre_tax_materiality" localSheetId="6">#REF!</definedName>
    <definedName name="Pre_tax_materiality" localSheetId="0">#REF!</definedName>
    <definedName name="Pre_tax_materiality" localSheetId="1">#REF!</definedName>
    <definedName name="Pre_tax_materiality">#REF!</definedName>
    <definedName name="Precision" localSheetId="4">#REF!</definedName>
    <definedName name="Precision" localSheetId="5">#REF!</definedName>
    <definedName name="Precision" localSheetId="2">#REF!</definedName>
    <definedName name="Precision" localSheetId="3">#REF!</definedName>
    <definedName name="Precision" localSheetId="6">#REF!</definedName>
    <definedName name="Precision" localSheetId="0">#REF!</definedName>
    <definedName name="Precision" localSheetId="1">#REF!</definedName>
    <definedName name="Precision">#REF!</definedName>
    <definedName name="_xlnm.Print_Area" localSheetId="4">'变量相关性分析D2-10-2'!$A$1:$J$180</definedName>
    <definedName name="_xlnm.Print_Area" localSheetId="5">'多重共线性分析D2-10-2'!$A$1:$J$31</definedName>
    <definedName name="_xlnm.Print_Area" localSheetId="2">'前瞻性调整D2-10-1（打分卡)'!$A$1:$J$106</definedName>
    <definedName name="_xlnm.Print_Area" localSheetId="3">'前瞻性调整D2-10-1（量化分析）'!$A$1:$J$118</definedName>
    <definedName name="_xlnm.Print_Area" localSheetId="6">'应收账款保理合同检查（示例）'!$A$1:$I$34</definedName>
    <definedName name="_xlnm.Print_Area" localSheetId="0">'预期信用损失的计量测试D2-10'!$A$1:$H$125</definedName>
    <definedName name="_xlnm.Print_Area" localSheetId="1">'预期信用损失的计量测试D2-10 '!$A$1:$H$172</definedName>
    <definedName name="PY_all_Equity" localSheetId="4">#REF!</definedName>
    <definedName name="PY_all_Equity" localSheetId="5">#REF!</definedName>
    <definedName name="PY_all_Equity" localSheetId="2">#REF!</definedName>
    <definedName name="PY_all_Equity" localSheetId="3">#REF!</definedName>
    <definedName name="PY_all_Equity" localSheetId="6">#REF!</definedName>
    <definedName name="PY_all_Equity" localSheetId="0">#REF!</definedName>
    <definedName name="PY_all_Equity" localSheetId="1">#REF!</definedName>
    <definedName name="PY_all_Equity">#REF!</definedName>
    <definedName name="PY_all_Income" localSheetId="4">#REF!</definedName>
    <definedName name="PY_all_Income" localSheetId="5">#REF!</definedName>
    <definedName name="PY_all_Income" localSheetId="2">#REF!</definedName>
    <definedName name="PY_all_Income" localSheetId="3">#REF!</definedName>
    <definedName name="PY_all_Income" localSheetId="6">#REF!</definedName>
    <definedName name="PY_all_Income" localSheetId="0">#REF!</definedName>
    <definedName name="PY_all_Income" localSheetId="1">#REF!</definedName>
    <definedName name="PY_all_Income">#REF!</definedName>
    <definedName name="PY_all_RetEarn" localSheetId="4">#REF!</definedName>
    <definedName name="PY_all_RetEarn" localSheetId="5">#REF!</definedName>
    <definedName name="PY_all_RetEarn" localSheetId="2">#REF!</definedName>
    <definedName name="PY_all_RetEarn" localSheetId="3">#REF!</definedName>
    <definedName name="PY_all_RetEarn" localSheetId="6">#REF!</definedName>
    <definedName name="PY_all_RetEarn" localSheetId="0">#REF!</definedName>
    <definedName name="PY_all_RetEarn" localSheetId="1">#REF!</definedName>
    <definedName name="PY_all_RetEarn">#REF!</definedName>
    <definedName name="PY_knw_Income" localSheetId="4">#REF!</definedName>
    <definedName name="PY_knw_Income" localSheetId="5">#REF!</definedName>
    <definedName name="PY_knw_Income" localSheetId="2">#REF!</definedName>
    <definedName name="PY_knw_Income" localSheetId="3">#REF!</definedName>
    <definedName name="PY_knw_Income" localSheetId="6">#REF!</definedName>
    <definedName name="PY_knw_Income" localSheetId="0">#REF!</definedName>
    <definedName name="PY_knw_Income" localSheetId="1">#REF!</definedName>
    <definedName name="PY_knw_Income">#REF!</definedName>
    <definedName name="PY_knw_RetEarn" localSheetId="4">#REF!</definedName>
    <definedName name="PY_knw_RetEarn" localSheetId="5">#REF!</definedName>
    <definedName name="PY_knw_RetEarn" localSheetId="2">#REF!</definedName>
    <definedName name="PY_knw_RetEarn" localSheetId="3">#REF!</definedName>
    <definedName name="PY_knw_RetEarn" localSheetId="6">#REF!</definedName>
    <definedName name="PY_knw_RetEarn" localSheetId="0">#REF!</definedName>
    <definedName name="PY_knw_RetEarn" localSheetId="1">#REF!</definedName>
    <definedName name="PY_knw_RetEarn">#REF!</definedName>
    <definedName name="PY_lik_Income" localSheetId="4">#REF!</definedName>
    <definedName name="PY_lik_Income" localSheetId="5">#REF!</definedName>
    <definedName name="PY_lik_Income" localSheetId="2">#REF!</definedName>
    <definedName name="PY_lik_Income" localSheetId="3">#REF!</definedName>
    <definedName name="PY_lik_Income" localSheetId="6">#REF!</definedName>
    <definedName name="PY_lik_Income" localSheetId="0">#REF!</definedName>
    <definedName name="PY_lik_Income" localSheetId="1">#REF!</definedName>
    <definedName name="PY_lik_Income">#REF!</definedName>
    <definedName name="PY_lik_RetEarn" localSheetId="4">#REF!</definedName>
    <definedName name="PY_lik_RetEarn" localSheetId="5">#REF!</definedName>
    <definedName name="PY_lik_RetEarn" localSheetId="2">#REF!</definedName>
    <definedName name="PY_lik_RetEarn" localSheetId="3">#REF!</definedName>
    <definedName name="PY_lik_RetEarn" localSheetId="6">#REF!</definedName>
    <definedName name="PY_lik_RetEarn" localSheetId="0">#REF!</definedName>
    <definedName name="PY_lik_RetEarn" localSheetId="1">#REF!</definedName>
    <definedName name="PY_lik_RetEarn">#REF!</definedName>
    <definedName name="PY_tot_knw_Xfoot" localSheetId="4">#REF!</definedName>
    <definedName name="PY_tot_knw_Xfoot" localSheetId="5">#REF!</definedName>
    <definedName name="PY_tot_knw_Xfoot" localSheetId="2">#REF!</definedName>
    <definedName name="PY_tot_knw_Xfoot" localSheetId="3">#REF!</definedName>
    <definedName name="PY_tot_knw_Xfoot" localSheetId="6">#REF!</definedName>
    <definedName name="PY_tot_knw_Xfoot" localSheetId="0">#REF!</definedName>
    <definedName name="PY_tot_knw_Xfoot" localSheetId="1">#REF!</definedName>
    <definedName name="PY_tot_knw_Xfoot">#REF!</definedName>
    <definedName name="PY_tot_lik_Xfoot" localSheetId="4">#REF!</definedName>
    <definedName name="PY_tot_lik_Xfoot" localSheetId="5">#REF!</definedName>
    <definedName name="PY_tot_lik_Xfoot" localSheetId="2">#REF!</definedName>
    <definedName name="PY_tot_lik_Xfoot" localSheetId="3">#REF!</definedName>
    <definedName name="PY_tot_lik_Xfoot" localSheetId="6">#REF!</definedName>
    <definedName name="PY_tot_lik_Xfoot" localSheetId="0">#REF!</definedName>
    <definedName name="PY_tot_lik_Xfoot" localSheetId="1">#REF!</definedName>
    <definedName name="PY_tot_lik_Xfoot">#REF!</definedName>
    <definedName name="PY_tx_all_Income" localSheetId="4">#REF!</definedName>
    <definedName name="PY_tx_all_Income" localSheetId="5">#REF!</definedName>
    <definedName name="PY_tx_all_Income" localSheetId="2">#REF!</definedName>
    <definedName name="PY_tx_all_Income" localSheetId="3">#REF!</definedName>
    <definedName name="PY_tx_all_Income" localSheetId="6">#REF!</definedName>
    <definedName name="PY_tx_all_Income" localSheetId="0">#REF!</definedName>
    <definedName name="PY_tx_all_Income" localSheetId="1">#REF!</definedName>
    <definedName name="PY_tx_all_Income">#REF!</definedName>
    <definedName name="PY_tx_all_RetEarn" localSheetId="4">#REF!</definedName>
    <definedName name="PY_tx_all_RetEarn" localSheetId="5">#REF!</definedName>
    <definedName name="PY_tx_all_RetEarn" localSheetId="2">#REF!</definedName>
    <definedName name="PY_tx_all_RetEarn" localSheetId="3">#REF!</definedName>
    <definedName name="PY_tx_all_RetEarn" localSheetId="6">#REF!</definedName>
    <definedName name="PY_tx_all_RetEarn" localSheetId="0">#REF!</definedName>
    <definedName name="PY_tx_all_RetEarn" localSheetId="1">#REF!</definedName>
    <definedName name="PY_tx_all_RetEarn">#REF!</definedName>
    <definedName name="PY_tx_knw_Income" localSheetId="4">#REF!</definedName>
    <definedName name="PY_tx_knw_Income" localSheetId="5">#REF!</definedName>
    <definedName name="PY_tx_knw_Income" localSheetId="2">#REF!</definedName>
    <definedName name="PY_tx_knw_Income" localSheetId="3">#REF!</definedName>
    <definedName name="PY_tx_knw_Income" localSheetId="6">#REF!</definedName>
    <definedName name="PY_tx_knw_Income" localSheetId="0">#REF!</definedName>
    <definedName name="PY_tx_knw_Income" localSheetId="1">#REF!</definedName>
    <definedName name="PY_tx_knw_Income">#REF!</definedName>
    <definedName name="PY_tx_knw_RetEarn" localSheetId="4">#REF!</definedName>
    <definedName name="PY_tx_knw_RetEarn" localSheetId="5">#REF!</definedName>
    <definedName name="PY_tx_knw_RetEarn" localSheetId="2">#REF!</definedName>
    <definedName name="PY_tx_knw_RetEarn" localSheetId="3">#REF!</definedName>
    <definedName name="PY_tx_knw_RetEarn" localSheetId="6">#REF!</definedName>
    <definedName name="PY_tx_knw_RetEarn" localSheetId="0">#REF!</definedName>
    <definedName name="PY_tx_knw_RetEarn" localSheetId="1">#REF!</definedName>
    <definedName name="PY_tx_knw_RetEarn">#REF!</definedName>
    <definedName name="PY_tx_lik_Income" localSheetId="4">#REF!</definedName>
    <definedName name="PY_tx_lik_Income" localSheetId="5">#REF!</definedName>
    <definedName name="PY_tx_lik_Income" localSheetId="2">#REF!</definedName>
    <definedName name="PY_tx_lik_Income" localSheetId="3">#REF!</definedName>
    <definedName name="PY_tx_lik_Income" localSheetId="6">#REF!</definedName>
    <definedName name="PY_tx_lik_Income" localSheetId="0">#REF!</definedName>
    <definedName name="PY_tx_lik_Income" localSheetId="1">#REF!</definedName>
    <definedName name="PY_tx_lik_Income">#REF!</definedName>
    <definedName name="PY_tx_lik_RetEarn" localSheetId="4">#REF!</definedName>
    <definedName name="PY_tx_lik_RetEarn" localSheetId="5">#REF!</definedName>
    <definedName name="PY_tx_lik_RetEarn" localSheetId="2">#REF!</definedName>
    <definedName name="PY_tx_lik_RetEarn" localSheetId="3">#REF!</definedName>
    <definedName name="PY_tx_lik_RetEarn" localSheetId="6">#REF!</definedName>
    <definedName name="PY_tx_lik_RetEarn" localSheetId="0">#REF!</definedName>
    <definedName name="PY_tx_lik_RetEarn" localSheetId="1">#REF!</definedName>
    <definedName name="PY_tx_lik_RetEarn">#REF!</definedName>
    <definedName name="QC_Instruction" localSheetId="4">#REF!</definedName>
    <definedName name="QC_Instruction" localSheetId="5">#REF!</definedName>
    <definedName name="QC_Instruction" localSheetId="2">#REF!</definedName>
    <definedName name="QC_Instruction" localSheetId="3">#REF!</definedName>
    <definedName name="QC_Instruction" localSheetId="6">#REF!</definedName>
    <definedName name="QC_Instruction" localSheetId="0">#REF!</definedName>
    <definedName name="QC_Instruction" localSheetId="1">#REF!</definedName>
    <definedName name="QC_Instruction">#REF!</definedName>
    <definedName name="Qualitative1" localSheetId="4">#REF!</definedName>
    <definedName name="Qualitative1" localSheetId="5">#REF!</definedName>
    <definedName name="Qualitative1" localSheetId="2">#REF!</definedName>
    <definedName name="Qualitative1" localSheetId="3">#REF!</definedName>
    <definedName name="Qualitative1" localSheetId="6">#REF!</definedName>
    <definedName name="Qualitative1" localSheetId="0">#REF!</definedName>
    <definedName name="Qualitative1" localSheetId="1">#REF!</definedName>
    <definedName name="Qualitative1">#REF!</definedName>
    <definedName name="Qualitative2" localSheetId="4">#REF!</definedName>
    <definedName name="Qualitative2" localSheetId="5">#REF!</definedName>
    <definedName name="Qualitative2" localSheetId="2">#REF!</definedName>
    <definedName name="Qualitative2" localSheetId="3">#REF!</definedName>
    <definedName name="Qualitative2" localSheetId="6">#REF!</definedName>
    <definedName name="Qualitative2" localSheetId="0">#REF!</definedName>
    <definedName name="Qualitative2" localSheetId="1">#REF!</definedName>
    <definedName name="Qualitative2">#REF!</definedName>
    <definedName name="Qualitative3" localSheetId="4">#REF!</definedName>
    <definedName name="Qualitative3" localSheetId="5">#REF!</definedName>
    <definedName name="Qualitative3" localSheetId="2">#REF!</definedName>
    <definedName name="Qualitative3" localSheetId="3">#REF!</definedName>
    <definedName name="Qualitative3" localSheetId="6">#REF!</definedName>
    <definedName name="Qualitative3" localSheetId="0">#REF!</definedName>
    <definedName name="Qualitative3" localSheetId="1">#REF!</definedName>
    <definedName name="Qualitative3">#REF!</definedName>
    <definedName name="QualitativeTextBox" localSheetId="4">#REF!</definedName>
    <definedName name="QualitativeTextBox" localSheetId="5">#REF!</definedName>
    <definedName name="QualitativeTextBox" localSheetId="2">#REF!</definedName>
    <definedName name="QualitativeTextBox" localSheetId="3">#REF!</definedName>
    <definedName name="QualitativeTextBox" localSheetId="6">#REF!</definedName>
    <definedName name="QualitativeTextBox" localSheetId="0">#REF!</definedName>
    <definedName name="QualitativeTextBox" localSheetId="1">#REF!</definedName>
    <definedName name="QualitativeTextBox">#REF!</definedName>
    <definedName name="RDES" localSheetId="4" hidden="1">#REF!</definedName>
    <definedName name="RDES" localSheetId="5" hidden="1">#REF!</definedName>
    <definedName name="RDES" localSheetId="2" hidden="1">#REF!</definedName>
    <definedName name="RDES" localSheetId="3" hidden="1">#REF!</definedName>
    <definedName name="RDES" localSheetId="6" hidden="1">#REF!</definedName>
    <definedName name="RDES" localSheetId="0" hidden="1">#REF!</definedName>
    <definedName name="RDES" localSheetId="1" hidden="1">#REF!</definedName>
    <definedName name="RDES" hidden="1">#REF!</definedName>
    <definedName name="SM_CurrentYearHyplnk" localSheetId="4">#REF!</definedName>
    <definedName name="SM_CurrentYearHyplnk" localSheetId="5">#REF!</definedName>
    <definedName name="SM_CurrentYearHyplnk" localSheetId="2">#REF!</definedName>
    <definedName name="SM_CurrentYearHyplnk" localSheetId="3">#REF!</definedName>
    <definedName name="SM_CurrentYearHyplnk" localSheetId="6">#REF!</definedName>
    <definedName name="SM_CurrentYearHyplnk" localSheetId="0">#REF!</definedName>
    <definedName name="SM_CurrentYearHyplnk" localSheetId="1">#REF!</definedName>
    <definedName name="SM_CurrentYearHyplnk">#REF!</definedName>
    <definedName name="SM_PriorYearHyplnk" localSheetId="4">#REF!</definedName>
    <definedName name="SM_PriorYearHyplnk" localSheetId="5">#REF!</definedName>
    <definedName name="SM_PriorYearHyplnk" localSheetId="2">#REF!</definedName>
    <definedName name="SM_PriorYearHyplnk" localSheetId="3">#REF!</definedName>
    <definedName name="SM_PriorYearHyplnk" localSheetId="6">#REF!</definedName>
    <definedName name="SM_PriorYearHyplnk" localSheetId="0">#REF!</definedName>
    <definedName name="SM_PriorYearHyplnk" localSheetId="1">#REF!</definedName>
    <definedName name="SM_PriorYearHyplnk">#REF!</definedName>
    <definedName name="SM_WholeSheet" localSheetId="4">#REF!</definedName>
    <definedName name="SM_WholeSheet" localSheetId="5">#REF!</definedName>
    <definedName name="SM_WholeSheet" localSheetId="2">#REF!</definedName>
    <definedName name="SM_WholeSheet" localSheetId="3">#REF!</definedName>
    <definedName name="SM_WholeSheet" localSheetId="6">#REF!</definedName>
    <definedName name="SM_WholeSheet" localSheetId="0">#REF!</definedName>
    <definedName name="SM_WholeSheet" localSheetId="1">#REF!</definedName>
    <definedName name="SM_WholeSheet">#REF!</definedName>
    <definedName name="SummaryCOKnownProtection" localSheetId="4">#REF!</definedName>
    <definedName name="SummaryCOKnownProtection" localSheetId="5">#REF!</definedName>
    <definedName name="SummaryCOKnownProtection" localSheetId="2">#REF!</definedName>
    <definedName name="SummaryCOKnownProtection" localSheetId="3">#REF!</definedName>
    <definedName name="SummaryCOKnownProtection" localSheetId="6">#REF!</definedName>
    <definedName name="SummaryCOKnownProtection" localSheetId="0">#REF!</definedName>
    <definedName name="SummaryCOKnownProtection" localSheetId="1">#REF!</definedName>
    <definedName name="SummaryCOKnownProtection">#REF!</definedName>
    <definedName name="SummaryCOLikelyProtection" localSheetId="4">#REF!</definedName>
    <definedName name="SummaryCOLikelyProtection" localSheetId="5">#REF!</definedName>
    <definedName name="SummaryCOLikelyProtection" localSheetId="2">#REF!</definedName>
    <definedName name="SummaryCOLikelyProtection" localSheetId="3">#REF!</definedName>
    <definedName name="SummaryCOLikelyProtection" localSheetId="6">#REF!</definedName>
    <definedName name="SummaryCOLikelyProtection" localSheetId="0">#REF!</definedName>
    <definedName name="SummaryCOLikelyProtection" localSheetId="1">#REF!</definedName>
    <definedName name="SummaryCOLikelyProtection">#REF!</definedName>
    <definedName name="SummaryKnownProtection" localSheetId="4">#REF!</definedName>
    <definedName name="SummaryKnownProtection" localSheetId="5">#REF!</definedName>
    <definedName name="SummaryKnownProtection" localSheetId="2">#REF!</definedName>
    <definedName name="SummaryKnownProtection" localSheetId="3">#REF!</definedName>
    <definedName name="SummaryKnownProtection" localSheetId="6">#REF!</definedName>
    <definedName name="SummaryKnownProtection" localSheetId="0">#REF!</definedName>
    <definedName name="SummaryKnownProtection" localSheetId="1">#REF!</definedName>
    <definedName name="SummaryKnownProtection">#REF!</definedName>
    <definedName name="SummaryLikely1Protection" localSheetId="4">#REF!</definedName>
    <definedName name="SummaryLikely1Protection" localSheetId="5">#REF!</definedName>
    <definedName name="SummaryLikely1Protection" localSheetId="2">#REF!</definedName>
    <definedName name="SummaryLikely1Protection" localSheetId="3">#REF!</definedName>
    <definedName name="SummaryLikely1Protection" localSheetId="6">#REF!</definedName>
    <definedName name="SummaryLikely1Protection" localSheetId="0">#REF!</definedName>
    <definedName name="SummaryLikely1Protection" localSheetId="1">#REF!</definedName>
    <definedName name="SummaryLikely1Protection">#REF!</definedName>
    <definedName name="SummaryLikely2Protection" localSheetId="4">#REF!</definedName>
    <definedName name="SummaryLikely2Protection" localSheetId="5">#REF!</definedName>
    <definedName name="SummaryLikely2Protection" localSheetId="2">#REF!</definedName>
    <definedName name="SummaryLikely2Protection" localSheetId="3">#REF!</definedName>
    <definedName name="SummaryLikely2Protection" localSheetId="6">#REF!</definedName>
    <definedName name="SummaryLikely2Protection" localSheetId="0">#REF!</definedName>
    <definedName name="SummaryLikely2Protection" localSheetId="1">#REF!</definedName>
    <definedName name="SummaryLikely2Protection">#REF!</definedName>
    <definedName name="Tax_Effect_Income" localSheetId="4">#REF!</definedName>
    <definedName name="Tax_Effect_Income" localSheetId="5">#REF!</definedName>
    <definedName name="Tax_Effect_Income" localSheetId="2">#REF!</definedName>
    <definedName name="Tax_Effect_Income" localSheetId="3">#REF!</definedName>
    <definedName name="Tax_Effect_Income" localSheetId="6">#REF!</definedName>
    <definedName name="Tax_Effect_Income" localSheetId="0">#REF!</definedName>
    <definedName name="Tax_Effect_Income" localSheetId="1">#REF!</definedName>
    <definedName name="Tax_Effect_Income">#REF!</definedName>
    <definedName name="Tax_Effect_Liabs" localSheetId="4">#REF!</definedName>
    <definedName name="Tax_Effect_Liabs" localSheetId="5">#REF!</definedName>
    <definedName name="Tax_Effect_Liabs" localSheetId="2">#REF!</definedName>
    <definedName name="Tax_Effect_Liabs" localSheetId="3">#REF!</definedName>
    <definedName name="Tax_Effect_Liabs" localSheetId="6">#REF!</definedName>
    <definedName name="Tax_Effect_Liabs" localSheetId="0">#REF!</definedName>
    <definedName name="Tax_Effect_Liabs" localSheetId="1">#REF!</definedName>
    <definedName name="Tax_Effect_Liabs">#REF!</definedName>
    <definedName name="Tax_Effect_RetEarn" localSheetId="4">#REF!</definedName>
    <definedName name="Tax_Effect_RetEarn" localSheetId="5">#REF!</definedName>
    <definedName name="Tax_Effect_RetEarn" localSheetId="2">#REF!</definedName>
    <definedName name="Tax_Effect_RetEarn" localSheetId="3">#REF!</definedName>
    <definedName name="Tax_Effect_RetEarn" localSheetId="6">#REF!</definedName>
    <definedName name="Tax_Effect_RetEarn" localSheetId="0">#REF!</definedName>
    <definedName name="Tax_Effect_RetEarn" localSheetId="1">#REF!</definedName>
    <definedName name="Tax_Effect_RetEarn">#REF!</definedName>
    <definedName name="Tax_Rate" localSheetId="4">#REF!</definedName>
    <definedName name="Tax_Rate" localSheetId="5">#REF!</definedName>
    <definedName name="Tax_Rate" localSheetId="2">#REF!</definedName>
    <definedName name="Tax_Rate" localSheetId="3">#REF!</definedName>
    <definedName name="Tax_Rate" localSheetId="6">#REF!</definedName>
    <definedName name="Tax_Rate" localSheetId="0">#REF!</definedName>
    <definedName name="Tax_Rate" localSheetId="1">#REF!</definedName>
    <definedName name="Tax_Rate">#REF!</definedName>
    <definedName name="TextRefCopyRangeCount" hidden="1">136</definedName>
    <definedName name="Threshold" localSheetId="4">#REF!</definedName>
    <definedName name="Threshold" localSheetId="5">#REF!</definedName>
    <definedName name="Threshold" localSheetId="2">#REF!</definedName>
    <definedName name="Threshold" localSheetId="3">#REF!</definedName>
    <definedName name="Threshold" localSheetId="6">#REF!</definedName>
    <definedName name="Threshold" localSheetId="0">#REF!</definedName>
    <definedName name="Threshold" localSheetId="1">#REF!</definedName>
    <definedName name="Threshold">#REF!</definedName>
    <definedName name="Threshold_for_Accumulating" localSheetId="4">#REF!</definedName>
    <definedName name="Threshold_for_Accumulating" localSheetId="5">#REF!</definedName>
    <definedName name="Threshold_for_Accumulating" localSheetId="2">#REF!</definedName>
    <definedName name="Threshold_for_Accumulating" localSheetId="3">#REF!</definedName>
    <definedName name="Threshold_for_Accumulating" localSheetId="6">#REF!</definedName>
    <definedName name="Threshold_for_Accumulating" localSheetId="0">#REF!</definedName>
    <definedName name="Threshold_for_Accumulating" localSheetId="1">#REF!</definedName>
    <definedName name="Threshold_for_Accumulating">#REF!</definedName>
    <definedName name="Tot_knw_Xfoot" localSheetId="4">#REF!</definedName>
    <definedName name="Tot_knw_Xfoot" localSheetId="5">#REF!</definedName>
    <definedName name="Tot_knw_Xfoot" localSheetId="2">#REF!</definedName>
    <definedName name="Tot_knw_Xfoot" localSheetId="3">#REF!</definedName>
    <definedName name="Tot_knw_Xfoot" localSheetId="6">#REF!</definedName>
    <definedName name="Tot_knw_Xfoot" localSheetId="0">#REF!</definedName>
    <definedName name="Tot_knw_Xfoot" localSheetId="1">#REF!</definedName>
    <definedName name="Tot_knw_Xfoot">#REF!</definedName>
    <definedName name="Tot_lik_Xfoot" localSheetId="4">#REF!</definedName>
    <definedName name="Tot_lik_Xfoot" localSheetId="5">#REF!</definedName>
    <definedName name="Tot_lik_Xfoot" localSheetId="2">#REF!</definedName>
    <definedName name="Tot_lik_Xfoot" localSheetId="3">#REF!</definedName>
    <definedName name="Tot_lik_Xfoot" localSheetId="6">#REF!</definedName>
    <definedName name="Tot_lik_Xfoot" localSheetId="0">#REF!</definedName>
    <definedName name="Tot_lik_Xfoot" localSheetId="1">#REF!</definedName>
    <definedName name="Tot_lik_Xfoot">#REF!</definedName>
    <definedName name="Tot_lik_Xfoot_ex" localSheetId="4">#REF!</definedName>
    <definedName name="Tot_lik_Xfoot_ex" localSheetId="5">#REF!</definedName>
    <definedName name="Tot_lik_Xfoot_ex" localSheetId="2">#REF!</definedName>
    <definedName name="Tot_lik_Xfoot_ex" localSheetId="3">#REF!</definedName>
    <definedName name="Tot_lik_Xfoot_ex" localSheetId="6">#REF!</definedName>
    <definedName name="Tot_lik_Xfoot_ex" localSheetId="0">#REF!</definedName>
    <definedName name="Tot_lik_Xfoot_ex" localSheetId="1">#REF!</definedName>
    <definedName name="Tot_lik_Xfoot_ex">#REF!</definedName>
    <definedName name="Tot_lik_Xfoot_ext" localSheetId="4">#REF!</definedName>
    <definedName name="Tot_lik_Xfoot_ext" localSheetId="5">#REF!</definedName>
    <definedName name="Tot_lik_Xfoot_ext" localSheetId="2">#REF!</definedName>
    <definedName name="Tot_lik_Xfoot_ext" localSheetId="3">#REF!</definedName>
    <definedName name="Tot_lik_Xfoot_ext" localSheetId="6">#REF!</definedName>
    <definedName name="Tot_lik_Xfoot_ext" localSheetId="0">#REF!</definedName>
    <definedName name="Tot_lik_Xfoot_ext" localSheetId="1">#REF!</definedName>
    <definedName name="Tot_lik_Xfoot_ext">#REF!</definedName>
    <definedName name="TOTAL_KNOWN" localSheetId="4">#REF!</definedName>
    <definedName name="TOTAL_KNOWN" localSheetId="5">#REF!</definedName>
    <definedName name="TOTAL_KNOWN" localSheetId="2">#REF!</definedName>
    <definedName name="TOTAL_KNOWN" localSheetId="3">#REF!</definedName>
    <definedName name="TOTAL_KNOWN" localSheetId="6">#REF!</definedName>
    <definedName name="TOTAL_KNOWN" localSheetId="0">#REF!</definedName>
    <definedName name="TOTAL_KNOWN" localSheetId="1">#REF!</definedName>
    <definedName name="TOTAL_KNOWN">#REF!</definedName>
    <definedName name="TotalCarryOver" localSheetId="4">#REF!</definedName>
    <definedName name="TotalCarryOver" localSheetId="5">#REF!</definedName>
    <definedName name="TotalCarryOver" localSheetId="2">#REF!</definedName>
    <definedName name="TotalCarryOver" localSheetId="3">#REF!</definedName>
    <definedName name="TotalCarryOver" localSheetId="6">#REF!</definedName>
    <definedName name="TotalCarryOver" localSheetId="0">#REF!</definedName>
    <definedName name="TotalCarryOver" localSheetId="1">#REF!</definedName>
    <definedName name="TotalCarryOver">#REF!</definedName>
    <definedName name="TotalCurrentYear" localSheetId="4">#REF!</definedName>
    <definedName name="TotalCurrentYear" localSheetId="5">#REF!</definedName>
    <definedName name="TotalCurrentYear" localSheetId="2">#REF!</definedName>
    <definedName name="TotalCurrentYear" localSheetId="3">#REF!</definedName>
    <definedName name="TotalCurrentYear" localSheetId="6">#REF!</definedName>
    <definedName name="TotalCurrentYear" localSheetId="0">#REF!</definedName>
    <definedName name="TotalCurrentYear" localSheetId="1">#REF!</definedName>
    <definedName name="TotalCurrentYear">#REF!</definedName>
    <definedName name="TotalKnownCheck" localSheetId="4">#REF!</definedName>
    <definedName name="TotalKnownCheck" localSheetId="5">#REF!</definedName>
    <definedName name="TotalKnownCheck" localSheetId="2">#REF!</definedName>
    <definedName name="TotalKnownCheck" localSheetId="3">#REF!</definedName>
    <definedName name="TotalKnownCheck" localSheetId="6">#REF!</definedName>
    <definedName name="TotalKnownCheck" localSheetId="0">#REF!</definedName>
    <definedName name="TotalKnownCheck" localSheetId="1">#REF!</definedName>
    <definedName name="TotalKnownCheck">#REF!</definedName>
    <definedName name="VFE" localSheetId="4" hidden="1">#REF!</definedName>
    <definedName name="VFE" localSheetId="5" hidden="1">#REF!</definedName>
    <definedName name="VFE" localSheetId="2" hidden="1">#REF!</definedName>
    <definedName name="VFE" localSheetId="3" hidden="1">#REF!</definedName>
    <definedName name="VFE" localSheetId="6" hidden="1">#REF!</definedName>
    <definedName name="VFE" localSheetId="0" hidden="1">#REF!</definedName>
    <definedName name="VFE" localSheetId="1" hidden="1">#REF!</definedName>
    <definedName name="VFE" hidden="1">#REF!</definedName>
    <definedName name="XAP" localSheetId="4" hidden="1">#REF!</definedName>
    <definedName name="XAP" localSheetId="5" hidden="1">#REF!</definedName>
    <definedName name="XAP" localSheetId="2" hidden="1">#REF!</definedName>
    <definedName name="XAP" localSheetId="3" hidden="1">#REF!</definedName>
    <definedName name="XAP" localSheetId="6" hidden="1">#REF!</definedName>
    <definedName name="XAP" localSheetId="0" hidden="1">#REF!</definedName>
    <definedName name="XAP" localSheetId="1" hidden="1">#REF!</definedName>
    <definedName name="XAP" hidden="1">#REF!</definedName>
    <definedName name="XAQ" localSheetId="4" hidden="1">#REF!</definedName>
    <definedName name="XAQ" localSheetId="5" hidden="1">#REF!</definedName>
    <definedName name="XAQ" localSheetId="2" hidden="1">#REF!</definedName>
    <definedName name="XAQ" localSheetId="3" hidden="1">#REF!</definedName>
    <definedName name="XAQ" localSheetId="6" hidden="1">#REF!</definedName>
    <definedName name="XAQ" localSheetId="0" hidden="1">#REF!</definedName>
    <definedName name="XAQ" localSheetId="1" hidden="1">#REF!</definedName>
    <definedName name="XAQ" hidden="1">#REF!</definedName>
    <definedName name="XCD" localSheetId="4" hidden="1">#REF!</definedName>
    <definedName name="XCD" localSheetId="5" hidden="1">#REF!</definedName>
    <definedName name="XCD" localSheetId="2" hidden="1">#REF!</definedName>
    <definedName name="XCD" localSheetId="3" hidden="1">#REF!</definedName>
    <definedName name="XCD" localSheetId="6" hidden="1">#REF!</definedName>
    <definedName name="XCD" localSheetId="0" hidden="1">#REF!</definedName>
    <definedName name="XCD" localSheetId="1" hidden="1">#REF!</definedName>
    <definedName name="XCD" hidden="1">#REF!</definedName>
    <definedName name="XREF_COLUMN_1" localSheetId="4" hidden="1">#REF!</definedName>
    <definedName name="XREF_COLUMN_1" localSheetId="5" hidden="1">#REF!</definedName>
    <definedName name="XREF_COLUMN_1" localSheetId="2" hidden="1">#REF!</definedName>
    <definedName name="XREF_COLUMN_1" localSheetId="3" hidden="1">#REF!</definedName>
    <definedName name="XREF_COLUMN_1" localSheetId="6" hidden="1">#REF!</definedName>
    <definedName name="XREF_COLUMN_1" localSheetId="0" hidden="1">#REF!</definedName>
    <definedName name="XREF_COLUMN_1" localSheetId="1" hidden="1">#REF!</definedName>
    <definedName name="XREF_COLUMN_1" hidden="1">#REF!</definedName>
    <definedName name="XREF_COLUMN_2" localSheetId="4" hidden="1">[3]Breakdown!#REF!</definedName>
    <definedName name="XREF_COLUMN_2" localSheetId="5" hidden="1">[3]Breakdown!#REF!</definedName>
    <definedName name="XREF_COLUMN_2" localSheetId="2" hidden="1">[3]Breakdown!#REF!</definedName>
    <definedName name="XREF_COLUMN_2" localSheetId="3" hidden="1">[3]Breakdown!#REF!</definedName>
    <definedName name="XREF_COLUMN_2" localSheetId="6" hidden="1">[3]Breakdown!#REF!</definedName>
    <definedName name="XREF_COLUMN_2" localSheetId="0" hidden="1">[3]Breakdown!#REF!</definedName>
    <definedName name="XREF_COLUMN_2" localSheetId="1" hidden="1">[3]Breakdown!#REF!</definedName>
    <definedName name="XREF_COLUMN_2" hidden="1">[3]Breakdown!#REF!</definedName>
    <definedName name="XREF_COLUMN_3" localSheetId="4" hidden="1">#REF!</definedName>
    <definedName name="XREF_COLUMN_3" localSheetId="5" hidden="1">#REF!</definedName>
    <definedName name="XREF_COLUMN_3" localSheetId="2" hidden="1">#REF!</definedName>
    <definedName name="XREF_COLUMN_3" localSheetId="3" hidden="1">#REF!</definedName>
    <definedName name="XREF_COLUMN_3" localSheetId="6" hidden="1">#REF!</definedName>
    <definedName name="XREF_COLUMN_3" localSheetId="0" hidden="1">#REF!</definedName>
    <definedName name="XREF_COLUMN_3" localSheetId="1" hidden="1">#REF!</definedName>
    <definedName name="XREF_COLUMN_3" hidden="1">#REF!</definedName>
    <definedName name="XREF_COLUMN_5" localSheetId="4" hidden="1">'[4]2004'!#REF!</definedName>
    <definedName name="XREF_COLUMN_5" localSheetId="5" hidden="1">'[4]2004'!#REF!</definedName>
    <definedName name="XREF_COLUMN_5" localSheetId="2" hidden="1">'[4]2004'!#REF!</definedName>
    <definedName name="XREF_COLUMN_5" localSheetId="3" hidden="1">'[4]2004'!#REF!</definedName>
    <definedName name="XREF_COLUMN_5" localSheetId="6" hidden="1">'[4]2004'!#REF!</definedName>
    <definedName name="XREF_COLUMN_5" localSheetId="0" hidden="1">'[4]2004'!#REF!</definedName>
    <definedName name="XREF_COLUMN_5" localSheetId="1" hidden="1">'[4]2004'!#REF!</definedName>
    <definedName name="XREF_COLUMN_5" hidden="1">'[4]2004'!#REF!</definedName>
    <definedName name="XRefActiveRow" localSheetId="4" hidden="1">#REF!</definedName>
    <definedName name="XRefActiveRow" localSheetId="5" hidden="1">#REF!</definedName>
    <definedName name="XRefActiveRow" localSheetId="2" hidden="1">#REF!</definedName>
    <definedName name="XRefActiveRow" localSheetId="3" hidden="1">#REF!</definedName>
    <definedName name="XRefActiveRow" localSheetId="6" hidden="1">#REF!</definedName>
    <definedName name="XRefActiveRow" localSheetId="0" hidden="1">#REF!</definedName>
    <definedName name="XRefActiveRow" localSheetId="1"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2" hidden="1">#REF!</definedName>
    <definedName name="XRefCopy1" localSheetId="3" hidden="1">#REF!</definedName>
    <definedName name="XRefCopy1" localSheetId="6" hidden="1">#REF!</definedName>
    <definedName name="XRefCopy1" localSheetId="0" hidden="1">#REF!</definedName>
    <definedName name="XRefCopy1" localSheetId="1" hidden="1">#REF!</definedName>
    <definedName name="XRefCopy1" hidden="1">#REF!</definedName>
    <definedName name="XRefCopy1Row" localSheetId="4" hidden="1">#REF!</definedName>
    <definedName name="XRefCopy1Row" localSheetId="5" hidden="1">#REF!</definedName>
    <definedName name="XRefCopy1Row" localSheetId="2" hidden="1">#REF!</definedName>
    <definedName name="XRefCopy1Row" localSheetId="3" hidden="1">#REF!</definedName>
    <definedName name="XRefCopy1Row" localSheetId="6" hidden="1">#REF!</definedName>
    <definedName name="XRefCopy1Row" localSheetId="0" hidden="1">#REF!</definedName>
    <definedName name="XRefCopy1Row" localSheetId="1" hidden="1">#REF!</definedName>
    <definedName name="XRefCopy1Row" hidden="1">#REF!</definedName>
    <definedName name="XRefCopy2Row" localSheetId="4" hidden="1">#REF!</definedName>
    <definedName name="XRefCopy2Row" localSheetId="5" hidden="1">#REF!</definedName>
    <definedName name="XRefCopy2Row" localSheetId="2" hidden="1">#REF!</definedName>
    <definedName name="XRefCopy2Row" localSheetId="3" hidden="1">#REF!</definedName>
    <definedName name="XRefCopy2Row" localSheetId="6" hidden="1">#REF!</definedName>
    <definedName name="XRefCopy2Row" localSheetId="0" hidden="1">#REF!</definedName>
    <definedName name="XRefCopy2Row" localSheetId="1"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2" hidden="1">#REF!</definedName>
    <definedName name="XRefPaste1" localSheetId="3" hidden="1">#REF!</definedName>
    <definedName name="XRefPaste1" localSheetId="6" hidden="1">#REF!</definedName>
    <definedName name="XRefPaste1" localSheetId="0" hidden="1">#REF!</definedName>
    <definedName name="XRefPaste1" localSheetId="1" hidden="1">#REF!</definedName>
    <definedName name="XRefPaste1" hidden="1">#REF!</definedName>
    <definedName name="XRefPaste1Row" localSheetId="4" hidden="1">#REF!</definedName>
    <definedName name="XRefPaste1Row" localSheetId="5" hidden="1">#REF!</definedName>
    <definedName name="XRefPaste1Row" localSheetId="2" hidden="1">#REF!</definedName>
    <definedName name="XRefPaste1Row" localSheetId="3" hidden="1">#REF!</definedName>
    <definedName name="XRefPaste1Row" localSheetId="6" hidden="1">#REF!</definedName>
    <definedName name="XRefPaste1Row" localSheetId="0" hidden="1">#REF!</definedName>
    <definedName name="XRefPaste1Row" localSheetId="1" hidden="1">#REF!</definedName>
    <definedName name="XRefPaste1Row" hidden="1">#REF!</definedName>
    <definedName name="XRefPaste2" localSheetId="4" hidden="1">#REF!</definedName>
    <definedName name="XRefPaste2" localSheetId="5" hidden="1">#REF!</definedName>
    <definedName name="XRefPaste2" localSheetId="2" hidden="1">#REF!</definedName>
    <definedName name="XRefPaste2" localSheetId="3" hidden="1">#REF!</definedName>
    <definedName name="XRefPaste2" localSheetId="6" hidden="1">#REF!</definedName>
    <definedName name="XRefPaste2" localSheetId="0" hidden="1">#REF!</definedName>
    <definedName name="XRefPaste2" localSheetId="1" hidden="1">#REF!</definedName>
    <definedName name="XRefPaste2" hidden="1">#REF!</definedName>
    <definedName name="XRefPaste2Row" localSheetId="4" hidden="1">#REF!</definedName>
    <definedName name="XRefPaste2Row" localSheetId="5" hidden="1">#REF!</definedName>
    <definedName name="XRefPaste2Row" localSheetId="2" hidden="1">#REF!</definedName>
    <definedName name="XRefPaste2Row" localSheetId="3" hidden="1">#REF!</definedName>
    <definedName name="XRefPaste2Row" localSheetId="6" hidden="1">#REF!</definedName>
    <definedName name="XRefPaste2Row" localSheetId="0" hidden="1">#REF!</definedName>
    <definedName name="XRefPaste2Row" localSheetId="1" hidden="1">#REF!</definedName>
    <definedName name="XRefPaste2Row" hidden="1">#REF!</definedName>
    <definedName name="XRefPaste3" localSheetId="4" hidden="1">#REF!</definedName>
    <definedName name="XRefPaste3" localSheetId="5" hidden="1">#REF!</definedName>
    <definedName name="XRefPaste3" localSheetId="2" hidden="1">#REF!</definedName>
    <definedName name="XRefPaste3" localSheetId="3" hidden="1">#REF!</definedName>
    <definedName name="XRefPaste3" localSheetId="6" hidden="1">#REF!</definedName>
    <definedName name="XRefPaste3" localSheetId="0" hidden="1">#REF!</definedName>
    <definedName name="XRefPaste3" localSheetId="1" hidden="1">#REF!</definedName>
    <definedName name="XRefPaste3" hidden="1">#REF!</definedName>
    <definedName name="XRefPaste3Row" localSheetId="4" hidden="1">#REF!</definedName>
    <definedName name="XRefPaste3Row" localSheetId="5" hidden="1">#REF!</definedName>
    <definedName name="XRefPaste3Row" localSheetId="2" hidden="1">#REF!</definedName>
    <definedName name="XRefPaste3Row" localSheetId="3" hidden="1">#REF!</definedName>
    <definedName name="XRefPaste3Row" localSheetId="6" hidden="1">#REF!</definedName>
    <definedName name="XRefPaste3Row" localSheetId="0" hidden="1">#REF!</definedName>
    <definedName name="XRefPaste3Row" localSheetId="1" hidden="1">#REF!</definedName>
    <definedName name="XRefPaste3Row" hidden="1">#REF!</definedName>
    <definedName name="XRefPasteRangeCount" hidden="1">2</definedName>
    <definedName name="暗暗审">'[1]M-5A'!$B$10</definedName>
    <definedName name="本循环科目" hidden="1">[5]索引!$D$15:$D$76</definedName>
    <definedName name="编制">[6]表头!$B$3</definedName>
    <definedName name="财务费用" localSheetId="6">#REF!</definedName>
    <definedName name="财务费用">#REF!</definedName>
    <definedName name="持有待售资产和负债" localSheetId="6">#REF!</definedName>
    <definedName name="持有待售资产和负债">#REF!</definedName>
    <definedName name="持有至到期投资" localSheetId="6">#REF!</definedName>
    <definedName name="持有至到期投资">#REF!</definedName>
    <definedName name="存货" localSheetId="6">#REF!</definedName>
    <definedName name="存货">#REF!</definedName>
    <definedName name="存货93期初">[7]企业表一!$C$7</definedName>
    <definedName name="存货93期末">[7]企业表一!$D$7</definedName>
    <definedName name="存货94期初">[7]企业表一!$E$7</definedName>
    <definedName name="存货94期末">[7]企业表一!$F$7</definedName>
    <definedName name="存货95期初">[7]企业表一!$G$7</definedName>
    <definedName name="存货95期末">[7]企业表一!$H$7</definedName>
    <definedName name="底稿目录" hidden="1">#REF!</definedName>
    <definedName name="递延收益" localSheetId="6">#REF!</definedName>
    <definedName name="递延收益">#REF!</definedName>
    <definedName name="递延所得税资产与递延所得税负债" localSheetId="6">#REF!</definedName>
    <definedName name="递延所得税资产与递延所得税负债">#REF!</definedName>
    <definedName name="短期借款" localSheetId="6">#REF!</definedName>
    <definedName name="短期借款">#REF!</definedName>
    <definedName name="非经常性损益" localSheetId="6">#REF!</definedName>
    <definedName name="非经常性损益">#REF!</definedName>
    <definedName name="负债合计93期末">[7]企业表一!$D$17</definedName>
    <definedName name="负债合计94期末">[7]企业表一!$F$17</definedName>
    <definedName name="负债合计95期末">[7]企业表一!$H$17</definedName>
    <definedName name="复核">[6]表头!$B$4</definedName>
    <definedName name="工程物资" localSheetId="6">#REF!</definedName>
    <definedName name="工程物资">#REF!</definedName>
    <definedName name="公允价值变动收益" localSheetId="6">#REF!</definedName>
    <definedName name="公允价值变动收益">#REF!</definedName>
    <definedName name="固定资产" localSheetId="6">#REF!</definedName>
    <definedName name="固定资产">#REF!</definedName>
    <definedName name="固定资产明细" localSheetId="6">#REF!</definedName>
    <definedName name="固定资产明细">#REF!</definedName>
    <definedName name="固定资产清理" localSheetId="6">#REF!</definedName>
    <definedName name="固定资产清理">#REF!</definedName>
    <definedName name="管理费用" localSheetId="6">#REF!</definedName>
    <definedName name="管理费用">#REF!</definedName>
    <definedName name="合同负债" localSheetId="6">#REF!</definedName>
    <definedName name="合同负债">#REF!</definedName>
    <definedName name="合同资产" localSheetId="6">#REF!</definedName>
    <definedName name="合同资产">#REF!</definedName>
    <definedName name="货币资金" localSheetId="6">#REF!</definedName>
    <definedName name="货币资金">#REF!</definedName>
    <definedName name="交易性金融负债" localSheetId="6">#REF!</definedName>
    <definedName name="交易性金融负债">#REF!</definedName>
    <definedName name="交易性金融资产" localSheetId="6">#REF!</definedName>
    <definedName name="交易性金融资产">#REF!</definedName>
    <definedName name="截止">[6]表头!$B$2</definedName>
    <definedName name="净_利_润93">'[7]M-5C'!$B$24</definedName>
    <definedName name="净_利_润94">'[7]M-5C'!$D$24</definedName>
    <definedName name="净_利_润95">'[7]M-5C'!$F$24</definedName>
    <definedName name="净敞口套期收益" localSheetId="6">#REF!</definedName>
    <definedName name="净敞口套期收益">#REF!</definedName>
    <definedName name="净资产合计93期初">[7]企业表一!$C$20</definedName>
    <definedName name="净资产合计93期末">[7]企业表一!$D$20</definedName>
    <definedName name="净资产合计94期初">[7]企业表一!$E$20</definedName>
    <definedName name="净资产合计94期末">[7]企业表一!$F$20</definedName>
    <definedName name="净资产合计95期初">[7]企业表一!$G$20</definedName>
    <definedName name="净资产合计95期末">[7]企业表一!$H$20</definedName>
    <definedName name="开发支出" localSheetId="6">#REF!</definedName>
    <definedName name="开发支出">#REF!</definedName>
    <definedName name="可供出售金融资产" localSheetId="6">#REF!</definedName>
    <definedName name="可供出售金融资产">#REF!</definedName>
    <definedName name="客户">[6]表头!$B$1</definedName>
    <definedName name="利_润_总_额93">'[7]M-5A'!$B$10</definedName>
    <definedName name="利_润_总_额94">'[7]M-5A'!$C$10</definedName>
    <definedName name="利_润_总_额95">'[7]M-5A'!$D$10</definedName>
    <definedName name="流_动_资_产93">'[7]M-5A'!$B$15</definedName>
    <definedName name="流_动_资_产94">'[7]M-5A'!$C$15</definedName>
    <definedName name="流_动_资_产95">'[7]M-5A'!$D$15</definedName>
    <definedName name="流动负债93期末">[7]企业表一!$D$15</definedName>
    <definedName name="流动负债94期末">[7]企业表一!$F$15</definedName>
    <definedName name="流动负债95期末">[7]企业表一!$H$15</definedName>
    <definedName name="其他非流动负债" localSheetId="6">#REF!</definedName>
    <definedName name="其他非流动负债">#REF!</definedName>
    <definedName name="其他非流动金融资产" localSheetId="6">#REF!</definedName>
    <definedName name="其他非流动金融资产">#REF!</definedName>
    <definedName name="其他非流动资产" localSheetId="6">#REF!</definedName>
    <definedName name="其他非流动资产">#REF!</definedName>
    <definedName name="其他流动负债" localSheetId="6">#REF!</definedName>
    <definedName name="其他流动负债">#REF!</definedName>
    <definedName name="其他流动资产" localSheetId="6">#REF!</definedName>
    <definedName name="其他流动资产">#REF!</definedName>
    <definedName name="其他权益工具投资" localSheetId="6">#REF!</definedName>
    <definedName name="其他权益工具投资">#REF!</definedName>
    <definedName name="其他收益" localSheetId="6">#REF!</definedName>
    <definedName name="其他收益">#REF!</definedName>
    <definedName name="其他应付款" localSheetId="6">#REF!</definedName>
    <definedName name="其他应付款">#REF!</definedName>
    <definedName name="其他应付款明细" localSheetId="6">#REF!</definedName>
    <definedName name="其他应付款明细">#REF!</definedName>
    <definedName name="其他应收款" localSheetId="6">#REF!</definedName>
    <definedName name="其他应收款">#REF!</definedName>
    <definedName name="其他应收款_以下不适用的_请删除" localSheetId="6">#REF!</definedName>
    <definedName name="其他应收款_以下不适用的_请删除">#REF!</definedName>
    <definedName name="其他债权投资" localSheetId="6">#REF!</definedName>
    <definedName name="其他债权投资">#REF!</definedName>
    <definedName name="日期1">[6]表头!$B$5</definedName>
    <definedName name="日期2">[6]表头!$B$6</definedName>
    <definedName name="商誉" localSheetId="6">#REF!</definedName>
    <definedName name="商誉">#REF!</definedName>
    <definedName name="设定受益计划净资产" localSheetId="6">#REF!</definedName>
    <definedName name="设定受益计划净资产">#REF!</definedName>
    <definedName name="生产性生物资产" localSheetId="6">#REF!</definedName>
    <definedName name="生产性生物资产">#REF!</definedName>
    <definedName name="使用权资产" localSheetId="6">#REF!</definedName>
    <definedName name="使用权资产">#REF!</definedName>
    <definedName name="事实上" localSheetId="4">[8]B!#REF!</definedName>
    <definedName name="事实上" localSheetId="5">[8]B!#REF!</definedName>
    <definedName name="事实上" localSheetId="2">[8]B!#REF!</definedName>
    <definedName name="事实上" localSheetId="3">[8]B!#REF!</definedName>
    <definedName name="事实上" localSheetId="6">[8]B!#REF!</definedName>
    <definedName name="事实上" localSheetId="0">[8]B!#REF!</definedName>
    <definedName name="事实上" localSheetId="1">[8]B!#REF!</definedName>
    <definedName name="事实上">[8]B!#REF!</definedName>
    <definedName name="税金及附加" localSheetId="6">#REF!</definedName>
    <definedName name="税金及附加">#REF!</definedName>
    <definedName name="速_动_资_产93">'[7]M-5A'!$B$14</definedName>
    <definedName name="速_动_资_产94">'[7]M-5A'!$C$14</definedName>
    <definedName name="速_动_资_产95">'[7]M-5A'!$D$14</definedName>
    <definedName name="所得税费用" localSheetId="6">#REF!</definedName>
    <definedName name="所得税费用">#REF!</definedName>
    <definedName name="所有权或使用权受到限制的资产" localSheetId="6">#REF!</definedName>
    <definedName name="所有权或使用权受到限制的资产">#REF!</definedName>
    <definedName name="投资收益" localSheetId="6">#REF!</definedName>
    <definedName name="投资收益">#REF!</definedName>
    <definedName name="投资性房地产" localSheetId="6">#REF!</definedName>
    <definedName name="投资性房地产">#REF!</definedName>
    <definedName name="无形资产" localSheetId="6">#REF!</definedName>
    <definedName name="无形资产">#REF!</definedName>
    <definedName name="现金流量表项目注释" localSheetId="6">#REF!</definedName>
    <definedName name="现金流量表项目注释">#REF!</definedName>
    <definedName name="销售费用" localSheetId="6">#REF!</definedName>
    <definedName name="销售费用">#REF!</definedName>
    <definedName name="新目录" hidden="1">#REF!</definedName>
    <definedName name="信用减值损失" localSheetId="6">#REF!</definedName>
    <definedName name="信用减值损失">#REF!</definedName>
    <definedName name="研发费用" localSheetId="6">#REF!</definedName>
    <definedName name="研发费用">#REF!</definedName>
    <definedName name="衍生金融负债" localSheetId="6">#REF!</definedName>
    <definedName name="衍生金融负债">#REF!</definedName>
    <definedName name="衍生金融资产" localSheetId="6">#REF!</definedName>
    <definedName name="衍生金融资产">#REF!</definedName>
    <definedName name="一年内到期的非流动负债" localSheetId="6">#REF!</definedName>
    <definedName name="一年内到期的非流动负债">#REF!</definedName>
    <definedName name="一年内到期的非流动资产" localSheetId="6">#REF!</definedName>
    <definedName name="一年内到期的非流动资产">#REF!</definedName>
    <definedName name="以公允价值计量且其变动计入当期损益的金融负债" localSheetId="6">#REF!</definedName>
    <definedName name="以公允价值计量且其变动计入当期损益的金融负债">#REF!</definedName>
    <definedName name="以公允价值计量且其变动计入当期损益的金融资产" localSheetId="6">#REF!</definedName>
    <definedName name="以公允价值计量且其变动计入当期损益的金融资产">#REF!</definedName>
    <definedName name="应付股利" localSheetId="6">#REF!</definedName>
    <definedName name="应付股利">#REF!</definedName>
    <definedName name="应付利息" localSheetId="6">#REF!</definedName>
    <definedName name="应付利息">#REF!</definedName>
    <definedName name="应付票据" localSheetId="6">#REF!</definedName>
    <definedName name="应付票据">#REF!</definedName>
    <definedName name="应付债券" localSheetId="6">#REF!</definedName>
    <definedName name="应付债券">#REF!</definedName>
    <definedName name="应付账款" localSheetId="6">#REF!</definedName>
    <definedName name="应付账款">#REF!</definedName>
    <definedName name="应付职工薪酬" localSheetId="6">#REF!</definedName>
    <definedName name="应付职工薪酬">#REF!</definedName>
    <definedName name="应交税费" localSheetId="6">#REF!</definedName>
    <definedName name="应交税费">#REF!</definedName>
    <definedName name="应收2" hidden="1">#REF!</definedName>
    <definedName name="应收股利" localSheetId="6">#REF!</definedName>
    <definedName name="应收股利">#REF!</definedName>
    <definedName name="应收利息" localSheetId="6">#REF!</definedName>
    <definedName name="应收利息">#REF!</definedName>
    <definedName name="应收票据" localSheetId="6">#REF!</definedName>
    <definedName name="应收票据">#REF!</definedName>
    <definedName name="应收帐款93期初">[7]企业表一!$C$6</definedName>
    <definedName name="应收帐款93期末">[7]企业表一!$D$6</definedName>
    <definedName name="应收帐款94期初">[7]企业表一!$E$6</definedName>
    <definedName name="应收帐款94期末">[7]企业表一!$F$6</definedName>
    <definedName name="应收帐款95期初">[7]企业表一!$G$6</definedName>
    <definedName name="应收帐款95期末">[7]企业表一!$H$6</definedName>
    <definedName name="应收账款" localSheetId="6">#REF!</definedName>
    <definedName name="应收账款">#REF!</definedName>
    <definedName name="应收账款bg" hidden="1">#REF!</definedName>
    <definedName name="应收账款mx" hidden="1">#REF!</definedName>
    <definedName name="营业收入_营业支出" localSheetId="6">#REF!</definedName>
    <definedName name="营业收入_营业支出">#REF!</definedName>
    <definedName name="营业外收入" localSheetId="6">#REF!</definedName>
    <definedName name="营业外收入">#REF!</definedName>
    <definedName name="营业外支出" localSheetId="6">#REF!</definedName>
    <definedName name="营业外支出">#REF!</definedName>
    <definedName name="油气资产" localSheetId="6">#REF!</definedName>
    <definedName name="油气资产">#REF!</definedName>
    <definedName name="预付款项" localSheetId="6">#REF!</definedName>
    <definedName name="预付款项">#REF!</definedName>
    <definedName name="预计负债" localSheetId="6">#REF!</definedName>
    <definedName name="预计负债">#REF!</definedName>
    <definedName name="预收款项" localSheetId="6">#REF!</definedName>
    <definedName name="预收款项">#REF!</definedName>
    <definedName name="在建工程" localSheetId="6">#REF!</definedName>
    <definedName name="在建工程">#REF!</definedName>
    <definedName name="在建工程明细" localSheetId="6">#REF!</definedName>
    <definedName name="在建工程明细">#REF!</definedName>
    <definedName name="债权投资" localSheetId="6">#REF!</definedName>
    <definedName name="债权投资">#REF!</definedName>
    <definedName name="长期待摊费用" localSheetId="6">#REF!</definedName>
    <definedName name="长期待摊费用">#REF!</definedName>
    <definedName name="长期股权投资" localSheetId="6">#REF!</definedName>
    <definedName name="长期股权投资">#REF!</definedName>
    <definedName name="长期借款" localSheetId="6">#REF!</definedName>
    <definedName name="长期借款">#REF!</definedName>
    <definedName name="长期应付款" localSheetId="6">#REF!</definedName>
    <definedName name="长期应付款">#REF!</definedName>
    <definedName name="长期应付款明细" localSheetId="6">#REF!</definedName>
    <definedName name="长期应付款明细">#REF!</definedName>
    <definedName name="长期应付职工薪酬" localSheetId="6">#REF!</definedName>
    <definedName name="长期应付职工薪酬">#REF!</definedName>
    <definedName name="长期应收款" localSheetId="6">#REF!</definedName>
    <definedName name="长期应收款">#REF!</definedName>
    <definedName name="政府补助" localSheetId="6">#REF!</definedName>
    <definedName name="政府补助">#REF!</definedName>
    <definedName name="终止经营" localSheetId="6">#REF!</definedName>
    <definedName name="终止经营">#REF!</definedName>
    <definedName name="专项应付款" localSheetId="6">#REF!</definedName>
    <definedName name="专项应付款">#REF!</definedName>
    <definedName name="资产处置收益" localSheetId="6">#REF!</definedName>
    <definedName name="资产处置收益">#REF!</definedName>
    <definedName name="资产负债表日后事项" localSheetId="6">#REF!</definedName>
    <definedName name="资产负债表日后事项">#REF!</definedName>
    <definedName name="资产合计93期初">[7]企业表一!$C$14</definedName>
    <definedName name="资产合计93期末">[7]企业表一!$D$14</definedName>
    <definedName name="资产合计94期初">[7]企业表一!$E$14</definedName>
    <definedName name="资产合计94期末">[7]企业表一!$F$14</definedName>
    <definedName name="资产合计95期初">[7]企业表一!$G$14</definedName>
    <definedName name="资产合计95期末">[7]企业表一!$H$14</definedName>
    <definedName name="资产减值损失" localSheetId="6">#REF!</definedName>
    <definedName name="资产减值损失">#REF!</definedName>
    <definedName name="租赁负债" localSheetId="6">#REF!</definedName>
    <definedName name="租赁负债">#REF!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7" l="1"/>
  <c r="D4" i="7"/>
  <c r="A4" i="7"/>
  <c r="G3" i="7"/>
  <c r="D3" i="7"/>
  <c r="A3" i="7"/>
  <c r="F4" i="6"/>
  <c r="D4" i="6"/>
  <c r="A4" i="6"/>
  <c r="F3" i="6"/>
  <c r="D3" i="6"/>
  <c r="A3" i="6"/>
  <c r="G4" i="5"/>
  <c r="D4" i="5"/>
  <c r="A4" i="5"/>
  <c r="G3" i="5"/>
  <c r="D3" i="5"/>
  <c r="A3" i="5"/>
  <c r="G4" i="4"/>
  <c r="D4" i="4"/>
  <c r="A4" i="4"/>
  <c r="G3" i="4"/>
  <c r="D3" i="4"/>
  <c r="A3" i="4"/>
  <c r="G4" i="3"/>
  <c r="D4" i="3"/>
  <c r="A4" i="3"/>
  <c r="G3" i="3"/>
  <c r="D3" i="3"/>
  <c r="A3" i="3"/>
  <c r="E4" i="2"/>
  <c r="C4" i="2"/>
  <c r="A4" i="2"/>
  <c r="E3" i="2"/>
  <c r="C3" i="2"/>
  <c r="A3" i="2"/>
  <c r="E4" i="1"/>
  <c r="E3" i="1"/>
  <c r="C4" i="1"/>
  <c r="C3" i="1"/>
  <c r="A4" i="1"/>
  <c r="A3" i="1"/>
  <c r="F44" i="2" l="1"/>
  <c r="F45" i="2"/>
  <c r="B9" i="6" l="1"/>
  <c r="C9" i="6"/>
  <c r="D9" i="6"/>
  <c r="I9" i="6"/>
  <c r="B10" i="6"/>
  <c r="C10" i="6"/>
  <c r="D10" i="6"/>
  <c r="B11" i="6"/>
  <c r="C11" i="6"/>
  <c r="D11" i="6"/>
  <c r="B12" i="6"/>
  <c r="C12" i="6"/>
  <c r="D12" i="6"/>
  <c r="I12" i="6"/>
  <c r="B13" i="6"/>
  <c r="C13" i="6"/>
  <c r="D13" i="6"/>
  <c r="I13" i="6"/>
  <c r="B14" i="6"/>
  <c r="C14" i="6"/>
  <c r="D14" i="6"/>
  <c r="I14" i="6"/>
  <c r="B15" i="6"/>
  <c r="C15" i="6"/>
  <c r="D15" i="6"/>
  <c r="I15" i="6"/>
  <c r="B19" i="6"/>
  <c r="C19" i="6"/>
  <c r="D19" i="6"/>
  <c r="A20" i="6"/>
  <c r="B20" i="6"/>
  <c r="C20" i="6"/>
  <c r="D20" i="6"/>
  <c r="A21" i="6"/>
  <c r="C21" i="6"/>
  <c r="D21" i="6"/>
  <c r="A22" i="6"/>
  <c r="D22" i="6"/>
  <c r="B9" i="5"/>
  <c r="C9" i="5"/>
  <c r="D9" i="5"/>
  <c r="E9" i="5"/>
  <c r="A88" i="5" s="1"/>
  <c r="F9" i="5"/>
  <c r="G9" i="5"/>
  <c r="H9" i="5"/>
  <c r="E9" i="6" s="1"/>
  <c r="I9" i="5"/>
  <c r="B10" i="5"/>
  <c r="C10" i="5"/>
  <c r="D10" i="5"/>
  <c r="E10" i="5"/>
  <c r="F10" i="5"/>
  <c r="G10" i="5"/>
  <c r="H10" i="5"/>
  <c r="E10" i="6" s="1"/>
  <c r="E22" i="6" s="1"/>
  <c r="B11" i="5"/>
  <c r="C11" i="5"/>
  <c r="D11" i="5"/>
  <c r="E11" i="5"/>
  <c r="F11" i="5"/>
  <c r="G11" i="5"/>
  <c r="H11" i="5"/>
  <c r="E11" i="6" s="1"/>
  <c r="B12" i="5"/>
  <c r="C12" i="5"/>
  <c r="D12" i="5"/>
  <c r="E12" i="5"/>
  <c r="F12" i="5"/>
  <c r="G12" i="5"/>
  <c r="H12" i="5"/>
  <c r="E12" i="6" s="1"/>
  <c r="I12" i="5"/>
  <c r="B13" i="5"/>
  <c r="C13" i="5"/>
  <c r="D13" i="5"/>
  <c r="E13" i="5"/>
  <c r="F13" i="5"/>
  <c r="G13" i="5"/>
  <c r="H13" i="5"/>
  <c r="E13" i="6" s="1"/>
  <c r="I13" i="5"/>
  <c r="B14" i="5"/>
  <c r="C14" i="5"/>
  <c r="D14" i="5"/>
  <c r="E14" i="5"/>
  <c r="F14" i="5"/>
  <c r="G14" i="5"/>
  <c r="H14" i="5"/>
  <c r="E14" i="6" s="1"/>
  <c r="I14" i="5"/>
  <c r="B15" i="5"/>
  <c r="C15" i="5"/>
  <c r="D15" i="5"/>
  <c r="E15" i="5"/>
  <c r="F15" i="5"/>
  <c r="G15" i="5"/>
  <c r="H15" i="5"/>
  <c r="E15" i="6" s="1"/>
  <c r="I15" i="5"/>
  <c r="A22" i="5"/>
  <c r="A44" i="5"/>
  <c r="A66" i="5"/>
  <c r="A110" i="5"/>
  <c r="A132" i="5"/>
  <c r="B25" i="4"/>
  <c r="D25" i="4"/>
  <c r="H25" i="4"/>
  <c r="B26" i="4"/>
  <c r="B27" i="4"/>
  <c r="D27" i="4"/>
  <c r="A28" i="4"/>
  <c r="B28" i="4"/>
  <c r="C28" i="4" s="1"/>
  <c r="A36" i="4"/>
  <c r="B36" i="4"/>
  <c r="C36" i="4"/>
  <c r="G36" i="4" s="1"/>
  <c r="D36" i="4"/>
  <c r="I36" i="4"/>
  <c r="J36" i="4"/>
  <c r="A37" i="4"/>
  <c r="B37" i="4"/>
  <c r="E37" i="4" s="1"/>
  <c r="C37" i="4"/>
  <c r="I37" i="4" s="1"/>
  <c r="D37" i="4"/>
  <c r="J37" i="4" s="1"/>
  <c r="G37" i="4"/>
  <c r="H37" i="4"/>
  <c r="A38" i="4"/>
  <c r="B38" i="4"/>
  <c r="H38" i="4" s="1"/>
  <c r="C38" i="4"/>
  <c r="D38" i="4"/>
  <c r="G38" i="4" s="1"/>
  <c r="E38" i="4"/>
  <c r="F38" i="4"/>
  <c r="I38" i="4"/>
  <c r="J38" i="4"/>
  <c r="A39" i="4"/>
  <c r="B39" i="4"/>
  <c r="C39" i="4"/>
  <c r="D39" i="4"/>
  <c r="J39" i="4" s="1"/>
  <c r="H39" i="4"/>
  <c r="A40" i="4"/>
  <c r="B40" i="4"/>
  <c r="C40" i="4"/>
  <c r="G40" i="4" s="1"/>
  <c r="D40" i="4"/>
  <c r="I40" i="4"/>
  <c r="J40" i="4"/>
  <c r="A41" i="4"/>
  <c r="B41" i="4"/>
  <c r="C41" i="4"/>
  <c r="I41" i="4" s="1"/>
  <c r="D41" i="4"/>
  <c r="J41" i="4" s="1"/>
  <c r="G41" i="4"/>
  <c r="H41" i="4"/>
  <c r="A44" i="4"/>
  <c r="B44" i="4"/>
  <c r="C44" i="4"/>
  <c r="D44" i="4"/>
  <c r="A45" i="4"/>
  <c r="B45" i="4"/>
  <c r="C45" i="4"/>
  <c r="D45" i="4"/>
  <c r="A46" i="4"/>
  <c r="B46" i="4"/>
  <c r="C46" i="4"/>
  <c r="D46" i="4"/>
  <c r="A47" i="4"/>
  <c r="B47" i="4"/>
  <c r="C47" i="4"/>
  <c r="D47" i="4"/>
  <c r="A48" i="4"/>
  <c r="B48" i="4"/>
  <c r="C48" i="4"/>
  <c r="D48" i="4"/>
  <c r="A49" i="4"/>
  <c r="B49" i="4"/>
  <c r="C49" i="4"/>
  <c r="D49" i="4"/>
  <c r="C82" i="4"/>
  <c r="D82" i="4"/>
  <c r="F82" i="4"/>
  <c r="I82" i="4"/>
  <c r="C90" i="4"/>
  <c r="D90" i="4"/>
  <c r="B106" i="4" s="1"/>
  <c r="E90" i="4"/>
  <c r="F90" i="4"/>
  <c r="G90" i="4"/>
  <c r="H90" i="4"/>
  <c r="C94" i="4"/>
  <c r="D94" i="4"/>
  <c r="C106" i="4" s="1"/>
  <c r="E94" i="4"/>
  <c r="F94" i="4"/>
  <c r="G94" i="4"/>
  <c r="H94" i="4"/>
  <c r="C98" i="4"/>
  <c r="D98" i="4"/>
  <c r="D106" i="4" s="1"/>
  <c r="E98" i="4"/>
  <c r="F98" i="4"/>
  <c r="G98" i="4"/>
  <c r="H98" i="4"/>
  <c r="B25" i="3"/>
  <c r="D25" i="3"/>
  <c r="H25" i="3"/>
  <c r="B26" i="3"/>
  <c r="H26" i="3"/>
  <c r="B27" i="3"/>
  <c r="D27" i="3"/>
  <c r="A28" i="3"/>
  <c r="B28" i="3"/>
  <c r="C28" i="3" s="1"/>
  <c r="J35" i="3"/>
  <c r="J42" i="3"/>
  <c r="J49" i="3"/>
  <c r="J56" i="3"/>
  <c r="G63" i="3"/>
  <c r="A77" i="3"/>
  <c r="C80" i="3"/>
  <c r="D80" i="3"/>
  <c r="D81" i="3" s="1"/>
  <c r="D82" i="3" s="1"/>
  <c r="E80" i="3"/>
  <c r="F80" i="3"/>
  <c r="G80" i="3"/>
  <c r="H80" i="3"/>
  <c r="H81" i="3" s="1"/>
  <c r="E81" i="3"/>
  <c r="E82" i="3" s="1"/>
  <c r="F81" i="3"/>
  <c r="G81" i="3"/>
  <c r="A83" i="3"/>
  <c r="C86" i="3"/>
  <c r="D86" i="3"/>
  <c r="D87" i="3" s="1"/>
  <c r="D88" i="3" s="1"/>
  <c r="E86" i="3"/>
  <c r="F86" i="3"/>
  <c r="F87" i="3" s="1"/>
  <c r="G86" i="3"/>
  <c r="H86" i="3"/>
  <c r="E87" i="3"/>
  <c r="E88" i="3" s="1"/>
  <c r="G87" i="3"/>
  <c r="H87" i="3"/>
  <c r="A89" i="3"/>
  <c r="C92" i="3"/>
  <c r="D92" i="3"/>
  <c r="D93" i="3" s="1"/>
  <c r="D94" i="3" s="1"/>
  <c r="E92" i="3"/>
  <c r="F92" i="3"/>
  <c r="F93" i="3" s="1"/>
  <c r="G92" i="3"/>
  <c r="G93" i="3" s="1"/>
  <c r="H92" i="3"/>
  <c r="H93" i="3" s="1"/>
  <c r="E93" i="3"/>
  <c r="E94" i="3"/>
  <c r="A95" i="3"/>
  <c r="C98" i="3"/>
  <c r="D98" i="3"/>
  <c r="E98" i="3"/>
  <c r="F98" i="3"/>
  <c r="F99" i="3" s="1"/>
  <c r="G98" i="3"/>
  <c r="H98" i="3"/>
  <c r="H99" i="3" s="1"/>
  <c r="D99" i="3"/>
  <c r="D100" i="3" s="1"/>
  <c r="E99" i="3"/>
  <c r="E100" i="3" s="1"/>
  <c r="G99" i="3"/>
  <c r="D28" i="2"/>
  <c r="F28" i="2" s="1"/>
  <c r="D29" i="2"/>
  <c r="F29" i="2"/>
  <c r="D30" i="2"/>
  <c r="F30" i="2" s="1"/>
  <c r="E31" i="2"/>
  <c r="F32" i="2"/>
  <c r="F33" i="2"/>
  <c r="F35" i="2" s="1"/>
  <c r="F34" i="2"/>
  <c r="E35" i="2"/>
  <c r="G35" i="2"/>
  <c r="F36" i="2"/>
  <c r="F37" i="2"/>
  <c r="F39" i="2" s="1"/>
  <c r="F38" i="2"/>
  <c r="E39" i="2"/>
  <c r="G39" i="2"/>
  <c r="G44" i="2"/>
  <c r="E45" i="2"/>
  <c r="B67" i="2"/>
  <c r="D67" i="2" s="1"/>
  <c r="F67" i="2" s="1"/>
  <c r="G45" i="2"/>
  <c r="E46" i="2"/>
  <c r="F46" i="2"/>
  <c r="B68" i="2" s="1"/>
  <c r="G46" i="2"/>
  <c r="E47" i="2"/>
  <c r="F47" i="2"/>
  <c r="G47" i="2"/>
  <c r="E48" i="2"/>
  <c r="F48" i="2"/>
  <c r="G48" i="2"/>
  <c r="E49" i="2"/>
  <c r="F49" i="2"/>
  <c r="G49" i="2"/>
  <c r="B50" i="2"/>
  <c r="F50" i="2" s="1"/>
  <c r="C50" i="2"/>
  <c r="D50" i="2"/>
  <c r="A54" i="2"/>
  <c r="A66" i="2" s="1"/>
  <c r="A55" i="2"/>
  <c r="A67" i="2" s="1"/>
  <c r="A56" i="2"/>
  <c r="A68" i="2" s="1"/>
  <c r="A57" i="2"/>
  <c r="A58" i="2"/>
  <c r="A70" i="2" s="1"/>
  <c r="A59" i="2"/>
  <c r="A63" i="2"/>
  <c r="B66" i="2"/>
  <c r="D66" i="2" s="1"/>
  <c r="F66" i="2" s="1"/>
  <c r="C66" i="2"/>
  <c r="C67" i="2"/>
  <c r="C68" i="2"/>
  <c r="D68" i="2"/>
  <c r="F68" i="2" s="1"/>
  <c r="A69" i="2"/>
  <c r="B69" i="2"/>
  <c r="D69" i="2" s="1"/>
  <c r="F69" i="2" s="1"/>
  <c r="C69" i="2"/>
  <c r="B70" i="2"/>
  <c r="C70" i="2"/>
  <c r="D70" i="2" s="1"/>
  <c r="F70" i="2" s="1"/>
  <c r="A71" i="2"/>
  <c r="B71" i="2"/>
  <c r="D71" i="2" s="1"/>
  <c r="C71" i="2"/>
  <c r="F71" i="2"/>
  <c r="G71" i="2" s="1"/>
  <c r="B75" i="2"/>
  <c r="C75" i="2"/>
  <c r="D75" i="2"/>
  <c r="F76" i="2"/>
  <c r="B98" i="2" s="1"/>
  <c r="D98" i="2" s="1"/>
  <c r="F98" i="2" s="1"/>
  <c r="G76" i="2"/>
  <c r="E77" i="2"/>
  <c r="F77" i="2"/>
  <c r="G77" i="2"/>
  <c r="E78" i="2"/>
  <c r="F78" i="2"/>
  <c r="G78" i="2"/>
  <c r="E79" i="2"/>
  <c r="F79" i="2"/>
  <c r="G79" i="2"/>
  <c r="E80" i="2"/>
  <c r="F80" i="2"/>
  <c r="B102" i="2" s="1"/>
  <c r="D102" i="2" s="1"/>
  <c r="G80" i="2"/>
  <c r="E81" i="2"/>
  <c r="F81" i="2"/>
  <c r="G81" i="2"/>
  <c r="B82" i="2"/>
  <c r="C82" i="2"/>
  <c r="D82" i="2"/>
  <c r="F82" i="2"/>
  <c r="A86" i="2"/>
  <c r="A87" i="2"/>
  <c r="A88" i="2"/>
  <c r="A89" i="2"/>
  <c r="A101" i="2" s="1"/>
  <c r="A90" i="2"/>
  <c r="A91" i="2"/>
  <c r="A95" i="2"/>
  <c r="A98" i="2"/>
  <c r="C98" i="2"/>
  <c r="A99" i="2"/>
  <c r="B99" i="2"/>
  <c r="D99" i="2" s="1"/>
  <c r="F99" i="2" s="1"/>
  <c r="C99" i="2"/>
  <c r="A100" i="2"/>
  <c r="B100" i="2"/>
  <c r="C100" i="2"/>
  <c r="D100" i="2"/>
  <c r="F100" i="2" s="1"/>
  <c r="B101" i="2"/>
  <c r="C101" i="2"/>
  <c r="A102" i="2"/>
  <c r="C102" i="2"/>
  <c r="F102" i="2"/>
  <c r="A103" i="2"/>
  <c r="B103" i="2"/>
  <c r="D103" i="2" s="1"/>
  <c r="F103" i="2" s="1"/>
  <c r="G103" i="2" s="1"/>
  <c r="C103" i="2"/>
  <c r="B107" i="2"/>
  <c r="C107" i="2"/>
  <c r="D107" i="2"/>
  <c r="D139" i="2" s="1"/>
  <c r="F108" i="2"/>
  <c r="B130" i="2" s="1"/>
  <c r="D130" i="2" s="1"/>
  <c r="F130" i="2" s="1"/>
  <c r="G108" i="2"/>
  <c r="E109" i="2"/>
  <c r="F109" i="2"/>
  <c r="G109" i="2"/>
  <c r="E110" i="2"/>
  <c r="F110" i="2"/>
  <c r="G110" i="2"/>
  <c r="E111" i="2"/>
  <c r="F111" i="2"/>
  <c r="G111" i="2"/>
  <c r="E112" i="2"/>
  <c r="F112" i="2"/>
  <c r="G112" i="2"/>
  <c r="E113" i="2"/>
  <c r="F113" i="2"/>
  <c r="B135" i="2" s="1"/>
  <c r="D135" i="2" s="1"/>
  <c r="F135" i="2" s="1"/>
  <c r="G135" i="2" s="1"/>
  <c r="G113" i="2"/>
  <c r="B114" i="2"/>
  <c r="F114" i="2" s="1"/>
  <c r="C114" i="2"/>
  <c r="D114" i="2"/>
  <c r="A118" i="2"/>
  <c r="A130" i="2" s="1"/>
  <c r="A119" i="2"/>
  <c r="A120" i="2"/>
  <c r="A121" i="2"/>
  <c r="A133" i="2" s="1"/>
  <c r="A122" i="2"/>
  <c r="A134" i="2" s="1"/>
  <c r="A123" i="2"/>
  <c r="A127" i="2"/>
  <c r="C130" i="2"/>
  <c r="A131" i="2"/>
  <c r="B131" i="2"/>
  <c r="C131" i="2"/>
  <c r="D131" i="2"/>
  <c r="F131" i="2" s="1"/>
  <c r="A132" i="2"/>
  <c r="B132" i="2"/>
  <c r="D132" i="2" s="1"/>
  <c r="F132" i="2" s="1"/>
  <c r="C132" i="2"/>
  <c r="B133" i="2"/>
  <c r="C133" i="2"/>
  <c r="D133" i="2" s="1"/>
  <c r="F133" i="2" s="1"/>
  <c r="B134" i="2"/>
  <c r="C134" i="2"/>
  <c r="D134" i="2"/>
  <c r="F134" i="2"/>
  <c r="G134" i="2" s="1"/>
  <c r="A135" i="2"/>
  <c r="C135" i="2"/>
  <c r="B139" i="2"/>
  <c r="C139" i="2"/>
  <c r="F140" i="2"/>
  <c r="E141" i="2"/>
  <c r="F141" i="2"/>
  <c r="E142" i="2"/>
  <c r="F142" i="2"/>
  <c r="E143" i="2"/>
  <c r="F143" i="2"/>
  <c r="B165" i="2" s="1"/>
  <c r="G143" i="2"/>
  <c r="E144" i="2"/>
  <c r="F144" i="2"/>
  <c r="G144" i="2"/>
  <c r="E145" i="2"/>
  <c r="F145" i="2"/>
  <c r="G145" i="2" s="1"/>
  <c r="B146" i="2"/>
  <c r="C146" i="2"/>
  <c r="D146" i="2"/>
  <c r="F146" i="2"/>
  <c r="A150" i="2"/>
  <c r="A151" i="2"/>
  <c r="A163" i="2" s="1"/>
  <c r="A152" i="2"/>
  <c r="A153" i="2"/>
  <c r="A165" i="2" s="1"/>
  <c r="A154" i="2"/>
  <c r="A155" i="2"/>
  <c r="A159" i="2"/>
  <c r="A162" i="2"/>
  <c r="B162" i="2"/>
  <c r="B163" i="2"/>
  <c r="C163" i="2"/>
  <c r="D163" i="2" s="1"/>
  <c r="F163" i="2" s="1"/>
  <c r="A164" i="2"/>
  <c r="B164" i="2"/>
  <c r="D164" i="2" s="1"/>
  <c r="F164" i="2" s="1"/>
  <c r="C164" i="2"/>
  <c r="C165" i="2"/>
  <c r="D165" i="2"/>
  <c r="F165" i="2" s="1"/>
  <c r="A166" i="2"/>
  <c r="B166" i="2"/>
  <c r="D166" i="2" s="1"/>
  <c r="F166" i="2" s="1"/>
  <c r="C166" i="2"/>
  <c r="A167" i="2"/>
  <c r="B167" i="2"/>
  <c r="C167" i="2"/>
  <c r="D167" i="2"/>
  <c r="F167" i="2" s="1"/>
  <c r="G167" i="2" s="1"/>
  <c r="G166" i="2" s="1"/>
  <c r="G165" i="2" s="1"/>
  <c r="D30" i="1"/>
  <c r="G30" i="1" s="1"/>
  <c r="E30" i="1"/>
  <c r="D31" i="1"/>
  <c r="G31" i="1" s="1"/>
  <c r="E31" i="1"/>
  <c r="E32" i="1"/>
  <c r="G32" i="1" s="1"/>
  <c r="F33" i="1"/>
  <c r="G34" i="1"/>
  <c r="G37" i="1" s="1"/>
  <c r="G35" i="1"/>
  <c r="G36" i="1"/>
  <c r="F37" i="1"/>
  <c r="H37" i="1"/>
  <c r="G38" i="1"/>
  <c r="G39" i="1"/>
  <c r="G40" i="1"/>
  <c r="G41" i="1" s="1"/>
  <c r="F41" i="1"/>
  <c r="H41" i="1"/>
  <c r="A47" i="1"/>
  <c r="A96" i="1" s="1"/>
  <c r="D47" i="1"/>
  <c r="E47" i="1"/>
  <c r="G47" i="1"/>
  <c r="A48" i="1"/>
  <c r="A97" i="1" s="1"/>
  <c r="C48" i="1"/>
  <c r="C49" i="1" s="1"/>
  <c r="D48" i="1"/>
  <c r="D49" i="1" s="1"/>
  <c r="B98" i="1" s="1"/>
  <c r="E48" i="1"/>
  <c r="C97" i="1" s="1"/>
  <c r="G48" i="1"/>
  <c r="A49" i="1"/>
  <c r="E49" i="1"/>
  <c r="G49" i="1" s="1"/>
  <c r="A50" i="1"/>
  <c r="A99" i="1" s="1"/>
  <c r="C50" i="1"/>
  <c r="C51" i="1" s="1"/>
  <c r="C52" i="1" s="1"/>
  <c r="D50" i="1"/>
  <c r="E50" i="1"/>
  <c r="A51" i="1"/>
  <c r="E51" i="1"/>
  <c r="A52" i="1"/>
  <c r="A101" i="1" s="1"/>
  <c r="E52" i="1"/>
  <c r="C101" i="1" s="1"/>
  <c r="B53" i="1"/>
  <c r="A57" i="1"/>
  <c r="F57" i="1"/>
  <c r="B106" i="1" s="1"/>
  <c r="A58" i="1"/>
  <c r="A86" i="1" s="1"/>
  <c r="A107" i="1" s="1"/>
  <c r="E58" i="1"/>
  <c r="F58" i="1"/>
  <c r="A59" i="1"/>
  <c r="E59" i="1"/>
  <c r="F59" i="1"/>
  <c r="B108" i="1" s="1"/>
  <c r="A60" i="1"/>
  <c r="E60" i="1"/>
  <c r="F60" i="1"/>
  <c r="A61" i="1"/>
  <c r="E61" i="1"/>
  <c r="F61" i="1"/>
  <c r="B110" i="1" s="1"/>
  <c r="D110" i="1" s="1"/>
  <c r="A62" i="1"/>
  <c r="E62" i="1"/>
  <c r="F62" i="1"/>
  <c r="G62" i="1"/>
  <c r="B63" i="1"/>
  <c r="C63" i="1"/>
  <c r="F63" i="1" s="1"/>
  <c r="D63" i="1"/>
  <c r="B73" i="1"/>
  <c r="C73" i="1"/>
  <c r="D73" i="1"/>
  <c r="E73" i="1"/>
  <c r="F73" i="1"/>
  <c r="G73" i="1"/>
  <c r="H73" i="1"/>
  <c r="A75" i="1"/>
  <c r="A25" i="3" s="1"/>
  <c r="C75" i="1"/>
  <c r="D75" i="1"/>
  <c r="F25" i="3" s="1"/>
  <c r="E75" i="1"/>
  <c r="F75" i="1"/>
  <c r="A76" i="1"/>
  <c r="C76" i="1"/>
  <c r="D76" i="1"/>
  <c r="F26" i="4" s="1"/>
  <c r="E76" i="1"/>
  <c r="H26" i="4" s="1"/>
  <c r="A77" i="1"/>
  <c r="A117" i="1" s="1"/>
  <c r="C77" i="1"/>
  <c r="D77" i="1"/>
  <c r="F77" i="1" s="1"/>
  <c r="E77" i="1"/>
  <c r="H27" i="4" s="1"/>
  <c r="A78" i="1"/>
  <c r="C78" i="1"/>
  <c r="D28" i="4" s="1"/>
  <c r="E28" i="4" s="1"/>
  <c r="D78" i="1"/>
  <c r="F28" i="4" s="1"/>
  <c r="G28" i="4" s="1"/>
  <c r="E78" i="1"/>
  <c r="H28" i="3" s="1"/>
  <c r="I28" i="3" s="1"/>
  <c r="F78" i="1"/>
  <c r="G78" i="1"/>
  <c r="C118" i="1" s="1"/>
  <c r="A85" i="1"/>
  <c r="A106" i="1" s="1"/>
  <c r="A87" i="1"/>
  <c r="A108" i="1" s="1"/>
  <c r="A88" i="1"/>
  <c r="A109" i="1" s="1"/>
  <c r="A89" i="1"/>
  <c r="A90" i="1"/>
  <c r="G90" i="1"/>
  <c r="B96" i="1"/>
  <c r="G96" i="1" s="1"/>
  <c r="C96" i="1"/>
  <c r="B97" i="1"/>
  <c r="G97" i="1" s="1"/>
  <c r="D97" i="1"/>
  <c r="A98" i="1"/>
  <c r="D98" i="1"/>
  <c r="G98" i="1" s="1"/>
  <c r="C99" i="1"/>
  <c r="A100" i="1"/>
  <c r="C100" i="1"/>
  <c r="B107" i="1"/>
  <c r="B109" i="1"/>
  <c r="A110" i="1"/>
  <c r="C110" i="1"/>
  <c r="F110" i="1"/>
  <c r="A111" i="1"/>
  <c r="B111" i="1"/>
  <c r="C111" i="1"/>
  <c r="A115" i="1"/>
  <c r="A118" i="1"/>
  <c r="B118" i="1"/>
  <c r="C27" i="4" l="1"/>
  <c r="C26" i="4" s="1"/>
  <c r="C27" i="3"/>
  <c r="C26" i="3" s="1"/>
  <c r="C25" i="3" s="1"/>
  <c r="E27" i="4"/>
  <c r="G133" i="2"/>
  <c r="G132" i="2" s="1"/>
  <c r="G164" i="2"/>
  <c r="G130" i="2"/>
  <c r="G70" i="2"/>
  <c r="G69" i="2" s="1"/>
  <c r="G68" i="2" s="1"/>
  <c r="G67" i="2" s="1"/>
  <c r="G66" i="2" s="1"/>
  <c r="G77" i="1"/>
  <c r="C117" i="1" s="1"/>
  <c r="B117" i="1"/>
  <c r="G131" i="2"/>
  <c r="G163" i="2"/>
  <c r="E36" i="4"/>
  <c r="F36" i="4"/>
  <c r="H36" i="4"/>
  <c r="J63" i="3"/>
  <c r="G67" i="3" s="1"/>
  <c r="H67" i="3" s="1"/>
  <c r="F26" i="3"/>
  <c r="C25" i="4"/>
  <c r="D111" i="1"/>
  <c r="F111" i="1" s="1"/>
  <c r="G111" i="1" s="1"/>
  <c r="G110" i="1" s="1"/>
  <c r="D99" i="1"/>
  <c r="D26" i="3"/>
  <c r="F76" i="1"/>
  <c r="D26" i="4"/>
  <c r="E26" i="4" s="1"/>
  <c r="H27" i="3"/>
  <c r="I27" i="3" s="1"/>
  <c r="I26" i="3" s="1"/>
  <c r="I25" i="3" s="1"/>
  <c r="I31" i="3" s="1" a="1"/>
  <c r="I31" i="3" s="1"/>
  <c r="G39" i="4"/>
  <c r="I39" i="4"/>
  <c r="A116" i="1"/>
  <c r="A26" i="4"/>
  <c r="G50" i="1"/>
  <c r="G102" i="2"/>
  <c r="F31" i="2"/>
  <c r="G31" i="2" s="1"/>
  <c r="A26" i="3"/>
  <c r="E39" i="4"/>
  <c r="A27" i="3"/>
  <c r="A27" i="4"/>
  <c r="B115" i="1"/>
  <c r="B99" i="1"/>
  <c r="D51" i="1"/>
  <c r="G33" i="1"/>
  <c r="H33" i="1" s="1"/>
  <c r="C98" i="1"/>
  <c r="F28" i="3"/>
  <c r="G28" i="3" s="1"/>
  <c r="I106" i="4"/>
  <c r="E40" i="4"/>
  <c r="F40" i="4"/>
  <c r="H40" i="4"/>
  <c r="E20" i="6"/>
  <c r="E23" i="6"/>
  <c r="E21" i="6"/>
  <c r="F27" i="4"/>
  <c r="G27" i="4" s="1"/>
  <c r="G26" i="4" s="1"/>
  <c r="F27" i="3"/>
  <c r="A23" i="6"/>
  <c r="E19" i="6"/>
  <c r="G61" i="1"/>
  <c r="G60" i="1" s="1"/>
  <c r="G59" i="1" s="1"/>
  <c r="G58" i="1" s="1"/>
  <c r="G57" i="1" s="1"/>
  <c r="G142" i="2"/>
  <c r="G141" i="2" s="1"/>
  <c r="G140" i="2" s="1"/>
  <c r="D101" i="2"/>
  <c r="F101" i="2" s="1"/>
  <c r="A25" i="4"/>
  <c r="A154" i="5"/>
  <c r="D28" i="3"/>
  <c r="E28" i="3" s="1"/>
  <c r="F41" i="4"/>
  <c r="F37" i="4"/>
  <c r="E41" i="4"/>
  <c r="H28" i="4"/>
  <c r="I28" i="4" s="1"/>
  <c r="J28" i="4" s="1"/>
  <c r="F25" i="4"/>
  <c r="F39" i="4"/>
  <c r="J28" i="3" l="1"/>
  <c r="G25" i="4"/>
  <c r="G31" i="4" s="1" a="1"/>
  <c r="G31" i="4" s="1"/>
  <c r="G101" i="2"/>
  <c r="G100" i="2" s="1"/>
  <c r="G99" i="2" s="1"/>
  <c r="G98" i="2" s="1"/>
  <c r="I27" i="4"/>
  <c r="I26" i="4" s="1"/>
  <c r="I25" i="4" s="1"/>
  <c r="I31" i="4" s="1" a="1"/>
  <c r="I31" i="4" s="1"/>
  <c r="E25" i="4"/>
  <c r="J26" i="4"/>
  <c r="G76" i="1"/>
  <c r="B116" i="1"/>
  <c r="D52" i="1"/>
  <c r="B100" i="1"/>
  <c r="G51" i="1"/>
  <c r="E27" i="3"/>
  <c r="G27" i="3"/>
  <c r="G26" i="3" s="1"/>
  <c r="G25" i="3" s="1"/>
  <c r="G31" i="3" s="1" a="1"/>
  <c r="G31" i="3" s="1"/>
  <c r="G85" i="1"/>
  <c r="G150" i="2"/>
  <c r="C162" i="2" s="1"/>
  <c r="D162" i="2" s="1"/>
  <c r="F162" i="2" s="1"/>
  <c r="G162" i="2" s="1"/>
  <c r="D100" i="1"/>
  <c r="G99" i="1"/>
  <c r="J27" i="3" l="1"/>
  <c r="I15" i="4"/>
  <c r="I15" i="3"/>
  <c r="I32" i="3"/>
  <c r="J25" i="4"/>
  <c r="E31" i="4" a="1"/>
  <c r="E31" i="4" s="1"/>
  <c r="J31" i="4" s="1"/>
  <c r="I10" i="6"/>
  <c r="I10" i="5"/>
  <c r="G100" i="1"/>
  <c r="D101" i="1"/>
  <c r="B101" i="1"/>
  <c r="G52" i="1"/>
  <c r="G86" i="1"/>
  <c r="C106" i="1"/>
  <c r="D106" i="1" s="1"/>
  <c r="F106" i="1" s="1"/>
  <c r="D115" i="1"/>
  <c r="C116" i="1"/>
  <c r="G75" i="1"/>
  <c r="C115" i="1" s="1"/>
  <c r="E26" i="3"/>
  <c r="J27" i="4"/>
  <c r="I16" i="4" l="1"/>
  <c r="G87" i="1"/>
  <c r="D116" i="1"/>
  <c r="G116" i="1" s="1"/>
  <c r="C107" i="1"/>
  <c r="D107" i="1" s="1"/>
  <c r="F107" i="1" s="1"/>
  <c r="G115" i="1"/>
  <c r="G101" i="1"/>
  <c r="J26" i="3"/>
  <c r="E25" i="3"/>
  <c r="I11" i="6" l="1"/>
  <c r="I11" i="5"/>
  <c r="D117" i="1"/>
  <c r="G117" i="1" s="1"/>
  <c r="G88" i="1"/>
  <c r="C108" i="1"/>
  <c r="D108" i="1" s="1"/>
  <c r="F108" i="1" s="1"/>
  <c r="E31" i="3" a="1"/>
  <c r="E31" i="3" s="1"/>
  <c r="I16" i="3" s="1"/>
  <c r="J25" i="3"/>
  <c r="J31" i="3" l="1"/>
  <c r="G32" i="3"/>
  <c r="D118" i="1"/>
  <c r="G118" i="1" s="1"/>
  <c r="C109" i="1"/>
  <c r="D109" i="1" s="1"/>
  <c r="F109" i="1" s="1"/>
  <c r="G109" i="1" s="1"/>
  <c r="G108" i="1" s="1"/>
  <c r="G107" i="1" s="1"/>
  <c r="G106" i="1" s="1"/>
</calcChain>
</file>

<file path=xl/comments1.xml><?xml version="1.0" encoding="utf-8"?>
<comments xmlns="http://schemas.openxmlformats.org/spreadsheetml/2006/main">
  <authors>
    <author>Windows 用户</author>
  </authors>
  <commentList>
    <comment ref="D28" authorId="0" shapeId="0">
      <text>
        <r>
          <rPr>
            <b/>
            <sz val="9"/>
            <color indexed="81"/>
            <rFont val="宋体"/>
            <family val="3"/>
            <charset val="134"/>
          </rPr>
          <t>技术部:</t>
        </r>
        <r>
          <rPr>
            <sz val="9"/>
            <color indexed="81"/>
            <rFont val="宋体"/>
            <family val="3"/>
            <charset val="134"/>
          </rPr>
          <t xml:space="preserve">
原实际利率（若不存在重大融资成分，通常可能是零），或经信用调整的实际利率（仅当初始确认时就认为已经发生减值时才适用）</t>
        </r>
      </text>
    </comment>
  </commentList>
</comments>
</file>

<file path=xl/comments2.xml><?xml version="1.0" encoding="utf-8"?>
<comments xmlns="http://schemas.openxmlformats.org/spreadsheetml/2006/main">
  <authors>
    <author>Windows 用户</author>
  </authors>
  <commentList>
    <comment ref="D26" authorId="0" shapeId="0">
      <text>
        <r>
          <rPr>
            <b/>
            <sz val="9"/>
            <color indexed="81"/>
            <rFont val="宋体"/>
            <family val="3"/>
            <charset val="134"/>
          </rPr>
          <t>技术部:</t>
        </r>
        <r>
          <rPr>
            <sz val="9"/>
            <color indexed="81"/>
            <rFont val="宋体"/>
            <family val="3"/>
            <charset val="134"/>
          </rPr>
          <t xml:space="preserve">
原实际利率（若不存在重大融资成分，通常可能是零），或经信用调整的实际利率（仅当初始确认时就认为已经发生减值时才适用）</t>
        </r>
      </text>
    </comment>
  </commentList>
</comments>
</file>

<file path=xl/sharedStrings.xml><?xml version="1.0" encoding="utf-8"?>
<sst xmlns="http://schemas.openxmlformats.org/spreadsheetml/2006/main" count="1134" uniqueCount="630">
  <si>
    <t>上期预期信用损失率</t>
  </si>
  <si>
    <t>预期信用损失率</t>
  </si>
  <si>
    <t>信息来源</t>
    <phoneticPr fontId="7" type="noConversion"/>
  </si>
  <si>
    <t>说明</t>
    <phoneticPr fontId="7" type="noConversion"/>
  </si>
  <si>
    <t>前瞻性调整</t>
    <phoneticPr fontId="7" type="noConversion"/>
  </si>
  <si>
    <t>历史损失率</t>
  </si>
  <si>
    <t>平均迁徙率</t>
  </si>
  <si>
    <t>账龄</t>
    <phoneticPr fontId="7" type="noConversion"/>
  </si>
  <si>
    <t>基于方法3计算账龄组合预期信用损失率</t>
    <phoneticPr fontId="7" type="noConversion"/>
  </si>
  <si>
    <t>核销率增加</t>
    <phoneticPr fontId="7" type="noConversion"/>
  </si>
  <si>
    <t>本例假设不变</t>
    <phoneticPr fontId="7" type="noConversion"/>
  </si>
  <si>
    <t>本例假设不变</t>
    <phoneticPr fontId="7" type="noConversion"/>
  </si>
  <si>
    <t>本例假设不变</t>
    <phoneticPr fontId="7" type="noConversion"/>
  </si>
  <si>
    <t>回收率下降%</t>
    <phoneticPr fontId="7" type="noConversion"/>
  </si>
  <si>
    <t>预期回收率</t>
    <phoneticPr fontId="7" type="noConversion"/>
  </si>
  <si>
    <t>前瞻性调整</t>
    <phoneticPr fontId="7" type="noConversion"/>
  </si>
  <si>
    <t>历史回收率</t>
    <phoneticPr fontId="7" type="noConversion"/>
  </si>
  <si>
    <t>上期预期信用损失率</t>
    <phoneticPr fontId="7" type="noConversion"/>
  </si>
  <si>
    <t>预期信用损失率</t>
    <phoneticPr fontId="7" type="noConversion"/>
  </si>
  <si>
    <t>调整后的迁徙率</t>
    <phoneticPr fontId="7" type="noConversion"/>
  </si>
  <si>
    <t>本年以后预期回收率</t>
    <phoneticPr fontId="7" type="noConversion"/>
  </si>
  <si>
    <t>账龄</t>
    <phoneticPr fontId="7" type="noConversion"/>
  </si>
  <si>
    <t>预期损失在历史核销金额的基础上调整</t>
    <phoneticPr fontId="7" type="noConversion"/>
  </si>
  <si>
    <t>预期信用损失率</t>
    <phoneticPr fontId="7" type="noConversion"/>
  </si>
  <si>
    <t>信息来源</t>
    <phoneticPr fontId="7" type="noConversion"/>
  </si>
  <si>
    <t>说明</t>
    <phoneticPr fontId="7" type="noConversion"/>
  </si>
  <si>
    <t>预期信用损失</t>
    <phoneticPr fontId="7" type="noConversion"/>
  </si>
  <si>
    <t>历史信用损失</t>
    <phoneticPr fontId="7" type="noConversion"/>
  </si>
  <si>
    <t>应收账款余额</t>
  </si>
  <si>
    <t>账龄</t>
    <phoneticPr fontId="7" type="noConversion"/>
  </si>
  <si>
    <t>基于方法1计算账龄组合预期信用损失率</t>
    <phoneticPr fontId="7" type="noConversion"/>
  </si>
  <si>
    <t>（五）组合的预期信用损失率的确定</t>
    <phoneticPr fontId="7" type="noConversion"/>
  </si>
  <si>
    <t>预期损失在历史核销金额的基础上增加</t>
    <phoneticPr fontId="7" type="noConversion"/>
  </si>
  <si>
    <t>D2-16</t>
    <phoneticPr fontId="7" type="noConversion"/>
  </si>
  <si>
    <t>D2-16</t>
    <phoneticPr fontId="7" type="noConversion"/>
  </si>
  <si>
    <t>历史信息是企业计量预期信用损失的重要基准。某些情形下，未经调整的历史信息可能是最佳的合理且有依据的信息。而其他情形下，企业可能需要使用当期数据对历史数据进行调整，以反映当前状况和未来预测的影响，并剔除与未来现金流量不相关的历史因素的影响。
企业对预期信用损失的估计，应当反映相关可观察数据的变化并与其保持方向一致（例如，就业率、房价、商品价格的变化可能导致一项或一组金融工具信用损失的变化）。</t>
    <phoneticPr fontId="7" type="noConversion"/>
  </si>
  <si>
    <t>上期前瞻性调整</t>
    <phoneticPr fontId="7" type="noConversion"/>
  </si>
  <si>
    <t>前瞻性调整（回收率下降%/损失率提高%）</t>
    <phoneticPr fontId="7" type="noConversion"/>
  </si>
  <si>
    <t>社会消费品零售总额</t>
    <phoneticPr fontId="7" type="noConversion"/>
  </si>
  <si>
    <t>CPI</t>
    <phoneticPr fontId="7" type="noConversion"/>
  </si>
  <si>
    <t>广义货币（M2）增长率</t>
    <phoneticPr fontId="7" type="noConversion"/>
  </si>
  <si>
    <t>GDP增长率</t>
    <phoneticPr fontId="7" type="noConversion"/>
  </si>
  <si>
    <t>（四）前瞻性调整（可通过回归分析确定经济指标历史上与损失率变动之间的关系，并通过预测未来经济指标确定调整）</t>
    <phoneticPr fontId="7" type="noConversion"/>
  </si>
  <si>
    <t>--</t>
    <phoneticPr fontId="7" type="noConversion"/>
  </si>
  <si>
    <t>--</t>
    <phoneticPr fontId="7" type="noConversion"/>
  </si>
  <si>
    <t>--</t>
    <phoneticPr fontId="7" type="noConversion"/>
  </si>
  <si>
    <t>合计</t>
    <phoneticPr fontId="7" type="noConversion"/>
  </si>
  <si>
    <t>若各年计算结果异常，需剔除干扰项</t>
    <phoneticPr fontId="7" type="noConversion"/>
  </si>
  <si>
    <t>上期历史损失率</t>
  </si>
  <si>
    <t>20X8年至20X9年迁徙率</t>
    <phoneticPr fontId="7" type="noConversion"/>
  </si>
  <si>
    <t>20X7年至20X8年迁徙率</t>
  </si>
  <si>
    <t>20X6年至20X7年迁徙率</t>
  </si>
  <si>
    <t>20X5年至20X6年迁徙率</t>
    <phoneticPr fontId="7" type="noConversion"/>
  </si>
  <si>
    <t>账龄</t>
    <phoneticPr fontId="7" type="noConversion"/>
  </si>
  <si>
    <t>其中：上年末为3年以上账龄，本年继续迁徙部分</t>
  </si>
  <si>
    <t>3年以上</t>
  </si>
  <si>
    <t>2年-3年</t>
  </si>
  <si>
    <t>1年-2年</t>
  </si>
  <si>
    <t>1年以内</t>
  </si>
  <si>
    <t>可以多列几年账龄，在数据异常时参考取值。但过远的属于预测价值降低。</t>
    <phoneticPr fontId="7" type="noConversion"/>
  </si>
  <si>
    <t>20X9年末余额</t>
    <phoneticPr fontId="7" type="noConversion"/>
  </si>
  <si>
    <t>20X8年末余额</t>
  </si>
  <si>
    <t>20X7年末余额</t>
  </si>
  <si>
    <t>20X6年末余额</t>
  </si>
  <si>
    <t>20X5年末余额</t>
    <phoneticPr fontId="7" type="noConversion"/>
  </si>
  <si>
    <t>迁徙率是指在一个时间段内没有收回而迁徙至下一个时间段的应收账款的比例。</t>
    <phoneticPr fontId="7" type="noConversion"/>
  </si>
  <si>
    <t>【方法可选】</t>
    <phoneticPr fontId="7" type="noConversion"/>
  </si>
  <si>
    <t>方法3：基于平均迁徙率的减值矩阵</t>
    <phoneticPr fontId="7" type="noConversion"/>
  </si>
  <si>
    <t>由于预期信用损失考虑付款的金额和时间分布，因此即使企业预计可以全额收款但收款时间晚于合同规定的到期期限，也会产生信用损失。
自应收票据结转而来的应收账款损失率通常高于原始应收账款的损失率。</t>
    <phoneticPr fontId="7" type="noConversion"/>
  </si>
  <si>
    <t>上期历史损失率</t>
    <phoneticPr fontId="7" type="noConversion"/>
  </si>
  <si>
    <t>历史损失率</t>
    <phoneticPr fontId="7" type="noConversion"/>
  </si>
  <si>
    <t>实际回收率</t>
  </si>
  <si>
    <t>校验</t>
  </si>
  <si>
    <t>20X9年末余额</t>
    <phoneticPr fontId="7" type="noConversion"/>
  </si>
  <si>
    <t>20X9收回金额</t>
    <phoneticPr fontId="7" type="noConversion"/>
  </si>
  <si>
    <t>20X8年末余额</t>
    <phoneticPr fontId="7" type="noConversion"/>
  </si>
  <si>
    <t>实际损失金额</t>
    <phoneticPr fontId="7" type="noConversion"/>
  </si>
  <si>
    <t>由于预期信用损失考虑付款的金额和时间分布，因此即使企业预计可以全额收款但收款时间晚于合同规定的到期期限，也会产生信用损失。
自应收票据结转而来的应收账款损失率通常高于原始应收账款的损失率。</t>
    <phoneticPr fontId="7" type="noConversion"/>
  </si>
  <si>
    <t>说明</t>
    <phoneticPr fontId="7" type="noConversion"/>
  </si>
  <si>
    <t>实际信用损失</t>
    <phoneticPr fontId="7" type="noConversion"/>
  </si>
  <si>
    <t>累计收款额</t>
  </si>
  <si>
    <t>历史收回金额</t>
    <phoneticPr fontId="7" type="noConversion"/>
  </si>
  <si>
    <t>账龄</t>
  </si>
  <si>
    <t>累计核销坏账总额</t>
  </si>
  <si>
    <t>观察期内应收账款总额</t>
  </si>
  <si>
    <t>方法1：基于观察期赊销额后续回收的减值矩阵</t>
    <phoneticPr fontId="7" type="noConversion"/>
  </si>
  <si>
    <r>
      <t>（三）计算历史损失率</t>
    </r>
    <r>
      <rPr>
        <b/>
        <sz val="10"/>
        <color rgb="FF0000FF"/>
        <rFont val="宋体"/>
        <family val="3"/>
        <charset val="134"/>
      </rPr>
      <t>（示例方法仅供参考）</t>
    </r>
    <phoneticPr fontId="7" type="noConversion"/>
  </si>
  <si>
    <t>企业应当采用相关金融工具初始确认时确定的实际利率或其近似值，将现金流缺口折现为资产负债表日的现值。</t>
    <phoneticPr fontId="7" type="noConversion"/>
  </si>
  <si>
    <t>由于预期信用损失考虑付款的金额和时间分布，因此即使企业预计可以全额收款但收款时间晚于合同规定的到期期限，也会产生信用损失。</t>
    <phoneticPr fontId="7" type="noConversion"/>
  </si>
  <si>
    <t>估计预期信用损失的目的并非对最坏的情形或最好的情形作出估计，取而代之的是，预期信用损失的估计应当始终反映发生信用损失的可能性以及不发生信用损失的可能性。</t>
    <phoneticPr fontId="7" type="noConversion"/>
  </si>
  <si>
    <t>XX公司</t>
    <phoneticPr fontId="7" type="noConversion"/>
  </si>
  <si>
    <t>账面余额</t>
    <phoneticPr fontId="7" type="noConversion"/>
  </si>
  <si>
    <t>单项计提</t>
    <phoneticPr fontId="7" type="noConversion"/>
  </si>
  <si>
    <t>（二）单项计提的预期信用损失率的确定</t>
    <phoneticPr fontId="7" type="noConversion"/>
  </si>
  <si>
    <t>不同初始确认日期的信用风险不同，组合划分以账龄/逾期特征为依据，不同组合有不同的预期信用损失。</t>
    <phoneticPr fontId="7" type="noConversion"/>
  </si>
  <si>
    <t>逾期2年以上</t>
    <phoneticPr fontId="7" type="noConversion"/>
  </si>
  <si>
    <t>逾期1年-2年</t>
    <phoneticPr fontId="7" type="noConversion"/>
  </si>
  <si>
    <t>逾期90天-1年</t>
    <phoneticPr fontId="7" type="noConversion"/>
  </si>
  <si>
    <t>逾期30-90天</t>
    <phoneticPr fontId="7" type="noConversion"/>
  </si>
  <si>
    <t>逾期30天以内</t>
    <phoneticPr fontId="7" type="noConversion"/>
  </si>
  <si>
    <t>未逾期</t>
    <phoneticPr fontId="7" type="noConversion"/>
  </si>
  <si>
    <t>或</t>
    <phoneticPr fontId="7" type="noConversion"/>
  </si>
  <si>
    <t>账龄划分：</t>
    <phoneticPr fontId="7" type="noConversion"/>
  </si>
  <si>
    <t>如果企业的历史经验表明不同细分客户群体发生损失的情况存在显著差异，那么企业应当对客户群体进行恰当的分组，在分组基础上运用上述简便方法。企业可用于对资产进行分组的标准可能包括：地理区域、产品类型、客户评级、担保物以及客户类型（如批发和零售客户）。</t>
    <phoneticPr fontId="7" type="noConversion"/>
  </si>
  <si>
    <t>根据历史经验，不同细分客户群体发生损失的情况没有显著差异，因此在根据逾期信息计算减值准备时未进一步区分不同的客户群体。</t>
    <phoneticPr fontId="7" type="noConversion"/>
  </si>
  <si>
    <t>（一）在账龄组合基础上计算预期信用损失</t>
    <phoneticPr fontId="7" type="noConversion"/>
  </si>
  <si>
    <t>企业对预期信用损失的估计，应当反映相关可观察数据的变化并与其保持方向一致（例如，就业率、房价、商品价格的变化可能导致一项或一组金融工具信用损失的变化）。</t>
    <phoneticPr fontId="7" type="noConversion"/>
  </si>
  <si>
    <t>由于预期信用损失考虑付款的金额和时间分布，因此即使企业预计可以全额收款但收款时间晚于合同规定的到期期限，也会产生信用损失。</t>
    <phoneticPr fontId="7" type="noConversion"/>
  </si>
  <si>
    <t>估计预期信用损失的目的并非对最坏的情形或最好的情形作出估计，取而代之的是，预期信用损失的估计应当始终反映发生信用损失的可能性以及不发生信用损失的可能性。</t>
    <phoneticPr fontId="7" type="noConversion"/>
  </si>
  <si>
    <t>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t>
    <phoneticPr fontId="7" type="noConversion"/>
  </si>
  <si>
    <t>预期信用损失的计量测试表（账龄组合）</t>
    <phoneticPr fontId="7" type="noConversion"/>
  </si>
  <si>
    <t>致同会计师事务所</t>
  </si>
  <si>
    <r>
      <rPr>
        <b/>
        <sz val="10"/>
        <rFont val="宋体"/>
        <family val="3"/>
        <charset val="134"/>
      </rPr>
      <t>四、审计结论：</t>
    </r>
    <phoneticPr fontId="7" type="noConversion"/>
  </si>
  <si>
    <r>
      <rPr>
        <b/>
        <sz val="10"/>
        <rFont val="宋体"/>
        <family val="3"/>
        <charset val="134"/>
      </rPr>
      <t>三、审计说明：</t>
    </r>
    <phoneticPr fontId="7" type="noConversion"/>
  </si>
  <si>
    <t>核销率增加</t>
    <phoneticPr fontId="7" type="noConversion"/>
  </si>
  <si>
    <t>回收率下降%</t>
    <phoneticPr fontId="7" type="noConversion"/>
  </si>
  <si>
    <t>预期回收率</t>
    <phoneticPr fontId="7" type="noConversion"/>
  </si>
  <si>
    <t>前瞻性调整</t>
    <phoneticPr fontId="7" type="noConversion"/>
  </si>
  <si>
    <t>历史回收率</t>
    <phoneticPr fontId="7" type="noConversion"/>
  </si>
  <si>
    <t>上期预期信用损失率</t>
    <phoneticPr fontId="7" type="noConversion"/>
  </si>
  <si>
    <t>预期信用损失率</t>
    <phoneticPr fontId="7" type="noConversion"/>
  </si>
  <si>
    <t>迁徙率</t>
    <phoneticPr fontId="7" type="noConversion"/>
  </si>
  <si>
    <t>说明</t>
    <phoneticPr fontId="7" type="noConversion"/>
  </si>
  <si>
    <t>本年以后预期回收率</t>
    <phoneticPr fontId="7" type="noConversion"/>
  </si>
  <si>
    <t>账龄</t>
    <phoneticPr fontId="7" type="noConversion"/>
  </si>
  <si>
    <t>（五）组合预期信用损失率的确定</t>
    <phoneticPr fontId="7" type="noConversion"/>
  </si>
  <si>
    <t>预期损失在历史核销金额的基础上增加</t>
    <phoneticPr fontId="7" type="noConversion"/>
  </si>
  <si>
    <t>--</t>
    <phoneticPr fontId="7" type="noConversion"/>
  </si>
  <si>
    <t>D2-15</t>
    <phoneticPr fontId="7" type="noConversion"/>
  </si>
  <si>
    <t>历史信息是企业计量预期信用损失的重要基准。某些情形下，未经调整的历史信息可能是最佳的合理且有依据的信息。而其他情形下，企业可能需要使用当期数据对历史数据进行调整，以反映当前状况和未来预测的影响，并剔除与未来现金流量不相关的历史因素的影响。
企业对预期信用损失的估计，应当反映相关可观察数据的变化并与其保持方向一致（例如，就业率、房价、商品价格的变化可能导致一项或一组金融工具信用损失的变化）。</t>
    <phoneticPr fontId="7" type="noConversion"/>
  </si>
  <si>
    <t>上期前瞻性调整</t>
    <phoneticPr fontId="7" type="noConversion"/>
  </si>
  <si>
    <t>前瞻性调整（回收率下降%）</t>
    <phoneticPr fontId="7" type="noConversion"/>
  </si>
  <si>
    <t>信息来源</t>
    <phoneticPr fontId="7" type="noConversion"/>
  </si>
  <si>
    <t>社会消费品零售总额</t>
  </si>
  <si>
    <t>CPI</t>
  </si>
  <si>
    <t>广义货币（M2）增长率</t>
    <phoneticPr fontId="7" type="noConversion"/>
  </si>
  <si>
    <t>GDP增长率</t>
    <phoneticPr fontId="7" type="noConversion"/>
  </si>
  <si>
    <t>（四）前瞻性调整（可通过回归分析确定经济指标历史上与损失率之间的关系，并通过预测未来经济指标确定调整）</t>
    <phoneticPr fontId="7" type="noConversion"/>
  </si>
  <si>
    <t>合计</t>
    <phoneticPr fontId="7" type="noConversion"/>
  </si>
  <si>
    <t>5年以上</t>
  </si>
  <si>
    <t>4年-5年</t>
  </si>
  <si>
    <t>3年-4年</t>
  </si>
  <si>
    <t>由于预期信用损失考虑付款的金额和时间分布，因此即使企业预计可以全额收款但收款时间晚于合同规定的到期期限，也会产生信用损失。
自应收票据结转而来的应收账款损失率通常高于原始应收账款的损失率。</t>
    <phoneticPr fontId="7" type="noConversion"/>
  </si>
  <si>
    <t>上期历史损失率</t>
    <phoneticPr fontId="7" type="noConversion"/>
  </si>
  <si>
    <t>历史损失率</t>
    <phoneticPr fontId="7" type="noConversion"/>
  </si>
  <si>
    <t>组合X：</t>
    <phoneticPr fontId="7" type="noConversion"/>
  </si>
  <si>
    <t>预期损失在历史核销金额的基础上增加（核销比例直接+）</t>
    <phoneticPr fontId="7" type="noConversion"/>
  </si>
  <si>
    <t>D2-15</t>
    <phoneticPr fontId="7" type="noConversion"/>
  </si>
  <si>
    <t>历史信息是企业计量预期信用损失的重要基准。某些情形下，未经调整的历史信息可能是最佳的合理且有依据的信息。而其他情形下，企业可能需要使用当期数据对历史数据进行调整，以反映当前状况和未来预测的影响，并剔除与未来现金流量不相关的历史因素的影响。
企业对预期信用损失的估计，应当反映相关可观察数据的变化并与其保持方向一致（例如，就业率、房价、商品价格的变化可能导致一项或一组金融工具信用损失的变化）。</t>
    <phoneticPr fontId="7" type="noConversion"/>
  </si>
  <si>
    <t>上期前瞻性调整</t>
    <phoneticPr fontId="7" type="noConversion"/>
  </si>
  <si>
    <t>前瞻性调整（回收率下降%）</t>
    <phoneticPr fontId="7" type="noConversion"/>
  </si>
  <si>
    <t>信息来源</t>
    <phoneticPr fontId="7" type="noConversion"/>
  </si>
  <si>
    <t>广义货币（M2）增长率</t>
    <phoneticPr fontId="7" type="noConversion"/>
  </si>
  <si>
    <t>GDP增长率</t>
    <phoneticPr fontId="7" type="noConversion"/>
  </si>
  <si>
    <t>账龄</t>
    <phoneticPr fontId="7" type="noConversion"/>
  </si>
  <si>
    <t>（四）前瞻性调整（可通过回归分析确定经济指标历史上与损失率之间的关系，并通过预测未来经济指标确定调整）</t>
    <phoneticPr fontId="7" type="noConversion"/>
  </si>
  <si>
    <t>--</t>
    <phoneticPr fontId="7" type="noConversion"/>
  </si>
  <si>
    <t>合计</t>
    <phoneticPr fontId="7" type="noConversion"/>
  </si>
  <si>
    <t>由于预期信用损失考虑付款的金额和时间分布，因此即使企业预计可以全额收款但收款时间晚于合同规定的到期期限，也会产生信用损失。
自应收票据结转而来的应收账款损失率通常高于原始应收账款的损失率。</t>
    <phoneticPr fontId="7" type="noConversion"/>
  </si>
  <si>
    <t>上期历史损失率</t>
    <phoneticPr fontId="7" type="noConversion"/>
  </si>
  <si>
    <t>历史损失率</t>
    <phoneticPr fontId="7" type="noConversion"/>
  </si>
  <si>
    <t>组合3：</t>
    <phoneticPr fontId="7" type="noConversion"/>
  </si>
  <si>
    <t>核销率增加</t>
    <phoneticPr fontId="7" type="noConversion"/>
  </si>
  <si>
    <t>回收率下降%</t>
    <phoneticPr fontId="7" type="noConversion"/>
  </si>
  <si>
    <t>预期回收率</t>
    <phoneticPr fontId="7" type="noConversion"/>
  </si>
  <si>
    <t>前瞻性调整</t>
    <phoneticPr fontId="7" type="noConversion"/>
  </si>
  <si>
    <t>历史回收率</t>
    <phoneticPr fontId="7" type="noConversion"/>
  </si>
  <si>
    <t>上期预期信用损失率</t>
    <phoneticPr fontId="7" type="noConversion"/>
  </si>
  <si>
    <t>预期信用损失率</t>
    <phoneticPr fontId="7" type="noConversion"/>
  </si>
  <si>
    <t>迁徙率</t>
    <phoneticPr fontId="7" type="noConversion"/>
  </si>
  <si>
    <t>说明</t>
    <phoneticPr fontId="7" type="noConversion"/>
  </si>
  <si>
    <t>本年以后预期回收率</t>
    <phoneticPr fontId="7" type="noConversion"/>
  </si>
  <si>
    <t>（五）组合预期信用损失率的确定</t>
    <phoneticPr fontId="7" type="noConversion"/>
  </si>
  <si>
    <t>预期损失在历史核销金额的基础上增加</t>
    <phoneticPr fontId="7" type="noConversion"/>
  </si>
  <si>
    <t>由于预期信用损失考虑付款的金额和时间分布，因此即使企业预计可以全额收款但收款时间晚于合同规定的到期期限，也会产生信用损失。
自应收票据结转而来的应收账款损失率通常高于原始应收账款的损失率。</t>
    <phoneticPr fontId="7" type="noConversion"/>
  </si>
  <si>
    <t>组合2：</t>
    <phoneticPr fontId="7" type="noConversion"/>
  </si>
  <si>
    <t>前瞻性调整（回收率下降%/损失率提高%）</t>
    <phoneticPr fontId="7" type="noConversion"/>
  </si>
  <si>
    <t>（四）前瞻性调整（可通过回归分析确定经济指标历史上与损失率变动之间的关系，并通过预测未来经济指标确定调整）</t>
    <phoneticPr fontId="7" type="noConversion"/>
  </si>
  <si>
    <t>20X8收回金额</t>
  </si>
  <si>
    <t>【方法可选】</t>
    <phoneticPr fontId="7" type="noConversion"/>
  </si>
  <si>
    <t>组合1：</t>
    <phoneticPr fontId="7" type="noConversion"/>
  </si>
  <si>
    <t>企业应当采用相关金融工具初始确认时确定的实际利率或其近似值，将现金流缺口折现为资产负债表日的现值。</t>
    <phoneticPr fontId="7" type="noConversion"/>
  </si>
  <si>
    <t>由于预期信用损失考虑付款的金额和时间分布，因此即使企业预计可以全额收款但收款时间晚于合同规定的到期期限，也会产生信用损失。</t>
    <phoneticPr fontId="7" type="noConversion"/>
  </si>
  <si>
    <t>估计预期信用损失的目的并非对最坏的情形或最好的情形作出估计，取而代之的是，预期信用损失的估计应当始终反映发生信用损失的可能性以及不发生信用损失的可能性。</t>
    <phoneticPr fontId="7" type="noConversion"/>
  </si>
  <si>
    <t>XX公司</t>
    <phoneticPr fontId="7" type="noConversion"/>
  </si>
  <si>
    <t>账面余额</t>
    <phoneticPr fontId="7" type="noConversion"/>
  </si>
  <si>
    <t>单项计提</t>
    <phoneticPr fontId="7" type="noConversion"/>
  </si>
  <si>
    <t>（二）单项计提的应收账款预期信用损失率的确定</t>
    <phoneticPr fontId="7" type="noConversion"/>
  </si>
  <si>
    <t>不不同客户信用评级不同，组合划分以共同风险特征为依据，不同组合有不同的预期信用损失。</t>
    <phoneticPr fontId="7" type="noConversion"/>
  </si>
  <si>
    <t>应收其他客户</t>
  </si>
  <si>
    <t>应收账款组合4：</t>
  </si>
  <si>
    <t>应收关联方</t>
  </si>
  <si>
    <t>应收账款组合3：</t>
  </si>
  <si>
    <t>应收海外企业客户</t>
  </si>
  <si>
    <t>应收账款组合2：</t>
  </si>
  <si>
    <t>应收国有企业客户</t>
  </si>
  <si>
    <t>应收账款组合1：</t>
  </si>
  <si>
    <t>如果企业的历史经验表明不同细分客户群体发生损失的情况存在显著差异，那么企业应当对客户群体进行恰当的分组，在分组基础上运用上述简便方法。企业可用于对资产进行分组的标准可能包括：地理区域、产品类型、客户评级、担保物以及客户类型（如批发和零售客户）。</t>
    <phoneticPr fontId="7" type="noConversion"/>
  </si>
  <si>
    <t>确定组合的依据如下：</t>
    <phoneticPr fontId="7" type="noConversion"/>
  </si>
  <si>
    <t>（一）分组合后按账龄计提预期信用损失</t>
    <phoneticPr fontId="7" type="noConversion"/>
  </si>
  <si>
    <t>企业对预期信用损失的估计，应当反映相关可观察数据的变化并与其保持方向一致（例如，就业率、房价、商品价格的变化可能导致一项或一组金融工具信用损失的变化）。</t>
    <phoneticPr fontId="7" type="noConversion"/>
  </si>
  <si>
    <t>估计预期信用损失的目的并非对最坏的情形或最好的情形作出估计，取而代之的是，预期信用损失的估计应当始终反映发生信用损失的可能性以及不发生信用损失的可能性。</t>
    <phoneticPr fontId="7" type="noConversion"/>
  </si>
  <si>
    <r>
      <rPr>
        <b/>
        <sz val="10"/>
        <rFont val="宋体"/>
        <family val="3"/>
        <charset val="134"/>
      </rPr>
      <t>二、审计过程：</t>
    </r>
    <phoneticPr fontId="7" type="noConversion"/>
  </si>
  <si>
    <t>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t>
    <phoneticPr fontId="7" type="noConversion"/>
  </si>
  <si>
    <r>
      <rPr>
        <b/>
        <sz val="10"/>
        <rFont val="宋体"/>
        <family val="3"/>
        <charset val="134"/>
      </rPr>
      <t>一、审计目标：</t>
    </r>
    <phoneticPr fontId="7" type="noConversion"/>
  </si>
  <si>
    <t>预期信用损失的计量测试表（分组合后按账龄计提）</t>
    <phoneticPr fontId="7" type="noConversion"/>
  </si>
  <si>
    <t>数据来源：</t>
    <phoneticPr fontId="7" type="noConversion"/>
  </si>
  <si>
    <t>对应情形</t>
    <phoneticPr fontId="7" type="noConversion"/>
  </si>
  <si>
    <t>预测值变动</t>
    <phoneticPr fontId="7" type="noConversion"/>
  </si>
  <si>
    <t>预测值</t>
    <phoneticPr fontId="7" type="noConversion"/>
  </si>
  <si>
    <t>下降</t>
    <phoneticPr fontId="7" type="noConversion"/>
  </si>
  <si>
    <t>上升</t>
    <phoneticPr fontId="7" type="noConversion"/>
  </si>
  <si>
    <t>基本</t>
    <phoneticPr fontId="7" type="noConversion"/>
  </si>
  <si>
    <t>备注</t>
    <phoneticPr fontId="7" type="noConversion"/>
  </si>
  <si>
    <r>
      <rPr>
        <b/>
        <sz val="10"/>
        <rFont val="宋体"/>
        <family val="3"/>
        <charset val="134"/>
      </rPr>
      <t>未来</t>
    </r>
    <r>
      <rPr>
        <b/>
        <sz val="10"/>
        <rFont val="Arial Narrow"/>
        <family val="2"/>
      </rPr>
      <t>5年</t>
    </r>
    <r>
      <rPr>
        <b/>
        <sz val="10"/>
        <rFont val="宋体"/>
        <family val="3"/>
        <charset val="134"/>
      </rPr>
      <t/>
    </r>
  </si>
  <si>
    <r>
      <rPr>
        <b/>
        <sz val="10"/>
        <rFont val="宋体"/>
        <family val="3"/>
        <charset val="134"/>
      </rPr>
      <t>未来</t>
    </r>
    <r>
      <rPr>
        <b/>
        <sz val="10"/>
        <rFont val="Arial Narrow"/>
        <family val="2"/>
      </rPr>
      <t>4年</t>
    </r>
    <r>
      <rPr>
        <b/>
        <sz val="10"/>
        <rFont val="宋体"/>
        <family val="3"/>
        <charset val="134"/>
      </rPr>
      <t/>
    </r>
  </si>
  <si>
    <r>
      <rPr>
        <b/>
        <sz val="10"/>
        <rFont val="宋体"/>
        <family val="3"/>
        <charset val="134"/>
      </rPr>
      <t>未来</t>
    </r>
    <r>
      <rPr>
        <b/>
        <sz val="10"/>
        <rFont val="Arial Narrow"/>
        <family val="2"/>
      </rPr>
      <t>3年</t>
    </r>
    <r>
      <rPr>
        <b/>
        <sz val="10"/>
        <rFont val="宋体"/>
        <family val="3"/>
        <charset val="134"/>
      </rPr>
      <t/>
    </r>
  </si>
  <si>
    <r>
      <rPr>
        <b/>
        <sz val="10"/>
        <rFont val="宋体"/>
        <family val="3"/>
        <charset val="134"/>
      </rPr>
      <t>未来</t>
    </r>
    <r>
      <rPr>
        <b/>
        <sz val="10"/>
        <rFont val="Arial Narrow"/>
        <family val="2"/>
      </rPr>
      <t>2年</t>
    </r>
    <r>
      <rPr>
        <b/>
        <sz val="10"/>
        <rFont val="宋体"/>
        <family val="3"/>
        <charset val="134"/>
      </rPr>
      <t/>
    </r>
  </si>
  <si>
    <r>
      <rPr>
        <b/>
        <sz val="10"/>
        <rFont val="宋体"/>
        <family val="3"/>
        <charset val="134"/>
      </rPr>
      <t>未来</t>
    </r>
    <r>
      <rPr>
        <b/>
        <sz val="10"/>
        <rFont val="Arial Narrow"/>
        <family val="2"/>
      </rPr>
      <t>1</t>
    </r>
    <r>
      <rPr>
        <b/>
        <sz val="10"/>
        <rFont val="宋体"/>
        <family val="3"/>
        <charset val="134"/>
      </rPr>
      <t>年</t>
    </r>
    <phoneticPr fontId="7" type="noConversion"/>
  </si>
  <si>
    <t>权重</t>
    <phoneticPr fontId="7" type="noConversion"/>
  </si>
  <si>
    <t>情形</t>
    <phoneticPr fontId="7" type="noConversion"/>
  </si>
  <si>
    <t>指标</t>
    <phoneticPr fontId="7" type="noConversion"/>
  </si>
  <si>
    <t>（四）预测未来经济指标</t>
    <phoneticPr fontId="7" type="noConversion"/>
  </si>
  <si>
    <t>非常谨慎</t>
    <phoneticPr fontId="7" type="noConversion"/>
  </si>
  <si>
    <t>&lt;24</t>
    <phoneticPr fontId="7" type="noConversion"/>
  </si>
  <si>
    <t>谨慎</t>
    <phoneticPr fontId="7" type="noConversion"/>
  </si>
  <si>
    <t>24-40</t>
    <phoneticPr fontId="7" type="noConversion"/>
  </si>
  <si>
    <t>基准偏谨慎</t>
    <phoneticPr fontId="7" type="noConversion"/>
  </si>
  <si>
    <t>40-54</t>
    <phoneticPr fontId="7" type="noConversion"/>
  </si>
  <si>
    <t>基准</t>
  </si>
  <si>
    <t>54-65</t>
    <phoneticPr fontId="7" type="noConversion"/>
  </si>
  <si>
    <t>基准偏乐观</t>
  </si>
  <si>
    <t>65-80</t>
    <phoneticPr fontId="7" type="noConversion"/>
  </si>
  <si>
    <t>乐观</t>
  </si>
  <si>
    <t>80-94</t>
    <phoneticPr fontId="7" type="noConversion"/>
  </si>
  <si>
    <t>调整系数应经过历史数据验证</t>
    <phoneticPr fontId="7" type="noConversion"/>
  </si>
  <si>
    <t>非常乐观</t>
    <phoneticPr fontId="7" type="noConversion"/>
  </si>
  <si>
    <t>&gt;94</t>
    <phoneticPr fontId="7" type="noConversion"/>
  </si>
  <si>
    <t>预测情景和调整系数根据企业情况进行调整</t>
    <phoneticPr fontId="7" type="noConversion"/>
  </si>
  <si>
    <t>上年系数</t>
    <phoneticPr fontId="7" type="noConversion"/>
  </si>
  <si>
    <t>对应调整系数</t>
    <phoneticPr fontId="7" type="noConversion"/>
  </si>
  <si>
    <t>总得分</t>
    <phoneticPr fontId="7" type="noConversion"/>
  </si>
  <si>
    <t>预测情景</t>
    <phoneticPr fontId="7" type="noConversion"/>
  </si>
  <si>
    <t>调整系数</t>
    <phoneticPr fontId="7" type="noConversion"/>
  </si>
  <si>
    <t>得分区间</t>
    <phoneticPr fontId="7" type="noConversion"/>
  </si>
  <si>
    <t>序号</t>
    <phoneticPr fontId="7" type="noConversion"/>
  </si>
  <si>
    <t>（五）确定前瞻性调整系数</t>
    <phoneticPr fontId="7" type="noConversion"/>
  </si>
  <si>
    <t>（三）前瞻性调整系数对照表</t>
    <phoneticPr fontId="7" type="noConversion"/>
  </si>
  <si>
    <r>
      <rPr>
        <sz val="10"/>
        <rFont val="宋体"/>
        <family val="3"/>
        <charset val="134"/>
      </rPr>
      <t>预计降低</t>
    </r>
    <r>
      <rPr>
        <sz val="10"/>
        <rFont val="Arial Narrow"/>
        <family val="2"/>
      </rPr>
      <t>20%</t>
    </r>
    <r>
      <rPr>
        <sz val="10"/>
        <rFont val="宋体"/>
        <family val="3"/>
        <charset val="134"/>
      </rPr>
      <t>以上</t>
    </r>
    <phoneticPr fontId="7" type="noConversion"/>
  </si>
  <si>
    <t>G</t>
    <phoneticPr fontId="7" type="noConversion"/>
  </si>
  <si>
    <r>
      <rPr>
        <sz val="10"/>
        <rFont val="宋体"/>
        <family val="3"/>
        <charset val="134"/>
      </rPr>
      <t>预计降低</t>
    </r>
    <r>
      <rPr>
        <sz val="10"/>
        <rFont val="Arial Narrow"/>
        <family val="2"/>
      </rPr>
      <t>10%-20%</t>
    </r>
    <phoneticPr fontId="7" type="noConversion"/>
  </si>
  <si>
    <t>F</t>
    <phoneticPr fontId="7" type="noConversion"/>
  </si>
  <si>
    <r>
      <rPr>
        <sz val="10"/>
        <rFont val="宋体"/>
        <family val="3"/>
        <charset val="134"/>
      </rPr>
      <t>预计降低</t>
    </r>
    <r>
      <rPr>
        <sz val="10"/>
        <rFont val="Arial Narrow"/>
        <family val="2"/>
      </rPr>
      <t>5%-10%</t>
    </r>
    <phoneticPr fontId="7" type="noConversion"/>
  </si>
  <si>
    <t>E</t>
    <phoneticPr fontId="7" type="noConversion"/>
  </si>
  <si>
    <r>
      <rPr>
        <sz val="10"/>
        <rFont val="宋体"/>
        <family val="3"/>
        <charset val="134"/>
      </rPr>
      <t>预计持平（上下变动</t>
    </r>
    <r>
      <rPr>
        <sz val="10"/>
        <rFont val="Arial Narrow"/>
        <family val="2"/>
      </rPr>
      <t>5%</t>
    </r>
    <r>
      <rPr>
        <sz val="10"/>
        <rFont val="宋体"/>
        <family val="3"/>
        <charset val="134"/>
      </rPr>
      <t>以内）</t>
    </r>
    <phoneticPr fontId="7" type="noConversion"/>
  </si>
  <si>
    <t>D</t>
    <phoneticPr fontId="7" type="noConversion"/>
  </si>
  <si>
    <r>
      <rPr>
        <sz val="10"/>
        <rFont val="宋体"/>
        <family val="3"/>
        <charset val="134"/>
      </rPr>
      <t>预计提高</t>
    </r>
    <r>
      <rPr>
        <sz val="10"/>
        <rFont val="Arial Narrow"/>
        <family val="2"/>
      </rPr>
      <t>5%-10%</t>
    </r>
    <phoneticPr fontId="7" type="noConversion"/>
  </si>
  <si>
    <t>C</t>
    <phoneticPr fontId="7" type="noConversion"/>
  </si>
  <si>
    <r>
      <rPr>
        <sz val="10"/>
        <rFont val="宋体"/>
        <family val="3"/>
        <charset val="134"/>
      </rPr>
      <t>预计提高</t>
    </r>
    <r>
      <rPr>
        <sz val="10"/>
        <rFont val="Arial Narrow"/>
        <family val="2"/>
      </rPr>
      <t>10%-20%</t>
    </r>
    <phoneticPr fontId="7" type="noConversion"/>
  </si>
  <si>
    <t>B</t>
    <phoneticPr fontId="7" type="noConversion"/>
  </si>
  <si>
    <t>（四）</t>
    <phoneticPr fontId="7" type="noConversion"/>
  </si>
  <si>
    <t>C</t>
  </si>
  <si>
    <r>
      <rPr>
        <sz val="10"/>
        <rFont val="宋体"/>
        <family val="3"/>
        <charset val="134"/>
      </rPr>
      <t>预计提高</t>
    </r>
    <r>
      <rPr>
        <sz val="10"/>
        <rFont val="Arial Narrow"/>
        <family val="2"/>
      </rPr>
      <t>20%</t>
    </r>
    <r>
      <rPr>
        <sz val="10"/>
        <rFont val="宋体"/>
        <family val="3"/>
        <charset val="134"/>
      </rPr>
      <t>以上</t>
    </r>
    <phoneticPr fontId="7" type="noConversion"/>
  </si>
  <si>
    <t>A</t>
    <phoneticPr fontId="7" type="noConversion"/>
  </si>
  <si>
    <t>消费者物价指数CPI</t>
    <phoneticPr fontId="7" type="noConversion"/>
  </si>
  <si>
    <r>
      <rPr>
        <sz val="10"/>
        <rFont val="宋体"/>
        <family val="3"/>
        <charset val="134"/>
      </rPr>
      <t>预计降低</t>
    </r>
    <r>
      <rPr>
        <sz val="10"/>
        <rFont val="Arial Narrow"/>
        <family val="2"/>
      </rPr>
      <t>20%</t>
    </r>
    <r>
      <rPr>
        <sz val="10"/>
        <rFont val="宋体"/>
        <family val="3"/>
        <charset val="134"/>
      </rPr>
      <t>以上</t>
    </r>
    <phoneticPr fontId="7" type="noConversion"/>
  </si>
  <si>
    <t>G</t>
    <phoneticPr fontId="7" type="noConversion"/>
  </si>
  <si>
    <r>
      <rPr>
        <sz val="10"/>
        <rFont val="宋体"/>
        <family val="3"/>
        <charset val="134"/>
      </rPr>
      <t>预计降低</t>
    </r>
    <r>
      <rPr>
        <sz val="10"/>
        <rFont val="Arial Narrow"/>
        <family val="2"/>
      </rPr>
      <t>10%-20%</t>
    </r>
    <phoneticPr fontId="7" type="noConversion"/>
  </si>
  <si>
    <t>F</t>
    <phoneticPr fontId="7" type="noConversion"/>
  </si>
  <si>
    <t>E</t>
    <phoneticPr fontId="7" type="noConversion"/>
  </si>
  <si>
    <r>
      <rPr>
        <sz val="10"/>
        <rFont val="宋体"/>
        <family val="3"/>
        <charset val="134"/>
      </rPr>
      <t>预计持平（上下变动</t>
    </r>
    <r>
      <rPr>
        <sz val="10"/>
        <rFont val="Arial Narrow"/>
        <family val="2"/>
      </rPr>
      <t>5%</t>
    </r>
    <r>
      <rPr>
        <sz val="10"/>
        <rFont val="宋体"/>
        <family val="3"/>
        <charset val="134"/>
      </rPr>
      <t>以内）</t>
    </r>
    <phoneticPr fontId="7" type="noConversion"/>
  </si>
  <si>
    <t>D</t>
    <phoneticPr fontId="7" type="noConversion"/>
  </si>
  <si>
    <r>
      <rPr>
        <sz val="10"/>
        <rFont val="宋体"/>
        <family val="3"/>
        <charset val="134"/>
      </rPr>
      <t>预计提高</t>
    </r>
    <r>
      <rPr>
        <sz val="10"/>
        <rFont val="Arial Narrow"/>
        <family val="2"/>
      </rPr>
      <t>5%-10%</t>
    </r>
    <phoneticPr fontId="7" type="noConversion"/>
  </si>
  <si>
    <r>
      <rPr>
        <sz val="10"/>
        <rFont val="宋体"/>
        <family val="3"/>
        <charset val="134"/>
      </rPr>
      <t>预计提高</t>
    </r>
    <r>
      <rPr>
        <sz val="10"/>
        <rFont val="Arial Narrow"/>
        <family val="2"/>
      </rPr>
      <t>10%-20%</t>
    </r>
    <phoneticPr fontId="7" type="noConversion"/>
  </si>
  <si>
    <t>B</t>
    <phoneticPr fontId="7" type="noConversion"/>
  </si>
  <si>
    <t>D</t>
  </si>
  <si>
    <r>
      <rPr>
        <sz val="10"/>
        <rFont val="宋体"/>
        <family val="3"/>
        <charset val="134"/>
      </rPr>
      <t>预计提高</t>
    </r>
    <r>
      <rPr>
        <sz val="10"/>
        <rFont val="Arial Narrow"/>
        <family val="2"/>
      </rPr>
      <t>20%</t>
    </r>
    <r>
      <rPr>
        <sz val="10"/>
        <rFont val="宋体"/>
        <family val="3"/>
        <charset val="134"/>
      </rPr>
      <t>以上</t>
    </r>
    <phoneticPr fontId="7" type="noConversion"/>
  </si>
  <si>
    <t>社会消费品零售总额增长率</t>
    <phoneticPr fontId="7" type="noConversion"/>
  </si>
  <si>
    <t>G</t>
    <phoneticPr fontId="7" type="noConversion"/>
  </si>
  <si>
    <r>
      <rPr>
        <sz val="10"/>
        <rFont val="宋体"/>
        <family val="3"/>
        <charset val="134"/>
      </rPr>
      <t>预计降低</t>
    </r>
    <r>
      <rPr>
        <sz val="10"/>
        <rFont val="Arial Narrow"/>
        <family val="2"/>
      </rPr>
      <t>10%-20%</t>
    </r>
    <phoneticPr fontId="7" type="noConversion"/>
  </si>
  <si>
    <r>
      <rPr>
        <sz val="10"/>
        <rFont val="宋体"/>
        <family val="3"/>
        <charset val="134"/>
      </rPr>
      <t>预计降低</t>
    </r>
    <r>
      <rPr>
        <sz val="10"/>
        <rFont val="Arial Narrow"/>
        <family val="2"/>
      </rPr>
      <t>5%-10%</t>
    </r>
    <phoneticPr fontId="7" type="noConversion"/>
  </si>
  <si>
    <t>E</t>
    <phoneticPr fontId="7" type="noConversion"/>
  </si>
  <si>
    <t>D</t>
    <phoneticPr fontId="7" type="noConversion"/>
  </si>
  <si>
    <t>C</t>
    <phoneticPr fontId="7" type="noConversion"/>
  </si>
  <si>
    <t>（四）</t>
    <phoneticPr fontId="7" type="noConversion"/>
  </si>
  <si>
    <t>M2增长率</t>
    <phoneticPr fontId="7" type="noConversion"/>
  </si>
  <si>
    <t>若本年为6%，持平是指预计下年在[6%*(1-5%)]-[6%*(1+5%)]之间</t>
    <phoneticPr fontId="7" type="noConversion"/>
  </si>
  <si>
    <t>权重根据企业实际情况修改，反映经济指标相关性的高低和不同期间的变化</t>
    <phoneticPr fontId="7" type="noConversion"/>
  </si>
  <si>
    <t>评分标准、分值根据经济状况修改，反映合理可能的变动幅度</t>
    <phoneticPr fontId="7" type="noConversion"/>
  </si>
  <si>
    <t>B</t>
    <phoneticPr fontId="7" type="noConversion"/>
  </si>
  <si>
    <t>经济指标根据企业实际情况修改，选择与信用损失相关性高的指标</t>
    <phoneticPr fontId="7" type="noConversion"/>
  </si>
  <si>
    <t>A</t>
    <phoneticPr fontId="7" type="noConversion"/>
  </si>
  <si>
    <t>GDP增长率</t>
    <phoneticPr fontId="7" type="noConversion"/>
  </si>
  <si>
    <t>加权后得分</t>
    <phoneticPr fontId="7" type="noConversion"/>
  </si>
  <si>
    <t>选择原因</t>
    <phoneticPr fontId="7" type="noConversion"/>
  </si>
  <si>
    <t>选择的情形</t>
    <phoneticPr fontId="7" type="noConversion"/>
  </si>
  <si>
    <t>权重</t>
    <phoneticPr fontId="7" type="noConversion"/>
  </si>
  <si>
    <t>百分制赋分</t>
    <phoneticPr fontId="7" type="noConversion"/>
  </si>
  <si>
    <t>评分标准</t>
    <phoneticPr fontId="7" type="noConversion"/>
  </si>
  <si>
    <t>经济指标</t>
    <phoneticPr fontId="7" type="noConversion"/>
  </si>
  <si>
    <t>（二）评价标准和权重</t>
    <phoneticPr fontId="7" type="noConversion"/>
  </si>
  <si>
    <t>历史期间系数</t>
    <phoneticPr fontId="7" type="noConversion"/>
  </si>
  <si>
    <t>--</t>
    <phoneticPr fontId="7" type="noConversion"/>
  </si>
  <si>
    <t>--</t>
    <phoneticPr fontId="7" type="noConversion"/>
  </si>
  <si>
    <t>合计</t>
    <phoneticPr fontId="7" type="noConversion"/>
  </si>
  <si>
    <t>回归分析中，一般要求样本量是自变量个数的10倍（10 EPV），可通过使用季度数据来增加样本量</t>
    <phoneticPr fontId="7" type="noConversion"/>
  </si>
  <si>
    <t>平均损失率</t>
    <phoneticPr fontId="7" type="noConversion"/>
  </si>
  <si>
    <t>20X9年历史损失率</t>
    <phoneticPr fontId="7" type="noConversion"/>
  </si>
  <si>
    <t>20X8年至20X9年迁徙率</t>
    <phoneticPr fontId="7" type="noConversion"/>
  </si>
  <si>
    <t>20X8年历史损失率</t>
    <phoneticPr fontId="7" type="noConversion"/>
  </si>
  <si>
    <t>20X7年至20X8年迁徙率</t>
    <phoneticPr fontId="7" type="noConversion"/>
  </si>
  <si>
    <t>20X7年历史损失率</t>
    <phoneticPr fontId="7" type="noConversion"/>
  </si>
  <si>
    <t>20X6年历史损失率</t>
    <phoneticPr fontId="7" type="noConversion"/>
  </si>
  <si>
    <t>20X5年至20X6年迁徙率</t>
    <phoneticPr fontId="7" type="noConversion"/>
  </si>
  <si>
    <t>因变量（Y）的来源</t>
    <phoneticPr fontId="7" type="noConversion"/>
  </si>
  <si>
    <t>一般需要选择三项经济指标，且需包含GDP。</t>
    <phoneticPr fontId="7" type="noConversion"/>
  </si>
  <si>
    <t>经济指标说明：</t>
    <phoneticPr fontId="7" type="noConversion"/>
  </si>
  <si>
    <t>……</t>
    <phoneticPr fontId="7" type="noConversion"/>
  </si>
  <si>
    <t>过去5年</t>
    <phoneticPr fontId="7" type="noConversion"/>
  </si>
  <si>
    <t>过去4年</t>
    <phoneticPr fontId="7" type="noConversion"/>
  </si>
  <si>
    <t>过去3年</t>
    <phoneticPr fontId="7" type="noConversion"/>
  </si>
  <si>
    <t>过去2年</t>
    <phoneticPr fontId="7" type="noConversion"/>
  </si>
  <si>
    <t>过去1年</t>
    <phoneticPr fontId="7" type="noConversion"/>
  </si>
  <si>
    <t>本年度</t>
    <phoneticPr fontId="7" type="noConversion"/>
  </si>
  <si>
    <t>备注</t>
    <phoneticPr fontId="7" type="noConversion"/>
  </si>
  <si>
    <t>损失率变动</t>
    <phoneticPr fontId="7" type="noConversion"/>
  </si>
  <si>
    <t>城镇固定资产投资</t>
    <phoneticPr fontId="7" type="noConversion"/>
  </si>
  <si>
    <t>CPI滞后3季度</t>
    <phoneticPr fontId="7" type="noConversion"/>
  </si>
  <si>
    <t>CPI滞后2季度</t>
    <phoneticPr fontId="7" type="noConversion"/>
  </si>
  <si>
    <t>居民消费者价格指数（CPI）</t>
    <phoneticPr fontId="7" type="noConversion"/>
  </si>
  <si>
    <t>广义货币（M2）增长率</t>
    <phoneticPr fontId="7" type="noConversion"/>
  </si>
  <si>
    <t>年度</t>
    <phoneticPr fontId="7" type="noConversion"/>
  </si>
  <si>
    <t>（一）经济指标</t>
    <phoneticPr fontId="7" type="noConversion"/>
  </si>
  <si>
    <r>
      <t xml:space="preserve">5. </t>
    </r>
    <r>
      <rPr>
        <sz val="10"/>
        <rFont val="宋体"/>
        <family val="3"/>
        <charset val="134"/>
      </rPr>
      <t>根据评分表确认总得分，然后根据对照表确定前瞻性调整系数。</t>
    </r>
    <phoneticPr fontId="7" type="noConversion"/>
  </si>
  <si>
    <r>
      <t xml:space="preserve">4. </t>
    </r>
    <r>
      <rPr>
        <sz val="10"/>
        <rFont val="宋体"/>
        <family val="3"/>
        <charset val="134"/>
      </rPr>
      <t>取得预测的未来经济指标；</t>
    </r>
  </si>
  <si>
    <r>
      <t xml:space="preserve">3. </t>
    </r>
    <r>
      <rPr>
        <sz val="10"/>
        <rFont val="宋体"/>
        <family val="3"/>
        <charset val="134"/>
      </rPr>
      <t>基于历史数据设定评分值与前瞻性调整系数的对照表；</t>
    </r>
  </si>
  <si>
    <r>
      <t xml:space="preserve">2. </t>
    </r>
    <r>
      <rPr>
        <sz val="10"/>
        <rFont val="宋体"/>
        <family val="3"/>
        <charset val="134"/>
      </rPr>
      <t>设定评分标准和权重；</t>
    </r>
    <phoneticPr fontId="7" type="noConversion"/>
  </si>
  <si>
    <t>历史信息是企业计量预期信用损失的重要基准。某些情形下，未经调整的历史信息可能是最佳的合理且有依据的信息。而其他情形下，企业可能需要使用当期数据对历史数据进行调整，以反映当前状况和未来预测的影响，并剔除与未来现金流量不相关的历史因素的影响。
企业对预期信用损失的估计，应当反映相关可观察数据的变化并与其保持方向一致（例如，就业率、房价、商品价格的变化可能导致一项或一组金融工具信用损失的变化）。</t>
    <phoneticPr fontId="7" type="noConversion"/>
  </si>
  <si>
    <r>
      <t>1.</t>
    </r>
    <r>
      <rPr>
        <sz val="10"/>
        <rFont val="宋体"/>
        <family val="3"/>
        <charset val="134"/>
      </rPr>
      <t>评价企业选择的用于前瞻性调整的经济指标；</t>
    </r>
  </si>
  <si>
    <r>
      <rPr>
        <b/>
        <sz val="10"/>
        <rFont val="宋体"/>
        <family val="3"/>
        <charset val="134"/>
      </rPr>
      <t>二、审计过程：</t>
    </r>
    <phoneticPr fontId="7" type="noConversion"/>
  </si>
  <si>
    <t>企业对预期信用损失的估计，应当反映相关可观察数据的变化并与其保持方向一致（例如，就业率、房价、商品价格的变化可能导致一项或一组金融工具信用损失的变化）。</t>
    <phoneticPr fontId="7" type="noConversion"/>
  </si>
  <si>
    <t>评价被审计单位计量金融工具预期信用损失的方法是否反映在资产负债表日无须付出不必要的额外成本或努力即可获得的有关过去事项、当前状况以及未来经济状况预测的合理且有依据的信息。</t>
    <phoneticPr fontId="7" type="noConversion"/>
  </si>
  <si>
    <r>
      <rPr>
        <b/>
        <sz val="10"/>
        <rFont val="宋体"/>
        <family val="3"/>
        <charset val="134"/>
      </rPr>
      <t>一、审计目标：</t>
    </r>
    <phoneticPr fontId="7" type="noConversion"/>
  </si>
  <si>
    <t>前瞻性调整（宏观指标打分卡）</t>
    <phoneticPr fontId="7" type="noConversion"/>
  </si>
  <si>
    <t>前瞻性调整（损失率提高%）</t>
    <phoneticPr fontId="7" type="noConversion"/>
  </si>
  <si>
    <t>X3</t>
  </si>
  <si>
    <t>X2</t>
  </si>
  <si>
    <t>X1</t>
  </si>
  <si>
    <t>（五）前瞻性调整</t>
    <phoneticPr fontId="7" type="noConversion"/>
  </si>
  <si>
    <t>社会消费品零售总额</t>
    <phoneticPr fontId="7" type="noConversion"/>
  </si>
  <si>
    <t>M2</t>
    <phoneticPr fontId="7" type="noConversion"/>
  </si>
  <si>
    <t>GDP</t>
    <phoneticPr fontId="7" type="noConversion"/>
  </si>
  <si>
    <t>X3</t>
    <phoneticPr fontId="7" type="noConversion"/>
  </si>
  <si>
    <t>‘+</t>
    <phoneticPr fontId="7" type="noConversion"/>
  </si>
  <si>
    <t>X2</t>
    <phoneticPr fontId="7" type="noConversion"/>
  </si>
  <si>
    <t>X1</t>
    <phoneticPr fontId="7" type="noConversion"/>
  </si>
  <si>
    <t>=</t>
    <phoneticPr fontId="7" type="noConversion"/>
  </si>
  <si>
    <t>Y</t>
    <phoneticPr fontId="7" type="noConversion"/>
  </si>
  <si>
    <t>X Variable 3</t>
  </si>
  <si>
    <t>X Variable 2</t>
  </si>
  <si>
    <t>X Variable 1</t>
  </si>
  <si>
    <t>Intercept</t>
  </si>
  <si>
    <t>上限 95.0%</t>
  </si>
  <si>
    <t>下限 95.0%</t>
  </si>
  <si>
    <t>Upper 95%</t>
  </si>
  <si>
    <t>Lower 95%</t>
  </si>
  <si>
    <t>P-value</t>
  </si>
  <si>
    <t>t Stat</t>
  </si>
  <si>
    <t>标准误差</t>
  </si>
  <si>
    <t>Coefficients</t>
  </si>
  <si>
    <t>T检验的结果看P-value，F检验看Significant F值，一般要小于0.05，越小越显著（这个0.05其实是显著性水平，是事先设定的）</t>
    <phoneticPr fontId="7" type="noConversion"/>
  </si>
  <si>
    <t>总计</t>
  </si>
  <si>
    <t>残差</t>
  </si>
  <si>
    <t>Significance F（F显著性统计量）的P值小于显著性水平0.05，则说该回归方程回归效果显著，方程中至少有一个回归系数显著不为0。</t>
    <phoneticPr fontId="7" type="noConversion"/>
  </si>
  <si>
    <t>回归分析</t>
  </si>
  <si>
    <t>通过F检验来判定回归模型的回归效果</t>
    <phoneticPr fontId="7" type="noConversion"/>
  </si>
  <si>
    <t>Significance F</t>
  </si>
  <si>
    <t>F</t>
  </si>
  <si>
    <t>MS</t>
  </si>
  <si>
    <t>SS</t>
  </si>
  <si>
    <t>df</t>
  </si>
  <si>
    <t>方差分析</t>
  </si>
  <si>
    <t>观测值</t>
  </si>
  <si>
    <t>用来衡量拟合程度的大小，也用于计算与回归相关的其它统计量，标准误差越小，说明拟合程度越好</t>
    <phoneticPr fontId="7" type="noConversion"/>
  </si>
  <si>
    <t>调整后的复测定系数R2</t>
    <phoneticPr fontId="7" type="noConversion"/>
  </si>
  <si>
    <t>Adjusted R Square</t>
  </si>
  <si>
    <t>复测定系数，上述复相关系数R的平方。用来说明自变量解释因变量y变差的程度，以测定因变量y的拟合效果</t>
    <phoneticPr fontId="7" type="noConversion"/>
  </si>
  <si>
    <t>R Square</t>
  </si>
  <si>
    <t>（复相关系数R是）R2的平方根，又称相关系数，用来衡量自变量x与y之间的相关程度的大小。</t>
    <phoneticPr fontId="7" type="noConversion"/>
  </si>
  <si>
    <t>Multiple R</t>
  </si>
  <si>
    <t>回归统计</t>
  </si>
  <si>
    <t>Excel中加载“数据分析”：文件→选项→加载项→分析工具库→转到→分析工具库。</t>
    <phoneticPr fontId="7" type="noConversion"/>
  </si>
  <si>
    <t>SUMMARY OUTPUT</t>
  </si>
  <si>
    <t>回归分析中，一般要求样本量是自变量个数的10倍（10 EPV），可通过使用季度数据来增加样本量。</t>
    <phoneticPr fontId="7" type="noConversion"/>
  </si>
  <si>
    <t>年度</t>
    <phoneticPr fontId="7" type="noConversion"/>
  </si>
  <si>
    <t>如果企业没有关于特定金融工具的数据来源或此类来源的数据不够充分，那么企业可以使用同行业内对类似金融工具（或一组类似金融工具）的经验数据。</t>
    <phoneticPr fontId="7" type="noConversion"/>
  </si>
  <si>
    <t>X3^2</t>
    <phoneticPr fontId="7" type="noConversion"/>
  </si>
  <si>
    <t>X2^2</t>
    <phoneticPr fontId="7" type="noConversion"/>
  </si>
  <si>
    <t>X1^2</t>
    <phoneticPr fontId="7" type="noConversion"/>
  </si>
  <si>
    <t>X2X3</t>
    <phoneticPr fontId="7" type="noConversion"/>
  </si>
  <si>
    <t>X1X3</t>
    <phoneticPr fontId="7" type="noConversion"/>
  </si>
  <si>
    <t>X1X2</t>
    <phoneticPr fontId="7" type="noConversion"/>
  </si>
  <si>
    <t>X3</t>
    <phoneticPr fontId="7" type="noConversion"/>
  </si>
  <si>
    <t>X2</t>
    <phoneticPr fontId="7" type="noConversion"/>
  </si>
  <si>
    <t>X1</t>
    <phoneticPr fontId="7" type="noConversion"/>
  </si>
  <si>
    <t>年度</t>
    <phoneticPr fontId="7" type="noConversion"/>
  </si>
  <si>
    <t>（三）回归分析</t>
    <phoneticPr fontId="7" type="noConversion"/>
  </si>
  <si>
    <t xml:space="preserve">比较准确的方法应该是将各年损失率偏离长期平均损失率的程度作为因变量。
</t>
    <phoneticPr fontId="7" type="noConversion"/>
  </si>
  <si>
    <t>若直接将前瞻性信息用于损失率的调整，则因变量为历史期间损失率的变动比率。</t>
    <phoneticPr fontId="7" type="noConversion"/>
  </si>
  <si>
    <t>--</t>
    <phoneticPr fontId="7" type="noConversion"/>
  </si>
  <si>
    <t>回归分析中，一般要求样本量是自变量个数的10倍（10 EPV），可通过使用季度数据来增加样本量</t>
    <phoneticPr fontId="7" type="noConversion"/>
  </si>
  <si>
    <t>平均损失率</t>
    <phoneticPr fontId="7" type="noConversion"/>
  </si>
  <si>
    <t>20X9年历史损失率</t>
    <phoneticPr fontId="7" type="noConversion"/>
  </si>
  <si>
    <t>20X8年历史损失率</t>
    <phoneticPr fontId="7" type="noConversion"/>
  </si>
  <si>
    <t>20X7年至20X8年迁徙率</t>
    <phoneticPr fontId="7" type="noConversion"/>
  </si>
  <si>
    <t>20X7年历史损失率</t>
    <phoneticPr fontId="7" type="noConversion"/>
  </si>
  <si>
    <t>（二）因变量（Y）的来源</t>
    <phoneticPr fontId="7" type="noConversion"/>
  </si>
  <si>
    <t>一般需要选择两、三项经济指标，且需包含GDP。</t>
    <phoneticPr fontId="7" type="noConversion"/>
  </si>
  <si>
    <t>……</t>
    <phoneticPr fontId="7" type="noConversion"/>
  </si>
  <si>
    <t>过去5年</t>
    <phoneticPr fontId="7" type="noConversion"/>
  </si>
  <si>
    <t>过去4年</t>
    <phoneticPr fontId="7" type="noConversion"/>
  </si>
  <si>
    <t>过去3年</t>
    <phoneticPr fontId="7" type="noConversion"/>
  </si>
  <si>
    <t>过去2年</t>
    <phoneticPr fontId="7" type="noConversion"/>
  </si>
  <si>
    <t>过去1年</t>
    <phoneticPr fontId="7" type="noConversion"/>
  </si>
  <si>
    <t>损失率变动Y</t>
    <phoneticPr fontId="7" type="noConversion"/>
  </si>
  <si>
    <t>居民消费者价格指数（CPI）</t>
    <phoneticPr fontId="7" type="noConversion"/>
  </si>
  <si>
    <t>（一）经济指标</t>
    <phoneticPr fontId="7" type="noConversion"/>
  </si>
  <si>
    <r>
      <t xml:space="preserve">5. </t>
    </r>
    <r>
      <rPr>
        <sz val="10"/>
        <rFont val="宋体"/>
        <family val="3"/>
        <charset val="134"/>
      </rPr>
      <t>回归方程计算确定前瞻性调整数值。</t>
    </r>
    <phoneticPr fontId="7" type="noConversion"/>
  </si>
  <si>
    <r>
      <t xml:space="preserve">4. </t>
    </r>
    <r>
      <rPr>
        <sz val="10"/>
        <rFont val="宋体"/>
        <family val="3"/>
        <charset val="134"/>
      </rPr>
      <t>取得预测的未来经济指标；</t>
    </r>
    <phoneticPr fontId="7" type="noConversion"/>
  </si>
  <si>
    <r>
      <t xml:space="preserve">3.  </t>
    </r>
    <r>
      <rPr>
        <sz val="10"/>
        <rFont val="宋体"/>
        <family val="3"/>
        <charset val="134"/>
      </rPr>
      <t>通过回归分析确定经济指标历史上与损失率或损失率调整之间的关系；</t>
    </r>
    <phoneticPr fontId="7" type="noConversion"/>
  </si>
  <si>
    <r>
      <t xml:space="preserve">2. </t>
    </r>
    <r>
      <rPr>
        <sz val="10"/>
        <rFont val="宋体"/>
        <family val="3"/>
        <charset val="134"/>
      </rPr>
      <t>计算因变量；</t>
    </r>
    <phoneticPr fontId="7" type="noConversion"/>
  </si>
  <si>
    <t>历史信息是企业计量预期信用损失的重要基准。某些情形下，未经调整的历史信息可能是最佳的合理且有依据的信息。而其他情形下，企业可能需要使用当期数据对历史数据进行调整，以反映当前状况和未来预测的影响，并剔除与未来现金流量不相关的历史因素的影响。
企业对预期信用损失的估计，应当反映相关可观察数据的变化并与其保持方向一致（例如，就业率、房价、商品价格的变化可能导致一项或一组金融工具信用损失的变化）。</t>
    <phoneticPr fontId="7" type="noConversion"/>
  </si>
  <si>
    <r>
      <t>1.</t>
    </r>
    <r>
      <rPr>
        <sz val="10"/>
        <rFont val="宋体"/>
        <family val="3"/>
        <charset val="134"/>
      </rPr>
      <t>评价企业选择的用于前瞻性调整的经济指标；</t>
    </r>
    <phoneticPr fontId="7" type="noConversion"/>
  </si>
  <si>
    <t>评价被审计单位计量金融工具预期信用损失的方法是否反映在资产负债表日无须付出不必要的额外成本或努力即可获得的有关过去事项、当前状况以及未来经济状况预测的合理且有依据的信息。</t>
    <phoneticPr fontId="7" type="noConversion"/>
  </si>
  <si>
    <t>前瞻性调整（相关性分析）</t>
    <phoneticPr fontId="7" type="noConversion"/>
  </si>
  <si>
    <r>
      <t>还可以考虑增加自变量X1*X2、X1*X3、X1*X4、X2*X3、X2*X4、X3*X4，以及X1</t>
    </r>
    <r>
      <rPr>
        <vertAlign val="superscript"/>
        <sz val="10"/>
        <rFont val="宋体"/>
        <family val="3"/>
        <charset val="134"/>
      </rPr>
      <t>2</t>
    </r>
    <r>
      <rPr>
        <sz val="10"/>
        <rFont val="宋体"/>
        <family val="3"/>
        <charset val="134"/>
      </rPr>
      <t>、X2</t>
    </r>
    <r>
      <rPr>
        <vertAlign val="superscript"/>
        <sz val="10"/>
        <rFont val="宋体"/>
        <family val="3"/>
        <charset val="134"/>
      </rPr>
      <t>2</t>
    </r>
    <r>
      <rPr>
        <sz val="10"/>
        <rFont val="宋体"/>
        <family val="3"/>
        <charset val="134"/>
      </rPr>
      <t>、X3</t>
    </r>
    <r>
      <rPr>
        <vertAlign val="superscript"/>
        <sz val="10"/>
        <rFont val="宋体"/>
        <family val="3"/>
        <charset val="134"/>
      </rPr>
      <t>2</t>
    </r>
    <r>
      <rPr>
        <sz val="10"/>
        <rFont val="宋体"/>
        <family val="3"/>
        <charset val="134"/>
      </rPr>
      <t>、X4</t>
    </r>
    <r>
      <rPr>
        <vertAlign val="superscript"/>
        <sz val="10"/>
        <rFont val="宋体"/>
        <family val="3"/>
        <charset val="134"/>
      </rPr>
      <t>2</t>
    </r>
    <r>
      <rPr>
        <sz val="10"/>
        <rFont val="宋体"/>
        <family val="3"/>
        <charset val="134"/>
      </rPr>
      <t>。</t>
    </r>
    <phoneticPr fontId="7" type="noConversion"/>
  </si>
  <si>
    <t>CPI指标相关性较低，选取GDP（X1）、M2（X2）、社会消费品零售总额（X3）、城镇固定资产投资增长率（X4）进行多重共线性分析。</t>
    <phoneticPr fontId="7" type="noConversion"/>
  </si>
  <si>
    <t>（二）指标相关性</t>
    <phoneticPr fontId="7" type="noConversion"/>
  </si>
  <si>
    <t>准确起见，要考虑经济指标的滞后性，如GDP滞后2季度、货币供应量滞后2季度、消费者物价指数滞后1季度等等</t>
    <phoneticPr fontId="7" type="noConversion"/>
  </si>
  <si>
    <t>（一）经济指标</t>
    <phoneticPr fontId="7" type="noConversion"/>
  </si>
  <si>
    <r>
      <rPr>
        <b/>
        <sz val="10"/>
        <rFont val="宋体"/>
        <family val="3"/>
        <charset val="134"/>
      </rPr>
      <t>二、审计过程：</t>
    </r>
    <phoneticPr fontId="7" type="noConversion"/>
  </si>
  <si>
    <t>选取相关性最高的指标</t>
    <phoneticPr fontId="7" type="noConversion"/>
  </si>
  <si>
    <t>变量相关性分析</t>
    <phoneticPr fontId="7" type="noConversion"/>
  </si>
  <si>
    <r>
      <rPr>
        <b/>
        <sz val="10"/>
        <rFont val="宋体"/>
        <family val="3"/>
        <charset val="134"/>
      </rPr>
      <t>四、审计结论：</t>
    </r>
    <phoneticPr fontId="7" type="noConversion"/>
  </si>
  <si>
    <t>本次检验过程中的阀值设为0.8。得到最终的用于回归方程的宏观指标：GDP、M2、社会消费品零售总额。
当两个指标的相关性较高时，剔除与单变量分析中与违约概率相关性较低的指标。</t>
    <phoneticPr fontId="7" type="noConversion"/>
  </si>
  <si>
    <r>
      <rPr>
        <b/>
        <sz val="10"/>
        <rFont val="宋体"/>
        <family val="3"/>
        <charset val="134"/>
      </rPr>
      <t>三、审计说明：</t>
    </r>
    <phoneticPr fontId="7" type="noConversion"/>
  </si>
  <si>
    <t>（二）多重共线性</t>
    <phoneticPr fontId="7" type="noConversion"/>
  </si>
  <si>
    <t>准确起见，要考虑经济指标的滞后性，如GDP滞后2季度、货币供应量滞后2季度、消费者物价指数滞后1季度等等</t>
    <phoneticPr fontId="7" type="noConversion"/>
  </si>
  <si>
    <t>……</t>
    <phoneticPr fontId="7" type="noConversion"/>
  </si>
  <si>
    <t>过去5年</t>
    <phoneticPr fontId="7" type="noConversion"/>
  </si>
  <si>
    <t>过去4年</t>
    <phoneticPr fontId="7" type="noConversion"/>
  </si>
  <si>
    <t>过去3年</t>
    <phoneticPr fontId="7" type="noConversion"/>
  </si>
  <si>
    <t>过去2年</t>
    <phoneticPr fontId="7" type="noConversion"/>
  </si>
  <si>
    <t>过去1年</t>
    <phoneticPr fontId="7" type="noConversion"/>
  </si>
  <si>
    <t>本年度</t>
    <phoneticPr fontId="7" type="noConversion"/>
  </si>
  <si>
    <t>备注</t>
    <phoneticPr fontId="7" type="noConversion"/>
  </si>
  <si>
    <t>年度</t>
    <phoneticPr fontId="7" type="noConversion"/>
  </si>
  <si>
    <t>消除因子之间的高度相关性关系对于模型结果的影响</t>
    <phoneticPr fontId="7" type="noConversion"/>
  </si>
  <si>
    <t>多重共线性分析</t>
    <phoneticPr fontId="7" type="noConversion"/>
  </si>
  <si>
    <t>索引号：</t>
    <phoneticPr fontId="7" type="noConversion"/>
  </si>
  <si>
    <t>确定对于未丧失控制权的金融资产转移，应确认为质押借款。</t>
  </si>
  <si>
    <t>继续涉入被转移金融资产的程度，是指企业承担的被转移金融资产价值变动风险或报酬的程度。</t>
    <phoneticPr fontId="7" type="noConversion"/>
  </si>
  <si>
    <r>
      <rPr>
        <b/>
        <sz val="10"/>
        <color rgb="FF0000FF"/>
        <rFont val="宋体"/>
        <family val="3"/>
        <charset val="134"/>
      </rPr>
      <t>步骤九：</t>
    </r>
    <r>
      <rPr>
        <sz val="10"/>
        <color rgb="FF0000FF"/>
        <rFont val="宋体"/>
        <family val="3"/>
        <charset val="134"/>
      </rPr>
      <t>按企业继续涉入被转移金融资产的程度继续确认被转移金融资产</t>
    </r>
    <phoneticPr fontId="7" type="noConversion"/>
  </si>
  <si>
    <t>应当重点关注转入方出售该金融资产的实际能力，而不是仅关注合同赋予的权利。</t>
    <phoneticPr fontId="7" type="noConversion"/>
  </si>
  <si>
    <t>如果转入方能够单独将转入的金融资产整体出售给与其不存在关联方关系的第三方，且没有额外条件对此项出售加以限制，说明转入方有出售该金融资产的实际能力</t>
    <phoneticPr fontId="7" type="noConversion"/>
  </si>
  <si>
    <r>
      <rPr>
        <b/>
        <sz val="10"/>
        <color rgb="FF0000FF"/>
        <rFont val="宋体"/>
        <family val="3"/>
        <charset val="134"/>
      </rPr>
      <t>步骤八：</t>
    </r>
    <r>
      <rPr>
        <sz val="10"/>
        <color rgb="FF0000FF"/>
        <rFont val="宋体"/>
        <family val="3"/>
        <charset val="134"/>
      </rPr>
      <t>分析企业是否保留了控制</t>
    </r>
    <phoneticPr fontId="7" type="noConversion"/>
  </si>
  <si>
    <r>
      <t>保理融资额为发票金额的一定比例（假设为</t>
    </r>
    <r>
      <rPr>
        <b/>
        <sz val="10"/>
        <color rgb="FF0000FF"/>
        <rFont val="Arial"/>
        <family val="2"/>
      </rPr>
      <t>90%</t>
    </r>
    <r>
      <rPr>
        <b/>
        <sz val="10"/>
        <color rgb="FF0000FF"/>
        <rFont val="宋体"/>
        <family val="3"/>
        <charset val="134"/>
      </rPr>
      <t>），存在超额抵押，转让方实质上以自留份额为保理商回收应收账款提供担保</t>
    </r>
    <r>
      <rPr>
        <b/>
        <sz val="10"/>
        <color rgb="FF0000FF"/>
        <rFont val="Arial"/>
        <family val="2"/>
      </rPr>
      <t>——</t>
    </r>
    <r>
      <rPr>
        <b/>
        <sz val="10"/>
        <color rgb="FF0000FF"/>
        <rFont val="宋体"/>
        <family val="3"/>
        <charset val="134"/>
      </rPr>
      <t>除非发票金额对应的收款额全部归保理商（即不存在多退少补）。</t>
    </r>
    <phoneticPr fontId="7" type="noConversion"/>
  </si>
  <si>
    <t>以自留部分为转让部分提供信用增级、触发回购的情形未明确仅包括商业风险（或未明确排除商业风险以外的风险因素）、承担延迟付款风险</t>
    <phoneticPr fontId="7" type="noConversion"/>
  </si>
  <si>
    <t>若回购是针对出售日应收账款是否存在以及发生商业纠纷（明确定义为由商业风险因素导致的）等导致债务人违约等与应收账款所对应商业交易相关的条款，则一般不影响与应收账款相关的风险和报酬转移程度的分析</t>
    <phoneticPr fontId="7" type="noConversion"/>
  </si>
  <si>
    <t>步骤七：是否保留了金融资产所有权上几乎所有风险和报酬</t>
    <phoneticPr fontId="7" type="noConversion"/>
  </si>
  <si>
    <t>销售商给客户提供的数量折扣条件无需纳入风险和报酬分析，因为数量折扣与销售商与其客户之间的总体合同关系相关，不与应收款项本身相关。</t>
    <phoneticPr fontId="7" type="noConversion"/>
  </si>
  <si>
    <t>应当考虑在转让后保留的风险和报酬与转让前的风险和报酬相比是否不再重大。历史上没有违约和逾期未付的记录并不能证明转让的应收账款没有风险。</t>
    <phoneticPr fontId="7" type="noConversion"/>
  </si>
  <si>
    <t>对于短期应收账款而言，面临的主要风险是信用风险（即付款人无法还款的风险）和延迟支付风险（即付款人逾期未支付的风险），而对于期限较长的应收款项，可能还会面临提前偿付风险</t>
    <phoneticPr fontId="7" type="noConversion"/>
  </si>
  <si>
    <r>
      <rPr>
        <b/>
        <sz val="10"/>
        <color rgb="FF0000FF"/>
        <rFont val="宋体"/>
        <family val="3"/>
        <charset val="134"/>
      </rPr>
      <t>步骤六：</t>
    </r>
    <r>
      <rPr>
        <sz val="10"/>
        <color rgb="FF0000FF"/>
        <rFont val="宋体"/>
        <family val="3"/>
        <charset val="134"/>
      </rPr>
      <t>是否转移了金融资产所有权上几乎所有风险和报酬</t>
    </r>
    <phoneticPr fontId="7" type="noConversion"/>
  </si>
  <si>
    <t>当且仅当同时符合三个条件（不垫付、不控制、不延误）时，才能按照金融资产转移的情形进行后续分析及处理，否则，应予以继续确认</t>
    <phoneticPr fontId="7" type="noConversion"/>
  </si>
  <si>
    <t>企业保留了收取金融资产现金流量的合同权利，但承担了将收取的该现金流量支付给一个或多个最终收款方的合同义务。这种金融资产转移情形常见于资产证券化业务</t>
    <phoneticPr fontId="7" type="noConversion"/>
  </si>
  <si>
    <r>
      <rPr>
        <b/>
        <sz val="10"/>
        <color rgb="FF0000FF"/>
        <rFont val="宋体"/>
        <family val="3"/>
        <charset val="134"/>
      </rPr>
      <t>步骤五：</t>
    </r>
    <r>
      <rPr>
        <sz val="10"/>
        <color rgb="FF0000FF"/>
        <rFont val="宋体"/>
        <family val="3"/>
        <charset val="134"/>
      </rPr>
      <t>是否通过“过手安排”测试</t>
    </r>
    <phoneticPr fontId="7" type="noConversion"/>
  </si>
  <si>
    <t>在这种情形下，转入方拥有了获取被转移金融资产所有未来现金流量的权利</t>
    <phoneticPr fontId="7" type="noConversion"/>
  </si>
  <si>
    <t>通常表现为金融资产的合法出售或者金融资产现金流量权利的合法转移（例如办理了转让登记）</t>
    <phoneticPr fontId="7" type="noConversion"/>
  </si>
  <si>
    <r>
      <rPr>
        <b/>
        <sz val="10"/>
        <color rgb="FF0000FF"/>
        <rFont val="宋体"/>
        <family val="3"/>
        <charset val="134"/>
      </rPr>
      <t>步骤四：</t>
    </r>
    <r>
      <rPr>
        <sz val="10"/>
        <color rgb="FF0000FF"/>
        <rFont val="宋体"/>
        <family val="3"/>
        <charset val="134"/>
      </rPr>
      <t>判断企业是否已转移收取金融资产现金流量的权利</t>
    </r>
    <phoneticPr fontId="7" type="noConversion"/>
  </si>
  <si>
    <t>对保理或证券的应收账款而言，通常收取金融资产的现金流量的合同权利没有终止</t>
    <phoneticPr fontId="7" type="noConversion"/>
  </si>
  <si>
    <t>若收取金融资产的现金流量的合同权利没有终止，企业应当判断是否转移了金融资产，并根据以下有关金融资产转移的相关判断标准确定是否应当终止确认被转移金融资产。</t>
    <phoneticPr fontId="7" type="noConversion"/>
  </si>
  <si>
    <r>
      <rPr>
        <b/>
        <sz val="10"/>
        <color rgb="FF0000FF"/>
        <rFont val="宋体"/>
        <family val="3"/>
        <charset val="134"/>
      </rPr>
      <t>步骤三：</t>
    </r>
    <r>
      <rPr>
        <sz val="10"/>
        <color rgb="FF0000FF"/>
        <rFont val="宋体"/>
        <family val="3"/>
        <charset val="134"/>
      </rPr>
      <t>确定收取金融资产现金流量的合同权利是否终止</t>
    </r>
    <phoneticPr fontId="7" type="noConversion"/>
  </si>
  <si>
    <r>
      <t>对应收账款保理业务而言，通常不能按终止确认规则对应收账款的一部分（优先档</t>
    </r>
    <r>
      <rPr>
        <b/>
        <sz val="10"/>
        <color rgb="FF0000FF"/>
        <rFont val="Arial"/>
        <family val="2"/>
      </rPr>
      <t>/</t>
    </r>
    <r>
      <rPr>
        <b/>
        <sz val="10"/>
        <color rgb="FF0000FF"/>
        <rFont val="宋体"/>
        <family val="3"/>
        <charset val="134"/>
      </rPr>
      <t>折后部分）进行处理</t>
    </r>
    <phoneticPr fontId="7" type="noConversion"/>
  </si>
  <si>
    <t>优先受偿的特定部分现金流既不是能够明确辨认的现金流量也不是全部或部分现金流量的完全成比例的一个份额</t>
    <phoneticPr fontId="7" type="noConversion"/>
  </si>
  <si>
    <t>除非特定可辨认或完全成比例，有关金融资产终止确认的相关规定适用于金融资产的整体。</t>
    <phoneticPr fontId="7" type="noConversion"/>
  </si>
  <si>
    <r>
      <rPr>
        <b/>
        <sz val="10"/>
        <color rgb="FF0000FF"/>
        <rFont val="宋体"/>
        <family val="3"/>
        <charset val="134"/>
      </rPr>
      <t>步骤二：</t>
    </r>
    <r>
      <rPr>
        <sz val="10"/>
        <color rgb="FF0000FF"/>
        <rFont val="宋体"/>
        <family val="3"/>
        <charset val="134"/>
      </rPr>
      <t>确定金融资产是部分还是整体适用终止确认原则</t>
    </r>
    <phoneticPr fontId="7" type="noConversion"/>
  </si>
  <si>
    <t>在资产证券化实务中，企业通常设立“信托计划”“专项支持计划”等结构化主体作为结构化融资的载体</t>
    <phoneticPr fontId="7" type="noConversion"/>
  </si>
  <si>
    <t>如果是合并财务报表，企业应当首先按照《企业会计准则第33号——合并财务报表》及《企业会计准则解释第8号》等有关规定合并所有子公司（含结构化主体），然后将金融资产转移准则的规定应用于合并财务报表</t>
    <phoneticPr fontId="7" type="noConversion"/>
  </si>
  <si>
    <r>
      <rPr>
        <b/>
        <sz val="10"/>
        <color rgb="FF0000FF"/>
        <rFont val="宋体"/>
        <family val="3"/>
        <charset val="134"/>
      </rPr>
      <t>步骤一：</t>
    </r>
    <r>
      <rPr>
        <sz val="10"/>
        <color rgb="FF0000FF"/>
        <rFont val="宋体"/>
        <family val="3"/>
        <charset val="134"/>
      </rPr>
      <t>确定适用金融资产终止确认规定的报告主体层面</t>
    </r>
    <phoneticPr fontId="7" type="noConversion"/>
  </si>
  <si>
    <t>注意事项</t>
    <phoneticPr fontId="7" type="noConversion"/>
  </si>
  <si>
    <t>判断要点</t>
    <phoneticPr fontId="7" type="noConversion"/>
  </si>
  <si>
    <r>
      <rPr>
        <b/>
        <sz val="10"/>
        <color rgb="FF0000FF"/>
        <rFont val="宋体"/>
        <family val="3"/>
        <charset val="134"/>
      </rPr>
      <t>判断步骤</t>
    </r>
    <phoneticPr fontId="7" type="noConversion"/>
  </si>
  <si>
    <t>提示：终止确认分析流程参考</t>
    <phoneticPr fontId="7" type="noConversion"/>
  </si>
  <si>
    <r>
      <rPr>
        <b/>
        <sz val="10"/>
        <rFont val="宋体"/>
        <family val="3"/>
        <charset val="134"/>
      </rPr>
      <t>四、审计结论</t>
    </r>
    <phoneticPr fontId="7" type="noConversion"/>
  </si>
  <si>
    <r>
      <rPr>
        <b/>
        <sz val="10"/>
        <rFont val="宋体"/>
        <family val="3"/>
        <charset val="134"/>
      </rPr>
      <t>三、审计说明</t>
    </r>
    <phoneticPr fontId="7" type="noConversion"/>
  </si>
  <si>
    <t>保留了几乎所有的风险和报酬，不能终止确认</t>
    <phoneticPr fontId="7" type="noConversion"/>
  </si>
  <si>
    <t>--</t>
    <phoneticPr fontId="7" type="noConversion"/>
  </si>
  <si>
    <t>应结合应收账款的信用风险特征进行分析，不能因为形式上无追索权而直接终止确认该应收账款。</t>
    <phoneticPr fontId="7" type="noConversion"/>
  </si>
  <si>
    <t>分析结论</t>
    <phoneticPr fontId="7" type="noConversion"/>
  </si>
  <si>
    <t>实质上以应收债务人的所有款项为保理的应收账款做了担保</t>
    <phoneticPr fontId="7" type="noConversion"/>
  </si>
  <si>
    <t>本合同项下应收账款到期收取方式为由债务人直接向保理商付款，转让方承诺已通知债务人付款至保理商指定账户，并同意商务合同项下的全部应收账款（包括未转让的）优先支付至保理商账户。</t>
    <phoneticPr fontId="7" type="noConversion"/>
  </si>
  <si>
    <t>保理商优先收款权的存在可能导致保理商实质上几乎不承担买方信用风险。</t>
    <phoneticPr fontId="7" type="noConversion"/>
  </si>
  <si>
    <t>其他相关条款</t>
    <phoneticPr fontId="7" type="noConversion"/>
  </si>
  <si>
    <t>下述各项承诺与保证在所有重要方面于本合同签署之日均属真实、完整和准确，并保证自应收账款债权转让日应收账款债权清偿完毕之日持续有效：
卖方信用质量良好，无重大不良记录，卖方的经营状况、财务状况没有发生重大不利变化，且在过去一年中未因产品/服务质量或履约期限等问题而发生商业纠纷，与买方或其关联方之间无任何未决争议或债权债务纠纷。</t>
    <phoneticPr fontId="7" type="noConversion"/>
  </si>
  <si>
    <t>由于合同要转让方的陈述与保证在协议有效期内持续有效，应区分“商业纠纷”“债权债务纠纷”是仅包括商业风险因素导致的、还是也包含因债务人信用风险等因素导致的，在合同中并未明确仅包括商业风险（或未明确排除商业风险以外的风险因素），即在该应收账款保理业务下，也可能由于债务人信用风险、迟付风险等因素导致双方之间的纠纷并导致应收账款无法按期收回，从而触发转让方违约，进而需要回购应收账款。</t>
    <phoneticPr fontId="7" type="noConversion"/>
  </si>
  <si>
    <t>乙方（转让方）的陈述与保证
在本协议签署之日以及乙方每次向甲方申请办理保理业务并转让应收账款时，乙方重复陈述和保证如下：
（三） 乙方与债务人之间无任何未决商业纠纷或债权债务纠纷。
（九） 以上陈述和保证在本协议有效期内持续有效。乙方承认，甲方是基于乙方的上述陈述和保证才签订本协议的。</t>
    <phoneticPr fontId="7" type="noConversion"/>
  </si>
  <si>
    <t>对于“债务纠纷、债务追索”触发回购的情况下，则应区分该“债务纠纷、债务追索”仅包括商业风险因素导致的、还是也包含因债务人信用风险等因素导致的。如果在合同并未明确仅包括商业风险（或未明确排除商业风险以外的风险因素），即在该应收账款保理业务下，也可能由于买方信用风险、迟付风险等因素导致债务纠纷或债务追偿并导致应收账款无法收回，从而触发转让方需要回购应收账款，在此情况下，转让方保留了应收账款的信用风险。</t>
    <phoneticPr fontId="7" type="noConversion"/>
  </si>
  <si>
    <t>要求转让方（乙方）对未来提出保证，未定义“经济纠纷”，未明确排除商业风险以外的风险因素，且存在兜底条款，导致保理商实质上可以将商务合同买方任何风险归于此条，从而触发乙方回购。
乙方有义务配合甲方向商务合同买方行使追索权并承担一切费用，导致保理商即使因为买方信用风险不能向乙方追索，也不会实际承担任何损失。买方信用风险和延迟支付风险并未转移。</t>
    <phoneticPr fontId="7" type="noConversion"/>
  </si>
  <si>
    <t>（一）在签订本协议之前乙方、商务合同买方之间不存在任何与本协议有关的或其他贸易争议或经济纠纷，且今后双方之间发生的任何事件均不影响本协议相关债务的履行……（十六）发生以下情况，乙方应在发生之日起 5 日内通知甲方，并按甲方的要求落实好本协议项下甲方债权保障措施：1.发生任何违约事件或可能导致违约的事件……
（二十二）当甲方向商务合同买方行使追索权时，乙方应配合甲方提供一切足以证明债权的材料；当甲方认为必要的时候，有权要求乙方与自己联名对商务合同买方采取诉讼和其他依法强制措施，并由乙方承担由此产生的一切费用。</t>
    <phoneticPr fontId="7" type="noConversion"/>
  </si>
  <si>
    <t>保理协议通常会要求转出方作出“承诺与保证”，这些条款若仅用于保护保理商不承担商业纠纷导致的风险，或者用于发生商业纠纷从而反索时保护保理商可以足额收款，则属于常规声明和保证。
但若保理协议要求转出方对款项未来的可收回性作出承诺，或者设定了其他对可收回性兜底的约定，则该等承诺与保证将导致风险和报酬并未实质上转移。例如转出方承诺：转出方已按商务合同约定充分、合法地履行了全部义务，并且该履行将不会引致商务合同买方对应收账款付款的任何抗辩。</t>
    <phoneticPr fontId="7" type="noConversion"/>
  </si>
  <si>
    <t>转让方的陈述与保证/承诺与保证</t>
    <phoneticPr fontId="7" type="noConversion"/>
  </si>
  <si>
    <t>存在兜底条款，导致保理商实质上可以将商务合同买方任何风险归于此条，从而触发转让方违约进而回购。</t>
    <phoneticPr fontId="7" type="noConversion"/>
  </si>
  <si>
    <t>出现下列任何一种情形，即构成一般违约事件：5．其他损害甲方权益的情况。</t>
    <phoneticPr fontId="7" type="noConversion"/>
  </si>
  <si>
    <t>违约事件的范围不能过于宽泛，不应包含兜底条款，例如：“其他损害保理商权益的情况”、“保理商认为债权人或债务人的行为造成应收账款无法回收的情形”等</t>
    <phoneticPr fontId="7" type="noConversion"/>
  </si>
  <si>
    <t>违约事件</t>
    <phoneticPr fontId="7" type="noConversion"/>
  </si>
  <si>
    <t>发生“异议、抗辩、反诉”即触发回购，应区分该“异议、抗辩、反诉”仅包括商业风险因素导致的、还是也包含因债务人信用风险等因素导致的，在协议中并未明确仅包括商业风险（或未明确排除商业风险以外的风险因素）</t>
    <phoneticPr fontId="7" type="noConversion"/>
  </si>
  <si>
    <t>如发生下列情形之一，乙方（转让方）须回购转让给甲方的应收账款：
债务人对有关应收账款提出异议、抗辩、反诉或抵销，影响甲方应收账款收回的……</t>
    <phoneticPr fontId="7" type="noConversion"/>
  </si>
  <si>
    <t>反转让条款的范围不能过于宽泛，不应包含兜底条款，例如：“其他损害保理商权益的情况”、“保理商认为债权人或债务人的行为造成应收账款无法回收的情形”——可能导致保理商在任何情况下都不承担风险。</t>
    <phoneticPr fontId="7" type="noConversion"/>
  </si>
  <si>
    <t>回购</t>
    <phoneticPr fontId="7" type="noConversion"/>
  </si>
  <si>
    <t>追索不以商业纠纷或违约为前提，保理上实质上不承担商务合同买方任何风险。</t>
    <phoneticPr fontId="7" type="noConversion"/>
  </si>
  <si>
    <t>即使甲方未出具《保理回购通知书》，甲方亦有权在保理期间逾期而未足额受偿时直接对乙方（转让方）行使追索权。
在不损害甲方依据本合同享有的任何权利的条件下，如任何一笔交易债权在到期日未获得全部清偿，甲方有权随时向乙方发出《债权回让函告》，将届时的剩余交易债权转让给乙方。</t>
    <phoneticPr fontId="7" type="noConversion"/>
  </si>
  <si>
    <t>反转让条款或违约事件应明确限定于商业纠纷、对初始资产状况（合格应收账款）的约定或减资、修改章程、破产等例外事项，而非宽泛的转让方任何违约。</t>
    <phoneticPr fontId="7" type="noConversion"/>
  </si>
  <si>
    <t>追索/反索</t>
    <phoneticPr fontId="7" type="noConversion"/>
  </si>
  <si>
    <t>“交叉违约”触发回购，实质上可能使得保理商可在承租人违约情况下自行解释为乙方违约，并要求乙方回购，从而保理商不承担承租人任何风险。</t>
    <phoneticPr fontId="7" type="noConversion"/>
  </si>
  <si>
    <t>交叉违约事件：
（1）乙方（转让方）超过  万元的任何其他债务在约定的到期日之前需要支付或被宣布为应支付；（2）乙方任何其他债务在约定的到期日未能支付；（3）任何其他债权人取得乙方的全部或任何部分业务或资产的所有权，或针对乙方任何资产的裁决或判决被强制执行，从而实质上地影响乙方履行本合同项下义务的能力。</t>
    <phoneticPr fontId="7" type="noConversion"/>
  </si>
  <si>
    <t>交叉保护条款和一般保护性条款/违约条款虽然一般取决于转出方自身信用状况，不与原始债务人的信用风险相关，但从经济实质上考虑，保理商不会增加过多“无实质意义”的“一般性保护条款”，需要综合考虑各条款和条件的综合影响。并且，不能因为这些条款与债务人无关就直接认定不影响风险和报酬转移，当对应的情形很可能发生或者保理商可以自行认定是否已经发生时，保理商实质上可以通过这些条款不承担债务人的信用风险或延迟支付风险。</t>
    <phoneticPr fontId="7" type="noConversion"/>
  </si>
  <si>
    <t>交叉违约条款</t>
    <phoneticPr fontId="7" type="noConversion"/>
  </si>
  <si>
    <t>保理融资额为发票金额的一定比例（假设为90%），存在超额抵押，转让方（乙方）实质上以自留份额为保理商回收应收账款提供担保——除非发票金额对应的收款额全部归保理商（即不存在多退少补）或每收到100元转让方与保理商按比例分配（即公司取得10元、保理商取得90元）。由追加收购款支付给乙方的约定可知，商多收以后要退还给乙方，存在超额担保，报酬并未转移。此外，逾期支付违约金的存在表明风险（延迟支付风险）并未转移。</t>
    <phoneticPr fontId="7" type="noConversion"/>
  </si>
  <si>
    <t>收购款。（一）基本收购款。基本收购款为所转让应收账款金额的X%；
（二）追加收购款。甲方根据以下情况决定是否发放追加收购款：
1．在甲方所受让的应收账款获得完全付款的情况下，由甲方按照Y%×本合同所转让应收账款债权额-相关逾期支付违约金及实际发生的管理及追索费用后作为追加收购款支付给乙方；
上述“完全付款”包括但不限于应收账款本金、逾期违约金或类似性质的责任赔偿金、滞纳金、罚金等的完全收回。</t>
    <phoneticPr fontId="7" type="noConversion"/>
  </si>
  <si>
    <t xml:space="preserve">
保理融资额为发票金额的一定比例（假设为90%），存在超额抵押，转让方实质上以自留份额为保理商回收应收账款提供担保——除非发票金额对应的收款额全部归保理商（即不存在多退少补）或每收到100元转让方与保理商按比例分配（即公司取得10元、保理商取得90元；此时则还需进一步量化分析）。</t>
    <phoneticPr fontId="7" type="noConversion"/>
  </si>
  <si>
    <t>追加收购款</t>
    <phoneticPr fontId="7" type="noConversion"/>
  </si>
  <si>
    <t>保理融资额为发票金额的一定比例（假设为90%），存在超额抵押，转让方实质上以自留份额为保理商回收应收账款提供担保——除非发票金额对应的收款额全部归保理商（即不存在多退少补）或每收到100元转让方与保理商按比例分配（即公司取得10元、保理商取得90元）。由保理余款退还给转让人的约定可知，保理商多收以后要退还给转让方，存在超额担保，报酬并未转移。</t>
    <phoneticPr fontId="7" type="noConversion"/>
  </si>
  <si>
    <t>保理申请人将应收账款债权及相关权利转让给保理银行，经保理银行审查确认后，按照本合同项下每笔应收账款实有金额对应的保理融资金额（见附件《应收账款转让清单》）之和的    %  ，给予保理申请人总额为人民币    元的保理业务融资。
保理银行在收到部分或全额付款后，应与本合同项下保理业务对应的应收账款逐笔勾对，确认无误的，该笔应收账款对应的融资从《应收账款转让清单》勾销，如有保理余款的，保理银行应及时将保理余款给付保理申请人。
保理余款：指保理银行实际收回的应收账款扣除保理本金、保理利息、逾期罚息及有关费用后的剩余资金。</t>
    <phoneticPr fontId="7" type="noConversion"/>
  </si>
  <si>
    <t>公司将一笔或多笔应收账款的90%转让至保理商而自留10%部分，同时约定当从付款方收到款项时优先支付给保理商，直至保理商受让的应收款项全部收回。该项安排中，公司实质上以自留份额为保理商回收应收账款提供担保，该应收账款很可能不能终止确认。</t>
    <phoneticPr fontId="7" type="noConversion"/>
  </si>
  <si>
    <t>保理余款</t>
    <phoneticPr fontId="7" type="noConversion"/>
  </si>
  <si>
    <t>保理融资额为发票金额的一定比例（即可能存在超额担保）</t>
    <phoneticPr fontId="7" type="noConversion"/>
  </si>
  <si>
    <t>当保理的应收账款逾期，保理商仍未从付款方收回款项时，转让方需针对该逾期未收到的应收款项向保理商支付利息或罚息，直至保理商收回全部款项，该项安排中转让方实质上承担了应收款项延迟付款风险。</t>
    <phoneticPr fontId="7" type="noConversion"/>
  </si>
  <si>
    <t>逾期支付违约金：
指本协议规定的融资逾期后，商务合同买方因未及时付款或付款不足额或乙方已收到商务合同买方的间接付款却未及时足额转付给甲方，导致甲方受让的应收账款债权没有及时受偿所产生的资金损失，按逾期发生日中国人民银行规定的逾期贷款利率计算。</t>
    <phoneticPr fontId="7" type="noConversion"/>
  </si>
  <si>
    <t>保理合同计算折扣或费用均不应涉及后续的催账期/逾期支付违约金。可以终止确认的保理业务中，转出方使用收到的转让价款的代价应在转让时即确定，后续不应因为已终止确认的应收账款的保理期间或催账期而发生任何成本。
当保理的应收账款逾期，保理商仍未从付款方收回款项时，转让方需针对该逾期未收到的应收款项向保理商支付利息或罚息，直至保理商收回全部款项，该项安排中转让方实质上承担了应收款项延迟付款风险。</t>
    <phoneticPr fontId="7" type="noConversion"/>
  </si>
  <si>
    <t>逾期支付违约金</t>
    <phoneticPr fontId="7" type="noConversion"/>
  </si>
  <si>
    <t>合格应收账款及可剔除应收账款的条件过于宽泛。使得保理商可以随时认定转让方违约或应收账款不合格，从而反转让。</t>
    <phoneticPr fontId="7" type="noConversion"/>
  </si>
  <si>
    <t>第二条（三）满足以下条件的应收账款为合格应收账款：
……7.乙方（保理商）要求的其他条件。
第十四条（四）发生以下情况，乙方可自行决定将相关应收账款从应收账款池中剔除：
……3.乙方合理认为应予以剔除的其他情况。</t>
    <phoneticPr fontId="7" type="noConversion"/>
  </si>
  <si>
    <t>未定义“纠纷”，使得保理商可能将任何买方的违约均归于交易纠纷，从而保理商可以不承担任何风险。</t>
    <phoneticPr fontId="7" type="noConversion"/>
  </si>
  <si>
    <t>本合同中所转让的应收账款应当符合以下条件：
……任何时候，商务合同不存在任何欺诈、贸易争议、瑕疵或纠纷</t>
    <phoneticPr fontId="7" type="noConversion"/>
  </si>
  <si>
    <t>对合格应收账款的定义应只与出售日的资产状况以及是否存在有效的应收款项相关，不应与应收账款相关的财务风险相关，不应与未来履约情况的风险和利益相关。</t>
    <phoneticPr fontId="7" type="noConversion"/>
  </si>
  <si>
    <t>“合格应收账款”</t>
    <phoneticPr fontId="7" type="noConversion"/>
  </si>
  <si>
    <t>信用风险的定义限于例外事件（破产、倒闭、无支付能力）和恶意拖欠，且限于若干天内，即保理商不承担超过若干天的延迟支付风险和买方临时周转不利的拖欠。若该款项的主要风险是“超过若干天的延迟支付风险或临时周转不利的拖欠”，则主要风险并未转移。</t>
    <phoneticPr fontId="7" type="noConversion"/>
  </si>
  <si>
    <t>信用风险，仅指因买方破产、倒闭、无支付能力或恶意拖欠所导致的买方未能在应收账款付款日后（不超过30天）天内足额付款。
“买方信用风险”是指除《交易合同》项下发生符合本合同约定的商业纠纷外，买方在催账期届满时无力支付或破产、清盘等情况下的风险。</t>
    <phoneticPr fontId="7" type="noConversion"/>
  </si>
  <si>
    <t>参考定义：信用风险，指债务人由于自身状况的缘故（包括客观上无力还款和主观上无理拒付两种情况），拒绝付款、拖延付款或无力偿付商务合同债务，使应收账款债权不能完全或部分实现的风险，但不包括债务人因商业纠纷或因不可抗力拒付的风险。
参考定义：买方信用风险，是指债务人因破产、倒闭、无支付能力或恶意拖欠导致其未能在应收账款到期日足额付款的风险。“恶意拖欠”是指债务人未能在保理应收账款回款宽限期届满前足额付款且未提出商业纠纷的情形。</t>
    <phoneticPr fontId="7" type="noConversion"/>
  </si>
  <si>
    <t>信用风险的定义未考虑最终付款人主观故意不付款的情形，仅考虑了客观无力支付，若历史上或预计会存在主观故意不付款的情形，则并未转移几乎所有的风险。</t>
    <phoneticPr fontId="7" type="noConversion"/>
  </si>
  <si>
    <t>信用风险：指最终付款人因自身财务状况和支付能力缘故，拒绝付款、拖延付款或无力偿付应收账款债务，使应收账款债权全部或部分不能得到清偿的风险。</t>
    <phoneticPr fontId="7" type="noConversion"/>
  </si>
  <si>
    <t>可终止确认时，保理商应承担买方信用风险（及延迟支付风险、提前偿付风险）。买方信用风险应只排除严格限定的商业纠纷。</t>
    <phoneticPr fontId="7" type="noConversion"/>
  </si>
  <si>
    <t>“买方信用风险”</t>
    <phoneticPr fontId="7" type="noConversion"/>
  </si>
  <si>
    <r>
      <t>“</t>
    </r>
    <r>
      <rPr>
        <sz val="10"/>
        <color rgb="FFFF0000"/>
        <rFont val="宋体"/>
        <family val="3"/>
        <charset val="134"/>
      </rPr>
      <t>商业纠纷</t>
    </r>
    <r>
      <rPr>
        <sz val="10"/>
        <color rgb="FFFF0000"/>
        <rFont val="Arial Narrow"/>
        <family val="2"/>
      </rPr>
      <t>”</t>
    </r>
    <r>
      <rPr>
        <sz val="10"/>
        <color rgb="FFFF0000"/>
        <rFont val="宋体"/>
        <family val="3"/>
        <charset val="134"/>
      </rPr>
      <t>涵盖了其他合同</t>
    </r>
    <r>
      <rPr>
        <sz val="10"/>
        <color rgb="FFFF0000"/>
        <rFont val="Arial Narrow"/>
        <family val="2"/>
      </rPr>
      <t>/</t>
    </r>
    <r>
      <rPr>
        <sz val="10"/>
        <color rgb="FFFF0000"/>
        <rFont val="宋体"/>
        <family val="3"/>
        <charset val="134"/>
      </rPr>
      <t>协议</t>
    </r>
    <r>
      <rPr>
        <sz val="10"/>
        <color rgb="FFFF0000"/>
        <rFont val="Arial Narrow"/>
        <family val="2"/>
      </rPr>
      <t>/</t>
    </r>
    <r>
      <rPr>
        <sz val="10"/>
        <color rgb="FFFF0000"/>
        <rFont val="宋体"/>
        <family val="3"/>
        <charset val="134"/>
      </rPr>
      <t>约定项下的抗辩，即未明确排除商业风险以外的风险因素，在该应收账款保理业务下，也可能由于债务人信用风险、迟付风险等因素导致辩、拒绝按时全额付款、提出反追索或抵销等主张，从而触发转让方需要回购应收账款，在此情况下，转让方保留了应收账款的信用风险。</t>
    </r>
    <phoneticPr fontId="7" type="noConversion"/>
  </si>
  <si>
    <t>商业纠纷：是指因买方信用风险以外的任何原因导致乙方受让的应收账款不能按时足额回收的任何情形，包括但不限于：债务人因对甲方在基础商务合同项下的义务履行提出异议而对有关应收账款提出抗辩、拒绝按时全额付款、提出反追索或抵销等主张，或债务人对甲方在其他合同/协议/约定项下的义务履行提出异议而对应收账款提出抗辩、拒绝按时全额付款、提出反追索或抵销等主张，或出现第三人对应收账款提出任何权利主张的情形。</t>
    <phoneticPr fontId="7" type="noConversion"/>
  </si>
  <si>
    <t>参考定义：商业纠纷，指商务合同买方与应收账款转出方之间因相关的货物或发票或其他因商务合同事由出现争议而造成商务合同买方对本协议项下应收账款提出的抗辩、反索或抵销或类似行为；发生争议的，即为发生商务合同交易风险。
参考定义：商业纠纷，指债务人因对甲方在商务合同项下的义务履行提出异议（包括但不限于交易商品的品质、交货方式及期限、价格、数量、付款方式及商业纠纷解决方式等）而对有关应收账款提出抗辩、拒绝全额或部分付款、反追索或抵销等主张或出现第三人对应收账款提出权利主张的情形。</t>
    <phoneticPr fontId="7" type="noConversion"/>
  </si>
  <si>
    <t>“商业纠纷”的定义并不限于商业风险，未明确排除商业风险以外的风险因素，导致保理商实质上可以将商务合同买方任何风险归于此条，从而触发转让方回购。</t>
    <phoneticPr fontId="7" type="noConversion"/>
  </si>
  <si>
    <t>下述任一事项均构成保理申请人的违约：（2） 保理申请人与购货方发生商业纠纷（包括但不限于质量、技术、服务方面的纠纷），导致购货方未能在购销或服务合同规定的期限内向保理银行支付应付账款……</t>
    <phoneticPr fontId="7" type="noConversion"/>
  </si>
  <si>
    <t>可终止确认时，保理商应承担买方信用风险（及延迟支付风险、提前偿付风险）。买方信用风险应只排除严格限定的仅由商业风险因素导致的商业纠纷。
商业纠纷（贸易争议/争议）的定义不能过于宽泛，使得保理商实质不承担债务人任何信用风险。</t>
    <phoneticPr fontId="7" type="noConversion"/>
  </si>
  <si>
    <t>“商业纠纷”</t>
    <phoneticPr fontId="7" type="noConversion"/>
  </si>
  <si>
    <t>关键定义</t>
    <phoneticPr fontId="7" type="noConversion"/>
  </si>
  <si>
    <t>终止确认分析</t>
    <phoneticPr fontId="7" type="noConversion"/>
  </si>
  <si>
    <t>XX保理合同主要条款</t>
    <phoneticPr fontId="7" type="noConversion"/>
  </si>
  <si>
    <t>分析项目</t>
    <phoneticPr fontId="7" type="noConversion"/>
  </si>
  <si>
    <t>（一）保理合同主要条款分析</t>
    <phoneticPr fontId="7" type="noConversion"/>
  </si>
  <si>
    <t>1.获取保理业务相关合同，分析合同主要条款是否符合企业会计准则终止确认规定。</t>
    <phoneticPr fontId="7" type="noConversion"/>
  </si>
  <si>
    <r>
      <rPr>
        <b/>
        <sz val="10"/>
        <rFont val="宋体"/>
        <family val="3"/>
        <charset val="134"/>
      </rPr>
      <t>二、审计过程</t>
    </r>
    <phoneticPr fontId="7" type="noConversion"/>
  </si>
  <si>
    <t>确定应收账款保理或资产证券化业务确认是否恰当</t>
    <phoneticPr fontId="7" type="noConversion"/>
  </si>
  <si>
    <r>
      <rPr>
        <b/>
        <sz val="10"/>
        <color theme="1"/>
        <rFont val="宋体"/>
        <family val="3"/>
        <charset val="134"/>
      </rPr>
      <t>一、审计目标</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</si>
  <si>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</si>
  <si>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t>D2-</t>
    <phoneticPr fontId="7" type="noConversion"/>
  </si>
  <si>
    <t>索引号：</t>
    <phoneticPr fontId="7" type="noConversion"/>
  </si>
  <si>
    <t>应收账款保理业务检查表（示例）</t>
    <phoneticPr fontId="7" type="noConversion"/>
  </si>
  <si>
    <t>致同会计师事务所</t>
    <phoneticPr fontId="7" type="noConversion"/>
  </si>
  <si>
    <t>索引号：</t>
    <phoneticPr fontId="7" type="noConversion"/>
  </si>
  <si>
    <t>页次：</t>
    <phoneticPr fontId="7" type="noConversion"/>
  </si>
  <si>
    <t>一、审计目标：</t>
    <phoneticPr fontId="7" type="noConversion"/>
  </si>
  <si>
    <t>二、审计过程：</t>
    <phoneticPr fontId="7" type="noConversion"/>
  </si>
  <si>
    <t>1.评价企业评估信用损失的基础是否恰当</t>
    <phoneticPr fontId="7" type="noConversion"/>
  </si>
  <si>
    <t>1.1 了解企业是以单项金融工具还是以金融工具组合为基础评估信用损失；</t>
    <phoneticPr fontId="7" type="noConversion"/>
  </si>
  <si>
    <t>1.2 评价企业划分信用组合是否以共同风险特征为依据（如类型、风险评级、初始确认日期、剩余合同期间等）。</t>
    <phoneticPr fontId="7" type="noConversion"/>
  </si>
  <si>
    <t>2.评价信用损失的计量是否正确</t>
    <phoneticPr fontId="7" type="noConversion"/>
  </si>
  <si>
    <r>
      <t>2.1 评价信用损失是否反映了企业</t>
    </r>
    <r>
      <rPr>
        <b/>
        <sz val="10"/>
        <rFont val="宋体"/>
        <family val="3"/>
        <charset val="134"/>
      </rPr>
      <t>按照原实际利率折现</t>
    </r>
    <r>
      <rPr>
        <sz val="10"/>
        <rFont val="宋体"/>
        <family val="3"/>
        <charset val="134"/>
      </rPr>
      <t>的、根据合同应收的所有合同现金流量与预期收取的所有现金流量之间的差额，即全部现金短缺的现值；</t>
    </r>
    <phoneticPr fontId="7" type="noConversion"/>
  </si>
  <si>
    <t>2.2  评价企业计量金融工具预期信用损失的方法是否反映通过评价一系列可能的结果而确定的无偏概率加权平均金额；</t>
    <phoneticPr fontId="7" type="noConversion"/>
  </si>
  <si>
    <t>2.2  评价企业计量金融工具预期信用损失的方法是否反映货币时间价值；</t>
    <phoneticPr fontId="7" type="noConversion"/>
  </si>
  <si>
    <t>2.2  评价企业计量金融工具预期信用损失的方法是否反映在资产负债表日无须付出不必要的额外成本或努力即可获得的有关过去事项、当前状况以及未来经济状况预测的合理且有依据的信息。</t>
    <phoneticPr fontId="7" type="noConversion"/>
  </si>
  <si>
    <r>
      <t>1年以内</t>
    </r>
    <r>
      <rPr>
        <sz val="10"/>
        <color rgb="FFFF0000"/>
        <rFont val="Arial Narrow"/>
        <family val="2"/>
      </rPr>
      <t/>
    </r>
    <phoneticPr fontId="7" type="noConversion"/>
  </si>
  <si>
    <r>
      <t>1年-2年</t>
    </r>
    <r>
      <rPr>
        <sz val="10"/>
        <color rgb="FFFF0000"/>
        <rFont val="Arial Narrow"/>
        <family val="2"/>
      </rPr>
      <t/>
    </r>
    <phoneticPr fontId="7" type="noConversion"/>
  </si>
  <si>
    <r>
      <t>2年-3年</t>
    </r>
    <r>
      <rPr>
        <sz val="10"/>
        <color rgb="FFFF0000"/>
        <rFont val="Arial Narrow"/>
        <family val="2"/>
      </rPr>
      <t/>
    </r>
    <phoneticPr fontId="7" type="noConversion"/>
  </si>
  <si>
    <r>
      <t>3年-4年</t>
    </r>
    <r>
      <rPr>
        <sz val="10"/>
        <color rgb="FFFF0000"/>
        <rFont val="Arial Narrow"/>
        <family val="2"/>
      </rPr>
      <t/>
    </r>
    <phoneticPr fontId="7" type="noConversion"/>
  </si>
  <si>
    <r>
      <t>4年-5年</t>
    </r>
    <r>
      <rPr>
        <sz val="10"/>
        <color rgb="FFFF0000"/>
        <rFont val="Arial Narrow"/>
        <family val="2"/>
      </rPr>
      <t/>
    </r>
    <phoneticPr fontId="7" type="noConversion"/>
  </si>
  <si>
    <r>
      <t>5年以上</t>
    </r>
    <r>
      <rPr>
        <sz val="10"/>
        <color rgb="FFFF0000"/>
        <rFont val="Arial Narrow"/>
        <family val="2"/>
      </rPr>
      <t/>
    </r>
    <phoneticPr fontId="7" type="noConversion"/>
  </si>
  <si>
    <t>不同情形下的未来现金流量①</t>
    <phoneticPr fontId="7" type="noConversion"/>
  </si>
  <si>
    <t>折现值②</t>
    <phoneticPr fontId="7" type="noConversion"/>
  </si>
  <si>
    <t>发生概率③</t>
    <phoneticPr fontId="7" type="noConversion"/>
  </si>
  <si>
    <t>概率加权④=②×③</t>
    <phoneticPr fontId="7" type="noConversion"/>
  </si>
  <si>
    <t>预期信用损失率⑤</t>
    <phoneticPr fontId="7" type="noConversion"/>
  </si>
  <si>
    <r>
      <t>对于资产负债表日已发生信用减值但并非购买或源生已发生信用减值的金融资产，信用损失为该金融资产账面余额与</t>
    </r>
    <r>
      <rPr>
        <b/>
        <sz val="10"/>
        <rFont val="宋体"/>
        <family val="3"/>
        <charset val="134"/>
      </rPr>
      <t>按原实际利率折现</t>
    </r>
    <r>
      <rPr>
        <sz val="10"/>
        <rFont val="宋体"/>
        <family val="3"/>
        <charset val="134"/>
      </rPr>
      <t>的估计未来现金流量的现值之间的差额。</t>
    </r>
    <phoneticPr fontId="7" type="noConversion"/>
  </si>
  <si>
    <t>1年</t>
    <phoneticPr fontId="7" type="noConversion"/>
  </si>
  <si>
    <t>2年</t>
    <phoneticPr fontId="7" type="noConversion"/>
  </si>
  <si>
    <r>
      <t>（三）计算历史损失率</t>
    </r>
    <r>
      <rPr>
        <b/>
        <sz val="10"/>
        <color rgb="FF0000FF"/>
        <rFont val="宋体"/>
        <family val="3"/>
        <charset val="134"/>
      </rPr>
      <t>（示例方法仅供参考）</t>
    </r>
    <phoneticPr fontId="7" type="noConversion"/>
  </si>
  <si>
    <r>
      <t>方法2：基于滚动率（迁徙率）的减值矩阵</t>
    </r>
    <r>
      <rPr>
        <b/>
        <sz val="10"/>
        <color rgb="FF0000FF"/>
        <rFont val="宋体"/>
        <family val="3"/>
        <charset val="134"/>
      </rPr>
      <t>-本示例仅计算了1年的回收率，实务中可以计算多期后考虑平均。</t>
    </r>
    <phoneticPr fontId="7" type="noConversion"/>
  </si>
  <si>
    <t>基于方法2计算账龄组合预期信用损失率</t>
    <phoneticPr fontId="7" type="noConversion"/>
  </si>
  <si>
    <t>预期损失率将比历史损失率提高%</t>
    <phoneticPr fontId="7" type="noConversion"/>
  </si>
  <si>
    <t>三、审计说明：</t>
    <phoneticPr fontId="7" type="noConversion"/>
  </si>
  <si>
    <t>四、审计结论：</t>
    <phoneticPr fontId="7" type="noConversion"/>
  </si>
  <si>
    <t>二、审计过程：</t>
    <phoneticPr fontId="7" type="noConversion"/>
  </si>
  <si>
    <t>1.评价企业评估信用损失的基础是否恰当</t>
    <phoneticPr fontId="7" type="noConversion"/>
  </si>
  <si>
    <t>1.1 了解企业是以单项金融工具还是以金融工具组合为基础评估信用损失；</t>
    <phoneticPr fontId="7" type="noConversion"/>
  </si>
  <si>
    <t>2.评价信用损失的计量是否正确</t>
    <phoneticPr fontId="7" type="noConversion"/>
  </si>
  <si>
    <t>2.1 评价信用损失是否反映了企业按照原实际利率折现的、根据合同应收的所有合同现金流量与预期收取的所有现金流量之间的差额，即全部现金短缺的现值；</t>
    <phoneticPr fontId="7" type="noConversion"/>
  </si>
  <si>
    <t>2.2  评价企业计量金融工具预期信用损失的方法是否反映货币时间价值；</t>
    <phoneticPr fontId="7" type="noConversion"/>
  </si>
  <si>
    <t>2.2  评价企业计量金融工具预期信用损失的方法是否反映在资产负债表日无须付出不必要的额外成本或努力即可获得的有关过去事项、当前状况以及未来经济状况预测的合理且有依据的信息。</t>
    <phoneticPr fontId="7" type="noConversion"/>
  </si>
  <si>
    <t>折现值②</t>
    <phoneticPr fontId="7" type="noConversion"/>
  </si>
  <si>
    <t>预期信用损失率⑤</t>
    <phoneticPr fontId="7" type="noConversion"/>
  </si>
  <si>
    <r>
      <t>对于资产负债表日已发生信用减值但并非购买或源生已发生信用减值的金融资产，信用损失为该金融资产账面余额与</t>
    </r>
    <r>
      <rPr>
        <b/>
        <sz val="10"/>
        <color rgb="FF0000FF"/>
        <rFont val="宋体"/>
        <family val="3"/>
        <charset val="134"/>
      </rPr>
      <t>按原实际利率折现</t>
    </r>
    <r>
      <rPr>
        <sz val="10"/>
        <color rgb="FF0000FF"/>
        <rFont val="宋体"/>
        <family val="3"/>
        <charset val="134"/>
      </rPr>
      <t>的估计未来现金流量的现值之间的差额。</t>
    </r>
    <phoneticPr fontId="7" type="noConversion"/>
  </si>
  <si>
    <r>
      <t>（三）计算历史损失率</t>
    </r>
    <r>
      <rPr>
        <b/>
        <sz val="10"/>
        <color rgb="FF0000FF"/>
        <rFont val="宋体"/>
        <family val="3"/>
        <charset val="134"/>
      </rPr>
      <t>（示例方法仅供参考）-本示例仅计算了1年的回收率，实务中可以计算多期后考虑平均。</t>
    </r>
    <phoneticPr fontId="7" type="noConversion"/>
  </si>
  <si>
    <r>
      <t>（三）计算历史损失率</t>
    </r>
    <r>
      <rPr>
        <b/>
        <sz val="10"/>
        <color rgb="FF0000FF"/>
        <rFont val="宋体"/>
        <family val="3"/>
        <charset val="134"/>
      </rPr>
      <t>（示例方法仅供参考）</t>
    </r>
    <phoneticPr fontId="7" type="noConversion"/>
  </si>
  <si>
    <t>三、审计说明：</t>
    <phoneticPr fontId="7" type="noConversion"/>
  </si>
  <si>
    <t>四、审计结论：</t>
    <phoneticPr fontId="7"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</si>
  <si>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t>
    </r>
    <phoneticPr fontId="7" type="noConversion"/>
  </si>
  <si>
    <r>
      <t>P-value</t>
    </r>
    <r>
      <rPr>
        <sz val="9"/>
        <color rgb="FF0000FF"/>
        <rFont val="宋体"/>
        <family val="3"/>
        <charset val="134"/>
      </rPr>
      <t>大于</t>
    </r>
    <r>
      <rPr>
        <sz val="9"/>
        <color rgb="FF0000FF"/>
        <rFont val="Arial Narrow"/>
        <family val="2"/>
      </rPr>
      <t>0.05</t>
    </r>
    <r>
      <rPr>
        <sz val="9"/>
        <color rgb="FF0000FF"/>
        <rFont val="宋体"/>
        <family val="3"/>
        <charset val="134"/>
      </rPr>
      <t>的可以先删除最大</t>
    </r>
    <r>
      <rPr>
        <sz val="9"/>
        <color rgb="FF0000FF"/>
        <rFont val="Arial Narrow"/>
        <family val="2"/>
      </rPr>
      <t>P</t>
    </r>
    <r>
      <rPr>
        <sz val="9"/>
        <color rgb="FF0000FF"/>
        <rFont val="宋体"/>
        <family val="3"/>
        <charset val="134"/>
      </rPr>
      <t>值的</t>
    </r>
    <r>
      <rPr>
        <sz val="9"/>
        <color rgb="FF0000FF"/>
        <rFont val="Arial Narrow"/>
        <family val="2"/>
      </rPr>
      <t>X</t>
    </r>
    <r>
      <rPr>
        <sz val="9"/>
        <color rgb="FF0000FF"/>
        <rFont val="宋体"/>
        <family val="3"/>
        <charset val="134"/>
      </rPr>
      <t>，对于余下的再重新回归</t>
    </r>
    <phoneticPr fontId="7" type="noConversion"/>
  </si>
  <si>
    <t>D2-11-2</t>
    <phoneticPr fontId="3" type="noConversion"/>
  </si>
  <si>
    <t>实际利率</t>
    <phoneticPr fontId="7" type="noConversion"/>
  </si>
  <si>
    <t>D2-10</t>
    <phoneticPr fontId="3" type="noConversion"/>
  </si>
  <si>
    <t>D2-10</t>
    <phoneticPr fontId="3" type="noConversion"/>
  </si>
  <si>
    <t>D2-10-1</t>
    <phoneticPr fontId="3" type="noConversion"/>
  </si>
  <si>
    <t>D2-10-1</t>
    <phoneticPr fontId="3" type="noConversion"/>
  </si>
  <si>
    <t>D2-10-2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</si>
</sst>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76" formatCode="0.00_ "/>
    <numFmt numFmtId="177" formatCode="0.000%"/>
    <numFmt numFmtId="178" formatCode="#,##0.00_ "/>
    <numFmt numFmtId="179" formatCode="0.0%"/>
    <numFmt numFmtId="180" formatCode="0.0000%"/>
    <numFmt numFmtId="181" formatCode="0.0000"/>
    <numFmt numFmtId="182" formatCode="_([$€-2]* #,##0.00_);_([$€-2]* \(#,##0.00\);_([$€-2]* &quot;-&quot;??_)"/>
  </numFmts>
  <fonts count="47" x14ac:knownFonts="1">
    <font>
      <sz val="11"/>
      <color theme="1"/>
      <name val="等线"/>
      <family val="2"/>
      <charset val="134"/>
      <scheme val="minor"/>
    </font>
    <font>
      <sz val="12"/>
      <name val="宋体"/>
      <family val="3"/>
      <charset val="134"/>
    </font>
    <font>
      <sz val="10"/>
      <name val="Arial Narrow"/>
      <family val="2"/>
    </font>
    <font>
      <sz val="9"/>
      <name val="等线"/>
      <family val="2"/>
      <charset val="134"/>
      <scheme val="minor"/>
    </font>
    <font>
      <sz val="10"/>
      <name val="宋体"/>
      <family val="3"/>
      <charset val="134"/>
    </font>
    <font>
      <b/>
      <sz val="10"/>
      <name val="Arial Narrow"/>
      <family val="2"/>
    </font>
    <font>
      <b/>
      <sz val="10"/>
      <name val="宋体"/>
      <family val="3"/>
      <charset val="134"/>
    </font>
    <font>
      <sz val="9"/>
      <name val="宋体"/>
      <family val="3"/>
      <charset val="134"/>
    </font>
    <font>
      <sz val="10"/>
      <color rgb="FF0000FF"/>
      <name val="宋体"/>
      <family val="3"/>
      <charset val="134"/>
    </font>
    <font>
      <sz val="10"/>
      <color rgb="FFFF0000"/>
      <name val="宋体"/>
      <family val="3"/>
      <charset val="134"/>
    </font>
    <font>
      <b/>
      <sz val="10"/>
      <color rgb="FFFF0000"/>
      <name val="Arial Narrow"/>
      <family val="2"/>
    </font>
    <font>
      <sz val="10"/>
      <color rgb="FFFF0000"/>
      <name val="Arial Narrow"/>
      <family val="2"/>
    </font>
    <font>
      <sz val="12"/>
      <color rgb="FFC00000"/>
      <name val="宋体"/>
      <family val="3"/>
      <charset val="134"/>
    </font>
    <font>
      <sz val="10"/>
      <color rgb="FFC00000"/>
      <name val="宋体"/>
      <family val="3"/>
      <charset val="134"/>
    </font>
    <font>
      <b/>
      <sz val="10"/>
      <color rgb="FFFF0000"/>
      <name val="宋体"/>
      <family val="3"/>
      <charset val="134"/>
    </font>
    <font>
      <b/>
      <sz val="10"/>
      <color rgb="FF0000FF"/>
      <name val="宋体"/>
      <family val="3"/>
      <charset val="134"/>
    </font>
    <font>
      <sz val="12"/>
      <name val="Arial Narrow"/>
      <family val="2"/>
    </font>
    <font>
      <b/>
      <sz val="12"/>
      <name val="Arial Narrow"/>
      <family val="2"/>
    </font>
    <font>
      <b/>
      <sz val="12"/>
      <name val="宋体"/>
      <family val="3"/>
      <charset val="134"/>
    </font>
    <font>
      <b/>
      <sz val="9"/>
      <color indexed="81"/>
      <name val="宋体"/>
      <family val="3"/>
      <charset val="134"/>
    </font>
    <font>
      <sz val="9"/>
      <color indexed="81"/>
      <name val="宋体"/>
      <family val="3"/>
      <charset val="134"/>
    </font>
    <font>
      <sz val="9"/>
      <name val="Arial Narrow"/>
      <family val="2"/>
    </font>
    <font>
      <b/>
      <sz val="10"/>
      <color theme="1"/>
      <name val="宋体"/>
      <family val="3"/>
      <charset val="134"/>
    </font>
    <font>
      <sz val="9"/>
      <color rgb="FFFF0000"/>
      <name val="宋体"/>
      <family val="3"/>
      <charset val="134"/>
    </font>
    <font>
      <vertAlign val="superscript"/>
      <sz val="10"/>
      <name val="宋体"/>
      <family val="3"/>
      <charset val="134"/>
    </font>
    <font>
      <sz val="11"/>
      <color theme="1"/>
      <name val="等线"/>
      <family val="3"/>
      <charset val="134"/>
      <scheme val="minor"/>
    </font>
    <font>
      <sz val="11"/>
      <color theme="1"/>
      <name val="Arial"/>
      <family val="2"/>
    </font>
    <font>
      <sz val="11"/>
      <color rgb="FF0000FF"/>
      <name val="Arial"/>
      <family val="2"/>
    </font>
    <font>
      <sz val="10"/>
      <color theme="1"/>
      <name val="Arial"/>
      <family val="2"/>
    </font>
    <font>
      <sz val="12"/>
      <color rgb="FF0000FF"/>
      <name val="宋体"/>
      <family val="3"/>
      <charset val="134"/>
    </font>
    <font>
      <b/>
      <sz val="10"/>
      <color rgb="FF0000FF"/>
      <name val="Arial"/>
      <family val="2"/>
    </font>
    <font>
      <b/>
      <sz val="12"/>
      <color rgb="FF0000FF"/>
      <name val="宋体"/>
      <family val="3"/>
      <charset val="134"/>
    </font>
    <font>
      <b/>
      <sz val="10"/>
      <color rgb="FF0000FF"/>
      <name val="Arial Narrow"/>
      <family val="2"/>
    </font>
    <font>
      <sz val="11"/>
      <color theme="1"/>
      <name val="Arial Narrow"/>
      <family val="2"/>
    </font>
    <font>
      <sz val="10"/>
      <color theme="1"/>
      <name val="Arial Narrow"/>
      <family val="2"/>
    </font>
    <font>
      <b/>
      <sz val="12"/>
      <color rgb="FFFF0000"/>
      <name val="宋体"/>
      <family val="3"/>
      <charset val="134"/>
    </font>
    <font>
      <sz val="10"/>
      <color theme="1"/>
      <name val="宋体"/>
      <family val="3"/>
      <charset val="134"/>
    </font>
    <font>
      <sz val="12"/>
      <color rgb="FFFF0000"/>
      <name val="宋体"/>
      <family val="3"/>
      <charset val="134"/>
    </font>
    <font>
      <b/>
      <u/>
      <sz val="10"/>
      <color theme="1"/>
      <name val="宋体"/>
      <family val="3"/>
      <charset val="134"/>
    </font>
    <font>
      <b/>
      <sz val="10"/>
      <color theme="1"/>
      <name val="Arial Narrow"/>
      <family val="2"/>
    </font>
    <font>
      <sz val="12"/>
      <name val="Times New Roman"/>
      <family val="1"/>
    </font>
    <font>
      <b/>
      <sz val="14"/>
      <name val="宋体"/>
      <family val="3"/>
      <charset val="134"/>
    </font>
    <font>
      <sz val="10"/>
      <color rgb="FF0000FF"/>
      <name val="Arial Narrow"/>
      <family val="2"/>
    </font>
    <font>
      <sz val="12"/>
      <color rgb="FF0000FF"/>
      <name val="Arial Narrow"/>
      <family val="2"/>
    </font>
    <font>
      <sz val="9"/>
      <color rgb="FF0000FF"/>
      <name val="Arial Narrow"/>
      <family val="2"/>
    </font>
    <font>
      <sz val="9"/>
      <color rgb="FF0000FF"/>
      <name val="宋体"/>
      <family val="3"/>
      <charset val="134"/>
    </font>
    <font>
      <b/>
      <sz val="14"/>
      <name val="Arial Narrow"/>
      <family val="2"/>
    </font>
  </fonts>
  <fills count="5">
    <fill>
      <patternFill patternType="none"/>
    </fill>
    <fill>
      <patternFill patternType="gray125"/>
    </fill>
    <fill>
      <patternFill patternType="solid">
        <fgColor rgb="FFDCD5E5"/>
        <bgColor indexed="64"/>
      </patternFill>
    </fill>
    <fill>
      <patternFill patternType="solid">
        <fgColor theme="0" tint="-4.9989318521683403E-2"/>
        <bgColor indexed="64"/>
      </patternFill>
    </fill>
    <fill>
      <patternFill patternType="solid">
        <fgColor rgb="FFE4DFEC"/>
        <bgColor indexed="64"/>
      </patternFill>
    </fill>
  </fills>
  <borders count="20">
    <border>
      <left/>
      <right/>
      <top/>
      <bottom/>
      <diagonal/>
    </border>
    <border>
      <left style="hair">
        <color auto="1"/>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hair">
        <color indexed="64"/>
      </right>
      <top style="hair">
        <color indexed="64"/>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thin">
        <color indexed="64"/>
      </bottom>
      <diagonal/>
    </border>
    <border>
      <left/>
      <right/>
      <top style="hair">
        <color indexed="64"/>
      </top>
      <bottom/>
      <diagonal/>
    </border>
    <border diagonalUp="1">
      <left style="hair">
        <color indexed="64"/>
      </left>
      <right style="hair">
        <color indexed="64"/>
      </right>
      <top style="hair">
        <color indexed="64"/>
      </top>
      <bottom style="hair">
        <color indexed="64"/>
      </bottom>
      <diagonal style="hair">
        <color indexed="64"/>
      </diagonal>
    </border>
    <border>
      <left/>
      <right/>
      <top/>
      <bottom style="medium">
        <color indexed="64"/>
      </bottom>
      <diagonal/>
    </border>
    <border>
      <left/>
      <right/>
      <top style="medium">
        <color indexed="64"/>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hair">
        <color indexed="64"/>
      </right>
      <top/>
      <bottom/>
      <diagonal/>
    </border>
    <border>
      <left/>
      <right style="hair">
        <color indexed="64"/>
      </right>
      <top style="hair">
        <color indexed="64"/>
      </top>
      <bottom/>
      <diagonal/>
    </border>
    <border>
      <left style="hair">
        <color indexed="64"/>
      </left>
      <right/>
      <top style="hair">
        <color indexed="64"/>
      </top>
      <bottom/>
      <diagonal/>
    </border>
    <border>
      <left/>
      <right/>
      <top/>
      <bottom style="hair">
        <color indexed="64"/>
      </bottom>
      <diagonal/>
    </border>
  </borders>
  <cellStyleXfs count="13">
    <xf numFmtId="0" fontId="0" fillId="0" borderId="0">
      <alignment vertical="center"/>
    </xf>
    <xf numFmtId="43" fontId="1" fillId="0" borderId="0" applyFont="0" applyFill="0" applyBorder="0" applyAlignment="0" applyProtection="0"/>
    <xf numFmtId="9" fontId="1" fillId="0" borderId="0" applyFont="0" applyFill="0" applyBorder="0" applyAlignment="0" applyProtection="0"/>
    <xf numFmtId="0" fontId="1" fillId="0" borderId="0">
      <protection locked="0"/>
    </xf>
    <xf numFmtId="0" fontId="1" fillId="0" borderId="0"/>
    <xf numFmtId="0" fontId="1" fillId="0" borderId="0">
      <protection locked="0"/>
    </xf>
    <xf numFmtId="0" fontId="1" fillId="0" borderId="0">
      <alignment vertical="center"/>
    </xf>
    <xf numFmtId="0" fontId="1" fillId="0" borderId="0">
      <alignment vertical="center"/>
    </xf>
    <xf numFmtId="182" fontId="25" fillId="0" borderId="0">
      <alignment vertical="center"/>
    </xf>
    <xf numFmtId="182" fontId="1" fillId="0" borderId="0">
      <protection locked="0"/>
    </xf>
    <xf numFmtId="182" fontId="1" fillId="0" borderId="0">
      <protection locked="0"/>
    </xf>
    <xf numFmtId="182" fontId="1" fillId="0" borderId="0">
      <protection locked="0"/>
    </xf>
    <xf numFmtId="182" fontId="40" fillId="0" borderId="0"/>
  </cellStyleXfs>
  <cellXfs count="325">
    <xf numFmtId="0" fontId="0" fillId="0" borderId="0" xfId="0">
      <alignment vertical="center"/>
    </xf>
    <xf numFmtId="0" fontId="2" fillId="0" borderId="0" xfId="3" applyFont="1" applyAlignment="1">
      <alignment vertical="center" wrapText="1"/>
      <protection locked="0"/>
    </xf>
    <xf numFmtId="0" fontId="2" fillId="0" borderId="0" xfId="3" applyFont="1" applyAlignment="1">
      <alignment horizontal="center" vertical="center" wrapText="1"/>
      <protection locked="0"/>
    </xf>
    <xf numFmtId="0" fontId="4" fillId="0" borderId="0" xfId="3" applyFont="1" applyAlignment="1">
      <alignment vertical="center" wrapText="1"/>
      <protection locked="0"/>
    </xf>
    <xf numFmtId="10" fontId="2" fillId="0" borderId="2" xfId="2" applyNumberFormat="1" applyFont="1" applyBorder="1" applyAlignment="1" applyProtection="1">
      <alignment horizontal="center" vertical="center" wrapText="1"/>
      <protection locked="0"/>
    </xf>
    <xf numFmtId="0" fontId="4" fillId="0" borderId="2" xfId="3" applyFont="1" applyBorder="1" applyAlignment="1">
      <alignment vertical="center"/>
      <protection locked="0"/>
    </xf>
    <xf numFmtId="0" fontId="8" fillId="0" borderId="1" xfId="3" applyFont="1" applyBorder="1" applyAlignment="1">
      <alignment horizontal="left" vertical="center" wrapText="1"/>
      <protection locked="0"/>
    </xf>
    <xf numFmtId="0" fontId="8" fillId="0" borderId="0" xfId="3" applyFont="1" applyAlignment="1">
      <alignment horizontal="left" vertical="center" wrapText="1"/>
      <protection locked="0"/>
    </xf>
    <xf numFmtId="0" fontId="6" fillId="0" borderId="0" xfId="3" applyFont="1" applyAlignment="1">
      <alignment vertical="center"/>
      <protection locked="0"/>
    </xf>
    <xf numFmtId="10" fontId="2" fillId="0" borderId="0" xfId="2" applyNumberFormat="1" applyFont="1" applyBorder="1" applyAlignment="1" applyProtection="1">
      <alignment horizontal="center" vertical="center" wrapText="1"/>
      <protection locked="0"/>
    </xf>
    <xf numFmtId="10" fontId="5" fillId="0" borderId="0" xfId="3" applyNumberFormat="1" applyFont="1" applyAlignment="1">
      <alignment horizontal="center" vertical="center" wrapText="1"/>
      <protection locked="0"/>
    </xf>
    <xf numFmtId="10" fontId="9" fillId="0" borderId="0" xfId="3" applyNumberFormat="1" applyFont="1" applyAlignment="1">
      <alignment horizontal="center" vertical="center" wrapText="1"/>
      <protection locked="0"/>
    </xf>
    <xf numFmtId="10" fontId="4" fillId="0" borderId="0" xfId="3" applyNumberFormat="1" applyFont="1" applyAlignment="1">
      <alignment horizontal="center" vertical="center" wrapText="1"/>
      <protection locked="0"/>
    </xf>
    <xf numFmtId="0" fontId="4" fillId="0" borderId="0" xfId="3" applyFont="1" applyAlignment="1">
      <alignment vertical="center"/>
      <protection locked="0"/>
    </xf>
    <xf numFmtId="0" fontId="6" fillId="2" borderId="2" xfId="3" applyFont="1" applyFill="1" applyBorder="1" applyAlignment="1">
      <alignment horizontal="center" vertical="center" wrapText="1"/>
      <protection locked="0"/>
    </xf>
    <xf numFmtId="10" fontId="2" fillId="0" borderId="9" xfId="2" applyNumberFormat="1" applyFont="1" applyBorder="1" applyAlignment="1" applyProtection="1">
      <alignment horizontal="center" vertical="center" wrapText="1"/>
      <protection locked="0"/>
    </xf>
    <xf numFmtId="10" fontId="10" fillId="0" borderId="9" xfId="2" applyNumberFormat="1" applyFont="1" applyFill="1" applyBorder="1" applyAlignment="1" applyProtection="1">
      <alignment horizontal="center" vertical="center" wrapText="1"/>
      <protection locked="0"/>
    </xf>
    <xf numFmtId="0" fontId="14" fillId="2" borderId="2" xfId="3" applyFont="1" applyFill="1" applyBorder="1" applyAlignment="1">
      <alignment horizontal="center" vertical="center" wrapText="1"/>
      <protection locked="0"/>
    </xf>
    <xf numFmtId="0" fontId="13" fillId="0" borderId="0" xfId="3" applyFont="1" applyAlignment="1">
      <alignment vertical="center" wrapText="1"/>
      <protection locked="0"/>
    </xf>
    <xf numFmtId="0" fontId="9" fillId="0" borderId="2" xfId="3" applyFont="1" applyBorder="1" applyAlignment="1">
      <alignment vertical="center"/>
      <protection locked="0"/>
    </xf>
    <xf numFmtId="0" fontId="9" fillId="0" borderId="2" xfId="3" applyFont="1" applyBorder="1" applyAlignment="1">
      <alignment vertical="center" wrapText="1"/>
      <protection locked="0"/>
    </xf>
    <xf numFmtId="0" fontId="12" fillId="0" borderId="1" xfId="5" applyFont="1" applyBorder="1" applyAlignment="1">
      <alignment vertical="center"/>
      <protection locked="0"/>
    </xf>
    <xf numFmtId="0" fontId="13" fillId="0" borderId="1" xfId="3" applyFont="1" applyBorder="1" applyAlignment="1">
      <alignment vertical="center"/>
      <protection locked="0"/>
    </xf>
    <xf numFmtId="0" fontId="8" fillId="0" borderId="0" xfId="3" applyFont="1" applyAlignment="1">
      <alignment horizontal="right" vertical="center"/>
      <protection locked="0"/>
    </xf>
    <xf numFmtId="43" fontId="4" fillId="0" borderId="0" xfId="1" applyFont="1" applyAlignment="1" applyProtection="1">
      <alignment vertical="center" wrapText="1"/>
      <protection locked="0"/>
    </xf>
    <xf numFmtId="0" fontId="1" fillId="0" borderId="0" xfId="5" applyFont="1" applyAlignment="1">
      <alignment vertical="center"/>
      <protection locked="0"/>
    </xf>
    <xf numFmtId="10" fontId="11" fillId="0" borderId="2" xfId="2" applyNumberFormat="1" applyFont="1" applyBorder="1" applyAlignment="1" applyProtection="1">
      <alignment horizontal="center" vertical="center" wrapText="1"/>
      <protection locked="0"/>
    </xf>
    <xf numFmtId="0" fontId="9" fillId="0" borderId="0" xfId="3" applyFont="1" applyAlignment="1">
      <alignment horizontal="left" vertical="center"/>
      <protection locked="0"/>
    </xf>
    <xf numFmtId="0" fontId="2" fillId="0" borderId="0" xfId="3" applyFont="1" applyAlignment="1">
      <alignment vertical="center"/>
      <protection locked="0"/>
    </xf>
    <xf numFmtId="0" fontId="16" fillId="0" borderId="0" xfId="6" applyFont="1" applyAlignment="1">
      <alignment vertical="center" wrapText="1"/>
    </xf>
    <xf numFmtId="10" fontId="9" fillId="0" borderId="2" xfId="3" applyNumberFormat="1" applyFont="1" applyBorder="1" applyAlignment="1">
      <alignment horizontal="center" vertical="center" wrapText="1"/>
      <protection locked="0"/>
    </xf>
    <xf numFmtId="0" fontId="8" fillId="3" borderId="0" xfId="3" applyFont="1" applyFill="1" applyAlignment="1">
      <alignment horizontal="right" vertical="center"/>
      <protection locked="0"/>
    </xf>
    <xf numFmtId="0" fontId="6" fillId="3" borderId="0" xfId="3" applyFont="1" applyFill="1" applyAlignment="1">
      <alignment vertical="center"/>
      <protection locked="0"/>
    </xf>
    <xf numFmtId="0" fontId="5" fillId="2" borderId="2" xfId="3" applyFont="1" applyFill="1" applyBorder="1" applyAlignment="1">
      <alignment horizontal="center" vertical="center" wrapText="1"/>
      <protection locked="0"/>
    </xf>
    <xf numFmtId="0" fontId="1" fillId="0" borderId="0" xfId="5">
      <protection locked="0"/>
    </xf>
    <xf numFmtId="0" fontId="6" fillId="0" borderId="2" xfId="3" applyFont="1" applyBorder="1" applyAlignment="1">
      <alignment horizontal="center" vertical="center" wrapText="1"/>
      <protection locked="0"/>
    </xf>
    <xf numFmtId="0" fontId="2" fillId="0" borderId="2" xfId="3" applyFont="1" applyBorder="1" applyAlignment="1">
      <alignment horizontal="left" vertical="center" wrapText="1"/>
      <protection locked="0"/>
    </xf>
    <xf numFmtId="0" fontId="4" fillId="0" borderId="2" xfId="3" applyFont="1" applyBorder="1" applyAlignment="1">
      <alignment horizontal="center" vertical="center" wrapText="1"/>
      <protection locked="0"/>
    </xf>
    <xf numFmtId="0" fontId="1" fillId="0" borderId="0" xfId="5" applyAlignment="1">
      <alignment vertical="center"/>
      <protection locked="0"/>
    </xf>
    <xf numFmtId="176" fontId="5" fillId="0" borderId="0" xfId="2" applyNumberFormat="1" applyFont="1" applyBorder="1" applyAlignment="1" applyProtection="1">
      <alignment horizontal="center" vertical="center" wrapText="1"/>
      <protection locked="0"/>
    </xf>
    <xf numFmtId="0" fontId="4" fillId="0" borderId="2" xfId="2" applyNumberFormat="1" applyFont="1" applyBorder="1" applyAlignment="1" applyProtection="1">
      <alignment horizontal="center" vertical="center" wrapText="1"/>
      <protection locked="0"/>
    </xf>
    <xf numFmtId="176" fontId="2" fillId="0" borderId="2" xfId="2" applyNumberFormat="1" applyFont="1" applyBorder="1" applyAlignment="1" applyProtection="1">
      <alignment horizontal="center" vertical="center" wrapText="1"/>
      <protection locked="0"/>
    </xf>
    <xf numFmtId="0" fontId="2" fillId="0" borderId="2" xfId="3" applyFont="1" applyBorder="1" applyAlignment="1">
      <alignment horizontal="center" vertical="center"/>
      <protection locked="0"/>
    </xf>
    <xf numFmtId="10" fontId="4" fillId="0" borderId="2" xfId="2" applyNumberFormat="1" applyFont="1" applyBorder="1" applyAlignment="1" applyProtection="1">
      <alignment horizontal="center" vertical="center" wrapText="1"/>
      <protection locked="0"/>
    </xf>
    <xf numFmtId="0" fontId="21" fillId="0" borderId="0" xfId="3" applyFont="1" applyAlignment="1">
      <alignment vertical="center" wrapText="1"/>
      <protection locked="0"/>
    </xf>
    <xf numFmtId="0" fontId="2" fillId="0" borderId="0" xfId="5" applyFont="1">
      <protection locked="0"/>
    </xf>
    <xf numFmtId="0" fontId="2" fillId="0" borderId="2" xfId="2" applyNumberFormat="1" applyFont="1" applyBorder="1" applyAlignment="1" applyProtection="1">
      <alignment horizontal="center" vertical="center" wrapText="1"/>
      <protection locked="0"/>
    </xf>
    <xf numFmtId="0" fontId="2" fillId="0" borderId="0" xfId="3" applyFont="1" applyAlignment="1">
      <alignment horizontal="left" vertical="center" wrapText="1"/>
      <protection locked="0"/>
    </xf>
    <xf numFmtId="49" fontId="9" fillId="0" borderId="2" xfId="3" applyNumberFormat="1" applyFont="1" applyBorder="1" applyAlignment="1">
      <alignment horizontal="left" vertical="center"/>
      <protection locked="0"/>
    </xf>
    <xf numFmtId="49" fontId="9" fillId="0" borderId="2" xfId="3" applyNumberFormat="1" applyFont="1" applyBorder="1" applyAlignment="1">
      <alignment vertical="center"/>
      <protection locked="0"/>
    </xf>
    <xf numFmtId="0" fontId="5" fillId="0" borderId="0" xfId="3" applyFont="1" applyAlignment="1">
      <alignment horizontal="left" vertical="center"/>
      <protection locked="0"/>
    </xf>
    <xf numFmtId="0" fontId="6" fillId="0" borderId="0" xfId="3" applyFont="1" applyAlignment="1">
      <alignment horizontal="left" vertical="center"/>
      <protection locked="0"/>
    </xf>
    <xf numFmtId="0" fontId="12" fillId="0" borderId="1" xfId="5" applyFont="1" applyBorder="1" applyAlignment="1">
      <alignment horizontal="left" vertical="center" wrapText="1"/>
      <protection locked="0"/>
    </xf>
    <xf numFmtId="0" fontId="13" fillId="0" borderId="1" xfId="3" applyFont="1" applyBorder="1" applyAlignment="1">
      <alignment horizontal="left" vertical="center" wrapText="1"/>
      <protection locked="0"/>
    </xf>
    <xf numFmtId="0" fontId="2" fillId="0" borderId="6" xfId="5" applyFont="1" applyBorder="1" applyAlignment="1">
      <alignment horizontal="center" vertical="center"/>
      <protection locked="0"/>
    </xf>
    <xf numFmtId="181" fontId="2" fillId="0" borderId="7" xfId="3" applyNumberFormat="1" applyFont="1" applyBorder="1" applyAlignment="1">
      <alignment vertical="center" wrapText="1"/>
      <protection locked="0"/>
    </xf>
    <xf numFmtId="0" fontId="2" fillId="0" borderId="7" xfId="3" applyFont="1" applyBorder="1" applyAlignment="1">
      <alignment horizontal="center" vertical="center" wrapText="1"/>
      <protection locked="0"/>
    </xf>
    <xf numFmtId="0" fontId="2" fillId="0" borderId="7" xfId="5" applyFont="1" applyBorder="1" applyAlignment="1">
      <alignment horizontal="center" vertical="center"/>
      <protection locked="0"/>
    </xf>
    <xf numFmtId="0" fontId="2" fillId="0" borderId="7" xfId="5" applyFont="1" applyBorder="1" applyAlignment="1">
      <alignment vertical="center"/>
      <protection locked="0"/>
    </xf>
    <xf numFmtId="181" fontId="2" fillId="0" borderId="7" xfId="5" applyNumberFormat="1" applyFont="1" applyBorder="1" applyAlignment="1">
      <alignment vertical="center"/>
      <protection locked="0"/>
    </xf>
    <xf numFmtId="0" fontId="2" fillId="0" borderId="7" xfId="5" quotePrefix="1" applyFont="1" applyBorder="1" applyAlignment="1">
      <alignment horizontal="center" vertical="center"/>
      <protection locked="0"/>
    </xf>
    <xf numFmtId="0" fontId="5" fillId="0" borderId="8" xfId="5" applyFont="1" applyBorder="1" applyAlignment="1">
      <alignment horizontal="right" vertical="center"/>
      <protection locked="0"/>
    </xf>
    <xf numFmtId="0" fontId="1" fillId="0" borderId="12" xfId="5" applyBorder="1">
      <protection locked="0"/>
    </xf>
    <xf numFmtId="0" fontId="1" fillId="0" borderId="13" xfId="5" applyFont="1" applyBorder="1" applyAlignment="1">
      <alignment horizontal="center"/>
      <protection locked="0"/>
    </xf>
    <xf numFmtId="0" fontId="7" fillId="0" borderId="0" xfId="5" applyFont="1" applyAlignment="1">
      <alignment vertical="center" wrapText="1"/>
      <protection locked="0"/>
    </xf>
    <xf numFmtId="0" fontId="1" fillId="0" borderId="13" xfId="5" applyFont="1" applyBorder="1" applyAlignment="1">
      <alignment horizontal="centerContinuous"/>
      <protection locked="0"/>
    </xf>
    <xf numFmtId="0" fontId="23" fillId="0" borderId="0" xfId="5" applyFont="1" applyAlignment="1">
      <alignment vertical="center" wrapText="1"/>
      <protection locked="0"/>
    </xf>
    <xf numFmtId="0" fontId="9" fillId="0" borderId="0" xfId="3" applyFont="1" applyAlignment="1">
      <alignment vertical="center"/>
      <protection locked="0"/>
    </xf>
    <xf numFmtId="180" fontId="2" fillId="0" borderId="2" xfId="2" applyNumberFormat="1" applyFont="1" applyBorder="1" applyAlignment="1" applyProtection="1">
      <alignment horizontal="center" vertical="center" wrapText="1"/>
      <protection locked="0"/>
    </xf>
    <xf numFmtId="10" fontId="5" fillId="0" borderId="0" xfId="3" quotePrefix="1" applyNumberFormat="1" applyFont="1" applyAlignment="1">
      <alignment horizontal="center" vertical="center" wrapText="1"/>
      <protection locked="0"/>
    </xf>
    <xf numFmtId="0" fontId="4" fillId="0" borderId="0" xfId="3" applyFont="1" applyAlignment="1">
      <alignment horizontal="left" vertical="center"/>
      <protection locked="0"/>
    </xf>
    <xf numFmtId="0" fontId="14" fillId="0" borderId="0" xfId="3" applyFont="1" applyAlignment="1">
      <alignment vertical="center"/>
      <protection locked="0"/>
    </xf>
    <xf numFmtId="0" fontId="4" fillId="0" borderId="0" xfId="5" applyFont="1">
      <protection locked="0"/>
    </xf>
    <xf numFmtId="0" fontId="4" fillId="0" borderId="8" xfId="5" applyFont="1" applyBorder="1" applyAlignment="1">
      <alignment horizontal="center" vertical="center"/>
      <protection locked="0"/>
    </xf>
    <xf numFmtId="0" fontId="4" fillId="0" borderId="2" xfId="5" applyFont="1" applyBorder="1" applyAlignment="1">
      <alignment horizontal="center" vertical="center"/>
      <protection locked="0"/>
    </xf>
    <xf numFmtId="0" fontId="14" fillId="0" borderId="6" xfId="3" applyFont="1" applyBorder="1" applyAlignment="1">
      <alignment vertical="center" wrapText="1"/>
      <protection locked="0"/>
    </xf>
    <xf numFmtId="0" fontId="9" fillId="0" borderId="2" xfId="5" applyFont="1" applyBorder="1" applyAlignment="1">
      <alignment horizontal="center" vertical="center"/>
      <protection locked="0"/>
    </xf>
    <xf numFmtId="0" fontId="4" fillId="0" borderId="8" xfId="5" applyFont="1" applyBorder="1">
      <protection locked="0"/>
    </xf>
    <xf numFmtId="0" fontId="4" fillId="0" borderId="2" xfId="5" applyFont="1" applyBorder="1">
      <protection locked="0"/>
    </xf>
    <xf numFmtId="0" fontId="4" fillId="0" borderId="2" xfId="5" applyFont="1" applyBorder="1" applyAlignment="1">
      <alignment vertical="center"/>
      <protection locked="0"/>
    </xf>
    <xf numFmtId="10" fontId="2" fillId="0" borderId="8" xfId="2" applyNumberFormat="1" applyFont="1" applyBorder="1" applyAlignment="1" applyProtection="1">
      <alignment horizontal="center" vertical="center" wrapText="1"/>
      <protection locked="0"/>
    </xf>
    <xf numFmtId="0" fontId="14" fillId="0" borderId="2" xfId="3" applyFont="1" applyBorder="1" applyAlignment="1">
      <alignment horizontal="center" vertical="center" wrapText="1"/>
      <protection locked="0"/>
    </xf>
    <xf numFmtId="0" fontId="13" fillId="0" borderId="1" xfId="3" applyFont="1" applyBorder="1" applyAlignment="1">
      <alignment vertical="center" wrapText="1"/>
      <protection locked="0"/>
    </xf>
    <xf numFmtId="0" fontId="9" fillId="0" borderId="0" xfId="3" applyFont="1" applyAlignment="1">
      <alignment horizontal="left" vertical="center" wrapText="1"/>
      <protection locked="0"/>
    </xf>
    <xf numFmtId="10" fontId="4" fillId="0" borderId="2" xfId="3" applyNumberFormat="1" applyFont="1" applyBorder="1" applyAlignment="1">
      <alignment horizontal="center" vertical="center" wrapText="1"/>
      <protection locked="0"/>
    </xf>
    <xf numFmtId="0" fontId="4" fillId="0" borderId="0" xfId="3" applyFont="1" applyAlignment="1">
      <alignment vertical="center" wrapText="1"/>
      <protection locked="0"/>
    </xf>
    <xf numFmtId="0" fontId="6" fillId="2" borderId="3" xfId="3" applyFont="1" applyFill="1" applyBorder="1" applyAlignment="1">
      <alignment horizontal="center" vertical="center" wrapText="1"/>
      <protection locked="0"/>
    </xf>
    <xf numFmtId="182" fontId="26" fillId="0" borderId="0" xfId="8" applyFont="1">
      <alignment vertical="center"/>
    </xf>
    <xf numFmtId="182" fontId="27" fillId="0" borderId="0" xfId="8" applyFont="1">
      <alignment vertical="center"/>
    </xf>
    <xf numFmtId="182" fontId="8" fillId="0" borderId="0" xfId="8" applyFont="1">
      <alignment vertical="center"/>
    </xf>
    <xf numFmtId="182" fontId="28" fillId="0" borderId="0" xfId="8" applyFont="1">
      <alignment vertical="center"/>
    </xf>
    <xf numFmtId="182" fontId="8" fillId="2" borderId="2" xfId="8" applyFont="1" applyFill="1" applyBorder="1" applyAlignment="1">
      <alignment vertical="center" wrapText="1"/>
    </xf>
    <xf numFmtId="182" fontId="15" fillId="2" borderId="2" xfId="8" applyFont="1" applyFill="1" applyBorder="1" applyAlignment="1">
      <alignment vertical="center" wrapText="1"/>
    </xf>
    <xf numFmtId="182" fontId="32" fillId="2" borderId="2" xfId="8" applyFont="1" applyFill="1" applyBorder="1" applyAlignment="1">
      <alignment horizontal="center" vertical="center"/>
    </xf>
    <xf numFmtId="182" fontId="15" fillId="0" borderId="0" xfId="8" applyFont="1">
      <alignment vertical="center"/>
    </xf>
    <xf numFmtId="182" fontId="33" fillId="0" borderId="0" xfId="8" applyFont="1">
      <alignment vertical="center"/>
    </xf>
    <xf numFmtId="182" fontId="5" fillId="0" borderId="0" xfId="10" applyFont="1" applyAlignment="1">
      <alignment vertical="center"/>
      <protection locked="0"/>
    </xf>
    <xf numFmtId="182" fontId="2" fillId="0" borderId="0" xfId="10" applyFont="1" applyAlignment="1">
      <alignment vertical="center"/>
      <protection locked="0"/>
    </xf>
    <xf numFmtId="182" fontId="34" fillId="0" borderId="0" xfId="8" applyFont="1">
      <alignment vertical="center"/>
    </xf>
    <xf numFmtId="49" fontId="2" fillId="0" borderId="0" xfId="8" applyNumberFormat="1" applyFont="1" applyAlignment="1" applyProtection="1">
      <alignment horizontal="centerContinuous" vertical="center"/>
      <protection locked="0"/>
    </xf>
    <xf numFmtId="182" fontId="2" fillId="0" borderId="0" xfId="8" applyFont="1" applyAlignment="1" applyProtection="1">
      <alignment horizontal="left" vertical="center"/>
      <protection locked="0"/>
    </xf>
    <xf numFmtId="182" fontId="2" fillId="0" borderId="0" xfId="8" applyFont="1" applyAlignment="1" applyProtection="1">
      <alignment horizontal="right" vertical="center"/>
      <protection locked="0"/>
    </xf>
    <xf numFmtId="182" fontId="5" fillId="0" borderId="0" xfId="8" applyFont="1" applyAlignment="1" applyProtection="1">
      <alignment horizontal="left" vertical="center"/>
      <protection locked="0"/>
    </xf>
    <xf numFmtId="182" fontId="22" fillId="0" borderId="0" xfId="8" applyFont="1">
      <alignment vertical="center"/>
    </xf>
    <xf numFmtId="182" fontId="4" fillId="0" borderId="0" xfId="9" applyFont="1" applyAlignment="1">
      <alignment vertical="center"/>
      <protection locked="0"/>
    </xf>
    <xf numFmtId="182" fontId="9" fillId="0" borderId="0" xfId="9" applyFont="1" applyAlignment="1">
      <alignment vertical="center"/>
      <protection locked="0"/>
    </xf>
    <xf numFmtId="182" fontId="2" fillId="0" borderId="0" xfId="9" applyFont="1" applyAlignment="1">
      <alignment vertical="center"/>
      <protection locked="0"/>
    </xf>
    <xf numFmtId="182" fontId="5" fillId="0" borderId="0" xfId="9" applyFont="1" applyAlignment="1">
      <alignment vertical="center"/>
      <protection locked="0"/>
    </xf>
    <xf numFmtId="182" fontId="39" fillId="0" borderId="0" xfId="8" applyFont="1">
      <alignment vertical="center"/>
    </xf>
    <xf numFmtId="182" fontId="4" fillId="0" borderId="0" xfId="8" applyFont="1" applyAlignment="1" applyProtection="1">
      <alignment horizontal="right" vertical="center"/>
      <protection locked="0"/>
    </xf>
    <xf numFmtId="0" fontId="1" fillId="0" borderId="0" xfId="6" applyFont="1" applyAlignment="1">
      <alignment vertical="center" wrapText="1"/>
    </xf>
    <xf numFmtId="0" fontId="4" fillId="0" borderId="0" xfId="3" applyFont="1" applyAlignment="1">
      <alignment horizontal="center" vertical="center" wrapText="1"/>
      <protection locked="0"/>
    </xf>
    <xf numFmtId="10" fontId="14" fillId="2" borderId="2" xfId="2" applyNumberFormat="1" applyFont="1" applyFill="1" applyBorder="1" applyAlignment="1" applyProtection="1">
      <alignment horizontal="center" vertical="center" wrapText="1"/>
      <protection locked="0"/>
    </xf>
    <xf numFmtId="43" fontId="9" fillId="0" borderId="2" xfId="1" applyFont="1" applyBorder="1" applyAlignment="1" applyProtection="1">
      <alignment horizontal="center" vertical="center" wrapText="1"/>
      <protection locked="0"/>
    </xf>
    <xf numFmtId="10" fontId="9" fillId="0" borderId="2" xfId="2" applyNumberFormat="1" applyFont="1" applyBorder="1" applyAlignment="1" applyProtection="1">
      <alignment horizontal="center" vertical="center" wrapText="1"/>
      <protection locked="0"/>
    </xf>
    <xf numFmtId="43" fontId="4" fillId="0" borderId="2" xfId="1" applyFont="1" applyBorder="1" applyAlignment="1" applyProtection="1">
      <alignment horizontal="center" vertical="center" wrapText="1"/>
      <protection locked="0"/>
    </xf>
    <xf numFmtId="10" fontId="4" fillId="0" borderId="0" xfId="2" applyNumberFormat="1" applyFont="1" applyBorder="1" applyAlignment="1" applyProtection="1">
      <alignment horizontal="center" vertical="center" wrapText="1"/>
      <protection locked="0"/>
    </xf>
    <xf numFmtId="43" fontId="4" fillId="0" borderId="0" xfId="1" applyFont="1" applyBorder="1" applyAlignment="1" applyProtection="1">
      <alignment horizontal="center" vertical="center" wrapText="1"/>
      <protection locked="0"/>
    </xf>
    <xf numFmtId="10" fontId="6" fillId="0" borderId="2" xfId="2" quotePrefix="1" applyNumberFormat="1" applyFont="1" applyBorder="1" applyAlignment="1" applyProtection="1">
      <alignment horizontal="center" vertical="center" wrapText="1"/>
      <protection locked="0"/>
    </xf>
    <xf numFmtId="0" fontId="9" fillId="0" borderId="2" xfId="3" applyFont="1" applyBorder="1" applyAlignment="1">
      <alignment horizontal="center" vertical="center" wrapText="1"/>
      <protection locked="0"/>
    </xf>
    <xf numFmtId="10" fontId="14" fillId="0" borderId="9" xfId="2" applyNumberFormat="1" applyFont="1" applyFill="1" applyBorder="1" applyAlignment="1" applyProtection="1">
      <alignment horizontal="center" vertical="center" wrapText="1"/>
      <protection locked="0"/>
    </xf>
    <xf numFmtId="10" fontId="4" fillId="0" borderId="9" xfId="2" applyNumberFormat="1" applyFont="1" applyBorder="1" applyAlignment="1" applyProtection="1">
      <alignment horizontal="center" vertical="center" wrapText="1"/>
      <protection locked="0"/>
    </xf>
    <xf numFmtId="43" fontId="4" fillId="0" borderId="2" xfId="1" applyFont="1" applyFill="1" applyBorder="1" applyAlignment="1" applyProtection="1">
      <alignment horizontal="center" vertical="center" wrapText="1"/>
      <protection locked="0"/>
    </xf>
    <xf numFmtId="0" fontId="1" fillId="0" borderId="1" xfId="5" applyFont="1" applyBorder="1" applyAlignment="1">
      <alignment horizontal="left" vertical="center" wrapText="1"/>
      <protection locked="0"/>
    </xf>
    <xf numFmtId="43" fontId="4" fillId="0" borderId="0" xfId="2" applyNumberFormat="1" applyFont="1" applyFill="1" applyBorder="1" applyAlignment="1" applyProtection="1">
      <alignment horizontal="center" vertical="center" wrapText="1"/>
      <protection locked="0"/>
    </xf>
    <xf numFmtId="43" fontId="4" fillId="0" borderId="0" xfId="1" applyFont="1" applyFill="1" applyBorder="1" applyAlignment="1" applyProtection="1">
      <alignment horizontal="center" vertical="center" wrapText="1"/>
      <protection locked="0"/>
    </xf>
    <xf numFmtId="10" fontId="6" fillId="0" borderId="0" xfId="3" applyNumberFormat="1" applyFont="1" applyAlignment="1">
      <alignment horizontal="center" vertical="center" wrapText="1"/>
      <protection locked="0"/>
    </xf>
    <xf numFmtId="0" fontId="1" fillId="0" borderId="0" xfId="5" applyFont="1" applyAlignment="1">
      <alignment horizontal="left" vertical="center" wrapText="1"/>
      <protection locked="0"/>
    </xf>
    <xf numFmtId="0" fontId="42" fillId="0" borderId="0" xfId="3" applyFont="1" applyAlignment="1">
      <alignment vertical="center" wrapText="1"/>
      <protection locked="0"/>
    </xf>
    <xf numFmtId="0" fontId="8" fillId="0" borderId="0" xfId="3" applyFont="1" applyAlignment="1">
      <alignment vertical="center" wrapText="1"/>
      <protection locked="0"/>
    </xf>
    <xf numFmtId="0" fontId="43" fillId="0" borderId="0" xfId="6" applyFont="1" applyAlignment="1">
      <alignment vertical="center" wrapText="1"/>
    </xf>
    <xf numFmtId="0" fontId="42" fillId="0" borderId="0" xfId="3" applyFont="1" applyAlignment="1">
      <alignment vertical="center"/>
      <protection locked="0"/>
    </xf>
    <xf numFmtId="0" fontId="8" fillId="0" borderId="1" xfId="3" applyFont="1" applyBorder="1" applyAlignment="1">
      <alignment vertical="center" wrapText="1"/>
      <protection locked="0"/>
    </xf>
    <xf numFmtId="0" fontId="29" fillId="0" borderId="1" xfId="5" applyFont="1" applyBorder="1" applyAlignment="1">
      <alignment horizontal="left" vertical="center" wrapText="1"/>
      <protection locked="0"/>
    </xf>
    <xf numFmtId="0" fontId="4" fillId="0" borderId="0" xfId="3" applyFont="1" applyAlignment="1">
      <alignment horizontal="right" vertical="center"/>
      <protection locked="0"/>
    </xf>
    <xf numFmtId="0" fontId="29" fillId="0" borderId="0" xfId="6" applyFont="1" applyAlignment="1">
      <alignment vertical="center" wrapText="1"/>
    </xf>
    <xf numFmtId="0" fontId="8" fillId="0" borderId="0" xfId="3" applyFont="1" applyAlignment="1">
      <alignment vertical="center"/>
      <protection locked="0"/>
    </xf>
    <xf numFmtId="10" fontId="4" fillId="0" borderId="11" xfId="2" applyNumberFormat="1" applyFont="1" applyBorder="1" applyAlignment="1" applyProtection="1">
      <alignment horizontal="center" vertical="center" wrapText="1"/>
      <protection locked="0"/>
    </xf>
    <xf numFmtId="10" fontId="6" fillId="0" borderId="2" xfId="2" applyNumberFormat="1" applyFont="1" applyBorder="1" applyAlignment="1" applyProtection="1">
      <alignment horizontal="center" vertical="center" wrapText="1"/>
      <protection locked="0"/>
    </xf>
    <xf numFmtId="0" fontId="4" fillId="3" borderId="0" xfId="3" applyFont="1" applyFill="1" applyAlignment="1">
      <alignment horizontal="center" vertical="center" wrapText="1"/>
      <protection locked="0"/>
    </xf>
    <xf numFmtId="10" fontId="4" fillId="0" borderId="5" xfId="3" quotePrefix="1" applyNumberFormat="1" applyFont="1" applyBorder="1" applyAlignment="1">
      <alignment horizontal="center" vertical="center" wrapText="1"/>
      <protection locked="0"/>
    </xf>
    <xf numFmtId="10" fontId="6" fillId="0" borderId="9" xfId="2" applyNumberFormat="1" applyFont="1" applyFill="1" applyBorder="1" applyAlignment="1" applyProtection="1">
      <alignment horizontal="center" vertical="center" wrapText="1"/>
      <protection locked="0"/>
    </xf>
    <xf numFmtId="0" fontId="2" fillId="0" borderId="0" xfId="3" applyFont="1" applyBorder="1" applyAlignment="1">
      <alignment vertical="center" wrapText="1"/>
      <protection locked="0"/>
    </xf>
    <xf numFmtId="0" fontId="42" fillId="0" borderId="0" xfId="3" applyFont="1" applyBorder="1" applyAlignment="1">
      <alignment vertical="center" wrapText="1"/>
      <protection locked="0"/>
    </xf>
    <xf numFmtId="0" fontId="4" fillId="0" borderId="0" xfId="3" applyFont="1" applyBorder="1" applyAlignment="1">
      <alignment horizontal="right" vertical="center"/>
      <protection locked="0"/>
    </xf>
    <xf numFmtId="0" fontId="2" fillId="0" borderId="0" xfId="3" applyFont="1" applyBorder="1" applyAlignment="1">
      <alignment horizontal="right" vertical="center"/>
      <protection locked="0"/>
    </xf>
    <xf numFmtId="180" fontId="29" fillId="0" borderId="1" xfId="5" applyNumberFormat="1" applyFont="1" applyBorder="1" applyAlignment="1">
      <alignment horizontal="left" vertical="center" wrapText="1"/>
      <protection locked="0"/>
    </xf>
    <xf numFmtId="0" fontId="15" fillId="0" borderId="1" xfId="3" applyFont="1" applyBorder="1" applyAlignment="1">
      <alignment horizontal="left" vertical="center" wrapText="1"/>
      <protection locked="0"/>
    </xf>
    <xf numFmtId="179" fontId="32" fillId="0" borderId="0" xfId="3" applyNumberFormat="1" applyFont="1" applyAlignment="1">
      <alignment vertical="center" wrapText="1"/>
      <protection locked="0"/>
    </xf>
    <xf numFmtId="177" fontId="8" fillId="0" borderId="0" xfId="3" applyNumberFormat="1" applyFont="1" applyAlignment="1">
      <alignment vertical="center" wrapText="1"/>
      <protection locked="0"/>
    </xf>
    <xf numFmtId="0" fontId="44" fillId="0" borderId="0" xfId="3" applyFont="1" applyAlignment="1">
      <alignment horizontal="left" vertical="center" wrapText="1"/>
      <protection locked="0"/>
    </xf>
    <xf numFmtId="0" fontId="45" fillId="0" borderId="0" xfId="3" applyFont="1" applyAlignment="1">
      <alignment horizontal="left" vertical="center" wrapText="1"/>
      <protection locked="0"/>
    </xf>
    <xf numFmtId="0" fontId="45" fillId="0" borderId="0" xfId="3" applyFont="1" applyAlignment="1">
      <alignment vertical="center" wrapText="1"/>
      <protection locked="0"/>
    </xf>
    <xf numFmtId="0" fontId="44" fillId="0" borderId="0" xfId="3" applyFont="1" applyAlignment="1">
      <alignment vertical="center" wrapText="1"/>
      <protection locked="0"/>
    </xf>
    <xf numFmtId="0" fontId="29" fillId="0" borderId="0" xfId="5" applyFont="1">
      <protection locked="0"/>
    </xf>
    <xf numFmtId="179" fontId="42" fillId="0" borderId="0" xfId="3" applyNumberFormat="1" applyFont="1" applyAlignment="1">
      <alignment vertical="center" wrapText="1"/>
      <protection locked="0"/>
    </xf>
    <xf numFmtId="0" fontId="45" fillId="0" borderId="0" xfId="5" applyFont="1" applyAlignment="1">
      <alignment vertical="center" wrapText="1"/>
      <protection locked="0"/>
    </xf>
    <xf numFmtId="9" fontId="9" fillId="4" borderId="2" xfId="1" applyNumberFormat="1" applyFont="1" applyFill="1" applyBorder="1" applyAlignment="1" applyProtection="1">
      <alignment horizontal="center" vertical="center" wrapText="1"/>
      <protection locked="0"/>
    </xf>
    <xf numFmtId="0" fontId="6" fillId="4" borderId="2" xfId="3" applyFont="1" applyFill="1" applyBorder="1" applyAlignment="1">
      <alignment horizontal="center" vertical="center" wrapText="1"/>
      <protection locked="0"/>
    </xf>
    <xf numFmtId="10" fontId="6" fillId="4" borderId="2" xfId="2" quotePrefix="1" applyNumberFormat="1" applyFont="1" applyFill="1" applyBorder="1" applyAlignment="1" applyProtection="1">
      <alignment horizontal="center" vertical="center" wrapText="1"/>
      <protection locked="0"/>
    </xf>
    <xf numFmtId="10" fontId="6" fillId="4" borderId="2" xfId="3" applyNumberFormat="1" applyFont="1" applyFill="1" applyBorder="1" applyAlignment="1">
      <alignment horizontal="center" vertical="center" wrapText="1"/>
      <protection locked="0"/>
    </xf>
    <xf numFmtId="43" fontId="6" fillId="4" borderId="2" xfId="3" applyNumberFormat="1" applyFont="1" applyFill="1" applyBorder="1" applyAlignment="1">
      <alignment horizontal="center" vertical="center" wrapText="1"/>
      <protection locked="0"/>
    </xf>
    <xf numFmtId="43" fontId="4" fillId="4" borderId="2" xfId="3" applyNumberFormat="1" applyFont="1" applyFill="1" applyBorder="1" applyAlignment="1">
      <alignment horizontal="center" vertical="center" wrapText="1"/>
      <protection locked="0"/>
    </xf>
    <xf numFmtId="10" fontId="4" fillId="4" borderId="11" xfId="3" applyNumberFormat="1" applyFont="1" applyFill="1" applyBorder="1" applyAlignment="1">
      <alignment horizontal="center" vertical="center" wrapText="1"/>
      <protection locked="0"/>
    </xf>
    <xf numFmtId="43" fontId="9" fillId="4" borderId="2" xfId="1" applyFont="1" applyFill="1" applyBorder="1" applyAlignment="1" applyProtection="1">
      <alignment horizontal="center" vertical="center" wrapText="1"/>
      <protection locked="0"/>
    </xf>
    <xf numFmtId="43" fontId="4" fillId="4" borderId="2" xfId="1" applyFont="1" applyFill="1" applyBorder="1" applyAlignment="1" applyProtection="1">
      <alignment horizontal="center" vertical="center" wrapText="1"/>
      <protection locked="0"/>
    </xf>
    <xf numFmtId="10" fontId="4" fillId="4" borderId="2" xfId="3" applyNumberFormat="1" applyFont="1" applyFill="1" applyBorder="1" applyAlignment="1">
      <alignment horizontal="center" vertical="center" wrapText="1"/>
      <protection locked="0"/>
    </xf>
    <xf numFmtId="10" fontId="6" fillId="4" borderId="2" xfId="3" quotePrefix="1" applyNumberFormat="1" applyFont="1" applyFill="1" applyBorder="1" applyAlignment="1">
      <alignment horizontal="center" vertical="center" wrapText="1"/>
      <protection locked="0"/>
    </xf>
    <xf numFmtId="0" fontId="6" fillId="4" borderId="2" xfId="3" applyFont="1" applyFill="1" applyBorder="1" applyAlignment="1">
      <alignment horizontal="center" vertical="center"/>
      <protection locked="0"/>
    </xf>
    <xf numFmtId="43" fontId="6" fillId="4" borderId="2" xfId="1" applyFont="1" applyFill="1" applyBorder="1" applyAlignment="1" applyProtection="1">
      <alignment horizontal="center" vertical="center" wrapText="1"/>
      <protection locked="0"/>
    </xf>
    <xf numFmtId="10" fontId="4" fillId="4" borderId="2" xfId="1" applyNumberFormat="1" applyFont="1" applyFill="1" applyBorder="1" applyAlignment="1" applyProtection="1">
      <alignment horizontal="center" vertical="center" wrapText="1"/>
      <protection locked="0"/>
    </xf>
    <xf numFmtId="10" fontId="4" fillId="4" borderId="2" xfId="2" applyNumberFormat="1" applyFont="1" applyFill="1" applyBorder="1" applyAlignment="1" applyProtection="1">
      <alignment horizontal="center" vertical="center" wrapText="1"/>
      <protection locked="0"/>
    </xf>
    <xf numFmtId="10" fontId="9" fillId="4" borderId="2" xfId="3" applyNumberFormat="1" applyFont="1" applyFill="1" applyBorder="1" applyAlignment="1">
      <alignment horizontal="center" vertical="center" wrapText="1"/>
      <protection locked="0"/>
    </xf>
    <xf numFmtId="10" fontId="9" fillId="4" borderId="5" xfId="3" quotePrefix="1" applyNumberFormat="1" applyFont="1" applyFill="1" applyBorder="1" applyAlignment="1">
      <alignment horizontal="center" vertical="center" wrapText="1"/>
      <protection locked="0"/>
    </xf>
    <xf numFmtId="43" fontId="4" fillId="4" borderId="2" xfId="2" applyNumberFormat="1" applyFont="1" applyFill="1" applyBorder="1" applyAlignment="1" applyProtection="1">
      <alignment horizontal="center" vertical="center" wrapText="1"/>
      <protection locked="0"/>
    </xf>
    <xf numFmtId="0" fontId="9" fillId="4" borderId="2" xfId="3" applyFont="1" applyFill="1" applyBorder="1" applyAlignment="1">
      <alignment horizontal="center" vertical="center" wrapText="1"/>
      <protection locked="0"/>
    </xf>
    <xf numFmtId="0" fontId="14" fillId="4" borderId="2" xfId="3" applyFont="1" applyFill="1" applyBorder="1" applyAlignment="1">
      <alignment horizontal="center" vertical="center" wrapText="1"/>
      <protection locked="0"/>
    </xf>
    <xf numFmtId="0" fontId="6" fillId="4" borderId="3" xfId="3" applyFont="1" applyFill="1" applyBorder="1" applyAlignment="1">
      <alignment horizontal="center" vertical="center" wrapText="1"/>
      <protection locked="0"/>
    </xf>
    <xf numFmtId="10" fontId="2" fillId="4" borderId="2" xfId="3" applyNumberFormat="1" applyFont="1" applyFill="1" applyBorder="1" applyAlignment="1">
      <alignment horizontal="center" vertical="center" wrapText="1"/>
      <protection locked="0"/>
    </xf>
    <xf numFmtId="179" fontId="2" fillId="4" borderId="2" xfId="3" applyNumberFormat="1" applyFont="1" applyFill="1" applyBorder="1" applyAlignment="1">
      <alignment horizontal="center" vertical="center" wrapText="1"/>
      <protection locked="0"/>
    </xf>
    <xf numFmtId="10" fontId="2" fillId="4" borderId="2" xfId="1" applyNumberFormat="1" applyFont="1" applyFill="1" applyBorder="1" applyAlignment="1" applyProtection="1">
      <alignment horizontal="center" vertical="center" wrapText="1"/>
      <protection locked="0"/>
    </xf>
    <xf numFmtId="43" fontId="2" fillId="4" borderId="2" xfId="1" applyFont="1" applyFill="1" applyBorder="1" applyAlignment="1" applyProtection="1">
      <alignment horizontal="center" vertical="center" wrapText="1"/>
      <protection locked="0"/>
    </xf>
    <xf numFmtId="10" fontId="5" fillId="4" borderId="2" xfId="3" quotePrefix="1" applyNumberFormat="1" applyFont="1" applyFill="1" applyBorder="1" applyAlignment="1">
      <alignment horizontal="center" vertical="center" wrapText="1"/>
      <protection locked="0"/>
    </xf>
    <xf numFmtId="10" fontId="5" fillId="4" borderId="2" xfId="3" applyNumberFormat="1" applyFont="1" applyFill="1" applyBorder="1" applyAlignment="1">
      <alignment horizontal="center" vertical="center" wrapText="1"/>
      <protection locked="0"/>
    </xf>
    <xf numFmtId="178" fontId="5" fillId="4" borderId="2" xfId="1" quotePrefix="1" applyNumberFormat="1" applyFont="1" applyFill="1" applyBorder="1" applyAlignment="1" applyProtection="1">
      <alignment horizontal="center" vertical="center" wrapText="1"/>
      <protection locked="0"/>
    </xf>
    <xf numFmtId="0" fontId="22" fillId="4" borderId="2" xfId="3" applyFont="1" applyFill="1" applyBorder="1" applyAlignment="1">
      <alignment horizontal="center" vertical="center" wrapText="1"/>
      <protection locked="0"/>
    </xf>
    <xf numFmtId="176" fontId="5" fillId="4" borderId="2" xfId="2" applyNumberFormat="1" applyFont="1" applyFill="1" applyBorder="1" applyAlignment="1" applyProtection="1">
      <alignment horizontal="center" vertical="center" wrapText="1"/>
      <protection locked="0"/>
    </xf>
    <xf numFmtId="0" fontId="4" fillId="4" borderId="2" xfId="3" applyFont="1" applyFill="1" applyBorder="1" applyAlignment="1">
      <alignment vertical="center"/>
      <protection locked="0"/>
    </xf>
    <xf numFmtId="10" fontId="2" fillId="4" borderId="2" xfId="2" applyNumberFormat="1" applyFont="1" applyFill="1" applyBorder="1" applyAlignment="1" applyProtection="1">
      <alignment horizontal="center" vertical="center" wrapText="1"/>
      <protection locked="0"/>
    </xf>
    <xf numFmtId="0" fontId="2" fillId="4" borderId="2" xfId="2" applyNumberFormat="1" applyFont="1" applyFill="1" applyBorder="1" applyAlignment="1" applyProtection="1">
      <alignment horizontal="center" vertical="center" wrapText="1"/>
      <protection locked="0"/>
    </xf>
    <xf numFmtId="9" fontId="5" fillId="4" borderId="2" xfId="2" applyFont="1" applyFill="1" applyBorder="1" applyAlignment="1" applyProtection="1">
      <alignment horizontal="center" vertical="center" wrapText="1"/>
      <protection locked="0"/>
    </xf>
    <xf numFmtId="10" fontId="5" fillId="4" borderId="2" xfId="2" applyNumberFormat="1" applyFont="1" applyFill="1" applyBorder="1" applyAlignment="1" applyProtection="1">
      <alignment horizontal="center" vertical="center" wrapText="1"/>
      <protection locked="0"/>
    </xf>
    <xf numFmtId="0" fontId="2" fillId="4" borderId="2" xfId="3" applyFont="1" applyFill="1" applyBorder="1" applyAlignment="1">
      <alignment horizontal="left" vertical="center" wrapText="1"/>
      <protection locked="0"/>
    </xf>
    <xf numFmtId="10" fontId="2" fillId="4" borderId="2" xfId="2" quotePrefix="1" applyNumberFormat="1" applyFont="1" applyFill="1" applyBorder="1" applyAlignment="1" applyProtection="1">
      <alignment horizontal="center" vertical="center" wrapText="1"/>
      <protection locked="0"/>
    </xf>
    <xf numFmtId="182" fontId="22" fillId="4" borderId="2" xfId="11" applyFont="1" applyFill="1" applyBorder="1" applyAlignment="1" applyProtection="1">
      <alignment horizontal="center" vertical="center" wrapText="1"/>
    </xf>
    <xf numFmtId="0" fontId="18" fillId="0" borderId="0" xfId="7" applyFont="1" applyAlignment="1">
      <alignment horizontal="center" vertical="center" wrapText="1"/>
    </xf>
    <xf numFmtId="0" fontId="41" fillId="0" borderId="0" xfId="7" applyFont="1" applyAlignment="1">
      <alignment horizontal="center" vertical="center" wrapText="1"/>
    </xf>
    <xf numFmtId="0" fontId="6" fillId="0" borderId="0" xfId="4" applyFont="1" applyAlignment="1">
      <alignment horizontal="left" vertical="center"/>
    </xf>
    <xf numFmtId="0" fontId="4" fillId="0" borderId="0" xfId="3" applyFont="1" applyAlignment="1">
      <alignment vertical="center" wrapText="1"/>
      <protection locked="0"/>
    </xf>
    <xf numFmtId="0" fontId="4" fillId="0" borderId="0" xfId="3" applyFont="1" applyAlignment="1">
      <alignment horizontal="left" vertical="center" wrapText="1"/>
      <protection locked="0"/>
    </xf>
    <xf numFmtId="0" fontId="9" fillId="0" borderId="0" xfId="3" applyFont="1" applyAlignment="1">
      <alignment horizontal="left" vertical="center" wrapText="1"/>
      <protection locked="0"/>
    </xf>
    <xf numFmtId="0" fontId="1" fillId="0" borderId="0" xfId="5" applyFont="1" applyAlignment="1">
      <alignment vertical="center" wrapText="1"/>
      <protection locked="0"/>
    </xf>
    <xf numFmtId="0" fontId="4" fillId="0" borderId="10" xfId="3" applyFont="1" applyBorder="1" applyAlignment="1">
      <alignment horizontal="left" vertical="center" wrapText="1"/>
      <protection locked="0"/>
    </xf>
    <xf numFmtId="0" fontId="1" fillId="0" borderId="10" xfId="5" applyFont="1" applyBorder="1" applyAlignment="1">
      <alignment horizontal="left" vertical="center" wrapText="1"/>
      <protection locked="0"/>
    </xf>
    <xf numFmtId="0" fontId="6" fillId="2" borderId="5" xfId="3" applyFont="1" applyFill="1" applyBorder="1" applyAlignment="1">
      <alignment horizontal="center" vertical="center" wrapText="1"/>
      <protection locked="0"/>
    </xf>
    <xf numFmtId="0" fontId="1" fillId="0" borderId="3" xfId="5" applyFont="1" applyBorder="1" applyAlignment="1">
      <alignment horizontal="center" vertical="center" wrapText="1"/>
      <protection locked="0"/>
    </xf>
    <xf numFmtId="0" fontId="4" fillId="0" borderId="1" xfId="3" applyFont="1" applyBorder="1" applyAlignment="1">
      <alignment vertical="center" wrapText="1"/>
      <protection locked="0"/>
    </xf>
    <xf numFmtId="0" fontId="1" fillId="0" borderId="1" xfId="5" applyFont="1" applyBorder="1" applyAlignment="1">
      <alignment vertical="center" wrapText="1"/>
      <protection locked="0"/>
    </xf>
    <xf numFmtId="10" fontId="4" fillId="0" borderId="2" xfId="3" applyNumberFormat="1" applyFont="1" applyBorder="1" applyAlignment="1">
      <alignment horizontal="center" vertical="center" wrapText="1"/>
      <protection locked="0"/>
    </xf>
    <xf numFmtId="0" fontId="6" fillId="2" borderId="3" xfId="3" applyFont="1" applyFill="1" applyBorder="1" applyAlignment="1">
      <alignment horizontal="center" vertical="center" wrapText="1"/>
      <protection locked="0"/>
    </xf>
    <xf numFmtId="0" fontId="6" fillId="2" borderId="8" xfId="3" applyFont="1" applyFill="1" applyBorder="1" applyAlignment="1">
      <alignment horizontal="center" vertical="center" wrapText="1"/>
      <protection locked="0"/>
    </xf>
    <xf numFmtId="0" fontId="1" fillId="0" borderId="6" xfId="5" applyFont="1" applyBorder="1" applyAlignment="1">
      <alignment horizontal="center" vertical="center" wrapText="1"/>
      <protection locked="0"/>
    </xf>
    <xf numFmtId="0" fontId="4" fillId="0" borderId="5" xfId="3" applyFont="1" applyBorder="1" applyAlignment="1">
      <alignment horizontal="center" vertical="center"/>
      <protection locked="0"/>
    </xf>
    <xf numFmtId="0" fontId="1" fillId="0" borderId="4" xfId="5" applyFont="1" applyBorder="1" applyAlignment="1">
      <alignment horizontal="center" vertical="center"/>
      <protection locked="0"/>
    </xf>
    <xf numFmtId="0" fontId="1" fillId="0" borderId="3" xfId="5" applyFont="1" applyBorder="1" applyAlignment="1">
      <alignment horizontal="center" vertical="center"/>
      <protection locked="0"/>
    </xf>
    <xf numFmtId="43" fontId="9" fillId="0" borderId="5" xfId="1" applyFont="1" applyBorder="1" applyAlignment="1" applyProtection="1">
      <alignment horizontal="center" vertical="center"/>
      <protection locked="0"/>
    </xf>
    <xf numFmtId="43" fontId="37" fillId="0" borderId="4" xfId="1" applyFont="1" applyBorder="1" applyAlignment="1" applyProtection="1">
      <alignment horizontal="center" vertical="center"/>
      <protection locked="0"/>
    </xf>
    <xf numFmtId="43" fontId="37" fillId="0" borderId="3" xfId="1" applyFont="1" applyBorder="1" applyAlignment="1" applyProtection="1">
      <alignment horizontal="center" vertical="center"/>
      <protection locked="0"/>
    </xf>
    <xf numFmtId="0" fontId="6" fillId="4" borderId="5" xfId="3" applyFont="1" applyFill="1" applyBorder="1" applyAlignment="1">
      <alignment horizontal="center" vertical="center" wrapText="1"/>
      <protection locked="0"/>
    </xf>
    <xf numFmtId="0" fontId="6" fillId="4" borderId="3" xfId="3" applyFont="1" applyFill="1" applyBorder="1" applyAlignment="1">
      <alignment horizontal="center" vertical="center" wrapText="1"/>
      <protection locked="0"/>
    </xf>
    <xf numFmtId="0" fontId="6" fillId="4" borderId="8" xfId="3" applyFont="1" applyFill="1" applyBorder="1" applyAlignment="1">
      <alignment horizontal="center" vertical="center" wrapText="1"/>
      <protection locked="0"/>
    </xf>
    <xf numFmtId="0" fontId="6" fillId="4" borderId="7" xfId="3" applyFont="1" applyFill="1" applyBorder="1" applyAlignment="1">
      <alignment horizontal="center" vertical="center" wrapText="1"/>
      <protection locked="0"/>
    </xf>
    <xf numFmtId="0" fontId="6" fillId="4" borderId="6" xfId="3" applyFont="1" applyFill="1" applyBorder="1" applyAlignment="1">
      <alignment horizontal="center" vertical="center" wrapText="1"/>
      <protection locked="0"/>
    </xf>
    <xf numFmtId="10" fontId="4" fillId="0" borderId="5" xfId="3" applyNumberFormat="1" applyFont="1" applyBorder="1" applyAlignment="1">
      <alignment horizontal="center" vertical="center" wrapText="1"/>
      <protection locked="0"/>
    </xf>
    <xf numFmtId="0" fontId="1" fillId="0" borderId="4" xfId="5" applyFont="1" applyBorder="1" applyAlignment="1">
      <alignment horizontal="center" vertical="center" wrapText="1"/>
      <protection locked="0"/>
    </xf>
    <xf numFmtId="0" fontId="13" fillId="0" borderId="1" xfId="3" applyFont="1" applyBorder="1" applyAlignment="1">
      <alignment horizontal="left" vertical="center" wrapText="1"/>
      <protection locked="0"/>
    </xf>
    <xf numFmtId="0" fontId="12" fillId="0" borderId="1" xfId="5" applyFont="1" applyBorder="1" applyAlignment="1">
      <alignment horizontal="left" vertical="center" wrapText="1"/>
      <protection locked="0"/>
    </xf>
    <xf numFmtId="0" fontId="13" fillId="0" borderId="1" xfId="3" applyFont="1" applyBorder="1" applyAlignment="1">
      <alignment vertical="center" wrapText="1"/>
      <protection locked="0"/>
    </xf>
    <xf numFmtId="0" fontId="12" fillId="0" borderId="1" xfId="5" applyFont="1" applyBorder="1" applyAlignment="1">
      <alignment vertical="center" wrapText="1"/>
      <protection locked="0"/>
    </xf>
    <xf numFmtId="0" fontId="8" fillId="0" borderId="1" xfId="3" applyFont="1" applyBorder="1" applyAlignment="1">
      <alignment vertical="center" wrapText="1"/>
      <protection locked="0"/>
    </xf>
    <xf numFmtId="0" fontId="29" fillId="0" borderId="1" xfId="5" applyFont="1" applyBorder="1" applyAlignment="1">
      <alignment vertical="center" wrapText="1"/>
      <protection locked="0"/>
    </xf>
    <xf numFmtId="0" fontId="8" fillId="0" borderId="0" xfId="3" applyFont="1" applyAlignment="1">
      <alignment vertical="center" wrapText="1"/>
      <protection locked="0"/>
    </xf>
    <xf numFmtId="0" fontId="29" fillId="0" borderId="0" xfId="5" applyFont="1" applyAlignment="1">
      <alignment vertical="center" wrapText="1"/>
      <protection locked="0"/>
    </xf>
    <xf numFmtId="0" fontId="8" fillId="0" borderId="1" xfId="3" applyFont="1" applyBorder="1" applyAlignment="1">
      <alignment horizontal="left" vertical="center" wrapText="1"/>
      <protection locked="0"/>
    </xf>
    <xf numFmtId="0" fontId="29" fillId="0" borderId="1" xfId="5" applyFont="1" applyBorder="1" applyAlignment="1">
      <alignment horizontal="left" vertical="center" wrapText="1"/>
      <protection locked="0"/>
    </xf>
    <xf numFmtId="176" fontId="2" fillId="4" borderId="5" xfId="2" applyNumberFormat="1" applyFont="1" applyFill="1" applyBorder="1" applyAlignment="1" applyProtection="1">
      <alignment horizontal="center" vertical="center" wrapText="1"/>
      <protection locked="0"/>
    </xf>
    <xf numFmtId="176" fontId="2" fillId="4" borderId="4" xfId="2" applyNumberFormat="1" applyFont="1" applyFill="1" applyBorder="1" applyAlignment="1" applyProtection="1">
      <alignment horizontal="center" vertical="center" wrapText="1"/>
      <protection locked="0"/>
    </xf>
    <xf numFmtId="176" fontId="2" fillId="4" borderId="3" xfId="2" applyNumberFormat="1" applyFont="1" applyFill="1" applyBorder="1" applyAlignment="1" applyProtection="1">
      <alignment horizontal="center" vertical="center" wrapText="1"/>
      <protection locked="0"/>
    </xf>
    <xf numFmtId="10" fontId="2" fillId="0" borderId="8" xfId="2" applyNumberFormat="1" applyFont="1" applyBorder="1" applyAlignment="1" applyProtection="1">
      <alignment horizontal="center" vertical="center" wrapText="1"/>
      <protection locked="0"/>
    </xf>
    <xf numFmtId="10" fontId="2" fillId="0" borderId="7" xfId="2" applyNumberFormat="1" applyFont="1" applyBorder="1" applyAlignment="1" applyProtection="1">
      <alignment horizontal="center" vertical="center" wrapText="1"/>
      <protection locked="0"/>
    </xf>
    <xf numFmtId="10" fontId="2" fillId="4" borderId="8" xfId="2" applyNumberFormat="1" applyFont="1" applyFill="1" applyBorder="1" applyAlignment="1" applyProtection="1">
      <alignment horizontal="center" vertical="center" wrapText="1"/>
      <protection locked="0"/>
    </xf>
    <xf numFmtId="10" fontId="2" fillId="4" borderId="7" xfId="2" applyNumberFormat="1" applyFont="1" applyFill="1" applyBorder="1" applyAlignment="1" applyProtection="1">
      <alignment horizontal="center" vertical="center" wrapText="1"/>
      <protection locked="0"/>
    </xf>
    <xf numFmtId="9" fontId="11" fillId="0" borderId="5" xfId="2" applyFont="1" applyBorder="1" applyAlignment="1" applyProtection="1">
      <alignment horizontal="center" vertical="center" wrapText="1"/>
      <protection locked="0"/>
    </xf>
    <xf numFmtId="9" fontId="11" fillId="0" borderId="4" xfId="2" applyFont="1" applyBorder="1" applyAlignment="1" applyProtection="1">
      <alignment horizontal="center" vertical="center" wrapText="1"/>
      <protection locked="0"/>
    </xf>
    <xf numFmtId="9" fontId="11" fillId="0" borderId="3" xfId="2" applyFont="1" applyBorder="1" applyAlignment="1" applyProtection="1">
      <alignment horizontal="center" vertical="center" wrapText="1"/>
      <protection locked="0"/>
    </xf>
    <xf numFmtId="10" fontId="4" fillId="0" borderId="5" xfId="2" applyNumberFormat="1" applyFont="1" applyBorder="1" applyAlignment="1" applyProtection="1">
      <alignment horizontal="center" vertical="center" wrapText="1"/>
      <protection locked="0"/>
    </xf>
    <xf numFmtId="10" fontId="2" fillId="0" borderId="4" xfId="2" applyNumberFormat="1" applyFont="1" applyBorder="1" applyAlignment="1" applyProtection="1">
      <alignment horizontal="center" vertical="center" wrapText="1"/>
      <protection locked="0"/>
    </xf>
    <xf numFmtId="10" fontId="2" fillId="0" borderId="3" xfId="2" applyNumberFormat="1" applyFont="1" applyBorder="1" applyAlignment="1" applyProtection="1">
      <alignment horizontal="center" vertical="center" wrapText="1"/>
      <protection locked="0"/>
    </xf>
    <xf numFmtId="10" fontId="6" fillId="4" borderId="8" xfId="2" applyNumberFormat="1" applyFont="1" applyFill="1" applyBorder="1" applyAlignment="1" applyProtection="1">
      <alignment horizontal="center" vertical="center" wrapText="1"/>
      <protection locked="0"/>
    </xf>
    <xf numFmtId="10" fontId="5" fillId="4" borderId="6" xfId="2" applyNumberFormat="1" applyFont="1" applyFill="1" applyBorder="1" applyAlignment="1" applyProtection="1">
      <alignment horizontal="center" vertical="center" wrapText="1"/>
      <protection locked="0"/>
    </xf>
    <xf numFmtId="10" fontId="11" fillId="0" borderId="5" xfId="2" applyNumberFormat="1" applyFont="1" applyBorder="1" applyAlignment="1" applyProtection="1">
      <alignment horizontal="center" vertical="center" wrapText="1"/>
      <protection locked="0"/>
    </xf>
    <xf numFmtId="10" fontId="11" fillId="0" borderId="4" xfId="2" applyNumberFormat="1" applyFont="1" applyBorder="1" applyAlignment="1" applyProtection="1">
      <alignment horizontal="center" vertical="center" wrapText="1"/>
      <protection locked="0"/>
    </xf>
    <xf numFmtId="10" fontId="11" fillId="0" borderId="3" xfId="2" applyNumberFormat="1" applyFont="1" applyBorder="1" applyAlignment="1" applyProtection="1">
      <alignment horizontal="center" vertical="center" wrapText="1"/>
      <protection locked="0"/>
    </xf>
    <xf numFmtId="0" fontId="2" fillId="0" borderId="0" xfId="3" applyFont="1" applyAlignment="1">
      <alignment horizontal="left" vertical="center" wrapText="1"/>
      <protection locked="0"/>
    </xf>
    <xf numFmtId="0" fontId="5" fillId="0" borderId="0" xfId="4" applyFont="1" applyAlignment="1">
      <alignment horizontal="left" vertical="center"/>
    </xf>
    <xf numFmtId="0" fontId="9" fillId="0" borderId="5" xfId="3" applyFont="1" applyBorder="1" applyAlignment="1">
      <alignment horizontal="center" vertical="center" wrapText="1"/>
      <protection locked="0"/>
    </xf>
    <xf numFmtId="0" fontId="9" fillId="0" borderId="4" xfId="3" applyFont="1" applyBorder="1" applyAlignment="1">
      <alignment horizontal="center" vertical="center" wrapText="1"/>
      <protection locked="0"/>
    </xf>
    <xf numFmtId="0" fontId="9" fillId="0" borderId="3" xfId="3" applyFont="1" applyBorder="1" applyAlignment="1">
      <alignment horizontal="center" vertical="center" wrapText="1"/>
      <protection locked="0"/>
    </xf>
    <xf numFmtId="0" fontId="4" fillId="0" borderId="2" xfId="3" applyFont="1" applyBorder="1" applyAlignment="1">
      <alignment horizontal="center" vertical="center" wrapText="1"/>
      <protection locked="0"/>
    </xf>
    <xf numFmtId="0" fontId="4" fillId="0" borderId="0" xfId="3" applyFont="1" applyAlignment="1">
      <alignment horizontal="left" vertical="top" wrapText="1"/>
      <protection locked="0"/>
    </xf>
    <xf numFmtId="0" fontId="2" fillId="0" borderId="0" xfId="3" applyFont="1" applyAlignment="1">
      <alignment horizontal="left" vertical="top" wrapText="1"/>
      <protection locked="0"/>
    </xf>
    <xf numFmtId="0" fontId="8" fillId="0" borderId="0" xfId="3" applyFont="1" applyAlignment="1">
      <alignment horizontal="left" vertical="center" wrapText="1"/>
      <protection locked="0"/>
    </xf>
    <xf numFmtId="0" fontId="29" fillId="0" borderId="0" xfId="5" applyFont="1" applyAlignment="1">
      <alignment horizontal="left" vertical="center" wrapText="1"/>
      <protection locked="0"/>
    </xf>
    <xf numFmtId="0" fontId="22" fillId="4" borderId="8" xfId="3" applyFont="1" applyFill="1" applyBorder="1" applyAlignment="1">
      <alignment horizontal="center" vertical="center" wrapText="1"/>
      <protection locked="0"/>
    </xf>
    <xf numFmtId="0" fontId="22" fillId="4" borderId="7" xfId="3" applyFont="1" applyFill="1" applyBorder="1" applyAlignment="1">
      <alignment horizontal="center" vertical="center" wrapText="1"/>
      <protection locked="0"/>
    </xf>
    <xf numFmtId="0" fontId="22" fillId="4" borderId="6" xfId="3" applyFont="1" applyFill="1" applyBorder="1" applyAlignment="1">
      <alignment horizontal="center" vertical="center" wrapText="1"/>
      <protection locked="0"/>
    </xf>
    <xf numFmtId="176" fontId="5" fillId="0" borderId="5" xfId="2" applyNumberFormat="1" applyFont="1" applyBorder="1" applyAlignment="1" applyProtection="1">
      <alignment horizontal="center" vertical="center" wrapText="1"/>
      <protection locked="0"/>
    </xf>
    <xf numFmtId="0" fontId="1" fillId="0" borderId="4" xfId="5" applyBorder="1" applyAlignment="1">
      <alignment horizontal="center" vertical="center" wrapText="1"/>
      <protection locked="0"/>
    </xf>
    <xf numFmtId="0" fontId="1" fillId="0" borderId="3" xfId="5" applyBorder="1" applyAlignment="1">
      <alignment horizontal="center" vertical="center" wrapText="1"/>
      <protection locked="0"/>
    </xf>
    <xf numFmtId="0" fontId="46" fillId="0" borderId="0" xfId="7" applyFont="1" applyAlignment="1">
      <alignment horizontal="center" vertical="center" wrapText="1"/>
    </xf>
    <xf numFmtId="0" fontId="45" fillId="0" borderId="0" xfId="5" applyFont="1" applyAlignment="1">
      <alignment vertical="center" wrapText="1"/>
      <protection locked="0"/>
    </xf>
    <xf numFmtId="0" fontId="7" fillId="0" borderId="0" xfId="5" applyFont="1" applyAlignment="1">
      <alignment vertical="center" wrapText="1"/>
      <protection locked="0"/>
    </xf>
    <xf numFmtId="0" fontId="1" fillId="0" borderId="0" xfId="5" applyAlignment="1">
      <alignment vertical="center" wrapText="1"/>
      <protection locked="0"/>
    </xf>
    <xf numFmtId="182" fontId="15" fillId="2" borderId="8" xfId="8" applyFont="1" applyFill="1" applyBorder="1" applyAlignment="1">
      <alignment vertical="center" wrapText="1"/>
    </xf>
    <xf numFmtId="182" fontId="15" fillId="2" borderId="6" xfId="9" applyFont="1" applyFill="1" applyBorder="1" applyAlignment="1">
      <alignment vertical="center" wrapText="1"/>
      <protection locked="0"/>
    </xf>
    <xf numFmtId="49" fontId="36" fillId="4" borderId="8" xfId="11" applyNumberFormat="1" applyFont="1" applyFill="1" applyBorder="1" applyAlignment="1" applyProtection="1">
      <alignment horizontal="left" vertical="center" wrapText="1"/>
    </xf>
    <xf numFmtId="49" fontId="1" fillId="4" borderId="7" xfId="9" applyNumberFormat="1" applyFill="1" applyBorder="1" applyAlignment="1">
      <alignment vertical="center" wrapText="1"/>
      <protection locked="0"/>
    </xf>
    <xf numFmtId="49" fontId="1" fillId="4" borderId="6" xfId="9" applyNumberFormat="1" applyFill="1" applyBorder="1" applyAlignment="1">
      <alignment vertical="center" wrapText="1"/>
      <protection locked="0"/>
    </xf>
    <xf numFmtId="49" fontId="36" fillId="0" borderId="8" xfId="11" applyNumberFormat="1" applyFont="1" applyBorder="1" applyAlignment="1" applyProtection="1">
      <alignment horizontal="center" vertical="center" wrapText="1"/>
    </xf>
    <xf numFmtId="49" fontId="1" fillId="0" borderId="6" xfId="9" applyNumberFormat="1" applyBorder="1" applyAlignment="1">
      <alignment horizontal="center" vertical="center" wrapText="1"/>
      <protection locked="0"/>
    </xf>
    <xf numFmtId="49" fontId="9" fillId="0" borderId="8" xfId="11" applyNumberFormat="1" applyFont="1" applyBorder="1" applyAlignment="1" applyProtection="1">
      <alignment horizontal="center" vertical="center" wrapText="1"/>
    </xf>
    <xf numFmtId="49" fontId="37" fillId="0" borderId="6" xfId="9" applyNumberFormat="1" applyFont="1" applyBorder="1" applyAlignment="1">
      <alignment horizontal="center" vertical="center" wrapText="1"/>
      <protection locked="0"/>
    </xf>
    <xf numFmtId="49" fontId="36" fillId="4" borderId="18" xfId="11" applyNumberFormat="1" applyFont="1" applyFill="1" applyBorder="1" applyAlignment="1" applyProtection="1">
      <alignment horizontal="left" vertical="center" wrapText="1"/>
    </xf>
    <xf numFmtId="49" fontId="1" fillId="4" borderId="10" xfId="9" applyNumberFormat="1" applyFill="1" applyBorder="1" applyAlignment="1">
      <alignment vertical="center" wrapText="1"/>
      <protection locked="0"/>
    </xf>
    <xf numFmtId="49" fontId="1" fillId="4" borderId="17" xfId="9" applyNumberFormat="1" applyFill="1" applyBorder="1" applyAlignment="1">
      <alignment vertical="center" wrapText="1"/>
      <protection locked="0"/>
    </xf>
    <xf numFmtId="49" fontId="36" fillId="4" borderId="1" xfId="11" applyNumberFormat="1" applyFont="1" applyFill="1" applyBorder="1" applyAlignment="1" applyProtection="1">
      <alignment horizontal="left" vertical="center" wrapText="1"/>
    </xf>
    <xf numFmtId="49" fontId="1" fillId="4" borderId="0" xfId="9" applyNumberFormat="1" applyFill="1" applyAlignment="1">
      <alignment vertical="center" wrapText="1"/>
      <protection locked="0"/>
    </xf>
    <xf numFmtId="49" fontId="1" fillId="4" borderId="16" xfId="9" applyNumberFormat="1" applyFill="1" applyBorder="1" applyAlignment="1">
      <alignment vertical="center" wrapText="1"/>
      <protection locked="0"/>
    </xf>
    <xf numFmtId="182" fontId="15" fillId="2" borderId="8" xfId="8" applyFont="1" applyFill="1" applyBorder="1" applyAlignment="1">
      <alignment horizontal="center" vertical="center" wrapText="1"/>
    </xf>
    <xf numFmtId="182" fontId="15" fillId="2" borderId="7" xfId="8" applyFont="1" applyFill="1" applyBorder="1" applyAlignment="1">
      <alignment horizontal="center" vertical="center" wrapText="1"/>
    </xf>
    <xf numFmtId="182" fontId="15" fillId="2" borderId="6" xfId="8" applyFont="1" applyFill="1" applyBorder="1" applyAlignment="1">
      <alignment horizontal="center" vertical="center" wrapText="1"/>
    </xf>
    <xf numFmtId="182" fontId="22" fillId="4" borderId="8" xfId="11" applyFont="1" applyFill="1" applyBorder="1" applyAlignment="1" applyProtection="1">
      <alignment horizontal="center" vertical="center" wrapText="1"/>
    </xf>
    <xf numFmtId="182" fontId="1" fillId="4" borderId="6" xfId="9" applyFill="1" applyBorder="1" applyAlignment="1">
      <alignment horizontal="center" vertical="center" wrapText="1"/>
      <protection locked="0"/>
    </xf>
    <xf numFmtId="182" fontId="22" fillId="4" borderId="5" xfId="11" applyFont="1" applyFill="1" applyBorder="1" applyAlignment="1" applyProtection="1">
      <alignment horizontal="center" vertical="center" wrapText="1"/>
    </xf>
    <xf numFmtId="182" fontId="1" fillId="4" borderId="3" xfId="9" applyFill="1" applyBorder="1" applyAlignment="1">
      <alignment horizontal="center" vertical="center" wrapText="1"/>
      <protection locked="0"/>
    </xf>
    <xf numFmtId="49" fontId="9" fillId="0" borderId="18" xfId="11" applyNumberFormat="1" applyFont="1" applyBorder="1" applyAlignment="1" applyProtection="1">
      <alignment horizontal="center" vertical="center" wrapText="1"/>
    </xf>
    <xf numFmtId="49" fontId="37" fillId="0" borderId="17" xfId="9" applyNumberFormat="1" applyFont="1" applyBorder="1" applyAlignment="1">
      <alignment horizontal="center" vertical="center" wrapText="1"/>
      <protection locked="0"/>
    </xf>
    <xf numFmtId="182" fontId="1" fillId="0" borderId="15" xfId="9" applyBorder="1" applyAlignment="1">
      <alignment horizontal="center" vertical="center" wrapText="1"/>
      <protection locked="0"/>
    </xf>
    <xf numFmtId="182" fontId="1" fillId="0" borderId="14" xfId="9" applyBorder="1" applyAlignment="1">
      <alignment horizontal="center" vertical="center" wrapText="1"/>
      <protection locked="0"/>
    </xf>
    <xf numFmtId="182" fontId="8" fillId="2" borderId="8" xfId="8" applyFont="1" applyFill="1" applyBorder="1" applyAlignment="1">
      <alignment vertical="center" wrapText="1"/>
    </xf>
    <xf numFmtId="182" fontId="29" fillId="2" borderId="7" xfId="9" applyFont="1" applyFill="1" applyBorder="1" applyAlignment="1">
      <alignment vertical="center" wrapText="1"/>
      <protection locked="0"/>
    </xf>
    <xf numFmtId="182" fontId="29" fillId="2" borderId="6" xfId="9" applyFont="1" applyFill="1" applyBorder="1" applyAlignment="1">
      <alignment vertical="center" wrapText="1"/>
      <protection locked="0"/>
    </xf>
    <xf numFmtId="182" fontId="18" fillId="0" borderId="0" xfId="12" applyFont="1" applyAlignment="1">
      <alignment horizontal="center" vertical="center"/>
    </xf>
    <xf numFmtId="182" fontId="17" fillId="0" borderId="0" xfId="12" applyFont="1" applyAlignment="1">
      <alignment horizontal="center" vertical="center"/>
    </xf>
    <xf numFmtId="182" fontId="41" fillId="0" borderId="0" xfId="8" applyFont="1" applyAlignment="1" applyProtection="1">
      <alignment horizontal="center" vertical="center"/>
      <protection locked="0"/>
    </xf>
    <xf numFmtId="182" fontId="1" fillId="4" borderId="6" xfId="11" applyFill="1" applyBorder="1" applyAlignment="1">
      <alignment horizontal="center" vertical="center" wrapText="1"/>
      <protection locked="0"/>
    </xf>
    <xf numFmtId="182" fontId="1" fillId="4" borderId="7" xfId="9" applyFill="1" applyBorder="1" applyAlignment="1">
      <alignment horizontal="center" vertical="center" wrapText="1"/>
      <protection locked="0"/>
    </xf>
    <xf numFmtId="182" fontId="22" fillId="4" borderId="4" xfId="11" applyFont="1" applyFill="1" applyBorder="1" applyAlignment="1" applyProtection="1">
      <alignment horizontal="center" vertical="center" wrapText="1"/>
    </xf>
    <xf numFmtId="182" fontId="1" fillId="4" borderId="3" xfId="11" applyFill="1" applyBorder="1" applyAlignment="1">
      <alignment horizontal="center" vertical="center" wrapText="1"/>
      <protection locked="0"/>
    </xf>
    <xf numFmtId="49" fontId="11" fillId="0" borderId="8" xfId="8" applyNumberFormat="1" applyFont="1" applyBorder="1" applyAlignment="1">
      <alignment vertical="center" wrapText="1"/>
    </xf>
    <xf numFmtId="49" fontId="1" fillId="0" borderId="6" xfId="9" applyNumberFormat="1" applyBorder="1" applyAlignment="1">
      <alignment vertical="center" wrapText="1"/>
      <protection locked="0"/>
    </xf>
    <xf numFmtId="182" fontId="38" fillId="4" borderId="8" xfId="11" applyFont="1" applyFill="1" applyBorder="1" applyAlignment="1" applyProtection="1">
      <alignment horizontal="center" vertical="center" wrapText="1"/>
    </xf>
    <xf numFmtId="182" fontId="1" fillId="4" borderId="6" xfId="9" applyFont="1" applyFill="1" applyBorder="1" applyAlignment="1">
      <alignment horizontal="center" vertical="center" wrapText="1"/>
      <protection locked="0"/>
    </xf>
    <xf numFmtId="182" fontId="1" fillId="4" borderId="15" xfId="9" applyFill="1" applyBorder="1" applyAlignment="1">
      <alignment vertical="center" wrapText="1"/>
      <protection locked="0"/>
    </xf>
    <xf numFmtId="182" fontId="1" fillId="4" borderId="19" xfId="9" applyFill="1" applyBorder="1" applyAlignment="1">
      <alignment vertical="center" wrapText="1"/>
      <protection locked="0"/>
    </xf>
    <xf numFmtId="182" fontId="1" fillId="4" borderId="14" xfId="9" applyFill="1" applyBorder="1" applyAlignment="1">
      <alignment vertical="center" wrapText="1"/>
      <protection locked="0"/>
    </xf>
    <xf numFmtId="182" fontId="22" fillId="4" borderId="18" xfId="11" applyFont="1" applyFill="1" applyBorder="1" applyAlignment="1" applyProtection="1">
      <alignment horizontal="center" vertical="center" wrapText="1"/>
    </xf>
    <xf numFmtId="182" fontId="1" fillId="4" borderId="17" xfId="9" applyFill="1" applyBorder="1" applyAlignment="1">
      <alignment horizontal="center" vertical="center" wrapText="1"/>
      <protection locked="0"/>
    </xf>
    <xf numFmtId="182" fontId="1" fillId="4" borderId="1" xfId="9" applyFill="1" applyBorder="1" applyAlignment="1">
      <alignment horizontal="center" vertical="center" wrapText="1"/>
      <protection locked="0"/>
    </xf>
    <xf numFmtId="182" fontId="1" fillId="4" borderId="16" xfId="9" applyFill="1" applyBorder="1" applyAlignment="1">
      <alignment horizontal="center" vertical="center" wrapText="1"/>
      <protection locked="0"/>
    </xf>
    <xf numFmtId="182" fontId="31" fillId="2" borderId="6" xfId="9" applyFont="1" applyFill="1" applyBorder="1" applyAlignment="1">
      <alignment vertical="center" wrapText="1"/>
      <protection locked="0"/>
    </xf>
    <xf numFmtId="49" fontId="36" fillId="0" borderId="8" xfId="11" quotePrefix="1" applyNumberFormat="1" applyFont="1" applyBorder="1" applyAlignment="1" applyProtection="1">
      <alignment horizontal="center" vertical="center" wrapText="1"/>
    </xf>
    <xf numFmtId="49" fontId="14" fillId="0" borderId="8" xfId="11" applyNumberFormat="1" applyFont="1" applyBorder="1" applyAlignment="1" applyProtection="1">
      <alignment horizontal="center" vertical="center" wrapText="1"/>
    </xf>
    <xf numFmtId="49" fontId="35" fillId="0" borderId="6" xfId="9" applyNumberFormat="1" applyFont="1" applyBorder="1" applyAlignment="1">
      <alignment horizontal="center" vertical="center" wrapText="1"/>
      <protection locked="0"/>
    </xf>
    <xf numFmtId="182" fontId="31" fillId="2" borderId="7" xfId="9" applyFont="1" applyFill="1" applyBorder="1" applyAlignment="1">
      <alignment vertical="center" wrapText="1"/>
      <protection locked="0"/>
    </xf>
  </cellXfs>
  <cellStyles count="13">
    <cellStyle name="百分比" xfId="2" builtinId="5"/>
    <cellStyle name="常规" xfId="0" builtinId="0"/>
    <cellStyle name="常规 2" xfId="9"/>
    <cellStyle name="常规 2 8" xfId="5"/>
    <cellStyle name="常规 2 8 2" xfId="11"/>
    <cellStyle name="常规 3" xfId="10"/>
    <cellStyle name="常规 3 2 2" xfId="3"/>
    <cellStyle name="常规 5 2" xfId="8"/>
    <cellStyle name="常规_2-1项目审定表－模板" xfId="7"/>
    <cellStyle name="常规_Book1" xfId="6"/>
    <cellStyle name="常规_c-资产类" xfId="12"/>
    <cellStyle name="常规_进一步审计程序--销售与收款循环" xfId="4"/>
    <cellStyle name="千位分隔" xfId="1" builtinId="3"/>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2%20&#24212;&#25910;&#36134;&#27454;-%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sheetData sheetId="2154"/>
      <sheetData sheetId="2155"/>
      <sheetData sheetId="2156"/>
      <sheetData sheetId="2157"/>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sheetData sheetId="2828"/>
      <sheetData sheetId="2829"/>
      <sheetData sheetId="2830"/>
      <sheetData sheetId="2831"/>
      <sheetData sheetId="2832"/>
      <sheetData sheetId="2833"/>
      <sheetData sheetId="2834"/>
      <sheetData sheetId="2835"/>
      <sheetData sheetId="2836"/>
      <sheetData sheetId="2837"/>
      <sheetData sheetId="2838" refreshError="1"/>
      <sheetData sheetId="2839" refreshError="1"/>
      <sheetData sheetId="2840"/>
      <sheetData sheetId="2841" refreshError="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refreshError="1"/>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refreshError="1"/>
      <sheetData sheetId="2890"/>
      <sheetData sheetId="2891"/>
      <sheetData sheetId="2892"/>
      <sheetData sheetId="2893"/>
      <sheetData sheetId="2894"/>
      <sheetData sheetId="2895"/>
      <sheetData sheetId="2896"/>
      <sheetData sheetId="2897"/>
      <sheetData sheetId="2898"/>
      <sheetData sheetId="2899"/>
      <sheetData sheetId="2900"/>
      <sheetData sheetId="2901" refreshError="1"/>
      <sheetData sheetId="2902"/>
      <sheetData sheetId="2903"/>
      <sheetData sheetId="2904"/>
      <sheetData sheetId="2905"/>
      <sheetData sheetId="2906" refreshError="1"/>
      <sheetData sheetId="2907" refreshError="1"/>
      <sheetData sheetId="2908"/>
      <sheetData sheetId="2909" refreshError="1"/>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refreshError="1"/>
      <sheetData sheetId="2925" refreshError="1"/>
      <sheetData sheetId="2926" refreshError="1"/>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ow r="24">
          <cell r="B24">
            <v>0</v>
          </cell>
        </row>
      </sheetData>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sheetData sheetId="5226" refreshError="1"/>
      <sheetData sheetId="5227" refreshError="1"/>
      <sheetData sheetId="5228" refreshError="1"/>
      <sheetData sheetId="5229" refreshError="1"/>
      <sheetData sheetId="5230"/>
      <sheetData sheetId="5231"/>
      <sheetData sheetId="5232"/>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sheetData sheetId="6387"/>
      <sheetData sheetId="6388"/>
      <sheetData sheetId="6389"/>
      <sheetData sheetId="6390"/>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索引"/>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00_¨/_x0016__x0000_†Ý_x0013__x0000_†Ý"/>
      <sheetName val="_x0001__x0000_¨/_x0016__x0000_†Ý_x0013__x0000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__x005f_x0007____¨__x005f_x0016______Ý_x00"/>
      <sheetName val="________x005f_x0007____®à_x005f_x0013______"/>
      <sheetName val="__x005f_x0001____¨__x005f_x0016______Ý_x00"/>
      <sheetName val="Financ. Overview"/>
      <sheetName val="Toolbox"/>
      <sheetName val="选择项"/>
      <sheetName val="构筑物5-1-2"/>
      <sheetName val="A8-4"/>
      <sheetName val="收入分析"/>
      <sheetName val="PBC"/>
      <sheetName val="订单"/>
      <sheetName val="101"/>
      <sheetName val="应收账龄BS.01"/>
      <sheetName val="财务成本"/>
      <sheetName val="橡胶林资产收益现值法评估明细表(1984)"/>
      <sheetName val="Z01 资产负债表(企财01表)"/>
      <sheetName val="Z02 利润表(企财02表)"/>
      <sheetName val="Z03 现金流量表(企财03表)"/>
      <sheetName val="细分明细"/>
      <sheetName val="长期借款Dy"/>
      <sheetName val="持有至到期投资Dy"/>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224120 城建税"/>
      <sheetName val="224121 教育费附加"/>
      <sheetName val="Disposition"/>
      <sheetName val="数字视频并帐"/>
      <sheetName val="表0-汇总表"/>
      <sheetName val="应收账款Cx"/>
      <sheetName val="应交增值税进、销项税金测算表"/>
      <sheetName val="存货跌价准备Dy"/>
      <sheetName val="库存商品Dy"/>
      <sheetName val="生产成本Dy"/>
      <sheetName val="主营业务成本Dy"/>
      <sheetName val="储藏室"/>
      <sheetName val="12月余额表"/>
      <sheetName val="marco"/>
      <sheetName val="ARP"/>
      <sheetName val="?*???$_x0004_????R??R"/>
      <sheetName val="???????_x0007_???z??????"/>
      <sheetName val="同业存放Ⱦ_x005f_x005f_x005f_x005f_x005f_x005f_x005f_x0000_"/>
      <sheetName val="长_x005f_x005f_x005f_x005f_x005f_x005f_x005f_x0013_"/>
      <sheetName val="长_x005f_x005f_x005f_x005f_x005f_x005f_x005f_x0013_"/>
      <sheetName val="_x005f_x005f_x005f_x005f_x005f_x005f_x005f_x0000___x005"/>
      <sheetName val="_____ª¥$_x005f_x005f_x005f_x0004_____RÝ_x00"/>
      <sheetName val="________x005f_x005f_x005f_x0007____zà_x005f"/>
      <sheetName val="无形资产-2_x005f_x005f_x005f_x0010_03"/>
    </sheetNames>
    <sheetDataSet>
      <sheetData sheetId="0">
        <row r="6">
          <cell r="C6">
            <v>0</v>
          </cell>
        </row>
      </sheetData>
      <sheetData sheetId="1">
        <row r="10">
          <cell r="B10">
            <v>0</v>
          </cell>
        </row>
      </sheetData>
      <sheetData sheetId="2">
        <row r="10">
          <cell r="B10">
            <v>0</v>
          </cell>
        </row>
      </sheetData>
      <sheetData sheetId="3"/>
      <sheetData sheetId="4"/>
      <sheetData sheetId="5"/>
      <sheetData sheetId="6">
        <row r="6">
          <cell r="C6">
            <v>0</v>
          </cell>
        </row>
      </sheetData>
      <sheetData sheetId="7"/>
      <sheetData sheetId="8">
        <row r="10">
          <cell r="B10">
            <v>0</v>
          </cell>
        </row>
      </sheetData>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row r="24">
          <cell r="B24">
            <v>0</v>
          </cell>
        </row>
      </sheetData>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息分配检查表"/>
      <sheetName val="明细表"/>
      <sheetName val="W"/>
      <sheetName val="dm"/>
      <sheetName val="资产负债表调整过程表"/>
      <sheetName val="利润调整过程表"/>
      <sheetName val="长期借款程序表"/>
      <sheetName val="附加四-闲置固定资产"/>
      <sheetName val="存货汇总表"/>
      <sheetName val="模块明细"/>
      <sheetName val="邯矿"/>
      <sheetName val="合并表"/>
      <sheetName val="金化"/>
      <sheetName val="通达"/>
      <sheetName val="KKKKKKKK"/>
      <sheetName val="Statistics {pbe}"/>
      <sheetName val="Allow {pbe}"/>
      <sheetName val="银行未达账项明细表"/>
      <sheetName val="银行存款"/>
      <sheetName val="总部调整"/>
      <sheetName val="汇总抵消"/>
      <sheetName val="SI"/>
      <sheetName val="账面外销"/>
      <sheetName val="Guidance-English"/>
      <sheetName val="利润表项目"/>
      <sheetName val="封面"/>
      <sheetName val="封面 "/>
      <sheetName val="工作表目录"/>
      <sheetName val="10月回款"/>
      <sheetName val="10月销售"/>
      <sheetName val="2010年台帐"/>
      <sheetName val="余额表"/>
      <sheetName val="现金"/>
      <sheetName val="存货分析表G2-4"/>
      <sheetName val="MAP_HKG"/>
      <sheetName val="MAP_KSC"/>
      <sheetName val="MAP_PEK"/>
      <sheetName val="MAP_SSH"/>
      <sheetName val="REG_HKG"/>
      <sheetName val="REG_KSC"/>
      <sheetName val="REG_PEK"/>
      <sheetName val="REG_SSH"/>
      <sheetName val="营业费用测试"/>
      <sheetName val="5月"/>
      <sheetName val="6月"/>
      <sheetName val="母公司附注"/>
      <sheetName val="FA movement"/>
      <sheetName val="Sens"/>
      <sheetName val="应收账款余额表"/>
      <sheetName val="所得税明细表"/>
      <sheetName val="newcost"/>
      <sheetName val="Breakdown"/>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银行存款核对表"/>
      <sheetName val="G1-1营业收入审定表"/>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主营业务明细表"/>
      <sheetName val="12月份品种酒生产月报表"/>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MY"/>
      <sheetName val="05.7工资分析"/>
      <sheetName val="资本公积审定表"/>
      <sheetName val="2月收入成本明细表"/>
      <sheetName val="   函证设计表D2-5-2"/>
      <sheetName val="C01-1"/>
      <sheetName val="11"/>
      <sheetName val="试算平衡表"/>
      <sheetName val="Control"/>
      <sheetName val="固定资产(原表)"/>
      <sheetName val="预付明细表04"/>
      <sheetName val="4-6-2-1机器设备"/>
      <sheetName val="01065"/>
      <sheetName val="资合并"/>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参数"/>
      <sheetName val="抽查表"/>
      <sheetName val="入库截止测试-原材料"/>
      <sheetName val="审前BS"/>
      <sheetName val="审定BS报出"/>
      <sheetName val="TB IN"/>
      <sheetName val="审定IN报出"/>
      <sheetName val="审前IN"/>
      <sheetName val="固定资产2001年折旧"/>
      <sheetName val=""/>
      <sheetName val="inf"/>
      <sheetName val="资产负债表及损益表"/>
      <sheetName val="重要内部交易"/>
      <sheetName val="库存商品余额表.dbf"/>
      <sheetName val="披露表(国资)"/>
      <sheetName val="程序表"/>
      <sheetName val="程序表2"/>
      <sheetName val="权益法审定表"/>
      <sheetName val="审定表"/>
      <sheetName val="入库分类"/>
      <sheetName val="基础数据"/>
      <sheetName val="原材料-纸张帐"/>
      <sheetName val="OR Breakdown"/>
      <sheetName val="查证1"/>
      <sheetName val="应收明细账"/>
      <sheetName val="其他应付单位往来"/>
      <sheetName val="HPGR LAB sw"/>
      <sheetName val="预付账款汇总表"/>
      <sheetName val="113301"/>
      <sheetName val="UFPrn20070127142303"/>
      <sheetName val="2006"/>
      <sheetName val="折旧测试2007"/>
      <sheetName val="披露表(上市)"/>
      <sheetName val="BDC Raw Data"/>
      <sheetName val="固定资产明细"/>
      <sheetName val="FA明细"/>
      <sheetName val="XBase"/>
      <sheetName val="物资采购含税转出"/>
      <sheetName val="FA EB+YY"/>
      <sheetName val="Repayment Summary"/>
      <sheetName val="新准则TB"/>
      <sheetName val="审计程序"/>
      <sheetName val="TIS"/>
      <sheetName val="2000年信托利润表汇总"/>
      <sheetName val="收入成本明细表"/>
      <sheetName val="工程施工与结算"/>
      <sheetName val="现金账6月-1"/>
      <sheetName val="3331"/>
      <sheetName val="3334"/>
      <sheetName val="3388"/>
      <sheetName val="3389"/>
      <sheetName val="4213"/>
      <sheetName val="5357"/>
      <sheetName val="8066"/>
      <sheetName val="其他应付单位"/>
      <sheetName val="销售费用程序表"/>
      <sheetName val="294B b4 THAI SALE"/>
      <sheetName val="ALCUST"/>
      <sheetName val="跨期运保费抽查"/>
      <sheetName val="53130"/>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管理费用Dy"/>
      <sheetName val="其他货币资金Dy"/>
      <sheetName val="附表10"/>
      <sheetName val="ITEM"/>
      <sheetName val="外销涤布"/>
      <sheetName val="调整分录"/>
      <sheetName val="待摊费用明细表"/>
      <sheetName val="长期借款明细表1"/>
      <sheetName val="分产品销售收入、成本分析表"/>
      <sheetName val="工时统计"/>
      <sheetName val="_3220"/>
      <sheetName val="本期报表"/>
      <sheetName val="上年调整分录"/>
      <sheetName val="封面目录"/>
      <sheetName val="本年调整分录"/>
      <sheetName val="报表附注"/>
      <sheetName val="2011现流底稿"/>
      <sheetName val="利表审定"/>
      <sheetName val="资产审定表"/>
      <sheetName val="负债审定表"/>
      <sheetName val="营业外收支明细"/>
      <sheetName val="收入、成本、收款"/>
      <sheetName val="银行存、借款及票据函证统计表"/>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其他科目_x005f_x0000__x005f_x0000__x005f_x000d__分析表.X"/>
      <sheetName val="产销量值.1"/>
      <sheetName val="材料消耗"/>
      <sheetName val="收入成本表"/>
      <sheetName val="000065"/>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Collateral"/>
      <sheetName val="Disposition"/>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1月"/>
      <sheetName val="3月"/>
      <sheetName val="9号库账务调整"/>
      <sheetName val="外库历年总费用及库存量"/>
      <sheetName val="科目余额表-最终"/>
      <sheetName val="岗位工资"/>
      <sheetName val="权益调整"/>
      <sheetName val="产成品盘点表"/>
      <sheetName val="8月份 帐套"/>
      <sheetName val="主营业务成本明细表"/>
      <sheetName val="其他科目_x005f_x0000__x005f_x0000__x005f_x000d_[分析表.X"/>
      <sheetName val="应交税费程序表"/>
      <sheetName val="利润重分类分录"/>
      <sheetName val="123"/>
      <sheetName val="结算备付金"/>
      <sheetName val="数量金额总账"/>
      <sheetName val="工程物资Dy"/>
      <sheetName val="应收票据单位明细"/>
      <sheetName val="制造费用Dy"/>
      <sheetName val="主菜单"/>
      <sheetName val="预收"/>
      <sheetName val="应付函证"/>
      <sheetName val="应付职工薪酬程序表"/>
      <sheetName val="应付职工薪酬明细表"/>
      <sheetName val="其他科目_x005f_x005f_x005f_x0000__x005f_x005f_x005f_x0000__"/>
      <sheetName val="其他科目_x005f_x0000__x005f_x0000__x005f_x000a__分析表.X"/>
      <sheetName val="物料编码"/>
      <sheetName val="_x005f_x0000__x005f_x0000__x005f_x0000__x005f_x0000__x0"/>
      <sheetName val="应付账款程序表"/>
      <sheetName val="总表"/>
      <sheetName val="低值易耗品"/>
      <sheetName val="劳务费"/>
      <sheetName val="折旧"/>
      <sheetName val="福利费"/>
      <sheetName val="水电费"/>
      <sheetName val="办公费"/>
      <sheetName val="业务招待费"/>
      <sheetName val="差"/>
      <sheetName val="机"/>
      <sheetName val="劳保"/>
      <sheetName val="通迅费"/>
      <sheetName val="修"/>
      <sheetName val="坏账准备_其他应收款Dy"/>
      <sheetName val="坏账准备_预付账款Dy"/>
      <sheetName val="Namelist"/>
      <sheetName val="TB表"/>
      <sheetName val="总利润表"/>
      <sheetName val="记账凭证测试表—应收账款"/>
      <sheetName val="E100"/>
      <sheetName val="财务费用明细表"/>
      <sheetName val="长期待摊费用明细表"/>
      <sheetName val="source"/>
      <sheetName val="G200"/>
      <sheetName val="Consol BS"/>
      <sheetName val="HO &amp; Aust BS"/>
      <sheetName val="K100"/>
      <sheetName val="廠商編號"/>
      <sheetName val="2008"/>
      <sheetName val="基础信息"/>
      <sheetName val="填表人、评估人员（引用表）"/>
      <sheetName val="收入"/>
      <sheetName val="说明"/>
      <sheetName val="科目余额"/>
      <sheetName val="科目名称"/>
      <sheetName val="UFPrn20090223104227"/>
      <sheetName val="未展开"/>
      <sheetName val="10色母料"/>
      <sheetName val="清单"/>
      <sheetName val="产成品计价3"/>
      <sheetName val="表5_2_1固定资产—机器设备"/>
      <sheetName val="收入查证表"/>
      <sheetName val="FA-2"/>
      <sheetName val="FE-0调整分录"/>
      <sheetName val="合并抵销"/>
      <sheetName val="细节测试审计抽样"/>
      <sheetName val="累计折旧复核表—房屋本期"/>
      <sheetName val="累计折旧明细表"/>
      <sheetName val="累计折旧复核(有减值准备时选用)"/>
      <sheetName val="应付帐款余额表"/>
      <sheetName val="SHIP"/>
      <sheetName val="Vendor Data"/>
      <sheetName val="关联交易-存款"/>
      <sheetName val="F130&quot;"/>
      <sheetName val="Listen"/>
      <sheetName val="Bilanz Aktiva"/>
      <sheetName val="Bil.Zu-Abgang"/>
      <sheetName val="Cash Flow"/>
      <sheetName val="Bilanz Passiva"/>
      <sheetName val="Ã«ÀûÂÊ·ÖÎö±í"/>
      <sheetName val="Bilanz"/>
      <sheetName val="Personal"/>
      <sheetName val="commentary"/>
      <sheetName val="Cash of Company"/>
      <sheetName val="New investment"/>
      <sheetName val="Stamp duty code"/>
      <sheetName val=" 弃"/>
      <sheetName val="data"/>
      <sheetName val="name"/>
      <sheetName val="ZI2存货"/>
      <sheetName val="科目库"/>
      <sheetName val="Liste"/>
      <sheetName val="102501 CFMA "/>
      <sheetName val="Stammdaten"/>
      <sheetName val="Interne Ergebnisrechnung (UKV)"/>
      <sheetName val="Kennzahlen"/>
      <sheetName val="Account"/>
      <sheetName val="Sales"/>
      <sheetName val="UFPrn20021113090847"/>
      <sheetName val="receivable"/>
      <sheetName val="数量对比"/>
      <sheetName val="其他利润明细"/>
      <sheetName val="二级明细"/>
      <sheetName val="其他应收-导出"/>
      <sheetName val="FY02"/>
      <sheetName val="嘉诚珠宝"/>
      <sheetName val="合同管理"/>
      <sheetName val="财务报告"/>
      <sheetName val="附注汇总"/>
      <sheetName val="营业外"/>
      <sheetName val="xj"/>
      <sheetName val="5"/>
      <sheetName val="4"/>
      <sheetName val="3"/>
      <sheetName val="资产减值准备 "/>
      <sheetName val="TB--附注"/>
      <sheetName val="储藏室"/>
      <sheetName val="科目余额表-总部及380"/>
      <sheetName val="Profile"/>
      <sheetName val="PRC"/>
      <sheetName val="INVDAYS"/>
      <sheetName val="list"/>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机器设备计算表"/>
      <sheetName val="成本法-决算调整法"/>
      <sheetName val="4-6-1房屋建筑物"/>
      <sheetName val="2010.02"/>
      <sheetName val="存货整体结构12月"/>
      <sheetName val="存货整体结构7月"/>
      <sheetName val="2012年长期挂账"/>
      <sheetName val="05_7工资分析"/>
      <sheetName val="A430"/>
      <sheetName val="Consol"/>
      <sheetName val="405-10-2"/>
      <sheetName val="130-5-1（不打印)"/>
      <sheetName val="130-7（不打印）"/>
      <sheetName val="405-10-1"/>
      <sheetName val="現金"/>
      <sheetName val="填表说明"/>
      <sheetName val="液氮"/>
      <sheetName val="成品入库05"/>
      <sheetName val="其他业务利润明细表"/>
      <sheetName val="投资收益明细表"/>
      <sheetName val="13应付账款明细表"/>
      <sheetName val="暂估分供应商汇总"/>
      <sheetName val="货币资金审定表"/>
      <sheetName val="Sch.1"/>
      <sheetName val="yb"/>
      <sheetName val="冲压领料"/>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综合成本分析01.01-0205"/>
      <sheetName val="营业费用截止"/>
      <sheetName val="Basic_Data"/>
      <sheetName val="内部购入存货明细表"/>
      <sheetName val="TOTAL"/>
      <sheetName val="2012年营业收入审定表"/>
      <sheetName val="2012年主营业务收入毛利分析"/>
      <sheetName val="2011年主营业务收入毛利分析"/>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Parameters"/>
      <sheetName val="评估假设"/>
      <sheetName val="审核2.XLS"/>
      <sheetName val="Profit and Loss"/>
      <sheetName val="审计说明"/>
      <sheetName val="利润分析"/>
      <sheetName val="资产负债分析"/>
      <sheetName val="填写参数"/>
      <sheetName val="3-07-17制造费用"/>
      <sheetName val="3-07-15在建工程"/>
      <sheetName val="2-09"/>
      <sheetName val="合并试算平衡表"/>
      <sheetName val="余额表200606"/>
      <sheetName val="200611"/>
      <sheetName val="200612"/>
      <sheetName val="固定资产卡片"/>
      <sheetName val="其他应收款Dy"/>
      <sheetName val="界面"/>
      <sheetName val="其他应收款审定表C7-1"/>
      <sheetName val="Ideal World A3"/>
      <sheetName val="所得税费用"/>
      <sheetName val="数字视频并帐"/>
      <sheetName val="KM"/>
      <sheetName val="商务折扣"/>
      <sheetName val="余额表（终稿）"/>
      <sheetName val="示范99tzfl"/>
      <sheetName val="Income Statement"/>
      <sheetName val="Balance Sheet"/>
      <sheetName val="Altman Z"/>
      <sheetName val="账上导出数（包括暂估）"/>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差异调整97"/>
      <sheetName val="param"/>
      <sheetName val="四月份月报"/>
      <sheetName val="2002年一般预算收入"/>
      <sheetName val="农业用地"/>
      <sheetName val="BPR"/>
      <sheetName val="报表项目列表"/>
      <sheetName val="UFPrn20100427142245"/>
      <sheetName val="T02"/>
      <sheetName val="T04"/>
      <sheetName val="调15"/>
      <sheetName val="调16"/>
      <sheetName val="08.8"/>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信息表"/>
      <sheetName val="GB4-1应付账款"/>
      <sheetName val="GB10-2其他应付款明细"/>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数据字典"/>
      <sheetName val="分吨位"/>
      <sheetName val="Invoice"/>
      <sheetName val="Customize Your Invoice"/>
      <sheetName val="Historic BS"/>
      <sheetName val="C1"/>
      <sheetName val="C1-1"/>
      <sheetName val="C2"/>
      <sheetName val="C3"/>
      <sheetName val="C4"/>
      <sheetName val="C5"/>
      <sheetName val="E"/>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K311 A_List02"/>
      <sheetName val="F101"/>
      <sheetName val="Client Data"/>
      <sheetName val="Sign Off Form"/>
      <sheetName val="ARP"/>
      <sheetName val="或有事项"/>
      <sheetName val="关联方交易"/>
      <sheetName val="其他综合收益"/>
      <sheetName val="上年试算表"/>
      <sheetName val="基"/>
      <sheetName val="暂估"/>
      <sheetName val="应收账款贷方余额表"/>
      <sheetName val="应收账款借方余额表"/>
      <sheetName val="负债试算表"/>
      <sheetName val="DEP"/>
      <sheetName val="dept"/>
      <sheetName val="广州库"/>
      <sheetName val="Investment Property"/>
      <sheetName val="Checklist"/>
      <sheetName val="_x005f_x005f_x005f_x0000__x005f_x005f_x005f_x0000__x005"/>
      <sheetName val="_2640"/>
      <sheetName val="汇总调整"/>
      <sheetName val="2015试算平衡表2"/>
      <sheetName val="资产评估结果分类汇总表 (2)"/>
      <sheetName val="索赔（按车型）A4"/>
      <sheetName val="制造成本预算表A3"/>
      <sheetName val="销售收入A4"/>
      <sheetName val="销售费用预算表(A4)"/>
      <sheetName val="质量月报表"/>
      <sheetName val="基础信息表"/>
      <sheetName val="预算科目"/>
      <sheetName val="制费-分月"/>
      <sheetName val="成都费用（未分部门）"/>
      <sheetName val="利息7月-8月"/>
      <sheetName val="A1-A3"/>
      <sheetName val="A1_人员计划2009"/>
      <sheetName val="销量"/>
      <sheetName val="CHART_E"/>
      <sheetName val="Yr_1997"/>
      <sheetName val="4-货币资金-现金"/>
      <sheetName val="数据定义2"/>
      <sheetName val="Drop Down"/>
      <sheetName val="存货整体结构11月 "/>
      <sheetName val="119-4"/>
      <sheetName val="企业提供表"/>
      <sheetName val="商品收发总账"/>
      <sheetName val="附注索引"/>
      <sheetName val="敏感"/>
      <sheetName val="計算書（加）"/>
      <sheetName val="投資(加）"/>
      <sheetName val="存货整体结构9月 "/>
      <sheetName val="审计说明7-3"/>
      <sheetName val="总目录"/>
      <sheetName val="存货20"/>
      <sheetName val="原材料21"/>
      <sheetName val="包装物22"/>
      <sheetName val="产成品23"/>
      <sheetName val="在产品24"/>
      <sheetName val="存货账龄表25-1 "/>
      <sheetName val="存货差异分析表"/>
      <sheetName val="Validation"/>
      <sheetName val="货币资金明细表"/>
      <sheetName val="标准索引体系_CF当期档案"/>
      <sheetName val="原材料-地方材料发出计价"/>
      <sheetName val="外地"/>
      <sheetName val="坯布"/>
      <sheetName val="材料"/>
      <sheetName val="外销"/>
      <sheetName val="2、利2010年"/>
      <sheetName val="其他应收单位款板纸"/>
      <sheetName val="银行存款控制测试"/>
      <sheetName val="长期借款导引表"/>
      <sheetName val="上期编制分录"/>
      <sheetName val="本期编制分录"/>
      <sheetName val="C"/>
      <sheetName val="评价汇兑收益分月"/>
      <sheetName val="accumdeprn"/>
      <sheetName val="addl cost"/>
      <sheetName val="FF-13"/>
      <sheetName val="Proposal-Fidelio FO "/>
      <sheetName val="COVER"/>
      <sheetName val="准备工作"/>
      <sheetName val="CBO0497"/>
      <sheetName val="HP"/>
      <sheetName val="5132"/>
      <sheetName val="1"/>
      <sheetName val="专项沔㧄匈"/>
      <sheetName val="流动资产清查评估汇总表"/>
      <sheetName val="补贴收入明细表"/>
      <sheetName val="倍丰及关联方清册"/>
      <sheetName val="固定资产类别年统计表 (2)"/>
      <sheetName val="帐"/>
      <sheetName val="累计1"/>
      <sheetName val="qq"/>
      <sheetName val="新城资金明细"/>
      <sheetName val="申鑫大厦租金明细"/>
      <sheetName val="三林明细"/>
      <sheetName val="东陆明细"/>
      <sheetName val="存货汇总表10"/>
      <sheetName val="发出商品替代"/>
      <sheetName val="客户清单"/>
      <sheetName val="SP"/>
      <sheetName val="附注表（二）"/>
      <sheetName val="pay"/>
      <sheetName val="US Codes"/>
      <sheetName val="光缆总表"/>
      <sheetName val="会计科目(不能修订）"/>
      <sheetName val="产成品商品目录表"/>
      <sheetName val="个人借款序时输入明细"/>
      <sheetName val="借款利息全年"/>
      <sheetName val="04.9.30"/>
      <sheetName val="清单1.1"/>
      <sheetName val="Parameter"/>
      <sheetName val="1131.01.01"/>
      <sheetName val="初始设定"/>
      <sheetName val="有效性"/>
      <sheetName val="Deutsch"/>
      <sheetName val="中山低值"/>
      <sheetName val="营业费用多栏明细账"/>
      <sheetName val="046 Fixed Ass. mov."/>
      <sheetName val="X310-1 资产负债表分析性复核"/>
      <sheetName val="X310-2 损益表分析性复核"/>
      <sheetName val="应收明细"/>
      <sheetName val="存货明细"/>
      <sheetName val="AR2"/>
      <sheetName val="项目"/>
      <sheetName val="预付3"/>
      <sheetName val="AP1"/>
      <sheetName val="OP3"/>
      <sheetName val="OR2"/>
      <sheetName val="UFPrn20050217103510"/>
      <sheetName val="Page1"/>
      <sheetName val="t_Schema"/>
      <sheetName val="2004 Audit adj"/>
      <sheetName val="ZLR1"/>
      <sheetName val="data - DO NOT DELETE"/>
      <sheetName val="三分厂04年1-12月销售价 "/>
      <sheetName val="05年1月销售价"/>
      <sheetName val="04年12月销售价"/>
      <sheetName val="Australia"/>
      <sheetName val="权益法"/>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生产领料 _3_"/>
      <sheetName val="凭证记录"/>
      <sheetName val="AFEMAI"/>
      <sheetName val="KEY"/>
      <sheetName val="A111-10"/>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其他应付款 "/>
      <sheetName val="其他科目_x005f_x0000__x005f_x0000__"/>
      <sheetName val="53230"/>
      <sheetName val="63130"/>
      <sheetName val="Purchase"/>
      <sheetName val="现金导引表"/>
      <sheetName val="应收票据检查表"/>
      <sheetName val="应收帐款"/>
      <sheetName val="其他应收单位"/>
      <sheetName val="预收帐款"/>
      <sheetName val="应付帐款"/>
      <sheetName val="预付帐款 (2)"/>
      <sheetName val="K3代码"/>
      <sheetName val="Quantity"/>
      <sheetName val="其他科目_x005f_x0000__x005f_x0000__x005f_x000a_[分析表.X"/>
      <sheetName val="_"/>
      <sheetName val="_x005f_x0000__x005f_x0000__x005"/>
      <sheetName val="其他科目_x005f_x005f_x005f_x0000__x"/>
      <sheetName val="B Excess Calc"/>
      <sheetName val="B 05 Breakdown by Product"/>
      <sheetName val="domestic sales tests"/>
      <sheetName val="17应付票据明细表"/>
      <sheetName val="Mp-team_1"/>
      <sheetName val="G_1R-Shou_COP_Gf"/>
      <sheetName val="Sale_breakdown"/>
      <sheetName val="Financ__Overview"/>
      <sheetName val="Sheet1_(11)"/>
      <sheetName val="Sales_branch_breakdown"/>
      <sheetName val="Validation_source"/>
      <sheetName val="56330-账面_(2)"/>
      <sheetName val="PER_SALES_ORG"/>
      <sheetName val="盈余公积_（合并)"/>
      <sheetName val="Selection"/>
      <sheetName val="retrieve BRANCH fy98"/>
      <sheetName val="在建工程设备"/>
      <sheetName val="调整分录汇总"/>
      <sheetName val="关联方及集团内清单"/>
      <sheetName val="预付清单"/>
      <sheetName val="5-Key Ratios"/>
      <sheetName val="12.31"/>
      <sheetName val="Sheet5"/>
      <sheetName val="FA"/>
      <sheetName val="21授信借款"/>
      <sheetName val="周转"/>
      <sheetName val="Time Series"/>
      <sheetName val="C-02 Cash &amp; Bank"/>
      <sheetName val="CMC"/>
      <sheetName val="GP analysis Per month"/>
      <sheetName val="Sales breakdown "/>
      <sheetName val="MA Adj. Test"/>
      <sheetName val="CompanyData"/>
      <sheetName val="Index"/>
      <sheetName val="4-1"/>
      <sheetName val="3 AJE - 09-11未入帐工资清单"/>
      <sheetName val="外仓1"/>
      <sheetName val="外仓TEM1"/>
      <sheetName val="往来款明细（应收、预收）"/>
      <sheetName val="分合同收入"/>
      <sheetName val="分合同成本"/>
      <sheetName val="应收账款明细账"/>
      <sheetName val="收入明细帐"/>
      <sheetName val="成本明细帐"/>
      <sheetName val="其他应收款明细表"/>
      <sheetName val="Sale_summary"/>
      <sheetName val="2007年其他应收款明细表_(2)"/>
      <sheetName val="Expense_summary"/>
      <sheetName val="2008_10_27-31日实际出库明细"/>
      <sheetName val="Sales_ADJ_2008_1-10"/>
      <sheetName val="OR_Breakdown"/>
      <sheetName val="HPGR_LAB_sw"/>
      <sheetName val="TB_IN"/>
      <sheetName val="短期投资股票投资_dbf"/>
      <sheetName val="短期投资国债投资_dbf"/>
      <sheetName val="股票投资收益_dbf"/>
      <sheetName val="其他货币海通_dbf"/>
      <sheetName val="其他货币零领路_dbf"/>
      <sheetName val="投资收益债券_dbf"/>
      <sheetName val="其他科目_x000a_[分析表_XLS]G9-1_x000a_[分"/>
      <sheetName val="BDC_Raw_Data"/>
      <sheetName val="FA_EB+YY"/>
      <sheetName val="Repayment_Summary"/>
      <sheetName val="8月份_帐套"/>
      <sheetName val="294B_b4_THAI_SALE"/>
      <sheetName val="产销量值_1"/>
      <sheetName val="Excess_Calc"/>
      <sheetName val="124301_查询"/>
      <sheetName val="OR_Aging_summary"/>
      <sheetName val="2_25"/>
      <sheetName val="其他货币资金_dbf"/>
      <sheetName val="银行存款_dbf"/>
      <sheetName val="其他科目__分析表_XLS_G9-1__分"/>
      <sheetName val="_x005f_x005f_x005f_x0000__x005f"/>
      <sheetName val="其他科目_x005f_x005f_x005f_x005f_x0"/>
      <sheetName val="_x005f_x005f_x005f_x005f_"/>
      <sheetName val="其他科目_x005f_x0000__x"/>
      <sheetName val="_x005f_x0000__x005f"/>
      <sheetName val="其他科目_x005f_x005f_x0"/>
      <sheetName val="_x005f_x005f_"/>
      <sheetName val="DGIAgoi1"/>
      <sheetName val="이자"/>
      <sheetName val="변제"/>
      <sheetName val="상환대상"/>
      <sheetName val="银行"/>
      <sheetName val="短期借款审定表"/>
      <sheetName val="L2-4100-a武汉海讯和海泰"/>
      <sheetName val="A541-30"/>
      <sheetName val="A541-10"/>
      <sheetName val="Monetary assets 2007 (27a) "/>
      <sheetName val="laroux"/>
      <sheetName val="所得税调整"/>
      <sheetName val="应付"/>
      <sheetName val="预付"/>
      <sheetName val="C_301"/>
      <sheetName val="C_311"/>
      <sheetName val="C_318"/>
      <sheetName val="应付账款 (2)"/>
      <sheetName val="7-3明细表"/>
      <sheetName val="1-12月收入"/>
      <sheetName val="2014原材料总账"/>
      <sheetName val="披露表(标准)"/>
      <sheetName val="其他科目_x0"/>
      <sheetName val="其他科目_x000a__分析表_XLS_G9-1_x000a_"/>
      <sheetName val="其他科目_x005f_x0000__x005f_x0000___分析表.XLS_G9-"/>
      <sheetName val="报表科目数据源"/>
      <sheetName val="数据有效性"/>
      <sheetName val="应收账款审定表"/>
      <sheetName val="其他应付款科目余额2005.12.31"/>
      <sheetName val="合并资产负债表"/>
      <sheetName val="合并资产负债表（续）"/>
      <sheetName val="母公司资产负债表"/>
      <sheetName val="母公司资产负债表（续）"/>
      <sheetName val="合并利润表"/>
      <sheetName val="母公司利润表"/>
      <sheetName val="合并现金流量表"/>
      <sheetName val="母公司现金流量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资产表"/>
      <sheetName val="负债表"/>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报表层次重要性水平"/>
      <sheetName val="流正- "/>
      <sheetName val="附注"/>
      <sheetName val="管理"/>
      <sheetName val="B1-4001"/>
      <sheetName val="审定表G3-1"/>
      <sheetName val="VW 358 &amp; Gleichteile"/>
      <sheetName val="封面 Cover"/>
      <sheetName val="表10"/>
      <sheetName val="目录 Index"/>
      <sheetName val="KEY DATA"/>
      <sheetName val="CF附注"/>
      <sheetName val="A16C"/>
      <sheetName val="存货明细表"/>
      <sheetName val="计价测试参数表"/>
      <sheetName val="商铺"/>
      <sheetName val="市场法测算表-商铺"/>
      <sheetName val="1111-3"/>
      <sheetName val="1111-4"/>
      <sheetName val="1111-5"/>
      <sheetName val="2221-2"/>
      <sheetName val="制造费用明细表"/>
      <sheetName val="生产成本检查表"/>
      <sheetName val="累计折旧"/>
      <sheetName val="Title"/>
      <sheetName val="基础"/>
      <sheetName val="管理费用_波动分析"/>
      <sheetName val="值列表"/>
      <sheetName val="2008年"/>
      <sheetName val="原材料Mx1"/>
      <sheetName val="应收账款Dy"/>
      <sheetName val="UFPrn20060111164230"/>
      <sheetName val="关联方"/>
      <sheetName val="预提费用Dy"/>
      <sheetName val="长期借款Dy"/>
      <sheetName val="生产成本Dy"/>
      <sheetName val="SUDAREA"/>
      <sheetName val="Dep.HK"/>
      <sheetName val="部门"/>
      <sheetName val="TSNO-DC"/>
      <sheetName val="价格"/>
      <sheetName val="A300"/>
      <sheetName val="Rate"/>
      <sheetName val="12月到货 "/>
      <sheetName val="N100"/>
      <sheetName val="J&amp;Q"/>
      <sheetName val="Description"/>
      <sheetName val="3-1-1现金"/>
      <sheetName val="G102"/>
      <sheetName val="BOX SUM"/>
      <sheetName val="FIN GOOD"/>
      <sheetName val="A"/>
      <sheetName val="F-B"/>
      <sheetName val="Tables"/>
      <sheetName val="To tied 2001 opening RE"/>
      <sheetName val="Aging Datasheet"/>
      <sheetName val="ECCS_1 DataSheet"/>
      <sheetName val="KPI Datasheet"/>
      <sheetName val="ANALYSEN"/>
      <sheetName val="WORKING"/>
      <sheetName val="PRESENTATION"/>
      <sheetName val="FF-21(a)"/>
      <sheetName val="Comp equip"/>
      <sheetName val="Mach &amp; equip"/>
      <sheetName val="実績SK"/>
      <sheetName val="MasterList"/>
      <sheetName val="数量统计"/>
      <sheetName val="在产品成本计算XPC,FR2(3)"/>
      <sheetName val="12月到货_"/>
      <sheetName val="GB"/>
      <sheetName val="zero (3)"/>
      <sheetName val="Karin(SH)"/>
      <sheetName val="索引表"/>
      <sheetName val="Final sample listing"/>
      <sheetName val="Hotel"/>
      <sheetName val="UFPrn20070303114642"/>
      <sheetName val="LXGJC"/>
      <sheetName val="附表6"/>
      <sheetName val="基本情况"/>
      <sheetName val="Hardware Detail"/>
      <sheetName val="其他业务收入Dy"/>
      <sheetName val="營業額比較表"/>
      <sheetName val="FF-6"/>
      <sheetName val="VAS TB"/>
      <sheetName val="F40-Goodsin transit"/>
      <sheetName val="SAD Conclusion"/>
      <sheetName val="2002年12月预"/>
      <sheetName val="4月回款"/>
      <sheetName val="4月销售"/>
      <sheetName val="U210' "/>
      <sheetName val="加工费"/>
      <sheetName val="首表"/>
      <sheetName val="原材料收发"/>
      <sheetName val="选择键"/>
      <sheetName val="成本汇总表"/>
      <sheetName val="  mis-ple  "/>
      <sheetName val="5折旧预测ok"/>
      <sheetName val="COGS reconcile"/>
      <sheetName val="WC analysis Graph"/>
      <sheetName val="Group overview"/>
      <sheetName val="中国银行3"/>
      <sheetName val="基本信息 "/>
      <sheetName val="2010.12.31-付总"/>
      <sheetName val="个人借款"/>
      <sheetName val="基本参数"/>
      <sheetName val="Sheet2_(3)"/>
      <sheetName val="for_disclosure1"/>
      <sheetName val="清单12_311"/>
      <sheetName val="loan_database"/>
      <sheetName val="FA_Breakdown1"/>
      <sheetName val="other_comments1"/>
      <sheetName val="Third_party1"/>
      <sheetName val="summary_1"/>
      <sheetName val="POWER_ASSUMPTIONS1"/>
      <sheetName val="Statistics_{pbe}"/>
      <sheetName val="Allow_{pbe}"/>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资产负债表原报_(2)"/>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专项应付款2"/>
      <sheetName val="2002-2004产销率"/>
      <sheetName val="original"/>
      <sheetName val="金铜矿存货收发存汇总表1-9月"/>
      <sheetName val="利－合并"/>
      <sheetName val="负－合并"/>
      <sheetName val="6125应付职工薪酬"/>
      <sheetName val="6126-1-2固定资产折旧明细 "/>
      <sheetName val="折旧计算表"/>
      <sheetName val="公司TB"/>
      <sheetName val="剥离前"/>
      <sheetName val="多级销售汇总表（备用）"/>
      <sheetName val="所有者权益(股东权益)变动表(未审)"/>
      <sheetName val="目錄"/>
      <sheetName val="汇总"/>
      <sheetName val="锦江会 aud "/>
      <sheetName val="Salary_F2 &amp; B08"/>
      <sheetName val="Non-Statistical Sampling Master"/>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销售6.13"/>
      <sheetName val="TRSORNHY"/>
      <sheetName val="财务成本"/>
      <sheetName val="NFMSDLQJ"/>
      <sheetName val="SIPQLPXP"/>
      <sheetName val="项目信息"/>
      <sheetName val="Floating leg"/>
      <sheetName val="Fixed Leg Curve"/>
      <sheetName val="Floating Leg Curve"/>
      <sheetName val="PL Statement_CN_WK"/>
      <sheetName val="Swap summary"/>
      <sheetName val="SC Consoll"/>
      <sheetName val="Adjusted BS"/>
      <sheetName val="Liabrary"/>
      <sheetName val="5201.2004"/>
      <sheetName val="cr余额"/>
      <sheetName val="帐龄表附表"/>
      <sheetName val="Setup"/>
      <sheetName val="F1910"/>
      <sheetName val="D4RP"/>
      <sheetName val="LinkData"/>
      <sheetName val="合并底稿-自营"/>
      <sheetName val="P500-预提费用明细表"/>
      <sheetName val="预付0907"/>
      <sheetName val="200612-return report"/>
      <sheetName val="K200"/>
      <sheetName val="Basic Data"/>
      <sheetName val="Understand the client"/>
      <sheetName val="Bokslutsprocessen"/>
      <sheetName val="Indata"/>
      <sheetName val="CRA"/>
      <sheetName val="Business Unit"/>
      <sheetName val="2weeeks All  Excess and Shortag"/>
      <sheetName val="Business_Unit"/>
      <sheetName val="2weeeks_All__Excess_and_Shortag"/>
      <sheetName val="H R"/>
      <sheetName val="K110"/>
      <sheetName val="G210"/>
      <sheetName val="O111"/>
      <sheetName val="Newsheet"/>
      <sheetName val="U301"/>
      <sheetName val="0898"/>
      <sheetName val="App1 Entities sequence number"/>
      <sheetName val="G110"/>
      <sheetName val="U600-投资收益"/>
      <sheetName val="员工工资"/>
      <sheetName val="表二甲机务F型"/>
      <sheetName val="个人欠款账龄分析表"/>
      <sheetName val="存货明细2002"/>
      <sheetName val="產成品收發明細表5"/>
      <sheetName val="其他营业收入调整"/>
      <sheetName val="本部审计调整"/>
      <sheetName val="mat'lSH"/>
      <sheetName val="WORDTAB"/>
      <sheetName val="DEP12"/>
      <sheetName val="TT04"/>
      <sheetName val="APP6C"/>
      <sheetName val="Within"/>
      <sheetName val="Pls do not delete"/>
      <sheetName val="I1"/>
      <sheetName val="FSA"/>
      <sheetName val="Mapping table"/>
      <sheetName val="ES"/>
      <sheetName val="d&amp;m&amp;c"/>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CRA-Detail"/>
      <sheetName val="K401"/>
      <sheetName val="Comparative Balance Sheet"/>
      <sheetName val="ZE预付供应商往来"/>
      <sheetName val="折旧年限"/>
      <sheetName val="管理费用(集团董事会)"/>
      <sheetName val="Loss"/>
      <sheetName val="Key Figures"/>
      <sheetName val="Menge"/>
      <sheetName val="dongia (2)"/>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本部资过表12630"/>
      <sheetName val="gross"/>
      <sheetName val="PRC_ 071231-Parent-Mgt-XX"/>
      <sheetName val="管道进度明细表"/>
      <sheetName val="原材料Dy"/>
      <sheetName val="17W315"/>
      <sheetName val="ZI-2-4计价汇总"/>
      <sheetName val="2002.1-6管理费用"/>
      <sheetName val="综合"/>
      <sheetName val="以前年度损益调整"/>
      <sheetName val="Detail Loan Move. &amp; Listing"/>
      <sheetName val="FAB별"/>
      <sheetName val="普查库示例"/>
      <sheetName val="电子"/>
      <sheetName val="替代测试"/>
      <sheetName val="纳税调整计算表"/>
      <sheetName val="订单418"/>
      <sheetName val="27-7"/>
      <sheetName val="费用填报表"/>
      <sheetName val="产品索引"/>
      <sheetName val="应收"/>
      <sheetName val="生产性生物资产Dy"/>
      <sheetName val="其他科目_x005f_x0000__x005f_x0000_[分析表.XLS]G9-1"/>
      <sheetName val="Movement(1)"/>
      <sheetName val="报表项目"/>
      <sheetName val="福利费1"/>
      <sheetName val="lx"/>
      <sheetName val="Erection"/>
      <sheetName val="LOV"/>
      <sheetName val="申报表封面"/>
      <sheetName val="22未审 利润表及利润分配表"/>
      <sheetName val="无形资产使用寿命分析表"/>
      <sheetName val="无形资产累计摊销计算表"/>
      <sheetName val="设置"/>
      <sheetName val="Cover &amp; setup"/>
      <sheetName val="其它应收款"/>
      <sheetName val="预付货款"/>
      <sheetName val="其他科目_x005f_x0000__x005f_x0000__分析表.XLS_G9-1"/>
      <sheetName val="固定资产折旧表"/>
      <sheetName val="当月应收"/>
      <sheetName val="TX-DL "/>
      <sheetName val="Tra_bang"/>
      <sheetName val="AccountInfor."/>
      <sheetName val="事业发展"/>
      <sheetName val="AssyHLSA"/>
      <sheetName val="分析报告 "/>
      <sheetName val="资产方"/>
      <sheetName val="社保表"/>
      <sheetName val="调整项目明细"/>
      <sheetName val="内外销货款回收情况表"/>
      <sheetName val="2005.01-2005.11余额表"/>
      <sheetName val="新的工作表10-1-12"/>
      <sheetName val="全部投资"/>
      <sheetName val="原材料发出计价测试-OK"/>
      <sheetName val="编码"/>
      <sheetName val="Sheet1_x0002_"/>
      <sheetName val="_x0002_"/>
      <sheetName val="应付帐款帐龄分析表"/>
      <sheetName val="近三年销售前五名--按客户"/>
      <sheetName val="企业自由现金流预测"/>
      <sheetName val="应收利息审定表"/>
      <sheetName val="附A-7"/>
      <sheetName val="非合并关联往来"/>
      <sheetName val="8042"/>
      <sheetName val="当期所得税"/>
      <sheetName val="企财01表(12)"/>
      <sheetName val="企财02表(12)"/>
      <sheetName val="合并试算平衡"/>
      <sheetName val="首先输入"/>
      <sheetName val="CntrlFreq"/>
      <sheetName val="CntrlSign"/>
      <sheetName val="CntrlType1_1"/>
      <sheetName val="CntrlType1_2"/>
      <sheetName val="RiskSign"/>
      <sheetName val="3306"/>
      <sheetName val="STATPARA"/>
      <sheetName val="CF"/>
      <sheetName val="preBS"/>
      <sheetName val="preCF"/>
      <sheetName val="preIS"/>
      <sheetName val="preCE"/>
      <sheetName val="$TB 1"/>
      <sheetName val="$TB"/>
      <sheetName val="资产参数"/>
      <sheetName val="_Profile"/>
      <sheetName val="合并数据源"/>
      <sheetName val="数据源"/>
      <sheetName val="English"/>
      <sheetName val="销售毛利分析"/>
      <sheetName val="Contacts"/>
      <sheetName val="应收股利Dy"/>
      <sheetName val="注释汇总"/>
      <sheetName val="879099"/>
      <sheetName val="10月"/>
      <sheetName val="11月"/>
      <sheetName val="12月"/>
      <sheetName val="2月"/>
      <sheetName val="4月"/>
      <sheetName val="7月"/>
      <sheetName val="8月"/>
      <sheetName val="9月"/>
      <sheetName val="原料油"/>
      <sheetName val="报表索引"/>
      <sheetName val="N201"/>
      <sheetName val="累计折旧余额表"/>
      <sheetName val="减少资产"/>
      <sheetName val="折旧测算表2016"/>
      <sheetName val="资产负债表(97)"/>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Cash Flows"/>
      <sheetName val="122101"/>
      <sheetName val="1221012"/>
      <sheetName val="122102"/>
      <sheetName val="1221022"/>
      <sheetName val="总公司2002.12.31"/>
      <sheetName val="前导表"/>
      <sheetName val="流"/>
      <sheetName val="Economic evaluation - FY98 base"/>
      <sheetName val="标识"/>
      <sheetName val="15287贵阳市乌当区天网工程"/>
      <sheetName val="其他应收款D8-7坏账测试"/>
      <sheetName val="明细表D29-2"/>
      <sheetName val="审定表G7-1"/>
      <sheetName val="2010年台ᮀ"/>
      <sheetName val="2010年台厰"/>
      <sheetName val="2010年台"/>
      <sheetName val="_x005f_x005f_x005f_x005f_x005f_x005f_x005f_x005f_"/>
      <sheetName val="Z-01"/>
      <sheetName val="SysSheet"/>
      <sheetName val="M-01"/>
      <sheetName val="HK Stock Mkt"/>
      <sheetName val="SZ Stock Mkt"/>
      <sheetName val="SH Stock Mkt"/>
      <sheetName val="关联方资产出售"/>
      <sheetName val="5YE"/>
      <sheetName val="函证客户联系表"/>
      <sheetName val="预付款项明细表"/>
      <sheetName val="应付账款明细-单一客户名称"/>
      <sheetName val="预收款项函证结果汇总表"/>
      <sheetName val="案件予算2011G"/>
      <sheetName val="低值易耗品收发存明细表"/>
      <sheetName val="帐本记录与流水记录核对"/>
      <sheetName val="Andy"/>
      <sheetName val="当前明细帐"/>
      <sheetName val="DFA"/>
      <sheetName val="5 Analysis"/>
      <sheetName val="应交税金测算表(2005)"/>
      <sheetName val="_1"/>
      <sheetName val="披露表2017"/>
      <sheetName val="折旧测算（直线法）2017"/>
      <sheetName val="其他应收单位款余额"/>
      <sheetName val="长期应付款导引表"/>
      <sheetName val="1资产负债表"/>
      <sheetName val="refernce red invoice"/>
      <sheetName val="固定资产"/>
      <sheetName val="项目索引"/>
      <sheetName val="1.4余额表"/>
      <sheetName val="期初帐龄辅助表MT"/>
      <sheetName val="坏账准备辅助表MT"/>
      <sheetName val="Dic"/>
      <sheetName val="其他科目_x005f_x0000__x005f_x0000__x000a_[分析表.XLS]G9-"/>
      <sheetName val="其他科目_x000d_[分析表_XLS]G9-1_x000d_[分"/>
      <sheetName val="现金导引"/>
      <sheetName val="应付账款明细BS.09 "/>
      <sheetName val="CM"/>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其他科目__分析表_XLS_G9-1_"/>
      <sheetName val="PRC-BS-SZ"/>
      <sheetName val="山西明细"/>
      <sheetName val="B7-2-1应付账款余额表"/>
      <sheetName val="设备采购01"/>
      <sheetName val="设备采购02"/>
      <sheetName val="设备采购03"/>
      <sheetName val="公积捐赠"/>
      <sheetName val="基础条件"/>
      <sheetName val="4101汇总"/>
      <sheetName val="管理费用明细表"/>
      <sheetName val="汇率"/>
      <sheetName val="生产成本明细表"/>
      <sheetName val="营业费用明细表"/>
      <sheetName val="1380_3YR"/>
      <sheetName val="K200Motor"/>
      <sheetName val="K210F&amp;F"/>
      <sheetName val="K220-OE"/>
      <sheetName val="1390_3YR--not used"/>
      <sheetName val="1390_5YR"/>
      <sheetName val="1810_1010"/>
      <sheetName val="1810_1100-3 yr"/>
      <sheetName val="1810_1301_BP"/>
      <sheetName val="1810_1301_CASTROL"/>
      <sheetName val="信用分析"/>
      <sheetName val="2002 VS 2003"/>
      <sheetName val="chn01 e"/>
      <sheetName val="Chart of Account"/>
      <sheetName val="Summry Prod"/>
      <sheetName val="Info div"/>
      <sheetName val="nada"/>
      <sheetName val="PM_TE"/>
      <sheetName val="PM-TE"/>
      <sheetName val="Other Exp-13"/>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9100-PO"/>
      <sheetName val="GL"/>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AP1998KX(estimated)"/>
      <sheetName val="B?_x005f_x0000__x005f_x0000__x005f_x0000__x005f_x0000__"/>
      <sheetName val="Reference"/>
      <sheetName val="调整分录表"/>
      <sheetName val="N102"/>
      <sheetName val="电子库龄"/>
      <sheetName val="BURDEN99"/>
      <sheetName val="QAD-面套库存"/>
      <sheetName val="运煤预算"/>
      <sheetName val="Lists"/>
      <sheetName val="AR Report B4"/>
      <sheetName val="Financials"/>
      <sheetName val="Council Staff"/>
      <sheetName val="INPUT SHEET"/>
      <sheetName val="NAV Summary"/>
      <sheetName val="Ref"/>
      <sheetName val="A_01"/>
      <sheetName val="A_03"/>
      <sheetName val="A_02"/>
      <sheetName val="A_1"/>
      <sheetName val="A_3"/>
      <sheetName val="A_2"/>
      <sheetName val="5-6#线预付款账"/>
      <sheetName val="5#6#费用账"/>
      <sheetName val="CARMAKE"/>
      <sheetName val="出库截至测试"/>
      <sheetName val="入库截至测试"/>
      <sheetName val="物料收发汇总表"/>
      <sheetName val="橡胶林资产收益现值法评估明细表(1984)"/>
      <sheetName val="其他科目_x000d_[分析表.XLS]G9-1_x000d_[分"/>
      <sheetName val="_x0"/>
      <sheetName val="其他科目_x000d__分析表.X"/>
      <sheetName val="其他科目_x000a_[分析表.XLS]G9-1_x000a_[分"/>
      <sheetName val="其他科目_x000d_[分析表.X"/>
      <sheetName val="其他科目_x000a__分析表.X"/>
      <sheetName val="BႼ0Ӌ痨_x0002_郢ሃΨଊ痨郢ሃ_x001c_绺"/>
      <sheetName val="B8Ⴌ4Ӌ瘠_x0002_ඦΨଊ瘠ඦ_x001c_绺"/>
      <sheetName val="Bgሀြ0슌沅舤殉腼殉ㅏ怆 ɂሀ"/>
      <sheetName val="Bgैာ4슌櫂舤槆腼槆ॽᔒ@Ʉ_xd980_ै_xd980_"/>
      <sheetName val="Revenue"/>
      <sheetName val="其他科目_"/>
      <sheetName val="_x005"/>
      <sheetName val="其他科目__分析表.XLS_G9-"/>
      <sheetName val="逾龄"/>
      <sheetName val="役龄"/>
      <sheetName val="Dollars"/>
      <sheetName val="a8附-1510000000"/>
      <sheetName val="ZH1-4其他应收款个别认定"/>
      <sheetName val="ZH1-3应收账款个别认定"/>
      <sheetName val="Sheet1_x0002_h"/>
      <sheetName val="_x0002_ᵨO"/>
      <sheetName val="1.财务报表"/>
      <sheetName val="基-上市"/>
      <sheetName val="抵消信息表"/>
      <sheetName val="Word附注"/>
      <sheetName val="委托加工材料"/>
      <sheetName val="PZTPLOPN"/>
      <sheetName val="其他科目_x005f_x0000__x髈↉ーɭ"/>
      <sheetName val="其他科目_x"/>
      <sheetName val="_x005f"/>
      <sheetName val="全年折旧"/>
      <sheetName val="院级设计"/>
      <sheetName val="业主-项目开票、收款信息表"/>
      <sheetName val="CE"/>
      <sheetName val="IS"/>
      <sheetName val="工资数据"/>
      <sheetName val="P12 TB SZ"/>
      <sheetName val="工商税收"/>
      <sheetName val="336A其他应收款明细分析"/>
      <sheetName val="合计"/>
      <sheetName val="sell"/>
      <sheetName val="fin"/>
      <sheetName val="U401(OK)"/>
      <sheetName val="April"/>
      <sheetName val="Augest"/>
      <sheetName val="Dec"/>
      <sheetName val="Feb"/>
      <sheetName val="July"/>
      <sheetName val="June"/>
      <sheetName val="Mar"/>
      <sheetName val="May"/>
      <sheetName val="Nov"/>
      <sheetName val="Oct"/>
      <sheetName val="OH"/>
      <sheetName val="Sep"/>
      <sheetName val="Raw materials"/>
      <sheetName val="科目代码"/>
      <sheetName val="BNWXVLNN"/>
      <sheetName val="FS"/>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PSI"/>
      <sheetName val="LF"/>
      <sheetName val="9-12月"/>
      <sheetName val="96SPECS"/>
      <sheetName val="jg"/>
      <sheetName val="其他应交款Dy"/>
      <sheetName val="应收票据Dy"/>
      <sheetName val="%E5%AE%A1%E6%A0%B82.XLS"/>
      <sheetName val="预付账款Dy"/>
      <sheetName val="取费表"/>
      <sheetName val="福州路仓库(3)"/>
      <sheetName val="物资采购-1"/>
      <sheetName val="物资采购-2"/>
      <sheetName val="祁连山路仓库(5)"/>
      <sheetName val="特种储备物资"/>
      <sheetName val="张江库"/>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日报（扣除变更数）"/>
      <sheetName val="JY-4"/>
      <sheetName val="合同付款"/>
      <sheetName val="营销费用预算"/>
      <sheetName val="营销合约"/>
      <sheetName val="成本项目"/>
      <sheetName val="base"/>
      <sheetName val="08"/>
      <sheetName val="03"/>
      <sheetName val="04"/>
      <sheetName val="05"/>
      <sheetName val="06"/>
      <sheetName val="07"/>
      <sheetName val="10"/>
      <sheetName val="09"/>
      <sheetName val="被审单位基本情况表"/>
      <sheetName val="other lia"/>
      <sheetName val="prepayment"/>
      <sheetName val="related co"/>
      <sheetName val="sel"/>
      <sheetName val="系统导出"/>
      <sheetName val="科目定义"/>
      <sheetName val="资金周报"/>
      <sheetName val="MBB"/>
      <sheetName val="Agro"/>
      <sheetName val="CIMB"/>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 "/>
      <sheetName val="金星余额表"/>
      <sheetName val="Opening RE check"/>
      <sheetName val="UFPrn20050224154258"/>
      <sheetName val="AJE Entry-活塞"/>
      <sheetName val="培训中心"/>
      <sheetName val="清单1"/>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天海(國內)試算"/>
      <sheetName val="99 Affil Combined"/>
      <sheetName val="Office rent.util"/>
      <sheetName val="H2-1"/>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试工利"/>
      <sheetName val="UFPrn20060805135134"/>
      <sheetName val="威灵电机"/>
      <sheetName val="应付明细表"/>
      <sheetName val="内部单位贷方"/>
      <sheetName val="K5-1"/>
      <sheetName val="其他应收05"/>
      <sheetName val="短期借款余额表"/>
      <sheetName val="设备"/>
      <sheetName val="凤县折旧测算"/>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符号标识"/>
      <sheetName val="SAD"/>
      <sheetName val="3272"/>
      <sheetName val="3304"/>
      <sheetName val="3316"/>
      <sheetName val="档案"/>
      <sheetName val="Macro1"/>
      <sheetName val="company"/>
      <sheetName val="序时账"/>
      <sheetName val="V300-PBOC SWAP"/>
      <sheetName val="2001"/>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Paramètres"/>
      <sheetName val="Entities"/>
      <sheetName val="01 RM and PM"/>
      <sheetName val="0000"/>
      <sheetName val="Return Summary"/>
      <sheetName val="Material list"/>
      <sheetName val="Allgem. Angaben"/>
      <sheetName val="product"/>
      <sheetName val="struc_custom"/>
      <sheetName val="核銷表"/>
      <sheetName val="Upload Template"/>
      <sheetName val="Adjustment summary"/>
      <sheetName val="国家"/>
      <sheetName val="Profit &amp; Loss"/>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中文值列表"/>
      <sheetName val="明细账"/>
      <sheetName val="锅炉房"/>
      <sheetName val="项目目录"/>
      <sheetName val="1线5"/>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母公司"/>
      <sheetName val="accudepr1"/>
      <sheetName val="K102"/>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主要指标分析图"/>
      <sheetName val="合并数"/>
      <sheetName val="Sheet1_x0002__x00"/>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a__分析表.XLS_G9-1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sheetData sheetId="1914"/>
      <sheetData sheetId="1915"/>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sheetData sheetId="1993"/>
      <sheetData sheetId="1994"/>
      <sheetData sheetId="1995"/>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refreshError="1"/>
      <sheetData sheetId="2077"/>
      <sheetData sheetId="2078"/>
      <sheetData sheetId="2079" refreshError="1"/>
      <sheetData sheetId="2080" refreshError="1"/>
      <sheetData sheetId="2081" refreshError="1"/>
      <sheetData sheetId="2082" refreshError="1"/>
      <sheetData sheetId="2083"/>
      <sheetData sheetId="2084"/>
      <sheetData sheetId="2085" refreshError="1"/>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refreshError="1"/>
      <sheetData sheetId="2100" refreshError="1"/>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refreshError="1"/>
      <sheetData sheetId="2127" refreshError="1"/>
      <sheetData sheetId="2128"/>
      <sheetData sheetId="2129"/>
      <sheetData sheetId="2130"/>
      <sheetData sheetId="2131" refreshError="1"/>
      <sheetData sheetId="2132" refreshError="1"/>
      <sheetData sheetId="2133" refreshError="1"/>
      <sheetData sheetId="2134" refreshError="1"/>
      <sheetData sheetId="2135" refreshError="1"/>
      <sheetData sheetId="2136"/>
      <sheetData sheetId="2137" refreshError="1"/>
      <sheetData sheetId="2138"/>
      <sheetData sheetId="2139"/>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refreshError="1"/>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efreshError="1"/>
      <sheetData sheetId="2562"/>
      <sheetData sheetId="2563"/>
      <sheetData sheetId="2564"/>
      <sheetData sheetId="2565"/>
      <sheetData sheetId="2566"/>
      <sheetData sheetId="2567"/>
      <sheetData sheetId="2568"/>
      <sheetData sheetId="2569"/>
      <sheetData sheetId="2570"/>
      <sheetData sheetId="2571"/>
      <sheetData sheetId="2572"/>
      <sheetData sheetId="2573" refreshError="1"/>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refreshError="1"/>
      <sheetData sheetId="2591" refreshError="1"/>
      <sheetData sheetId="2592" refreshError="1"/>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refreshError="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sheetData sheetId="3024"/>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sheetData sheetId="3738"/>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sheetData sheetId="4011"/>
      <sheetData sheetId="4012"/>
      <sheetData sheetId="4013"/>
      <sheetData sheetId="4014"/>
      <sheetData sheetId="4015"/>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 sheetId="4183"/>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sheetData sheetId="4309" refreshError="1"/>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sheetData sheetId="4379"/>
      <sheetData sheetId="4380"/>
      <sheetData sheetId="4381"/>
      <sheetData sheetId="4382"/>
      <sheetData sheetId="4383"/>
      <sheetData sheetId="4384"/>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sheetData sheetId="4445"/>
      <sheetData sheetId="4446"/>
      <sheetData sheetId="4447"/>
      <sheetData sheetId="4448"/>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sheetData sheetId="4674" refreshError="1"/>
      <sheetData sheetId="4675" refreshError="1"/>
      <sheetData sheetId="4676" refreshError="1"/>
      <sheetData sheetId="4677" refreshError="1"/>
      <sheetData sheetId="4678"/>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应收账款实质性程序表D2A"/>
      <sheetName val="审定表D2-1"/>
      <sheetName val="附注披露信息(上市公司）D2-1"/>
      <sheetName val="附注披露信息（国企）D2-1"/>
      <sheetName val="附注披露信息(上市公司)"/>
      <sheetName val="附注披露信息(国企)"/>
      <sheetName val="明细表D2-2"/>
      <sheetName val="坏账准备明细表D2-3"/>
      <sheetName val="调整分录汇总表D2-4"/>
      <sheetName val="GT_Custom"/>
    </sheetNames>
    <sheetDataSet>
      <sheetData sheetId="0">
        <row r="2">
          <cell r="A2" t="str">
            <v>被审计单位名称：</v>
          </cell>
        </row>
        <row r="3">
          <cell r="A3" t="str">
            <v>截止日：202X年12月31日</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I133"/>
  <sheetViews>
    <sheetView tabSelected="1" view="pageBreakPreview" zoomScaleNormal="130" zoomScaleSheetLayoutView="100" workbookViewId="0">
      <selection sqref="A1:H1"/>
    </sheetView>
  </sheetViews>
  <sheetFormatPr defaultColWidth="9" defaultRowHeight="12" x14ac:dyDescent="0.25"/>
  <cols>
    <col min="1" max="1" width="17.77734375" style="85" customWidth="1"/>
    <col min="2" max="2" width="11.77734375" style="85" customWidth="1"/>
    <col min="3" max="3" width="12.109375" style="85" customWidth="1"/>
    <col min="4" max="4" width="12.21875" style="85" customWidth="1"/>
    <col min="5" max="5" width="11" style="85" customWidth="1"/>
    <col min="6" max="6" width="11.109375" style="85" customWidth="1"/>
    <col min="7" max="7" width="12.21875" style="85" customWidth="1"/>
    <col min="8" max="8" width="11.21875" style="85" customWidth="1"/>
    <col min="9" max="9" width="64.21875" style="85" customWidth="1"/>
    <col min="10" max="16384" width="9" style="85"/>
  </cols>
  <sheetData>
    <row r="1" spans="1:9" s="110" customFormat="1" ht="20.100000000000001" customHeight="1" x14ac:dyDescent="0.25">
      <c r="A1" s="195" t="s">
        <v>111</v>
      </c>
      <c r="B1" s="195"/>
      <c r="C1" s="195"/>
      <c r="D1" s="195"/>
      <c r="E1" s="195"/>
      <c r="F1" s="195"/>
      <c r="G1" s="195"/>
      <c r="H1" s="195"/>
    </row>
    <row r="2" spans="1:9" s="110" customFormat="1" ht="25.2" customHeight="1" x14ac:dyDescent="0.25">
      <c r="A2" s="196" t="s">
        <v>110</v>
      </c>
      <c r="B2" s="196"/>
      <c r="C2" s="196"/>
      <c r="D2" s="196"/>
      <c r="E2" s="196"/>
      <c r="F2" s="196"/>
      <c r="G2" s="196"/>
      <c r="H2" s="196"/>
    </row>
    <row r="3" spans="1:9" ht="20.100000000000001" customHeight="1" x14ac:dyDescent="0.25">
      <c r="A3" s="13" t="str">
        <f>[9]底稿目录!$A$2</f>
        <v>被审计单位名称：</v>
      </c>
      <c r="B3" s="13"/>
      <c r="C3" s="13" t="str">
        <f>[9]底稿目录!$A$4</f>
        <v>编制人：</v>
      </c>
      <c r="E3" s="13" t="str">
        <f>[9]底稿目录!$A$5</f>
        <v>编制日期：</v>
      </c>
      <c r="G3" s="134" t="s">
        <v>575</v>
      </c>
      <c r="H3" s="128" t="s">
        <v>625</v>
      </c>
    </row>
    <row r="4" spans="1:9" ht="20.100000000000001" customHeight="1" x14ac:dyDescent="0.25">
      <c r="A4" s="13" t="str">
        <f>[9]底稿目录!$A$3</f>
        <v>截止日：202X年12月31日</v>
      </c>
      <c r="B4" s="13"/>
      <c r="C4" s="13" t="str">
        <f>[9]底稿目录!$A$6</f>
        <v>复核人：</v>
      </c>
      <c r="E4" s="13" t="str">
        <f>[9]底稿目录!$A$7</f>
        <v>复核日期：</v>
      </c>
      <c r="G4" s="134" t="s">
        <v>576</v>
      </c>
    </row>
    <row r="5" spans="1:9" s="13" customFormat="1" ht="20.100000000000001" customHeight="1" x14ac:dyDescent="0.25">
      <c r="A5" s="197" t="s">
        <v>577</v>
      </c>
      <c r="B5" s="197"/>
      <c r="C5" s="197"/>
      <c r="D5" s="197"/>
      <c r="E5" s="197"/>
      <c r="F5" s="197"/>
      <c r="G5" s="197"/>
      <c r="H5" s="197"/>
    </row>
    <row r="6" spans="1:9" s="13" customFormat="1" ht="48.75" customHeight="1" x14ac:dyDescent="0.25">
      <c r="A6" s="198" t="s">
        <v>109</v>
      </c>
      <c r="B6" s="198"/>
      <c r="C6" s="198"/>
      <c r="D6" s="198"/>
      <c r="E6" s="198"/>
      <c r="F6" s="198"/>
      <c r="G6" s="198"/>
      <c r="H6" s="198"/>
    </row>
    <row r="7" spans="1:9" s="13" customFormat="1" ht="20.100000000000001" customHeight="1" x14ac:dyDescent="0.25">
      <c r="A7" s="197" t="s">
        <v>578</v>
      </c>
      <c r="B7" s="197"/>
      <c r="C7" s="197"/>
      <c r="D7" s="197"/>
      <c r="E7" s="197"/>
      <c r="F7" s="197"/>
      <c r="G7" s="197"/>
      <c r="H7" s="197"/>
    </row>
    <row r="8" spans="1:9" ht="20.100000000000001" customHeight="1" x14ac:dyDescent="0.25">
      <c r="A8" s="199" t="s">
        <v>579</v>
      </c>
      <c r="B8" s="199"/>
      <c r="C8" s="199"/>
      <c r="D8" s="199"/>
      <c r="E8" s="199"/>
      <c r="F8" s="199"/>
      <c r="G8" s="199"/>
      <c r="H8" s="199"/>
    </row>
    <row r="9" spans="1:9" ht="20.100000000000001" customHeight="1" x14ac:dyDescent="0.25">
      <c r="A9" s="199" t="s">
        <v>580</v>
      </c>
      <c r="B9" s="199"/>
      <c r="C9" s="199"/>
      <c r="D9" s="199"/>
      <c r="E9" s="199"/>
      <c r="F9" s="199"/>
      <c r="G9" s="199"/>
      <c r="H9" s="199"/>
    </row>
    <row r="10" spans="1:9" ht="20.100000000000001" customHeight="1" x14ac:dyDescent="0.25">
      <c r="A10" s="199" t="s">
        <v>581</v>
      </c>
      <c r="B10" s="199"/>
      <c r="C10" s="199"/>
      <c r="D10" s="199"/>
      <c r="E10" s="199"/>
      <c r="F10" s="199"/>
      <c r="G10" s="199"/>
      <c r="H10" s="199"/>
    </row>
    <row r="11" spans="1:9" ht="19.5" customHeight="1" x14ac:dyDescent="0.25">
      <c r="A11" s="199" t="s">
        <v>582</v>
      </c>
      <c r="B11" s="199"/>
      <c r="C11" s="199"/>
      <c r="D11" s="199"/>
      <c r="E11" s="199"/>
      <c r="F11" s="199"/>
      <c r="G11" s="199"/>
      <c r="H11" s="199"/>
    </row>
    <row r="12" spans="1:9" ht="30" customHeight="1" x14ac:dyDescent="0.25">
      <c r="A12" s="199" t="s">
        <v>583</v>
      </c>
      <c r="B12" s="199"/>
      <c r="C12" s="199"/>
      <c r="D12" s="199"/>
      <c r="E12" s="199"/>
      <c r="F12" s="199"/>
      <c r="G12" s="199"/>
      <c r="H12" s="199"/>
      <c r="I12" s="18"/>
    </row>
    <row r="13" spans="1:9" ht="29.25" customHeight="1" x14ac:dyDescent="0.25">
      <c r="A13" s="199" t="s">
        <v>584</v>
      </c>
      <c r="B13" s="199"/>
      <c r="C13" s="199"/>
      <c r="D13" s="199"/>
      <c r="E13" s="199"/>
      <c r="F13" s="199"/>
      <c r="G13" s="199"/>
      <c r="H13" s="199"/>
      <c r="I13" s="18" t="s">
        <v>108</v>
      </c>
    </row>
    <row r="14" spans="1:9" ht="27.75" customHeight="1" x14ac:dyDescent="0.25">
      <c r="A14" s="199" t="s">
        <v>585</v>
      </c>
      <c r="B14" s="199"/>
      <c r="C14" s="199"/>
      <c r="D14" s="199"/>
      <c r="E14" s="199"/>
      <c r="F14" s="199"/>
      <c r="G14" s="199"/>
      <c r="H14" s="199"/>
      <c r="I14" s="18" t="s">
        <v>107</v>
      </c>
    </row>
    <row r="15" spans="1:9" ht="29.25" customHeight="1" x14ac:dyDescent="0.25">
      <c r="A15" s="199" t="s">
        <v>586</v>
      </c>
      <c r="B15" s="199"/>
      <c r="C15" s="199"/>
      <c r="D15" s="199"/>
      <c r="E15" s="199"/>
      <c r="F15" s="199"/>
      <c r="G15" s="199"/>
      <c r="H15" s="199"/>
      <c r="I15" s="18" t="s">
        <v>106</v>
      </c>
    </row>
    <row r="16" spans="1:9" ht="20.100000000000001" customHeight="1" x14ac:dyDescent="0.25">
      <c r="A16" s="8" t="s">
        <v>105</v>
      </c>
    </row>
    <row r="17" spans="1:9" ht="23.25" customHeight="1" x14ac:dyDescent="0.25">
      <c r="A17" s="200" t="s">
        <v>104</v>
      </c>
      <c r="B17" s="200"/>
      <c r="C17" s="200"/>
      <c r="D17" s="200"/>
      <c r="E17" s="200"/>
      <c r="F17" s="200"/>
      <c r="G17" s="200"/>
      <c r="H17" s="200"/>
      <c r="I17" s="198" t="s">
        <v>103</v>
      </c>
    </row>
    <row r="18" spans="1:9" ht="19.5" customHeight="1" x14ac:dyDescent="0.25">
      <c r="A18" s="200" t="s">
        <v>102</v>
      </c>
      <c r="B18" s="200"/>
      <c r="C18" s="200"/>
      <c r="D18" s="200"/>
      <c r="E18" s="200"/>
      <c r="F18" s="200"/>
      <c r="G18" s="200"/>
      <c r="H18" s="200"/>
      <c r="I18" s="201"/>
    </row>
    <row r="19" spans="1:9" ht="19.5" customHeight="1" x14ac:dyDescent="0.25">
      <c r="A19" s="27" t="s">
        <v>587</v>
      </c>
      <c r="B19" s="27"/>
      <c r="C19" s="83" t="s">
        <v>101</v>
      </c>
      <c r="D19" s="27" t="s">
        <v>100</v>
      </c>
      <c r="E19" s="83"/>
      <c r="F19" s="83"/>
      <c r="G19" s="83"/>
      <c r="H19" s="83"/>
      <c r="I19" s="201"/>
    </row>
    <row r="20" spans="1:9" ht="19.5" customHeight="1" x14ac:dyDescent="0.25">
      <c r="A20" s="27" t="s">
        <v>588</v>
      </c>
      <c r="B20" s="27"/>
      <c r="C20" s="83"/>
      <c r="D20" s="27" t="s">
        <v>99</v>
      </c>
      <c r="E20" s="83"/>
      <c r="F20" s="83"/>
      <c r="G20" s="83"/>
      <c r="H20" s="83"/>
    </row>
    <row r="21" spans="1:9" ht="19.5" customHeight="1" x14ac:dyDescent="0.25">
      <c r="A21" s="27" t="s">
        <v>589</v>
      </c>
      <c r="B21" s="27"/>
      <c r="C21" s="83"/>
      <c r="D21" s="27" t="s">
        <v>98</v>
      </c>
      <c r="E21" s="83"/>
      <c r="F21" s="83"/>
      <c r="G21" s="83"/>
      <c r="H21" s="83"/>
    </row>
    <row r="22" spans="1:9" ht="19.5" customHeight="1" x14ac:dyDescent="0.25">
      <c r="A22" s="27" t="s">
        <v>590</v>
      </c>
      <c r="B22" s="27"/>
      <c r="C22" s="83"/>
      <c r="D22" s="27" t="s">
        <v>97</v>
      </c>
      <c r="E22" s="83"/>
      <c r="F22" s="83"/>
      <c r="G22" s="83"/>
      <c r="H22" s="83"/>
    </row>
    <row r="23" spans="1:9" ht="19.5" customHeight="1" x14ac:dyDescent="0.25">
      <c r="A23" s="27" t="s">
        <v>591</v>
      </c>
      <c r="B23" s="27"/>
      <c r="C23" s="83"/>
      <c r="D23" s="27" t="s">
        <v>96</v>
      </c>
      <c r="E23" s="83"/>
      <c r="F23" s="83"/>
      <c r="G23" s="83"/>
      <c r="H23" s="83"/>
    </row>
    <row r="24" spans="1:9" ht="19.5" customHeight="1" x14ac:dyDescent="0.25">
      <c r="A24" s="27" t="s">
        <v>592</v>
      </c>
      <c r="B24" s="27"/>
      <c r="C24" s="83"/>
      <c r="D24" s="27" t="s">
        <v>95</v>
      </c>
      <c r="E24" s="83"/>
      <c r="F24" s="83"/>
      <c r="G24" s="83"/>
      <c r="H24" s="83"/>
    </row>
    <row r="25" spans="1:9" ht="24.75" customHeight="1" x14ac:dyDescent="0.25">
      <c r="A25" s="200" t="s">
        <v>94</v>
      </c>
      <c r="B25" s="200"/>
      <c r="C25" s="200"/>
      <c r="D25" s="200"/>
      <c r="E25" s="200"/>
      <c r="F25" s="200"/>
      <c r="G25" s="200"/>
      <c r="H25" s="200"/>
    </row>
    <row r="26" spans="1:9" ht="22.5" customHeight="1" x14ac:dyDescent="0.25">
      <c r="A26" s="200"/>
      <c r="B26" s="200"/>
      <c r="C26" s="200"/>
      <c r="D26" s="200"/>
      <c r="E26" s="200"/>
      <c r="F26" s="200"/>
      <c r="G26" s="200"/>
      <c r="H26" s="200"/>
    </row>
    <row r="27" spans="1:9" ht="19.5" customHeight="1" x14ac:dyDescent="0.25">
      <c r="A27" s="8" t="s">
        <v>93</v>
      </c>
      <c r="B27" s="111"/>
      <c r="C27" s="111"/>
      <c r="D27" s="111"/>
      <c r="E27" s="111"/>
      <c r="F27" s="111"/>
      <c r="G27" s="111"/>
    </row>
    <row r="28" spans="1:9" ht="19.5" customHeight="1" x14ac:dyDescent="0.25">
      <c r="A28" s="204" t="s">
        <v>92</v>
      </c>
      <c r="B28" s="204" t="s">
        <v>91</v>
      </c>
      <c r="C28" s="204" t="s">
        <v>593</v>
      </c>
      <c r="D28" s="210" t="s">
        <v>594</v>
      </c>
      <c r="E28" s="211"/>
      <c r="F28" s="204" t="s">
        <v>595</v>
      </c>
      <c r="G28" s="204" t="s">
        <v>596</v>
      </c>
      <c r="H28" s="204" t="s">
        <v>597</v>
      </c>
      <c r="I28" s="206" t="s">
        <v>598</v>
      </c>
    </row>
    <row r="29" spans="1:9" ht="19.5" customHeight="1" x14ac:dyDescent="0.25">
      <c r="A29" s="205"/>
      <c r="B29" s="205"/>
      <c r="C29" s="209"/>
      <c r="D29" s="112" t="s">
        <v>599</v>
      </c>
      <c r="E29" s="112" t="s">
        <v>600</v>
      </c>
      <c r="F29" s="209"/>
      <c r="G29" s="209"/>
      <c r="H29" s="205"/>
      <c r="I29" s="207"/>
    </row>
    <row r="30" spans="1:9" ht="19.5" customHeight="1" x14ac:dyDescent="0.25">
      <c r="A30" s="212" t="s">
        <v>90</v>
      </c>
      <c r="B30" s="215">
        <v>100</v>
      </c>
      <c r="C30" s="113">
        <v>80</v>
      </c>
      <c r="D30" s="113">
        <f>40/(1+$B$33)^1</f>
        <v>38.095238095238095</v>
      </c>
      <c r="E30" s="113">
        <f>40/(1+$B$33)^2</f>
        <v>36.281179138321995</v>
      </c>
      <c r="F30" s="114">
        <v>0.75</v>
      </c>
      <c r="G30" s="162">
        <f>(D30+E30)*F30</f>
        <v>55.782312925170068</v>
      </c>
      <c r="H30" s="163"/>
      <c r="I30" s="206" t="s">
        <v>89</v>
      </c>
    </row>
    <row r="31" spans="1:9" ht="19.5" customHeight="1" x14ac:dyDescent="0.25">
      <c r="A31" s="213"/>
      <c r="B31" s="216"/>
      <c r="C31" s="113">
        <v>70</v>
      </c>
      <c r="D31" s="113">
        <f>30/(1+$B$33)^1</f>
        <v>28.571428571428569</v>
      </c>
      <c r="E31" s="113">
        <f>40/(1+$B$33)^2</f>
        <v>36.281179138321995</v>
      </c>
      <c r="F31" s="114">
        <v>0.15</v>
      </c>
      <c r="G31" s="162">
        <f>(D31+E31)*F31</f>
        <v>9.7278911564625847</v>
      </c>
      <c r="H31" s="163"/>
      <c r="I31" s="207"/>
    </row>
    <row r="32" spans="1:9" ht="19.5" customHeight="1" x14ac:dyDescent="0.25">
      <c r="A32" s="214"/>
      <c r="B32" s="217"/>
      <c r="C32" s="113">
        <v>50</v>
      </c>
      <c r="D32" s="113"/>
      <c r="E32" s="113">
        <f>50/(1+$B$33)^2</f>
        <v>45.351473922902493</v>
      </c>
      <c r="F32" s="114">
        <v>0.1</v>
      </c>
      <c r="G32" s="162">
        <f>(D32+E32)*F32</f>
        <v>4.5351473922902494</v>
      </c>
      <c r="H32" s="163"/>
      <c r="I32" s="206" t="s">
        <v>88</v>
      </c>
    </row>
    <row r="33" spans="1:9" ht="19.5" customHeight="1" x14ac:dyDescent="0.25">
      <c r="A33" s="14" t="s">
        <v>624</v>
      </c>
      <c r="B33" s="157">
        <v>0.05</v>
      </c>
      <c r="C33" s="158" t="s">
        <v>46</v>
      </c>
      <c r="D33" s="159" t="s">
        <v>44</v>
      </c>
      <c r="E33" s="159" t="s">
        <v>44</v>
      </c>
      <c r="F33" s="160">
        <f>IF(B30=0,"",SUM(F30:F32))</f>
        <v>1</v>
      </c>
      <c r="G33" s="161">
        <f>SUM(G30:G32)</f>
        <v>70.045351473922906</v>
      </c>
      <c r="H33" s="160">
        <f>IF(B30=0,"",(B30-G33)/B30)</f>
        <v>0.29954648526077093</v>
      </c>
      <c r="I33" s="207"/>
    </row>
    <row r="34" spans="1:9" ht="19.5" customHeight="1" x14ac:dyDescent="0.25">
      <c r="A34" s="212"/>
      <c r="B34" s="215"/>
      <c r="C34" s="115"/>
      <c r="D34" s="115"/>
      <c r="E34" s="115"/>
      <c r="F34" s="114"/>
      <c r="G34" s="162">
        <f>(D34+E34)*F34</f>
        <v>0</v>
      </c>
      <c r="H34" s="163"/>
      <c r="I34" s="206" t="s">
        <v>87</v>
      </c>
    </row>
    <row r="35" spans="1:9" ht="19.5" customHeight="1" x14ac:dyDescent="0.25">
      <c r="A35" s="213"/>
      <c r="B35" s="216"/>
      <c r="C35" s="115"/>
      <c r="D35" s="115"/>
      <c r="E35" s="115"/>
      <c r="F35" s="114"/>
      <c r="G35" s="162">
        <f>(D35+E35)*F35</f>
        <v>0</v>
      </c>
      <c r="H35" s="163"/>
      <c r="I35" s="207"/>
    </row>
    <row r="36" spans="1:9" ht="19.5" customHeight="1" x14ac:dyDescent="0.25">
      <c r="A36" s="214"/>
      <c r="B36" s="217"/>
      <c r="C36" s="115"/>
      <c r="D36" s="115"/>
      <c r="E36" s="115"/>
      <c r="F36" s="114"/>
      <c r="G36" s="162">
        <f>(D36+E36)*F36</f>
        <v>0</v>
      </c>
      <c r="H36" s="163"/>
      <c r="I36" s="82"/>
    </row>
    <row r="37" spans="1:9" ht="19.5" customHeight="1" x14ac:dyDescent="0.25">
      <c r="A37" s="158"/>
      <c r="B37" s="164"/>
      <c r="C37" s="158" t="s">
        <v>46</v>
      </c>
      <c r="D37" s="159" t="s">
        <v>44</v>
      </c>
      <c r="E37" s="159" t="s">
        <v>44</v>
      </c>
      <c r="F37" s="160" t="str">
        <f>IF(B34=0,"",SUM(F34:F36))</f>
        <v/>
      </c>
      <c r="G37" s="161">
        <f>SUM(G34:G36)</f>
        <v>0</v>
      </c>
      <c r="H37" s="160" t="str">
        <f>IF(B34=0,"",(B34-G37)/B34)</f>
        <v/>
      </c>
      <c r="I37" s="82"/>
    </row>
    <row r="38" spans="1:9" ht="19.5" customHeight="1" x14ac:dyDescent="0.25">
      <c r="A38" s="212"/>
      <c r="B38" s="215"/>
      <c r="C38" s="115"/>
      <c r="D38" s="115"/>
      <c r="E38" s="115"/>
      <c r="F38" s="114"/>
      <c r="G38" s="162">
        <f>(D38+E38)*F38</f>
        <v>0</v>
      </c>
      <c r="H38" s="163"/>
      <c r="I38" s="82"/>
    </row>
    <row r="39" spans="1:9" ht="19.5" customHeight="1" x14ac:dyDescent="0.25">
      <c r="A39" s="213"/>
      <c r="B39" s="216"/>
      <c r="C39" s="115"/>
      <c r="D39" s="115"/>
      <c r="E39" s="115"/>
      <c r="F39" s="114"/>
      <c r="G39" s="162">
        <f>(D39+E39)*F39</f>
        <v>0</v>
      </c>
      <c r="H39" s="163"/>
      <c r="I39" s="82"/>
    </row>
    <row r="40" spans="1:9" ht="19.5" customHeight="1" x14ac:dyDescent="0.25">
      <c r="A40" s="214"/>
      <c r="B40" s="217"/>
      <c r="C40" s="115"/>
      <c r="D40" s="115"/>
      <c r="E40" s="115"/>
      <c r="F40" s="114"/>
      <c r="G40" s="162">
        <f>(D40+E40)*F40</f>
        <v>0</v>
      </c>
      <c r="H40" s="163"/>
      <c r="I40" s="82"/>
    </row>
    <row r="41" spans="1:9" ht="19.5" customHeight="1" x14ac:dyDescent="0.25">
      <c r="A41" s="158"/>
      <c r="B41" s="164"/>
      <c r="C41" s="158" t="s">
        <v>46</v>
      </c>
      <c r="D41" s="159" t="s">
        <v>44</v>
      </c>
      <c r="E41" s="159" t="s">
        <v>44</v>
      </c>
      <c r="F41" s="160" t="str">
        <f>IF(B38=0,"",SUM(F38:F40))</f>
        <v/>
      </c>
      <c r="G41" s="161">
        <f>SUM(G38:G40)</f>
        <v>0</v>
      </c>
      <c r="H41" s="160" t="str">
        <f>IF(B38=0,"",(B38-G41)/B38)</f>
        <v/>
      </c>
      <c r="I41" s="82"/>
    </row>
    <row r="42" spans="1:9" ht="19.5" customHeight="1" x14ac:dyDescent="0.25">
      <c r="A42" s="13"/>
      <c r="B42" s="25"/>
      <c r="C42" s="111"/>
      <c r="D42" s="116"/>
      <c r="E42" s="111"/>
      <c r="F42" s="111"/>
      <c r="G42" s="111"/>
      <c r="H42" s="116"/>
      <c r="I42" s="18"/>
    </row>
    <row r="43" spans="1:9" ht="19.5" customHeight="1" x14ac:dyDescent="0.25">
      <c r="A43" s="8" t="s">
        <v>601</v>
      </c>
      <c r="B43" s="111"/>
      <c r="C43" s="111"/>
      <c r="D43" s="111"/>
      <c r="E43" s="111"/>
      <c r="F43" s="111"/>
      <c r="G43" s="111"/>
    </row>
    <row r="44" spans="1:9" ht="19.5" customHeight="1" x14ac:dyDescent="0.25">
      <c r="A44" s="8" t="s">
        <v>85</v>
      </c>
      <c r="B44" s="111"/>
      <c r="C44" s="111"/>
      <c r="D44" s="111"/>
      <c r="E44" s="111"/>
      <c r="F44" s="111"/>
      <c r="G44" s="111"/>
      <c r="H44" s="23" t="s">
        <v>66</v>
      </c>
    </row>
    <row r="45" spans="1:9" ht="19.5" customHeight="1" x14ac:dyDescent="0.25">
      <c r="A45" s="8" t="s">
        <v>84</v>
      </c>
      <c r="B45" s="111"/>
      <c r="C45" s="117">
        <v>2000</v>
      </c>
      <c r="D45" s="111"/>
      <c r="E45" s="70" t="s">
        <v>83</v>
      </c>
      <c r="F45" s="111"/>
      <c r="G45" s="117">
        <v>69</v>
      </c>
    </row>
    <row r="46" spans="1:9" ht="31.5" customHeight="1" x14ac:dyDescent="0.25">
      <c r="A46" s="14" t="s">
        <v>82</v>
      </c>
      <c r="B46" s="14" t="s">
        <v>81</v>
      </c>
      <c r="C46" s="14" t="s">
        <v>80</v>
      </c>
      <c r="D46" s="14" t="s">
        <v>28</v>
      </c>
      <c r="E46" s="14" t="s">
        <v>79</v>
      </c>
      <c r="F46" s="14" t="s">
        <v>78</v>
      </c>
      <c r="G46" s="14" t="s">
        <v>5</v>
      </c>
      <c r="H46" s="14" t="s">
        <v>69</v>
      </c>
    </row>
    <row r="47" spans="1:9" ht="19.5" customHeight="1" x14ac:dyDescent="0.25">
      <c r="A47" s="5" t="str">
        <f t="shared" ref="A47:A52" si="0">A19</f>
        <v>1年以内</v>
      </c>
      <c r="B47" s="115">
        <v>400</v>
      </c>
      <c r="C47" s="165">
        <v>400</v>
      </c>
      <c r="D47" s="165">
        <f>C45</f>
        <v>2000</v>
      </c>
      <c r="E47" s="165">
        <f t="shared" ref="E47:E52" si="1">$G$45</f>
        <v>69</v>
      </c>
      <c r="F47" s="166"/>
      <c r="G47" s="166">
        <f t="shared" ref="G47:G52" si="2">E47/D47</f>
        <v>3.4500000000000003E-2</v>
      </c>
      <c r="H47" s="43"/>
      <c r="I47" s="206" t="s">
        <v>77</v>
      </c>
    </row>
    <row r="48" spans="1:9" ht="19.5" customHeight="1" x14ac:dyDescent="0.25">
      <c r="A48" s="5" t="str">
        <f t="shared" si="0"/>
        <v>1年-2年</v>
      </c>
      <c r="B48" s="115">
        <v>640</v>
      </c>
      <c r="C48" s="165">
        <f>C47+B48</f>
        <v>1040</v>
      </c>
      <c r="D48" s="165">
        <f>D47-B47</f>
        <v>1600</v>
      </c>
      <c r="E48" s="165">
        <f t="shared" si="1"/>
        <v>69</v>
      </c>
      <c r="F48" s="166"/>
      <c r="G48" s="166">
        <f t="shared" si="2"/>
        <v>4.3124999999999997E-2</v>
      </c>
      <c r="H48" s="43"/>
      <c r="I48" s="207"/>
    </row>
    <row r="49" spans="1:9" ht="19.5" customHeight="1" x14ac:dyDescent="0.25">
      <c r="A49" s="5" t="str">
        <f t="shared" si="0"/>
        <v>2年-3年</v>
      </c>
      <c r="B49" s="115">
        <v>500</v>
      </c>
      <c r="C49" s="165">
        <f>C48+B49</f>
        <v>1540</v>
      </c>
      <c r="D49" s="165">
        <f>D48-B48</f>
        <v>960</v>
      </c>
      <c r="E49" s="165">
        <f t="shared" si="1"/>
        <v>69</v>
      </c>
      <c r="F49" s="166"/>
      <c r="G49" s="166">
        <f t="shared" si="2"/>
        <v>7.1874999999999994E-2</v>
      </c>
      <c r="H49" s="43"/>
    </row>
    <row r="50" spans="1:9" ht="19.5" customHeight="1" x14ac:dyDescent="0.25">
      <c r="A50" s="5" t="str">
        <f t="shared" si="0"/>
        <v>3年-4年</v>
      </c>
      <c r="B50" s="115">
        <v>250</v>
      </c>
      <c r="C50" s="165">
        <f>C49+B50</f>
        <v>1790</v>
      </c>
      <c r="D50" s="165">
        <f>D49-B49</f>
        <v>460</v>
      </c>
      <c r="E50" s="165">
        <f t="shared" si="1"/>
        <v>69</v>
      </c>
      <c r="F50" s="166"/>
      <c r="G50" s="166">
        <f t="shared" si="2"/>
        <v>0.15</v>
      </c>
      <c r="H50" s="43"/>
    </row>
    <row r="51" spans="1:9" ht="19.5" customHeight="1" x14ac:dyDescent="0.25">
      <c r="A51" s="5" t="str">
        <f t="shared" si="0"/>
        <v>4年-5年</v>
      </c>
      <c r="B51" s="115">
        <v>135</v>
      </c>
      <c r="C51" s="165">
        <f>C50+B51</f>
        <v>1925</v>
      </c>
      <c r="D51" s="165">
        <f>D50-B50</f>
        <v>210</v>
      </c>
      <c r="E51" s="165">
        <f t="shared" si="1"/>
        <v>69</v>
      </c>
      <c r="F51" s="166"/>
      <c r="G51" s="166">
        <f t="shared" si="2"/>
        <v>0.32857142857142857</v>
      </c>
      <c r="H51" s="43"/>
    </row>
    <row r="52" spans="1:9" ht="19.5" customHeight="1" x14ac:dyDescent="0.25">
      <c r="A52" s="5" t="str">
        <f t="shared" si="0"/>
        <v>5年以上</v>
      </c>
      <c r="B52" s="115">
        <v>6</v>
      </c>
      <c r="C52" s="165">
        <f>C51+B52</f>
        <v>1931</v>
      </c>
      <c r="D52" s="165">
        <f>D51-B51</f>
        <v>75</v>
      </c>
      <c r="E52" s="165">
        <f t="shared" si="1"/>
        <v>69</v>
      </c>
      <c r="F52" s="166" t="s">
        <v>76</v>
      </c>
      <c r="G52" s="166">
        <f t="shared" si="2"/>
        <v>0.92</v>
      </c>
      <c r="H52" s="43"/>
      <c r="I52" s="24"/>
    </row>
    <row r="53" spans="1:9" ht="19.5" customHeight="1" x14ac:dyDescent="0.25">
      <c r="A53" s="168" t="s">
        <v>46</v>
      </c>
      <c r="B53" s="169">
        <f>SUM(B47:B52)</f>
        <v>1931</v>
      </c>
      <c r="C53" s="167" t="s">
        <v>44</v>
      </c>
      <c r="D53" s="167" t="s">
        <v>44</v>
      </c>
      <c r="E53" s="167" t="s">
        <v>44</v>
      </c>
      <c r="F53" s="167"/>
      <c r="G53" s="167" t="s">
        <v>44</v>
      </c>
      <c r="H53" s="118" t="s">
        <v>44</v>
      </c>
    </row>
    <row r="54" spans="1:9" ht="19.5" customHeight="1" x14ac:dyDescent="0.25">
      <c r="A54" s="202"/>
      <c r="B54" s="203"/>
      <c r="C54" s="203"/>
      <c r="D54" s="203"/>
      <c r="E54" s="203"/>
      <c r="F54" s="203"/>
      <c r="G54" s="203"/>
      <c r="H54" s="203"/>
      <c r="I54" s="18"/>
    </row>
    <row r="55" spans="1:9" ht="19.5" customHeight="1" x14ac:dyDescent="0.25">
      <c r="A55" s="8" t="s">
        <v>602</v>
      </c>
      <c r="B55" s="111"/>
      <c r="C55" s="111"/>
      <c r="D55" s="111"/>
      <c r="E55" s="111"/>
      <c r="F55" s="111"/>
      <c r="G55" s="111"/>
      <c r="H55" s="23" t="s">
        <v>66</v>
      </c>
    </row>
    <row r="56" spans="1:9" ht="31.5" customHeight="1" x14ac:dyDescent="0.25">
      <c r="A56" s="158" t="s">
        <v>21</v>
      </c>
      <c r="B56" s="158" t="s">
        <v>75</v>
      </c>
      <c r="C56" s="158" t="s">
        <v>74</v>
      </c>
      <c r="D56" s="158" t="s">
        <v>73</v>
      </c>
      <c r="E56" s="158" t="s">
        <v>72</v>
      </c>
      <c r="F56" s="158" t="s">
        <v>71</v>
      </c>
      <c r="G56" s="158" t="s">
        <v>70</v>
      </c>
      <c r="H56" s="158" t="s">
        <v>69</v>
      </c>
    </row>
    <row r="57" spans="1:9" ht="19.5" customHeight="1" x14ac:dyDescent="0.25">
      <c r="A57" s="19" t="str">
        <f t="shared" ref="A57:A62" si="3">A19</f>
        <v>1年以内</v>
      </c>
      <c r="B57" s="115">
        <v>650</v>
      </c>
      <c r="C57" s="115">
        <v>552</v>
      </c>
      <c r="D57" s="115">
        <v>1863</v>
      </c>
      <c r="E57" s="122"/>
      <c r="F57" s="166">
        <f t="shared" ref="F57:F63" si="4">C57/B57</f>
        <v>0.84923076923076923</v>
      </c>
      <c r="G57" s="166">
        <f>(1-F57)*G58</f>
        <v>4.3421538461538471E-3</v>
      </c>
      <c r="H57" s="43"/>
      <c r="I57" s="227" t="s">
        <v>68</v>
      </c>
    </row>
    <row r="58" spans="1:9" ht="19.5" customHeight="1" x14ac:dyDescent="0.25">
      <c r="A58" s="19" t="str">
        <f t="shared" si="3"/>
        <v>1年-2年</v>
      </c>
      <c r="B58" s="115">
        <v>530</v>
      </c>
      <c r="C58" s="115">
        <v>371</v>
      </c>
      <c r="D58" s="115">
        <v>98</v>
      </c>
      <c r="E58" s="165" t="b">
        <f>D58=(B57-C57)</f>
        <v>1</v>
      </c>
      <c r="F58" s="166">
        <f t="shared" si="4"/>
        <v>0.7</v>
      </c>
      <c r="G58" s="166">
        <f>(1-F58)*G59</f>
        <v>2.8800000000000006E-2</v>
      </c>
      <c r="H58" s="43"/>
      <c r="I58" s="228"/>
    </row>
    <row r="59" spans="1:9" ht="19.5" customHeight="1" x14ac:dyDescent="0.25">
      <c r="A59" s="19" t="str">
        <f t="shared" si="3"/>
        <v>2年-3年</v>
      </c>
      <c r="B59" s="115">
        <v>500</v>
      </c>
      <c r="C59" s="115">
        <v>300</v>
      </c>
      <c r="D59" s="115">
        <v>159</v>
      </c>
      <c r="E59" s="165" t="b">
        <f>D59=(B58-C58)</f>
        <v>1</v>
      </c>
      <c r="F59" s="166">
        <f t="shared" si="4"/>
        <v>0.6</v>
      </c>
      <c r="G59" s="166">
        <f>(1-F59)*G60</f>
        <v>9.6000000000000002E-2</v>
      </c>
      <c r="H59" s="43"/>
    </row>
    <row r="60" spans="1:9" ht="19.5" customHeight="1" x14ac:dyDescent="0.25">
      <c r="A60" s="19" t="str">
        <f t="shared" si="3"/>
        <v>3年-4年</v>
      </c>
      <c r="B60" s="115">
        <v>200</v>
      </c>
      <c r="C60" s="115">
        <v>100</v>
      </c>
      <c r="D60" s="115">
        <v>200</v>
      </c>
      <c r="E60" s="165" t="b">
        <f>D60=(B59-C59)</f>
        <v>1</v>
      </c>
      <c r="F60" s="166">
        <f t="shared" si="4"/>
        <v>0.5</v>
      </c>
      <c r="G60" s="166">
        <f>(1-F60)*G61</f>
        <v>0.24</v>
      </c>
      <c r="H60" s="43"/>
    </row>
    <row r="61" spans="1:9" ht="19.5" customHeight="1" x14ac:dyDescent="0.25">
      <c r="A61" s="19" t="str">
        <f t="shared" si="3"/>
        <v>4年-5年</v>
      </c>
      <c r="B61" s="115">
        <v>70</v>
      </c>
      <c r="C61" s="115">
        <v>28</v>
      </c>
      <c r="D61" s="115">
        <v>100</v>
      </c>
      <c r="E61" s="165" t="b">
        <f>D61=(B60-C60)</f>
        <v>1</v>
      </c>
      <c r="F61" s="166">
        <f t="shared" si="4"/>
        <v>0.4</v>
      </c>
      <c r="G61" s="166">
        <f>(1-F61)*G62</f>
        <v>0.48</v>
      </c>
      <c r="H61" s="43"/>
    </row>
    <row r="62" spans="1:9" ht="19.5" customHeight="1" x14ac:dyDescent="0.25">
      <c r="A62" s="19" t="str">
        <f t="shared" si="3"/>
        <v>5年以上</v>
      </c>
      <c r="B62" s="115">
        <v>50</v>
      </c>
      <c r="C62" s="115">
        <v>10</v>
      </c>
      <c r="D62" s="115">
        <v>80</v>
      </c>
      <c r="E62" s="165" t="b">
        <f>D62&gt;=(B61-C61)</f>
        <v>1</v>
      </c>
      <c r="F62" s="166">
        <f t="shared" si="4"/>
        <v>0.2</v>
      </c>
      <c r="G62" s="166">
        <f>1-F62</f>
        <v>0.8</v>
      </c>
      <c r="H62" s="43"/>
    </row>
    <row r="63" spans="1:9" ht="19.5" customHeight="1" x14ac:dyDescent="0.25">
      <c r="A63" s="168" t="s">
        <v>46</v>
      </c>
      <c r="B63" s="169">
        <f>SUM(B57:B62)</f>
        <v>2000</v>
      </c>
      <c r="C63" s="169">
        <f>SUM(C57:C62)</f>
        <v>1361</v>
      </c>
      <c r="D63" s="169">
        <f>SUM(D57:D62)</f>
        <v>2500</v>
      </c>
      <c r="E63" s="169"/>
      <c r="F63" s="160">
        <f t="shared" si="4"/>
        <v>0.68049999999999999</v>
      </c>
      <c r="G63" s="167" t="s">
        <v>44</v>
      </c>
      <c r="H63" s="118" t="s">
        <v>44</v>
      </c>
    </row>
    <row r="64" spans="1:9" ht="19.5" customHeight="1" x14ac:dyDescent="0.25">
      <c r="A64" s="202"/>
      <c r="B64" s="203"/>
      <c r="C64" s="203"/>
      <c r="D64" s="203"/>
      <c r="E64" s="203"/>
      <c r="F64" s="203"/>
      <c r="G64" s="203"/>
      <c r="H64" s="203"/>
      <c r="I64" s="18"/>
    </row>
    <row r="65" spans="1:9" ht="19.5" customHeight="1" x14ac:dyDescent="0.25">
      <c r="A65" s="8" t="s">
        <v>67</v>
      </c>
      <c r="B65" s="111"/>
      <c r="C65" s="111"/>
      <c r="D65" s="111"/>
      <c r="E65" s="111"/>
      <c r="F65" s="111"/>
      <c r="G65" s="111"/>
      <c r="H65" s="23" t="s">
        <v>66</v>
      </c>
      <c r="I65" s="85" t="s">
        <v>65</v>
      </c>
    </row>
    <row r="66" spans="1:9" ht="39.75" customHeight="1" x14ac:dyDescent="0.25">
      <c r="A66" s="158" t="s">
        <v>21</v>
      </c>
      <c r="B66" s="158" t="s">
        <v>64</v>
      </c>
      <c r="C66" s="158" t="s">
        <v>63</v>
      </c>
      <c r="D66" s="158" t="s">
        <v>62</v>
      </c>
      <c r="E66" s="158" t="s">
        <v>61</v>
      </c>
      <c r="F66" s="158" t="s">
        <v>60</v>
      </c>
      <c r="G66" s="158"/>
      <c r="H66" s="158"/>
      <c r="I66" s="85" t="s">
        <v>59</v>
      </c>
    </row>
    <row r="67" spans="1:9" ht="19.5" customHeight="1" x14ac:dyDescent="0.25">
      <c r="A67" s="19" t="s">
        <v>58</v>
      </c>
      <c r="B67" s="115"/>
      <c r="C67" s="115">
        <v>700</v>
      </c>
      <c r="D67" s="115">
        <v>1100</v>
      </c>
      <c r="E67" s="115">
        <v>1640</v>
      </c>
      <c r="F67" s="115">
        <v>1950</v>
      </c>
      <c r="G67" s="115"/>
      <c r="H67" s="115"/>
      <c r="I67" s="22"/>
    </row>
    <row r="68" spans="1:9" ht="19.5" customHeight="1" x14ac:dyDescent="0.25">
      <c r="A68" s="19" t="s">
        <v>57</v>
      </c>
      <c r="B68" s="115"/>
      <c r="C68" s="115">
        <v>80</v>
      </c>
      <c r="D68" s="115">
        <v>150</v>
      </c>
      <c r="E68" s="115">
        <v>250</v>
      </c>
      <c r="F68" s="115">
        <v>350</v>
      </c>
      <c r="G68" s="115"/>
      <c r="H68" s="115"/>
      <c r="I68" s="21"/>
    </row>
    <row r="69" spans="1:9" ht="19.5" customHeight="1" x14ac:dyDescent="0.25">
      <c r="A69" s="19" t="s">
        <v>56</v>
      </c>
      <c r="B69" s="115"/>
      <c r="C69" s="115">
        <v>20</v>
      </c>
      <c r="D69" s="115">
        <v>35</v>
      </c>
      <c r="E69" s="115">
        <v>70</v>
      </c>
      <c r="F69" s="115">
        <v>120</v>
      </c>
      <c r="G69" s="115"/>
      <c r="H69" s="115"/>
    </row>
    <row r="70" spans="1:9" ht="19.5" customHeight="1" x14ac:dyDescent="0.25">
      <c r="A70" s="19" t="s">
        <v>55</v>
      </c>
      <c r="B70" s="115"/>
      <c r="C70" s="115">
        <v>10</v>
      </c>
      <c r="D70" s="115">
        <v>20</v>
      </c>
      <c r="E70" s="115">
        <v>40</v>
      </c>
      <c r="F70" s="115">
        <v>80</v>
      </c>
      <c r="G70" s="115"/>
      <c r="H70" s="115"/>
    </row>
    <row r="71" spans="1:9" ht="33" customHeight="1" x14ac:dyDescent="0.25">
      <c r="A71" s="20" t="s">
        <v>54</v>
      </c>
      <c r="B71" s="115"/>
      <c r="C71" s="115">
        <v>9</v>
      </c>
      <c r="D71" s="115">
        <v>10</v>
      </c>
      <c r="E71" s="115">
        <v>20</v>
      </c>
      <c r="F71" s="115">
        <v>40</v>
      </c>
      <c r="G71" s="115"/>
      <c r="H71" s="115"/>
    </row>
    <row r="72" spans="1:9" ht="19.5" customHeight="1" x14ac:dyDescent="0.25">
      <c r="A72" s="19"/>
      <c r="B72" s="115"/>
      <c r="C72" s="115"/>
      <c r="D72" s="115"/>
      <c r="E72" s="115"/>
      <c r="F72" s="115"/>
      <c r="G72" s="115"/>
      <c r="H72" s="115"/>
    </row>
    <row r="73" spans="1:9" ht="19.5" customHeight="1" x14ac:dyDescent="0.25">
      <c r="A73" s="168" t="s">
        <v>46</v>
      </c>
      <c r="B73" s="169">
        <f t="shared" ref="B73:H73" si="5">SUM(B67:B70)</f>
        <v>0</v>
      </c>
      <c r="C73" s="169">
        <f t="shared" si="5"/>
        <v>810</v>
      </c>
      <c r="D73" s="169">
        <f t="shared" si="5"/>
        <v>1305</v>
      </c>
      <c r="E73" s="169">
        <f t="shared" si="5"/>
        <v>2000</v>
      </c>
      <c r="F73" s="169">
        <f t="shared" si="5"/>
        <v>2500</v>
      </c>
      <c r="G73" s="169">
        <f t="shared" si="5"/>
        <v>0</v>
      </c>
      <c r="H73" s="169">
        <f t="shared" si="5"/>
        <v>0</v>
      </c>
    </row>
    <row r="74" spans="1:9" ht="39.75" customHeight="1" x14ac:dyDescent="0.25">
      <c r="A74" s="158" t="s">
        <v>53</v>
      </c>
      <c r="B74" s="158" t="s">
        <v>52</v>
      </c>
      <c r="C74" s="158" t="s">
        <v>51</v>
      </c>
      <c r="D74" s="158" t="s">
        <v>50</v>
      </c>
      <c r="E74" s="158" t="s">
        <v>49</v>
      </c>
      <c r="F74" s="158" t="s">
        <v>6</v>
      </c>
      <c r="G74" s="158" t="s">
        <v>5</v>
      </c>
      <c r="H74" s="158" t="s">
        <v>48</v>
      </c>
      <c r="I74" s="85" t="s">
        <v>47</v>
      </c>
    </row>
    <row r="75" spans="1:9" ht="19.5" customHeight="1" x14ac:dyDescent="0.25">
      <c r="A75" s="19" t="str">
        <f>A67</f>
        <v>1年以内</v>
      </c>
      <c r="B75" s="84"/>
      <c r="C75" s="166">
        <f t="shared" ref="C75:E76" si="6">D68/C67</f>
        <v>0.21428571428571427</v>
      </c>
      <c r="D75" s="166">
        <f t="shared" si="6"/>
        <v>0.22727272727272727</v>
      </c>
      <c r="E75" s="166">
        <f t="shared" si="6"/>
        <v>0.21341463414634146</v>
      </c>
      <c r="F75" s="170">
        <f>AVERAGE(C75:E75)</f>
        <v>0.21832435856826102</v>
      </c>
      <c r="G75" s="170">
        <f>F75*G76</f>
        <v>5.5162999142746527E-2</v>
      </c>
      <c r="H75" s="166"/>
      <c r="I75" s="227"/>
    </row>
    <row r="76" spans="1:9" ht="19.5" customHeight="1" x14ac:dyDescent="0.25">
      <c r="A76" s="19" t="str">
        <f>A68</f>
        <v>1年-2年</v>
      </c>
      <c r="B76" s="84"/>
      <c r="C76" s="166">
        <f t="shared" si="6"/>
        <v>0.4375</v>
      </c>
      <c r="D76" s="166">
        <f t="shared" si="6"/>
        <v>0.46666666666666667</v>
      </c>
      <c r="E76" s="166">
        <f t="shared" si="6"/>
        <v>0.48</v>
      </c>
      <c r="F76" s="170">
        <f>AVERAGE(C76:E76)</f>
        <v>0.4613888888888889</v>
      </c>
      <c r="G76" s="170">
        <f>F76*G77</f>
        <v>0.2526653439153439</v>
      </c>
      <c r="H76" s="166"/>
      <c r="I76" s="228"/>
    </row>
    <row r="77" spans="1:9" ht="19.5" customHeight="1" x14ac:dyDescent="0.25">
      <c r="A77" s="19" t="str">
        <f>A69</f>
        <v>2年-3年</v>
      </c>
      <c r="B77" s="84"/>
      <c r="C77" s="166">
        <f>(D70-D71)/C69</f>
        <v>0.5</v>
      </c>
      <c r="D77" s="166">
        <f>(E70-E71)/D69</f>
        <v>0.5714285714285714</v>
      </c>
      <c r="E77" s="166">
        <f>(F70-F71)/E69</f>
        <v>0.5714285714285714</v>
      </c>
      <c r="F77" s="170">
        <f>AVERAGE(C77:E77)</f>
        <v>0.54761904761904756</v>
      </c>
      <c r="G77" s="170">
        <f>F77*G78</f>
        <v>0.54761904761904756</v>
      </c>
      <c r="H77" s="166"/>
    </row>
    <row r="78" spans="1:9" ht="19.5" customHeight="1" x14ac:dyDescent="0.25">
      <c r="A78" s="19" t="str">
        <f>A70</f>
        <v>3年以上</v>
      </c>
      <c r="B78" s="84"/>
      <c r="C78" s="166">
        <f>D71/C70</f>
        <v>1</v>
      </c>
      <c r="D78" s="166">
        <f>E71/D70</f>
        <v>1</v>
      </c>
      <c r="E78" s="166">
        <f>F71/E70</f>
        <v>1</v>
      </c>
      <c r="F78" s="170">
        <f>AVERAGE(C78:E78)</f>
        <v>1</v>
      </c>
      <c r="G78" s="170">
        <f>F78</f>
        <v>1</v>
      </c>
      <c r="H78" s="166"/>
    </row>
    <row r="79" spans="1:9" ht="19.5" customHeight="1" x14ac:dyDescent="0.25">
      <c r="A79" s="20"/>
      <c r="B79" s="84"/>
      <c r="C79" s="165"/>
      <c r="D79" s="165"/>
      <c r="E79" s="166"/>
      <c r="F79" s="165"/>
      <c r="G79" s="165"/>
      <c r="H79" s="171"/>
    </row>
    <row r="80" spans="1:9" ht="19.5" customHeight="1" x14ac:dyDescent="0.25">
      <c r="A80" s="19"/>
      <c r="B80" s="84"/>
      <c r="C80" s="165"/>
      <c r="D80" s="165"/>
      <c r="E80" s="166"/>
      <c r="F80" s="165"/>
      <c r="G80" s="165"/>
      <c r="H80" s="171"/>
    </row>
    <row r="81" spans="1:9" ht="19.5" customHeight="1" x14ac:dyDescent="0.25">
      <c r="A81" s="168" t="s">
        <v>46</v>
      </c>
      <c r="B81" s="167" t="s">
        <v>45</v>
      </c>
      <c r="C81" s="167" t="s">
        <v>44</v>
      </c>
      <c r="D81" s="167" t="s">
        <v>44</v>
      </c>
      <c r="E81" s="167" t="s">
        <v>44</v>
      </c>
      <c r="F81" s="167" t="s">
        <v>44</v>
      </c>
      <c r="G81" s="167" t="s">
        <v>44</v>
      </c>
      <c r="H81" s="167" t="s">
        <v>43</v>
      </c>
    </row>
    <row r="82" spans="1:9" ht="19.5" customHeight="1" x14ac:dyDescent="0.25">
      <c r="A82" s="202"/>
      <c r="B82" s="203"/>
      <c r="C82" s="203"/>
      <c r="D82" s="203"/>
      <c r="E82" s="203"/>
      <c r="F82" s="203"/>
      <c r="G82" s="203"/>
      <c r="H82" s="203"/>
      <c r="I82" s="18"/>
    </row>
    <row r="83" spans="1:9" ht="19.5" customHeight="1" x14ac:dyDescent="0.25">
      <c r="A83" s="8" t="s">
        <v>42</v>
      </c>
      <c r="B83" s="111"/>
      <c r="C83" s="111"/>
      <c r="D83" s="111"/>
      <c r="E83" s="111"/>
      <c r="F83" s="111"/>
      <c r="G83" s="111"/>
    </row>
    <row r="84" spans="1:9" ht="48" customHeight="1" x14ac:dyDescent="0.25">
      <c r="A84" s="14" t="s">
        <v>21</v>
      </c>
      <c r="B84" s="17" t="s">
        <v>41</v>
      </c>
      <c r="C84" s="17" t="s">
        <v>40</v>
      </c>
      <c r="D84" s="17" t="s">
        <v>39</v>
      </c>
      <c r="E84" s="17" t="s">
        <v>38</v>
      </c>
      <c r="F84" s="14" t="s">
        <v>24</v>
      </c>
      <c r="G84" s="14" t="s">
        <v>37</v>
      </c>
      <c r="H84" s="14" t="s">
        <v>36</v>
      </c>
      <c r="I84" s="225" t="s">
        <v>35</v>
      </c>
    </row>
    <row r="85" spans="1:9" ht="19.5" customHeight="1" x14ac:dyDescent="0.25">
      <c r="A85" s="5" t="str">
        <f t="shared" ref="A85:A90" si="7">A57</f>
        <v>1年以内</v>
      </c>
      <c r="B85" s="43"/>
      <c r="C85" s="43"/>
      <c r="D85" s="43"/>
      <c r="E85" s="43"/>
      <c r="F85" s="119" t="s">
        <v>33</v>
      </c>
      <c r="G85" s="172">
        <f>'前瞻性调整D2-10-1（量化分析）'!I106</f>
        <v>0.17934284460232264</v>
      </c>
      <c r="H85" s="43"/>
      <c r="I85" s="226"/>
    </row>
    <row r="86" spans="1:9" ht="19.5" customHeight="1" x14ac:dyDescent="0.25">
      <c r="A86" s="5" t="str">
        <f t="shared" si="7"/>
        <v>1年-2年</v>
      </c>
      <c r="B86" s="43"/>
      <c r="C86" s="43"/>
      <c r="D86" s="43"/>
      <c r="E86" s="43"/>
      <c r="F86" s="119" t="s">
        <v>33</v>
      </c>
      <c r="G86" s="172">
        <f>G85</f>
        <v>0.17934284460232264</v>
      </c>
      <c r="H86" s="43"/>
      <c r="I86" s="226"/>
    </row>
    <row r="87" spans="1:9" ht="19.5" customHeight="1" x14ac:dyDescent="0.25">
      <c r="A87" s="5" t="str">
        <f t="shared" si="7"/>
        <v>2年-3年</v>
      </c>
      <c r="B87" s="43"/>
      <c r="C87" s="43"/>
      <c r="D87" s="43"/>
      <c r="E87" s="43"/>
      <c r="F87" s="119" t="s">
        <v>34</v>
      </c>
      <c r="G87" s="172">
        <f>G86</f>
        <v>0.17934284460232264</v>
      </c>
      <c r="H87" s="43"/>
    </row>
    <row r="88" spans="1:9" ht="19.5" customHeight="1" x14ac:dyDescent="0.25">
      <c r="A88" s="5" t="str">
        <f t="shared" si="7"/>
        <v>3年-4年</v>
      </c>
      <c r="B88" s="43"/>
      <c r="C88" s="43"/>
      <c r="D88" s="43"/>
      <c r="E88" s="43"/>
      <c r="F88" s="119" t="s">
        <v>34</v>
      </c>
      <c r="G88" s="172">
        <f>G87</f>
        <v>0.17934284460232264</v>
      </c>
      <c r="H88" s="43"/>
    </row>
    <row r="89" spans="1:9" ht="19.5" customHeight="1" x14ac:dyDescent="0.25">
      <c r="A89" s="5" t="str">
        <f t="shared" si="7"/>
        <v>4年-5年</v>
      </c>
      <c r="B89" s="43"/>
      <c r="C89" s="43"/>
      <c r="D89" s="43"/>
      <c r="E89" s="43"/>
      <c r="F89" s="119" t="s">
        <v>33</v>
      </c>
      <c r="G89" s="172">
        <v>0</v>
      </c>
      <c r="H89" s="43"/>
    </row>
    <row r="90" spans="1:9" ht="19.5" customHeight="1" x14ac:dyDescent="0.25">
      <c r="A90" s="5" t="str">
        <f t="shared" si="7"/>
        <v>5年以上</v>
      </c>
      <c r="B90" s="43"/>
      <c r="C90" s="43"/>
      <c r="D90" s="43"/>
      <c r="E90" s="43"/>
      <c r="F90" s="119" t="s">
        <v>33</v>
      </c>
      <c r="G90" s="173">
        <f>G89</f>
        <v>0</v>
      </c>
      <c r="H90" s="43"/>
    </row>
    <row r="91" spans="1:9" ht="19.5" customHeight="1" x14ac:dyDescent="0.25">
      <c r="A91" s="8" t="s">
        <v>32</v>
      </c>
      <c r="B91" s="111"/>
      <c r="C91" s="111"/>
      <c r="D91" s="111"/>
      <c r="E91" s="111"/>
      <c r="F91" s="111"/>
      <c r="G91" s="120">
        <v>1</v>
      </c>
      <c r="H91" s="121"/>
    </row>
    <row r="92" spans="1:9" ht="19.5" customHeight="1" x14ac:dyDescent="0.25">
      <c r="A92" s="111"/>
      <c r="B92" s="111"/>
      <c r="C92" s="111"/>
      <c r="D92" s="111"/>
      <c r="E92" s="111"/>
      <c r="F92" s="111"/>
      <c r="G92" s="111"/>
      <c r="I92" s="7"/>
    </row>
    <row r="93" spans="1:9" ht="19.5" customHeight="1" x14ac:dyDescent="0.25">
      <c r="A93" s="8" t="s">
        <v>31</v>
      </c>
      <c r="B93" s="111"/>
      <c r="C93" s="111"/>
      <c r="D93" s="111"/>
      <c r="E93" s="111"/>
      <c r="F93" s="111"/>
      <c r="G93" s="111"/>
    </row>
    <row r="94" spans="1:9" ht="19.5" customHeight="1" x14ac:dyDescent="0.25">
      <c r="A94" s="8" t="s">
        <v>30</v>
      </c>
      <c r="B94" s="111"/>
      <c r="C94" s="111"/>
      <c r="D94" s="111"/>
      <c r="E94" s="111"/>
      <c r="F94" s="111"/>
      <c r="G94" s="111"/>
      <c r="I94" s="7"/>
    </row>
    <row r="95" spans="1:9" ht="25.5" customHeight="1" x14ac:dyDescent="0.25">
      <c r="A95" s="14" t="s">
        <v>29</v>
      </c>
      <c r="B95" s="14" t="s">
        <v>28</v>
      </c>
      <c r="C95" s="14" t="s">
        <v>27</v>
      </c>
      <c r="D95" s="14" t="s">
        <v>26</v>
      </c>
      <c r="E95" s="14" t="s">
        <v>25</v>
      </c>
      <c r="F95" s="14" t="s">
        <v>24</v>
      </c>
      <c r="G95" s="14" t="s">
        <v>23</v>
      </c>
      <c r="H95" s="14" t="s">
        <v>17</v>
      </c>
      <c r="I95" s="6"/>
    </row>
    <row r="96" spans="1:9" ht="19.5" customHeight="1" x14ac:dyDescent="0.25">
      <c r="A96" s="5" t="str">
        <f t="shared" ref="A96:A101" si="8">A47</f>
        <v>1年以内</v>
      </c>
      <c r="B96" s="174">
        <f t="shared" ref="B96:C101" si="9">D47</f>
        <v>2000</v>
      </c>
      <c r="C96" s="165">
        <f t="shared" si="9"/>
        <v>69</v>
      </c>
      <c r="D96" s="165">
        <v>75</v>
      </c>
      <c r="E96" s="208" t="s">
        <v>22</v>
      </c>
      <c r="F96" s="208"/>
      <c r="G96" s="160">
        <f t="shared" ref="G96:G101" si="10">D96/B96</f>
        <v>3.7499999999999999E-2</v>
      </c>
      <c r="H96" s="43"/>
      <c r="I96" s="123"/>
    </row>
    <row r="97" spans="1:9" ht="19.5" customHeight="1" x14ac:dyDescent="0.25">
      <c r="A97" s="5" t="str">
        <f t="shared" si="8"/>
        <v>1年-2年</v>
      </c>
      <c r="B97" s="174">
        <f t="shared" si="9"/>
        <v>1600</v>
      </c>
      <c r="C97" s="165">
        <f t="shared" si="9"/>
        <v>69</v>
      </c>
      <c r="D97" s="165">
        <f>D96</f>
        <v>75</v>
      </c>
      <c r="E97" s="208"/>
      <c r="F97" s="208"/>
      <c r="G97" s="160">
        <f t="shared" si="10"/>
        <v>4.6875E-2</v>
      </c>
      <c r="H97" s="43"/>
      <c r="I97" s="123"/>
    </row>
    <row r="98" spans="1:9" ht="19.5" customHeight="1" x14ac:dyDescent="0.25">
      <c r="A98" s="5" t="str">
        <f t="shared" si="8"/>
        <v>2年-3年</v>
      </c>
      <c r="B98" s="174">
        <f t="shared" si="9"/>
        <v>960</v>
      </c>
      <c r="C98" s="165">
        <f t="shared" si="9"/>
        <v>69</v>
      </c>
      <c r="D98" s="165">
        <f>D97</f>
        <v>75</v>
      </c>
      <c r="E98" s="208"/>
      <c r="F98" s="208"/>
      <c r="G98" s="160">
        <f t="shared" si="10"/>
        <v>7.8125E-2</v>
      </c>
      <c r="H98" s="43"/>
      <c r="I98" s="123"/>
    </row>
    <row r="99" spans="1:9" ht="19.5" customHeight="1" x14ac:dyDescent="0.25">
      <c r="A99" s="5" t="str">
        <f t="shared" si="8"/>
        <v>3年-4年</v>
      </c>
      <c r="B99" s="174">
        <f t="shared" si="9"/>
        <v>460</v>
      </c>
      <c r="C99" s="165">
        <f t="shared" si="9"/>
        <v>69</v>
      </c>
      <c r="D99" s="165">
        <f>D98</f>
        <v>75</v>
      </c>
      <c r="E99" s="208"/>
      <c r="F99" s="208"/>
      <c r="G99" s="160">
        <f t="shared" si="10"/>
        <v>0.16304347826086957</v>
      </c>
      <c r="H99" s="43"/>
      <c r="I99" s="123"/>
    </row>
    <row r="100" spans="1:9" ht="19.5" customHeight="1" x14ac:dyDescent="0.25">
      <c r="A100" s="5" t="str">
        <f t="shared" si="8"/>
        <v>4年-5年</v>
      </c>
      <c r="B100" s="174">
        <f t="shared" si="9"/>
        <v>210</v>
      </c>
      <c r="C100" s="165">
        <f t="shared" si="9"/>
        <v>69</v>
      </c>
      <c r="D100" s="165">
        <f>D99</f>
        <v>75</v>
      </c>
      <c r="E100" s="208"/>
      <c r="F100" s="208"/>
      <c r="G100" s="160">
        <f t="shared" si="10"/>
        <v>0.35714285714285715</v>
      </c>
      <c r="H100" s="43"/>
      <c r="I100" s="123"/>
    </row>
    <row r="101" spans="1:9" ht="19.5" customHeight="1" x14ac:dyDescent="0.25">
      <c r="A101" s="5" t="str">
        <f t="shared" si="8"/>
        <v>5年以上</v>
      </c>
      <c r="B101" s="174">
        <f t="shared" si="9"/>
        <v>75</v>
      </c>
      <c r="C101" s="165">
        <f t="shared" si="9"/>
        <v>69</v>
      </c>
      <c r="D101" s="165">
        <f>D100</f>
        <v>75</v>
      </c>
      <c r="E101" s="208"/>
      <c r="F101" s="208"/>
      <c r="G101" s="160">
        <f t="shared" si="10"/>
        <v>1</v>
      </c>
      <c r="H101" s="43"/>
      <c r="I101" s="123"/>
    </row>
    <row r="102" spans="1:9" ht="19.5" customHeight="1" x14ac:dyDescent="0.25">
      <c r="A102" s="13"/>
      <c r="B102" s="124"/>
      <c r="C102" s="125"/>
      <c r="D102" s="12"/>
      <c r="E102" s="11"/>
      <c r="F102" s="12"/>
      <c r="G102" s="126"/>
      <c r="H102" s="116"/>
      <c r="I102" s="127"/>
    </row>
    <row r="103" spans="1:9" ht="19.5" customHeight="1" x14ac:dyDescent="0.25">
      <c r="A103" s="8" t="s">
        <v>603</v>
      </c>
      <c r="B103" s="111"/>
      <c r="C103" s="111"/>
      <c r="D103" s="111"/>
      <c r="E103" s="111"/>
      <c r="F103" s="111"/>
      <c r="G103" s="111"/>
      <c r="I103" s="7"/>
    </row>
    <row r="104" spans="1:9" ht="19.5" customHeight="1" x14ac:dyDescent="0.25">
      <c r="A104" s="218" t="s">
        <v>21</v>
      </c>
      <c r="B104" s="220" t="s">
        <v>20</v>
      </c>
      <c r="C104" s="221"/>
      <c r="D104" s="222"/>
      <c r="E104" s="218" t="s">
        <v>3</v>
      </c>
      <c r="F104" s="218" t="s">
        <v>19</v>
      </c>
      <c r="G104" s="218" t="s">
        <v>18</v>
      </c>
      <c r="H104" s="218" t="s">
        <v>17</v>
      </c>
      <c r="I104" s="6"/>
    </row>
    <row r="105" spans="1:9" ht="19.5" customHeight="1" x14ac:dyDescent="0.25">
      <c r="A105" s="219"/>
      <c r="B105" s="158" t="s">
        <v>16</v>
      </c>
      <c r="C105" s="158" t="s">
        <v>15</v>
      </c>
      <c r="D105" s="158" t="s">
        <v>14</v>
      </c>
      <c r="E105" s="219"/>
      <c r="F105" s="219"/>
      <c r="G105" s="219"/>
      <c r="H105" s="219"/>
      <c r="I105" s="6"/>
    </row>
    <row r="106" spans="1:9" ht="19.5" customHeight="1" x14ac:dyDescent="0.25">
      <c r="A106" s="5" t="str">
        <f t="shared" ref="A106:A111" si="11">A85</f>
        <v>1年以内</v>
      </c>
      <c r="B106" s="171">
        <f t="shared" ref="B106:B111" si="12">F57</f>
        <v>0.84923076923076923</v>
      </c>
      <c r="C106" s="171">
        <f>G85</f>
        <v>0.17934284460232264</v>
      </c>
      <c r="D106" s="166">
        <f t="shared" ref="D106:D111" si="13">B106*(1-C106)</f>
        <v>0.69692730735310449</v>
      </c>
      <c r="E106" s="172" t="s">
        <v>13</v>
      </c>
      <c r="F106" s="166">
        <f t="shared" ref="F106:F111" si="14">1-D106</f>
        <v>0.30307269264689551</v>
      </c>
      <c r="G106" s="160">
        <f>F106*G107</f>
        <v>2.3161944407292228E-2</v>
      </c>
      <c r="H106" s="43"/>
      <c r="I106" s="123"/>
    </row>
    <row r="107" spans="1:9" ht="19.5" customHeight="1" x14ac:dyDescent="0.25">
      <c r="A107" s="5" t="str">
        <f t="shared" si="11"/>
        <v>1年-2年</v>
      </c>
      <c r="B107" s="171">
        <f t="shared" si="12"/>
        <v>0.7</v>
      </c>
      <c r="C107" s="171">
        <f>G86</f>
        <v>0.17934284460232264</v>
      </c>
      <c r="D107" s="166">
        <f t="shared" si="13"/>
        <v>0.57446000877837411</v>
      </c>
      <c r="E107" s="172" t="s">
        <v>12</v>
      </c>
      <c r="F107" s="166">
        <f t="shared" si="14"/>
        <v>0.42553999122162589</v>
      </c>
      <c r="G107" s="160">
        <f>F107*G108</f>
        <v>7.6423725955006405E-2</v>
      </c>
      <c r="H107" s="43"/>
      <c r="I107" s="123"/>
    </row>
    <row r="108" spans="1:9" ht="19.5" customHeight="1" x14ac:dyDescent="0.25">
      <c r="A108" s="5" t="str">
        <f t="shared" si="11"/>
        <v>2年-3年</v>
      </c>
      <c r="B108" s="171">
        <f t="shared" si="12"/>
        <v>0.6</v>
      </c>
      <c r="C108" s="171">
        <f>G87</f>
        <v>0.17934284460232264</v>
      </c>
      <c r="D108" s="166">
        <f t="shared" si="13"/>
        <v>0.4923942932386064</v>
      </c>
      <c r="E108" s="172" t="s">
        <v>10</v>
      </c>
      <c r="F108" s="166">
        <f t="shared" si="14"/>
        <v>0.5076057067613936</v>
      </c>
      <c r="G108" s="160">
        <f>F108*G109</f>
        <v>0.17959234744450631</v>
      </c>
      <c r="H108" s="43"/>
      <c r="I108" s="123"/>
    </row>
    <row r="109" spans="1:9" ht="19.5" customHeight="1" x14ac:dyDescent="0.25">
      <c r="A109" s="5" t="str">
        <f t="shared" si="11"/>
        <v>3年-4年</v>
      </c>
      <c r="B109" s="171">
        <f t="shared" si="12"/>
        <v>0.5</v>
      </c>
      <c r="C109" s="171">
        <f>G88</f>
        <v>0.17934284460232264</v>
      </c>
      <c r="D109" s="166">
        <f t="shared" si="13"/>
        <v>0.41032857769883868</v>
      </c>
      <c r="E109" s="172" t="s">
        <v>11</v>
      </c>
      <c r="F109" s="166">
        <f t="shared" si="14"/>
        <v>0.58967142230116132</v>
      </c>
      <c r="G109" s="160">
        <f>F109*G110</f>
        <v>0.35380285338069678</v>
      </c>
      <c r="H109" s="43"/>
      <c r="I109" s="123"/>
    </row>
    <row r="110" spans="1:9" ht="19.5" customHeight="1" x14ac:dyDescent="0.25">
      <c r="A110" s="5" t="str">
        <f t="shared" si="11"/>
        <v>4年-5年</v>
      </c>
      <c r="B110" s="171">
        <f t="shared" si="12"/>
        <v>0.4</v>
      </c>
      <c r="C110" s="171">
        <f>G89</f>
        <v>0</v>
      </c>
      <c r="D110" s="166">
        <f t="shared" si="13"/>
        <v>0.4</v>
      </c>
      <c r="E110" s="172" t="s">
        <v>10</v>
      </c>
      <c r="F110" s="166">
        <f t="shared" si="14"/>
        <v>0.6</v>
      </c>
      <c r="G110" s="160">
        <f>F110*G111</f>
        <v>0.6</v>
      </c>
      <c r="H110" s="43"/>
      <c r="I110" s="123"/>
    </row>
    <row r="111" spans="1:9" ht="19.5" customHeight="1" x14ac:dyDescent="0.25">
      <c r="A111" s="5" t="str">
        <f t="shared" si="11"/>
        <v>5年以上</v>
      </c>
      <c r="B111" s="171">
        <f t="shared" si="12"/>
        <v>0.2</v>
      </c>
      <c r="C111" s="171">
        <f>G91</f>
        <v>1</v>
      </c>
      <c r="D111" s="166">
        <f t="shared" si="13"/>
        <v>0</v>
      </c>
      <c r="E111" s="172" t="s">
        <v>9</v>
      </c>
      <c r="F111" s="166">
        <f t="shared" si="14"/>
        <v>1</v>
      </c>
      <c r="G111" s="160">
        <f>F111</f>
        <v>1</v>
      </c>
      <c r="H111" s="43"/>
      <c r="I111" s="123"/>
    </row>
    <row r="112" spans="1:9" ht="19.5" customHeight="1" x14ac:dyDescent="0.25">
      <c r="A112" s="111"/>
      <c r="B112" s="111"/>
      <c r="C112" s="111"/>
      <c r="D112" s="111"/>
      <c r="E112" s="111"/>
      <c r="F112" s="111"/>
      <c r="G112" s="111"/>
    </row>
    <row r="113" spans="1:9" ht="19.5" customHeight="1" x14ac:dyDescent="0.25">
      <c r="A113" s="8" t="s">
        <v>8</v>
      </c>
      <c r="B113" s="111"/>
      <c r="C113" s="111"/>
      <c r="D113" s="111"/>
      <c r="E113" s="111"/>
      <c r="F113" s="111"/>
      <c r="G113" s="111"/>
      <c r="I113" s="7"/>
    </row>
    <row r="114" spans="1:9" ht="34.5" customHeight="1" x14ac:dyDescent="0.25">
      <c r="A114" s="158" t="s">
        <v>7</v>
      </c>
      <c r="B114" s="158" t="s">
        <v>6</v>
      </c>
      <c r="C114" s="158" t="s">
        <v>5</v>
      </c>
      <c r="D114" s="158" t="s">
        <v>4</v>
      </c>
      <c r="E114" s="158" t="s">
        <v>3</v>
      </c>
      <c r="F114" s="158" t="s">
        <v>2</v>
      </c>
      <c r="G114" s="158" t="s">
        <v>1</v>
      </c>
      <c r="H114" s="158" t="s">
        <v>0</v>
      </c>
      <c r="I114" s="6"/>
    </row>
    <row r="115" spans="1:9" ht="19.5" customHeight="1" x14ac:dyDescent="0.25">
      <c r="A115" s="5" t="str">
        <f>A75</f>
        <v>1年以内</v>
      </c>
      <c r="B115" s="171">
        <f t="shared" ref="B115:C118" si="15">F75</f>
        <v>0.21832435856826102</v>
      </c>
      <c r="C115" s="171">
        <f t="shared" si="15"/>
        <v>5.5162999142746527E-2</v>
      </c>
      <c r="D115" s="166">
        <f>G85</f>
        <v>0.17934284460232264</v>
      </c>
      <c r="E115" s="223" t="s">
        <v>604</v>
      </c>
      <c r="F115" s="223"/>
      <c r="G115" s="160">
        <f>C115*(1+D115)</f>
        <v>6.5056088325802175E-2</v>
      </c>
      <c r="H115" s="43"/>
      <c r="I115" s="123"/>
    </row>
    <row r="116" spans="1:9" ht="19.5" customHeight="1" x14ac:dyDescent="0.25">
      <c r="A116" s="5" t="str">
        <f>A76</f>
        <v>1年-2年</v>
      </c>
      <c r="B116" s="171">
        <f t="shared" si="15"/>
        <v>0.4613888888888889</v>
      </c>
      <c r="C116" s="171">
        <f t="shared" si="15"/>
        <v>0.2526653439153439</v>
      </c>
      <c r="D116" s="166">
        <f>G86</f>
        <v>0.17934284460232264</v>
      </c>
      <c r="E116" s="224"/>
      <c r="F116" s="224"/>
      <c r="G116" s="160">
        <f>C116*(1+D116)</f>
        <v>0.29797906542554581</v>
      </c>
      <c r="H116" s="43"/>
      <c r="I116" s="123"/>
    </row>
    <row r="117" spans="1:9" ht="19.5" customHeight="1" x14ac:dyDescent="0.25">
      <c r="A117" s="5" t="str">
        <f>A77</f>
        <v>2年-3年</v>
      </c>
      <c r="B117" s="171">
        <f t="shared" si="15"/>
        <v>0.54761904761904756</v>
      </c>
      <c r="C117" s="171">
        <f t="shared" si="15"/>
        <v>0.54761904761904756</v>
      </c>
      <c r="D117" s="166">
        <f>G87</f>
        <v>0.17934284460232264</v>
      </c>
      <c r="E117" s="224"/>
      <c r="F117" s="224"/>
      <c r="G117" s="160">
        <f>C117*(1+D117)</f>
        <v>0.64583060537746229</v>
      </c>
      <c r="H117" s="43"/>
      <c r="I117" s="123"/>
    </row>
    <row r="118" spans="1:9" ht="19.5" customHeight="1" x14ac:dyDescent="0.25">
      <c r="A118" s="5" t="str">
        <f>A78</f>
        <v>3年以上</v>
      </c>
      <c r="B118" s="171">
        <f t="shared" si="15"/>
        <v>1</v>
      </c>
      <c r="C118" s="171">
        <f t="shared" si="15"/>
        <v>1</v>
      </c>
      <c r="D118" s="166">
        <f>G88</f>
        <v>0.17934284460232264</v>
      </c>
      <c r="E118" s="224"/>
      <c r="F118" s="224"/>
      <c r="G118" s="160">
        <f>MIN(C118*(1+D118),100%)</f>
        <v>1</v>
      </c>
      <c r="H118" s="43"/>
      <c r="I118" s="123"/>
    </row>
    <row r="119" spans="1:9" ht="19.5" customHeight="1" x14ac:dyDescent="0.25">
      <c r="A119" s="5"/>
      <c r="B119" s="171"/>
      <c r="C119" s="171"/>
      <c r="D119" s="166"/>
      <c r="E119" s="224"/>
      <c r="F119" s="224"/>
      <c r="G119" s="160"/>
      <c r="H119" s="43"/>
      <c r="I119" s="123"/>
    </row>
    <row r="120" spans="1:9" ht="19.5" customHeight="1" x14ac:dyDescent="0.25">
      <c r="A120" s="5"/>
      <c r="B120" s="171"/>
      <c r="C120" s="171"/>
      <c r="D120" s="166"/>
      <c r="E120" s="205"/>
      <c r="F120" s="205"/>
      <c r="G120" s="160"/>
      <c r="H120" s="43"/>
      <c r="I120" s="123"/>
    </row>
    <row r="121" spans="1:9" ht="19.5" customHeight="1" x14ac:dyDescent="0.25">
      <c r="A121" s="111"/>
      <c r="B121" s="111"/>
      <c r="C121" s="111"/>
      <c r="D121" s="111"/>
      <c r="E121" s="111"/>
      <c r="F121" s="111"/>
      <c r="G121" s="111"/>
    </row>
    <row r="122" spans="1:9" ht="19.5" customHeight="1" x14ac:dyDescent="0.25">
      <c r="A122" s="197" t="s">
        <v>605</v>
      </c>
      <c r="B122" s="197"/>
      <c r="C122" s="197"/>
      <c r="D122" s="197"/>
      <c r="E122" s="197"/>
      <c r="F122" s="197"/>
      <c r="G122" s="197"/>
      <c r="H122" s="197"/>
    </row>
    <row r="123" spans="1:9" ht="81.75" customHeight="1" x14ac:dyDescent="0.25">
      <c r="A123" s="199"/>
      <c r="B123" s="199"/>
      <c r="C123" s="199"/>
      <c r="D123" s="199"/>
      <c r="E123" s="199"/>
      <c r="F123" s="199"/>
      <c r="G123" s="199"/>
      <c r="H123" s="199"/>
    </row>
    <row r="124" spans="1:9" ht="19.5" customHeight="1" x14ac:dyDescent="0.25">
      <c r="A124" s="197" t="s">
        <v>606</v>
      </c>
      <c r="B124" s="197"/>
      <c r="C124" s="197"/>
      <c r="D124" s="197"/>
      <c r="E124" s="197"/>
      <c r="F124" s="197"/>
      <c r="G124" s="197"/>
      <c r="H124" s="197"/>
    </row>
    <row r="125" spans="1:9" ht="66" customHeight="1" x14ac:dyDescent="0.25">
      <c r="A125" s="199"/>
      <c r="B125" s="199"/>
      <c r="C125" s="199"/>
      <c r="D125" s="199"/>
      <c r="E125" s="199"/>
      <c r="F125" s="199"/>
      <c r="G125" s="199"/>
      <c r="H125" s="199"/>
    </row>
    <row r="126" spans="1:9" ht="51.75" customHeight="1" x14ac:dyDescent="0.25">
      <c r="A126" s="111"/>
      <c r="B126" s="111"/>
      <c r="C126" s="111"/>
      <c r="D126" s="111"/>
      <c r="E126" s="111"/>
      <c r="F126" s="111"/>
      <c r="G126" s="111"/>
    </row>
    <row r="127" spans="1:9" ht="51.75" customHeight="1" x14ac:dyDescent="0.25">
      <c r="A127" s="111"/>
      <c r="B127" s="111"/>
      <c r="C127" s="111"/>
      <c r="D127" s="111"/>
      <c r="E127" s="111"/>
      <c r="F127" s="111"/>
      <c r="G127" s="111"/>
    </row>
    <row r="128" spans="1:9" ht="51.75" customHeight="1" x14ac:dyDescent="0.25">
      <c r="A128" s="111"/>
      <c r="B128" s="111"/>
      <c r="C128" s="111"/>
      <c r="D128" s="111"/>
      <c r="E128" s="111"/>
      <c r="F128" s="111"/>
      <c r="G128" s="111"/>
    </row>
    <row r="129" spans="1:7" ht="51.75" customHeight="1" x14ac:dyDescent="0.25">
      <c r="A129" s="111"/>
      <c r="B129" s="111"/>
      <c r="C129" s="111"/>
      <c r="D129" s="111"/>
      <c r="E129" s="111"/>
      <c r="F129" s="111"/>
      <c r="G129" s="111"/>
    </row>
    <row r="130" spans="1:7" ht="51.75" customHeight="1" x14ac:dyDescent="0.25">
      <c r="A130" s="111"/>
      <c r="B130" s="111"/>
      <c r="C130" s="111"/>
      <c r="D130" s="111"/>
      <c r="E130" s="111"/>
      <c r="F130" s="111"/>
      <c r="G130" s="111"/>
    </row>
    <row r="131" spans="1:7" ht="51.75" customHeight="1" x14ac:dyDescent="0.25">
      <c r="A131" s="111"/>
      <c r="B131" s="111"/>
      <c r="C131" s="111"/>
      <c r="D131" s="111"/>
      <c r="E131" s="111"/>
      <c r="F131" s="111"/>
      <c r="G131" s="111"/>
    </row>
    <row r="132" spans="1:7" x14ac:dyDescent="0.25">
      <c r="A132" s="111"/>
      <c r="B132" s="111"/>
      <c r="C132" s="111"/>
      <c r="D132" s="111"/>
      <c r="E132" s="111"/>
      <c r="F132" s="111"/>
      <c r="G132" s="111"/>
    </row>
    <row r="133" spans="1:7" x14ac:dyDescent="0.25">
      <c r="A133" s="111"/>
      <c r="B133" s="111"/>
      <c r="C133" s="111"/>
      <c r="D133" s="111"/>
      <c r="E133" s="111"/>
      <c r="F133" s="111"/>
      <c r="G133" s="111"/>
    </row>
  </sheetData>
  <mergeCells count="56">
    <mergeCell ref="I75:I76"/>
    <mergeCell ref="A34:A36"/>
    <mergeCell ref="B34:B36"/>
    <mergeCell ref="A38:A40"/>
    <mergeCell ref="B38:B40"/>
    <mergeCell ref="I47:I48"/>
    <mergeCell ref="I57:I58"/>
    <mergeCell ref="A64:H64"/>
    <mergeCell ref="I28:I29"/>
    <mergeCell ref="A123:H123"/>
    <mergeCell ref="A124:H124"/>
    <mergeCell ref="A125:H125"/>
    <mergeCell ref="A104:A105"/>
    <mergeCell ref="B104:D104"/>
    <mergeCell ref="F104:F105"/>
    <mergeCell ref="G104:G105"/>
    <mergeCell ref="H104:H105"/>
    <mergeCell ref="E104:E105"/>
    <mergeCell ref="F115:F120"/>
    <mergeCell ref="E115:E120"/>
    <mergeCell ref="A122:H122"/>
    <mergeCell ref="I84:I86"/>
    <mergeCell ref="I30:I31"/>
    <mergeCell ref="I32:I33"/>
    <mergeCell ref="E96:E101"/>
    <mergeCell ref="F96:F101"/>
    <mergeCell ref="A82:H82"/>
    <mergeCell ref="C28:C29"/>
    <mergeCell ref="F28:F29"/>
    <mergeCell ref="G28:G29"/>
    <mergeCell ref="B28:B29"/>
    <mergeCell ref="D28:E28"/>
    <mergeCell ref="H28:H29"/>
    <mergeCell ref="A30:A32"/>
    <mergeCell ref="B30:B32"/>
    <mergeCell ref="A8:H8"/>
    <mergeCell ref="A17:H17"/>
    <mergeCell ref="I17:I19"/>
    <mergeCell ref="A54:H54"/>
    <mergeCell ref="A26:H26"/>
    <mergeCell ref="A28:A29"/>
    <mergeCell ref="A14:H14"/>
    <mergeCell ref="A9:H9"/>
    <mergeCell ref="A10:H10"/>
    <mergeCell ref="A11:H11"/>
    <mergeCell ref="A12:H12"/>
    <mergeCell ref="A13:H13"/>
    <mergeCell ref="A15:H15"/>
    <mergeCell ref="A18:H18"/>
    <mergeCell ref="A25:H25"/>
    <mergeCell ref="I34:I35"/>
    <mergeCell ref="A1:H1"/>
    <mergeCell ref="A2:H2"/>
    <mergeCell ref="A5:H5"/>
    <mergeCell ref="A6:H6"/>
    <mergeCell ref="A7:H7"/>
  </mergeCells>
  <phoneticPr fontId="3" type="noConversion"/>
  <printOptions horizontalCentered="1"/>
  <pageMargins left="0.74803149606299213" right="0.55118110236220474" top="0.82677165354330717" bottom="0.23622047244094491" header="0.51181102362204722" footer="0.19685039370078741"/>
  <pageSetup paperSize="9" scale="87" fitToHeight="10" orientation="portrait" blackAndWhite="1" cellComments="atEnd" r:id="rId1"/>
  <headerFooter alignWithMargins="0"/>
  <rowBreaks count="1" manualBreakCount="1">
    <brk id="54" max="7"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I180"/>
  <sheetViews>
    <sheetView view="pageBreakPreview" zoomScaleNormal="130" zoomScaleSheetLayoutView="100" workbookViewId="0">
      <selection activeCell="I5" sqref="I5"/>
    </sheetView>
  </sheetViews>
  <sheetFormatPr defaultColWidth="9" defaultRowHeight="12" x14ac:dyDescent="0.25"/>
  <cols>
    <col min="1" max="1" width="15.6640625" style="85" customWidth="1"/>
    <col min="2" max="3" width="12.109375" style="85" customWidth="1"/>
    <col min="4" max="4" width="12.21875" style="85" customWidth="1"/>
    <col min="5" max="5" width="10.109375" style="85" customWidth="1"/>
    <col min="6" max="6" width="11.109375" style="85" customWidth="1"/>
    <col min="7" max="7" width="13.109375" style="85" customWidth="1"/>
    <col min="8" max="8" width="11.21875" style="85" customWidth="1"/>
    <col min="9" max="9" width="67" style="129" customWidth="1"/>
    <col min="10" max="16384" width="9" style="85"/>
  </cols>
  <sheetData>
    <row r="1" spans="1:9" s="110" customFormat="1" ht="20.100000000000001" customHeight="1" x14ac:dyDescent="0.25">
      <c r="A1" s="195" t="s">
        <v>111</v>
      </c>
      <c r="B1" s="195"/>
      <c r="C1" s="195"/>
      <c r="D1" s="195"/>
      <c r="E1" s="195"/>
      <c r="F1" s="195"/>
      <c r="G1" s="195"/>
      <c r="H1" s="195"/>
      <c r="I1" s="135"/>
    </row>
    <row r="2" spans="1:9" s="110" customFormat="1" ht="25.2" customHeight="1" x14ac:dyDescent="0.25">
      <c r="A2" s="196" t="s">
        <v>205</v>
      </c>
      <c r="B2" s="196"/>
      <c r="C2" s="196"/>
      <c r="D2" s="196"/>
      <c r="E2" s="196"/>
      <c r="F2" s="196"/>
      <c r="G2" s="196"/>
      <c r="H2" s="196"/>
      <c r="I2" s="135"/>
    </row>
    <row r="3" spans="1:9" ht="20.100000000000001" customHeight="1" x14ac:dyDescent="0.25">
      <c r="A3" s="13" t="str">
        <f>[9]底稿目录!$A$2</f>
        <v>被审计单位名称：</v>
      </c>
      <c r="B3" s="13"/>
      <c r="C3" s="13" t="str">
        <f>[9]底稿目录!$A$4</f>
        <v>编制人：</v>
      </c>
      <c r="E3" s="13" t="str">
        <f>[9]底稿目录!$A$5</f>
        <v>编制日期：</v>
      </c>
      <c r="F3" s="13"/>
      <c r="G3" s="134" t="s">
        <v>575</v>
      </c>
      <c r="H3" s="128" t="s">
        <v>626</v>
      </c>
    </row>
    <row r="4" spans="1:9" ht="20.100000000000001" customHeight="1" x14ac:dyDescent="0.25">
      <c r="A4" s="13" t="str">
        <f>[9]底稿目录!$A$3</f>
        <v>截止日：202X年12月31日</v>
      </c>
      <c r="B4" s="13"/>
      <c r="C4" s="13" t="str">
        <f>[9]底稿目录!$A$6</f>
        <v>复核人：</v>
      </c>
      <c r="E4" s="13" t="str">
        <f>[9]底稿目录!$A$7</f>
        <v>复核日期：</v>
      </c>
      <c r="F4" s="13"/>
      <c r="G4" s="134" t="s">
        <v>576</v>
      </c>
    </row>
    <row r="5" spans="1:9" s="13" customFormat="1" ht="20.100000000000001" customHeight="1" x14ac:dyDescent="0.25">
      <c r="A5" s="197" t="s">
        <v>577</v>
      </c>
      <c r="B5" s="197"/>
      <c r="C5" s="197"/>
      <c r="D5" s="197"/>
      <c r="E5" s="197"/>
      <c r="F5" s="197"/>
      <c r="G5" s="197"/>
      <c r="H5" s="197"/>
      <c r="I5" s="136"/>
    </row>
    <row r="6" spans="1:9" s="13" customFormat="1" ht="48.75" customHeight="1" x14ac:dyDescent="0.25">
      <c r="A6" s="198" t="s">
        <v>203</v>
      </c>
      <c r="B6" s="198"/>
      <c r="C6" s="198"/>
      <c r="D6" s="198"/>
      <c r="E6" s="198"/>
      <c r="F6" s="198"/>
      <c r="G6" s="198"/>
      <c r="H6" s="198"/>
      <c r="I6" s="136"/>
    </row>
    <row r="7" spans="1:9" s="13" customFormat="1" ht="20.100000000000001" customHeight="1" x14ac:dyDescent="0.25">
      <c r="A7" s="197" t="s">
        <v>607</v>
      </c>
      <c r="B7" s="197"/>
      <c r="C7" s="197"/>
      <c r="D7" s="197"/>
      <c r="E7" s="197"/>
      <c r="F7" s="197"/>
      <c r="G7" s="197"/>
      <c r="H7" s="197"/>
      <c r="I7" s="136"/>
    </row>
    <row r="8" spans="1:9" ht="20.100000000000001" customHeight="1" x14ac:dyDescent="0.25">
      <c r="A8" s="199" t="s">
        <v>608</v>
      </c>
      <c r="B8" s="199"/>
      <c r="C8" s="199"/>
      <c r="D8" s="199"/>
      <c r="E8" s="199"/>
      <c r="F8" s="199"/>
      <c r="G8" s="199"/>
      <c r="H8" s="199"/>
    </row>
    <row r="9" spans="1:9" ht="20.100000000000001" customHeight="1" x14ac:dyDescent="0.25">
      <c r="A9" s="199" t="s">
        <v>609</v>
      </c>
      <c r="B9" s="199"/>
      <c r="C9" s="199"/>
      <c r="D9" s="199"/>
      <c r="E9" s="199"/>
      <c r="F9" s="199"/>
      <c r="G9" s="199"/>
      <c r="H9" s="199"/>
    </row>
    <row r="10" spans="1:9" ht="20.100000000000001" customHeight="1" x14ac:dyDescent="0.25">
      <c r="A10" s="199" t="s">
        <v>581</v>
      </c>
      <c r="B10" s="199"/>
      <c r="C10" s="199"/>
      <c r="D10" s="199"/>
      <c r="E10" s="199"/>
      <c r="F10" s="199"/>
      <c r="G10" s="199"/>
      <c r="H10" s="199"/>
    </row>
    <row r="11" spans="1:9" ht="19.5" customHeight="1" x14ac:dyDescent="0.25">
      <c r="A11" s="199" t="s">
        <v>610</v>
      </c>
      <c r="B11" s="199"/>
      <c r="C11" s="199"/>
      <c r="D11" s="199"/>
      <c r="E11" s="199"/>
      <c r="F11" s="199"/>
      <c r="G11" s="199"/>
      <c r="H11" s="199"/>
    </row>
    <row r="12" spans="1:9" ht="33" customHeight="1" x14ac:dyDescent="0.25">
      <c r="A12" s="199" t="s">
        <v>611</v>
      </c>
      <c r="B12" s="199"/>
      <c r="C12" s="199"/>
      <c r="D12" s="199"/>
      <c r="E12" s="199"/>
      <c r="F12" s="199"/>
      <c r="G12" s="199"/>
      <c r="H12" s="199"/>
      <c r="I12" s="129" t="s">
        <v>182</v>
      </c>
    </row>
    <row r="13" spans="1:9" ht="29.25" customHeight="1" x14ac:dyDescent="0.25">
      <c r="A13" s="199" t="s">
        <v>584</v>
      </c>
      <c r="B13" s="199"/>
      <c r="C13" s="199"/>
      <c r="D13" s="199"/>
      <c r="E13" s="199"/>
      <c r="F13" s="199"/>
      <c r="G13" s="199"/>
      <c r="H13" s="199"/>
      <c r="I13" s="129" t="s">
        <v>201</v>
      </c>
    </row>
    <row r="14" spans="1:9" ht="29.25" customHeight="1" x14ac:dyDescent="0.25">
      <c r="A14" s="199" t="s">
        <v>612</v>
      </c>
      <c r="B14" s="199"/>
      <c r="C14" s="199"/>
      <c r="D14" s="199"/>
      <c r="E14" s="199"/>
      <c r="F14" s="199"/>
      <c r="G14" s="199"/>
      <c r="H14" s="199"/>
      <c r="I14" s="129" t="s">
        <v>182</v>
      </c>
    </row>
    <row r="15" spans="1:9" ht="29.25" customHeight="1" x14ac:dyDescent="0.25">
      <c r="A15" s="199" t="s">
        <v>613</v>
      </c>
      <c r="B15" s="199"/>
      <c r="C15" s="199"/>
      <c r="D15" s="199"/>
      <c r="E15" s="199"/>
      <c r="F15" s="199"/>
      <c r="G15" s="199"/>
      <c r="H15" s="199"/>
      <c r="I15" s="129" t="s">
        <v>200</v>
      </c>
    </row>
    <row r="16" spans="1:9" ht="20.100000000000001" customHeight="1" x14ac:dyDescent="0.25">
      <c r="A16" s="8" t="s">
        <v>199</v>
      </c>
    </row>
    <row r="17" spans="1:9" ht="19.5" customHeight="1" x14ac:dyDescent="0.25">
      <c r="A17" s="200" t="s">
        <v>198</v>
      </c>
      <c r="B17" s="200"/>
      <c r="C17" s="200"/>
      <c r="D17" s="200"/>
      <c r="E17" s="200"/>
      <c r="F17" s="200"/>
      <c r="G17" s="200"/>
      <c r="H17" s="200"/>
      <c r="I17" s="231" t="s">
        <v>197</v>
      </c>
    </row>
    <row r="18" spans="1:9" ht="19.5" customHeight="1" x14ac:dyDescent="0.25">
      <c r="A18" s="83" t="s">
        <v>196</v>
      </c>
      <c r="B18" s="27" t="s">
        <v>195</v>
      </c>
      <c r="C18" s="83"/>
      <c r="D18" s="27"/>
      <c r="E18" s="83"/>
      <c r="F18" s="83"/>
      <c r="G18" s="83"/>
      <c r="H18" s="83"/>
      <c r="I18" s="232"/>
    </row>
    <row r="19" spans="1:9" ht="19.5" customHeight="1" x14ac:dyDescent="0.25">
      <c r="A19" s="83" t="s">
        <v>194</v>
      </c>
      <c r="B19" s="27" t="s">
        <v>193</v>
      </c>
      <c r="C19" s="83"/>
      <c r="D19" s="27"/>
      <c r="E19" s="83"/>
      <c r="F19" s="83"/>
      <c r="G19" s="83"/>
      <c r="H19" s="83"/>
      <c r="I19" s="232"/>
    </row>
    <row r="20" spans="1:9" ht="19.5" customHeight="1" x14ac:dyDescent="0.25">
      <c r="A20" s="83" t="s">
        <v>192</v>
      </c>
      <c r="B20" s="27" t="s">
        <v>191</v>
      </c>
      <c r="C20" s="83"/>
      <c r="D20" s="27"/>
      <c r="E20" s="83"/>
      <c r="F20" s="83"/>
      <c r="G20" s="83"/>
      <c r="H20" s="83"/>
    </row>
    <row r="21" spans="1:9" ht="19.5" customHeight="1" x14ac:dyDescent="0.25">
      <c r="A21" s="83" t="s">
        <v>190</v>
      </c>
      <c r="B21" s="27" t="s">
        <v>189</v>
      </c>
      <c r="C21" s="83"/>
      <c r="D21" s="27"/>
      <c r="E21" s="83"/>
      <c r="F21" s="83"/>
      <c r="G21" s="83"/>
      <c r="H21" s="83"/>
    </row>
    <row r="22" spans="1:9" ht="19.5" customHeight="1" x14ac:dyDescent="0.25">
      <c r="A22" s="27"/>
      <c r="B22" s="27"/>
      <c r="C22" s="83"/>
      <c r="D22" s="27"/>
      <c r="E22" s="83"/>
      <c r="F22" s="83"/>
      <c r="G22" s="83"/>
      <c r="H22" s="83"/>
    </row>
    <row r="23" spans="1:9" ht="29.25" customHeight="1" x14ac:dyDescent="0.25">
      <c r="A23" s="200" t="s">
        <v>188</v>
      </c>
      <c r="B23" s="200"/>
      <c r="C23" s="200"/>
      <c r="D23" s="200"/>
      <c r="E23" s="200"/>
      <c r="F23" s="200"/>
      <c r="G23" s="200"/>
      <c r="H23" s="200"/>
    </row>
    <row r="24" spans="1:9" ht="19.5" customHeight="1" x14ac:dyDescent="0.25">
      <c r="A24" s="200"/>
      <c r="B24" s="200"/>
      <c r="C24" s="200"/>
      <c r="D24" s="200"/>
      <c r="E24" s="200"/>
      <c r="F24" s="200"/>
      <c r="G24" s="200"/>
      <c r="H24" s="200"/>
    </row>
    <row r="25" spans="1:9" ht="19.5" customHeight="1" x14ac:dyDescent="0.25">
      <c r="A25" s="8" t="s">
        <v>187</v>
      </c>
      <c r="B25" s="111"/>
      <c r="C25" s="111"/>
      <c r="D25" s="111"/>
      <c r="E25" s="111"/>
      <c r="F25" s="111"/>
      <c r="G25" s="111"/>
    </row>
    <row r="26" spans="1:9" ht="19.5" customHeight="1" x14ac:dyDescent="0.25">
      <c r="A26" s="204" t="s">
        <v>186</v>
      </c>
      <c r="B26" s="204" t="s">
        <v>185</v>
      </c>
      <c r="C26" s="204" t="s">
        <v>593</v>
      </c>
      <c r="D26" s="14" t="s">
        <v>614</v>
      </c>
      <c r="E26" s="204" t="s">
        <v>595</v>
      </c>
      <c r="F26" s="204" t="s">
        <v>596</v>
      </c>
      <c r="G26" s="204" t="s">
        <v>615</v>
      </c>
      <c r="H26" s="204" t="s">
        <v>167</v>
      </c>
      <c r="I26" s="229" t="s">
        <v>616</v>
      </c>
    </row>
    <row r="27" spans="1:9" ht="19.5" customHeight="1" x14ac:dyDescent="0.25">
      <c r="A27" s="205"/>
      <c r="B27" s="205"/>
      <c r="C27" s="209"/>
      <c r="D27" s="112">
        <v>0</v>
      </c>
      <c r="E27" s="209"/>
      <c r="F27" s="209"/>
      <c r="G27" s="209"/>
      <c r="H27" s="209"/>
      <c r="I27" s="230"/>
    </row>
    <row r="28" spans="1:9" ht="19.5" customHeight="1" x14ac:dyDescent="0.25">
      <c r="A28" s="212" t="s">
        <v>184</v>
      </c>
      <c r="B28" s="215">
        <v>100</v>
      </c>
      <c r="C28" s="113">
        <v>80</v>
      </c>
      <c r="D28" s="113">
        <f>C28/(1+$D$27)^1</f>
        <v>80</v>
      </c>
      <c r="E28" s="114">
        <v>0.75</v>
      </c>
      <c r="F28" s="162">
        <f>D28*E28</f>
        <v>60</v>
      </c>
      <c r="G28" s="163"/>
      <c r="H28" s="137"/>
      <c r="I28" s="229" t="s">
        <v>183</v>
      </c>
    </row>
    <row r="29" spans="1:9" ht="19.5" customHeight="1" x14ac:dyDescent="0.25">
      <c r="A29" s="213"/>
      <c r="B29" s="216"/>
      <c r="C29" s="113">
        <v>70</v>
      </c>
      <c r="D29" s="113">
        <f>C29/(1+$D$27)^1</f>
        <v>70</v>
      </c>
      <c r="E29" s="114">
        <v>0.15</v>
      </c>
      <c r="F29" s="162">
        <f>D29*E29</f>
        <v>10.5</v>
      </c>
      <c r="G29" s="163"/>
      <c r="H29" s="137"/>
      <c r="I29" s="230"/>
    </row>
    <row r="30" spans="1:9" ht="19.5" customHeight="1" x14ac:dyDescent="0.25">
      <c r="A30" s="214"/>
      <c r="B30" s="217"/>
      <c r="C30" s="113">
        <v>50</v>
      </c>
      <c r="D30" s="113">
        <f>C30/(1+$D$27)^1</f>
        <v>50</v>
      </c>
      <c r="E30" s="114">
        <v>0.1</v>
      </c>
      <c r="F30" s="162">
        <f>D30*E30</f>
        <v>5</v>
      </c>
      <c r="G30" s="163"/>
      <c r="H30" s="137"/>
      <c r="I30" s="229" t="s">
        <v>182</v>
      </c>
    </row>
    <row r="31" spans="1:9" ht="19.5" customHeight="1" x14ac:dyDescent="0.25">
      <c r="A31" s="158"/>
      <c r="B31" s="164"/>
      <c r="C31" s="158" t="s">
        <v>157</v>
      </c>
      <c r="D31" s="159" t="s">
        <v>156</v>
      </c>
      <c r="E31" s="160">
        <f>IF(B28=0,"",SUM(E28:E30))</f>
        <v>1</v>
      </c>
      <c r="F31" s="161">
        <f>SUM(F28:F30)</f>
        <v>75.5</v>
      </c>
      <c r="G31" s="160">
        <f>IF(B28=0,"",(B28-F31)/B28)</f>
        <v>0.245</v>
      </c>
      <c r="H31" s="138"/>
      <c r="I31" s="230"/>
    </row>
    <row r="32" spans="1:9" ht="19.5" customHeight="1" x14ac:dyDescent="0.25">
      <c r="A32" s="212"/>
      <c r="B32" s="215"/>
      <c r="C32" s="115"/>
      <c r="D32" s="115"/>
      <c r="E32" s="43"/>
      <c r="F32" s="162">
        <f>D32*E32</f>
        <v>0</v>
      </c>
      <c r="G32" s="163"/>
      <c r="H32" s="137"/>
      <c r="I32" s="229" t="s">
        <v>181</v>
      </c>
    </row>
    <row r="33" spans="1:9" ht="19.5" customHeight="1" x14ac:dyDescent="0.25">
      <c r="A33" s="213"/>
      <c r="B33" s="216"/>
      <c r="C33" s="115"/>
      <c r="D33" s="115"/>
      <c r="E33" s="43"/>
      <c r="F33" s="162">
        <f>D33*E33</f>
        <v>0</v>
      </c>
      <c r="G33" s="163"/>
      <c r="H33" s="137"/>
      <c r="I33" s="230"/>
    </row>
    <row r="34" spans="1:9" ht="19.5" customHeight="1" x14ac:dyDescent="0.25">
      <c r="A34" s="214"/>
      <c r="B34" s="217"/>
      <c r="C34" s="115"/>
      <c r="D34" s="115"/>
      <c r="E34" s="43"/>
      <c r="F34" s="162">
        <f>D34*E34</f>
        <v>0</v>
      </c>
      <c r="G34" s="163"/>
      <c r="H34" s="137"/>
      <c r="I34" s="132"/>
    </row>
    <row r="35" spans="1:9" ht="19.5" customHeight="1" x14ac:dyDescent="0.25">
      <c r="A35" s="158"/>
      <c r="B35" s="164"/>
      <c r="C35" s="158" t="s">
        <v>157</v>
      </c>
      <c r="D35" s="159" t="s">
        <v>156</v>
      </c>
      <c r="E35" s="160" t="str">
        <f>IF(B32=0,"",SUM(E32:E34))</f>
        <v/>
      </c>
      <c r="F35" s="161">
        <f>SUM(F32:F34)</f>
        <v>0</v>
      </c>
      <c r="G35" s="160" t="str">
        <f>IF(B32=0,"",(B32-F35)/B32)</f>
        <v/>
      </c>
      <c r="H35" s="138"/>
      <c r="I35" s="132"/>
    </row>
    <row r="36" spans="1:9" ht="19.5" customHeight="1" x14ac:dyDescent="0.25">
      <c r="A36" s="212"/>
      <c r="B36" s="215"/>
      <c r="C36" s="115"/>
      <c r="D36" s="115"/>
      <c r="E36" s="43"/>
      <c r="F36" s="162">
        <f>D36*E36</f>
        <v>0</v>
      </c>
      <c r="G36" s="163"/>
      <c r="H36" s="137"/>
      <c r="I36" s="132"/>
    </row>
    <row r="37" spans="1:9" ht="19.5" customHeight="1" x14ac:dyDescent="0.25">
      <c r="A37" s="213"/>
      <c r="B37" s="216"/>
      <c r="C37" s="115"/>
      <c r="D37" s="115"/>
      <c r="E37" s="43"/>
      <c r="F37" s="162">
        <f>D37*E37</f>
        <v>0</v>
      </c>
      <c r="G37" s="163"/>
      <c r="H37" s="137"/>
      <c r="I37" s="132"/>
    </row>
    <row r="38" spans="1:9" ht="19.5" customHeight="1" x14ac:dyDescent="0.25">
      <c r="A38" s="214"/>
      <c r="B38" s="217"/>
      <c r="C38" s="115"/>
      <c r="D38" s="115"/>
      <c r="E38" s="43"/>
      <c r="F38" s="162">
        <f>D38*E38</f>
        <v>0</v>
      </c>
      <c r="G38" s="163"/>
      <c r="H38" s="137"/>
      <c r="I38" s="132"/>
    </row>
    <row r="39" spans="1:9" ht="19.5" customHeight="1" x14ac:dyDescent="0.25">
      <c r="A39" s="158"/>
      <c r="B39" s="164"/>
      <c r="C39" s="158" t="s">
        <v>157</v>
      </c>
      <c r="D39" s="159" t="s">
        <v>156</v>
      </c>
      <c r="E39" s="160" t="str">
        <f>IF(B36=0,"",SUM(E36:E38))</f>
        <v/>
      </c>
      <c r="F39" s="161">
        <f>SUM(F36:F38)</f>
        <v>0</v>
      </c>
      <c r="G39" s="160" t="str">
        <f>IF(B36=0,"",(B36-F39)/B36)</f>
        <v/>
      </c>
      <c r="H39" s="138"/>
      <c r="I39" s="132"/>
    </row>
    <row r="40" spans="1:9" ht="19.5" customHeight="1" x14ac:dyDescent="0.25">
      <c r="A40" s="111"/>
      <c r="B40" s="111"/>
      <c r="C40" s="111"/>
      <c r="D40" s="111"/>
      <c r="E40" s="111"/>
      <c r="F40" s="111"/>
      <c r="G40" s="111"/>
      <c r="I40" s="7"/>
    </row>
    <row r="41" spans="1:9" ht="19.5" customHeight="1" x14ac:dyDescent="0.25">
      <c r="A41" s="32" t="s">
        <v>180</v>
      </c>
      <c r="B41" s="139"/>
      <c r="C41" s="139"/>
      <c r="D41" s="139"/>
      <c r="E41" s="139"/>
      <c r="F41" s="139"/>
      <c r="G41" s="139"/>
      <c r="H41" s="31"/>
    </row>
    <row r="42" spans="1:9" ht="19.5" customHeight="1" x14ac:dyDescent="0.25">
      <c r="A42" s="8" t="s">
        <v>617</v>
      </c>
      <c r="B42" s="111"/>
      <c r="C42" s="111"/>
      <c r="D42" s="111"/>
      <c r="E42" s="111"/>
      <c r="F42" s="111"/>
      <c r="G42" s="111"/>
      <c r="H42" s="23" t="s">
        <v>179</v>
      </c>
    </row>
    <row r="43" spans="1:9" ht="31.5" customHeight="1" x14ac:dyDescent="0.25">
      <c r="A43" s="158" t="s">
        <v>154</v>
      </c>
      <c r="B43" s="158" t="s">
        <v>62</v>
      </c>
      <c r="C43" s="158" t="s">
        <v>178</v>
      </c>
      <c r="D43" s="158" t="s">
        <v>61</v>
      </c>
      <c r="E43" s="158" t="s">
        <v>72</v>
      </c>
      <c r="F43" s="158" t="s">
        <v>71</v>
      </c>
      <c r="G43" s="158" t="s">
        <v>160</v>
      </c>
      <c r="H43" s="158" t="s">
        <v>159</v>
      </c>
    </row>
    <row r="44" spans="1:9" ht="19.5" customHeight="1" x14ac:dyDescent="0.25">
      <c r="A44" s="19" t="s">
        <v>58</v>
      </c>
      <c r="B44" s="115"/>
      <c r="C44" s="115"/>
      <c r="D44" s="115"/>
      <c r="E44" s="115"/>
      <c r="F44" s="166">
        <f>IF(B44=0,,C44/B44)</f>
        <v>0</v>
      </c>
      <c r="G44" s="166">
        <f>IF(B44=0,,(1-F44)*G45)</f>
        <v>0</v>
      </c>
      <c r="H44" s="43"/>
      <c r="I44" s="229" t="s">
        <v>174</v>
      </c>
    </row>
    <row r="45" spans="1:9" ht="19.5" customHeight="1" x14ac:dyDescent="0.25">
      <c r="A45" s="19" t="s">
        <v>57</v>
      </c>
      <c r="B45" s="115"/>
      <c r="C45" s="115"/>
      <c r="D45" s="115"/>
      <c r="E45" s="165" t="b">
        <f>D45=(B44-C44)</f>
        <v>1</v>
      </c>
      <c r="F45" s="166">
        <f>IF(B45=0,,C45/B45)</f>
        <v>0</v>
      </c>
      <c r="G45" s="166">
        <f>IF(B45=0,,(1-F45)*G46)</f>
        <v>0</v>
      </c>
      <c r="H45" s="43"/>
      <c r="I45" s="230"/>
    </row>
    <row r="46" spans="1:9" ht="19.5" customHeight="1" x14ac:dyDescent="0.25">
      <c r="A46" s="19" t="s">
        <v>56</v>
      </c>
      <c r="B46" s="115"/>
      <c r="C46" s="115"/>
      <c r="D46" s="115"/>
      <c r="E46" s="165" t="b">
        <f>D46=(B45-C45)</f>
        <v>1</v>
      </c>
      <c r="F46" s="166">
        <f t="shared" ref="F46:F50" si="0">IF(B46=0,,C46/B46)</f>
        <v>0</v>
      </c>
      <c r="G46" s="166">
        <f>IF(B46=0,,(1-F46)*G47)</f>
        <v>0</v>
      </c>
      <c r="H46" s="43"/>
    </row>
    <row r="47" spans="1:9" ht="19.5" customHeight="1" x14ac:dyDescent="0.25">
      <c r="A47" s="19" t="s">
        <v>141</v>
      </c>
      <c r="B47" s="115"/>
      <c r="C47" s="115"/>
      <c r="D47" s="115"/>
      <c r="E47" s="165" t="b">
        <f>D47=(B46-C46)</f>
        <v>1</v>
      </c>
      <c r="F47" s="166">
        <f t="shared" si="0"/>
        <v>0</v>
      </c>
      <c r="G47" s="166">
        <f>IF(B47=0,,(1-F47)*G48)</f>
        <v>0</v>
      </c>
      <c r="H47" s="43"/>
    </row>
    <row r="48" spans="1:9" ht="19.5" customHeight="1" x14ac:dyDescent="0.25">
      <c r="A48" s="19" t="s">
        <v>140</v>
      </c>
      <c r="B48" s="115"/>
      <c r="C48" s="115"/>
      <c r="D48" s="115"/>
      <c r="E48" s="165" t="b">
        <f>D48=(B47-C47)</f>
        <v>1</v>
      </c>
      <c r="F48" s="166">
        <f t="shared" si="0"/>
        <v>0</v>
      </c>
      <c r="G48" s="166">
        <f>IF(B48=0,,(1-F48)*G49)</f>
        <v>0</v>
      </c>
      <c r="H48" s="43"/>
    </row>
    <row r="49" spans="1:9" ht="19.5" customHeight="1" x14ac:dyDescent="0.25">
      <c r="A49" s="19" t="s">
        <v>139</v>
      </c>
      <c r="B49" s="115"/>
      <c r="C49" s="115"/>
      <c r="D49" s="115"/>
      <c r="E49" s="165" t="b">
        <f>D49&gt;=(B48-C48)</f>
        <v>1</v>
      </c>
      <c r="F49" s="166">
        <f t="shared" si="0"/>
        <v>0</v>
      </c>
      <c r="G49" s="166">
        <f>IF(B49=0,,1-F49)</f>
        <v>0</v>
      </c>
      <c r="H49" s="43"/>
    </row>
    <row r="50" spans="1:9" ht="19.5" customHeight="1" x14ac:dyDescent="0.25">
      <c r="A50" s="168" t="s">
        <v>157</v>
      </c>
      <c r="B50" s="169">
        <f>SUM(B44:B49)</f>
        <v>0</v>
      </c>
      <c r="C50" s="169">
        <f>SUM(C44:C49)</f>
        <v>0</v>
      </c>
      <c r="D50" s="169">
        <f>SUM(D44:D49)</f>
        <v>0</v>
      </c>
      <c r="E50" s="169"/>
      <c r="F50" s="160">
        <f t="shared" si="0"/>
        <v>0</v>
      </c>
      <c r="G50" s="167" t="s">
        <v>156</v>
      </c>
      <c r="H50" s="159" t="s">
        <v>156</v>
      </c>
    </row>
    <row r="51" spans="1:9" ht="8.25" customHeight="1" x14ac:dyDescent="0.25">
      <c r="A51" s="202"/>
      <c r="B51" s="203"/>
      <c r="C51" s="203"/>
      <c r="D51" s="203"/>
      <c r="E51" s="203"/>
      <c r="F51" s="203"/>
      <c r="G51" s="203"/>
      <c r="H51" s="203"/>
    </row>
    <row r="52" spans="1:9" ht="19.5" customHeight="1" x14ac:dyDescent="0.25">
      <c r="A52" s="8" t="s">
        <v>177</v>
      </c>
      <c r="B52" s="111"/>
      <c r="C52" s="111"/>
      <c r="D52" s="111"/>
      <c r="E52" s="111"/>
      <c r="F52" s="111"/>
      <c r="G52" s="111"/>
    </row>
    <row r="53" spans="1:9" ht="43.5" customHeight="1" x14ac:dyDescent="0.25">
      <c r="A53" s="14" t="s">
        <v>154</v>
      </c>
      <c r="B53" s="17" t="s">
        <v>153</v>
      </c>
      <c r="C53" s="17" t="s">
        <v>152</v>
      </c>
      <c r="D53" s="17" t="s">
        <v>134</v>
      </c>
      <c r="E53" s="17" t="s">
        <v>133</v>
      </c>
      <c r="F53" s="14" t="s">
        <v>151</v>
      </c>
      <c r="G53" s="14" t="s">
        <v>176</v>
      </c>
      <c r="H53" s="14" t="s">
        <v>149</v>
      </c>
      <c r="I53" s="233" t="s">
        <v>148</v>
      </c>
    </row>
    <row r="54" spans="1:9" ht="19.5" customHeight="1" x14ac:dyDescent="0.25">
      <c r="A54" s="5" t="str">
        <f t="shared" ref="A54:A59" si="1">A44</f>
        <v>1年以内</v>
      </c>
      <c r="B54" s="43"/>
      <c r="C54" s="43"/>
      <c r="D54" s="43"/>
      <c r="E54" s="43"/>
      <c r="F54" s="175" t="s">
        <v>147</v>
      </c>
      <c r="G54" s="30"/>
      <c r="H54" s="43"/>
      <c r="I54" s="234"/>
    </row>
    <row r="55" spans="1:9" ht="19.5" customHeight="1" x14ac:dyDescent="0.25">
      <c r="A55" s="5" t="str">
        <f t="shared" si="1"/>
        <v>1年-2年</v>
      </c>
      <c r="B55" s="43"/>
      <c r="C55" s="43"/>
      <c r="D55" s="43"/>
      <c r="E55" s="43"/>
      <c r="F55" s="175" t="s">
        <v>147</v>
      </c>
      <c r="G55" s="30"/>
      <c r="H55" s="43"/>
      <c r="I55" s="234"/>
    </row>
    <row r="56" spans="1:9" ht="19.5" customHeight="1" x14ac:dyDescent="0.25">
      <c r="A56" s="5" t="str">
        <f t="shared" si="1"/>
        <v>2年-3年</v>
      </c>
      <c r="B56" s="43"/>
      <c r="C56" s="43"/>
      <c r="D56" s="43"/>
      <c r="E56" s="43"/>
      <c r="F56" s="175" t="s">
        <v>147</v>
      </c>
      <c r="G56" s="30"/>
      <c r="H56" s="43"/>
    </row>
    <row r="57" spans="1:9" ht="19.5" customHeight="1" x14ac:dyDescent="0.25">
      <c r="A57" s="5" t="str">
        <f t="shared" si="1"/>
        <v>3年-4年</v>
      </c>
      <c r="B57" s="43"/>
      <c r="C57" s="43"/>
      <c r="D57" s="43"/>
      <c r="E57" s="43"/>
      <c r="F57" s="175" t="s">
        <v>147</v>
      </c>
      <c r="G57" s="30"/>
      <c r="H57" s="43"/>
    </row>
    <row r="58" spans="1:9" ht="19.5" customHeight="1" x14ac:dyDescent="0.25">
      <c r="A58" s="5" t="str">
        <f t="shared" si="1"/>
        <v>4年-5年</v>
      </c>
      <c r="B58" s="43"/>
      <c r="C58" s="43"/>
      <c r="D58" s="43"/>
      <c r="E58" s="43"/>
      <c r="F58" s="175" t="s">
        <v>147</v>
      </c>
      <c r="G58" s="30"/>
      <c r="H58" s="43"/>
    </row>
    <row r="59" spans="1:9" ht="19.5" customHeight="1" x14ac:dyDescent="0.25">
      <c r="A59" s="5" t="str">
        <f t="shared" si="1"/>
        <v>5年以上</v>
      </c>
      <c r="B59" s="43"/>
      <c r="C59" s="43"/>
      <c r="D59" s="43"/>
      <c r="E59" s="43"/>
      <c r="F59" s="175" t="s">
        <v>147</v>
      </c>
      <c r="G59" s="140" t="s">
        <v>156</v>
      </c>
      <c r="H59" s="43"/>
    </row>
    <row r="60" spans="1:9" ht="19.5" customHeight="1" x14ac:dyDescent="0.25">
      <c r="A60" s="8" t="s">
        <v>173</v>
      </c>
      <c r="B60" s="111"/>
      <c r="C60" s="111"/>
      <c r="D60" s="111"/>
      <c r="E60" s="111"/>
      <c r="F60" s="111"/>
      <c r="G60" s="120"/>
      <c r="H60" s="121"/>
    </row>
    <row r="61" spans="1:9" ht="7.5" customHeight="1" x14ac:dyDescent="0.25">
      <c r="A61" s="111"/>
      <c r="B61" s="111"/>
      <c r="C61" s="111"/>
      <c r="D61" s="111"/>
      <c r="E61" s="111"/>
      <c r="F61" s="111"/>
      <c r="G61" s="111"/>
      <c r="I61" s="7"/>
    </row>
    <row r="62" spans="1:9" ht="19.5" customHeight="1" x14ac:dyDescent="0.25">
      <c r="A62" s="8" t="s">
        <v>172</v>
      </c>
      <c r="B62" s="111"/>
      <c r="C62" s="111"/>
      <c r="D62" s="111"/>
      <c r="E62" s="111"/>
      <c r="F62" s="111"/>
      <c r="G62" s="111"/>
    </row>
    <row r="63" spans="1:9" ht="19.5" customHeight="1" x14ac:dyDescent="0.25">
      <c r="A63" s="8" t="str">
        <f>A41</f>
        <v>组合1：</v>
      </c>
      <c r="B63" s="111"/>
      <c r="C63" s="111"/>
      <c r="D63" s="111"/>
      <c r="E63" s="111"/>
      <c r="F63" s="111"/>
      <c r="G63" s="111"/>
      <c r="I63" s="7"/>
    </row>
    <row r="64" spans="1:9" ht="19.5" customHeight="1" x14ac:dyDescent="0.25">
      <c r="A64" s="218" t="s">
        <v>154</v>
      </c>
      <c r="B64" s="220" t="s">
        <v>171</v>
      </c>
      <c r="C64" s="221"/>
      <c r="D64" s="222"/>
      <c r="E64" s="218" t="s">
        <v>170</v>
      </c>
      <c r="F64" s="218" t="s">
        <v>169</v>
      </c>
      <c r="G64" s="218" t="s">
        <v>168</v>
      </c>
      <c r="H64" s="218" t="s">
        <v>167</v>
      </c>
      <c r="I64" s="6"/>
    </row>
    <row r="65" spans="1:9" ht="19.5" customHeight="1" x14ac:dyDescent="0.25">
      <c r="A65" s="219"/>
      <c r="B65" s="158" t="s">
        <v>166</v>
      </c>
      <c r="C65" s="158" t="s">
        <v>165</v>
      </c>
      <c r="D65" s="158" t="s">
        <v>164</v>
      </c>
      <c r="E65" s="219"/>
      <c r="F65" s="219"/>
      <c r="G65" s="219"/>
      <c r="H65" s="219"/>
      <c r="I65" s="6"/>
    </row>
    <row r="66" spans="1:9" ht="19.5" customHeight="1" x14ac:dyDescent="0.25">
      <c r="A66" s="5" t="str">
        <f t="shared" ref="A66:A71" si="2">A54</f>
        <v>1年以内</v>
      </c>
      <c r="B66" s="171">
        <f t="shared" ref="B66:B71" si="3">F44</f>
        <v>0</v>
      </c>
      <c r="C66" s="171">
        <f>G54</f>
        <v>0</v>
      </c>
      <c r="D66" s="166">
        <f t="shared" ref="D66:D71" si="4">B66*(1-C66)</f>
        <v>0</v>
      </c>
      <c r="E66" s="30"/>
      <c r="F66" s="166">
        <f t="shared" ref="F66:F71" si="5">1-D66</f>
        <v>1</v>
      </c>
      <c r="G66" s="160">
        <f>F66*G67</f>
        <v>1</v>
      </c>
      <c r="H66" s="43"/>
      <c r="I66" s="133"/>
    </row>
    <row r="67" spans="1:9" ht="19.5" customHeight="1" x14ac:dyDescent="0.25">
      <c r="A67" s="5" t="str">
        <f t="shared" si="2"/>
        <v>1年-2年</v>
      </c>
      <c r="B67" s="171">
        <f t="shared" si="3"/>
        <v>0</v>
      </c>
      <c r="C67" s="171">
        <f>G55</f>
        <v>0</v>
      </c>
      <c r="D67" s="166">
        <f t="shared" si="4"/>
        <v>0</v>
      </c>
      <c r="E67" s="84"/>
      <c r="F67" s="166">
        <f t="shared" si="5"/>
        <v>1</v>
      </c>
      <c r="G67" s="160">
        <f>F67*G68</f>
        <v>1</v>
      </c>
      <c r="H67" s="43"/>
      <c r="I67" s="133"/>
    </row>
    <row r="68" spans="1:9" ht="19.5" customHeight="1" x14ac:dyDescent="0.25">
      <c r="A68" s="5" t="str">
        <f t="shared" si="2"/>
        <v>2年-3年</v>
      </c>
      <c r="B68" s="171">
        <f t="shared" si="3"/>
        <v>0</v>
      </c>
      <c r="C68" s="171">
        <f>G56</f>
        <v>0</v>
      </c>
      <c r="D68" s="166">
        <f t="shared" si="4"/>
        <v>0</v>
      </c>
      <c r="E68" s="84"/>
      <c r="F68" s="166">
        <f t="shared" si="5"/>
        <v>1</v>
      </c>
      <c r="G68" s="160">
        <f>F68*G69</f>
        <v>1</v>
      </c>
      <c r="H68" s="43"/>
      <c r="I68" s="133"/>
    </row>
    <row r="69" spans="1:9" ht="19.5" customHeight="1" x14ac:dyDescent="0.25">
      <c r="A69" s="5" t="str">
        <f t="shared" si="2"/>
        <v>3年-4年</v>
      </c>
      <c r="B69" s="171">
        <f t="shared" si="3"/>
        <v>0</v>
      </c>
      <c r="C69" s="171">
        <f>G57</f>
        <v>0</v>
      </c>
      <c r="D69" s="166">
        <f t="shared" si="4"/>
        <v>0</v>
      </c>
      <c r="E69" s="84"/>
      <c r="F69" s="166">
        <f t="shared" si="5"/>
        <v>1</v>
      </c>
      <c r="G69" s="160">
        <f>F69*G70</f>
        <v>1</v>
      </c>
      <c r="H69" s="43"/>
      <c r="I69" s="133"/>
    </row>
    <row r="70" spans="1:9" ht="19.5" customHeight="1" x14ac:dyDescent="0.25">
      <c r="A70" s="5" t="str">
        <f t="shared" si="2"/>
        <v>4年-5年</v>
      </c>
      <c r="B70" s="171">
        <f t="shared" si="3"/>
        <v>0</v>
      </c>
      <c r="C70" s="171">
        <f>G58</f>
        <v>0</v>
      </c>
      <c r="D70" s="166">
        <f t="shared" si="4"/>
        <v>0</v>
      </c>
      <c r="E70" s="84"/>
      <c r="F70" s="166">
        <f t="shared" si="5"/>
        <v>1</v>
      </c>
      <c r="G70" s="160">
        <f>F70*G71</f>
        <v>1</v>
      </c>
      <c r="H70" s="43"/>
      <c r="I70" s="133"/>
    </row>
    <row r="71" spans="1:9" ht="19.5" customHeight="1" x14ac:dyDescent="0.25">
      <c r="A71" s="5" t="str">
        <f t="shared" si="2"/>
        <v>5年以上</v>
      </c>
      <c r="B71" s="171">
        <f t="shared" si="3"/>
        <v>0</v>
      </c>
      <c r="C71" s="171">
        <f>G60</f>
        <v>0</v>
      </c>
      <c r="D71" s="166">
        <f t="shared" si="4"/>
        <v>0</v>
      </c>
      <c r="E71" s="30"/>
      <c r="F71" s="166">
        <f t="shared" si="5"/>
        <v>1</v>
      </c>
      <c r="G71" s="160">
        <f>F71</f>
        <v>1</v>
      </c>
      <c r="H71" s="43"/>
      <c r="I71" s="133"/>
    </row>
    <row r="72" spans="1:9" ht="19.5" customHeight="1" x14ac:dyDescent="0.25">
      <c r="A72" s="111"/>
      <c r="B72" s="111"/>
      <c r="C72" s="111"/>
      <c r="D72" s="111"/>
      <c r="E72" s="111"/>
      <c r="F72" s="111"/>
      <c r="G72" s="111"/>
    </row>
    <row r="73" spans="1:9" ht="19.5" customHeight="1" x14ac:dyDescent="0.25">
      <c r="A73" s="32" t="s">
        <v>175</v>
      </c>
      <c r="B73" s="139"/>
      <c r="C73" s="139"/>
      <c r="D73" s="139"/>
      <c r="E73" s="139"/>
      <c r="F73" s="139"/>
      <c r="G73" s="139"/>
      <c r="H73" s="31"/>
    </row>
    <row r="74" spans="1:9" ht="19.5" customHeight="1" x14ac:dyDescent="0.25">
      <c r="A74" s="8" t="s">
        <v>86</v>
      </c>
      <c r="B74" s="111"/>
      <c r="C74" s="111"/>
      <c r="D74" s="111"/>
      <c r="E74" s="111"/>
      <c r="F74" s="111"/>
      <c r="G74" s="111"/>
    </row>
    <row r="75" spans="1:9" ht="31.5" customHeight="1" x14ac:dyDescent="0.25">
      <c r="A75" s="158" t="s">
        <v>154</v>
      </c>
      <c r="B75" s="158" t="str">
        <f>B43</f>
        <v>20X7年末余额</v>
      </c>
      <c r="C75" s="158" t="str">
        <f>C43</f>
        <v>20X8收回金额</v>
      </c>
      <c r="D75" s="158" t="str">
        <f>D43</f>
        <v>20X8年末余额</v>
      </c>
      <c r="E75" s="158" t="s">
        <v>72</v>
      </c>
      <c r="F75" s="158" t="s">
        <v>71</v>
      </c>
      <c r="G75" s="158" t="s">
        <v>160</v>
      </c>
      <c r="H75" s="158" t="s">
        <v>159</v>
      </c>
    </row>
    <row r="76" spans="1:9" ht="19.5" customHeight="1" x14ac:dyDescent="0.25">
      <c r="A76" s="19" t="s">
        <v>58</v>
      </c>
      <c r="B76" s="115"/>
      <c r="C76" s="115"/>
      <c r="D76" s="115"/>
      <c r="E76" s="115"/>
      <c r="F76" s="166">
        <f t="shared" ref="F76:F82" si="6">IF(B76=0,,C76/B76)</f>
        <v>0</v>
      </c>
      <c r="G76" s="166">
        <f>IF(B76=0,,(1-F76)*G77)</f>
        <v>0</v>
      </c>
      <c r="H76" s="43"/>
      <c r="I76" s="229" t="s">
        <v>174</v>
      </c>
    </row>
    <row r="77" spans="1:9" ht="19.5" customHeight="1" x14ac:dyDescent="0.25">
      <c r="A77" s="19" t="s">
        <v>57</v>
      </c>
      <c r="B77" s="115"/>
      <c r="C77" s="115"/>
      <c r="D77" s="115"/>
      <c r="E77" s="165" t="b">
        <f>D77=(B76-C76)</f>
        <v>1</v>
      </c>
      <c r="F77" s="166">
        <f t="shared" si="6"/>
        <v>0</v>
      </c>
      <c r="G77" s="166">
        <f>IF(B77=0,,(1-F77)*G78)</f>
        <v>0</v>
      </c>
      <c r="H77" s="43"/>
      <c r="I77" s="230"/>
    </row>
    <row r="78" spans="1:9" ht="19.5" customHeight="1" x14ac:dyDescent="0.25">
      <c r="A78" s="19" t="s">
        <v>56</v>
      </c>
      <c r="B78" s="115"/>
      <c r="C78" s="115"/>
      <c r="D78" s="115"/>
      <c r="E78" s="165" t="b">
        <f>D78=(B77-C77)</f>
        <v>1</v>
      </c>
      <c r="F78" s="166">
        <f t="shared" si="6"/>
        <v>0</v>
      </c>
      <c r="G78" s="166">
        <f>IF(B78=0,,(1-F78)*G79)</f>
        <v>0</v>
      </c>
      <c r="H78" s="43"/>
    </row>
    <row r="79" spans="1:9" ht="19.5" customHeight="1" x14ac:dyDescent="0.25">
      <c r="A79" s="19" t="s">
        <v>141</v>
      </c>
      <c r="B79" s="115"/>
      <c r="C79" s="115"/>
      <c r="D79" s="115"/>
      <c r="E79" s="165" t="b">
        <f>D79=(B78-C78)</f>
        <v>1</v>
      </c>
      <c r="F79" s="166">
        <f t="shared" si="6"/>
        <v>0</v>
      </c>
      <c r="G79" s="166">
        <f>IF(B79=0,,(1-F79)*G80)</f>
        <v>0</v>
      </c>
      <c r="H79" s="43"/>
    </row>
    <row r="80" spans="1:9" ht="19.5" customHeight="1" x14ac:dyDescent="0.25">
      <c r="A80" s="19" t="s">
        <v>140</v>
      </c>
      <c r="B80" s="115"/>
      <c r="C80" s="115"/>
      <c r="D80" s="115"/>
      <c r="E80" s="165" t="b">
        <f>D80=(B79-C79)</f>
        <v>1</v>
      </c>
      <c r="F80" s="166">
        <f t="shared" si="6"/>
        <v>0</v>
      </c>
      <c r="G80" s="166">
        <f>IF(B80=0,,(1-F80)*G81)</f>
        <v>0</v>
      </c>
      <c r="H80" s="43"/>
    </row>
    <row r="81" spans="1:9" ht="19.5" customHeight="1" x14ac:dyDescent="0.25">
      <c r="A81" s="19" t="s">
        <v>139</v>
      </c>
      <c r="B81" s="115"/>
      <c r="C81" s="115"/>
      <c r="D81" s="115"/>
      <c r="E81" s="165" t="b">
        <f>D81&gt;=(B80-C80)</f>
        <v>1</v>
      </c>
      <c r="F81" s="166">
        <f t="shared" si="6"/>
        <v>0</v>
      </c>
      <c r="G81" s="166">
        <f>IF(B81=0,,1-F81)</f>
        <v>0</v>
      </c>
      <c r="H81" s="43"/>
    </row>
    <row r="82" spans="1:9" ht="19.5" customHeight="1" x14ac:dyDescent="0.25">
      <c r="A82" s="168" t="s">
        <v>157</v>
      </c>
      <c r="B82" s="169">
        <f>SUM(B76:B81)</f>
        <v>0</v>
      </c>
      <c r="C82" s="169">
        <f>SUM(C76:C81)</f>
        <v>0</v>
      </c>
      <c r="D82" s="169">
        <f>SUM(D76:D81)</f>
        <v>0</v>
      </c>
      <c r="E82" s="169"/>
      <c r="F82" s="160">
        <f t="shared" si="6"/>
        <v>0</v>
      </c>
      <c r="G82" s="167" t="s">
        <v>156</v>
      </c>
      <c r="H82" s="159" t="s">
        <v>156</v>
      </c>
    </row>
    <row r="83" spans="1:9" ht="19.5" customHeight="1" x14ac:dyDescent="0.25">
      <c r="A83" s="202"/>
      <c r="B83" s="203"/>
      <c r="C83" s="203"/>
      <c r="D83" s="203"/>
      <c r="E83" s="203"/>
      <c r="F83" s="203"/>
      <c r="G83" s="203"/>
      <c r="H83" s="203"/>
    </row>
    <row r="84" spans="1:9" ht="19.5" customHeight="1" x14ac:dyDescent="0.25">
      <c r="A84" s="8" t="s">
        <v>155</v>
      </c>
      <c r="B84" s="111"/>
      <c r="C84" s="111"/>
      <c r="D84" s="111"/>
      <c r="E84" s="111"/>
      <c r="F84" s="111"/>
      <c r="G84" s="111"/>
    </row>
    <row r="85" spans="1:9" ht="28.5" customHeight="1" x14ac:dyDescent="0.25">
      <c r="A85" s="14" t="s">
        <v>154</v>
      </c>
      <c r="B85" s="17" t="s">
        <v>153</v>
      </c>
      <c r="C85" s="17" t="s">
        <v>152</v>
      </c>
      <c r="D85" s="17" t="s">
        <v>134</v>
      </c>
      <c r="E85" s="17" t="s">
        <v>133</v>
      </c>
      <c r="F85" s="14" t="s">
        <v>151</v>
      </c>
      <c r="G85" s="86" t="s">
        <v>150</v>
      </c>
      <c r="H85" s="14" t="s">
        <v>149</v>
      </c>
      <c r="I85" s="233" t="s">
        <v>148</v>
      </c>
    </row>
    <row r="86" spans="1:9" ht="19.5" customHeight="1" x14ac:dyDescent="0.25">
      <c r="A86" s="5" t="str">
        <f t="shared" ref="A86:A91" si="7">A76</f>
        <v>1年以内</v>
      </c>
      <c r="B86" s="43"/>
      <c r="C86" s="43"/>
      <c r="D86" s="43"/>
      <c r="E86" s="43"/>
      <c r="F86" s="175" t="s">
        <v>147</v>
      </c>
      <c r="G86" s="84"/>
      <c r="H86" s="43"/>
      <c r="I86" s="234"/>
    </row>
    <row r="87" spans="1:9" ht="19.5" customHeight="1" x14ac:dyDescent="0.25">
      <c r="A87" s="5" t="str">
        <f t="shared" si="7"/>
        <v>1年-2年</v>
      </c>
      <c r="B87" s="43"/>
      <c r="C87" s="43"/>
      <c r="D87" s="43"/>
      <c r="E87" s="43"/>
      <c r="F87" s="175" t="s">
        <v>147</v>
      </c>
      <c r="G87" s="84"/>
      <c r="H87" s="43"/>
      <c r="I87" s="234"/>
    </row>
    <row r="88" spans="1:9" ht="19.5" customHeight="1" x14ac:dyDescent="0.25">
      <c r="A88" s="5" t="str">
        <f t="shared" si="7"/>
        <v>2年-3年</v>
      </c>
      <c r="B88" s="43"/>
      <c r="C88" s="43"/>
      <c r="D88" s="43"/>
      <c r="E88" s="43"/>
      <c r="F88" s="175" t="s">
        <v>147</v>
      </c>
      <c r="G88" s="84"/>
      <c r="H88" s="43"/>
    </row>
    <row r="89" spans="1:9" ht="19.5" customHeight="1" x14ac:dyDescent="0.25">
      <c r="A89" s="5" t="str">
        <f t="shared" si="7"/>
        <v>3年-4年</v>
      </c>
      <c r="B89" s="43"/>
      <c r="C89" s="43"/>
      <c r="D89" s="43"/>
      <c r="E89" s="43"/>
      <c r="F89" s="175" t="s">
        <v>147</v>
      </c>
      <c r="G89" s="84"/>
      <c r="H89" s="43"/>
    </row>
    <row r="90" spans="1:9" ht="19.5" customHeight="1" x14ac:dyDescent="0.25">
      <c r="A90" s="5" t="str">
        <f t="shared" si="7"/>
        <v>4年-5年</v>
      </c>
      <c r="B90" s="43"/>
      <c r="C90" s="43"/>
      <c r="D90" s="43"/>
      <c r="E90" s="43"/>
      <c r="F90" s="175" t="s">
        <v>147</v>
      </c>
      <c r="G90" s="84"/>
      <c r="H90" s="43"/>
    </row>
    <row r="91" spans="1:9" ht="19.5" customHeight="1" x14ac:dyDescent="0.25">
      <c r="A91" s="5" t="str">
        <f t="shared" si="7"/>
        <v>5年以上</v>
      </c>
      <c r="B91" s="43"/>
      <c r="C91" s="43"/>
      <c r="D91" s="43"/>
      <c r="E91" s="43"/>
      <c r="F91" s="175" t="s">
        <v>147</v>
      </c>
      <c r="G91" s="140" t="s">
        <v>156</v>
      </c>
      <c r="H91" s="43"/>
    </row>
    <row r="92" spans="1:9" ht="19.5" customHeight="1" x14ac:dyDescent="0.25">
      <c r="A92" s="8" t="s">
        <v>173</v>
      </c>
      <c r="B92" s="111"/>
      <c r="C92" s="111"/>
      <c r="D92" s="111"/>
      <c r="E92" s="111"/>
      <c r="F92" s="111"/>
      <c r="G92" s="141"/>
      <c r="H92" s="121"/>
    </row>
    <row r="93" spans="1:9" ht="19.5" customHeight="1" x14ac:dyDescent="0.25">
      <c r="A93" s="111"/>
      <c r="B93" s="111"/>
      <c r="C93" s="111"/>
      <c r="D93" s="111"/>
      <c r="E93" s="111"/>
      <c r="F93" s="111"/>
      <c r="G93" s="111"/>
      <c r="I93" s="7"/>
    </row>
    <row r="94" spans="1:9" ht="19.5" customHeight="1" x14ac:dyDescent="0.25">
      <c r="A94" s="8" t="s">
        <v>172</v>
      </c>
      <c r="B94" s="111"/>
      <c r="C94" s="111"/>
      <c r="D94" s="111"/>
      <c r="E94" s="111"/>
      <c r="F94" s="111"/>
      <c r="G94" s="111"/>
    </row>
    <row r="95" spans="1:9" ht="19.5" customHeight="1" x14ac:dyDescent="0.25">
      <c r="A95" s="8" t="str">
        <f>A73</f>
        <v>组合2：</v>
      </c>
      <c r="B95" s="111"/>
      <c r="C95" s="111"/>
      <c r="D95" s="111"/>
      <c r="E95" s="111"/>
      <c r="F95" s="111"/>
      <c r="G95" s="111"/>
      <c r="I95" s="7"/>
    </row>
    <row r="96" spans="1:9" ht="19.5" customHeight="1" x14ac:dyDescent="0.25">
      <c r="A96" s="218" t="s">
        <v>154</v>
      </c>
      <c r="B96" s="220" t="s">
        <v>171</v>
      </c>
      <c r="C96" s="221"/>
      <c r="D96" s="222"/>
      <c r="E96" s="218" t="s">
        <v>170</v>
      </c>
      <c r="F96" s="218" t="s">
        <v>169</v>
      </c>
      <c r="G96" s="218" t="s">
        <v>168</v>
      </c>
      <c r="H96" s="218" t="s">
        <v>167</v>
      </c>
      <c r="I96" s="6"/>
    </row>
    <row r="97" spans="1:9" ht="19.5" customHeight="1" x14ac:dyDescent="0.25">
      <c r="A97" s="219"/>
      <c r="B97" s="158" t="s">
        <v>166</v>
      </c>
      <c r="C97" s="158" t="s">
        <v>165</v>
      </c>
      <c r="D97" s="158" t="s">
        <v>164</v>
      </c>
      <c r="E97" s="219"/>
      <c r="F97" s="219"/>
      <c r="G97" s="219"/>
      <c r="H97" s="219"/>
      <c r="I97" s="6"/>
    </row>
    <row r="98" spans="1:9" ht="19.5" customHeight="1" x14ac:dyDescent="0.25">
      <c r="A98" s="5" t="str">
        <f t="shared" ref="A98:A103" si="8">A86</f>
        <v>1年以内</v>
      </c>
      <c r="B98" s="171">
        <f t="shared" ref="B98:B103" si="9">F76</f>
        <v>0</v>
      </c>
      <c r="C98" s="171">
        <f>G86</f>
        <v>0</v>
      </c>
      <c r="D98" s="166">
        <f t="shared" ref="D98:D103" si="10">B98*(1-C98)</f>
        <v>0</v>
      </c>
      <c r="E98" s="30" t="s">
        <v>163</v>
      </c>
      <c r="F98" s="166">
        <f t="shared" ref="F98:F103" si="11">1-D98</f>
        <v>1</v>
      </c>
      <c r="G98" s="160">
        <f>F98*G99</f>
        <v>1</v>
      </c>
      <c r="H98" s="43"/>
      <c r="I98" s="133"/>
    </row>
    <row r="99" spans="1:9" ht="19.5" customHeight="1" x14ac:dyDescent="0.25">
      <c r="A99" s="5" t="str">
        <f t="shared" si="8"/>
        <v>1年-2年</v>
      </c>
      <c r="B99" s="171">
        <f t="shared" si="9"/>
        <v>0</v>
      </c>
      <c r="C99" s="171">
        <f>G87</f>
        <v>0</v>
      </c>
      <c r="D99" s="166">
        <f t="shared" si="10"/>
        <v>0</v>
      </c>
      <c r="E99" s="84"/>
      <c r="F99" s="166">
        <f t="shared" si="11"/>
        <v>1</v>
      </c>
      <c r="G99" s="160">
        <f>F99*G100</f>
        <v>1</v>
      </c>
      <c r="H99" s="43"/>
      <c r="I99" s="133"/>
    </row>
    <row r="100" spans="1:9" ht="19.5" customHeight="1" x14ac:dyDescent="0.25">
      <c r="A100" s="5" t="str">
        <f t="shared" si="8"/>
        <v>2年-3年</v>
      </c>
      <c r="B100" s="171">
        <f t="shared" si="9"/>
        <v>0</v>
      </c>
      <c r="C100" s="171">
        <f>G88</f>
        <v>0</v>
      </c>
      <c r="D100" s="166">
        <f t="shared" si="10"/>
        <v>0</v>
      </c>
      <c r="E100" s="84"/>
      <c r="F100" s="166">
        <f t="shared" si="11"/>
        <v>1</v>
      </c>
      <c r="G100" s="160">
        <f>F100*G101</f>
        <v>1</v>
      </c>
      <c r="H100" s="43"/>
      <c r="I100" s="133"/>
    </row>
    <row r="101" spans="1:9" ht="19.5" customHeight="1" x14ac:dyDescent="0.25">
      <c r="A101" s="5" t="str">
        <f t="shared" si="8"/>
        <v>3年-4年</v>
      </c>
      <c r="B101" s="171">
        <f t="shared" si="9"/>
        <v>0</v>
      </c>
      <c r="C101" s="171">
        <f>G89</f>
        <v>0</v>
      </c>
      <c r="D101" s="166">
        <f t="shared" si="10"/>
        <v>0</v>
      </c>
      <c r="E101" s="84"/>
      <c r="F101" s="166">
        <f t="shared" si="11"/>
        <v>1</v>
      </c>
      <c r="G101" s="160">
        <f>F101*G102</f>
        <v>1</v>
      </c>
      <c r="H101" s="43"/>
      <c r="I101" s="133"/>
    </row>
    <row r="102" spans="1:9" ht="19.5" customHeight="1" x14ac:dyDescent="0.25">
      <c r="A102" s="5" t="str">
        <f t="shared" si="8"/>
        <v>4年-5年</v>
      </c>
      <c r="B102" s="171">
        <f t="shared" si="9"/>
        <v>0</v>
      </c>
      <c r="C102" s="171">
        <f>G90</f>
        <v>0</v>
      </c>
      <c r="D102" s="166">
        <f t="shared" si="10"/>
        <v>0</v>
      </c>
      <c r="E102" s="84"/>
      <c r="F102" s="166">
        <f t="shared" si="11"/>
        <v>1</v>
      </c>
      <c r="G102" s="160">
        <f>F102*G103</f>
        <v>1</v>
      </c>
      <c r="H102" s="43"/>
      <c r="I102" s="133"/>
    </row>
    <row r="103" spans="1:9" ht="19.5" customHeight="1" x14ac:dyDescent="0.25">
      <c r="A103" s="5" t="str">
        <f t="shared" si="8"/>
        <v>5年以上</v>
      </c>
      <c r="B103" s="171">
        <f t="shared" si="9"/>
        <v>0</v>
      </c>
      <c r="C103" s="171">
        <f>G92</f>
        <v>0</v>
      </c>
      <c r="D103" s="166">
        <f t="shared" si="10"/>
        <v>0</v>
      </c>
      <c r="E103" s="30" t="s">
        <v>162</v>
      </c>
      <c r="F103" s="166">
        <f t="shared" si="11"/>
        <v>1</v>
      </c>
      <c r="G103" s="160">
        <f>F103</f>
        <v>1</v>
      </c>
      <c r="H103" s="43"/>
      <c r="I103" s="133"/>
    </row>
    <row r="104" spans="1:9" ht="19.5" customHeight="1" x14ac:dyDescent="0.25">
      <c r="A104" s="111"/>
      <c r="B104" s="111"/>
      <c r="C104" s="111"/>
      <c r="D104" s="111"/>
      <c r="E104" s="111"/>
      <c r="F104" s="111"/>
      <c r="G104" s="111"/>
    </row>
    <row r="105" spans="1:9" ht="19.5" customHeight="1" x14ac:dyDescent="0.25">
      <c r="A105" s="32" t="s">
        <v>161</v>
      </c>
      <c r="B105" s="139"/>
      <c r="C105" s="139"/>
      <c r="D105" s="139"/>
      <c r="E105" s="139"/>
      <c r="F105" s="139"/>
      <c r="G105" s="139"/>
      <c r="H105" s="31"/>
    </row>
    <row r="106" spans="1:9" ht="19.5" customHeight="1" x14ac:dyDescent="0.25">
      <c r="A106" s="8" t="s">
        <v>618</v>
      </c>
      <c r="B106" s="111"/>
      <c r="C106" s="111"/>
      <c r="D106" s="111"/>
      <c r="E106" s="111"/>
      <c r="F106" s="111"/>
      <c r="G106" s="111"/>
    </row>
    <row r="107" spans="1:9" ht="31.5" customHeight="1" x14ac:dyDescent="0.25">
      <c r="A107" s="158" t="s">
        <v>154</v>
      </c>
      <c r="B107" s="158" t="str">
        <f>B75</f>
        <v>20X7年末余额</v>
      </c>
      <c r="C107" s="158" t="str">
        <f>C75</f>
        <v>20X8收回金额</v>
      </c>
      <c r="D107" s="158" t="str">
        <f>D75</f>
        <v>20X8年末余额</v>
      </c>
      <c r="E107" s="158" t="s">
        <v>72</v>
      </c>
      <c r="F107" s="158" t="s">
        <v>71</v>
      </c>
      <c r="G107" s="158" t="s">
        <v>160</v>
      </c>
      <c r="H107" s="158" t="s">
        <v>159</v>
      </c>
    </row>
    <row r="108" spans="1:9" ht="19.5" customHeight="1" x14ac:dyDescent="0.25">
      <c r="A108" s="19" t="s">
        <v>58</v>
      </c>
      <c r="B108" s="115"/>
      <c r="C108" s="115"/>
      <c r="D108" s="115"/>
      <c r="E108" s="115"/>
      <c r="F108" s="166">
        <f t="shared" ref="F108:F114" si="12">IF(B108=0,,C108/B108)</f>
        <v>0</v>
      </c>
      <c r="G108" s="166">
        <f>IF(B108=0,,(1-F108)*G109)</f>
        <v>0</v>
      </c>
      <c r="H108" s="43"/>
      <c r="I108" s="229" t="s">
        <v>158</v>
      </c>
    </row>
    <row r="109" spans="1:9" ht="19.5" customHeight="1" x14ac:dyDescent="0.25">
      <c r="A109" s="19" t="s">
        <v>57</v>
      </c>
      <c r="B109" s="115"/>
      <c r="C109" s="115"/>
      <c r="D109" s="115"/>
      <c r="E109" s="165" t="b">
        <f>D109=(B108-C108)</f>
        <v>1</v>
      </c>
      <c r="F109" s="166">
        <f t="shared" si="12"/>
        <v>0</v>
      </c>
      <c r="G109" s="166">
        <f>IF(B109=0,,(1-F109)*G110)</f>
        <v>0</v>
      </c>
      <c r="H109" s="43"/>
      <c r="I109" s="230"/>
    </row>
    <row r="110" spans="1:9" ht="19.5" customHeight="1" x14ac:dyDescent="0.25">
      <c r="A110" s="19" t="s">
        <v>56</v>
      </c>
      <c r="B110" s="115"/>
      <c r="C110" s="115"/>
      <c r="D110" s="115"/>
      <c r="E110" s="165" t="b">
        <f>D110=(B109-C109)</f>
        <v>1</v>
      </c>
      <c r="F110" s="166">
        <f t="shared" si="12"/>
        <v>0</v>
      </c>
      <c r="G110" s="166">
        <f>IF(B110=0,,(1-F110)*G111)</f>
        <v>0</v>
      </c>
      <c r="H110" s="43"/>
    </row>
    <row r="111" spans="1:9" ht="19.5" customHeight="1" x14ac:dyDescent="0.25">
      <c r="A111" s="19" t="s">
        <v>141</v>
      </c>
      <c r="B111" s="115"/>
      <c r="C111" s="115"/>
      <c r="D111" s="115"/>
      <c r="E111" s="165" t="b">
        <f>D111=(B110-C110)</f>
        <v>1</v>
      </c>
      <c r="F111" s="166">
        <f t="shared" si="12"/>
        <v>0</v>
      </c>
      <c r="G111" s="166">
        <f>IF(B111=0,,(1-F111)*G112)</f>
        <v>0</v>
      </c>
      <c r="H111" s="43"/>
    </row>
    <row r="112" spans="1:9" ht="19.5" customHeight="1" x14ac:dyDescent="0.25">
      <c r="A112" s="19" t="s">
        <v>140</v>
      </c>
      <c r="B112" s="115"/>
      <c r="C112" s="115"/>
      <c r="D112" s="115"/>
      <c r="E112" s="165" t="b">
        <f>D112=(B111-C111)</f>
        <v>1</v>
      </c>
      <c r="F112" s="166">
        <f t="shared" si="12"/>
        <v>0</v>
      </c>
      <c r="G112" s="166">
        <f>IF(B112=0,,(1-F112)*G113)</f>
        <v>0</v>
      </c>
      <c r="H112" s="43"/>
    </row>
    <row r="113" spans="1:9" ht="19.5" customHeight="1" x14ac:dyDescent="0.25">
      <c r="A113" s="19" t="s">
        <v>139</v>
      </c>
      <c r="B113" s="115"/>
      <c r="C113" s="115"/>
      <c r="D113" s="115"/>
      <c r="E113" s="165" t="b">
        <f>D113&gt;=(B112-C112)</f>
        <v>1</v>
      </c>
      <c r="F113" s="166">
        <f t="shared" si="12"/>
        <v>0</v>
      </c>
      <c r="G113" s="166">
        <f>IF(B113=0,,1-F113)</f>
        <v>0</v>
      </c>
      <c r="H113" s="43"/>
    </row>
    <row r="114" spans="1:9" ht="19.5" customHeight="1" x14ac:dyDescent="0.25">
      <c r="A114" s="168" t="s">
        <v>157</v>
      </c>
      <c r="B114" s="169">
        <f>SUM(B108:B113)</f>
        <v>0</v>
      </c>
      <c r="C114" s="169">
        <f>SUM(C108:C113)</f>
        <v>0</v>
      </c>
      <c r="D114" s="169">
        <f>SUM(D108:D113)</f>
        <v>0</v>
      </c>
      <c r="E114" s="169"/>
      <c r="F114" s="160">
        <f t="shared" si="12"/>
        <v>0</v>
      </c>
      <c r="G114" s="167" t="s">
        <v>156</v>
      </c>
      <c r="H114" s="159" t="s">
        <v>156</v>
      </c>
    </row>
    <row r="115" spans="1:9" ht="19.5" customHeight="1" x14ac:dyDescent="0.25">
      <c r="A115" s="202"/>
      <c r="B115" s="203"/>
      <c r="C115" s="203"/>
      <c r="D115" s="203"/>
      <c r="E115" s="203"/>
      <c r="F115" s="203"/>
      <c r="G115" s="203"/>
      <c r="H115" s="203"/>
    </row>
    <row r="116" spans="1:9" ht="19.5" customHeight="1" x14ac:dyDescent="0.25">
      <c r="A116" s="8" t="s">
        <v>155</v>
      </c>
      <c r="B116" s="111"/>
      <c r="C116" s="111"/>
      <c r="D116" s="111"/>
      <c r="E116" s="111"/>
      <c r="F116" s="111"/>
      <c r="G116" s="111"/>
    </row>
    <row r="117" spans="1:9" ht="28.5" customHeight="1" x14ac:dyDescent="0.25">
      <c r="A117" s="158" t="s">
        <v>154</v>
      </c>
      <c r="B117" s="176" t="s">
        <v>153</v>
      </c>
      <c r="C117" s="176" t="s">
        <v>152</v>
      </c>
      <c r="D117" s="176" t="s">
        <v>134</v>
      </c>
      <c r="E117" s="176" t="s">
        <v>133</v>
      </c>
      <c r="F117" s="158" t="s">
        <v>151</v>
      </c>
      <c r="G117" s="177" t="s">
        <v>150</v>
      </c>
      <c r="H117" s="158" t="s">
        <v>149</v>
      </c>
      <c r="I117" s="233" t="s">
        <v>148</v>
      </c>
    </row>
    <row r="118" spans="1:9" ht="19.5" customHeight="1" x14ac:dyDescent="0.25">
      <c r="A118" s="5" t="str">
        <f t="shared" ref="A118:A123" si="13">A108</f>
        <v>1年以内</v>
      </c>
      <c r="B118" s="43"/>
      <c r="C118" s="43"/>
      <c r="D118" s="43"/>
      <c r="E118" s="43"/>
      <c r="F118" s="175" t="s">
        <v>147</v>
      </c>
      <c r="G118" s="30"/>
      <c r="H118" s="43"/>
      <c r="I118" s="234"/>
    </row>
    <row r="119" spans="1:9" ht="19.5" customHeight="1" x14ac:dyDescent="0.25">
      <c r="A119" s="5" t="str">
        <f t="shared" si="13"/>
        <v>1年-2年</v>
      </c>
      <c r="B119" s="43"/>
      <c r="C119" s="43"/>
      <c r="D119" s="43"/>
      <c r="E119" s="43"/>
      <c r="F119" s="175" t="s">
        <v>147</v>
      </c>
      <c r="G119" s="30"/>
      <c r="H119" s="43"/>
      <c r="I119" s="234"/>
    </row>
    <row r="120" spans="1:9" ht="19.5" customHeight="1" x14ac:dyDescent="0.25">
      <c r="A120" s="5" t="str">
        <f t="shared" si="13"/>
        <v>2年-3年</v>
      </c>
      <c r="B120" s="43"/>
      <c r="C120" s="43"/>
      <c r="D120" s="43"/>
      <c r="E120" s="43"/>
      <c r="F120" s="175" t="s">
        <v>128</v>
      </c>
      <c r="G120" s="30"/>
      <c r="H120" s="43"/>
    </row>
    <row r="121" spans="1:9" ht="19.5" customHeight="1" x14ac:dyDescent="0.25">
      <c r="A121" s="5" t="str">
        <f t="shared" si="13"/>
        <v>3年-4年</v>
      </c>
      <c r="B121" s="43"/>
      <c r="C121" s="43"/>
      <c r="D121" s="43"/>
      <c r="E121" s="43"/>
      <c r="F121" s="175" t="s">
        <v>128</v>
      </c>
      <c r="G121" s="30"/>
      <c r="H121" s="43"/>
    </row>
    <row r="122" spans="1:9" ht="19.5" customHeight="1" x14ac:dyDescent="0.25">
      <c r="A122" s="5" t="str">
        <f t="shared" si="13"/>
        <v>4年-5年</v>
      </c>
      <c r="B122" s="43"/>
      <c r="C122" s="43"/>
      <c r="D122" s="43"/>
      <c r="E122" s="43"/>
      <c r="F122" s="175" t="s">
        <v>128</v>
      </c>
      <c r="G122" s="30"/>
      <c r="H122" s="43"/>
    </row>
    <row r="123" spans="1:9" ht="19.5" customHeight="1" x14ac:dyDescent="0.25">
      <c r="A123" s="5" t="str">
        <f t="shared" si="13"/>
        <v>5年以上</v>
      </c>
      <c r="B123" s="43"/>
      <c r="C123" s="43"/>
      <c r="D123" s="43"/>
      <c r="E123" s="43"/>
      <c r="F123" s="175" t="s">
        <v>128</v>
      </c>
      <c r="G123" s="140" t="s">
        <v>127</v>
      </c>
      <c r="H123" s="43"/>
    </row>
    <row r="124" spans="1:9" ht="19.5" customHeight="1" x14ac:dyDescent="0.25">
      <c r="A124" s="8" t="s">
        <v>146</v>
      </c>
      <c r="B124" s="111"/>
      <c r="C124" s="111"/>
      <c r="D124" s="111"/>
      <c r="E124" s="111"/>
      <c r="F124" s="111"/>
      <c r="G124" s="120"/>
      <c r="H124" s="121"/>
    </row>
    <row r="125" spans="1:9" ht="19.5" customHeight="1" x14ac:dyDescent="0.25">
      <c r="A125" s="111"/>
      <c r="B125" s="111"/>
      <c r="C125" s="111"/>
      <c r="D125" s="111"/>
      <c r="E125" s="111"/>
      <c r="F125" s="111"/>
      <c r="G125" s="111"/>
      <c r="I125" s="7"/>
    </row>
    <row r="126" spans="1:9" ht="19.5" customHeight="1" x14ac:dyDescent="0.25">
      <c r="A126" s="8" t="s">
        <v>125</v>
      </c>
      <c r="B126" s="111"/>
      <c r="C126" s="111"/>
      <c r="D126" s="111"/>
      <c r="E126" s="111"/>
      <c r="F126" s="111"/>
      <c r="G126" s="111"/>
    </row>
    <row r="127" spans="1:9" ht="19.5" customHeight="1" x14ac:dyDescent="0.25">
      <c r="A127" s="8" t="str">
        <f>A105</f>
        <v>组合3：</v>
      </c>
      <c r="B127" s="111"/>
      <c r="C127" s="111"/>
      <c r="D127" s="111"/>
      <c r="E127" s="111"/>
      <c r="F127" s="111"/>
      <c r="G127" s="111"/>
      <c r="I127" s="7"/>
    </row>
    <row r="128" spans="1:9" ht="19.5" customHeight="1" x14ac:dyDescent="0.25">
      <c r="A128" s="218" t="s">
        <v>124</v>
      </c>
      <c r="B128" s="220" t="s">
        <v>123</v>
      </c>
      <c r="C128" s="221"/>
      <c r="D128" s="222"/>
      <c r="E128" s="218" t="s">
        <v>122</v>
      </c>
      <c r="F128" s="218" t="s">
        <v>121</v>
      </c>
      <c r="G128" s="218" t="s">
        <v>120</v>
      </c>
      <c r="H128" s="218" t="s">
        <v>119</v>
      </c>
      <c r="I128" s="6"/>
    </row>
    <row r="129" spans="1:9" ht="19.5" customHeight="1" x14ac:dyDescent="0.25">
      <c r="A129" s="219"/>
      <c r="B129" s="158" t="s">
        <v>118</v>
      </c>
      <c r="C129" s="158" t="s">
        <v>117</v>
      </c>
      <c r="D129" s="158" t="s">
        <v>116</v>
      </c>
      <c r="E129" s="219"/>
      <c r="F129" s="219"/>
      <c r="G129" s="219"/>
      <c r="H129" s="219"/>
      <c r="I129" s="6"/>
    </row>
    <row r="130" spans="1:9" ht="19.5" customHeight="1" x14ac:dyDescent="0.25">
      <c r="A130" s="5" t="str">
        <f t="shared" ref="A130:A135" si="14">A118</f>
        <v>1年以内</v>
      </c>
      <c r="B130" s="171">
        <f t="shared" ref="B130:B135" si="15">F108</f>
        <v>0</v>
      </c>
      <c r="C130" s="171">
        <f>G118</f>
        <v>0</v>
      </c>
      <c r="D130" s="166">
        <f t="shared" ref="D130:D135" si="16">B130*(1-C130)</f>
        <v>0</v>
      </c>
      <c r="E130" s="30"/>
      <c r="F130" s="166">
        <f t="shared" ref="F130:F135" si="17">1-D130</f>
        <v>1</v>
      </c>
      <c r="G130" s="160">
        <f>F130*G131</f>
        <v>1</v>
      </c>
      <c r="H130" s="43"/>
      <c r="I130" s="133"/>
    </row>
    <row r="131" spans="1:9" ht="19.5" customHeight="1" x14ac:dyDescent="0.25">
      <c r="A131" s="5" t="str">
        <f t="shared" si="14"/>
        <v>1年-2年</v>
      </c>
      <c r="B131" s="171">
        <f t="shared" si="15"/>
        <v>0</v>
      </c>
      <c r="C131" s="171">
        <f>G119</f>
        <v>0</v>
      </c>
      <c r="D131" s="166">
        <f t="shared" si="16"/>
        <v>0</v>
      </c>
      <c r="E131" s="84"/>
      <c r="F131" s="166">
        <f t="shared" si="17"/>
        <v>1</v>
      </c>
      <c r="G131" s="160">
        <f>F131*G132</f>
        <v>1</v>
      </c>
      <c r="H131" s="43"/>
      <c r="I131" s="133"/>
    </row>
    <row r="132" spans="1:9" ht="19.5" customHeight="1" x14ac:dyDescent="0.25">
      <c r="A132" s="5" t="str">
        <f t="shared" si="14"/>
        <v>2年-3年</v>
      </c>
      <c r="B132" s="171">
        <f t="shared" si="15"/>
        <v>0</v>
      </c>
      <c r="C132" s="171">
        <f>G120</f>
        <v>0</v>
      </c>
      <c r="D132" s="166">
        <f t="shared" si="16"/>
        <v>0</v>
      </c>
      <c r="E132" s="84"/>
      <c r="F132" s="166">
        <f t="shared" si="17"/>
        <v>1</v>
      </c>
      <c r="G132" s="160">
        <f>F132*G133</f>
        <v>1</v>
      </c>
      <c r="H132" s="43"/>
      <c r="I132" s="133"/>
    </row>
    <row r="133" spans="1:9" ht="19.5" customHeight="1" x14ac:dyDescent="0.25">
      <c r="A133" s="5" t="str">
        <f t="shared" si="14"/>
        <v>3年-4年</v>
      </c>
      <c r="B133" s="171">
        <f t="shared" si="15"/>
        <v>0</v>
      </c>
      <c r="C133" s="171">
        <f>G121</f>
        <v>0</v>
      </c>
      <c r="D133" s="166">
        <f t="shared" si="16"/>
        <v>0</v>
      </c>
      <c r="E133" s="84"/>
      <c r="F133" s="166">
        <f t="shared" si="17"/>
        <v>1</v>
      </c>
      <c r="G133" s="160">
        <f>F133*G134</f>
        <v>1</v>
      </c>
      <c r="H133" s="43"/>
      <c r="I133" s="133"/>
    </row>
    <row r="134" spans="1:9" ht="19.5" customHeight="1" x14ac:dyDescent="0.25">
      <c r="A134" s="5" t="str">
        <f t="shared" si="14"/>
        <v>4年-5年</v>
      </c>
      <c r="B134" s="171">
        <f t="shared" si="15"/>
        <v>0</v>
      </c>
      <c r="C134" s="171">
        <f>G122</f>
        <v>0</v>
      </c>
      <c r="D134" s="166">
        <f t="shared" si="16"/>
        <v>0</v>
      </c>
      <c r="E134" s="84"/>
      <c r="F134" s="166">
        <f t="shared" si="17"/>
        <v>1</v>
      </c>
      <c r="G134" s="160">
        <f>F134*G135</f>
        <v>1</v>
      </c>
      <c r="H134" s="43"/>
      <c r="I134" s="133"/>
    </row>
    <row r="135" spans="1:9" ht="19.5" customHeight="1" x14ac:dyDescent="0.25">
      <c r="A135" s="5" t="str">
        <f t="shared" si="14"/>
        <v>5年以上</v>
      </c>
      <c r="B135" s="171">
        <f t="shared" si="15"/>
        <v>0</v>
      </c>
      <c r="C135" s="171">
        <f>G124</f>
        <v>0</v>
      </c>
      <c r="D135" s="166">
        <f t="shared" si="16"/>
        <v>0</v>
      </c>
      <c r="E135" s="30"/>
      <c r="F135" s="166">
        <f t="shared" si="17"/>
        <v>1</v>
      </c>
      <c r="G135" s="160">
        <f>F135</f>
        <v>1</v>
      </c>
      <c r="H135" s="43"/>
      <c r="I135" s="133"/>
    </row>
    <row r="136" spans="1:9" ht="19.5" customHeight="1" x14ac:dyDescent="0.25">
      <c r="A136" s="111"/>
      <c r="B136" s="111"/>
      <c r="C136" s="111"/>
      <c r="D136" s="111"/>
      <c r="E136" s="111"/>
      <c r="F136" s="111"/>
      <c r="G136" s="111"/>
    </row>
    <row r="137" spans="1:9" ht="19.5" customHeight="1" x14ac:dyDescent="0.25">
      <c r="A137" s="32" t="s">
        <v>145</v>
      </c>
      <c r="B137" s="139"/>
      <c r="C137" s="139"/>
      <c r="D137" s="139"/>
      <c r="E137" s="139"/>
      <c r="F137" s="139"/>
      <c r="G137" s="139"/>
      <c r="H137" s="31"/>
    </row>
    <row r="138" spans="1:9" ht="19.5" customHeight="1" x14ac:dyDescent="0.25">
      <c r="A138" s="8" t="s">
        <v>618</v>
      </c>
      <c r="B138" s="111"/>
      <c r="C138" s="111"/>
      <c r="D138" s="111"/>
      <c r="E138" s="111"/>
      <c r="F138" s="111"/>
      <c r="G138" s="111"/>
    </row>
    <row r="139" spans="1:9" ht="31.5" customHeight="1" x14ac:dyDescent="0.25">
      <c r="A139" s="158" t="s">
        <v>124</v>
      </c>
      <c r="B139" s="158" t="str">
        <f>B107</f>
        <v>20X7年末余额</v>
      </c>
      <c r="C139" s="158" t="str">
        <f>C107</f>
        <v>20X8收回金额</v>
      </c>
      <c r="D139" s="158" t="str">
        <f>D107</f>
        <v>20X8年末余额</v>
      </c>
      <c r="E139" s="158" t="s">
        <v>72</v>
      </c>
      <c r="F139" s="158" t="s">
        <v>71</v>
      </c>
      <c r="G139" s="158" t="s">
        <v>144</v>
      </c>
      <c r="H139" s="158" t="s">
        <v>143</v>
      </c>
    </row>
    <row r="140" spans="1:9" ht="19.5" customHeight="1" x14ac:dyDescent="0.25">
      <c r="A140" s="19" t="s">
        <v>58</v>
      </c>
      <c r="B140" s="115">
        <v>650</v>
      </c>
      <c r="C140" s="115">
        <v>552</v>
      </c>
      <c r="D140" s="115">
        <v>1863</v>
      </c>
      <c r="E140" s="115"/>
      <c r="F140" s="166">
        <f t="shared" ref="F140:F146" si="18">IF(B140=0,,C140/B140)</f>
        <v>0.84923076923076923</v>
      </c>
      <c r="G140" s="166">
        <f>IF(B140=0,,(1-F140)*G141)</f>
        <v>4.3421538461538471E-3</v>
      </c>
      <c r="H140" s="43"/>
      <c r="I140" s="229" t="s">
        <v>142</v>
      </c>
    </row>
    <row r="141" spans="1:9" ht="19.5" customHeight="1" x14ac:dyDescent="0.25">
      <c r="A141" s="19" t="s">
        <v>57</v>
      </c>
      <c r="B141" s="115">
        <v>530</v>
      </c>
      <c r="C141" s="115">
        <v>371</v>
      </c>
      <c r="D141" s="115">
        <v>98</v>
      </c>
      <c r="E141" s="115" t="b">
        <f>D141=(B140-C140)</f>
        <v>1</v>
      </c>
      <c r="F141" s="166">
        <f t="shared" si="18"/>
        <v>0.7</v>
      </c>
      <c r="G141" s="166">
        <f>IF(B141=0,,(1-F141)*G142)</f>
        <v>2.8800000000000006E-2</v>
      </c>
      <c r="H141" s="43"/>
      <c r="I141" s="230"/>
    </row>
    <row r="142" spans="1:9" ht="19.5" customHeight="1" x14ac:dyDescent="0.25">
      <c r="A142" s="19" t="s">
        <v>56</v>
      </c>
      <c r="B142" s="115">
        <v>500</v>
      </c>
      <c r="C142" s="115">
        <v>300</v>
      </c>
      <c r="D142" s="115">
        <v>159</v>
      </c>
      <c r="E142" s="115" t="b">
        <f>D142=(B141-C141)</f>
        <v>1</v>
      </c>
      <c r="F142" s="166">
        <f t="shared" si="18"/>
        <v>0.6</v>
      </c>
      <c r="G142" s="166">
        <f>IF(B142=0,,(1-F142)*G143)</f>
        <v>9.6000000000000002E-2</v>
      </c>
      <c r="H142" s="43"/>
    </row>
    <row r="143" spans="1:9" ht="19.5" customHeight="1" x14ac:dyDescent="0.25">
      <c r="A143" s="19" t="s">
        <v>141</v>
      </c>
      <c r="B143" s="115">
        <v>200</v>
      </c>
      <c r="C143" s="115">
        <v>100</v>
      </c>
      <c r="D143" s="115">
        <v>200</v>
      </c>
      <c r="E143" s="115" t="b">
        <f>D143=(B142-C142)</f>
        <v>1</v>
      </c>
      <c r="F143" s="166">
        <f t="shared" si="18"/>
        <v>0.5</v>
      </c>
      <c r="G143" s="166">
        <f>IF(B143=0,,(1-F143)*G144)</f>
        <v>0.24</v>
      </c>
      <c r="H143" s="43"/>
    </row>
    <row r="144" spans="1:9" ht="19.5" customHeight="1" x14ac:dyDescent="0.25">
      <c r="A144" s="19" t="s">
        <v>140</v>
      </c>
      <c r="B144" s="115">
        <v>70</v>
      </c>
      <c r="C144" s="115">
        <v>28</v>
      </c>
      <c r="D144" s="115">
        <v>100</v>
      </c>
      <c r="E144" s="115" t="b">
        <f>D144=(B143-C143)</f>
        <v>1</v>
      </c>
      <c r="F144" s="166">
        <f t="shared" si="18"/>
        <v>0.4</v>
      </c>
      <c r="G144" s="166">
        <f>IF(B144=0,,(1-F144)*G145)</f>
        <v>0.48</v>
      </c>
      <c r="H144" s="43"/>
    </row>
    <row r="145" spans="1:9" ht="19.5" customHeight="1" x14ac:dyDescent="0.25">
      <c r="A145" s="19" t="s">
        <v>139</v>
      </c>
      <c r="B145" s="115">
        <v>50</v>
      </c>
      <c r="C145" s="115">
        <v>10</v>
      </c>
      <c r="D145" s="115">
        <v>80</v>
      </c>
      <c r="E145" s="115" t="b">
        <f>D145&gt;=(B144-C144)</f>
        <v>1</v>
      </c>
      <c r="F145" s="166">
        <f t="shared" si="18"/>
        <v>0.2</v>
      </c>
      <c r="G145" s="166">
        <f>IF(B145=0,,1-F145)</f>
        <v>0.8</v>
      </c>
      <c r="H145" s="43"/>
    </row>
    <row r="146" spans="1:9" ht="19.5" customHeight="1" x14ac:dyDescent="0.25">
      <c r="A146" s="168" t="s">
        <v>138</v>
      </c>
      <c r="B146" s="169">
        <f>SUM(B140:B145)</f>
        <v>2000</v>
      </c>
      <c r="C146" s="169">
        <f>SUM(C140:C145)</f>
        <v>1361</v>
      </c>
      <c r="D146" s="169">
        <f>SUM(D140:D145)</f>
        <v>2500</v>
      </c>
      <c r="E146" s="169"/>
      <c r="F146" s="160">
        <f t="shared" si="18"/>
        <v>0.68049999999999999</v>
      </c>
      <c r="G146" s="167" t="s">
        <v>127</v>
      </c>
      <c r="H146" s="159" t="s">
        <v>127</v>
      </c>
    </row>
    <row r="147" spans="1:9" ht="19.5" customHeight="1" x14ac:dyDescent="0.25">
      <c r="A147" s="202"/>
      <c r="B147" s="203"/>
      <c r="C147" s="203"/>
      <c r="D147" s="203"/>
      <c r="E147" s="203"/>
      <c r="F147" s="203"/>
      <c r="G147" s="203"/>
      <c r="H147" s="203"/>
    </row>
    <row r="148" spans="1:9" ht="19.5" customHeight="1" x14ac:dyDescent="0.25">
      <c r="A148" s="8" t="s">
        <v>137</v>
      </c>
      <c r="B148" s="111"/>
      <c r="C148" s="111"/>
      <c r="D148" s="111"/>
      <c r="E148" s="111"/>
      <c r="F148" s="111"/>
      <c r="G148" s="111"/>
    </row>
    <row r="149" spans="1:9" ht="28.5" customHeight="1" x14ac:dyDescent="0.25">
      <c r="A149" s="158" t="s">
        <v>124</v>
      </c>
      <c r="B149" s="176" t="s">
        <v>136</v>
      </c>
      <c r="C149" s="176" t="s">
        <v>135</v>
      </c>
      <c r="D149" s="176" t="s">
        <v>134</v>
      </c>
      <c r="E149" s="176" t="s">
        <v>133</v>
      </c>
      <c r="F149" s="158" t="s">
        <v>132</v>
      </c>
      <c r="G149" s="177" t="s">
        <v>131</v>
      </c>
      <c r="H149" s="158" t="s">
        <v>130</v>
      </c>
      <c r="I149" s="233" t="s">
        <v>129</v>
      </c>
    </row>
    <row r="150" spans="1:9" ht="19.5" customHeight="1" x14ac:dyDescent="0.25">
      <c r="A150" s="5" t="str">
        <f t="shared" ref="A150:A155" si="19">A140</f>
        <v>1年以内</v>
      </c>
      <c r="B150" s="43"/>
      <c r="C150" s="43"/>
      <c r="D150" s="43"/>
      <c r="E150" s="43"/>
      <c r="F150" s="119" t="s">
        <v>128</v>
      </c>
      <c r="G150" s="30">
        <f>'前瞻性调整D2-10-1（量化分析）'!I106</f>
        <v>0.17934284460232264</v>
      </c>
      <c r="H150" s="43"/>
      <c r="I150" s="234"/>
    </row>
    <row r="151" spans="1:9" ht="19.5" customHeight="1" x14ac:dyDescent="0.25">
      <c r="A151" s="5" t="str">
        <f t="shared" si="19"/>
        <v>1年-2年</v>
      </c>
      <c r="B151" s="43"/>
      <c r="C151" s="43"/>
      <c r="D151" s="43"/>
      <c r="E151" s="43"/>
      <c r="F151" s="119" t="s">
        <v>128</v>
      </c>
      <c r="G151" s="30">
        <v>0</v>
      </c>
      <c r="H151" s="43"/>
      <c r="I151" s="234"/>
    </row>
    <row r="152" spans="1:9" ht="19.5" customHeight="1" x14ac:dyDescent="0.25">
      <c r="A152" s="5" t="str">
        <f t="shared" si="19"/>
        <v>2年-3年</v>
      </c>
      <c r="B152" s="43"/>
      <c r="C152" s="43"/>
      <c r="D152" s="43"/>
      <c r="E152" s="43"/>
      <c r="F152" s="119" t="s">
        <v>128</v>
      </c>
      <c r="G152" s="30">
        <v>0</v>
      </c>
      <c r="H152" s="43"/>
    </row>
    <row r="153" spans="1:9" ht="19.5" customHeight="1" x14ac:dyDescent="0.25">
      <c r="A153" s="5" t="str">
        <f t="shared" si="19"/>
        <v>3年-4年</v>
      </c>
      <c r="B153" s="43"/>
      <c r="C153" s="43"/>
      <c r="D153" s="43"/>
      <c r="E153" s="43"/>
      <c r="F153" s="119" t="s">
        <v>128</v>
      </c>
      <c r="G153" s="30">
        <v>0</v>
      </c>
      <c r="H153" s="43"/>
    </row>
    <row r="154" spans="1:9" ht="19.5" customHeight="1" x14ac:dyDescent="0.25">
      <c r="A154" s="5" t="str">
        <f t="shared" si="19"/>
        <v>4年-5年</v>
      </c>
      <c r="B154" s="43"/>
      <c r="C154" s="43"/>
      <c r="D154" s="43"/>
      <c r="E154" s="43"/>
      <c r="F154" s="119" t="s">
        <v>128</v>
      </c>
      <c r="G154" s="30">
        <v>0</v>
      </c>
      <c r="H154" s="43"/>
    </row>
    <row r="155" spans="1:9" ht="19.5" customHeight="1" x14ac:dyDescent="0.25">
      <c r="A155" s="5" t="str">
        <f t="shared" si="19"/>
        <v>5年以上</v>
      </c>
      <c r="B155" s="43"/>
      <c r="C155" s="43"/>
      <c r="D155" s="43"/>
      <c r="E155" s="43"/>
      <c r="F155" s="119" t="s">
        <v>128</v>
      </c>
      <c r="G155" s="140" t="s">
        <v>127</v>
      </c>
      <c r="H155" s="43"/>
    </row>
    <row r="156" spans="1:9" ht="19.5" customHeight="1" x14ac:dyDescent="0.25">
      <c r="A156" s="8" t="s">
        <v>126</v>
      </c>
      <c r="B156" s="111"/>
      <c r="C156" s="111"/>
      <c r="D156" s="111"/>
      <c r="E156" s="111"/>
      <c r="F156" s="111"/>
      <c r="G156" s="120">
        <v>1</v>
      </c>
      <c r="H156" s="121"/>
    </row>
    <row r="157" spans="1:9" ht="19.5" customHeight="1" x14ac:dyDescent="0.25">
      <c r="A157" s="111"/>
      <c r="B157" s="111"/>
      <c r="C157" s="111"/>
      <c r="D157" s="111"/>
      <c r="E157" s="111"/>
      <c r="F157" s="111"/>
      <c r="G157" s="111"/>
      <c r="I157" s="7"/>
    </row>
    <row r="158" spans="1:9" ht="19.5" customHeight="1" x14ac:dyDescent="0.25">
      <c r="A158" s="8" t="s">
        <v>125</v>
      </c>
      <c r="B158" s="111"/>
      <c r="C158" s="111"/>
      <c r="D158" s="111"/>
      <c r="E158" s="111"/>
      <c r="F158" s="111"/>
      <c r="G158" s="111"/>
    </row>
    <row r="159" spans="1:9" ht="19.5" customHeight="1" x14ac:dyDescent="0.25">
      <c r="A159" s="8" t="str">
        <f>A137</f>
        <v>组合X：</v>
      </c>
      <c r="B159" s="111"/>
      <c r="C159" s="111"/>
      <c r="D159" s="111"/>
      <c r="E159" s="111"/>
      <c r="F159" s="111"/>
      <c r="G159" s="111"/>
      <c r="I159" s="7"/>
    </row>
    <row r="160" spans="1:9" ht="19.5" customHeight="1" x14ac:dyDescent="0.25">
      <c r="A160" s="218" t="s">
        <v>124</v>
      </c>
      <c r="B160" s="220" t="s">
        <v>123</v>
      </c>
      <c r="C160" s="221"/>
      <c r="D160" s="222"/>
      <c r="E160" s="218" t="s">
        <v>122</v>
      </c>
      <c r="F160" s="218" t="s">
        <v>121</v>
      </c>
      <c r="G160" s="218" t="s">
        <v>120</v>
      </c>
      <c r="H160" s="218" t="s">
        <v>119</v>
      </c>
      <c r="I160" s="6"/>
    </row>
    <row r="161" spans="1:9" ht="19.5" customHeight="1" x14ac:dyDescent="0.25">
      <c r="A161" s="219"/>
      <c r="B161" s="158" t="s">
        <v>118</v>
      </c>
      <c r="C161" s="158" t="s">
        <v>117</v>
      </c>
      <c r="D161" s="158" t="s">
        <v>116</v>
      </c>
      <c r="E161" s="219"/>
      <c r="F161" s="219"/>
      <c r="G161" s="219"/>
      <c r="H161" s="219"/>
      <c r="I161" s="6"/>
    </row>
    <row r="162" spans="1:9" ht="19.5" customHeight="1" x14ac:dyDescent="0.25">
      <c r="A162" s="5" t="str">
        <f t="shared" ref="A162:A167" si="20">A150</f>
        <v>1年以内</v>
      </c>
      <c r="B162" s="171">
        <f t="shared" ref="B162:B167" si="21">F140</f>
        <v>0.84923076923076923</v>
      </c>
      <c r="C162" s="171">
        <f>G150</f>
        <v>0.17934284460232264</v>
      </c>
      <c r="D162" s="166">
        <f t="shared" ref="D162:D167" si="22">B162*(1-C162)</f>
        <v>0.69692730735310449</v>
      </c>
      <c r="E162" s="30" t="s">
        <v>115</v>
      </c>
      <c r="F162" s="166">
        <f t="shared" ref="F162:F167" si="23">1-D162</f>
        <v>0.30307269264689551</v>
      </c>
      <c r="G162" s="160">
        <f>F162*G163</f>
        <v>1.0910616935288239E-2</v>
      </c>
      <c r="H162" s="43"/>
      <c r="I162" s="133"/>
    </row>
    <row r="163" spans="1:9" ht="19.5" customHeight="1" x14ac:dyDescent="0.25">
      <c r="A163" s="5" t="str">
        <f t="shared" si="20"/>
        <v>1年-2年</v>
      </c>
      <c r="B163" s="171">
        <f t="shared" si="21"/>
        <v>0.7</v>
      </c>
      <c r="C163" s="171">
        <f>G151</f>
        <v>0</v>
      </c>
      <c r="D163" s="166">
        <f t="shared" si="22"/>
        <v>0.7</v>
      </c>
      <c r="E163" s="84"/>
      <c r="F163" s="166">
        <f t="shared" si="23"/>
        <v>0.30000000000000004</v>
      </c>
      <c r="G163" s="160">
        <f>F163*G164</f>
        <v>3.6000000000000004E-2</v>
      </c>
      <c r="H163" s="43"/>
      <c r="I163" s="133"/>
    </row>
    <row r="164" spans="1:9" ht="19.5" customHeight="1" x14ac:dyDescent="0.25">
      <c r="A164" s="5" t="str">
        <f t="shared" si="20"/>
        <v>2年-3年</v>
      </c>
      <c r="B164" s="171">
        <f t="shared" si="21"/>
        <v>0.6</v>
      </c>
      <c r="C164" s="171">
        <f>G152</f>
        <v>0</v>
      </c>
      <c r="D164" s="166">
        <f t="shared" si="22"/>
        <v>0.6</v>
      </c>
      <c r="E164" s="84"/>
      <c r="F164" s="166">
        <f t="shared" si="23"/>
        <v>0.4</v>
      </c>
      <c r="G164" s="160">
        <f>F164*G165</f>
        <v>0.12</v>
      </c>
      <c r="H164" s="43"/>
      <c r="I164" s="133"/>
    </row>
    <row r="165" spans="1:9" ht="19.5" customHeight="1" x14ac:dyDescent="0.25">
      <c r="A165" s="5" t="str">
        <f t="shared" si="20"/>
        <v>3年-4年</v>
      </c>
      <c r="B165" s="171">
        <f t="shared" si="21"/>
        <v>0.5</v>
      </c>
      <c r="C165" s="171">
        <f>G153</f>
        <v>0</v>
      </c>
      <c r="D165" s="166">
        <f t="shared" si="22"/>
        <v>0.5</v>
      </c>
      <c r="E165" s="84"/>
      <c r="F165" s="166">
        <f t="shared" si="23"/>
        <v>0.5</v>
      </c>
      <c r="G165" s="160">
        <f>F165*G166</f>
        <v>0.3</v>
      </c>
      <c r="H165" s="43"/>
      <c r="I165" s="133"/>
    </row>
    <row r="166" spans="1:9" ht="19.5" customHeight="1" x14ac:dyDescent="0.25">
      <c r="A166" s="5" t="str">
        <f t="shared" si="20"/>
        <v>4年-5年</v>
      </c>
      <c r="B166" s="171">
        <f t="shared" si="21"/>
        <v>0.4</v>
      </c>
      <c r="C166" s="171">
        <f>G154</f>
        <v>0</v>
      </c>
      <c r="D166" s="166">
        <f t="shared" si="22"/>
        <v>0.4</v>
      </c>
      <c r="E166" s="84"/>
      <c r="F166" s="166">
        <f t="shared" si="23"/>
        <v>0.6</v>
      </c>
      <c r="G166" s="160">
        <f>F166*G167</f>
        <v>0.6</v>
      </c>
      <c r="H166" s="43"/>
      <c r="I166" s="133"/>
    </row>
    <row r="167" spans="1:9" ht="19.5" customHeight="1" x14ac:dyDescent="0.25">
      <c r="A167" s="5" t="str">
        <f t="shared" si="20"/>
        <v>5年以上</v>
      </c>
      <c r="B167" s="171">
        <f t="shared" si="21"/>
        <v>0.2</v>
      </c>
      <c r="C167" s="171">
        <f>G156</f>
        <v>1</v>
      </c>
      <c r="D167" s="166">
        <f t="shared" si="22"/>
        <v>0</v>
      </c>
      <c r="E167" s="30" t="s">
        <v>114</v>
      </c>
      <c r="F167" s="166">
        <f t="shared" si="23"/>
        <v>1</v>
      </c>
      <c r="G167" s="160">
        <f>F167</f>
        <v>1</v>
      </c>
      <c r="H167" s="43"/>
      <c r="I167" s="133"/>
    </row>
    <row r="168" spans="1:9" ht="19.5" customHeight="1" x14ac:dyDescent="0.25">
      <c r="A168" s="111"/>
      <c r="B168" s="111"/>
      <c r="C168" s="111"/>
      <c r="D168" s="111"/>
      <c r="E168" s="111"/>
      <c r="F168" s="111"/>
      <c r="G168" s="111"/>
    </row>
    <row r="169" spans="1:9" ht="19.5" customHeight="1" x14ac:dyDescent="0.25">
      <c r="A169" s="197" t="s">
        <v>619</v>
      </c>
      <c r="B169" s="197"/>
      <c r="C169" s="197"/>
      <c r="D169" s="197"/>
      <c r="E169" s="197"/>
      <c r="F169" s="197"/>
      <c r="G169" s="197"/>
      <c r="H169" s="197"/>
    </row>
    <row r="170" spans="1:9" ht="60.75" customHeight="1" x14ac:dyDescent="0.25">
      <c r="A170" s="199"/>
      <c r="B170" s="199"/>
      <c r="C170" s="199"/>
      <c r="D170" s="199"/>
      <c r="E170" s="199"/>
      <c r="F170" s="199"/>
      <c r="G170" s="199"/>
      <c r="H170" s="199"/>
    </row>
    <row r="171" spans="1:9" ht="19.5" customHeight="1" x14ac:dyDescent="0.25">
      <c r="A171" s="197" t="s">
        <v>620</v>
      </c>
      <c r="B171" s="197"/>
      <c r="C171" s="197"/>
      <c r="D171" s="197"/>
      <c r="E171" s="197"/>
      <c r="F171" s="197"/>
      <c r="G171" s="197"/>
      <c r="H171" s="197"/>
    </row>
    <row r="172" spans="1:9" ht="66" customHeight="1" x14ac:dyDescent="0.25">
      <c r="A172" s="199"/>
      <c r="B172" s="199"/>
      <c r="C172" s="199"/>
      <c r="D172" s="199"/>
      <c r="E172" s="199"/>
      <c r="F172" s="199"/>
      <c r="G172" s="199"/>
      <c r="H172" s="199"/>
    </row>
    <row r="173" spans="1:9" ht="51.75" customHeight="1" x14ac:dyDescent="0.25">
      <c r="A173" s="111"/>
      <c r="B173" s="111"/>
      <c r="C173" s="111"/>
      <c r="D173" s="111"/>
      <c r="E173" s="111"/>
      <c r="F173" s="111"/>
      <c r="G173" s="111"/>
    </row>
    <row r="174" spans="1:9" ht="51.75" customHeight="1" x14ac:dyDescent="0.25">
      <c r="A174" s="111"/>
      <c r="B174" s="111"/>
      <c r="C174" s="111"/>
      <c r="D174" s="111"/>
      <c r="E174" s="111"/>
      <c r="F174" s="111"/>
      <c r="G174" s="111"/>
    </row>
    <row r="175" spans="1:9" ht="51.75" customHeight="1" x14ac:dyDescent="0.25">
      <c r="A175" s="111"/>
      <c r="B175" s="111"/>
      <c r="C175" s="111"/>
      <c r="D175" s="111"/>
      <c r="E175" s="111"/>
      <c r="F175" s="111"/>
      <c r="G175" s="111"/>
    </row>
    <row r="176" spans="1:9" ht="51.75" customHeight="1" x14ac:dyDescent="0.25">
      <c r="A176" s="111"/>
      <c r="B176" s="111"/>
      <c r="C176" s="111"/>
      <c r="D176" s="111"/>
      <c r="E176" s="111"/>
      <c r="F176" s="111"/>
      <c r="G176" s="111"/>
    </row>
    <row r="177" spans="1:7" ht="51.75" customHeight="1" x14ac:dyDescent="0.25">
      <c r="A177" s="111"/>
      <c r="B177" s="111"/>
      <c r="C177" s="111"/>
      <c r="D177" s="111"/>
      <c r="E177" s="111"/>
      <c r="F177" s="111"/>
      <c r="G177" s="111"/>
    </row>
    <row r="178" spans="1:7" ht="51.75" customHeight="1" x14ac:dyDescent="0.25">
      <c r="A178" s="111"/>
      <c r="B178" s="111"/>
      <c r="C178" s="111"/>
      <c r="D178" s="111"/>
      <c r="E178" s="111"/>
      <c r="F178" s="111"/>
      <c r="G178" s="111"/>
    </row>
    <row r="179" spans="1:7" x14ac:dyDescent="0.25">
      <c r="A179" s="111"/>
      <c r="B179" s="111"/>
      <c r="C179" s="111"/>
      <c r="D179" s="111"/>
      <c r="E179" s="111"/>
      <c r="F179" s="111"/>
      <c r="G179" s="111"/>
    </row>
    <row r="180" spans="1:7" x14ac:dyDescent="0.25">
      <c r="A180" s="111"/>
      <c r="B180" s="111"/>
      <c r="C180" s="111"/>
      <c r="D180" s="111"/>
      <c r="E180" s="111"/>
      <c r="F180" s="111"/>
      <c r="G180" s="111"/>
    </row>
  </sheetData>
  <mergeCells count="74">
    <mergeCell ref="A171:H171"/>
    <mergeCell ref="A172:H172"/>
    <mergeCell ref="A64:A65"/>
    <mergeCell ref="B64:D64"/>
    <mergeCell ref="E64:E65"/>
    <mergeCell ref="F64:F65"/>
    <mergeCell ref="A83:H83"/>
    <mergeCell ref="G64:G65"/>
    <mergeCell ref="H64:H65"/>
    <mergeCell ref="E96:E97"/>
    <mergeCell ref="F128:F129"/>
    <mergeCell ref="G160:G161"/>
    <mergeCell ref="H160:H161"/>
    <mergeCell ref="A170:H170"/>
    <mergeCell ref="A160:A161"/>
    <mergeCell ref="B160:D160"/>
    <mergeCell ref="E160:E161"/>
    <mergeCell ref="F160:F161"/>
    <mergeCell ref="A147:H147"/>
    <mergeCell ref="I44:I45"/>
    <mergeCell ref="A51:H51"/>
    <mergeCell ref="I53:I55"/>
    <mergeCell ref="E128:E129"/>
    <mergeCell ref="H128:H129"/>
    <mergeCell ref="A169:H169"/>
    <mergeCell ref="I76:I77"/>
    <mergeCell ref="I85:I87"/>
    <mergeCell ref="I117:I119"/>
    <mergeCell ref="I108:I109"/>
    <mergeCell ref="B96:D96"/>
    <mergeCell ref="I140:I141"/>
    <mergeCell ref="F96:F97"/>
    <mergeCell ref="G96:G97"/>
    <mergeCell ref="H96:H97"/>
    <mergeCell ref="A115:H115"/>
    <mergeCell ref="A96:A97"/>
    <mergeCell ref="G128:G129"/>
    <mergeCell ref="I149:I151"/>
    <mergeCell ref="A128:A129"/>
    <mergeCell ref="B128:D128"/>
    <mergeCell ref="A1:H1"/>
    <mergeCell ref="A2:H2"/>
    <mergeCell ref="A5:H5"/>
    <mergeCell ref="A6:H6"/>
    <mergeCell ref="A7:H7"/>
    <mergeCell ref="A8:H8"/>
    <mergeCell ref="A15:H15"/>
    <mergeCell ref="A17:H17"/>
    <mergeCell ref="A23:H23"/>
    <mergeCell ref="A24:H24"/>
    <mergeCell ref="A9:H9"/>
    <mergeCell ref="A10:H10"/>
    <mergeCell ref="A11:H11"/>
    <mergeCell ref="A12:H12"/>
    <mergeCell ref="A13:H13"/>
    <mergeCell ref="A14:H14"/>
    <mergeCell ref="I17:I19"/>
    <mergeCell ref="A26:A27"/>
    <mergeCell ref="B26:B27"/>
    <mergeCell ref="C26:C27"/>
    <mergeCell ref="E26:E27"/>
    <mergeCell ref="F26:F27"/>
    <mergeCell ref="G26:G27"/>
    <mergeCell ref="H26:H27"/>
    <mergeCell ref="I26:I27"/>
    <mergeCell ref="A36:A38"/>
    <mergeCell ref="B36:B38"/>
    <mergeCell ref="B28:B30"/>
    <mergeCell ref="I28:I29"/>
    <mergeCell ref="I30:I31"/>
    <mergeCell ref="A32:A34"/>
    <mergeCell ref="B32:B34"/>
    <mergeCell ref="I32:I33"/>
    <mergeCell ref="A28:A30"/>
  </mergeCells>
  <phoneticPr fontId="3" type="noConversion"/>
  <printOptions horizontalCentered="1"/>
  <pageMargins left="0.74803149606299213" right="0.55118110236220474" top="0.82677165354330717" bottom="0.23622047244094491" header="0.51181102362204722" footer="0.19685039370078741"/>
  <pageSetup paperSize="9" scale="89" fitToHeight="10" orientation="portrait" blackAndWhite="1" cellComments="atEnd" r:id="rId1"/>
  <headerFooter alignWithMargins="0"/>
  <rowBreaks count="1" manualBreakCount="1">
    <brk id="40" max="7"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L109"/>
  <sheetViews>
    <sheetView view="pageBreakPreview" zoomScaleNormal="130" zoomScaleSheetLayoutView="100" workbookViewId="0">
      <selection sqref="A1:J1"/>
    </sheetView>
  </sheetViews>
  <sheetFormatPr defaultColWidth="9" defaultRowHeight="13.8" x14ac:dyDescent="0.25"/>
  <cols>
    <col min="1" max="1" width="12.44140625" style="1" customWidth="1"/>
    <col min="2" max="2" width="10" style="1" customWidth="1"/>
    <col min="3" max="3" width="9.21875" style="1" customWidth="1"/>
    <col min="4" max="4" width="11.44140625" style="1" customWidth="1"/>
    <col min="5" max="5" width="9.21875" style="1" customWidth="1"/>
    <col min="6" max="6" width="9.109375" style="1" customWidth="1"/>
    <col min="7" max="7" width="8.77734375" style="1" customWidth="1"/>
    <col min="8" max="8" width="11.77734375" style="1" customWidth="1"/>
    <col min="9" max="10" width="9.21875" style="1" customWidth="1"/>
    <col min="11" max="11" width="61" style="128" customWidth="1"/>
    <col min="12" max="16384" width="9" style="1"/>
  </cols>
  <sheetData>
    <row r="1" spans="1:11" s="29" customFormat="1" ht="20.100000000000001" customHeight="1" x14ac:dyDescent="0.25">
      <c r="A1" s="195" t="s">
        <v>111</v>
      </c>
      <c r="B1" s="195"/>
      <c r="C1" s="195"/>
      <c r="D1" s="195"/>
      <c r="E1" s="195"/>
      <c r="F1" s="195"/>
      <c r="G1" s="195"/>
      <c r="H1" s="195"/>
      <c r="I1" s="195"/>
      <c r="J1" s="195"/>
      <c r="K1" s="130"/>
    </row>
    <row r="2" spans="1:11" s="29" customFormat="1" ht="25.2" customHeight="1" x14ac:dyDescent="0.25">
      <c r="A2" s="196" t="s">
        <v>343</v>
      </c>
      <c r="B2" s="269"/>
      <c r="C2" s="269"/>
      <c r="D2" s="269"/>
      <c r="E2" s="269"/>
      <c r="F2" s="269"/>
      <c r="G2" s="269"/>
      <c r="H2" s="269"/>
      <c r="I2" s="269"/>
      <c r="J2" s="269"/>
      <c r="K2" s="130"/>
    </row>
    <row r="3" spans="1:11" ht="20.100000000000001" customHeight="1" x14ac:dyDescent="0.25">
      <c r="A3" s="13" t="str">
        <f>[9]底稿目录!$A$2</f>
        <v>被审计单位名称：</v>
      </c>
      <c r="B3" s="13"/>
      <c r="D3" s="13" t="str">
        <f>[9]底稿目录!$A$4</f>
        <v>编制人：</v>
      </c>
      <c r="E3" s="85"/>
      <c r="G3" s="13" t="str">
        <f>[9]底稿目录!$A$5</f>
        <v>编制日期：</v>
      </c>
      <c r="H3" s="128"/>
      <c r="I3" s="144" t="s">
        <v>459</v>
      </c>
      <c r="J3" s="143" t="s">
        <v>627</v>
      </c>
    </row>
    <row r="4" spans="1:11" ht="20.100000000000001" customHeight="1" x14ac:dyDescent="0.25">
      <c r="A4" s="13" t="str">
        <f>[9]底稿目录!$A$3</f>
        <v>截止日：202X年12月31日</v>
      </c>
      <c r="B4" s="13"/>
      <c r="D4" s="13" t="str">
        <f>[9]底稿目录!$A$6</f>
        <v>复核人：</v>
      </c>
      <c r="E4" s="85"/>
      <c r="G4" s="13" t="str">
        <f>[9]底稿目录!$A$7</f>
        <v>复核日期：</v>
      </c>
      <c r="H4" s="128"/>
      <c r="I4" s="145" t="s">
        <v>621</v>
      </c>
      <c r="J4" s="142"/>
    </row>
    <row r="5" spans="1:11" s="28" customFormat="1" ht="20.100000000000001" customHeight="1" x14ac:dyDescent="0.25">
      <c r="A5" s="254" t="s">
        <v>342</v>
      </c>
      <c r="B5" s="254"/>
      <c r="C5" s="254"/>
      <c r="D5" s="254"/>
      <c r="E5" s="254"/>
      <c r="F5" s="254"/>
      <c r="G5" s="254"/>
      <c r="H5" s="254"/>
      <c r="I5" s="254"/>
      <c r="J5" s="254"/>
      <c r="K5" s="131"/>
    </row>
    <row r="6" spans="1:11" s="28" customFormat="1" ht="36.75" customHeight="1" x14ac:dyDescent="0.25">
      <c r="A6" s="198" t="s">
        <v>341</v>
      </c>
      <c r="B6" s="198"/>
      <c r="C6" s="198"/>
      <c r="D6" s="198"/>
      <c r="E6" s="198"/>
      <c r="F6" s="198"/>
      <c r="G6" s="198"/>
      <c r="H6" s="198"/>
      <c r="I6" s="198"/>
      <c r="J6" s="198"/>
      <c r="K6" s="129" t="s">
        <v>340</v>
      </c>
    </row>
    <row r="7" spans="1:11" s="28" customFormat="1" ht="20.100000000000001" customHeight="1" x14ac:dyDescent="0.25">
      <c r="A7" s="254" t="s">
        <v>339</v>
      </c>
      <c r="B7" s="254"/>
      <c r="C7" s="254"/>
      <c r="D7" s="254"/>
      <c r="E7" s="254"/>
      <c r="F7" s="254"/>
      <c r="G7" s="254"/>
      <c r="H7" s="254"/>
      <c r="I7" s="254"/>
      <c r="J7" s="254"/>
      <c r="K7" s="131"/>
    </row>
    <row r="8" spans="1:11" ht="20.100000000000001" customHeight="1" x14ac:dyDescent="0.25">
      <c r="A8" s="253" t="s">
        <v>338</v>
      </c>
      <c r="B8" s="253"/>
      <c r="C8" s="253"/>
      <c r="D8" s="253"/>
      <c r="E8" s="253"/>
      <c r="F8" s="253"/>
      <c r="G8" s="253"/>
      <c r="H8" s="253"/>
      <c r="I8" s="253"/>
      <c r="J8" s="253"/>
      <c r="K8" s="261" t="s">
        <v>337</v>
      </c>
    </row>
    <row r="9" spans="1:11" ht="20.100000000000001" customHeight="1" x14ac:dyDescent="0.25">
      <c r="A9" s="253" t="s">
        <v>336</v>
      </c>
      <c r="B9" s="253"/>
      <c r="C9" s="253"/>
      <c r="D9" s="253"/>
      <c r="E9" s="253"/>
      <c r="F9" s="253"/>
      <c r="G9" s="253"/>
      <c r="H9" s="253"/>
      <c r="I9" s="253"/>
      <c r="J9" s="253"/>
      <c r="K9" s="262"/>
    </row>
    <row r="10" spans="1:11" ht="20.100000000000001" customHeight="1" x14ac:dyDescent="0.25">
      <c r="A10" s="253" t="s">
        <v>335</v>
      </c>
      <c r="B10" s="253"/>
      <c r="C10" s="253"/>
      <c r="D10" s="253"/>
      <c r="E10" s="253"/>
      <c r="F10" s="253"/>
      <c r="G10" s="253"/>
      <c r="H10" s="253"/>
      <c r="I10" s="253"/>
      <c r="J10" s="253"/>
      <c r="K10" s="262"/>
    </row>
    <row r="11" spans="1:11" ht="19.5" customHeight="1" x14ac:dyDescent="0.25">
      <c r="A11" s="253" t="s">
        <v>334</v>
      </c>
      <c r="B11" s="253"/>
      <c r="C11" s="253"/>
      <c r="D11" s="253"/>
      <c r="E11" s="253"/>
      <c r="F11" s="253"/>
      <c r="G11" s="253"/>
      <c r="H11" s="253"/>
      <c r="I11" s="253"/>
      <c r="J11" s="253"/>
      <c r="K11" s="232"/>
    </row>
    <row r="12" spans="1:11" ht="19.5" customHeight="1" x14ac:dyDescent="0.25">
      <c r="A12" s="253" t="s">
        <v>333</v>
      </c>
      <c r="B12" s="253"/>
      <c r="C12" s="253"/>
      <c r="D12" s="253"/>
      <c r="E12" s="253"/>
      <c r="F12" s="253"/>
      <c r="G12" s="253"/>
      <c r="H12" s="253"/>
      <c r="I12" s="253"/>
      <c r="J12" s="253"/>
      <c r="K12" s="129"/>
    </row>
    <row r="13" spans="1:11" ht="19.5" customHeight="1" x14ac:dyDescent="0.25">
      <c r="A13" s="8" t="s">
        <v>332</v>
      </c>
      <c r="B13" s="2"/>
      <c r="C13" s="2"/>
      <c r="D13" s="2"/>
      <c r="E13" s="2"/>
      <c r="F13" s="2"/>
      <c r="G13" s="2"/>
      <c r="H13" s="2"/>
      <c r="I13" s="2"/>
    </row>
    <row r="14" spans="1:11" ht="43.5" customHeight="1" x14ac:dyDescent="0.25">
      <c r="A14" s="158" t="s">
        <v>331</v>
      </c>
      <c r="B14" s="176" t="s">
        <v>136</v>
      </c>
      <c r="C14" s="176" t="s">
        <v>330</v>
      </c>
      <c r="D14" s="176" t="s">
        <v>133</v>
      </c>
      <c r="E14" s="176" t="s">
        <v>329</v>
      </c>
      <c r="F14" s="176" t="s">
        <v>328</v>
      </c>
      <c r="G14" s="176" t="s">
        <v>327</v>
      </c>
      <c r="H14" s="176" t="s">
        <v>326</v>
      </c>
      <c r="I14" s="158" t="s">
        <v>325</v>
      </c>
      <c r="J14" s="158" t="s">
        <v>324</v>
      </c>
      <c r="K14" s="6"/>
    </row>
    <row r="15" spans="1:11" ht="19.5" customHeight="1" x14ac:dyDescent="0.25">
      <c r="A15" s="5" t="s">
        <v>323</v>
      </c>
      <c r="B15" s="26">
        <v>6.0999999999999999E-2</v>
      </c>
      <c r="C15" s="26">
        <v>0.13</v>
      </c>
      <c r="D15" s="26">
        <v>8.3000000000000004E-2</v>
      </c>
      <c r="E15" s="26">
        <v>2.8000000000000001E-2</v>
      </c>
      <c r="F15" s="26">
        <v>2.7E-2</v>
      </c>
      <c r="G15" s="26">
        <v>2.3E-2</v>
      </c>
      <c r="H15" s="26">
        <v>-0.32650000000000001</v>
      </c>
      <c r="I15" s="4">
        <f>(I31-G31)/G31</f>
        <v>0.16627452326599257</v>
      </c>
      <c r="J15" s="4"/>
      <c r="K15" s="146"/>
    </row>
    <row r="16" spans="1:11" ht="19.5" customHeight="1" x14ac:dyDescent="0.25">
      <c r="A16" s="5" t="s">
        <v>322</v>
      </c>
      <c r="B16" s="26">
        <v>6.6000000000000003E-2</v>
      </c>
      <c r="C16" s="26">
        <v>6.9900000000000004E-2</v>
      </c>
      <c r="D16" s="26">
        <v>0.09</v>
      </c>
      <c r="E16" s="26">
        <v>1.9E-2</v>
      </c>
      <c r="F16" s="26">
        <v>1.9E-2</v>
      </c>
      <c r="G16" s="26">
        <v>2.1000000000000001E-2</v>
      </c>
      <c r="H16" s="26">
        <v>-0.5343</v>
      </c>
      <c r="I16" s="4">
        <f>(G31-E31)/E31</f>
        <v>0.31737062937062943</v>
      </c>
      <c r="J16" s="4"/>
      <c r="K16" s="133"/>
    </row>
    <row r="17" spans="1:11" ht="19.5" customHeight="1" x14ac:dyDescent="0.25">
      <c r="A17" s="5" t="s">
        <v>321</v>
      </c>
      <c r="B17" s="26">
        <v>6.9000000000000006E-2</v>
      </c>
      <c r="C17" s="26">
        <v>8.1100000000000005E-2</v>
      </c>
      <c r="D17" s="26">
        <v>0.10199999999999999</v>
      </c>
      <c r="E17" s="26">
        <v>1.7999999999999999E-2</v>
      </c>
      <c r="F17" s="26">
        <v>1.4999999999999999E-2</v>
      </c>
      <c r="G17" s="26">
        <v>8.9999999999999993E-3</v>
      </c>
      <c r="H17" s="26">
        <v>-2.29E-2</v>
      </c>
      <c r="I17" s="4">
        <v>0.25</v>
      </c>
      <c r="J17" s="4"/>
      <c r="K17" s="129"/>
    </row>
    <row r="18" spans="1:11" ht="19.5" customHeight="1" x14ac:dyDescent="0.25">
      <c r="A18" s="5" t="s">
        <v>320</v>
      </c>
      <c r="B18" s="26">
        <v>7.2999999999999995E-2</v>
      </c>
      <c r="C18" s="26">
        <v>0.1133</v>
      </c>
      <c r="D18" s="26">
        <v>0.104</v>
      </c>
      <c r="E18" s="26">
        <v>2.1000000000000001E-2</v>
      </c>
      <c r="F18" s="26">
        <v>1.9E-2</v>
      </c>
      <c r="G18" s="26">
        <v>2.3E-2</v>
      </c>
      <c r="H18" s="26">
        <v>6.5199999999999994E-2</v>
      </c>
      <c r="I18" s="4">
        <v>0.185</v>
      </c>
      <c r="J18" s="4"/>
      <c r="K18" s="129"/>
    </row>
    <row r="19" spans="1:11" ht="19.5" customHeight="1" x14ac:dyDescent="0.25">
      <c r="A19" s="5" t="s">
        <v>319</v>
      </c>
      <c r="B19" s="26">
        <v>7.8E-2</v>
      </c>
      <c r="C19" s="26">
        <v>0.13339999999999999</v>
      </c>
      <c r="D19" s="26">
        <v>0.107</v>
      </c>
      <c r="E19" s="26">
        <v>1.6E-2</v>
      </c>
      <c r="F19" s="26">
        <v>1.4E-2</v>
      </c>
      <c r="G19" s="26">
        <v>1.4E-2</v>
      </c>
      <c r="H19" s="26">
        <v>6.8099999999999994E-2</v>
      </c>
      <c r="I19" s="4">
        <v>0.16</v>
      </c>
      <c r="J19" s="4"/>
      <c r="K19" s="129"/>
    </row>
    <row r="20" spans="1:11" ht="19.5" customHeight="1" x14ac:dyDescent="0.25">
      <c r="A20" s="5" t="s">
        <v>318</v>
      </c>
      <c r="B20" s="26">
        <v>7.9000000000000001E-2</v>
      </c>
      <c r="C20" s="26">
        <v>0.1101</v>
      </c>
      <c r="D20" s="26">
        <v>0.1195</v>
      </c>
      <c r="E20" s="26">
        <v>1.4999999999999999E-2</v>
      </c>
      <c r="F20" s="26">
        <v>2.3E-2</v>
      </c>
      <c r="G20" s="26">
        <v>2.4E-2</v>
      </c>
      <c r="H20" s="26">
        <v>0.1258</v>
      </c>
      <c r="I20" s="4">
        <v>0.14000000000000001</v>
      </c>
      <c r="J20" s="4"/>
      <c r="K20" s="129"/>
    </row>
    <row r="21" spans="1:11" ht="19.5" customHeight="1" x14ac:dyDescent="0.25">
      <c r="A21" s="5" t="s">
        <v>317</v>
      </c>
      <c r="B21" s="4"/>
      <c r="C21" s="4"/>
      <c r="D21" s="46"/>
      <c r="E21" s="4"/>
      <c r="F21" s="4"/>
      <c r="G21" s="4"/>
      <c r="H21" s="4"/>
      <c r="I21" s="4"/>
      <c r="J21" s="4"/>
      <c r="K21" s="7"/>
    </row>
    <row r="22" spans="1:11" ht="69" customHeight="1" x14ac:dyDescent="0.25">
      <c r="A22" s="259" t="s">
        <v>316</v>
      </c>
      <c r="B22" s="260"/>
      <c r="C22" s="260"/>
      <c r="D22" s="260"/>
      <c r="E22" s="260"/>
      <c r="F22" s="260"/>
      <c r="G22" s="260"/>
      <c r="H22" s="260"/>
      <c r="I22" s="260"/>
      <c r="J22" s="260"/>
      <c r="K22" s="129" t="s">
        <v>315</v>
      </c>
    </row>
    <row r="23" spans="1:11" ht="19.5" customHeight="1" x14ac:dyDescent="0.25">
      <c r="A23" s="51" t="s">
        <v>314</v>
      </c>
      <c r="B23" s="50"/>
      <c r="C23" s="50"/>
      <c r="D23" s="50"/>
      <c r="E23" s="50"/>
      <c r="F23" s="50"/>
      <c r="G23" s="50"/>
      <c r="H23" s="50"/>
      <c r="I23" s="50"/>
      <c r="J23" s="50"/>
      <c r="K23" s="129"/>
    </row>
    <row r="24" spans="1:11" ht="39.75" customHeight="1" x14ac:dyDescent="0.25">
      <c r="A24" s="158" t="s">
        <v>124</v>
      </c>
      <c r="B24" s="158" t="s">
        <v>313</v>
      </c>
      <c r="C24" s="158" t="s">
        <v>312</v>
      </c>
      <c r="D24" s="158" t="s">
        <v>51</v>
      </c>
      <c r="E24" s="158" t="s">
        <v>311</v>
      </c>
      <c r="F24" s="158" t="s">
        <v>310</v>
      </c>
      <c r="G24" s="158" t="s">
        <v>309</v>
      </c>
      <c r="H24" s="158" t="s">
        <v>308</v>
      </c>
      <c r="I24" s="158" t="s">
        <v>307</v>
      </c>
      <c r="J24" s="158" t="s">
        <v>306</v>
      </c>
      <c r="K24" s="147" t="s">
        <v>305</v>
      </c>
    </row>
    <row r="25" spans="1:11" ht="19.5" customHeight="1" x14ac:dyDescent="0.25">
      <c r="A25" s="49" t="str">
        <f>'预期信用损失的计量测试D2-10'!A75</f>
        <v>1年以内</v>
      </c>
      <c r="B25" s="178">
        <f>'预期信用损失的计量测试D2-10'!B75</f>
        <v>0</v>
      </c>
      <c r="C25" s="179">
        <f>B25*C26</f>
        <v>0</v>
      </c>
      <c r="D25" s="178">
        <f>'预期信用损失的计量测试D2-10'!C75</f>
        <v>0.21428571428571427</v>
      </c>
      <c r="E25" s="179">
        <f>D25*E26</f>
        <v>4.6875E-2</v>
      </c>
      <c r="F25" s="178">
        <f>'预期信用损失的计量测试D2-10'!D75</f>
        <v>0.22727272727272727</v>
      </c>
      <c r="G25" s="179">
        <f>F25*G26</f>
        <v>6.0606060606060601E-2</v>
      </c>
      <c r="H25" s="180">
        <f>'预期信用损失的计量测试D2-10'!E75</f>
        <v>0.21341463414634146</v>
      </c>
      <c r="I25" s="179">
        <f>H25*I26</f>
        <v>5.8536585365853648E-2</v>
      </c>
      <c r="J25" s="178">
        <f>AVERAGE(E25,G25,I25)</f>
        <v>5.5339215323971423E-2</v>
      </c>
      <c r="K25" s="148"/>
    </row>
    <row r="26" spans="1:11" ht="19.5" customHeight="1" x14ac:dyDescent="0.25">
      <c r="A26" s="49" t="str">
        <f>'预期信用损失的计量测试D2-10'!A76</f>
        <v>1年-2年</v>
      </c>
      <c r="B26" s="178">
        <f>'预期信用损失的计量测试D2-10'!B76</f>
        <v>0</v>
      </c>
      <c r="C26" s="179">
        <f>B26*C27</f>
        <v>0</v>
      </c>
      <c r="D26" s="178">
        <f>'预期信用损失的计量测试D2-10'!C76</f>
        <v>0.4375</v>
      </c>
      <c r="E26" s="179">
        <f>D26*E27</f>
        <v>0.21875</v>
      </c>
      <c r="F26" s="178">
        <f>'预期信用损失的计量测试D2-10'!D76</f>
        <v>0.46666666666666667</v>
      </c>
      <c r="G26" s="179">
        <f>F26*G27</f>
        <v>0.26666666666666666</v>
      </c>
      <c r="H26" s="180">
        <f>'预期信用损失的计量测试D2-10'!E76</f>
        <v>0.48</v>
      </c>
      <c r="I26" s="179">
        <f>H26*I27</f>
        <v>0.27428571428571424</v>
      </c>
      <c r="J26" s="178">
        <f>AVERAGE(E26,G26,I26)</f>
        <v>0.25323412698412695</v>
      </c>
    </row>
    <row r="27" spans="1:11" ht="19.5" customHeight="1" x14ac:dyDescent="0.25">
      <c r="A27" s="49" t="str">
        <f>'预期信用损失的计量测试D2-10'!A77</f>
        <v>2年-3年</v>
      </c>
      <c r="B27" s="178">
        <f>'预期信用损失的计量测试D2-10'!B77</f>
        <v>0</v>
      </c>
      <c r="C27" s="179">
        <f>B27*C28</f>
        <v>0</v>
      </c>
      <c r="D27" s="178">
        <f>'预期信用损失的计量测试D2-10'!C77</f>
        <v>0.5</v>
      </c>
      <c r="E27" s="179">
        <f>D27*E28</f>
        <v>0.5</v>
      </c>
      <c r="F27" s="178">
        <f>'预期信用损失的计量测试D2-10'!D77</f>
        <v>0.5714285714285714</v>
      </c>
      <c r="G27" s="179">
        <f>F27*G28</f>
        <v>0.5714285714285714</v>
      </c>
      <c r="H27" s="180">
        <f>'预期信用损失的计量测试D2-10'!E77</f>
        <v>0.5714285714285714</v>
      </c>
      <c r="I27" s="179">
        <f>H27*I28</f>
        <v>0.5714285714285714</v>
      </c>
      <c r="J27" s="178">
        <f>AVERAGE(E27,G27,I27)</f>
        <v>0.54761904761904756</v>
      </c>
    </row>
    <row r="28" spans="1:11" ht="19.5" customHeight="1" x14ac:dyDescent="0.25">
      <c r="A28" s="49" t="str">
        <f>'预期信用损失的计量测试D2-10'!A78</f>
        <v>3年以上</v>
      </c>
      <c r="B28" s="178">
        <f>'预期信用损失的计量测试D2-10'!B78</f>
        <v>0</v>
      </c>
      <c r="C28" s="178">
        <f>B28</f>
        <v>0</v>
      </c>
      <c r="D28" s="178">
        <f>'预期信用损失的计量测试D2-10'!C78</f>
        <v>1</v>
      </c>
      <c r="E28" s="178">
        <f>D28</f>
        <v>1</v>
      </c>
      <c r="F28" s="178">
        <f>'预期信用损失的计量测试D2-10'!D78</f>
        <v>1</v>
      </c>
      <c r="G28" s="178">
        <f>F28</f>
        <v>1</v>
      </c>
      <c r="H28" s="180">
        <f>'预期信用损失的计量测试D2-10'!E78</f>
        <v>1</v>
      </c>
      <c r="I28" s="178">
        <f>H28</f>
        <v>1</v>
      </c>
      <c r="J28" s="178">
        <f>AVERAGE(E28,G28,I28)</f>
        <v>1</v>
      </c>
    </row>
    <row r="29" spans="1:11" ht="19.5" customHeight="1" x14ac:dyDescent="0.25">
      <c r="A29" s="48"/>
      <c r="B29" s="178"/>
      <c r="C29" s="181"/>
      <c r="D29" s="178"/>
      <c r="E29" s="181"/>
      <c r="F29" s="178"/>
      <c r="G29" s="178"/>
      <c r="H29" s="180"/>
      <c r="I29" s="181"/>
      <c r="J29" s="178"/>
    </row>
    <row r="30" spans="1:11" ht="19.5" customHeight="1" x14ac:dyDescent="0.25">
      <c r="A30" s="48"/>
      <c r="B30" s="178"/>
      <c r="C30" s="181"/>
      <c r="D30" s="178"/>
      <c r="E30" s="181"/>
      <c r="F30" s="178"/>
      <c r="G30" s="178"/>
      <c r="H30" s="180"/>
      <c r="I30" s="181"/>
      <c r="J30" s="178"/>
    </row>
    <row r="31" spans="1:11" ht="19.5" customHeight="1" x14ac:dyDescent="0.25">
      <c r="A31" s="168" t="s">
        <v>304</v>
      </c>
      <c r="B31" s="182" t="s">
        <v>303</v>
      </c>
      <c r="C31" s="182"/>
      <c r="D31" s="182" t="s">
        <v>303</v>
      </c>
      <c r="E31" s="182">
        <f t="array" ref="E31">SUM(E25:E28*'预期信用损失的计量测试D2-10'!D67:D70)/'预期信用损失的计量测试D2-10'!D73</f>
        <v>9.3390804597701146E-2</v>
      </c>
      <c r="F31" s="182" t="s">
        <v>302</v>
      </c>
      <c r="G31" s="182">
        <f t="array" ref="G31">SUM(G25:G28*'预期信用损失的计量测试D2-10'!E67:E70)/'预期信用损失的计量测试D2-10'!E73</f>
        <v>0.12303030303030303</v>
      </c>
      <c r="H31" s="182" t="s">
        <v>302</v>
      </c>
      <c r="I31" s="182">
        <f t="array" ref="I31">SUM(I25:I28*'预期信用损失的计量测试D2-10'!F67:F70)/'预期信用损失的计量测试D2-10'!F73</f>
        <v>0.14348710801393727</v>
      </c>
      <c r="J31" s="183">
        <f>AVERAGE(E31,G31,I31)</f>
        <v>0.11996940521398047</v>
      </c>
    </row>
    <row r="32" spans="1:11" ht="19.5" customHeight="1" x14ac:dyDescent="0.25">
      <c r="A32" s="168" t="s">
        <v>301</v>
      </c>
      <c r="B32" s="182"/>
      <c r="C32" s="182"/>
      <c r="D32" s="182"/>
      <c r="E32" s="182"/>
      <c r="F32" s="182"/>
      <c r="G32" s="184">
        <f>G31/E31</f>
        <v>1.3173706293706293</v>
      </c>
      <c r="H32" s="182"/>
      <c r="I32" s="184">
        <f>I31/G31</f>
        <v>1.1662745232659926</v>
      </c>
      <c r="J32" s="183"/>
    </row>
    <row r="33" spans="1:11" ht="19.5" customHeight="1" x14ac:dyDescent="0.25">
      <c r="A33" s="8" t="s">
        <v>300</v>
      </c>
      <c r="B33" s="47"/>
      <c r="C33" s="47"/>
      <c r="D33" s="47"/>
      <c r="E33" s="47"/>
      <c r="F33" s="47"/>
      <c r="G33" s="47"/>
      <c r="H33" s="47"/>
      <c r="I33" s="47"/>
      <c r="J33" s="47"/>
    </row>
    <row r="34" spans="1:11" ht="28.5" customHeight="1" x14ac:dyDescent="0.25">
      <c r="A34" s="158" t="s">
        <v>299</v>
      </c>
      <c r="B34" s="263" t="s">
        <v>298</v>
      </c>
      <c r="C34" s="264"/>
      <c r="D34" s="264"/>
      <c r="E34" s="265"/>
      <c r="F34" s="185" t="s">
        <v>297</v>
      </c>
      <c r="G34" s="185" t="s">
        <v>296</v>
      </c>
      <c r="H34" s="185" t="s">
        <v>295</v>
      </c>
      <c r="I34" s="185" t="s">
        <v>294</v>
      </c>
      <c r="J34" s="185" t="s">
        <v>293</v>
      </c>
      <c r="K34" s="6"/>
    </row>
    <row r="35" spans="1:11" ht="19.5" customHeight="1" x14ac:dyDescent="0.25">
      <c r="A35" s="255" t="s">
        <v>292</v>
      </c>
      <c r="B35" s="4" t="s">
        <v>291</v>
      </c>
      <c r="C35" s="238" t="s">
        <v>276</v>
      </c>
      <c r="D35" s="239"/>
      <c r="E35" s="239"/>
      <c r="F35" s="46">
        <v>100</v>
      </c>
      <c r="G35" s="242">
        <v>0.35</v>
      </c>
      <c r="H35" s="250" t="s">
        <v>275</v>
      </c>
      <c r="I35" s="245" t="s">
        <v>284</v>
      </c>
      <c r="J35" s="235">
        <f>VLOOKUP(H35,B35:F41,5,0)*G35</f>
        <v>17.5</v>
      </c>
      <c r="K35" s="129" t="s">
        <v>290</v>
      </c>
    </row>
    <row r="36" spans="1:11" ht="19.5" customHeight="1" x14ac:dyDescent="0.25">
      <c r="A36" s="256"/>
      <c r="B36" s="4" t="s">
        <v>289</v>
      </c>
      <c r="C36" s="238" t="s">
        <v>273</v>
      </c>
      <c r="D36" s="239"/>
      <c r="E36" s="239"/>
      <c r="F36" s="46">
        <v>80</v>
      </c>
      <c r="G36" s="243"/>
      <c r="H36" s="251"/>
      <c r="I36" s="246"/>
      <c r="J36" s="236"/>
      <c r="K36" s="129" t="s">
        <v>288</v>
      </c>
    </row>
    <row r="37" spans="1:11" ht="19.5" customHeight="1" x14ac:dyDescent="0.25">
      <c r="A37" s="256"/>
      <c r="B37" s="4" t="s">
        <v>257</v>
      </c>
      <c r="C37" s="238" t="s">
        <v>272</v>
      </c>
      <c r="D37" s="239"/>
      <c r="E37" s="239"/>
      <c r="F37" s="46">
        <v>65</v>
      </c>
      <c r="G37" s="243"/>
      <c r="H37" s="251"/>
      <c r="I37" s="246"/>
      <c r="J37" s="236"/>
      <c r="K37" s="129" t="s">
        <v>287</v>
      </c>
    </row>
    <row r="38" spans="1:11" ht="19.5" customHeight="1" x14ac:dyDescent="0.25">
      <c r="A38" s="256"/>
      <c r="B38" s="4" t="s">
        <v>271</v>
      </c>
      <c r="C38" s="238" t="s">
        <v>254</v>
      </c>
      <c r="D38" s="239"/>
      <c r="E38" s="239"/>
      <c r="F38" s="46">
        <v>50</v>
      </c>
      <c r="G38" s="243"/>
      <c r="H38" s="251"/>
      <c r="I38" s="246"/>
      <c r="J38" s="236"/>
      <c r="K38" s="129" t="s">
        <v>286</v>
      </c>
    </row>
    <row r="39" spans="1:11" ht="19.5" customHeight="1" x14ac:dyDescent="0.25">
      <c r="A39" s="256"/>
      <c r="B39" s="4" t="s">
        <v>253</v>
      </c>
      <c r="C39" s="238" t="s">
        <v>280</v>
      </c>
      <c r="D39" s="239"/>
      <c r="E39" s="239"/>
      <c r="F39" s="46">
        <v>35</v>
      </c>
      <c r="G39" s="243"/>
      <c r="H39" s="251"/>
      <c r="I39" s="246"/>
      <c r="J39" s="236"/>
      <c r="K39" s="149"/>
    </row>
    <row r="40" spans="1:11" ht="19.5" customHeight="1" x14ac:dyDescent="0.25">
      <c r="A40" s="256"/>
      <c r="B40" s="4" t="s">
        <v>268</v>
      </c>
      <c r="C40" s="238" t="s">
        <v>279</v>
      </c>
      <c r="D40" s="239"/>
      <c r="E40" s="239"/>
      <c r="F40" s="46">
        <v>20</v>
      </c>
      <c r="G40" s="243"/>
      <c r="H40" s="251"/>
      <c r="I40" s="246"/>
      <c r="J40" s="236"/>
      <c r="K40" s="149"/>
    </row>
    <row r="41" spans="1:11" ht="19.5" customHeight="1" x14ac:dyDescent="0.25">
      <c r="A41" s="257"/>
      <c r="B41" s="4" t="s">
        <v>278</v>
      </c>
      <c r="C41" s="238" t="s">
        <v>265</v>
      </c>
      <c r="D41" s="239"/>
      <c r="E41" s="239"/>
      <c r="F41" s="46">
        <v>0</v>
      </c>
      <c r="G41" s="244"/>
      <c r="H41" s="252"/>
      <c r="I41" s="247"/>
      <c r="J41" s="237"/>
      <c r="K41" s="129"/>
    </row>
    <row r="42" spans="1:11" ht="19.5" customHeight="1" x14ac:dyDescent="0.25">
      <c r="A42" s="255" t="s">
        <v>285</v>
      </c>
      <c r="B42" s="4" t="s">
        <v>263</v>
      </c>
      <c r="C42" s="238" t="s">
        <v>262</v>
      </c>
      <c r="D42" s="239"/>
      <c r="E42" s="239"/>
      <c r="F42" s="46">
        <v>100</v>
      </c>
      <c r="G42" s="242">
        <v>0.35</v>
      </c>
      <c r="H42" s="250" t="s">
        <v>275</v>
      </c>
      <c r="I42" s="245" t="s">
        <v>284</v>
      </c>
      <c r="J42" s="235">
        <f>VLOOKUP(H42,B42:F48,5,0)*G42</f>
        <v>17.5</v>
      </c>
      <c r="K42" s="129"/>
    </row>
    <row r="43" spans="1:11" ht="19.5" customHeight="1" x14ac:dyDescent="0.25">
      <c r="A43" s="256"/>
      <c r="B43" s="4" t="s">
        <v>259</v>
      </c>
      <c r="C43" s="238" t="s">
        <v>273</v>
      </c>
      <c r="D43" s="239"/>
      <c r="E43" s="239"/>
      <c r="F43" s="46">
        <v>80</v>
      </c>
      <c r="G43" s="243"/>
      <c r="H43" s="251"/>
      <c r="I43" s="246"/>
      <c r="J43" s="236"/>
      <c r="K43" s="129"/>
    </row>
    <row r="44" spans="1:11" ht="19.5" customHeight="1" x14ac:dyDescent="0.25">
      <c r="A44" s="256"/>
      <c r="B44" s="4" t="s">
        <v>283</v>
      </c>
      <c r="C44" s="238" t="s">
        <v>272</v>
      </c>
      <c r="D44" s="239"/>
      <c r="E44" s="239"/>
      <c r="F44" s="46">
        <v>65</v>
      </c>
      <c r="G44" s="243"/>
      <c r="H44" s="251"/>
      <c r="I44" s="246"/>
      <c r="J44" s="236"/>
      <c r="K44" s="129"/>
    </row>
    <row r="45" spans="1:11" ht="19.5" customHeight="1" x14ac:dyDescent="0.25">
      <c r="A45" s="256"/>
      <c r="B45" s="4" t="s">
        <v>282</v>
      </c>
      <c r="C45" s="238" t="s">
        <v>254</v>
      </c>
      <c r="D45" s="239"/>
      <c r="E45" s="239"/>
      <c r="F45" s="46">
        <v>50</v>
      </c>
      <c r="G45" s="243"/>
      <c r="H45" s="251"/>
      <c r="I45" s="246"/>
      <c r="J45" s="236"/>
      <c r="K45" s="129"/>
    </row>
    <row r="46" spans="1:11" ht="19.5" customHeight="1" x14ac:dyDescent="0.25">
      <c r="A46" s="256"/>
      <c r="B46" s="4" t="s">
        <v>281</v>
      </c>
      <c r="C46" s="238" t="s">
        <v>280</v>
      </c>
      <c r="D46" s="239"/>
      <c r="E46" s="239"/>
      <c r="F46" s="46">
        <v>35</v>
      </c>
      <c r="G46" s="243"/>
      <c r="H46" s="251"/>
      <c r="I46" s="246"/>
      <c r="J46" s="236"/>
      <c r="K46" s="129"/>
    </row>
    <row r="47" spans="1:11" ht="19.5" customHeight="1" x14ac:dyDescent="0.25">
      <c r="A47" s="256"/>
      <c r="B47" s="4" t="s">
        <v>268</v>
      </c>
      <c r="C47" s="238" t="s">
        <v>279</v>
      </c>
      <c r="D47" s="239"/>
      <c r="E47" s="239"/>
      <c r="F47" s="46">
        <v>20</v>
      </c>
      <c r="G47" s="243"/>
      <c r="H47" s="251"/>
      <c r="I47" s="246"/>
      <c r="J47" s="236"/>
      <c r="K47" s="129"/>
    </row>
    <row r="48" spans="1:11" ht="19.5" customHeight="1" x14ac:dyDescent="0.25">
      <c r="A48" s="257"/>
      <c r="B48" s="4" t="s">
        <v>278</v>
      </c>
      <c r="C48" s="238" t="s">
        <v>265</v>
      </c>
      <c r="D48" s="239"/>
      <c r="E48" s="239"/>
      <c r="F48" s="46">
        <v>0</v>
      </c>
      <c r="G48" s="244"/>
      <c r="H48" s="252"/>
      <c r="I48" s="247"/>
      <c r="J48" s="237"/>
      <c r="K48" s="129"/>
    </row>
    <row r="49" spans="1:11" ht="19.5" customHeight="1" x14ac:dyDescent="0.25">
      <c r="A49" s="255" t="s">
        <v>277</v>
      </c>
      <c r="B49" s="4" t="s">
        <v>263</v>
      </c>
      <c r="C49" s="238" t="s">
        <v>276</v>
      </c>
      <c r="D49" s="239"/>
      <c r="E49" s="239"/>
      <c r="F49" s="46">
        <v>100</v>
      </c>
      <c r="G49" s="242">
        <v>0.2</v>
      </c>
      <c r="H49" s="250" t="s">
        <v>275</v>
      </c>
      <c r="I49" s="245" t="s">
        <v>260</v>
      </c>
      <c r="J49" s="235">
        <f>VLOOKUP(H49,B49:F55,5,0)*G49</f>
        <v>10</v>
      </c>
      <c r="K49" s="129"/>
    </row>
    <row r="50" spans="1:11" ht="19.5" customHeight="1" x14ac:dyDescent="0.25">
      <c r="A50" s="256"/>
      <c r="B50" s="4" t="s">
        <v>274</v>
      </c>
      <c r="C50" s="238" t="s">
        <v>273</v>
      </c>
      <c r="D50" s="239"/>
      <c r="E50" s="239"/>
      <c r="F50" s="46">
        <v>80</v>
      </c>
      <c r="G50" s="243"/>
      <c r="H50" s="251"/>
      <c r="I50" s="246"/>
      <c r="J50" s="236"/>
      <c r="K50" s="129"/>
    </row>
    <row r="51" spans="1:11" ht="19.5" customHeight="1" x14ac:dyDescent="0.25">
      <c r="A51" s="256"/>
      <c r="B51" s="4" t="s">
        <v>257</v>
      </c>
      <c r="C51" s="238" t="s">
        <v>272</v>
      </c>
      <c r="D51" s="239"/>
      <c r="E51" s="239"/>
      <c r="F51" s="46">
        <v>65</v>
      </c>
      <c r="G51" s="243"/>
      <c r="H51" s="251"/>
      <c r="I51" s="246"/>
      <c r="J51" s="236"/>
      <c r="K51" s="129"/>
    </row>
    <row r="52" spans="1:11" ht="19.5" customHeight="1" x14ac:dyDescent="0.25">
      <c r="A52" s="256"/>
      <c r="B52" s="4" t="s">
        <v>271</v>
      </c>
      <c r="C52" s="238" t="s">
        <v>270</v>
      </c>
      <c r="D52" s="239"/>
      <c r="E52" s="239"/>
      <c r="F52" s="46">
        <v>50</v>
      </c>
      <c r="G52" s="243"/>
      <c r="H52" s="251"/>
      <c r="I52" s="246"/>
      <c r="J52" s="236"/>
      <c r="K52" s="129"/>
    </row>
    <row r="53" spans="1:11" ht="19.5" customHeight="1" x14ac:dyDescent="0.25">
      <c r="A53" s="256"/>
      <c r="B53" s="4" t="s">
        <v>269</v>
      </c>
      <c r="C53" s="238" t="s">
        <v>252</v>
      </c>
      <c r="D53" s="239"/>
      <c r="E53" s="239"/>
      <c r="F53" s="46">
        <v>35</v>
      </c>
      <c r="G53" s="243"/>
      <c r="H53" s="251"/>
      <c r="I53" s="246"/>
      <c r="J53" s="236"/>
      <c r="K53" s="129"/>
    </row>
    <row r="54" spans="1:11" ht="19.5" customHeight="1" x14ac:dyDescent="0.25">
      <c r="A54" s="256"/>
      <c r="B54" s="4" t="s">
        <v>268</v>
      </c>
      <c r="C54" s="238" t="s">
        <v>267</v>
      </c>
      <c r="D54" s="239"/>
      <c r="E54" s="239"/>
      <c r="F54" s="46">
        <v>20</v>
      </c>
      <c r="G54" s="243"/>
      <c r="H54" s="251"/>
      <c r="I54" s="246"/>
      <c r="J54" s="236"/>
      <c r="K54" s="129"/>
    </row>
    <row r="55" spans="1:11" ht="19.5" customHeight="1" x14ac:dyDescent="0.25">
      <c r="A55" s="257"/>
      <c r="B55" s="4" t="s">
        <v>266</v>
      </c>
      <c r="C55" s="238" t="s">
        <v>265</v>
      </c>
      <c r="D55" s="239"/>
      <c r="E55" s="239"/>
      <c r="F55" s="46">
        <v>0</v>
      </c>
      <c r="G55" s="244"/>
      <c r="H55" s="252"/>
      <c r="I55" s="247"/>
      <c r="J55" s="237"/>
      <c r="K55" s="129"/>
    </row>
    <row r="56" spans="1:11" ht="19.5" customHeight="1" x14ac:dyDescent="0.25">
      <c r="A56" s="255" t="s">
        <v>264</v>
      </c>
      <c r="B56" s="4" t="s">
        <v>263</v>
      </c>
      <c r="C56" s="238" t="s">
        <v>262</v>
      </c>
      <c r="D56" s="239"/>
      <c r="E56" s="239"/>
      <c r="F56" s="46">
        <v>100</v>
      </c>
      <c r="G56" s="242">
        <v>0.1</v>
      </c>
      <c r="H56" s="250" t="s">
        <v>261</v>
      </c>
      <c r="I56" s="245" t="s">
        <v>260</v>
      </c>
      <c r="J56" s="235">
        <f>VLOOKUP(H56,B56:F62,5,0)*G56</f>
        <v>6.5</v>
      </c>
      <c r="K56" s="129"/>
    </row>
    <row r="57" spans="1:11" ht="19.5" customHeight="1" x14ac:dyDescent="0.25">
      <c r="A57" s="256"/>
      <c r="B57" s="4" t="s">
        <v>259</v>
      </c>
      <c r="C57" s="238" t="s">
        <v>258</v>
      </c>
      <c r="D57" s="239"/>
      <c r="E57" s="239"/>
      <c r="F57" s="46">
        <v>80</v>
      </c>
      <c r="G57" s="243"/>
      <c r="H57" s="251"/>
      <c r="I57" s="246"/>
      <c r="J57" s="236"/>
      <c r="K57" s="129"/>
    </row>
    <row r="58" spans="1:11" ht="19.5" customHeight="1" x14ac:dyDescent="0.25">
      <c r="A58" s="256"/>
      <c r="B58" s="4" t="s">
        <v>257</v>
      </c>
      <c r="C58" s="238" t="s">
        <v>256</v>
      </c>
      <c r="D58" s="239"/>
      <c r="E58" s="239"/>
      <c r="F58" s="46">
        <v>65</v>
      </c>
      <c r="G58" s="243"/>
      <c r="H58" s="251"/>
      <c r="I58" s="246"/>
      <c r="J58" s="236"/>
      <c r="K58" s="129"/>
    </row>
    <row r="59" spans="1:11" ht="19.5" customHeight="1" x14ac:dyDescent="0.25">
      <c r="A59" s="256"/>
      <c r="B59" s="4" t="s">
        <v>255</v>
      </c>
      <c r="C59" s="238" t="s">
        <v>254</v>
      </c>
      <c r="D59" s="239"/>
      <c r="E59" s="239"/>
      <c r="F59" s="46">
        <v>50</v>
      </c>
      <c r="G59" s="243"/>
      <c r="H59" s="251"/>
      <c r="I59" s="246"/>
      <c r="J59" s="236"/>
      <c r="K59" s="129"/>
    </row>
    <row r="60" spans="1:11" ht="19.5" customHeight="1" x14ac:dyDescent="0.25">
      <c r="A60" s="256"/>
      <c r="B60" s="4" t="s">
        <v>253</v>
      </c>
      <c r="C60" s="238" t="s">
        <v>252</v>
      </c>
      <c r="D60" s="239"/>
      <c r="E60" s="239"/>
      <c r="F60" s="46">
        <v>35</v>
      </c>
      <c r="G60" s="243"/>
      <c r="H60" s="251"/>
      <c r="I60" s="246"/>
      <c r="J60" s="236"/>
      <c r="K60" s="129"/>
    </row>
    <row r="61" spans="1:11" ht="19.5" customHeight="1" x14ac:dyDescent="0.25">
      <c r="A61" s="256"/>
      <c r="B61" s="4" t="s">
        <v>251</v>
      </c>
      <c r="C61" s="238" t="s">
        <v>250</v>
      </c>
      <c r="D61" s="239"/>
      <c r="E61" s="239"/>
      <c r="F61" s="46">
        <v>20</v>
      </c>
      <c r="G61" s="243"/>
      <c r="H61" s="251"/>
      <c r="I61" s="246"/>
      <c r="J61" s="236"/>
      <c r="K61" s="129"/>
    </row>
    <row r="62" spans="1:11" ht="19.5" customHeight="1" x14ac:dyDescent="0.25">
      <c r="A62" s="257"/>
      <c r="B62" s="4" t="s">
        <v>249</v>
      </c>
      <c r="C62" s="238" t="s">
        <v>248</v>
      </c>
      <c r="D62" s="239"/>
      <c r="E62" s="239"/>
      <c r="F62" s="46">
        <v>0</v>
      </c>
      <c r="G62" s="244"/>
      <c r="H62" s="252"/>
      <c r="I62" s="247"/>
      <c r="J62" s="237"/>
      <c r="K62" s="7"/>
    </row>
    <row r="63" spans="1:11" ht="19.5" customHeight="1" x14ac:dyDescent="0.25">
      <c r="A63" s="187"/>
      <c r="B63" s="188"/>
      <c r="C63" s="240"/>
      <c r="D63" s="241"/>
      <c r="E63" s="241"/>
      <c r="F63" s="189"/>
      <c r="G63" s="190">
        <f>SUM(G35:G62)</f>
        <v>0.99999999999999989</v>
      </c>
      <c r="H63" s="248" t="s">
        <v>241</v>
      </c>
      <c r="I63" s="249"/>
      <c r="J63" s="186">
        <f>SUM(J35:J62)</f>
        <v>51.5</v>
      </c>
      <c r="K63" s="7"/>
    </row>
    <row r="64" spans="1:11" ht="19.5" customHeight="1" x14ac:dyDescent="0.25">
      <c r="A64" s="13"/>
      <c r="B64" s="9"/>
      <c r="C64" s="9"/>
      <c r="D64" s="9"/>
      <c r="E64" s="9"/>
      <c r="F64" s="9"/>
      <c r="G64" s="9"/>
      <c r="H64" s="9"/>
      <c r="I64" s="9"/>
      <c r="J64" s="9"/>
      <c r="K64" s="7"/>
    </row>
    <row r="65" spans="1:12" ht="19.5" customHeight="1" x14ac:dyDescent="0.3">
      <c r="A65" s="8" t="s">
        <v>247</v>
      </c>
      <c r="B65" s="34"/>
      <c r="C65" s="34"/>
      <c r="D65" s="34"/>
      <c r="E65" s="34"/>
      <c r="F65" s="34"/>
      <c r="G65" s="8" t="s">
        <v>246</v>
      </c>
      <c r="H65" s="34"/>
      <c r="I65" s="34"/>
      <c r="J65" s="45"/>
      <c r="K65" s="150"/>
      <c r="L65" s="34"/>
    </row>
    <row r="66" spans="1:12" ht="19.5" customHeight="1" x14ac:dyDescent="0.25">
      <c r="A66" s="158" t="s">
        <v>245</v>
      </c>
      <c r="B66" s="158" t="s">
        <v>244</v>
      </c>
      <c r="C66" s="158" t="s">
        <v>243</v>
      </c>
      <c r="D66" s="158" t="s">
        <v>242</v>
      </c>
      <c r="E66" s="34"/>
      <c r="F66" s="34"/>
      <c r="G66" s="158" t="s">
        <v>241</v>
      </c>
      <c r="H66" s="158" t="s">
        <v>240</v>
      </c>
      <c r="I66" s="158" t="s">
        <v>239</v>
      </c>
      <c r="J66" s="158" t="s">
        <v>213</v>
      </c>
      <c r="K66" s="151" t="s">
        <v>238</v>
      </c>
      <c r="L66" s="34"/>
    </row>
    <row r="67" spans="1:12" ht="19.5" customHeight="1" x14ac:dyDescent="0.25">
      <c r="A67" s="42">
        <v>1</v>
      </c>
      <c r="B67" s="42" t="s">
        <v>237</v>
      </c>
      <c r="C67" s="41">
        <v>0.65</v>
      </c>
      <c r="D67" s="43" t="s">
        <v>236</v>
      </c>
      <c r="E67" s="34"/>
      <c r="F67" s="34"/>
      <c r="G67" s="266">
        <f>J63</f>
        <v>51.5</v>
      </c>
      <c r="H67" s="266">
        <f>IF(G67&gt;94,C67,IF(G67&gt;80,C68,IF(G67&gt;65,C69,IF(G67&gt;54,C70,IF(G67&gt;40,C71,IF(G67&gt;24,C72,C73))))))</f>
        <v>1.1499999999999999</v>
      </c>
      <c r="I67" s="266"/>
      <c r="J67" s="266"/>
      <c r="K67" s="152" t="s">
        <v>235</v>
      </c>
      <c r="L67" s="34"/>
    </row>
    <row r="68" spans="1:12" ht="19.5" customHeight="1" x14ac:dyDescent="0.25">
      <c r="A68" s="42">
        <v>2</v>
      </c>
      <c r="B68" s="42" t="s">
        <v>234</v>
      </c>
      <c r="C68" s="41">
        <v>0.75</v>
      </c>
      <c r="D68" s="43" t="s">
        <v>233</v>
      </c>
      <c r="E68" s="34"/>
      <c r="F68" s="34"/>
      <c r="G68" s="267"/>
      <c r="H68" s="267"/>
      <c r="I68" s="267"/>
      <c r="J68" s="267"/>
      <c r="K68" s="153"/>
      <c r="L68" s="34"/>
    </row>
    <row r="69" spans="1:12" ht="19.5" customHeight="1" x14ac:dyDescent="0.25">
      <c r="A69" s="42">
        <v>3</v>
      </c>
      <c r="B69" s="42" t="s">
        <v>232</v>
      </c>
      <c r="C69" s="41">
        <v>0.85</v>
      </c>
      <c r="D69" s="43" t="s">
        <v>231</v>
      </c>
      <c r="E69" s="34"/>
      <c r="F69" s="34"/>
      <c r="G69" s="267"/>
      <c r="H69" s="267"/>
      <c r="I69" s="267"/>
      <c r="J69" s="267"/>
      <c r="K69" s="153"/>
      <c r="L69" s="34"/>
    </row>
    <row r="70" spans="1:12" ht="19.5" customHeight="1" x14ac:dyDescent="0.25">
      <c r="A70" s="42">
        <v>4</v>
      </c>
      <c r="B70" s="42" t="s">
        <v>230</v>
      </c>
      <c r="C70" s="41">
        <v>1</v>
      </c>
      <c r="D70" s="43" t="s">
        <v>229</v>
      </c>
      <c r="E70" s="34"/>
      <c r="F70" s="34"/>
      <c r="G70" s="267"/>
      <c r="H70" s="267"/>
      <c r="I70" s="267"/>
      <c r="J70" s="267"/>
      <c r="K70" s="154"/>
      <c r="L70" s="34"/>
    </row>
    <row r="71" spans="1:12" ht="19.5" customHeight="1" x14ac:dyDescent="0.25">
      <c r="A71" s="42">
        <v>5</v>
      </c>
      <c r="B71" s="42" t="s">
        <v>228</v>
      </c>
      <c r="C71" s="41">
        <v>1.1499999999999999</v>
      </c>
      <c r="D71" s="43" t="s">
        <v>227</v>
      </c>
      <c r="E71" s="34"/>
      <c r="F71" s="34"/>
      <c r="G71" s="267"/>
      <c r="H71" s="267"/>
      <c r="I71" s="267"/>
      <c r="J71" s="267"/>
      <c r="K71" s="154"/>
      <c r="L71" s="34"/>
    </row>
    <row r="72" spans="1:12" ht="19.5" customHeight="1" x14ac:dyDescent="0.25">
      <c r="A72" s="42">
        <v>6</v>
      </c>
      <c r="B72" s="42" t="s">
        <v>226</v>
      </c>
      <c r="C72" s="41">
        <v>1.25</v>
      </c>
      <c r="D72" s="43" t="s">
        <v>225</v>
      </c>
      <c r="E72" s="34"/>
      <c r="F72" s="34"/>
      <c r="G72" s="267"/>
      <c r="H72" s="267"/>
      <c r="I72" s="267"/>
      <c r="J72" s="267"/>
      <c r="K72" s="154"/>
      <c r="L72" s="34"/>
    </row>
    <row r="73" spans="1:12" ht="19.5" customHeight="1" x14ac:dyDescent="0.25">
      <c r="A73" s="42">
        <v>7</v>
      </c>
      <c r="B73" s="42" t="s">
        <v>224</v>
      </c>
      <c r="C73" s="41">
        <v>1.35</v>
      </c>
      <c r="D73" s="40" t="s">
        <v>223</v>
      </c>
      <c r="E73" s="34"/>
      <c r="F73" s="34"/>
      <c r="G73" s="268"/>
      <c r="H73" s="268"/>
      <c r="I73" s="268"/>
      <c r="J73" s="268"/>
      <c r="K73" s="154"/>
      <c r="L73" s="34"/>
    </row>
    <row r="74" spans="1:12" ht="19.5" customHeight="1" x14ac:dyDescent="0.25">
      <c r="A74" s="38"/>
      <c r="B74" s="38"/>
      <c r="C74" s="38"/>
      <c r="D74" s="38"/>
      <c r="E74" s="38"/>
      <c r="F74" s="38"/>
      <c r="G74" s="39"/>
      <c r="H74" s="38"/>
      <c r="I74" s="38"/>
      <c r="J74" s="38"/>
      <c r="K74" s="154"/>
    </row>
    <row r="75" spans="1:12" ht="19.5" customHeight="1" x14ac:dyDescent="0.25">
      <c r="A75" s="8" t="s">
        <v>222</v>
      </c>
      <c r="B75" s="34"/>
      <c r="C75" s="34"/>
      <c r="D75" s="34"/>
      <c r="E75" s="34"/>
      <c r="F75" s="34"/>
      <c r="G75" s="34"/>
      <c r="H75" s="34"/>
      <c r="I75" s="34"/>
      <c r="J75" s="34"/>
      <c r="K75" s="154"/>
    </row>
    <row r="76" spans="1:12" ht="19.5" customHeight="1" x14ac:dyDescent="0.25">
      <c r="A76" s="14" t="s">
        <v>221</v>
      </c>
      <c r="B76" s="14" t="s">
        <v>220</v>
      </c>
      <c r="C76" s="14" t="s">
        <v>219</v>
      </c>
      <c r="D76" s="33" t="s">
        <v>218</v>
      </c>
      <c r="E76" s="33" t="s">
        <v>217</v>
      </c>
      <c r="F76" s="33" t="s">
        <v>216</v>
      </c>
      <c r="G76" s="33" t="s">
        <v>215</v>
      </c>
      <c r="H76" s="33" t="s">
        <v>214</v>
      </c>
      <c r="I76" s="33"/>
      <c r="J76" s="14" t="s">
        <v>213</v>
      </c>
    </row>
    <row r="77" spans="1:12" ht="19.5" customHeight="1" x14ac:dyDescent="0.25">
      <c r="A77" s="258" t="str">
        <f>A35</f>
        <v>GDP增长率</v>
      </c>
      <c r="B77" s="37" t="s">
        <v>212</v>
      </c>
      <c r="C77" s="4">
        <v>0.75</v>
      </c>
      <c r="D77" s="4">
        <v>0.06</v>
      </c>
      <c r="E77" s="4">
        <v>6.2E-2</v>
      </c>
      <c r="F77" s="4"/>
      <c r="G77" s="4"/>
      <c r="H77" s="4"/>
      <c r="I77" s="4"/>
      <c r="J77" s="36"/>
    </row>
    <row r="78" spans="1:12" ht="19.5" customHeight="1" x14ac:dyDescent="0.25">
      <c r="A78" s="258"/>
      <c r="B78" s="37" t="s">
        <v>211</v>
      </c>
      <c r="C78" s="4">
        <v>0.15</v>
      </c>
      <c r="D78" s="4">
        <v>6.6000000000000003E-2</v>
      </c>
      <c r="E78" s="4">
        <v>6.6000000000000003E-2</v>
      </c>
      <c r="F78" s="4"/>
      <c r="G78" s="4"/>
      <c r="H78" s="4"/>
      <c r="I78" s="4"/>
      <c r="J78" s="36"/>
    </row>
    <row r="79" spans="1:12" ht="19.5" customHeight="1" x14ac:dyDescent="0.25">
      <c r="A79" s="258"/>
      <c r="B79" s="37" t="s">
        <v>210</v>
      </c>
      <c r="C79" s="4">
        <v>0.1</v>
      </c>
      <c r="D79" s="4">
        <v>5.8000000000000003E-2</v>
      </c>
      <c r="E79" s="4">
        <v>0.06</v>
      </c>
      <c r="F79" s="4"/>
      <c r="G79" s="4"/>
      <c r="H79" s="4"/>
      <c r="I79" s="4"/>
      <c r="J79" s="36"/>
    </row>
    <row r="80" spans="1:12" ht="19.5" customHeight="1" x14ac:dyDescent="0.25">
      <c r="A80" s="258"/>
      <c r="B80" s="35" t="s">
        <v>209</v>
      </c>
      <c r="C80" s="191">
        <f>SUM(C77:C79)</f>
        <v>1</v>
      </c>
      <c r="D80" s="191">
        <f>D77*$C$77+D78*$C$78+D79*$C$79</f>
        <v>6.0699999999999997E-2</v>
      </c>
      <c r="E80" s="191">
        <f>E77*$C$77+E78*$C$78+E79*$C$79</f>
        <v>6.2399999999999997E-2</v>
      </c>
      <c r="F80" s="191">
        <f>F77*$C$77+F78*$C$78+F79*$C$79</f>
        <v>0</v>
      </c>
      <c r="G80" s="191">
        <f>G77*$C$77+G78*$C$78+G79*$C$79</f>
        <v>0</v>
      </c>
      <c r="H80" s="191">
        <f>H77*$C$77+H78*$C$78+H79*$C$79</f>
        <v>0</v>
      </c>
      <c r="I80" s="188"/>
      <c r="J80" s="192"/>
    </row>
    <row r="81" spans="1:10" ht="19.5" customHeight="1" x14ac:dyDescent="0.25">
      <c r="A81" s="258"/>
      <c r="B81" s="35" t="s">
        <v>208</v>
      </c>
      <c r="C81" s="193" t="s">
        <v>127</v>
      </c>
      <c r="D81" s="188">
        <f>(D80-B15)/B15</f>
        <v>-4.9180327868852732E-3</v>
      </c>
      <c r="E81" s="188">
        <f>(E80-B15)/B15</f>
        <v>2.2950819672131122E-2</v>
      </c>
      <c r="F81" s="188">
        <f>(F80-B15)/B15</f>
        <v>-1</v>
      </c>
      <c r="G81" s="188">
        <f>(G80-C15)/C15</f>
        <v>-1</v>
      </c>
      <c r="H81" s="188">
        <f>(H80-D15)/D15</f>
        <v>-1</v>
      </c>
      <c r="I81" s="188"/>
      <c r="J81" s="192"/>
    </row>
    <row r="82" spans="1:10" ht="19.5" customHeight="1" x14ac:dyDescent="0.25">
      <c r="A82" s="258"/>
      <c r="B82" s="35" t="s">
        <v>207</v>
      </c>
      <c r="C82" s="193" t="s">
        <v>127</v>
      </c>
      <c r="D82" s="188" t="str">
        <f>IF(D81&gt;20%,"A",IF(D81&gt;10,"B",IF(D81&gt;5%,"C",IF(D81&gt;-5%,"D",IF(D81&gt;-10%,"E",IF(D81&gt;-20%,"F","G"))))))</f>
        <v>D</v>
      </c>
      <c r="E82" s="188" t="str">
        <f>IF(E81&gt;20%,"A",IF(E81&gt;10,"B",IF(E81&gt;5%,"C",IF(E81&gt;-5%,"D",IF(E81&gt;-10%,"E",IF(E81&gt;-20%,"F","G"))))))</f>
        <v>D</v>
      </c>
      <c r="F82" s="188"/>
      <c r="G82" s="188"/>
      <c r="H82" s="188"/>
      <c r="I82" s="188"/>
      <c r="J82" s="192"/>
    </row>
    <row r="83" spans="1:10" ht="19.5" customHeight="1" x14ac:dyDescent="0.25">
      <c r="A83" s="258" t="str">
        <f>A42</f>
        <v>M2增长率</v>
      </c>
      <c r="B83" s="37" t="s">
        <v>212</v>
      </c>
      <c r="C83" s="4">
        <v>0.8</v>
      </c>
      <c r="D83" s="4">
        <v>0.13</v>
      </c>
      <c r="E83" s="4">
        <v>0.13500000000000001</v>
      </c>
      <c r="F83" s="4"/>
      <c r="G83" s="4"/>
      <c r="H83" s="4"/>
      <c r="I83" s="4"/>
      <c r="J83" s="36"/>
    </row>
    <row r="84" spans="1:10" ht="19.5" customHeight="1" x14ac:dyDescent="0.25">
      <c r="A84" s="258"/>
      <c r="B84" s="37" t="s">
        <v>211</v>
      </c>
      <c r="C84" s="4">
        <v>0.15</v>
      </c>
      <c r="D84" s="4">
        <v>0.15</v>
      </c>
      <c r="E84" s="4">
        <v>0.14499999999999999</v>
      </c>
      <c r="F84" s="4"/>
      <c r="G84" s="4"/>
      <c r="H84" s="4"/>
      <c r="I84" s="4"/>
      <c r="J84" s="36"/>
    </row>
    <row r="85" spans="1:10" ht="19.5" customHeight="1" x14ac:dyDescent="0.25">
      <c r="A85" s="258"/>
      <c r="B85" s="37" t="s">
        <v>210</v>
      </c>
      <c r="C85" s="4">
        <v>0.05</v>
      </c>
      <c r="D85" s="4">
        <v>0.1</v>
      </c>
      <c r="E85" s="4">
        <v>0.11</v>
      </c>
      <c r="F85" s="4"/>
      <c r="G85" s="4"/>
      <c r="H85" s="4"/>
      <c r="I85" s="4"/>
      <c r="J85" s="36"/>
    </row>
    <row r="86" spans="1:10" ht="19.5" customHeight="1" x14ac:dyDescent="0.25">
      <c r="A86" s="258"/>
      <c r="B86" s="35" t="s">
        <v>209</v>
      </c>
      <c r="C86" s="191">
        <f>SUM(C83:C85)</f>
        <v>1</v>
      </c>
      <c r="D86" s="191">
        <f>D83*$C$83+D84*$C$84+D85*$C$85</f>
        <v>0.13150000000000001</v>
      </c>
      <c r="E86" s="191">
        <f>E83*$C$83+E84*$C$84+E85*$C$85</f>
        <v>0.13525000000000001</v>
      </c>
      <c r="F86" s="191">
        <f>F83*$C$83+F84*$C$84+F85*$C$85</f>
        <v>0</v>
      </c>
      <c r="G86" s="191">
        <f>G83*$C$83+G84*$C$84+G85*$C$85</f>
        <v>0</v>
      </c>
      <c r="H86" s="191">
        <f>H83*$C$83+H84*$C$84+H85*$C$85</f>
        <v>0</v>
      </c>
      <c r="I86" s="191"/>
      <c r="J86" s="192"/>
    </row>
    <row r="87" spans="1:10" ht="19.5" customHeight="1" x14ac:dyDescent="0.25">
      <c r="A87" s="258"/>
      <c r="B87" s="35" t="s">
        <v>208</v>
      </c>
      <c r="C87" s="193" t="s">
        <v>127</v>
      </c>
      <c r="D87" s="188">
        <f>(D86-C15)/C15</f>
        <v>1.1538461538461548E-2</v>
      </c>
      <c r="E87" s="188">
        <f>(E86-C15)/C15</f>
        <v>4.0384615384615422E-2</v>
      </c>
      <c r="F87" s="188">
        <f>(F86-C15)/C15</f>
        <v>-1</v>
      </c>
      <c r="G87" s="188">
        <f>(G86-C15)/C15</f>
        <v>-1</v>
      </c>
      <c r="H87" s="188">
        <f>(H86-C15)/C15</f>
        <v>-1</v>
      </c>
      <c r="I87" s="188"/>
      <c r="J87" s="192"/>
    </row>
    <row r="88" spans="1:10" ht="19.5" customHeight="1" x14ac:dyDescent="0.25">
      <c r="A88" s="258"/>
      <c r="B88" s="35" t="s">
        <v>207</v>
      </c>
      <c r="C88" s="193" t="s">
        <v>127</v>
      </c>
      <c r="D88" s="188" t="str">
        <f>IF(D87&gt;20%,"A",IF(D87&gt;10,"B",IF(D87&gt;5%,"C",IF(D87&gt;-5%,"D",IF(D87&gt;-10%,"E",IF(D87&gt;-20%,"F","G"))))))</f>
        <v>D</v>
      </c>
      <c r="E88" s="188" t="str">
        <f>IF(E87&gt;20%,"A",IF(E87&gt;10,"B",IF(E87&gt;5%,"C",IF(E87&gt;-5%,"D",IF(E87&gt;-10%,"E",IF(E87&gt;-20%,"F","G"))))))</f>
        <v>D</v>
      </c>
      <c r="F88" s="188"/>
      <c r="G88" s="188"/>
      <c r="H88" s="188"/>
      <c r="I88" s="188"/>
      <c r="J88" s="192"/>
    </row>
    <row r="89" spans="1:10" ht="19.5" customHeight="1" x14ac:dyDescent="0.25">
      <c r="A89" s="258" t="str">
        <f>A49</f>
        <v>社会消费品零售总额增长率</v>
      </c>
      <c r="B89" s="37" t="s">
        <v>212</v>
      </c>
      <c r="C89" s="4">
        <v>0.8</v>
      </c>
      <c r="D89" s="4">
        <v>0.08</v>
      </c>
      <c r="E89" s="4">
        <v>8.2000000000000003E-2</v>
      </c>
      <c r="F89" s="4"/>
      <c r="G89" s="4"/>
      <c r="H89" s="4"/>
      <c r="I89" s="4"/>
      <c r="J89" s="36"/>
    </row>
    <row r="90" spans="1:10" ht="19.5" customHeight="1" x14ac:dyDescent="0.25">
      <c r="A90" s="258"/>
      <c r="B90" s="37" t="s">
        <v>211</v>
      </c>
      <c r="C90" s="4">
        <v>0.15</v>
      </c>
      <c r="D90" s="4">
        <v>8.2000000000000003E-2</v>
      </c>
      <c r="E90" s="4">
        <v>8.5000000000000006E-2</v>
      </c>
      <c r="F90" s="4"/>
      <c r="G90" s="4"/>
      <c r="H90" s="4"/>
      <c r="I90" s="4"/>
      <c r="J90" s="36"/>
    </row>
    <row r="91" spans="1:10" ht="19.5" customHeight="1" x14ac:dyDescent="0.25">
      <c r="A91" s="258"/>
      <c r="B91" s="37" t="s">
        <v>210</v>
      </c>
      <c r="C91" s="4">
        <v>0.05</v>
      </c>
      <c r="D91" s="4">
        <v>7.8E-2</v>
      </c>
      <c r="E91" s="4">
        <v>7.9000000000000001E-2</v>
      </c>
      <c r="F91" s="4"/>
      <c r="G91" s="4"/>
      <c r="H91" s="4"/>
      <c r="I91" s="4"/>
      <c r="J91" s="36"/>
    </row>
    <row r="92" spans="1:10" ht="19.5" customHeight="1" x14ac:dyDescent="0.25">
      <c r="A92" s="258"/>
      <c r="B92" s="35" t="s">
        <v>209</v>
      </c>
      <c r="C92" s="191">
        <f>SUM(C89:C91)</f>
        <v>1</v>
      </c>
      <c r="D92" s="191">
        <f>D89*$C$83+D90*$C$84+D91*$C$85</f>
        <v>8.0200000000000007E-2</v>
      </c>
      <c r="E92" s="191">
        <f>E89*$C$83+E90*$C$84+E91*$C$85</f>
        <v>8.2299999999999998E-2</v>
      </c>
      <c r="F92" s="191">
        <f>F89*$C$83+F90*$C$84+F91*$C$85</f>
        <v>0</v>
      </c>
      <c r="G92" s="191">
        <f>G89*$C$83+G90*$C$84+G91*$C$85</f>
        <v>0</v>
      </c>
      <c r="H92" s="191">
        <f>H89*$C$83+H90*$C$84+H91*$C$85</f>
        <v>0</v>
      </c>
      <c r="I92" s="188"/>
      <c r="J92" s="192"/>
    </row>
    <row r="93" spans="1:10" ht="19.5" customHeight="1" x14ac:dyDescent="0.25">
      <c r="A93" s="258"/>
      <c r="B93" s="35" t="s">
        <v>208</v>
      </c>
      <c r="C93" s="193" t="s">
        <v>127</v>
      </c>
      <c r="D93" s="188">
        <f>(D92-D15)/D15</f>
        <v>-3.3734939759036103E-2</v>
      </c>
      <c r="E93" s="188">
        <f>(E92-D15)/D15</f>
        <v>-8.4337349397591108E-3</v>
      </c>
      <c r="F93" s="188">
        <f>(F92-D15)/D15</f>
        <v>-1</v>
      </c>
      <c r="G93" s="188">
        <f>(G92-D15)/D15</f>
        <v>-1</v>
      </c>
      <c r="H93" s="188">
        <f>(H92-D15)/D15</f>
        <v>-1</v>
      </c>
      <c r="I93" s="188"/>
      <c r="J93" s="192"/>
    </row>
    <row r="94" spans="1:10" ht="19.5" customHeight="1" x14ac:dyDescent="0.25">
      <c r="A94" s="258"/>
      <c r="B94" s="35" t="s">
        <v>207</v>
      </c>
      <c r="C94" s="193" t="s">
        <v>127</v>
      </c>
      <c r="D94" s="188" t="str">
        <f>IF(D93&gt;20%,"A",IF(D93&gt;10,"B",IF(D93&gt;5%,"C",IF(D93&gt;-5%,"D",IF(D93&gt;-10%,"E",IF(D93&gt;-20%,"F","G"))))))</f>
        <v>D</v>
      </c>
      <c r="E94" s="188" t="str">
        <f>IF(E93&gt;20%,"A",IF(E93&gt;10,"B",IF(E93&gt;5%,"C",IF(E93&gt;-5%,"D",IF(E93&gt;-10%,"E",IF(E93&gt;-20%,"F","G"))))))</f>
        <v>D</v>
      </c>
      <c r="F94" s="188"/>
      <c r="G94" s="188"/>
      <c r="H94" s="188"/>
      <c r="I94" s="188"/>
      <c r="J94" s="192"/>
    </row>
    <row r="95" spans="1:10" ht="19.5" customHeight="1" x14ac:dyDescent="0.25">
      <c r="A95" s="258" t="str">
        <f>A56</f>
        <v>消费者物价指数CPI</v>
      </c>
      <c r="B95" s="37" t="s">
        <v>212</v>
      </c>
      <c r="C95" s="4">
        <v>0.8</v>
      </c>
      <c r="D95" s="4">
        <v>0.03</v>
      </c>
      <c r="E95" s="4">
        <v>3.5000000000000003E-2</v>
      </c>
      <c r="F95" s="4"/>
      <c r="G95" s="4"/>
      <c r="H95" s="4"/>
      <c r="I95" s="4"/>
      <c r="J95" s="36"/>
    </row>
    <row r="96" spans="1:10" ht="19.5" customHeight="1" x14ac:dyDescent="0.25">
      <c r="A96" s="258"/>
      <c r="B96" s="37" t="s">
        <v>211</v>
      </c>
      <c r="C96" s="4">
        <v>0.15</v>
      </c>
      <c r="D96" s="4">
        <v>0.04</v>
      </c>
      <c r="E96" s="4">
        <v>4.4999999999999998E-2</v>
      </c>
      <c r="F96" s="4"/>
      <c r="G96" s="4"/>
      <c r="H96" s="4"/>
      <c r="I96" s="4"/>
      <c r="J96" s="36"/>
    </row>
    <row r="97" spans="1:12" ht="19.5" customHeight="1" x14ac:dyDescent="0.25">
      <c r="A97" s="258"/>
      <c r="B97" s="37" t="s">
        <v>210</v>
      </c>
      <c r="C97" s="4">
        <v>0.05</v>
      </c>
      <c r="D97" s="4">
        <v>2.5999999999999999E-2</v>
      </c>
      <c r="E97" s="4">
        <v>2.8000000000000001E-2</v>
      </c>
      <c r="F97" s="4"/>
      <c r="G97" s="4"/>
      <c r="H97" s="4"/>
      <c r="I97" s="4"/>
      <c r="J97" s="36"/>
    </row>
    <row r="98" spans="1:12" ht="19.5" customHeight="1" x14ac:dyDescent="0.25">
      <c r="A98" s="258"/>
      <c r="B98" s="35" t="s">
        <v>209</v>
      </c>
      <c r="C98" s="191">
        <f>SUM(C95:C97)</f>
        <v>1</v>
      </c>
      <c r="D98" s="191">
        <f>D95*$C$83+D96*$C$84+D97*$C$85</f>
        <v>3.1300000000000001E-2</v>
      </c>
      <c r="E98" s="191">
        <f>E95*$C$83+E96*$C$84+E97*$C$85</f>
        <v>3.6150000000000002E-2</v>
      </c>
      <c r="F98" s="191">
        <f>F95*$C$83+F96*$C$84+F97*$C$85</f>
        <v>0</v>
      </c>
      <c r="G98" s="191">
        <f>G95*$C$83+G96*$C$84+G97*$C$85</f>
        <v>0</v>
      </c>
      <c r="H98" s="191">
        <f>H95*$C$83+H96*$C$84+H97*$C$85</f>
        <v>0</v>
      </c>
      <c r="I98" s="188"/>
      <c r="J98" s="192"/>
    </row>
    <row r="99" spans="1:12" ht="19.5" customHeight="1" x14ac:dyDescent="0.25">
      <c r="A99" s="258"/>
      <c r="B99" s="35" t="s">
        <v>208</v>
      </c>
      <c r="C99" s="193" t="s">
        <v>127</v>
      </c>
      <c r="D99" s="188">
        <f>(D98-E15)/E15</f>
        <v>0.11785714285714288</v>
      </c>
      <c r="E99" s="188">
        <f>(E98-E15)/E15</f>
        <v>0.29107142857142859</v>
      </c>
      <c r="F99" s="188">
        <f>(F98-E15)/E15</f>
        <v>-1</v>
      </c>
      <c r="G99" s="188">
        <f>(G98-E15)/E15</f>
        <v>-1</v>
      </c>
      <c r="H99" s="188">
        <f>(H98-E15)/E15</f>
        <v>-1</v>
      </c>
      <c r="I99" s="188"/>
      <c r="J99" s="192"/>
    </row>
    <row r="100" spans="1:12" ht="19.5" customHeight="1" x14ac:dyDescent="0.25">
      <c r="A100" s="258"/>
      <c r="B100" s="35" t="s">
        <v>207</v>
      </c>
      <c r="C100" s="193" t="s">
        <v>127</v>
      </c>
      <c r="D100" s="188" t="str">
        <f>IF(D99&gt;20%,"A",IF(D99&gt;10,"B",IF(D99&gt;5%,"C",IF(D99&gt;-5%,"D",IF(D99&gt;-10%,"E",IF(D99&gt;-20%,"F","G"))))))</f>
        <v>C</v>
      </c>
      <c r="E100" s="188" t="str">
        <f>IF(E99&gt;20%,"A",IF(E99&gt;10,"B",IF(E99&gt;5%,"C",IF(E99&gt;-5%,"D",IF(E99&gt;-10%,"E",IF(E99&gt;-20%,"F","G"))))))</f>
        <v>A</v>
      </c>
      <c r="F100" s="188"/>
      <c r="G100" s="188"/>
      <c r="H100" s="188"/>
      <c r="I100" s="188"/>
      <c r="J100" s="192"/>
      <c r="K100" s="154"/>
      <c r="L100" s="34"/>
    </row>
    <row r="101" spans="1:12" ht="89.25" customHeight="1" x14ac:dyDescent="0.25">
      <c r="A101" s="259" t="s">
        <v>206</v>
      </c>
      <c r="B101" s="260"/>
      <c r="C101" s="260"/>
      <c r="D101" s="260"/>
      <c r="E101" s="260"/>
      <c r="F101" s="260"/>
      <c r="G101" s="260"/>
      <c r="H101" s="260"/>
      <c r="I101" s="260"/>
      <c r="J101" s="260"/>
      <c r="K101" s="154"/>
      <c r="L101" s="34"/>
    </row>
    <row r="102" spans="1:12" ht="19.5" customHeight="1" x14ac:dyDescent="0.25">
      <c r="A102" s="2"/>
      <c r="B102" s="2"/>
      <c r="C102" s="2"/>
      <c r="D102" s="2"/>
      <c r="E102" s="2"/>
      <c r="F102" s="2"/>
      <c r="G102" s="2"/>
      <c r="H102" s="2"/>
      <c r="I102" s="2"/>
      <c r="K102" s="129"/>
    </row>
    <row r="103" spans="1:12" ht="19.5" customHeight="1" x14ac:dyDescent="0.25">
      <c r="A103" s="254" t="s">
        <v>113</v>
      </c>
      <c r="B103" s="254"/>
      <c r="C103" s="254"/>
      <c r="D103" s="254"/>
      <c r="E103" s="254"/>
      <c r="F103" s="254"/>
      <c r="G103" s="254"/>
      <c r="H103" s="254"/>
      <c r="I103" s="254"/>
      <c r="J103" s="254"/>
    </row>
    <row r="104" spans="1:12" ht="81.75" customHeight="1" x14ac:dyDescent="0.25">
      <c r="A104" s="199"/>
      <c r="B104" s="253"/>
      <c r="C104" s="253"/>
      <c r="D104" s="253"/>
      <c r="E104" s="253"/>
      <c r="F104" s="253"/>
      <c r="G104" s="253"/>
      <c r="H104" s="253"/>
      <c r="I104" s="253"/>
      <c r="J104" s="253"/>
    </row>
    <row r="105" spans="1:12" ht="19.5" customHeight="1" x14ac:dyDescent="0.25">
      <c r="A105" s="254" t="s">
        <v>112</v>
      </c>
      <c r="B105" s="254"/>
      <c r="C105" s="254"/>
      <c r="D105" s="254"/>
      <c r="E105" s="254"/>
      <c r="F105" s="254"/>
      <c r="G105" s="254"/>
      <c r="H105" s="254"/>
      <c r="I105" s="254"/>
      <c r="J105" s="254"/>
    </row>
    <row r="106" spans="1:12" ht="66" customHeight="1" x14ac:dyDescent="0.25">
      <c r="A106" s="199"/>
      <c r="B106" s="253"/>
      <c r="C106" s="253"/>
      <c r="D106" s="253"/>
      <c r="E106" s="253"/>
      <c r="F106" s="253"/>
      <c r="G106" s="253"/>
      <c r="H106" s="253"/>
      <c r="I106" s="253"/>
      <c r="J106" s="253"/>
    </row>
    <row r="107" spans="1:12" ht="15.6" x14ac:dyDescent="0.25">
      <c r="A107" s="34"/>
      <c r="B107" s="34"/>
      <c r="C107" s="34"/>
      <c r="D107" s="34"/>
      <c r="E107" s="34"/>
      <c r="F107" s="34"/>
      <c r="G107" s="34"/>
      <c r="H107" s="34"/>
      <c r="I107" s="34"/>
      <c r="J107" s="34"/>
    </row>
    <row r="108" spans="1:12" ht="15.6" x14ac:dyDescent="0.25">
      <c r="A108" s="34"/>
      <c r="B108" s="34"/>
      <c r="C108" s="34"/>
      <c r="D108" s="34"/>
      <c r="E108" s="34"/>
      <c r="F108" s="34"/>
      <c r="G108" s="34"/>
      <c r="H108" s="34"/>
      <c r="I108" s="34"/>
      <c r="J108" s="34"/>
    </row>
    <row r="109" spans="1:12" ht="15.6" x14ac:dyDescent="0.25">
      <c r="A109" s="34"/>
      <c r="B109" s="34"/>
      <c r="C109" s="34"/>
      <c r="D109" s="34"/>
      <c r="E109" s="34"/>
      <c r="F109" s="34"/>
      <c r="G109" s="34"/>
      <c r="H109" s="34"/>
      <c r="I109" s="34"/>
      <c r="J109" s="34"/>
    </row>
  </sheetData>
  <dataConsolidate/>
  <mergeCells count="76">
    <mergeCell ref="G67:G73"/>
    <mergeCell ref="H67:H73"/>
    <mergeCell ref="I67:I73"/>
    <mergeCell ref="J67:J73"/>
    <mergeCell ref="A1:J1"/>
    <mergeCell ref="A2:J2"/>
    <mergeCell ref="A5:J5"/>
    <mergeCell ref="A6:J6"/>
    <mergeCell ref="A7:J7"/>
    <mergeCell ref="A35:A41"/>
    <mergeCell ref="A42:A48"/>
    <mergeCell ref="C40:E40"/>
    <mergeCell ref="C41:E41"/>
    <mergeCell ref="C42:E42"/>
    <mergeCell ref="C35:E35"/>
    <mergeCell ref="C36:E36"/>
    <mergeCell ref="C37:E37"/>
    <mergeCell ref="B34:E34"/>
    <mergeCell ref="H35:H41"/>
    <mergeCell ref="I35:I41"/>
    <mergeCell ref="J35:J41"/>
    <mergeCell ref="K8:K11"/>
    <mergeCell ref="A22:J22"/>
    <mergeCell ref="A10:J10"/>
    <mergeCell ref="A9:J9"/>
    <mergeCell ref="A11:J11"/>
    <mergeCell ref="A12:J12"/>
    <mergeCell ref="A8:J8"/>
    <mergeCell ref="A104:J104"/>
    <mergeCell ref="A105:J105"/>
    <mergeCell ref="A106:J106"/>
    <mergeCell ref="C55:E55"/>
    <mergeCell ref="C56:E56"/>
    <mergeCell ref="A49:A55"/>
    <mergeCell ref="A56:A62"/>
    <mergeCell ref="C53:E53"/>
    <mergeCell ref="C54:E54"/>
    <mergeCell ref="C62:E62"/>
    <mergeCell ref="A77:A82"/>
    <mergeCell ref="A83:A88"/>
    <mergeCell ref="A89:A94"/>
    <mergeCell ref="A95:A100"/>
    <mergeCell ref="A101:J101"/>
    <mergeCell ref="A103:J103"/>
    <mergeCell ref="C61:E61"/>
    <mergeCell ref="C48:E48"/>
    <mergeCell ref="H63:I63"/>
    <mergeCell ref="H49:H55"/>
    <mergeCell ref="I49:I55"/>
    <mergeCell ref="H56:H62"/>
    <mergeCell ref="H42:H48"/>
    <mergeCell ref="I56:I62"/>
    <mergeCell ref="J56:J62"/>
    <mergeCell ref="C63:E63"/>
    <mergeCell ref="G35:G41"/>
    <mergeCell ref="G42:G48"/>
    <mergeCell ref="G49:G55"/>
    <mergeCell ref="G56:G62"/>
    <mergeCell ref="C57:E57"/>
    <mergeCell ref="C58:E58"/>
    <mergeCell ref="C59:E59"/>
    <mergeCell ref="C60:E60"/>
    <mergeCell ref="C38:E38"/>
    <mergeCell ref="C39:E39"/>
    <mergeCell ref="C52:E52"/>
    <mergeCell ref="C43:E43"/>
    <mergeCell ref="C44:E44"/>
    <mergeCell ref="I42:I48"/>
    <mergeCell ref="J42:J48"/>
    <mergeCell ref="C49:E49"/>
    <mergeCell ref="C50:E50"/>
    <mergeCell ref="C51:E51"/>
    <mergeCell ref="J49:J55"/>
    <mergeCell ref="C45:E45"/>
    <mergeCell ref="C46:E46"/>
    <mergeCell ref="C47:E47"/>
  </mergeCells>
  <phoneticPr fontId="3" type="noConversion"/>
  <dataValidations count="1">
    <dataValidation type="list" allowBlank="1" showInputMessage="1" showErrorMessage="1" sqref="H35:H62">
      <formula1>$B$35:$B$41</formula1>
    </dataValidation>
  </dataValidations>
  <printOptions horizontalCentered="1"/>
  <pageMargins left="0.74803149606299213" right="0.55118110236220474" top="0.82677165354330717" bottom="0.23622047244094491" header="0.51181102362204722" footer="0.19685039370078741"/>
  <pageSetup paperSize="9" scale="86" fitToHeight="10" orientation="portrait" blackAndWhite="1" cellComments="atEn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S121"/>
  <sheetViews>
    <sheetView view="pageBreakPreview" zoomScaleNormal="130" zoomScaleSheetLayoutView="100" workbookViewId="0">
      <selection sqref="A1:J1"/>
    </sheetView>
  </sheetViews>
  <sheetFormatPr defaultColWidth="9" defaultRowHeight="13.8" x14ac:dyDescent="0.25"/>
  <cols>
    <col min="1" max="1" width="12.44140625" style="1" customWidth="1"/>
    <col min="2" max="2" width="10" style="1" customWidth="1"/>
    <col min="3" max="3" width="9.21875" style="1" customWidth="1"/>
    <col min="4" max="4" width="11.44140625" style="1" customWidth="1"/>
    <col min="5" max="5" width="9.21875" style="1" customWidth="1"/>
    <col min="6" max="6" width="9.109375" style="1" customWidth="1"/>
    <col min="7" max="7" width="8.77734375" style="1" customWidth="1"/>
    <col min="8" max="9" width="10.109375" style="1" customWidth="1"/>
    <col min="10" max="10" width="10" style="1" customWidth="1"/>
    <col min="11" max="11" width="61" style="128" customWidth="1"/>
    <col min="12" max="16384" width="9" style="1"/>
  </cols>
  <sheetData>
    <row r="1" spans="1:11" s="29" customFormat="1" ht="20.100000000000001" customHeight="1" x14ac:dyDescent="0.25">
      <c r="A1" s="195" t="s">
        <v>111</v>
      </c>
      <c r="B1" s="195"/>
      <c r="C1" s="195"/>
      <c r="D1" s="195"/>
      <c r="E1" s="195"/>
      <c r="F1" s="195"/>
      <c r="G1" s="195"/>
      <c r="H1" s="195"/>
      <c r="I1" s="195"/>
      <c r="J1" s="195"/>
      <c r="K1" s="130"/>
    </row>
    <row r="2" spans="1:11" s="29" customFormat="1" ht="25.2" customHeight="1" x14ac:dyDescent="0.25">
      <c r="A2" s="196" t="s">
        <v>434</v>
      </c>
      <c r="B2" s="196"/>
      <c r="C2" s="196"/>
      <c r="D2" s="196"/>
      <c r="E2" s="196"/>
      <c r="F2" s="196"/>
      <c r="G2" s="196"/>
      <c r="H2" s="196"/>
      <c r="I2" s="196"/>
      <c r="J2" s="196"/>
      <c r="K2" s="130"/>
    </row>
    <row r="3" spans="1:11" ht="20.100000000000001" customHeight="1" x14ac:dyDescent="0.25">
      <c r="A3" s="13" t="str">
        <f>[9]底稿目录!$A$2</f>
        <v>被审计单位名称：</v>
      </c>
      <c r="B3" s="13"/>
      <c r="D3" s="13" t="str">
        <f>[9]底稿目录!$A$4</f>
        <v>编制人：</v>
      </c>
      <c r="E3" s="85"/>
      <c r="G3" s="13" t="str">
        <f>[9]底稿目录!$A$5</f>
        <v>编制日期：</v>
      </c>
      <c r="H3" s="128"/>
      <c r="I3" s="144" t="s">
        <v>459</v>
      </c>
      <c r="J3" s="143" t="s">
        <v>628</v>
      </c>
    </row>
    <row r="4" spans="1:11" ht="20.100000000000001" customHeight="1" x14ac:dyDescent="0.25">
      <c r="A4" s="13" t="str">
        <f>[9]底稿目录!$A$3</f>
        <v>截止日：202X年12月31日</v>
      </c>
      <c r="B4" s="13"/>
      <c r="D4" s="13" t="str">
        <f>[9]底稿目录!$A$6</f>
        <v>复核人：</v>
      </c>
      <c r="E4" s="85"/>
      <c r="G4" s="13" t="str">
        <f>[9]底稿目录!$A$7</f>
        <v>复核日期：</v>
      </c>
      <c r="H4" s="128"/>
      <c r="I4" s="145" t="s">
        <v>621</v>
      </c>
      <c r="J4" s="142"/>
    </row>
    <row r="5" spans="1:11" s="28" customFormat="1" ht="20.100000000000001" customHeight="1" x14ac:dyDescent="0.25">
      <c r="A5" s="254" t="s">
        <v>204</v>
      </c>
      <c r="B5" s="254"/>
      <c r="C5" s="254"/>
      <c r="D5" s="254"/>
      <c r="E5" s="254"/>
      <c r="F5" s="254"/>
      <c r="G5" s="254"/>
      <c r="H5" s="254"/>
      <c r="I5" s="254"/>
      <c r="J5" s="254"/>
      <c r="K5" s="131"/>
    </row>
    <row r="6" spans="1:11" s="28" customFormat="1" ht="36.75" customHeight="1" x14ac:dyDescent="0.25">
      <c r="A6" s="198" t="s">
        <v>433</v>
      </c>
      <c r="B6" s="198"/>
      <c r="C6" s="198"/>
      <c r="D6" s="198"/>
      <c r="E6" s="198"/>
      <c r="F6" s="198"/>
      <c r="G6" s="198"/>
      <c r="H6" s="198"/>
      <c r="I6" s="198"/>
      <c r="J6" s="198"/>
      <c r="K6" s="129" t="s">
        <v>200</v>
      </c>
    </row>
    <row r="7" spans="1:11" s="28" customFormat="1" ht="20.100000000000001" customHeight="1" x14ac:dyDescent="0.25">
      <c r="A7" s="254" t="s">
        <v>202</v>
      </c>
      <c r="B7" s="254"/>
      <c r="C7" s="254"/>
      <c r="D7" s="254"/>
      <c r="E7" s="254"/>
      <c r="F7" s="254"/>
      <c r="G7" s="254"/>
      <c r="H7" s="254"/>
      <c r="I7" s="254"/>
      <c r="J7" s="254"/>
      <c r="K7" s="131"/>
    </row>
    <row r="8" spans="1:11" ht="20.100000000000001" customHeight="1" x14ac:dyDescent="0.25">
      <c r="A8" s="253" t="s">
        <v>432</v>
      </c>
      <c r="B8" s="253"/>
      <c r="C8" s="253"/>
      <c r="D8" s="253"/>
      <c r="E8" s="253"/>
      <c r="F8" s="253"/>
      <c r="G8" s="253"/>
      <c r="H8" s="253"/>
      <c r="I8" s="253"/>
      <c r="J8" s="253"/>
      <c r="K8" s="261" t="s">
        <v>431</v>
      </c>
    </row>
    <row r="9" spans="1:11" ht="20.100000000000001" customHeight="1" x14ac:dyDescent="0.25">
      <c r="A9" s="253" t="s">
        <v>430</v>
      </c>
      <c r="B9" s="253"/>
      <c r="C9" s="253"/>
      <c r="D9" s="253"/>
      <c r="E9" s="253"/>
      <c r="F9" s="253"/>
      <c r="G9" s="253"/>
      <c r="H9" s="253"/>
      <c r="I9" s="253"/>
      <c r="J9" s="253"/>
      <c r="K9" s="262"/>
    </row>
    <row r="10" spans="1:11" ht="20.100000000000001" customHeight="1" x14ac:dyDescent="0.25">
      <c r="A10" s="253" t="s">
        <v>429</v>
      </c>
      <c r="B10" s="253"/>
      <c r="C10" s="253"/>
      <c r="D10" s="253"/>
      <c r="E10" s="253"/>
      <c r="F10" s="253"/>
      <c r="G10" s="253"/>
      <c r="H10" s="253"/>
      <c r="I10" s="253"/>
      <c r="J10" s="253"/>
      <c r="K10" s="262"/>
    </row>
    <row r="11" spans="1:11" ht="19.5" customHeight="1" x14ac:dyDescent="0.25">
      <c r="A11" s="253" t="s">
        <v>428</v>
      </c>
      <c r="B11" s="253"/>
      <c r="C11" s="253"/>
      <c r="D11" s="253"/>
      <c r="E11" s="253"/>
      <c r="F11" s="253"/>
      <c r="G11" s="253"/>
      <c r="H11" s="253"/>
      <c r="I11" s="253"/>
      <c r="J11" s="253"/>
      <c r="K11" s="232"/>
    </row>
    <row r="12" spans="1:11" ht="19.5" customHeight="1" x14ac:dyDescent="0.25">
      <c r="A12" s="253" t="s">
        <v>427</v>
      </c>
      <c r="B12" s="253"/>
      <c r="C12" s="253"/>
      <c r="D12" s="253"/>
      <c r="E12" s="253"/>
      <c r="F12" s="253"/>
      <c r="G12" s="253"/>
      <c r="H12" s="253"/>
      <c r="I12" s="253"/>
      <c r="J12" s="253"/>
      <c r="K12" s="129"/>
    </row>
    <row r="13" spans="1:11" ht="19.5" customHeight="1" x14ac:dyDescent="0.25">
      <c r="A13" s="8" t="s">
        <v>426</v>
      </c>
      <c r="B13" s="2"/>
      <c r="C13" s="2"/>
      <c r="D13" s="2"/>
      <c r="E13" s="2"/>
      <c r="F13" s="2"/>
      <c r="G13" s="2"/>
      <c r="H13" s="2"/>
      <c r="I13" s="2"/>
    </row>
    <row r="14" spans="1:11" ht="43.5" customHeight="1" x14ac:dyDescent="0.25">
      <c r="A14" s="158" t="s">
        <v>394</v>
      </c>
      <c r="B14" s="176" t="s">
        <v>136</v>
      </c>
      <c r="C14" s="176" t="s">
        <v>135</v>
      </c>
      <c r="D14" s="176" t="s">
        <v>133</v>
      </c>
      <c r="E14" s="176" t="s">
        <v>425</v>
      </c>
      <c r="F14" s="176" t="s">
        <v>328</v>
      </c>
      <c r="G14" s="176" t="s">
        <v>327</v>
      </c>
      <c r="H14" s="176" t="s">
        <v>326</v>
      </c>
      <c r="I14" s="158" t="s">
        <v>424</v>
      </c>
      <c r="J14" s="158" t="s">
        <v>213</v>
      </c>
      <c r="K14" s="6"/>
    </row>
    <row r="15" spans="1:11" ht="19.5" customHeight="1" x14ac:dyDescent="0.25">
      <c r="A15" s="5" t="s">
        <v>323</v>
      </c>
      <c r="B15" s="26">
        <v>6.0999999999999999E-2</v>
      </c>
      <c r="C15" s="26">
        <v>0.13</v>
      </c>
      <c r="D15" s="26">
        <v>8.3000000000000004E-2</v>
      </c>
      <c r="E15" s="26">
        <v>2.8000000000000001E-2</v>
      </c>
      <c r="F15" s="26">
        <v>2.7E-2</v>
      </c>
      <c r="G15" s="26">
        <v>2.3E-2</v>
      </c>
      <c r="H15" s="26">
        <v>-0.32650000000000001</v>
      </c>
      <c r="I15" s="4">
        <f>(I31-G31)/G31</f>
        <v>0.16627452326599257</v>
      </c>
      <c r="J15" s="4"/>
      <c r="K15" s="133"/>
    </row>
    <row r="16" spans="1:11" ht="19.5" customHeight="1" x14ac:dyDescent="0.25">
      <c r="A16" s="5" t="s">
        <v>423</v>
      </c>
      <c r="B16" s="26">
        <v>6.6000000000000003E-2</v>
      </c>
      <c r="C16" s="26">
        <v>6.9900000000000004E-2</v>
      </c>
      <c r="D16" s="26">
        <v>0.09</v>
      </c>
      <c r="E16" s="26">
        <v>1.9E-2</v>
      </c>
      <c r="F16" s="26">
        <v>1.9E-2</v>
      </c>
      <c r="G16" s="26">
        <v>2.1000000000000001E-2</v>
      </c>
      <c r="H16" s="26">
        <v>-0.5343</v>
      </c>
      <c r="I16" s="4">
        <f>(G31-E31)/E31</f>
        <v>0.31737062937062943</v>
      </c>
      <c r="J16" s="4"/>
      <c r="K16" s="133"/>
    </row>
    <row r="17" spans="1:11" ht="19.5" customHeight="1" x14ac:dyDescent="0.25">
      <c r="A17" s="5" t="s">
        <v>422</v>
      </c>
      <c r="B17" s="26">
        <v>6.9000000000000006E-2</v>
      </c>
      <c r="C17" s="26">
        <v>8.1100000000000005E-2</v>
      </c>
      <c r="D17" s="26">
        <v>0.10199999999999999</v>
      </c>
      <c r="E17" s="26">
        <v>1.7999999999999999E-2</v>
      </c>
      <c r="F17" s="26">
        <v>1.4999999999999999E-2</v>
      </c>
      <c r="G17" s="26">
        <v>8.9999999999999993E-3</v>
      </c>
      <c r="H17" s="26">
        <v>-2.29E-2</v>
      </c>
      <c r="I17" s="4">
        <v>0.25</v>
      </c>
      <c r="J17" s="4"/>
      <c r="K17" s="129"/>
    </row>
    <row r="18" spans="1:11" ht="19.5" customHeight="1" x14ac:dyDescent="0.25">
      <c r="A18" s="5" t="s">
        <v>421</v>
      </c>
      <c r="B18" s="26">
        <v>7.2999999999999995E-2</v>
      </c>
      <c r="C18" s="26">
        <v>0.1133</v>
      </c>
      <c r="D18" s="26">
        <v>0.104</v>
      </c>
      <c r="E18" s="26">
        <v>2.1000000000000001E-2</v>
      </c>
      <c r="F18" s="26">
        <v>1.9E-2</v>
      </c>
      <c r="G18" s="26">
        <v>2.3E-2</v>
      </c>
      <c r="H18" s="26">
        <v>6.5199999999999994E-2</v>
      </c>
      <c r="I18" s="4">
        <v>0.185</v>
      </c>
      <c r="J18" s="4"/>
      <c r="K18" s="129"/>
    </row>
    <row r="19" spans="1:11" ht="19.5" customHeight="1" x14ac:dyDescent="0.25">
      <c r="A19" s="5" t="s">
        <v>420</v>
      </c>
      <c r="B19" s="26">
        <v>7.8E-2</v>
      </c>
      <c r="C19" s="26">
        <v>0.13339999999999999</v>
      </c>
      <c r="D19" s="26">
        <v>0.107</v>
      </c>
      <c r="E19" s="26">
        <v>1.6E-2</v>
      </c>
      <c r="F19" s="26">
        <v>1.4E-2</v>
      </c>
      <c r="G19" s="26">
        <v>1.4E-2</v>
      </c>
      <c r="H19" s="26">
        <v>6.8099999999999994E-2</v>
      </c>
      <c r="I19" s="4">
        <v>0.16</v>
      </c>
      <c r="J19" s="4"/>
      <c r="K19" s="129"/>
    </row>
    <row r="20" spans="1:11" ht="19.5" customHeight="1" x14ac:dyDescent="0.25">
      <c r="A20" s="5" t="s">
        <v>419</v>
      </c>
      <c r="B20" s="26">
        <v>7.9000000000000001E-2</v>
      </c>
      <c r="C20" s="26">
        <v>0.1101</v>
      </c>
      <c r="D20" s="26">
        <v>0.1195</v>
      </c>
      <c r="E20" s="26">
        <v>1.4999999999999999E-2</v>
      </c>
      <c r="F20" s="26">
        <v>2.3E-2</v>
      </c>
      <c r="G20" s="26">
        <v>2.4E-2</v>
      </c>
      <c r="H20" s="26">
        <v>0.1258</v>
      </c>
      <c r="I20" s="4">
        <v>0.14000000000000001</v>
      </c>
      <c r="J20" s="4"/>
      <c r="K20" s="129"/>
    </row>
    <row r="21" spans="1:11" ht="19.5" customHeight="1" x14ac:dyDescent="0.25">
      <c r="A21" s="5" t="s">
        <v>418</v>
      </c>
      <c r="B21" s="4"/>
      <c r="C21" s="4"/>
      <c r="D21" s="46"/>
      <c r="E21" s="4"/>
      <c r="F21" s="4"/>
      <c r="G21" s="4"/>
      <c r="H21" s="4"/>
      <c r="I21" s="4"/>
      <c r="J21" s="4"/>
      <c r="K21" s="7"/>
    </row>
    <row r="22" spans="1:11" ht="69" customHeight="1" x14ac:dyDescent="0.25">
      <c r="A22" s="259" t="s">
        <v>316</v>
      </c>
      <c r="B22" s="260"/>
      <c r="C22" s="260"/>
      <c r="D22" s="260"/>
      <c r="E22" s="260"/>
      <c r="F22" s="260"/>
      <c r="G22" s="260"/>
      <c r="H22" s="260"/>
      <c r="I22" s="260"/>
      <c r="J22" s="260"/>
      <c r="K22" s="129" t="s">
        <v>417</v>
      </c>
    </row>
    <row r="23" spans="1:11" ht="19.5" customHeight="1" x14ac:dyDescent="0.25">
      <c r="A23" s="51" t="s">
        <v>416</v>
      </c>
      <c r="B23" s="50"/>
      <c r="C23" s="50"/>
      <c r="D23" s="50"/>
      <c r="E23" s="50"/>
      <c r="F23" s="50"/>
      <c r="G23" s="50"/>
      <c r="H23" s="50"/>
      <c r="I23" s="50"/>
      <c r="J23" s="50"/>
      <c r="K23" s="129"/>
    </row>
    <row r="24" spans="1:11" ht="39.75" customHeight="1" x14ac:dyDescent="0.25">
      <c r="A24" s="158" t="s">
        <v>124</v>
      </c>
      <c r="B24" s="158" t="s">
        <v>313</v>
      </c>
      <c r="C24" s="158" t="s">
        <v>312</v>
      </c>
      <c r="D24" s="158" t="s">
        <v>51</v>
      </c>
      <c r="E24" s="158" t="s">
        <v>415</v>
      </c>
      <c r="F24" s="158" t="s">
        <v>414</v>
      </c>
      <c r="G24" s="158" t="s">
        <v>413</v>
      </c>
      <c r="H24" s="158" t="s">
        <v>308</v>
      </c>
      <c r="I24" s="158" t="s">
        <v>412</v>
      </c>
      <c r="J24" s="158" t="s">
        <v>411</v>
      </c>
      <c r="K24" s="147" t="s">
        <v>410</v>
      </c>
    </row>
    <row r="25" spans="1:11" ht="19.5" customHeight="1" x14ac:dyDescent="0.25">
      <c r="A25" s="49" t="str">
        <f>'预期信用损失的计量测试D2-10'!A75</f>
        <v>1年以内</v>
      </c>
      <c r="B25" s="178">
        <f>'预期信用损失的计量测试D2-10'!B75</f>
        <v>0</v>
      </c>
      <c r="C25" s="179">
        <f>B25*C26</f>
        <v>0</v>
      </c>
      <c r="D25" s="178">
        <f>'预期信用损失的计量测试D2-10'!C75</f>
        <v>0.21428571428571427</v>
      </c>
      <c r="E25" s="179">
        <f>D25*E26</f>
        <v>4.6875E-2</v>
      </c>
      <c r="F25" s="178">
        <f>'预期信用损失的计量测试D2-10'!D75</f>
        <v>0.22727272727272727</v>
      </c>
      <c r="G25" s="179">
        <f>F25*G26</f>
        <v>6.0606060606060601E-2</v>
      </c>
      <c r="H25" s="180">
        <f>'预期信用损失的计量测试D2-10'!E75</f>
        <v>0.21341463414634146</v>
      </c>
      <c r="I25" s="179">
        <f>H25*I26</f>
        <v>5.8536585365853648E-2</v>
      </c>
      <c r="J25" s="178">
        <f>AVERAGE(E25,G25,I25)</f>
        <v>5.5339215323971423E-2</v>
      </c>
      <c r="K25" s="155"/>
    </row>
    <row r="26" spans="1:11" ht="19.5" customHeight="1" x14ac:dyDescent="0.25">
      <c r="A26" s="49" t="str">
        <f>'预期信用损失的计量测试D2-10'!A76</f>
        <v>1年-2年</v>
      </c>
      <c r="B26" s="178">
        <f>'预期信用损失的计量测试D2-10'!B76</f>
        <v>0</v>
      </c>
      <c r="C26" s="179">
        <f>B26*C27</f>
        <v>0</v>
      </c>
      <c r="D26" s="178">
        <f>'预期信用损失的计量测试D2-10'!C76</f>
        <v>0.4375</v>
      </c>
      <c r="E26" s="179">
        <f>D26*E27</f>
        <v>0.21875</v>
      </c>
      <c r="F26" s="178">
        <f>'预期信用损失的计量测试D2-10'!D76</f>
        <v>0.46666666666666667</v>
      </c>
      <c r="G26" s="179">
        <f>F26*G27</f>
        <v>0.26666666666666666</v>
      </c>
      <c r="H26" s="180">
        <f>'预期信用损失的计量测试D2-10'!E76</f>
        <v>0.48</v>
      </c>
      <c r="I26" s="179">
        <f>H26*I27</f>
        <v>0.27428571428571424</v>
      </c>
      <c r="J26" s="178">
        <f>AVERAGE(E26,G26,I26)</f>
        <v>0.25323412698412695</v>
      </c>
    </row>
    <row r="27" spans="1:11" ht="19.5" customHeight="1" x14ac:dyDescent="0.25">
      <c r="A27" s="49" t="str">
        <f>'预期信用损失的计量测试D2-10'!A77</f>
        <v>2年-3年</v>
      </c>
      <c r="B27" s="178">
        <f>'预期信用损失的计量测试D2-10'!B77</f>
        <v>0</v>
      </c>
      <c r="C27" s="179">
        <f>B27*C28</f>
        <v>0</v>
      </c>
      <c r="D27" s="178">
        <f>'预期信用损失的计量测试D2-10'!C77</f>
        <v>0.5</v>
      </c>
      <c r="E27" s="179">
        <f>D27*E28</f>
        <v>0.5</v>
      </c>
      <c r="F27" s="178">
        <f>'预期信用损失的计量测试D2-10'!D77</f>
        <v>0.5714285714285714</v>
      </c>
      <c r="G27" s="179">
        <f>F27*G28</f>
        <v>0.5714285714285714</v>
      </c>
      <c r="H27" s="180">
        <f>'预期信用损失的计量测试D2-10'!E77</f>
        <v>0.5714285714285714</v>
      </c>
      <c r="I27" s="179">
        <f>H27*I28</f>
        <v>0.5714285714285714</v>
      </c>
      <c r="J27" s="178">
        <f>AVERAGE(E27,G27,I27)</f>
        <v>0.54761904761904756</v>
      </c>
    </row>
    <row r="28" spans="1:11" ht="19.5" customHeight="1" x14ac:dyDescent="0.25">
      <c r="A28" s="49" t="str">
        <f>'预期信用损失的计量测试D2-10'!A78</f>
        <v>3年以上</v>
      </c>
      <c r="B28" s="178">
        <f>'预期信用损失的计量测试D2-10'!B78</f>
        <v>0</v>
      </c>
      <c r="C28" s="178">
        <f>B28</f>
        <v>0</v>
      </c>
      <c r="D28" s="178">
        <f>'预期信用损失的计量测试D2-10'!C78</f>
        <v>1</v>
      </c>
      <c r="E28" s="178">
        <f>D28</f>
        <v>1</v>
      </c>
      <c r="F28" s="178">
        <f>'预期信用损失的计量测试D2-10'!D78</f>
        <v>1</v>
      </c>
      <c r="G28" s="178">
        <f>F28</f>
        <v>1</v>
      </c>
      <c r="H28" s="180">
        <f>'预期信用损失的计量测试D2-10'!E78</f>
        <v>1</v>
      </c>
      <c r="I28" s="178">
        <f>H28</f>
        <v>1</v>
      </c>
      <c r="J28" s="178">
        <f>AVERAGE(E28,G28,I28)</f>
        <v>1</v>
      </c>
    </row>
    <row r="29" spans="1:11" ht="19.5" customHeight="1" x14ac:dyDescent="0.25">
      <c r="A29" s="48"/>
      <c r="B29" s="178"/>
      <c r="C29" s="181"/>
      <c r="D29" s="178"/>
      <c r="E29" s="181"/>
      <c r="F29" s="178"/>
      <c r="G29" s="178"/>
      <c r="H29" s="180"/>
      <c r="I29" s="181"/>
      <c r="J29" s="178"/>
    </row>
    <row r="30" spans="1:11" ht="19.5" customHeight="1" x14ac:dyDescent="0.25">
      <c r="A30" s="48"/>
      <c r="B30" s="178"/>
      <c r="C30" s="181"/>
      <c r="D30" s="178"/>
      <c r="E30" s="181"/>
      <c r="F30" s="178"/>
      <c r="G30" s="178"/>
      <c r="H30" s="180"/>
      <c r="I30" s="181"/>
      <c r="J30" s="178"/>
    </row>
    <row r="31" spans="1:11" ht="19.5" customHeight="1" x14ac:dyDescent="0.25">
      <c r="A31" s="168" t="s">
        <v>157</v>
      </c>
      <c r="B31" s="182" t="s">
        <v>156</v>
      </c>
      <c r="C31" s="182"/>
      <c r="D31" s="182" t="s">
        <v>156</v>
      </c>
      <c r="E31" s="182">
        <f t="array" ref="E31">SUM(E25:E28*'预期信用损失的计量测试D2-10'!D67:D70)/'预期信用损失的计量测试D2-10'!D73</f>
        <v>9.3390804597701146E-2</v>
      </c>
      <c r="F31" s="182" t="s">
        <v>156</v>
      </c>
      <c r="G31" s="182">
        <f t="array" ref="G31">SUM(G25:G28*'预期信用损失的计量测试D2-10'!E67:E70)/'预期信用损失的计量测试D2-10'!E73</f>
        <v>0.12303030303030303</v>
      </c>
      <c r="H31" s="182" t="s">
        <v>409</v>
      </c>
      <c r="I31" s="182">
        <f t="array" ref="I31">SUM(I25:I28*'预期信用损失的计量测试D2-10'!F67:F70)/'预期信用损失的计量测试D2-10'!F73</f>
        <v>0.14348710801393727</v>
      </c>
      <c r="J31" s="183">
        <f>AVERAGE(E31,G31,I31)</f>
        <v>0.11996940521398047</v>
      </c>
    </row>
    <row r="32" spans="1:11" ht="19.5" customHeight="1" x14ac:dyDescent="0.25">
      <c r="A32" s="70" t="s">
        <v>408</v>
      </c>
      <c r="B32" s="69"/>
      <c r="C32" s="69"/>
      <c r="D32" s="69"/>
      <c r="E32" s="69"/>
      <c r="F32" s="69"/>
      <c r="G32" s="69"/>
      <c r="H32" s="69"/>
      <c r="I32" s="69"/>
      <c r="J32" s="10"/>
    </row>
    <row r="33" spans="1:11" ht="19.5" customHeight="1" x14ac:dyDescent="0.25">
      <c r="A33" s="70" t="s">
        <v>407</v>
      </c>
      <c r="B33" s="69"/>
      <c r="C33" s="69"/>
      <c r="D33" s="69"/>
      <c r="E33" s="69"/>
      <c r="F33" s="69"/>
      <c r="G33" s="69"/>
      <c r="H33" s="69"/>
      <c r="I33" s="69"/>
      <c r="J33" s="10"/>
    </row>
    <row r="34" spans="1:11" ht="19.5" customHeight="1" x14ac:dyDescent="0.25">
      <c r="A34" s="8" t="s">
        <v>406</v>
      </c>
      <c r="B34" s="47"/>
      <c r="C34" s="47"/>
      <c r="D34" s="47"/>
      <c r="E34" s="47"/>
      <c r="F34" s="47"/>
      <c r="G34" s="47"/>
      <c r="H34" s="47"/>
      <c r="I34" s="47"/>
      <c r="J34" s="47"/>
    </row>
    <row r="35" spans="1:11" ht="28.5" customHeight="1" x14ac:dyDescent="0.25">
      <c r="A35" s="158" t="s">
        <v>405</v>
      </c>
      <c r="B35" s="176" t="s">
        <v>404</v>
      </c>
      <c r="C35" s="176" t="s">
        <v>403</v>
      </c>
      <c r="D35" s="176" t="s">
        <v>402</v>
      </c>
      <c r="E35" s="158" t="s">
        <v>401</v>
      </c>
      <c r="F35" s="158" t="s">
        <v>400</v>
      </c>
      <c r="G35" s="158" t="s">
        <v>399</v>
      </c>
      <c r="H35" s="158" t="s">
        <v>398</v>
      </c>
      <c r="I35" s="158" t="s">
        <v>397</v>
      </c>
      <c r="J35" s="158" t="s">
        <v>396</v>
      </c>
      <c r="K35" s="6" t="s">
        <v>395</v>
      </c>
    </row>
    <row r="36" spans="1:11" ht="19.5" customHeight="1" x14ac:dyDescent="0.25">
      <c r="A36" s="5" t="str">
        <f t="shared" ref="A36:D41" si="0">A15</f>
        <v>本年度</v>
      </c>
      <c r="B36" s="4">
        <f t="shared" si="0"/>
        <v>6.0999999999999999E-2</v>
      </c>
      <c r="C36" s="4">
        <f t="shared" si="0"/>
        <v>0.13</v>
      </c>
      <c r="D36" s="4">
        <f t="shared" si="0"/>
        <v>8.3000000000000004E-2</v>
      </c>
      <c r="E36" s="68">
        <f t="shared" ref="E36:E41" si="1">B36*C36</f>
        <v>7.9299999999999995E-3</v>
      </c>
      <c r="F36" s="4">
        <f t="shared" ref="F36:F41" si="2">B36*D36</f>
        <v>5.0629999999999998E-3</v>
      </c>
      <c r="G36" s="4">
        <f t="shared" ref="G36:G41" si="3">C36*D36</f>
        <v>1.0790000000000001E-2</v>
      </c>
      <c r="H36" s="4">
        <f t="shared" ref="H36:J41" si="4">B36^2</f>
        <v>3.7209999999999999E-3</v>
      </c>
      <c r="I36" s="4">
        <f t="shared" si="4"/>
        <v>1.6900000000000002E-2</v>
      </c>
      <c r="J36" s="4">
        <f t="shared" si="4"/>
        <v>6.889000000000001E-3</v>
      </c>
      <c r="K36" s="133"/>
    </row>
    <row r="37" spans="1:11" ht="19.5" customHeight="1" x14ac:dyDescent="0.25">
      <c r="A37" s="5" t="str">
        <f t="shared" si="0"/>
        <v>过去1年</v>
      </c>
      <c r="B37" s="4">
        <f t="shared" si="0"/>
        <v>6.6000000000000003E-2</v>
      </c>
      <c r="C37" s="4">
        <f t="shared" si="0"/>
        <v>6.9900000000000004E-2</v>
      </c>
      <c r="D37" s="4">
        <f t="shared" si="0"/>
        <v>0.09</v>
      </c>
      <c r="E37" s="68">
        <f t="shared" si="1"/>
        <v>4.6134000000000001E-3</v>
      </c>
      <c r="F37" s="4">
        <f t="shared" si="2"/>
        <v>5.94E-3</v>
      </c>
      <c r="G37" s="4">
        <f t="shared" si="3"/>
        <v>6.2909999999999997E-3</v>
      </c>
      <c r="H37" s="4">
        <f t="shared" si="4"/>
        <v>4.3560000000000005E-3</v>
      </c>
      <c r="I37" s="4">
        <f t="shared" si="4"/>
        <v>4.8860100000000005E-3</v>
      </c>
      <c r="J37" s="4">
        <f t="shared" si="4"/>
        <v>8.0999999999999996E-3</v>
      </c>
      <c r="K37" s="133"/>
    </row>
    <row r="38" spans="1:11" ht="19.5" customHeight="1" x14ac:dyDescent="0.25">
      <c r="A38" s="5" t="str">
        <f t="shared" si="0"/>
        <v>过去2年</v>
      </c>
      <c r="B38" s="4">
        <f t="shared" si="0"/>
        <v>6.9000000000000006E-2</v>
      </c>
      <c r="C38" s="4">
        <f t="shared" si="0"/>
        <v>8.1100000000000005E-2</v>
      </c>
      <c r="D38" s="4">
        <f t="shared" si="0"/>
        <v>0.10199999999999999</v>
      </c>
      <c r="E38" s="68">
        <f t="shared" si="1"/>
        <v>5.5959000000000009E-3</v>
      </c>
      <c r="F38" s="4">
        <f t="shared" si="2"/>
        <v>7.038E-3</v>
      </c>
      <c r="G38" s="4">
        <f t="shared" si="3"/>
        <v>8.2722000000000004E-3</v>
      </c>
      <c r="H38" s="4">
        <f t="shared" si="4"/>
        <v>4.7610000000000005E-3</v>
      </c>
      <c r="I38" s="4">
        <f t="shared" si="4"/>
        <v>6.5772100000000009E-3</v>
      </c>
      <c r="J38" s="4">
        <f t="shared" si="4"/>
        <v>1.0403999999999998E-2</v>
      </c>
      <c r="K38" s="129"/>
    </row>
    <row r="39" spans="1:11" ht="19.5" customHeight="1" x14ac:dyDescent="0.25">
      <c r="A39" s="5" t="str">
        <f t="shared" si="0"/>
        <v>过去3年</v>
      </c>
      <c r="B39" s="4">
        <f t="shared" si="0"/>
        <v>7.2999999999999995E-2</v>
      </c>
      <c r="C39" s="4">
        <f t="shared" si="0"/>
        <v>0.1133</v>
      </c>
      <c r="D39" s="4">
        <f t="shared" si="0"/>
        <v>0.104</v>
      </c>
      <c r="E39" s="68">
        <f t="shared" si="1"/>
        <v>8.2708999999999994E-3</v>
      </c>
      <c r="F39" s="4">
        <f t="shared" si="2"/>
        <v>7.5919999999999989E-3</v>
      </c>
      <c r="G39" s="4">
        <f t="shared" si="3"/>
        <v>1.1783199999999999E-2</v>
      </c>
      <c r="H39" s="4">
        <f t="shared" si="4"/>
        <v>5.3289999999999995E-3</v>
      </c>
      <c r="I39" s="4">
        <f t="shared" si="4"/>
        <v>1.283689E-2</v>
      </c>
      <c r="J39" s="4">
        <f t="shared" si="4"/>
        <v>1.0815999999999999E-2</v>
      </c>
      <c r="K39" s="129"/>
    </row>
    <row r="40" spans="1:11" ht="19.5" customHeight="1" x14ac:dyDescent="0.25">
      <c r="A40" s="5" t="str">
        <f t="shared" si="0"/>
        <v>过去4年</v>
      </c>
      <c r="B40" s="4">
        <f t="shared" si="0"/>
        <v>7.8E-2</v>
      </c>
      <c r="C40" s="4">
        <f t="shared" si="0"/>
        <v>0.13339999999999999</v>
      </c>
      <c r="D40" s="4">
        <f t="shared" si="0"/>
        <v>0.107</v>
      </c>
      <c r="E40" s="68">
        <f t="shared" si="1"/>
        <v>1.04052E-2</v>
      </c>
      <c r="F40" s="4">
        <f t="shared" si="2"/>
        <v>8.3459999999999993E-3</v>
      </c>
      <c r="G40" s="4">
        <f t="shared" si="3"/>
        <v>1.4273799999999998E-2</v>
      </c>
      <c r="H40" s="4">
        <f t="shared" si="4"/>
        <v>6.084E-3</v>
      </c>
      <c r="I40" s="4">
        <f t="shared" si="4"/>
        <v>1.7795559999999998E-2</v>
      </c>
      <c r="J40" s="4">
        <f t="shared" si="4"/>
        <v>1.1448999999999999E-2</v>
      </c>
      <c r="K40" s="129"/>
    </row>
    <row r="41" spans="1:11" ht="19.5" customHeight="1" x14ac:dyDescent="0.25">
      <c r="A41" s="5" t="str">
        <f t="shared" si="0"/>
        <v>过去5年</v>
      </c>
      <c r="B41" s="4">
        <f t="shared" si="0"/>
        <v>7.9000000000000001E-2</v>
      </c>
      <c r="C41" s="4">
        <f t="shared" si="0"/>
        <v>0.1101</v>
      </c>
      <c r="D41" s="4">
        <f t="shared" si="0"/>
        <v>0.1195</v>
      </c>
      <c r="E41" s="68">
        <f t="shared" si="1"/>
        <v>8.6978999999999997E-3</v>
      </c>
      <c r="F41" s="4">
        <f t="shared" si="2"/>
        <v>9.4404999999999992E-3</v>
      </c>
      <c r="G41" s="4">
        <f t="shared" si="3"/>
        <v>1.3156950000000001E-2</v>
      </c>
      <c r="H41" s="4">
        <f t="shared" si="4"/>
        <v>6.241E-3</v>
      </c>
      <c r="I41" s="4">
        <f t="shared" si="4"/>
        <v>1.2122010000000001E-2</v>
      </c>
      <c r="J41" s="4">
        <f t="shared" si="4"/>
        <v>1.428025E-2</v>
      </c>
      <c r="K41" s="129"/>
    </row>
    <row r="42" spans="1:11" ht="19.5" customHeight="1" x14ac:dyDescent="0.25">
      <c r="A42" s="5"/>
      <c r="B42" s="4"/>
      <c r="C42" s="4"/>
      <c r="D42" s="4"/>
      <c r="E42" s="4"/>
      <c r="F42" s="4"/>
      <c r="G42" s="4"/>
      <c r="H42" s="4"/>
      <c r="I42" s="4"/>
      <c r="J42" s="4"/>
      <c r="K42" s="7"/>
    </row>
    <row r="43" spans="1:11" ht="28.5" customHeight="1" x14ac:dyDescent="0.25">
      <c r="A43" s="158" t="s">
        <v>394</v>
      </c>
      <c r="B43" s="176" t="s">
        <v>355</v>
      </c>
      <c r="C43" s="176" t="s">
        <v>354</v>
      </c>
      <c r="D43" s="176" t="s">
        <v>352</v>
      </c>
      <c r="E43" s="158"/>
      <c r="F43" s="158"/>
      <c r="G43" s="158"/>
      <c r="H43" s="158"/>
      <c r="I43" s="177"/>
      <c r="J43" s="177"/>
      <c r="K43" s="6"/>
    </row>
    <row r="44" spans="1:11" ht="19.5" customHeight="1" x14ac:dyDescent="0.25">
      <c r="A44" s="5" t="str">
        <f t="shared" ref="A44:D49" si="5">A15</f>
        <v>本年度</v>
      </c>
      <c r="B44" s="4">
        <f t="shared" si="5"/>
        <v>6.0999999999999999E-2</v>
      </c>
      <c r="C44" s="4">
        <f t="shared" si="5"/>
        <v>0.13</v>
      </c>
      <c r="D44" s="4">
        <f t="shared" si="5"/>
        <v>8.3000000000000004E-2</v>
      </c>
      <c r="E44" s="68"/>
      <c r="F44" s="68"/>
      <c r="G44" s="68"/>
      <c r="H44" s="4"/>
      <c r="I44" s="4"/>
      <c r="J44" s="4"/>
      <c r="K44" s="133"/>
    </row>
    <row r="45" spans="1:11" ht="19.5" customHeight="1" x14ac:dyDescent="0.25">
      <c r="A45" s="5" t="str">
        <f t="shared" si="5"/>
        <v>过去1年</v>
      </c>
      <c r="B45" s="4">
        <f t="shared" si="5"/>
        <v>6.6000000000000003E-2</v>
      </c>
      <c r="C45" s="4">
        <f t="shared" si="5"/>
        <v>6.9900000000000004E-2</v>
      </c>
      <c r="D45" s="4">
        <f t="shared" si="5"/>
        <v>0.09</v>
      </c>
      <c r="E45" s="68"/>
      <c r="F45" s="68"/>
      <c r="G45" s="68"/>
      <c r="H45" s="4"/>
      <c r="I45" s="4"/>
      <c r="J45" s="4"/>
      <c r="K45" s="133"/>
    </row>
    <row r="46" spans="1:11" ht="19.5" customHeight="1" x14ac:dyDescent="0.25">
      <c r="A46" s="5" t="str">
        <f t="shared" si="5"/>
        <v>过去2年</v>
      </c>
      <c r="B46" s="4">
        <f t="shared" si="5"/>
        <v>6.9000000000000006E-2</v>
      </c>
      <c r="C46" s="4">
        <f t="shared" si="5"/>
        <v>8.1100000000000005E-2</v>
      </c>
      <c r="D46" s="4">
        <f t="shared" si="5"/>
        <v>0.10199999999999999</v>
      </c>
      <c r="E46" s="68"/>
      <c r="F46" s="68"/>
      <c r="G46" s="68"/>
      <c r="H46" s="4"/>
      <c r="I46" s="4"/>
      <c r="J46" s="4"/>
      <c r="K46" s="129"/>
    </row>
    <row r="47" spans="1:11" ht="19.5" customHeight="1" x14ac:dyDescent="0.25">
      <c r="A47" s="5" t="str">
        <f t="shared" si="5"/>
        <v>过去3年</v>
      </c>
      <c r="B47" s="4">
        <f t="shared" si="5"/>
        <v>7.2999999999999995E-2</v>
      </c>
      <c r="C47" s="4">
        <f t="shared" si="5"/>
        <v>0.1133</v>
      </c>
      <c r="D47" s="4">
        <f t="shared" si="5"/>
        <v>0.104</v>
      </c>
      <c r="E47" s="68"/>
      <c r="F47" s="68"/>
      <c r="G47" s="68"/>
      <c r="H47" s="4"/>
      <c r="I47" s="4"/>
      <c r="J47" s="4"/>
      <c r="K47" s="129"/>
    </row>
    <row r="48" spans="1:11" ht="19.5" customHeight="1" x14ac:dyDescent="0.25">
      <c r="A48" s="5" t="str">
        <f t="shared" si="5"/>
        <v>过去4年</v>
      </c>
      <c r="B48" s="4">
        <f t="shared" si="5"/>
        <v>7.8E-2</v>
      </c>
      <c r="C48" s="4">
        <f t="shared" si="5"/>
        <v>0.13339999999999999</v>
      </c>
      <c r="D48" s="4">
        <f t="shared" si="5"/>
        <v>0.107</v>
      </c>
      <c r="E48" s="68"/>
      <c r="F48" s="68"/>
      <c r="G48" s="68"/>
      <c r="H48" s="4"/>
      <c r="I48" s="4"/>
      <c r="J48" s="4"/>
      <c r="K48" s="129"/>
    </row>
    <row r="49" spans="1:19" ht="19.5" customHeight="1" x14ac:dyDescent="0.25">
      <c r="A49" s="5" t="str">
        <f t="shared" si="5"/>
        <v>过去5年</v>
      </c>
      <c r="B49" s="4">
        <f t="shared" si="5"/>
        <v>7.9000000000000001E-2</v>
      </c>
      <c r="C49" s="4">
        <f t="shared" si="5"/>
        <v>0.1101</v>
      </c>
      <c r="D49" s="4">
        <f t="shared" si="5"/>
        <v>0.1195</v>
      </c>
      <c r="E49" s="68"/>
      <c r="F49" s="68"/>
      <c r="G49" s="68"/>
      <c r="H49" s="4"/>
      <c r="I49" s="4"/>
      <c r="J49" s="4"/>
      <c r="K49" s="129"/>
    </row>
    <row r="50" spans="1:19" ht="19.5" customHeight="1" x14ac:dyDescent="0.25">
      <c r="A50" s="5"/>
      <c r="B50" s="4"/>
      <c r="C50" s="4"/>
      <c r="D50" s="4"/>
      <c r="E50" s="4"/>
      <c r="F50" s="4"/>
      <c r="G50" s="4"/>
      <c r="H50" s="4"/>
      <c r="I50" s="4"/>
      <c r="J50" s="4"/>
      <c r="K50" s="7"/>
    </row>
    <row r="51" spans="1:19" ht="19.5" customHeight="1" x14ac:dyDescent="0.25">
      <c r="A51" s="67" t="s">
        <v>393</v>
      </c>
      <c r="B51" s="9"/>
      <c r="C51" s="9"/>
      <c r="D51" s="9"/>
      <c r="E51" s="9"/>
      <c r="F51" s="9"/>
      <c r="G51" s="9"/>
      <c r="H51" s="9"/>
      <c r="I51" s="9"/>
      <c r="J51" s="9"/>
      <c r="K51" s="7"/>
    </row>
    <row r="52" spans="1:19" ht="19.5" customHeight="1" x14ac:dyDescent="0.3">
      <c r="A52" s="34" t="s">
        <v>392</v>
      </c>
      <c r="B52" s="34"/>
      <c r="C52" s="34"/>
      <c r="D52" s="34"/>
      <c r="E52" s="34"/>
      <c r="F52" s="34"/>
      <c r="G52" s="34"/>
      <c r="H52" s="34"/>
      <c r="I52" s="34"/>
      <c r="J52" s="45"/>
      <c r="K52" s="156" t="s">
        <v>391</v>
      </c>
      <c r="L52" s="34"/>
      <c r="M52" s="34"/>
      <c r="N52" s="34"/>
      <c r="O52" s="34"/>
      <c r="P52" s="34"/>
      <c r="Q52" s="34"/>
      <c r="R52" s="34"/>
      <c r="S52" s="34"/>
    </row>
    <row r="53" spans="1:19" ht="19.5" customHeight="1" thickBot="1" x14ac:dyDescent="0.35">
      <c r="A53" s="34"/>
      <c r="B53" s="34"/>
      <c r="C53" s="34"/>
      <c r="D53" s="34"/>
      <c r="E53" s="34"/>
      <c r="F53" s="34"/>
      <c r="G53" s="34"/>
      <c r="H53" s="34"/>
      <c r="I53" s="34"/>
      <c r="J53" s="45"/>
      <c r="K53" s="154"/>
    </row>
    <row r="54" spans="1:19" ht="19.5" customHeight="1" x14ac:dyDescent="0.3">
      <c r="A54" s="65" t="s">
        <v>390</v>
      </c>
      <c r="B54" s="65"/>
      <c r="C54" s="34"/>
      <c r="D54" s="34"/>
      <c r="E54" s="34"/>
      <c r="F54" s="34"/>
      <c r="G54" s="34"/>
      <c r="H54" s="34"/>
      <c r="I54" s="34"/>
      <c r="J54" s="45"/>
      <c r="K54" s="154"/>
      <c r="L54" s="34"/>
      <c r="M54" s="34"/>
      <c r="N54" s="34"/>
      <c r="O54" s="34"/>
      <c r="P54" s="34"/>
      <c r="Q54" s="34"/>
      <c r="R54" s="34"/>
      <c r="S54" s="34"/>
    </row>
    <row r="55" spans="1:19" ht="19.5" customHeight="1" x14ac:dyDescent="0.3">
      <c r="A55" s="34" t="s">
        <v>389</v>
      </c>
      <c r="B55" s="34">
        <v>0.99746038672995663</v>
      </c>
      <c r="C55" s="34"/>
      <c r="D55" s="34"/>
      <c r="E55" s="34"/>
      <c r="F55" s="34"/>
      <c r="G55" s="34"/>
      <c r="H55" s="34"/>
      <c r="I55" s="34"/>
      <c r="J55" s="45"/>
      <c r="K55" s="156" t="s">
        <v>388</v>
      </c>
    </row>
    <row r="56" spans="1:19" ht="19.5" customHeight="1" x14ac:dyDescent="0.3">
      <c r="A56" s="34" t="s">
        <v>387</v>
      </c>
      <c r="B56" s="34">
        <v>0.99492722309547454</v>
      </c>
      <c r="C56" s="34"/>
      <c r="D56" s="34"/>
      <c r="E56" s="34"/>
      <c r="F56" s="34"/>
      <c r="G56" s="34"/>
      <c r="H56" s="34"/>
      <c r="I56" s="34"/>
      <c r="J56" s="45"/>
      <c r="K56" s="156" t="s">
        <v>386</v>
      </c>
      <c r="L56" s="34"/>
      <c r="M56" s="34"/>
      <c r="N56" s="34"/>
      <c r="O56" s="34"/>
      <c r="P56" s="34"/>
      <c r="Q56" s="34"/>
      <c r="R56" s="34"/>
      <c r="S56" s="34"/>
    </row>
    <row r="57" spans="1:19" ht="19.5" customHeight="1" x14ac:dyDescent="0.3">
      <c r="A57" s="34" t="s">
        <v>385</v>
      </c>
      <c r="B57" s="34">
        <v>0.98731805773868642</v>
      </c>
      <c r="C57" s="34"/>
      <c r="D57" s="34"/>
      <c r="E57" s="34"/>
      <c r="F57" s="34"/>
      <c r="G57" s="34"/>
      <c r="H57" s="34"/>
      <c r="I57" s="34"/>
      <c r="J57" s="45"/>
      <c r="K57" s="156" t="s">
        <v>384</v>
      </c>
    </row>
    <row r="58" spans="1:19" ht="19.5" customHeight="1" x14ac:dyDescent="0.3">
      <c r="A58" s="34" t="s">
        <v>368</v>
      </c>
      <c r="B58" s="34">
        <v>7.601300636240288E-3</v>
      </c>
      <c r="C58" s="34"/>
      <c r="D58" s="34"/>
      <c r="E58" s="34"/>
      <c r="F58" s="34"/>
      <c r="G58" s="34"/>
      <c r="H58" s="34"/>
      <c r="I58" s="34"/>
      <c r="J58" s="45"/>
      <c r="K58" s="156" t="s">
        <v>383</v>
      </c>
      <c r="L58" s="34"/>
      <c r="M58" s="34"/>
      <c r="N58" s="34"/>
      <c r="O58" s="34"/>
      <c r="P58" s="34"/>
      <c r="Q58" s="34"/>
      <c r="R58" s="34"/>
      <c r="S58" s="34"/>
    </row>
    <row r="59" spans="1:19" ht="19.5" customHeight="1" thickBot="1" x14ac:dyDescent="0.35">
      <c r="A59" s="62" t="s">
        <v>382</v>
      </c>
      <c r="B59" s="62">
        <v>6</v>
      </c>
      <c r="C59" s="34"/>
      <c r="D59" s="34"/>
      <c r="E59" s="34"/>
      <c r="F59" s="34"/>
      <c r="G59" s="34"/>
      <c r="H59" s="34"/>
      <c r="I59" s="34"/>
      <c r="J59" s="45"/>
      <c r="K59" s="156"/>
    </row>
    <row r="60" spans="1:19" ht="19.5" customHeight="1" x14ac:dyDescent="0.3">
      <c r="A60" s="34"/>
      <c r="B60" s="34"/>
      <c r="C60" s="34"/>
      <c r="D60" s="34"/>
      <c r="E60" s="34"/>
      <c r="F60" s="34"/>
      <c r="G60" s="34"/>
      <c r="H60" s="34"/>
      <c r="I60" s="34"/>
      <c r="J60" s="45"/>
      <c r="K60" s="156"/>
      <c r="L60" s="34"/>
      <c r="M60" s="34"/>
      <c r="N60" s="34"/>
      <c r="O60" s="34"/>
      <c r="P60" s="34"/>
      <c r="Q60" s="34"/>
      <c r="R60" s="34"/>
      <c r="S60" s="34"/>
    </row>
    <row r="61" spans="1:19" ht="19.5" customHeight="1" thickBot="1" x14ac:dyDescent="0.35">
      <c r="A61" s="34" t="s">
        <v>381</v>
      </c>
      <c r="B61" s="34"/>
      <c r="C61" s="34"/>
      <c r="D61" s="34"/>
      <c r="E61" s="34"/>
      <c r="F61" s="34"/>
      <c r="G61" s="34"/>
      <c r="H61" s="34"/>
      <c r="I61" s="34"/>
      <c r="J61" s="45"/>
      <c r="K61" s="156"/>
    </row>
    <row r="62" spans="1:19" ht="19.5" customHeight="1" x14ac:dyDescent="0.3">
      <c r="A62" s="63"/>
      <c r="B62" s="63" t="s">
        <v>380</v>
      </c>
      <c r="C62" s="63" t="s">
        <v>379</v>
      </c>
      <c r="D62" s="63" t="s">
        <v>378</v>
      </c>
      <c r="E62" s="63" t="s">
        <v>377</v>
      </c>
      <c r="F62" s="63" t="s">
        <v>376</v>
      </c>
      <c r="G62" s="34"/>
      <c r="H62" s="34"/>
      <c r="I62" s="34"/>
      <c r="J62" s="45"/>
      <c r="K62" s="156" t="s">
        <v>375</v>
      </c>
      <c r="L62" s="34"/>
      <c r="M62" s="34"/>
      <c r="N62" s="34"/>
      <c r="O62" s="34"/>
      <c r="P62" s="34"/>
      <c r="Q62" s="34"/>
      <c r="R62" s="34"/>
      <c r="S62" s="34"/>
    </row>
    <row r="63" spans="1:19" ht="19.5" customHeight="1" x14ac:dyDescent="0.3">
      <c r="A63" s="34" t="s">
        <v>374</v>
      </c>
      <c r="B63" s="34">
        <v>3</v>
      </c>
      <c r="C63" s="34">
        <v>2.266477259092823E-2</v>
      </c>
      <c r="D63" s="34">
        <v>7.5549241969760763E-3</v>
      </c>
      <c r="E63" s="34">
        <v>130.75379183446248</v>
      </c>
      <c r="F63" s="34">
        <v>7.5995072830260879E-3</v>
      </c>
      <c r="G63" s="34"/>
      <c r="H63" s="34"/>
      <c r="I63" s="34"/>
      <c r="J63" s="45"/>
      <c r="K63" s="156" t="s">
        <v>373</v>
      </c>
    </row>
    <row r="64" spans="1:19" ht="19.5" customHeight="1" x14ac:dyDescent="0.3">
      <c r="A64" s="34" t="s">
        <v>372</v>
      </c>
      <c r="B64" s="34">
        <v>2</v>
      </c>
      <c r="C64" s="34">
        <v>1.15559542725014E-4</v>
      </c>
      <c r="D64" s="34">
        <v>5.7779771362507E-5</v>
      </c>
      <c r="E64" s="34"/>
      <c r="F64" s="34"/>
      <c r="G64" s="34"/>
      <c r="H64" s="34"/>
      <c r="I64" s="34"/>
      <c r="J64" s="45"/>
      <c r="K64" s="156"/>
      <c r="L64" s="34"/>
      <c r="M64" s="34"/>
      <c r="N64" s="34"/>
      <c r="O64" s="34"/>
      <c r="P64" s="34"/>
      <c r="Q64" s="34"/>
      <c r="R64" s="34"/>
      <c r="S64" s="34"/>
    </row>
    <row r="65" spans="1:19" ht="19.5" customHeight="1" thickBot="1" x14ac:dyDescent="0.35">
      <c r="A65" s="62" t="s">
        <v>371</v>
      </c>
      <c r="B65" s="62">
        <v>5</v>
      </c>
      <c r="C65" s="62">
        <v>2.2780332133653245E-2</v>
      </c>
      <c r="D65" s="62"/>
      <c r="E65" s="62"/>
      <c r="F65" s="62"/>
      <c r="G65" s="34"/>
      <c r="H65" s="34"/>
      <c r="I65" s="34"/>
      <c r="J65" s="45"/>
      <c r="K65" s="270" t="s">
        <v>370</v>
      </c>
    </row>
    <row r="66" spans="1:19" ht="19.5" customHeight="1" thickBot="1" x14ac:dyDescent="0.35">
      <c r="A66" s="34"/>
      <c r="B66" s="34"/>
      <c r="C66" s="34"/>
      <c r="D66" s="34"/>
      <c r="E66" s="34"/>
      <c r="F66" s="34"/>
      <c r="G66" s="34"/>
      <c r="H66" s="34"/>
      <c r="I66" s="34"/>
      <c r="J66" s="45"/>
      <c r="K66" s="232"/>
      <c r="L66" s="34"/>
      <c r="M66" s="34"/>
      <c r="N66" s="34"/>
      <c r="O66" s="34"/>
      <c r="P66" s="34"/>
      <c r="Q66" s="34"/>
      <c r="R66" s="34"/>
      <c r="S66" s="34"/>
    </row>
    <row r="67" spans="1:19" ht="19.5" customHeight="1" x14ac:dyDescent="0.3">
      <c r="A67" s="63"/>
      <c r="B67" s="63" t="s">
        <v>369</v>
      </c>
      <c r="C67" s="63" t="s">
        <v>368</v>
      </c>
      <c r="D67" s="63" t="s">
        <v>367</v>
      </c>
      <c r="E67" s="63" t="s">
        <v>366</v>
      </c>
      <c r="F67" s="63" t="s">
        <v>365</v>
      </c>
      <c r="G67" s="63" t="s">
        <v>364</v>
      </c>
      <c r="H67" s="63" t="s">
        <v>363</v>
      </c>
      <c r="I67" s="63" t="s">
        <v>362</v>
      </c>
      <c r="J67" s="45"/>
      <c r="K67" s="153" t="s">
        <v>622</v>
      </c>
    </row>
    <row r="68" spans="1:19" ht="19.5" customHeight="1" x14ac:dyDescent="0.3">
      <c r="A68" s="34" t="s">
        <v>361</v>
      </c>
      <c r="B68" s="34">
        <v>0.48749719822598497</v>
      </c>
      <c r="C68" s="34">
        <v>3.9415788150868845E-2</v>
      </c>
      <c r="D68" s="34">
        <v>12.368069271126297</v>
      </c>
      <c r="E68" s="34">
        <v>6.4738531459025001E-3</v>
      </c>
      <c r="F68" s="34">
        <v>0.31790474974342253</v>
      </c>
      <c r="G68" s="34">
        <v>0.65708964670854741</v>
      </c>
      <c r="H68" s="34">
        <v>0.31790474974342253</v>
      </c>
      <c r="I68" s="34">
        <v>0.65708964670854741</v>
      </c>
      <c r="J68" s="45"/>
      <c r="K68" s="150"/>
      <c r="L68" s="34"/>
      <c r="M68" s="34"/>
      <c r="N68" s="34"/>
      <c r="O68" s="34"/>
      <c r="P68" s="34"/>
      <c r="Q68" s="34"/>
      <c r="R68" s="34"/>
      <c r="S68" s="34"/>
    </row>
    <row r="69" spans="1:19" ht="19.5" customHeight="1" x14ac:dyDescent="0.3">
      <c r="A69" s="34" t="s">
        <v>360</v>
      </c>
      <c r="B69" s="34">
        <v>8.963811333203175</v>
      </c>
      <c r="C69" s="34">
        <v>1.6861956586706812</v>
      </c>
      <c r="D69" s="34">
        <v>5.3159971602997897</v>
      </c>
      <c r="E69" s="34">
        <v>3.3612000148537866E-2</v>
      </c>
      <c r="F69" s="34">
        <v>1.7086969795320739</v>
      </c>
      <c r="G69" s="34">
        <v>16.218925686874275</v>
      </c>
      <c r="H69" s="34">
        <v>1.7086969795320739</v>
      </c>
      <c r="I69" s="34">
        <v>16.218925686874275</v>
      </c>
      <c r="J69" s="45"/>
      <c r="K69" s="150"/>
    </row>
    <row r="70" spans="1:19" ht="19.5" customHeight="1" x14ac:dyDescent="0.3">
      <c r="A70" s="34" t="s">
        <v>359</v>
      </c>
      <c r="B70" s="34">
        <v>-2.5619596441917207</v>
      </c>
      <c r="C70" s="34">
        <v>0.14777540445540896</v>
      </c>
      <c r="D70" s="34">
        <v>-17.336847451937029</v>
      </c>
      <c r="E70" s="34">
        <v>3.3105408054176773E-3</v>
      </c>
      <c r="F70" s="34">
        <v>-3.1977858915616171</v>
      </c>
      <c r="G70" s="34">
        <v>-1.9261333968218244</v>
      </c>
      <c r="H70" s="34">
        <v>-3.1977858915616171</v>
      </c>
      <c r="I70" s="34">
        <v>-1.9261333968218244</v>
      </c>
      <c r="J70" s="45"/>
      <c r="K70" s="150"/>
      <c r="L70" s="34"/>
      <c r="M70" s="34"/>
      <c r="N70" s="34"/>
      <c r="O70" s="34"/>
      <c r="P70" s="34"/>
      <c r="Q70" s="34"/>
      <c r="R70" s="34"/>
      <c r="S70" s="34"/>
    </row>
    <row r="71" spans="1:19" ht="19.5" customHeight="1" thickBot="1" x14ac:dyDescent="0.35">
      <c r="A71" s="62" t="s">
        <v>358</v>
      </c>
      <c r="B71" s="62">
        <v>-6.425935266058401</v>
      </c>
      <c r="C71" s="62">
        <v>0.89282091476016667</v>
      </c>
      <c r="D71" s="62">
        <v>-7.1973395334097461</v>
      </c>
      <c r="E71" s="62">
        <v>1.8762795791134542E-2</v>
      </c>
      <c r="F71" s="62">
        <v>-10.267433612128645</v>
      </c>
      <c r="G71" s="62">
        <v>-2.5844369199881565</v>
      </c>
      <c r="H71" s="62">
        <v>-10.267433612128645</v>
      </c>
      <c r="I71" s="62">
        <v>-2.5844369199881565</v>
      </c>
      <c r="J71" s="45"/>
      <c r="K71" s="150"/>
      <c r="L71" s="34"/>
      <c r="M71" s="34"/>
      <c r="N71" s="34"/>
      <c r="O71" s="34"/>
      <c r="P71" s="34"/>
      <c r="Q71" s="34"/>
      <c r="R71" s="34"/>
      <c r="S71" s="34"/>
    </row>
    <row r="72" spans="1:19" ht="19.5" customHeight="1" x14ac:dyDescent="0.3">
      <c r="A72" s="34"/>
      <c r="B72" s="34"/>
      <c r="C72" s="34"/>
      <c r="D72" s="34"/>
      <c r="E72" s="34"/>
      <c r="F72" s="34"/>
      <c r="G72" s="34"/>
      <c r="H72" s="34"/>
      <c r="I72" s="34"/>
      <c r="J72" s="45"/>
      <c r="K72" s="150"/>
      <c r="L72" s="34"/>
      <c r="M72" s="34"/>
      <c r="N72" s="34"/>
      <c r="O72" s="34"/>
      <c r="P72" s="34"/>
      <c r="Q72" s="34"/>
      <c r="R72" s="34"/>
      <c r="S72" s="34"/>
    </row>
    <row r="73" spans="1:19" ht="19.5" customHeight="1" x14ac:dyDescent="0.3">
      <c r="A73" s="34"/>
      <c r="B73" s="34"/>
      <c r="C73" s="34"/>
      <c r="D73" s="34"/>
      <c r="E73" s="34"/>
      <c r="F73" s="34"/>
      <c r="G73" s="34"/>
      <c r="H73" s="34"/>
      <c r="I73" s="34"/>
      <c r="J73" s="45"/>
      <c r="K73" s="150"/>
      <c r="L73" s="34"/>
      <c r="M73" s="34"/>
      <c r="N73" s="34"/>
      <c r="O73" s="34"/>
      <c r="P73" s="34"/>
      <c r="Q73" s="34"/>
      <c r="R73" s="34"/>
      <c r="S73" s="34"/>
    </row>
    <row r="74" spans="1:19" ht="19.5" customHeight="1" x14ac:dyDescent="0.3">
      <c r="A74" s="34"/>
      <c r="B74" s="34"/>
      <c r="C74" s="34"/>
      <c r="D74" s="34"/>
      <c r="E74" s="34"/>
      <c r="F74" s="34"/>
      <c r="G74" s="34"/>
      <c r="H74" s="34"/>
      <c r="I74" s="34"/>
      <c r="J74" s="45"/>
      <c r="K74" s="153"/>
      <c r="L74" s="34"/>
      <c r="M74" s="34"/>
      <c r="N74" s="34"/>
      <c r="O74" s="34"/>
      <c r="P74" s="34"/>
      <c r="Q74" s="34"/>
      <c r="R74" s="34"/>
      <c r="S74" s="34"/>
    </row>
    <row r="75" spans="1:19" ht="19.5" customHeight="1" x14ac:dyDescent="0.3">
      <c r="A75" s="34"/>
      <c r="B75" s="34"/>
      <c r="C75" s="34"/>
      <c r="D75" s="34"/>
      <c r="E75" s="34"/>
      <c r="F75" s="34"/>
      <c r="G75" s="34"/>
      <c r="H75" s="34"/>
      <c r="I75" s="34"/>
      <c r="J75" s="45"/>
      <c r="K75" s="153"/>
      <c r="L75" s="34"/>
      <c r="M75" s="34"/>
      <c r="N75" s="34"/>
      <c r="O75" s="34"/>
      <c r="P75" s="34"/>
      <c r="Q75" s="34"/>
      <c r="R75" s="34"/>
      <c r="S75" s="34"/>
    </row>
    <row r="76" spans="1:19" ht="19.5" customHeight="1" x14ac:dyDescent="0.3">
      <c r="A76" s="34"/>
      <c r="B76" s="34"/>
      <c r="C76" s="34"/>
      <c r="D76" s="34"/>
      <c r="E76" s="34"/>
      <c r="F76" s="34"/>
      <c r="G76" s="34"/>
      <c r="H76" s="34"/>
      <c r="I76" s="34"/>
      <c r="J76" s="45"/>
      <c r="K76" s="153"/>
      <c r="L76" s="34"/>
      <c r="M76" s="34"/>
      <c r="N76" s="34"/>
      <c r="O76" s="34"/>
      <c r="P76" s="34"/>
      <c r="Q76" s="34"/>
      <c r="R76" s="34"/>
      <c r="S76" s="34"/>
    </row>
    <row r="77" spans="1:19" ht="19.5" customHeight="1" x14ac:dyDescent="0.3">
      <c r="A77" s="34"/>
      <c r="B77" s="34"/>
      <c r="C77" s="34"/>
      <c r="D77" s="34"/>
      <c r="E77" s="34"/>
      <c r="F77" s="34"/>
      <c r="G77" s="34"/>
      <c r="H77" s="34"/>
      <c r="I77" s="34"/>
      <c r="J77" s="45"/>
      <c r="K77" s="154"/>
      <c r="L77" s="34"/>
      <c r="M77" s="34"/>
      <c r="N77" s="34"/>
      <c r="O77" s="34"/>
      <c r="P77" s="34"/>
      <c r="Q77" s="34"/>
      <c r="R77" s="34"/>
      <c r="S77" s="34"/>
    </row>
    <row r="78" spans="1:19" ht="19.5" customHeight="1" x14ac:dyDescent="0.3">
      <c r="A78" s="34"/>
      <c r="B78" s="34"/>
      <c r="C78" s="34"/>
      <c r="D78" s="34"/>
      <c r="E78" s="34"/>
      <c r="F78" s="34"/>
      <c r="G78" s="34"/>
      <c r="H78" s="34"/>
      <c r="I78" s="34"/>
      <c r="J78" s="45"/>
      <c r="K78" s="154"/>
      <c r="L78" s="34"/>
      <c r="M78" s="34"/>
      <c r="N78" s="34"/>
      <c r="O78" s="34"/>
      <c r="P78" s="34"/>
      <c r="Q78" s="34"/>
      <c r="R78" s="34"/>
      <c r="S78" s="34"/>
    </row>
    <row r="79" spans="1:19" ht="19.5" customHeight="1" x14ac:dyDescent="0.25">
      <c r="A79" s="34"/>
      <c r="B79" s="34"/>
      <c r="C79" s="34"/>
      <c r="D79" s="34"/>
      <c r="E79" s="34"/>
      <c r="F79" s="34"/>
      <c r="G79" s="34"/>
      <c r="H79" s="34"/>
      <c r="I79" s="34"/>
      <c r="J79" s="38"/>
      <c r="K79" s="154"/>
      <c r="L79" s="34"/>
      <c r="M79" s="34"/>
      <c r="N79" s="34"/>
      <c r="O79" s="34"/>
      <c r="P79" s="34"/>
      <c r="Q79" s="34"/>
      <c r="R79" s="34"/>
      <c r="S79" s="34"/>
    </row>
    <row r="80" spans="1:19" ht="19.5" customHeight="1" x14ac:dyDescent="0.25">
      <c r="A80" s="34"/>
      <c r="B80" s="34"/>
      <c r="C80" s="34"/>
      <c r="D80" s="34"/>
      <c r="E80" s="34"/>
      <c r="F80" s="34"/>
      <c r="G80" s="34"/>
      <c r="H80" s="34"/>
      <c r="I80" s="34"/>
      <c r="J80" s="38"/>
      <c r="K80" s="154"/>
      <c r="L80" s="34"/>
      <c r="M80" s="34"/>
      <c r="N80" s="34"/>
      <c r="O80" s="34"/>
      <c r="P80" s="34"/>
      <c r="Q80" s="34"/>
      <c r="R80" s="34"/>
      <c r="S80" s="34"/>
    </row>
    <row r="81" spans="1:19" ht="19.5" customHeight="1" x14ac:dyDescent="0.25">
      <c r="A81" s="38"/>
      <c r="B81" s="38"/>
      <c r="C81" s="38"/>
      <c r="D81" s="38"/>
      <c r="E81" s="38"/>
      <c r="F81" s="38"/>
      <c r="G81" s="38"/>
      <c r="H81" s="38"/>
      <c r="I81" s="38"/>
      <c r="J81" s="38"/>
      <c r="K81" s="154"/>
      <c r="L81" s="34"/>
      <c r="M81" s="34"/>
      <c r="N81" s="34"/>
      <c r="O81" s="34"/>
      <c r="P81" s="34"/>
      <c r="Q81" s="34"/>
      <c r="R81" s="34"/>
      <c r="S81" s="34"/>
    </row>
    <row r="82" spans="1:19" ht="19.5" customHeight="1" x14ac:dyDescent="0.25">
      <c r="A82" s="61" t="s">
        <v>357</v>
      </c>
      <c r="B82" s="60" t="s">
        <v>356</v>
      </c>
      <c r="C82" s="59">
        <f>B68</f>
        <v>0.48749719822598497</v>
      </c>
      <c r="D82" s="59">
        <f>B69</f>
        <v>8.963811333203175</v>
      </c>
      <c r="E82" s="57" t="s">
        <v>355</v>
      </c>
      <c r="F82" s="58">
        <f>B70</f>
        <v>-2.5619596441917207</v>
      </c>
      <c r="G82" s="57" t="s">
        <v>354</v>
      </c>
      <c r="H82" s="56" t="s">
        <v>353</v>
      </c>
      <c r="I82" s="55">
        <f>B71</f>
        <v>-6.425935266058401</v>
      </c>
      <c r="J82" s="54" t="s">
        <v>352</v>
      </c>
      <c r="K82" s="154"/>
      <c r="L82" s="34"/>
      <c r="M82" s="34"/>
      <c r="N82" s="34"/>
      <c r="O82" s="34"/>
      <c r="P82" s="34"/>
      <c r="Q82" s="34"/>
      <c r="R82" s="34"/>
      <c r="S82" s="34"/>
    </row>
    <row r="83" spans="1:19" ht="19.5" customHeight="1" x14ac:dyDescent="0.25">
      <c r="J83" s="38"/>
      <c r="K83" s="154"/>
      <c r="L83" s="34"/>
      <c r="M83" s="34"/>
      <c r="N83" s="34"/>
      <c r="O83" s="34"/>
      <c r="P83" s="34"/>
      <c r="Q83" s="34"/>
      <c r="R83" s="34"/>
      <c r="S83" s="34"/>
    </row>
    <row r="84" spans="1:19" ht="19.5" customHeight="1" x14ac:dyDescent="0.25">
      <c r="A84" s="38"/>
      <c r="B84" s="38"/>
      <c r="C84" s="38"/>
      <c r="D84" s="38"/>
      <c r="E84" s="38"/>
      <c r="F84" s="38"/>
      <c r="G84" s="38"/>
      <c r="H84" s="38"/>
      <c r="I84" s="38"/>
      <c r="J84" s="38"/>
      <c r="K84" s="154"/>
    </row>
    <row r="85" spans="1:19" ht="19.5" customHeight="1" x14ac:dyDescent="0.25">
      <c r="A85" s="8" t="s">
        <v>222</v>
      </c>
      <c r="B85" s="34"/>
      <c r="C85" s="34"/>
      <c r="D85" s="34"/>
      <c r="E85" s="34"/>
      <c r="F85" s="34"/>
      <c r="G85" s="34"/>
      <c r="H85" s="34"/>
      <c r="I85" s="34"/>
      <c r="J85" s="34"/>
      <c r="K85" s="154"/>
    </row>
    <row r="86" spans="1:19" ht="19.5" customHeight="1" x14ac:dyDescent="0.25">
      <c r="A86" s="14" t="s">
        <v>221</v>
      </c>
      <c r="B86" s="14" t="s">
        <v>220</v>
      </c>
      <c r="C86" s="14" t="s">
        <v>219</v>
      </c>
      <c r="D86" s="33" t="s">
        <v>218</v>
      </c>
      <c r="E86" s="33" t="s">
        <v>217</v>
      </c>
      <c r="F86" s="33" t="s">
        <v>216</v>
      </c>
      <c r="G86" s="33" t="s">
        <v>215</v>
      </c>
      <c r="H86" s="33" t="s">
        <v>214</v>
      </c>
      <c r="I86" s="33"/>
      <c r="J86" s="14" t="s">
        <v>213</v>
      </c>
    </row>
    <row r="87" spans="1:19" ht="19.5" customHeight="1" x14ac:dyDescent="0.25">
      <c r="A87" s="258" t="s">
        <v>351</v>
      </c>
      <c r="B87" s="37" t="s">
        <v>212</v>
      </c>
      <c r="C87" s="4">
        <v>0.75</v>
      </c>
      <c r="D87" s="4">
        <v>0.06</v>
      </c>
      <c r="E87" s="4">
        <v>6.2E-2</v>
      </c>
      <c r="F87" s="4"/>
      <c r="G87" s="4"/>
      <c r="H87" s="4"/>
      <c r="I87" s="4"/>
      <c r="J87" s="36"/>
    </row>
    <row r="88" spans="1:19" ht="19.5" customHeight="1" x14ac:dyDescent="0.25">
      <c r="A88" s="258"/>
      <c r="B88" s="37" t="s">
        <v>211</v>
      </c>
      <c r="C88" s="4">
        <v>0.15</v>
      </c>
      <c r="D88" s="4">
        <v>6.6000000000000003E-2</v>
      </c>
      <c r="E88" s="4">
        <v>6.6000000000000003E-2</v>
      </c>
      <c r="F88" s="4"/>
      <c r="G88" s="4"/>
      <c r="H88" s="4"/>
      <c r="I88" s="4"/>
      <c r="J88" s="36"/>
    </row>
    <row r="89" spans="1:19" ht="19.5" customHeight="1" x14ac:dyDescent="0.25">
      <c r="A89" s="258"/>
      <c r="B89" s="37" t="s">
        <v>210</v>
      </c>
      <c r="C89" s="4">
        <v>0.1</v>
      </c>
      <c r="D89" s="4">
        <v>5.8000000000000003E-2</v>
      </c>
      <c r="E89" s="4">
        <v>0.06</v>
      </c>
      <c r="F89" s="4"/>
      <c r="G89" s="4"/>
      <c r="H89" s="4"/>
      <c r="I89" s="4"/>
      <c r="J89" s="36"/>
    </row>
    <row r="90" spans="1:19" ht="19.5" customHeight="1" x14ac:dyDescent="0.25">
      <c r="A90" s="258"/>
      <c r="B90" s="35" t="s">
        <v>209</v>
      </c>
      <c r="C90" s="191">
        <f>SUM(C87:C89)</f>
        <v>1</v>
      </c>
      <c r="D90" s="191">
        <f>D87*$C$87+D88*$C$88+D89*$C$89</f>
        <v>6.0699999999999997E-2</v>
      </c>
      <c r="E90" s="191">
        <f>E87*$C$87+E88*$C$88+E89*$C$89</f>
        <v>6.2399999999999997E-2</v>
      </c>
      <c r="F90" s="191">
        <f>F87*$C$87+F88*$C$88+F89*$C$89</f>
        <v>0</v>
      </c>
      <c r="G90" s="191">
        <f>G87*$C$87+G88*$C$88+G89*$C$89</f>
        <v>0</v>
      </c>
      <c r="H90" s="191">
        <f>H87*$C$87+H88*$C$88+H89*$C$89</f>
        <v>0</v>
      </c>
      <c r="I90" s="188"/>
      <c r="J90" s="192"/>
    </row>
    <row r="91" spans="1:19" ht="19.5" customHeight="1" x14ac:dyDescent="0.25">
      <c r="A91" s="258" t="s">
        <v>350</v>
      </c>
      <c r="B91" s="37" t="s">
        <v>212</v>
      </c>
      <c r="C91" s="4">
        <v>0.8</v>
      </c>
      <c r="D91" s="4">
        <v>0.13</v>
      </c>
      <c r="E91" s="4">
        <v>0.13500000000000001</v>
      </c>
      <c r="F91" s="4"/>
      <c r="G91" s="4"/>
      <c r="H91" s="4"/>
      <c r="I91" s="4"/>
      <c r="J91" s="36"/>
    </row>
    <row r="92" spans="1:19" ht="19.5" customHeight="1" x14ac:dyDescent="0.25">
      <c r="A92" s="258"/>
      <c r="B92" s="37" t="s">
        <v>211</v>
      </c>
      <c r="C92" s="4">
        <v>0.15</v>
      </c>
      <c r="D92" s="4">
        <v>0.15</v>
      </c>
      <c r="E92" s="4">
        <v>0.14499999999999999</v>
      </c>
      <c r="F92" s="4"/>
      <c r="G92" s="4"/>
      <c r="H92" s="4"/>
      <c r="I92" s="4"/>
      <c r="J92" s="36"/>
    </row>
    <row r="93" spans="1:19" ht="19.5" customHeight="1" x14ac:dyDescent="0.25">
      <c r="A93" s="258"/>
      <c r="B93" s="37" t="s">
        <v>210</v>
      </c>
      <c r="C93" s="4">
        <v>0.05</v>
      </c>
      <c r="D93" s="4">
        <v>0.1</v>
      </c>
      <c r="E93" s="4">
        <v>0.11</v>
      </c>
      <c r="F93" s="4"/>
      <c r="G93" s="4"/>
      <c r="H93" s="4"/>
      <c r="I93" s="4"/>
      <c r="J93" s="36"/>
    </row>
    <row r="94" spans="1:19" ht="19.5" customHeight="1" x14ac:dyDescent="0.25">
      <c r="A94" s="258"/>
      <c r="B94" s="35" t="s">
        <v>209</v>
      </c>
      <c r="C94" s="191">
        <f>SUM(C91:C93)</f>
        <v>1</v>
      </c>
      <c r="D94" s="191">
        <f>D91*$C$91+D92*$C$92+D93*$C$93</f>
        <v>0.13150000000000001</v>
      </c>
      <c r="E94" s="191">
        <f>E91*$C$91+E92*$C$92+E93*$C$93</f>
        <v>0.13525000000000001</v>
      </c>
      <c r="F94" s="191">
        <f>F91*$C$91+F92*$C$92+F93*$C$93</f>
        <v>0</v>
      </c>
      <c r="G94" s="191">
        <f>G91*$C$91+G92*$C$92+G93*$C$93</f>
        <v>0</v>
      </c>
      <c r="H94" s="191">
        <f>H91*$C$91+H92*$C$92+H93*$C$93</f>
        <v>0</v>
      </c>
      <c r="I94" s="191"/>
      <c r="J94" s="192"/>
    </row>
    <row r="95" spans="1:19" ht="19.5" customHeight="1" x14ac:dyDescent="0.25">
      <c r="A95" s="258" t="s">
        <v>349</v>
      </c>
      <c r="B95" s="37" t="s">
        <v>212</v>
      </c>
      <c r="C95" s="4">
        <v>0.8</v>
      </c>
      <c r="D95" s="4">
        <v>0.08</v>
      </c>
      <c r="E95" s="4">
        <v>8.2000000000000003E-2</v>
      </c>
      <c r="F95" s="4"/>
      <c r="G95" s="4"/>
      <c r="H95" s="4"/>
      <c r="I95" s="4"/>
      <c r="J95" s="36"/>
    </row>
    <row r="96" spans="1:19" ht="19.5" customHeight="1" x14ac:dyDescent="0.25">
      <c r="A96" s="258"/>
      <c r="B96" s="37" t="s">
        <v>211</v>
      </c>
      <c r="C96" s="4">
        <v>0.15</v>
      </c>
      <c r="D96" s="4">
        <v>8.2000000000000003E-2</v>
      </c>
      <c r="E96" s="4">
        <v>8.5000000000000006E-2</v>
      </c>
      <c r="F96" s="4"/>
      <c r="G96" s="4"/>
      <c r="H96" s="4"/>
      <c r="I96" s="4"/>
      <c r="J96" s="36"/>
    </row>
    <row r="97" spans="1:19" ht="19.5" customHeight="1" x14ac:dyDescent="0.25">
      <c r="A97" s="258"/>
      <c r="B97" s="37" t="s">
        <v>210</v>
      </c>
      <c r="C97" s="4">
        <v>0.05</v>
      </c>
      <c r="D97" s="4">
        <v>7.8E-2</v>
      </c>
      <c r="E97" s="4">
        <v>7.9000000000000001E-2</v>
      </c>
      <c r="F97" s="4"/>
      <c r="G97" s="4"/>
      <c r="H97" s="4"/>
      <c r="I97" s="4"/>
      <c r="J97" s="36"/>
    </row>
    <row r="98" spans="1:19" ht="19.5" customHeight="1" x14ac:dyDescent="0.25">
      <c r="A98" s="258"/>
      <c r="B98" s="35" t="s">
        <v>209</v>
      </c>
      <c r="C98" s="191">
        <f>SUM(C95:C97)</f>
        <v>1</v>
      </c>
      <c r="D98" s="191">
        <f>D95*$C$91+D96*$C$92+D97*$C$93</f>
        <v>8.0200000000000007E-2</v>
      </c>
      <c r="E98" s="191">
        <f>E95*$C$91+E96*$C$92+E97*$C$93</f>
        <v>8.2299999999999998E-2</v>
      </c>
      <c r="F98" s="191">
        <f>F95*$C$91+F96*$C$92+F97*$C$93</f>
        <v>0</v>
      </c>
      <c r="G98" s="191">
        <f>G95*$C$91+G96*$C$92+G97*$C$93</f>
        <v>0</v>
      </c>
      <c r="H98" s="191">
        <f>H95*$C$91+H96*$C$92+H97*$C$93</f>
        <v>0</v>
      </c>
      <c r="I98" s="188"/>
      <c r="J98" s="192"/>
    </row>
    <row r="99" spans="1:19" ht="19.5" customHeight="1" x14ac:dyDescent="0.25">
      <c r="A99" s="258"/>
      <c r="B99" s="37" t="s">
        <v>212</v>
      </c>
      <c r="C99" s="4"/>
      <c r="D99" s="4"/>
      <c r="E99" s="4"/>
      <c r="F99" s="4"/>
      <c r="G99" s="4"/>
      <c r="H99" s="4"/>
      <c r="I99" s="4"/>
      <c r="J99" s="36"/>
    </row>
    <row r="100" spans="1:19" ht="19.5" customHeight="1" x14ac:dyDescent="0.25">
      <c r="A100" s="258"/>
      <c r="B100" s="37" t="s">
        <v>211</v>
      </c>
      <c r="C100" s="4"/>
      <c r="D100" s="4"/>
      <c r="E100" s="4"/>
      <c r="F100" s="4"/>
      <c r="G100" s="4"/>
      <c r="H100" s="4"/>
      <c r="I100" s="4"/>
      <c r="J100" s="36"/>
    </row>
    <row r="101" spans="1:19" ht="19.5" customHeight="1" x14ac:dyDescent="0.25">
      <c r="A101" s="258"/>
      <c r="B101" s="37" t="s">
        <v>210</v>
      </c>
      <c r="C101" s="4"/>
      <c r="D101" s="4"/>
      <c r="E101" s="4"/>
      <c r="F101" s="4"/>
      <c r="G101" s="4"/>
      <c r="H101" s="4"/>
      <c r="I101" s="4"/>
      <c r="J101" s="36"/>
    </row>
    <row r="102" spans="1:19" ht="19.5" customHeight="1" x14ac:dyDescent="0.25">
      <c r="A102" s="258"/>
      <c r="B102" s="35" t="s">
        <v>209</v>
      </c>
      <c r="C102" s="4"/>
      <c r="D102" s="4"/>
      <c r="E102" s="4"/>
      <c r="F102" s="4"/>
      <c r="G102" s="4"/>
      <c r="H102" s="4"/>
      <c r="I102" s="4"/>
      <c r="J102" s="36"/>
      <c r="K102" s="154"/>
      <c r="L102" s="34"/>
      <c r="M102" s="34"/>
      <c r="N102" s="34"/>
      <c r="O102" s="34"/>
      <c r="P102" s="34"/>
      <c r="Q102" s="34"/>
      <c r="R102" s="34"/>
      <c r="S102" s="34"/>
    </row>
    <row r="103" spans="1:19" ht="89.25" customHeight="1" x14ac:dyDescent="0.25">
      <c r="A103" s="259" t="s">
        <v>206</v>
      </c>
      <c r="B103" s="260"/>
      <c r="C103" s="260"/>
      <c r="D103" s="260"/>
      <c r="E103" s="260"/>
      <c r="F103" s="260"/>
      <c r="G103" s="260"/>
      <c r="H103" s="260"/>
      <c r="I103" s="260"/>
      <c r="J103" s="260"/>
      <c r="K103" s="154"/>
      <c r="L103" s="34"/>
      <c r="M103" s="34"/>
      <c r="N103" s="34"/>
      <c r="O103" s="34"/>
      <c r="P103" s="34"/>
      <c r="Q103" s="34"/>
      <c r="R103" s="34"/>
      <c r="S103" s="34"/>
    </row>
    <row r="104" spans="1:19" ht="19.5" customHeight="1" x14ac:dyDescent="0.25">
      <c r="A104" s="8" t="s">
        <v>348</v>
      </c>
      <c r="B104" s="2"/>
      <c r="C104" s="2"/>
      <c r="D104" s="2"/>
      <c r="E104" s="2"/>
      <c r="F104" s="2"/>
      <c r="G104" s="2"/>
      <c r="H104" s="2"/>
      <c r="I104" s="2"/>
      <c r="K104" s="154"/>
      <c r="L104" s="34"/>
      <c r="M104" s="34"/>
      <c r="N104" s="34"/>
      <c r="O104" s="34"/>
      <c r="P104" s="34"/>
      <c r="Q104" s="34"/>
      <c r="R104" s="34"/>
      <c r="S104" s="34"/>
    </row>
    <row r="105" spans="1:19" ht="42.75" customHeight="1" x14ac:dyDescent="0.25">
      <c r="A105" s="158" t="s">
        <v>124</v>
      </c>
      <c r="B105" s="176" t="s">
        <v>347</v>
      </c>
      <c r="C105" s="176" t="s">
        <v>346</v>
      </c>
      <c r="D105" s="176" t="s">
        <v>345</v>
      </c>
      <c r="E105" s="176"/>
      <c r="F105" s="158"/>
      <c r="G105" s="158"/>
      <c r="H105" s="158"/>
      <c r="I105" s="158" t="s">
        <v>344</v>
      </c>
      <c r="J105" s="158" t="s">
        <v>130</v>
      </c>
      <c r="K105" s="233" t="s">
        <v>129</v>
      </c>
    </row>
    <row r="106" spans="1:19" ht="19.5" customHeight="1" x14ac:dyDescent="0.25">
      <c r="A106" s="5"/>
      <c r="B106" s="26">
        <f>D90</f>
        <v>6.0699999999999997E-2</v>
      </c>
      <c r="C106" s="26">
        <f>D94</f>
        <v>0.13150000000000001</v>
      </c>
      <c r="D106" s="26">
        <f>D98</f>
        <v>8.0200000000000007E-2</v>
      </c>
      <c r="E106" s="4"/>
      <c r="G106" s="4"/>
      <c r="H106" s="4"/>
      <c r="I106" s="4">
        <f>C82+D82*B106+F82*C106+I82*D106</f>
        <v>0.17934284460232264</v>
      </c>
      <c r="J106" s="4"/>
      <c r="K106" s="234"/>
    </row>
    <row r="107" spans="1:19" ht="19.5" customHeight="1" x14ac:dyDescent="0.25">
      <c r="A107" s="5"/>
      <c r="B107" s="4"/>
      <c r="C107" s="4"/>
      <c r="D107" s="4"/>
      <c r="E107" s="4"/>
      <c r="F107" s="4"/>
      <c r="G107" s="4"/>
      <c r="H107" s="4"/>
      <c r="I107" s="4"/>
      <c r="J107" s="4"/>
      <c r="K107" s="234"/>
    </row>
    <row r="108" spans="1:19" ht="19.5" customHeight="1" x14ac:dyDescent="0.25">
      <c r="A108" s="5"/>
      <c r="B108" s="4"/>
      <c r="C108" s="4"/>
      <c r="D108" s="4"/>
      <c r="E108" s="4"/>
      <c r="F108" s="4"/>
      <c r="G108" s="4"/>
      <c r="H108" s="4"/>
      <c r="I108" s="4"/>
      <c r="J108" s="4"/>
      <c r="K108" s="129"/>
    </row>
    <row r="109" spans="1:19" ht="19.5" customHeight="1" x14ac:dyDescent="0.25">
      <c r="A109" s="5"/>
      <c r="B109" s="4"/>
      <c r="C109" s="4"/>
      <c r="D109" s="4"/>
      <c r="E109" s="4"/>
      <c r="F109" s="4"/>
      <c r="G109" s="4"/>
      <c r="H109" s="4"/>
      <c r="I109" s="4"/>
      <c r="J109" s="4"/>
      <c r="K109" s="129"/>
    </row>
    <row r="110" spans="1:19" ht="19.5" customHeight="1" x14ac:dyDescent="0.25">
      <c r="A110" s="5"/>
      <c r="B110" s="4"/>
      <c r="C110" s="4"/>
      <c r="D110" s="4"/>
      <c r="E110" s="4"/>
      <c r="F110" s="4"/>
      <c r="G110" s="4"/>
      <c r="H110" s="4"/>
      <c r="I110" s="4"/>
      <c r="J110" s="4"/>
      <c r="K110" s="129"/>
    </row>
    <row r="111" spans="1:19" ht="19.5" customHeight="1" x14ac:dyDescent="0.25">
      <c r="A111" s="5"/>
      <c r="B111" s="4"/>
      <c r="C111" s="4"/>
      <c r="D111" s="4"/>
      <c r="E111" s="4"/>
      <c r="F111" s="4"/>
      <c r="G111" s="4"/>
      <c r="H111" s="4"/>
      <c r="I111" s="4"/>
      <c r="J111" s="4"/>
      <c r="K111" s="129"/>
    </row>
    <row r="112" spans="1:19" ht="19.5" customHeight="1" x14ac:dyDescent="0.25">
      <c r="A112" s="8" t="s">
        <v>146</v>
      </c>
      <c r="B112" s="2"/>
      <c r="C112" s="2"/>
      <c r="D112" s="2"/>
      <c r="E112" s="2"/>
      <c r="F112" s="2"/>
      <c r="G112" s="2"/>
      <c r="H112" s="2"/>
      <c r="I112" s="16"/>
      <c r="J112" s="15"/>
    </row>
    <row r="113" spans="1:11" ht="19.5" customHeight="1" x14ac:dyDescent="0.25">
      <c r="A113" s="2"/>
      <c r="B113" s="2"/>
      <c r="C113" s="2"/>
      <c r="D113" s="2"/>
      <c r="E113" s="2"/>
      <c r="F113" s="2"/>
      <c r="G113" s="2"/>
      <c r="H113" s="2"/>
      <c r="I113" s="2"/>
      <c r="K113" s="129"/>
    </row>
    <row r="114" spans="1:11" ht="19.5" customHeight="1" x14ac:dyDescent="0.25">
      <c r="A114" s="2"/>
      <c r="B114" s="2"/>
      <c r="C114" s="2"/>
      <c r="D114" s="2"/>
      <c r="E114" s="2"/>
      <c r="F114" s="2"/>
      <c r="G114" s="2"/>
      <c r="H114" s="2"/>
      <c r="I114" s="2"/>
      <c r="K114" s="129"/>
    </row>
    <row r="115" spans="1:11" ht="19.5" customHeight="1" x14ac:dyDescent="0.25">
      <c r="A115" s="254" t="s">
        <v>113</v>
      </c>
      <c r="B115" s="254"/>
      <c r="C115" s="254"/>
      <c r="D115" s="254"/>
      <c r="E115" s="254"/>
      <c r="F115" s="254"/>
      <c r="G115" s="254"/>
      <c r="H115" s="254"/>
      <c r="I115" s="254"/>
      <c r="J115" s="254"/>
    </row>
    <row r="116" spans="1:11" ht="81.75" customHeight="1" x14ac:dyDescent="0.25">
      <c r="A116" s="199"/>
      <c r="B116" s="253"/>
      <c r="C116" s="253"/>
      <c r="D116" s="253"/>
      <c r="E116" s="253"/>
      <c r="F116" s="253"/>
      <c r="G116" s="253"/>
      <c r="H116" s="253"/>
      <c r="I116" s="253"/>
      <c r="J116" s="253"/>
    </row>
    <row r="117" spans="1:11" ht="19.5" customHeight="1" x14ac:dyDescent="0.25">
      <c r="A117" s="254" t="s">
        <v>112</v>
      </c>
      <c r="B117" s="254"/>
      <c r="C117" s="254"/>
      <c r="D117" s="254"/>
      <c r="E117" s="254"/>
      <c r="F117" s="254"/>
      <c r="G117" s="254"/>
      <c r="H117" s="254"/>
      <c r="I117" s="254"/>
      <c r="J117" s="254"/>
    </row>
    <row r="118" spans="1:11" ht="66" customHeight="1" x14ac:dyDescent="0.25">
      <c r="A118" s="199"/>
      <c r="B118" s="253"/>
      <c r="C118" s="253"/>
      <c r="D118" s="253"/>
      <c r="E118" s="253"/>
      <c r="F118" s="253"/>
      <c r="G118" s="253"/>
      <c r="H118" s="253"/>
      <c r="I118" s="253"/>
      <c r="J118" s="253"/>
    </row>
    <row r="119" spans="1:11" ht="15.6" x14ac:dyDescent="0.25">
      <c r="A119" s="34"/>
      <c r="B119" s="34"/>
      <c r="C119" s="34"/>
      <c r="D119" s="34"/>
      <c r="E119" s="34"/>
      <c r="F119" s="34"/>
      <c r="G119" s="34"/>
      <c r="H119" s="34"/>
      <c r="I119" s="34"/>
      <c r="J119" s="34"/>
    </row>
    <row r="120" spans="1:11" ht="15.6" x14ac:dyDescent="0.25">
      <c r="A120" s="34"/>
      <c r="B120" s="34"/>
      <c r="C120" s="34"/>
      <c r="D120" s="34"/>
      <c r="E120" s="34"/>
      <c r="F120" s="34"/>
      <c r="G120" s="34"/>
      <c r="H120" s="34"/>
      <c r="I120" s="34"/>
      <c r="J120" s="34"/>
    </row>
    <row r="121" spans="1:11" ht="15.6" x14ac:dyDescent="0.25">
      <c r="A121" s="34"/>
      <c r="B121" s="34"/>
      <c r="C121" s="34"/>
      <c r="D121" s="34"/>
      <c r="E121" s="34"/>
      <c r="F121" s="34"/>
      <c r="G121" s="34"/>
      <c r="H121" s="34"/>
      <c r="I121" s="34"/>
      <c r="J121" s="34"/>
    </row>
  </sheetData>
  <dataConsolidate/>
  <mergeCells count="23">
    <mergeCell ref="A1:J1"/>
    <mergeCell ref="A2:J2"/>
    <mergeCell ref="A5:J5"/>
    <mergeCell ref="A6:J6"/>
    <mergeCell ref="A7:J7"/>
    <mergeCell ref="A95:A98"/>
    <mergeCell ref="A8:J8"/>
    <mergeCell ref="K65:K66"/>
    <mergeCell ref="K105:K107"/>
    <mergeCell ref="A115:J115"/>
    <mergeCell ref="K8:K11"/>
    <mergeCell ref="A22:J22"/>
    <mergeCell ref="A87:A90"/>
    <mergeCell ref="A91:A94"/>
    <mergeCell ref="A12:J12"/>
    <mergeCell ref="A9:J9"/>
    <mergeCell ref="A10:J10"/>
    <mergeCell ref="A11:J11"/>
    <mergeCell ref="A116:J116"/>
    <mergeCell ref="A117:J117"/>
    <mergeCell ref="A118:J118"/>
    <mergeCell ref="A99:A102"/>
    <mergeCell ref="A103:J103"/>
  </mergeCells>
  <phoneticPr fontId="3" type="noConversion"/>
  <printOptions horizontalCentered="1"/>
  <pageMargins left="0.74803149606299213" right="0.55118110236220474" top="0.82677165354330717" bottom="0.23622047244094491" header="0.51181102362204722" footer="0.19685039370078741"/>
  <pageSetup paperSize="9" scale="86" fitToHeight="1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S188"/>
  <sheetViews>
    <sheetView view="pageBreakPreview" zoomScaleNormal="130" zoomScaleSheetLayoutView="100" workbookViewId="0">
      <selection sqref="A1:J1"/>
    </sheetView>
  </sheetViews>
  <sheetFormatPr defaultColWidth="9" defaultRowHeight="13.8" x14ac:dyDescent="0.25"/>
  <cols>
    <col min="1" max="1" width="12.44140625" style="1" customWidth="1"/>
    <col min="2" max="2" width="10" style="1" customWidth="1"/>
    <col min="3" max="3" width="9.21875" style="1" customWidth="1"/>
    <col min="4" max="4" width="11.44140625" style="1" customWidth="1"/>
    <col min="5" max="5" width="9.21875" style="1" customWidth="1"/>
    <col min="6" max="6" width="9.109375" style="1" customWidth="1"/>
    <col min="7" max="7" width="8.77734375" style="1" customWidth="1"/>
    <col min="8" max="9" width="10.109375" style="1" customWidth="1"/>
    <col min="10" max="10" width="10" style="1" customWidth="1"/>
    <col min="11" max="11" width="61" style="1" customWidth="1"/>
    <col min="12" max="16384" width="9" style="1"/>
  </cols>
  <sheetData>
    <row r="1" spans="1:11" s="29" customFormat="1" ht="20.100000000000001" customHeight="1" x14ac:dyDescent="0.25">
      <c r="A1" s="195" t="s">
        <v>111</v>
      </c>
      <c r="B1" s="195"/>
      <c r="C1" s="195"/>
      <c r="D1" s="195"/>
      <c r="E1" s="195"/>
      <c r="F1" s="195"/>
      <c r="G1" s="195"/>
      <c r="H1" s="195"/>
      <c r="I1" s="195"/>
      <c r="J1" s="195"/>
    </row>
    <row r="2" spans="1:11" s="29" customFormat="1" ht="25.2" customHeight="1" x14ac:dyDescent="0.25">
      <c r="A2" s="196" t="s">
        <v>442</v>
      </c>
      <c r="B2" s="196"/>
      <c r="C2" s="196"/>
      <c r="D2" s="196"/>
      <c r="E2" s="196"/>
      <c r="F2" s="196"/>
      <c r="G2" s="196"/>
      <c r="H2" s="196"/>
      <c r="I2" s="196"/>
      <c r="J2" s="196"/>
    </row>
    <row r="3" spans="1:11" ht="20.100000000000001" customHeight="1" x14ac:dyDescent="0.25">
      <c r="A3" s="13" t="str">
        <f>[9]底稿目录!$A$2</f>
        <v>被审计单位名称：</v>
      </c>
      <c r="B3" s="13"/>
      <c r="D3" s="13" t="str">
        <f>[9]底稿目录!$A$4</f>
        <v>编制人：</v>
      </c>
      <c r="E3" s="85"/>
      <c r="G3" s="13" t="str">
        <f>[9]底稿目录!$A$5</f>
        <v>编制日期：</v>
      </c>
      <c r="H3" s="128"/>
      <c r="I3" s="144" t="s">
        <v>459</v>
      </c>
      <c r="J3" s="143" t="s">
        <v>629</v>
      </c>
    </row>
    <row r="4" spans="1:11" ht="20.100000000000001" customHeight="1" x14ac:dyDescent="0.25">
      <c r="A4" s="13" t="str">
        <f>[9]底稿目录!$A$3</f>
        <v>截止日：202X年12月31日</v>
      </c>
      <c r="B4" s="13"/>
      <c r="D4" s="13" t="str">
        <f>[9]底稿目录!$A$6</f>
        <v>复核人：</v>
      </c>
      <c r="E4" s="85"/>
      <c r="G4" s="13" t="str">
        <f>[9]底稿目录!$A$7</f>
        <v>复核日期：</v>
      </c>
      <c r="H4" s="128"/>
      <c r="I4" s="145" t="s">
        <v>621</v>
      </c>
      <c r="J4" s="142"/>
    </row>
    <row r="5" spans="1:11" s="28" customFormat="1" ht="20.100000000000001" customHeight="1" x14ac:dyDescent="0.25">
      <c r="A5" s="254" t="s">
        <v>342</v>
      </c>
      <c r="B5" s="254"/>
      <c r="C5" s="254"/>
      <c r="D5" s="254"/>
      <c r="E5" s="254"/>
      <c r="F5" s="254"/>
      <c r="G5" s="254"/>
      <c r="H5" s="254"/>
      <c r="I5" s="254"/>
      <c r="J5" s="254"/>
    </row>
    <row r="6" spans="1:11" s="28" customFormat="1" ht="22.5" customHeight="1" x14ac:dyDescent="0.25">
      <c r="A6" s="198" t="s">
        <v>441</v>
      </c>
      <c r="B6" s="198"/>
      <c r="C6" s="198"/>
      <c r="D6" s="198"/>
      <c r="E6" s="198"/>
      <c r="F6" s="198"/>
      <c r="G6" s="198"/>
      <c r="H6" s="198"/>
      <c r="I6" s="198"/>
      <c r="J6" s="198"/>
      <c r="K6" s="3"/>
    </row>
    <row r="7" spans="1:11" s="28" customFormat="1" ht="20.100000000000001" customHeight="1" x14ac:dyDescent="0.25">
      <c r="A7" s="254" t="s">
        <v>440</v>
      </c>
      <c r="B7" s="254"/>
      <c r="C7" s="254"/>
      <c r="D7" s="254"/>
      <c r="E7" s="254"/>
      <c r="F7" s="254"/>
      <c r="G7" s="254"/>
      <c r="H7" s="254"/>
      <c r="I7" s="254"/>
      <c r="J7" s="254"/>
    </row>
    <row r="8" spans="1:11" ht="19.5" customHeight="1" x14ac:dyDescent="0.25">
      <c r="A8" s="8" t="s">
        <v>439</v>
      </c>
      <c r="B8" s="2"/>
      <c r="C8" s="2"/>
      <c r="D8" s="2"/>
      <c r="E8" s="2"/>
      <c r="F8" s="2"/>
      <c r="G8" s="2"/>
      <c r="H8" s="2"/>
      <c r="I8" s="2"/>
    </row>
    <row r="9" spans="1:11" ht="43.5" customHeight="1" x14ac:dyDescent="0.25">
      <c r="A9" s="158" t="s">
        <v>394</v>
      </c>
      <c r="B9" s="176" t="str">
        <f>'前瞻性调整D2-10-1（量化分析）'!B14</f>
        <v>GDP增长率</v>
      </c>
      <c r="C9" s="176" t="str">
        <f>'前瞻性调整D2-10-1（量化分析）'!C14</f>
        <v>广义货币（M2）增长率</v>
      </c>
      <c r="D9" s="176" t="str">
        <f>'前瞻性调整D2-10-1（量化分析）'!D14</f>
        <v>社会消费品零售总额</v>
      </c>
      <c r="E9" s="176" t="str">
        <f>'前瞻性调整D2-10-1（量化分析）'!E14</f>
        <v>居民消费者价格指数（CPI）</v>
      </c>
      <c r="F9" s="176" t="str">
        <f>'前瞻性调整D2-10-1（量化分析）'!F14</f>
        <v>CPI滞后2季度</v>
      </c>
      <c r="G9" s="176" t="str">
        <f>'前瞻性调整D2-10-1（量化分析）'!G14</f>
        <v>CPI滞后3季度</v>
      </c>
      <c r="H9" s="176" t="str">
        <f>'前瞻性调整D2-10-1（量化分析）'!H14</f>
        <v>城镇固定资产投资</v>
      </c>
      <c r="I9" s="176" t="str">
        <f>'前瞻性调整D2-10-1（量化分析）'!I14</f>
        <v>损失率变动Y</v>
      </c>
      <c r="J9" s="158" t="s">
        <v>213</v>
      </c>
      <c r="K9" s="53"/>
    </row>
    <row r="10" spans="1:11" ht="19.5" customHeight="1" x14ac:dyDescent="0.25">
      <c r="A10" s="5" t="s">
        <v>323</v>
      </c>
      <c r="B10" s="4">
        <f>'前瞻性调整D2-10-1（量化分析）'!B15</f>
        <v>6.0999999999999999E-2</v>
      </c>
      <c r="C10" s="4">
        <f>'前瞻性调整D2-10-1（量化分析）'!C15</f>
        <v>0.13</v>
      </c>
      <c r="D10" s="4">
        <f>'前瞻性调整D2-10-1（量化分析）'!D15</f>
        <v>8.3000000000000004E-2</v>
      </c>
      <c r="E10" s="4">
        <f>'前瞻性调整D2-10-1（量化分析）'!E15</f>
        <v>2.8000000000000001E-2</v>
      </c>
      <c r="F10" s="4">
        <f>'前瞻性调整D2-10-1（量化分析）'!F15</f>
        <v>2.7E-2</v>
      </c>
      <c r="G10" s="4">
        <f>'前瞻性调整D2-10-1（量化分析）'!G15</f>
        <v>2.3E-2</v>
      </c>
      <c r="H10" s="4">
        <f>'前瞻性调整D2-10-1（量化分析）'!H15</f>
        <v>-0.32650000000000001</v>
      </c>
      <c r="I10" s="4">
        <f>'前瞻性调整D2-10-1（量化分析）'!I15</f>
        <v>0.16627452326599257</v>
      </c>
      <c r="J10" s="4"/>
      <c r="K10" s="52"/>
    </row>
    <row r="11" spans="1:11" ht="19.5" customHeight="1" x14ac:dyDescent="0.25">
      <c r="A11" s="5" t="s">
        <v>423</v>
      </c>
      <c r="B11" s="4">
        <f>'前瞻性调整D2-10-1（量化分析）'!B16</f>
        <v>6.6000000000000003E-2</v>
      </c>
      <c r="C11" s="4">
        <f>'前瞻性调整D2-10-1（量化分析）'!C16</f>
        <v>6.9900000000000004E-2</v>
      </c>
      <c r="D11" s="4">
        <f>'前瞻性调整D2-10-1（量化分析）'!D16</f>
        <v>0.09</v>
      </c>
      <c r="E11" s="4">
        <f>'前瞻性调整D2-10-1（量化分析）'!E16</f>
        <v>1.9E-2</v>
      </c>
      <c r="F11" s="4">
        <f>'前瞻性调整D2-10-1（量化分析）'!F16</f>
        <v>1.9E-2</v>
      </c>
      <c r="G11" s="4">
        <f>'前瞻性调整D2-10-1（量化分析）'!G16</f>
        <v>2.1000000000000001E-2</v>
      </c>
      <c r="H11" s="4">
        <f>'前瞻性调整D2-10-1（量化分析）'!H16</f>
        <v>-0.5343</v>
      </c>
      <c r="I11" s="4">
        <f>'前瞻性调整D2-10-1（量化分析）'!I16</f>
        <v>0.31737062937062943</v>
      </c>
      <c r="J11" s="4"/>
      <c r="K11" s="52"/>
    </row>
    <row r="12" spans="1:11" ht="19.5" customHeight="1" x14ac:dyDescent="0.25">
      <c r="A12" s="5" t="s">
        <v>422</v>
      </c>
      <c r="B12" s="4">
        <f>'前瞻性调整D2-10-1（量化分析）'!B17</f>
        <v>6.9000000000000006E-2</v>
      </c>
      <c r="C12" s="4">
        <f>'前瞻性调整D2-10-1（量化分析）'!C17</f>
        <v>8.1100000000000005E-2</v>
      </c>
      <c r="D12" s="4">
        <f>'前瞻性调整D2-10-1（量化分析）'!D17</f>
        <v>0.10199999999999999</v>
      </c>
      <c r="E12" s="4">
        <f>'前瞻性调整D2-10-1（量化分析）'!E17</f>
        <v>1.7999999999999999E-2</v>
      </c>
      <c r="F12" s="4">
        <f>'前瞻性调整D2-10-1（量化分析）'!F17</f>
        <v>1.4999999999999999E-2</v>
      </c>
      <c r="G12" s="4">
        <f>'前瞻性调整D2-10-1（量化分析）'!G17</f>
        <v>8.9999999999999993E-3</v>
      </c>
      <c r="H12" s="4">
        <f>'前瞻性调整D2-10-1（量化分析）'!H17</f>
        <v>-2.29E-2</v>
      </c>
      <c r="I12" s="4">
        <f>'前瞻性调整D2-10-1（量化分析）'!I17</f>
        <v>0.25</v>
      </c>
      <c r="J12" s="4"/>
      <c r="K12" s="3"/>
    </row>
    <row r="13" spans="1:11" ht="19.5" customHeight="1" x14ac:dyDescent="0.25">
      <c r="A13" s="5" t="s">
        <v>421</v>
      </c>
      <c r="B13" s="4">
        <f>'前瞻性调整D2-10-1（量化分析）'!B18</f>
        <v>7.2999999999999995E-2</v>
      </c>
      <c r="C13" s="4">
        <f>'前瞻性调整D2-10-1（量化分析）'!C18</f>
        <v>0.1133</v>
      </c>
      <c r="D13" s="4">
        <f>'前瞻性调整D2-10-1（量化分析）'!D18</f>
        <v>0.104</v>
      </c>
      <c r="E13" s="4">
        <f>'前瞻性调整D2-10-1（量化分析）'!E18</f>
        <v>2.1000000000000001E-2</v>
      </c>
      <c r="F13" s="4">
        <f>'前瞻性调整D2-10-1（量化分析）'!F18</f>
        <v>1.9E-2</v>
      </c>
      <c r="G13" s="4">
        <f>'前瞻性调整D2-10-1（量化分析）'!G18</f>
        <v>2.3E-2</v>
      </c>
      <c r="H13" s="4">
        <f>'前瞻性调整D2-10-1（量化分析）'!H18</f>
        <v>6.5199999999999994E-2</v>
      </c>
      <c r="I13" s="4">
        <f>'前瞻性调整D2-10-1（量化分析）'!I18</f>
        <v>0.185</v>
      </c>
      <c r="J13" s="4"/>
      <c r="K13" s="3"/>
    </row>
    <row r="14" spans="1:11" ht="19.5" customHeight="1" x14ac:dyDescent="0.25">
      <c r="A14" s="5" t="s">
        <v>420</v>
      </c>
      <c r="B14" s="4">
        <f>'前瞻性调整D2-10-1（量化分析）'!B19</f>
        <v>7.8E-2</v>
      </c>
      <c r="C14" s="4">
        <f>'前瞻性调整D2-10-1（量化分析）'!C19</f>
        <v>0.13339999999999999</v>
      </c>
      <c r="D14" s="4">
        <f>'前瞻性调整D2-10-1（量化分析）'!D19</f>
        <v>0.107</v>
      </c>
      <c r="E14" s="4">
        <f>'前瞻性调整D2-10-1（量化分析）'!E19</f>
        <v>1.6E-2</v>
      </c>
      <c r="F14" s="4">
        <f>'前瞻性调整D2-10-1（量化分析）'!F19</f>
        <v>1.4E-2</v>
      </c>
      <c r="G14" s="4">
        <f>'前瞻性调整D2-10-1（量化分析）'!G19</f>
        <v>1.4E-2</v>
      </c>
      <c r="H14" s="4">
        <f>'前瞻性调整D2-10-1（量化分析）'!H19</f>
        <v>6.8099999999999994E-2</v>
      </c>
      <c r="I14" s="4">
        <f>'前瞻性调整D2-10-1（量化分析）'!I19</f>
        <v>0.16</v>
      </c>
      <c r="J14" s="4"/>
      <c r="K14" s="3"/>
    </row>
    <row r="15" spans="1:11" ht="19.5" customHeight="1" x14ac:dyDescent="0.25">
      <c r="A15" s="5" t="s">
        <v>419</v>
      </c>
      <c r="B15" s="4">
        <f>'前瞻性调整D2-10-1（量化分析）'!B20</f>
        <v>7.9000000000000001E-2</v>
      </c>
      <c r="C15" s="4">
        <f>'前瞻性调整D2-10-1（量化分析）'!C20</f>
        <v>0.1101</v>
      </c>
      <c r="D15" s="4">
        <f>'前瞻性调整D2-10-1（量化分析）'!D20</f>
        <v>0.1195</v>
      </c>
      <c r="E15" s="4">
        <f>'前瞻性调整D2-10-1（量化分析）'!E20</f>
        <v>1.4999999999999999E-2</v>
      </c>
      <c r="F15" s="4">
        <f>'前瞻性调整D2-10-1（量化分析）'!F20</f>
        <v>2.3E-2</v>
      </c>
      <c r="G15" s="4">
        <f>'前瞻性调整D2-10-1（量化分析）'!G20</f>
        <v>2.4E-2</v>
      </c>
      <c r="H15" s="4">
        <f>'前瞻性调整D2-10-1（量化分析）'!H20</f>
        <v>0.1258</v>
      </c>
      <c r="I15" s="4">
        <f>'前瞻性调整D2-10-1（量化分析）'!I20</f>
        <v>0.14000000000000001</v>
      </c>
      <c r="J15" s="4"/>
      <c r="K15" s="3"/>
    </row>
    <row r="16" spans="1:11" ht="19.5" customHeight="1" x14ac:dyDescent="0.25">
      <c r="A16" s="5" t="s">
        <v>418</v>
      </c>
      <c r="B16" s="4"/>
      <c r="C16" s="4"/>
      <c r="D16" s="4"/>
      <c r="E16" s="4"/>
      <c r="F16" s="4"/>
      <c r="G16" s="4"/>
      <c r="H16" s="4"/>
      <c r="I16" s="4"/>
      <c r="J16" s="4"/>
      <c r="K16" s="7"/>
    </row>
    <row r="17" spans="1:19" ht="24.75" customHeight="1" x14ac:dyDescent="0.25">
      <c r="A17" s="13" t="s">
        <v>438</v>
      </c>
      <c r="B17" s="28"/>
      <c r="C17" s="28"/>
      <c r="D17" s="28"/>
      <c r="E17" s="28"/>
      <c r="F17" s="28"/>
      <c r="G17" s="28"/>
      <c r="H17" s="28"/>
      <c r="I17" s="28"/>
      <c r="J17" s="28"/>
      <c r="K17" s="3"/>
    </row>
    <row r="18" spans="1:19" ht="19.5" customHeight="1" x14ac:dyDescent="0.25">
      <c r="A18" s="8" t="s">
        <v>437</v>
      </c>
      <c r="B18" s="9"/>
      <c r="C18" s="9"/>
      <c r="D18" s="9"/>
      <c r="E18" s="9"/>
      <c r="F18" s="9"/>
      <c r="G18" s="9"/>
      <c r="H18" s="9"/>
      <c r="I18" s="9"/>
      <c r="J18" s="9"/>
      <c r="K18" s="7"/>
    </row>
    <row r="19" spans="1:19" ht="19.5" customHeight="1" x14ac:dyDescent="0.25">
      <c r="A19" s="13" t="s">
        <v>436</v>
      </c>
      <c r="B19" s="9"/>
      <c r="C19" s="9"/>
      <c r="D19" s="9"/>
      <c r="E19" s="9"/>
      <c r="F19" s="9"/>
      <c r="G19" s="9"/>
      <c r="H19" s="9"/>
      <c r="I19" s="9"/>
      <c r="J19" s="9"/>
      <c r="K19" s="7"/>
    </row>
    <row r="20" spans="1:19" ht="19.5" customHeight="1" x14ac:dyDescent="0.25">
      <c r="A20" s="13" t="s">
        <v>435</v>
      </c>
      <c r="B20" s="9"/>
      <c r="C20" s="9"/>
      <c r="D20" s="9"/>
      <c r="E20" s="9"/>
      <c r="F20" s="9"/>
      <c r="G20" s="9"/>
      <c r="H20" s="9"/>
      <c r="I20" s="9"/>
      <c r="J20" s="9"/>
      <c r="K20" s="7"/>
    </row>
    <row r="21" spans="1:19" ht="19.5" customHeight="1" x14ac:dyDescent="0.25">
      <c r="A21" s="8"/>
      <c r="B21" s="9"/>
      <c r="C21" s="9"/>
      <c r="D21" s="9"/>
      <c r="E21" s="9"/>
      <c r="F21" s="9"/>
      <c r="G21" s="9"/>
      <c r="H21" s="9"/>
      <c r="I21" s="9"/>
      <c r="J21" s="9"/>
      <c r="K21" s="7"/>
    </row>
    <row r="22" spans="1:19" ht="19.5" customHeight="1" x14ac:dyDescent="0.25">
      <c r="A22" s="71" t="str">
        <f>B9</f>
        <v>GDP增长率</v>
      </c>
      <c r="B22" s="9"/>
      <c r="C22" s="9"/>
      <c r="D22" s="9"/>
      <c r="E22" s="9"/>
      <c r="F22" s="9"/>
      <c r="G22" s="9"/>
      <c r="H22" s="9"/>
      <c r="I22" s="9"/>
      <c r="J22" s="9"/>
      <c r="K22" s="7"/>
    </row>
    <row r="23" spans="1:19" ht="19.5" customHeight="1" x14ac:dyDescent="0.3">
      <c r="A23" s="34" t="s">
        <v>392</v>
      </c>
      <c r="B23" s="34"/>
      <c r="C23" s="34"/>
      <c r="D23" s="34"/>
      <c r="E23" s="34"/>
      <c r="F23" s="34"/>
      <c r="G23" s="34"/>
      <c r="H23" s="34"/>
      <c r="I23" s="34"/>
      <c r="J23" s="45"/>
      <c r="K23" s="66"/>
      <c r="L23" s="34"/>
      <c r="M23" s="34"/>
      <c r="N23" s="34"/>
      <c r="O23" s="34"/>
      <c r="P23" s="34"/>
      <c r="Q23" s="34"/>
      <c r="R23" s="34"/>
      <c r="S23" s="34"/>
    </row>
    <row r="24" spans="1:19" ht="19.5" customHeight="1" thickBot="1" x14ac:dyDescent="0.35">
      <c r="A24" s="34"/>
      <c r="B24" s="34"/>
      <c r="C24" s="34"/>
      <c r="D24" s="34"/>
      <c r="E24" s="34"/>
      <c r="F24" s="34"/>
      <c r="G24" s="34"/>
      <c r="H24" s="34"/>
      <c r="I24" s="34"/>
      <c r="J24" s="45"/>
      <c r="K24" s="34"/>
    </row>
    <row r="25" spans="1:19" ht="19.5" customHeight="1" x14ac:dyDescent="0.3">
      <c r="A25" s="65" t="s">
        <v>390</v>
      </c>
      <c r="B25" s="65"/>
      <c r="C25" s="34"/>
      <c r="D25" s="34"/>
      <c r="E25" s="34"/>
      <c r="F25" s="34"/>
      <c r="G25" s="34"/>
      <c r="H25" s="34"/>
      <c r="I25" s="34"/>
      <c r="J25" s="45"/>
      <c r="K25" s="34"/>
      <c r="L25" s="34"/>
      <c r="M25" s="34"/>
      <c r="N25" s="34"/>
      <c r="O25" s="34"/>
      <c r="P25" s="34"/>
      <c r="Q25" s="34"/>
      <c r="R25" s="34"/>
      <c r="S25" s="34"/>
    </row>
    <row r="26" spans="1:19" ht="19.5" customHeight="1" x14ac:dyDescent="0.3">
      <c r="A26" s="34" t="s">
        <v>389</v>
      </c>
      <c r="B26" s="34">
        <v>0.48139795782661793</v>
      </c>
      <c r="C26" s="34"/>
      <c r="D26" s="34"/>
      <c r="E26" s="34"/>
      <c r="F26" s="34"/>
      <c r="G26" s="34"/>
      <c r="H26" s="34"/>
      <c r="I26" s="34"/>
      <c r="J26" s="45"/>
      <c r="K26" s="64"/>
    </row>
    <row r="27" spans="1:19" ht="19.5" customHeight="1" x14ac:dyDescent="0.3">
      <c r="A27" s="34" t="s">
        <v>387</v>
      </c>
      <c r="B27" s="34">
        <v>0.23174399379963823</v>
      </c>
      <c r="C27" s="34"/>
      <c r="D27" s="34"/>
      <c r="E27" s="34"/>
      <c r="F27" s="34"/>
      <c r="G27" s="34"/>
      <c r="H27" s="34"/>
      <c r="I27" s="34"/>
      <c r="J27" s="45"/>
      <c r="K27" s="64"/>
      <c r="L27" s="34"/>
      <c r="M27" s="34"/>
      <c r="N27" s="34"/>
      <c r="O27" s="34"/>
      <c r="P27" s="34"/>
      <c r="Q27" s="34"/>
      <c r="R27" s="34"/>
      <c r="S27" s="34"/>
    </row>
    <row r="28" spans="1:19" ht="19.5" customHeight="1" x14ac:dyDescent="0.3">
      <c r="A28" s="34" t="s">
        <v>385</v>
      </c>
      <c r="B28" s="34">
        <v>3.9679992249547769E-2</v>
      </c>
      <c r="C28" s="34"/>
      <c r="D28" s="34"/>
      <c r="E28" s="34"/>
      <c r="F28" s="34"/>
      <c r="G28" s="34"/>
      <c r="H28" s="34"/>
      <c r="I28" s="34"/>
      <c r="J28" s="45"/>
      <c r="K28" s="64"/>
    </row>
    <row r="29" spans="1:19" ht="19.5" customHeight="1" x14ac:dyDescent="0.3">
      <c r="A29" s="34" t="s">
        <v>368</v>
      </c>
      <c r="B29" s="34">
        <v>6.6145912543630031E-2</v>
      </c>
      <c r="C29" s="34"/>
      <c r="D29" s="34"/>
      <c r="E29" s="34"/>
      <c r="F29" s="34"/>
      <c r="G29" s="34"/>
      <c r="H29" s="34"/>
      <c r="I29" s="34"/>
      <c r="J29" s="45"/>
      <c r="K29" s="64"/>
      <c r="L29" s="34"/>
      <c r="M29" s="34"/>
      <c r="N29" s="34"/>
      <c r="O29" s="34"/>
      <c r="P29" s="34"/>
      <c r="Q29" s="34"/>
      <c r="R29" s="34"/>
      <c r="S29" s="34"/>
    </row>
    <row r="30" spans="1:19" ht="19.5" customHeight="1" thickBot="1" x14ac:dyDescent="0.35">
      <c r="A30" s="62" t="s">
        <v>382</v>
      </c>
      <c r="B30" s="62">
        <v>6</v>
      </c>
      <c r="C30" s="34"/>
      <c r="D30" s="34"/>
      <c r="E30" s="34"/>
      <c r="F30" s="34"/>
      <c r="G30" s="34"/>
      <c r="H30" s="34"/>
      <c r="I30" s="34"/>
      <c r="J30" s="45"/>
      <c r="K30" s="64"/>
    </row>
    <row r="31" spans="1:19" ht="19.5" customHeight="1" x14ac:dyDescent="0.3">
      <c r="A31" s="34"/>
      <c r="B31" s="34"/>
      <c r="C31" s="34"/>
      <c r="D31" s="34"/>
      <c r="E31" s="34"/>
      <c r="F31" s="34"/>
      <c r="G31" s="34"/>
      <c r="H31" s="34"/>
      <c r="I31" s="34"/>
      <c r="J31" s="45"/>
      <c r="K31" s="64"/>
      <c r="L31" s="34"/>
      <c r="M31" s="34"/>
      <c r="N31" s="34"/>
      <c r="O31" s="34"/>
      <c r="P31" s="34"/>
      <c r="Q31" s="34"/>
      <c r="R31" s="34"/>
      <c r="S31" s="34"/>
    </row>
    <row r="32" spans="1:19" ht="19.5" customHeight="1" thickBot="1" x14ac:dyDescent="0.35">
      <c r="A32" s="34" t="s">
        <v>381</v>
      </c>
      <c r="B32" s="34"/>
      <c r="C32" s="34"/>
      <c r="D32" s="34"/>
      <c r="E32" s="34"/>
      <c r="F32" s="34"/>
      <c r="G32" s="34"/>
      <c r="H32" s="34"/>
      <c r="I32" s="34"/>
      <c r="J32" s="45"/>
      <c r="K32" s="64"/>
    </row>
    <row r="33" spans="1:19" ht="19.5" customHeight="1" x14ac:dyDescent="0.3">
      <c r="A33" s="63"/>
      <c r="B33" s="63" t="s">
        <v>380</v>
      </c>
      <c r="C33" s="63" t="s">
        <v>379</v>
      </c>
      <c r="D33" s="63" t="s">
        <v>378</v>
      </c>
      <c r="E33" s="63" t="s">
        <v>377</v>
      </c>
      <c r="F33" s="63" t="s">
        <v>376</v>
      </c>
      <c r="G33" s="34"/>
      <c r="H33" s="34"/>
      <c r="I33" s="34"/>
      <c r="J33" s="45"/>
      <c r="K33" s="64"/>
      <c r="L33" s="34"/>
      <c r="M33" s="34"/>
      <c r="N33" s="34"/>
      <c r="O33" s="34"/>
      <c r="P33" s="34"/>
      <c r="Q33" s="34"/>
      <c r="R33" s="34"/>
      <c r="S33" s="34"/>
    </row>
    <row r="34" spans="1:19" ht="19.5" customHeight="1" x14ac:dyDescent="0.3">
      <c r="A34" s="34" t="s">
        <v>374</v>
      </c>
      <c r="B34" s="34">
        <v>1</v>
      </c>
      <c r="C34" s="34">
        <v>5.2792051487350368E-3</v>
      </c>
      <c r="D34" s="34">
        <v>5.2792051487350368E-3</v>
      </c>
      <c r="E34" s="34">
        <v>1.2065977587122134</v>
      </c>
      <c r="F34" s="34">
        <v>0.33368360593693835</v>
      </c>
      <c r="G34" s="34"/>
      <c r="H34" s="34"/>
      <c r="I34" s="34"/>
      <c r="J34" s="45"/>
      <c r="K34" s="64"/>
    </row>
    <row r="35" spans="1:19" ht="19.5" customHeight="1" x14ac:dyDescent="0.3">
      <c r="A35" s="34" t="s">
        <v>372</v>
      </c>
      <c r="B35" s="34">
        <v>4</v>
      </c>
      <c r="C35" s="34">
        <v>1.7501126984918208E-2</v>
      </c>
      <c r="D35" s="34">
        <v>4.3752817462295521E-3</v>
      </c>
      <c r="E35" s="34"/>
      <c r="F35" s="34"/>
      <c r="G35" s="34"/>
      <c r="H35" s="34"/>
      <c r="I35" s="34"/>
      <c r="J35" s="45"/>
      <c r="K35" s="64"/>
      <c r="L35" s="34"/>
      <c r="M35" s="34"/>
      <c r="N35" s="34"/>
      <c r="O35" s="34"/>
      <c r="P35" s="34"/>
      <c r="Q35" s="34"/>
      <c r="R35" s="34"/>
      <c r="S35" s="34"/>
    </row>
    <row r="36" spans="1:19" ht="19.5" customHeight="1" thickBot="1" x14ac:dyDescent="0.35">
      <c r="A36" s="62" t="s">
        <v>371</v>
      </c>
      <c r="B36" s="62">
        <v>5</v>
      </c>
      <c r="C36" s="62">
        <v>2.2780332133653245E-2</v>
      </c>
      <c r="D36" s="62"/>
      <c r="E36" s="62"/>
      <c r="F36" s="62"/>
      <c r="G36" s="34"/>
      <c r="H36" s="34"/>
      <c r="I36" s="34"/>
      <c r="J36" s="45"/>
      <c r="K36" s="271"/>
    </row>
    <row r="37" spans="1:19" ht="19.5" customHeight="1" thickBot="1" x14ac:dyDescent="0.35">
      <c r="A37" s="34"/>
      <c r="B37" s="34"/>
      <c r="C37" s="34"/>
      <c r="D37" s="34"/>
      <c r="E37" s="34"/>
      <c r="F37" s="34"/>
      <c r="G37" s="34"/>
      <c r="H37" s="34"/>
      <c r="I37" s="34"/>
      <c r="J37" s="45"/>
      <c r="K37" s="272"/>
      <c r="L37" s="34"/>
      <c r="M37" s="34"/>
      <c r="N37" s="34"/>
      <c r="O37" s="34"/>
      <c r="P37" s="34"/>
      <c r="Q37" s="34"/>
      <c r="R37" s="34"/>
      <c r="S37" s="34"/>
    </row>
    <row r="38" spans="1:19" ht="19.5" customHeight="1" x14ac:dyDescent="0.3">
      <c r="A38" s="63"/>
      <c r="B38" s="63" t="s">
        <v>369</v>
      </c>
      <c r="C38" s="63" t="s">
        <v>368</v>
      </c>
      <c r="D38" s="63" t="s">
        <v>367</v>
      </c>
      <c r="E38" s="63" t="s">
        <v>366</v>
      </c>
      <c r="F38" s="63" t="s">
        <v>365</v>
      </c>
      <c r="G38" s="63" t="s">
        <v>364</v>
      </c>
      <c r="H38" s="63" t="s">
        <v>363</v>
      </c>
      <c r="I38" s="63" t="s">
        <v>362</v>
      </c>
      <c r="J38" s="45"/>
      <c r="K38" s="44"/>
    </row>
    <row r="39" spans="1:19" ht="19.5" customHeight="1" x14ac:dyDescent="0.3">
      <c r="A39" s="34" t="s">
        <v>361</v>
      </c>
      <c r="B39" s="34">
        <v>0.53201600082735634</v>
      </c>
      <c r="C39" s="34">
        <v>0.30064417178080566</v>
      </c>
      <c r="D39" s="34">
        <v>1.7695869428503002</v>
      </c>
      <c r="E39" s="34">
        <v>0.15151256406004718</v>
      </c>
      <c r="F39" s="34">
        <v>-0.30270603831970611</v>
      </c>
      <c r="G39" s="34">
        <v>1.3667380399744187</v>
      </c>
      <c r="H39" s="34">
        <v>-0.30270603831970611</v>
      </c>
      <c r="I39" s="34">
        <v>1.3667380399744187</v>
      </c>
      <c r="J39" s="45"/>
      <c r="K39" s="44"/>
      <c r="L39" s="34"/>
      <c r="M39" s="34"/>
      <c r="N39" s="34"/>
      <c r="O39" s="34"/>
      <c r="P39" s="34"/>
      <c r="Q39" s="34"/>
      <c r="R39" s="34"/>
      <c r="S39" s="34"/>
    </row>
    <row r="40" spans="1:19" ht="19.5" customHeight="1" thickBot="1" x14ac:dyDescent="0.35">
      <c r="A40" s="62" t="s">
        <v>360</v>
      </c>
      <c r="B40" s="62">
        <v>-4.6325137378580186</v>
      </c>
      <c r="C40" s="62">
        <v>4.2173093502142667</v>
      </c>
      <c r="D40" s="62">
        <v>-1.098452438074683</v>
      </c>
      <c r="E40" s="62">
        <v>0.33368360593693785</v>
      </c>
      <c r="F40" s="62">
        <v>-16.341641640365307</v>
      </c>
      <c r="G40" s="62">
        <v>7.0766141646492686</v>
      </c>
      <c r="H40" s="62">
        <v>-16.341641640365307</v>
      </c>
      <c r="I40" s="62">
        <v>7.0766141646492686</v>
      </c>
      <c r="J40" s="45"/>
      <c r="K40" s="44"/>
    </row>
    <row r="41" spans="1:19" ht="19.5" customHeight="1" x14ac:dyDescent="0.3">
      <c r="A41" s="34"/>
      <c r="B41" s="34"/>
      <c r="C41" s="34"/>
      <c r="D41" s="34"/>
      <c r="E41" s="34"/>
      <c r="F41" s="34"/>
      <c r="G41" s="34"/>
      <c r="H41" s="34"/>
      <c r="I41" s="34"/>
      <c r="J41" s="45"/>
      <c r="K41" s="44"/>
      <c r="L41" s="34"/>
      <c r="M41" s="34"/>
      <c r="N41" s="34"/>
      <c r="O41" s="34"/>
      <c r="P41" s="34"/>
      <c r="Q41" s="34"/>
      <c r="R41" s="34"/>
      <c r="S41" s="34"/>
    </row>
    <row r="42" spans="1:19" ht="19.5" customHeight="1" x14ac:dyDescent="0.3">
      <c r="A42" s="34"/>
      <c r="B42" s="34"/>
      <c r="C42" s="34"/>
      <c r="D42" s="34"/>
      <c r="E42" s="34"/>
      <c r="F42" s="34"/>
      <c r="G42" s="34"/>
      <c r="H42" s="34"/>
      <c r="I42" s="34"/>
      <c r="J42" s="45"/>
      <c r="K42" s="44"/>
      <c r="L42" s="34"/>
      <c r="M42" s="34"/>
      <c r="N42" s="34"/>
      <c r="O42" s="34"/>
      <c r="P42" s="34"/>
      <c r="Q42" s="34"/>
      <c r="R42" s="34"/>
      <c r="S42" s="34"/>
    </row>
    <row r="43" spans="1:19" ht="19.5" customHeight="1" x14ac:dyDescent="0.3">
      <c r="A43" s="34"/>
      <c r="B43" s="34"/>
      <c r="C43" s="34"/>
      <c r="D43" s="34"/>
      <c r="E43" s="34"/>
      <c r="F43" s="34"/>
      <c r="G43" s="34"/>
      <c r="H43" s="34"/>
      <c r="I43" s="34"/>
      <c r="J43" s="45"/>
      <c r="K43" s="44"/>
      <c r="L43" s="34"/>
      <c r="M43" s="34"/>
      <c r="N43" s="34"/>
      <c r="O43" s="34"/>
      <c r="P43" s="34"/>
      <c r="Q43" s="34"/>
      <c r="R43" s="34"/>
      <c r="S43" s="34"/>
    </row>
    <row r="44" spans="1:19" ht="19.5" customHeight="1" x14ac:dyDescent="0.3">
      <c r="A44" s="71" t="str">
        <f>C9</f>
        <v>广义货币（M2）增长率</v>
      </c>
      <c r="B44" s="34"/>
      <c r="C44" s="34"/>
      <c r="D44" s="34"/>
      <c r="E44" s="34"/>
      <c r="F44" s="34"/>
      <c r="G44" s="34"/>
      <c r="H44" s="34"/>
      <c r="I44" s="34"/>
      <c r="J44" s="45"/>
      <c r="K44" s="44"/>
      <c r="L44" s="34"/>
      <c r="M44" s="34"/>
      <c r="N44" s="34"/>
      <c r="O44" s="34"/>
      <c r="P44" s="34"/>
      <c r="Q44" s="34"/>
      <c r="R44" s="34"/>
      <c r="S44" s="34"/>
    </row>
    <row r="45" spans="1:19" ht="19.5" customHeight="1" x14ac:dyDescent="0.3">
      <c r="A45" s="34" t="s">
        <v>392</v>
      </c>
      <c r="B45" s="34"/>
      <c r="C45" s="34"/>
      <c r="D45" s="34"/>
      <c r="E45" s="34"/>
      <c r="F45" s="34"/>
      <c r="G45" s="34"/>
      <c r="H45" s="34"/>
      <c r="I45" s="34"/>
      <c r="J45" s="45"/>
      <c r="K45" s="44"/>
      <c r="L45" s="34"/>
      <c r="M45" s="34"/>
      <c r="N45" s="34"/>
      <c r="O45" s="34"/>
      <c r="P45" s="34"/>
      <c r="Q45" s="34"/>
      <c r="R45" s="34"/>
      <c r="S45" s="34"/>
    </row>
    <row r="46" spans="1:19" ht="19.5" customHeight="1" thickBot="1" x14ac:dyDescent="0.35">
      <c r="A46" s="34"/>
      <c r="B46" s="34"/>
      <c r="C46" s="34"/>
      <c r="D46" s="34"/>
      <c r="E46" s="34"/>
      <c r="F46" s="34"/>
      <c r="G46" s="34"/>
      <c r="H46" s="34"/>
      <c r="I46" s="34"/>
      <c r="J46" s="45"/>
      <c r="K46" s="44"/>
      <c r="L46" s="34"/>
      <c r="M46" s="34"/>
      <c r="N46" s="34"/>
      <c r="O46" s="34"/>
      <c r="P46" s="34"/>
      <c r="Q46" s="34"/>
      <c r="R46" s="34"/>
      <c r="S46" s="34"/>
    </row>
    <row r="47" spans="1:19" ht="19.5" customHeight="1" x14ac:dyDescent="0.3">
      <c r="A47" s="65" t="s">
        <v>390</v>
      </c>
      <c r="B47" s="65"/>
      <c r="C47" s="34"/>
      <c r="D47" s="34"/>
      <c r="E47" s="34"/>
      <c r="F47" s="34"/>
      <c r="G47" s="34"/>
      <c r="H47" s="34"/>
      <c r="I47" s="34"/>
      <c r="J47" s="45"/>
      <c r="K47" s="44"/>
      <c r="L47" s="34"/>
      <c r="M47" s="34"/>
      <c r="N47" s="34"/>
      <c r="O47" s="34"/>
      <c r="P47" s="34"/>
      <c r="Q47" s="34"/>
      <c r="R47" s="34"/>
      <c r="S47" s="34"/>
    </row>
    <row r="48" spans="1:19" ht="19.5" customHeight="1" x14ac:dyDescent="0.3">
      <c r="A48" s="34" t="s">
        <v>389</v>
      </c>
      <c r="B48" s="34">
        <v>0.89105273209594593</v>
      </c>
      <c r="C48" s="34"/>
      <c r="D48" s="34"/>
      <c r="E48" s="34"/>
      <c r="F48" s="34"/>
      <c r="G48" s="34"/>
      <c r="H48" s="34"/>
      <c r="I48" s="34"/>
      <c r="J48" s="45"/>
      <c r="K48" s="44"/>
      <c r="L48" s="34"/>
      <c r="M48" s="34"/>
      <c r="N48" s="34"/>
      <c r="O48" s="34"/>
      <c r="P48" s="34"/>
      <c r="Q48" s="34"/>
      <c r="R48" s="34"/>
      <c r="S48" s="34"/>
    </row>
    <row r="49" spans="1:19" ht="19.5" customHeight="1" x14ac:dyDescent="0.3">
      <c r="A49" s="34" t="s">
        <v>387</v>
      </c>
      <c r="B49" s="34">
        <v>0.79397497137564954</v>
      </c>
      <c r="C49" s="34"/>
      <c r="D49" s="34"/>
      <c r="E49" s="34"/>
      <c r="F49" s="34"/>
      <c r="G49" s="34"/>
      <c r="H49" s="34"/>
      <c r="I49" s="34"/>
      <c r="J49" s="45"/>
      <c r="K49" s="44"/>
      <c r="L49" s="34"/>
      <c r="M49" s="34"/>
      <c r="N49" s="34"/>
      <c r="O49" s="34"/>
      <c r="P49" s="34"/>
      <c r="Q49" s="34"/>
      <c r="R49" s="34"/>
      <c r="S49" s="34"/>
    </row>
    <row r="50" spans="1:19" ht="19.5" customHeight="1" x14ac:dyDescent="0.3">
      <c r="A50" s="34" t="s">
        <v>385</v>
      </c>
      <c r="B50" s="34">
        <v>0.74246871421956195</v>
      </c>
      <c r="C50" s="34"/>
      <c r="D50" s="34"/>
      <c r="E50" s="34"/>
      <c r="F50" s="34"/>
      <c r="G50" s="34"/>
      <c r="H50" s="34"/>
      <c r="I50" s="34"/>
      <c r="J50" s="45"/>
      <c r="K50" s="44"/>
      <c r="L50" s="34"/>
      <c r="M50" s="34"/>
      <c r="N50" s="34"/>
      <c r="O50" s="34"/>
      <c r="P50" s="34"/>
      <c r="Q50" s="34"/>
      <c r="R50" s="34"/>
      <c r="S50" s="34"/>
    </row>
    <row r="51" spans="1:19" ht="19.5" customHeight="1" x14ac:dyDescent="0.3">
      <c r="A51" s="34" t="s">
        <v>368</v>
      </c>
      <c r="B51" s="34">
        <v>3.4253899704661812E-2</v>
      </c>
      <c r="C51" s="34"/>
      <c r="D51" s="34"/>
      <c r="E51" s="34"/>
      <c r="F51" s="34"/>
      <c r="G51" s="34"/>
      <c r="H51" s="34"/>
      <c r="I51" s="34"/>
      <c r="J51" s="45"/>
      <c r="K51" s="44"/>
      <c r="L51" s="34"/>
      <c r="M51" s="34"/>
      <c r="N51" s="34"/>
      <c r="O51" s="34"/>
      <c r="P51" s="34"/>
      <c r="Q51" s="34"/>
      <c r="R51" s="34"/>
      <c r="S51" s="34"/>
    </row>
    <row r="52" spans="1:19" ht="19.5" customHeight="1" thickBot="1" x14ac:dyDescent="0.35">
      <c r="A52" s="62" t="s">
        <v>382</v>
      </c>
      <c r="B52" s="62">
        <v>6</v>
      </c>
      <c r="C52" s="34"/>
      <c r="D52" s="34"/>
      <c r="E52" s="34"/>
      <c r="F52" s="34"/>
      <c r="G52" s="34"/>
      <c r="H52" s="34"/>
      <c r="I52" s="34"/>
      <c r="J52" s="45"/>
      <c r="K52" s="44"/>
      <c r="L52" s="34"/>
      <c r="M52" s="34"/>
      <c r="N52" s="34"/>
      <c r="O52" s="34"/>
      <c r="P52" s="34"/>
      <c r="Q52" s="34"/>
      <c r="R52" s="34"/>
      <c r="S52" s="34"/>
    </row>
    <row r="53" spans="1:19" ht="19.5" customHeight="1" x14ac:dyDescent="0.3">
      <c r="A53" s="34"/>
      <c r="B53" s="34"/>
      <c r="C53" s="34"/>
      <c r="D53" s="34"/>
      <c r="E53" s="34"/>
      <c r="F53" s="34"/>
      <c r="G53" s="34"/>
      <c r="H53" s="34"/>
      <c r="I53" s="34"/>
      <c r="J53" s="45"/>
      <c r="K53" s="44"/>
      <c r="L53" s="34"/>
      <c r="M53" s="34"/>
      <c r="N53" s="34"/>
      <c r="O53" s="34"/>
      <c r="P53" s="34"/>
      <c r="Q53" s="34"/>
      <c r="R53" s="34"/>
      <c r="S53" s="34"/>
    </row>
    <row r="54" spans="1:19" ht="19.5" customHeight="1" thickBot="1" x14ac:dyDescent="0.35">
      <c r="A54" s="34" t="s">
        <v>381</v>
      </c>
      <c r="B54" s="34"/>
      <c r="C54" s="34"/>
      <c r="D54" s="34"/>
      <c r="E54" s="34"/>
      <c r="F54" s="34"/>
      <c r="G54" s="34"/>
      <c r="H54" s="34"/>
      <c r="I54" s="34"/>
      <c r="J54" s="45"/>
      <c r="K54" s="44"/>
      <c r="L54" s="34"/>
      <c r="M54" s="34"/>
      <c r="N54" s="34"/>
      <c r="O54" s="34"/>
      <c r="P54" s="34"/>
      <c r="Q54" s="34"/>
      <c r="R54" s="34"/>
      <c r="S54" s="34"/>
    </row>
    <row r="55" spans="1:19" ht="19.5" customHeight="1" x14ac:dyDescent="0.3">
      <c r="A55" s="63"/>
      <c r="B55" s="63" t="s">
        <v>380</v>
      </c>
      <c r="C55" s="63" t="s">
        <v>379</v>
      </c>
      <c r="D55" s="63" t="s">
        <v>378</v>
      </c>
      <c r="E55" s="63" t="s">
        <v>377</v>
      </c>
      <c r="F55" s="63" t="s">
        <v>376</v>
      </c>
      <c r="G55" s="34"/>
      <c r="H55" s="34"/>
      <c r="I55" s="34"/>
      <c r="J55" s="45"/>
      <c r="K55" s="44"/>
      <c r="L55" s="34"/>
      <c r="M55" s="34"/>
      <c r="N55" s="34"/>
      <c r="O55" s="34"/>
      <c r="P55" s="34"/>
      <c r="Q55" s="34"/>
      <c r="R55" s="34"/>
      <c r="S55" s="34"/>
    </row>
    <row r="56" spans="1:19" ht="19.5" customHeight="1" x14ac:dyDescent="0.3">
      <c r="A56" s="34" t="s">
        <v>374</v>
      </c>
      <c r="B56" s="34">
        <v>1</v>
      </c>
      <c r="C56" s="34">
        <v>1.8087013553745125E-2</v>
      </c>
      <c r="D56" s="34">
        <v>1.8087013553745125E-2</v>
      </c>
      <c r="E56" s="34">
        <v>15.415116826865143</v>
      </c>
      <c r="F56" s="34">
        <v>1.7157685586117636E-2</v>
      </c>
      <c r="G56" s="34"/>
      <c r="H56" s="34"/>
      <c r="I56" s="34"/>
      <c r="J56" s="45"/>
      <c r="K56" s="44"/>
      <c r="L56" s="34"/>
      <c r="M56" s="34"/>
      <c r="N56" s="34"/>
      <c r="O56" s="34"/>
      <c r="P56" s="34"/>
      <c r="Q56" s="34"/>
      <c r="R56" s="34"/>
      <c r="S56" s="34"/>
    </row>
    <row r="57" spans="1:19" ht="19.5" customHeight="1" x14ac:dyDescent="0.3">
      <c r="A57" s="34" t="s">
        <v>372</v>
      </c>
      <c r="B57" s="34">
        <v>4</v>
      </c>
      <c r="C57" s="34">
        <v>4.6933185799081217E-3</v>
      </c>
      <c r="D57" s="34">
        <v>1.1733296449770304E-3</v>
      </c>
      <c r="E57" s="34"/>
      <c r="F57" s="34"/>
      <c r="G57" s="34"/>
      <c r="H57" s="34"/>
      <c r="I57" s="34"/>
      <c r="J57" s="45"/>
      <c r="K57" s="44"/>
      <c r="L57" s="34"/>
      <c r="M57" s="34"/>
      <c r="N57" s="34"/>
      <c r="O57" s="34"/>
      <c r="P57" s="34"/>
      <c r="Q57" s="34"/>
      <c r="R57" s="34"/>
      <c r="S57" s="34"/>
    </row>
    <row r="58" spans="1:19" ht="19.5" customHeight="1" thickBot="1" x14ac:dyDescent="0.35">
      <c r="A58" s="62" t="s">
        <v>371</v>
      </c>
      <c r="B58" s="62">
        <v>5</v>
      </c>
      <c r="C58" s="62">
        <v>2.2780332133653249E-2</v>
      </c>
      <c r="D58" s="62"/>
      <c r="E58" s="62"/>
      <c r="F58" s="62"/>
      <c r="G58" s="34"/>
      <c r="H58" s="34"/>
      <c r="I58" s="34"/>
      <c r="J58" s="45"/>
      <c r="K58" s="44"/>
      <c r="L58" s="34"/>
      <c r="M58" s="34"/>
      <c r="N58" s="34"/>
      <c r="O58" s="34"/>
      <c r="P58" s="34"/>
      <c r="Q58" s="34"/>
      <c r="R58" s="34"/>
      <c r="S58" s="34"/>
    </row>
    <row r="59" spans="1:19" ht="19.5" customHeight="1" thickBot="1" x14ac:dyDescent="0.35">
      <c r="A59" s="34"/>
      <c r="B59" s="34"/>
      <c r="C59" s="34"/>
      <c r="D59" s="34"/>
      <c r="E59" s="34"/>
      <c r="F59" s="34"/>
      <c r="G59" s="34"/>
      <c r="H59" s="34"/>
      <c r="I59" s="34"/>
      <c r="J59" s="45"/>
      <c r="K59" s="44"/>
      <c r="L59" s="34"/>
      <c r="M59" s="34"/>
      <c r="N59" s="34"/>
      <c r="O59" s="34"/>
      <c r="P59" s="34"/>
      <c r="Q59" s="34"/>
      <c r="R59" s="34"/>
      <c r="S59" s="34"/>
    </row>
    <row r="60" spans="1:19" ht="19.5" customHeight="1" x14ac:dyDescent="0.3">
      <c r="A60" s="63"/>
      <c r="B60" s="63" t="s">
        <v>369</v>
      </c>
      <c r="C60" s="63" t="s">
        <v>368</v>
      </c>
      <c r="D60" s="63" t="s">
        <v>367</v>
      </c>
      <c r="E60" s="63" t="s">
        <v>366</v>
      </c>
      <c r="F60" s="63" t="s">
        <v>365</v>
      </c>
      <c r="G60" s="63" t="s">
        <v>364</v>
      </c>
      <c r="H60" s="63" t="s">
        <v>363</v>
      </c>
      <c r="I60" s="63" t="s">
        <v>362</v>
      </c>
      <c r="J60" s="45"/>
      <c r="K60" s="44"/>
      <c r="L60" s="34"/>
      <c r="M60" s="34"/>
      <c r="N60" s="34"/>
      <c r="O60" s="34"/>
      <c r="P60" s="34"/>
      <c r="Q60" s="34"/>
      <c r="R60" s="34"/>
      <c r="S60" s="34"/>
    </row>
    <row r="61" spans="1:19" ht="19.5" customHeight="1" x14ac:dyDescent="0.3">
      <c r="A61" s="34" t="s">
        <v>361</v>
      </c>
      <c r="B61" s="34">
        <v>0.45123665008535668</v>
      </c>
      <c r="C61" s="34">
        <v>6.4726814479789299E-2</v>
      </c>
      <c r="D61" s="34">
        <v>6.9714020952823752</v>
      </c>
      <c r="E61" s="34">
        <v>2.2260117196501949E-3</v>
      </c>
      <c r="F61" s="34">
        <v>0.27152620284790002</v>
      </c>
      <c r="G61" s="34">
        <v>0.63094709732281329</v>
      </c>
      <c r="H61" s="34">
        <v>0.27152620284790002</v>
      </c>
      <c r="I61" s="34">
        <v>0.63094709732281329</v>
      </c>
      <c r="J61" s="45"/>
      <c r="K61" s="44"/>
      <c r="L61" s="34"/>
      <c r="M61" s="34"/>
      <c r="N61" s="34"/>
      <c r="O61" s="34"/>
      <c r="P61" s="34"/>
      <c r="Q61" s="34"/>
      <c r="R61" s="34"/>
      <c r="S61" s="34"/>
    </row>
    <row r="62" spans="1:19" ht="19.5" customHeight="1" thickBot="1" x14ac:dyDescent="0.35">
      <c r="A62" s="62" t="s">
        <v>360</v>
      </c>
      <c r="B62" s="62">
        <v>-2.3342344745618031</v>
      </c>
      <c r="C62" s="62">
        <v>0.59452629651807321</v>
      </c>
      <c r="D62" s="62">
        <v>-3.9262089637288971</v>
      </c>
      <c r="E62" s="62">
        <v>1.7157685586117643E-2</v>
      </c>
      <c r="F62" s="62">
        <v>-3.9849041004407795</v>
      </c>
      <c r="G62" s="62">
        <v>-0.68356484868282674</v>
      </c>
      <c r="H62" s="62">
        <v>-3.9849041004407795</v>
      </c>
      <c r="I62" s="62">
        <v>-0.68356484868282674</v>
      </c>
      <c r="J62" s="45"/>
      <c r="K62" s="44"/>
      <c r="L62" s="34"/>
      <c r="M62" s="34"/>
      <c r="N62" s="34"/>
      <c r="O62" s="34"/>
      <c r="P62" s="34"/>
      <c r="Q62" s="34"/>
      <c r="R62" s="34"/>
      <c r="S62" s="34"/>
    </row>
    <row r="63" spans="1:19" ht="19.5" customHeight="1" x14ac:dyDescent="0.3">
      <c r="A63" s="34"/>
      <c r="B63" s="34"/>
      <c r="C63" s="34"/>
      <c r="D63" s="34"/>
      <c r="E63" s="34"/>
      <c r="F63" s="34"/>
      <c r="G63" s="34"/>
      <c r="H63" s="34"/>
      <c r="I63" s="34"/>
      <c r="J63" s="45"/>
      <c r="K63" s="44"/>
      <c r="L63" s="34"/>
      <c r="M63" s="34"/>
      <c r="N63" s="34"/>
      <c r="O63" s="34"/>
      <c r="P63" s="34"/>
      <c r="Q63" s="34"/>
      <c r="R63" s="34"/>
      <c r="S63" s="34"/>
    </row>
    <row r="64" spans="1:19" ht="19.5" customHeight="1" x14ac:dyDescent="0.3">
      <c r="A64" s="34"/>
      <c r="B64" s="34"/>
      <c r="C64" s="34"/>
      <c r="D64" s="34"/>
      <c r="E64" s="34"/>
      <c r="F64" s="34"/>
      <c r="G64" s="34"/>
      <c r="H64" s="34"/>
      <c r="I64" s="34"/>
      <c r="J64" s="45"/>
      <c r="K64" s="44"/>
      <c r="L64" s="34"/>
      <c r="M64" s="34"/>
      <c r="N64" s="34"/>
      <c r="O64" s="34"/>
      <c r="P64" s="34"/>
      <c r="Q64" s="34"/>
      <c r="R64" s="34"/>
      <c r="S64" s="34"/>
    </row>
    <row r="65" spans="1:19" ht="19.5" customHeight="1" x14ac:dyDescent="0.3">
      <c r="A65" s="34"/>
      <c r="B65" s="34"/>
      <c r="C65" s="34"/>
      <c r="D65" s="34"/>
      <c r="E65" s="34"/>
      <c r="F65" s="34"/>
      <c r="G65" s="34"/>
      <c r="H65" s="34"/>
      <c r="I65" s="34"/>
      <c r="J65" s="45"/>
      <c r="K65" s="44"/>
      <c r="L65" s="34"/>
      <c r="M65" s="34"/>
      <c r="N65" s="34"/>
      <c r="O65" s="34"/>
      <c r="P65" s="34"/>
      <c r="Q65" s="34"/>
      <c r="R65" s="34"/>
      <c r="S65" s="34"/>
    </row>
    <row r="66" spans="1:19" ht="19.5" customHeight="1" x14ac:dyDescent="0.3">
      <c r="A66" s="71" t="str">
        <f>D9</f>
        <v>社会消费品零售总额</v>
      </c>
      <c r="B66" s="34"/>
      <c r="C66" s="34"/>
      <c r="D66" s="34"/>
      <c r="E66" s="34"/>
      <c r="F66" s="34"/>
      <c r="G66" s="34"/>
      <c r="H66" s="34"/>
      <c r="I66" s="34"/>
      <c r="J66" s="45"/>
      <c r="K66" s="44"/>
      <c r="L66" s="34"/>
      <c r="M66" s="34"/>
      <c r="N66" s="34"/>
      <c r="O66" s="34"/>
      <c r="P66" s="34"/>
      <c r="Q66" s="34"/>
      <c r="R66" s="34"/>
      <c r="S66" s="34"/>
    </row>
    <row r="67" spans="1:19" ht="19.5" customHeight="1" x14ac:dyDescent="0.3">
      <c r="A67" s="34" t="s">
        <v>392</v>
      </c>
      <c r="B67" s="34"/>
      <c r="C67" s="34"/>
      <c r="D67" s="34"/>
      <c r="E67" s="34"/>
      <c r="F67" s="34"/>
      <c r="G67" s="34"/>
      <c r="H67" s="34"/>
      <c r="I67" s="34"/>
      <c r="J67" s="45"/>
      <c r="K67" s="44"/>
      <c r="L67" s="34"/>
      <c r="M67" s="34"/>
      <c r="N67" s="34"/>
      <c r="O67" s="34"/>
      <c r="P67" s="34"/>
      <c r="Q67" s="34"/>
      <c r="R67" s="34"/>
      <c r="S67" s="34"/>
    </row>
    <row r="68" spans="1:19" ht="19.5" customHeight="1" thickBot="1" x14ac:dyDescent="0.35">
      <c r="A68" s="34"/>
      <c r="B68" s="34"/>
      <c r="C68" s="34"/>
      <c r="D68" s="34"/>
      <c r="E68" s="34"/>
      <c r="F68" s="34"/>
      <c r="G68" s="34"/>
      <c r="H68" s="34"/>
      <c r="I68" s="34"/>
      <c r="J68" s="45"/>
      <c r="K68" s="44"/>
      <c r="L68" s="34"/>
      <c r="M68" s="34"/>
      <c r="N68" s="34"/>
      <c r="O68" s="34"/>
      <c r="P68" s="34"/>
      <c r="Q68" s="34"/>
      <c r="R68" s="34"/>
      <c r="S68" s="34"/>
    </row>
    <row r="69" spans="1:19" ht="19.5" customHeight="1" x14ac:dyDescent="0.3">
      <c r="A69" s="65" t="s">
        <v>390</v>
      </c>
      <c r="B69" s="65"/>
      <c r="C69" s="34"/>
      <c r="D69" s="34"/>
      <c r="E69" s="34"/>
      <c r="F69" s="34"/>
      <c r="G69" s="34"/>
      <c r="H69" s="34"/>
      <c r="I69" s="34"/>
      <c r="J69" s="45"/>
      <c r="K69" s="44"/>
      <c r="L69" s="34"/>
      <c r="M69" s="34"/>
      <c r="N69" s="34"/>
      <c r="O69" s="34"/>
      <c r="P69" s="34"/>
      <c r="Q69" s="34"/>
      <c r="R69" s="34"/>
      <c r="S69" s="34"/>
    </row>
    <row r="70" spans="1:19" ht="19.5" customHeight="1" x14ac:dyDescent="0.3">
      <c r="A70" s="34" t="s">
        <v>389</v>
      </c>
      <c r="B70" s="34">
        <v>0.46536792564206858</v>
      </c>
      <c r="C70" s="34"/>
      <c r="D70" s="34"/>
      <c r="E70" s="34"/>
      <c r="F70" s="34"/>
      <c r="G70" s="34"/>
      <c r="H70" s="34"/>
      <c r="I70" s="34"/>
      <c r="J70" s="45"/>
      <c r="K70" s="44"/>
      <c r="L70" s="34"/>
      <c r="M70" s="34"/>
      <c r="N70" s="34"/>
      <c r="O70" s="34"/>
      <c r="P70" s="34"/>
      <c r="Q70" s="34"/>
      <c r="R70" s="34"/>
      <c r="S70" s="34"/>
    </row>
    <row r="71" spans="1:19" ht="19.5" customHeight="1" x14ac:dyDescent="0.3">
      <c r="A71" s="34" t="s">
        <v>387</v>
      </c>
      <c r="B71" s="34">
        <v>0.21656730621640186</v>
      </c>
      <c r="C71" s="34"/>
      <c r="D71" s="34"/>
      <c r="E71" s="34"/>
      <c r="F71" s="34"/>
      <c r="G71" s="34"/>
      <c r="H71" s="34"/>
      <c r="I71" s="34"/>
      <c r="J71" s="45"/>
      <c r="K71" s="44"/>
      <c r="L71" s="34"/>
      <c r="M71" s="34"/>
      <c r="N71" s="34"/>
      <c r="O71" s="34"/>
      <c r="P71" s="34"/>
      <c r="Q71" s="34"/>
      <c r="R71" s="34"/>
      <c r="S71" s="34"/>
    </row>
    <row r="72" spans="1:19" ht="19.5" customHeight="1" x14ac:dyDescent="0.3">
      <c r="A72" s="34" t="s">
        <v>385</v>
      </c>
      <c r="B72" s="34">
        <v>2.0709132770502348E-2</v>
      </c>
      <c r="C72" s="34"/>
      <c r="D72" s="34"/>
      <c r="E72" s="34"/>
      <c r="F72" s="34"/>
      <c r="G72" s="34"/>
      <c r="H72" s="34"/>
      <c r="I72" s="34"/>
      <c r="J72" s="45"/>
      <c r="K72" s="44"/>
      <c r="L72" s="34"/>
      <c r="M72" s="34"/>
      <c r="N72" s="34"/>
      <c r="O72" s="34"/>
      <c r="P72" s="34"/>
      <c r="Q72" s="34"/>
      <c r="R72" s="34"/>
      <c r="S72" s="34"/>
    </row>
    <row r="73" spans="1:19" ht="19.5" customHeight="1" x14ac:dyDescent="0.3">
      <c r="A73" s="34" t="s">
        <v>368</v>
      </c>
      <c r="B73" s="34">
        <v>6.6796064571112687E-2</v>
      </c>
      <c r="C73" s="34"/>
      <c r="D73" s="34"/>
      <c r="E73" s="34"/>
      <c r="F73" s="34"/>
      <c r="G73" s="34"/>
      <c r="H73" s="34"/>
      <c r="I73" s="34"/>
      <c r="J73" s="45"/>
      <c r="K73" s="44"/>
      <c r="L73" s="34"/>
      <c r="M73" s="34"/>
      <c r="N73" s="34"/>
      <c r="O73" s="34"/>
      <c r="P73" s="34"/>
      <c r="Q73" s="34"/>
      <c r="R73" s="34"/>
      <c r="S73" s="34"/>
    </row>
    <row r="74" spans="1:19" ht="19.5" customHeight="1" thickBot="1" x14ac:dyDescent="0.35">
      <c r="A74" s="62" t="s">
        <v>382</v>
      </c>
      <c r="B74" s="62">
        <v>6</v>
      </c>
      <c r="C74" s="34"/>
      <c r="D74" s="34"/>
      <c r="E74" s="34"/>
      <c r="F74" s="34"/>
      <c r="G74" s="34"/>
      <c r="H74" s="34"/>
      <c r="I74" s="34"/>
      <c r="J74" s="45"/>
      <c r="K74" s="44"/>
      <c r="L74" s="34"/>
      <c r="M74" s="34"/>
      <c r="N74" s="34"/>
      <c r="O74" s="34"/>
      <c r="P74" s="34"/>
      <c r="Q74" s="34"/>
      <c r="R74" s="34"/>
      <c r="S74" s="34"/>
    </row>
    <row r="75" spans="1:19" ht="19.5" customHeight="1" x14ac:dyDescent="0.3">
      <c r="A75" s="34"/>
      <c r="B75" s="34"/>
      <c r="C75" s="34"/>
      <c r="D75" s="34"/>
      <c r="E75" s="34"/>
      <c r="F75" s="34"/>
      <c r="G75" s="34"/>
      <c r="H75" s="34"/>
      <c r="I75" s="34"/>
      <c r="J75" s="45"/>
      <c r="K75" s="44"/>
      <c r="L75" s="34"/>
      <c r="M75" s="34"/>
      <c r="N75" s="34"/>
      <c r="O75" s="34"/>
      <c r="P75" s="34"/>
      <c r="Q75" s="34"/>
      <c r="R75" s="34"/>
      <c r="S75" s="34"/>
    </row>
    <row r="76" spans="1:19" ht="19.5" customHeight="1" thickBot="1" x14ac:dyDescent="0.35">
      <c r="A76" s="34" t="s">
        <v>381</v>
      </c>
      <c r="B76" s="34"/>
      <c r="C76" s="34"/>
      <c r="D76" s="34"/>
      <c r="E76" s="34"/>
      <c r="F76" s="34"/>
      <c r="G76" s="34"/>
      <c r="H76" s="34"/>
      <c r="I76" s="34"/>
      <c r="J76" s="45"/>
      <c r="K76" s="44"/>
      <c r="L76" s="34"/>
      <c r="M76" s="34"/>
      <c r="N76" s="34"/>
      <c r="O76" s="34"/>
      <c r="P76" s="34"/>
      <c r="Q76" s="34"/>
      <c r="R76" s="34"/>
      <c r="S76" s="34"/>
    </row>
    <row r="77" spans="1:19" ht="19.5" customHeight="1" x14ac:dyDescent="0.3">
      <c r="A77" s="63"/>
      <c r="B77" s="63" t="s">
        <v>380</v>
      </c>
      <c r="C77" s="63" t="s">
        <v>379</v>
      </c>
      <c r="D77" s="63" t="s">
        <v>378</v>
      </c>
      <c r="E77" s="63" t="s">
        <v>377</v>
      </c>
      <c r="F77" s="63" t="s">
        <v>376</v>
      </c>
      <c r="G77" s="34"/>
      <c r="H77" s="34"/>
      <c r="I77" s="34"/>
      <c r="J77" s="45"/>
      <c r="K77" s="44"/>
      <c r="L77" s="34"/>
      <c r="M77" s="34"/>
      <c r="N77" s="34"/>
      <c r="O77" s="34"/>
      <c r="P77" s="34"/>
      <c r="Q77" s="34"/>
      <c r="R77" s="34"/>
      <c r="S77" s="34"/>
    </row>
    <row r="78" spans="1:19" ht="19.5" customHeight="1" x14ac:dyDescent="0.3">
      <c r="A78" s="34" t="s">
        <v>374</v>
      </c>
      <c r="B78" s="34">
        <v>1</v>
      </c>
      <c r="C78" s="34">
        <v>4.9334751649002216E-3</v>
      </c>
      <c r="D78" s="34">
        <v>4.9334751649002216E-3</v>
      </c>
      <c r="E78" s="34">
        <v>1.1057353512807198</v>
      </c>
      <c r="F78" s="34">
        <v>0.35233985056480632</v>
      </c>
      <c r="G78" s="34"/>
      <c r="H78" s="34"/>
      <c r="I78" s="34"/>
      <c r="J78" s="45"/>
      <c r="K78" s="44"/>
      <c r="L78" s="34"/>
      <c r="M78" s="34"/>
      <c r="N78" s="34"/>
      <c r="O78" s="34"/>
      <c r="P78" s="34"/>
      <c r="Q78" s="34"/>
      <c r="R78" s="34"/>
      <c r="S78" s="34"/>
    </row>
    <row r="79" spans="1:19" ht="19.5" customHeight="1" x14ac:dyDescent="0.3">
      <c r="A79" s="34" t="s">
        <v>372</v>
      </c>
      <c r="B79" s="34">
        <v>4</v>
      </c>
      <c r="C79" s="34">
        <v>1.7846856968753023E-2</v>
      </c>
      <c r="D79" s="34">
        <v>4.4617142421882559E-3</v>
      </c>
      <c r="E79" s="34"/>
      <c r="F79" s="34"/>
      <c r="G79" s="34"/>
      <c r="H79" s="34"/>
      <c r="I79" s="34"/>
      <c r="J79" s="45"/>
      <c r="K79" s="44"/>
      <c r="L79" s="34"/>
      <c r="M79" s="34"/>
      <c r="N79" s="34"/>
      <c r="O79" s="34"/>
      <c r="P79" s="34"/>
      <c r="Q79" s="34"/>
      <c r="R79" s="34"/>
      <c r="S79" s="34"/>
    </row>
    <row r="80" spans="1:19" ht="19.5" customHeight="1" thickBot="1" x14ac:dyDescent="0.35">
      <c r="A80" s="62" t="s">
        <v>371</v>
      </c>
      <c r="B80" s="62">
        <v>5</v>
      </c>
      <c r="C80" s="62">
        <v>2.2780332133653245E-2</v>
      </c>
      <c r="D80" s="62"/>
      <c r="E80" s="62"/>
      <c r="F80" s="62"/>
      <c r="G80" s="34"/>
      <c r="H80" s="34"/>
      <c r="I80" s="34"/>
      <c r="J80" s="45"/>
      <c r="K80" s="44"/>
      <c r="L80" s="34"/>
      <c r="M80" s="34"/>
      <c r="N80" s="34"/>
      <c r="O80" s="34"/>
      <c r="P80" s="34"/>
      <c r="Q80" s="34"/>
      <c r="R80" s="34"/>
      <c r="S80" s="34"/>
    </row>
    <row r="81" spans="1:19" ht="19.5" customHeight="1" thickBot="1" x14ac:dyDescent="0.35">
      <c r="A81" s="34"/>
      <c r="B81" s="34"/>
      <c r="C81" s="34"/>
      <c r="D81" s="34"/>
      <c r="E81" s="34"/>
      <c r="F81" s="34"/>
      <c r="G81" s="34"/>
      <c r="H81" s="34"/>
      <c r="I81" s="34"/>
      <c r="J81" s="45"/>
      <c r="K81" s="44"/>
      <c r="L81" s="34"/>
      <c r="M81" s="34"/>
      <c r="N81" s="34"/>
      <c r="O81" s="34"/>
      <c r="P81" s="34"/>
      <c r="Q81" s="34"/>
      <c r="R81" s="34"/>
      <c r="S81" s="34"/>
    </row>
    <row r="82" spans="1:19" ht="19.5" customHeight="1" x14ac:dyDescent="0.3">
      <c r="A82" s="63"/>
      <c r="B82" s="63" t="s">
        <v>369</v>
      </c>
      <c r="C82" s="63" t="s">
        <v>368</v>
      </c>
      <c r="D82" s="63" t="s">
        <v>367</v>
      </c>
      <c r="E82" s="63" t="s">
        <v>366</v>
      </c>
      <c r="F82" s="63" t="s">
        <v>365</v>
      </c>
      <c r="G82" s="63" t="s">
        <v>364</v>
      </c>
      <c r="H82" s="63" t="s">
        <v>363</v>
      </c>
      <c r="I82" s="63" t="s">
        <v>362</v>
      </c>
      <c r="J82" s="45"/>
      <c r="K82" s="44"/>
      <c r="L82" s="34"/>
      <c r="M82" s="34"/>
      <c r="N82" s="34"/>
      <c r="O82" s="34"/>
      <c r="P82" s="34"/>
      <c r="Q82" s="34"/>
      <c r="R82" s="34"/>
      <c r="S82" s="34"/>
    </row>
    <row r="83" spans="1:19" ht="19.5" customHeight="1" x14ac:dyDescent="0.3">
      <c r="A83" s="34" t="s">
        <v>361</v>
      </c>
      <c r="B83" s="34">
        <v>0.44867032039314836</v>
      </c>
      <c r="C83" s="34">
        <v>0.23511368781756042</v>
      </c>
      <c r="D83" s="34">
        <v>1.9083122065666378</v>
      </c>
      <c r="E83" s="34">
        <v>0.12899658735365777</v>
      </c>
      <c r="F83" s="34">
        <v>-0.20410992731291933</v>
      </c>
      <c r="G83" s="34">
        <v>1.1014505680992159</v>
      </c>
      <c r="H83" s="34">
        <v>-0.20410992731291933</v>
      </c>
      <c r="I83" s="34">
        <v>1.1014505680992159</v>
      </c>
      <c r="J83" s="45"/>
      <c r="K83" s="44"/>
      <c r="L83" s="34"/>
      <c r="M83" s="34"/>
      <c r="N83" s="34"/>
      <c r="O83" s="34"/>
      <c r="P83" s="34"/>
      <c r="Q83" s="34"/>
      <c r="R83" s="34"/>
      <c r="S83" s="34"/>
    </row>
    <row r="84" spans="1:19" ht="19.5" customHeight="1" thickBot="1" x14ac:dyDescent="0.35">
      <c r="A84" s="62" t="s">
        <v>360</v>
      </c>
      <c r="B84" s="62">
        <v>-2.4333224933480899</v>
      </c>
      <c r="C84" s="62">
        <v>2.3140571124485803</v>
      </c>
      <c r="D84" s="62">
        <v>-1.0515395148451245</v>
      </c>
      <c r="E84" s="62">
        <v>0.35233985056480577</v>
      </c>
      <c r="F84" s="62">
        <v>-8.8581750363540905</v>
      </c>
      <c r="G84" s="62">
        <v>3.9915300496579107</v>
      </c>
      <c r="H84" s="62">
        <v>-8.8581750363540905</v>
      </c>
      <c r="I84" s="62">
        <v>3.9915300496579107</v>
      </c>
      <c r="J84" s="45"/>
      <c r="K84" s="44"/>
      <c r="L84" s="34"/>
      <c r="M84" s="34"/>
      <c r="N84" s="34"/>
      <c r="O84" s="34"/>
      <c r="P84" s="34"/>
      <c r="Q84" s="34"/>
      <c r="R84" s="34"/>
      <c r="S84" s="34"/>
    </row>
    <row r="85" spans="1:19" ht="19.5" customHeight="1" x14ac:dyDescent="0.3">
      <c r="A85" s="34"/>
      <c r="B85" s="34"/>
      <c r="C85" s="34"/>
      <c r="D85" s="34"/>
      <c r="E85" s="34"/>
      <c r="F85" s="34"/>
      <c r="G85" s="34"/>
      <c r="H85" s="34"/>
      <c r="I85" s="34"/>
      <c r="J85" s="45"/>
      <c r="K85" s="44"/>
      <c r="L85" s="34"/>
      <c r="M85" s="34"/>
      <c r="N85" s="34"/>
      <c r="O85" s="34"/>
      <c r="P85" s="34"/>
      <c r="Q85" s="34"/>
      <c r="R85" s="34"/>
      <c r="S85" s="34"/>
    </row>
    <row r="86" spans="1:19" ht="19.5" customHeight="1" x14ac:dyDescent="0.3">
      <c r="A86" s="34"/>
      <c r="B86" s="34"/>
      <c r="C86" s="34"/>
      <c r="D86" s="34"/>
      <c r="E86" s="34"/>
      <c r="F86" s="34"/>
      <c r="G86" s="34"/>
      <c r="H86" s="34"/>
      <c r="I86" s="34"/>
      <c r="J86" s="45"/>
      <c r="K86" s="44"/>
      <c r="L86" s="34"/>
      <c r="M86" s="34"/>
      <c r="N86" s="34"/>
      <c r="O86" s="34"/>
      <c r="P86" s="34"/>
      <c r="Q86" s="34"/>
      <c r="R86" s="34"/>
      <c r="S86" s="34"/>
    </row>
    <row r="87" spans="1:19" ht="19.5" customHeight="1" x14ac:dyDescent="0.3">
      <c r="A87" s="34"/>
      <c r="B87" s="34"/>
      <c r="C87" s="34"/>
      <c r="D87" s="34"/>
      <c r="E87" s="34"/>
      <c r="F87" s="34"/>
      <c r="G87" s="34"/>
      <c r="H87" s="34"/>
      <c r="I87" s="34"/>
      <c r="J87" s="45"/>
      <c r="K87" s="44"/>
      <c r="L87" s="34"/>
      <c r="M87" s="34"/>
      <c r="N87" s="34"/>
      <c r="O87" s="34"/>
      <c r="P87" s="34"/>
      <c r="Q87" s="34"/>
      <c r="R87" s="34"/>
      <c r="S87" s="34"/>
    </row>
    <row r="88" spans="1:19" ht="19.5" customHeight="1" x14ac:dyDescent="0.3">
      <c r="A88" s="71" t="str">
        <f>E9</f>
        <v>居民消费者价格指数（CPI）</v>
      </c>
      <c r="B88" s="34"/>
      <c r="C88" s="34"/>
      <c r="D88" s="34"/>
      <c r="E88" s="34"/>
      <c r="F88" s="34"/>
      <c r="G88" s="34"/>
      <c r="H88" s="34"/>
      <c r="I88" s="34"/>
      <c r="J88" s="45"/>
      <c r="K88" s="44"/>
      <c r="L88" s="34"/>
      <c r="M88" s="34"/>
      <c r="N88" s="34"/>
      <c r="O88" s="34"/>
      <c r="P88" s="34"/>
      <c r="Q88" s="34"/>
      <c r="R88" s="34"/>
      <c r="S88" s="34"/>
    </row>
    <row r="89" spans="1:19" ht="19.5" customHeight="1" x14ac:dyDescent="0.3">
      <c r="A89" s="34" t="s">
        <v>392</v>
      </c>
      <c r="B89" s="34"/>
      <c r="C89" s="34"/>
      <c r="D89" s="34"/>
      <c r="E89" s="34"/>
      <c r="F89" s="34"/>
      <c r="G89" s="34"/>
      <c r="H89" s="34"/>
      <c r="I89" s="34"/>
      <c r="J89" s="45"/>
      <c r="K89" s="44"/>
      <c r="L89" s="34"/>
      <c r="M89" s="34"/>
      <c r="N89" s="34"/>
      <c r="O89" s="34"/>
      <c r="P89" s="34"/>
      <c r="Q89" s="34"/>
      <c r="R89" s="34"/>
      <c r="S89" s="34"/>
    </row>
    <row r="90" spans="1:19" ht="19.5" customHeight="1" thickBot="1" x14ac:dyDescent="0.35">
      <c r="A90" s="34"/>
      <c r="B90" s="34"/>
      <c r="C90" s="34"/>
      <c r="D90" s="34"/>
      <c r="E90" s="34"/>
      <c r="F90" s="34"/>
      <c r="G90" s="34"/>
      <c r="H90" s="34"/>
      <c r="I90" s="34"/>
      <c r="J90" s="45"/>
      <c r="K90" s="44"/>
      <c r="L90" s="34"/>
      <c r="M90" s="34"/>
      <c r="N90" s="34"/>
      <c r="O90" s="34"/>
      <c r="P90" s="34"/>
      <c r="Q90" s="34"/>
      <c r="R90" s="34"/>
      <c r="S90" s="34"/>
    </row>
    <row r="91" spans="1:19" ht="19.5" customHeight="1" x14ac:dyDescent="0.3">
      <c r="A91" s="65" t="s">
        <v>390</v>
      </c>
      <c r="B91" s="65"/>
      <c r="C91" s="34"/>
      <c r="D91" s="34"/>
      <c r="E91" s="34"/>
      <c r="F91" s="34"/>
      <c r="G91" s="34"/>
      <c r="H91" s="34"/>
      <c r="I91" s="34"/>
      <c r="J91" s="45"/>
      <c r="K91" s="44"/>
      <c r="L91" s="34"/>
      <c r="M91" s="34"/>
      <c r="N91" s="34"/>
      <c r="O91" s="34"/>
      <c r="P91" s="34"/>
      <c r="Q91" s="34"/>
      <c r="R91" s="34"/>
      <c r="S91" s="34"/>
    </row>
    <row r="92" spans="1:19" ht="19.5" customHeight="1" x14ac:dyDescent="0.3">
      <c r="A92" s="34" t="s">
        <v>389</v>
      </c>
      <c r="B92" s="34">
        <v>2.0800461438136568E-2</v>
      </c>
      <c r="C92" s="34"/>
      <c r="D92" s="34"/>
      <c r="E92" s="34"/>
      <c r="F92" s="34"/>
      <c r="G92" s="34"/>
      <c r="H92" s="34"/>
      <c r="I92" s="34"/>
      <c r="J92" s="45"/>
      <c r="K92" s="44"/>
      <c r="L92" s="34"/>
      <c r="M92" s="34"/>
      <c r="N92" s="34"/>
      <c r="O92" s="34"/>
      <c r="P92" s="34"/>
      <c r="Q92" s="34"/>
      <c r="R92" s="34"/>
      <c r="S92" s="34"/>
    </row>
    <row r="93" spans="1:19" ht="19.5" customHeight="1" x14ac:dyDescent="0.3">
      <c r="A93" s="34" t="s">
        <v>387</v>
      </c>
      <c r="B93" s="34">
        <v>4.3265919603940639E-4</v>
      </c>
      <c r="C93" s="34"/>
      <c r="D93" s="34"/>
      <c r="E93" s="34"/>
      <c r="F93" s="34"/>
      <c r="G93" s="34"/>
      <c r="H93" s="34"/>
      <c r="I93" s="34"/>
      <c r="J93" s="45"/>
      <c r="K93" s="44"/>
      <c r="L93" s="34"/>
      <c r="M93" s="34"/>
      <c r="N93" s="34"/>
      <c r="O93" s="34"/>
      <c r="P93" s="34"/>
      <c r="Q93" s="34"/>
      <c r="R93" s="34"/>
      <c r="S93" s="34"/>
    </row>
    <row r="94" spans="1:19" ht="19.5" customHeight="1" x14ac:dyDescent="0.3">
      <c r="A94" s="34" t="s">
        <v>385</v>
      </c>
      <c r="B94" s="34">
        <v>-0.24945917600495074</v>
      </c>
      <c r="C94" s="34"/>
      <c r="D94" s="34"/>
      <c r="E94" s="34"/>
      <c r="F94" s="34"/>
      <c r="G94" s="34"/>
      <c r="H94" s="34"/>
      <c r="I94" s="34"/>
      <c r="J94" s="45"/>
      <c r="K94" s="44"/>
      <c r="L94" s="34"/>
      <c r="M94" s="34"/>
      <c r="N94" s="34"/>
      <c r="O94" s="34"/>
      <c r="P94" s="34"/>
      <c r="Q94" s="34"/>
      <c r="R94" s="34"/>
      <c r="S94" s="34"/>
    </row>
    <row r="95" spans="1:19" ht="19.5" customHeight="1" x14ac:dyDescent="0.3">
      <c r="A95" s="34" t="s">
        <v>368</v>
      </c>
      <c r="B95" s="34">
        <v>7.5449446673694673E-2</v>
      </c>
      <c r="C95" s="34"/>
      <c r="D95" s="34"/>
      <c r="E95" s="34"/>
      <c r="F95" s="34"/>
      <c r="G95" s="34"/>
      <c r="H95" s="34"/>
      <c r="I95" s="34"/>
      <c r="J95" s="45"/>
      <c r="K95" s="44"/>
      <c r="L95" s="34"/>
      <c r="M95" s="34"/>
      <c r="N95" s="34"/>
      <c r="O95" s="34"/>
      <c r="P95" s="34"/>
      <c r="Q95" s="34"/>
      <c r="R95" s="34"/>
      <c r="S95" s="34"/>
    </row>
    <row r="96" spans="1:19" ht="19.5" customHeight="1" thickBot="1" x14ac:dyDescent="0.35">
      <c r="A96" s="62" t="s">
        <v>382</v>
      </c>
      <c r="B96" s="62">
        <v>6</v>
      </c>
      <c r="C96" s="34"/>
      <c r="D96" s="34"/>
      <c r="E96" s="34"/>
      <c r="F96" s="34"/>
      <c r="G96" s="34"/>
      <c r="H96" s="34"/>
      <c r="I96" s="34"/>
      <c r="J96" s="45"/>
      <c r="K96" s="44"/>
      <c r="L96" s="34"/>
      <c r="M96" s="34"/>
      <c r="N96" s="34"/>
      <c r="O96" s="34"/>
      <c r="P96" s="34"/>
      <c r="Q96" s="34"/>
      <c r="R96" s="34"/>
      <c r="S96" s="34"/>
    </row>
    <row r="97" spans="1:19" ht="19.5" customHeight="1" x14ac:dyDescent="0.3">
      <c r="A97" s="34"/>
      <c r="B97" s="34"/>
      <c r="C97" s="34"/>
      <c r="D97" s="34"/>
      <c r="E97" s="34"/>
      <c r="F97" s="34"/>
      <c r="G97" s="34"/>
      <c r="H97" s="34"/>
      <c r="I97" s="34"/>
      <c r="J97" s="45"/>
      <c r="K97" s="44"/>
      <c r="L97" s="34"/>
      <c r="M97" s="34"/>
      <c r="N97" s="34"/>
      <c r="O97" s="34"/>
      <c r="P97" s="34"/>
      <c r="Q97" s="34"/>
      <c r="R97" s="34"/>
      <c r="S97" s="34"/>
    </row>
    <row r="98" spans="1:19" ht="19.5" customHeight="1" thickBot="1" x14ac:dyDescent="0.35">
      <c r="A98" s="34" t="s">
        <v>381</v>
      </c>
      <c r="B98" s="34"/>
      <c r="C98" s="34"/>
      <c r="D98" s="34"/>
      <c r="E98" s="34"/>
      <c r="F98" s="34"/>
      <c r="G98" s="34"/>
      <c r="H98" s="34"/>
      <c r="I98" s="34"/>
      <c r="J98" s="45"/>
      <c r="K98" s="44"/>
      <c r="L98" s="34"/>
      <c r="M98" s="34"/>
      <c r="N98" s="34"/>
      <c r="O98" s="34"/>
      <c r="P98" s="34"/>
      <c r="Q98" s="34"/>
      <c r="R98" s="34"/>
      <c r="S98" s="34"/>
    </row>
    <row r="99" spans="1:19" ht="19.5" customHeight="1" x14ac:dyDescent="0.3">
      <c r="A99" s="63"/>
      <c r="B99" s="63" t="s">
        <v>380</v>
      </c>
      <c r="C99" s="63" t="s">
        <v>379</v>
      </c>
      <c r="D99" s="63" t="s">
        <v>378</v>
      </c>
      <c r="E99" s="63" t="s">
        <v>377</v>
      </c>
      <c r="F99" s="63" t="s">
        <v>376</v>
      </c>
      <c r="G99" s="34"/>
      <c r="H99" s="34"/>
      <c r="I99" s="34"/>
      <c r="J99" s="45"/>
      <c r="K99" s="44"/>
      <c r="L99" s="34"/>
      <c r="M99" s="34"/>
      <c r="N99" s="34"/>
      <c r="O99" s="34"/>
      <c r="P99" s="34"/>
      <c r="Q99" s="34"/>
      <c r="R99" s="34"/>
      <c r="S99" s="34"/>
    </row>
    <row r="100" spans="1:19" ht="19.5" customHeight="1" x14ac:dyDescent="0.3">
      <c r="A100" s="34" t="s">
        <v>374</v>
      </c>
      <c r="B100" s="34">
        <v>1</v>
      </c>
      <c r="C100" s="34">
        <v>9.856120186457068E-6</v>
      </c>
      <c r="D100" s="34">
        <v>9.856120186457068E-6</v>
      </c>
      <c r="E100" s="34">
        <v>1.7313858841823098E-3</v>
      </c>
      <c r="F100" s="34">
        <v>0.96880380759825668</v>
      </c>
      <c r="G100" s="34"/>
      <c r="H100" s="34"/>
      <c r="I100" s="34"/>
      <c r="J100" s="45"/>
      <c r="K100" s="44"/>
      <c r="L100" s="34"/>
      <c r="M100" s="34"/>
      <c r="N100" s="34"/>
      <c r="O100" s="34"/>
      <c r="P100" s="34"/>
      <c r="Q100" s="34"/>
      <c r="R100" s="34"/>
      <c r="S100" s="34"/>
    </row>
    <row r="101" spans="1:19" ht="19.5" customHeight="1" x14ac:dyDescent="0.3">
      <c r="A101" s="34" t="s">
        <v>372</v>
      </c>
      <c r="B101" s="34">
        <v>4</v>
      </c>
      <c r="C101" s="34">
        <v>2.2770476013466788E-2</v>
      </c>
      <c r="D101" s="34">
        <v>5.692619003366697E-3</v>
      </c>
      <c r="E101" s="34"/>
      <c r="F101" s="34"/>
      <c r="G101" s="34"/>
      <c r="H101" s="34"/>
      <c r="I101" s="34"/>
      <c r="J101" s="45"/>
      <c r="K101" s="44"/>
      <c r="L101" s="34"/>
      <c r="M101" s="34"/>
      <c r="N101" s="34"/>
      <c r="O101" s="34"/>
      <c r="P101" s="34"/>
      <c r="Q101" s="34"/>
      <c r="R101" s="34"/>
      <c r="S101" s="34"/>
    </row>
    <row r="102" spans="1:19" ht="19.5" customHeight="1" thickBot="1" x14ac:dyDescent="0.35">
      <c r="A102" s="62" t="s">
        <v>371</v>
      </c>
      <c r="B102" s="62">
        <v>5</v>
      </c>
      <c r="C102" s="62">
        <v>2.2780332133653245E-2</v>
      </c>
      <c r="D102" s="62"/>
      <c r="E102" s="62"/>
      <c r="F102" s="62"/>
      <c r="G102" s="34"/>
      <c r="H102" s="34"/>
      <c r="I102" s="34"/>
      <c r="J102" s="45"/>
      <c r="K102" s="44"/>
      <c r="L102" s="34"/>
      <c r="M102" s="34"/>
      <c r="N102" s="34"/>
      <c r="O102" s="34"/>
      <c r="P102" s="34"/>
      <c r="Q102" s="34"/>
      <c r="R102" s="34"/>
      <c r="S102" s="34"/>
    </row>
    <row r="103" spans="1:19" ht="19.5" customHeight="1" thickBot="1" x14ac:dyDescent="0.35">
      <c r="A103" s="34"/>
      <c r="B103" s="34"/>
      <c r="C103" s="34"/>
      <c r="D103" s="34"/>
      <c r="E103" s="34"/>
      <c r="F103" s="34"/>
      <c r="G103" s="34"/>
      <c r="H103" s="34"/>
      <c r="I103" s="34"/>
      <c r="J103" s="45"/>
      <c r="K103" s="34"/>
      <c r="L103" s="34"/>
      <c r="M103" s="34"/>
      <c r="N103" s="34"/>
      <c r="O103" s="34"/>
      <c r="P103" s="34"/>
      <c r="Q103" s="34"/>
      <c r="R103" s="34"/>
      <c r="S103" s="34"/>
    </row>
    <row r="104" spans="1:19" ht="19.5" customHeight="1" x14ac:dyDescent="0.3">
      <c r="A104" s="63"/>
      <c r="B104" s="63" t="s">
        <v>369</v>
      </c>
      <c r="C104" s="63" t="s">
        <v>368</v>
      </c>
      <c r="D104" s="63" t="s">
        <v>367</v>
      </c>
      <c r="E104" s="63" t="s">
        <v>366</v>
      </c>
      <c r="F104" s="63" t="s">
        <v>365</v>
      </c>
      <c r="G104" s="63" t="s">
        <v>364</v>
      </c>
      <c r="H104" s="63" t="s">
        <v>363</v>
      </c>
      <c r="I104" s="63" t="s">
        <v>362</v>
      </c>
      <c r="J104" s="45"/>
      <c r="K104" s="34"/>
      <c r="L104" s="34"/>
      <c r="M104" s="34"/>
      <c r="N104" s="34"/>
      <c r="O104" s="34"/>
      <c r="P104" s="34"/>
      <c r="Q104" s="34"/>
      <c r="R104" s="34"/>
      <c r="S104" s="34"/>
    </row>
    <row r="105" spans="1:19" ht="19.5" customHeight="1" x14ac:dyDescent="0.25">
      <c r="A105" s="34" t="s">
        <v>361</v>
      </c>
      <c r="B105" s="34">
        <v>0.20895785790542221</v>
      </c>
      <c r="C105" s="34">
        <v>0.14393392296884733</v>
      </c>
      <c r="D105" s="34">
        <v>1.4517624031594587</v>
      </c>
      <c r="E105" s="34">
        <v>0.22020358871618265</v>
      </c>
      <c r="F105" s="34">
        <v>-0.19066677799335019</v>
      </c>
      <c r="G105" s="34">
        <v>0.6085824938041946</v>
      </c>
      <c r="H105" s="34">
        <v>-0.19066677799335019</v>
      </c>
      <c r="I105" s="34">
        <v>0.6085824938041946</v>
      </c>
      <c r="J105" s="38"/>
      <c r="K105" s="34"/>
      <c r="L105" s="34"/>
      <c r="M105" s="34"/>
      <c r="N105" s="34"/>
      <c r="O105" s="34"/>
      <c r="P105" s="34"/>
      <c r="Q105" s="34"/>
      <c r="R105" s="34"/>
      <c r="S105" s="34"/>
    </row>
    <row r="106" spans="1:19" ht="19.5" customHeight="1" thickBot="1" x14ac:dyDescent="0.3">
      <c r="A106" s="62" t="s">
        <v>360</v>
      </c>
      <c r="B106" s="62">
        <v>-0.3000170495377027</v>
      </c>
      <c r="C106" s="62">
        <v>7.2102280240364065</v>
      </c>
      <c r="D106" s="62">
        <v>-4.1609925308540817E-2</v>
      </c>
      <c r="E106" s="62">
        <v>0.96880380759825635</v>
      </c>
      <c r="F106" s="62">
        <v>-20.318819354233543</v>
      </c>
      <c r="G106" s="62">
        <v>19.718785255158135</v>
      </c>
      <c r="H106" s="62">
        <v>-20.318819354233543</v>
      </c>
      <c r="I106" s="62">
        <v>19.718785255158135</v>
      </c>
      <c r="J106" s="38"/>
      <c r="K106" s="34"/>
      <c r="L106" s="34"/>
      <c r="M106" s="34"/>
      <c r="N106" s="34"/>
      <c r="O106" s="34"/>
      <c r="P106" s="34"/>
      <c r="Q106" s="34"/>
      <c r="R106" s="34"/>
      <c r="S106" s="34"/>
    </row>
    <row r="107" spans="1:19" ht="19.5" customHeight="1" x14ac:dyDescent="0.25">
      <c r="A107" s="34"/>
      <c r="B107" s="34"/>
      <c r="C107" s="34"/>
      <c r="D107" s="34"/>
      <c r="E107" s="34"/>
      <c r="F107" s="34"/>
      <c r="G107" s="34"/>
      <c r="H107" s="34"/>
      <c r="I107" s="34"/>
      <c r="J107" s="38"/>
      <c r="K107" s="34"/>
      <c r="L107" s="34"/>
      <c r="M107" s="34"/>
      <c r="N107" s="34"/>
      <c r="O107" s="34"/>
      <c r="P107" s="34"/>
      <c r="Q107" s="34"/>
      <c r="R107" s="34"/>
      <c r="S107" s="34"/>
    </row>
    <row r="108" spans="1:19" ht="19.5" customHeight="1" x14ac:dyDescent="0.25">
      <c r="A108" s="34"/>
      <c r="B108" s="34"/>
      <c r="C108" s="34"/>
      <c r="D108" s="34"/>
      <c r="E108" s="34"/>
      <c r="F108" s="34"/>
      <c r="G108" s="34"/>
      <c r="H108" s="34"/>
      <c r="I108" s="34"/>
      <c r="J108" s="38"/>
      <c r="K108" s="34"/>
      <c r="L108" s="34"/>
      <c r="M108" s="34"/>
      <c r="N108" s="34"/>
      <c r="O108" s="34"/>
      <c r="P108" s="34"/>
      <c r="Q108" s="34"/>
      <c r="R108" s="34"/>
      <c r="S108" s="34"/>
    </row>
    <row r="109" spans="1:19" ht="19.5" customHeight="1" x14ac:dyDescent="0.25">
      <c r="A109" s="34"/>
      <c r="B109" s="34"/>
      <c r="C109" s="34"/>
      <c r="D109" s="34"/>
      <c r="E109" s="34"/>
      <c r="F109" s="34"/>
      <c r="G109" s="34"/>
      <c r="H109" s="34"/>
      <c r="I109" s="34"/>
      <c r="J109" s="38"/>
      <c r="K109" s="34"/>
      <c r="L109" s="34"/>
      <c r="M109" s="34"/>
      <c r="N109" s="34"/>
      <c r="O109" s="34"/>
      <c r="P109" s="34"/>
      <c r="Q109" s="34"/>
      <c r="R109" s="34"/>
      <c r="S109" s="34"/>
    </row>
    <row r="110" spans="1:19" ht="19.5" customHeight="1" x14ac:dyDescent="0.3">
      <c r="A110" s="71" t="str">
        <f>F9</f>
        <v>CPI滞后2季度</v>
      </c>
      <c r="B110" s="34"/>
      <c r="C110" s="34"/>
      <c r="D110" s="34"/>
      <c r="E110" s="34"/>
      <c r="F110" s="34"/>
      <c r="G110" s="34"/>
      <c r="H110" s="34"/>
      <c r="I110" s="34"/>
      <c r="J110" s="45"/>
      <c r="K110" s="44"/>
      <c r="L110" s="34"/>
      <c r="M110" s="34"/>
      <c r="N110" s="34"/>
      <c r="O110" s="34"/>
      <c r="P110" s="34"/>
      <c r="Q110" s="34"/>
      <c r="R110" s="34"/>
      <c r="S110" s="34"/>
    </row>
    <row r="111" spans="1:19" ht="19.5" customHeight="1" x14ac:dyDescent="0.3">
      <c r="A111" s="34" t="s">
        <v>392</v>
      </c>
      <c r="B111" s="34"/>
      <c r="C111" s="34"/>
      <c r="D111" s="34"/>
      <c r="E111" s="34"/>
      <c r="F111" s="34"/>
      <c r="G111" s="34"/>
      <c r="H111" s="34"/>
      <c r="I111" s="34"/>
      <c r="J111" s="45"/>
      <c r="K111" s="44"/>
      <c r="L111" s="34"/>
      <c r="M111" s="34"/>
      <c r="N111" s="34"/>
      <c r="O111" s="34"/>
      <c r="P111" s="34"/>
      <c r="Q111" s="34"/>
      <c r="R111" s="34"/>
      <c r="S111" s="34"/>
    </row>
    <row r="112" spans="1:19" ht="19.5" customHeight="1" thickBot="1" x14ac:dyDescent="0.35">
      <c r="A112" s="34"/>
      <c r="B112" s="34"/>
      <c r="C112" s="34"/>
      <c r="D112" s="34"/>
      <c r="E112" s="34"/>
      <c r="F112" s="34"/>
      <c r="G112" s="34"/>
      <c r="H112" s="34"/>
      <c r="I112" s="34"/>
      <c r="J112" s="45"/>
      <c r="K112" s="44"/>
      <c r="L112" s="34"/>
      <c r="M112" s="34"/>
      <c r="N112" s="34"/>
      <c r="O112" s="34"/>
      <c r="P112" s="34"/>
      <c r="Q112" s="34"/>
      <c r="R112" s="34"/>
      <c r="S112" s="34"/>
    </row>
    <row r="113" spans="1:19" ht="19.5" customHeight="1" x14ac:dyDescent="0.3">
      <c r="A113" s="65" t="s">
        <v>390</v>
      </c>
      <c r="B113" s="65"/>
      <c r="C113" s="34"/>
      <c r="D113" s="34"/>
      <c r="E113" s="34"/>
      <c r="F113" s="34"/>
      <c r="G113" s="34"/>
      <c r="H113" s="34"/>
      <c r="I113" s="34"/>
      <c r="J113" s="45"/>
      <c r="K113" s="44"/>
      <c r="L113" s="34"/>
      <c r="M113" s="34"/>
      <c r="N113" s="34"/>
      <c r="O113" s="34"/>
      <c r="P113" s="34"/>
      <c r="Q113" s="34"/>
      <c r="R113" s="34"/>
      <c r="S113" s="34"/>
    </row>
    <row r="114" spans="1:19" ht="19.5" customHeight="1" x14ac:dyDescent="0.3">
      <c r="A114" s="34" t="s">
        <v>389</v>
      </c>
      <c r="B114" s="34">
        <v>0.31463651902930789</v>
      </c>
      <c r="C114" s="34"/>
      <c r="D114" s="34"/>
      <c r="E114" s="34"/>
      <c r="F114" s="34"/>
      <c r="G114" s="34"/>
      <c r="H114" s="34"/>
      <c r="I114" s="34"/>
      <c r="J114" s="45"/>
      <c r="K114" s="44"/>
      <c r="L114" s="34"/>
      <c r="M114" s="34"/>
      <c r="N114" s="34"/>
      <c r="O114" s="34"/>
      <c r="P114" s="34"/>
      <c r="Q114" s="34"/>
      <c r="R114" s="34"/>
      <c r="S114" s="34"/>
    </row>
    <row r="115" spans="1:19" ht="19.5" customHeight="1" x14ac:dyDescent="0.3">
      <c r="A115" s="34" t="s">
        <v>387</v>
      </c>
      <c r="B115" s="34">
        <v>9.8996139106880016E-2</v>
      </c>
      <c r="C115" s="34"/>
      <c r="D115" s="34"/>
      <c r="E115" s="34"/>
      <c r="F115" s="34"/>
      <c r="G115" s="34"/>
      <c r="H115" s="34"/>
      <c r="I115" s="34"/>
      <c r="J115" s="45"/>
      <c r="K115" s="44"/>
      <c r="L115" s="34"/>
      <c r="M115" s="34"/>
      <c r="N115" s="34"/>
      <c r="O115" s="34"/>
      <c r="P115" s="34"/>
      <c r="Q115" s="34"/>
      <c r="R115" s="34"/>
      <c r="S115" s="34"/>
    </row>
    <row r="116" spans="1:19" ht="19.5" customHeight="1" x14ac:dyDescent="0.3">
      <c r="A116" s="34" t="s">
        <v>385</v>
      </c>
      <c r="B116" s="34">
        <v>-0.12625482611639999</v>
      </c>
      <c r="C116" s="34"/>
      <c r="D116" s="34"/>
      <c r="E116" s="34"/>
      <c r="F116" s="34"/>
      <c r="G116" s="34"/>
      <c r="H116" s="34"/>
      <c r="I116" s="34"/>
      <c r="J116" s="45"/>
      <c r="K116" s="44"/>
      <c r="L116" s="34"/>
      <c r="M116" s="34"/>
      <c r="N116" s="34"/>
      <c r="O116" s="34"/>
      <c r="P116" s="34"/>
      <c r="Q116" s="34"/>
      <c r="R116" s="34"/>
      <c r="S116" s="34"/>
    </row>
    <row r="117" spans="1:19" ht="19.5" customHeight="1" x14ac:dyDescent="0.3">
      <c r="A117" s="34" t="s">
        <v>368</v>
      </c>
      <c r="B117" s="34">
        <v>7.1633035683351401E-2</v>
      </c>
      <c r="C117" s="34"/>
      <c r="D117" s="34"/>
      <c r="E117" s="34"/>
      <c r="F117" s="34"/>
      <c r="G117" s="34"/>
      <c r="H117" s="34"/>
      <c r="I117" s="34"/>
      <c r="J117" s="45"/>
      <c r="K117" s="44"/>
      <c r="L117" s="34"/>
      <c r="M117" s="34"/>
      <c r="N117" s="34"/>
      <c r="O117" s="34"/>
      <c r="P117" s="34"/>
      <c r="Q117" s="34"/>
      <c r="R117" s="34"/>
      <c r="S117" s="34"/>
    </row>
    <row r="118" spans="1:19" ht="19.5" customHeight="1" thickBot="1" x14ac:dyDescent="0.35">
      <c r="A118" s="62" t="s">
        <v>382</v>
      </c>
      <c r="B118" s="62">
        <v>6</v>
      </c>
      <c r="C118" s="34"/>
      <c r="D118" s="34"/>
      <c r="E118" s="34"/>
      <c r="F118" s="34"/>
      <c r="G118" s="34"/>
      <c r="H118" s="34"/>
      <c r="I118" s="34"/>
      <c r="J118" s="45"/>
      <c r="K118" s="44"/>
      <c r="L118" s="34"/>
      <c r="M118" s="34"/>
      <c r="N118" s="34"/>
      <c r="O118" s="34"/>
      <c r="P118" s="34"/>
      <c r="Q118" s="34"/>
      <c r="R118" s="34"/>
      <c r="S118" s="34"/>
    </row>
    <row r="119" spans="1:19" ht="19.5" customHeight="1" x14ac:dyDescent="0.3">
      <c r="A119" s="34"/>
      <c r="B119" s="34"/>
      <c r="C119" s="34"/>
      <c r="D119" s="34"/>
      <c r="E119" s="34"/>
      <c r="F119" s="34"/>
      <c r="G119" s="34"/>
      <c r="H119" s="34"/>
      <c r="I119" s="34"/>
      <c r="J119" s="45"/>
      <c r="K119" s="44"/>
      <c r="L119" s="34"/>
      <c r="M119" s="34"/>
      <c r="N119" s="34"/>
      <c r="O119" s="34"/>
      <c r="P119" s="34"/>
      <c r="Q119" s="34"/>
      <c r="R119" s="34"/>
      <c r="S119" s="34"/>
    </row>
    <row r="120" spans="1:19" ht="19.5" customHeight="1" thickBot="1" x14ac:dyDescent="0.35">
      <c r="A120" s="34" t="s">
        <v>381</v>
      </c>
      <c r="B120" s="34"/>
      <c r="C120" s="34"/>
      <c r="D120" s="34"/>
      <c r="E120" s="34"/>
      <c r="F120" s="34"/>
      <c r="G120" s="34"/>
      <c r="H120" s="34"/>
      <c r="I120" s="34"/>
      <c r="J120" s="45"/>
      <c r="K120" s="44"/>
      <c r="L120" s="34"/>
      <c r="M120" s="34"/>
      <c r="N120" s="34"/>
      <c r="O120" s="34"/>
      <c r="P120" s="34"/>
      <c r="Q120" s="34"/>
      <c r="R120" s="34"/>
      <c r="S120" s="34"/>
    </row>
    <row r="121" spans="1:19" ht="19.5" customHeight="1" x14ac:dyDescent="0.3">
      <c r="A121" s="63"/>
      <c r="B121" s="63" t="s">
        <v>380</v>
      </c>
      <c r="C121" s="63" t="s">
        <v>379</v>
      </c>
      <c r="D121" s="63" t="s">
        <v>378</v>
      </c>
      <c r="E121" s="63" t="s">
        <v>377</v>
      </c>
      <c r="F121" s="63" t="s">
        <v>376</v>
      </c>
      <c r="G121" s="34"/>
      <c r="H121" s="34"/>
      <c r="I121" s="34"/>
      <c r="J121" s="45"/>
      <c r="K121" s="44"/>
      <c r="L121" s="34"/>
      <c r="M121" s="34"/>
      <c r="N121" s="34"/>
      <c r="O121" s="34"/>
      <c r="P121" s="34"/>
      <c r="Q121" s="34"/>
      <c r="R121" s="34"/>
      <c r="S121" s="34"/>
    </row>
    <row r="122" spans="1:19" ht="19.5" customHeight="1" x14ac:dyDescent="0.3">
      <c r="A122" s="34" t="s">
        <v>374</v>
      </c>
      <c r="B122" s="34">
        <v>1</v>
      </c>
      <c r="C122" s="34">
        <v>2.2551649288040654E-3</v>
      </c>
      <c r="D122" s="34">
        <v>2.2551649288040654E-3</v>
      </c>
      <c r="E122" s="34">
        <v>0.43949262995943256</v>
      </c>
      <c r="F122" s="34">
        <v>0.54361912175900318</v>
      </c>
      <c r="G122" s="34"/>
      <c r="H122" s="34"/>
      <c r="I122" s="34"/>
      <c r="J122" s="45"/>
      <c r="K122" s="44"/>
      <c r="L122" s="34"/>
      <c r="M122" s="34"/>
      <c r="N122" s="34"/>
      <c r="O122" s="34"/>
      <c r="P122" s="34"/>
      <c r="Q122" s="34"/>
      <c r="R122" s="34"/>
      <c r="S122" s="34"/>
    </row>
    <row r="123" spans="1:19" ht="19.5" customHeight="1" x14ac:dyDescent="0.3">
      <c r="A123" s="34" t="s">
        <v>372</v>
      </c>
      <c r="B123" s="34">
        <v>4</v>
      </c>
      <c r="C123" s="34">
        <v>2.052516720484918E-2</v>
      </c>
      <c r="D123" s="34">
        <v>5.1312918012122949E-3</v>
      </c>
      <c r="E123" s="34"/>
      <c r="F123" s="34"/>
      <c r="G123" s="34"/>
      <c r="H123" s="34"/>
      <c r="I123" s="34"/>
      <c r="J123" s="45"/>
      <c r="K123" s="44"/>
      <c r="L123" s="34"/>
      <c r="M123" s="34"/>
      <c r="N123" s="34"/>
      <c r="O123" s="34"/>
      <c r="P123" s="34"/>
      <c r="Q123" s="34"/>
      <c r="R123" s="34"/>
      <c r="S123" s="34"/>
    </row>
    <row r="124" spans="1:19" ht="19.5" customHeight="1" thickBot="1" x14ac:dyDescent="0.35">
      <c r="A124" s="62" t="s">
        <v>371</v>
      </c>
      <c r="B124" s="62">
        <v>5</v>
      </c>
      <c r="C124" s="62">
        <v>2.2780332133653245E-2</v>
      </c>
      <c r="D124" s="62"/>
      <c r="E124" s="62"/>
      <c r="F124" s="62"/>
      <c r="G124" s="34"/>
      <c r="H124" s="34"/>
      <c r="I124" s="34"/>
      <c r="J124" s="45"/>
      <c r="K124" s="44"/>
      <c r="L124" s="34"/>
      <c r="M124" s="34"/>
      <c r="N124" s="34"/>
      <c r="O124" s="34"/>
      <c r="P124" s="34"/>
      <c r="Q124" s="34"/>
      <c r="R124" s="34"/>
      <c r="S124" s="34"/>
    </row>
    <row r="125" spans="1:19" ht="19.5" customHeight="1" thickBot="1" x14ac:dyDescent="0.35">
      <c r="A125" s="34"/>
      <c r="B125" s="34"/>
      <c r="C125" s="34"/>
      <c r="D125" s="34"/>
      <c r="E125" s="34"/>
      <c r="F125" s="34"/>
      <c r="G125" s="34"/>
      <c r="H125" s="34"/>
      <c r="I125" s="34"/>
      <c r="J125" s="45"/>
      <c r="K125" s="44"/>
      <c r="L125" s="34"/>
      <c r="M125" s="34"/>
      <c r="N125" s="34"/>
      <c r="O125" s="34"/>
      <c r="P125" s="34"/>
      <c r="Q125" s="34"/>
      <c r="R125" s="34"/>
      <c r="S125" s="34"/>
    </row>
    <row r="126" spans="1:19" ht="19.5" customHeight="1" x14ac:dyDescent="0.3">
      <c r="A126" s="63"/>
      <c r="B126" s="63" t="s">
        <v>369</v>
      </c>
      <c r="C126" s="63" t="s">
        <v>368</v>
      </c>
      <c r="D126" s="63" t="s">
        <v>367</v>
      </c>
      <c r="E126" s="63" t="s">
        <v>366</v>
      </c>
      <c r="F126" s="63" t="s">
        <v>365</v>
      </c>
      <c r="G126" s="63" t="s">
        <v>364</v>
      </c>
      <c r="H126" s="63" t="s">
        <v>363</v>
      </c>
      <c r="I126" s="63" t="s">
        <v>362</v>
      </c>
      <c r="J126" s="45"/>
      <c r="K126" s="44"/>
      <c r="L126" s="34"/>
      <c r="M126" s="34"/>
      <c r="N126" s="34"/>
      <c r="O126" s="34"/>
      <c r="P126" s="34"/>
      <c r="Q126" s="34"/>
      <c r="R126" s="34"/>
      <c r="S126" s="34"/>
    </row>
    <row r="127" spans="1:19" ht="19.5" customHeight="1" x14ac:dyDescent="0.3">
      <c r="A127" s="34" t="s">
        <v>361</v>
      </c>
      <c r="B127" s="34">
        <v>0.28781852634916266</v>
      </c>
      <c r="C127" s="34">
        <v>0.13108405223878272</v>
      </c>
      <c r="D127" s="34">
        <v>2.1956791953980215</v>
      </c>
      <c r="E127" s="34">
        <v>9.3100191064918444E-2</v>
      </c>
      <c r="F127" s="34">
        <v>-7.6129148858697482E-2</v>
      </c>
      <c r="G127" s="34">
        <v>0.65176620155702281</v>
      </c>
      <c r="H127" s="34">
        <v>-7.6129148858697482E-2</v>
      </c>
      <c r="I127" s="34">
        <v>0.65176620155702281</v>
      </c>
      <c r="J127" s="45"/>
      <c r="K127" s="44"/>
      <c r="L127" s="34"/>
      <c r="M127" s="34"/>
      <c r="N127" s="34"/>
      <c r="O127" s="34"/>
      <c r="P127" s="34"/>
      <c r="Q127" s="34"/>
      <c r="R127" s="34"/>
      <c r="S127" s="34"/>
    </row>
    <row r="128" spans="1:19" ht="19.5" customHeight="1" thickBot="1" x14ac:dyDescent="0.35">
      <c r="A128" s="62" t="s">
        <v>360</v>
      </c>
      <c r="B128" s="62">
        <v>-4.3441538928064443</v>
      </c>
      <c r="C128" s="62">
        <v>6.5528375796194398</v>
      </c>
      <c r="D128" s="62">
        <v>-0.66294240319912423</v>
      </c>
      <c r="E128" s="62">
        <v>0.54361912175900418</v>
      </c>
      <c r="F128" s="62">
        <v>-22.537747715896991</v>
      </c>
      <c r="G128" s="62">
        <v>13.849439930284104</v>
      </c>
      <c r="H128" s="62">
        <v>-22.537747715896991</v>
      </c>
      <c r="I128" s="62">
        <v>13.849439930284104</v>
      </c>
      <c r="J128" s="45"/>
      <c r="K128" s="44"/>
      <c r="L128" s="34"/>
      <c r="M128" s="34"/>
      <c r="N128" s="34"/>
      <c r="O128" s="34"/>
      <c r="P128" s="34"/>
      <c r="Q128" s="34"/>
      <c r="R128" s="34"/>
      <c r="S128" s="34"/>
    </row>
    <row r="129" spans="1:19" ht="19.5" customHeight="1" x14ac:dyDescent="0.3">
      <c r="A129" s="34"/>
      <c r="B129" s="34"/>
      <c r="C129" s="34"/>
      <c r="D129" s="34"/>
      <c r="E129" s="34"/>
      <c r="F129" s="34"/>
      <c r="G129" s="34"/>
      <c r="H129" s="34"/>
      <c r="I129" s="34"/>
      <c r="J129" s="45"/>
      <c r="K129" s="44"/>
      <c r="L129" s="34"/>
      <c r="M129" s="34"/>
      <c r="N129" s="34"/>
      <c r="O129" s="34"/>
      <c r="P129" s="34"/>
      <c r="Q129" s="34"/>
      <c r="R129" s="34"/>
      <c r="S129" s="34"/>
    </row>
    <row r="130" spans="1:19" ht="19.5" customHeight="1" x14ac:dyDescent="0.3">
      <c r="A130" s="34"/>
      <c r="B130" s="34"/>
      <c r="C130" s="34"/>
      <c r="D130" s="34"/>
      <c r="E130" s="34"/>
      <c r="F130" s="34"/>
      <c r="G130" s="34"/>
      <c r="H130" s="34"/>
      <c r="I130" s="34"/>
      <c r="J130" s="45"/>
      <c r="K130" s="44"/>
      <c r="L130" s="34"/>
      <c r="M130" s="34"/>
      <c r="N130" s="34"/>
      <c r="O130" s="34"/>
      <c r="P130" s="34"/>
      <c r="Q130" s="34"/>
      <c r="R130" s="34"/>
      <c r="S130" s="34"/>
    </row>
    <row r="131" spans="1:19" ht="19.5" customHeight="1" x14ac:dyDescent="0.3">
      <c r="A131" s="34"/>
      <c r="B131" s="34"/>
      <c r="C131" s="34"/>
      <c r="D131" s="34"/>
      <c r="E131" s="34"/>
      <c r="F131" s="34"/>
      <c r="G131" s="34"/>
      <c r="H131" s="34"/>
      <c r="I131" s="34"/>
      <c r="J131" s="45"/>
      <c r="K131" s="44"/>
      <c r="L131" s="34"/>
      <c r="M131" s="34"/>
      <c r="N131" s="34"/>
      <c r="O131" s="34"/>
      <c r="P131" s="34"/>
      <c r="Q131" s="34"/>
      <c r="R131" s="34"/>
      <c r="S131" s="34"/>
    </row>
    <row r="132" spans="1:19" ht="19.5" customHeight="1" x14ac:dyDescent="0.3">
      <c r="A132" s="71" t="str">
        <f>G9</f>
        <v>CPI滞后3季度</v>
      </c>
      <c r="B132" s="34"/>
      <c r="C132" s="34"/>
      <c r="D132" s="34"/>
      <c r="E132" s="34"/>
      <c r="F132" s="34"/>
      <c r="G132" s="34"/>
      <c r="H132" s="34"/>
      <c r="I132" s="34"/>
      <c r="J132" s="45"/>
      <c r="K132" s="44"/>
      <c r="L132" s="34"/>
      <c r="M132" s="34"/>
      <c r="N132" s="34"/>
      <c r="O132" s="34"/>
      <c r="P132" s="34"/>
      <c r="Q132" s="34"/>
      <c r="R132" s="34"/>
      <c r="S132" s="34"/>
    </row>
    <row r="133" spans="1:19" ht="19.5" customHeight="1" x14ac:dyDescent="0.3">
      <c r="A133" s="34" t="s">
        <v>392</v>
      </c>
      <c r="B133" s="34"/>
      <c r="C133" s="34"/>
      <c r="D133" s="34"/>
      <c r="E133" s="34"/>
      <c r="F133" s="34"/>
      <c r="G133" s="34"/>
      <c r="H133" s="34"/>
      <c r="I133" s="34"/>
      <c r="J133" s="45"/>
      <c r="K133" s="44"/>
      <c r="L133" s="34"/>
      <c r="M133" s="34"/>
      <c r="N133" s="34"/>
      <c r="O133" s="34"/>
      <c r="P133" s="34"/>
      <c r="Q133" s="34"/>
      <c r="R133" s="34"/>
      <c r="S133" s="34"/>
    </row>
    <row r="134" spans="1:19" ht="19.5" customHeight="1" thickBot="1" x14ac:dyDescent="0.35">
      <c r="A134" s="34"/>
      <c r="B134" s="34"/>
      <c r="C134" s="34"/>
      <c r="D134" s="34"/>
      <c r="E134" s="34"/>
      <c r="F134" s="34"/>
      <c r="G134" s="34"/>
      <c r="H134" s="34"/>
      <c r="I134" s="34"/>
      <c r="J134" s="45"/>
      <c r="K134" s="44"/>
      <c r="L134" s="34"/>
      <c r="M134" s="34"/>
      <c r="N134" s="34"/>
      <c r="O134" s="34"/>
      <c r="P134" s="34"/>
      <c r="Q134" s="34"/>
      <c r="R134" s="34"/>
      <c r="S134" s="34"/>
    </row>
    <row r="135" spans="1:19" ht="19.5" customHeight="1" x14ac:dyDescent="0.3">
      <c r="A135" s="65" t="s">
        <v>390</v>
      </c>
      <c r="B135" s="65"/>
      <c r="C135" s="34"/>
      <c r="D135" s="34"/>
      <c r="E135" s="34"/>
      <c r="F135" s="34"/>
      <c r="G135" s="34"/>
      <c r="H135" s="34"/>
      <c r="I135" s="34"/>
      <c r="J135" s="45"/>
      <c r="K135" s="44"/>
      <c r="L135" s="34"/>
      <c r="M135" s="34"/>
      <c r="N135" s="34"/>
      <c r="O135" s="34"/>
      <c r="P135" s="34"/>
      <c r="Q135" s="34"/>
      <c r="R135" s="34"/>
      <c r="S135" s="34"/>
    </row>
    <row r="136" spans="1:19" ht="19.5" customHeight="1" x14ac:dyDescent="0.3">
      <c r="A136" s="34" t="s">
        <v>389</v>
      </c>
      <c r="B136" s="34">
        <v>0.27212979718739738</v>
      </c>
      <c r="C136" s="34"/>
      <c r="D136" s="34"/>
      <c r="E136" s="34"/>
      <c r="F136" s="34"/>
      <c r="G136" s="34"/>
      <c r="H136" s="34"/>
      <c r="I136" s="34"/>
      <c r="J136" s="45"/>
      <c r="K136" s="44"/>
      <c r="L136" s="34"/>
      <c r="M136" s="34"/>
      <c r="N136" s="34"/>
      <c r="O136" s="34"/>
      <c r="P136" s="34"/>
      <c r="Q136" s="34"/>
      <c r="R136" s="34"/>
      <c r="S136" s="34"/>
    </row>
    <row r="137" spans="1:19" ht="19.5" customHeight="1" x14ac:dyDescent="0.3">
      <c r="A137" s="34" t="s">
        <v>387</v>
      </c>
      <c r="B137" s="34">
        <v>7.405462651725403E-2</v>
      </c>
      <c r="C137" s="34"/>
      <c r="D137" s="34"/>
      <c r="E137" s="34"/>
      <c r="F137" s="34"/>
      <c r="G137" s="34"/>
      <c r="H137" s="34"/>
      <c r="I137" s="34"/>
      <c r="J137" s="45"/>
      <c r="K137" s="44"/>
      <c r="L137" s="34"/>
      <c r="M137" s="34"/>
      <c r="N137" s="34"/>
      <c r="O137" s="34"/>
      <c r="P137" s="34"/>
      <c r="Q137" s="34"/>
      <c r="R137" s="34"/>
      <c r="S137" s="34"/>
    </row>
    <row r="138" spans="1:19" ht="19.5" customHeight="1" x14ac:dyDescent="0.3">
      <c r="A138" s="34" t="s">
        <v>385</v>
      </c>
      <c r="B138" s="34">
        <v>-0.15743171685343246</v>
      </c>
      <c r="C138" s="34"/>
      <c r="D138" s="34"/>
      <c r="E138" s="34"/>
      <c r="F138" s="34"/>
      <c r="G138" s="34"/>
      <c r="H138" s="34"/>
      <c r="I138" s="34"/>
      <c r="J138" s="45"/>
      <c r="K138" s="44"/>
      <c r="L138" s="34"/>
      <c r="M138" s="34"/>
      <c r="N138" s="34"/>
      <c r="O138" s="34"/>
      <c r="P138" s="34"/>
      <c r="Q138" s="34"/>
      <c r="R138" s="34"/>
      <c r="S138" s="34"/>
    </row>
    <row r="139" spans="1:19" ht="19.5" customHeight="1" x14ac:dyDescent="0.3">
      <c r="A139" s="34" t="s">
        <v>368</v>
      </c>
      <c r="B139" s="34">
        <v>7.2617737408908145E-2</v>
      </c>
      <c r="C139" s="34"/>
      <c r="D139" s="34"/>
      <c r="E139" s="34"/>
      <c r="F139" s="34"/>
      <c r="G139" s="34"/>
      <c r="H139" s="34"/>
      <c r="I139" s="34"/>
      <c r="J139" s="45"/>
      <c r="K139" s="44"/>
      <c r="L139" s="34"/>
      <c r="M139" s="34"/>
      <c r="N139" s="34"/>
      <c r="O139" s="34"/>
      <c r="P139" s="34"/>
      <c r="Q139" s="34"/>
      <c r="R139" s="34"/>
      <c r="S139" s="34"/>
    </row>
    <row r="140" spans="1:19" ht="19.5" customHeight="1" thickBot="1" x14ac:dyDescent="0.35">
      <c r="A140" s="62" t="s">
        <v>382</v>
      </c>
      <c r="B140" s="62">
        <v>6</v>
      </c>
      <c r="C140" s="34"/>
      <c r="D140" s="34"/>
      <c r="E140" s="34"/>
      <c r="F140" s="34"/>
      <c r="G140" s="34"/>
      <c r="H140" s="34"/>
      <c r="I140" s="34"/>
      <c r="J140" s="45"/>
      <c r="K140" s="44"/>
      <c r="L140" s="34"/>
      <c r="M140" s="34"/>
      <c r="N140" s="34"/>
      <c r="O140" s="34"/>
      <c r="P140" s="34"/>
      <c r="Q140" s="34"/>
      <c r="R140" s="34"/>
      <c r="S140" s="34"/>
    </row>
    <row r="141" spans="1:19" ht="19.5" customHeight="1" x14ac:dyDescent="0.3">
      <c r="A141" s="34"/>
      <c r="B141" s="34"/>
      <c r="C141" s="34"/>
      <c r="D141" s="34"/>
      <c r="E141" s="34"/>
      <c r="F141" s="34"/>
      <c r="G141" s="34"/>
      <c r="H141" s="34"/>
      <c r="I141" s="34"/>
      <c r="J141" s="45"/>
      <c r="K141" s="44"/>
      <c r="L141" s="34"/>
      <c r="M141" s="34"/>
      <c r="N141" s="34"/>
      <c r="O141" s="34"/>
      <c r="P141" s="34"/>
      <c r="Q141" s="34"/>
      <c r="R141" s="34"/>
      <c r="S141" s="34"/>
    </row>
    <row r="142" spans="1:19" ht="19.5" customHeight="1" thickBot="1" x14ac:dyDescent="0.35">
      <c r="A142" s="34" t="s">
        <v>381</v>
      </c>
      <c r="B142" s="34"/>
      <c r="C142" s="34"/>
      <c r="D142" s="34"/>
      <c r="E142" s="34"/>
      <c r="F142" s="34"/>
      <c r="G142" s="34"/>
      <c r="H142" s="34"/>
      <c r="I142" s="34"/>
      <c r="J142" s="45"/>
      <c r="K142" s="44"/>
      <c r="L142" s="34"/>
      <c r="M142" s="34"/>
      <c r="N142" s="34"/>
      <c r="O142" s="34"/>
      <c r="P142" s="34"/>
      <c r="Q142" s="34"/>
      <c r="R142" s="34"/>
      <c r="S142" s="34"/>
    </row>
    <row r="143" spans="1:19" ht="19.5" customHeight="1" x14ac:dyDescent="0.3">
      <c r="A143" s="63"/>
      <c r="B143" s="63" t="s">
        <v>380</v>
      </c>
      <c r="C143" s="63" t="s">
        <v>379</v>
      </c>
      <c r="D143" s="63" t="s">
        <v>378</v>
      </c>
      <c r="E143" s="63" t="s">
        <v>377</v>
      </c>
      <c r="F143" s="63" t="s">
        <v>376</v>
      </c>
      <c r="G143" s="34"/>
      <c r="H143" s="34"/>
      <c r="I143" s="34"/>
      <c r="J143" s="45"/>
      <c r="K143" s="44"/>
      <c r="L143" s="34"/>
      <c r="M143" s="34"/>
      <c r="N143" s="34"/>
      <c r="O143" s="34"/>
      <c r="P143" s="34"/>
      <c r="Q143" s="34"/>
      <c r="R143" s="34"/>
      <c r="S143" s="34"/>
    </row>
    <row r="144" spans="1:19" ht="19.5" customHeight="1" x14ac:dyDescent="0.3">
      <c r="A144" s="34" t="s">
        <v>374</v>
      </c>
      <c r="B144" s="34">
        <v>1</v>
      </c>
      <c r="C144" s="34">
        <v>1.6869889880966916E-3</v>
      </c>
      <c r="D144" s="34">
        <v>1.6869889880966916E-3</v>
      </c>
      <c r="E144" s="34">
        <v>0.3199092673845903</v>
      </c>
      <c r="F144" s="34">
        <v>0.60188153946636835</v>
      </c>
      <c r="G144" s="34"/>
      <c r="H144" s="34"/>
      <c r="I144" s="34"/>
      <c r="J144" s="45"/>
      <c r="K144" s="44"/>
      <c r="L144" s="34"/>
      <c r="M144" s="34"/>
      <c r="N144" s="34"/>
      <c r="O144" s="34"/>
      <c r="P144" s="34"/>
      <c r="Q144" s="34"/>
      <c r="R144" s="34"/>
      <c r="S144" s="34"/>
    </row>
    <row r="145" spans="1:19" ht="19.5" customHeight="1" x14ac:dyDescent="0.3">
      <c r="A145" s="34" t="s">
        <v>372</v>
      </c>
      <c r="B145" s="34">
        <v>4</v>
      </c>
      <c r="C145" s="34">
        <v>2.1093343145556553E-2</v>
      </c>
      <c r="D145" s="34">
        <v>5.2733357863891384E-3</v>
      </c>
      <c r="E145" s="34"/>
      <c r="F145" s="34"/>
      <c r="G145" s="34"/>
      <c r="H145" s="34"/>
      <c r="I145" s="34"/>
      <c r="J145" s="45"/>
      <c r="K145" s="44"/>
      <c r="L145" s="34"/>
      <c r="M145" s="34"/>
      <c r="N145" s="34"/>
      <c r="O145" s="34"/>
      <c r="P145" s="34"/>
      <c r="Q145" s="34"/>
      <c r="R145" s="34"/>
      <c r="S145" s="34"/>
    </row>
    <row r="146" spans="1:19" ht="19.5" customHeight="1" thickBot="1" x14ac:dyDescent="0.35">
      <c r="A146" s="62" t="s">
        <v>371</v>
      </c>
      <c r="B146" s="62">
        <v>5</v>
      </c>
      <c r="C146" s="62">
        <v>2.2780332133653245E-2</v>
      </c>
      <c r="D146" s="62"/>
      <c r="E146" s="62"/>
      <c r="F146" s="62"/>
      <c r="G146" s="34"/>
      <c r="H146" s="34"/>
      <c r="I146" s="34"/>
      <c r="J146" s="45"/>
      <c r="K146" s="44"/>
      <c r="L146" s="34"/>
      <c r="M146" s="34"/>
      <c r="N146" s="34"/>
      <c r="O146" s="34"/>
      <c r="P146" s="34"/>
      <c r="Q146" s="34"/>
      <c r="R146" s="34"/>
      <c r="S146" s="34"/>
    </row>
    <row r="147" spans="1:19" ht="19.5" customHeight="1" thickBot="1" x14ac:dyDescent="0.35">
      <c r="A147" s="34"/>
      <c r="B147" s="34"/>
      <c r="C147" s="34"/>
      <c r="D147" s="34"/>
      <c r="E147" s="34"/>
      <c r="F147" s="34"/>
      <c r="G147" s="34"/>
      <c r="H147" s="34"/>
      <c r="I147" s="34"/>
      <c r="J147" s="45"/>
      <c r="K147" s="44"/>
      <c r="L147" s="34"/>
      <c r="M147" s="34"/>
      <c r="N147" s="34"/>
      <c r="O147" s="34"/>
      <c r="P147" s="34"/>
      <c r="Q147" s="34"/>
      <c r="R147" s="34"/>
      <c r="S147" s="34"/>
    </row>
    <row r="148" spans="1:19" ht="19.5" customHeight="1" x14ac:dyDescent="0.3">
      <c r="A148" s="63"/>
      <c r="B148" s="63" t="s">
        <v>369</v>
      </c>
      <c r="C148" s="63" t="s">
        <v>368</v>
      </c>
      <c r="D148" s="63" t="s">
        <v>367</v>
      </c>
      <c r="E148" s="63" t="s">
        <v>366</v>
      </c>
      <c r="F148" s="63" t="s">
        <v>365</v>
      </c>
      <c r="G148" s="63" t="s">
        <v>364</v>
      </c>
      <c r="H148" s="63" t="s">
        <v>363</v>
      </c>
      <c r="I148" s="63" t="s">
        <v>362</v>
      </c>
      <c r="J148" s="45"/>
      <c r="K148" s="44"/>
      <c r="L148" s="34"/>
      <c r="M148" s="34"/>
      <c r="N148" s="34"/>
      <c r="O148" s="34"/>
      <c r="P148" s="34"/>
      <c r="Q148" s="34"/>
      <c r="R148" s="34"/>
      <c r="S148" s="34"/>
    </row>
    <row r="149" spans="1:19" ht="19.5" customHeight="1" x14ac:dyDescent="0.3">
      <c r="A149" s="34" t="s">
        <v>361</v>
      </c>
      <c r="B149" s="34">
        <v>0.26032823681417161</v>
      </c>
      <c r="C149" s="34">
        <v>0.10542152022311883</v>
      </c>
      <c r="D149" s="34">
        <v>2.4694031755869319</v>
      </c>
      <c r="E149" s="34">
        <v>6.8990944562276335E-2</v>
      </c>
      <c r="F149" s="34">
        <v>-3.2368826991816868E-2</v>
      </c>
      <c r="G149" s="34">
        <v>0.55302530062016009</v>
      </c>
      <c r="H149" s="34">
        <v>-3.2368826991816868E-2</v>
      </c>
      <c r="I149" s="34">
        <v>0.55302530062016009</v>
      </c>
      <c r="J149" s="45"/>
      <c r="K149" s="44"/>
      <c r="L149" s="34"/>
      <c r="M149" s="34"/>
      <c r="N149" s="34"/>
      <c r="O149" s="34"/>
      <c r="P149" s="34"/>
      <c r="Q149" s="34"/>
      <c r="R149" s="34"/>
      <c r="S149" s="34"/>
    </row>
    <row r="150" spans="1:19" ht="19.5" customHeight="1" thickBot="1" x14ac:dyDescent="0.35">
      <c r="A150" s="62" t="s">
        <v>360</v>
      </c>
      <c r="B150" s="62">
        <v>-3.0116163881439282</v>
      </c>
      <c r="C150" s="62">
        <v>5.3245908451972905</v>
      </c>
      <c r="D150" s="62">
        <v>-0.56560522220413723</v>
      </c>
      <c r="E150" s="62">
        <v>0.60188153946636769</v>
      </c>
      <c r="F150" s="62">
        <v>-17.795050577472928</v>
      </c>
      <c r="G150" s="62">
        <v>11.771817801185071</v>
      </c>
      <c r="H150" s="62">
        <v>-17.795050577472928</v>
      </c>
      <c r="I150" s="62">
        <v>11.771817801185071</v>
      </c>
      <c r="J150" s="45"/>
      <c r="K150" s="44"/>
      <c r="L150" s="34"/>
      <c r="M150" s="34"/>
      <c r="N150" s="34"/>
      <c r="O150" s="34"/>
      <c r="P150" s="34"/>
      <c r="Q150" s="34"/>
      <c r="R150" s="34"/>
      <c r="S150" s="34"/>
    </row>
    <row r="151" spans="1:19" ht="19.5" customHeight="1" x14ac:dyDescent="0.3">
      <c r="A151" s="34"/>
      <c r="B151" s="34"/>
      <c r="C151" s="34"/>
      <c r="D151" s="34"/>
      <c r="E151" s="34"/>
      <c r="F151" s="34"/>
      <c r="G151" s="34"/>
      <c r="H151" s="34"/>
      <c r="I151" s="34"/>
      <c r="J151" s="45"/>
      <c r="K151" s="44"/>
      <c r="L151" s="34"/>
      <c r="M151" s="34"/>
      <c r="N151" s="34"/>
      <c r="O151" s="34"/>
      <c r="P151" s="34"/>
      <c r="Q151" s="34"/>
      <c r="R151" s="34"/>
      <c r="S151" s="34"/>
    </row>
    <row r="152" spans="1:19" ht="19.5" customHeight="1" x14ac:dyDescent="0.3">
      <c r="A152" s="34"/>
      <c r="B152" s="34"/>
      <c r="C152" s="34"/>
      <c r="D152" s="34"/>
      <c r="E152" s="34"/>
      <c r="F152" s="34"/>
      <c r="G152" s="34"/>
      <c r="H152" s="34"/>
      <c r="I152" s="34"/>
      <c r="J152" s="45"/>
      <c r="K152" s="44"/>
      <c r="L152" s="34"/>
      <c r="M152" s="34"/>
      <c r="N152" s="34"/>
      <c r="O152" s="34"/>
      <c r="P152" s="34"/>
      <c r="Q152" s="34"/>
      <c r="R152" s="34"/>
      <c r="S152" s="34"/>
    </row>
    <row r="153" spans="1:19" ht="19.5" customHeight="1" x14ac:dyDescent="0.3">
      <c r="A153" s="34"/>
      <c r="B153" s="34"/>
      <c r="C153" s="34"/>
      <c r="D153" s="34"/>
      <c r="E153" s="34"/>
      <c r="F153" s="34"/>
      <c r="G153" s="34"/>
      <c r="H153" s="34"/>
      <c r="I153" s="34"/>
      <c r="J153" s="45"/>
      <c r="K153" s="44"/>
      <c r="L153" s="34"/>
      <c r="M153" s="34"/>
      <c r="N153" s="34"/>
      <c r="O153" s="34"/>
      <c r="P153" s="34"/>
      <c r="Q153" s="34"/>
      <c r="R153" s="34"/>
      <c r="S153" s="34"/>
    </row>
    <row r="154" spans="1:19" ht="19.5" customHeight="1" x14ac:dyDescent="0.3">
      <c r="A154" s="71" t="str">
        <f>H9</f>
        <v>城镇固定资产投资</v>
      </c>
      <c r="B154" s="34"/>
      <c r="C154" s="34"/>
      <c r="D154" s="34"/>
      <c r="E154" s="34"/>
      <c r="F154" s="34"/>
      <c r="G154" s="34"/>
      <c r="H154" s="34"/>
      <c r="I154" s="34"/>
      <c r="J154" s="45"/>
      <c r="K154" s="44"/>
      <c r="L154" s="34"/>
      <c r="M154" s="34"/>
      <c r="N154" s="34"/>
      <c r="O154" s="34"/>
      <c r="P154" s="34"/>
      <c r="Q154" s="34"/>
      <c r="R154" s="34"/>
      <c r="S154" s="34"/>
    </row>
    <row r="155" spans="1:19" ht="19.5" customHeight="1" x14ac:dyDescent="0.3">
      <c r="A155" s="34" t="s">
        <v>392</v>
      </c>
      <c r="B155" s="34"/>
      <c r="C155" s="34"/>
      <c r="D155" s="34"/>
      <c r="E155" s="34"/>
      <c r="F155" s="34"/>
      <c r="G155" s="34"/>
      <c r="H155" s="34"/>
      <c r="I155" s="34"/>
      <c r="J155" s="45"/>
      <c r="K155" s="44"/>
      <c r="L155" s="34"/>
      <c r="M155" s="34"/>
      <c r="N155" s="34"/>
      <c r="O155" s="34"/>
      <c r="P155" s="34"/>
      <c r="Q155" s="34"/>
      <c r="R155" s="34"/>
      <c r="S155" s="34"/>
    </row>
    <row r="156" spans="1:19" ht="19.5" customHeight="1" thickBot="1" x14ac:dyDescent="0.35">
      <c r="A156" s="34"/>
      <c r="B156" s="34"/>
      <c r="C156" s="34"/>
      <c r="D156" s="34"/>
      <c r="E156" s="34"/>
      <c r="F156" s="34"/>
      <c r="G156" s="34"/>
      <c r="H156" s="34"/>
      <c r="I156" s="34"/>
      <c r="J156" s="45"/>
      <c r="K156" s="44"/>
      <c r="L156" s="34"/>
      <c r="M156" s="34"/>
      <c r="N156" s="34"/>
      <c r="O156" s="34"/>
      <c r="P156" s="34"/>
      <c r="Q156" s="34"/>
      <c r="R156" s="34"/>
      <c r="S156" s="34"/>
    </row>
    <row r="157" spans="1:19" ht="19.5" customHeight="1" x14ac:dyDescent="0.3">
      <c r="A157" s="65" t="s">
        <v>390</v>
      </c>
      <c r="B157" s="65"/>
      <c r="C157" s="34"/>
      <c r="D157" s="34"/>
      <c r="E157" s="34"/>
      <c r="F157" s="34"/>
      <c r="G157" s="34"/>
      <c r="H157" s="34"/>
      <c r="I157" s="34"/>
      <c r="J157" s="45"/>
      <c r="K157" s="44"/>
      <c r="L157" s="34"/>
      <c r="M157" s="34"/>
      <c r="N157" s="34"/>
      <c r="O157" s="34"/>
      <c r="P157" s="34"/>
      <c r="Q157" s="34"/>
      <c r="R157" s="34"/>
      <c r="S157" s="34"/>
    </row>
    <row r="158" spans="1:19" ht="19.5" customHeight="1" x14ac:dyDescent="0.3">
      <c r="A158" s="34" t="s">
        <v>389</v>
      </c>
      <c r="B158" s="34">
        <v>0.69379862952140248</v>
      </c>
      <c r="C158" s="34"/>
      <c r="D158" s="34"/>
      <c r="E158" s="34"/>
      <c r="F158" s="34"/>
      <c r="G158" s="34"/>
      <c r="H158" s="34"/>
      <c r="I158" s="34"/>
      <c r="J158" s="45"/>
      <c r="K158" s="44"/>
      <c r="L158" s="34"/>
      <c r="M158" s="34"/>
      <c r="N158" s="34"/>
      <c r="O158" s="34"/>
      <c r="P158" s="34"/>
      <c r="Q158" s="34"/>
      <c r="R158" s="34"/>
      <c r="S158" s="34"/>
    </row>
    <row r="159" spans="1:19" ht="19.5" customHeight="1" x14ac:dyDescent="0.3">
      <c r="A159" s="34" t="s">
        <v>387</v>
      </c>
      <c r="B159" s="34">
        <v>0.48135653832577624</v>
      </c>
      <c r="C159" s="34"/>
      <c r="D159" s="34"/>
      <c r="E159" s="34"/>
      <c r="F159" s="34"/>
      <c r="G159" s="34"/>
      <c r="H159" s="34"/>
      <c r="I159" s="34"/>
      <c r="J159" s="45"/>
      <c r="K159" s="44"/>
      <c r="L159" s="34"/>
      <c r="M159" s="34"/>
      <c r="N159" s="34"/>
      <c r="O159" s="34"/>
      <c r="P159" s="34"/>
      <c r="Q159" s="34"/>
      <c r="R159" s="34"/>
      <c r="S159" s="34"/>
    </row>
    <row r="160" spans="1:19" ht="19.5" customHeight="1" x14ac:dyDescent="0.3">
      <c r="A160" s="34" t="s">
        <v>385</v>
      </c>
      <c r="B160" s="34">
        <v>0.35169567290722026</v>
      </c>
      <c r="C160" s="34"/>
      <c r="D160" s="34"/>
      <c r="E160" s="34"/>
      <c r="F160" s="34"/>
      <c r="G160" s="34"/>
      <c r="H160" s="34"/>
      <c r="I160" s="34"/>
      <c r="J160" s="45"/>
      <c r="K160" s="44"/>
      <c r="L160" s="34"/>
      <c r="M160" s="34"/>
      <c r="N160" s="34"/>
      <c r="O160" s="34"/>
      <c r="P160" s="34"/>
      <c r="Q160" s="34"/>
      <c r="R160" s="34"/>
      <c r="S160" s="34"/>
    </row>
    <row r="161" spans="1:19" ht="19.5" customHeight="1" x14ac:dyDescent="0.3">
      <c r="A161" s="34" t="s">
        <v>368</v>
      </c>
      <c r="B161" s="34">
        <v>5.4348114769250451E-2</v>
      </c>
      <c r="C161" s="34"/>
      <c r="D161" s="34"/>
      <c r="E161" s="34"/>
      <c r="F161" s="34"/>
      <c r="G161" s="34"/>
      <c r="H161" s="34"/>
      <c r="I161" s="34"/>
      <c r="J161" s="45"/>
      <c r="K161" s="44"/>
      <c r="L161" s="34"/>
      <c r="M161" s="34"/>
      <c r="N161" s="34"/>
      <c r="O161" s="34"/>
      <c r="P161" s="34"/>
      <c r="Q161" s="34"/>
      <c r="R161" s="34"/>
      <c r="S161" s="34"/>
    </row>
    <row r="162" spans="1:19" ht="19.5" customHeight="1" thickBot="1" x14ac:dyDescent="0.35">
      <c r="A162" s="62" t="s">
        <v>382</v>
      </c>
      <c r="B162" s="62">
        <v>6</v>
      </c>
      <c r="C162" s="34"/>
      <c r="D162" s="34"/>
      <c r="E162" s="34"/>
      <c r="F162" s="34"/>
      <c r="G162" s="34"/>
      <c r="H162" s="34"/>
      <c r="I162" s="34"/>
      <c r="J162" s="45"/>
      <c r="K162" s="44"/>
      <c r="L162" s="34"/>
      <c r="M162" s="34"/>
      <c r="N162" s="34"/>
      <c r="O162" s="34"/>
      <c r="P162" s="34"/>
      <c r="Q162" s="34"/>
      <c r="R162" s="34"/>
      <c r="S162" s="34"/>
    </row>
    <row r="163" spans="1:19" ht="19.5" customHeight="1" x14ac:dyDescent="0.3">
      <c r="A163" s="34"/>
      <c r="B163" s="34"/>
      <c r="C163" s="34"/>
      <c r="D163" s="34"/>
      <c r="E163" s="34"/>
      <c r="F163" s="34"/>
      <c r="G163" s="34"/>
      <c r="H163" s="34"/>
      <c r="I163" s="34"/>
      <c r="J163" s="45"/>
      <c r="K163" s="44"/>
      <c r="L163" s="34"/>
      <c r="M163" s="34"/>
      <c r="N163" s="34"/>
      <c r="O163" s="34"/>
      <c r="P163" s="34"/>
      <c r="Q163" s="34"/>
      <c r="R163" s="34"/>
      <c r="S163" s="34"/>
    </row>
    <row r="164" spans="1:19" ht="19.5" customHeight="1" thickBot="1" x14ac:dyDescent="0.35">
      <c r="A164" s="34" t="s">
        <v>381</v>
      </c>
      <c r="B164" s="34"/>
      <c r="C164" s="34"/>
      <c r="D164" s="34"/>
      <c r="E164" s="34"/>
      <c r="F164" s="34"/>
      <c r="G164" s="34"/>
      <c r="H164" s="34"/>
      <c r="I164" s="34"/>
      <c r="J164" s="45"/>
      <c r="K164" s="44"/>
      <c r="L164" s="34"/>
      <c r="M164" s="34"/>
      <c r="N164" s="34"/>
      <c r="O164" s="34"/>
      <c r="P164" s="34"/>
      <c r="Q164" s="34"/>
      <c r="R164" s="34"/>
      <c r="S164" s="34"/>
    </row>
    <row r="165" spans="1:19" ht="19.5" customHeight="1" x14ac:dyDescent="0.3">
      <c r="A165" s="63"/>
      <c r="B165" s="63" t="s">
        <v>380</v>
      </c>
      <c r="C165" s="63" t="s">
        <v>379</v>
      </c>
      <c r="D165" s="63" t="s">
        <v>378</v>
      </c>
      <c r="E165" s="63" t="s">
        <v>377</v>
      </c>
      <c r="F165" s="63" t="s">
        <v>376</v>
      </c>
      <c r="G165" s="34"/>
      <c r="H165" s="34"/>
      <c r="I165" s="34"/>
      <c r="J165" s="45"/>
      <c r="K165" s="44"/>
      <c r="L165" s="34"/>
      <c r="M165" s="34"/>
      <c r="N165" s="34"/>
      <c r="O165" s="34"/>
      <c r="P165" s="34"/>
      <c r="Q165" s="34"/>
      <c r="R165" s="34"/>
      <c r="S165" s="34"/>
    </row>
    <row r="166" spans="1:19" ht="19.5" customHeight="1" x14ac:dyDescent="0.3">
      <c r="A166" s="34" t="s">
        <v>374</v>
      </c>
      <c r="B166" s="34">
        <v>1</v>
      </c>
      <c r="C166" s="34">
        <v>1.096546181776677E-2</v>
      </c>
      <c r="D166" s="34">
        <v>1.096546181776677E-2</v>
      </c>
      <c r="E166" s="34">
        <v>3.7124273139155575</v>
      </c>
      <c r="F166" s="34">
        <v>0.12628430901869128</v>
      </c>
      <c r="G166" s="34"/>
      <c r="H166" s="34"/>
      <c r="I166" s="34"/>
      <c r="J166" s="45"/>
      <c r="K166" s="44"/>
      <c r="L166" s="34"/>
      <c r="M166" s="34"/>
      <c r="N166" s="34"/>
      <c r="O166" s="34"/>
      <c r="P166" s="34"/>
      <c r="Q166" s="34"/>
      <c r="R166" s="34"/>
      <c r="S166" s="34"/>
    </row>
    <row r="167" spans="1:19" ht="19.5" customHeight="1" x14ac:dyDescent="0.3">
      <c r="A167" s="34" t="s">
        <v>372</v>
      </c>
      <c r="B167" s="34">
        <v>4</v>
      </c>
      <c r="C167" s="34">
        <v>1.1814870315886475E-2</v>
      </c>
      <c r="D167" s="34">
        <v>2.9537175789716187E-3</v>
      </c>
      <c r="E167" s="34"/>
      <c r="F167" s="34"/>
      <c r="G167" s="34"/>
      <c r="H167" s="34"/>
      <c r="I167" s="34"/>
      <c r="J167" s="45"/>
      <c r="K167" s="44"/>
      <c r="L167" s="34"/>
      <c r="M167" s="34"/>
      <c r="N167" s="34"/>
      <c r="O167" s="34"/>
      <c r="P167" s="34"/>
      <c r="Q167" s="34"/>
      <c r="R167" s="34"/>
      <c r="S167" s="34"/>
    </row>
    <row r="168" spans="1:19" ht="19.5" customHeight="1" thickBot="1" x14ac:dyDescent="0.35">
      <c r="A168" s="62" t="s">
        <v>371</v>
      </c>
      <c r="B168" s="62">
        <v>5</v>
      </c>
      <c r="C168" s="62">
        <v>2.2780332133653245E-2</v>
      </c>
      <c r="D168" s="62"/>
      <c r="E168" s="62"/>
      <c r="F168" s="62"/>
      <c r="G168" s="34"/>
      <c r="H168" s="34"/>
      <c r="I168" s="34"/>
      <c r="J168" s="45"/>
      <c r="K168" s="44"/>
      <c r="L168" s="34"/>
      <c r="M168" s="34"/>
      <c r="N168" s="34"/>
      <c r="O168" s="34"/>
      <c r="P168" s="34"/>
      <c r="Q168" s="34"/>
      <c r="R168" s="34"/>
      <c r="S168" s="34"/>
    </row>
    <row r="169" spans="1:19" ht="19.5" customHeight="1" thickBot="1" x14ac:dyDescent="0.35">
      <c r="A169" s="34"/>
      <c r="B169" s="34"/>
      <c r="C169" s="34"/>
      <c r="D169" s="34"/>
      <c r="E169" s="34"/>
      <c r="F169" s="34"/>
      <c r="G169" s="34"/>
      <c r="H169" s="34"/>
      <c r="I169" s="34"/>
      <c r="J169" s="45"/>
      <c r="K169" s="44"/>
      <c r="L169" s="34"/>
      <c r="M169" s="34"/>
      <c r="N169" s="34"/>
      <c r="O169" s="34"/>
      <c r="P169" s="34"/>
      <c r="Q169" s="34"/>
      <c r="R169" s="34"/>
      <c r="S169" s="34"/>
    </row>
    <row r="170" spans="1:19" ht="19.5" customHeight="1" x14ac:dyDescent="0.3">
      <c r="A170" s="63"/>
      <c r="B170" s="63" t="s">
        <v>369</v>
      </c>
      <c r="C170" s="63" t="s">
        <v>368</v>
      </c>
      <c r="D170" s="63" t="s">
        <v>367</v>
      </c>
      <c r="E170" s="63" t="s">
        <v>366</v>
      </c>
      <c r="F170" s="63" t="s">
        <v>365</v>
      </c>
      <c r="G170" s="63" t="s">
        <v>364</v>
      </c>
      <c r="H170" s="63" t="s">
        <v>363</v>
      </c>
      <c r="I170" s="63" t="s">
        <v>362</v>
      </c>
      <c r="J170" s="45"/>
      <c r="K170" s="44"/>
      <c r="L170" s="34"/>
      <c r="M170" s="34"/>
      <c r="N170" s="34"/>
      <c r="O170" s="34"/>
      <c r="P170" s="34"/>
      <c r="Q170" s="34"/>
      <c r="R170" s="34"/>
      <c r="S170" s="34"/>
    </row>
    <row r="171" spans="1:19" ht="19.5" customHeight="1" x14ac:dyDescent="0.3">
      <c r="A171" s="34" t="s">
        <v>361</v>
      </c>
      <c r="B171" s="34">
        <v>0.1847417199929251</v>
      </c>
      <c r="C171" s="34">
        <v>2.4148375053388599E-2</v>
      </c>
      <c r="D171" s="34">
        <v>7.6502754154052859</v>
      </c>
      <c r="E171" s="34">
        <v>1.5686441389226719E-3</v>
      </c>
      <c r="F171" s="34">
        <v>0.11769508227746382</v>
      </c>
      <c r="G171" s="34">
        <v>0.25178835770838637</v>
      </c>
      <c r="H171" s="34">
        <v>0.11769508227746382</v>
      </c>
      <c r="I171" s="34">
        <v>0.25178835770838637</v>
      </c>
      <c r="J171" s="45"/>
      <c r="K171" s="44"/>
      <c r="L171" s="34"/>
      <c r="M171" s="34"/>
      <c r="N171" s="34"/>
      <c r="O171" s="34"/>
      <c r="P171" s="34"/>
      <c r="Q171" s="34"/>
      <c r="R171" s="34"/>
      <c r="S171" s="34"/>
    </row>
    <row r="172" spans="1:19" ht="19.5" customHeight="1" thickBot="1" x14ac:dyDescent="0.35">
      <c r="A172" s="62" t="s">
        <v>360</v>
      </c>
      <c r="B172" s="62">
        <v>-0.17642464405871183</v>
      </c>
      <c r="C172" s="62">
        <v>9.1565162452311985E-2</v>
      </c>
      <c r="D172" s="62">
        <v>-1.9267660246941132</v>
      </c>
      <c r="E172" s="62">
        <v>0.12628430901869134</v>
      </c>
      <c r="F172" s="62">
        <v>-0.43065029115607423</v>
      </c>
      <c r="G172" s="62">
        <v>7.7801003038650562E-2</v>
      </c>
      <c r="H172" s="62">
        <v>-0.43065029115607423</v>
      </c>
      <c r="I172" s="62">
        <v>7.7801003038650562E-2</v>
      </c>
      <c r="J172" s="45"/>
      <c r="K172" s="44"/>
      <c r="L172" s="34"/>
      <c r="M172" s="34"/>
      <c r="N172" s="34"/>
      <c r="O172" s="34"/>
      <c r="P172" s="34"/>
      <c r="Q172" s="34"/>
      <c r="R172" s="34"/>
      <c r="S172" s="34"/>
    </row>
    <row r="173" spans="1:19" ht="19.5" customHeight="1" x14ac:dyDescent="0.3">
      <c r="A173" s="34"/>
      <c r="B173" s="34"/>
      <c r="C173" s="34"/>
      <c r="D173" s="34"/>
      <c r="E173" s="34"/>
      <c r="F173" s="34"/>
      <c r="G173" s="34"/>
      <c r="H173" s="34"/>
      <c r="I173" s="34"/>
      <c r="J173" s="45"/>
      <c r="K173" s="44"/>
      <c r="L173" s="34"/>
      <c r="M173" s="34"/>
      <c r="N173" s="34"/>
      <c r="O173" s="34"/>
      <c r="P173" s="34"/>
      <c r="Q173" s="34"/>
      <c r="R173" s="34"/>
      <c r="S173" s="34"/>
    </row>
    <row r="174" spans="1:19" ht="19.5" customHeight="1" x14ac:dyDescent="0.3">
      <c r="A174" s="34"/>
      <c r="B174" s="34"/>
      <c r="C174" s="34"/>
      <c r="D174" s="34"/>
      <c r="E174" s="34"/>
      <c r="F174" s="34"/>
      <c r="G174" s="34"/>
      <c r="H174" s="34"/>
      <c r="I174" s="34"/>
      <c r="J174" s="45"/>
      <c r="K174" s="44"/>
      <c r="L174" s="34"/>
      <c r="M174" s="34"/>
      <c r="N174" s="34"/>
      <c r="O174" s="34"/>
      <c r="P174" s="34"/>
      <c r="Q174" s="34"/>
      <c r="R174" s="34"/>
      <c r="S174" s="34"/>
    </row>
    <row r="175" spans="1:19" ht="19.5" customHeight="1" x14ac:dyDescent="0.3">
      <c r="A175" s="34"/>
      <c r="B175" s="34"/>
      <c r="C175" s="34"/>
      <c r="D175" s="34"/>
      <c r="E175" s="34"/>
      <c r="F175" s="34"/>
      <c r="G175" s="34"/>
      <c r="H175" s="34"/>
      <c r="I175" s="34"/>
      <c r="J175" s="45"/>
      <c r="K175" s="44"/>
      <c r="L175" s="34"/>
      <c r="M175" s="34"/>
      <c r="N175" s="34"/>
      <c r="O175" s="34"/>
      <c r="P175" s="34"/>
      <c r="Q175" s="34"/>
      <c r="R175" s="34"/>
      <c r="S175" s="34"/>
    </row>
    <row r="176" spans="1:19" ht="19.5" customHeight="1" x14ac:dyDescent="0.3">
      <c r="A176" s="34"/>
      <c r="B176" s="34"/>
      <c r="C176" s="34"/>
      <c r="D176" s="34"/>
      <c r="E176" s="34"/>
      <c r="F176" s="34"/>
      <c r="G176" s="34"/>
      <c r="H176" s="34"/>
      <c r="I176" s="34"/>
      <c r="J176" s="45"/>
      <c r="K176" s="44"/>
      <c r="L176" s="34"/>
      <c r="M176" s="34"/>
      <c r="N176" s="34"/>
      <c r="O176" s="34"/>
      <c r="P176" s="34"/>
      <c r="Q176" s="34"/>
      <c r="R176" s="34"/>
      <c r="S176" s="34"/>
    </row>
    <row r="177" spans="1:10" ht="19.5" customHeight="1" x14ac:dyDescent="0.25">
      <c r="A177" s="254" t="s">
        <v>113</v>
      </c>
      <c r="B177" s="254"/>
      <c r="C177" s="254"/>
      <c r="D177" s="254"/>
      <c r="E177" s="254"/>
      <c r="F177" s="254"/>
      <c r="G177" s="254"/>
      <c r="H177" s="254"/>
      <c r="I177" s="254"/>
      <c r="J177" s="254"/>
    </row>
    <row r="178" spans="1:10" ht="81.75" customHeight="1" x14ac:dyDescent="0.25">
      <c r="A178" s="199"/>
      <c r="B178" s="253"/>
      <c r="C178" s="253"/>
      <c r="D178" s="253"/>
      <c r="E178" s="253"/>
      <c r="F178" s="253"/>
      <c r="G178" s="253"/>
      <c r="H178" s="253"/>
      <c r="I178" s="253"/>
      <c r="J178" s="253"/>
    </row>
    <row r="179" spans="1:10" ht="19.5" customHeight="1" x14ac:dyDescent="0.25">
      <c r="A179" s="254" t="s">
        <v>112</v>
      </c>
      <c r="B179" s="254"/>
      <c r="C179" s="254"/>
      <c r="D179" s="254"/>
      <c r="E179" s="254"/>
      <c r="F179" s="254"/>
      <c r="G179" s="254"/>
      <c r="H179" s="254"/>
      <c r="I179" s="254"/>
      <c r="J179" s="254"/>
    </row>
    <row r="180" spans="1:10" ht="66" customHeight="1" x14ac:dyDescent="0.25">
      <c r="A180" s="199"/>
      <c r="B180" s="253"/>
      <c r="C180" s="253"/>
      <c r="D180" s="253"/>
      <c r="E180" s="253"/>
      <c r="F180" s="253"/>
      <c r="G180" s="253"/>
      <c r="H180" s="253"/>
      <c r="I180" s="253"/>
      <c r="J180" s="253"/>
    </row>
    <row r="181" spans="1:10" ht="51.75" customHeight="1" x14ac:dyDescent="0.25">
      <c r="A181" s="2"/>
      <c r="B181" s="2"/>
      <c r="C181" s="2"/>
      <c r="D181" s="2"/>
      <c r="E181" s="2"/>
      <c r="F181" s="2"/>
      <c r="G181" s="2"/>
      <c r="H181" s="2"/>
      <c r="I181" s="2"/>
    </row>
    <row r="182" spans="1:10" ht="51.75" customHeight="1" x14ac:dyDescent="0.25">
      <c r="A182" s="2"/>
      <c r="B182" s="2"/>
      <c r="C182" s="2"/>
      <c r="D182" s="2"/>
      <c r="E182" s="2"/>
      <c r="F182" s="2"/>
      <c r="G182" s="2"/>
      <c r="H182" s="2"/>
      <c r="I182" s="2"/>
    </row>
    <row r="183" spans="1:10" ht="51.75" customHeight="1" x14ac:dyDescent="0.25">
      <c r="A183" s="2"/>
      <c r="B183" s="2"/>
      <c r="C183" s="2"/>
      <c r="D183" s="2"/>
      <c r="E183" s="2"/>
      <c r="F183" s="2"/>
      <c r="G183" s="2"/>
      <c r="H183" s="2"/>
      <c r="I183" s="2"/>
    </row>
    <row r="184" spans="1:10" ht="51.75" customHeight="1" x14ac:dyDescent="0.25">
      <c r="A184" s="2"/>
      <c r="B184" s="2"/>
      <c r="C184" s="2"/>
      <c r="D184" s="2"/>
      <c r="E184" s="2"/>
      <c r="F184" s="2"/>
      <c r="G184" s="2"/>
      <c r="H184" s="2"/>
      <c r="I184" s="2"/>
    </row>
    <row r="185" spans="1:10" ht="51.75" customHeight="1" x14ac:dyDescent="0.25">
      <c r="A185" s="2"/>
      <c r="B185" s="2"/>
      <c r="C185" s="2"/>
      <c r="D185" s="2"/>
      <c r="E185" s="2"/>
      <c r="F185" s="2"/>
      <c r="G185" s="2"/>
      <c r="H185" s="2"/>
      <c r="I185" s="2"/>
    </row>
    <row r="186" spans="1:10" ht="51.75" customHeight="1" x14ac:dyDescent="0.25">
      <c r="A186" s="2"/>
      <c r="B186" s="2"/>
      <c r="C186" s="2"/>
      <c r="D186" s="2"/>
      <c r="E186" s="2"/>
      <c r="F186" s="2"/>
      <c r="G186" s="2"/>
      <c r="H186" s="2"/>
      <c r="I186" s="2"/>
    </row>
    <row r="187" spans="1:10" x14ac:dyDescent="0.25">
      <c r="A187" s="2"/>
      <c r="B187" s="2"/>
      <c r="C187" s="2"/>
      <c r="D187" s="2"/>
      <c r="E187" s="2"/>
      <c r="F187" s="2"/>
      <c r="G187" s="2"/>
      <c r="H187" s="2"/>
      <c r="I187" s="2"/>
    </row>
    <row r="188" spans="1:10" x14ac:dyDescent="0.25">
      <c r="A188" s="2"/>
      <c r="B188" s="2"/>
      <c r="C188" s="2"/>
      <c r="D188" s="2"/>
      <c r="E188" s="2"/>
      <c r="F188" s="2"/>
      <c r="G188" s="2"/>
      <c r="H188" s="2"/>
      <c r="I188" s="2"/>
    </row>
  </sheetData>
  <dataConsolidate/>
  <mergeCells count="10">
    <mergeCell ref="A178:J178"/>
    <mergeCell ref="A179:J179"/>
    <mergeCell ref="A180:J180"/>
    <mergeCell ref="K36:K37"/>
    <mergeCell ref="A1:J1"/>
    <mergeCell ref="A2:J2"/>
    <mergeCell ref="A5:J5"/>
    <mergeCell ref="A6:J6"/>
    <mergeCell ref="A7:J7"/>
    <mergeCell ref="A177:J177"/>
  </mergeCells>
  <phoneticPr fontId="3" type="noConversion"/>
  <printOptions horizontalCentered="1"/>
  <pageMargins left="0.74803149606299213" right="0.55118110236220474" top="0.82677165354330717" bottom="0.23622047244094491" header="0.51181102362204722" footer="0.19685039370078741"/>
  <pageSetup paperSize="9" scale="86" fitToHeight="1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39"/>
  <sheetViews>
    <sheetView view="pageBreakPreview" zoomScaleNormal="130" zoomScaleSheetLayoutView="100" workbookViewId="0">
      <selection activeCell="K18" sqref="K18"/>
    </sheetView>
  </sheetViews>
  <sheetFormatPr defaultColWidth="9" defaultRowHeight="13.8" x14ac:dyDescent="0.25"/>
  <cols>
    <col min="1" max="1" width="12.44140625" style="1" customWidth="1"/>
    <col min="2" max="2" width="10" style="1" customWidth="1"/>
    <col min="3" max="4" width="11.44140625" style="1" customWidth="1"/>
    <col min="5" max="5" width="9.21875" style="1" customWidth="1"/>
    <col min="6" max="6" width="9.109375" style="1" customWidth="1"/>
    <col min="7" max="7" width="7.77734375" style="1" customWidth="1"/>
    <col min="8" max="8" width="6.6640625" style="1" customWidth="1"/>
    <col min="9" max="9" width="10.109375" style="1" customWidth="1"/>
    <col min="10" max="10" width="10" style="1" customWidth="1"/>
    <col min="11" max="11" width="61" style="1" customWidth="1"/>
    <col min="12" max="16384" width="9" style="1"/>
  </cols>
  <sheetData>
    <row r="1" spans="1:11" s="29" customFormat="1" ht="20.100000000000001" customHeight="1" x14ac:dyDescent="0.25">
      <c r="A1" s="195" t="s">
        <v>111</v>
      </c>
      <c r="B1" s="195"/>
      <c r="C1" s="195"/>
      <c r="D1" s="195"/>
      <c r="E1" s="195"/>
      <c r="F1" s="195"/>
      <c r="G1" s="195"/>
      <c r="H1" s="195"/>
      <c r="I1" s="195"/>
      <c r="J1" s="195"/>
    </row>
    <row r="2" spans="1:11" s="29" customFormat="1" ht="25.2" customHeight="1" x14ac:dyDescent="0.25">
      <c r="A2" s="196" t="s">
        <v>458</v>
      </c>
      <c r="B2" s="196"/>
      <c r="C2" s="196"/>
      <c r="D2" s="196"/>
      <c r="E2" s="196"/>
      <c r="F2" s="196"/>
      <c r="G2" s="196"/>
      <c r="H2" s="196"/>
      <c r="I2" s="196"/>
      <c r="J2" s="196"/>
    </row>
    <row r="3" spans="1:11" ht="20.100000000000001" customHeight="1" x14ac:dyDescent="0.25">
      <c r="A3" s="13" t="str">
        <f>[9]底稿目录!$A$2</f>
        <v>被审计单位名称：</v>
      </c>
      <c r="B3" s="13"/>
      <c r="D3" s="13" t="str">
        <f>[9]底稿目录!$A$4</f>
        <v>编制人：</v>
      </c>
      <c r="E3" s="85"/>
      <c r="F3" s="13" t="str">
        <f>[9]底稿目录!$A$5</f>
        <v>编制日期：</v>
      </c>
      <c r="H3" s="128"/>
      <c r="I3" s="144" t="s">
        <v>459</v>
      </c>
      <c r="J3" s="143" t="s">
        <v>623</v>
      </c>
    </row>
    <row r="4" spans="1:11" ht="20.100000000000001" customHeight="1" x14ac:dyDescent="0.25">
      <c r="A4" s="13" t="str">
        <f>[9]底稿目录!$A$3</f>
        <v>截止日：202X年12月31日</v>
      </c>
      <c r="B4" s="13"/>
      <c r="D4" s="13" t="str">
        <f>[9]底稿目录!$A$6</f>
        <v>复核人：</v>
      </c>
      <c r="E4" s="85"/>
      <c r="F4" s="13" t="str">
        <f>[9]底稿目录!$A$7</f>
        <v>复核日期：</v>
      </c>
      <c r="H4" s="128"/>
      <c r="I4" s="145" t="s">
        <v>621</v>
      </c>
      <c r="J4" s="142"/>
    </row>
    <row r="5" spans="1:11" s="28" customFormat="1" ht="20.100000000000001" customHeight="1" x14ac:dyDescent="0.25">
      <c r="A5" s="254" t="s">
        <v>342</v>
      </c>
      <c r="B5" s="254"/>
      <c r="C5" s="254"/>
      <c r="D5" s="254"/>
      <c r="E5" s="254"/>
      <c r="F5" s="254"/>
      <c r="G5" s="254"/>
      <c r="H5" s="254"/>
      <c r="I5" s="254"/>
      <c r="J5" s="254"/>
    </row>
    <row r="6" spans="1:11" s="28" customFormat="1" ht="22.5" customHeight="1" x14ac:dyDescent="0.25">
      <c r="A6" s="198" t="s">
        <v>457</v>
      </c>
      <c r="B6" s="198"/>
      <c r="C6" s="198"/>
      <c r="D6" s="198"/>
      <c r="E6" s="198"/>
      <c r="F6" s="198"/>
      <c r="G6" s="198"/>
      <c r="H6" s="198"/>
      <c r="I6" s="198"/>
      <c r="J6" s="198"/>
      <c r="K6" s="3"/>
    </row>
    <row r="7" spans="1:11" s="28" customFormat="1" ht="20.100000000000001" customHeight="1" x14ac:dyDescent="0.25">
      <c r="A7" s="254" t="s">
        <v>440</v>
      </c>
      <c r="B7" s="254"/>
      <c r="C7" s="254"/>
      <c r="D7" s="254"/>
      <c r="E7" s="254"/>
      <c r="F7" s="254"/>
      <c r="G7" s="254"/>
      <c r="H7" s="254"/>
      <c r="I7" s="254"/>
      <c r="J7" s="254"/>
    </row>
    <row r="8" spans="1:11" ht="19.5" customHeight="1" x14ac:dyDescent="0.25">
      <c r="A8" s="8" t="s">
        <v>439</v>
      </c>
      <c r="B8" s="2"/>
      <c r="C8" s="2"/>
      <c r="D8" s="2"/>
      <c r="E8" s="2"/>
      <c r="F8" s="2"/>
      <c r="G8" s="2"/>
      <c r="H8" s="2"/>
      <c r="I8" s="2"/>
    </row>
    <row r="9" spans="1:11" ht="35.25" customHeight="1" x14ac:dyDescent="0.25">
      <c r="A9" s="158" t="s">
        <v>456</v>
      </c>
      <c r="B9" s="176" t="str">
        <f>'前瞻性调整D2-10-1（量化分析）'!B14</f>
        <v>GDP增长率</v>
      </c>
      <c r="C9" s="176" t="str">
        <f>'前瞻性调整D2-10-1（量化分析）'!C14</f>
        <v>广义货币（M2）增长率</v>
      </c>
      <c r="D9" s="176" t="str">
        <f>'前瞻性调整D2-10-1（量化分析）'!D14</f>
        <v>社会消费品零售总额</v>
      </c>
      <c r="E9" s="176" t="str">
        <f>'变量相关性分析D2-10-2'!H9</f>
        <v>城镇固定资产投资</v>
      </c>
      <c r="F9" s="176"/>
      <c r="G9" s="176"/>
      <c r="H9" s="176"/>
      <c r="I9" s="176" t="str">
        <f>'前瞻性调整D2-10-1（量化分析）'!I14</f>
        <v>损失率变动Y</v>
      </c>
      <c r="J9" s="158" t="s">
        <v>455</v>
      </c>
      <c r="K9" s="53"/>
    </row>
    <row r="10" spans="1:11" ht="19.5" customHeight="1" x14ac:dyDescent="0.25">
      <c r="A10" s="5" t="s">
        <v>454</v>
      </c>
      <c r="B10" s="4">
        <f>'前瞻性调整D2-10-1（量化分析）'!B15</f>
        <v>6.0999999999999999E-2</v>
      </c>
      <c r="C10" s="4">
        <f>'前瞻性调整D2-10-1（量化分析）'!C15</f>
        <v>0.13</v>
      </c>
      <c r="D10" s="4">
        <f>'前瞻性调整D2-10-1（量化分析）'!D15</f>
        <v>8.3000000000000004E-2</v>
      </c>
      <c r="E10" s="4">
        <f>'变量相关性分析D2-10-2'!H10</f>
        <v>-0.32650000000000001</v>
      </c>
      <c r="F10" s="4"/>
      <c r="G10" s="4"/>
      <c r="H10" s="4"/>
      <c r="I10" s="4">
        <f>'前瞻性调整D2-10-1（量化分析）'!I15</f>
        <v>0.16627452326599257</v>
      </c>
      <c r="J10" s="4"/>
      <c r="K10" s="52"/>
    </row>
    <row r="11" spans="1:11" ht="19.5" customHeight="1" x14ac:dyDescent="0.25">
      <c r="A11" s="5" t="s">
        <v>453</v>
      </c>
      <c r="B11" s="4">
        <f>'前瞻性调整D2-10-1（量化分析）'!B16</f>
        <v>6.6000000000000003E-2</v>
      </c>
      <c r="C11" s="4">
        <f>'前瞻性调整D2-10-1（量化分析）'!C16</f>
        <v>6.9900000000000004E-2</v>
      </c>
      <c r="D11" s="4">
        <f>'前瞻性调整D2-10-1（量化分析）'!D16</f>
        <v>0.09</v>
      </c>
      <c r="E11" s="4">
        <f>'变量相关性分析D2-10-2'!H11</f>
        <v>-0.5343</v>
      </c>
      <c r="F11" s="4"/>
      <c r="G11" s="4"/>
      <c r="H11" s="4"/>
      <c r="I11" s="4">
        <f>'前瞻性调整D2-10-1（量化分析）'!I16</f>
        <v>0.31737062937062943</v>
      </c>
      <c r="J11" s="4"/>
      <c r="K11" s="52"/>
    </row>
    <row r="12" spans="1:11" ht="19.5" customHeight="1" x14ac:dyDescent="0.25">
      <c r="A12" s="5" t="s">
        <v>452</v>
      </c>
      <c r="B12" s="4">
        <f>'前瞻性调整D2-10-1（量化分析）'!B17</f>
        <v>6.9000000000000006E-2</v>
      </c>
      <c r="C12" s="4">
        <f>'前瞻性调整D2-10-1（量化分析）'!C17</f>
        <v>8.1100000000000005E-2</v>
      </c>
      <c r="D12" s="4">
        <f>'前瞻性调整D2-10-1（量化分析）'!D17</f>
        <v>0.10199999999999999</v>
      </c>
      <c r="E12" s="4">
        <f>'变量相关性分析D2-10-2'!H12</f>
        <v>-2.29E-2</v>
      </c>
      <c r="F12" s="4"/>
      <c r="G12" s="4"/>
      <c r="H12" s="4"/>
      <c r="I12" s="4">
        <f>'前瞻性调整D2-10-1（量化分析）'!I17</f>
        <v>0.25</v>
      </c>
      <c r="J12" s="4"/>
      <c r="K12" s="3"/>
    </row>
    <row r="13" spans="1:11" ht="19.5" customHeight="1" x14ac:dyDescent="0.25">
      <c r="A13" s="5" t="s">
        <v>451</v>
      </c>
      <c r="B13" s="4">
        <f>'前瞻性调整D2-10-1（量化分析）'!B18</f>
        <v>7.2999999999999995E-2</v>
      </c>
      <c r="C13" s="4">
        <f>'前瞻性调整D2-10-1（量化分析）'!C18</f>
        <v>0.1133</v>
      </c>
      <c r="D13" s="4">
        <f>'前瞻性调整D2-10-1（量化分析）'!D18</f>
        <v>0.104</v>
      </c>
      <c r="E13" s="4">
        <f>'变量相关性分析D2-10-2'!H13</f>
        <v>6.5199999999999994E-2</v>
      </c>
      <c r="F13" s="4"/>
      <c r="G13" s="4"/>
      <c r="H13" s="4"/>
      <c r="I13" s="4">
        <f>'前瞻性调整D2-10-1（量化分析）'!I18</f>
        <v>0.185</v>
      </c>
      <c r="J13" s="4"/>
      <c r="K13" s="3"/>
    </row>
    <row r="14" spans="1:11" ht="19.5" customHeight="1" x14ac:dyDescent="0.25">
      <c r="A14" s="5" t="s">
        <v>450</v>
      </c>
      <c r="B14" s="4">
        <f>'前瞻性调整D2-10-1（量化分析）'!B19</f>
        <v>7.8E-2</v>
      </c>
      <c r="C14" s="4">
        <f>'前瞻性调整D2-10-1（量化分析）'!C19</f>
        <v>0.13339999999999999</v>
      </c>
      <c r="D14" s="4">
        <f>'前瞻性调整D2-10-1（量化分析）'!D19</f>
        <v>0.107</v>
      </c>
      <c r="E14" s="4">
        <f>'变量相关性分析D2-10-2'!H14</f>
        <v>6.8099999999999994E-2</v>
      </c>
      <c r="F14" s="4"/>
      <c r="G14" s="4"/>
      <c r="H14" s="4"/>
      <c r="I14" s="4">
        <f>'前瞻性调整D2-10-1（量化分析）'!I19</f>
        <v>0.16</v>
      </c>
      <c r="J14" s="4"/>
      <c r="K14" s="3"/>
    </row>
    <row r="15" spans="1:11" ht="19.5" customHeight="1" x14ac:dyDescent="0.25">
      <c r="A15" s="5" t="s">
        <v>449</v>
      </c>
      <c r="B15" s="4">
        <f>'前瞻性调整D2-10-1（量化分析）'!B20</f>
        <v>7.9000000000000001E-2</v>
      </c>
      <c r="C15" s="4">
        <f>'前瞻性调整D2-10-1（量化分析）'!C20</f>
        <v>0.1101</v>
      </c>
      <c r="D15" s="4">
        <f>'前瞻性调整D2-10-1（量化分析）'!D20</f>
        <v>0.1195</v>
      </c>
      <c r="E15" s="4">
        <f>'变量相关性分析D2-10-2'!H15</f>
        <v>0.1258</v>
      </c>
      <c r="F15" s="4"/>
      <c r="G15" s="4"/>
      <c r="H15" s="4"/>
      <c r="I15" s="4">
        <f>'前瞻性调整D2-10-1（量化分析）'!I20</f>
        <v>0.14000000000000001</v>
      </c>
      <c r="J15" s="4"/>
      <c r="K15" s="3"/>
    </row>
    <row r="16" spans="1:11" ht="19.5" customHeight="1" x14ac:dyDescent="0.25">
      <c r="A16" s="5" t="s">
        <v>448</v>
      </c>
      <c r="B16" s="4"/>
      <c r="C16" s="4"/>
      <c r="D16" s="4"/>
      <c r="E16" s="4"/>
      <c r="F16" s="4"/>
      <c r="G16" s="4"/>
      <c r="H16" s="4"/>
      <c r="I16" s="4"/>
      <c r="J16" s="4"/>
      <c r="K16" s="7"/>
    </row>
    <row r="17" spans="1:11" ht="24.75" customHeight="1" x14ac:dyDescent="0.25">
      <c r="A17" s="13" t="s">
        <v>447</v>
      </c>
      <c r="B17" s="28"/>
      <c r="C17" s="28"/>
      <c r="D17" s="28"/>
      <c r="E17" s="28"/>
      <c r="F17" s="28"/>
      <c r="G17" s="28"/>
      <c r="H17" s="28"/>
      <c r="I17" s="28"/>
      <c r="J17" s="28"/>
      <c r="K17" s="3"/>
    </row>
    <row r="18" spans="1:11" ht="19.5" customHeight="1" x14ac:dyDescent="0.25">
      <c r="A18" s="8" t="s">
        <v>446</v>
      </c>
      <c r="B18" s="9"/>
      <c r="C18" s="9"/>
      <c r="D18" s="9"/>
      <c r="E18" s="9"/>
      <c r="F18" s="9"/>
      <c r="G18" s="9"/>
      <c r="H18" s="9"/>
      <c r="I18" s="9"/>
      <c r="J18" s="9"/>
      <c r="K18" s="7"/>
    </row>
    <row r="19" spans="1:11" ht="29.25" customHeight="1" x14ac:dyDescent="0.25">
      <c r="A19" s="75"/>
      <c r="B19" s="81" t="str">
        <f>B9</f>
        <v>GDP增长率</v>
      </c>
      <c r="C19" s="81" t="str">
        <f>C9</f>
        <v>广义货币（M2）增长率</v>
      </c>
      <c r="D19" s="81" t="str">
        <f>D9</f>
        <v>社会消费品零售总额</v>
      </c>
      <c r="E19" s="81" t="str">
        <f>E9</f>
        <v>城镇固定资产投资</v>
      </c>
      <c r="F19" s="4"/>
      <c r="G19" s="80"/>
      <c r="H19" s="9"/>
      <c r="I19" s="9"/>
      <c r="J19" s="9"/>
      <c r="K19" s="7"/>
    </row>
    <row r="20" spans="1:11" s="72" customFormat="1" ht="32.25" customHeight="1" x14ac:dyDescent="0.15">
      <c r="A20" s="75" t="str">
        <f>B9</f>
        <v>GDP增长率</v>
      </c>
      <c r="B20" s="74">
        <f>CORREL($B$10:$B$15,B10:B15)</f>
        <v>1</v>
      </c>
      <c r="C20" s="74">
        <f>CORREL($B$10:$B$15,C10:C15)</f>
        <v>0.25396635343926249</v>
      </c>
      <c r="D20" s="76">
        <f>CORREL($B$10:$B$15,D10:D15)</f>
        <v>0.94757356440476437</v>
      </c>
      <c r="E20" s="76">
        <f>CORREL($B$10:$B$15,E10:E15)</f>
        <v>0.81592784403860497</v>
      </c>
      <c r="F20" s="78"/>
      <c r="G20" s="77"/>
    </row>
    <row r="21" spans="1:11" s="72" customFormat="1" ht="30" customHeight="1" x14ac:dyDescent="0.15">
      <c r="A21" s="75" t="str">
        <f>C9</f>
        <v>广义货币（M2）增长率</v>
      </c>
      <c r="B21" s="79"/>
      <c r="C21" s="74">
        <f>CORREL($C$10:$C$15,C10:C15)</f>
        <v>1</v>
      </c>
      <c r="D21" s="74">
        <f>CORREL($C$10:$C$15,D10:D15)</f>
        <v>0.12176129880864135</v>
      </c>
      <c r="E21" s="74">
        <f>CORREL($C$10:$C$15,E10:E15)</f>
        <v>0.44060359205050409</v>
      </c>
      <c r="F21" s="78"/>
      <c r="G21" s="77"/>
    </row>
    <row r="22" spans="1:11" s="72" customFormat="1" ht="31.5" customHeight="1" x14ac:dyDescent="0.15">
      <c r="A22" s="75" t="str">
        <f>D9</f>
        <v>社会消费品零售总额</v>
      </c>
      <c r="B22" s="74"/>
      <c r="C22" s="74"/>
      <c r="D22" s="74">
        <f>CORREL($D$10:$D$15,D10:D15)</f>
        <v>1</v>
      </c>
      <c r="E22" s="76">
        <f>CORREL($D$10:$D$15,E10:E15)</f>
        <v>0.85279464798070892</v>
      </c>
      <c r="F22" s="74"/>
      <c r="G22" s="73"/>
    </row>
    <row r="23" spans="1:11" s="72" customFormat="1" ht="29.25" customHeight="1" x14ac:dyDescent="0.15">
      <c r="A23" s="75" t="str">
        <f>E9</f>
        <v>城镇固定资产投资</v>
      </c>
      <c r="B23" s="74"/>
      <c r="C23" s="74"/>
      <c r="D23" s="74"/>
      <c r="E23" s="74">
        <f>CORREL($E$10:$E$15,E10:E15)</f>
        <v>1.0000000000000002</v>
      </c>
      <c r="F23" s="74"/>
      <c r="G23" s="73"/>
    </row>
    <row r="24" spans="1:11" s="72" customFormat="1" ht="19.5" customHeight="1" x14ac:dyDescent="0.15">
      <c r="A24" s="75"/>
      <c r="B24" s="74"/>
      <c r="C24" s="74"/>
      <c r="D24" s="74"/>
      <c r="E24" s="74"/>
      <c r="F24" s="74"/>
      <c r="G24" s="73"/>
    </row>
    <row r="25" spans="1:11" s="72" customFormat="1" ht="19.5" customHeight="1" x14ac:dyDescent="0.15">
      <c r="A25" s="75"/>
      <c r="B25" s="74"/>
      <c r="C25" s="74"/>
      <c r="D25" s="74"/>
      <c r="E25" s="74"/>
      <c r="F25" s="74"/>
      <c r="G25" s="73"/>
    </row>
    <row r="26" spans="1:11" s="72" customFormat="1" ht="19.5" customHeight="1" x14ac:dyDescent="0.15"/>
    <row r="27" spans="1:11" ht="19.5" customHeight="1" x14ac:dyDescent="0.25">
      <c r="A27" s="2"/>
      <c r="B27" s="2"/>
      <c r="C27" s="2"/>
      <c r="D27" s="2"/>
      <c r="E27" s="2"/>
      <c r="F27" s="2"/>
      <c r="G27" s="2"/>
      <c r="H27" s="2"/>
      <c r="I27" s="2"/>
      <c r="K27" s="3"/>
    </row>
    <row r="28" spans="1:11" ht="19.5" customHeight="1" x14ac:dyDescent="0.25">
      <c r="A28" s="254" t="s">
        <v>445</v>
      </c>
      <c r="B28" s="254"/>
      <c r="C28" s="254"/>
      <c r="D28" s="254"/>
      <c r="E28" s="254"/>
      <c r="F28" s="254"/>
      <c r="G28" s="254"/>
      <c r="H28" s="254"/>
      <c r="I28" s="254"/>
      <c r="J28" s="254"/>
    </row>
    <row r="29" spans="1:11" ht="55.5" customHeight="1" x14ac:dyDescent="0.25">
      <c r="A29" s="199" t="s">
        <v>444</v>
      </c>
      <c r="B29" s="253"/>
      <c r="C29" s="253"/>
      <c r="D29" s="253"/>
      <c r="E29" s="253"/>
      <c r="F29" s="253"/>
      <c r="G29" s="253"/>
      <c r="H29" s="253"/>
      <c r="I29" s="253"/>
      <c r="J29" s="253"/>
    </row>
    <row r="30" spans="1:11" ht="19.5" customHeight="1" x14ac:dyDescent="0.25">
      <c r="A30" s="254" t="s">
        <v>443</v>
      </c>
      <c r="B30" s="254"/>
      <c r="C30" s="254"/>
      <c r="D30" s="254"/>
      <c r="E30" s="254"/>
      <c r="F30" s="254"/>
      <c r="G30" s="254"/>
      <c r="H30" s="254"/>
      <c r="I30" s="254"/>
      <c r="J30" s="254"/>
    </row>
    <row r="31" spans="1:11" ht="66" customHeight="1" x14ac:dyDescent="0.25">
      <c r="A31" s="199"/>
      <c r="B31" s="253"/>
      <c r="C31" s="253"/>
      <c r="D31" s="253"/>
      <c r="E31" s="253"/>
      <c r="F31" s="253"/>
      <c r="G31" s="253"/>
      <c r="H31" s="253"/>
      <c r="I31" s="253"/>
      <c r="J31" s="253"/>
    </row>
    <row r="32" spans="1:11" ht="51.75" customHeight="1" x14ac:dyDescent="0.25">
      <c r="A32" s="2"/>
      <c r="B32" s="2"/>
      <c r="C32" s="2"/>
      <c r="D32" s="2"/>
      <c r="E32" s="2"/>
      <c r="F32" s="2"/>
      <c r="G32" s="2"/>
      <c r="H32" s="2"/>
      <c r="I32" s="2"/>
    </row>
    <row r="33" spans="1:9" ht="51.75" customHeight="1" x14ac:dyDescent="0.25">
      <c r="A33" s="2"/>
      <c r="B33" s="2"/>
      <c r="C33" s="2"/>
      <c r="D33" s="2"/>
      <c r="E33" s="2"/>
      <c r="F33" s="2"/>
      <c r="G33" s="2"/>
      <c r="H33" s="2"/>
      <c r="I33" s="2"/>
    </row>
    <row r="34" spans="1:9" ht="51.75" customHeight="1" x14ac:dyDescent="0.25">
      <c r="A34" s="2"/>
      <c r="B34" s="2"/>
      <c r="C34" s="2"/>
      <c r="D34" s="2"/>
      <c r="E34" s="2"/>
      <c r="F34" s="2"/>
      <c r="G34" s="2"/>
      <c r="H34" s="2"/>
      <c r="I34" s="2"/>
    </row>
    <row r="35" spans="1:9" ht="51.75" customHeight="1" x14ac:dyDescent="0.25">
      <c r="A35" s="2"/>
      <c r="B35" s="2"/>
      <c r="C35" s="2"/>
      <c r="D35" s="2"/>
      <c r="E35" s="2"/>
      <c r="F35" s="2"/>
      <c r="G35" s="2"/>
      <c r="H35" s="2"/>
      <c r="I35" s="2"/>
    </row>
    <row r="36" spans="1:9" ht="51.75" customHeight="1" x14ac:dyDescent="0.25">
      <c r="A36" s="2"/>
      <c r="B36" s="2"/>
      <c r="C36" s="2"/>
      <c r="D36" s="2"/>
      <c r="E36" s="2"/>
      <c r="F36" s="2"/>
      <c r="G36" s="2"/>
      <c r="H36" s="2"/>
      <c r="I36" s="2"/>
    </row>
    <row r="37" spans="1:9" ht="51.75" customHeight="1" x14ac:dyDescent="0.25">
      <c r="A37" s="2"/>
      <c r="B37" s="2"/>
      <c r="C37" s="2"/>
      <c r="D37" s="2"/>
      <c r="E37" s="2"/>
      <c r="F37" s="2"/>
      <c r="G37" s="2"/>
      <c r="H37" s="2"/>
      <c r="I37" s="2"/>
    </row>
    <row r="38" spans="1:9" x14ac:dyDescent="0.25">
      <c r="A38" s="2"/>
      <c r="B38" s="2"/>
      <c r="C38" s="2"/>
      <c r="D38" s="2"/>
      <c r="E38" s="2"/>
      <c r="F38" s="2"/>
      <c r="G38" s="2"/>
      <c r="H38" s="2"/>
      <c r="I38" s="2"/>
    </row>
    <row r="39" spans="1:9" x14ac:dyDescent="0.25">
      <c r="A39" s="2"/>
      <c r="B39" s="2"/>
      <c r="C39" s="2"/>
      <c r="D39" s="2"/>
      <c r="E39" s="2"/>
      <c r="F39" s="2"/>
      <c r="G39" s="2"/>
      <c r="H39" s="2"/>
      <c r="I39" s="2"/>
    </row>
  </sheetData>
  <dataConsolidate/>
  <mergeCells count="9">
    <mergeCell ref="A28:J28"/>
    <mergeCell ref="A29:J29"/>
    <mergeCell ref="A30:J30"/>
    <mergeCell ref="A31:J31"/>
    <mergeCell ref="A1:J1"/>
    <mergeCell ref="A2:J2"/>
    <mergeCell ref="A5:J5"/>
    <mergeCell ref="A6:J6"/>
    <mergeCell ref="A7:J7"/>
  </mergeCells>
  <phoneticPr fontId="3" type="noConversion"/>
  <printOptions horizontalCentered="1"/>
  <pageMargins left="0.74803149606299213" right="0.55118110236220474" top="0.82677165354330717" bottom="0.23622047244094491" header="0.51181102362204722" footer="0.19685039370078741"/>
  <pageSetup paperSize="9" scale="88" fitToHeight="10" orientation="portrait" blackAndWhite="1" cellComments="atEnd"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46"/>
  <sheetViews>
    <sheetView view="pageBreakPreview" zoomScaleSheetLayoutView="100" workbookViewId="0">
      <selection activeCell="K9" sqref="K9"/>
    </sheetView>
  </sheetViews>
  <sheetFormatPr defaultColWidth="9" defaultRowHeight="13.8" x14ac:dyDescent="0.25"/>
  <cols>
    <col min="1" max="1" width="12.77734375" style="87" customWidth="1"/>
    <col min="2" max="2" width="12.6640625" style="87" customWidth="1"/>
    <col min="3" max="4" width="18.44140625" style="87" customWidth="1"/>
    <col min="5" max="5" width="17.77734375" style="87" customWidth="1"/>
    <col min="6" max="6" width="23" style="87" customWidth="1"/>
    <col min="7" max="7" width="24.77734375" style="87" customWidth="1"/>
    <col min="8" max="8" width="19" style="87" customWidth="1"/>
    <col min="9" max="9" width="15.21875" style="87" customWidth="1"/>
    <col min="10" max="16384" width="9" style="87"/>
  </cols>
  <sheetData>
    <row r="1" spans="1:9" ht="20.100000000000001" customHeight="1" x14ac:dyDescent="0.25">
      <c r="A1" s="302" t="s">
        <v>574</v>
      </c>
      <c r="B1" s="303"/>
      <c r="C1" s="303"/>
      <c r="D1" s="303"/>
      <c r="E1" s="303"/>
      <c r="F1" s="303"/>
      <c r="G1" s="303"/>
      <c r="H1" s="303"/>
      <c r="I1" s="303"/>
    </row>
    <row r="2" spans="1:9" ht="25.2" customHeight="1" x14ac:dyDescent="0.25">
      <c r="A2" s="304" t="s">
        <v>573</v>
      </c>
      <c r="B2" s="304"/>
      <c r="C2" s="304"/>
      <c r="D2" s="304"/>
      <c r="E2" s="304"/>
      <c r="F2" s="304"/>
      <c r="G2" s="304"/>
      <c r="H2" s="304"/>
      <c r="I2" s="304"/>
    </row>
    <row r="3" spans="1:9" ht="17.25" customHeight="1" x14ac:dyDescent="0.25">
      <c r="A3" s="13" t="str">
        <f>[9]底稿目录!$A$2</f>
        <v>被审计单位名称：</v>
      </c>
      <c r="B3" s="13"/>
      <c r="C3" s="1"/>
      <c r="D3" s="13" t="str">
        <f>[9]底稿目录!$A$4</f>
        <v>编制人：</v>
      </c>
      <c r="E3" s="85"/>
      <c r="G3" s="13" t="str">
        <f>[9]底稿目录!$A$5</f>
        <v>编制日期：</v>
      </c>
      <c r="H3" s="109" t="s">
        <v>572</v>
      </c>
      <c r="I3" s="98" t="s">
        <v>571</v>
      </c>
    </row>
    <row r="4" spans="1:9" ht="17.25" customHeight="1" x14ac:dyDescent="0.25">
      <c r="A4" s="13" t="str">
        <f>[9]底稿目录!$A$3</f>
        <v>截止日：202X年12月31日</v>
      </c>
      <c r="B4" s="13"/>
      <c r="C4" s="1"/>
      <c r="D4" s="13" t="str">
        <f>[9]底稿目录!$A$6</f>
        <v>复核人：</v>
      </c>
      <c r="E4" s="85"/>
      <c r="G4" s="13" t="str">
        <f>[9]底稿目录!$A$7</f>
        <v>复核日期：</v>
      </c>
      <c r="H4" s="101" t="s">
        <v>570</v>
      </c>
      <c r="I4" s="95"/>
    </row>
    <row r="5" spans="1:9" s="90" customFormat="1" ht="19.5" customHeight="1" x14ac:dyDescent="0.25">
      <c r="A5" s="108" t="s">
        <v>569</v>
      </c>
      <c r="B5" s="100"/>
      <c r="C5" s="100"/>
      <c r="D5" s="101"/>
      <c r="E5" s="100"/>
      <c r="F5" s="99"/>
      <c r="G5" s="98"/>
      <c r="H5" s="98"/>
      <c r="I5" s="98"/>
    </row>
    <row r="6" spans="1:9" s="90" customFormat="1" ht="19.5" customHeight="1" x14ac:dyDescent="0.25">
      <c r="A6" s="104" t="s">
        <v>568</v>
      </c>
      <c r="C6" s="100"/>
      <c r="D6" s="101"/>
      <c r="E6" s="100"/>
      <c r="F6" s="99"/>
      <c r="G6" s="98"/>
      <c r="H6" s="98"/>
      <c r="I6" s="98"/>
    </row>
    <row r="7" spans="1:9" s="90" customFormat="1" ht="19.5" customHeight="1" x14ac:dyDescent="0.25">
      <c r="A7" s="107" t="s">
        <v>567</v>
      </c>
      <c r="B7" s="106"/>
      <c r="C7" s="100"/>
      <c r="D7" s="101"/>
      <c r="E7" s="100"/>
      <c r="F7" s="99"/>
      <c r="G7" s="98"/>
      <c r="H7" s="98"/>
      <c r="I7" s="98"/>
    </row>
    <row r="8" spans="1:9" s="90" customFormat="1" ht="19.5" customHeight="1" x14ac:dyDescent="0.25">
      <c r="A8" s="105" t="s">
        <v>566</v>
      </c>
      <c r="B8" s="100"/>
      <c r="F8" s="99"/>
      <c r="G8" s="98"/>
      <c r="H8" s="98"/>
      <c r="I8" s="98"/>
    </row>
    <row r="9" spans="1:9" s="90" customFormat="1" ht="19.5" customHeight="1" x14ac:dyDescent="0.25">
      <c r="A9" s="105"/>
      <c r="B9" s="100"/>
      <c r="D9" s="104"/>
      <c r="F9" s="99"/>
      <c r="G9" s="98"/>
      <c r="H9" s="98"/>
      <c r="I9" s="98"/>
    </row>
    <row r="10" spans="1:9" s="90" customFormat="1" ht="19.5" customHeight="1" x14ac:dyDescent="0.25">
      <c r="A10" s="103" t="s">
        <v>565</v>
      </c>
      <c r="B10" s="102"/>
      <c r="C10" s="100"/>
      <c r="D10" s="101"/>
      <c r="E10" s="100"/>
      <c r="F10" s="99"/>
      <c r="G10" s="98"/>
      <c r="H10" s="98"/>
      <c r="I10" s="98"/>
    </row>
    <row r="11" spans="1:9" s="90" customFormat="1" ht="19.5" customHeight="1" x14ac:dyDescent="0.25">
      <c r="A11" s="291" t="s">
        <v>564</v>
      </c>
      <c r="B11" s="305"/>
      <c r="C11" s="291" t="s">
        <v>490</v>
      </c>
      <c r="D11" s="306"/>
      <c r="E11" s="292"/>
      <c r="F11" s="311" t="s">
        <v>563</v>
      </c>
      <c r="G11" s="292"/>
      <c r="H11" s="291" t="s">
        <v>562</v>
      </c>
      <c r="I11" s="312"/>
    </row>
    <row r="12" spans="1:9" s="90" customFormat="1" ht="69" customHeight="1" x14ac:dyDescent="0.25">
      <c r="A12" s="293" t="s">
        <v>561</v>
      </c>
      <c r="B12" s="293" t="s">
        <v>560</v>
      </c>
      <c r="C12" s="275" t="s">
        <v>559</v>
      </c>
      <c r="D12" s="276"/>
      <c r="E12" s="277"/>
      <c r="F12" s="278" t="s">
        <v>558</v>
      </c>
      <c r="G12" s="279"/>
      <c r="H12" s="280" t="s">
        <v>557</v>
      </c>
      <c r="I12" s="281"/>
    </row>
    <row r="13" spans="1:9" s="90" customFormat="1" ht="129.75" customHeight="1" x14ac:dyDescent="0.25">
      <c r="A13" s="307"/>
      <c r="B13" s="294"/>
      <c r="C13" s="275" t="s">
        <v>556</v>
      </c>
      <c r="D13" s="276"/>
      <c r="E13" s="277"/>
      <c r="F13" s="278" t="s">
        <v>555</v>
      </c>
      <c r="G13" s="279"/>
      <c r="H13" s="309" t="s">
        <v>554</v>
      </c>
      <c r="I13" s="310"/>
    </row>
    <row r="14" spans="1:9" s="90" customFormat="1" ht="53.25" customHeight="1" x14ac:dyDescent="0.25">
      <c r="A14" s="307"/>
      <c r="B14" s="293" t="s">
        <v>553</v>
      </c>
      <c r="C14" s="275" t="s">
        <v>552</v>
      </c>
      <c r="D14" s="276"/>
      <c r="E14" s="277"/>
      <c r="F14" s="278" t="s">
        <v>551</v>
      </c>
      <c r="G14" s="279"/>
      <c r="H14" s="280" t="s">
        <v>550</v>
      </c>
      <c r="I14" s="281"/>
    </row>
    <row r="15" spans="1:9" s="90" customFormat="1" ht="93.75" customHeight="1" x14ac:dyDescent="0.25">
      <c r="A15" s="307"/>
      <c r="B15" s="294"/>
      <c r="C15" s="275" t="s">
        <v>549</v>
      </c>
      <c r="D15" s="276"/>
      <c r="E15" s="277"/>
      <c r="F15" s="278" t="s">
        <v>548</v>
      </c>
      <c r="G15" s="279"/>
      <c r="H15" s="280" t="s">
        <v>547</v>
      </c>
      <c r="I15" s="281"/>
    </row>
    <row r="16" spans="1:9" s="90" customFormat="1" ht="44.25" customHeight="1" x14ac:dyDescent="0.25">
      <c r="A16" s="307"/>
      <c r="B16" s="293" t="s">
        <v>546</v>
      </c>
      <c r="C16" s="282" t="s">
        <v>545</v>
      </c>
      <c r="D16" s="283"/>
      <c r="E16" s="284"/>
      <c r="F16" s="278" t="s">
        <v>544</v>
      </c>
      <c r="G16" s="279"/>
      <c r="H16" s="280" t="s">
        <v>543</v>
      </c>
      <c r="I16" s="281"/>
    </row>
    <row r="17" spans="1:9" s="90" customFormat="1" ht="68.25" customHeight="1" x14ac:dyDescent="0.25">
      <c r="A17" s="308"/>
      <c r="B17" s="294"/>
      <c r="C17" s="313"/>
      <c r="D17" s="314"/>
      <c r="E17" s="315"/>
      <c r="F17" s="278" t="s">
        <v>542</v>
      </c>
      <c r="G17" s="279"/>
      <c r="H17" s="280" t="s">
        <v>541</v>
      </c>
      <c r="I17" s="281"/>
    </row>
    <row r="18" spans="1:9" s="90" customFormat="1" ht="91.5" customHeight="1" x14ac:dyDescent="0.25">
      <c r="A18" s="291" t="s">
        <v>540</v>
      </c>
      <c r="B18" s="292"/>
      <c r="C18" s="275" t="s">
        <v>539</v>
      </c>
      <c r="D18" s="276"/>
      <c r="E18" s="277"/>
      <c r="F18" s="278" t="s">
        <v>538</v>
      </c>
      <c r="G18" s="279"/>
      <c r="H18" s="280" t="s">
        <v>537</v>
      </c>
      <c r="I18" s="281"/>
    </row>
    <row r="19" spans="1:9" s="90" customFormat="1" ht="143.25" customHeight="1" x14ac:dyDescent="0.25">
      <c r="A19" s="293" t="s">
        <v>536</v>
      </c>
      <c r="B19" s="194" t="s">
        <v>535</v>
      </c>
      <c r="C19" s="275" t="s">
        <v>534</v>
      </c>
      <c r="D19" s="276"/>
      <c r="E19" s="277"/>
      <c r="F19" s="278" t="s">
        <v>533</v>
      </c>
      <c r="G19" s="279"/>
      <c r="H19" s="280" t="s">
        <v>532</v>
      </c>
      <c r="I19" s="281"/>
    </row>
    <row r="20" spans="1:9" s="90" customFormat="1" ht="124.5" customHeight="1" x14ac:dyDescent="0.25">
      <c r="A20" s="294"/>
      <c r="B20" s="194" t="s">
        <v>531</v>
      </c>
      <c r="C20" s="275" t="s">
        <v>530</v>
      </c>
      <c r="D20" s="276"/>
      <c r="E20" s="277"/>
      <c r="F20" s="278" t="s">
        <v>529</v>
      </c>
      <c r="G20" s="279"/>
      <c r="H20" s="280" t="s">
        <v>528</v>
      </c>
      <c r="I20" s="281"/>
    </row>
    <row r="21" spans="1:9" s="90" customFormat="1" ht="87" customHeight="1" x14ac:dyDescent="0.25">
      <c r="A21" s="291" t="s">
        <v>527</v>
      </c>
      <c r="B21" s="292"/>
      <c r="C21" s="275" t="s">
        <v>526</v>
      </c>
      <c r="D21" s="276"/>
      <c r="E21" s="277"/>
      <c r="F21" s="278" t="s">
        <v>525</v>
      </c>
      <c r="G21" s="279"/>
      <c r="H21" s="280" t="s">
        <v>524</v>
      </c>
      <c r="I21" s="281"/>
    </row>
    <row r="22" spans="1:9" s="90" customFormat="1" ht="72.75" customHeight="1" x14ac:dyDescent="0.25">
      <c r="A22" s="293" t="s">
        <v>519</v>
      </c>
      <c r="B22" s="194" t="s">
        <v>523</v>
      </c>
      <c r="C22" s="275" t="s">
        <v>522</v>
      </c>
      <c r="D22" s="276"/>
      <c r="E22" s="277"/>
      <c r="F22" s="278" t="s">
        <v>521</v>
      </c>
      <c r="G22" s="279"/>
      <c r="H22" s="280" t="s">
        <v>520</v>
      </c>
      <c r="I22" s="281"/>
    </row>
    <row r="23" spans="1:9" s="90" customFormat="1" ht="80.25" customHeight="1" x14ac:dyDescent="0.25">
      <c r="A23" s="294"/>
      <c r="B23" s="194" t="s">
        <v>519</v>
      </c>
      <c r="C23" s="275" t="s">
        <v>518</v>
      </c>
      <c r="D23" s="276"/>
      <c r="E23" s="277"/>
      <c r="F23" s="278" t="s">
        <v>517</v>
      </c>
      <c r="G23" s="279"/>
      <c r="H23" s="280" t="s">
        <v>516</v>
      </c>
      <c r="I23" s="281"/>
    </row>
    <row r="24" spans="1:9" s="90" customFormat="1" ht="57" customHeight="1" x14ac:dyDescent="0.25">
      <c r="A24" s="291" t="s">
        <v>515</v>
      </c>
      <c r="B24" s="292"/>
      <c r="C24" s="275" t="s">
        <v>514</v>
      </c>
      <c r="D24" s="276"/>
      <c r="E24" s="277"/>
      <c r="F24" s="278" t="s">
        <v>513</v>
      </c>
      <c r="G24" s="279"/>
      <c r="H24" s="280" t="s">
        <v>512</v>
      </c>
      <c r="I24" s="281"/>
    </row>
    <row r="25" spans="1:9" s="90" customFormat="1" ht="135" customHeight="1" x14ac:dyDescent="0.25">
      <c r="A25" s="316" t="s">
        <v>511</v>
      </c>
      <c r="B25" s="317"/>
      <c r="C25" s="275" t="s">
        <v>510</v>
      </c>
      <c r="D25" s="276"/>
      <c r="E25" s="277"/>
      <c r="F25" s="278" t="s">
        <v>509</v>
      </c>
      <c r="G25" s="279"/>
      <c r="H25" s="280" t="s">
        <v>508</v>
      </c>
      <c r="I25" s="281"/>
    </row>
    <row r="26" spans="1:9" s="90" customFormat="1" ht="83.25" customHeight="1" x14ac:dyDescent="0.25">
      <c r="A26" s="318"/>
      <c r="B26" s="319"/>
      <c r="C26" s="282" t="s">
        <v>507</v>
      </c>
      <c r="D26" s="283"/>
      <c r="E26" s="284"/>
      <c r="F26" s="278" t="s">
        <v>506</v>
      </c>
      <c r="G26" s="279"/>
      <c r="H26" s="295" t="s">
        <v>505</v>
      </c>
      <c r="I26" s="296"/>
    </row>
    <row r="27" spans="1:9" s="90" customFormat="1" ht="90.75" customHeight="1" x14ac:dyDescent="0.25">
      <c r="A27" s="318"/>
      <c r="B27" s="319"/>
      <c r="C27" s="285"/>
      <c r="D27" s="286"/>
      <c r="E27" s="287"/>
      <c r="F27" s="278" t="s">
        <v>504</v>
      </c>
      <c r="G27" s="279"/>
      <c r="H27" s="297"/>
      <c r="I27" s="298"/>
    </row>
    <row r="28" spans="1:9" s="90" customFormat="1" ht="63.75" customHeight="1" x14ac:dyDescent="0.25">
      <c r="A28" s="291" t="s">
        <v>503</v>
      </c>
      <c r="B28" s="292"/>
      <c r="C28" s="275" t="s">
        <v>502</v>
      </c>
      <c r="D28" s="276"/>
      <c r="E28" s="277"/>
      <c r="F28" s="278" t="s">
        <v>501</v>
      </c>
      <c r="G28" s="279"/>
      <c r="H28" s="280" t="s">
        <v>500</v>
      </c>
      <c r="I28" s="281"/>
    </row>
    <row r="29" spans="1:9" s="90" customFormat="1" ht="35.25" customHeight="1" x14ac:dyDescent="0.25">
      <c r="A29" s="291" t="s">
        <v>499</v>
      </c>
      <c r="B29" s="292"/>
      <c r="C29" s="275" t="s">
        <v>498</v>
      </c>
      <c r="D29" s="276"/>
      <c r="E29" s="277"/>
      <c r="F29" s="321" t="s">
        <v>497</v>
      </c>
      <c r="G29" s="279"/>
      <c r="H29" s="322" t="s">
        <v>496</v>
      </c>
      <c r="I29" s="323"/>
    </row>
    <row r="30" spans="1:9" s="90" customFormat="1" ht="19.5" customHeight="1" x14ac:dyDescent="0.25">
      <c r="A30" s="96" t="s">
        <v>495</v>
      </c>
      <c r="B30" s="98"/>
      <c r="C30" s="98"/>
      <c r="D30" s="98"/>
      <c r="E30" s="98"/>
      <c r="F30" s="98"/>
      <c r="G30" s="98"/>
      <c r="H30" s="98"/>
      <c r="I30" s="98"/>
    </row>
    <row r="31" spans="1:9" ht="19.5" customHeight="1" x14ac:dyDescent="0.25">
      <c r="A31" s="97"/>
      <c r="B31" s="95"/>
      <c r="C31" s="95"/>
      <c r="D31" s="95"/>
      <c r="E31" s="95"/>
      <c r="F31" s="95"/>
      <c r="G31" s="95"/>
      <c r="H31" s="95"/>
      <c r="I31" s="95"/>
    </row>
    <row r="32" spans="1:9" ht="19.5" customHeight="1" x14ac:dyDescent="0.25">
      <c r="A32" s="97"/>
      <c r="B32" s="95"/>
      <c r="C32" s="95"/>
      <c r="D32" s="95"/>
      <c r="E32" s="95"/>
      <c r="F32" s="95"/>
      <c r="G32" s="95"/>
      <c r="H32" s="95"/>
      <c r="I32" s="95"/>
    </row>
    <row r="33" spans="1:9" ht="19.5" customHeight="1" x14ac:dyDescent="0.25">
      <c r="A33" s="96" t="s">
        <v>494</v>
      </c>
      <c r="B33" s="95"/>
      <c r="C33" s="95"/>
      <c r="D33" s="95"/>
      <c r="E33" s="95"/>
      <c r="F33" s="95"/>
      <c r="G33" s="95"/>
      <c r="H33" s="95"/>
      <c r="I33" s="95"/>
    </row>
    <row r="34" spans="1:9" ht="19.5" customHeight="1" x14ac:dyDescent="0.25">
      <c r="A34" s="95"/>
      <c r="B34" s="95"/>
      <c r="C34" s="95"/>
      <c r="D34" s="95"/>
      <c r="E34" s="95"/>
      <c r="F34" s="95"/>
      <c r="G34" s="95"/>
      <c r="H34" s="95"/>
      <c r="I34" s="95"/>
    </row>
    <row r="35" spans="1:9" x14ac:dyDescent="0.25">
      <c r="A35" s="94" t="s">
        <v>493</v>
      </c>
      <c r="B35" s="88"/>
      <c r="C35" s="88"/>
      <c r="D35" s="88"/>
      <c r="E35" s="88"/>
      <c r="F35" s="88"/>
      <c r="G35" s="88"/>
      <c r="H35" s="88"/>
    </row>
    <row r="36" spans="1:9" s="90" customFormat="1" ht="19.5" customHeight="1" x14ac:dyDescent="0.25">
      <c r="A36" s="93" t="s">
        <v>492</v>
      </c>
      <c r="B36" s="288" t="s">
        <v>491</v>
      </c>
      <c r="C36" s="289"/>
      <c r="D36" s="290"/>
      <c r="E36" s="288" t="s">
        <v>490</v>
      </c>
      <c r="F36" s="290"/>
      <c r="G36" s="88"/>
      <c r="H36" s="88"/>
      <c r="I36" s="87"/>
    </row>
    <row r="37" spans="1:9" s="90" customFormat="1" ht="58.5" customHeight="1" x14ac:dyDescent="0.25">
      <c r="A37" s="91" t="s">
        <v>489</v>
      </c>
      <c r="B37" s="299" t="s">
        <v>488</v>
      </c>
      <c r="C37" s="300"/>
      <c r="D37" s="301"/>
      <c r="E37" s="299" t="s">
        <v>487</v>
      </c>
      <c r="F37" s="301"/>
      <c r="G37" s="88"/>
      <c r="H37" s="88"/>
      <c r="I37" s="87"/>
    </row>
    <row r="38" spans="1:9" s="90" customFormat="1" ht="57" customHeight="1" x14ac:dyDescent="0.25">
      <c r="A38" s="91" t="s">
        <v>486</v>
      </c>
      <c r="B38" s="299" t="s">
        <v>485</v>
      </c>
      <c r="C38" s="300"/>
      <c r="D38" s="301"/>
      <c r="E38" s="299" t="s">
        <v>484</v>
      </c>
      <c r="F38" s="301"/>
      <c r="G38" s="273" t="s">
        <v>483</v>
      </c>
      <c r="H38" s="274"/>
      <c r="I38" s="87"/>
    </row>
    <row r="39" spans="1:9" s="90" customFormat="1" ht="54" customHeight="1" x14ac:dyDescent="0.25">
      <c r="A39" s="91" t="s">
        <v>482</v>
      </c>
      <c r="B39" s="299" t="s">
        <v>481</v>
      </c>
      <c r="C39" s="300"/>
      <c r="D39" s="301"/>
      <c r="E39" s="299" t="s">
        <v>480</v>
      </c>
      <c r="F39" s="301"/>
      <c r="G39" s="88"/>
      <c r="H39" s="88"/>
      <c r="I39" s="87"/>
    </row>
    <row r="40" spans="1:9" s="90" customFormat="1" ht="51" customHeight="1" x14ac:dyDescent="0.25">
      <c r="A40" s="91" t="s">
        <v>479</v>
      </c>
      <c r="B40" s="299" t="s">
        <v>478</v>
      </c>
      <c r="C40" s="300"/>
      <c r="D40" s="301"/>
      <c r="E40" s="299" t="s">
        <v>477</v>
      </c>
      <c r="F40" s="301"/>
      <c r="G40" s="88"/>
      <c r="H40" s="88"/>
      <c r="I40" s="87"/>
    </row>
    <row r="41" spans="1:9" s="90" customFormat="1" ht="51.75" customHeight="1" x14ac:dyDescent="0.25">
      <c r="A41" s="91" t="s">
        <v>476</v>
      </c>
      <c r="B41" s="299" t="s">
        <v>475</v>
      </c>
      <c r="C41" s="300"/>
      <c r="D41" s="301"/>
      <c r="E41" s="299" t="s">
        <v>474</v>
      </c>
      <c r="F41" s="301"/>
      <c r="G41" s="88"/>
      <c r="H41" s="88"/>
      <c r="I41" s="87"/>
    </row>
    <row r="42" spans="1:9" s="90" customFormat="1" ht="54" customHeight="1" x14ac:dyDescent="0.25">
      <c r="A42" s="91" t="s">
        <v>473</v>
      </c>
      <c r="B42" s="299" t="s">
        <v>472</v>
      </c>
      <c r="C42" s="300"/>
      <c r="D42" s="301"/>
      <c r="E42" s="299" t="s">
        <v>471</v>
      </c>
      <c r="F42" s="301"/>
      <c r="G42" s="299" t="s">
        <v>470</v>
      </c>
      <c r="H42" s="301"/>
      <c r="I42" s="87"/>
    </row>
    <row r="43" spans="1:9" s="90" customFormat="1" ht="61.5" customHeight="1" x14ac:dyDescent="0.25">
      <c r="A43" s="92" t="s">
        <v>469</v>
      </c>
      <c r="B43" s="273" t="s">
        <v>468</v>
      </c>
      <c r="C43" s="324"/>
      <c r="D43" s="320"/>
      <c r="E43" s="273" t="s">
        <v>467</v>
      </c>
      <c r="F43" s="320"/>
      <c r="G43" s="273" t="s">
        <v>466</v>
      </c>
      <c r="H43" s="274"/>
      <c r="I43" s="87"/>
    </row>
    <row r="44" spans="1:9" s="90" customFormat="1" ht="45" customHeight="1" x14ac:dyDescent="0.25">
      <c r="A44" s="91" t="s">
        <v>465</v>
      </c>
      <c r="B44" s="299" t="s">
        <v>464</v>
      </c>
      <c r="C44" s="300"/>
      <c r="D44" s="301"/>
      <c r="E44" s="299" t="s">
        <v>463</v>
      </c>
      <c r="F44" s="301"/>
      <c r="G44" s="88"/>
      <c r="H44" s="88"/>
      <c r="I44" s="87"/>
    </row>
    <row r="45" spans="1:9" s="90" customFormat="1" ht="67.5" customHeight="1" x14ac:dyDescent="0.25">
      <c r="A45" s="91" t="s">
        <v>462</v>
      </c>
      <c r="B45" s="299" t="s">
        <v>461</v>
      </c>
      <c r="C45" s="300"/>
      <c r="D45" s="301"/>
      <c r="E45" s="299"/>
      <c r="F45" s="301"/>
      <c r="G45" s="88"/>
      <c r="H45" s="88"/>
      <c r="I45" s="87"/>
    </row>
    <row r="46" spans="1:9" x14ac:dyDescent="0.25">
      <c r="A46" s="89" t="s">
        <v>460</v>
      </c>
      <c r="B46" s="88"/>
      <c r="C46" s="88"/>
      <c r="D46" s="88"/>
      <c r="E46" s="88"/>
      <c r="F46" s="88"/>
      <c r="G46" s="88"/>
      <c r="H46" s="88"/>
    </row>
  </sheetData>
  <mergeCells count="92">
    <mergeCell ref="E44:F44"/>
    <mergeCell ref="E45:F45"/>
    <mergeCell ref="B41:D41"/>
    <mergeCell ref="B42:D42"/>
    <mergeCell ref="B43:D43"/>
    <mergeCell ref="B44:D44"/>
    <mergeCell ref="B45:D45"/>
    <mergeCell ref="E42:F42"/>
    <mergeCell ref="A19:A20"/>
    <mergeCell ref="H25:I25"/>
    <mergeCell ref="A25:B27"/>
    <mergeCell ref="E43:F43"/>
    <mergeCell ref="F26:G26"/>
    <mergeCell ref="F19:G19"/>
    <mergeCell ref="H19:I19"/>
    <mergeCell ref="C24:E24"/>
    <mergeCell ref="F24:G24"/>
    <mergeCell ref="H24:I24"/>
    <mergeCell ref="H28:I28"/>
    <mergeCell ref="F29:G29"/>
    <mergeCell ref="H29:I29"/>
    <mergeCell ref="G42:H42"/>
    <mergeCell ref="G38:H38"/>
    <mergeCell ref="E36:F36"/>
    <mergeCell ref="C16:E17"/>
    <mergeCell ref="A18:B18"/>
    <mergeCell ref="B14:B15"/>
    <mergeCell ref="F16:G16"/>
    <mergeCell ref="H16:I16"/>
    <mergeCell ref="B16:B17"/>
    <mergeCell ref="C14:E14"/>
    <mergeCell ref="F14:G14"/>
    <mergeCell ref="H14:I14"/>
    <mergeCell ref="H17:I17"/>
    <mergeCell ref="F18:G18"/>
    <mergeCell ref="H18:I18"/>
    <mergeCell ref="C18:E18"/>
    <mergeCell ref="E41:F41"/>
    <mergeCell ref="A1:I1"/>
    <mergeCell ref="A2:I2"/>
    <mergeCell ref="A11:B11"/>
    <mergeCell ref="C11:E11"/>
    <mergeCell ref="C12:E12"/>
    <mergeCell ref="A12:A17"/>
    <mergeCell ref="B12:B13"/>
    <mergeCell ref="C13:E13"/>
    <mergeCell ref="F13:G13"/>
    <mergeCell ref="H13:I13"/>
    <mergeCell ref="F11:G11"/>
    <mergeCell ref="F12:G12"/>
    <mergeCell ref="F17:G17"/>
    <mergeCell ref="H11:I11"/>
    <mergeCell ref="H12:I12"/>
    <mergeCell ref="B39:D39"/>
    <mergeCell ref="B40:D40"/>
    <mergeCell ref="E37:F37"/>
    <mergeCell ref="E38:F38"/>
    <mergeCell ref="E39:F39"/>
    <mergeCell ref="E40:F40"/>
    <mergeCell ref="F21:G21"/>
    <mergeCell ref="H21:I21"/>
    <mergeCell ref="C29:E29"/>
    <mergeCell ref="B37:D37"/>
    <mergeCell ref="B38:D38"/>
    <mergeCell ref="A22:A23"/>
    <mergeCell ref="A24:B24"/>
    <mergeCell ref="H26:I27"/>
    <mergeCell ref="A28:B28"/>
    <mergeCell ref="C28:E28"/>
    <mergeCell ref="C22:E22"/>
    <mergeCell ref="F22:G22"/>
    <mergeCell ref="H22:I22"/>
    <mergeCell ref="C23:E23"/>
    <mergeCell ref="F23:G23"/>
    <mergeCell ref="F25:G25"/>
    <mergeCell ref="C25:E25"/>
    <mergeCell ref="G43:H43"/>
    <mergeCell ref="C15:E15"/>
    <mergeCell ref="F15:G15"/>
    <mergeCell ref="H15:I15"/>
    <mergeCell ref="H23:I23"/>
    <mergeCell ref="F27:G27"/>
    <mergeCell ref="C20:E20"/>
    <mergeCell ref="F20:G20"/>
    <mergeCell ref="H20:I20"/>
    <mergeCell ref="C19:E19"/>
    <mergeCell ref="C26:E27"/>
    <mergeCell ref="F28:G28"/>
    <mergeCell ref="B36:D36"/>
    <mergeCell ref="A29:B29"/>
    <mergeCell ref="C21:E21"/>
    <mergeCell ref="A21:B21"/>
  </mergeCells>
  <phoneticPr fontId="3" type="noConversion"/>
  <pageMargins left="0.70866141732283472" right="0.70866141732283472" top="0.74803149606299213" bottom="0.74803149606299213" header="0.31496062992125984" footer="0.31496062992125984"/>
  <pageSetup paperSize="9" scale="50" fitToHeight="0" orientation="portrait" blackAndWhite="1" r:id="rId1"/>
  <headerFooter alignWithMargins="0">
    <oddFooter>&amp;C&amp;P&amp;N</oddFooter>
  </headerFooter>
  <colBreaks count="1" manualBreakCount="1">
    <brk id="9" max="3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7</vt:i4>
      </vt:variant>
    </vt:vector>
  </HeadingPairs>
  <TitlesOfParts>
    <vt:vector size="14" baseType="lpstr">
      <vt:lpstr>预期信用损失的计量测试D2-10</vt:lpstr>
      <vt:lpstr>预期信用损失的计量测试D2-10 </vt:lpstr>
      <vt:lpstr>前瞻性调整D2-10-1（打分卡)</vt:lpstr>
      <vt:lpstr>前瞻性调整D2-10-1（量化分析）</vt:lpstr>
      <vt:lpstr>变量相关性分析D2-10-2</vt:lpstr>
      <vt:lpstr>多重共线性分析D2-10-2</vt:lpstr>
      <vt:lpstr>应收账款保理合同检查（示例）</vt:lpstr>
      <vt:lpstr>'变量相关性分析D2-10-2'!Print_Area</vt:lpstr>
      <vt:lpstr>'多重共线性分析D2-10-2'!Print_Area</vt:lpstr>
      <vt:lpstr>'前瞻性调整D2-10-1（打分卡)'!Print_Area</vt:lpstr>
      <vt:lpstr>'前瞻性调整D2-10-1（量化分析）'!Print_Area</vt:lpstr>
      <vt:lpstr>'应收账款保理合同检查（示例）'!Print_Area</vt:lpstr>
      <vt:lpstr>'预期信用损失的计量测试D2-10'!Print_Area</vt:lpstr>
      <vt:lpstr>'预期信用损失的计量测试D2-10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dcterms:created xsi:type="dcterms:W3CDTF">2025-08-21T08:12:14Z</dcterms:created>
  <dcterms:modified xsi:type="dcterms:W3CDTF">2025-10-30T03:38:14Z</dcterms:modified>
</cp:coreProperties>
</file>