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D2应收账款\"/>
    </mc:Choice>
  </mc:AlternateContent>
  <bookViews>
    <workbookView xWindow="0" yWindow="0" windowWidth="22188" windowHeight="8736" tabRatio="770" firstSheet="2" activeTab="2"/>
  </bookViews>
  <sheets>
    <sheet name="附注披露信息(上市公司）D2-1" sheetId="41" state="hidden" r:id="rId1"/>
    <sheet name="附注披露信息（国企）D2-1" sheetId="40" state="hidden" r:id="rId2"/>
    <sheet name="应收账款分析表D2-5" sheetId="71" r:id="rId3"/>
    <sheet name="GT_Custom" sheetId="43" state="hidden" r:id="rId4"/>
  </sheets>
  <externalReferences>
    <externalReference r:id="rId5"/>
    <externalReference r:id="rId6"/>
    <externalReference r:id="rId7"/>
    <externalReference r:id="rId8"/>
  </externalReferences>
  <definedNames>
    <definedName name="AFV" hidden="1">#REF!</definedName>
    <definedName name="AS2DocOpenMode" hidden="1">"AS2DocumentEdit"</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_xlnm.Print_Area" localSheetId="1">'附注披露信息（国企）D2-1'!$A$1:$G$102</definedName>
    <definedName name="_xlnm.Print_Area" localSheetId="0">'附注披露信息(上市公司）D2-1'!$A$1:$F$134</definedName>
    <definedName name="_xlnm.Print_Area" localSheetId="2">'应收账款分析表D2-5'!$A$1:$H$54</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71" l="1"/>
  <c r="F48" i="71"/>
  <c r="E48" i="71"/>
  <c r="D48" i="71"/>
  <c r="C48" i="71"/>
  <c r="B48" i="71"/>
  <c r="G47" i="71"/>
  <c r="F47" i="71"/>
  <c r="E47" i="71"/>
  <c r="C47" i="71"/>
  <c r="G46" i="71"/>
  <c r="F46" i="71"/>
  <c r="E46" i="71"/>
  <c r="C46" i="71"/>
  <c r="G45" i="71"/>
  <c r="F45" i="71"/>
  <c r="E45" i="71"/>
  <c r="C45" i="71"/>
  <c r="G44" i="71"/>
  <c r="F44" i="71"/>
  <c r="E44" i="71"/>
  <c r="C44" i="71"/>
  <c r="G43" i="71"/>
  <c r="F43" i="71"/>
  <c r="E43" i="71"/>
  <c r="C43" i="71"/>
  <c r="G42" i="71"/>
  <c r="F42" i="71"/>
  <c r="E42" i="71"/>
  <c r="C42" i="71"/>
  <c r="H39" i="71"/>
  <c r="D39" i="71"/>
  <c r="E39" i="71" s="1"/>
  <c r="C39" i="71"/>
  <c r="B39" i="71"/>
  <c r="E38" i="71"/>
  <c r="D38" i="71"/>
  <c r="E37" i="71"/>
  <c r="D37" i="71"/>
  <c r="E36" i="71"/>
  <c r="D36" i="71"/>
  <c r="E35" i="71"/>
  <c r="D35" i="71"/>
  <c r="E34" i="71"/>
  <c r="D34" i="71"/>
  <c r="E33" i="71"/>
  <c r="D33" i="71"/>
  <c r="E32" i="71"/>
  <c r="D32" i="71"/>
  <c r="E31" i="71"/>
  <c r="D31" i="71"/>
  <c r="E30" i="71"/>
  <c r="D30" i="71"/>
  <c r="D29" i="71"/>
  <c r="E29" i="71" s="1"/>
  <c r="B18" i="71"/>
  <c r="B16" i="71"/>
  <c r="E4" i="71"/>
  <c r="C4" i="71"/>
  <c r="A4" i="71"/>
  <c r="E3" i="71"/>
  <c r="C3" i="71"/>
  <c r="A3" i="71"/>
  <c r="B101" i="40"/>
  <c r="B98" i="40"/>
  <c r="C93" i="40"/>
  <c r="B93" i="40"/>
  <c r="C91" i="40"/>
  <c r="B91" i="40"/>
  <c r="A91" i="40"/>
  <c r="C90" i="40"/>
  <c r="B90" i="40"/>
  <c r="A90" i="40"/>
  <c r="C87" i="40"/>
  <c r="E86" i="40"/>
  <c r="D86" i="40"/>
  <c r="C86" i="40"/>
  <c r="B86" i="40"/>
  <c r="A86" i="40"/>
  <c r="E85" i="40"/>
  <c r="D85" i="40"/>
  <c r="C85" i="40"/>
  <c r="B85" i="40"/>
  <c r="A85" i="40"/>
  <c r="E84" i="40"/>
  <c r="D84" i="40"/>
  <c r="C84" i="40"/>
  <c r="B84" i="40"/>
  <c r="A84" i="40"/>
  <c r="E80" i="40"/>
  <c r="D80" i="40"/>
  <c r="E79" i="40"/>
  <c r="D79" i="40"/>
  <c r="C79" i="40"/>
  <c r="B79" i="40"/>
  <c r="A79" i="40"/>
  <c r="E78" i="40"/>
  <c r="D78" i="40"/>
  <c r="C78" i="40"/>
  <c r="B78" i="40"/>
  <c r="A78" i="40"/>
  <c r="E77" i="40"/>
  <c r="D77" i="40"/>
  <c r="C77" i="40"/>
  <c r="B77" i="40"/>
  <c r="A77" i="40"/>
  <c r="C74" i="40"/>
  <c r="B74" i="40"/>
  <c r="E73" i="40"/>
  <c r="E72" i="40"/>
  <c r="E71" i="40"/>
  <c r="E70" i="40"/>
  <c r="E69" i="40"/>
  <c r="G65" i="40"/>
  <c r="F65" i="40"/>
  <c r="E65" i="40"/>
  <c r="D65" i="40"/>
  <c r="C65" i="40"/>
  <c r="B65" i="40"/>
  <c r="F64" i="40"/>
  <c r="C64" i="40"/>
  <c r="F63" i="40"/>
  <c r="C63" i="40"/>
  <c r="F62" i="40"/>
  <c r="C62" i="40"/>
  <c r="G57" i="40"/>
  <c r="F57" i="40"/>
  <c r="E57" i="40"/>
  <c r="D57" i="40"/>
  <c r="C57" i="40"/>
  <c r="B57" i="40"/>
  <c r="F56" i="40"/>
  <c r="C56" i="40"/>
  <c r="F55" i="40"/>
  <c r="C55" i="40"/>
  <c r="F54" i="40"/>
  <c r="C54" i="40"/>
  <c r="G49" i="40"/>
  <c r="F49" i="40"/>
  <c r="E49" i="40"/>
  <c r="D49" i="40"/>
  <c r="C49" i="40"/>
  <c r="B49" i="40"/>
  <c r="F48" i="40"/>
  <c r="C48" i="40"/>
  <c r="F47" i="40"/>
  <c r="C47" i="40"/>
  <c r="F46" i="40"/>
  <c r="C46" i="40"/>
  <c r="G41" i="40"/>
  <c r="F41" i="40"/>
  <c r="E41" i="40"/>
  <c r="D41" i="40"/>
  <c r="C41" i="40"/>
  <c r="B41" i="40"/>
  <c r="F40" i="40"/>
  <c r="D40" i="40"/>
  <c r="C40" i="40"/>
  <c r="B40" i="40"/>
  <c r="A40" i="40"/>
  <c r="F39" i="40"/>
  <c r="D39" i="40"/>
  <c r="C39" i="40"/>
  <c r="B39" i="40"/>
  <c r="A39" i="40"/>
  <c r="F38" i="40"/>
  <c r="D38" i="40"/>
  <c r="C38" i="40"/>
  <c r="B38" i="40"/>
  <c r="A38" i="40"/>
  <c r="F37" i="40"/>
  <c r="D37" i="40"/>
  <c r="C37" i="40"/>
  <c r="B37" i="40"/>
  <c r="A37" i="40"/>
  <c r="F36" i="40"/>
  <c r="D36" i="40"/>
  <c r="C36" i="40"/>
  <c r="B36" i="40"/>
  <c r="A36" i="40"/>
  <c r="F35" i="40"/>
  <c r="D35" i="40"/>
  <c r="C35" i="40"/>
  <c r="B35" i="40"/>
  <c r="A35" i="40"/>
  <c r="E28" i="40"/>
  <c r="D28" i="40"/>
  <c r="C28" i="40"/>
  <c r="B28" i="40"/>
  <c r="E27" i="40"/>
  <c r="D27" i="40"/>
  <c r="C27" i="40"/>
  <c r="B27" i="40"/>
  <c r="E26" i="40"/>
  <c r="C26" i="40"/>
  <c r="E25" i="40"/>
  <c r="C25" i="40"/>
  <c r="E24" i="40"/>
  <c r="C24" i="40"/>
  <c r="E23" i="40"/>
  <c r="C23" i="40"/>
  <c r="E21" i="40"/>
  <c r="C21" i="40"/>
  <c r="E17" i="40"/>
  <c r="D17" i="40"/>
  <c r="C17" i="40"/>
  <c r="B17" i="40"/>
  <c r="E16" i="40"/>
  <c r="D16" i="40"/>
  <c r="C16" i="40"/>
  <c r="B16" i="40"/>
  <c r="E15" i="40"/>
  <c r="C15" i="40"/>
  <c r="E14" i="40"/>
  <c r="C14" i="40"/>
  <c r="E13" i="40"/>
  <c r="D13" i="40"/>
  <c r="C13" i="40"/>
  <c r="B13" i="40"/>
  <c r="E12" i="40"/>
  <c r="D12" i="40"/>
  <c r="C12" i="40"/>
  <c r="B12" i="40"/>
  <c r="E10" i="40"/>
  <c r="D10" i="40"/>
  <c r="C10" i="40"/>
  <c r="B10" i="40"/>
  <c r="E4" i="40"/>
  <c r="C4" i="40"/>
  <c r="A4" i="40"/>
  <c r="E3" i="40"/>
  <c r="C3" i="40"/>
  <c r="A3" i="40"/>
  <c r="B133" i="41"/>
  <c r="B129" i="41"/>
  <c r="D122" i="41"/>
  <c r="C122" i="41"/>
  <c r="F114" i="41"/>
  <c r="E114" i="41"/>
  <c r="C114" i="41"/>
  <c r="F113" i="41"/>
  <c r="E113" i="41"/>
  <c r="D113" i="41"/>
  <c r="C113" i="41"/>
  <c r="B113" i="41"/>
  <c r="A113" i="41"/>
  <c r="F112" i="41"/>
  <c r="E112" i="41"/>
  <c r="D112" i="41"/>
  <c r="C112" i="41"/>
  <c r="B112" i="41"/>
  <c r="A112" i="41"/>
  <c r="F111" i="41"/>
  <c r="E111" i="41"/>
  <c r="D111" i="41"/>
  <c r="C111" i="41"/>
  <c r="B111" i="41"/>
  <c r="A111" i="41"/>
  <c r="F110" i="41"/>
  <c r="E110" i="41"/>
  <c r="D110" i="41"/>
  <c r="C110" i="41"/>
  <c r="B110" i="41"/>
  <c r="A110" i="41"/>
  <c r="F109" i="41"/>
  <c r="E109" i="41"/>
  <c r="D109" i="41"/>
  <c r="C109" i="41"/>
  <c r="B109" i="41"/>
  <c r="A109" i="41"/>
  <c r="C104" i="41"/>
  <c r="B98" i="41"/>
  <c r="E94" i="41"/>
  <c r="B86" i="41"/>
  <c r="D76" i="41"/>
  <c r="C76" i="41"/>
  <c r="B76" i="41"/>
  <c r="D75" i="41"/>
  <c r="D74" i="41"/>
  <c r="D73" i="41"/>
  <c r="D70" i="41"/>
  <c r="C70" i="41"/>
  <c r="B70" i="41"/>
  <c r="D69" i="41"/>
  <c r="D68" i="41"/>
  <c r="D67" i="41"/>
  <c r="D64" i="41"/>
  <c r="C64" i="41"/>
  <c r="B64" i="41"/>
  <c r="D63" i="41"/>
  <c r="D62" i="41"/>
  <c r="D61" i="41"/>
  <c r="F58" i="41"/>
  <c r="E58" i="41"/>
  <c r="D58" i="41"/>
  <c r="C58" i="41"/>
  <c r="B58" i="41"/>
  <c r="F57" i="41"/>
  <c r="E57" i="41"/>
  <c r="C57" i="41"/>
  <c r="E56" i="41"/>
  <c r="C56" i="41"/>
  <c r="F55" i="41"/>
  <c r="E55" i="41"/>
  <c r="C55" i="41"/>
  <c r="F54" i="41"/>
  <c r="E54" i="41"/>
  <c r="C54" i="41"/>
  <c r="F53" i="41"/>
  <c r="E53" i="41"/>
  <c r="C53" i="41"/>
  <c r="F52" i="41"/>
  <c r="E52" i="41"/>
  <c r="C52" i="41"/>
  <c r="F48" i="41"/>
  <c r="E48" i="41"/>
  <c r="D48" i="41"/>
  <c r="C48" i="41"/>
  <c r="B48" i="41"/>
  <c r="F47" i="41"/>
  <c r="E47" i="41"/>
  <c r="D47" i="41"/>
  <c r="C47" i="41"/>
  <c r="B47" i="41"/>
  <c r="A47" i="41"/>
  <c r="E46" i="41"/>
  <c r="D46" i="41"/>
  <c r="C46" i="41"/>
  <c r="B46" i="41"/>
  <c r="A46" i="41"/>
  <c r="F45" i="41"/>
  <c r="E45" i="41"/>
  <c r="D45" i="41"/>
  <c r="C45" i="41"/>
  <c r="B45" i="41"/>
  <c r="A45" i="41"/>
  <c r="F44" i="41"/>
  <c r="E44" i="41"/>
  <c r="D44" i="41"/>
  <c r="C44" i="41"/>
  <c r="B44" i="41"/>
  <c r="A44" i="41"/>
  <c r="F43" i="41"/>
  <c r="E43" i="41"/>
  <c r="D43" i="41"/>
  <c r="C43" i="41"/>
  <c r="B43" i="41"/>
  <c r="A43" i="41"/>
  <c r="F42" i="41"/>
  <c r="E42" i="41"/>
  <c r="D42" i="41"/>
  <c r="C42" i="41"/>
  <c r="B42" i="41"/>
  <c r="A42" i="41"/>
  <c r="D38" i="41"/>
  <c r="C38" i="41"/>
  <c r="B38" i="41"/>
  <c r="D37" i="41"/>
  <c r="D36" i="41"/>
  <c r="D35" i="41"/>
  <c r="D34" i="41"/>
  <c r="D33" i="41"/>
  <c r="F28" i="41"/>
  <c r="E28" i="41"/>
  <c r="D28" i="41"/>
  <c r="C28" i="41"/>
  <c r="B28" i="41"/>
  <c r="F27" i="41"/>
  <c r="E27" i="41"/>
  <c r="D27" i="41"/>
  <c r="C27" i="41"/>
  <c r="B27" i="41"/>
  <c r="F26" i="41"/>
  <c r="E26" i="41"/>
  <c r="C26" i="41"/>
  <c r="F25" i="41"/>
  <c r="E25" i="41"/>
  <c r="C25" i="41"/>
  <c r="F24" i="41"/>
  <c r="E24" i="41"/>
  <c r="C24" i="41"/>
  <c r="F23" i="41"/>
  <c r="E23" i="41"/>
  <c r="C23" i="41"/>
  <c r="F21" i="41"/>
  <c r="E21" i="41"/>
  <c r="C21" i="41"/>
  <c r="F17" i="41"/>
  <c r="E17" i="41"/>
  <c r="D17" i="41"/>
  <c r="C17" i="41"/>
  <c r="B17" i="41"/>
  <c r="F16" i="41"/>
  <c r="E16" i="41"/>
  <c r="D16" i="41"/>
  <c r="C16" i="41"/>
  <c r="B16" i="41"/>
  <c r="F15" i="41"/>
  <c r="E15" i="41"/>
  <c r="C15" i="41"/>
  <c r="F14" i="41"/>
  <c r="E14" i="41"/>
  <c r="C14" i="41"/>
  <c r="F13" i="41"/>
  <c r="E13" i="41"/>
  <c r="D13" i="41"/>
  <c r="C13" i="41"/>
  <c r="B13" i="41"/>
  <c r="F12" i="41"/>
  <c r="E12" i="41"/>
  <c r="D12" i="41"/>
  <c r="C12" i="41"/>
  <c r="B12" i="41"/>
  <c r="F10" i="41"/>
  <c r="E10" i="41"/>
  <c r="D10" i="41"/>
  <c r="C10" i="41"/>
  <c r="B10" i="41"/>
  <c r="E4" i="41"/>
  <c r="C4" i="41"/>
  <c r="A4" i="41"/>
  <c r="E3" i="41"/>
  <c r="C3" i="41"/>
  <c r="A3" i="41"/>
</calcChain>
</file>

<file path=xl/sharedStrings.xml><?xml version="1.0" encoding="utf-8"?>
<sst xmlns="http://schemas.openxmlformats.org/spreadsheetml/2006/main" count="376" uniqueCount="204">
  <si>
    <r>
      <rPr>
        <b/>
        <sz val="10"/>
        <rFont val="宋体"/>
        <family val="3"/>
        <charset val="134"/>
      </rPr>
      <t>致同会计师事务所</t>
    </r>
  </si>
  <si>
    <r>
      <rPr>
        <b/>
        <sz val="12"/>
        <rFont val="宋体"/>
        <family val="3"/>
        <charset val="134"/>
      </rPr>
      <t>附注披露信息（上市公司）</t>
    </r>
  </si>
  <si>
    <r>
      <rPr>
        <sz val="10"/>
        <rFont val="宋体"/>
        <family val="3"/>
        <charset val="134"/>
      </rPr>
      <t>索引：D2</t>
    </r>
    <r>
      <rPr>
        <sz val="10"/>
        <rFont val="Arial Narrow"/>
        <family val="2"/>
      </rPr>
      <t>-1</t>
    </r>
  </si>
  <si>
    <r>
      <rPr>
        <sz val="10"/>
        <rFont val="宋体"/>
        <family val="3"/>
        <charset val="134"/>
      </rPr>
      <t>页次：</t>
    </r>
  </si>
  <si>
    <r>
      <rPr>
        <sz val="12"/>
        <rFont val="仿宋_GB2312"/>
        <family val="3"/>
        <charset val="134"/>
      </rPr>
      <t>附注披露信息：</t>
    </r>
  </si>
  <si>
    <r>
      <rPr>
        <b/>
        <sz val="12"/>
        <rFont val="仿宋_GB2312"/>
        <family val="3"/>
        <charset val="134"/>
      </rPr>
      <t>应收账款</t>
    </r>
    <r>
      <rPr>
        <b/>
        <sz val="12"/>
        <color rgb="FF0000FF"/>
        <rFont val="仿宋_GB2312"/>
        <family val="3"/>
        <charset val="134"/>
      </rPr>
      <t>（以下不适用的，请删除）</t>
    </r>
  </si>
  <si>
    <r>
      <rPr>
        <b/>
        <sz val="12"/>
        <rFont val="仿宋_GB2312"/>
        <family val="3"/>
        <charset val="134"/>
      </rPr>
      <t>（</t>
    </r>
    <r>
      <rPr>
        <b/>
        <sz val="12"/>
        <rFont val="Arial Narrow"/>
        <family val="2"/>
      </rPr>
      <t>1</t>
    </r>
    <r>
      <rPr>
        <b/>
        <sz val="12"/>
        <rFont val="仿宋_GB2312"/>
        <family val="3"/>
        <charset val="134"/>
      </rPr>
      <t>）应收账款按种类披露</t>
    </r>
  </si>
  <si>
    <r>
      <rPr>
        <b/>
        <sz val="12"/>
        <rFont val="仿宋_GB2312"/>
        <family val="3"/>
        <charset val="134"/>
      </rPr>
      <t>种</t>
    </r>
    <r>
      <rPr>
        <b/>
        <sz val="12"/>
        <rFont val="仿宋_GB2312"/>
        <family val="3"/>
        <charset val="134"/>
      </rPr>
      <t>类</t>
    </r>
  </si>
  <si>
    <r>
      <rPr>
        <b/>
        <sz val="12"/>
        <rFont val="仿宋_GB2312"/>
        <family val="3"/>
        <charset val="134"/>
      </rPr>
      <t>期末数</t>
    </r>
  </si>
  <si>
    <r>
      <rPr>
        <b/>
        <sz val="12"/>
        <rFont val="仿宋_GB2312"/>
        <family val="3"/>
        <charset val="134"/>
      </rPr>
      <t>金</t>
    </r>
    <r>
      <rPr>
        <b/>
        <sz val="12"/>
        <rFont val="Arial Narrow"/>
        <family val="2"/>
      </rPr>
      <t xml:space="preserve"> </t>
    </r>
    <r>
      <rPr>
        <b/>
        <sz val="12"/>
        <rFont val="仿宋_GB2312"/>
        <family val="3"/>
        <charset val="134"/>
      </rPr>
      <t>额</t>
    </r>
  </si>
  <si>
    <r>
      <rPr>
        <b/>
        <sz val="12"/>
        <rFont val="仿宋_GB2312"/>
        <family val="3"/>
        <charset val="134"/>
      </rPr>
      <t>比例</t>
    </r>
    <r>
      <rPr>
        <b/>
        <sz val="12"/>
        <rFont val="Arial Narrow"/>
        <family val="2"/>
      </rPr>
      <t>%</t>
    </r>
  </si>
  <si>
    <r>
      <rPr>
        <b/>
        <sz val="12"/>
        <rFont val="仿宋_GB2312"/>
        <family val="3"/>
        <charset val="134"/>
      </rPr>
      <t>坏账准备</t>
    </r>
  </si>
  <si>
    <r>
      <rPr>
        <b/>
        <sz val="12"/>
        <rFont val="仿宋_GB2312"/>
        <family val="3"/>
        <charset val="134"/>
      </rPr>
      <t>计提比例</t>
    </r>
    <r>
      <rPr>
        <b/>
        <sz val="12"/>
        <rFont val="Arial Narrow"/>
        <family val="2"/>
      </rPr>
      <t>%</t>
    </r>
  </si>
  <si>
    <r>
      <rPr>
        <b/>
        <sz val="12"/>
        <rFont val="仿宋_GB2312"/>
        <family val="3"/>
        <charset val="134"/>
      </rPr>
      <t>净额</t>
    </r>
  </si>
  <si>
    <t>单项计提坏账准备的应收账款</t>
  </si>
  <si>
    <r>
      <rPr>
        <sz val="12"/>
        <rFont val="仿宋_GB2312"/>
        <family val="3"/>
        <charset val="134"/>
      </rPr>
      <t>按组合计提坏账准备的应收账款</t>
    </r>
  </si>
  <si>
    <t>其中：账龄组合</t>
  </si>
  <si>
    <t xml:space="preserve">      客户类型组合</t>
  </si>
  <si>
    <t xml:space="preserve">      产品类型组合</t>
  </si>
  <si>
    <t xml:space="preserve">      ……组合</t>
  </si>
  <si>
    <r>
      <rPr>
        <sz val="12"/>
        <rFont val="仿宋_GB2312"/>
        <family val="3"/>
        <charset val="134"/>
      </rPr>
      <t>组合小计</t>
    </r>
  </si>
  <si>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</si>
  <si>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应收账款按种类披露（续）</t>
    </r>
  </si>
  <si>
    <r>
      <rPr>
        <b/>
        <sz val="12"/>
        <rFont val="仿宋_GB2312"/>
        <family val="3"/>
        <charset val="134"/>
      </rPr>
      <t>期初数</t>
    </r>
  </si>
  <si>
    <r>
      <rPr>
        <sz val="12"/>
        <color rgb="FF0000FF"/>
        <rFont val="仿宋_GB2312"/>
        <family val="3"/>
        <charset val="134"/>
      </rPr>
      <t>注：填写组合名称。账面余额中的比例按期末该类应收账款除以应收账款合计数计算，坏账准备比例按该类应收账款期末已计提坏账准备除以期末该类应收账款余额计算。</t>
    </r>
  </si>
  <si>
    <r>
      <rPr>
        <sz val="12"/>
        <rFont val="仿宋_GB2312"/>
        <family val="3"/>
        <charset val="134"/>
      </rPr>
      <t>说明：</t>
    </r>
  </si>
  <si>
    <t>①期末单项计提坏账准备的应收账款</t>
  </si>
  <si>
    <r>
      <rPr>
        <b/>
        <sz val="12"/>
        <rFont val="仿宋_GB2312"/>
        <family val="3"/>
        <charset val="134"/>
      </rPr>
      <t>应收账款（按单位）</t>
    </r>
  </si>
  <si>
    <r>
      <rPr>
        <b/>
        <sz val="12"/>
        <rFont val="仿宋_GB2312"/>
        <family val="3"/>
        <charset val="134"/>
      </rPr>
      <t>账面余额</t>
    </r>
  </si>
  <si>
    <r>
      <rPr>
        <b/>
        <sz val="12"/>
        <rFont val="仿宋_GB2312"/>
        <family val="3"/>
        <charset val="134"/>
      </rPr>
      <t>计提理由</t>
    </r>
  </si>
  <si>
    <t>②按账龄组合计提坏账准备的应收账款：（不适用的删除）</t>
  </si>
  <si>
    <r>
      <rPr>
        <b/>
        <sz val="12"/>
        <rFont val="仿宋_GB2312"/>
        <family val="3"/>
        <charset val="134"/>
      </rPr>
      <t>账</t>
    </r>
    <r>
      <rPr>
        <b/>
        <sz val="12"/>
        <rFont val="Arial Narrow"/>
        <family val="2"/>
      </rPr>
      <t xml:space="preserve">  </t>
    </r>
    <r>
      <rPr>
        <b/>
        <sz val="12"/>
        <rFont val="仿宋_GB2312"/>
        <family val="3"/>
        <charset val="134"/>
      </rPr>
      <t>龄</t>
    </r>
  </si>
  <si>
    <r>
      <rPr>
        <sz val="12"/>
        <color rgb="FF0000FF"/>
        <rFont val="仿宋_GB2312"/>
        <family val="3"/>
        <charset val="134"/>
      </rPr>
      <t>（</t>
    </r>
    <r>
      <rPr>
        <sz val="12"/>
        <color indexed="12"/>
        <rFont val="仿宋_GB2312"/>
        <family val="3"/>
        <charset val="134"/>
      </rPr>
      <t>可根据企业具体会计政策，相应修改账龄组合的划分）</t>
    </r>
  </si>
  <si>
    <t>③组合中，采用客户类型组合计提坏账准备的应收账款：（不适用的删除）</t>
  </si>
  <si>
    <r>
      <rPr>
        <b/>
        <sz val="12"/>
        <rFont val="仿宋_GB2312"/>
        <family val="3"/>
        <charset val="134"/>
      </rPr>
      <t>组合名称</t>
    </r>
  </si>
  <si>
    <t>计提比例</t>
  </si>
  <si>
    <r>
      <rPr>
        <sz val="12"/>
        <color rgb="FF0000FF"/>
        <rFont val="仿宋_GB2312"/>
        <family val="3"/>
        <charset val="134"/>
      </rPr>
      <t>组合</t>
    </r>
    <r>
      <rPr>
        <sz val="12"/>
        <color indexed="12"/>
        <rFont val="Arial Narrow"/>
        <family val="2"/>
      </rPr>
      <t>1</t>
    </r>
    <r>
      <rPr>
        <sz val="12"/>
        <color indexed="12"/>
        <rFont val="仿宋_GB2312"/>
        <family val="3"/>
        <charset val="134"/>
      </rPr>
      <t>（注明具体组合名称）</t>
    </r>
  </si>
  <si>
    <r>
      <rPr>
        <sz val="12"/>
        <color rgb="FF0000FF"/>
        <rFont val="仿宋_GB2312"/>
        <family val="3"/>
        <charset val="134"/>
      </rPr>
      <t>组合</t>
    </r>
    <r>
      <rPr>
        <sz val="12"/>
        <color indexed="12"/>
        <rFont val="Arial Narrow"/>
        <family val="2"/>
      </rPr>
      <t>2</t>
    </r>
    <r>
      <rPr>
        <sz val="12"/>
        <color indexed="12"/>
        <rFont val="仿宋_GB2312"/>
        <family val="3"/>
        <charset val="134"/>
      </rPr>
      <t>（注明具体组合名称）</t>
    </r>
  </si>
  <si>
    <t>……</t>
  </si>
  <si>
    <t>④组合中，采用产品类型组合计提坏账准备的应收账款：（不适用的删除）</t>
  </si>
  <si>
    <t>⑤组合中，采用……组合计提坏账准备的应收账款：（不适用的删除）</t>
  </si>
  <si>
    <r>
      <rPr>
        <sz val="12"/>
        <color rgb="FF0000FF"/>
        <rFont val="仿宋_GB2312"/>
        <family val="3"/>
        <charset val="134"/>
      </rPr>
      <t>注：填写具体组合名称。</t>
    </r>
  </si>
  <si>
    <r>
      <rPr>
        <b/>
        <sz val="12"/>
        <rFont val="仿宋_GB2312"/>
        <family val="3"/>
        <charset val="134"/>
      </rPr>
      <t>（</t>
    </r>
    <r>
      <rPr>
        <b/>
        <sz val="12"/>
        <rFont val="Arial Narrow"/>
        <family val="2"/>
      </rPr>
      <t>2</t>
    </r>
    <r>
      <rPr>
        <b/>
        <sz val="12"/>
        <rFont val="仿宋_GB2312"/>
        <family val="3"/>
        <charset val="134"/>
      </rPr>
      <t>）本期计提、收回或转回的坏账准备情况</t>
    </r>
  </si>
  <si>
    <t>坏账准备金额</t>
  </si>
  <si>
    <t>期初数</t>
  </si>
  <si>
    <t>本期计提</t>
  </si>
  <si>
    <t>本期收回或转回</t>
  </si>
  <si>
    <t>本期核销</t>
  </si>
  <si>
    <r>
      <rPr>
        <sz val="12"/>
        <color rgb="FFFF0000"/>
        <rFont val="Arial Narrow"/>
        <family val="2"/>
      </rPr>
      <t>[</t>
    </r>
    <r>
      <rPr>
        <sz val="12"/>
        <color rgb="FFFF0000"/>
        <rFont val="仿宋_GB2312"/>
        <family val="3"/>
        <charset val="134"/>
      </rPr>
      <t>本期转销</t>
    </r>
    <r>
      <rPr>
        <sz val="12"/>
        <color rgb="FFFF0000"/>
        <rFont val="Arial Narrow"/>
        <family val="2"/>
      </rPr>
      <t>]</t>
    </r>
  </si>
  <si>
    <r>
      <rPr>
        <sz val="12"/>
        <color rgb="FFFF0000"/>
        <rFont val="Arial Narrow"/>
        <family val="2"/>
      </rPr>
      <t>[</t>
    </r>
    <r>
      <rPr>
        <sz val="12"/>
        <color rgb="FFFF0000"/>
        <rFont val="仿宋_GB2312"/>
        <family val="3"/>
        <charset val="134"/>
      </rPr>
      <t>其他</t>
    </r>
    <r>
      <rPr>
        <sz val="12"/>
        <color rgb="FFFF0000"/>
        <rFont val="Arial Narrow"/>
        <family val="2"/>
      </rPr>
      <t>]</t>
    </r>
  </si>
  <si>
    <t>期末数</t>
  </si>
  <si>
    <r>
      <rPr>
        <sz val="12"/>
        <rFont val="仿宋_GB2312"/>
        <family val="3"/>
        <charset val="134"/>
      </rPr>
      <t>其中，本期坏账准备转回或收回金额重要的：</t>
    </r>
  </si>
  <si>
    <r>
      <rPr>
        <b/>
        <sz val="12"/>
        <rFont val="仿宋_GB2312"/>
        <family val="3"/>
        <charset val="134"/>
      </rPr>
      <t>单位名称</t>
    </r>
  </si>
  <si>
    <r>
      <rPr>
        <b/>
        <sz val="12"/>
        <rFont val="仿宋_GB2312"/>
        <family val="3"/>
        <charset val="134"/>
      </rPr>
      <t>转回原因</t>
    </r>
  </si>
  <si>
    <r>
      <rPr>
        <b/>
        <sz val="12"/>
        <rFont val="仿宋_GB2312"/>
        <family val="3"/>
        <charset val="134"/>
      </rPr>
      <t>收回方式</t>
    </r>
  </si>
  <si>
    <r>
      <rPr>
        <b/>
        <sz val="12"/>
        <rFont val="仿宋_GB2312"/>
        <family val="3"/>
        <charset val="134"/>
      </rPr>
      <t>原确定坏账准备的依据</t>
    </r>
  </si>
  <si>
    <r>
      <rPr>
        <b/>
        <sz val="12"/>
        <rFont val="仿宋_GB2312"/>
        <family val="3"/>
        <charset val="134"/>
      </rPr>
      <t>转回或收回金额</t>
    </r>
  </si>
  <si>
    <r>
      <rPr>
        <sz val="12"/>
        <color rgb="FF0000FF"/>
        <rFont val="仿宋_GB2312"/>
        <family val="3"/>
        <charset val="134"/>
      </rPr>
      <t>注：本期坏账准备收回或转回金额重要的，应披露转回原因、收回方式、确定原坏账准备计提比例的依据及其合理性；</t>
    </r>
  </si>
  <si>
    <r>
      <rPr>
        <b/>
        <sz val="12"/>
        <rFont val="仿宋_GB2312"/>
        <family val="3"/>
        <charset val="134"/>
      </rPr>
      <t>（</t>
    </r>
    <r>
      <rPr>
        <b/>
        <sz val="12"/>
        <rFont val="Arial Narrow"/>
        <family val="2"/>
      </rPr>
      <t>3</t>
    </r>
    <r>
      <rPr>
        <b/>
        <sz val="12"/>
        <rFont val="仿宋_GB2312"/>
        <family val="3"/>
        <charset val="134"/>
      </rPr>
      <t>）本期实际核销的应收账款情况</t>
    </r>
  </si>
  <si>
    <r>
      <rPr>
        <b/>
        <sz val="12"/>
        <rFont val="仿宋_GB2312"/>
        <family val="3"/>
        <charset val="134"/>
      </rPr>
      <t>项目</t>
    </r>
  </si>
  <si>
    <r>
      <rPr>
        <b/>
        <sz val="12"/>
        <rFont val="仿宋_GB2312"/>
        <family val="3"/>
        <charset val="134"/>
      </rPr>
      <t>核销金额</t>
    </r>
  </si>
  <si>
    <r>
      <rPr>
        <sz val="12"/>
        <rFont val="仿宋_GB2312"/>
        <family val="3"/>
        <charset val="134"/>
      </rPr>
      <t>实际核销的应收账款</t>
    </r>
  </si>
  <si>
    <r>
      <rPr>
        <sz val="12"/>
        <rFont val="仿宋_GB2312"/>
        <family val="3"/>
        <charset val="134"/>
      </rPr>
      <t>其中，重要的应收账款核销情况（逐项披露）：</t>
    </r>
  </si>
  <si>
    <r>
      <rPr>
        <b/>
        <sz val="12"/>
        <rFont val="仿宋_GB2312"/>
        <family val="3"/>
        <charset val="134"/>
      </rPr>
      <t>应收账款的性质</t>
    </r>
  </si>
  <si>
    <r>
      <rPr>
        <b/>
        <sz val="12"/>
        <rFont val="仿宋_GB2312"/>
        <family val="3"/>
        <charset val="134"/>
      </rPr>
      <t>核销原因</t>
    </r>
  </si>
  <si>
    <r>
      <rPr>
        <b/>
        <sz val="12"/>
        <rFont val="仿宋_GB2312"/>
        <family val="3"/>
        <charset val="134"/>
      </rPr>
      <t>履行的核销程序</t>
    </r>
  </si>
  <si>
    <r>
      <rPr>
        <b/>
        <sz val="12"/>
        <rFont val="仿宋_GB2312"/>
        <family val="3"/>
        <charset val="134"/>
      </rPr>
      <t>是否由关联交易产生</t>
    </r>
  </si>
  <si>
    <r>
      <rPr>
        <sz val="12"/>
        <color rgb="FF0000FF"/>
        <rFont val="仿宋_GB2312"/>
        <family val="3"/>
        <charset val="134"/>
      </rPr>
      <t>（对于其中重要的应收账款，应逐项披露款项性质、核销原因、履行的核销程序及核销金额。实际核销的款项由关联交易产生的，应单独披露；）</t>
    </r>
  </si>
  <si>
    <r>
      <rPr>
        <sz val="12"/>
        <color rgb="FF000000"/>
        <rFont val="仿宋_GB2312"/>
        <family val="3"/>
        <charset val="134"/>
      </rPr>
      <t>说明：</t>
    </r>
  </si>
  <si>
    <r>
      <rPr>
        <b/>
        <sz val="12"/>
        <rFont val="仿宋_GB2312"/>
        <family val="3"/>
        <charset val="134"/>
      </rPr>
      <t>（</t>
    </r>
    <r>
      <rPr>
        <b/>
        <sz val="12"/>
        <rFont val="Arial Narrow"/>
        <family val="2"/>
      </rPr>
      <t>4</t>
    </r>
    <r>
      <rPr>
        <b/>
        <sz val="12"/>
        <rFont val="仿宋_GB2312"/>
        <family val="3"/>
        <charset val="134"/>
      </rPr>
      <t>）按欠款方归集的应收账款期末余额前五名单位情况</t>
    </r>
  </si>
  <si>
    <r>
      <rPr>
        <b/>
        <sz val="12"/>
        <rFont val="仿宋_GB2312"/>
        <family val="3"/>
        <charset val="134"/>
      </rPr>
      <t>款项性质</t>
    </r>
  </si>
  <si>
    <r>
      <rPr>
        <b/>
        <sz val="12"/>
        <rFont val="仿宋_GB2312"/>
        <family val="3"/>
        <charset val="134"/>
      </rPr>
      <t>应收账款期末余额</t>
    </r>
  </si>
  <si>
    <r>
      <rPr>
        <b/>
        <sz val="12"/>
        <rFont val="仿宋_GB2312"/>
        <family val="3"/>
        <charset val="134"/>
      </rPr>
      <t>账龄</t>
    </r>
  </si>
  <si>
    <r>
      <rPr>
        <b/>
        <sz val="12"/>
        <rFont val="仿宋_GB2312"/>
        <family val="3"/>
        <charset val="134"/>
      </rPr>
      <t>占应收账款期末余额合计数的比例</t>
    </r>
    <r>
      <rPr>
        <b/>
        <sz val="12"/>
        <rFont val="Arial Narrow"/>
        <family val="2"/>
      </rPr>
      <t>(%)</t>
    </r>
  </si>
  <si>
    <r>
      <rPr>
        <b/>
        <sz val="12"/>
        <rFont val="仿宋_GB2312"/>
        <family val="3"/>
        <charset val="134"/>
      </rPr>
      <t>坏账准备期末余额</t>
    </r>
  </si>
  <si>
    <r>
      <rPr>
        <sz val="12"/>
        <color rgb="FF0000FF"/>
        <rFont val="仿宋_GB2312"/>
        <family val="3"/>
        <charset val="134"/>
      </rPr>
      <t>【按欠款方归集的期末余额前五名的其他应收款，应分别披露欠款方名称、期末余额及占其他应收款期末余额合计数的比例、款项的性质、对应的账龄、坏账准备期末余额；】</t>
    </r>
  </si>
  <si>
    <r>
      <rPr>
        <b/>
        <sz val="12"/>
        <rFont val="仿宋_GB2312"/>
        <family val="3"/>
        <charset val="134"/>
      </rPr>
      <t>（</t>
    </r>
    <r>
      <rPr>
        <b/>
        <sz val="12"/>
        <rFont val="Arial Narrow"/>
        <family val="2"/>
      </rPr>
      <t>5</t>
    </r>
    <r>
      <rPr>
        <b/>
        <sz val="12"/>
        <rFont val="仿宋_GB2312"/>
        <family val="3"/>
        <charset val="134"/>
      </rPr>
      <t>）因金融资产转移而终止确认的其他应收款情况</t>
    </r>
  </si>
  <si>
    <r>
      <rPr>
        <sz val="12"/>
        <color rgb="FF0000FF"/>
        <rFont val="仿宋_GB2312"/>
        <family val="3"/>
        <charset val="134"/>
      </rPr>
      <t>【因金融资产转移而终止确认的应收款项，应列示金融资产转移的方式、终止确认的应收款项金额，及与终止确认相关的利得或损失；】</t>
    </r>
  </si>
  <si>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</si>
  <si>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转移方式</t>
    </r>
  </si>
  <si>
    <r>
      <rPr>
        <b/>
        <sz val="12"/>
        <rFont val="仿宋_GB2312"/>
        <family val="3"/>
        <charset val="134"/>
      </rPr>
      <t>终止确认金额</t>
    </r>
  </si>
  <si>
    <r>
      <rPr>
        <b/>
        <sz val="12"/>
        <rFont val="仿宋_GB2312"/>
        <family val="3"/>
        <charset val="134"/>
      </rPr>
      <t>与终止确认相关的利得或损失</t>
    </r>
  </si>
  <si>
    <r>
      <rPr>
        <b/>
        <sz val="12"/>
        <rFont val="仿宋_GB2312"/>
        <family val="3"/>
        <charset val="134"/>
      </rPr>
      <t>（</t>
    </r>
    <r>
      <rPr>
        <b/>
        <sz val="12"/>
        <rFont val="Arial Narrow"/>
        <family val="2"/>
      </rPr>
      <t>6</t>
    </r>
    <r>
      <rPr>
        <b/>
        <sz val="12"/>
        <rFont val="仿宋_GB2312"/>
        <family val="3"/>
        <charset val="134"/>
      </rPr>
      <t>）转移其他应收款且继续涉入形成的资产、负债的金额</t>
    </r>
  </si>
  <si>
    <r>
      <rPr>
        <sz val="12"/>
        <color rgb="FF0000FF"/>
        <rFont val="仿宋_GB2312"/>
        <family val="3"/>
        <charset val="134"/>
      </rPr>
      <t>【转移应收款项且继续涉入的，应披露资产转移方式、分项列示继续涉入形成的资产、负债的金额。】</t>
    </r>
  </si>
  <si>
    <r>
      <rPr>
        <sz val="12"/>
        <rFont val="仿宋_GB2312"/>
        <family val="3"/>
        <charset val="134"/>
      </rPr>
      <t>资产：</t>
    </r>
  </si>
  <si>
    <r>
      <rPr>
        <b/>
        <sz val="12"/>
        <rFont val="仿宋_GB2312"/>
        <family val="3"/>
        <charset val="134"/>
      </rPr>
      <t>资产小计</t>
    </r>
  </si>
  <si>
    <r>
      <rPr>
        <sz val="12"/>
        <rFont val="仿宋_GB2312"/>
        <family val="3"/>
        <charset val="134"/>
      </rPr>
      <t>负债：</t>
    </r>
  </si>
  <si>
    <r>
      <rPr>
        <b/>
        <sz val="12"/>
        <rFont val="仿宋_GB2312"/>
        <family val="3"/>
        <charset val="134"/>
      </rPr>
      <t>负债小计</t>
    </r>
  </si>
  <si>
    <r>
      <rPr>
        <sz val="12"/>
        <rFont val="仿宋_GB2312"/>
        <family val="3"/>
        <charset val="134"/>
      </rPr>
      <t>说明：</t>
    </r>
    <r>
      <rPr>
        <sz val="12"/>
        <color indexed="12"/>
        <rFont val="仿宋_GB2312"/>
        <family val="3"/>
        <charset val="134"/>
      </rPr>
      <t>（资产转移方式；未全部终止确认的被转移金融资产与相关负债之间的关系，已终止确认的金融资产继续涉入的性质及相关风险的信息。）</t>
    </r>
  </si>
  <si>
    <t>附注披露信息（国企）</t>
  </si>
  <si>
    <r>
      <rPr>
        <sz val="10"/>
        <rFont val="宋体"/>
        <family val="3"/>
        <charset val="134"/>
      </rPr>
      <t>索引：</t>
    </r>
    <r>
      <rPr>
        <sz val="10"/>
        <rFont val="Arial Narrow"/>
        <family val="2"/>
      </rPr>
      <t>D2-1</t>
    </r>
  </si>
  <si>
    <r>
      <rPr>
        <sz val="10"/>
        <rFont val="宋体"/>
        <family val="3"/>
        <charset val="134"/>
      </rPr>
      <t>页次：</t>
    </r>
    <r>
      <rPr>
        <sz val="10"/>
        <rFont val="Arial Narrow"/>
        <family val="2"/>
      </rPr>
      <t>1</t>
    </r>
  </si>
  <si>
    <r>
      <rPr>
        <sz val="12"/>
        <rFont val="仿宋_GB2312"/>
        <family val="3"/>
        <charset val="134"/>
      </rPr>
      <t>应收账款</t>
    </r>
  </si>
  <si>
    <r>
      <rPr>
        <sz val="12"/>
        <rFont val="仿宋_GB2312"/>
        <family val="3"/>
        <charset val="134"/>
      </rPr>
      <t>应收账款按种类披露</t>
    </r>
  </si>
  <si>
    <r>
      <rPr>
        <b/>
        <sz val="12"/>
        <rFont val="仿宋_GB2312"/>
        <family val="3"/>
        <charset val="134"/>
      </rPr>
      <t>种</t>
    </r>
    <r>
      <rPr>
        <b/>
        <sz val="12"/>
        <rFont val="Arial Narrow"/>
        <family val="2"/>
      </rPr>
      <t xml:space="preserve">  </t>
    </r>
    <r>
      <rPr>
        <b/>
        <sz val="12"/>
        <rFont val="仿宋_GB2312"/>
        <family val="3"/>
        <charset val="134"/>
      </rPr>
      <t>类</t>
    </r>
  </si>
  <si>
    <r>
      <rPr>
        <b/>
        <sz val="12"/>
        <rFont val="仿宋_GB2312"/>
        <family val="3"/>
        <charset val="134"/>
      </rPr>
      <t>年初数</t>
    </r>
  </si>
  <si>
    <r>
      <rPr>
        <sz val="12"/>
        <color rgb="FF0000FF"/>
        <rFont val="仿宋_GB2312"/>
        <family val="3"/>
        <charset val="134"/>
      </rPr>
      <t>（注：①填写组合名称。②账面余额中的比例按年末该类应收账款除以应收账款余额合计数计算，坏账准备比例按该类应收账款年末已计提坏账准备除以年末该类应收账款余额计算。）</t>
    </r>
  </si>
  <si>
    <r>
      <rPr>
        <sz val="12"/>
        <rFont val="仿宋_GB2312"/>
        <family val="3"/>
        <charset val="134"/>
      </rPr>
      <t>（</t>
    </r>
    <r>
      <rPr>
        <sz val="12"/>
        <rFont val="Arial Narrow"/>
        <family val="2"/>
      </rPr>
      <t>1</t>
    </r>
    <r>
      <rPr>
        <sz val="12"/>
        <rFont val="仿宋_GB2312"/>
        <family val="3"/>
        <charset val="134"/>
      </rPr>
      <t>）按组合计提坏账准备的应收账款</t>
    </r>
  </si>
  <si>
    <r>
      <rPr>
        <sz val="12"/>
        <rFont val="Arial Narrow"/>
        <family val="2"/>
      </rPr>
      <t>A</t>
    </r>
    <r>
      <rPr>
        <sz val="12"/>
        <rFont val="仿宋_GB2312"/>
        <family val="3"/>
        <charset val="134"/>
      </rPr>
      <t>、采用账龄分析法计提坏账准备的应收账款</t>
    </r>
  </si>
  <si>
    <r>
      <rPr>
        <b/>
        <sz val="12"/>
        <rFont val="仿宋_GB2312"/>
        <family val="3"/>
        <charset val="134"/>
      </rPr>
      <t>金额</t>
    </r>
  </si>
  <si>
    <r>
      <rPr>
        <b/>
        <sz val="12"/>
        <rFont val="仿宋_GB2312"/>
        <family val="3"/>
        <charset val="134"/>
      </rPr>
      <t>比例</t>
    </r>
    <r>
      <rPr>
        <b/>
        <sz val="12"/>
        <rFont val="Arial Narrow"/>
        <family val="2"/>
      </rPr>
      <t>(%)</t>
    </r>
  </si>
  <si>
    <r>
      <rPr>
        <sz val="12"/>
        <rFont val="Arial Narrow"/>
        <family val="2"/>
      </rPr>
      <t>B</t>
    </r>
    <r>
      <rPr>
        <sz val="12"/>
        <rFont val="仿宋_GB2312"/>
        <family val="3"/>
        <charset val="134"/>
      </rPr>
      <t>、采用客户类型组合计提坏账准备的应收账款</t>
    </r>
  </si>
  <si>
    <r>
      <rPr>
        <b/>
        <sz val="12"/>
        <rFont val="仿宋_GB2312"/>
        <family val="3"/>
        <charset val="134"/>
      </rPr>
      <t>计提比例</t>
    </r>
    <r>
      <rPr>
        <b/>
        <sz val="12"/>
        <rFont val="Arial Narrow"/>
        <family val="2"/>
      </rPr>
      <t>(%)</t>
    </r>
  </si>
  <si>
    <r>
      <rPr>
        <sz val="12"/>
        <color rgb="FFFF0000"/>
        <rFont val="仿宋_GB2312"/>
        <family val="3"/>
        <charset val="134"/>
      </rPr>
      <t>组合</t>
    </r>
    <r>
      <rPr>
        <sz val="12"/>
        <color rgb="FFFF0000"/>
        <rFont val="Arial Narrow"/>
        <family val="2"/>
      </rPr>
      <t>1</t>
    </r>
  </si>
  <si>
    <r>
      <rPr>
        <sz val="12"/>
        <color rgb="FFFF0000"/>
        <rFont val="仿宋_GB2312"/>
        <family val="3"/>
        <charset val="134"/>
      </rPr>
      <t>组合</t>
    </r>
    <r>
      <rPr>
        <sz val="12"/>
        <color rgb="FFFF0000"/>
        <rFont val="Arial Narrow"/>
        <family val="2"/>
      </rPr>
      <t>2</t>
    </r>
  </si>
  <si>
    <r>
      <rPr>
        <sz val="12"/>
        <rFont val="Arial Narrow"/>
        <family val="2"/>
      </rPr>
      <t>C</t>
    </r>
    <r>
      <rPr>
        <sz val="12"/>
        <rFont val="仿宋_GB2312"/>
        <family val="3"/>
        <charset val="134"/>
      </rPr>
      <t>、采用产品类型组合计提坏账准备的应收账款</t>
    </r>
  </si>
  <si>
    <r>
      <rPr>
        <sz val="12"/>
        <rFont val="Arial Narrow"/>
        <family val="2"/>
      </rPr>
      <t>D</t>
    </r>
    <r>
      <rPr>
        <sz val="12"/>
        <rFont val="仿宋_GB2312"/>
        <family val="3"/>
        <charset val="134"/>
      </rPr>
      <t>、采用</t>
    </r>
    <r>
      <rPr>
        <sz val="12"/>
        <color rgb="FFFF0000"/>
        <rFont val="仿宋_GB2312"/>
        <family val="3"/>
        <charset val="134"/>
      </rPr>
      <t>……组合</t>
    </r>
    <r>
      <rPr>
        <sz val="12"/>
        <rFont val="仿宋_GB2312"/>
        <family val="3"/>
        <charset val="134"/>
      </rPr>
      <t>计提坏账准备的应收账款</t>
    </r>
  </si>
  <si>
    <r>
      <rPr>
        <sz val="12"/>
        <rFont val="仿宋_GB2312"/>
        <family val="3"/>
        <charset val="134"/>
      </rPr>
      <t>（</t>
    </r>
    <r>
      <rPr>
        <sz val="12"/>
        <rFont val="Arial Narrow"/>
        <family val="2"/>
      </rPr>
      <t>2</t>
    </r>
    <r>
      <rPr>
        <sz val="12"/>
        <rFont val="仿宋_GB2312"/>
        <family val="3"/>
        <charset val="134"/>
      </rPr>
      <t>）单项计提坏账准备的应收账款</t>
    </r>
  </si>
  <si>
    <r>
      <rPr>
        <b/>
        <sz val="12"/>
        <rFont val="仿宋_GB2312"/>
        <family val="3"/>
        <charset val="134"/>
      </rPr>
      <t>债务人名称</t>
    </r>
  </si>
  <si>
    <r>
      <rPr>
        <b/>
        <sz val="12"/>
        <rFont val="仿宋_GB2312"/>
        <family val="3"/>
        <charset val="134"/>
      </rPr>
      <t>计提比例</t>
    </r>
  </si>
  <si>
    <r>
      <rPr>
        <sz val="12"/>
        <rFont val="仿宋_GB2312"/>
        <family val="3"/>
        <charset val="134"/>
      </rPr>
      <t>（</t>
    </r>
    <r>
      <rPr>
        <sz val="12"/>
        <rFont val="Arial Narrow"/>
        <family val="2"/>
      </rPr>
      <t>3</t>
    </r>
    <r>
      <rPr>
        <sz val="12"/>
        <rFont val="仿宋_GB2312"/>
        <family val="3"/>
        <charset val="134"/>
      </rPr>
      <t>）本期转回或收回情况</t>
    </r>
    <r>
      <rPr>
        <sz val="12"/>
        <color indexed="12"/>
        <rFont val="仿宋_GB2312"/>
        <family val="3"/>
        <charset val="134"/>
      </rPr>
      <t>（非上市公司可参照选择披露）</t>
    </r>
  </si>
  <si>
    <r>
      <rPr>
        <b/>
        <sz val="12"/>
        <rFont val="仿宋_GB2312"/>
        <family val="3"/>
        <charset val="134"/>
      </rPr>
      <t>转回或收回原因</t>
    </r>
  </si>
  <si>
    <r>
      <rPr>
        <b/>
        <sz val="12"/>
        <rFont val="仿宋_GB2312"/>
        <family val="3"/>
        <charset val="134"/>
      </rPr>
      <t>确定原坏账准备的依据</t>
    </r>
  </si>
  <si>
    <r>
      <rPr>
        <b/>
        <sz val="12"/>
        <rFont val="仿宋_GB2312"/>
        <family val="3"/>
        <charset val="134"/>
      </rPr>
      <t>转回或收回前累计已计提坏账准备金额</t>
    </r>
  </si>
  <si>
    <r>
      <rPr>
        <b/>
        <sz val="12"/>
        <rFont val="仿宋_GB2312"/>
        <family val="3"/>
        <charset val="134"/>
      </rPr>
      <t>合计</t>
    </r>
  </si>
  <si>
    <r>
      <rPr>
        <sz val="12"/>
        <color rgb="FF0000FF"/>
        <rFont val="仿宋_GB2312"/>
        <family val="3"/>
        <charset val="134"/>
      </rPr>
      <t>（注：本表列报本报告期前已全额计提坏账准备，或计提减值准备的比例较大，但在本期又全额收回或转回，或在本期收回或转回比例较大的应收账款。对本期通过重组等方式收回的金额重大的应收账款，则应逐笔列报，金额不重大的，可汇总列报。）</t>
    </r>
  </si>
  <si>
    <r>
      <rPr>
        <sz val="12"/>
        <rFont val="仿宋_GB2312"/>
        <family val="3"/>
        <charset val="134"/>
      </rPr>
      <t>（</t>
    </r>
    <r>
      <rPr>
        <sz val="12"/>
        <rFont val="Arial Narrow"/>
        <family val="2"/>
      </rPr>
      <t>4</t>
    </r>
    <r>
      <rPr>
        <sz val="12"/>
        <rFont val="仿宋_GB2312"/>
        <family val="3"/>
        <charset val="134"/>
      </rPr>
      <t>）本报告期实际核销的应收账款（非上市公司可参照选择披露）</t>
    </r>
  </si>
  <si>
    <r>
      <rPr>
        <b/>
        <sz val="12"/>
        <rFont val="仿宋_GB2312"/>
        <family val="3"/>
        <charset val="134"/>
      </rPr>
      <t>应收账款性质</t>
    </r>
  </si>
  <si>
    <r>
      <rPr>
        <b/>
        <sz val="12"/>
        <rFont val="仿宋_GB2312"/>
        <family val="3"/>
        <charset val="134"/>
      </rPr>
      <t>是否因关联交易产生</t>
    </r>
  </si>
  <si>
    <t>--</t>
  </si>
  <si>
    <r>
      <rPr>
        <sz val="12"/>
        <rFont val="仿宋_GB2312"/>
        <family val="3"/>
        <charset val="134"/>
      </rPr>
      <t>（</t>
    </r>
    <r>
      <rPr>
        <sz val="12"/>
        <rFont val="Arial Narrow"/>
        <family val="2"/>
      </rPr>
      <t>5</t>
    </r>
    <r>
      <rPr>
        <sz val="12"/>
        <rFont val="仿宋_GB2312"/>
        <family val="3"/>
        <charset val="134"/>
      </rPr>
      <t>）由金融资产转移而终止确认的应收账款情况</t>
    </r>
  </si>
  <si>
    <r>
      <rPr>
        <b/>
        <sz val="12"/>
        <rFont val="仿宋_GB2312"/>
        <family val="3"/>
        <charset val="134"/>
      </rPr>
      <t>与终止确认相关的利得或损失（损失以</t>
    </r>
    <r>
      <rPr>
        <b/>
        <sz val="12"/>
        <rFont val="Arial Narrow"/>
        <family val="2"/>
      </rPr>
      <t>“-”</t>
    </r>
    <r>
      <rPr>
        <b/>
        <sz val="12"/>
        <rFont val="仿宋_GB2312"/>
        <family val="3"/>
        <charset val="134"/>
      </rPr>
      <t>填列）</t>
    </r>
  </si>
  <si>
    <r>
      <rPr>
        <sz val="12"/>
        <rFont val="仿宋_GB2312"/>
        <family val="3"/>
        <charset val="134"/>
      </rPr>
      <t>（</t>
    </r>
    <r>
      <rPr>
        <sz val="12"/>
        <rFont val="Arial Narrow"/>
        <family val="2"/>
      </rPr>
      <t>6</t>
    </r>
    <r>
      <rPr>
        <sz val="12"/>
        <rFont val="仿宋_GB2312"/>
        <family val="3"/>
        <charset val="134"/>
      </rPr>
      <t>）应收账款转移，如证券化、保理等，继续涉入形成的资产、负债的金额</t>
    </r>
  </si>
  <si>
    <r>
      <rPr>
        <b/>
        <sz val="12"/>
        <rFont val="仿宋_GB2312"/>
        <family val="3"/>
        <charset val="134"/>
      </rPr>
      <t>期末金额</t>
    </r>
  </si>
  <si>
    <t>致同会计师事务所</t>
  </si>
  <si>
    <t>应收账款分析表</t>
  </si>
  <si>
    <t>索引号：</t>
  </si>
  <si>
    <t>页次：</t>
  </si>
  <si>
    <t>一、审计目标</t>
  </si>
  <si>
    <t>1.资产负债表中记录的应收账款是存在的。2.所有应当记录的应收账款均已记录。3. 应收账款以恰当的金额包括在财务报表中，与之相关的计价调整已恰当记录。</t>
  </si>
  <si>
    <t>二、审计过程</t>
  </si>
  <si>
    <t>1.……</t>
  </si>
  <si>
    <t>（一）应收账款重要指标分析</t>
  </si>
  <si>
    <t>（二）应收账款借方发生额与收入核对</t>
  </si>
  <si>
    <t>项目</t>
  </si>
  <si>
    <t>金额</t>
  </si>
  <si>
    <t>数据来源</t>
  </si>
  <si>
    <t>备注</t>
  </si>
  <si>
    <t>本期主营业务收入</t>
  </si>
  <si>
    <t>增值税率</t>
  </si>
  <si>
    <t>收入价税合计</t>
  </si>
  <si>
    <t>本期应收账款借方发生额合计</t>
  </si>
  <si>
    <t>收入价税合计与应收账款借方发生额差异</t>
  </si>
  <si>
    <t>差异原因</t>
  </si>
  <si>
    <t>（三）应收账款贷方发生额分析</t>
  </si>
  <si>
    <t>与对方科目核对</t>
  </si>
  <si>
    <t>说明</t>
  </si>
  <si>
    <t>本期贷方发生额合计</t>
  </si>
  <si>
    <t>应收账款总账</t>
  </si>
  <si>
    <t>N/A</t>
  </si>
  <si>
    <t>与银行存款借方发生额核对</t>
  </si>
  <si>
    <t>与应收票据借方发生额核对</t>
  </si>
  <si>
    <t xml:space="preserve">         ……</t>
  </si>
  <si>
    <t>（四）期末应收账款前十名分析</t>
  </si>
  <si>
    <t>客户名称</t>
  </si>
  <si>
    <t>期末账面余额</t>
  </si>
  <si>
    <t>期初账面余额</t>
  </si>
  <si>
    <t>变动金额</t>
  </si>
  <si>
    <t>变动比例</t>
  </si>
  <si>
    <t>账龄</t>
  </si>
  <si>
    <t>信用期</t>
  </si>
  <si>
    <t>逾期金额</t>
  </si>
  <si>
    <t>客户1</t>
  </si>
  <si>
    <t>客户2</t>
  </si>
  <si>
    <t>客户3</t>
  </si>
  <si>
    <t>客户4</t>
  </si>
  <si>
    <t>客户5</t>
  </si>
  <si>
    <t>客户6</t>
  </si>
  <si>
    <t>客户7</t>
  </si>
  <si>
    <t>客户8</t>
  </si>
  <si>
    <t>客户9</t>
  </si>
  <si>
    <t>客户10</t>
  </si>
  <si>
    <t>合计</t>
  </si>
  <si>
    <t>各账龄占比</t>
  </si>
  <si>
    <t>原因分析</t>
  </si>
  <si>
    <t>1年以内</t>
  </si>
  <si>
    <t>1-2年</t>
  </si>
  <si>
    <t>2-3年</t>
  </si>
  <si>
    <t>3-4年</t>
  </si>
  <si>
    <t>4-5年</t>
  </si>
  <si>
    <t>5年以上</t>
  </si>
  <si>
    <t>三、审计说明</t>
  </si>
  <si>
    <t>四、审计结论</t>
  </si>
  <si>
    <t>C1</t>
  </si>
  <si>
    <t>Custom 1</t>
  </si>
  <si>
    <t>C2</t>
  </si>
  <si>
    <t>Custom 2</t>
  </si>
  <si>
    <t>C3</t>
  </si>
  <si>
    <t>Custom 3</t>
  </si>
  <si>
    <t>C4</t>
  </si>
  <si>
    <t>Custom 4</t>
  </si>
  <si>
    <t>C5</t>
  </si>
  <si>
    <t>Custom 5</t>
  </si>
  <si>
    <t>C6</t>
  </si>
  <si>
    <t>Custom 6</t>
  </si>
  <si>
    <t>C7</t>
  </si>
  <si>
    <t>Custom 7</t>
  </si>
  <si>
    <t>C8</t>
  </si>
  <si>
    <t>Custom 8</t>
  </si>
  <si>
    <t xml:space="preserve"> 其中：银行存款收回款项</t>
    <phoneticPr fontId="126" type="noConversion"/>
  </si>
  <si>
    <t xml:space="preserve">       计入应收票据</t>
    <phoneticPr fontId="126" type="noConversion"/>
  </si>
  <si>
    <t>（五）近两年账龄结构分析</t>
    <phoneticPr fontId="126" type="noConversion"/>
  </si>
  <si>
    <t>见&lt;D4-6&gt;营业收入重要指标分析底稿</t>
    <phoneticPr fontId="126" type="noConversion"/>
  </si>
  <si>
    <t>D2-5</t>
    <phoneticPr fontId="1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</si>
</sst>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_-;\-* #,##0\¥_-;_-* &quot;-&quot;\¥_-;_-@_-"/>
    <numFmt numFmtId="215" formatCode="0%_);\(0%\)"/>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_(* #,##0.00_);_(* \(#,##0.00\);_(* &quot;-&quot;??_);_(@_)"/>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5" formatCode="#,##0.00_ "/>
  </numFmts>
  <fonts count="128">
    <font>
      <sz val="12"/>
      <name val="宋体"/>
      <charset val="134"/>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sz val="10"/>
      <color rgb="FF0000FF"/>
      <name val="宋体"/>
      <family val="3"/>
      <charset val="134"/>
    </font>
    <font>
      <sz val="10"/>
      <name val="Arial Narrow"/>
      <family val="2"/>
    </font>
    <font>
      <b/>
      <sz val="10"/>
      <name val="Arial Narrow"/>
      <family val="2"/>
    </font>
    <font>
      <sz val="10"/>
      <color indexed="8"/>
      <name val="Arial Narrow"/>
      <family val="2"/>
    </font>
    <font>
      <sz val="12"/>
      <name val="Arial Narrow"/>
      <family val="2"/>
    </font>
    <font>
      <b/>
      <sz val="12"/>
      <name val="Arial Narrow"/>
      <family val="2"/>
    </font>
    <font>
      <sz val="12"/>
      <name val="仿宋_GB2312"/>
      <family val="3"/>
      <charset val="134"/>
    </font>
    <font>
      <sz val="12"/>
      <color rgb="FFFF0000"/>
      <name val="仿宋_GB2312"/>
      <family val="3"/>
      <charset val="134"/>
    </font>
    <font>
      <b/>
      <sz val="12"/>
      <color rgb="FF000000"/>
      <name val="Arial Narrow"/>
      <family val="2"/>
    </font>
    <font>
      <sz val="12"/>
      <color rgb="FF0000FF"/>
      <name val="Arial Narrow"/>
      <family val="2"/>
    </font>
    <font>
      <sz val="12"/>
      <color rgb="FF0000FF"/>
      <name val="仿宋_GB2312"/>
      <family val="3"/>
      <charset val="134"/>
    </font>
    <font>
      <sz val="12"/>
      <color rgb="FFFF0000"/>
      <name val="Arial Narrow"/>
      <family val="2"/>
    </font>
    <font>
      <b/>
      <sz val="12"/>
      <name val="仿宋_GB2312"/>
      <family val="3"/>
      <charset val="134"/>
    </font>
    <font>
      <sz val="12"/>
      <color rgb="FF000000"/>
      <name val="Arial Narrow"/>
      <family val="2"/>
    </font>
    <font>
      <b/>
      <sz val="12"/>
      <color rgb="FF000000"/>
      <name val="仿宋_GB2312"/>
      <family val="3"/>
      <charset val="134"/>
    </font>
    <font>
      <sz val="11"/>
      <color theme="1"/>
      <name val="宋体"/>
      <family val="3"/>
      <charset val="134"/>
      <scheme val="minor"/>
    </font>
    <font>
      <u/>
      <sz val="12"/>
      <color indexed="12"/>
      <name val="宋体"/>
      <family val="3"/>
      <charset val="134"/>
    </font>
    <font>
      <sz val="10"/>
      <name val="Arial"/>
      <family val="2"/>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u/>
      <sz val="10"/>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b/>
      <sz val="12"/>
      <color rgb="FF0000FF"/>
      <name val="仿宋_GB2312"/>
      <family val="3"/>
      <charset val="134"/>
    </font>
    <font>
      <sz val="12"/>
      <color indexed="12"/>
      <name val="仿宋_GB2312"/>
      <family val="3"/>
      <charset val="134"/>
    </font>
    <font>
      <sz val="12"/>
      <color rgb="FF000000"/>
      <name val="仿宋_GB2312"/>
      <family val="3"/>
      <charset val="134"/>
    </font>
    <font>
      <sz val="12"/>
      <color indexed="12"/>
      <name val="Arial Narrow"/>
      <family val="2"/>
    </font>
    <font>
      <sz val="12"/>
      <name val="宋体"/>
      <family val="3"/>
      <charset val="134"/>
    </font>
    <font>
      <sz val="9"/>
      <name val="宋体"/>
      <family val="3"/>
      <charset val="134"/>
    </font>
    <font>
      <sz val="10"/>
      <color indexed="12"/>
      <name val="Arial Narrow"/>
      <family val="2"/>
    </font>
  </fonts>
  <fills count="54">
    <fill>
      <patternFill patternType="none"/>
    </fill>
    <fill>
      <patternFill patternType="gray125"/>
    </fill>
    <fill>
      <patternFill patternType="solid">
        <fgColor rgb="FFE4DFEC"/>
        <bgColor indexed="64"/>
      </patternFill>
    </fill>
    <fill>
      <patternFill patternType="solid">
        <fgColor theme="7" tint="0.79995117038483843"/>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25">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1023">
    <xf numFmtId="176" fontId="0" fillId="0" borderId="0">
      <protection locked="0"/>
    </xf>
    <xf numFmtId="43" fontId="125" fillId="0" borderId="0" applyFont="0" applyFill="0" applyBorder="0" applyAlignment="0" applyProtection="0"/>
    <xf numFmtId="9" fontId="125" fillId="0" borderId="0" applyFont="0" applyFill="0" applyBorder="0" applyAlignment="0" applyProtection="0"/>
    <xf numFmtId="176" fontId="22" fillId="0" borderId="0" applyNumberFormat="0" applyFill="0" applyBorder="0" applyAlignment="0" applyProtection="0">
      <alignment vertical="top"/>
      <protection locked="0"/>
    </xf>
    <xf numFmtId="176" fontId="23" fillId="0" borderId="0"/>
    <xf numFmtId="0" fontId="23" fillId="0" borderId="0"/>
    <xf numFmtId="176" fontId="23" fillId="0" borderId="0"/>
    <xf numFmtId="176" fontId="125" fillId="0" borderId="0" applyNumberFormat="0" applyFill="0" applyBorder="0" applyAlignment="0" applyProtection="0"/>
    <xf numFmtId="0" fontId="125" fillId="0" borderId="0" applyNumberFormat="0" applyFill="0" applyBorder="0" applyAlignment="0" applyProtection="0"/>
    <xf numFmtId="0" fontId="23" fillId="0" borderId="0"/>
    <xf numFmtId="176" fontId="23" fillId="0" borderId="0"/>
    <xf numFmtId="176" fontId="23" fillId="0" borderId="0"/>
    <xf numFmtId="0" fontId="23" fillId="0" borderId="0"/>
    <xf numFmtId="176" fontId="24" fillId="0" borderId="0" applyFont="0" applyFill="0" applyBorder="0" applyAlignment="0" applyProtection="0"/>
    <xf numFmtId="176"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176" fontId="25" fillId="0" borderId="0"/>
    <xf numFmtId="176" fontId="23" fillId="0" borderId="0"/>
    <xf numFmtId="176" fontId="23" fillId="0" borderId="0"/>
    <xf numFmtId="0" fontId="23" fillId="0" borderId="0"/>
    <xf numFmtId="176" fontId="23" fillId="0" borderId="0"/>
    <xf numFmtId="176" fontId="23" fillId="0" borderId="0"/>
    <xf numFmtId="0" fontId="23" fillId="0" borderId="0"/>
    <xf numFmtId="176" fontId="23" fillId="0" borderId="0"/>
    <xf numFmtId="176" fontId="23" fillId="0" borderId="0"/>
    <xf numFmtId="0" fontId="23" fillId="0" borderId="0"/>
    <xf numFmtId="49" fontId="26" fillId="0" borderId="0" applyProtection="0">
      <alignment horizontal="left"/>
    </xf>
    <xf numFmtId="49" fontId="26" fillId="0" borderId="0" applyProtection="0">
      <alignment horizontal="left"/>
    </xf>
    <xf numFmtId="176" fontId="27" fillId="0" borderId="0">
      <alignment vertical="top"/>
      <protection locked="0"/>
    </xf>
    <xf numFmtId="0" fontId="27" fillId="0" borderId="0">
      <alignment vertical="top"/>
      <protection locked="0"/>
    </xf>
    <xf numFmtId="176" fontId="27" fillId="0" borderId="0">
      <alignment vertical="top"/>
    </xf>
    <xf numFmtId="0" fontId="27" fillId="0" borderId="0">
      <alignment vertical="top"/>
    </xf>
    <xf numFmtId="176" fontId="23" fillId="0" borderId="0" applyNumberFormat="0" applyFill="0" applyBorder="0" applyAlignment="0">
      <protection locked="0"/>
    </xf>
    <xf numFmtId="0" fontId="23" fillId="0" borderId="0" applyNumberFormat="0" applyFill="0" applyBorder="0" applyAlignment="0">
      <protection locked="0"/>
    </xf>
    <xf numFmtId="176" fontId="27" fillId="0" borderId="0">
      <alignment vertical="top"/>
      <protection locked="0"/>
    </xf>
    <xf numFmtId="0" fontId="27" fillId="0" borderId="0">
      <alignment vertical="top"/>
      <protection locked="0"/>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3" fillId="0" borderId="0" applyNumberFormat="0" applyFill="0" applyBorder="0" applyAlignment="0">
      <protection locked="0"/>
    </xf>
    <xf numFmtId="0" fontId="23" fillId="0" borderId="0" applyNumberFormat="0" applyFill="0" applyBorder="0" applyAlignment="0">
      <protection locked="0"/>
    </xf>
    <xf numFmtId="176" fontId="28" fillId="0" borderId="0"/>
    <xf numFmtId="0" fontId="28" fillId="0" borderId="0"/>
    <xf numFmtId="176" fontId="28" fillId="0" borderId="0"/>
    <xf numFmtId="0" fontId="28" fillId="0" borderId="0"/>
    <xf numFmtId="176" fontId="28" fillId="0" borderId="0"/>
    <xf numFmtId="0" fontId="28" fillId="0" borderId="0"/>
    <xf numFmtId="176" fontId="28" fillId="0" borderId="0"/>
    <xf numFmtId="0" fontId="28" fillId="0" borderId="0"/>
    <xf numFmtId="176" fontId="28" fillId="0" borderId="0"/>
    <xf numFmtId="0" fontId="28" fillId="0" borderId="0"/>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8" fillId="0" borderId="0"/>
    <xf numFmtId="0" fontId="28" fillId="0" borderId="0"/>
    <xf numFmtId="176" fontId="28" fillId="0" borderId="0"/>
    <xf numFmtId="0" fontId="28" fillId="0" borderId="0"/>
    <xf numFmtId="176" fontId="28" fillId="0" borderId="0"/>
    <xf numFmtId="0" fontId="28" fillId="0" borderId="0"/>
    <xf numFmtId="176" fontId="28" fillId="0" borderId="0"/>
    <xf numFmtId="0" fontId="28" fillId="0" borderId="0"/>
    <xf numFmtId="176" fontId="28" fillId="0" borderId="0"/>
    <xf numFmtId="0" fontId="28" fillId="0" borderId="0"/>
    <xf numFmtId="176"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8" fillId="0" borderId="0"/>
    <xf numFmtId="0" fontId="28" fillId="0" borderId="0"/>
    <xf numFmtId="176" fontId="28" fillId="0" borderId="0"/>
    <xf numFmtId="0" fontId="28" fillId="0" borderId="0"/>
    <xf numFmtId="176" fontId="28" fillId="0" borderId="0"/>
    <xf numFmtId="0" fontId="28" fillId="0" borderId="0"/>
    <xf numFmtId="176" fontId="28" fillId="0" borderId="0"/>
    <xf numFmtId="0" fontId="28" fillId="0" borderId="0"/>
    <xf numFmtId="176" fontId="28" fillId="0" borderId="0"/>
    <xf numFmtId="0" fontId="28" fillId="0" borderId="0"/>
    <xf numFmtId="176" fontId="27" fillId="0" borderId="0">
      <alignment vertical="top"/>
    </xf>
    <xf numFmtId="0" fontId="27" fillId="0" borderId="0">
      <alignment vertical="top"/>
    </xf>
    <xf numFmtId="176" fontId="23" fillId="0" borderId="0" applyNumberFormat="0" applyFill="0" applyBorder="0" applyAlignment="0" applyProtection="0"/>
    <xf numFmtId="0" fontId="23" fillId="0" borderId="0" applyNumberFormat="0" applyFill="0" applyBorder="0" applyAlignment="0" applyProtection="0"/>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9" fillId="0" borderId="0"/>
    <xf numFmtId="0" fontId="29" fillId="0" borderId="0"/>
    <xf numFmtId="176"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xf>
    <xf numFmtId="176" fontId="27" fillId="0" borderId="0">
      <alignment vertical="top"/>
    </xf>
    <xf numFmtId="0" fontId="27" fillId="0" borderId="0">
      <alignment vertical="top"/>
    </xf>
    <xf numFmtId="176"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xf>
    <xf numFmtId="176" fontId="27" fillId="0" borderId="0">
      <alignment vertical="top"/>
    </xf>
    <xf numFmtId="0" fontId="27" fillId="0" borderId="0">
      <alignment vertical="top"/>
    </xf>
    <xf numFmtId="176"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xf>
    <xf numFmtId="176" fontId="27" fillId="0" borderId="0">
      <alignment vertical="top"/>
    </xf>
    <xf numFmtId="0" fontId="27" fillId="0" borderId="0">
      <alignment vertical="top"/>
    </xf>
    <xf numFmtId="176" fontId="27" fillId="0" borderId="0">
      <alignment vertical="top"/>
    </xf>
    <xf numFmtId="176" fontId="27" fillId="0" borderId="0">
      <alignment vertical="top"/>
    </xf>
    <xf numFmtId="0" fontId="27" fillId="0" borderId="0">
      <alignment vertical="top"/>
    </xf>
    <xf numFmtId="176"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8" fillId="0" borderId="0"/>
    <xf numFmtId="0" fontId="28" fillId="0" borderId="0"/>
    <xf numFmtId="176" fontId="27" fillId="0" borderId="0">
      <alignment vertical="top"/>
    </xf>
    <xf numFmtId="176" fontId="27" fillId="0" borderId="0">
      <alignment vertical="top"/>
    </xf>
    <xf numFmtId="0" fontId="27" fillId="0" borderId="0">
      <alignment vertical="top"/>
    </xf>
    <xf numFmtId="176" fontId="28" fillId="0" borderId="0"/>
    <xf numFmtId="0" fontId="28" fillId="0" borderId="0"/>
    <xf numFmtId="176" fontId="28" fillId="0" borderId="0"/>
    <xf numFmtId="0" fontId="28" fillId="0" borderId="0"/>
    <xf numFmtId="176" fontId="28" fillId="0" borderId="0"/>
    <xf numFmtId="0" fontId="28" fillId="0" borderId="0"/>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8" fillId="0" borderId="0"/>
    <xf numFmtId="0" fontId="28" fillId="0" borderId="0"/>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xf>
    <xf numFmtId="176" fontId="27" fillId="0" borderId="0">
      <alignment vertical="top"/>
    </xf>
    <xf numFmtId="0"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0" fontId="27" fillId="0" borderId="0">
      <alignment vertical="top"/>
      <protection locked="0"/>
    </xf>
    <xf numFmtId="176" fontId="28" fillId="0" borderId="0"/>
    <xf numFmtId="0" fontId="28" fillId="0" borderId="0"/>
    <xf numFmtId="176"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0" fontId="27" fillId="0" borderId="0">
      <alignment vertical="top"/>
      <protection locked="0"/>
    </xf>
    <xf numFmtId="176"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xf>
    <xf numFmtId="0" fontId="27" fillId="0" borderId="0">
      <alignment vertical="top"/>
    </xf>
    <xf numFmtId="176" fontId="27" fillId="0" borderId="0">
      <alignment vertical="top"/>
      <protection locked="0"/>
    </xf>
    <xf numFmtId="0" fontId="27" fillId="0" borderId="0">
      <alignment vertical="top"/>
      <protection locked="0"/>
    </xf>
    <xf numFmtId="176" fontId="27" fillId="0" borderId="0">
      <alignment vertical="top"/>
    </xf>
    <xf numFmtId="0" fontId="27" fillId="0" borderId="0">
      <alignment vertical="top"/>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7" fillId="0" borderId="0">
      <alignment vertical="top"/>
      <protection locked="0"/>
    </xf>
    <xf numFmtId="0" fontId="27" fillId="0" borderId="0">
      <alignment vertical="top"/>
      <protection locked="0"/>
    </xf>
    <xf numFmtId="176" fontId="28" fillId="0" borderId="0"/>
    <xf numFmtId="0" fontId="28" fillId="0" borderId="0"/>
    <xf numFmtId="176" fontId="27" fillId="0" borderId="0">
      <alignment vertical="top"/>
    </xf>
    <xf numFmtId="176" fontId="27" fillId="0" borderId="0">
      <alignment vertical="top"/>
    </xf>
    <xf numFmtId="0" fontId="27" fillId="0" borderId="0">
      <alignment vertical="top"/>
    </xf>
    <xf numFmtId="176" fontId="27" fillId="0" borderId="0">
      <alignment vertical="top"/>
      <protection locked="0"/>
    </xf>
    <xf numFmtId="0" fontId="27" fillId="0" borderId="0">
      <alignment vertical="top"/>
      <protection locked="0"/>
    </xf>
    <xf numFmtId="176" fontId="27" fillId="0" borderId="0">
      <alignment vertical="top"/>
      <protection locked="0"/>
    </xf>
    <xf numFmtId="176" fontId="27" fillId="0" borderId="0">
      <alignment vertical="top"/>
      <protection locked="0"/>
    </xf>
    <xf numFmtId="0" fontId="27" fillId="0" borderId="0">
      <alignment vertical="top"/>
      <protection locked="0"/>
    </xf>
    <xf numFmtId="176" fontId="28" fillId="0" borderId="0"/>
    <xf numFmtId="0" fontId="28" fillId="0" borderId="0"/>
    <xf numFmtId="177" fontId="26" fillId="0" borderId="0" applyFill="0" applyBorder="0" applyProtection="0">
      <alignment horizontal="right"/>
    </xf>
    <xf numFmtId="178" fontId="26" fillId="0" borderId="0" applyFill="0" applyBorder="0" applyProtection="0">
      <alignment horizontal="right"/>
    </xf>
    <xf numFmtId="179" fontId="30" fillId="0" borderId="0" applyFill="0" applyBorder="0" applyProtection="0">
      <alignment horizontal="center"/>
    </xf>
    <xf numFmtId="180" fontId="30" fillId="0" borderId="0" applyFill="0" applyBorder="0" applyProtection="0">
      <alignment horizontal="center"/>
    </xf>
    <xf numFmtId="181" fontId="31" fillId="0" borderId="0" applyFill="0" applyBorder="0" applyProtection="0">
      <alignment horizontal="right"/>
    </xf>
    <xf numFmtId="182" fontId="26" fillId="0" borderId="0" applyFill="0" applyBorder="0" applyProtection="0">
      <alignment horizontal="right"/>
    </xf>
    <xf numFmtId="183" fontId="26" fillId="0" borderId="0" applyFill="0" applyBorder="0" applyProtection="0">
      <alignment horizontal="right"/>
    </xf>
    <xf numFmtId="184" fontId="26" fillId="0" borderId="0" applyFill="0" applyBorder="0" applyProtection="0">
      <alignment horizontal="right"/>
    </xf>
    <xf numFmtId="185" fontId="26" fillId="0" borderId="0" applyFill="0" applyBorder="0" applyProtection="0">
      <alignment horizontal="right"/>
    </xf>
    <xf numFmtId="186" fontId="32" fillId="0" borderId="0" applyFont="0" applyFill="0" applyBorder="0" applyAlignment="0" applyProtection="0"/>
    <xf numFmtId="176" fontId="29" fillId="0" borderId="0"/>
    <xf numFmtId="0" fontId="29" fillId="0" borderId="0"/>
    <xf numFmtId="187" fontId="32" fillId="0" borderId="0" applyFont="0" applyFill="0" applyBorder="0" applyAlignment="0" applyProtection="0"/>
    <xf numFmtId="10" fontId="32" fillId="0" borderId="0" applyFont="0" applyFill="0" applyBorder="0" applyAlignment="0" applyProtection="0"/>
    <xf numFmtId="188" fontId="125" fillId="0" borderId="0" applyFont="0" applyFill="0" applyBorder="0" applyAlignment="0" applyProtection="0"/>
    <xf numFmtId="176" fontId="33" fillId="6" borderId="0" applyNumberFormat="0" applyBorder="0" applyAlignment="0" applyProtection="0"/>
    <xf numFmtId="176" fontId="33" fillId="7" borderId="0" applyNumberFormat="0" applyBorder="0" applyAlignment="0" applyProtection="0"/>
    <xf numFmtId="176" fontId="33" fillId="8" borderId="0" applyNumberFormat="0" applyBorder="0" applyAlignment="0" applyProtection="0"/>
    <xf numFmtId="176" fontId="33" fillId="9" borderId="0" applyNumberFormat="0" applyBorder="0" applyAlignment="0" applyProtection="0"/>
    <xf numFmtId="176" fontId="33" fillId="10" borderId="0" applyNumberFormat="0" applyBorder="0" applyAlignment="0" applyProtection="0"/>
    <xf numFmtId="176" fontId="33" fillId="11" borderId="0" applyNumberFormat="0" applyBorder="0" applyAlignment="0" applyProtection="0"/>
    <xf numFmtId="176" fontId="33" fillId="12" borderId="0" applyNumberFormat="0" applyBorder="0" applyAlignment="0" applyProtection="0"/>
    <xf numFmtId="176" fontId="33" fillId="13" borderId="0" applyNumberFormat="0" applyBorder="0" applyAlignment="0" applyProtection="0"/>
    <xf numFmtId="176" fontId="33" fillId="14" borderId="0" applyNumberFormat="0" applyBorder="0" applyAlignment="0" applyProtection="0"/>
    <xf numFmtId="176" fontId="33" fillId="9" borderId="0" applyNumberFormat="0" applyBorder="0" applyAlignment="0" applyProtection="0"/>
    <xf numFmtId="176" fontId="33" fillId="12" borderId="0" applyNumberFormat="0" applyBorder="0" applyAlignment="0" applyProtection="0"/>
    <xf numFmtId="176" fontId="33" fillId="15" borderId="0" applyNumberFormat="0" applyBorder="0" applyAlignment="0" applyProtection="0"/>
    <xf numFmtId="176" fontId="34" fillId="16" borderId="0" applyNumberFormat="0" applyBorder="0" applyAlignment="0" applyProtection="0"/>
    <xf numFmtId="176" fontId="34" fillId="13" borderId="0" applyNumberFormat="0" applyBorder="0" applyAlignment="0" applyProtection="0"/>
    <xf numFmtId="176" fontId="34" fillId="14" borderId="0" applyNumberFormat="0" applyBorder="0" applyAlignment="0" applyProtection="0"/>
    <xf numFmtId="176" fontId="34" fillId="17" borderId="0" applyNumberFormat="0" applyBorder="0" applyAlignment="0" applyProtection="0"/>
    <xf numFmtId="176" fontId="34" fillId="18" borderId="0" applyNumberFormat="0" applyBorder="0" applyAlignment="0" applyProtection="0"/>
    <xf numFmtId="176" fontId="34" fillId="19" borderId="0" applyNumberFormat="0" applyBorder="0" applyAlignment="0" applyProtection="0"/>
    <xf numFmtId="176" fontId="35" fillId="0" borderId="9">
      <alignment horizontal="center"/>
    </xf>
    <xf numFmtId="0" fontId="35" fillId="0" borderId="9">
      <alignment horizontal="center"/>
    </xf>
    <xf numFmtId="176" fontId="36" fillId="0" borderId="0"/>
    <xf numFmtId="0" fontId="36" fillId="0" borderId="0"/>
    <xf numFmtId="176" fontId="36" fillId="0" borderId="7" applyFill="0">
      <alignment horizontal="center"/>
      <protection locked="0"/>
    </xf>
    <xf numFmtId="0" fontId="36" fillId="0" borderId="7" applyFill="0">
      <alignment horizontal="center"/>
      <protection locked="0"/>
    </xf>
    <xf numFmtId="176" fontId="35" fillId="0" borderId="0" applyFill="0">
      <alignment horizontal="center"/>
      <protection locked="0"/>
    </xf>
    <xf numFmtId="0" fontId="35" fillId="0" borderId="0" applyFill="0">
      <alignment horizontal="center"/>
      <protection locked="0"/>
    </xf>
    <xf numFmtId="176" fontId="35" fillId="20" borderId="0"/>
    <xf numFmtId="0" fontId="35" fillId="20" borderId="0"/>
    <xf numFmtId="176" fontId="35" fillId="0" borderId="0">
      <protection locked="0"/>
    </xf>
    <xf numFmtId="0" fontId="35" fillId="0" borderId="0">
      <protection locked="0"/>
    </xf>
    <xf numFmtId="176" fontId="35" fillId="0" borderId="0"/>
    <xf numFmtId="0" fontId="35" fillId="0" borderId="0"/>
    <xf numFmtId="189" fontId="35" fillId="0" borderId="0"/>
    <xf numFmtId="190" fontId="35" fillId="0" borderId="0"/>
    <xf numFmtId="176" fontId="36" fillId="21" borderId="0">
      <alignment horizontal="right"/>
    </xf>
    <xf numFmtId="0" fontId="36" fillId="21" borderId="0">
      <alignment horizontal="right"/>
    </xf>
    <xf numFmtId="176" fontId="35" fillId="0" borderId="0"/>
    <xf numFmtId="0" fontId="35" fillId="0" borderId="0"/>
    <xf numFmtId="176" fontId="34" fillId="22" borderId="0" applyNumberFormat="0" applyBorder="0" applyAlignment="0" applyProtection="0"/>
    <xf numFmtId="176" fontId="37" fillId="23" borderId="0" applyNumberFormat="0" applyBorder="0" applyAlignment="0" applyProtection="0"/>
    <xf numFmtId="0" fontId="37" fillId="23" borderId="0" applyNumberFormat="0" applyBorder="0" applyAlignment="0" applyProtection="0"/>
    <xf numFmtId="176" fontId="37" fillId="23" borderId="0" applyNumberFormat="0" applyBorder="0" applyAlignment="0" applyProtection="0"/>
    <xf numFmtId="0" fontId="37" fillId="23" borderId="0" applyNumberFormat="0" applyBorder="0" applyAlignment="0" applyProtection="0"/>
    <xf numFmtId="176" fontId="38" fillId="24" borderId="0" applyNumberFormat="0" applyBorder="0" applyAlignment="0" applyProtection="0"/>
    <xf numFmtId="0" fontId="38" fillId="24" borderId="0" applyNumberFormat="0" applyBorder="0" applyAlignment="0" applyProtection="0"/>
    <xf numFmtId="176" fontId="34" fillId="25" borderId="0" applyNumberFormat="0" applyBorder="0" applyAlignment="0" applyProtection="0"/>
    <xf numFmtId="176" fontId="37" fillId="26" borderId="0" applyNumberFormat="0" applyBorder="0" applyAlignment="0" applyProtection="0"/>
    <xf numFmtId="0" fontId="37" fillId="26" borderId="0" applyNumberFormat="0" applyBorder="0" applyAlignment="0" applyProtection="0"/>
    <xf numFmtId="176" fontId="37" fillId="27" borderId="0" applyNumberFormat="0" applyBorder="0" applyAlignment="0" applyProtection="0"/>
    <xf numFmtId="0" fontId="37" fillId="27" borderId="0" applyNumberFormat="0" applyBorder="0" applyAlignment="0" applyProtection="0"/>
    <xf numFmtId="176" fontId="38" fillId="28" borderId="0" applyNumberFormat="0" applyBorder="0" applyAlignment="0" applyProtection="0"/>
    <xf numFmtId="0" fontId="38" fillId="28" borderId="0" applyNumberFormat="0" applyBorder="0" applyAlignment="0" applyProtection="0"/>
    <xf numFmtId="176" fontId="34" fillId="29" borderId="0" applyNumberFormat="0" applyBorder="0" applyAlignment="0" applyProtection="0"/>
    <xf numFmtId="176" fontId="37" fillId="26" borderId="0" applyNumberFormat="0" applyBorder="0" applyAlignment="0" applyProtection="0"/>
    <xf numFmtId="0" fontId="37" fillId="26" borderId="0" applyNumberFormat="0" applyBorder="0" applyAlignment="0" applyProtection="0"/>
    <xf numFmtId="176" fontId="37" fillId="30" borderId="0" applyNumberFormat="0" applyBorder="0" applyAlignment="0" applyProtection="0"/>
    <xf numFmtId="0" fontId="37" fillId="30" borderId="0" applyNumberFormat="0" applyBorder="0" applyAlignment="0" applyProtection="0"/>
    <xf numFmtId="176" fontId="38" fillId="27" borderId="0" applyNumberFormat="0" applyBorder="0" applyAlignment="0" applyProtection="0"/>
    <xf numFmtId="0" fontId="38" fillId="27" borderId="0" applyNumberFormat="0" applyBorder="0" applyAlignment="0" applyProtection="0"/>
    <xf numFmtId="176" fontId="34" fillId="17" borderId="0" applyNumberFormat="0" applyBorder="0" applyAlignment="0" applyProtection="0"/>
    <xf numFmtId="176" fontId="37" fillId="23" borderId="0" applyNumberFormat="0" applyBorder="0" applyAlignment="0" applyProtection="0"/>
    <xf numFmtId="0" fontId="37" fillId="23" borderId="0" applyNumberFormat="0" applyBorder="0" applyAlignment="0" applyProtection="0"/>
    <xf numFmtId="176" fontId="37" fillId="27" borderId="0" applyNumberFormat="0" applyBorder="0" applyAlignment="0" applyProtection="0"/>
    <xf numFmtId="0" fontId="37" fillId="27" borderId="0" applyNumberFormat="0" applyBorder="0" applyAlignment="0" applyProtection="0"/>
    <xf numFmtId="176" fontId="38" fillId="27" borderId="0" applyNumberFormat="0" applyBorder="0" applyAlignment="0" applyProtection="0"/>
    <xf numFmtId="0" fontId="38" fillId="27" borderId="0" applyNumberFormat="0" applyBorder="0" applyAlignment="0" applyProtection="0"/>
    <xf numFmtId="176" fontId="34" fillId="18" borderId="0" applyNumberFormat="0" applyBorder="0" applyAlignment="0" applyProtection="0"/>
    <xf numFmtId="176" fontId="37" fillId="31" borderId="0" applyNumberFormat="0" applyBorder="0" applyAlignment="0" applyProtection="0"/>
    <xf numFmtId="0" fontId="37" fillId="31" borderId="0" applyNumberFormat="0" applyBorder="0" applyAlignment="0" applyProtection="0"/>
    <xf numFmtId="176" fontId="37" fillId="23" borderId="0" applyNumberFormat="0" applyBorder="0" applyAlignment="0" applyProtection="0"/>
    <xf numFmtId="0" fontId="37" fillId="23" borderId="0" applyNumberFormat="0" applyBorder="0" applyAlignment="0" applyProtection="0"/>
    <xf numFmtId="176" fontId="38" fillId="24" borderId="0" applyNumberFormat="0" applyBorder="0" applyAlignment="0" applyProtection="0"/>
    <xf numFmtId="0" fontId="38" fillId="24" borderId="0" applyNumberFormat="0" applyBorder="0" applyAlignment="0" applyProtection="0"/>
    <xf numFmtId="176" fontId="34" fillId="32" borderId="0" applyNumberFormat="0" applyBorder="0" applyAlignment="0" applyProtection="0"/>
    <xf numFmtId="176" fontId="37" fillId="26" borderId="0" applyNumberFormat="0" applyBorder="0" applyAlignment="0" applyProtection="0"/>
    <xf numFmtId="0" fontId="37" fillId="26" borderId="0" applyNumberFormat="0" applyBorder="0" applyAlignment="0" applyProtection="0"/>
    <xf numFmtId="176" fontId="37" fillId="33" borderId="0" applyNumberFormat="0" applyBorder="0" applyAlignment="0" applyProtection="0"/>
    <xf numFmtId="0" fontId="37" fillId="33" borderId="0" applyNumberFormat="0" applyBorder="0" applyAlignment="0" applyProtection="0"/>
    <xf numFmtId="176" fontId="38" fillId="33" borderId="0" applyNumberFormat="0" applyBorder="0" applyAlignment="0" applyProtection="0"/>
    <xf numFmtId="0" fontId="38" fillId="33" borderId="0" applyNumberFormat="0" applyBorder="0" applyAlignment="0" applyProtection="0"/>
    <xf numFmtId="176" fontId="39" fillId="0" borderId="0">
      <alignment horizontal="center" wrapText="1"/>
      <protection locked="0"/>
    </xf>
    <xf numFmtId="0" fontId="39" fillId="0" borderId="0">
      <alignment horizontal="center" wrapText="1"/>
      <protection locked="0"/>
    </xf>
    <xf numFmtId="176" fontId="40" fillId="7" borderId="0" applyNumberFormat="0" applyBorder="0" applyAlignment="0" applyProtection="0"/>
    <xf numFmtId="3" fontId="41" fillId="0" borderId="0"/>
    <xf numFmtId="191" fontId="42" fillId="0" borderId="10" applyAlignment="0" applyProtection="0"/>
    <xf numFmtId="192" fontId="27" fillId="0" borderId="0" applyFill="0" applyBorder="0" applyAlignment="0"/>
    <xf numFmtId="193" fontId="23" fillId="0" borderId="0" applyFill="0" applyBorder="0" applyAlignment="0"/>
    <xf numFmtId="194" fontId="23" fillId="0" borderId="0" applyFill="0" applyBorder="0" applyAlignment="0"/>
    <xf numFmtId="195" fontId="23" fillId="0" borderId="0" applyFill="0" applyBorder="0" applyAlignment="0"/>
    <xf numFmtId="196" fontId="23" fillId="0" borderId="0" applyFill="0" applyBorder="0" applyAlignment="0"/>
    <xf numFmtId="197" fontId="23" fillId="0" borderId="0" applyFill="0" applyBorder="0" applyAlignment="0"/>
    <xf numFmtId="198" fontId="23" fillId="0" borderId="0" applyFill="0" applyBorder="0" applyAlignment="0"/>
    <xf numFmtId="193" fontId="23" fillId="0" borderId="0" applyFill="0" applyBorder="0" applyAlignment="0"/>
    <xf numFmtId="176" fontId="43" fillId="34" borderId="11" applyNumberFormat="0" applyAlignment="0" applyProtection="0"/>
    <xf numFmtId="176" fontId="44" fillId="0" borderId="0"/>
    <xf numFmtId="0" fontId="44" fillId="0" borderId="0"/>
    <xf numFmtId="176" fontId="45" fillId="35" borderId="12" applyNumberFormat="0" applyAlignment="0" applyProtection="0"/>
    <xf numFmtId="176" fontId="46" fillId="0" borderId="13" applyNumberFormat="0" applyFill="0" applyProtection="0">
      <alignment horizontal="center"/>
    </xf>
    <xf numFmtId="0" fontId="46" fillId="0" borderId="13" applyNumberFormat="0" applyFill="0" applyProtection="0">
      <alignment horizontal="center"/>
    </xf>
    <xf numFmtId="176" fontId="47" fillId="0" borderId="14">
      <alignment horizontal="center"/>
    </xf>
    <xf numFmtId="199" fontId="23" fillId="0" borderId="0"/>
    <xf numFmtId="199" fontId="23" fillId="0" borderId="0"/>
    <xf numFmtId="199" fontId="23" fillId="0" borderId="0"/>
    <xf numFmtId="199" fontId="23" fillId="0" borderId="0"/>
    <xf numFmtId="199" fontId="23" fillId="0" borderId="0"/>
    <xf numFmtId="199" fontId="23" fillId="0" borderId="0"/>
    <xf numFmtId="199" fontId="23" fillId="0" borderId="0"/>
    <xf numFmtId="199" fontId="23" fillId="0" borderId="0"/>
    <xf numFmtId="200" fontId="125" fillId="0" borderId="0" applyFont="0" applyFill="0" applyBorder="0" applyAlignment="0" applyProtection="0"/>
    <xf numFmtId="197" fontId="23" fillId="0" borderId="0" applyFont="0" applyFill="0" applyBorder="0" applyAlignment="0" applyProtection="0"/>
    <xf numFmtId="43" fontId="1" fillId="0" borderId="0" applyFont="0" applyFill="0" applyBorder="0" applyAlignment="0" applyProtection="0">
      <alignment vertical="center"/>
    </xf>
    <xf numFmtId="43" fontId="125" fillId="0" borderId="0" applyFont="0" applyFill="0" applyBorder="0" applyAlignment="0" applyProtection="0"/>
    <xf numFmtId="43" fontId="125" fillId="0" borderId="0" applyFont="0" applyFill="0" applyBorder="0" applyAlignment="0" applyProtection="0"/>
    <xf numFmtId="201" fontId="26" fillId="0" borderId="0"/>
    <xf numFmtId="37" fontId="32" fillId="0" borderId="0" applyFont="0" applyFill="0" applyBorder="0" applyAlignment="0" applyProtection="0"/>
    <xf numFmtId="202" fontId="32" fillId="0" borderId="0" applyFont="0" applyFill="0" applyBorder="0" applyAlignment="0" applyProtection="0"/>
    <xf numFmtId="39" fontId="32" fillId="0" borderId="0" applyFont="0" applyFill="0" applyBorder="0" applyAlignment="0" applyProtection="0"/>
    <xf numFmtId="40" fontId="48" fillId="0" borderId="0" applyFont="0" applyFill="0" applyBorder="0" applyAlignment="0" applyProtection="0"/>
    <xf numFmtId="176" fontId="49" fillId="0" borderId="0" applyNumberFormat="0" applyAlignment="0">
      <alignment horizontal="left"/>
    </xf>
    <xf numFmtId="0" fontId="49" fillId="0" borderId="0" applyNumberFormat="0" applyAlignment="0">
      <alignment horizontal="left"/>
    </xf>
    <xf numFmtId="176" fontId="50" fillId="0" borderId="0" applyNumberFormat="0" applyAlignment="0"/>
    <xf numFmtId="0" fontId="50" fillId="0" borderId="0" applyNumberFormat="0" applyAlignment="0"/>
    <xf numFmtId="200" fontId="51" fillId="0" borderId="0" applyFont="0" applyFill="0" applyBorder="0" applyAlignment="0" applyProtection="0"/>
    <xf numFmtId="193" fontId="23" fillId="0" borderId="0" applyFont="0" applyFill="0" applyBorder="0" applyAlignment="0" applyProtection="0"/>
    <xf numFmtId="191" fontId="32" fillId="0" borderId="0" applyFont="0" applyFill="0" applyBorder="0" applyAlignment="0" applyProtection="0"/>
    <xf numFmtId="203" fontId="32" fillId="0" borderId="0" applyFont="0" applyFill="0" applyBorder="0" applyAlignment="0" applyProtection="0"/>
    <xf numFmtId="204" fontId="125" fillId="0" borderId="0" applyFont="0" applyFill="0" applyBorder="0" applyAlignment="0" applyProtection="0"/>
    <xf numFmtId="205" fontId="26" fillId="0" borderId="0"/>
    <xf numFmtId="206" fontId="23" fillId="0" borderId="0">
      <protection locked="0"/>
    </xf>
    <xf numFmtId="15" fontId="48" fillId="0" borderId="0"/>
    <xf numFmtId="14" fontId="27" fillId="0" borderId="0" applyFill="0" applyBorder="0" applyAlignment="0"/>
    <xf numFmtId="206" fontId="23" fillId="0" borderId="0">
      <protection locked="0"/>
    </xf>
    <xf numFmtId="41" fontId="23" fillId="0" borderId="0" applyFont="0" applyFill="0" applyBorder="0" applyAlignment="0" applyProtection="0"/>
    <xf numFmtId="43" fontId="23" fillId="0" borderId="0" applyFont="0" applyFill="0" applyBorder="0" applyAlignment="0" applyProtection="0"/>
    <xf numFmtId="207" fontId="26" fillId="0" borderId="0"/>
    <xf numFmtId="176" fontId="52" fillId="0" borderId="0" applyNumberFormat="0" applyFill="0" applyBorder="0" applyAlignment="0" applyProtection="0"/>
    <xf numFmtId="0" fontId="52" fillId="0" borderId="0" applyNumberFormat="0" applyFill="0" applyBorder="0" applyAlignment="0" applyProtection="0"/>
    <xf numFmtId="197" fontId="23" fillId="0" borderId="0" applyFill="0" applyBorder="0" applyAlignment="0"/>
    <xf numFmtId="193" fontId="23" fillId="0" borderId="0" applyFill="0" applyBorder="0" applyAlignment="0"/>
    <xf numFmtId="197" fontId="23" fillId="0" borderId="0" applyFill="0" applyBorder="0" applyAlignment="0"/>
    <xf numFmtId="198" fontId="23" fillId="0" borderId="0" applyFill="0" applyBorder="0" applyAlignment="0"/>
    <xf numFmtId="193" fontId="23" fillId="0" borderId="0" applyFill="0" applyBorder="0" applyAlignment="0"/>
    <xf numFmtId="176" fontId="53" fillId="0" borderId="0" applyNumberFormat="0" applyAlignment="0">
      <alignment horizontal="left"/>
    </xf>
    <xf numFmtId="0" fontId="53" fillId="0" borderId="0" applyNumberFormat="0" applyAlignment="0">
      <alignment horizontal="left"/>
    </xf>
    <xf numFmtId="176" fontId="54" fillId="0" borderId="0">
      <alignment horizontal="left"/>
    </xf>
    <xf numFmtId="176" fontId="54" fillId="0" borderId="0">
      <alignment horizontal="left"/>
    </xf>
    <xf numFmtId="0" fontId="54" fillId="0" borderId="0">
      <alignment horizontal="left"/>
    </xf>
    <xf numFmtId="176" fontId="55" fillId="36" borderId="9"/>
    <xf numFmtId="176" fontId="55" fillId="36" borderId="9"/>
    <xf numFmtId="0" fontId="55" fillId="36" borderId="9"/>
    <xf numFmtId="176" fontId="26" fillId="0" borderId="0" applyFont="0" applyFill="0" applyBorder="0" applyAlignment="0" applyProtection="0"/>
    <xf numFmtId="176" fontId="56" fillId="0" borderId="0" applyNumberFormat="0" applyFill="0" applyBorder="0" applyAlignment="0" applyProtection="0"/>
    <xf numFmtId="206" fontId="23" fillId="0" borderId="0">
      <protection locked="0"/>
    </xf>
    <xf numFmtId="206" fontId="23" fillId="0" borderId="0">
      <protection locked="0"/>
    </xf>
    <xf numFmtId="206" fontId="23" fillId="0" borderId="0">
      <protection locked="0"/>
    </xf>
    <xf numFmtId="206" fontId="23" fillId="0" borderId="0">
      <protection locked="0"/>
    </xf>
    <xf numFmtId="206" fontId="23" fillId="0" borderId="0">
      <protection locked="0"/>
    </xf>
    <xf numFmtId="206" fontId="23" fillId="0" borderId="0">
      <protection locked="0"/>
    </xf>
    <xf numFmtId="206" fontId="23" fillId="0" borderId="0">
      <protection locked="0"/>
    </xf>
    <xf numFmtId="206" fontId="23" fillId="0" borderId="0">
      <protection locked="0"/>
    </xf>
    <xf numFmtId="176" fontId="57" fillId="0" borderId="0" applyNumberFormat="0" applyFill="0" applyBorder="0" applyAlignment="0" applyProtection="0">
      <alignment vertical="top"/>
      <protection locked="0"/>
    </xf>
    <xf numFmtId="176" fontId="58" fillId="8" borderId="0" applyNumberFormat="0" applyBorder="0" applyAlignment="0" applyProtection="0"/>
    <xf numFmtId="38" fontId="55" fillId="34" borderId="0" applyNumberFormat="0" applyBorder="0" applyAlignment="0" applyProtection="0"/>
    <xf numFmtId="176" fontId="59" fillId="0" borderId="0">
      <alignment horizontal="left"/>
    </xf>
    <xf numFmtId="0" fontId="59" fillId="0" borderId="0">
      <alignment horizontal="left"/>
    </xf>
    <xf numFmtId="176" fontId="60" fillId="0" borderId="8" applyNumberFormat="0" applyAlignment="0" applyProtection="0">
      <alignment horizontal="left" vertical="center"/>
    </xf>
    <xf numFmtId="176" fontId="60" fillId="0" borderId="8" applyNumberFormat="0" applyAlignment="0" applyProtection="0">
      <alignment horizontal="left" vertical="center"/>
    </xf>
    <xf numFmtId="0" fontId="60" fillId="0" borderId="8" applyNumberFormat="0" applyAlignment="0" applyProtection="0">
      <alignment horizontal="left" vertical="center"/>
    </xf>
    <xf numFmtId="176" fontId="60" fillId="0" borderId="15">
      <alignment horizontal="left" vertical="center"/>
    </xf>
    <xf numFmtId="176" fontId="60" fillId="0" borderId="15">
      <alignment horizontal="left" vertical="center"/>
    </xf>
    <xf numFmtId="0" fontId="60" fillId="0" borderId="15">
      <alignment horizontal="left" vertical="center"/>
    </xf>
    <xf numFmtId="14" fontId="61" fillId="10" borderId="7">
      <alignment horizontal="center" vertical="center" wrapText="1"/>
    </xf>
    <xf numFmtId="176" fontId="62" fillId="0" borderId="16" applyNumberFormat="0" applyFill="0" applyAlignment="0" applyProtection="0"/>
    <xf numFmtId="176" fontId="63" fillId="0" borderId="17" applyNumberFormat="0" applyFill="0" applyAlignment="0" applyProtection="0"/>
    <xf numFmtId="176" fontId="64" fillId="0" borderId="18" applyNumberFormat="0" applyFill="0" applyAlignment="0" applyProtection="0"/>
    <xf numFmtId="176" fontId="64" fillId="0" borderId="0" applyNumberFormat="0" applyFill="0" applyBorder="0" applyAlignment="0" applyProtection="0"/>
    <xf numFmtId="206" fontId="23" fillId="0" borderId="0">
      <protection locked="0"/>
    </xf>
    <xf numFmtId="206" fontId="23" fillId="0" borderId="0">
      <protection locked="0"/>
    </xf>
    <xf numFmtId="176" fontId="65" fillId="0" borderId="0" applyNumberFormat="0" applyFill="0" applyBorder="0" applyAlignment="0" applyProtection="0">
      <alignment vertical="top"/>
      <protection locked="0"/>
    </xf>
    <xf numFmtId="176" fontId="66" fillId="11" borderId="11" applyNumberFormat="0" applyAlignment="0" applyProtection="0"/>
    <xf numFmtId="10" fontId="55" fillId="37" borderId="9" applyNumberFormat="0" applyBorder="0" applyAlignment="0" applyProtection="0"/>
    <xf numFmtId="202" fontId="67" fillId="38" borderId="0"/>
    <xf numFmtId="208" fontId="125" fillId="38" borderId="0"/>
    <xf numFmtId="176" fontId="26" fillId="0" borderId="0" applyNumberFormat="0" applyFont="0" applyFill="0" applyBorder="0" applyProtection="0">
      <alignment horizontal="left" vertical="center"/>
    </xf>
    <xf numFmtId="176" fontId="26" fillId="0" borderId="0" applyNumberFormat="0" applyFont="0" applyFill="0" applyBorder="0" applyProtection="0">
      <alignment horizontal="left" vertical="center"/>
    </xf>
    <xf numFmtId="0" fontId="26" fillId="0" borderId="0" applyNumberFormat="0" applyFont="0" applyFill="0" applyBorder="0" applyProtection="0">
      <alignment horizontal="left" vertical="center"/>
    </xf>
    <xf numFmtId="197" fontId="23" fillId="0" borderId="0" applyFill="0" applyBorder="0" applyAlignment="0"/>
    <xf numFmtId="193" fontId="23" fillId="0" borderId="0" applyFill="0" applyBorder="0" applyAlignment="0"/>
    <xf numFmtId="197" fontId="23" fillId="0" borderId="0" applyFill="0" applyBorder="0" applyAlignment="0"/>
    <xf numFmtId="198" fontId="23" fillId="0" borderId="0" applyFill="0" applyBorder="0" applyAlignment="0"/>
    <xf numFmtId="193" fontId="23" fillId="0" borderId="0" applyFill="0" applyBorder="0" applyAlignment="0"/>
    <xf numFmtId="176" fontId="68" fillId="0" borderId="19" applyNumberFormat="0" applyFill="0" applyAlignment="0" applyProtection="0"/>
    <xf numFmtId="202" fontId="69" fillId="39" borderId="0"/>
    <xf numFmtId="208" fontId="125" fillId="39" borderId="0"/>
    <xf numFmtId="41" fontId="23" fillId="0" borderId="0" applyFont="0" applyFill="0" applyBorder="0" applyAlignment="0" applyProtection="0"/>
    <xf numFmtId="43"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70" fillId="0" borderId="7"/>
    <xf numFmtId="0" fontId="70" fillId="0" borderId="7"/>
    <xf numFmtId="200" fontId="23" fillId="0" borderId="0" applyFont="0" applyFill="0" applyBorder="0" applyAlignment="0" applyProtection="0"/>
    <xf numFmtId="209"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210" fontId="23" fillId="0" borderId="0" applyFont="0" applyFill="0" applyBorder="0" applyAlignment="0" applyProtection="0"/>
    <xf numFmtId="211" fontId="125" fillId="0" borderId="0" applyFont="0" applyFill="0" applyBorder="0" applyAlignment="0" applyProtection="0"/>
    <xf numFmtId="176" fontId="71" fillId="40" borderId="0" applyNumberFormat="0" applyBorder="0" applyAlignment="0" applyProtection="0"/>
    <xf numFmtId="176" fontId="26" fillId="0" borderId="0"/>
    <xf numFmtId="0" fontId="26" fillId="0" borderId="0"/>
    <xf numFmtId="37" fontId="72" fillId="0" borderId="0"/>
    <xf numFmtId="176" fontId="50" fillId="0" borderId="0"/>
    <xf numFmtId="0" fontId="50" fillId="0" borderId="0"/>
    <xf numFmtId="212" fontId="125" fillId="0" borderId="0"/>
    <xf numFmtId="176" fontId="23" fillId="0" borderId="0"/>
    <xf numFmtId="176" fontId="23" fillId="0" borderId="0"/>
    <xf numFmtId="0" fontId="23" fillId="0" borderId="0"/>
    <xf numFmtId="0" fontId="23" fillId="0" borderId="0"/>
    <xf numFmtId="176" fontId="125" fillId="0" borderId="0"/>
    <xf numFmtId="0" fontId="125" fillId="0" borderId="0"/>
    <xf numFmtId="176" fontId="125" fillId="0" borderId="0">
      <alignment vertical="center"/>
    </xf>
    <xf numFmtId="0" fontId="125" fillId="0" borderId="0">
      <alignment vertical="center"/>
    </xf>
    <xf numFmtId="176" fontId="48" fillId="0" borderId="0"/>
    <xf numFmtId="176" fontId="73" fillId="0" borderId="0"/>
    <xf numFmtId="176" fontId="23" fillId="37" borderId="20" applyNumberFormat="0" applyFont="0" applyAlignment="0" applyProtection="0"/>
    <xf numFmtId="213" fontId="125" fillId="0" borderId="0" applyFont="0" applyFill="0" applyBorder="0" applyAlignment="0" applyProtection="0"/>
    <xf numFmtId="214" fontId="125" fillId="0" borderId="0" applyFont="0" applyFill="0" applyBorder="0" applyAlignment="0" applyProtection="0"/>
    <xf numFmtId="176" fontId="74" fillId="34" borderId="21" applyNumberFormat="0" applyAlignment="0" applyProtection="0"/>
    <xf numFmtId="14" fontId="39" fillId="0" borderId="0">
      <alignment horizontal="center" wrapText="1"/>
      <protection locked="0"/>
    </xf>
    <xf numFmtId="215" fontId="23" fillId="0" borderId="0" applyFont="0" applyFill="0" applyBorder="0" applyAlignment="0" applyProtection="0"/>
    <xf numFmtId="196" fontId="23" fillId="0" borderId="0" applyFont="0" applyFill="0" applyBorder="0" applyAlignment="0" applyProtection="0"/>
    <xf numFmtId="186" fontId="23" fillId="0" borderId="0" applyFont="0" applyFill="0" applyBorder="0" applyAlignment="0" applyProtection="0"/>
    <xf numFmtId="10" fontId="23" fillId="0" borderId="0" applyFont="0" applyFill="0" applyBorder="0" applyAlignment="0" applyProtection="0"/>
    <xf numFmtId="9" fontId="28" fillId="0" borderId="0" applyFont="0" applyFill="0" applyBorder="0" applyAlignment="0" applyProtection="0"/>
    <xf numFmtId="13" fontId="23" fillId="0" borderId="0" applyFont="0" applyFill="0" applyProtection="0"/>
    <xf numFmtId="176" fontId="55" fillId="34" borderId="9"/>
    <xf numFmtId="176" fontId="55" fillId="34" borderId="9"/>
    <xf numFmtId="0" fontId="55" fillId="34" borderId="9"/>
    <xf numFmtId="197" fontId="23" fillId="0" borderId="0" applyFill="0" applyBorder="0" applyAlignment="0"/>
    <xf numFmtId="193" fontId="23" fillId="0" borderId="0" applyFill="0" applyBorder="0" applyAlignment="0"/>
    <xf numFmtId="197" fontId="23" fillId="0" borderId="0" applyFill="0" applyBorder="0" applyAlignment="0"/>
    <xf numFmtId="198" fontId="23" fillId="0" borderId="0" applyFill="0" applyBorder="0" applyAlignment="0"/>
    <xf numFmtId="193" fontId="23" fillId="0" borderId="0" applyFill="0" applyBorder="0" applyAlignment="0"/>
    <xf numFmtId="4" fontId="54" fillId="0" borderId="0">
      <alignment horizontal="right"/>
    </xf>
    <xf numFmtId="216" fontId="75" fillId="0" borderId="0"/>
    <xf numFmtId="188" fontId="75" fillId="0" borderId="0"/>
    <xf numFmtId="176" fontId="48" fillId="0" borderId="0" applyNumberFormat="0" applyFont="0" applyFill="0" applyBorder="0" applyAlignment="0" applyProtection="0">
      <alignment horizontal="left"/>
    </xf>
    <xf numFmtId="0" fontId="48" fillId="0" borderId="0" applyNumberFormat="0" applyFont="0" applyFill="0" applyBorder="0" applyAlignment="0" applyProtection="0">
      <alignment horizontal="left"/>
    </xf>
    <xf numFmtId="176" fontId="42" fillId="0" borderId="7">
      <alignment horizontal="center"/>
    </xf>
    <xf numFmtId="0" fontId="42" fillId="0" borderId="7">
      <alignment horizontal="center"/>
    </xf>
    <xf numFmtId="3" fontId="76" fillId="0" borderId="0"/>
    <xf numFmtId="4" fontId="77" fillId="0" borderId="0">
      <alignment horizontal="right"/>
    </xf>
    <xf numFmtId="217" fontId="29" fillId="0" borderId="0" applyNumberFormat="0" applyFill="0" applyBorder="0" applyAlignment="0" applyProtection="0">
      <alignment horizontal="left"/>
    </xf>
    <xf numFmtId="218" fontId="125" fillId="0" borderId="0" applyNumberFormat="0" applyFill="0" applyBorder="0" applyAlignment="0" applyProtection="0">
      <alignment horizontal="left"/>
    </xf>
    <xf numFmtId="41" fontId="26" fillId="0" borderId="0" applyFont="0" applyFill="0" applyBorder="0" applyAlignment="0" applyProtection="0"/>
    <xf numFmtId="176" fontId="78" fillId="41" borderId="0">
      <alignment horizontal="left" vertical="center"/>
    </xf>
    <xf numFmtId="0" fontId="78" fillId="41" borderId="0">
      <alignment horizontal="left" vertical="center"/>
    </xf>
    <xf numFmtId="176" fontId="78" fillId="41" borderId="0">
      <alignment horizontal="right" vertical="center"/>
    </xf>
    <xf numFmtId="0" fontId="78" fillId="41" borderId="0">
      <alignment horizontal="right" vertical="center"/>
    </xf>
    <xf numFmtId="4" fontId="79" fillId="40" borderId="22" applyNumberFormat="0" applyProtection="0">
      <alignment vertical="center"/>
    </xf>
    <xf numFmtId="4" fontId="80" fillId="40" borderId="22" applyNumberFormat="0" applyProtection="0">
      <alignment vertical="center"/>
    </xf>
    <xf numFmtId="4" fontId="79" fillId="40" borderId="22" applyNumberFormat="0" applyProtection="0">
      <alignment horizontal="left" vertical="center" indent="1"/>
    </xf>
    <xf numFmtId="176" fontId="79" fillId="40" borderId="22" applyNumberFormat="0" applyProtection="0">
      <alignment horizontal="left" vertical="top" indent="1"/>
    </xf>
    <xf numFmtId="0" fontId="79" fillId="40" borderId="22" applyNumberFormat="0" applyProtection="0">
      <alignment horizontal="left" vertical="top" indent="1"/>
    </xf>
    <xf numFmtId="4" fontId="79" fillId="42" borderId="0" applyNumberFormat="0" applyProtection="0">
      <alignment horizontal="left" vertical="center" indent="1"/>
    </xf>
    <xf numFmtId="4" fontId="27" fillId="7" borderId="22" applyNumberFormat="0" applyProtection="0">
      <alignment horizontal="right" vertical="center"/>
    </xf>
    <xf numFmtId="4" fontId="27" fillId="13" borderId="22" applyNumberFormat="0" applyProtection="0">
      <alignment horizontal="right" vertical="center"/>
    </xf>
    <xf numFmtId="4" fontId="27" fillId="25" borderId="22" applyNumberFormat="0" applyProtection="0">
      <alignment horizontal="right" vertical="center"/>
    </xf>
    <xf numFmtId="4" fontId="27" fillId="15" borderId="22" applyNumberFormat="0" applyProtection="0">
      <alignment horizontal="right" vertical="center"/>
    </xf>
    <xf numFmtId="4" fontId="27" fillId="19" borderId="22" applyNumberFormat="0" applyProtection="0">
      <alignment horizontal="right" vertical="center"/>
    </xf>
    <xf numFmtId="4" fontId="27" fillId="32" borderId="22" applyNumberFormat="0" applyProtection="0">
      <alignment horizontal="right" vertical="center"/>
    </xf>
    <xf numFmtId="4" fontId="27" fillId="29" borderId="22" applyNumberFormat="0" applyProtection="0">
      <alignment horizontal="right" vertical="center"/>
    </xf>
    <xf numFmtId="4" fontId="27" fillId="43" borderId="22" applyNumberFormat="0" applyProtection="0">
      <alignment horizontal="right" vertical="center"/>
    </xf>
    <xf numFmtId="4" fontId="27" fillId="14" borderId="22" applyNumberFormat="0" applyProtection="0">
      <alignment horizontal="right" vertical="center"/>
    </xf>
    <xf numFmtId="4" fontId="79" fillId="44" borderId="23" applyNumberFormat="0" applyProtection="0">
      <alignment horizontal="left" vertical="center" indent="1"/>
    </xf>
    <xf numFmtId="4" fontId="27" fillId="45" borderId="0" applyNumberFormat="0" applyProtection="0">
      <alignment horizontal="left" vertical="center" indent="1"/>
    </xf>
    <xf numFmtId="4" fontId="81" fillId="46" borderId="0" applyNumberFormat="0" applyProtection="0">
      <alignment horizontal="left" vertical="center" indent="1"/>
    </xf>
    <xf numFmtId="4" fontId="27" fillId="42" borderId="22" applyNumberFormat="0" applyProtection="0">
      <alignment horizontal="right" vertical="center"/>
    </xf>
    <xf numFmtId="4" fontId="27" fillId="45" borderId="0" applyNumberFormat="0" applyProtection="0">
      <alignment horizontal="left" vertical="center" indent="1"/>
    </xf>
    <xf numFmtId="4" fontId="27" fillId="42" borderId="0" applyNumberFormat="0" applyProtection="0">
      <alignment horizontal="left" vertical="center" indent="1"/>
    </xf>
    <xf numFmtId="176" fontId="23" fillId="46" borderId="22" applyNumberFormat="0" applyProtection="0">
      <alignment horizontal="left" vertical="center" indent="1"/>
    </xf>
    <xf numFmtId="0" fontId="23" fillId="46" borderId="22" applyNumberFormat="0" applyProtection="0">
      <alignment horizontal="left" vertical="center" indent="1"/>
    </xf>
    <xf numFmtId="176" fontId="23" fillId="46" borderId="22" applyNumberFormat="0" applyProtection="0">
      <alignment horizontal="left" vertical="top" indent="1"/>
    </xf>
    <xf numFmtId="0" fontId="23" fillId="46" borderId="22" applyNumberFormat="0" applyProtection="0">
      <alignment horizontal="left" vertical="top" indent="1"/>
    </xf>
    <xf numFmtId="176" fontId="23" fillId="42" borderId="22" applyNumberFormat="0" applyProtection="0">
      <alignment horizontal="left" vertical="center" indent="1"/>
    </xf>
    <xf numFmtId="0" fontId="23" fillId="42" borderId="22" applyNumberFormat="0" applyProtection="0">
      <alignment horizontal="left" vertical="center" indent="1"/>
    </xf>
    <xf numFmtId="176" fontId="23" fillId="42" borderId="22" applyNumberFormat="0" applyProtection="0">
      <alignment horizontal="left" vertical="top" indent="1"/>
    </xf>
    <xf numFmtId="0" fontId="23" fillId="42" borderId="22" applyNumberFormat="0" applyProtection="0">
      <alignment horizontal="left" vertical="top" indent="1"/>
    </xf>
    <xf numFmtId="176" fontId="23" fillId="12" borderId="22" applyNumberFormat="0" applyProtection="0">
      <alignment horizontal="left" vertical="center" indent="1"/>
    </xf>
    <xf numFmtId="0" fontId="23" fillId="12" borderId="22" applyNumberFormat="0" applyProtection="0">
      <alignment horizontal="left" vertical="center" indent="1"/>
    </xf>
    <xf numFmtId="176" fontId="23" fillId="12" borderId="22" applyNumberFormat="0" applyProtection="0">
      <alignment horizontal="left" vertical="top" indent="1"/>
    </xf>
    <xf numFmtId="0" fontId="23" fillId="12" borderId="22" applyNumberFormat="0" applyProtection="0">
      <alignment horizontal="left" vertical="top" indent="1"/>
    </xf>
    <xf numFmtId="176" fontId="23" fillId="45" borderId="22" applyNumberFormat="0" applyProtection="0">
      <alignment horizontal="left" vertical="center" indent="1"/>
    </xf>
    <xf numFmtId="0" fontId="23" fillId="45" borderId="22" applyNumberFormat="0" applyProtection="0">
      <alignment horizontal="left" vertical="center" indent="1"/>
    </xf>
    <xf numFmtId="176" fontId="23" fillId="45" borderId="22" applyNumberFormat="0" applyProtection="0">
      <alignment horizontal="left" vertical="top" indent="1"/>
    </xf>
    <xf numFmtId="0" fontId="23" fillId="45" borderId="22" applyNumberFormat="0" applyProtection="0">
      <alignment horizontal="left" vertical="top" indent="1"/>
    </xf>
    <xf numFmtId="4" fontId="27" fillId="37" borderId="22" applyNumberFormat="0" applyProtection="0">
      <alignment vertical="center"/>
    </xf>
    <xf numFmtId="4" fontId="82" fillId="37" borderId="22" applyNumberFormat="0" applyProtection="0">
      <alignment vertical="center"/>
    </xf>
    <xf numFmtId="4" fontId="27" fillId="37" borderId="22" applyNumberFormat="0" applyProtection="0">
      <alignment horizontal="left" vertical="center" indent="1"/>
    </xf>
    <xf numFmtId="176" fontId="27" fillId="37" borderId="22" applyNumberFormat="0" applyProtection="0">
      <alignment horizontal="left" vertical="top" indent="1"/>
    </xf>
    <xf numFmtId="0" fontId="27" fillId="37" borderId="22" applyNumberFormat="0" applyProtection="0">
      <alignment horizontal="left" vertical="top" indent="1"/>
    </xf>
    <xf numFmtId="4" fontId="27" fillId="45" borderId="22" applyNumberFormat="0" applyProtection="0">
      <alignment horizontal="right" vertical="center"/>
    </xf>
    <xf numFmtId="4" fontId="82" fillId="45" borderId="22" applyNumberFormat="0" applyProtection="0">
      <alignment horizontal="right" vertical="center"/>
    </xf>
    <xf numFmtId="4" fontId="27" fillId="42" borderId="22" applyNumberFormat="0" applyProtection="0">
      <alignment horizontal="left" vertical="center" indent="1"/>
    </xf>
    <xf numFmtId="176" fontId="27" fillId="42" borderId="22" applyNumberFormat="0" applyProtection="0">
      <alignment horizontal="left" vertical="top" indent="1"/>
    </xf>
    <xf numFmtId="0" fontId="27" fillId="42" borderId="22" applyNumberFormat="0" applyProtection="0">
      <alignment horizontal="left" vertical="top" indent="1"/>
    </xf>
    <xf numFmtId="4" fontId="83" fillId="38" borderId="0" applyNumberFormat="0" applyProtection="0">
      <alignment horizontal="left" vertical="center" indent="1"/>
    </xf>
    <xf numFmtId="4" fontId="84" fillId="45" borderId="22" applyNumberFormat="0" applyProtection="0">
      <alignment horizontal="right" vertical="center"/>
    </xf>
    <xf numFmtId="176" fontId="85" fillId="0" borderId="0">
      <alignment horizontal="left"/>
    </xf>
    <xf numFmtId="176" fontId="85" fillId="0" borderId="0">
      <alignment horizontal="left"/>
    </xf>
    <xf numFmtId="0" fontId="85" fillId="0" borderId="0">
      <alignment horizontal="left"/>
    </xf>
    <xf numFmtId="43" fontId="55" fillId="0" borderId="1"/>
    <xf numFmtId="43" fontId="55" fillId="0" borderId="1"/>
    <xf numFmtId="176" fontId="73" fillId="0" borderId="0"/>
    <xf numFmtId="176" fontId="86" fillId="0" borderId="9">
      <alignment horizontal="center"/>
    </xf>
    <xf numFmtId="176" fontId="86" fillId="0" borderId="9">
      <alignment horizontal="center"/>
    </xf>
    <xf numFmtId="0" fontId="86" fillId="0" borderId="9">
      <alignment horizontal="center"/>
    </xf>
    <xf numFmtId="176" fontId="86" fillId="0" borderId="0">
      <alignment horizontal="center" vertical="center"/>
    </xf>
    <xf numFmtId="176" fontId="86" fillId="0" borderId="0">
      <alignment horizontal="center" vertical="center"/>
    </xf>
    <xf numFmtId="0" fontId="86" fillId="0" borderId="0">
      <alignment horizontal="center" vertical="center"/>
    </xf>
    <xf numFmtId="176" fontId="87" fillId="0" borderId="0" applyNumberFormat="0" applyFill="0">
      <alignment horizontal="left" vertical="center"/>
    </xf>
    <xf numFmtId="176" fontId="87" fillId="0" borderId="0" applyNumberFormat="0" applyFill="0">
      <alignment horizontal="left" vertical="center"/>
    </xf>
    <xf numFmtId="0" fontId="87" fillId="0" borderId="0" applyNumberFormat="0" applyFill="0">
      <alignment horizontal="left" vertical="center"/>
    </xf>
    <xf numFmtId="176" fontId="70" fillId="0" borderId="0"/>
    <xf numFmtId="0" fontId="70" fillId="0" borderId="0"/>
    <xf numFmtId="40" fontId="88" fillId="0" borderId="0" applyBorder="0">
      <alignment horizontal="right"/>
    </xf>
    <xf numFmtId="49" fontId="27" fillId="0" borderId="0" applyFill="0" applyBorder="0" applyAlignment="0"/>
    <xf numFmtId="219" fontId="27" fillId="0" borderId="0" applyFill="0" applyBorder="0" applyAlignment="0"/>
    <xf numFmtId="220" fontId="23" fillId="0" borderId="0" applyFill="0" applyBorder="0" applyAlignment="0"/>
    <xf numFmtId="176" fontId="89" fillId="0" borderId="0" applyFill="0" applyBorder="0" applyProtection="0">
      <alignment horizontal="left" vertical="top"/>
    </xf>
    <xf numFmtId="176" fontId="89" fillId="0" borderId="0" applyFill="0" applyBorder="0" applyProtection="0">
      <alignment horizontal="left" vertical="top"/>
    </xf>
    <xf numFmtId="0" fontId="89" fillId="0" borderId="0" applyFill="0" applyBorder="0" applyProtection="0">
      <alignment horizontal="left" vertical="top"/>
    </xf>
    <xf numFmtId="176" fontId="90" fillId="0" borderId="0">
      <alignment horizontal="center"/>
    </xf>
    <xf numFmtId="176" fontId="90" fillId="0" borderId="0">
      <alignment horizontal="center"/>
    </xf>
    <xf numFmtId="0" fontId="90" fillId="0" borderId="0">
      <alignment horizontal="center"/>
    </xf>
    <xf numFmtId="176" fontId="91" fillId="0" borderId="24" applyNumberFormat="0" applyFill="0" applyAlignment="0" applyProtection="0"/>
    <xf numFmtId="221" fontId="23" fillId="0" borderId="0" applyFont="0" applyFill="0" applyBorder="0" applyAlignment="0" applyProtection="0"/>
    <xf numFmtId="222" fontId="23" fillId="0" borderId="0" applyFont="0" applyFill="0" applyBorder="0" applyAlignment="0" applyProtection="0"/>
    <xf numFmtId="223" fontId="125" fillId="0" borderId="0" applyFont="0" applyFill="0" applyBorder="0" applyAlignment="0" applyProtection="0"/>
    <xf numFmtId="224" fontId="125" fillId="0" borderId="0" applyFont="0" applyFill="0" applyBorder="0" applyAlignment="0" applyProtection="0"/>
    <xf numFmtId="176" fontId="92" fillId="0" borderId="0" applyNumberFormat="0" applyFill="0" applyBorder="0" applyAlignment="0" applyProtection="0"/>
    <xf numFmtId="176" fontId="93" fillId="0" borderId="0" applyNumberFormat="0" applyFont="0" applyFill="0" applyBorder="0" applyProtection="0">
      <alignment horizontal="center" vertical="center" wrapText="1"/>
    </xf>
    <xf numFmtId="176" fontId="93" fillId="0" borderId="0" applyNumberFormat="0" applyFont="0" applyFill="0" applyBorder="0" applyProtection="0">
      <alignment horizontal="center" vertical="center" wrapText="1"/>
    </xf>
    <xf numFmtId="0" fontId="93" fillId="0" borderId="0" applyNumberFormat="0" applyFont="0" applyFill="0" applyBorder="0" applyProtection="0">
      <alignment horizontal="center" vertical="center" wrapText="1"/>
    </xf>
    <xf numFmtId="9" fontId="94" fillId="0" borderId="0" applyFont="0" applyFill="0" applyBorder="0" applyAlignment="0" applyProtection="0"/>
    <xf numFmtId="176" fontId="29" fillId="0" borderId="0"/>
    <xf numFmtId="176" fontId="7" fillId="0" borderId="0"/>
    <xf numFmtId="225" fontId="29" fillId="0" borderId="0" applyFont="0" applyFill="0" applyBorder="0" applyAlignment="0" applyProtection="0"/>
    <xf numFmtId="226" fontId="29" fillId="0" borderId="0" applyFont="0" applyFill="0" applyBorder="0" applyAlignment="0" applyProtection="0"/>
    <xf numFmtId="41" fontId="23" fillId="0" borderId="0" applyFont="0" applyFill="0" applyBorder="0" applyAlignment="0" applyProtection="0"/>
    <xf numFmtId="9" fontId="29" fillId="0" borderId="0" applyFont="0" applyFill="0" applyBorder="0" applyAlignment="0" applyProtection="0"/>
    <xf numFmtId="9" fontId="23" fillId="0" borderId="0" applyFont="0" applyFill="0" applyBorder="0" applyAlignment="0" applyProtection="0"/>
    <xf numFmtId="9" fontId="125" fillId="0" borderId="0" applyFont="0" applyFill="0" applyBorder="0" applyAlignment="0" applyProtection="0">
      <alignment vertical="center"/>
    </xf>
    <xf numFmtId="9" fontId="125" fillId="0" borderId="0" applyFont="0" applyFill="0" applyBorder="0" applyAlignment="0" applyProtection="0"/>
    <xf numFmtId="9" fontId="1" fillId="0" borderId="0">
      <alignment vertical="center"/>
    </xf>
    <xf numFmtId="176" fontId="95" fillId="0" borderId="0" applyFont="0" applyFill="0" applyBorder="0" applyAlignment="0" applyProtection="0"/>
    <xf numFmtId="176" fontId="95" fillId="0" borderId="0" applyFont="0" applyFill="0" applyBorder="0" applyAlignment="0" applyProtection="0"/>
    <xf numFmtId="4" fontId="96" fillId="0" borderId="0">
      <alignment horizontal="right"/>
    </xf>
    <xf numFmtId="176" fontId="97" fillId="0" borderId="0" applyNumberFormat="0" applyFill="0" applyBorder="0" applyAlignment="0" applyProtection="0"/>
    <xf numFmtId="0" fontId="97" fillId="0" borderId="0" applyNumberFormat="0" applyFill="0" applyBorder="0" applyAlignment="0" applyProtection="0"/>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100" fillId="47" borderId="0" applyNumberFormat="0" applyBorder="0" applyAlignment="0" applyProtection="0"/>
    <xf numFmtId="0" fontId="100" fillId="47" borderId="0" applyNumberFormat="0" applyBorder="0" applyAlignment="0" applyProtection="0"/>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101" fillId="36" borderId="0" applyNumberFormat="0" applyBorder="0" applyAlignment="0" applyProtection="0">
      <alignment vertical="center"/>
    </xf>
    <xf numFmtId="0" fontId="101" fillId="36"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102" fillId="5" borderId="0" applyNumberFormat="0" applyBorder="0" applyAlignment="0" applyProtection="0">
      <alignment vertical="center"/>
    </xf>
    <xf numFmtId="0" fontId="102" fillId="5" borderId="0" applyNumberFormat="0" applyBorder="0" applyAlignment="0" applyProtection="0">
      <alignment vertical="center"/>
    </xf>
    <xf numFmtId="176" fontId="103" fillId="7" borderId="0" applyNumberFormat="0" applyBorder="0" applyAlignment="0" applyProtection="0">
      <alignment vertical="center"/>
    </xf>
    <xf numFmtId="0" fontId="103" fillId="7" borderId="0" applyNumberFormat="0" applyBorder="0" applyAlignment="0" applyProtection="0">
      <alignment vertical="center"/>
    </xf>
    <xf numFmtId="176" fontId="103" fillId="7" borderId="0" applyNumberFormat="0" applyBorder="0" applyAlignment="0" applyProtection="0">
      <alignment vertical="center"/>
    </xf>
    <xf numFmtId="0" fontId="103" fillId="7"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101" fillId="36" borderId="0" applyNumberFormat="0" applyBorder="0" applyAlignment="0" applyProtection="0">
      <alignment vertical="center"/>
    </xf>
    <xf numFmtId="0" fontId="101" fillId="36"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9" fillId="7" borderId="0" applyNumberFormat="0" applyBorder="0" applyAlignment="0" applyProtection="0">
      <alignment vertical="center"/>
    </xf>
    <xf numFmtId="0" fontId="99" fillId="7"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32" borderId="0" applyNumberFormat="0" applyBorder="0" applyAlignment="0" applyProtection="0">
      <alignment vertical="center"/>
    </xf>
    <xf numFmtId="0" fontId="98" fillId="32"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98" fillId="15" borderId="0" applyNumberFormat="0" applyBorder="0" applyAlignment="0" applyProtection="0">
      <alignment vertical="center"/>
    </xf>
    <xf numFmtId="0" fontId="98" fillId="15" borderId="0" applyNumberFormat="0" applyBorder="0" applyAlignment="0" applyProtection="0">
      <alignment vertical="center"/>
    </xf>
    <xf numFmtId="176" fontId="104" fillId="9" borderId="0" applyNumberFormat="0" applyBorder="0" applyAlignment="0" applyProtection="0">
      <alignment vertical="center"/>
    </xf>
    <xf numFmtId="0" fontId="104" fillId="9" borderId="0" applyNumberFormat="0" applyBorder="0" applyAlignment="0" applyProtection="0">
      <alignment vertical="center"/>
    </xf>
    <xf numFmtId="176" fontId="21" fillId="0" borderId="0">
      <alignment vertical="center"/>
    </xf>
    <xf numFmtId="0" fontId="21" fillId="0" borderId="0">
      <alignment vertical="center"/>
    </xf>
    <xf numFmtId="176" fontId="1" fillId="0" borderId="0">
      <alignment vertical="center"/>
    </xf>
    <xf numFmtId="0" fontId="1" fillId="0" borderId="0">
      <alignment vertical="center"/>
    </xf>
    <xf numFmtId="0" fontId="125" fillId="0" borderId="0">
      <protection locked="0"/>
    </xf>
    <xf numFmtId="176" fontId="21" fillId="0" borderId="0"/>
    <xf numFmtId="176" fontId="125" fillId="0" borderId="0">
      <alignment vertical="center"/>
      <protection locked="0"/>
    </xf>
    <xf numFmtId="176" fontId="23" fillId="0" borderId="0"/>
    <xf numFmtId="0" fontId="23" fillId="0" borderId="0"/>
    <xf numFmtId="176" fontId="125" fillId="0" borderId="0">
      <alignment vertical="center"/>
      <protection locked="0"/>
    </xf>
    <xf numFmtId="0" fontId="125" fillId="0" borderId="0">
      <alignment vertical="center"/>
      <protection locked="0"/>
    </xf>
    <xf numFmtId="176" fontId="21" fillId="0" borderId="0">
      <alignment vertical="center"/>
    </xf>
    <xf numFmtId="0" fontId="21" fillId="0" borderId="0">
      <alignment vertical="center"/>
    </xf>
    <xf numFmtId="0" fontId="125" fillId="0" borderId="0">
      <alignment vertical="center"/>
      <protection locked="0"/>
    </xf>
    <xf numFmtId="176" fontId="21" fillId="0" borderId="0"/>
    <xf numFmtId="176" fontId="21" fillId="0" borderId="0">
      <alignment vertical="center"/>
    </xf>
    <xf numFmtId="0" fontId="21" fillId="0" borderId="0">
      <alignment vertical="center"/>
    </xf>
    <xf numFmtId="0" fontId="21" fillId="0" borderId="0"/>
    <xf numFmtId="176" fontId="21" fillId="0" borderId="0"/>
    <xf numFmtId="176" fontId="21" fillId="0" borderId="0"/>
    <xf numFmtId="176" fontId="125" fillId="0" borderId="0">
      <alignment vertical="center"/>
      <protection locked="0"/>
    </xf>
    <xf numFmtId="0" fontId="21" fillId="0" borderId="0"/>
    <xf numFmtId="176" fontId="125" fillId="0" borderId="0">
      <alignment vertical="center"/>
    </xf>
    <xf numFmtId="0" fontId="125" fillId="0" borderId="0">
      <alignment vertical="center"/>
    </xf>
    <xf numFmtId="0" fontId="21" fillId="0" borderId="0"/>
    <xf numFmtId="176" fontId="125" fillId="0" borderId="0">
      <protection locked="0"/>
    </xf>
    <xf numFmtId="0" fontId="125" fillId="0" borderId="0">
      <protection locked="0"/>
    </xf>
    <xf numFmtId="176" fontId="125" fillId="0" borderId="0"/>
    <xf numFmtId="176" fontId="125" fillId="0" borderId="0">
      <protection locked="0"/>
    </xf>
    <xf numFmtId="176" fontId="1" fillId="0" borderId="0"/>
    <xf numFmtId="176" fontId="125" fillId="0" borderId="0">
      <protection locked="0"/>
    </xf>
    <xf numFmtId="0" fontId="125" fillId="0" borderId="0">
      <protection locked="0"/>
    </xf>
    <xf numFmtId="176" fontId="125" fillId="0" borderId="0">
      <protection locked="0"/>
    </xf>
    <xf numFmtId="0" fontId="1" fillId="0" borderId="0"/>
    <xf numFmtId="176" fontId="125" fillId="0" borderId="0">
      <protection locked="0"/>
    </xf>
    <xf numFmtId="0" fontId="125" fillId="0" borderId="0">
      <protection locked="0"/>
    </xf>
    <xf numFmtId="176" fontId="125" fillId="0" borderId="0">
      <alignment vertical="center"/>
      <protection locked="0"/>
    </xf>
    <xf numFmtId="0" fontId="125" fillId="0" borderId="0">
      <alignment vertical="center"/>
      <protection locked="0"/>
    </xf>
    <xf numFmtId="0" fontId="125" fillId="0" borderId="0">
      <protection locked="0"/>
    </xf>
    <xf numFmtId="176" fontId="1" fillId="0" borderId="0"/>
    <xf numFmtId="176" fontId="125" fillId="0" borderId="0"/>
    <xf numFmtId="176" fontId="125" fillId="0" borderId="0"/>
    <xf numFmtId="176" fontId="125" fillId="0" borderId="0">
      <protection locked="0"/>
    </xf>
    <xf numFmtId="0" fontId="125" fillId="0" borderId="0">
      <protection locked="0"/>
    </xf>
    <xf numFmtId="176" fontId="125" fillId="0" borderId="0">
      <alignment vertical="center"/>
      <protection locked="0"/>
    </xf>
    <xf numFmtId="176" fontId="21" fillId="0" borderId="0">
      <alignment vertical="center"/>
    </xf>
    <xf numFmtId="0" fontId="21" fillId="0" borderId="0">
      <alignment vertical="center"/>
    </xf>
    <xf numFmtId="176" fontId="105" fillId="0" borderId="0">
      <alignment vertical="center"/>
    </xf>
    <xf numFmtId="0" fontId="105" fillId="0" borderId="0">
      <alignment vertical="center"/>
    </xf>
    <xf numFmtId="0" fontId="125" fillId="0" borderId="0">
      <alignment vertical="center"/>
      <protection locked="0"/>
    </xf>
    <xf numFmtId="176" fontId="21" fillId="0" borderId="0">
      <alignment vertical="center"/>
    </xf>
    <xf numFmtId="176" fontId="21" fillId="0" borderId="0">
      <alignment vertical="center"/>
    </xf>
    <xf numFmtId="176" fontId="125" fillId="0" borderId="0" applyNumberFormat="0" applyFill="0" applyBorder="0" applyAlignment="0" applyProtection="0"/>
    <xf numFmtId="0" fontId="125" fillId="0" borderId="0" applyNumberFormat="0" applyFill="0" applyBorder="0" applyAlignment="0" applyProtection="0"/>
    <xf numFmtId="176" fontId="21" fillId="0" borderId="0">
      <alignment vertical="center"/>
    </xf>
    <xf numFmtId="0" fontId="21" fillId="0" borderId="0">
      <alignment vertical="center"/>
    </xf>
    <xf numFmtId="0" fontId="21" fillId="0" borderId="0">
      <alignment vertical="center"/>
    </xf>
    <xf numFmtId="176" fontId="21" fillId="0" borderId="0">
      <alignment vertical="center"/>
    </xf>
    <xf numFmtId="176" fontId="21" fillId="0" borderId="0">
      <alignment vertical="center"/>
    </xf>
    <xf numFmtId="176" fontId="21" fillId="0" borderId="0">
      <alignment vertical="center"/>
    </xf>
    <xf numFmtId="0" fontId="21" fillId="0" borderId="0">
      <alignment vertical="center"/>
    </xf>
    <xf numFmtId="0" fontId="21" fillId="0" borderId="0">
      <alignment vertical="center"/>
    </xf>
    <xf numFmtId="176" fontId="21" fillId="0" borderId="0">
      <alignment vertical="center"/>
    </xf>
    <xf numFmtId="0" fontId="21" fillId="0" borderId="0">
      <alignment vertical="center"/>
    </xf>
    <xf numFmtId="0" fontId="21" fillId="0" borderId="0">
      <alignment vertical="center"/>
    </xf>
    <xf numFmtId="176" fontId="21" fillId="0" borderId="0">
      <alignment vertical="center"/>
    </xf>
    <xf numFmtId="176" fontId="21" fillId="0" borderId="0">
      <alignment vertical="center"/>
    </xf>
    <xf numFmtId="0" fontId="21" fillId="0" borderId="0">
      <alignment vertical="center"/>
    </xf>
    <xf numFmtId="0" fontId="21" fillId="0" borderId="0">
      <alignment vertical="center"/>
    </xf>
    <xf numFmtId="176" fontId="23" fillId="0" borderId="0"/>
    <xf numFmtId="0" fontId="23" fillId="0" borderId="0"/>
    <xf numFmtId="176" fontId="21" fillId="0" borderId="0">
      <alignment vertical="center"/>
    </xf>
    <xf numFmtId="0" fontId="21" fillId="0" borderId="0">
      <alignment vertical="center"/>
    </xf>
    <xf numFmtId="0" fontId="21" fillId="0" borderId="0">
      <alignment vertical="center"/>
    </xf>
    <xf numFmtId="176" fontId="21" fillId="0" borderId="0">
      <alignment vertical="center"/>
    </xf>
    <xf numFmtId="176" fontId="21" fillId="0" borderId="0">
      <alignment vertical="center"/>
    </xf>
    <xf numFmtId="176" fontId="21" fillId="0" borderId="0">
      <alignment vertical="center"/>
    </xf>
    <xf numFmtId="0" fontId="21" fillId="0" borderId="0">
      <alignment vertical="center"/>
    </xf>
    <xf numFmtId="0" fontId="21" fillId="0" borderId="0">
      <alignment vertical="center"/>
    </xf>
    <xf numFmtId="176" fontId="21" fillId="0" borderId="0">
      <alignment vertical="center"/>
    </xf>
    <xf numFmtId="0" fontId="21" fillId="0" borderId="0">
      <alignment vertical="center"/>
    </xf>
    <xf numFmtId="0" fontId="21" fillId="0" borderId="0">
      <alignment vertical="center"/>
    </xf>
    <xf numFmtId="176" fontId="21" fillId="0" borderId="0">
      <alignment vertical="center"/>
    </xf>
    <xf numFmtId="0" fontId="21" fillId="0" borderId="0">
      <alignment vertical="center"/>
    </xf>
    <xf numFmtId="176" fontId="21" fillId="0" borderId="0">
      <alignment vertical="center"/>
    </xf>
    <xf numFmtId="0" fontId="21" fillId="0" borderId="0">
      <alignment vertical="center"/>
    </xf>
    <xf numFmtId="176" fontId="125" fillId="0" borderId="0">
      <alignment vertical="center"/>
    </xf>
    <xf numFmtId="176" fontId="125" fillId="0" borderId="0">
      <alignment vertical="center"/>
    </xf>
    <xf numFmtId="176" fontId="29" fillId="0" borderId="0"/>
    <xf numFmtId="176" fontId="125" fillId="0" borderId="0">
      <alignment vertical="center"/>
    </xf>
    <xf numFmtId="176" fontId="125" fillId="0" borderId="0"/>
    <xf numFmtId="176" fontId="125" fillId="0" borderId="0"/>
    <xf numFmtId="176" fontId="125" fillId="0" borderId="0" applyFill="0" applyBorder="0"/>
    <xf numFmtId="176" fontId="125" fillId="0" borderId="0" applyFill="0" applyBorder="0"/>
    <xf numFmtId="176" fontId="106" fillId="0" borderId="0" applyNumberFormat="0" applyFill="0" applyBorder="0" applyAlignment="0" applyProtection="0">
      <alignment vertical="top"/>
      <protection locked="0"/>
    </xf>
    <xf numFmtId="176" fontId="22" fillId="0" borderId="0" applyNumberFormat="0" applyFill="0" applyBorder="0" applyAlignment="0" applyProtection="0">
      <alignment vertical="top"/>
      <protection locked="0"/>
    </xf>
    <xf numFmtId="176" fontId="22" fillId="0" borderId="0" applyNumberFormat="0" applyFill="0" applyBorder="0" applyAlignment="0" applyProtection="0">
      <alignment vertical="top"/>
      <protection locked="0"/>
    </xf>
    <xf numFmtId="176"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176" fontId="107"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176" fontId="108" fillId="0" borderId="0">
      <alignment vertical="top"/>
      <protection locked="0"/>
    </xf>
    <xf numFmtId="0" fontId="108" fillId="0" borderId="0">
      <alignment vertical="top"/>
      <protection locked="0"/>
    </xf>
    <xf numFmtId="0" fontId="22" fillId="0" borderId="0" applyNumberFormat="0" applyFill="0" applyBorder="0" applyAlignment="0" applyProtection="0">
      <alignment vertical="top"/>
      <protection locked="0"/>
    </xf>
    <xf numFmtId="176" fontId="42" fillId="0" borderId="0" applyNumberFormat="0" applyFill="0" applyBorder="0" applyAlignment="0" applyProtection="0"/>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1" fillId="30" borderId="0" applyNumberFormat="0" applyBorder="0" applyAlignment="0" applyProtection="0"/>
    <xf numFmtId="0" fontId="111" fillId="30" borderId="0" applyNumberFormat="0" applyBorder="0" applyAlignment="0" applyProtection="0"/>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12" fillId="4" borderId="0" applyNumberFormat="0" applyBorder="0" applyAlignment="0" applyProtection="0">
      <alignment vertical="center"/>
    </xf>
    <xf numFmtId="0" fontId="112" fillId="4" borderId="0" applyNumberFormat="0" applyBorder="0" applyAlignment="0" applyProtection="0">
      <alignment vertical="center"/>
    </xf>
    <xf numFmtId="176" fontId="113" fillId="8" borderId="0" applyNumberFormat="0" applyBorder="0" applyAlignment="0" applyProtection="0">
      <alignment vertical="center"/>
    </xf>
    <xf numFmtId="0" fontId="113" fillId="8" borderId="0" applyNumberFormat="0" applyBorder="0" applyAlignment="0" applyProtection="0">
      <alignment vertical="center"/>
    </xf>
    <xf numFmtId="176" fontId="111" fillId="8" borderId="0" applyNumberFormat="0" applyBorder="0" applyAlignment="0" applyProtection="0">
      <alignment vertical="center"/>
    </xf>
    <xf numFmtId="0" fontId="111" fillId="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09"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4" fillId="49" borderId="0" applyNumberFormat="0" applyBorder="0" applyAlignment="0" applyProtection="0">
      <alignment vertical="center"/>
    </xf>
    <xf numFmtId="0" fontId="114" fillId="49"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4" fillId="49" borderId="0" applyNumberFormat="0" applyBorder="0" applyAlignment="0" applyProtection="0">
      <alignment vertical="center"/>
    </xf>
    <xf numFmtId="0" fontId="114" fillId="49"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8" borderId="0" applyNumberFormat="0" applyBorder="0" applyAlignment="0" applyProtection="0">
      <alignment vertical="center"/>
    </xf>
    <xf numFmtId="0" fontId="110" fillId="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0" fillId="50" borderId="0" applyNumberFormat="0" applyBorder="0" applyAlignment="0" applyProtection="0">
      <alignment vertical="center"/>
    </xf>
    <xf numFmtId="0" fontId="110" fillId="50"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4" fillId="49" borderId="0" applyNumberFormat="0" applyBorder="0" applyAlignment="0" applyProtection="0">
      <alignment vertical="center"/>
    </xf>
    <xf numFmtId="0" fontId="114" fillId="49" borderId="0" applyNumberFormat="0" applyBorder="0" applyAlignment="0" applyProtection="0">
      <alignment vertical="center"/>
    </xf>
    <xf numFmtId="176" fontId="109" fillId="48" borderId="0" applyNumberFormat="0" applyBorder="0" applyAlignment="0" applyProtection="0">
      <alignment vertical="center"/>
    </xf>
    <xf numFmtId="0" fontId="109" fillId="48" borderId="0" applyNumberFormat="0" applyBorder="0" applyAlignment="0" applyProtection="0">
      <alignment vertical="center"/>
    </xf>
    <xf numFmtId="176" fontId="114" fillId="49" borderId="0" applyNumberFormat="0" applyBorder="0" applyAlignment="0" applyProtection="0">
      <alignment vertical="center"/>
    </xf>
    <xf numFmtId="0" fontId="114" fillId="49" borderId="0" applyNumberFormat="0" applyBorder="0" applyAlignment="0" applyProtection="0">
      <alignment vertical="center"/>
    </xf>
    <xf numFmtId="176" fontId="110" fillId="48" borderId="0" applyNumberFormat="0" applyBorder="0" applyAlignment="0" applyProtection="0">
      <alignment vertical="center"/>
    </xf>
    <xf numFmtId="0" fontId="110" fillId="48" borderId="0" applyNumberFormat="0" applyBorder="0" applyAlignment="0" applyProtection="0">
      <alignment vertical="center"/>
    </xf>
    <xf numFmtId="176" fontId="113" fillId="10" borderId="0" applyNumberFormat="0" applyBorder="0" applyAlignment="0" applyProtection="0">
      <alignment vertical="center"/>
    </xf>
    <xf numFmtId="0" fontId="113" fillId="10" borderId="0" applyNumberFormat="0" applyBorder="0" applyAlignment="0" applyProtection="0">
      <alignment vertical="center"/>
    </xf>
    <xf numFmtId="4" fontId="93" fillId="0" borderId="0" applyFont="0" applyFill="0" applyBorder="0" applyAlignment="0" applyProtection="0"/>
    <xf numFmtId="41" fontId="23" fillId="0" borderId="0" applyFont="0" applyFill="0" applyBorder="0" applyAlignment="0" applyProtection="0"/>
    <xf numFmtId="227" fontId="115" fillId="0" borderId="0" applyFont="0" applyFill="0" applyBorder="0" applyAlignment="0" applyProtection="0"/>
    <xf numFmtId="228" fontId="115" fillId="0" borderId="0" applyFont="0" applyFill="0" applyBorder="0" applyAlignment="0" applyProtection="0"/>
    <xf numFmtId="229" fontId="23" fillId="0" borderId="0" applyFont="0" applyFill="0" applyBorder="0" applyAlignment="0" applyProtection="0"/>
    <xf numFmtId="230" fontId="23" fillId="0" borderId="0" applyFont="0" applyFill="0" applyBorder="0" applyAlignment="0" applyProtection="0"/>
    <xf numFmtId="176" fontId="29" fillId="0" borderId="0"/>
    <xf numFmtId="0" fontId="29" fillId="0" borderId="0"/>
    <xf numFmtId="1" fontId="29" fillId="0" borderId="0"/>
    <xf numFmtId="231" fontId="116" fillId="0" borderId="0" applyFont="0" applyFill="0" applyBorder="0" applyAlignment="0" applyProtection="0"/>
    <xf numFmtId="232" fontId="116" fillId="0" borderId="0" applyFont="0" applyFill="0" applyBorder="0" applyAlignment="0" applyProtection="0"/>
    <xf numFmtId="227" fontId="29" fillId="0" borderId="0" applyFont="0" applyFill="0" applyBorder="0" applyAlignment="0" applyProtection="0"/>
    <xf numFmtId="228" fontId="29" fillId="0" borderId="0" applyFont="0" applyFill="0" applyBorder="0" applyAlignment="0" applyProtection="0"/>
    <xf numFmtId="176" fontId="26" fillId="0" borderId="0"/>
    <xf numFmtId="41" fontId="26" fillId="0" borderId="0" applyFont="0" applyFill="0" applyBorder="0" applyAlignment="0" applyProtection="0"/>
    <xf numFmtId="43" fontId="26" fillId="0" borderId="0" applyFont="0" applyFill="0" applyBorder="0" applyAlignment="0" applyProtection="0"/>
    <xf numFmtId="41" fontId="29" fillId="0" borderId="0" applyFont="0" applyFill="0" applyBorder="0" applyAlignment="0" applyProtection="0"/>
    <xf numFmtId="43" fontId="29" fillId="0" borderId="0" applyFont="0" applyFill="0" applyBorder="0" applyAlignment="0" applyProtection="0"/>
    <xf numFmtId="43" fontId="125" fillId="0" borderId="0" applyFont="0" applyFill="0" applyBorder="0" applyAlignment="0" applyProtection="0">
      <alignment vertical="center"/>
    </xf>
    <xf numFmtId="43" fontId="125" fillId="0" borderId="0" applyFont="0" applyFill="0" applyBorder="0" applyAlignment="0" applyProtection="0"/>
    <xf numFmtId="43" fontId="125" fillId="0" borderId="0" applyFont="0" applyFill="0" applyBorder="0" applyAlignment="0" applyProtection="0"/>
    <xf numFmtId="43" fontId="125" fillId="0" borderId="0" applyFont="0" applyFill="0" applyBorder="0" applyAlignment="0" applyProtection="0">
      <alignment vertical="center"/>
    </xf>
    <xf numFmtId="43" fontId="125" fillId="0" borderId="0" applyFont="0" applyFill="0" applyBorder="0" applyAlignment="0" applyProtection="0">
      <alignment vertical="center"/>
    </xf>
    <xf numFmtId="43" fontId="125" fillId="0" borderId="0" applyFont="0" applyFill="0" applyBorder="0" applyAlignment="0" applyProtection="0">
      <alignment vertical="center"/>
    </xf>
    <xf numFmtId="176"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5" fillId="0" borderId="0" applyFont="0" applyFill="0" applyBorder="0" applyAlignment="0" applyProtection="0"/>
    <xf numFmtId="43" fontId="125" fillId="0" borderId="0" applyFont="0" applyFill="0" applyBorder="0" applyAlignment="0" applyProtection="0"/>
    <xf numFmtId="0" fontId="23" fillId="0" borderId="0" applyFont="0" applyFill="0" applyBorder="0" applyAlignment="0" applyProtection="0"/>
    <xf numFmtId="43" fontId="125" fillId="0" borderId="0" applyFont="0" applyFill="0" applyBorder="0" applyAlignment="0" applyProtection="0"/>
    <xf numFmtId="43" fontId="125" fillId="0" borderId="0" applyFont="0" applyFill="0" applyBorder="0" applyAlignment="0" applyProtection="0"/>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233" fontId="1" fillId="0" borderId="0">
      <alignment vertical="center"/>
    </xf>
    <xf numFmtId="43" fontId="1" fillId="0" borderId="0">
      <alignment vertical="center"/>
    </xf>
    <xf numFmtId="43" fontId="1" fillId="0" borderId="0">
      <alignment vertical="center"/>
    </xf>
    <xf numFmtId="43" fontId="1" fillId="0" borderId="0">
      <alignment vertical="center"/>
    </xf>
    <xf numFmtId="43" fontId="125" fillId="0" borderId="0" applyFont="0" applyFill="0" applyBorder="0" applyAlignment="0" applyProtection="0"/>
    <xf numFmtId="41" fontId="125" fillId="0" borderId="0" applyFont="0" applyFill="0" applyBorder="0" applyAlignment="0" applyProtection="0"/>
    <xf numFmtId="41" fontId="125" fillId="0" borderId="0" applyFont="0" applyFill="0" applyBorder="0" applyAlignment="0" applyProtection="0"/>
    <xf numFmtId="176" fontId="117" fillId="0" borderId="0"/>
    <xf numFmtId="176" fontId="118" fillId="51" borderId="0" applyNumberFormat="0" applyBorder="0" applyAlignment="0" applyProtection="0"/>
    <xf numFmtId="0" fontId="118" fillId="51" borderId="0" applyNumberFormat="0" applyBorder="0" applyAlignment="0" applyProtection="0"/>
    <xf numFmtId="176" fontId="118" fillId="52" borderId="0" applyNumberFormat="0" applyBorder="0" applyAlignment="0" applyProtection="0"/>
    <xf numFmtId="0" fontId="118" fillId="52" borderId="0" applyNumberFormat="0" applyBorder="0" applyAlignment="0" applyProtection="0"/>
    <xf numFmtId="176" fontId="118" fillId="53" borderId="0" applyNumberFormat="0" applyBorder="0" applyAlignment="0" applyProtection="0"/>
    <xf numFmtId="0" fontId="118" fillId="53" borderId="0" applyNumberFormat="0" applyBorder="0" applyAlignment="0" applyProtection="0"/>
    <xf numFmtId="209" fontId="23" fillId="0" borderId="0" applyFont="0" applyFill="0" applyBorder="0" applyAlignment="0" applyProtection="0"/>
    <xf numFmtId="234" fontId="93" fillId="0" borderId="0" applyFont="0" applyFill="0" applyBorder="0" applyAlignment="0" applyProtection="0"/>
    <xf numFmtId="176" fontId="27" fillId="0" borderId="0">
      <alignment vertical="top"/>
    </xf>
    <xf numFmtId="176" fontId="27" fillId="0" borderId="0">
      <alignment vertical="top"/>
    </xf>
    <xf numFmtId="0" fontId="27" fillId="0" borderId="0">
      <alignment vertical="top"/>
    </xf>
    <xf numFmtId="176" fontId="115" fillId="0" borderId="0"/>
    <xf numFmtId="176" fontId="119" fillId="0" borderId="0"/>
    <xf numFmtId="40" fontId="95" fillId="0" borderId="0" applyFont="0" applyFill="0" applyBorder="0" applyAlignment="0" applyProtection="0"/>
    <xf numFmtId="38" fontId="95" fillId="0" borderId="0" applyFont="0" applyFill="0" applyBorder="0" applyAlignment="0" applyProtection="0"/>
    <xf numFmtId="226" fontId="23" fillId="0" borderId="9" applyNumberFormat="0"/>
    <xf numFmtId="38" fontId="24" fillId="0" borderId="0" applyFont="0" applyFill="0" applyBorder="0" applyAlignment="0" applyProtection="0"/>
    <xf numFmtId="40" fontId="24" fillId="0" borderId="0" applyFont="0" applyFill="0" applyBorder="0" applyAlignment="0" applyProtection="0"/>
    <xf numFmtId="176" fontId="24" fillId="0" borderId="0" applyFont="0" applyFill="0" applyBorder="0" applyAlignment="0" applyProtection="0"/>
    <xf numFmtId="176" fontId="24" fillId="0" borderId="0" applyFont="0" applyFill="0" applyBorder="0" applyAlignment="0" applyProtection="0"/>
    <xf numFmtId="176" fontId="120" fillId="0" borderId="0"/>
  </cellStyleXfs>
  <cellXfs count="233">
    <xf numFmtId="176" fontId="0" fillId="0" borderId="0" xfId="0">
      <protection locked="0"/>
    </xf>
    <xf numFmtId="176" fontId="1" fillId="0" borderId="0" xfId="824" applyFont="1" applyAlignment="1">
      <alignment vertical="center" wrapText="1"/>
    </xf>
    <xf numFmtId="176" fontId="1" fillId="0" borderId="0" xfId="769" applyFont="1" applyAlignment="1">
      <alignment vertical="center" wrapText="1"/>
      <protection locked="0"/>
    </xf>
    <xf numFmtId="176" fontId="1" fillId="0" borderId="0" xfId="769" applyFont="1">
      <protection locked="0"/>
    </xf>
    <xf numFmtId="43" fontId="1" fillId="0" borderId="0" xfId="830" applyNumberFormat="1" applyFont="1" applyBorder="1" applyAlignment="1">
      <alignment vertical="center"/>
    </xf>
    <xf numFmtId="176" fontId="1" fillId="0" borderId="0" xfId="769" applyFont="1" applyAlignment="1">
      <alignment horizontal="right" vertical="center"/>
      <protection locked="0"/>
    </xf>
    <xf numFmtId="176" fontId="4" fillId="0" borderId="0" xfId="828" applyFont="1" applyAlignment="1">
      <alignment vertical="center"/>
    </xf>
    <xf numFmtId="0" fontId="1" fillId="0" borderId="0" xfId="754" applyFont="1" applyAlignment="1">
      <alignment horizontal="left" vertical="center"/>
    </xf>
    <xf numFmtId="176" fontId="4" fillId="0" borderId="0" xfId="828" applyFont="1" applyAlignment="1" applyProtection="1">
      <alignment vertical="center"/>
      <protection locked="0"/>
    </xf>
    <xf numFmtId="176" fontId="5" fillId="0" borderId="0" xfId="828" applyFont="1" applyAlignment="1">
      <alignment vertical="center"/>
    </xf>
    <xf numFmtId="176" fontId="6" fillId="0" borderId="0" xfId="828" applyFont="1" applyAlignment="1">
      <alignment vertical="center"/>
    </xf>
    <xf numFmtId="176" fontId="4" fillId="0" borderId="0" xfId="826" applyFont="1">
      <alignment vertical="center"/>
    </xf>
    <xf numFmtId="176" fontId="5" fillId="0" borderId="0" xfId="826" applyFont="1">
      <alignment vertical="center"/>
    </xf>
    <xf numFmtId="176" fontId="1" fillId="0" borderId="0" xfId="826" applyFont="1">
      <alignment vertical="center"/>
    </xf>
    <xf numFmtId="176" fontId="1" fillId="0" borderId="0" xfId="826" applyFont="1" applyAlignment="1">
      <alignment horizontal="center" vertical="center"/>
    </xf>
    <xf numFmtId="176" fontId="4" fillId="2" borderId="1" xfId="826" applyFont="1" applyFill="1" applyBorder="1" applyAlignment="1">
      <alignment horizontal="center" vertical="center"/>
    </xf>
    <xf numFmtId="176" fontId="1" fillId="0" borderId="1" xfId="826" applyFont="1" applyBorder="1" applyAlignment="1">
      <alignment horizontal="left" vertical="center"/>
    </xf>
    <xf numFmtId="43" fontId="7" fillId="0" borderId="1" xfId="826" applyNumberFormat="1" applyFont="1" applyBorder="1" applyAlignment="1">
      <alignment horizontal="right" vertical="center"/>
    </xf>
    <xf numFmtId="176" fontId="1" fillId="0" borderId="1" xfId="826" applyFont="1" applyBorder="1" applyAlignment="1">
      <alignment horizontal="center" vertical="center"/>
    </xf>
    <xf numFmtId="43" fontId="7" fillId="0" borderId="1" xfId="2" applyNumberFormat="1" applyFont="1" applyFill="1" applyBorder="1" applyAlignment="1">
      <alignment horizontal="right" vertical="center"/>
    </xf>
    <xf numFmtId="176" fontId="1" fillId="2" borderId="1" xfId="826" applyFont="1" applyFill="1" applyBorder="1" applyAlignment="1">
      <alignment horizontal="left" vertical="center"/>
    </xf>
    <xf numFmtId="43" fontId="7" fillId="2" borderId="1" xfId="1" applyFont="1" applyFill="1" applyBorder="1" applyAlignment="1">
      <alignment horizontal="left" vertical="center"/>
    </xf>
    <xf numFmtId="176" fontId="1" fillId="2" borderId="1" xfId="826" applyFont="1" applyFill="1" applyBorder="1" applyAlignment="1">
      <alignment horizontal="center" vertical="center"/>
    </xf>
    <xf numFmtId="43" fontId="7" fillId="0" borderId="1" xfId="826" applyNumberFormat="1" applyFont="1" applyBorder="1" applyAlignment="1">
      <alignment horizontal="left" vertical="center"/>
    </xf>
    <xf numFmtId="235" fontId="1" fillId="2" borderId="1" xfId="826" applyNumberFormat="1" applyFont="1" applyFill="1" applyBorder="1" applyAlignment="1">
      <alignment horizontal="center" vertical="center"/>
    </xf>
    <xf numFmtId="235" fontId="1" fillId="0" borderId="1" xfId="1" applyNumberFormat="1" applyFont="1" applyBorder="1" applyAlignment="1">
      <alignment horizontal="left" vertical="center"/>
    </xf>
    <xf numFmtId="176" fontId="4" fillId="0" borderId="0" xfId="828" applyFont="1" applyAlignment="1" applyProtection="1">
      <alignment horizontal="left" vertical="center"/>
      <protection locked="0"/>
    </xf>
    <xf numFmtId="176" fontId="4" fillId="2" borderId="1" xfId="769" applyFont="1" applyFill="1" applyBorder="1" applyAlignment="1">
      <alignment horizontal="center" vertical="center" wrapText="1"/>
      <protection locked="0"/>
    </xf>
    <xf numFmtId="235" fontId="4" fillId="2" borderId="1" xfId="1" applyNumberFormat="1" applyFont="1" applyFill="1" applyBorder="1" applyAlignment="1" applyProtection="1">
      <alignment horizontal="center" vertical="center" wrapText="1"/>
      <protection locked="0"/>
    </xf>
    <xf numFmtId="10" fontId="4" fillId="2" borderId="1" xfId="769" applyNumberFormat="1" applyFont="1" applyFill="1" applyBorder="1" applyAlignment="1">
      <alignment horizontal="center" vertical="center" wrapText="1"/>
      <protection locked="0"/>
    </xf>
    <xf numFmtId="176" fontId="1" fillId="0" borderId="1" xfId="769" applyFont="1" applyBorder="1" applyAlignment="1">
      <alignment horizontal="left" vertical="center" wrapText="1"/>
      <protection locked="0"/>
    </xf>
    <xf numFmtId="43" fontId="4" fillId="0" borderId="1" xfId="1" applyFont="1" applyFill="1" applyBorder="1" applyAlignment="1" applyProtection="1">
      <alignment horizontal="center" vertical="center" wrapText="1"/>
      <protection locked="0"/>
    </xf>
    <xf numFmtId="10" fontId="1" fillId="2" borderId="1" xfId="769" applyNumberFormat="1" applyFont="1" applyFill="1" applyBorder="1" applyAlignment="1">
      <alignment horizontal="center" vertical="center" wrapText="1"/>
      <protection locked="0"/>
    </xf>
    <xf numFmtId="176" fontId="8" fillId="2" borderId="1" xfId="769" applyFont="1" applyFill="1" applyBorder="1" applyAlignment="1">
      <alignment horizontal="center" vertical="center" wrapText="1"/>
      <protection locked="0"/>
    </xf>
    <xf numFmtId="43" fontId="1" fillId="0" borderId="1" xfId="981" applyFont="1" applyFill="1" applyBorder="1" applyAlignment="1">
      <alignment horizontal="left" vertical="center"/>
    </xf>
    <xf numFmtId="43" fontId="1" fillId="0" borderId="1" xfId="1" applyFont="1" applyBorder="1" applyAlignment="1">
      <alignment horizontal="center" vertical="center"/>
    </xf>
    <xf numFmtId="43" fontId="1" fillId="0" borderId="1" xfId="978" applyFont="1" applyFill="1" applyBorder="1" applyAlignment="1">
      <alignment horizontal="center" vertical="center"/>
    </xf>
    <xf numFmtId="43" fontId="1" fillId="0" borderId="1" xfId="981" applyFont="1" applyBorder="1" applyAlignment="1">
      <alignment horizontal="center" vertical="center"/>
    </xf>
    <xf numFmtId="43" fontId="1" fillId="2" borderId="1" xfId="981" applyFont="1" applyFill="1" applyBorder="1" applyAlignment="1">
      <alignment horizontal="center" vertical="center"/>
    </xf>
    <xf numFmtId="235" fontId="1" fillId="0" borderId="0" xfId="1" applyNumberFormat="1" applyFont="1" applyBorder="1" applyAlignment="1">
      <alignment horizontal="left" vertical="center"/>
    </xf>
    <xf numFmtId="235" fontId="1" fillId="0" borderId="0" xfId="1" applyNumberFormat="1" applyFont="1" applyBorder="1" applyAlignment="1">
      <alignment horizontal="center" vertical="center"/>
    </xf>
    <xf numFmtId="176" fontId="1" fillId="0" borderId="0" xfId="0" applyFont="1" applyAlignment="1">
      <alignment horizontal="center" vertical="center"/>
      <protection locked="0"/>
    </xf>
    <xf numFmtId="176" fontId="4" fillId="2" borderId="1" xfId="0" applyFont="1" applyFill="1" applyBorder="1" applyAlignment="1">
      <alignment horizontal="center" vertical="center" wrapText="1"/>
      <protection locked="0"/>
    </xf>
    <xf numFmtId="176" fontId="4" fillId="2" borderId="1" xfId="762" applyFont="1" applyFill="1" applyBorder="1" applyAlignment="1">
      <alignment horizontal="center" vertical="center" wrapText="1"/>
      <protection locked="0"/>
    </xf>
    <xf numFmtId="176" fontId="1" fillId="0" borderId="1" xfId="0" applyFont="1" applyBorder="1" applyAlignment="1">
      <alignment horizontal="left" vertical="center" wrapText="1"/>
      <protection locked="0"/>
    </xf>
    <xf numFmtId="43" fontId="7" fillId="0" borderId="1" xfId="1" applyFont="1" applyBorder="1" applyAlignment="1" applyProtection="1">
      <alignment horizontal="left" vertical="center" wrapText="1"/>
      <protection locked="0"/>
    </xf>
    <xf numFmtId="43" fontId="7" fillId="2" borderId="1" xfId="1" applyFont="1" applyFill="1" applyBorder="1" applyAlignment="1" applyProtection="1">
      <alignment horizontal="left" vertical="center" wrapText="1"/>
      <protection locked="0"/>
    </xf>
    <xf numFmtId="43" fontId="7" fillId="2" borderId="1" xfId="2" applyNumberFormat="1" applyFont="1" applyFill="1" applyBorder="1" applyAlignment="1" applyProtection="1">
      <alignment horizontal="center" vertical="center" wrapText="1"/>
      <protection locked="0"/>
    </xf>
    <xf numFmtId="43" fontId="8" fillId="2" borderId="1" xfId="1" applyFont="1" applyFill="1" applyBorder="1" applyAlignment="1" applyProtection="1">
      <alignment horizontal="left" vertical="center" wrapText="1"/>
      <protection locked="0"/>
    </xf>
    <xf numFmtId="43" fontId="8" fillId="2" borderId="1" xfId="2" applyNumberFormat="1" applyFont="1" applyFill="1" applyBorder="1" applyAlignment="1" applyProtection="1">
      <alignment horizontal="center" vertical="center" wrapText="1"/>
      <protection locked="0"/>
    </xf>
    <xf numFmtId="176" fontId="1" fillId="2" borderId="1" xfId="0" applyFont="1" applyFill="1" applyBorder="1" applyAlignment="1">
      <alignment horizontal="left" vertical="center" wrapText="1"/>
      <protection locked="0"/>
    </xf>
    <xf numFmtId="176" fontId="4" fillId="0" borderId="0" xfId="827" applyFont="1" applyAlignment="1">
      <alignment vertical="center"/>
    </xf>
    <xf numFmtId="176" fontId="1" fillId="0" borderId="0" xfId="827" applyFont="1" applyAlignment="1">
      <alignment vertical="center"/>
    </xf>
    <xf numFmtId="176" fontId="4" fillId="2" borderId="1" xfId="827" applyFont="1" applyFill="1" applyBorder="1" applyAlignment="1">
      <alignment horizontal="center" vertical="center" wrapText="1"/>
    </xf>
    <xf numFmtId="176" fontId="1" fillId="0" borderId="1" xfId="765" applyFont="1" applyBorder="1" applyAlignment="1">
      <alignment horizontal="left" vertical="center" wrapText="1"/>
      <protection locked="0"/>
    </xf>
    <xf numFmtId="43" fontId="7" fillId="0" borderId="1" xfId="1" applyFont="1" applyBorder="1" applyAlignment="1" applyProtection="1">
      <alignment horizontal="center" vertical="center" wrapText="1"/>
      <protection locked="0"/>
    </xf>
    <xf numFmtId="187" fontId="9" fillId="2" borderId="1" xfId="2" applyNumberFormat="1" applyFont="1" applyFill="1" applyBorder="1" applyAlignment="1">
      <alignment horizontal="right" vertical="center"/>
    </xf>
    <xf numFmtId="43" fontId="7" fillId="3" borderId="1" xfId="2" applyNumberFormat="1" applyFont="1" applyFill="1" applyBorder="1" applyAlignment="1" applyProtection="1">
      <alignment horizontal="center" vertical="center" wrapText="1"/>
      <protection locked="0"/>
    </xf>
    <xf numFmtId="10" fontId="7" fillId="3" borderId="1" xfId="2" applyNumberFormat="1" applyFont="1" applyFill="1" applyBorder="1" applyAlignment="1" applyProtection="1">
      <alignment horizontal="center" vertical="center" wrapText="1"/>
      <protection locked="0"/>
    </xf>
    <xf numFmtId="43" fontId="8" fillId="2" borderId="1" xfId="765" applyNumberFormat="1" applyFont="1" applyFill="1" applyBorder="1" applyAlignment="1">
      <alignment horizontal="right" vertical="center" wrapText="1"/>
      <protection locked="0"/>
    </xf>
    <xf numFmtId="187" fontId="8" fillId="2" borderId="1" xfId="2" applyNumberFormat="1" applyFont="1" applyFill="1" applyBorder="1" applyAlignment="1" applyProtection="1">
      <alignment horizontal="right" vertical="center" wrapText="1"/>
      <protection locked="0"/>
    </xf>
    <xf numFmtId="176" fontId="4" fillId="0" borderId="5" xfId="769" applyFont="1" applyBorder="1" applyAlignment="1">
      <alignment horizontal="left" vertical="center"/>
      <protection locked="0"/>
    </xf>
    <xf numFmtId="176" fontId="1" fillId="0" borderId="5" xfId="769" applyFont="1" applyBorder="1">
      <protection locked="0"/>
    </xf>
    <xf numFmtId="176" fontId="4" fillId="0" borderId="0" xfId="769" applyFont="1" applyBorder="1" applyAlignment="1">
      <alignment horizontal="left" vertical="center"/>
      <protection locked="0"/>
    </xf>
    <xf numFmtId="176" fontId="1" fillId="0" borderId="0" xfId="769" applyFont="1" applyBorder="1">
      <protection locked="0"/>
    </xf>
    <xf numFmtId="176" fontId="1" fillId="0" borderId="0" xfId="0" applyFont="1" applyBorder="1">
      <protection locked="0"/>
    </xf>
    <xf numFmtId="43" fontId="7" fillId="0" borderId="0" xfId="829" applyNumberFormat="1" applyFont="1" applyBorder="1" applyAlignment="1">
      <alignment vertical="center"/>
    </xf>
    <xf numFmtId="43" fontId="10" fillId="0" borderId="0" xfId="829" applyNumberFormat="1" applyFont="1" applyBorder="1" applyAlignment="1">
      <alignment vertical="center"/>
    </xf>
    <xf numFmtId="176" fontId="10" fillId="0" borderId="0" xfId="0" applyFont="1" applyAlignment="1">
      <alignment vertical="center"/>
      <protection locked="0"/>
    </xf>
    <xf numFmtId="176" fontId="7" fillId="0" borderId="0" xfId="0" applyFont="1" applyAlignment="1">
      <alignment vertical="center"/>
      <protection locked="0"/>
    </xf>
    <xf numFmtId="176" fontId="8" fillId="0" borderId="0" xfId="825" applyFont="1" applyAlignment="1">
      <alignment vertical="center"/>
    </xf>
    <xf numFmtId="43" fontId="11" fillId="0" borderId="0" xfId="829" applyNumberFormat="1" applyFont="1" applyBorder="1" applyAlignment="1">
      <alignment vertical="center"/>
    </xf>
    <xf numFmtId="49" fontId="7" fillId="0" borderId="0" xfId="829" applyNumberFormat="1" applyFont="1" applyBorder="1" applyAlignment="1">
      <alignment vertical="center"/>
    </xf>
    <xf numFmtId="176" fontId="10" fillId="0" borderId="0" xfId="0" applyFont="1" applyAlignment="1">
      <alignment horizontal="left" vertical="center"/>
      <protection locked="0"/>
    </xf>
    <xf numFmtId="176" fontId="10" fillId="0" borderId="0" xfId="0" applyFont="1" applyAlignment="1">
      <alignment horizontal="justify" vertical="center"/>
      <protection locked="0"/>
    </xf>
    <xf numFmtId="176" fontId="11" fillId="0" borderId="6" xfId="0" applyFont="1" applyBorder="1" applyAlignment="1">
      <alignment horizontal="center" vertical="center" wrapText="1"/>
      <protection locked="0"/>
    </xf>
    <xf numFmtId="176" fontId="11" fillId="0" borderId="7" xfId="0" applyFont="1" applyBorder="1" applyAlignment="1">
      <alignment horizontal="center" vertical="center" wrapText="1"/>
      <protection locked="0"/>
    </xf>
    <xf numFmtId="176" fontId="12" fillId="0" borderId="6" xfId="0" applyFont="1" applyBorder="1" applyAlignment="1">
      <alignment horizontal="left" vertical="center" wrapText="1"/>
      <protection locked="0"/>
    </xf>
    <xf numFmtId="43" fontId="10" fillId="0" borderId="6" xfId="0" applyNumberFormat="1" applyFont="1" applyBorder="1" applyAlignment="1">
      <alignment vertical="center"/>
      <protection locked="0"/>
    </xf>
    <xf numFmtId="10" fontId="10" fillId="0" borderId="6" xfId="2" applyNumberFormat="1" applyFont="1" applyFill="1" applyBorder="1" applyAlignment="1" applyProtection="1">
      <alignment horizontal="right" vertical="center" wrapText="1"/>
      <protection locked="0"/>
    </xf>
    <xf numFmtId="176" fontId="10" fillId="0" borderId="0" xfId="0" applyFont="1" applyAlignment="1">
      <alignment horizontal="left" vertical="center" wrapText="1"/>
      <protection locked="0"/>
    </xf>
    <xf numFmtId="10" fontId="10" fillId="0" borderId="0" xfId="2" applyNumberFormat="1" applyFont="1" applyFill="1" applyBorder="1" applyAlignment="1" applyProtection="1">
      <alignment horizontal="right" vertical="center" wrapText="1"/>
      <protection locked="0"/>
    </xf>
    <xf numFmtId="176" fontId="13" fillId="0" borderId="0" xfId="0" applyFont="1" applyAlignment="1">
      <alignment horizontal="justify" vertical="center" wrapText="1"/>
      <protection locked="0"/>
    </xf>
    <xf numFmtId="43" fontId="10" fillId="0" borderId="0" xfId="0" applyNumberFormat="1" applyFont="1" applyAlignment="1">
      <alignment vertical="center"/>
      <protection locked="0"/>
    </xf>
    <xf numFmtId="176" fontId="13" fillId="0" borderId="0" xfId="0" applyFont="1" applyAlignment="1">
      <alignment horizontal="left" vertical="center" wrapText="1"/>
      <protection locked="0"/>
    </xf>
    <xf numFmtId="43" fontId="10" fillId="0" borderId="0" xfId="2" applyNumberFormat="1" applyFont="1" applyFill="1" applyBorder="1" applyAlignment="1" applyProtection="1">
      <alignment horizontal="right" vertical="center" wrapText="1"/>
      <protection locked="0"/>
    </xf>
    <xf numFmtId="176" fontId="11" fillId="0" borderId="8" xfId="0" applyFont="1" applyBorder="1" applyAlignment="1">
      <alignment horizontal="left" vertical="center" wrapText="1"/>
      <protection locked="0"/>
    </xf>
    <xf numFmtId="43" fontId="14" fillId="0" borderId="8" xfId="1" applyFont="1" applyFill="1" applyBorder="1" applyAlignment="1" applyProtection="1">
      <alignment vertical="center" shrinkToFit="1"/>
      <protection locked="0"/>
    </xf>
    <xf numFmtId="10" fontId="14" fillId="0" borderId="8" xfId="2" applyNumberFormat="1" applyFont="1" applyFill="1" applyBorder="1" applyAlignment="1" applyProtection="1">
      <alignment horizontal="right" vertical="center" wrapText="1" shrinkToFit="1"/>
      <protection locked="0"/>
    </xf>
    <xf numFmtId="10" fontId="11" fillId="0" borderId="8" xfId="2" applyNumberFormat="1" applyFont="1" applyFill="1" applyBorder="1" applyAlignment="1" applyProtection="1">
      <alignment horizontal="right" vertical="center" wrapText="1"/>
      <protection locked="0"/>
    </xf>
    <xf numFmtId="10" fontId="10" fillId="0" borderId="7" xfId="2" applyNumberFormat="1" applyFont="1" applyFill="1" applyBorder="1" applyAlignment="1" applyProtection="1">
      <alignment horizontal="right" vertical="center" wrapText="1"/>
      <protection locked="0"/>
    </xf>
    <xf numFmtId="176" fontId="11" fillId="0" borderId="0" xfId="0" applyFont="1" applyAlignment="1">
      <alignment horizontal="center" vertical="center" wrapText="1"/>
      <protection locked="0"/>
    </xf>
    <xf numFmtId="176" fontId="0" fillId="0" borderId="6" xfId="0" applyFont="1" applyBorder="1" applyAlignment="1">
      <alignment horizontal="left" vertical="center" wrapText="1"/>
      <protection locked="0"/>
    </xf>
    <xf numFmtId="10" fontId="10" fillId="0" borderId="6" xfId="2" applyNumberFormat="1" applyFont="1" applyFill="1" applyBorder="1" applyAlignment="1" applyProtection="1">
      <alignment vertical="center"/>
      <protection locked="0"/>
    </xf>
    <xf numFmtId="10" fontId="10" fillId="0" borderId="0" xfId="2" applyNumberFormat="1" applyFont="1" applyFill="1" applyBorder="1" applyAlignment="1" applyProtection="1">
      <alignment vertical="center"/>
      <protection locked="0"/>
    </xf>
    <xf numFmtId="43" fontId="11" fillId="0" borderId="8" xfId="0" applyNumberFormat="1" applyFont="1" applyBorder="1" applyAlignment="1">
      <alignment vertical="center"/>
      <protection locked="0"/>
    </xf>
    <xf numFmtId="10" fontId="10" fillId="0" borderId="8" xfId="2" applyNumberFormat="1" applyFont="1" applyFill="1" applyBorder="1" applyAlignment="1" applyProtection="1">
      <alignment vertical="center"/>
      <protection locked="0"/>
    </xf>
    <xf numFmtId="176" fontId="16" fillId="0" borderId="0" xfId="0" applyFont="1" applyAlignment="1">
      <alignment horizontal="left" vertical="center"/>
      <protection locked="0"/>
    </xf>
    <xf numFmtId="176" fontId="17" fillId="0" borderId="6" xfId="0" applyFont="1" applyBorder="1" applyAlignment="1">
      <alignment horizontal="left" vertical="center" wrapText="1"/>
      <protection locked="0"/>
    </xf>
    <xf numFmtId="10" fontId="10" fillId="0" borderId="6" xfId="0" applyNumberFormat="1" applyFont="1" applyBorder="1" applyAlignment="1">
      <alignment vertical="center"/>
      <protection locked="0"/>
    </xf>
    <xf numFmtId="176" fontId="17" fillId="0" borderId="0" xfId="0" applyFont="1" applyAlignment="1">
      <alignment horizontal="left" vertical="center" wrapText="1"/>
      <protection locked="0"/>
    </xf>
    <xf numFmtId="10" fontId="10" fillId="0" borderId="0" xfId="0" applyNumberFormat="1" applyFont="1" applyAlignment="1">
      <alignment vertical="center"/>
      <protection locked="0"/>
    </xf>
    <xf numFmtId="176" fontId="17" fillId="0" borderId="7" xfId="0" applyFont="1" applyBorder="1" applyAlignment="1">
      <alignment horizontal="left" vertical="center" wrapText="1"/>
      <protection locked="0"/>
    </xf>
    <xf numFmtId="43" fontId="10" fillId="0" borderId="7" xfId="0" applyNumberFormat="1" applyFont="1" applyBorder="1" applyAlignment="1">
      <alignment vertical="center"/>
      <protection locked="0"/>
    </xf>
    <xf numFmtId="10" fontId="10" fillId="0" borderId="7" xfId="0" applyNumberFormat="1" applyFont="1" applyBorder="1" applyAlignment="1">
      <alignment vertical="center"/>
      <protection locked="0"/>
    </xf>
    <xf numFmtId="176" fontId="10" fillId="0" borderId="7" xfId="0" applyFont="1" applyBorder="1" applyAlignment="1">
      <alignment vertical="center"/>
      <protection locked="0"/>
    </xf>
    <xf numFmtId="10" fontId="11" fillId="0" borderId="8" xfId="2" applyNumberFormat="1" applyFont="1" applyFill="1" applyBorder="1" applyAlignment="1" applyProtection="1">
      <alignment vertical="center"/>
      <protection locked="0"/>
    </xf>
    <xf numFmtId="176" fontId="15" fillId="0" borderId="0" xfId="0" applyFont="1" applyAlignment="1">
      <alignment horizontal="justify" vertical="center"/>
      <protection locked="0"/>
    </xf>
    <xf numFmtId="176" fontId="11" fillId="0" borderId="0" xfId="0" applyFont="1" applyAlignment="1">
      <alignment horizontal="center" vertical="center"/>
      <protection locked="0"/>
    </xf>
    <xf numFmtId="176" fontId="17" fillId="0" borderId="6" xfId="0" applyFont="1" applyBorder="1" applyAlignment="1">
      <alignment vertical="center"/>
      <protection locked="0"/>
    </xf>
    <xf numFmtId="176" fontId="17" fillId="0" borderId="0" xfId="0" applyFont="1" applyAlignment="1">
      <alignment vertical="center"/>
      <protection locked="0"/>
    </xf>
    <xf numFmtId="176" fontId="17" fillId="0" borderId="7" xfId="0" applyFont="1" applyBorder="1" applyAlignment="1">
      <alignment vertical="center"/>
      <protection locked="0"/>
    </xf>
    <xf numFmtId="176" fontId="11" fillId="0" borderId="7" xfId="0" applyFont="1" applyBorder="1" applyAlignment="1">
      <alignment vertical="center"/>
      <protection locked="0"/>
    </xf>
    <xf numFmtId="43" fontId="11" fillId="0" borderId="7" xfId="0" applyNumberFormat="1" applyFont="1" applyBorder="1" applyAlignment="1">
      <alignment vertical="center"/>
      <protection locked="0"/>
    </xf>
    <xf numFmtId="176" fontId="11" fillId="0" borderId="7" xfId="0" applyFont="1" applyBorder="1" applyAlignment="1">
      <alignment horizontal="left" vertical="center" wrapText="1"/>
      <protection locked="0"/>
    </xf>
    <xf numFmtId="176" fontId="17" fillId="0" borderId="6" xfId="0" applyFont="1" applyBorder="1" applyAlignment="1">
      <alignment horizontal="left" vertical="center"/>
      <protection locked="0"/>
    </xf>
    <xf numFmtId="43" fontId="10" fillId="0" borderId="6" xfId="1" applyFont="1" applyFill="1" applyBorder="1" applyAlignment="1" applyProtection="1">
      <alignment vertical="center" shrinkToFit="1"/>
      <protection locked="0"/>
    </xf>
    <xf numFmtId="43" fontId="10" fillId="0" borderId="6" xfId="2" applyNumberFormat="1" applyFont="1" applyFill="1" applyBorder="1" applyAlignment="1" applyProtection="1">
      <alignment vertical="center"/>
      <protection locked="0"/>
    </xf>
    <xf numFmtId="176" fontId="10" fillId="0" borderId="6" xfId="0" applyFont="1" applyBorder="1" applyAlignment="1">
      <alignment vertical="center"/>
      <protection locked="0"/>
    </xf>
    <xf numFmtId="176" fontId="15" fillId="0" borderId="6" xfId="0" applyFont="1" applyBorder="1" applyAlignment="1">
      <alignment vertical="center"/>
      <protection locked="0"/>
    </xf>
    <xf numFmtId="176" fontId="17" fillId="0" borderId="0" xfId="0" applyFont="1" applyAlignment="1">
      <alignment horizontal="left" vertical="center"/>
      <protection locked="0"/>
    </xf>
    <xf numFmtId="43" fontId="10" fillId="0" borderId="0" xfId="1" applyFont="1" applyFill="1" applyBorder="1" applyAlignment="1" applyProtection="1">
      <alignment vertical="center" shrinkToFit="1"/>
      <protection locked="0"/>
    </xf>
    <xf numFmtId="43" fontId="10" fillId="0" borderId="0" xfId="2" applyNumberFormat="1" applyFont="1" applyFill="1" applyBorder="1" applyAlignment="1" applyProtection="1">
      <alignment vertical="center"/>
      <protection locked="0"/>
    </xf>
    <xf numFmtId="176" fontId="15" fillId="0" borderId="0" xfId="0" applyFont="1" applyAlignment="1">
      <alignment vertical="center"/>
      <protection locked="0"/>
    </xf>
    <xf numFmtId="176" fontId="17" fillId="0" borderId="7" xfId="0" applyFont="1" applyBorder="1" applyAlignment="1">
      <alignment horizontal="left" vertical="center"/>
      <protection locked="0"/>
    </xf>
    <xf numFmtId="43" fontId="10" fillId="0" borderId="7" xfId="1" applyFont="1" applyFill="1" applyBorder="1" applyAlignment="1" applyProtection="1">
      <alignment vertical="center" shrinkToFit="1"/>
      <protection locked="0"/>
    </xf>
    <xf numFmtId="43" fontId="10" fillId="0" borderId="7" xfId="2" applyNumberFormat="1" applyFont="1" applyFill="1" applyBorder="1" applyAlignment="1" applyProtection="1">
      <alignment vertical="center"/>
      <protection locked="0"/>
    </xf>
    <xf numFmtId="10" fontId="10" fillId="0" borderId="7" xfId="2" applyNumberFormat="1" applyFont="1" applyFill="1" applyBorder="1" applyAlignment="1" applyProtection="1">
      <alignment vertical="center"/>
      <protection locked="0"/>
    </xf>
    <xf numFmtId="176" fontId="15" fillId="0" borderId="7" xfId="0" applyFont="1" applyBorder="1" applyAlignment="1">
      <alignment vertical="center"/>
      <protection locked="0"/>
    </xf>
    <xf numFmtId="43" fontId="15" fillId="0" borderId="7" xfId="0" applyNumberFormat="1" applyFont="1" applyBorder="1" applyAlignment="1">
      <alignment vertical="center"/>
      <protection locked="0"/>
    </xf>
    <xf numFmtId="176" fontId="11" fillId="0" borderId="6" xfId="0" applyFont="1" applyBorder="1" applyAlignment="1">
      <alignment horizontal="left" vertical="center" wrapText="1"/>
      <protection locked="0"/>
    </xf>
    <xf numFmtId="176" fontId="11" fillId="0" borderId="6" xfId="0" applyFont="1" applyBorder="1" applyAlignment="1">
      <alignment horizontal="right" vertical="center" wrapText="1"/>
      <protection locked="0"/>
    </xf>
    <xf numFmtId="176" fontId="10" fillId="0" borderId="6" xfId="0" applyFont="1" applyBorder="1" applyAlignment="1">
      <alignment horizontal="left" vertical="center"/>
      <protection locked="0"/>
    </xf>
    <xf numFmtId="43" fontId="10" fillId="0" borderId="6" xfId="1" applyFont="1" applyFill="1" applyBorder="1" applyAlignment="1" applyProtection="1">
      <alignment vertical="center"/>
      <protection locked="0"/>
    </xf>
    <xf numFmtId="43" fontId="10" fillId="0" borderId="0" xfId="1" applyFont="1" applyFill="1" applyBorder="1" applyAlignment="1" applyProtection="1">
      <alignment vertical="center"/>
      <protection locked="0"/>
    </xf>
    <xf numFmtId="176" fontId="10" fillId="0" borderId="7" xfId="0" applyFont="1" applyBorder="1" applyAlignment="1">
      <alignment horizontal="left" vertical="center"/>
      <protection locked="0"/>
    </xf>
    <xf numFmtId="43" fontId="10" fillId="0" borderId="7" xfId="1" applyFont="1" applyFill="1" applyBorder="1" applyAlignment="1" applyProtection="1">
      <alignment vertical="center"/>
      <protection locked="0"/>
    </xf>
    <xf numFmtId="176" fontId="10" fillId="0" borderId="6" xfId="0" applyFont="1" applyBorder="1" applyAlignment="1">
      <alignment horizontal="justify" vertical="center"/>
      <protection locked="0"/>
    </xf>
    <xf numFmtId="43" fontId="10" fillId="0" borderId="6" xfId="1" applyFont="1" applyFill="1" applyBorder="1" applyAlignment="1" applyProtection="1">
      <alignment horizontal="right" vertical="center"/>
      <protection locked="0"/>
    </xf>
    <xf numFmtId="43" fontId="10" fillId="0" borderId="0" xfId="1" applyFont="1" applyFill="1" applyBorder="1" applyAlignment="1" applyProtection="1">
      <alignment horizontal="right" vertical="center"/>
      <protection locked="0"/>
    </xf>
    <xf numFmtId="176" fontId="10" fillId="0" borderId="7" xfId="0" applyFont="1" applyBorder="1" applyAlignment="1">
      <alignment horizontal="justify" vertical="center"/>
      <protection locked="0"/>
    </xf>
    <xf numFmtId="43" fontId="10" fillId="0" borderId="7" xfId="1" applyFont="1" applyFill="1" applyBorder="1" applyAlignment="1" applyProtection="1">
      <alignment horizontal="right" vertical="center"/>
      <protection locked="0"/>
    </xf>
    <xf numFmtId="176" fontId="11" fillId="0" borderId="7" xfId="0" applyFont="1" applyBorder="1" applyAlignment="1">
      <alignment horizontal="center" vertical="center"/>
      <protection locked="0"/>
    </xf>
    <xf numFmtId="43" fontId="11" fillId="0" borderId="7" xfId="1" applyFont="1" applyFill="1" applyBorder="1" applyAlignment="1" applyProtection="1">
      <alignment horizontal="center" vertical="center"/>
      <protection locked="0"/>
    </xf>
    <xf numFmtId="176" fontId="11" fillId="0" borderId="7" xfId="0" applyFont="1" applyBorder="1" applyAlignment="1">
      <alignment horizontal="left" vertical="center"/>
      <protection locked="0"/>
    </xf>
    <xf numFmtId="176" fontId="10" fillId="0" borderId="7" xfId="0" applyFont="1" applyBorder="1" applyAlignment="1">
      <alignment horizontal="justify" vertical="center" wrapText="1"/>
      <protection locked="0"/>
    </xf>
    <xf numFmtId="43" fontId="10" fillId="0" borderId="7" xfId="1" applyFont="1" applyFill="1" applyBorder="1" applyAlignment="1" applyProtection="1">
      <alignment horizontal="right" vertical="center" wrapText="1"/>
      <protection locked="0"/>
    </xf>
    <xf numFmtId="176" fontId="11" fillId="0" borderId="7" xfId="0" applyFont="1" applyBorder="1" applyAlignment="1">
      <alignment horizontal="justify" vertical="center" wrapText="1"/>
      <protection locked="0"/>
    </xf>
    <xf numFmtId="43" fontId="11" fillId="0" borderId="7" xfId="1" applyFont="1" applyFill="1" applyBorder="1" applyAlignment="1" applyProtection="1">
      <alignment horizontal="right" vertical="center" wrapText="1"/>
      <protection locked="0"/>
    </xf>
    <xf numFmtId="176" fontId="11" fillId="0" borderId="8" xfId="0" applyFont="1" applyBorder="1" applyAlignment="1">
      <alignment horizontal="center" vertical="center" wrapText="1"/>
      <protection locked="0"/>
    </xf>
    <xf numFmtId="176" fontId="10" fillId="0" borderId="0" xfId="0" applyFont="1" applyAlignment="1">
      <alignment horizontal="right" vertical="center" wrapText="1"/>
      <protection locked="0"/>
    </xf>
    <xf numFmtId="43" fontId="10" fillId="0" borderId="0" xfId="1" applyFont="1" applyFill="1" applyBorder="1" applyAlignment="1" applyProtection="1">
      <alignment horizontal="right" vertical="center" wrapText="1"/>
      <protection locked="0"/>
    </xf>
    <xf numFmtId="176" fontId="11" fillId="0" borderId="0" xfId="0" applyFont="1" applyAlignment="1">
      <alignment horizontal="left" vertical="center" wrapText="1"/>
      <protection locked="0"/>
    </xf>
    <xf numFmtId="43" fontId="11" fillId="0" borderId="0" xfId="0" applyNumberFormat="1" applyFont="1" applyAlignment="1">
      <alignment horizontal="right" vertical="center" wrapText="1"/>
      <protection locked="0"/>
    </xf>
    <xf numFmtId="176" fontId="15" fillId="0" borderId="0" xfId="0" applyFont="1" applyAlignment="1">
      <alignment horizontal="right" vertical="center" wrapText="1"/>
      <protection locked="0"/>
    </xf>
    <xf numFmtId="43" fontId="15" fillId="0" borderId="0" xfId="1" applyFont="1" applyFill="1" applyBorder="1" applyAlignment="1" applyProtection="1">
      <alignment horizontal="right" vertical="center" wrapText="1"/>
      <protection locked="0"/>
    </xf>
    <xf numFmtId="43" fontId="7" fillId="0" borderId="0" xfId="829" applyNumberFormat="1" applyFont="1" applyFill="1" applyBorder="1" applyAlignment="1">
      <alignment vertical="center"/>
    </xf>
    <xf numFmtId="43" fontId="10" fillId="0" borderId="0" xfId="829" applyNumberFormat="1" applyFont="1" applyFill="1" applyBorder="1" applyAlignment="1">
      <alignment vertical="center"/>
    </xf>
    <xf numFmtId="43" fontId="11" fillId="0" borderId="0" xfId="829" applyNumberFormat="1" applyFont="1" applyFill="1" applyBorder="1" applyAlignment="1">
      <alignment vertical="center"/>
    </xf>
    <xf numFmtId="49" fontId="7" fillId="0" borderId="0" xfId="829" applyNumberFormat="1" applyFont="1" applyFill="1" applyBorder="1" applyAlignment="1">
      <alignment vertical="center"/>
    </xf>
    <xf numFmtId="176" fontId="18" fillId="0" borderId="0" xfId="0" applyFont="1" applyAlignment="1">
      <alignment horizontal="left" vertical="center"/>
      <protection locked="0"/>
    </xf>
    <xf numFmtId="176" fontId="11" fillId="0" borderId="0" xfId="0" applyFont="1" applyAlignment="1">
      <alignment horizontal="left" vertical="center"/>
      <protection locked="0"/>
    </xf>
    <xf numFmtId="10" fontId="14" fillId="0" borderId="8" xfId="2" applyNumberFormat="1" applyFont="1" applyFill="1" applyBorder="1" applyAlignment="1" applyProtection="1">
      <alignment vertical="center" shrinkToFit="1"/>
      <protection locked="0"/>
    </xf>
    <xf numFmtId="43" fontId="19" fillId="0" borderId="0" xfId="0" applyNumberFormat="1" applyFont="1" applyAlignment="1">
      <alignment vertical="center"/>
      <protection locked="0"/>
    </xf>
    <xf numFmtId="176" fontId="12" fillId="0" borderId="0" xfId="0" applyFont="1" applyAlignment="1">
      <alignment horizontal="left" vertical="center"/>
      <protection locked="0"/>
    </xf>
    <xf numFmtId="176" fontId="17" fillId="0" borderId="0" xfId="0" applyFont="1" applyAlignment="1">
      <alignment horizontal="justify" vertical="center" wrapText="1"/>
      <protection locked="0"/>
    </xf>
    <xf numFmtId="43" fontId="10" fillId="0" borderId="0" xfId="1" applyFont="1" applyFill="1" applyBorder="1" applyAlignment="1" applyProtection="1">
      <alignment horizontal="right" vertical="center" wrapText="1" shrinkToFit="1"/>
      <protection locked="0"/>
    </xf>
    <xf numFmtId="43" fontId="10" fillId="0" borderId="0" xfId="0" applyNumberFormat="1" applyFont="1" applyAlignment="1">
      <alignment horizontal="right" vertical="center" wrapText="1"/>
      <protection locked="0"/>
    </xf>
    <xf numFmtId="43" fontId="11" fillId="0" borderId="8" xfId="1" applyFont="1" applyFill="1" applyBorder="1" applyAlignment="1" applyProtection="1">
      <alignment horizontal="right" vertical="center" wrapText="1" shrinkToFit="1"/>
      <protection locked="0"/>
    </xf>
    <xf numFmtId="10" fontId="10" fillId="0" borderId="8" xfId="2" applyNumberFormat="1" applyFont="1" applyFill="1" applyBorder="1" applyAlignment="1" applyProtection="1">
      <alignment horizontal="right" vertical="center" wrapText="1"/>
      <protection locked="0"/>
    </xf>
    <xf numFmtId="176" fontId="11" fillId="0" borderId="8" xfId="0" applyFont="1" applyBorder="1" applyAlignment="1">
      <alignment horizontal="right" vertical="center" wrapText="1"/>
      <protection locked="0"/>
    </xf>
    <xf numFmtId="176" fontId="10" fillId="0" borderId="0" xfId="0" applyFont="1" applyAlignment="1">
      <alignment horizontal="justify" vertical="center" wrapText="1"/>
      <protection locked="0"/>
    </xf>
    <xf numFmtId="10" fontId="10" fillId="0" borderId="6" xfId="2" applyNumberFormat="1" applyFont="1" applyFill="1" applyBorder="1" applyAlignment="1" applyProtection="1">
      <alignment horizontal="right" vertical="center"/>
      <protection locked="0"/>
    </xf>
    <xf numFmtId="43" fontId="10" fillId="0" borderId="6" xfId="0" applyNumberFormat="1" applyFont="1" applyBorder="1" applyAlignment="1">
      <alignment horizontal="right" vertical="center"/>
      <protection locked="0"/>
    </xf>
    <xf numFmtId="43" fontId="10" fillId="0" borderId="6" xfId="1" applyFont="1" applyFill="1" applyBorder="1" applyAlignment="1" applyProtection="1">
      <alignment horizontal="right" vertical="center" shrinkToFit="1"/>
      <protection locked="0"/>
    </xf>
    <xf numFmtId="10" fontId="10" fillId="0" borderId="0" xfId="2" applyNumberFormat="1" applyFont="1" applyFill="1" applyBorder="1" applyAlignment="1" applyProtection="1">
      <alignment horizontal="right" vertical="center"/>
      <protection locked="0"/>
    </xf>
    <xf numFmtId="43" fontId="10" fillId="0" borderId="0" xfId="0" applyNumberFormat="1" applyFont="1" applyAlignment="1">
      <alignment horizontal="right" vertical="center"/>
      <protection locked="0"/>
    </xf>
    <xf numFmtId="43" fontId="10" fillId="0" borderId="0" xfId="1" applyFont="1" applyFill="1" applyBorder="1" applyAlignment="1" applyProtection="1">
      <alignment horizontal="right" vertical="center" shrinkToFit="1"/>
      <protection locked="0"/>
    </xf>
    <xf numFmtId="43" fontId="10" fillId="0" borderId="7" xfId="0" applyNumberFormat="1" applyFont="1" applyBorder="1" applyAlignment="1">
      <alignment horizontal="right" vertical="center"/>
      <protection locked="0"/>
    </xf>
    <xf numFmtId="43" fontId="10" fillId="0" borderId="7" xfId="1" applyFont="1" applyFill="1" applyBorder="1" applyAlignment="1" applyProtection="1">
      <alignment horizontal="right" vertical="center" shrinkToFit="1"/>
      <protection locked="0"/>
    </xf>
    <xf numFmtId="43" fontId="11" fillId="0" borderId="8" xfId="1" applyFont="1" applyFill="1" applyBorder="1" applyAlignment="1" applyProtection="1">
      <alignment vertical="center" shrinkToFit="1"/>
      <protection locked="0"/>
    </xf>
    <xf numFmtId="10" fontId="11" fillId="0" borderId="8" xfId="2" applyNumberFormat="1" applyFont="1" applyFill="1" applyBorder="1" applyAlignment="1" applyProtection="1">
      <alignment horizontal="right" vertical="center"/>
      <protection locked="0"/>
    </xf>
    <xf numFmtId="43" fontId="11" fillId="0" borderId="8" xfId="1" applyFont="1" applyFill="1" applyBorder="1" applyAlignment="1" applyProtection="1">
      <alignment horizontal="right" vertical="center" shrinkToFit="1"/>
      <protection locked="0"/>
    </xf>
    <xf numFmtId="176" fontId="18" fillId="0" borderId="8" xfId="0" applyFont="1" applyBorder="1" applyAlignment="1">
      <alignment horizontal="center" vertical="center" wrapText="1"/>
      <protection locked="0"/>
    </xf>
    <xf numFmtId="176" fontId="15" fillId="0" borderId="0" xfId="0" applyFont="1" applyAlignment="1">
      <alignment horizontal="justify" vertical="center" wrapText="1"/>
      <protection locked="0"/>
    </xf>
    <xf numFmtId="10" fontId="11" fillId="0" borderId="8" xfId="2" applyNumberFormat="1" applyFont="1" applyFill="1" applyBorder="1" applyAlignment="1" applyProtection="1">
      <alignment vertical="center" shrinkToFit="1"/>
      <protection locked="0"/>
    </xf>
    <xf numFmtId="176" fontId="10" fillId="0" borderId="8" xfId="0" applyFont="1" applyBorder="1" applyAlignment="1">
      <alignment horizontal="center" vertical="center" wrapText="1"/>
      <protection locked="0"/>
    </xf>
    <xf numFmtId="176" fontId="11" fillId="0" borderId="8" xfId="0" applyFont="1" applyBorder="1" applyAlignment="1">
      <alignment horizontal="justify" vertical="center" wrapText="1"/>
      <protection locked="0"/>
    </xf>
    <xf numFmtId="176" fontId="20" fillId="0" borderId="8" xfId="0" applyFont="1" applyBorder="1" applyAlignment="1">
      <alignment horizontal="center" vertical="center" wrapText="1"/>
      <protection locked="0"/>
    </xf>
    <xf numFmtId="176" fontId="2" fillId="0" borderId="6" xfId="0" applyFont="1" applyBorder="1" applyAlignment="1">
      <alignment horizontal="justify" vertical="center" wrapText="1"/>
      <protection locked="0"/>
    </xf>
    <xf numFmtId="176" fontId="12" fillId="0" borderId="0" xfId="0" applyFont="1" applyAlignment="1">
      <alignment horizontal="justify" vertical="center" wrapText="1"/>
      <protection locked="0"/>
    </xf>
    <xf numFmtId="176" fontId="17" fillId="0" borderId="7" xfId="0" applyFont="1" applyBorder="1" applyAlignment="1">
      <alignment horizontal="justify" vertical="center" wrapText="1"/>
      <protection locked="0"/>
    </xf>
    <xf numFmtId="176" fontId="2" fillId="0" borderId="7" xfId="0" applyFont="1" applyBorder="1" applyAlignment="1">
      <alignment horizontal="justify" vertical="center" wrapText="1"/>
      <protection locked="0"/>
    </xf>
    <xf numFmtId="43" fontId="14" fillId="0" borderId="7" xfId="0" applyNumberFormat="1" applyFont="1" applyBorder="1" applyAlignment="1">
      <alignment vertical="center"/>
      <protection locked="0"/>
    </xf>
    <xf numFmtId="49" fontId="15" fillId="0" borderId="0" xfId="0" applyNumberFormat="1" applyFont="1" applyAlignment="1">
      <alignment horizontal="left" vertical="center"/>
      <protection locked="0"/>
    </xf>
    <xf numFmtId="49" fontId="11" fillId="0" borderId="0" xfId="0" applyNumberFormat="1" applyFont="1" applyAlignment="1">
      <alignment horizontal="left" vertical="center"/>
      <protection locked="0"/>
    </xf>
    <xf numFmtId="43" fontId="15" fillId="0" borderId="0" xfId="1" applyFont="1" applyFill="1" applyBorder="1" applyAlignment="1" applyProtection="1">
      <alignment horizontal="right" vertical="center"/>
      <protection locked="0"/>
    </xf>
    <xf numFmtId="176" fontId="15" fillId="0" borderId="0" xfId="0" applyFont="1" applyAlignment="1">
      <alignment horizontal="left" vertical="center"/>
      <protection locked="0"/>
    </xf>
    <xf numFmtId="43" fontId="11" fillId="0" borderId="8" xfId="0" applyNumberFormat="1" applyFont="1" applyBorder="1" applyAlignment="1">
      <alignment horizontal="right" vertical="center" wrapText="1"/>
      <protection locked="0"/>
    </xf>
    <xf numFmtId="176" fontId="15" fillId="0" borderId="0" xfId="0" applyFont="1" applyAlignment="1">
      <alignment vertical="center" wrapText="1"/>
      <protection locked="0"/>
    </xf>
    <xf numFmtId="176" fontId="10" fillId="0" borderId="8" xfId="0" applyFont="1" applyBorder="1" applyAlignment="1">
      <alignment horizontal="justify" vertical="center" wrapText="1"/>
      <protection locked="0"/>
    </xf>
    <xf numFmtId="43" fontId="10" fillId="0" borderId="8" xfId="0" applyNumberFormat="1" applyFont="1" applyBorder="1" applyAlignment="1">
      <alignment horizontal="center" vertical="center" wrapText="1"/>
      <protection locked="0"/>
    </xf>
    <xf numFmtId="176" fontId="10" fillId="0" borderId="0" xfId="0" applyFont="1" applyAlignment="1">
      <alignment horizontal="right" vertical="center"/>
      <protection locked="0"/>
    </xf>
    <xf numFmtId="176" fontId="15" fillId="0" borderId="0" xfId="0" applyFont="1" applyAlignment="1">
      <alignment horizontal="right" vertical="center"/>
      <protection locked="0"/>
    </xf>
    <xf numFmtId="176" fontId="11" fillId="0" borderId="8" xfId="0" applyFont="1" applyBorder="1" applyAlignment="1">
      <alignment horizontal="center" vertical="center"/>
      <protection locked="0"/>
    </xf>
    <xf numFmtId="176" fontId="15" fillId="0" borderId="8" xfId="0" applyFont="1" applyBorder="1" applyAlignment="1">
      <alignment horizontal="right" vertical="center"/>
      <protection locked="0"/>
    </xf>
    <xf numFmtId="176" fontId="19" fillId="0" borderId="0" xfId="0" applyFont="1" applyAlignment="1">
      <alignment horizontal="justify" vertical="center"/>
      <protection locked="0"/>
    </xf>
    <xf numFmtId="10" fontId="11" fillId="0" borderId="8" xfId="2" applyNumberFormat="1" applyFont="1" applyFill="1" applyBorder="1" applyAlignment="1" applyProtection="1">
      <alignment horizontal="right" vertical="center" shrinkToFit="1"/>
      <protection locked="0"/>
    </xf>
    <xf numFmtId="43" fontId="10" fillId="0" borderId="0" xfId="1" applyFont="1" applyFill="1" applyBorder="1" applyAlignment="1" applyProtection="1">
      <alignment horizontal="left" vertical="center" wrapText="1"/>
      <protection locked="0"/>
    </xf>
    <xf numFmtId="43" fontId="11" fillId="0" borderId="8" xfId="0" applyNumberFormat="1" applyFont="1" applyBorder="1" applyAlignment="1">
      <alignment horizontal="left" vertical="center" wrapText="1"/>
      <protection locked="0"/>
    </xf>
    <xf numFmtId="43" fontId="11" fillId="0" borderId="0" xfId="1" applyFont="1" applyFill="1" applyBorder="1" applyAlignment="1" applyProtection="1">
      <alignment horizontal="right" vertical="center" wrapText="1"/>
      <protection locked="0"/>
    </xf>
    <xf numFmtId="43" fontId="7" fillId="0" borderId="1" xfId="1" applyFont="1" applyBorder="1" applyAlignment="1" applyProtection="1">
      <alignment vertical="center"/>
      <protection locked="0"/>
    </xf>
    <xf numFmtId="176" fontId="1" fillId="2" borderId="1" xfId="769" applyFont="1" applyFill="1" applyBorder="1" applyAlignment="1">
      <alignment vertical="center"/>
      <protection locked="0"/>
    </xf>
    <xf numFmtId="176" fontId="8" fillId="0" borderId="0" xfId="825" applyFont="1" applyAlignment="1">
      <alignment horizontal="center" vertical="center"/>
    </xf>
    <xf numFmtId="43" fontId="11" fillId="0" borderId="0" xfId="829" applyNumberFormat="1" applyFont="1" applyFill="1" applyBorder="1" applyAlignment="1">
      <alignment horizontal="center" vertical="center"/>
    </xf>
    <xf numFmtId="176" fontId="11" fillId="0" borderId="6" xfId="0" applyFont="1" applyBorder="1" applyAlignment="1">
      <alignment horizontal="center" vertical="center" wrapText="1"/>
      <protection locked="0"/>
    </xf>
    <xf numFmtId="176" fontId="15" fillId="0" borderId="0" xfId="0" applyFont="1" applyAlignment="1">
      <alignment horizontal="left" vertical="center" wrapText="1"/>
      <protection locked="0"/>
    </xf>
    <xf numFmtId="176" fontId="11" fillId="0" borderId="0" xfId="0" applyFont="1" applyAlignment="1">
      <alignment horizontal="left" vertical="center" wrapText="1"/>
      <protection locked="0"/>
    </xf>
    <xf numFmtId="176" fontId="10" fillId="0" borderId="0" xfId="0" applyFont="1" applyAlignment="1">
      <alignment horizontal="left" vertical="center" wrapText="1"/>
      <protection locked="0"/>
    </xf>
    <xf numFmtId="176" fontId="18" fillId="0" borderId="6" xfId="0" applyFont="1" applyBorder="1" applyAlignment="1">
      <alignment horizontal="center" vertical="center" wrapText="1"/>
      <protection locked="0"/>
    </xf>
    <xf numFmtId="176" fontId="11" fillId="0" borderId="7" xfId="0" applyFont="1" applyBorder="1" applyAlignment="1">
      <alignment horizontal="center" vertical="center" wrapText="1"/>
      <protection locked="0"/>
    </xf>
    <xf numFmtId="176" fontId="11" fillId="0" borderId="0" xfId="0" applyFont="1" applyAlignment="1">
      <alignment horizontal="center" vertical="center" wrapText="1"/>
      <protection locked="0"/>
    </xf>
    <xf numFmtId="43" fontId="2" fillId="0" borderId="0" xfId="829" applyNumberFormat="1" applyFont="1" applyBorder="1" applyAlignment="1">
      <alignment horizontal="center" vertical="center"/>
    </xf>
    <xf numFmtId="43" fontId="11" fillId="0" borderId="0" xfId="829" applyNumberFormat="1" applyFont="1" applyBorder="1" applyAlignment="1">
      <alignment horizontal="center" vertical="center"/>
    </xf>
    <xf numFmtId="176" fontId="11" fillId="0" borderId="6" xfId="0" applyFont="1" applyBorder="1" applyAlignment="1">
      <alignment horizontal="center" vertical="center"/>
      <protection locked="0"/>
    </xf>
    <xf numFmtId="176" fontId="11" fillId="0" borderId="0" xfId="0" applyFont="1" applyAlignment="1">
      <alignment horizontal="center" vertical="center"/>
      <protection locked="0"/>
    </xf>
    <xf numFmtId="176" fontId="2" fillId="0" borderId="0" xfId="823" applyFont="1" applyAlignment="1">
      <alignment horizontal="center" vertical="center" wrapText="1"/>
    </xf>
    <xf numFmtId="176" fontId="3" fillId="0" borderId="0" xfId="823" applyFont="1" applyAlignment="1">
      <alignment horizontal="center" vertical="center" wrapText="1"/>
    </xf>
    <xf numFmtId="235" fontId="1" fillId="0" borderId="2" xfId="1" applyNumberFormat="1" applyFont="1" applyBorder="1" applyAlignment="1">
      <alignment horizontal="center" vertical="center"/>
    </xf>
    <xf numFmtId="235" fontId="1" fillId="0" borderId="3" xfId="1" applyNumberFormat="1" applyFont="1" applyBorder="1" applyAlignment="1">
      <alignment horizontal="center" vertical="center"/>
    </xf>
    <xf numFmtId="235" fontId="1" fillId="0" borderId="4" xfId="1" applyNumberFormat="1" applyFont="1" applyBorder="1" applyAlignment="1">
      <alignment horizontal="center" vertical="center"/>
    </xf>
    <xf numFmtId="235" fontId="1" fillId="0" borderId="1" xfId="1" applyNumberFormat="1" applyFont="1" applyBorder="1" applyAlignment="1">
      <alignment horizontal="center" vertical="center"/>
    </xf>
    <xf numFmtId="176" fontId="127" fillId="0" borderId="0" xfId="3" applyFont="1" applyAlignment="1">
      <alignment horizontal="left" vertical="center"/>
      <protection locked="0"/>
    </xf>
  </cellXfs>
  <cellStyles count="1023">
    <cellStyle name="_x000a_mouse.drv=lm" xfId="4"/>
    <cellStyle name="_x000a_mouse.drv=lm 2" xfId="5"/>
    <cellStyle name="%" xfId="6"/>
    <cellStyle name="% 2" xfId="7"/>
    <cellStyle name="% 2 2" xfId="8"/>
    <cellStyle name="% 3" xfId="9"/>
    <cellStyle name="?" xfId="10"/>
    <cellStyle name="? 2" xfId="11"/>
    <cellStyle name="? 2 2" xfId="12"/>
    <cellStyle name="??" xfId="13"/>
    <cellStyle name="?? [0]" xfId="14"/>
    <cellStyle name="?? [0] 2" xfId="15"/>
    <cellStyle name="?? 2" xfId="16"/>
    <cellStyle name="??_0N-HANDLING " xfId="17"/>
    <cellStyle name="?餡_x000c_k" xfId="18"/>
    <cellStyle name="?餡_x000c_k 2" xfId="19"/>
    <cellStyle name="?餡_x000c_k 2 2" xfId="20"/>
    <cellStyle name="?餡_x000c_k?_x000d_^" xfId="21"/>
    <cellStyle name="?餡_x000c_k?_x000d_^ 2" xfId="22"/>
    <cellStyle name="?餡_x000c_k?_x000d_^ 2 2" xfId="23"/>
    <cellStyle name="?餡_x000c_k?_x000d_^黇_x0001_??_x0007__x0001__x0001_" xfId="24"/>
    <cellStyle name="?餡_x000c_k?_x000d_^黇_x0001_??_x0007__x0001__x0001_ 2" xfId="25"/>
    <cellStyle name="?餡_x000c_k?_x000d_^黇_x0001_??_x0007__x0001__x0001_ 2 2" xfId="26"/>
    <cellStyle name="@_text" xfId="27"/>
    <cellStyle name="@_text_子公司附注汇总(房开公司)" xfId="28"/>
    <cellStyle name="_(本部)2006年年报审计PBC表" xfId="29"/>
    <cellStyle name="_(本部)2006年年报审计PBC表 2" xfId="30"/>
    <cellStyle name="_07930建造合同" xfId="31"/>
    <cellStyle name="_07930建造合同 2" xfId="32"/>
    <cellStyle name="_12月项目部访问及审计-德勤" xfId="33"/>
    <cellStyle name="_12月项目部访问及审计-德勤 2" xfId="34"/>
    <cellStyle name="_2005-08-31审计底稿－李" xfId="35"/>
    <cellStyle name="_2005-08-31审计底稿－李 2" xfId="36"/>
    <cellStyle name="_2005年工作底稿" xfId="37"/>
    <cellStyle name="_2005年工作底稿 2" xfId="38"/>
    <cellStyle name="_2005年工作底稿_3-2-A1B-银行存款" xfId="39"/>
    <cellStyle name="_2005年工作底稿_3-2-A1B-银行存款 2" xfId="40"/>
    <cellStyle name="_2005年工作底稿_3-2-Z17A-固定资产" xfId="41"/>
    <cellStyle name="_2005年工作底稿_3-2-Z17A-固定资产 2" xfId="42"/>
    <cellStyle name="_2005年工作底稿_Sheet1" xfId="43"/>
    <cellStyle name="_2005年工作底稿_Sheet1 2" xfId="44"/>
    <cellStyle name="_2005审计报表及附注-中国建材股份模板（房屋）" xfId="45"/>
    <cellStyle name="_2005审计报表及附注-中国建材股份模板（房屋） 2" xfId="46"/>
    <cellStyle name="_2005审计报表及附注-中国建材股份模板（房屋） 2 2" xfId="47"/>
    <cellStyle name="_2006年年报审计PBC表（合并）" xfId="48"/>
    <cellStyle name="_2006年年报审计PBC表（合并） 2" xfId="49"/>
    <cellStyle name="_2006年年报审计PBC表-XX" xfId="50"/>
    <cellStyle name="_2006年年报审计PBC表-XX 2" xfId="51"/>
    <cellStyle name="_2006年年报审计PBC表-XXX" xfId="52"/>
    <cellStyle name="_2006年年报审计PBC表-XXX 2" xfId="53"/>
    <cellStyle name="_2006年年报审计PBC表-XXX 2 2" xfId="54"/>
    <cellStyle name="_2006年年报审计PBC表-福州分公司" xfId="55"/>
    <cellStyle name="_2006年年报审计PBC表-福州分公司 2" xfId="56"/>
    <cellStyle name="_2006年年报审计PBC表-云南分公司" xfId="57"/>
    <cellStyle name="_2006年年报审计PBC表-云南分公司 2" xfId="58"/>
    <cellStyle name="_2006年年报审计填报资料" xfId="59"/>
    <cellStyle name="_2006年年报审计填报资料 2" xfId="60"/>
    <cellStyle name="_2006年年报审计填报资料 2 2" xfId="61"/>
    <cellStyle name="_2007调整分录-鲁佳" xfId="62"/>
    <cellStyle name="_2007调整分录-鲁佳 2" xfId="63"/>
    <cellStyle name="_3-2-A22-无形资产" xfId="64"/>
    <cellStyle name="_3-2-A22-无形资产 2" xfId="65"/>
    <cellStyle name="_3-2-A4-应收账款" xfId="66"/>
    <cellStyle name="_3-2-A4-应收账款 2" xfId="67"/>
    <cellStyle name="_A17固定资产" xfId="68"/>
    <cellStyle name="_A17固定资产 2" xfId="69"/>
    <cellStyle name="_A23无形资产" xfId="70"/>
    <cellStyle name="_A23无形资产 2" xfId="71"/>
    <cellStyle name="_A3应收票据" xfId="72"/>
    <cellStyle name="_A3应收票据 2" xfId="73"/>
    <cellStyle name="_A6应收账款" xfId="74"/>
    <cellStyle name="_A6应收账款 2" xfId="75"/>
    <cellStyle name="_A6应收账款_3-2-A1B-银行存款" xfId="76"/>
    <cellStyle name="_A6应收账款_3-2-A1B-银行存款 2" xfId="77"/>
    <cellStyle name="_A6应收账款_3-2-Z17A-固定资产" xfId="78"/>
    <cellStyle name="_A6应收账款_3-2-Z17A-固定资产 2" xfId="79"/>
    <cellStyle name="_A6应收账款_Sheet1" xfId="80"/>
    <cellStyle name="_A6应收账款_Sheet1 2" xfId="81"/>
    <cellStyle name="_B10其他未交款" xfId="82"/>
    <cellStyle name="_B10其他未交款 2" xfId="83"/>
    <cellStyle name="_B13预收账款2005" xfId="84"/>
    <cellStyle name="_B13预收账款2005 2" xfId="85"/>
    <cellStyle name="_B6应付工资" xfId="86"/>
    <cellStyle name="_B6应付工资 2" xfId="87"/>
    <cellStyle name="_B7应付福利费" xfId="88"/>
    <cellStyle name="_B7应付福利费 2" xfId="89"/>
    <cellStyle name="_B9应交税金2005" xfId="90"/>
    <cellStyle name="_B9应交税金2005 2" xfId="91"/>
    <cellStyle name="_Book1" xfId="92"/>
    <cellStyle name="_Book1 2" xfId="93"/>
    <cellStyle name="_Book1 2 2" xfId="94"/>
    <cellStyle name="_CREC(Huo" xfId="95"/>
    <cellStyle name="_CREC(Huo 2" xfId="96"/>
    <cellStyle name="_D11营业外支出" xfId="97"/>
    <cellStyle name="_D11营业外支出 2" xfId="98"/>
    <cellStyle name="_D12所得税2005" xfId="99"/>
    <cellStyle name="_D12所得税2005 2" xfId="100"/>
    <cellStyle name="_D1主营业务收入" xfId="101"/>
    <cellStyle name="_D1主营业务收入 2" xfId="102"/>
    <cellStyle name="_D3主营业务税金及附加" xfId="103"/>
    <cellStyle name="_D3主营业务税金及附加 2" xfId="104"/>
    <cellStyle name="_D4其他业务利润" xfId="105"/>
    <cellStyle name="_D4其他业务利润 2" xfId="106"/>
    <cellStyle name="_ET_STYLE_NoName_00_" xfId="107"/>
    <cellStyle name="_ET_STYLE_NoName_00_ 2" xfId="108"/>
    <cellStyle name="_ET_STYLE_NoName_00__2007调整分录-鲁佳" xfId="109"/>
    <cellStyle name="_ET_STYLE_NoName_00__2007调整分录-鲁佳 2" xfId="110"/>
    <cellStyle name="_ET_STYLE_NoName_00__股份本部" xfId="111"/>
    <cellStyle name="_ET_STYLE_NoName_00__股份本部 2" xfId="112"/>
    <cellStyle name="_ET_STYLE_NoName_00__股份本部_1" xfId="113"/>
    <cellStyle name="_ET_STYLE_NoName_00__股份本部_1 2" xfId="114"/>
    <cellStyle name="_ET_STYLE_NoName_00__股份本部_3" xfId="115"/>
    <cellStyle name="_ET_STYLE_NoName_00__股份本部_3 2" xfId="116"/>
    <cellStyle name="_ET_STYLE_NoName_00__股份本部_6_股份本部_2" xfId="117"/>
    <cellStyle name="_ET_STYLE_NoName_00__股份本部_6_股份本部_2 2" xfId="118"/>
    <cellStyle name="_ET_STYLE_NoName_00__股份本部_7_股份本部_3" xfId="119"/>
    <cellStyle name="_ET_STYLE_NoName_00__股份本部_7_股份本部_3 2" xfId="120"/>
    <cellStyle name="_J1000-存货-ZHHG" xfId="121"/>
    <cellStyle name="_J1000-存货-ZHHG 2" xfId="122"/>
    <cellStyle name="_PBC审核提示" xfId="123"/>
    <cellStyle name="_PBC审核提示 2" xfId="124"/>
    <cellStyle name="_PBC审核提示 2 2" xfId="125"/>
    <cellStyle name="_Sheet1" xfId="126"/>
    <cellStyle name="_Sheet1 2" xfId="127"/>
    <cellStyle name="_宝丽华房地产20051231" xfId="128"/>
    <cellStyle name="_宝丽华房地产20051231 2" xfId="129"/>
    <cellStyle name="_宝丽华房地产20051231 2 2" xfId="130"/>
    <cellStyle name="_保证金-企业填写部分" xfId="131"/>
    <cellStyle name="_保证金-企业填写部分 2" xfId="132"/>
    <cellStyle name="_保证金-企业填写部分 2 2" xfId="133"/>
    <cellStyle name="_北新房屋2004年审-刘" xfId="134"/>
    <cellStyle name="_北新房屋2004年审-刘 2" xfId="135"/>
    <cellStyle name="_北新房屋2004年审-刘 2 2" xfId="136"/>
    <cellStyle name="_北新股份2005年审工作底稿" xfId="137"/>
    <cellStyle name="_北新股份2005年审工作底稿 2" xfId="138"/>
    <cellStyle name="_北新股份2005年审工作底稿 2 2" xfId="139"/>
    <cellStyle name="_北新建材关连交易基础表051230（10－12月版）更新稿" xfId="140"/>
    <cellStyle name="_北新建材关连交易基础表051230（10－12月版）更新稿 2" xfId="141"/>
    <cellStyle name="_北新建材关连交易基础表051230（10－12月版）更新稿 2 2" xfId="142"/>
    <cellStyle name="_北新建材-会计报表附注模版" xfId="143"/>
    <cellStyle name="_北新建材-会计报表附注模版 2" xfId="144"/>
    <cellStyle name="_北新建材-会计报表附注模版 2 2" xfId="145"/>
    <cellStyle name="_北新龙之星2004年审工作底稿" xfId="146"/>
    <cellStyle name="_北新龙之星2004年审工作底稿 2" xfId="147"/>
    <cellStyle name="_北新龙之星2004年审工作底稿 2 2" xfId="148"/>
    <cellStyle name="_北新物流2005底稿-刘" xfId="149"/>
    <cellStyle name="_北新物流2005底稿-刘 2" xfId="150"/>
    <cellStyle name="_北新物流2005底稿-刘 2 2" xfId="151"/>
    <cellStyle name="_北新置换memo" xfId="152"/>
    <cellStyle name="_北新置换memo 2" xfId="153"/>
    <cellStyle name="_北新置换memo 2 2" xfId="154"/>
    <cellStyle name="_本部其他应收应付年审底稿--鲁佳pb" xfId="155"/>
    <cellStyle name="_本部其他应收应付年审底稿--鲁佳pb 2" xfId="156"/>
    <cellStyle name="_存货结转测试" xfId="157"/>
    <cellStyle name="_存货结转测试 2" xfId="158"/>
    <cellStyle name="_存货结转测试 2 2" xfId="159"/>
    <cellStyle name="_存货数量与明细05.12" xfId="160"/>
    <cellStyle name="_存货数量与明细05.12 2" xfId="161"/>
    <cellStyle name="_存货数量与明细05.12 2 2" xfId="162"/>
    <cellStyle name="_动力厂2004年审工作底稿-刘" xfId="163"/>
    <cellStyle name="_动力厂2004年审工作底稿-刘 2" xfId="164"/>
    <cellStyle name="_动力厂2004年审工作底稿-刘 2 2" xfId="165"/>
    <cellStyle name="_分工" xfId="166"/>
    <cellStyle name="_分工 2" xfId="167"/>
    <cellStyle name="_分工 2 2" xfId="168"/>
    <cellStyle name="_封面" xfId="169"/>
    <cellStyle name="_封面 2" xfId="170"/>
    <cellStyle name="_工程施工项目现场审计提示" xfId="171"/>
    <cellStyle name="_工程施工项目现场审计提示 2" xfId="172"/>
    <cellStyle name="_工程施工项目现场审计提示 2 2" xfId="173"/>
    <cellStyle name="_公司填表" xfId="174"/>
    <cellStyle name="_公司填表 2" xfId="175"/>
    <cellStyle name="_公司填表-2005蔡" xfId="176"/>
    <cellStyle name="_公司填表-2005蔡 2" xfId="177"/>
    <cellStyle name="_公司填表-2005李志刚" xfId="178"/>
    <cellStyle name="_公司填表-2005李志刚 2" xfId="179"/>
    <cellStyle name="_公司填表2005-吴" xfId="180"/>
    <cellStyle name="_公司填表2005-吴 2" xfId="181"/>
    <cellStyle name="_公司填表2005-吴_3-2-A1B-银行存款" xfId="182"/>
    <cellStyle name="_公司填表2005-吴_3-2-A1B-银行存款 2" xfId="183"/>
    <cellStyle name="_公司填表2005-吴_3-2-Z17A-固定资产" xfId="184"/>
    <cellStyle name="_公司填表2005-吴_3-2-Z17A-固定资产 2" xfId="185"/>
    <cellStyle name="_公司填表2005-吴_Sheet1" xfId="186"/>
    <cellStyle name="_公司填表2005-吴_Sheet1 2" xfId="187"/>
    <cellStyle name="_公司填表2005-修改" xfId="188"/>
    <cellStyle name="_公司填表2005-修改 2" xfId="189"/>
    <cellStyle name="_公司填表2005-修改_3-2-A1B-银行存款" xfId="190"/>
    <cellStyle name="_公司填表2005-修改_3-2-A1B-银行存款 2" xfId="191"/>
    <cellStyle name="_公司填表2005-修改_3-2-Z17A-固定资产" xfId="192"/>
    <cellStyle name="_公司填表2005-修改_3-2-Z17A-固定资产 2" xfId="193"/>
    <cellStyle name="_公司填表2005-修改_Sheet1" xfId="194"/>
    <cellStyle name="_公司填表2005-修改_Sheet1 2" xfId="195"/>
    <cellStyle name="_公司填表2005-修改后" xfId="196"/>
    <cellStyle name="_公司填表2005-修改后 2" xfId="197"/>
    <cellStyle name="_公司填表2005-修改后_3-2-A1B-银行存款" xfId="198"/>
    <cellStyle name="_公司填表2005-修改后_3-2-A1B-银行存款 2" xfId="199"/>
    <cellStyle name="_公司填表2005-修改后_3-2-Z17A-固定资产" xfId="200"/>
    <cellStyle name="_公司填表2005-修改后_3-2-Z17A-固定资产 2" xfId="201"/>
    <cellStyle name="_公司填表2005-修改后_Sheet1" xfId="202"/>
    <cellStyle name="_公司填表2005-修改后_Sheet1 2" xfId="203"/>
    <cellStyle name="_公司填表-2005杨" xfId="204"/>
    <cellStyle name="_公司填表-2005杨 2" xfId="205"/>
    <cellStyle name="_关联交易" xfId="206"/>
    <cellStyle name="_关联交易 2" xfId="207"/>
    <cellStyle name="_关联交易 2 2" xfId="208"/>
    <cellStyle name="_关联交易、往来统计表" xfId="209"/>
    <cellStyle name="_关联交易、往来统计表 2" xfId="210"/>
    <cellStyle name="_关联交易、往来统计表 2 2" xfId="211"/>
    <cellStyle name="_合并报表审计调整模板(CREC)" xfId="212"/>
    <cellStyle name="_合并报表审计调整模板(CREC) 2" xfId="213"/>
    <cellStyle name="_合并公司2006年度科目明细表(定稿)" xfId="214"/>
    <cellStyle name="_合并公司2006年度科目明细表(定稿) 2" xfId="215"/>
    <cellStyle name="_建造合同-宜万指（正式版）" xfId="216"/>
    <cellStyle name="_建造合同-宜万指（正式版） 2" xfId="217"/>
    <cellStyle name="_建造合同-宜万指（正式版） 2 2" xfId="218"/>
    <cellStyle name="_科目核对表" xfId="219"/>
    <cellStyle name="_科目核对表 2" xfId="220"/>
    <cellStyle name="_科目核对表 2 2" xfId="221"/>
    <cellStyle name="_刘青分工填列信息统计" xfId="222"/>
    <cellStyle name="_刘青分工填列信息统计 2" xfId="223"/>
    <cellStyle name="_刘青分工－子公司审计模板-电务" xfId="224"/>
    <cellStyle name="_刘青分工－子公司审计模板-电务 2" xfId="225"/>
    <cellStyle name="_刘青分工－子公司审计模板－铁达本部" xfId="226"/>
    <cellStyle name="_刘青分工－子公司审计模板－铁达本部 2" xfId="227"/>
    <cellStyle name="_母PL" xfId="228"/>
    <cellStyle name="_母PL 2" xfId="229"/>
    <cellStyle name="_母PL 2 2" xfId="230"/>
    <cellStyle name="_母公司底稿-鲁佳" xfId="231"/>
    <cellStyle name="_母公司底稿-鲁佳 2" xfId="232"/>
    <cellStyle name="_年审筹资循环资料清单" xfId="233"/>
    <cellStyle name="_年审筹资循环资料清单 2" xfId="234"/>
    <cellStyle name="_凭证抽查-05年" xfId="235"/>
    <cellStyle name="_凭证抽查-05年 2" xfId="236"/>
    <cellStyle name="_人员分工备忘录" xfId="237"/>
    <cellStyle name="_人员分工备忘录 2" xfId="238"/>
    <cellStyle name="_人员分工备忘录 2 2" xfId="239"/>
    <cellStyle name="_审计底稿-轩" xfId="240"/>
    <cellStyle name="_审计底稿-轩 2" xfId="241"/>
    <cellStyle name="_审计所需资料清单－子公司" xfId="242"/>
    <cellStyle name="_审计所需资料清单－子公司 2" xfId="243"/>
    <cellStyle name="_审计所需资料清单－子公司 2 2" xfId="244"/>
    <cellStyle name="_审计提示模版" xfId="245"/>
    <cellStyle name="_审计提示模版 2" xfId="246"/>
    <cellStyle name="_审计提示模版-母公司部分" xfId="247"/>
    <cellStyle name="_审计提示模版-母公司部分 2" xfId="248"/>
    <cellStyle name="_铁鸿源－刘青分工－子公司审计模板" xfId="249"/>
    <cellStyle name="_铁鸿源－刘青分工－子公司审计模板 2" xfId="250"/>
    <cellStyle name="_兴华审计成本" xfId="251"/>
    <cellStyle name="_兴华审计成本 2" xfId="252"/>
    <cellStyle name="_岩土长投--急0121报王占学" xfId="253"/>
    <cellStyle name="_岩土长投--急0121报王占学 2" xfId="254"/>
    <cellStyle name="_一公司建造合同前5名" xfId="255"/>
    <cellStyle name="_一公司建造合同前5名 2" xfId="256"/>
    <cellStyle name="_一公司建造合同前5名 2 2" xfId="257"/>
    <cellStyle name="_一公司－刘丰收" xfId="258"/>
    <cellStyle name="_一公司－刘丰收 2" xfId="259"/>
    <cellStyle name="_一公司－刘丰收 2 2" xfId="260"/>
    <cellStyle name="_银行询证函统计－大表" xfId="261"/>
    <cellStyle name="_银行询证函统计－大表 2" xfId="262"/>
    <cellStyle name="_应收账款账龄--04、05" xfId="263"/>
    <cellStyle name="_应收账款账龄--04、05 2" xfId="264"/>
    <cellStyle name="_长期借款－江阴" xfId="265"/>
    <cellStyle name="_长期借款－江阴 2" xfId="266"/>
    <cellStyle name="_长期借款－江阴 2 2" xfId="267"/>
    <cellStyle name="_子公司筹资循环－刘青" xfId="268"/>
    <cellStyle name="_子公司筹资循环－刘青 2" xfId="269"/>
    <cellStyle name="_子公司审计提示模版-Liufs" xfId="270"/>
    <cellStyle name="_子公司审计提示模版-Liufs 2" xfId="271"/>
    <cellStyle name="_子公司审计提示模版-Liufs 2 2" xfId="272"/>
    <cellStyle name="_子公司填表" xfId="273"/>
    <cellStyle name="_子公司填表 2" xfId="274"/>
    <cellStyle name="{Comma [0]}" xfId="275"/>
    <cellStyle name="{Comma}" xfId="276"/>
    <cellStyle name="{Date}" xfId="277"/>
    <cellStyle name="{Month}" xfId="278"/>
    <cellStyle name="{Percent}" xfId="279"/>
    <cellStyle name="{Thousand [0]}" xfId="280"/>
    <cellStyle name="{Thousand}" xfId="281"/>
    <cellStyle name="{Z'0000(1 dec)}" xfId="282"/>
    <cellStyle name="{Z'0000(4 dec)}" xfId="283"/>
    <cellStyle name="0%" xfId="284"/>
    <cellStyle name="0,0_x000d__x000a_NA_x000d__x000a_" xfId="285"/>
    <cellStyle name="0,0_x000d__x000a_NA_x000d__x000a_ 2" xfId="286"/>
    <cellStyle name="0.0%" xfId="287"/>
    <cellStyle name="0.00%" xfId="288"/>
    <cellStyle name="00" xfId="289"/>
    <cellStyle name="20% - Accent1" xfId="290"/>
    <cellStyle name="20% - Accent2" xfId="291"/>
    <cellStyle name="20% - Accent3" xfId="292"/>
    <cellStyle name="20% - Accent4" xfId="293"/>
    <cellStyle name="20% - Accent5" xfId="294"/>
    <cellStyle name="20% - Accent6" xfId="295"/>
    <cellStyle name="40% - Accent1" xfId="296"/>
    <cellStyle name="40% - Accent2" xfId="297"/>
    <cellStyle name="40% - Accent3" xfId="298"/>
    <cellStyle name="40% - Accent4" xfId="299"/>
    <cellStyle name="40% - Accent5" xfId="300"/>
    <cellStyle name="40% - Accent6" xfId="301"/>
    <cellStyle name="60% - Accent1" xfId="302"/>
    <cellStyle name="60% - Accent2" xfId="303"/>
    <cellStyle name="60% - Accent3" xfId="304"/>
    <cellStyle name="60% - Accent4" xfId="305"/>
    <cellStyle name="60% - Accent5" xfId="306"/>
    <cellStyle name="60% - Accent6" xfId="307"/>
    <cellStyle name="AA FRAME" xfId="308"/>
    <cellStyle name="AA FRAME 2" xfId="309"/>
    <cellStyle name="AA HEADING" xfId="310"/>
    <cellStyle name="AA HEADING 2" xfId="311"/>
    <cellStyle name="AA INITIALS" xfId="312"/>
    <cellStyle name="AA INITIALS 2" xfId="313"/>
    <cellStyle name="AA INPUT" xfId="314"/>
    <cellStyle name="AA INPUT 2" xfId="315"/>
    <cellStyle name="AA LOCK" xfId="316"/>
    <cellStyle name="AA LOCK 2" xfId="317"/>
    <cellStyle name="AA MGR NAME" xfId="318"/>
    <cellStyle name="AA MGR NAME 2" xfId="319"/>
    <cellStyle name="AA NORMAL" xfId="320"/>
    <cellStyle name="AA NORMAL 2" xfId="321"/>
    <cellStyle name="AA NUMBER" xfId="322"/>
    <cellStyle name="AA NUMBER2" xfId="323"/>
    <cellStyle name="AA QUESTION" xfId="324"/>
    <cellStyle name="AA QUESTION 2" xfId="325"/>
    <cellStyle name="AA SHADE" xfId="326"/>
    <cellStyle name="AA SHADE 2" xfId="327"/>
    <cellStyle name="Accent1" xfId="328"/>
    <cellStyle name="Accent1 - 20%" xfId="329"/>
    <cellStyle name="Accent1 - 20% 2" xfId="330"/>
    <cellStyle name="Accent1 - 40%" xfId="331"/>
    <cellStyle name="Accent1 - 40% 2" xfId="332"/>
    <cellStyle name="Accent1 - 60%" xfId="333"/>
    <cellStyle name="Accent1 - 60% 2" xfId="334"/>
    <cellStyle name="Accent2" xfId="335"/>
    <cellStyle name="Accent2 - 20%" xfId="336"/>
    <cellStyle name="Accent2 - 20% 2" xfId="337"/>
    <cellStyle name="Accent2 - 40%" xfId="338"/>
    <cellStyle name="Accent2 - 40% 2" xfId="339"/>
    <cellStyle name="Accent2 - 60%" xfId="340"/>
    <cellStyle name="Accent2 - 60% 2" xfId="341"/>
    <cellStyle name="Accent3" xfId="342"/>
    <cellStyle name="Accent3 - 20%" xfId="343"/>
    <cellStyle name="Accent3 - 20% 2" xfId="344"/>
    <cellStyle name="Accent3 - 40%" xfId="345"/>
    <cellStyle name="Accent3 - 40% 2" xfId="346"/>
    <cellStyle name="Accent3 - 60%" xfId="347"/>
    <cellStyle name="Accent3 - 60% 2" xfId="348"/>
    <cellStyle name="Accent4" xfId="349"/>
    <cellStyle name="Accent4 - 20%" xfId="350"/>
    <cellStyle name="Accent4 - 20% 2" xfId="351"/>
    <cellStyle name="Accent4 - 40%" xfId="352"/>
    <cellStyle name="Accent4 - 40% 2" xfId="353"/>
    <cellStyle name="Accent4 - 60%" xfId="354"/>
    <cellStyle name="Accent4 - 60% 2" xfId="355"/>
    <cellStyle name="Accent5" xfId="356"/>
    <cellStyle name="Accent5 - 20%" xfId="357"/>
    <cellStyle name="Accent5 - 20% 2" xfId="358"/>
    <cellStyle name="Accent5 - 40%" xfId="359"/>
    <cellStyle name="Accent5 - 40% 2" xfId="360"/>
    <cellStyle name="Accent5 - 60%" xfId="361"/>
    <cellStyle name="Accent5 - 60% 2" xfId="362"/>
    <cellStyle name="Accent6" xfId="363"/>
    <cellStyle name="Accent6 - 20%" xfId="364"/>
    <cellStyle name="Accent6 - 20% 2" xfId="365"/>
    <cellStyle name="Accent6 - 40%" xfId="366"/>
    <cellStyle name="Accent6 - 40% 2" xfId="367"/>
    <cellStyle name="Accent6 - 60%" xfId="368"/>
    <cellStyle name="Accent6 - 60% 2" xfId="369"/>
    <cellStyle name="args.style" xfId="370"/>
    <cellStyle name="args.style 2" xfId="371"/>
    <cellStyle name="Bad" xfId="372"/>
    <cellStyle name="Black" xfId="373"/>
    <cellStyle name="Border" xfId="374"/>
    <cellStyle name="Calc Currency (0)" xfId="375"/>
    <cellStyle name="Calc Currency (2)" xfId="376"/>
    <cellStyle name="Calc Percent (0)" xfId="377"/>
    <cellStyle name="Calc Percent (1)" xfId="378"/>
    <cellStyle name="Calc Percent (2)" xfId="379"/>
    <cellStyle name="Calc Units (0)" xfId="380"/>
    <cellStyle name="Calc Units (1)" xfId="381"/>
    <cellStyle name="Calc Units (2)" xfId="382"/>
    <cellStyle name="Calculation" xfId="383"/>
    <cellStyle name="category" xfId="384"/>
    <cellStyle name="category 2" xfId="385"/>
    <cellStyle name="Check Cell" xfId="386"/>
    <cellStyle name="Col Heads" xfId="387"/>
    <cellStyle name="Col Heads 2" xfId="388"/>
    <cellStyle name="Column_Title" xfId="389"/>
    <cellStyle name="Comma  - Style1" xfId="390"/>
    <cellStyle name="Comma  - Style2" xfId="391"/>
    <cellStyle name="Comma  - Style3" xfId="392"/>
    <cellStyle name="Comma  - Style4" xfId="393"/>
    <cellStyle name="Comma  - Style5" xfId="394"/>
    <cellStyle name="Comma  - Style6" xfId="395"/>
    <cellStyle name="Comma  - Style7" xfId="396"/>
    <cellStyle name="Comma  - Style8" xfId="397"/>
    <cellStyle name="Comma [0]" xfId="398"/>
    <cellStyle name="Comma [00]" xfId="399"/>
    <cellStyle name="Comma 2" xfId="400"/>
    <cellStyle name="Comma 28" xfId="401"/>
    <cellStyle name="Comma 28 2" xfId="402"/>
    <cellStyle name="comma zerodec" xfId="403"/>
    <cellStyle name="Comma,0" xfId="404"/>
    <cellStyle name="Comma,1" xfId="405"/>
    <cellStyle name="Comma,2" xfId="406"/>
    <cellStyle name="Comma_ rislugp" xfId="407"/>
    <cellStyle name="Copied" xfId="408"/>
    <cellStyle name="Copied 2" xfId="409"/>
    <cellStyle name="COST1" xfId="410"/>
    <cellStyle name="COST1 2" xfId="411"/>
    <cellStyle name="Currency [0]" xfId="412"/>
    <cellStyle name="Currency [00]" xfId="413"/>
    <cellStyle name="Currency,0" xfId="414"/>
    <cellStyle name="Currency,2" xfId="415"/>
    <cellStyle name="Currency_ rislugp" xfId="416"/>
    <cellStyle name="Currency1" xfId="417"/>
    <cellStyle name="Date" xfId="418"/>
    <cellStyle name="Date 2" xfId="419"/>
    <cellStyle name="Date Short" xfId="420"/>
    <cellStyle name="Date_ A1-货币资金审定表" xfId="421"/>
    <cellStyle name="Dezimal [0]_laroux" xfId="422"/>
    <cellStyle name="Dezimal_laroux" xfId="423"/>
    <cellStyle name="Dollar (zero dec)" xfId="424"/>
    <cellStyle name="E&amp;Y House" xfId="425"/>
    <cellStyle name="E&amp;Y House 2" xfId="426"/>
    <cellStyle name="Enter Currency (0)" xfId="427"/>
    <cellStyle name="Enter Currency (2)" xfId="428"/>
    <cellStyle name="Enter Units (0)" xfId="429"/>
    <cellStyle name="Enter Units (1)" xfId="430"/>
    <cellStyle name="Enter Units (2)" xfId="431"/>
    <cellStyle name="Entered" xfId="432"/>
    <cellStyle name="Entered 2" xfId="433"/>
    <cellStyle name="entry" xfId="434"/>
    <cellStyle name="entry 2" xfId="435"/>
    <cellStyle name="entry 2 2" xfId="436"/>
    <cellStyle name="entry box" xfId="437"/>
    <cellStyle name="entry box 2" xfId="438"/>
    <cellStyle name="entry box 2 2" xfId="439"/>
    <cellStyle name="Euro" xfId="440"/>
    <cellStyle name="Explanatory Text" xfId="441"/>
    <cellStyle name="F2" xfId="442"/>
    <cellStyle name="F3" xfId="443"/>
    <cellStyle name="F4" xfId="444"/>
    <cellStyle name="F5" xfId="445"/>
    <cellStyle name="F6" xfId="446"/>
    <cellStyle name="F7" xfId="447"/>
    <cellStyle name="F8" xfId="448"/>
    <cellStyle name="Fixed" xfId="449"/>
    <cellStyle name="Followed Hyperlink_AheadBehind.xls Chart 23" xfId="450"/>
    <cellStyle name="Good" xfId="451"/>
    <cellStyle name="Grey" xfId="452"/>
    <cellStyle name="HEADER" xfId="453"/>
    <cellStyle name="HEADER 2" xfId="454"/>
    <cellStyle name="Header1" xfId="455"/>
    <cellStyle name="Header1 2" xfId="456"/>
    <cellStyle name="Header1 2 2" xfId="457"/>
    <cellStyle name="Header2" xfId="458"/>
    <cellStyle name="Header2 2" xfId="459"/>
    <cellStyle name="Header2 2 2" xfId="460"/>
    <cellStyle name="Heading" xfId="461"/>
    <cellStyle name="Heading 1" xfId="462"/>
    <cellStyle name="Heading 2" xfId="463"/>
    <cellStyle name="Heading 3" xfId="464"/>
    <cellStyle name="Heading 4" xfId="465"/>
    <cellStyle name="Heading1" xfId="466"/>
    <cellStyle name="Heading2" xfId="467"/>
    <cellStyle name="Hyperlink_AheadBehind.xls Chart 23" xfId="468"/>
    <cellStyle name="Input" xfId="469"/>
    <cellStyle name="Input [yellow]" xfId="470"/>
    <cellStyle name="Input Cells" xfId="471"/>
    <cellStyle name="Input Cells 2" xfId="472"/>
    <cellStyle name="left" xfId="473"/>
    <cellStyle name="left 2" xfId="474"/>
    <cellStyle name="left 2 2" xfId="475"/>
    <cellStyle name="Link Currency (0)" xfId="476"/>
    <cellStyle name="Link Currency (2)" xfId="477"/>
    <cellStyle name="Link Units (0)" xfId="478"/>
    <cellStyle name="Link Units (1)" xfId="479"/>
    <cellStyle name="Link Units (2)" xfId="480"/>
    <cellStyle name="Linked Cell" xfId="481"/>
    <cellStyle name="Linked Cells" xfId="482"/>
    <cellStyle name="Linked Cells 2" xfId="483"/>
    <cellStyle name="Millares [0]_laroux" xfId="484"/>
    <cellStyle name="Millares_laroux" xfId="485"/>
    <cellStyle name="Milliers [0]_!!!GO" xfId="486"/>
    <cellStyle name="Milliers_!!!GO" xfId="487"/>
    <cellStyle name="Model" xfId="488"/>
    <cellStyle name="Model 2" xfId="489"/>
    <cellStyle name="Moneda [0]_laroux" xfId="490"/>
    <cellStyle name="Moneda_laroux" xfId="491"/>
    <cellStyle name="Monétaire [0]_!!!GO" xfId="492"/>
    <cellStyle name="Monétaire_!!!GO" xfId="493"/>
    <cellStyle name="Mon閠aire [0]_laroux" xfId="494"/>
    <cellStyle name="Mon閠aire_laroux" xfId="495"/>
    <cellStyle name="Neutral" xfId="496"/>
    <cellStyle name="New Times Roman" xfId="497"/>
    <cellStyle name="New Times Roman 2" xfId="498"/>
    <cellStyle name="no dec" xfId="499"/>
    <cellStyle name="Non défini" xfId="500"/>
    <cellStyle name="Non défini 2" xfId="501"/>
    <cellStyle name="Normal - Style1" xfId="502"/>
    <cellStyle name="Normal 2" xfId="503"/>
    <cellStyle name="Normal 2 2" xfId="504"/>
    <cellStyle name="Normal 2 2 2" xfId="505"/>
    <cellStyle name="Normal 2 3" xfId="506"/>
    <cellStyle name="Normal 21" xfId="507"/>
    <cellStyle name="Normal 21 2" xfId="508"/>
    <cellStyle name="Normal 3 2" xfId="509"/>
    <cellStyle name="Normal 3 2 2" xfId="510"/>
    <cellStyle name="Normal_ rislugp" xfId="511"/>
    <cellStyle name="Normalny_Arkusz1" xfId="512"/>
    <cellStyle name="Note" xfId="513"/>
    <cellStyle name="Œ…‹æØ‚è [0.00]_Region Orders (2)" xfId="514"/>
    <cellStyle name="Œ…‹æØ‚è_Region Orders (2)" xfId="515"/>
    <cellStyle name="Output" xfId="516"/>
    <cellStyle name="per.style" xfId="517"/>
    <cellStyle name="Percent (0)" xfId="518"/>
    <cellStyle name="Percent [0]" xfId="519"/>
    <cellStyle name="Percent [00]" xfId="520"/>
    <cellStyle name="Percent [2]" xfId="521"/>
    <cellStyle name="Percent_!!!GO" xfId="522"/>
    <cellStyle name="Pourcentage_pldt" xfId="523"/>
    <cellStyle name="Prefilled" xfId="524"/>
    <cellStyle name="Prefilled 2" xfId="525"/>
    <cellStyle name="Prefilled 2 2" xfId="526"/>
    <cellStyle name="PrePop Currency (0)" xfId="527"/>
    <cellStyle name="PrePop Currency (2)" xfId="528"/>
    <cellStyle name="PrePop Units (0)" xfId="529"/>
    <cellStyle name="PrePop Units (1)" xfId="530"/>
    <cellStyle name="PrePop Units (2)" xfId="531"/>
    <cellStyle name="price" xfId="532"/>
    <cellStyle name="pricing" xfId="533"/>
    <cellStyle name="pricing 2" xfId="534"/>
    <cellStyle name="PSChar" xfId="535"/>
    <cellStyle name="PSChar 2" xfId="536"/>
    <cellStyle name="PSHeading" xfId="537"/>
    <cellStyle name="PSHeading 2" xfId="538"/>
    <cellStyle name="Red" xfId="539"/>
    <cellStyle name="revised" xfId="540"/>
    <cellStyle name="RevList" xfId="541"/>
    <cellStyle name="RevList 2" xfId="542"/>
    <cellStyle name="row_def_array" xfId="543"/>
    <cellStyle name="S4" xfId="544"/>
    <cellStyle name="S4 2" xfId="545"/>
    <cellStyle name="S5" xfId="546"/>
    <cellStyle name="S5 2" xfId="547"/>
    <cellStyle name="SAPBEXaggData" xfId="548"/>
    <cellStyle name="SAPBEXaggDataEmph" xfId="549"/>
    <cellStyle name="SAPBEXaggItem" xfId="550"/>
    <cellStyle name="SAPBEXaggItemX" xfId="551"/>
    <cellStyle name="SAPBEXaggItemX 2" xfId="552"/>
    <cellStyle name="SAPBEXchaText" xfId="553"/>
    <cellStyle name="SAPBEXexcBad7" xfId="554"/>
    <cellStyle name="SAPBEXexcBad8" xfId="555"/>
    <cellStyle name="SAPBEXexcBad9" xfId="556"/>
    <cellStyle name="SAPBEXexcCritical4" xfId="557"/>
    <cellStyle name="SAPBEXexcCritical5" xfId="558"/>
    <cellStyle name="SAPBEXexcCritical6" xfId="559"/>
    <cellStyle name="SAPBEXexcGood1" xfId="560"/>
    <cellStyle name="SAPBEXexcGood2" xfId="561"/>
    <cellStyle name="SAPBEXexcGood3" xfId="562"/>
    <cellStyle name="SAPBEXfilterDrill" xfId="563"/>
    <cellStyle name="SAPBEXfilterItem" xfId="564"/>
    <cellStyle name="SAPBEXfilterText" xfId="565"/>
    <cellStyle name="SAPBEXformats" xfId="566"/>
    <cellStyle name="SAPBEXheaderItem" xfId="567"/>
    <cellStyle name="SAPBEXheaderText" xfId="568"/>
    <cellStyle name="SAPBEXHLevel0" xfId="569"/>
    <cellStyle name="SAPBEXHLevel0 2" xfId="570"/>
    <cellStyle name="SAPBEXHLevel0X" xfId="571"/>
    <cellStyle name="SAPBEXHLevel0X 2" xfId="572"/>
    <cellStyle name="SAPBEXHLevel1" xfId="573"/>
    <cellStyle name="SAPBEXHLevel1 2" xfId="574"/>
    <cellStyle name="SAPBEXHLevel1X" xfId="575"/>
    <cellStyle name="SAPBEXHLevel1X 2" xfId="576"/>
    <cellStyle name="SAPBEXHLevel2" xfId="577"/>
    <cellStyle name="SAPBEXHLevel2 2" xfId="578"/>
    <cellStyle name="SAPBEXHLevel2X" xfId="579"/>
    <cellStyle name="SAPBEXHLevel2X 2" xfId="580"/>
    <cellStyle name="SAPBEXHLevel3" xfId="581"/>
    <cellStyle name="SAPBEXHLevel3 2" xfId="582"/>
    <cellStyle name="SAPBEXHLevel3X" xfId="583"/>
    <cellStyle name="SAPBEXHLevel3X 2" xfId="584"/>
    <cellStyle name="SAPBEXresData" xfId="585"/>
    <cellStyle name="SAPBEXresDataEmph" xfId="586"/>
    <cellStyle name="SAPBEXresItem" xfId="587"/>
    <cellStyle name="SAPBEXresItemX" xfId="588"/>
    <cellStyle name="SAPBEXresItemX 2" xfId="589"/>
    <cellStyle name="SAPBEXstdData" xfId="590"/>
    <cellStyle name="SAPBEXstdDataEmph" xfId="591"/>
    <cellStyle name="SAPBEXstdItem" xfId="592"/>
    <cellStyle name="SAPBEXstdItemX" xfId="593"/>
    <cellStyle name="SAPBEXstdItemX 2" xfId="594"/>
    <cellStyle name="SAPBEXtitle" xfId="595"/>
    <cellStyle name="SAPBEXundefined" xfId="596"/>
    <cellStyle name="section" xfId="597"/>
    <cellStyle name="section 2" xfId="598"/>
    <cellStyle name="section 2 2" xfId="599"/>
    <cellStyle name="SOR" xfId="600"/>
    <cellStyle name="SOR 2" xfId="601"/>
    <cellStyle name="Standard_AREAS" xfId="602"/>
    <cellStyle name="style" xfId="603"/>
    <cellStyle name="style 2" xfId="604"/>
    <cellStyle name="style 2 2" xfId="605"/>
    <cellStyle name="style1" xfId="606"/>
    <cellStyle name="style1 2" xfId="607"/>
    <cellStyle name="style1 2 2" xfId="608"/>
    <cellStyle name="style2" xfId="609"/>
    <cellStyle name="style2 2" xfId="610"/>
    <cellStyle name="style2 2 2" xfId="611"/>
    <cellStyle name="subhead" xfId="612"/>
    <cellStyle name="subhead 2" xfId="613"/>
    <cellStyle name="Subtotal" xfId="614"/>
    <cellStyle name="Text Indent A" xfId="615"/>
    <cellStyle name="Text Indent B" xfId="616"/>
    <cellStyle name="Text Indent C" xfId="617"/>
    <cellStyle name="Tickmark" xfId="618"/>
    <cellStyle name="Tickmark 2" xfId="619"/>
    <cellStyle name="Tickmark 2 2" xfId="620"/>
    <cellStyle name="title" xfId="621"/>
    <cellStyle name="title 2" xfId="622"/>
    <cellStyle name="title 2 2" xfId="623"/>
    <cellStyle name="Total" xfId="624"/>
    <cellStyle name="Tusental (0)_pldt" xfId="625"/>
    <cellStyle name="Tusental_pldt" xfId="626"/>
    <cellStyle name="Valuta (0)_pldt" xfId="627"/>
    <cellStyle name="Valuta_pldt" xfId="628"/>
    <cellStyle name="Warning Text" xfId="629"/>
    <cellStyle name="wrap" xfId="630"/>
    <cellStyle name="wrap 2" xfId="631"/>
    <cellStyle name="wrap 2 2" xfId="632"/>
    <cellStyle name="パーセント_laroux" xfId="633"/>
    <cellStyle name="_PLDT" xfId="634"/>
    <cellStyle name="_laroux" xfId="635"/>
    <cellStyle name="だ[0]_PLDT" xfId="636"/>
    <cellStyle name="だ_PLDT" xfId="637"/>
    <cellStyle name="だ[0]_Total (2)" xfId="638"/>
    <cellStyle name="だ_laroux" xfId="639"/>
    <cellStyle name="百分比" xfId="2" builtinId="5"/>
    <cellStyle name="百分比 2" xfId="640"/>
    <cellStyle name="百分比 2 2" xfId="641"/>
    <cellStyle name="百分比 3" xfId="642"/>
    <cellStyle name="百分比 4" xfId="643"/>
    <cellStyle name="捠壿 [0.00]_PRODUCT DETAIL Q1" xfId="644"/>
    <cellStyle name="捠壿_PRODUCT DETAIL Q1" xfId="645"/>
    <cellStyle name="標準_１１月価格表" xfId="646"/>
    <cellStyle name="表标题" xfId="647"/>
    <cellStyle name="表标题 2" xfId="648"/>
    <cellStyle name="差_10存货" xfId="649"/>
    <cellStyle name="差_10存货 2" xfId="650"/>
    <cellStyle name="差_19-无形资产（空白模板）" xfId="651"/>
    <cellStyle name="差_19-无形资产（空白模板） 2" xfId="652"/>
    <cellStyle name="差_2-交易性金融资产（空白模板）" xfId="653"/>
    <cellStyle name="差_2-交易性金融资产（空白模板） 2" xfId="654"/>
    <cellStyle name="差_2应收账款" xfId="655"/>
    <cellStyle name="差_2应收账款 2" xfId="656"/>
    <cellStyle name="差_3-2 进一步审计程序-采购与付款循环" xfId="657"/>
    <cellStyle name="差_3-2 进一步审计程序-采购与付款循环 2" xfId="658"/>
    <cellStyle name="差_3-3 进一步审计程序-存货与生产循环" xfId="659"/>
    <cellStyle name="差_3-3 进一步审计程序-存货与生产循环 2" xfId="660"/>
    <cellStyle name="差_37-长期借款（空白模板）" xfId="661"/>
    <cellStyle name="差_37-长期借款（空白模板） 2" xfId="662"/>
    <cellStyle name="差_49-营业收入（空白模板）" xfId="663"/>
    <cellStyle name="差_49-营业收入（空白模板） 2" xfId="664"/>
    <cellStyle name="差_4-应收账款（空白模板）" xfId="665"/>
    <cellStyle name="差_4-应收账款（空白模板） 2" xfId="666"/>
    <cellStyle name="差_50-营业成本（空白模板）" xfId="667"/>
    <cellStyle name="差_50-营业成本（空白模板） 2" xfId="668"/>
    <cellStyle name="差_51-营业税金及附加（空白模板）" xfId="669"/>
    <cellStyle name="差_51-营业税金及附加（空白模板） 2" xfId="670"/>
    <cellStyle name="差_54-财务费用（空白模板）" xfId="671"/>
    <cellStyle name="差_54-财务费用（空白模板） 2" xfId="672"/>
    <cellStyle name="差_55-资产减值损失（空白模板）" xfId="673"/>
    <cellStyle name="差_55-资产减值损失（空白模板） 2" xfId="674"/>
    <cellStyle name="差_9管理费用" xfId="675"/>
    <cellStyle name="差_9管理费用 2" xfId="676"/>
    <cellStyle name="差_Book2" xfId="677"/>
    <cellStyle name="差_Book2 2" xfId="678"/>
    <cellStyle name="差_dxn底稿目录" xfId="679"/>
    <cellStyle name="差_dxn底稿目录 2" xfId="680"/>
    <cellStyle name="差_Sheet1" xfId="681"/>
    <cellStyle name="差_Sheet1 2" xfId="682"/>
    <cellStyle name="差_StartUp" xfId="683"/>
    <cellStyle name="差_StartUp 2" xfId="684"/>
    <cellStyle name="差_T1000-主营业务收入-LJCH" xfId="685"/>
    <cellStyle name="差_T1000-主营业务收入-LJCH 2" xfId="686"/>
    <cellStyle name="差_Z14-长期应收款（函证汇总表样本）" xfId="687"/>
    <cellStyle name="差_Z14-长期应收款（函证汇总表样本） 2" xfId="688"/>
    <cellStyle name="差_ZA0货币资金审定表 " xfId="689"/>
    <cellStyle name="差_ZA0货币资金审定表  2" xfId="690"/>
    <cellStyle name="差_财务费用" xfId="691"/>
    <cellStyle name="差_财务费用 2" xfId="692"/>
    <cellStyle name="差_程序表模版" xfId="693"/>
    <cellStyle name="差_程序表模版 2" xfId="694"/>
    <cellStyle name="差_存货" xfId="695"/>
    <cellStyle name="差_存货 2" xfId="696"/>
    <cellStyle name="差_大信底稿目录" xfId="697"/>
    <cellStyle name="差_大信底稿目录 2" xfId="698"/>
    <cellStyle name="差_底稿设置宏" xfId="699"/>
    <cellStyle name="差_底稿设置宏 2" xfId="700"/>
    <cellStyle name="差_管理费用" xfId="701"/>
    <cellStyle name="差_管理费用 2" xfId="702"/>
    <cellStyle name="差_货币资金" xfId="703"/>
    <cellStyle name="差_货币资金 2" xfId="704"/>
    <cellStyle name="差_货币资金 天职" xfId="705"/>
    <cellStyle name="差_货币资金 天职 2" xfId="706"/>
    <cellStyle name="差_货币资金 岳华" xfId="707"/>
    <cellStyle name="差_货币资金 岳华 2" xfId="708"/>
    <cellStyle name="差_其他应付款" xfId="709"/>
    <cellStyle name="差_其他应付款 2" xfId="710"/>
    <cellStyle name="差_其他应付款—YH" xfId="711"/>
    <cellStyle name="差_其他应付款—YH 2" xfId="712"/>
    <cellStyle name="差_未分配利润" xfId="713"/>
    <cellStyle name="差_未分配利润 2" xfId="714"/>
    <cellStyle name="差_无形资产" xfId="715"/>
    <cellStyle name="差_无形资产 2" xfId="716"/>
    <cellStyle name="差_应付账款" xfId="717"/>
    <cellStyle name="差_应付账款 2" xfId="718"/>
    <cellStyle name="差_应付职工薪酬" xfId="719"/>
    <cellStyle name="差_应付职工薪酬 2" xfId="720"/>
    <cellStyle name="差_应收账款" xfId="721"/>
    <cellStyle name="差_应收账款 2" xfId="722"/>
    <cellStyle name="差_盈余公积" xfId="723"/>
    <cellStyle name="差_盈余公积 2" xfId="724"/>
    <cellStyle name="差_长期应付款" xfId="725"/>
    <cellStyle name="差_长期应付款 2" xfId="726"/>
    <cellStyle name="差_账项明细表" xfId="727"/>
    <cellStyle name="差_账项明细表 2" xfId="728"/>
    <cellStyle name="差_资本公积" xfId="729"/>
    <cellStyle name="差_资本公积 2" xfId="730"/>
    <cellStyle name="差_资产负债标准底稿" xfId="731"/>
    <cellStyle name="差_资产负债标准底稿 2" xfId="732"/>
    <cellStyle name="差_资产负债类底稿模版" xfId="733"/>
    <cellStyle name="差_资产负债类底稿模版 2" xfId="734"/>
    <cellStyle name="差_子公司附注汇总(房开公司)" xfId="735"/>
    <cellStyle name="差_子公司附注汇总(房开公司) 2" xfId="736"/>
    <cellStyle name="常规" xfId="0" builtinId="0"/>
    <cellStyle name="常规 10" xfId="737"/>
    <cellStyle name="常规 10 2" xfId="738"/>
    <cellStyle name="常规 11" xfId="739"/>
    <cellStyle name="常规 11 2" xfId="740"/>
    <cellStyle name="常规 12" xfId="741"/>
    <cellStyle name="常规 2" xfId="742"/>
    <cellStyle name="常规 2 2" xfId="743"/>
    <cellStyle name="常规 2 2 2" xfId="744"/>
    <cellStyle name="常规 2 2 2 2" xfId="745"/>
    <cellStyle name="常规 2 2 3" xfId="746"/>
    <cellStyle name="常规 2 2 3 2" xfId="747"/>
    <cellStyle name="常规 2 2 4" xfId="748"/>
    <cellStyle name="常规 2 2 4 2" xfId="749"/>
    <cellStyle name="常规 2 2 5" xfId="750"/>
    <cellStyle name="常规 2 3" xfId="751"/>
    <cellStyle name="常规 2 3 2" xfId="752"/>
    <cellStyle name="常规 2 3 2 2" xfId="753"/>
    <cellStyle name="常规 2 3 3" xfId="754"/>
    <cellStyle name="常规 2 4" xfId="755"/>
    <cellStyle name="常规 2 4 2" xfId="756"/>
    <cellStyle name="常规 2 4 3" xfId="757"/>
    <cellStyle name="常规 2 4 4" xfId="758"/>
    <cellStyle name="常规 2 5" xfId="759"/>
    <cellStyle name="常规 2 5 2" xfId="760"/>
    <cellStyle name="常规 2 6" xfId="761"/>
    <cellStyle name="常规 2 8" xfId="762"/>
    <cellStyle name="常规 2 8 2" xfId="763"/>
    <cellStyle name="常规 2_10存货" xfId="764"/>
    <cellStyle name="常规 3" xfId="765"/>
    <cellStyle name="常规 3 2" xfId="766"/>
    <cellStyle name="常规 3 2 2" xfId="767"/>
    <cellStyle name="常规 3 2 2 2" xfId="768"/>
    <cellStyle name="常规 3 2 3" xfId="769"/>
    <cellStyle name="常规 3 2 4" xfId="770"/>
    <cellStyle name="常规 3 3" xfId="771"/>
    <cellStyle name="常规 3 3 2" xfId="772"/>
    <cellStyle name="常规 3 4" xfId="773"/>
    <cellStyle name="常规 3 4 2" xfId="774"/>
    <cellStyle name="常规 3 5" xfId="775"/>
    <cellStyle name="常规 3_10存货" xfId="776"/>
    <cellStyle name="常规 4" xfId="777"/>
    <cellStyle name="常规 4 2" xfId="778"/>
    <cellStyle name="常规 4 3" xfId="779"/>
    <cellStyle name="常规 4 3 2" xfId="780"/>
    <cellStyle name="常规 5" xfId="781"/>
    <cellStyle name="常规 5 2" xfId="782"/>
    <cellStyle name="常规 5 2 2" xfId="783"/>
    <cellStyle name="常规 5 3" xfId="784"/>
    <cellStyle name="常规 5 3 2" xfId="785"/>
    <cellStyle name="常规 5 4" xfId="786"/>
    <cellStyle name="常规 6" xfId="787"/>
    <cellStyle name="常规 6 2" xfId="788"/>
    <cellStyle name="常规 6 2 2" xfId="789"/>
    <cellStyle name="常规 6 2 2 2" xfId="790"/>
    <cellStyle name="常规 6 2 3" xfId="791"/>
    <cellStyle name="常规 6 2 3 2" xfId="792"/>
    <cellStyle name="常规 6 2 4" xfId="793"/>
    <cellStyle name="常规 6 3" xfId="794"/>
    <cellStyle name="常规 6 3 2" xfId="795"/>
    <cellStyle name="常规 6 3 2 2" xfId="796"/>
    <cellStyle name="常规 6 3 2 2 2" xfId="797"/>
    <cellStyle name="常规 6 3 2 3" xfId="798"/>
    <cellStyle name="常规 6 3 3" xfId="799"/>
    <cellStyle name="常规 6 3 3 2" xfId="800"/>
    <cellStyle name="常规 6 3 4" xfId="801"/>
    <cellStyle name="常规 6 4" xfId="802"/>
    <cellStyle name="常规 6 4 2" xfId="803"/>
    <cellStyle name="常规 6 4 2 2" xfId="804"/>
    <cellStyle name="常规 6 4 3" xfId="805"/>
    <cellStyle name="常规 6 5" xfId="806"/>
    <cellStyle name="常规 6 5 2" xfId="807"/>
    <cellStyle name="常规 6 6" xfId="808"/>
    <cellStyle name="常规 6 6 2" xfId="809"/>
    <cellStyle name="常规 6 7" xfId="810"/>
    <cellStyle name="常规 7" xfId="811"/>
    <cellStyle name="常规 7 2" xfId="812"/>
    <cellStyle name="常规 7 2 2" xfId="813"/>
    <cellStyle name="常规 7 2 2 2" xfId="814"/>
    <cellStyle name="常规 7 2 3" xfId="815"/>
    <cellStyle name="常规 7 3" xfId="816"/>
    <cellStyle name="常规 7 3 2" xfId="817"/>
    <cellStyle name="常规 7 4" xfId="818"/>
    <cellStyle name="常规 8" xfId="819"/>
    <cellStyle name="常规 8 2" xfId="820"/>
    <cellStyle name="常规 9" xfId="821"/>
    <cellStyle name="常规 9 2" xfId="822"/>
    <cellStyle name="常规_2-1项目审定表－模板 2" xfId="823"/>
    <cellStyle name="常规_Book1 2" xfId="824"/>
    <cellStyle name="常规_c-资产类" xfId="825"/>
    <cellStyle name="常规_ZD－应收账款" xfId="826"/>
    <cellStyle name="常规_进一步审计程序--销售与收款循环" xfId="827"/>
    <cellStyle name="常规_进一步审计程序--销售与收款循环 2" xfId="828"/>
    <cellStyle name="常规_新审定表" xfId="829"/>
    <cellStyle name="常规_新审定表 2" xfId="830"/>
    <cellStyle name="超级链接_A4应收账款" xfId="831"/>
    <cellStyle name="超链接" xfId="3" builtinId="8"/>
    <cellStyle name="超链接 2" xfId="832"/>
    <cellStyle name="超链接 2 2" xfId="833"/>
    <cellStyle name="超链接 2 3" xfId="834"/>
    <cellStyle name="超链接 2 3 2" xfId="835"/>
    <cellStyle name="超链接 3" xfId="836"/>
    <cellStyle name="超链接 3 2" xfId="837"/>
    <cellStyle name="超链接 4" xfId="838"/>
    <cellStyle name="超链接 4 2" xfId="839"/>
    <cellStyle name="超链接 5" xfId="840"/>
    <cellStyle name="分级显示行_1_4附件二凯旋评估表" xfId="841"/>
    <cellStyle name="好_10存货" xfId="842"/>
    <cellStyle name="好_10存货 2" xfId="843"/>
    <cellStyle name="好_19-无形资产（空白模板）" xfId="844"/>
    <cellStyle name="好_19-无形资产（空白模板） 2" xfId="845"/>
    <cellStyle name="好_1财务费用" xfId="846"/>
    <cellStyle name="好_1财务费用 2" xfId="847"/>
    <cellStyle name="好_1营业收入" xfId="848"/>
    <cellStyle name="好_1营业收入 2" xfId="849"/>
    <cellStyle name="好_1资产减值损失" xfId="850"/>
    <cellStyle name="好_1资产减值损失 2" xfId="851"/>
    <cellStyle name="好_2-交易性金融资产（空白模板）" xfId="852"/>
    <cellStyle name="好_2-交易性金融资产（空白模板） 2" xfId="853"/>
    <cellStyle name="好_2应收账款" xfId="854"/>
    <cellStyle name="好_2应收账款 2" xfId="855"/>
    <cellStyle name="好_3-2 进一步审计程序-采购与付款循环" xfId="856"/>
    <cellStyle name="好_3-2 进一步审计程序-采购与付款循环 2" xfId="857"/>
    <cellStyle name="好_3-3 进一步审计程序-存货与生产循环" xfId="858"/>
    <cellStyle name="好_3-3 进一步审计程序-存货与生产循环 2" xfId="859"/>
    <cellStyle name="好_37-长期借款（空白模板）" xfId="860"/>
    <cellStyle name="好_37-长期借款（空白模板） 2" xfId="861"/>
    <cellStyle name="好_49-营业收入（空白模板）" xfId="862"/>
    <cellStyle name="好_49-营业收入（空白模板） 2" xfId="863"/>
    <cellStyle name="好_4-应收账款（空白模板）" xfId="864"/>
    <cellStyle name="好_4-应收账款（空白模板） 2" xfId="865"/>
    <cellStyle name="好_50-营业成本（空白模板）" xfId="866"/>
    <cellStyle name="好_50-营业成本（空白模板） 2" xfId="867"/>
    <cellStyle name="好_51-营业税金及附加（空白模板）" xfId="868"/>
    <cellStyle name="好_51-营业税金及附加（空白模板） 2" xfId="869"/>
    <cellStyle name="好_54-财务费用（空白模板）" xfId="870"/>
    <cellStyle name="好_54-财务费用（空白模板） 2" xfId="871"/>
    <cellStyle name="好_55-资产减值损失（空白模板）" xfId="872"/>
    <cellStyle name="好_55-资产减值损失（空白模板） 2" xfId="873"/>
    <cellStyle name="好_9管理费用" xfId="874"/>
    <cellStyle name="好_9管理费用 2" xfId="875"/>
    <cellStyle name="好_Book2" xfId="876"/>
    <cellStyle name="好_Book2 2" xfId="877"/>
    <cellStyle name="好_Sheet1" xfId="878"/>
    <cellStyle name="好_Sheet1 2" xfId="879"/>
    <cellStyle name="好_StartUp" xfId="880"/>
    <cellStyle name="好_StartUp 2" xfId="881"/>
    <cellStyle name="好_T1000-主营业务收入" xfId="882"/>
    <cellStyle name="好_T1000-主营业务收入 2" xfId="883"/>
    <cellStyle name="好_Z14-长期应收款（函证汇总表样本）" xfId="884"/>
    <cellStyle name="好_Z14-长期应收款（函证汇总表样本） 2" xfId="885"/>
    <cellStyle name="好_ZA0货币资金审定表 " xfId="886"/>
    <cellStyle name="好_ZA0货币资金审定表  2" xfId="887"/>
    <cellStyle name="好_财务费用" xfId="888"/>
    <cellStyle name="好_财务费用 2" xfId="889"/>
    <cellStyle name="好_程序表模版" xfId="890"/>
    <cellStyle name="好_程序表模版 2" xfId="891"/>
    <cellStyle name="好_存货" xfId="892"/>
    <cellStyle name="好_存货 - 复制" xfId="893"/>
    <cellStyle name="好_存货 - 复制 2" xfId="894"/>
    <cellStyle name="好_存货 2" xfId="895"/>
    <cellStyle name="好_大信底稿目录" xfId="896"/>
    <cellStyle name="好_大信底稿目录 2" xfId="897"/>
    <cellStyle name="好_底稿设置宏" xfId="898"/>
    <cellStyle name="好_底稿设置宏 2" xfId="899"/>
    <cellStyle name="好_底稿设置宏_大信底稿目录" xfId="900"/>
    <cellStyle name="好_底稿设置宏_大信底稿目录 2" xfId="901"/>
    <cellStyle name="好_管理费用" xfId="902"/>
    <cellStyle name="好_管理费用 2" xfId="903"/>
    <cellStyle name="好_货币资金" xfId="904"/>
    <cellStyle name="好_货币资金 2" xfId="905"/>
    <cellStyle name="好_货币资金 天职" xfId="906"/>
    <cellStyle name="好_货币资金 天职 2" xfId="907"/>
    <cellStyle name="好_货币资金 岳华" xfId="908"/>
    <cellStyle name="好_货币资金 岳华 2" xfId="909"/>
    <cellStyle name="好_其他应付款" xfId="910"/>
    <cellStyle name="好_其他应付款 2" xfId="911"/>
    <cellStyle name="好_其他应付款—YH" xfId="912"/>
    <cellStyle name="好_其他应付款—YH 2" xfId="913"/>
    <cellStyle name="好_其他应收款" xfId="914"/>
    <cellStyle name="好_其他应收款 2" xfId="915"/>
    <cellStyle name="好_实收资本(股本)" xfId="916"/>
    <cellStyle name="好_实收资本(股本) 2" xfId="917"/>
    <cellStyle name="好_未分配利润" xfId="918"/>
    <cellStyle name="好_未分配利润 2" xfId="919"/>
    <cellStyle name="好_无形资产" xfId="920"/>
    <cellStyle name="好_无形资产 2" xfId="921"/>
    <cellStyle name="好_银行函证结果汇总表" xfId="922"/>
    <cellStyle name="好_银行函证结果汇总表 2" xfId="923"/>
    <cellStyle name="好_应付债券" xfId="924"/>
    <cellStyle name="好_应付债券 2" xfId="925"/>
    <cellStyle name="好_应付账款" xfId="926"/>
    <cellStyle name="好_应付账款 2" xfId="927"/>
    <cellStyle name="好_应付职工薪酬" xfId="928"/>
    <cellStyle name="好_应付职工薪酬 2" xfId="929"/>
    <cellStyle name="好_应收利息" xfId="930"/>
    <cellStyle name="好_应收利息 2" xfId="931"/>
    <cellStyle name="好_应收账款" xfId="932"/>
    <cellStyle name="好_应收账款 2" xfId="933"/>
    <cellStyle name="好_盈余公积" xfId="934"/>
    <cellStyle name="好_盈余公积 2" xfId="935"/>
    <cellStyle name="好_营业收入" xfId="936"/>
    <cellStyle name="好_营业收入 2" xfId="937"/>
    <cellStyle name="好_预收款项" xfId="938"/>
    <cellStyle name="好_预收款项 2" xfId="939"/>
    <cellStyle name="好_长期借款—TZ" xfId="940"/>
    <cellStyle name="好_长期借款—TZ 2" xfId="941"/>
    <cellStyle name="好_长期应付款" xfId="942"/>
    <cellStyle name="好_长期应付款 2" xfId="943"/>
    <cellStyle name="好_账项明细表" xfId="944"/>
    <cellStyle name="好_账项明细表 2" xfId="945"/>
    <cellStyle name="好_资本公积" xfId="946"/>
    <cellStyle name="好_资本公积 2" xfId="947"/>
    <cellStyle name="好_资产负债标准底稿" xfId="948"/>
    <cellStyle name="好_资产负债标准底稿 2" xfId="949"/>
    <cellStyle name="好_资产负债标准底稿_大信底稿目录" xfId="950"/>
    <cellStyle name="好_资产负债标准底稿_大信底稿目录 2" xfId="951"/>
    <cellStyle name="好_资产负债类底稿模版" xfId="952"/>
    <cellStyle name="好_资产负债类底稿模版 2" xfId="953"/>
    <cellStyle name="好_资产负债类底稿模版_大信底稿目录" xfId="954"/>
    <cellStyle name="好_资产负债类底稿模版_大信底稿目录 2" xfId="955"/>
    <cellStyle name="好_资产减值损失" xfId="956"/>
    <cellStyle name="好_资产减值损失 2" xfId="957"/>
    <cellStyle name="好_子公司附注汇总(房开公司)" xfId="958"/>
    <cellStyle name="好_子公司附注汇总(房开公司) 2" xfId="959"/>
    <cellStyle name="桁区切り [0.00]_１１月価格表" xfId="960"/>
    <cellStyle name="桁区切り_１１月価格表" xfId="961"/>
    <cellStyle name="貨幣 [0]_SGV" xfId="962"/>
    <cellStyle name="貨幣_SGV" xfId="963"/>
    <cellStyle name="霓付 [0]_1202" xfId="964"/>
    <cellStyle name="霓付_1202" xfId="965"/>
    <cellStyle name="妞" xfId="966"/>
    <cellStyle name="妞 2" xfId="967"/>
    <cellStyle name="欧" xfId="968"/>
    <cellStyle name="烹拳 [0]_1202" xfId="969"/>
    <cellStyle name="烹拳_1202" xfId="970"/>
    <cellStyle name="砯刽 [0]_PLDT" xfId="971"/>
    <cellStyle name="砯刽_PLDT" xfId="972"/>
    <cellStyle name="普通_ 白土" xfId="973"/>
    <cellStyle name="千分位[0]_ 白土" xfId="974"/>
    <cellStyle name="千分位_ 白土" xfId="975"/>
    <cellStyle name="千位[0]_ 应交税金审定表" xfId="976"/>
    <cellStyle name="千位_ 应交税金审定表" xfId="977"/>
    <cellStyle name="千位分隔" xfId="1" builtinId="3"/>
    <cellStyle name="千位分隔 2" xfId="978"/>
    <cellStyle name="千位分隔 2 2" xfId="979"/>
    <cellStyle name="千位分隔 2 2 2" xfId="980"/>
    <cellStyle name="千位分隔 2 3" xfId="981"/>
    <cellStyle name="千位分隔 2 3 2" xfId="982"/>
    <cellStyle name="千位分隔 2 4" xfId="983"/>
    <cellStyle name="千位分隔 3" xfId="984"/>
    <cellStyle name="千位分隔 3 2" xfId="985"/>
    <cellStyle name="千位分隔 3 2 2" xfId="986"/>
    <cellStyle name="千位分隔 3 3" xfId="987"/>
    <cellStyle name="千位分隔 3 3 2" xfId="988"/>
    <cellStyle name="千位分隔 3 4" xfId="989"/>
    <cellStyle name="千位分隔 4" xfId="990"/>
    <cellStyle name="千位分隔 4 2" xfId="991"/>
    <cellStyle name="千位分隔 5" xfId="992"/>
    <cellStyle name="千位分隔 5 2" xfId="993"/>
    <cellStyle name="千位分隔 6" xfId="994"/>
    <cellStyle name="千位分隔 6 2" xfId="995"/>
    <cellStyle name="千位分隔 7" xfId="996"/>
    <cellStyle name="千位分隔 7 2" xfId="997"/>
    <cellStyle name="千位分隔 8" xfId="998"/>
    <cellStyle name="千位分隔[0] 2" xfId="999"/>
    <cellStyle name="千位分隔[0] 2 2" xfId="1000"/>
    <cellStyle name="钎霖_(沥焊何巩)岿喊牢盔拌裙" xfId="1001"/>
    <cellStyle name="强调 1" xfId="1002"/>
    <cellStyle name="强调 1 2" xfId="1003"/>
    <cellStyle name="强调 2" xfId="1004"/>
    <cellStyle name="强调 2 2" xfId="1005"/>
    <cellStyle name="强调 3" xfId="1006"/>
    <cellStyle name="强调 3 2" xfId="1007"/>
    <cellStyle name="通貨 [0.00]_１１月価格表" xfId="1008"/>
    <cellStyle name="通貨_１１月価格表" xfId="1009"/>
    <cellStyle name="样式 1" xfId="1010"/>
    <cellStyle name="样式 1 2" xfId="1011"/>
    <cellStyle name="样式 1 2 2" xfId="1012"/>
    <cellStyle name="一般_SGV" xfId="1013"/>
    <cellStyle name="昗弨_BOOKSHIP" xfId="1014"/>
    <cellStyle name="寘嬫愗傝 [0.00]_PRODUCT DETAIL Q1" xfId="1015"/>
    <cellStyle name="寘嬫愗傝_PRODUCT DETAIL Q1" xfId="1016"/>
    <cellStyle name="资产" xfId="1017"/>
    <cellStyle name="콤마 [0]_BOILER-CO1" xfId="1018"/>
    <cellStyle name="콤마_BOILER-CO1" xfId="1019"/>
    <cellStyle name="통화 [0]_BOILER-CO1" xfId="1020"/>
    <cellStyle name="통화_BOILER-CO1" xfId="1021"/>
    <cellStyle name="표준_0N-HANDLING " xfId="1022"/>
  </cellStyles>
  <dxfs count="0"/>
  <tableStyles count="0" defaultTableStyle="TableStyleMedium9" defaultPivotStyle="PivotStyleLight16"/>
  <colors>
    <mruColors>
      <color rgb="FFE92841"/>
      <color rgb="FF0000FF"/>
      <color rgb="FFDCD5E5"/>
      <color rgb="FFFFFF99"/>
      <color rgb="FFCCEDF0"/>
      <color rgb="FFEBF7D6"/>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2%20&#24212;&#25910;&#36134;&#27454;-%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其他应收款－个人借款明细"/>
      <sheetName val="生产成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应收账款实质性程序表D2A"/>
      <sheetName val="审定表D2-1"/>
      <sheetName val="附注披露信息(上市公司）D2-1"/>
      <sheetName val="附注披露信息（国企）D2-1"/>
      <sheetName val="附注披露信息(上市公司)"/>
      <sheetName val="附注披露信息(国企)"/>
      <sheetName val="明细表D2-2"/>
      <sheetName val="坏账准备明细表D2-3"/>
      <sheetName val="调整分录汇总表D2-4"/>
      <sheetName val="GT_Custom"/>
    </sheetNames>
    <sheetDataSet>
      <sheetData sheetId="0">
        <row r="2">
          <cell r="A2" t="str">
            <v>被审计单位名称：</v>
          </cell>
        </row>
        <row r="3">
          <cell r="A3" t="str">
            <v>截止日：202X年12月31日</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34"/>
  <sheetViews>
    <sheetView view="pageBreakPreview" topLeftCell="A67" zoomScale="60" zoomScaleNormal="100" workbookViewId="0">
      <selection activeCell="A15" sqref="A15"/>
    </sheetView>
  </sheetViews>
  <sheetFormatPr defaultColWidth="9" defaultRowHeight="13.8"/>
  <cols>
    <col min="1" max="1" width="26.09765625" style="69" customWidth="1"/>
    <col min="2" max="2" width="14" style="69" customWidth="1"/>
    <col min="3" max="3" width="15" style="69" customWidth="1"/>
    <col min="4" max="4" width="16.5" style="69" customWidth="1"/>
    <col min="5" max="5" width="18.5" style="69" customWidth="1"/>
    <col min="6" max="6" width="13.5" style="69" customWidth="1"/>
    <col min="7" max="16384" width="9" style="69"/>
  </cols>
  <sheetData>
    <row r="1" spans="1:9" s="156" customFormat="1" ht="20.100000000000001" customHeight="1">
      <c r="A1" s="213" t="s">
        <v>0</v>
      </c>
      <c r="B1" s="213"/>
      <c r="C1" s="213"/>
      <c r="D1" s="213"/>
      <c r="E1" s="213"/>
      <c r="F1" s="213"/>
      <c r="G1" s="70"/>
      <c r="H1" s="70"/>
      <c r="I1" s="70"/>
    </row>
    <row r="2" spans="1:9" s="157" customFormat="1" ht="25.2" customHeight="1">
      <c r="A2" s="214" t="s">
        <v>1</v>
      </c>
      <c r="B2" s="214"/>
      <c r="C2" s="214"/>
      <c r="D2" s="214"/>
      <c r="E2" s="214"/>
      <c r="F2" s="214"/>
      <c r="G2" s="158"/>
      <c r="H2" s="158"/>
      <c r="I2" s="158"/>
    </row>
    <row r="3" spans="1:9" s="156" customFormat="1" ht="20.100000000000001" customHeight="1">
      <c r="A3" s="156" t="e">
        <f>#REF!</f>
        <v>#REF!</v>
      </c>
      <c r="C3" s="156" t="e">
        <f>#REF!</f>
        <v>#REF!</v>
      </c>
      <c r="E3" s="156" t="e">
        <f>#REF!</f>
        <v>#REF!</v>
      </c>
      <c r="F3" s="156" t="s">
        <v>2</v>
      </c>
    </row>
    <row r="4" spans="1:9" s="156" customFormat="1" ht="20.100000000000001" customHeight="1">
      <c r="A4" s="156" t="e">
        <f>#REF!</f>
        <v>#REF!</v>
      </c>
      <c r="B4" s="159"/>
      <c r="C4" s="156" t="e">
        <f>#REF!</f>
        <v>#REF!</v>
      </c>
      <c r="E4" s="156" t="e">
        <f>#REF!</f>
        <v>#REF!</v>
      </c>
      <c r="F4" s="156" t="s">
        <v>3</v>
      </c>
      <c r="I4" s="159"/>
    </row>
    <row r="5" spans="1:9" s="68" customFormat="1" ht="20.100000000000001" customHeight="1">
      <c r="A5" s="68" t="s">
        <v>4</v>
      </c>
    </row>
    <row r="6" spans="1:9" s="68" customFormat="1" ht="20.100000000000001" customHeight="1">
      <c r="A6" s="160" t="s">
        <v>5</v>
      </c>
    </row>
    <row r="7" spans="1:9" s="68" customFormat="1" ht="20.100000000000001" customHeight="1">
      <c r="A7" s="161" t="s">
        <v>6</v>
      </c>
    </row>
    <row r="8" spans="1:9" s="68" customFormat="1" ht="20.100000000000001" customHeight="1">
      <c r="A8" s="219" t="s">
        <v>7</v>
      </c>
      <c r="B8" s="215" t="s">
        <v>8</v>
      </c>
      <c r="C8" s="215"/>
      <c r="D8" s="215"/>
      <c r="E8" s="215"/>
      <c r="F8" s="215"/>
    </row>
    <row r="9" spans="1:9" s="68" customFormat="1" ht="20.100000000000001" customHeight="1">
      <c r="A9" s="220"/>
      <c r="B9" s="76" t="s">
        <v>9</v>
      </c>
      <c r="C9" s="76" t="s">
        <v>10</v>
      </c>
      <c r="D9" s="76" t="s">
        <v>11</v>
      </c>
      <c r="E9" s="76" t="s">
        <v>12</v>
      </c>
      <c r="F9" s="76" t="s">
        <v>13</v>
      </c>
    </row>
    <row r="10" spans="1:9" s="68" customFormat="1" ht="31.2">
      <c r="A10" s="77" t="s">
        <v>14</v>
      </c>
      <c r="B10" s="83" t="e">
        <f>#REF!</f>
        <v>#REF!</v>
      </c>
      <c r="C10" s="94" t="e">
        <f>B10/$B$17</f>
        <v>#REF!</v>
      </c>
      <c r="D10" s="83" t="e">
        <f>#REF!</f>
        <v>#REF!</v>
      </c>
      <c r="E10" s="94" t="e">
        <f>IF(B10=0,,D10/B10)</f>
        <v>#REF!</v>
      </c>
      <c r="F10" s="83" t="e">
        <f>B10-D10</f>
        <v>#REF!</v>
      </c>
    </row>
    <row r="11" spans="1:9" s="68" customFormat="1" ht="31.2">
      <c r="A11" s="80" t="s">
        <v>15</v>
      </c>
      <c r="B11" s="83"/>
      <c r="C11" s="94"/>
      <c r="D11" s="83"/>
      <c r="E11" s="94"/>
      <c r="F11" s="83"/>
    </row>
    <row r="12" spans="1:9" s="68" customFormat="1" ht="20.100000000000001" customHeight="1">
      <c r="A12" s="82" t="s">
        <v>16</v>
      </c>
      <c r="B12" s="83" t="e">
        <f>#REF!</f>
        <v>#REF!</v>
      </c>
      <c r="C12" s="94" t="e">
        <f t="shared" ref="C12:C16" si="0">B12/$B$17</f>
        <v>#REF!</v>
      </c>
      <c r="D12" s="83" t="e">
        <f>#REF!</f>
        <v>#REF!</v>
      </c>
      <c r="E12" s="94" t="e">
        <f t="shared" ref="E12:E17" si="1">IF(B12=0,,D12/B12)</f>
        <v>#REF!</v>
      </c>
      <c r="F12" s="83" t="e">
        <f t="shared" ref="F12:F15" si="2">B12-D12</f>
        <v>#REF!</v>
      </c>
    </row>
    <row r="13" spans="1:9" s="68" customFormat="1" ht="20.100000000000001" customHeight="1">
      <c r="A13" s="82" t="s">
        <v>17</v>
      </c>
      <c r="B13" s="83" t="e">
        <f>#REF!</f>
        <v>#REF!</v>
      </c>
      <c r="C13" s="94" t="e">
        <f t="shared" si="0"/>
        <v>#REF!</v>
      </c>
      <c r="D13" s="83" t="e">
        <f>#REF!</f>
        <v>#REF!</v>
      </c>
      <c r="E13" s="94" t="e">
        <f t="shared" si="1"/>
        <v>#REF!</v>
      </c>
      <c r="F13" s="83" t="e">
        <f t="shared" si="2"/>
        <v>#REF!</v>
      </c>
    </row>
    <row r="14" spans="1:9" s="68" customFormat="1" ht="20.100000000000001" customHeight="1">
      <c r="A14" s="84" t="s">
        <v>18</v>
      </c>
      <c r="B14" s="83"/>
      <c r="C14" s="94" t="e">
        <f t="shared" si="0"/>
        <v>#REF!</v>
      </c>
      <c r="D14" s="83"/>
      <c r="E14" s="94">
        <f t="shared" si="1"/>
        <v>0</v>
      </c>
      <c r="F14" s="83">
        <f t="shared" si="2"/>
        <v>0</v>
      </c>
    </row>
    <row r="15" spans="1:9" s="68" customFormat="1" ht="20.100000000000001" customHeight="1">
      <c r="A15" s="84" t="s">
        <v>19</v>
      </c>
      <c r="B15" s="83"/>
      <c r="C15" s="94" t="e">
        <f t="shared" si="0"/>
        <v>#REF!</v>
      </c>
      <c r="D15" s="83"/>
      <c r="E15" s="94">
        <f t="shared" si="1"/>
        <v>0</v>
      </c>
      <c r="F15" s="83">
        <f t="shared" si="2"/>
        <v>0</v>
      </c>
    </row>
    <row r="16" spans="1:9" s="68" customFormat="1" ht="19.5" customHeight="1">
      <c r="A16" s="80" t="s">
        <v>20</v>
      </c>
      <c r="B16" s="83" t="e">
        <f t="shared" ref="B16:D16" si="3">SUM(B12:B15)</f>
        <v>#REF!</v>
      </c>
      <c r="C16" s="94" t="e">
        <f t="shared" si="0"/>
        <v>#REF!</v>
      </c>
      <c r="D16" s="83" t="e">
        <f t="shared" si="3"/>
        <v>#REF!</v>
      </c>
      <c r="E16" s="83" t="e">
        <f t="shared" si="1"/>
        <v>#REF!</v>
      </c>
      <c r="F16" s="83" t="e">
        <f>SUM(F12:F15)</f>
        <v>#REF!</v>
      </c>
    </row>
    <row r="17" spans="1:6" s="68" customFormat="1" ht="20.100000000000001" customHeight="1">
      <c r="A17" s="149" t="s">
        <v>21</v>
      </c>
      <c r="B17" s="87" t="e">
        <f>SUM(B10+B16)</f>
        <v>#REF!</v>
      </c>
      <c r="C17" s="162" t="e">
        <f>B17/B17</f>
        <v>#REF!</v>
      </c>
      <c r="D17" s="87" t="e">
        <f>SUM(D10+D16)</f>
        <v>#REF!</v>
      </c>
      <c r="E17" s="162" t="e">
        <f t="shared" si="1"/>
        <v>#REF!</v>
      </c>
      <c r="F17" s="87" t="e">
        <f>SUM(F10+F16)</f>
        <v>#REF!</v>
      </c>
    </row>
    <row r="18" spans="1:6" s="68" customFormat="1" ht="20.100000000000001" customHeight="1">
      <c r="A18" s="73" t="s">
        <v>22</v>
      </c>
    </row>
    <row r="19" spans="1:6" s="68" customFormat="1" ht="20.100000000000001" customHeight="1">
      <c r="A19" s="219" t="s">
        <v>7</v>
      </c>
      <c r="B19" s="215" t="s">
        <v>23</v>
      </c>
      <c r="C19" s="215"/>
      <c r="D19" s="215"/>
      <c r="E19" s="215"/>
      <c r="F19" s="215"/>
    </row>
    <row r="20" spans="1:6" s="68" customFormat="1" ht="20.100000000000001" customHeight="1">
      <c r="A20" s="220"/>
      <c r="B20" s="76" t="s">
        <v>9</v>
      </c>
      <c r="C20" s="76" t="s">
        <v>10</v>
      </c>
      <c r="D20" s="76" t="s">
        <v>11</v>
      </c>
      <c r="E20" s="76" t="s">
        <v>12</v>
      </c>
      <c r="F20" s="76" t="s">
        <v>13</v>
      </c>
    </row>
    <row r="21" spans="1:6" s="68" customFormat="1" ht="31.2">
      <c r="A21" s="77" t="s">
        <v>14</v>
      </c>
      <c r="B21" s="83"/>
      <c r="C21" s="94">
        <f>IF($B$28=0,0,B21/$B$28)</f>
        <v>0</v>
      </c>
      <c r="D21" s="83"/>
      <c r="E21" s="94">
        <f>IF(B21=0,0,D21/B21)</f>
        <v>0</v>
      </c>
      <c r="F21" s="83">
        <f>B21-D21</f>
        <v>0</v>
      </c>
    </row>
    <row r="22" spans="1:6" s="68" customFormat="1" ht="31.2">
      <c r="A22" s="80" t="s">
        <v>15</v>
      </c>
      <c r="C22" s="94"/>
      <c r="E22" s="94"/>
      <c r="F22" s="83"/>
    </row>
    <row r="23" spans="1:6" s="68" customFormat="1" ht="20.100000000000001" customHeight="1">
      <c r="A23" s="82" t="s">
        <v>16</v>
      </c>
      <c r="B23" s="83"/>
      <c r="C23" s="94">
        <f t="shared" ref="C23:C26" si="4">IF($B$28=0,0,B23/$B$28)</f>
        <v>0</v>
      </c>
      <c r="D23" s="83"/>
      <c r="E23" s="94">
        <f>IF(B23=0,0,D23/B23)</f>
        <v>0</v>
      </c>
      <c r="F23" s="83">
        <f t="shared" ref="F23:F25" si="5">B23-D23</f>
        <v>0</v>
      </c>
    </row>
    <row r="24" spans="1:6" s="68" customFormat="1" ht="20.100000000000001" customHeight="1">
      <c r="A24" s="82" t="s">
        <v>17</v>
      </c>
      <c r="B24" s="83"/>
      <c r="C24" s="94">
        <f t="shared" si="4"/>
        <v>0</v>
      </c>
      <c r="D24" s="83"/>
      <c r="E24" s="94">
        <f t="shared" ref="E24:E26" si="6">IF(B24=0,0,D24/B24)</f>
        <v>0</v>
      </c>
      <c r="F24" s="83">
        <f t="shared" si="5"/>
        <v>0</v>
      </c>
    </row>
    <row r="25" spans="1:6" s="68" customFormat="1" ht="19.5" customHeight="1">
      <c r="A25" s="84" t="s">
        <v>18</v>
      </c>
      <c r="B25" s="83"/>
      <c r="C25" s="94">
        <f t="shared" si="4"/>
        <v>0</v>
      </c>
      <c r="D25" s="83"/>
      <c r="E25" s="94">
        <f t="shared" si="6"/>
        <v>0</v>
      </c>
      <c r="F25" s="83">
        <f t="shared" si="5"/>
        <v>0</v>
      </c>
    </row>
    <row r="26" spans="1:6" s="68" customFormat="1" ht="20.100000000000001" customHeight="1">
      <c r="A26" s="84" t="s">
        <v>19</v>
      </c>
      <c r="B26" s="83"/>
      <c r="C26" s="94">
        <f t="shared" si="4"/>
        <v>0</v>
      </c>
      <c r="D26" s="83"/>
      <c r="E26" s="94">
        <f t="shared" si="6"/>
        <v>0</v>
      </c>
      <c r="F26" s="83">
        <f>SUM(F23:F25)</f>
        <v>0</v>
      </c>
    </row>
    <row r="27" spans="1:6" s="68" customFormat="1" ht="15.6">
      <c r="A27" s="80" t="s">
        <v>20</v>
      </c>
      <c r="B27" s="163">
        <f>SUM(B23:B26)</f>
        <v>0</v>
      </c>
      <c r="C27" s="94">
        <f>SUM(C23:C26)</f>
        <v>0</v>
      </c>
      <c r="D27" s="163">
        <f>SUM(D23:D26)</f>
        <v>0</v>
      </c>
      <c r="E27" s="94">
        <f>SUM(E23:E26)</f>
        <v>0</v>
      </c>
      <c r="F27" s="83">
        <f>B27-D27</f>
        <v>0</v>
      </c>
    </row>
    <row r="28" spans="1:6" s="68" customFormat="1" ht="20.100000000000001" customHeight="1">
      <c r="A28" s="149" t="s">
        <v>21</v>
      </c>
      <c r="B28" s="87">
        <f>SUM(B21+B27)</f>
        <v>0</v>
      </c>
      <c r="C28" s="162">
        <f>SUM(C21+C27)</f>
        <v>0</v>
      </c>
      <c r="D28" s="87">
        <f>SUM(D21+D27)</f>
        <v>0</v>
      </c>
      <c r="E28" s="162">
        <f>SUM(E21+E27)</f>
        <v>0</v>
      </c>
      <c r="F28" s="87">
        <f>SUM(F21+F27)</f>
        <v>0</v>
      </c>
    </row>
    <row r="29" spans="1:6" s="68" customFormat="1" ht="33.75" customHeight="1">
      <c r="A29" s="216" t="s">
        <v>24</v>
      </c>
      <c r="B29" s="216"/>
      <c r="C29" s="216"/>
      <c r="D29" s="216"/>
      <c r="E29" s="216"/>
      <c r="F29" s="216"/>
    </row>
    <row r="30" spans="1:6" s="68" customFormat="1" ht="20.100000000000001" customHeight="1">
      <c r="A30" s="74" t="s">
        <v>25</v>
      </c>
    </row>
    <row r="31" spans="1:6" s="68" customFormat="1" ht="20.100000000000001" customHeight="1">
      <c r="A31" s="164" t="s">
        <v>26</v>
      </c>
    </row>
    <row r="32" spans="1:6" s="68" customFormat="1" ht="20.100000000000001" customHeight="1">
      <c r="A32" s="149" t="s">
        <v>27</v>
      </c>
      <c r="B32" s="149" t="s">
        <v>28</v>
      </c>
      <c r="C32" s="149" t="s">
        <v>11</v>
      </c>
      <c r="D32" s="149" t="s">
        <v>12</v>
      </c>
      <c r="E32" s="149" t="s">
        <v>29</v>
      </c>
    </row>
    <row r="33" spans="1:6" s="68" customFormat="1" ht="20.100000000000001" customHeight="1">
      <c r="A33" s="165"/>
      <c r="B33" s="166"/>
      <c r="C33" s="85"/>
      <c r="D33" s="81">
        <f>IF(B33=0,0,C33/B33)</f>
        <v>0</v>
      </c>
      <c r="E33" s="81"/>
      <c r="F33" s="167"/>
    </row>
    <row r="34" spans="1:6" s="68" customFormat="1" ht="20.100000000000001" customHeight="1">
      <c r="A34" s="165"/>
      <c r="B34" s="166"/>
      <c r="C34" s="85"/>
      <c r="D34" s="81">
        <f t="shared" ref="D34:D38" si="7">IF(B34=0,0,C34/B34)</f>
        <v>0</v>
      </c>
      <c r="E34" s="81"/>
      <c r="F34" s="167"/>
    </row>
    <row r="35" spans="1:6" s="68" customFormat="1" ht="20.100000000000001" customHeight="1">
      <c r="A35" s="165"/>
      <c r="B35" s="166"/>
      <c r="C35" s="85"/>
      <c r="D35" s="81">
        <f t="shared" si="7"/>
        <v>0</v>
      </c>
      <c r="E35" s="81"/>
      <c r="F35" s="167"/>
    </row>
    <row r="36" spans="1:6" s="68" customFormat="1" ht="20.100000000000001" customHeight="1">
      <c r="A36" s="165"/>
      <c r="B36" s="166"/>
      <c r="C36" s="85"/>
      <c r="D36" s="81">
        <f t="shared" si="7"/>
        <v>0</v>
      </c>
      <c r="E36" s="81"/>
      <c r="F36" s="167"/>
    </row>
    <row r="37" spans="1:6" s="68" customFormat="1" ht="20.100000000000001" customHeight="1">
      <c r="A37" s="165"/>
      <c r="B37" s="166"/>
      <c r="C37" s="85"/>
      <c r="D37" s="81">
        <f t="shared" si="7"/>
        <v>0</v>
      </c>
      <c r="E37" s="81"/>
      <c r="F37" s="167"/>
    </row>
    <row r="38" spans="1:6" s="68" customFormat="1" ht="20.100000000000001" customHeight="1">
      <c r="A38" s="149" t="s">
        <v>21</v>
      </c>
      <c r="B38" s="168">
        <f>SUM(B33:B37)</f>
        <v>0</v>
      </c>
      <c r="C38" s="168">
        <f t="shared" ref="C38" si="8">SUM(C33:C37)</f>
        <v>0</v>
      </c>
      <c r="D38" s="169">
        <f t="shared" si="7"/>
        <v>0</v>
      </c>
      <c r="E38" s="170"/>
    </row>
    <row r="39" spans="1:6" s="68" customFormat="1" ht="20.100000000000001" customHeight="1">
      <c r="A39" s="164" t="s">
        <v>30</v>
      </c>
    </row>
    <row r="40" spans="1:6" s="68" customFormat="1" ht="20.100000000000001" customHeight="1">
      <c r="A40" s="215" t="s">
        <v>31</v>
      </c>
      <c r="B40" s="215" t="s">
        <v>8</v>
      </c>
      <c r="C40" s="215"/>
      <c r="D40" s="215"/>
      <c r="E40" s="215"/>
      <c r="F40" s="215"/>
    </row>
    <row r="41" spans="1:6" s="68" customFormat="1" ht="20.100000000000001" customHeight="1">
      <c r="A41" s="220"/>
      <c r="B41" s="76" t="s">
        <v>9</v>
      </c>
      <c r="C41" s="76" t="s">
        <v>10</v>
      </c>
      <c r="D41" s="76" t="s">
        <v>11</v>
      </c>
      <c r="E41" s="76" t="s">
        <v>12</v>
      </c>
      <c r="F41" s="76" t="s">
        <v>13</v>
      </c>
    </row>
    <row r="42" spans="1:6" s="68" customFormat="1" ht="20.100000000000001" customHeight="1">
      <c r="A42" s="171" t="e">
        <f>#REF!</f>
        <v>#REF!</v>
      </c>
      <c r="B42" s="78" t="e">
        <f>#REF!</f>
        <v>#REF!</v>
      </c>
      <c r="C42" s="172" t="e">
        <f>IF(B42=0,0,B42/$B$48)</f>
        <v>#REF!</v>
      </c>
      <c r="D42" s="173" t="e">
        <f>#REF!</f>
        <v>#REF!</v>
      </c>
      <c r="E42" s="172" t="e">
        <f>IF(D42=0,0,D42/B42)</f>
        <v>#REF!</v>
      </c>
      <c r="F42" s="174" t="e">
        <f>B42-D42</f>
        <v>#REF!</v>
      </c>
    </row>
    <row r="43" spans="1:6" s="68" customFormat="1" ht="20.100000000000001" customHeight="1">
      <c r="A43" s="171" t="e">
        <f>#REF!</f>
        <v>#REF!</v>
      </c>
      <c r="B43" s="83" t="e">
        <f>#REF!</f>
        <v>#REF!</v>
      </c>
      <c r="C43" s="175" t="e">
        <f>IF(B43=0,0,B43/$B$48)</f>
        <v>#REF!</v>
      </c>
      <c r="D43" s="176" t="e">
        <f>#REF!</f>
        <v>#REF!</v>
      </c>
      <c r="E43" s="175" t="e">
        <f t="shared" ref="E43:E48" si="9">IF(D43=0,0,D43/B43)</f>
        <v>#REF!</v>
      </c>
      <c r="F43" s="177" t="e">
        <f t="shared" ref="F43:F47" si="10">B43-D43</f>
        <v>#REF!</v>
      </c>
    </row>
    <row r="44" spans="1:6" s="68" customFormat="1" ht="20.100000000000001" customHeight="1">
      <c r="A44" s="171" t="e">
        <f>#REF!</f>
        <v>#REF!</v>
      </c>
      <c r="B44" s="83" t="e">
        <f>#REF!</f>
        <v>#REF!</v>
      </c>
      <c r="C44" s="175" t="e">
        <f>IF(B44=0,0,B44/$B$48)</f>
        <v>#REF!</v>
      </c>
      <c r="D44" s="176" t="e">
        <f>#REF!</f>
        <v>#REF!</v>
      </c>
      <c r="E44" s="175" t="e">
        <f t="shared" si="9"/>
        <v>#REF!</v>
      </c>
      <c r="F44" s="177" t="e">
        <f t="shared" si="10"/>
        <v>#REF!</v>
      </c>
    </row>
    <row r="45" spans="1:6" s="68" customFormat="1" ht="20.100000000000001" customHeight="1">
      <c r="A45" s="171" t="e">
        <f>#REF!</f>
        <v>#REF!</v>
      </c>
      <c r="B45" s="83" t="e">
        <f>#REF!</f>
        <v>#REF!</v>
      </c>
      <c r="C45" s="175" t="e">
        <f>IF(B45=0,0,B45/$B$48)</f>
        <v>#REF!</v>
      </c>
      <c r="D45" s="176" t="e">
        <f>#REF!</f>
        <v>#REF!</v>
      </c>
      <c r="E45" s="175" t="e">
        <f t="shared" si="9"/>
        <v>#REF!</v>
      </c>
      <c r="F45" s="177" t="e">
        <f t="shared" si="10"/>
        <v>#REF!</v>
      </c>
    </row>
    <row r="46" spans="1:6" s="68" customFormat="1" ht="20.100000000000001" customHeight="1">
      <c r="A46" s="171" t="e">
        <f>#REF!</f>
        <v>#REF!</v>
      </c>
      <c r="B46" s="83" t="e">
        <f>#REF!</f>
        <v>#REF!</v>
      </c>
      <c r="C46" s="175" t="e">
        <f t="shared" ref="C46:C47" si="11">IF(B46=0,0,B46/$B$48)</f>
        <v>#REF!</v>
      </c>
      <c r="D46" s="176" t="e">
        <f>#REF!</f>
        <v>#REF!</v>
      </c>
      <c r="E46" s="175" t="e">
        <f t="shared" si="9"/>
        <v>#REF!</v>
      </c>
      <c r="F46" s="177"/>
    </row>
    <row r="47" spans="1:6" s="68" customFormat="1" ht="20.100000000000001" customHeight="1">
      <c r="A47" s="171" t="e">
        <f>#REF!</f>
        <v>#REF!</v>
      </c>
      <c r="B47" s="103" t="e">
        <f>#REF!</f>
        <v>#REF!</v>
      </c>
      <c r="C47" s="175" t="e">
        <f t="shared" si="11"/>
        <v>#REF!</v>
      </c>
      <c r="D47" s="178" t="e">
        <f>#REF!</f>
        <v>#REF!</v>
      </c>
      <c r="E47" s="175" t="e">
        <f t="shared" si="9"/>
        <v>#REF!</v>
      </c>
      <c r="F47" s="179" t="e">
        <f t="shared" si="10"/>
        <v>#REF!</v>
      </c>
    </row>
    <row r="48" spans="1:6" s="68" customFormat="1" ht="20.100000000000001" customHeight="1">
      <c r="A48" s="149" t="s">
        <v>21</v>
      </c>
      <c r="B48" s="180" t="e">
        <f>SUM(B42:B47)</f>
        <v>#REF!</v>
      </c>
      <c r="C48" s="181" t="e">
        <f>SUM(C42:C47)</f>
        <v>#REF!</v>
      </c>
      <c r="D48" s="182" t="e">
        <f>SUM(D42:D47)</f>
        <v>#REF!</v>
      </c>
      <c r="E48" s="181" t="e">
        <f t="shared" si="9"/>
        <v>#REF!</v>
      </c>
      <c r="F48" s="182" t="e">
        <f>SUM(F42:F47)</f>
        <v>#REF!</v>
      </c>
    </row>
    <row r="49" spans="1:6" s="68" customFormat="1" ht="20.100000000000001" customHeight="1">
      <c r="A49" s="97" t="s">
        <v>32</v>
      </c>
    </row>
    <row r="50" spans="1:6" s="68" customFormat="1" ht="20.100000000000001" customHeight="1">
      <c r="A50" s="215" t="s">
        <v>31</v>
      </c>
      <c r="B50" s="215" t="s">
        <v>23</v>
      </c>
      <c r="C50" s="215"/>
      <c r="D50" s="215"/>
      <c r="E50" s="215"/>
      <c r="F50" s="215"/>
    </row>
    <row r="51" spans="1:6" s="68" customFormat="1" ht="20.100000000000001" customHeight="1">
      <c r="A51" s="220"/>
      <c r="B51" s="76" t="s">
        <v>9</v>
      </c>
      <c r="C51" s="76" t="s">
        <v>10</v>
      </c>
      <c r="D51" s="76" t="s">
        <v>11</v>
      </c>
      <c r="E51" s="76" t="s">
        <v>12</v>
      </c>
      <c r="F51" s="76" t="s">
        <v>13</v>
      </c>
    </row>
    <row r="52" spans="1:6" s="68" customFormat="1" ht="20.100000000000001" customHeight="1">
      <c r="A52" s="171"/>
      <c r="B52" s="83"/>
      <c r="C52" s="94">
        <f>IF(B52=0,0,B52/$B$58)</f>
        <v>0</v>
      </c>
      <c r="D52" s="83"/>
      <c r="E52" s="94">
        <f>IF(D52=0,0,D52/B52)</f>
        <v>0</v>
      </c>
      <c r="F52" s="121">
        <f>B52-D52</f>
        <v>0</v>
      </c>
    </row>
    <row r="53" spans="1:6" s="68" customFormat="1" ht="20.100000000000001" customHeight="1">
      <c r="A53" s="171"/>
      <c r="B53" s="83"/>
      <c r="C53" s="94">
        <f>IF(B53=0,0,B53/$B$58)</f>
        <v>0</v>
      </c>
      <c r="D53" s="83"/>
      <c r="E53" s="94">
        <f t="shared" ref="E53:E58" si="12">IF(D53=0,0,D53/B53)</f>
        <v>0</v>
      </c>
      <c r="F53" s="121">
        <f t="shared" ref="F53:F57" si="13">B53-D53</f>
        <v>0</v>
      </c>
    </row>
    <row r="54" spans="1:6" s="68" customFormat="1" ht="20.100000000000001" customHeight="1">
      <c r="A54" s="171"/>
      <c r="B54" s="83"/>
      <c r="C54" s="94">
        <f>IF(B54=0,0,B54/$B$58)</f>
        <v>0</v>
      </c>
      <c r="D54" s="83"/>
      <c r="E54" s="94">
        <f t="shared" si="12"/>
        <v>0</v>
      </c>
      <c r="F54" s="121">
        <f t="shared" si="13"/>
        <v>0</v>
      </c>
    </row>
    <row r="55" spans="1:6" s="68" customFormat="1" ht="20.100000000000001" customHeight="1">
      <c r="A55" s="171"/>
      <c r="B55" s="83"/>
      <c r="C55" s="94">
        <f>IF(B55=0,0,B55/$B$58)</f>
        <v>0</v>
      </c>
      <c r="D55" s="83"/>
      <c r="E55" s="94">
        <f t="shared" si="12"/>
        <v>0</v>
      </c>
      <c r="F55" s="121">
        <f t="shared" si="13"/>
        <v>0</v>
      </c>
    </row>
    <row r="56" spans="1:6" s="68" customFormat="1" ht="20.100000000000001" customHeight="1">
      <c r="A56" s="171"/>
      <c r="B56" s="83"/>
      <c r="C56" s="94">
        <f t="shared" ref="C56:C58" si="14">IF(B56=0,0,B56/$B$58)</f>
        <v>0</v>
      </c>
      <c r="D56" s="83"/>
      <c r="E56" s="94">
        <f t="shared" si="12"/>
        <v>0</v>
      </c>
      <c r="F56" s="121"/>
    </row>
    <row r="57" spans="1:6" s="68" customFormat="1" ht="20.100000000000001" customHeight="1">
      <c r="A57" s="171"/>
      <c r="B57" s="83"/>
      <c r="C57" s="94">
        <f t="shared" si="14"/>
        <v>0</v>
      </c>
      <c r="D57" s="83"/>
      <c r="E57" s="94">
        <f t="shared" si="12"/>
        <v>0</v>
      </c>
      <c r="F57" s="121">
        <f t="shared" si="13"/>
        <v>0</v>
      </c>
    </row>
    <row r="58" spans="1:6" s="68" customFormat="1" ht="20.100000000000001" customHeight="1">
      <c r="A58" s="149" t="s">
        <v>21</v>
      </c>
      <c r="B58" s="180">
        <f>SUM(B52:B57)</f>
        <v>0</v>
      </c>
      <c r="C58" s="106">
        <f t="shared" si="14"/>
        <v>0</v>
      </c>
      <c r="D58" s="180">
        <f>SUM(D52:D57)</f>
        <v>0</v>
      </c>
      <c r="E58" s="106">
        <f t="shared" si="12"/>
        <v>0</v>
      </c>
      <c r="F58" s="180">
        <f>SUM(F52:F57)</f>
        <v>0</v>
      </c>
    </row>
    <row r="59" spans="1:6" s="68" customFormat="1" ht="20.100000000000001" customHeight="1">
      <c r="A59" s="164" t="s">
        <v>33</v>
      </c>
    </row>
    <row r="60" spans="1:6" s="68" customFormat="1" ht="20.100000000000001" customHeight="1">
      <c r="A60" s="149" t="s">
        <v>34</v>
      </c>
      <c r="B60" s="149" t="s">
        <v>28</v>
      </c>
      <c r="C60" s="149" t="s">
        <v>11</v>
      </c>
      <c r="D60" s="183" t="s">
        <v>35</v>
      </c>
    </row>
    <row r="61" spans="1:6" s="68" customFormat="1" ht="20.100000000000001" customHeight="1">
      <c r="A61" s="184" t="s">
        <v>36</v>
      </c>
      <c r="B61" s="83"/>
      <c r="C61" s="83"/>
      <c r="D61" s="94">
        <f>IF(B61=0,0,C61/B61)</f>
        <v>0</v>
      </c>
    </row>
    <row r="62" spans="1:6" s="68" customFormat="1" ht="20.100000000000001" customHeight="1">
      <c r="A62" s="184" t="s">
        <v>37</v>
      </c>
      <c r="B62" s="83"/>
      <c r="C62" s="83"/>
      <c r="D62" s="101">
        <f t="shared" ref="D62:D64" si="15">IF(B62=0,0,C62/B62)</f>
        <v>0</v>
      </c>
    </row>
    <row r="63" spans="1:6" s="68" customFormat="1" ht="20.100000000000001" customHeight="1">
      <c r="A63" s="171" t="s">
        <v>38</v>
      </c>
      <c r="B63" s="83"/>
      <c r="C63" s="83"/>
      <c r="D63" s="101">
        <f t="shared" si="15"/>
        <v>0</v>
      </c>
    </row>
    <row r="64" spans="1:6" s="68" customFormat="1" ht="20.100000000000001" customHeight="1">
      <c r="A64" s="149" t="s">
        <v>21</v>
      </c>
      <c r="B64" s="180">
        <f>SUM(B61:B63)</f>
        <v>0</v>
      </c>
      <c r="C64" s="180">
        <f t="shared" ref="C64" si="16">SUM(C61:C63)</f>
        <v>0</v>
      </c>
      <c r="D64" s="185">
        <f t="shared" si="15"/>
        <v>0</v>
      </c>
    </row>
    <row r="65" spans="1:6" s="68" customFormat="1" ht="20.100000000000001" customHeight="1">
      <c r="A65" s="164" t="s">
        <v>39</v>
      </c>
    </row>
    <row r="66" spans="1:6" ht="20.100000000000001" customHeight="1">
      <c r="A66" s="149" t="s">
        <v>34</v>
      </c>
      <c r="B66" s="149" t="s">
        <v>28</v>
      </c>
      <c r="C66" s="149" t="s">
        <v>11</v>
      </c>
      <c r="D66" s="183" t="s">
        <v>35</v>
      </c>
      <c r="E66" s="68"/>
      <c r="F66" s="68"/>
    </row>
    <row r="67" spans="1:6" ht="20.100000000000001" customHeight="1">
      <c r="A67" s="184" t="s">
        <v>36</v>
      </c>
      <c r="B67" s="83"/>
      <c r="C67" s="83"/>
      <c r="D67" s="94">
        <f>IF(B67=0,0,C67/B67)</f>
        <v>0</v>
      </c>
      <c r="E67" s="68"/>
      <c r="F67" s="68"/>
    </row>
    <row r="68" spans="1:6" ht="20.100000000000001" customHeight="1">
      <c r="A68" s="184" t="s">
        <v>37</v>
      </c>
      <c r="B68" s="83"/>
      <c r="C68" s="83"/>
      <c r="D68" s="101">
        <f t="shared" ref="D68:D70" si="17">IF(B68=0,0,C68/B68)</f>
        <v>0</v>
      </c>
      <c r="E68" s="68"/>
      <c r="F68" s="68"/>
    </row>
    <row r="69" spans="1:6" ht="20.100000000000001" customHeight="1">
      <c r="A69" s="171" t="s">
        <v>38</v>
      </c>
      <c r="B69" s="83"/>
      <c r="C69" s="83"/>
      <c r="D69" s="101">
        <f t="shared" si="17"/>
        <v>0</v>
      </c>
      <c r="E69" s="68"/>
      <c r="F69" s="68"/>
    </row>
    <row r="70" spans="1:6" ht="20.100000000000001" customHeight="1">
      <c r="A70" s="186" t="s">
        <v>21</v>
      </c>
      <c r="B70" s="180">
        <f>SUM(B67:B69)</f>
        <v>0</v>
      </c>
      <c r="C70" s="180">
        <f>SUM(C67:C69)</f>
        <v>0</v>
      </c>
      <c r="D70" s="185">
        <f t="shared" si="17"/>
        <v>0</v>
      </c>
      <c r="E70" s="68"/>
      <c r="F70" s="68"/>
    </row>
    <row r="71" spans="1:6" ht="20.100000000000001" customHeight="1">
      <c r="A71" s="164" t="s">
        <v>40</v>
      </c>
      <c r="B71" s="68"/>
      <c r="C71" s="68"/>
      <c r="D71" s="68"/>
      <c r="E71" s="68"/>
      <c r="F71" s="68"/>
    </row>
    <row r="72" spans="1:6" ht="20.100000000000001" customHeight="1">
      <c r="A72" s="149" t="s">
        <v>34</v>
      </c>
      <c r="B72" s="149" t="s">
        <v>28</v>
      </c>
      <c r="C72" s="149" t="s">
        <v>11</v>
      </c>
      <c r="D72" s="183" t="s">
        <v>35</v>
      </c>
      <c r="E72" s="68"/>
      <c r="F72" s="68"/>
    </row>
    <row r="73" spans="1:6" ht="20.100000000000001" customHeight="1">
      <c r="A73" s="184" t="s">
        <v>36</v>
      </c>
      <c r="B73" s="83"/>
      <c r="C73" s="83"/>
      <c r="D73" s="94">
        <f>IF(B73=0,0,C73/B73)</f>
        <v>0</v>
      </c>
      <c r="E73" s="68"/>
      <c r="F73" s="68"/>
    </row>
    <row r="74" spans="1:6" ht="20.100000000000001" customHeight="1">
      <c r="A74" s="184" t="s">
        <v>37</v>
      </c>
      <c r="B74" s="83"/>
      <c r="C74" s="83"/>
      <c r="D74" s="101">
        <f t="shared" ref="D74:D76" si="18">IF(B74=0,0,C74/B74)</f>
        <v>0</v>
      </c>
      <c r="E74" s="68"/>
      <c r="F74" s="68"/>
    </row>
    <row r="75" spans="1:6" ht="20.100000000000001" customHeight="1">
      <c r="A75" s="171" t="s">
        <v>38</v>
      </c>
      <c r="B75" s="83"/>
      <c r="C75" s="83"/>
      <c r="D75" s="101">
        <f t="shared" si="18"/>
        <v>0</v>
      </c>
      <c r="E75" s="68"/>
      <c r="F75" s="68"/>
    </row>
    <row r="76" spans="1:6" ht="20.100000000000001" customHeight="1">
      <c r="A76" s="186" t="s">
        <v>21</v>
      </c>
      <c r="B76" s="180">
        <f>SUM(B73:B75)</f>
        <v>0</v>
      </c>
      <c r="C76" s="180">
        <f>SUM(C73:C75)</f>
        <v>0</v>
      </c>
      <c r="D76" s="185">
        <f t="shared" si="18"/>
        <v>0</v>
      </c>
      <c r="E76" s="68"/>
      <c r="F76" s="68"/>
    </row>
    <row r="77" spans="1:6" s="68" customFormat="1" ht="20.100000000000001" customHeight="1">
      <c r="A77" s="107" t="s">
        <v>41</v>
      </c>
    </row>
    <row r="78" spans="1:6" s="68" customFormat="1" ht="20.100000000000001" customHeight="1">
      <c r="A78" s="161" t="s">
        <v>42</v>
      </c>
    </row>
    <row r="79" spans="1:6" s="68" customFormat="1" ht="20.100000000000001" customHeight="1">
      <c r="A79" s="187"/>
      <c r="B79" s="188" t="s">
        <v>43</v>
      </c>
    </row>
    <row r="80" spans="1:6" s="68" customFormat="1" ht="20.100000000000001" customHeight="1">
      <c r="A80" s="189" t="s">
        <v>44</v>
      </c>
      <c r="B80" s="78"/>
    </row>
    <row r="81" spans="1:5" s="68" customFormat="1" ht="20.100000000000001" customHeight="1">
      <c r="A81" s="190" t="s">
        <v>45</v>
      </c>
      <c r="B81" s="83"/>
    </row>
    <row r="82" spans="1:5" s="68" customFormat="1" ht="20.100000000000001" customHeight="1">
      <c r="A82" s="190" t="s">
        <v>46</v>
      </c>
      <c r="B82" s="83"/>
    </row>
    <row r="83" spans="1:5" s="68" customFormat="1" ht="20.100000000000001" customHeight="1">
      <c r="A83" s="190" t="s">
        <v>47</v>
      </c>
      <c r="B83" s="83"/>
    </row>
    <row r="84" spans="1:5" s="68" customFormat="1" ht="20.100000000000001" customHeight="1">
      <c r="A84" s="165" t="s">
        <v>48</v>
      </c>
      <c r="B84" s="83"/>
    </row>
    <row r="85" spans="1:5" s="68" customFormat="1" ht="20.100000000000001" customHeight="1">
      <c r="A85" s="191" t="s">
        <v>49</v>
      </c>
      <c r="B85" s="103"/>
    </row>
    <row r="86" spans="1:5" s="68" customFormat="1" ht="20.100000000000001" customHeight="1">
      <c r="A86" s="192" t="s">
        <v>50</v>
      </c>
      <c r="B86" s="193">
        <f>B80+B81-B82-B83-B84-B85</f>
        <v>0</v>
      </c>
    </row>
    <row r="87" spans="1:5" s="68" customFormat="1" ht="20.100000000000001" customHeight="1">
      <c r="A87" s="73" t="s">
        <v>51</v>
      </c>
    </row>
    <row r="88" spans="1:5" s="68" customFormat="1" ht="27.75" customHeight="1">
      <c r="A88" s="149" t="s">
        <v>52</v>
      </c>
      <c r="B88" s="149" t="s">
        <v>53</v>
      </c>
      <c r="C88" s="149" t="s">
        <v>54</v>
      </c>
      <c r="D88" s="149" t="s">
        <v>55</v>
      </c>
      <c r="E88" s="149" t="s">
        <v>56</v>
      </c>
    </row>
    <row r="89" spans="1:5" s="68" customFormat="1" ht="20.100000000000001" customHeight="1">
      <c r="A89" s="194"/>
      <c r="B89" s="195"/>
      <c r="C89" s="195"/>
      <c r="D89" s="161"/>
      <c r="E89" s="196"/>
    </row>
    <row r="90" spans="1:5" s="68" customFormat="1" ht="20.100000000000001" customHeight="1">
      <c r="A90" s="194"/>
      <c r="B90" s="195"/>
      <c r="C90" s="195"/>
      <c r="D90" s="161"/>
      <c r="E90" s="196"/>
    </row>
    <row r="91" spans="1:5" s="68" customFormat="1" ht="20.100000000000001" customHeight="1">
      <c r="A91" s="194"/>
      <c r="B91" s="195"/>
      <c r="C91" s="195"/>
      <c r="D91" s="161"/>
      <c r="E91" s="196"/>
    </row>
    <row r="92" spans="1:5" s="68" customFormat="1" ht="20.100000000000001" customHeight="1">
      <c r="A92" s="194"/>
      <c r="B92" s="195"/>
      <c r="C92" s="195"/>
      <c r="D92" s="161"/>
      <c r="E92" s="196"/>
    </row>
    <row r="93" spans="1:5" s="68" customFormat="1" ht="20.100000000000001" customHeight="1">
      <c r="A93" s="194"/>
      <c r="B93" s="194"/>
      <c r="C93" s="194"/>
      <c r="D93" s="197"/>
      <c r="E93" s="196"/>
    </row>
    <row r="94" spans="1:5" s="68" customFormat="1" ht="20.100000000000001" customHeight="1">
      <c r="A94" s="86" t="s">
        <v>21</v>
      </c>
      <c r="B94" s="170"/>
      <c r="C94" s="170"/>
      <c r="D94" s="170"/>
      <c r="E94" s="198">
        <f>SUM(E89:E93)</f>
        <v>0</v>
      </c>
    </row>
    <row r="95" spans="1:5" s="68" customFormat="1" ht="20.100000000000001" customHeight="1">
      <c r="A95" s="197" t="s">
        <v>57</v>
      </c>
      <c r="B95" s="199"/>
      <c r="C95" s="199"/>
      <c r="D95" s="199"/>
      <c r="E95" s="199"/>
    </row>
    <row r="96" spans="1:5" s="68" customFormat="1" ht="20.100000000000001" customHeight="1">
      <c r="A96" s="161" t="s">
        <v>58</v>
      </c>
    </row>
    <row r="97" spans="1:6" s="68" customFormat="1" ht="20.100000000000001" customHeight="1">
      <c r="A97" s="149" t="s">
        <v>59</v>
      </c>
      <c r="B97" s="149" t="s">
        <v>60</v>
      </c>
    </row>
    <row r="98" spans="1:6" s="68" customFormat="1" ht="20.100000000000001" customHeight="1">
      <c r="A98" s="200" t="s">
        <v>61</v>
      </c>
      <c r="B98" s="201" t="e">
        <f>#REF!</f>
        <v>#REF!</v>
      </c>
    </row>
    <row r="99" spans="1:6" s="68" customFormat="1" ht="20.100000000000001" customHeight="1">
      <c r="A99" s="73" t="s">
        <v>62</v>
      </c>
    </row>
    <row r="100" spans="1:6" s="68" customFormat="1" ht="28.5" customHeight="1">
      <c r="A100" s="75" t="s">
        <v>52</v>
      </c>
      <c r="B100" s="75" t="s">
        <v>63</v>
      </c>
      <c r="C100" s="75" t="s">
        <v>60</v>
      </c>
      <c r="D100" s="75" t="s">
        <v>64</v>
      </c>
      <c r="E100" s="75" t="s">
        <v>65</v>
      </c>
      <c r="F100" s="75" t="s">
        <v>66</v>
      </c>
    </row>
    <row r="101" spans="1:6" s="68" customFormat="1" ht="20.100000000000001" customHeight="1">
      <c r="A101" s="74"/>
      <c r="B101" s="202"/>
      <c r="C101" s="139"/>
      <c r="D101" s="202"/>
      <c r="E101" s="202"/>
      <c r="F101" s="202"/>
    </row>
    <row r="102" spans="1:6" s="68" customFormat="1" ht="20.100000000000001" customHeight="1">
      <c r="A102" s="74"/>
      <c r="B102" s="202"/>
      <c r="C102" s="139"/>
      <c r="D102" s="202"/>
      <c r="E102" s="202"/>
      <c r="F102" s="202"/>
    </row>
    <row r="103" spans="1:6" s="68" customFormat="1" ht="20.100000000000001" customHeight="1">
      <c r="A103" s="107"/>
      <c r="B103" s="203"/>
      <c r="C103" s="196"/>
      <c r="D103" s="203"/>
      <c r="E103" s="203"/>
      <c r="F103" s="203"/>
    </row>
    <row r="104" spans="1:6" s="68" customFormat="1" ht="20.100000000000001" customHeight="1">
      <c r="A104" s="204" t="s">
        <v>21</v>
      </c>
      <c r="B104" s="205"/>
      <c r="C104" s="182">
        <f>SUM(C101:C103)</f>
        <v>0</v>
      </c>
      <c r="D104" s="205"/>
      <c r="E104" s="205"/>
      <c r="F104" s="205"/>
    </row>
    <row r="105" spans="1:6" s="68" customFormat="1" ht="30" customHeight="1">
      <c r="A105" s="216" t="s">
        <v>67</v>
      </c>
      <c r="B105" s="216"/>
      <c r="C105" s="216"/>
      <c r="D105" s="216"/>
      <c r="E105" s="216"/>
      <c r="F105" s="216"/>
    </row>
    <row r="106" spans="1:6" s="68" customFormat="1" ht="20.100000000000001" customHeight="1">
      <c r="A106" s="206" t="s">
        <v>68</v>
      </c>
    </row>
    <row r="107" spans="1:6" s="68" customFormat="1" ht="20.100000000000001" customHeight="1">
      <c r="A107" s="161" t="s">
        <v>69</v>
      </c>
    </row>
    <row r="108" spans="1:6" s="68" customFormat="1" ht="28.5" customHeight="1">
      <c r="A108" s="149" t="s">
        <v>52</v>
      </c>
      <c r="B108" s="149" t="s">
        <v>70</v>
      </c>
      <c r="C108" s="149" t="s">
        <v>71</v>
      </c>
      <c r="D108" s="149" t="s">
        <v>72</v>
      </c>
      <c r="E108" s="149" t="s">
        <v>73</v>
      </c>
      <c r="F108" s="149" t="s">
        <v>74</v>
      </c>
    </row>
    <row r="109" spans="1:6" s="68" customFormat="1" ht="20.100000000000001" customHeight="1">
      <c r="A109" s="73" t="e">
        <f>#REF!</f>
        <v>#REF!</v>
      </c>
      <c r="B109" s="73">
        <f>IF(ISERROR(VLOOKUP(A109,#REF!,2,0)),,VLOOKUP(A109,#REF!,2,0))</f>
        <v>0</v>
      </c>
      <c r="C109" s="176" t="e">
        <f>#REF!</f>
        <v>#REF!</v>
      </c>
      <c r="D109" s="202" t="e">
        <f>#REF!</f>
        <v>#REF!</v>
      </c>
      <c r="E109" s="175" t="e">
        <f>IF(#REF!=0,0,C109/#REF!)</f>
        <v>#REF!</v>
      </c>
      <c r="F109" s="176" t="e">
        <f>#REF!</f>
        <v>#REF!</v>
      </c>
    </row>
    <row r="110" spans="1:6" s="68" customFormat="1" ht="20.100000000000001" customHeight="1">
      <c r="A110" s="73" t="e">
        <f>#REF!</f>
        <v>#REF!</v>
      </c>
      <c r="B110" s="73">
        <f>IF(ISERROR(VLOOKUP(A110,#REF!,2,0)),,VLOOKUP(A110,#REF!,2,0))</f>
        <v>0</v>
      </c>
      <c r="C110" s="176" t="e">
        <f>#REF!</f>
        <v>#REF!</v>
      </c>
      <c r="D110" s="202" t="e">
        <f>#REF!</f>
        <v>#REF!</v>
      </c>
      <c r="E110" s="175" t="e">
        <f>IF(#REF!=0,0,C110/#REF!)</f>
        <v>#REF!</v>
      </c>
      <c r="F110" s="176" t="e">
        <f>#REF!</f>
        <v>#REF!</v>
      </c>
    </row>
    <row r="111" spans="1:6" s="68" customFormat="1" ht="20.100000000000001" customHeight="1">
      <c r="A111" s="73" t="e">
        <f>#REF!</f>
        <v>#REF!</v>
      </c>
      <c r="B111" s="73">
        <f>IF(ISERROR(VLOOKUP(A111,#REF!,2,0)),,VLOOKUP(A111,#REF!,2,0))</f>
        <v>0</v>
      </c>
      <c r="C111" s="176" t="e">
        <f>#REF!</f>
        <v>#REF!</v>
      </c>
      <c r="D111" s="202" t="e">
        <f>#REF!</f>
        <v>#REF!</v>
      </c>
      <c r="E111" s="175" t="e">
        <f>IF(#REF!=0,0,C111/#REF!)</f>
        <v>#REF!</v>
      </c>
      <c r="F111" s="176" t="e">
        <f>#REF!</f>
        <v>#REF!</v>
      </c>
    </row>
    <row r="112" spans="1:6" s="68" customFormat="1" ht="20.100000000000001" customHeight="1">
      <c r="A112" s="73" t="e">
        <f>#REF!</f>
        <v>#REF!</v>
      </c>
      <c r="B112" s="73">
        <f>IF(ISERROR(VLOOKUP(A112,#REF!,2,0)),,VLOOKUP(A112,#REF!,2,0))</f>
        <v>0</v>
      </c>
      <c r="C112" s="176" t="e">
        <f>#REF!</f>
        <v>#REF!</v>
      </c>
      <c r="D112" s="202" t="e">
        <f>#REF!</f>
        <v>#REF!</v>
      </c>
      <c r="E112" s="175" t="e">
        <f>IF(#REF!=0,0,C112/#REF!)</f>
        <v>#REF!</v>
      </c>
      <c r="F112" s="176" t="e">
        <f>#REF!</f>
        <v>#REF!</v>
      </c>
    </row>
    <row r="113" spans="1:6" s="68" customFormat="1" ht="20.100000000000001" customHeight="1">
      <c r="A113" s="73" t="e">
        <f>#REF!</f>
        <v>#REF!</v>
      </c>
      <c r="B113" s="73">
        <f>IF(ISERROR(VLOOKUP(A113,#REF!,2,0)),,VLOOKUP(A113,#REF!,2,0))</f>
        <v>0</v>
      </c>
      <c r="C113" s="196" t="e">
        <f>#REF!</f>
        <v>#REF!</v>
      </c>
      <c r="D113" s="202" t="e">
        <f>#REF!</f>
        <v>#REF!</v>
      </c>
      <c r="E113" s="175" t="e">
        <f>IF(#REF!=0,0,C113/#REF!)</f>
        <v>#REF!</v>
      </c>
      <c r="F113" s="176" t="e">
        <f>#REF!</f>
        <v>#REF!</v>
      </c>
    </row>
    <row r="114" spans="1:6" s="68" customFormat="1" ht="20.100000000000001" customHeight="1">
      <c r="A114" s="204" t="s">
        <v>21</v>
      </c>
      <c r="B114" s="205"/>
      <c r="C114" s="182" t="e">
        <f>SUM(C109:C113)</f>
        <v>#REF!</v>
      </c>
      <c r="D114" s="205"/>
      <c r="E114" s="207" t="e">
        <f t="shared" ref="E114:F114" si="19">SUM(E109:E113)</f>
        <v>#REF!</v>
      </c>
      <c r="F114" s="182" t="e">
        <f t="shared" si="19"/>
        <v>#REF!</v>
      </c>
    </row>
    <row r="115" spans="1:6" s="68" customFormat="1" ht="32.25" customHeight="1">
      <c r="A115" s="216" t="s">
        <v>75</v>
      </c>
      <c r="B115" s="216"/>
      <c r="C115" s="216"/>
      <c r="D115" s="216"/>
      <c r="E115" s="216"/>
      <c r="F115" s="216"/>
    </row>
    <row r="116" spans="1:6" s="68" customFormat="1" ht="20.100000000000001" customHeight="1">
      <c r="A116" s="217" t="s">
        <v>76</v>
      </c>
      <c r="B116" s="217"/>
      <c r="C116" s="217"/>
      <c r="D116" s="217"/>
      <c r="E116" s="217"/>
    </row>
    <row r="117" spans="1:6" s="68" customFormat="1" ht="33" customHeight="1">
      <c r="A117" s="216" t="s">
        <v>77</v>
      </c>
      <c r="B117" s="216"/>
      <c r="C117" s="216"/>
      <c r="D117" s="216"/>
      <c r="E117" s="216"/>
    </row>
    <row r="118" spans="1:6" s="68" customFormat="1" ht="31.2">
      <c r="A118" s="149" t="s">
        <v>78</v>
      </c>
      <c r="B118" s="149" t="s">
        <v>79</v>
      </c>
      <c r="C118" s="149" t="s">
        <v>80</v>
      </c>
      <c r="D118" s="149" t="s">
        <v>81</v>
      </c>
    </row>
    <row r="119" spans="1:6" s="68" customFormat="1" ht="20.100000000000001" customHeight="1">
      <c r="A119" s="80"/>
      <c r="B119" s="80"/>
      <c r="C119" s="208"/>
      <c r="D119" s="151"/>
    </row>
    <row r="120" spans="1:6" s="68" customFormat="1" ht="20.100000000000001" customHeight="1">
      <c r="A120" s="80"/>
      <c r="B120" s="80"/>
      <c r="C120" s="208"/>
      <c r="D120" s="151"/>
    </row>
    <row r="121" spans="1:6" s="68" customFormat="1" ht="20.100000000000001" customHeight="1">
      <c r="A121" s="80"/>
      <c r="B121" s="80"/>
      <c r="C121" s="208"/>
      <c r="D121" s="151"/>
    </row>
    <row r="122" spans="1:6" s="68" customFormat="1" ht="20.100000000000001" customHeight="1">
      <c r="A122" s="149" t="s">
        <v>21</v>
      </c>
      <c r="B122" s="86"/>
      <c r="C122" s="209">
        <f>SUM(C119:C121)</f>
        <v>0</v>
      </c>
      <c r="D122" s="198">
        <f>SUM(D119:D121)</f>
        <v>0</v>
      </c>
    </row>
    <row r="123" spans="1:6" s="68" customFormat="1" ht="20.100000000000001" customHeight="1">
      <c r="A123" s="217" t="s">
        <v>82</v>
      </c>
      <c r="B123" s="217"/>
      <c r="C123" s="217"/>
      <c r="D123" s="217"/>
    </row>
    <row r="124" spans="1:6" s="68" customFormat="1" ht="20.100000000000001" customHeight="1">
      <c r="A124" s="123" t="s">
        <v>83</v>
      </c>
      <c r="B124" s="123"/>
      <c r="C124" s="123"/>
      <c r="D124" s="123"/>
    </row>
    <row r="125" spans="1:6" s="68" customFormat="1" ht="20.100000000000001" customHeight="1">
      <c r="A125" s="149" t="s">
        <v>78</v>
      </c>
      <c r="B125" s="149" t="s">
        <v>8</v>
      </c>
    </row>
    <row r="126" spans="1:6" s="68" customFormat="1" ht="20.100000000000001" customHeight="1">
      <c r="A126" s="171" t="s">
        <v>84</v>
      </c>
      <c r="B126" s="150"/>
    </row>
    <row r="127" spans="1:6" s="68" customFormat="1" ht="20.100000000000001" customHeight="1">
      <c r="A127" s="171"/>
      <c r="B127" s="151"/>
    </row>
    <row r="128" spans="1:6" s="68" customFormat="1" ht="20.100000000000001" customHeight="1">
      <c r="A128" s="171"/>
      <c r="B128" s="151"/>
    </row>
    <row r="129" spans="1:6" s="68" customFormat="1" ht="20.100000000000001" customHeight="1">
      <c r="A129" s="91" t="s">
        <v>85</v>
      </c>
      <c r="B129" s="210">
        <f>SUM(B127:B127)</f>
        <v>0</v>
      </c>
    </row>
    <row r="130" spans="1:6" s="68" customFormat="1" ht="20.100000000000001" customHeight="1">
      <c r="A130" s="171" t="s">
        <v>86</v>
      </c>
      <c r="B130" s="154"/>
    </row>
    <row r="131" spans="1:6" s="68" customFormat="1" ht="20.100000000000001" customHeight="1">
      <c r="A131" s="171"/>
      <c r="B131" s="155"/>
    </row>
    <row r="132" spans="1:6" s="68" customFormat="1" ht="20.100000000000001" customHeight="1">
      <c r="A132" s="171"/>
      <c r="B132" s="155"/>
    </row>
    <row r="133" spans="1:6" s="68" customFormat="1" ht="20.100000000000001" customHeight="1">
      <c r="A133" s="76" t="s">
        <v>87</v>
      </c>
      <c r="B133" s="148">
        <f>SUM(B131:B131)</f>
        <v>0</v>
      </c>
    </row>
    <row r="134" spans="1:6" s="68" customFormat="1" ht="34.5" customHeight="1">
      <c r="A134" s="218" t="s">
        <v>88</v>
      </c>
      <c r="B134" s="218"/>
      <c r="C134" s="218"/>
      <c r="D134" s="218"/>
      <c r="E134" s="218"/>
      <c r="F134" s="218"/>
    </row>
  </sheetData>
  <mergeCells count="17">
    <mergeCell ref="A117:E117"/>
    <mergeCell ref="A123:D123"/>
    <mergeCell ref="A134:F134"/>
    <mergeCell ref="A8:A9"/>
    <mergeCell ref="A19:A20"/>
    <mergeCell ref="A40:A41"/>
    <mergeCell ref="A50:A51"/>
    <mergeCell ref="B40:F40"/>
    <mergeCell ref="B50:F50"/>
    <mergeCell ref="A105:F105"/>
    <mergeCell ref="A115:F115"/>
    <mergeCell ref="A116:E116"/>
    <mergeCell ref="A1:F1"/>
    <mergeCell ref="A2:F2"/>
    <mergeCell ref="B8:F8"/>
    <mergeCell ref="B19:F19"/>
    <mergeCell ref="A29:F29"/>
  </mergeCells>
  <phoneticPr fontId="126" type="noConversion"/>
  <printOptions horizontalCentered="1"/>
  <pageMargins left="0.98425196850393704" right="0.74803149606299202" top="0.98425196850393704" bottom="0.98425196850393704" header="0.511811023622047" footer="0.511811023622047"/>
  <pageSetup paperSize="9" scale="70" fitToHeight="100" orientation="portrait" blackAndWhite="1" cellComments="atEnd" r:id="rId1"/>
  <headerFooter alignWithMargins="0"/>
  <rowBreaks count="2" manualBreakCount="2">
    <brk id="38" max="5" man="1"/>
    <brk id="95"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102"/>
  <sheetViews>
    <sheetView view="pageBreakPreview" topLeftCell="A87" zoomScale="70" zoomScaleNormal="100" workbookViewId="0">
      <selection activeCell="K84" sqref="K84"/>
    </sheetView>
  </sheetViews>
  <sheetFormatPr defaultColWidth="9" defaultRowHeight="13.8"/>
  <cols>
    <col min="1" max="1" width="30" style="69" customWidth="1"/>
    <col min="2" max="2" width="16.59765625" style="69" customWidth="1"/>
    <col min="3" max="3" width="19.19921875" style="69" customWidth="1"/>
    <col min="4" max="4" width="14.69921875" style="69" customWidth="1"/>
    <col min="5" max="5" width="16.19921875" style="69" customWidth="1"/>
    <col min="6" max="6" width="13.69921875" style="69" customWidth="1"/>
    <col min="7" max="7" width="12.69921875" style="69" customWidth="1"/>
    <col min="8" max="16384" width="9" style="69"/>
  </cols>
  <sheetData>
    <row r="1" spans="1:10" s="66" customFormat="1" ht="20.100000000000001" customHeight="1">
      <c r="A1" s="213" t="s">
        <v>0</v>
      </c>
      <c r="B1" s="213"/>
      <c r="C1" s="213"/>
      <c r="D1" s="213"/>
      <c r="E1" s="213"/>
      <c r="F1" s="213"/>
      <c r="G1" s="213"/>
      <c r="H1" s="70"/>
      <c r="I1" s="70"/>
      <c r="J1" s="70"/>
    </row>
    <row r="2" spans="1:10" s="67" customFormat="1" ht="25.2" customHeight="1">
      <c r="A2" s="222" t="s">
        <v>89</v>
      </c>
      <c r="B2" s="223"/>
      <c r="C2" s="223"/>
      <c r="D2" s="223"/>
      <c r="E2" s="223"/>
      <c r="F2" s="223"/>
      <c r="G2" s="223"/>
      <c r="H2" s="71"/>
      <c r="I2" s="71"/>
      <c r="J2" s="71"/>
    </row>
    <row r="3" spans="1:10" s="66" customFormat="1" ht="20.100000000000001" customHeight="1">
      <c r="A3" s="66" t="e">
        <f>#REF!</f>
        <v>#REF!</v>
      </c>
      <c r="C3" s="66" t="e">
        <f>#REF!</f>
        <v>#REF!</v>
      </c>
      <c r="E3" s="66" t="e">
        <f>#REF!</f>
        <v>#REF!</v>
      </c>
      <c r="G3" s="66" t="s">
        <v>90</v>
      </c>
    </row>
    <row r="4" spans="1:10" s="66" customFormat="1" ht="20.100000000000001" customHeight="1">
      <c r="A4" s="66" t="e">
        <f>#REF!</f>
        <v>#REF!</v>
      </c>
      <c r="B4" s="72"/>
      <c r="C4" s="66" t="e">
        <f>#REF!</f>
        <v>#REF!</v>
      </c>
      <c r="E4" s="66" t="e">
        <f>#REF!</f>
        <v>#REF!</v>
      </c>
      <c r="G4" s="66" t="s">
        <v>91</v>
      </c>
      <c r="J4" s="72"/>
    </row>
    <row r="5" spans="1:10" s="68" customFormat="1" ht="20.100000000000001" customHeight="1">
      <c r="A5" s="68" t="s">
        <v>4</v>
      </c>
    </row>
    <row r="6" spans="1:10" s="68" customFormat="1" ht="20.100000000000001" customHeight="1">
      <c r="A6" s="73" t="s">
        <v>92</v>
      </c>
    </row>
    <row r="7" spans="1:10" s="68" customFormat="1" ht="20.100000000000001" customHeight="1">
      <c r="A7" s="74" t="s">
        <v>93</v>
      </c>
    </row>
    <row r="8" spans="1:10" s="68" customFormat="1" ht="20.100000000000001" customHeight="1">
      <c r="A8" s="215" t="s">
        <v>94</v>
      </c>
      <c r="B8" s="215" t="s">
        <v>8</v>
      </c>
      <c r="C8" s="215"/>
      <c r="D8" s="215"/>
      <c r="E8" s="215"/>
    </row>
    <row r="9" spans="1:10" s="68" customFormat="1" ht="20.100000000000001" customHeight="1">
      <c r="A9" s="220"/>
      <c r="B9" s="76" t="s">
        <v>28</v>
      </c>
      <c r="C9" s="76" t="s">
        <v>10</v>
      </c>
      <c r="D9" s="76" t="s">
        <v>11</v>
      </c>
      <c r="E9" s="76" t="s">
        <v>10</v>
      </c>
    </row>
    <row r="10" spans="1:10" s="68" customFormat="1" ht="15.6">
      <c r="A10" s="77" t="s">
        <v>14</v>
      </c>
      <c r="B10" s="78" t="e">
        <f>#REF!</f>
        <v>#REF!</v>
      </c>
      <c r="C10" s="79" t="e">
        <f>IF($B$17=0,0,B10/$B$17)</f>
        <v>#REF!</v>
      </c>
      <c r="D10" s="78" t="e">
        <f>#REF!</f>
        <v>#REF!</v>
      </c>
      <c r="E10" s="79" t="e">
        <f>IF(B10=0,0,D10/B10)</f>
        <v>#REF!</v>
      </c>
    </row>
    <row r="11" spans="1:10" s="68" customFormat="1" ht="15.6">
      <c r="A11" s="80" t="s">
        <v>15</v>
      </c>
      <c r="C11" s="81"/>
      <c r="E11" s="81"/>
    </row>
    <row r="12" spans="1:10" s="68" customFormat="1" ht="20.100000000000001" customHeight="1">
      <c r="A12" s="82" t="s">
        <v>16</v>
      </c>
      <c r="B12" s="83" t="e">
        <f>#REF!</f>
        <v>#REF!</v>
      </c>
      <c r="C12" s="81" t="e">
        <f>IF($B$17=0,0,B12/$B$17)</f>
        <v>#REF!</v>
      </c>
      <c r="D12" s="83" t="e">
        <f>#REF!</f>
        <v>#REF!</v>
      </c>
      <c r="E12" s="81" t="e">
        <f>IF(B12=0,0,D12/B12)</f>
        <v>#REF!</v>
      </c>
      <c r="F12" s="81"/>
    </row>
    <row r="13" spans="1:10" s="68" customFormat="1" ht="20.100000000000001" customHeight="1">
      <c r="A13" s="82" t="s">
        <v>17</v>
      </c>
      <c r="B13" s="83" t="e">
        <f>#REF!</f>
        <v>#REF!</v>
      </c>
      <c r="C13" s="81" t="e">
        <f>IF($B$17=0,0,B13/$B$17)</f>
        <v>#REF!</v>
      </c>
      <c r="D13" s="83" t="e">
        <f>#REF!</f>
        <v>#REF!</v>
      </c>
      <c r="E13" s="81" t="e">
        <f t="shared" ref="E13:E17" si="0">IF(B13=0,0,D13/B13)</f>
        <v>#REF!</v>
      </c>
      <c r="F13" s="81"/>
    </row>
    <row r="14" spans="1:10" s="68" customFormat="1" ht="20.100000000000001" customHeight="1">
      <c r="A14" s="84" t="s">
        <v>18</v>
      </c>
      <c r="B14" s="83"/>
      <c r="C14" s="81" t="e">
        <f>IF($B$17=0,0,B14/$B$17)</f>
        <v>#REF!</v>
      </c>
      <c r="D14" s="83"/>
      <c r="E14" s="81">
        <f t="shared" si="0"/>
        <v>0</v>
      </c>
      <c r="F14" s="85"/>
    </row>
    <row r="15" spans="1:10" s="68" customFormat="1" ht="20.100000000000001" customHeight="1">
      <c r="A15" s="84" t="s">
        <v>19</v>
      </c>
      <c r="B15" s="83"/>
      <c r="C15" s="81" t="e">
        <f>IF($B$17=0,0,B15/$B$17)</f>
        <v>#REF!</v>
      </c>
      <c r="D15" s="83"/>
      <c r="E15" s="81">
        <f t="shared" si="0"/>
        <v>0</v>
      </c>
      <c r="F15" s="85"/>
    </row>
    <row r="16" spans="1:10" s="68" customFormat="1" ht="20.100000000000001" customHeight="1">
      <c r="A16" s="80" t="s">
        <v>20</v>
      </c>
      <c r="B16" s="83" t="e">
        <f>SUM(B12:B15)</f>
        <v>#REF!</v>
      </c>
      <c r="C16" s="81" t="e">
        <f>IF($B$17=0,0,B16/$B$17)</f>
        <v>#REF!</v>
      </c>
      <c r="D16" s="83" t="e">
        <f>SUM(D12:D15)</f>
        <v>#REF!</v>
      </c>
      <c r="E16" s="81" t="e">
        <f t="shared" si="0"/>
        <v>#REF!</v>
      </c>
      <c r="F16" s="81"/>
    </row>
    <row r="17" spans="1:7" s="68" customFormat="1" ht="20.100000000000001" customHeight="1">
      <c r="A17" s="86" t="s">
        <v>21</v>
      </c>
      <c r="B17" s="87" t="e">
        <f>SUM(B10+B16)</f>
        <v>#REF!</v>
      </c>
      <c r="C17" s="88" t="e">
        <f>SUM(C10+C16)</f>
        <v>#REF!</v>
      </c>
      <c r="D17" s="87" t="e">
        <f>SUM(D10+D16)</f>
        <v>#REF!</v>
      </c>
      <c r="E17" s="89" t="e">
        <f t="shared" si="0"/>
        <v>#REF!</v>
      </c>
    </row>
    <row r="18" spans="1:7" s="68" customFormat="1" ht="20.100000000000001" customHeight="1">
      <c r="A18" s="74" t="s">
        <v>22</v>
      </c>
    </row>
    <row r="19" spans="1:7" s="68" customFormat="1" ht="20.100000000000001" customHeight="1">
      <c r="A19" s="215" t="s">
        <v>94</v>
      </c>
      <c r="B19" s="215" t="s">
        <v>95</v>
      </c>
      <c r="C19" s="215"/>
      <c r="D19" s="215"/>
      <c r="E19" s="215"/>
    </row>
    <row r="20" spans="1:7" s="68" customFormat="1" ht="20.100000000000001" customHeight="1">
      <c r="A20" s="220"/>
      <c r="B20" s="76" t="s">
        <v>28</v>
      </c>
      <c r="C20" s="76" t="s">
        <v>10</v>
      </c>
      <c r="D20" s="76" t="s">
        <v>11</v>
      </c>
      <c r="E20" s="76" t="s">
        <v>10</v>
      </c>
    </row>
    <row r="21" spans="1:7" s="68" customFormat="1" ht="15.6">
      <c r="A21" s="77" t="s">
        <v>14</v>
      </c>
      <c r="B21" s="78"/>
      <c r="C21" s="79">
        <f>IF($B$28=0,0,B21/$B$28)</f>
        <v>0</v>
      </c>
      <c r="D21" s="78"/>
      <c r="E21" s="79">
        <f>IF(B21=0,0,D21/B21)</f>
        <v>0</v>
      </c>
    </row>
    <row r="22" spans="1:7" s="68" customFormat="1" ht="15.6">
      <c r="A22" s="80" t="s">
        <v>15</v>
      </c>
      <c r="C22" s="81"/>
      <c r="E22" s="81"/>
    </row>
    <row r="23" spans="1:7" s="68" customFormat="1" ht="20.100000000000001" customHeight="1">
      <c r="A23" s="82" t="s">
        <v>16</v>
      </c>
      <c r="B23" s="83"/>
      <c r="C23" s="81">
        <f>IF($B$28=0,0,B23/$B$28)</f>
        <v>0</v>
      </c>
      <c r="D23" s="83"/>
      <c r="E23" s="81">
        <f>IF(B23=0,0,D23/B23)</f>
        <v>0</v>
      </c>
      <c r="F23" s="81"/>
    </row>
    <row r="24" spans="1:7" s="68" customFormat="1" ht="20.100000000000001" customHeight="1">
      <c r="A24" s="82" t="s">
        <v>17</v>
      </c>
      <c r="B24" s="83"/>
      <c r="C24" s="81">
        <f t="shared" ref="C24:C27" si="1">IF($B$28=0,0,B24/$B$28)</f>
        <v>0</v>
      </c>
      <c r="D24" s="83"/>
      <c r="E24" s="81">
        <f t="shared" ref="E24:E28" si="2">IF(B24=0,0,D24/B24)</f>
        <v>0</v>
      </c>
      <c r="F24" s="81"/>
    </row>
    <row r="25" spans="1:7" s="68" customFormat="1" ht="20.100000000000001" customHeight="1">
      <c r="A25" s="84" t="s">
        <v>18</v>
      </c>
      <c r="B25" s="83"/>
      <c r="C25" s="81">
        <f t="shared" si="1"/>
        <v>0</v>
      </c>
      <c r="D25" s="83"/>
      <c r="E25" s="81">
        <f t="shared" si="2"/>
        <v>0</v>
      </c>
      <c r="F25" s="85"/>
    </row>
    <row r="26" spans="1:7" s="68" customFormat="1" ht="20.100000000000001" customHeight="1">
      <c r="A26" s="84" t="s">
        <v>19</v>
      </c>
      <c r="B26" s="83"/>
      <c r="C26" s="81">
        <f t="shared" si="1"/>
        <v>0</v>
      </c>
      <c r="D26" s="83"/>
      <c r="E26" s="81">
        <f t="shared" si="2"/>
        <v>0</v>
      </c>
      <c r="F26" s="81"/>
    </row>
    <row r="27" spans="1:7" s="68" customFormat="1" ht="15.6">
      <c r="A27" s="80" t="s">
        <v>20</v>
      </c>
      <c r="B27" s="83">
        <f>SUM(B23:B26)</f>
        <v>0</v>
      </c>
      <c r="C27" s="90">
        <f t="shared" si="1"/>
        <v>0</v>
      </c>
      <c r="D27" s="83">
        <f>SUM(D23:D26)</f>
        <v>0</v>
      </c>
      <c r="E27" s="90">
        <f t="shared" si="2"/>
        <v>0</v>
      </c>
      <c r="F27" s="81"/>
    </row>
    <row r="28" spans="1:7" s="68" customFormat="1" ht="20.100000000000001" customHeight="1">
      <c r="A28" s="86" t="s">
        <v>21</v>
      </c>
      <c r="B28" s="87">
        <f>SUM(B21+B26+B27)</f>
        <v>0</v>
      </c>
      <c r="C28" s="88">
        <f>SUM(C21+C26+C27)</f>
        <v>0</v>
      </c>
      <c r="D28" s="87">
        <f>SUM(D21+D26+D27)</f>
        <v>0</v>
      </c>
      <c r="E28" s="89">
        <f t="shared" si="2"/>
        <v>0</v>
      </c>
    </row>
    <row r="29" spans="1:7" s="68" customFormat="1" ht="30" customHeight="1">
      <c r="A29" s="216" t="s">
        <v>96</v>
      </c>
      <c r="B29" s="216"/>
      <c r="C29" s="216"/>
      <c r="D29" s="216"/>
      <c r="E29" s="216"/>
    </row>
    <row r="30" spans="1:7" s="68" customFormat="1" ht="20.100000000000001" customHeight="1">
      <c r="A30" s="73" t="s">
        <v>97</v>
      </c>
    </row>
    <row r="31" spans="1:7" s="68" customFormat="1" ht="20.100000000000001" customHeight="1">
      <c r="A31" s="73" t="s">
        <v>98</v>
      </c>
    </row>
    <row r="32" spans="1:7" s="68" customFormat="1" ht="20.100000000000001" customHeight="1">
      <c r="A32" s="215" t="s">
        <v>31</v>
      </c>
      <c r="B32" s="215" t="s">
        <v>8</v>
      </c>
      <c r="C32" s="215"/>
      <c r="D32" s="215"/>
      <c r="E32" s="215" t="s">
        <v>95</v>
      </c>
      <c r="F32" s="215"/>
      <c r="G32" s="215"/>
    </row>
    <row r="33" spans="1:7" s="68" customFormat="1" ht="20.100000000000001" customHeight="1">
      <c r="A33" s="221"/>
      <c r="B33" s="221" t="s">
        <v>28</v>
      </c>
      <c r="C33" s="221"/>
      <c r="D33" s="221" t="s">
        <v>11</v>
      </c>
      <c r="E33" s="221" t="s">
        <v>28</v>
      </c>
      <c r="F33" s="221"/>
      <c r="G33" s="221" t="s">
        <v>11</v>
      </c>
    </row>
    <row r="34" spans="1:7" s="68" customFormat="1" ht="20.100000000000001" customHeight="1">
      <c r="A34" s="220"/>
      <c r="B34" s="76" t="s">
        <v>99</v>
      </c>
      <c r="C34" s="76" t="s">
        <v>100</v>
      </c>
      <c r="D34" s="220"/>
      <c r="E34" s="76" t="s">
        <v>99</v>
      </c>
      <c r="F34" s="76" t="s">
        <v>100</v>
      </c>
      <c r="G34" s="220"/>
    </row>
    <row r="35" spans="1:7" s="68" customFormat="1" ht="20.100000000000001" customHeight="1">
      <c r="A35" s="92" t="e">
        <f>#REF!</f>
        <v>#REF!</v>
      </c>
      <c r="B35" s="78" t="e">
        <f>#REF!</f>
        <v>#REF!</v>
      </c>
      <c r="C35" s="93" t="e">
        <f>IF(B35=0,0,B35/$B$41)</f>
        <v>#REF!</v>
      </c>
      <c r="D35" s="78" t="e">
        <f>#REF!</f>
        <v>#REF!</v>
      </c>
      <c r="E35" s="78"/>
      <c r="F35" s="93">
        <f>IF(E35=0,0,E35/$E$41)</f>
        <v>0</v>
      </c>
      <c r="G35" s="78"/>
    </row>
    <row r="36" spans="1:7" s="68" customFormat="1" ht="20.100000000000001" customHeight="1">
      <c r="A36" s="80" t="e">
        <f>#REF!</f>
        <v>#REF!</v>
      </c>
      <c r="B36" s="83" t="e">
        <f>#REF!</f>
        <v>#REF!</v>
      </c>
      <c r="C36" s="94" t="e">
        <f>IF(B36=0,0,B36/$B$41)</f>
        <v>#REF!</v>
      </c>
      <c r="D36" s="83" t="e">
        <f>#REF!</f>
        <v>#REF!</v>
      </c>
      <c r="E36" s="83"/>
      <c r="F36" s="94">
        <f>IF(E36=0,0,E36/$E$41)</f>
        <v>0</v>
      </c>
      <c r="G36" s="83"/>
    </row>
    <row r="37" spans="1:7" s="68" customFormat="1" ht="20.100000000000001" customHeight="1">
      <c r="A37" s="80" t="e">
        <f>#REF!</f>
        <v>#REF!</v>
      </c>
      <c r="B37" s="83" t="e">
        <f>#REF!</f>
        <v>#REF!</v>
      </c>
      <c r="C37" s="94" t="e">
        <f>IF(B37=0,0,B37/$B$41)</f>
        <v>#REF!</v>
      </c>
      <c r="D37" s="83" t="e">
        <f>#REF!</f>
        <v>#REF!</v>
      </c>
      <c r="E37" s="83"/>
      <c r="F37" s="94">
        <f>IF(E37=0,0,E37/$E$41)</f>
        <v>0</v>
      </c>
      <c r="G37" s="83"/>
    </row>
    <row r="38" spans="1:7" s="68" customFormat="1" ht="20.100000000000001" customHeight="1">
      <c r="A38" s="80" t="e">
        <f>#REF!</f>
        <v>#REF!</v>
      </c>
      <c r="B38" s="83" t="e">
        <f>#REF!</f>
        <v>#REF!</v>
      </c>
      <c r="C38" s="94" t="e">
        <f>IF(B38=0,0,B38/$B$41)</f>
        <v>#REF!</v>
      </c>
      <c r="D38" s="83" t="e">
        <f>#REF!</f>
        <v>#REF!</v>
      </c>
      <c r="E38" s="83"/>
      <c r="F38" s="94">
        <f>IF(E38=0,0,E38/$E$41)</f>
        <v>0</v>
      </c>
      <c r="G38" s="83"/>
    </row>
    <row r="39" spans="1:7" s="68" customFormat="1" ht="20.100000000000001" customHeight="1">
      <c r="A39" s="80" t="e">
        <f>#REF!</f>
        <v>#REF!</v>
      </c>
      <c r="B39" s="83" t="e">
        <f>#REF!</f>
        <v>#REF!</v>
      </c>
      <c r="C39" s="94" t="e">
        <f t="shared" ref="C39:C41" si="3">IF(B39=0,0,B39/$B$41)</f>
        <v>#REF!</v>
      </c>
      <c r="D39" s="83" t="e">
        <f>#REF!</f>
        <v>#REF!</v>
      </c>
      <c r="E39" s="83"/>
      <c r="F39" s="94">
        <f t="shared" ref="F39:F41" si="4">IF(E39=0,0,E39/$E$41)</f>
        <v>0</v>
      </c>
      <c r="G39" s="83"/>
    </row>
    <row r="40" spans="1:7" s="68" customFormat="1" ht="20.100000000000001" customHeight="1">
      <c r="A40" s="80" t="e">
        <f>#REF!</f>
        <v>#REF!</v>
      </c>
      <c r="B40" s="83" t="e">
        <f>#REF!</f>
        <v>#REF!</v>
      </c>
      <c r="C40" s="94" t="e">
        <f t="shared" si="3"/>
        <v>#REF!</v>
      </c>
      <c r="D40" s="83" t="e">
        <f>#REF!</f>
        <v>#REF!</v>
      </c>
      <c r="E40" s="83"/>
      <c r="F40" s="94">
        <f t="shared" si="4"/>
        <v>0</v>
      </c>
      <c r="G40" s="83"/>
    </row>
    <row r="41" spans="1:7" s="68" customFormat="1" ht="20.100000000000001" customHeight="1">
      <c r="A41" s="86" t="s">
        <v>21</v>
      </c>
      <c r="B41" s="95" t="e">
        <f>SUM(B35:B40)</f>
        <v>#REF!</v>
      </c>
      <c r="C41" s="96" t="e">
        <f t="shared" si="3"/>
        <v>#REF!</v>
      </c>
      <c r="D41" s="95" t="e">
        <f>SUM(D35:D40)</f>
        <v>#REF!</v>
      </c>
      <c r="E41" s="95">
        <f>SUM(E35:E40)</f>
        <v>0</v>
      </c>
      <c r="F41" s="96">
        <f t="shared" si="4"/>
        <v>0</v>
      </c>
      <c r="G41" s="95">
        <f>SUM(G35:G40)</f>
        <v>0</v>
      </c>
    </row>
    <row r="42" spans="1:7" s="68" customFormat="1" ht="20.100000000000001" customHeight="1">
      <c r="A42" s="97" t="s">
        <v>32</v>
      </c>
    </row>
    <row r="43" spans="1:7" s="68" customFormat="1" ht="20.100000000000001" customHeight="1">
      <c r="A43" s="73" t="s">
        <v>101</v>
      </c>
    </row>
    <row r="44" spans="1:7" s="68" customFormat="1" ht="20.100000000000001" customHeight="1">
      <c r="A44" s="215" t="s">
        <v>34</v>
      </c>
      <c r="B44" s="215" t="s">
        <v>8</v>
      </c>
      <c r="C44" s="215"/>
      <c r="D44" s="215"/>
      <c r="E44" s="215" t="s">
        <v>95</v>
      </c>
      <c r="F44" s="215"/>
      <c r="G44" s="215"/>
    </row>
    <row r="45" spans="1:7" s="68" customFormat="1" ht="20.100000000000001" customHeight="1">
      <c r="A45" s="221"/>
      <c r="B45" s="91" t="s">
        <v>28</v>
      </c>
      <c r="C45" s="91" t="s">
        <v>102</v>
      </c>
      <c r="D45" s="91" t="s">
        <v>11</v>
      </c>
      <c r="E45" s="91" t="s">
        <v>28</v>
      </c>
      <c r="F45" s="91" t="s">
        <v>102</v>
      </c>
      <c r="G45" s="91" t="s">
        <v>11</v>
      </c>
    </row>
    <row r="46" spans="1:7" s="68" customFormat="1" ht="20.100000000000001" customHeight="1">
      <c r="A46" s="98" t="s">
        <v>103</v>
      </c>
      <c r="B46" s="78"/>
      <c r="C46" s="99">
        <f>IF(B46=0,0,B46/$B$49)</f>
        <v>0</v>
      </c>
      <c r="D46" s="78"/>
      <c r="E46" s="78"/>
      <c r="F46" s="99">
        <f>IF(E46=0,0,E46/$E$49)</f>
        <v>0</v>
      </c>
      <c r="G46" s="78"/>
    </row>
    <row r="47" spans="1:7" s="68" customFormat="1" ht="20.100000000000001" customHeight="1">
      <c r="A47" s="100" t="s">
        <v>104</v>
      </c>
      <c r="B47" s="83"/>
      <c r="C47" s="101">
        <f t="shared" ref="C47:C48" si="5">IF(B47=0,0,B47/$B$49)</f>
        <v>0</v>
      </c>
      <c r="D47" s="83"/>
      <c r="F47" s="101">
        <f t="shared" ref="F47:F48" si="6">IF(E47=0,0,E47/$E$49)</f>
        <v>0</v>
      </c>
    </row>
    <row r="48" spans="1:7" s="68" customFormat="1" ht="20.100000000000001" customHeight="1">
      <c r="A48" s="102" t="s">
        <v>38</v>
      </c>
      <c r="B48" s="103"/>
      <c r="C48" s="104">
        <f t="shared" si="5"/>
        <v>0</v>
      </c>
      <c r="D48" s="103"/>
      <c r="E48" s="105"/>
      <c r="F48" s="104">
        <f t="shared" si="6"/>
        <v>0</v>
      </c>
      <c r="G48" s="105"/>
    </row>
    <row r="49" spans="1:7" s="68" customFormat="1" ht="20.100000000000001" customHeight="1">
      <c r="A49" s="86" t="s">
        <v>21</v>
      </c>
      <c r="B49" s="95">
        <f>SUM(B46:B48)</f>
        <v>0</v>
      </c>
      <c r="C49" s="106">
        <f>IF(B49=0,0,D49/B49)</f>
        <v>0</v>
      </c>
      <c r="D49" s="95">
        <f t="shared" ref="D49" si="7">SUM(D46:D48)</f>
        <v>0</v>
      </c>
      <c r="E49" s="95">
        <f t="shared" ref="E49" si="8">SUM(E46:E48)</f>
        <v>0</v>
      </c>
      <c r="F49" s="106">
        <f>IF(E49=0,0,G49/E49)</f>
        <v>0</v>
      </c>
      <c r="G49" s="95">
        <f t="shared" ref="G49" si="9">SUM(G46:G48)</f>
        <v>0</v>
      </c>
    </row>
    <row r="50" spans="1:7" s="68" customFormat="1" ht="20.100000000000001" customHeight="1">
      <c r="A50" s="107" t="s">
        <v>41</v>
      </c>
    </row>
    <row r="51" spans="1:7" s="68" customFormat="1" ht="20.100000000000001" customHeight="1">
      <c r="A51" s="73" t="s">
        <v>105</v>
      </c>
    </row>
    <row r="52" spans="1:7" s="68" customFormat="1" ht="20.100000000000001" customHeight="1">
      <c r="A52" s="224" t="s">
        <v>34</v>
      </c>
      <c r="B52" s="224" t="s">
        <v>8</v>
      </c>
      <c r="C52" s="224"/>
      <c r="D52" s="224"/>
      <c r="E52" s="224" t="s">
        <v>95</v>
      </c>
      <c r="F52" s="224"/>
      <c r="G52" s="224"/>
    </row>
    <row r="53" spans="1:7" s="68" customFormat="1" ht="20.100000000000001" customHeight="1">
      <c r="A53" s="225"/>
      <c r="B53" s="108" t="s">
        <v>28</v>
      </c>
      <c r="C53" s="108" t="s">
        <v>102</v>
      </c>
      <c r="D53" s="108" t="s">
        <v>11</v>
      </c>
      <c r="E53" s="108" t="s">
        <v>28</v>
      </c>
      <c r="F53" s="108" t="s">
        <v>102</v>
      </c>
      <c r="G53" s="108" t="s">
        <v>11</v>
      </c>
    </row>
    <row r="54" spans="1:7" s="68" customFormat="1" ht="20.100000000000001" customHeight="1">
      <c r="A54" s="109" t="s">
        <v>103</v>
      </c>
      <c r="B54" s="78"/>
      <c r="C54" s="99">
        <f>IF(B54=0,0,B54/$B$57)</f>
        <v>0</v>
      </c>
      <c r="D54" s="78"/>
      <c r="E54" s="78"/>
      <c r="F54" s="99">
        <f>IF(E54=0,0,E54/$E$57)</f>
        <v>0</v>
      </c>
      <c r="G54" s="78"/>
    </row>
    <row r="55" spans="1:7" s="68" customFormat="1" ht="20.100000000000001" customHeight="1">
      <c r="A55" s="110" t="s">
        <v>104</v>
      </c>
      <c r="B55" s="83"/>
      <c r="C55" s="101">
        <f>IF(B55=0,0,B55/$B$57)</f>
        <v>0</v>
      </c>
      <c r="D55" s="83"/>
      <c r="E55" s="83"/>
      <c r="F55" s="101">
        <f>IF(E55=0,0,E55/$E$57)</f>
        <v>0</v>
      </c>
      <c r="G55" s="83"/>
    </row>
    <row r="56" spans="1:7" s="68" customFormat="1" ht="20.100000000000001" customHeight="1">
      <c r="A56" s="111" t="s">
        <v>38</v>
      </c>
      <c r="B56" s="103"/>
      <c r="C56" s="104">
        <f>IF(B56=0,0,B56/$B$57)</f>
        <v>0</v>
      </c>
      <c r="D56" s="103"/>
      <c r="E56" s="105"/>
      <c r="F56" s="104">
        <f>IF(E56=0,0,E56/$E$57)</f>
        <v>0</v>
      </c>
      <c r="G56" s="105"/>
    </row>
    <row r="57" spans="1:7" s="68" customFormat="1" ht="20.100000000000001" customHeight="1">
      <c r="A57" s="112" t="s">
        <v>21</v>
      </c>
      <c r="B57" s="113">
        <f>SUM(B54:B56)</f>
        <v>0</v>
      </c>
      <c r="C57" s="106">
        <f>IF(B57=0,0,D57/B57)</f>
        <v>0</v>
      </c>
      <c r="D57" s="113">
        <f>SUM(D54:D56)</f>
        <v>0</v>
      </c>
      <c r="E57" s="113">
        <f>SUM(E54:E56)</f>
        <v>0</v>
      </c>
      <c r="F57" s="106">
        <f>IF(E57=0,0,G57/E57)</f>
        <v>0</v>
      </c>
      <c r="G57" s="113">
        <f>SUM(G54:G56)</f>
        <v>0</v>
      </c>
    </row>
    <row r="58" spans="1:7" s="68" customFormat="1" ht="20.100000000000001" customHeight="1">
      <c r="A58" s="107" t="s">
        <v>41</v>
      </c>
    </row>
    <row r="59" spans="1:7" s="68" customFormat="1" ht="20.100000000000001" customHeight="1">
      <c r="A59" s="73" t="s">
        <v>106</v>
      </c>
    </row>
    <row r="60" spans="1:7" s="68" customFormat="1" ht="20.100000000000001" customHeight="1">
      <c r="A60" s="215" t="s">
        <v>34</v>
      </c>
      <c r="B60" s="215" t="s">
        <v>8</v>
      </c>
      <c r="C60" s="215"/>
      <c r="D60" s="215"/>
      <c r="E60" s="215" t="s">
        <v>95</v>
      </c>
      <c r="F60" s="215"/>
      <c r="G60" s="215"/>
    </row>
    <row r="61" spans="1:7" s="68" customFormat="1" ht="20.100000000000001" customHeight="1">
      <c r="A61" s="221"/>
      <c r="B61" s="91" t="s">
        <v>28</v>
      </c>
      <c r="C61" s="91" t="s">
        <v>102</v>
      </c>
      <c r="D61" s="91" t="s">
        <v>11</v>
      </c>
      <c r="E61" s="91" t="s">
        <v>28</v>
      </c>
      <c r="F61" s="91" t="s">
        <v>102</v>
      </c>
      <c r="G61" s="91" t="s">
        <v>11</v>
      </c>
    </row>
    <row r="62" spans="1:7" s="68" customFormat="1" ht="20.100000000000001" customHeight="1">
      <c r="A62" s="98" t="s">
        <v>103</v>
      </c>
      <c r="B62" s="78"/>
      <c r="C62" s="99">
        <f>IF(B62=0,0,B62/$B$65)</f>
        <v>0</v>
      </c>
      <c r="D62" s="78"/>
      <c r="E62" s="78"/>
      <c r="F62" s="99">
        <f>IF(E62=0,0,E62/$E$65)</f>
        <v>0</v>
      </c>
      <c r="G62" s="78"/>
    </row>
    <row r="63" spans="1:7" s="68" customFormat="1" ht="20.100000000000001" customHeight="1">
      <c r="A63" s="100" t="s">
        <v>104</v>
      </c>
      <c r="B63" s="83"/>
      <c r="C63" s="101">
        <f>IF(B63=0,0,B63/$B$65)</f>
        <v>0</v>
      </c>
      <c r="D63" s="83"/>
      <c r="E63" s="83"/>
      <c r="F63" s="101">
        <f>IF(E63=0,0,E63/$E$65)</f>
        <v>0</v>
      </c>
      <c r="G63" s="83"/>
    </row>
    <row r="64" spans="1:7" s="68" customFormat="1" ht="20.100000000000001" customHeight="1">
      <c r="A64" s="102" t="s">
        <v>38</v>
      </c>
      <c r="B64" s="103"/>
      <c r="C64" s="104">
        <f>IF(B64=0,0,B64/$B$65)</f>
        <v>0</v>
      </c>
      <c r="D64" s="103"/>
      <c r="E64" s="105"/>
      <c r="F64" s="104">
        <f>IF(E64=0,0,E64/$E$65)</f>
        <v>0</v>
      </c>
      <c r="G64" s="105"/>
    </row>
    <row r="65" spans="1:7" s="68" customFormat="1" ht="20.100000000000001" customHeight="1">
      <c r="A65" s="114" t="s">
        <v>21</v>
      </c>
      <c r="B65" s="113">
        <f>SUM(B62:B64)</f>
        <v>0</v>
      </c>
      <c r="C65" s="106">
        <f>IF(B65=0,0,D65/B65)</f>
        <v>0</v>
      </c>
      <c r="D65" s="113">
        <f>SUM(D62:D64)</f>
        <v>0</v>
      </c>
      <c r="E65" s="113">
        <f>SUM(E62:E64)</f>
        <v>0</v>
      </c>
      <c r="F65" s="106">
        <f>IF(E65=0,0,G65/E65)</f>
        <v>0</v>
      </c>
      <c r="G65" s="113">
        <f>SUM(G62:G64)</f>
        <v>0</v>
      </c>
    </row>
    <row r="66" spans="1:7" s="68" customFormat="1" ht="20.100000000000001" customHeight="1">
      <c r="A66" s="107" t="s">
        <v>41</v>
      </c>
    </row>
    <row r="67" spans="1:7" s="68" customFormat="1" ht="20.100000000000001" customHeight="1">
      <c r="A67" s="73" t="s">
        <v>107</v>
      </c>
    </row>
    <row r="68" spans="1:7" s="68" customFormat="1" ht="20.100000000000001" customHeight="1">
      <c r="A68" s="75" t="s">
        <v>108</v>
      </c>
      <c r="B68" s="75" t="s">
        <v>28</v>
      </c>
      <c r="C68" s="75" t="s">
        <v>11</v>
      </c>
      <c r="D68" s="75" t="s">
        <v>72</v>
      </c>
      <c r="E68" s="75" t="s">
        <v>109</v>
      </c>
      <c r="F68" s="75" t="s">
        <v>29</v>
      </c>
    </row>
    <row r="69" spans="1:7" s="68" customFormat="1" ht="20.100000000000001" customHeight="1">
      <c r="A69" s="115"/>
      <c r="B69" s="116"/>
      <c r="C69" s="117"/>
      <c r="D69" s="118"/>
      <c r="E69" s="93">
        <f>IF(B69=0,0,C69/B69)</f>
        <v>0</v>
      </c>
      <c r="F69" s="119"/>
    </row>
    <row r="70" spans="1:7" s="68" customFormat="1" ht="20.100000000000001" customHeight="1">
      <c r="A70" s="120"/>
      <c r="B70" s="121"/>
      <c r="C70" s="122"/>
      <c r="E70" s="94">
        <f>IF(B70=0,0,C70/B70)</f>
        <v>0</v>
      </c>
      <c r="F70" s="123"/>
    </row>
    <row r="71" spans="1:7" s="68" customFormat="1" ht="20.100000000000001" customHeight="1">
      <c r="A71" s="120"/>
      <c r="B71" s="121"/>
      <c r="C71" s="122"/>
      <c r="E71" s="94">
        <f>IF(B71=0,0,C71/B71)</f>
        <v>0</v>
      </c>
      <c r="F71" s="123"/>
    </row>
    <row r="72" spans="1:7" s="68" customFormat="1" ht="20.100000000000001" customHeight="1">
      <c r="A72" s="120"/>
      <c r="B72" s="121"/>
      <c r="C72" s="122"/>
      <c r="E72" s="94">
        <f>IF(B72=0,0,C72/B72)</f>
        <v>0</v>
      </c>
      <c r="F72" s="123"/>
    </row>
    <row r="73" spans="1:7" s="68" customFormat="1" ht="20.100000000000001" customHeight="1">
      <c r="A73" s="124"/>
      <c r="B73" s="125"/>
      <c r="C73" s="126"/>
      <c r="D73" s="105"/>
      <c r="E73" s="127">
        <f>IF(B73=0,0,C73/B73)</f>
        <v>0</v>
      </c>
      <c r="F73" s="128"/>
    </row>
    <row r="74" spans="1:7" s="68" customFormat="1" ht="20.100000000000001" customHeight="1">
      <c r="A74" s="112" t="s">
        <v>21</v>
      </c>
      <c r="B74" s="129">
        <f>SUM(B69:B73)</f>
        <v>0</v>
      </c>
      <c r="C74" s="129">
        <f t="shared" ref="C74" si="10">SUM(C69:C73)</f>
        <v>0</v>
      </c>
      <c r="D74" s="129"/>
      <c r="E74" s="129"/>
      <c r="F74" s="128"/>
    </row>
    <row r="75" spans="1:7" s="68" customFormat="1" ht="20.100000000000001" customHeight="1">
      <c r="A75" s="73" t="s">
        <v>110</v>
      </c>
    </row>
    <row r="76" spans="1:7" s="68" customFormat="1" ht="46.8">
      <c r="A76" s="130" t="s">
        <v>108</v>
      </c>
      <c r="B76" s="131" t="s">
        <v>111</v>
      </c>
      <c r="C76" s="131" t="s">
        <v>112</v>
      </c>
      <c r="D76" s="131" t="s">
        <v>113</v>
      </c>
      <c r="E76" s="131" t="s">
        <v>56</v>
      </c>
    </row>
    <row r="77" spans="1:7" s="68" customFormat="1" ht="20.100000000000001" customHeight="1">
      <c r="A77" s="132" t="e">
        <f>#REF!</f>
        <v>#REF!</v>
      </c>
      <c r="B77" s="132" t="e">
        <f>#REF!</f>
        <v>#REF!</v>
      </c>
      <c r="C77" s="132" t="e">
        <f>#REF!</f>
        <v>#REF!</v>
      </c>
      <c r="D77" s="133" t="e">
        <f>#REF!</f>
        <v>#REF!</v>
      </c>
      <c r="E77" s="133" t="e">
        <f>#REF!</f>
        <v>#REF!</v>
      </c>
    </row>
    <row r="78" spans="1:7" s="68" customFormat="1" ht="20.100000000000001" customHeight="1">
      <c r="A78" s="73" t="e">
        <f>#REF!</f>
        <v>#REF!</v>
      </c>
      <c r="B78" s="73" t="e">
        <f>#REF!</f>
        <v>#REF!</v>
      </c>
      <c r="C78" s="73" t="e">
        <f>#REF!</f>
        <v>#REF!</v>
      </c>
      <c r="D78" s="134" t="e">
        <f>#REF!</f>
        <v>#REF!</v>
      </c>
      <c r="E78" s="134" t="e">
        <f>#REF!</f>
        <v>#REF!</v>
      </c>
    </row>
    <row r="79" spans="1:7" s="68" customFormat="1" ht="20.100000000000001" customHeight="1">
      <c r="A79" s="135" t="e">
        <f>#REF!</f>
        <v>#REF!</v>
      </c>
      <c r="B79" s="135" t="e">
        <f>#REF!</f>
        <v>#REF!</v>
      </c>
      <c r="C79" s="135" t="e">
        <f>#REF!</f>
        <v>#REF!</v>
      </c>
      <c r="D79" s="136" t="e">
        <f>#REF!</f>
        <v>#REF!</v>
      </c>
      <c r="E79" s="136" t="e">
        <f>#REF!</f>
        <v>#REF!</v>
      </c>
    </row>
    <row r="80" spans="1:7" s="68" customFormat="1" ht="20.100000000000001" customHeight="1">
      <c r="A80" s="112" t="s">
        <v>114</v>
      </c>
      <c r="B80" s="112"/>
      <c r="C80" s="112"/>
      <c r="D80" s="113" t="e">
        <f>SUM(D77:D79)</f>
        <v>#REF!</v>
      </c>
      <c r="E80" s="113" t="e">
        <f>SUM(E77:E79)</f>
        <v>#REF!</v>
      </c>
    </row>
    <row r="81" spans="1:5" s="68" customFormat="1" ht="28.5" customHeight="1">
      <c r="A81" s="216" t="s">
        <v>115</v>
      </c>
      <c r="B81" s="216"/>
      <c r="C81" s="216"/>
      <c r="D81" s="216"/>
      <c r="E81" s="216"/>
    </row>
    <row r="82" spans="1:5" s="68" customFormat="1" ht="20.100000000000001" customHeight="1">
      <c r="A82" s="73" t="s">
        <v>116</v>
      </c>
    </row>
    <row r="83" spans="1:5" s="68" customFormat="1" ht="39.75" customHeight="1">
      <c r="A83" s="75" t="s">
        <v>108</v>
      </c>
      <c r="B83" s="75" t="s">
        <v>117</v>
      </c>
      <c r="C83" s="75" t="s">
        <v>60</v>
      </c>
      <c r="D83" s="75" t="s">
        <v>64</v>
      </c>
      <c r="E83" s="75" t="s">
        <v>118</v>
      </c>
    </row>
    <row r="84" spans="1:5" s="68" customFormat="1" ht="20.100000000000001" customHeight="1">
      <c r="A84" s="137" t="e">
        <f>#REF!</f>
        <v>#REF!</v>
      </c>
      <c r="B84" s="132" t="e">
        <f>#REF!</f>
        <v>#REF!</v>
      </c>
      <c r="C84" s="138" t="e">
        <f>#REF!</f>
        <v>#REF!</v>
      </c>
      <c r="D84" s="132" t="e">
        <f>#REF!</f>
        <v>#REF!</v>
      </c>
      <c r="E84" s="132" t="e">
        <f>#REF!</f>
        <v>#REF!</v>
      </c>
    </row>
    <row r="85" spans="1:5" s="68" customFormat="1" ht="20.100000000000001" customHeight="1">
      <c r="A85" s="74" t="e">
        <f>#REF!</f>
        <v>#REF!</v>
      </c>
      <c r="B85" s="73" t="e">
        <f>#REF!</f>
        <v>#REF!</v>
      </c>
      <c r="C85" s="139" t="e">
        <f>#REF!</f>
        <v>#REF!</v>
      </c>
      <c r="D85" s="73" t="e">
        <f>#REF!</f>
        <v>#REF!</v>
      </c>
      <c r="E85" s="73" t="e">
        <f>#REF!</f>
        <v>#REF!</v>
      </c>
    </row>
    <row r="86" spans="1:5" s="68" customFormat="1" ht="20.100000000000001" customHeight="1">
      <c r="A86" s="140" t="e">
        <f>#REF!</f>
        <v>#REF!</v>
      </c>
      <c r="B86" s="135" t="e">
        <f>#REF!</f>
        <v>#REF!</v>
      </c>
      <c r="C86" s="141" t="e">
        <f>#REF!</f>
        <v>#REF!</v>
      </c>
      <c r="D86" s="135" t="e">
        <f>#REF!</f>
        <v>#REF!</v>
      </c>
      <c r="E86" s="135" t="e">
        <f>#REF!</f>
        <v>#REF!</v>
      </c>
    </row>
    <row r="87" spans="1:5" s="68" customFormat="1" ht="20.100000000000001" customHeight="1">
      <c r="A87" s="142" t="s">
        <v>114</v>
      </c>
      <c r="B87" s="142" t="s">
        <v>119</v>
      </c>
      <c r="C87" s="143" t="e">
        <f>SUM(C84:C86)</f>
        <v>#REF!</v>
      </c>
      <c r="D87" s="144" t="s">
        <v>119</v>
      </c>
      <c r="E87" s="144" t="s">
        <v>119</v>
      </c>
    </row>
    <row r="88" spans="1:5" s="68" customFormat="1" ht="20.100000000000001" customHeight="1">
      <c r="A88" s="73" t="s">
        <v>120</v>
      </c>
    </row>
    <row r="89" spans="1:5" s="68" customFormat="1" ht="47.4">
      <c r="A89" s="75" t="s">
        <v>52</v>
      </c>
      <c r="B89" s="75" t="s">
        <v>80</v>
      </c>
      <c r="C89" s="75" t="s">
        <v>121</v>
      </c>
    </row>
    <row r="90" spans="1:5" s="68" customFormat="1" ht="20.100000000000001" customHeight="1">
      <c r="A90" s="137" t="e">
        <f>#REF!</f>
        <v>#REF!</v>
      </c>
      <c r="B90" s="138" t="e">
        <f>#REF!</f>
        <v>#REF!</v>
      </c>
      <c r="C90" s="138" t="e">
        <f>#REF!</f>
        <v>#REF!</v>
      </c>
    </row>
    <row r="91" spans="1:5" s="68" customFormat="1" ht="20.100000000000001" customHeight="1">
      <c r="A91" s="74" t="e">
        <f>#REF!</f>
        <v>#REF!</v>
      </c>
      <c r="B91" s="139" t="e">
        <f>#REF!</f>
        <v>#REF!</v>
      </c>
      <c r="C91" s="139" t="e">
        <f>#REF!</f>
        <v>#REF!</v>
      </c>
    </row>
    <row r="92" spans="1:5" s="68" customFormat="1" ht="20.100000000000001" customHeight="1">
      <c r="A92" s="145"/>
      <c r="B92" s="146"/>
      <c r="C92" s="146"/>
    </row>
    <row r="93" spans="1:5" s="68" customFormat="1" ht="20.100000000000001" customHeight="1">
      <c r="A93" s="147" t="s">
        <v>21</v>
      </c>
      <c r="B93" s="148" t="e">
        <f>SUM(B90:B92)</f>
        <v>#REF!</v>
      </c>
      <c r="C93" s="148" t="e">
        <f>SUM(C90:C92)</f>
        <v>#REF!</v>
      </c>
    </row>
    <row r="94" spans="1:5" s="68" customFormat="1" ht="20.100000000000001" customHeight="1">
      <c r="A94" s="73" t="s">
        <v>122</v>
      </c>
    </row>
    <row r="95" spans="1:5" s="68" customFormat="1" ht="20.100000000000001" customHeight="1">
      <c r="A95" s="149" t="s">
        <v>78</v>
      </c>
      <c r="B95" s="149" t="s">
        <v>123</v>
      </c>
    </row>
    <row r="96" spans="1:5" s="68" customFormat="1" ht="20.100000000000001" customHeight="1">
      <c r="A96" s="80" t="s">
        <v>84</v>
      </c>
      <c r="B96" s="150"/>
    </row>
    <row r="97" spans="1:7" s="68" customFormat="1" ht="20.100000000000001" customHeight="1">
      <c r="A97" s="80"/>
      <c r="B97" s="151"/>
    </row>
    <row r="98" spans="1:7" s="68" customFormat="1" ht="20.100000000000001" customHeight="1">
      <c r="A98" s="152" t="s">
        <v>85</v>
      </c>
      <c r="B98" s="153">
        <f>SUM(B97:B97)</f>
        <v>0</v>
      </c>
    </row>
    <row r="99" spans="1:7" s="68" customFormat="1" ht="20.100000000000001" customHeight="1">
      <c r="A99" s="80" t="s">
        <v>86</v>
      </c>
      <c r="B99" s="154"/>
    </row>
    <row r="100" spans="1:7" s="68" customFormat="1" ht="20.100000000000001" customHeight="1">
      <c r="A100" s="80"/>
      <c r="B100" s="155"/>
    </row>
    <row r="101" spans="1:7" s="68" customFormat="1" ht="20.100000000000001" customHeight="1">
      <c r="A101" s="114" t="s">
        <v>87</v>
      </c>
      <c r="B101" s="148">
        <f>SUM(B100:B100)</f>
        <v>0</v>
      </c>
    </row>
    <row r="102" spans="1:7" s="68" customFormat="1" ht="30" customHeight="1">
      <c r="A102" s="218" t="s">
        <v>88</v>
      </c>
      <c r="B102" s="218"/>
      <c r="C102" s="218"/>
      <c r="D102" s="218"/>
      <c r="E102" s="218"/>
      <c r="F102" s="218"/>
      <c r="G102" s="218"/>
    </row>
  </sheetData>
  <mergeCells count="25">
    <mergeCell ref="A102:G102"/>
    <mergeCell ref="A8:A9"/>
    <mergeCell ref="A19:A20"/>
    <mergeCell ref="A32:A34"/>
    <mergeCell ref="A44:A45"/>
    <mergeCell ref="A52:A53"/>
    <mergeCell ref="A60:A61"/>
    <mergeCell ref="D33:D34"/>
    <mergeCell ref="G33:G34"/>
    <mergeCell ref="B52:D52"/>
    <mergeCell ref="E52:G52"/>
    <mergeCell ref="B60:D60"/>
    <mergeCell ref="E60:G60"/>
    <mergeCell ref="A81:E81"/>
    <mergeCell ref="B32:D32"/>
    <mergeCell ref="E32:G32"/>
    <mergeCell ref="B33:C33"/>
    <mergeCell ref="E33:F33"/>
    <mergeCell ref="B44:D44"/>
    <mergeCell ref="E44:G44"/>
    <mergeCell ref="A1:G1"/>
    <mergeCell ref="A2:G2"/>
    <mergeCell ref="B8:E8"/>
    <mergeCell ref="B19:E19"/>
    <mergeCell ref="A29:E29"/>
  </mergeCells>
  <phoneticPr fontId="126" type="noConversion"/>
  <printOptions horizontalCentered="1"/>
  <pageMargins left="0.74803149606299202" right="0.55118110236220497" top="0.98425196850393704" bottom="0.23622047244094499" header="0.511811023622047" footer="0.196850393700787"/>
  <pageSetup paperSize="9" scale="67" fitToHeight="3" orientation="portrait" blackAndWhite="1" cellComments="atEnd" r:id="rId1"/>
  <headerFooter alignWithMargins="0"/>
  <rowBreaks count="3" manualBreakCount="3">
    <brk id="17" max="6" man="1"/>
    <brk id="42" max="6" man="1"/>
    <brk id="52" max="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54"/>
  <sheetViews>
    <sheetView showZeros="0" tabSelected="1" view="pageBreakPreview" zoomScaleNormal="100" workbookViewId="0">
      <selection activeCell="I7" sqref="I7"/>
    </sheetView>
  </sheetViews>
  <sheetFormatPr defaultColWidth="9" defaultRowHeight="20.100000000000001" customHeight="1"/>
  <cols>
    <col min="1" max="1" width="24.3984375" style="3" customWidth="1"/>
    <col min="2" max="2" width="14.59765625" style="3" customWidth="1"/>
    <col min="3" max="3" width="15.69921875" style="3" customWidth="1"/>
    <col min="4" max="4" width="13.19921875" style="3" customWidth="1"/>
    <col min="5" max="5" width="21.59765625" style="3" customWidth="1"/>
    <col min="6" max="6" width="12.59765625" style="3" customWidth="1"/>
    <col min="7" max="7" width="11.8984375" style="3" customWidth="1"/>
    <col min="8" max="8" width="12.5" style="3" customWidth="1"/>
    <col min="9" max="16384" width="9" style="3"/>
  </cols>
  <sheetData>
    <row r="1" spans="1:8" s="1" customFormat="1" ht="20.100000000000001" customHeight="1">
      <c r="A1" s="226" t="s">
        <v>124</v>
      </c>
      <c r="B1" s="226"/>
      <c r="C1" s="226"/>
      <c r="D1" s="226"/>
      <c r="E1" s="226"/>
      <c r="F1" s="226"/>
      <c r="G1" s="226"/>
      <c r="H1" s="226"/>
    </row>
    <row r="2" spans="1:8" s="1" customFormat="1" ht="20.100000000000001" customHeight="1">
      <c r="A2" s="227" t="s">
        <v>125</v>
      </c>
      <c r="B2" s="227"/>
      <c r="C2" s="227"/>
      <c r="D2" s="227"/>
      <c r="E2" s="227"/>
      <c r="F2" s="227"/>
      <c r="G2" s="227"/>
      <c r="H2" s="227"/>
    </row>
    <row r="3" spans="1:8" s="2" customFormat="1" ht="20.100000000000001" customHeight="1">
      <c r="A3" s="4" t="str">
        <f>[4]底稿目录!$A$2</f>
        <v>被审计单位名称：</v>
      </c>
      <c r="C3" s="4" t="str">
        <f>[4]底稿目录!$A$4</f>
        <v>编制人：</v>
      </c>
      <c r="E3" s="4" t="str">
        <f>[4]底稿目录!$A$5</f>
        <v>编制日期：</v>
      </c>
      <c r="G3" s="5" t="s">
        <v>126</v>
      </c>
      <c r="H3" s="232" t="s">
        <v>203</v>
      </c>
    </row>
    <row r="4" spans="1:8" s="2" customFormat="1" ht="20.100000000000001" customHeight="1">
      <c r="A4" s="4" t="str">
        <f>[4]底稿目录!$A$3</f>
        <v>截止日：202X年12月31日</v>
      </c>
      <c r="C4" s="4" t="str">
        <f>[4]底稿目录!$A$6</f>
        <v>复核人：</v>
      </c>
      <c r="E4" s="4" t="str">
        <f>[4]底稿目录!$A$7</f>
        <v>复核日期：</v>
      </c>
      <c r="G4" s="5" t="s">
        <v>127</v>
      </c>
      <c r="H4" s="5"/>
    </row>
    <row r="5" spans="1:8" ht="20.100000000000001" customHeight="1">
      <c r="A5" s="6" t="s">
        <v>128</v>
      </c>
    </row>
    <row r="6" spans="1:8" ht="20.100000000000001" customHeight="1">
      <c r="A6" s="7" t="s">
        <v>129</v>
      </c>
    </row>
    <row r="7" spans="1:8" ht="20.100000000000001" customHeight="1">
      <c r="A7" s="8" t="s">
        <v>130</v>
      </c>
    </row>
    <row r="8" spans="1:8" ht="20.100000000000001" customHeight="1">
      <c r="A8" s="9" t="s">
        <v>131</v>
      </c>
    </row>
    <row r="9" spans="1:8" ht="20.100000000000001" customHeight="1">
      <c r="A9" s="10"/>
    </row>
    <row r="10" spans="1:8" ht="20.100000000000001" customHeight="1">
      <c r="A10" s="11" t="s">
        <v>132</v>
      </c>
    </row>
    <row r="11" spans="1:8" ht="20.100000000000001" customHeight="1">
      <c r="A11" s="12" t="s">
        <v>202</v>
      </c>
    </row>
    <row r="12" spans="1:8" ht="20.100000000000001" customHeight="1">
      <c r="A12" s="11" t="s">
        <v>133</v>
      </c>
      <c r="B12" s="13"/>
      <c r="C12" s="13"/>
      <c r="D12" s="13"/>
      <c r="E12" s="14"/>
    </row>
    <row r="13" spans="1:8" ht="20.100000000000001" customHeight="1">
      <c r="A13" s="15" t="s">
        <v>134</v>
      </c>
      <c r="B13" s="15" t="s">
        <v>135</v>
      </c>
      <c r="C13" s="15" t="s">
        <v>136</v>
      </c>
      <c r="D13" s="15" t="s">
        <v>137</v>
      </c>
    </row>
    <row r="14" spans="1:8" ht="20.100000000000001" customHeight="1">
      <c r="A14" s="16" t="s">
        <v>138</v>
      </c>
      <c r="B14" s="17"/>
      <c r="C14" s="18"/>
      <c r="D14" s="18"/>
    </row>
    <row r="15" spans="1:8" ht="20.100000000000001" customHeight="1">
      <c r="A15" s="16" t="s">
        <v>139</v>
      </c>
      <c r="B15" s="19"/>
      <c r="C15" s="18"/>
      <c r="D15" s="18"/>
    </row>
    <row r="16" spans="1:8" ht="20.100000000000001" customHeight="1">
      <c r="A16" s="20" t="s">
        <v>140</v>
      </c>
      <c r="B16" s="21">
        <f>B14*(1+B15)</f>
        <v>0</v>
      </c>
      <c r="C16" s="22"/>
      <c r="D16" s="22"/>
    </row>
    <row r="17" spans="1:9" ht="20.100000000000001" customHeight="1">
      <c r="A17" s="16" t="s">
        <v>141</v>
      </c>
      <c r="B17" s="23"/>
      <c r="C17" s="18"/>
      <c r="D17" s="18"/>
    </row>
    <row r="18" spans="1:9" ht="20.100000000000001" customHeight="1">
      <c r="A18" s="20" t="s">
        <v>142</v>
      </c>
      <c r="B18" s="21">
        <f>B16-B17</f>
        <v>0</v>
      </c>
      <c r="C18" s="24"/>
      <c r="D18" s="24"/>
    </row>
    <row r="19" spans="1:9" ht="20.100000000000001" customHeight="1">
      <c r="A19" s="25" t="s">
        <v>143</v>
      </c>
      <c r="B19" s="228"/>
      <c r="C19" s="229"/>
      <c r="D19" s="230"/>
    </row>
    <row r="20" spans="1:9" ht="20.100000000000001" customHeight="1">
      <c r="A20" s="26" t="s">
        <v>144</v>
      </c>
      <c r="B20" s="10"/>
      <c r="C20" s="6"/>
      <c r="D20" s="6"/>
    </row>
    <row r="21" spans="1:9" ht="20.100000000000001" customHeight="1">
      <c r="A21" s="27"/>
      <c r="B21" s="28" t="s">
        <v>135</v>
      </c>
      <c r="C21" s="29" t="s">
        <v>136</v>
      </c>
      <c r="D21" s="27" t="s">
        <v>145</v>
      </c>
      <c r="E21" s="27" t="s">
        <v>146</v>
      </c>
    </row>
    <row r="22" spans="1:9" ht="20.100000000000001" customHeight="1">
      <c r="A22" s="30" t="s">
        <v>147</v>
      </c>
      <c r="B22" s="31"/>
      <c r="C22" s="32" t="s">
        <v>148</v>
      </c>
      <c r="D22" s="33" t="s">
        <v>149</v>
      </c>
      <c r="E22" s="33" t="s">
        <v>149</v>
      </c>
    </row>
    <row r="23" spans="1:9" ht="20.100000000000001" customHeight="1">
      <c r="A23" s="34" t="s">
        <v>199</v>
      </c>
      <c r="B23" s="35"/>
      <c r="C23" s="36"/>
      <c r="D23" s="37"/>
      <c r="E23" s="38" t="s">
        <v>150</v>
      </c>
    </row>
    <row r="24" spans="1:9" ht="20.100000000000001" customHeight="1">
      <c r="A24" s="34" t="s">
        <v>200</v>
      </c>
      <c r="B24" s="35"/>
      <c r="C24" s="36"/>
      <c r="D24" s="37"/>
      <c r="E24" s="38" t="s">
        <v>151</v>
      </c>
    </row>
    <row r="25" spans="1:9" ht="20.100000000000001" customHeight="1">
      <c r="A25" s="34" t="s">
        <v>152</v>
      </c>
      <c r="B25" s="35"/>
      <c r="C25" s="36"/>
      <c r="D25" s="37"/>
      <c r="E25" s="37"/>
    </row>
    <row r="26" spans="1:9" ht="20.100000000000001" customHeight="1">
      <c r="A26" s="25" t="s">
        <v>143</v>
      </c>
      <c r="B26" s="231"/>
      <c r="C26" s="231"/>
      <c r="D26" s="231"/>
      <c r="E26" s="231"/>
      <c r="F26" s="39"/>
      <c r="G26" s="40"/>
      <c r="H26" s="41"/>
      <c r="I26" s="41"/>
    </row>
    <row r="27" spans="1:9" ht="20.100000000000001" customHeight="1">
      <c r="A27" s="26" t="s">
        <v>153</v>
      </c>
    </row>
    <row r="28" spans="1:9" ht="20.100000000000001" customHeight="1">
      <c r="A28" s="42" t="s">
        <v>154</v>
      </c>
      <c r="B28" s="42" t="s">
        <v>155</v>
      </c>
      <c r="C28" s="42" t="s">
        <v>156</v>
      </c>
      <c r="D28" s="42" t="s">
        <v>157</v>
      </c>
      <c r="E28" s="42" t="s">
        <v>158</v>
      </c>
      <c r="F28" s="42" t="s">
        <v>159</v>
      </c>
      <c r="G28" s="43" t="s">
        <v>160</v>
      </c>
      <c r="H28" s="43" t="s">
        <v>161</v>
      </c>
    </row>
    <row r="29" spans="1:9" ht="20.100000000000001" customHeight="1">
      <c r="A29" s="44" t="s">
        <v>162</v>
      </c>
      <c r="B29" s="45"/>
      <c r="C29" s="45"/>
      <c r="D29" s="46">
        <f>B29-C29</f>
        <v>0</v>
      </c>
      <c r="E29" s="47" t="e">
        <f>D29/C29</f>
        <v>#DIV/0!</v>
      </c>
      <c r="F29" s="45"/>
      <c r="G29" s="211"/>
      <c r="H29" s="211"/>
    </row>
    <row r="30" spans="1:9" ht="20.100000000000001" customHeight="1">
      <c r="A30" s="44" t="s">
        <v>163</v>
      </c>
      <c r="B30" s="45"/>
      <c r="C30" s="45"/>
      <c r="D30" s="46">
        <f t="shared" ref="D30:D33" si="0">B30-C30</f>
        <v>0</v>
      </c>
      <c r="E30" s="47" t="e">
        <f t="shared" ref="E30:E39" si="1">D30/C30</f>
        <v>#DIV/0!</v>
      </c>
      <c r="F30" s="45"/>
      <c r="G30" s="211"/>
      <c r="H30" s="211"/>
    </row>
    <row r="31" spans="1:9" ht="20.100000000000001" customHeight="1">
      <c r="A31" s="44" t="s">
        <v>164</v>
      </c>
      <c r="B31" s="45"/>
      <c r="C31" s="45"/>
      <c r="D31" s="46">
        <f t="shared" si="0"/>
        <v>0</v>
      </c>
      <c r="E31" s="47" t="e">
        <f t="shared" si="1"/>
        <v>#DIV/0!</v>
      </c>
      <c r="F31" s="45"/>
      <c r="G31" s="211"/>
      <c r="H31" s="211"/>
    </row>
    <row r="32" spans="1:9" ht="20.100000000000001" customHeight="1">
      <c r="A32" s="44" t="s">
        <v>165</v>
      </c>
      <c r="B32" s="45"/>
      <c r="C32" s="45"/>
      <c r="D32" s="46">
        <f t="shared" si="0"/>
        <v>0</v>
      </c>
      <c r="E32" s="47" t="e">
        <f t="shared" si="1"/>
        <v>#DIV/0!</v>
      </c>
      <c r="F32" s="45"/>
      <c r="G32" s="211"/>
      <c r="H32" s="211"/>
    </row>
    <row r="33" spans="1:8" ht="20.100000000000001" customHeight="1">
      <c r="A33" s="44" t="s">
        <v>166</v>
      </c>
      <c r="B33" s="45"/>
      <c r="C33" s="45"/>
      <c r="D33" s="46">
        <f t="shared" si="0"/>
        <v>0</v>
      </c>
      <c r="E33" s="47" t="e">
        <f t="shared" si="1"/>
        <v>#DIV/0!</v>
      </c>
      <c r="F33" s="45"/>
      <c r="G33" s="211"/>
      <c r="H33" s="211"/>
    </row>
    <row r="34" spans="1:8" ht="20.100000000000001" customHeight="1">
      <c r="A34" s="44" t="s">
        <v>167</v>
      </c>
      <c r="B34" s="45"/>
      <c r="C34" s="45"/>
      <c r="D34" s="46">
        <f t="shared" ref="D34:D38" si="2">B34-C34</f>
        <v>0</v>
      </c>
      <c r="E34" s="47" t="e">
        <f t="shared" ref="E34:E38" si="3">D34/C34</f>
        <v>#DIV/0!</v>
      </c>
      <c r="F34" s="45"/>
      <c r="G34" s="211"/>
      <c r="H34" s="211"/>
    </row>
    <row r="35" spans="1:8" ht="20.100000000000001" customHeight="1">
      <c r="A35" s="44" t="s">
        <v>168</v>
      </c>
      <c r="B35" s="45"/>
      <c r="C35" s="45"/>
      <c r="D35" s="46">
        <f t="shared" si="2"/>
        <v>0</v>
      </c>
      <c r="E35" s="47" t="e">
        <f t="shared" si="3"/>
        <v>#DIV/0!</v>
      </c>
      <c r="F35" s="45"/>
      <c r="G35" s="211"/>
      <c r="H35" s="211"/>
    </row>
    <row r="36" spans="1:8" ht="20.100000000000001" customHeight="1">
      <c r="A36" s="44" t="s">
        <v>169</v>
      </c>
      <c r="B36" s="45"/>
      <c r="C36" s="45"/>
      <c r="D36" s="46">
        <f t="shared" si="2"/>
        <v>0</v>
      </c>
      <c r="E36" s="47" t="e">
        <f t="shared" si="3"/>
        <v>#DIV/0!</v>
      </c>
      <c r="F36" s="45"/>
      <c r="G36" s="211"/>
      <c r="H36" s="211"/>
    </row>
    <row r="37" spans="1:8" ht="20.100000000000001" customHeight="1">
      <c r="A37" s="44" t="s">
        <v>170</v>
      </c>
      <c r="B37" s="45"/>
      <c r="C37" s="45"/>
      <c r="D37" s="46">
        <f t="shared" si="2"/>
        <v>0</v>
      </c>
      <c r="E37" s="47" t="e">
        <f t="shared" si="3"/>
        <v>#DIV/0!</v>
      </c>
      <c r="F37" s="45"/>
      <c r="G37" s="211"/>
      <c r="H37" s="211"/>
    </row>
    <row r="38" spans="1:8" ht="20.100000000000001" customHeight="1">
      <c r="A38" s="44" t="s">
        <v>171</v>
      </c>
      <c r="B38" s="45"/>
      <c r="C38" s="45"/>
      <c r="D38" s="46">
        <f t="shared" si="2"/>
        <v>0</v>
      </c>
      <c r="E38" s="47" t="e">
        <f t="shared" si="3"/>
        <v>#DIV/0!</v>
      </c>
      <c r="F38" s="45"/>
      <c r="G38" s="211"/>
      <c r="H38" s="211"/>
    </row>
    <row r="39" spans="1:8" ht="20.100000000000001" customHeight="1">
      <c r="A39" s="42" t="s">
        <v>172</v>
      </c>
      <c r="B39" s="48">
        <f>SUM(B29:B38)</f>
        <v>0</v>
      </c>
      <c r="C39" s="48">
        <f t="shared" ref="C39:D39" si="4">SUM(C29:C38)</f>
        <v>0</v>
      </c>
      <c r="D39" s="48">
        <f t="shared" si="4"/>
        <v>0</v>
      </c>
      <c r="E39" s="49" t="e">
        <f t="shared" si="1"/>
        <v>#DIV/0!</v>
      </c>
      <c r="F39" s="50"/>
      <c r="G39" s="212"/>
      <c r="H39" s="48">
        <f t="shared" ref="H39" si="5">SUM(H29:H38)</f>
        <v>0</v>
      </c>
    </row>
    <row r="40" spans="1:8" ht="20.100000000000001" customHeight="1">
      <c r="A40" s="51" t="s">
        <v>201</v>
      </c>
      <c r="B40" s="52"/>
      <c r="C40" s="52"/>
      <c r="D40" s="52"/>
      <c r="E40" s="52"/>
      <c r="F40" s="52"/>
      <c r="G40" s="52"/>
      <c r="H40" s="52"/>
    </row>
    <row r="41" spans="1:8" ht="20.100000000000001" customHeight="1">
      <c r="A41" s="53" t="s">
        <v>159</v>
      </c>
      <c r="B41" s="42" t="s">
        <v>155</v>
      </c>
      <c r="C41" s="53" t="s">
        <v>173</v>
      </c>
      <c r="D41" s="42" t="s">
        <v>156</v>
      </c>
      <c r="E41" s="53" t="s">
        <v>173</v>
      </c>
      <c r="F41" s="42" t="s">
        <v>157</v>
      </c>
      <c r="G41" s="42" t="s">
        <v>158</v>
      </c>
      <c r="H41" s="42" t="s">
        <v>174</v>
      </c>
    </row>
    <row r="42" spans="1:8" ht="20.100000000000001" customHeight="1">
      <c r="A42" s="54" t="s">
        <v>175</v>
      </c>
      <c r="B42" s="55"/>
      <c r="C42" s="56" t="str">
        <f>IF($B$48=0,"",B42/$B$48)</f>
        <v/>
      </c>
      <c r="D42" s="55"/>
      <c r="E42" s="56" t="str">
        <f t="shared" ref="E42:E47" si="6">IF($D$48=0,"",D42/$D$48)</f>
        <v/>
      </c>
      <c r="F42" s="57">
        <f>B42-D42</f>
        <v>0</v>
      </c>
      <c r="G42" s="58" t="e">
        <f>F42/D42</f>
        <v>#DIV/0!</v>
      </c>
      <c r="H42" s="44"/>
    </row>
    <row r="43" spans="1:8" ht="20.100000000000001" customHeight="1">
      <c r="A43" s="54" t="s">
        <v>176</v>
      </c>
      <c r="B43" s="55"/>
      <c r="C43" s="56" t="str">
        <f t="shared" ref="C43:C48" si="7">IF($B$48=0,"",B43/$B$48)</f>
        <v/>
      </c>
      <c r="D43" s="55"/>
      <c r="E43" s="56" t="str">
        <f t="shared" si="6"/>
        <v/>
      </c>
      <c r="F43" s="57">
        <f t="shared" ref="F43:F47" si="8">B43-D43</f>
        <v>0</v>
      </c>
      <c r="G43" s="58" t="e">
        <f t="shared" ref="G43:G48" si="9">F43/D43</f>
        <v>#DIV/0!</v>
      </c>
      <c r="H43" s="44"/>
    </row>
    <row r="44" spans="1:8" ht="20.100000000000001" customHeight="1">
      <c r="A44" s="54" t="s">
        <v>177</v>
      </c>
      <c r="B44" s="45"/>
      <c r="C44" s="56" t="str">
        <f t="shared" si="7"/>
        <v/>
      </c>
      <c r="D44" s="45"/>
      <c r="E44" s="56" t="str">
        <f t="shared" si="6"/>
        <v/>
      </c>
      <c r="F44" s="57">
        <f t="shared" si="8"/>
        <v>0</v>
      </c>
      <c r="G44" s="58" t="e">
        <f t="shared" si="9"/>
        <v>#DIV/0!</v>
      </c>
      <c r="H44" s="44"/>
    </row>
    <row r="45" spans="1:8" ht="20.100000000000001" customHeight="1">
      <c r="A45" s="54" t="s">
        <v>178</v>
      </c>
      <c r="B45" s="45"/>
      <c r="C45" s="56" t="str">
        <f t="shared" si="7"/>
        <v/>
      </c>
      <c r="D45" s="45"/>
      <c r="E45" s="56" t="str">
        <f t="shared" si="6"/>
        <v/>
      </c>
      <c r="F45" s="57">
        <f t="shared" si="8"/>
        <v>0</v>
      </c>
      <c r="G45" s="58" t="e">
        <f t="shared" si="9"/>
        <v>#DIV/0!</v>
      </c>
      <c r="H45" s="44"/>
    </row>
    <row r="46" spans="1:8" ht="20.100000000000001" customHeight="1">
      <c r="A46" s="54" t="s">
        <v>179</v>
      </c>
      <c r="B46" s="45"/>
      <c r="C46" s="56" t="str">
        <f t="shared" si="7"/>
        <v/>
      </c>
      <c r="D46" s="45"/>
      <c r="E46" s="56" t="str">
        <f t="shared" si="6"/>
        <v/>
      </c>
      <c r="F46" s="57">
        <f t="shared" si="8"/>
        <v>0</v>
      </c>
      <c r="G46" s="58" t="e">
        <f t="shared" si="9"/>
        <v>#DIV/0!</v>
      </c>
      <c r="H46" s="44"/>
    </row>
    <row r="47" spans="1:8" ht="20.100000000000001" customHeight="1">
      <c r="A47" s="54" t="s">
        <v>180</v>
      </c>
      <c r="B47" s="45"/>
      <c r="C47" s="56" t="str">
        <f t="shared" si="7"/>
        <v/>
      </c>
      <c r="D47" s="45"/>
      <c r="E47" s="56" t="str">
        <f t="shared" si="6"/>
        <v/>
      </c>
      <c r="F47" s="57">
        <f t="shared" si="8"/>
        <v>0</v>
      </c>
      <c r="G47" s="58" t="e">
        <f t="shared" si="9"/>
        <v>#DIV/0!</v>
      </c>
      <c r="H47" s="44"/>
    </row>
    <row r="48" spans="1:8" ht="20.100000000000001" customHeight="1">
      <c r="A48" s="42" t="s">
        <v>172</v>
      </c>
      <c r="B48" s="59">
        <f t="shared" ref="B48:F48" si="10">SUM(B42:B47)</f>
        <v>0</v>
      </c>
      <c r="C48" s="56" t="str">
        <f t="shared" si="7"/>
        <v/>
      </c>
      <c r="D48" s="59">
        <f t="shared" si="10"/>
        <v>0</v>
      </c>
      <c r="E48" s="60">
        <f t="shared" si="10"/>
        <v>0</v>
      </c>
      <c r="F48" s="59">
        <f t="shared" si="10"/>
        <v>0</v>
      </c>
      <c r="G48" s="58" t="e">
        <f t="shared" si="9"/>
        <v>#DIV/0!</v>
      </c>
      <c r="H48" s="50"/>
    </row>
    <row r="49" spans="1:8" ht="20.100000000000001" customHeight="1">
      <c r="A49" s="61" t="s">
        <v>181</v>
      </c>
      <c r="B49" s="62"/>
      <c r="C49" s="62"/>
      <c r="D49" s="62"/>
      <c r="E49" s="62"/>
      <c r="F49" s="62"/>
      <c r="G49" s="62"/>
      <c r="H49" s="62"/>
    </row>
    <row r="50" spans="1:8" ht="20.100000000000001" customHeight="1">
      <c r="A50" s="63"/>
      <c r="B50" s="64"/>
      <c r="C50" s="64"/>
      <c r="D50" s="64"/>
      <c r="E50" s="64"/>
      <c r="F50" s="64"/>
      <c r="G50" s="64"/>
      <c r="H50" s="64"/>
    </row>
    <row r="51" spans="1:8" ht="20.100000000000001" customHeight="1">
      <c r="A51" s="63"/>
      <c r="B51" s="64"/>
      <c r="C51" s="64"/>
      <c r="D51" s="64"/>
      <c r="E51" s="64"/>
      <c r="F51" s="64"/>
      <c r="G51" s="64"/>
      <c r="H51" s="64"/>
    </row>
    <row r="52" spans="1:8" ht="20.100000000000001" customHeight="1">
      <c r="A52" s="65"/>
      <c r="B52" s="64"/>
      <c r="C52" s="64"/>
      <c r="D52" s="64"/>
      <c r="E52" s="64"/>
      <c r="F52" s="64"/>
      <c r="G52" s="64"/>
      <c r="H52" s="64"/>
    </row>
    <row r="53" spans="1:8" ht="20.100000000000001" customHeight="1">
      <c r="A53" s="63" t="s">
        <v>182</v>
      </c>
      <c r="B53" s="64"/>
      <c r="C53" s="64"/>
      <c r="D53" s="64"/>
      <c r="E53" s="64"/>
      <c r="F53" s="64"/>
      <c r="G53" s="64"/>
      <c r="H53" s="64"/>
    </row>
    <row r="54" spans="1:8" ht="20.100000000000001" customHeight="1">
      <c r="A54" s="64"/>
      <c r="B54" s="64"/>
      <c r="C54" s="64"/>
      <c r="D54" s="64"/>
      <c r="E54" s="64"/>
      <c r="F54" s="64"/>
      <c r="G54" s="64"/>
      <c r="H54" s="64"/>
    </row>
  </sheetData>
  <mergeCells count="4">
    <mergeCell ref="A1:H1"/>
    <mergeCell ref="A2:H2"/>
    <mergeCell ref="B19:D19"/>
    <mergeCell ref="B26:E26"/>
  </mergeCells>
  <phoneticPr fontId="126" type="noConversion"/>
  <hyperlinks>
    <hyperlink ref="H3" location="底稿目录!A1" display="D2-5"/>
  </hyperlinks>
  <pageMargins left="0.70833333333333304" right="0.70833333333333304" top="0.74791666666666701" bottom="0.74791666666666701" header="0.31458333333333299" footer="0.31458333333333299"/>
  <pageSetup paperSize="9" scale="64"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183</v>
      </c>
      <c r="B1" t="s">
        <v>184</v>
      </c>
    </row>
    <row r="2" spans="1:2">
      <c r="A2" t="s">
        <v>185</v>
      </c>
      <c r="B2" t="s">
        <v>186</v>
      </c>
    </row>
    <row r="3" spans="1:2">
      <c r="A3" t="s">
        <v>187</v>
      </c>
      <c r="B3" t="s">
        <v>188</v>
      </c>
    </row>
    <row r="4" spans="1:2">
      <c r="A4" t="s">
        <v>189</v>
      </c>
      <c r="B4" t="s">
        <v>190</v>
      </c>
    </row>
    <row r="5" spans="1:2">
      <c r="A5" t="s">
        <v>191</v>
      </c>
      <c r="B5" t="s">
        <v>192</v>
      </c>
    </row>
    <row r="6" spans="1:2">
      <c r="A6" t="s">
        <v>193</v>
      </c>
      <c r="B6" t="s">
        <v>194</v>
      </c>
    </row>
    <row r="7" spans="1:2">
      <c r="A7" t="s">
        <v>195</v>
      </c>
      <c r="B7" t="s">
        <v>196</v>
      </c>
    </row>
    <row r="8" spans="1:2">
      <c r="A8" t="s">
        <v>197</v>
      </c>
      <c r="B8" t="s">
        <v>198</v>
      </c>
    </row>
  </sheetData>
  <phoneticPr fontId="12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附注披露信息(上市公司）D2-1</vt:lpstr>
      <vt:lpstr>附注披露信息（国企）D2-1</vt:lpstr>
      <vt:lpstr>应收账款分析表D2-5</vt:lpstr>
      <vt:lpstr>GT_Custom</vt:lpstr>
      <vt:lpstr>'附注披露信息（国企）D2-1'!Print_Area</vt:lpstr>
      <vt:lpstr>'附注披露信息(上市公司）D2-1'!Print_Area</vt:lpstr>
      <vt:lpstr>'应收账款分析表D2-5'!Print_Area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2025-10-30T03:16:31Z</cp:lastPrinted>
  <dcterms:created xsi:type="dcterms:W3CDTF">2007-05-20T08:51:00Z</dcterms:created>
  <dcterms:modified xsi:type="dcterms:W3CDTF">2025-10-30T03:16:39Z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77970640B951414286F15899F65AFB0F_12</vt:lpwstr>
  </property>
  <property fmtid="{D5CDD505-2E9C-101B-9397-08002B2CF9AE}" pid="3" name="KSOProductBuildVer">
    <vt:lpwstr>2052-12.1.0.22529</vt:lpwstr>
  </property>
</Properties>
</file>