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D2应收账款\"/>
    </mc:Choice>
  </mc:AlternateContent>
  <bookViews>
    <workbookView xWindow="0" yWindow="0" windowWidth="22188" windowHeight="9180" tabRatio="770"/>
  </bookViews>
  <sheets>
    <sheet name="底稿目录" sheetId="1" r:id="rId1"/>
    <sheet name="应收账款实质性程序表D2A" sheetId="79" r:id="rId2"/>
    <sheet name="审定表D2-1" sheetId="29" r:id="rId3"/>
    <sheet name="附注披露信息(上市公司）D2-1" sheetId="41" state="hidden" r:id="rId4"/>
    <sheet name="附注披露信息（国企）D2-1" sheetId="40" state="hidden" r:id="rId5"/>
    <sheet name="附注披露信息(上市公司)" sheetId="82" r:id="rId6"/>
    <sheet name="附注披露信息(国企)" sheetId="83" r:id="rId7"/>
    <sheet name="明细表D2-2" sheetId="30" r:id="rId8"/>
    <sheet name="坏账准备明细表D2-3" sheetId="85" r:id="rId9"/>
    <sheet name="调整分录汇总表D2-4" sheetId="81" r:id="rId10"/>
    <sheet name="GT_Custom" sheetId="43" state="hidden" r:id="rId11"/>
  </sheets>
  <definedNames>
    <definedName name="_xlnm._FilterDatabase" localSheetId="7" hidden="1">'明细表D2-2'!$A$1:$AK$31</definedName>
    <definedName name="_xlnm._FilterDatabase" localSheetId="1" hidden="1">应收账款实质性程序表D2A!$A$15:$I$36</definedName>
    <definedName name="_jds82" localSheetId="5">'附注披露信息(上市公司)'!$A$7</definedName>
    <definedName name="_jds83" localSheetId="5">'附注披露信息(上市公司)'!$A$22</definedName>
    <definedName name="_jds85" localSheetId="5">'附注披露信息(上市公司)'!$A$66</definedName>
    <definedName name="_jds86" localSheetId="5">'附注披露信息(上市公司)'!$A$76</definedName>
    <definedName name="_jds87" localSheetId="5">'附注披露信息(上市公司)'!$A$86</definedName>
    <definedName name="_jds88" localSheetId="5">'附注披露信息(上市公司)'!$A$96</definedName>
    <definedName name="_jds89" localSheetId="5">'附注披露信息(上市公司)'!$A$106</definedName>
    <definedName name="_jds91" localSheetId="5">'附注披露信息(上市公司)'!$A$116</definedName>
    <definedName name="_jds92" localSheetId="5">'附注披露信息(上市公司)'!$A$125</definedName>
    <definedName name="_jds93" localSheetId="5">'附注披露信息(上市公司)'!$A$137</definedName>
    <definedName name="_jds94" localSheetId="5">'附注披露信息(上市公司)'!$A$140</definedName>
    <definedName name="_jds95" localSheetId="5">'附注披露信息(上市公司)'!$A$153</definedName>
    <definedName name="_jds96" localSheetId="5">'附注披露信息(上市公司)'!$A$162</definedName>
    <definedName name="_jds97" localSheetId="5">'附注披露信息(上市公司)'!$A$174</definedName>
    <definedName name="_jds98" localSheetId="5">'附注披露信息(上市公司)'!$A$51</definedName>
    <definedName name="_Ref82415221" localSheetId="5">'附注披露信息(上市公司)'!$A$21</definedName>
    <definedName name="_Ref82415222" localSheetId="5">'附注披露信息(上市公司)'!$A$115</definedName>
    <definedName name="_xlnm.Print_Area" localSheetId="9">'调整分录汇总表D2-4'!$A$1:$J$20</definedName>
    <definedName name="_xlnm.Print_Area" localSheetId="6">'附注披露信息(国企)'!$A$1:$K$138</definedName>
    <definedName name="_xlnm.Print_Area" localSheetId="4">'附注披露信息（国企）D2-1'!$A$1:$G$102</definedName>
    <definedName name="_xlnm.Print_Area" localSheetId="5">'附注披露信息(上市公司)'!$A$1:$I$181</definedName>
    <definedName name="_xlnm.Print_Area" localSheetId="3">'附注披露信息(上市公司）D2-1'!$A$1:$F$134</definedName>
    <definedName name="_xlnm.Print_Area" localSheetId="8">'坏账准备明细表D2-3'!$A$1:$N$28</definedName>
    <definedName name="_xlnm.Print_Area" localSheetId="7">'明细表D2-2'!$A$1:$AM$34</definedName>
    <definedName name="_xlnm.Print_Area" localSheetId="2">'审定表D2-1'!$A$1:$L$59</definedName>
    <definedName name="_xlnm.Print_Area" localSheetId="1">应收账款实质性程序表D2A!$A$1:$I$36</definedName>
    <definedName name="_xlnm.Print_Titles" localSheetId="7">'明细表D2-2'!$2:$6</definedName>
    <definedName name="_xlnm.Print_Titles" localSheetId="2">'审定表D2-1'!$2:$6</definedName>
    <definedName name="_xlnm.Print_Titles" localSheetId="1">应收账款实质性程序表D2A!$15:$16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6" i="30" l="1"/>
  <c r="S14" i="30"/>
  <c r="S15" i="30"/>
  <c r="S16" i="30"/>
  <c r="S17" i="30"/>
  <c r="S18" i="30"/>
  <c r="S19" i="30"/>
  <c r="S20" i="30"/>
  <c r="S21" i="30"/>
  <c r="S22" i="30"/>
  <c r="S23" i="30"/>
  <c r="S24" i="30"/>
  <c r="S25" i="30"/>
  <c r="S13" i="30"/>
  <c r="Q26" i="30"/>
  <c r="R26" i="30"/>
  <c r="Q14" i="30"/>
  <c r="Q15" i="30"/>
  <c r="Q16" i="30"/>
  <c r="Q17" i="30"/>
  <c r="Q18" i="30"/>
  <c r="Q19" i="30"/>
  <c r="Q20" i="30"/>
  <c r="Q21" i="30"/>
  <c r="Q22" i="30"/>
  <c r="Q23" i="30"/>
  <c r="Q24" i="30"/>
  <c r="Q25" i="30"/>
  <c r="Q13" i="30"/>
  <c r="AH28" i="30" l="1"/>
  <c r="AG28" i="30"/>
  <c r="G4" i="81" l="1"/>
  <c r="D4" i="81"/>
  <c r="A4" i="81"/>
  <c r="G3" i="81"/>
  <c r="D3" i="81"/>
  <c r="A3" i="81"/>
  <c r="K21" i="85"/>
  <c r="N21" i="85" s="1"/>
  <c r="E21" i="85"/>
  <c r="K20" i="85"/>
  <c r="N20" i="85" s="1"/>
  <c r="E20" i="85"/>
  <c r="K19" i="85"/>
  <c r="N19" i="85" s="1"/>
  <c r="E19" i="85"/>
  <c r="K18" i="85"/>
  <c r="K17" i="85" s="1"/>
  <c r="E18" i="85"/>
  <c r="E17" i="85" s="1"/>
  <c r="M17" i="85"/>
  <c r="L17" i="85"/>
  <c r="J17" i="85"/>
  <c r="I17" i="85"/>
  <c r="H17" i="85"/>
  <c r="G17" i="85"/>
  <c r="F17" i="85"/>
  <c r="D17" i="85"/>
  <c r="C17" i="85"/>
  <c r="B17" i="85"/>
  <c r="K16" i="85"/>
  <c r="N16" i="85" s="1"/>
  <c r="E16" i="85"/>
  <c r="K15" i="85"/>
  <c r="N15" i="85" s="1"/>
  <c r="E15" i="85"/>
  <c r="K14" i="85"/>
  <c r="N14" i="85" s="1"/>
  <c r="E14" i="85"/>
  <c r="K13" i="85"/>
  <c r="K12" i="85" s="1"/>
  <c r="K22" i="85" s="1"/>
  <c r="E13" i="85"/>
  <c r="E12" i="85" s="1"/>
  <c r="M12" i="85"/>
  <c r="M22" i="85" s="1"/>
  <c r="L12" i="85"/>
  <c r="L22" i="85" s="1"/>
  <c r="J12" i="85"/>
  <c r="J22" i="85" s="1"/>
  <c r="I12" i="85"/>
  <c r="I22" i="85" s="1"/>
  <c r="H12" i="85"/>
  <c r="H22" i="85" s="1"/>
  <c r="G12" i="85"/>
  <c r="G22" i="85" s="1"/>
  <c r="F12" i="85"/>
  <c r="F22" i="85" s="1"/>
  <c r="D12" i="85"/>
  <c r="D22" i="85" s="1"/>
  <c r="C12" i="85"/>
  <c r="C22" i="85" s="1"/>
  <c r="B12" i="85"/>
  <c r="B22" i="85" s="1"/>
  <c r="I4" i="85"/>
  <c r="E4" i="85"/>
  <c r="A4" i="85"/>
  <c r="I3" i="85"/>
  <c r="E3" i="85"/>
  <c r="A3" i="85"/>
  <c r="AF28" i="30"/>
  <c r="AE28" i="30"/>
  <c r="AD28" i="30"/>
  <c r="X27" i="30"/>
  <c r="N27" i="30"/>
  <c r="M27" i="30"/>
  <c r="L27" i="30"/>
  <c r="K27" i="30"/>
  <c r="J27" i="30"/>
  <c r="I27" i="30"/>
  <c r="H27" i="30"/>
  <c r="AH26" i="30"/>
  <c r="AG26" i="30"/>
  <c r="AF26" i="30"/>
  <c r="AE26" i="30"/>
  <c r="AD26" i="30"/>
  <c r="AC26" i="30"/>
  <c r="AA26" i="30"/>
  <c r="Z26" i="30"/>
  <c r="Y26" i="30"/>
  <c r="X26" i="30"/>
  <c r="W26" i="30"/>
  <c r="V26" i="30"/>
  <c r="U26" i="30"/>
  <c r="T26" i="30"/>
  <c r="V27" i="30"/>
  <c r="P26" i="30"/>
  <c r="O26" i="30"/>
  <c r="N26" i="30"/>
  <c r="M26" i="30"/>
  <c r="L26" i="30"/>
  <c r="K26" i="30"/>
  <c r="J26" i="30"/>
  <c r="I26" i="30"/>
  <c r="H26" i="30"/>
  <c r="G26" i="30"/>
  <c r="F26" i="30"/>
  <c r="E26" i="30"/>
  <c r="AB25" i="30"/>
  <c r="AB24" i="30"/>
  <c r="AB23" i="30"/>
  <c r="AB22" i="30"/>
  <c r="AB21" i="30"/>
  <c r="AB20" i="30"/>
  <c r="AB19" i="30"/>
  <c r="AB18" i="30"/>
  <c r="AB17" i="30"/>
  <c r="AB16" i="30"/>
  <c r="AB15" i="30"/>
  <c r="AB14" i="30"/>
  <c r="AB13" i="30"/>
  <c r="AB26" i="30" s="1"/>
  <c r="AG4" i="30"/>
  <c r="AB4" i="30"/>
  <c r="T4" i="30"/>
  <c r="J4" i="30"/>
  <c r="F4" i="30"/>
  <c r="A4" i="30"/>
  <c r="AG3" i="30"/>
  <c r="AB3" i="30"/>
  <c r="T3" i="30"/>
  <c r="J3" i="30"/>
  <c r="F3" i="30"/>
  <c r="A3" i="30"/>
  <c r="B136" i="83"/>
  <c r="B133" i="83"/>
  <c r="C124" i="83"/>
  <c r="B124" i="83"/>
  <c r="D118" i="83"/>
  <c r="C118" i="83"/>
  <c r="B118" i="83"/>
  <c r="C104" i="83"/>
  <c r="B104" i="83"/>
  <c r="F99" i="83"/>
  <c r="E99" i="83"/>
  <c r="D99" i="83"/>
  <c r="C99" i="83"/>
  <c r="B99" i="83"/>
  <c r="F98" i="83"/>
  <c r="F97" i="83"/>
  <c r="F96" i="83"/>
  <c r="G90" i="83"/>
  <c r="F90" i="83"/>
  <c r="E90" i="83"/>
  <c r="D90" i="83"/>
  <c r="C90" i="83"/>
  <c r="B90" i="83"/>
  <c r="D79" i="83"/>
  <c r="B79" i="83"/>
  <c r="C78" i="83"/>
  <c r="C77" i="83"/>
  <c r="C76" i="83"/>
  <c r="C75" i="83"/>
  <c r="C74" i="83"/>
  <c r="C73" i="83"/>
  <c r="B45" i="83"/>
  <c r="C33" i="83"/>
  <c r="B33" i="83"/>
  <c r="K28" i="83"/>
  <c r="J28" i="83"/>
  <c r="I28" i="83"/>
  <c r="H28" i="83"/>
  <c r="G28" i="83"/>
  <c r="F28" i="83"/>
  <c r="E28" i="83"/>
  <c r="D28" i="83"/>
  <c r="C28" i="83"/>
  <c r="B28" i="83"/>
  <c r="K27" i="83"/>
  <c r="J27" i="83"/>
  <c r="H27" i="83"/>
  <c r="F27" i="83"/>
  <c r="E27" i="83"/>
  <c r="C27" i="83"/>
  <c r="A27" i="83"/>
  <c r="K26" i="83"/>
  <c r="J26" i="83"/>
  <c r="H26" i="83"/>
  <c r="F26" i="83"/>
  <c r="E26" i="83"/>
  <c r="C26" i="83"/>
  <c r="A26" i="83"/>
  <c r="K25" i="83"/>
  <c r="J25" i="83"/>
  <c r="H25" i="83"/>
  <c r="F25" i="83"/>
  <c r="E25" i="83"/>
  <c r="C25" i="83"/>
  <c r="A25" i="83"/>
  <c r="K24" i="83"/>
  <c r="J24" i="83"/>
  <c r="H24" i="83"/>
  <c r="F24" i="83"/>
  <c r="E24" i="83"/>
  <c r="C24" i="83"/>
  <c r="A24" i="83"/>
  <c r="K23" i="83"/>
  <c r="J23" i="83"/>
  <c r="H23" i="83"/>
  <c r="F23" i="83"/>
  <c r="E23" i="83"/>
  <c r="C23" i="83"/>
  <c r="A23" i="83"/>
  <c r="K21" i="83"/>
  <c r="J21" i="83"/>
  <c r="H21" i="83"/>
  <c r="F21" i="83"/>
  <c r="E21" i="83"/>
  <c r="C21" i="83"/>
  <c r="K20" i="83"/>
  <c r="J20" i="83"/>
  <c r="H20" i="83"/>
  <c r="F20" i="83"/>
  <c r="E20" i="83"/>
  <c r="C20" i="83"/>
  <c r="C12" i="83"/>
  <c r="B12" i="83"/>
  <c r="C11" i="83"/>
  <c r="B11" i="83"/>
  <c r="C10" i="83"/>
  <c r="B10" i="83"/>
  <c r="C9" i="83"/>
  <c r="B9" i="83"/>
  <c r="C8" i="83"/>
  <c r="B8" i="83"/>
  <c r="C7" i="83"/>
  <c r="B7" i="83"/>
  <c r="E4" i="83"/>
  <c r="C4" i="83"/>
  <c r="A4" i="83"/>
  <c r="E3" i="83"/>
  <c r="C3" i="83"/>
  <c r="A3" i="83"/>
  <c r="D166" i="82"/>
  <c r="C166" i="82"/>
  <c r="F159" i="82"/>
  <c r="B159" i="82"/>
  <c r="C144" i="82"/>
  <c r="B138" i="82"/>
  <c r="B123" i="82"/>
  <c r="B117" i="82"/>
  <c r="G114" i="82"/>
  <c r="F114" i="82"/>
  <c r="E114" i="82"/>
  <c r="D114" i="82"/>
  <c r="G113" i="82"/>
  <c r="D113" i="82"/>
  <c r="G112" i="82"/>
  <c r="D112" i="82"/>
  <c r="G109" i="82"/>
  <c r="D109" i="82"/>
  <c r="G108" i="82"/>
  <c r="D108" i="82"/>
  <c r="G104" i="82"/>
  <c r="F104" i="82"/>
  <c r="E104" i="82"/>
  <c r="D104" i="82"/>
  <c r="G103" i="82"/>
  <c r="D103" i="82"/>
  <c r="G102" i="82"/>
  <c r="D102" i="82"/>
  <c r="G99" i="82"/>
  <c r="D99" i="82"/>
  <c r="G98" i="82"/>
  <c r="D98" i="82"/>
  <c r="G94" i="82"/>
  <c r="F94" i="82"/>
  <c r="E94" i="82"/>
  <c r="D94" i="82"/>
  <c r="G93" i="82"/>
  <c r="D93" i="82"/>
  <c r="G92" i="82"/>
  <c r="D92" i="82"/>
  <c r="G90" i="82"/>
  <c r="D90" i="82"/>
  <c r="G88" i="82"/>
  <c r="D88" i="82"/>
  <c r="G84" i="82"/>
  <c r="F84" i="82"/>
  <c r="E84" i="82"/>
  <c r="D84" i="82"/>
  <c r="G83" i="82"/>
  <c r="D83" i="82"/>
  <c r="G82" i="82"/>
  <c r="D82" i="82"/>
  <c r="G79" i="82"/>
  <c r="D79" i="82"/>
  <c r="G78" i="82"/>
  <c r="D78" i="82"/>
  <c r="G74" i="82"/>
  <c r="F74" i="82"/>
  <c r="E74" i="82"/>
  <c r="D74" i="82"/>
  <c r="G73" i="82"/>
  <c r="D73" i="82"/>
  <c r="G72" i="82"/>
  <c r="D72" i="82"/>
  <c r="G69" i="82"/>
  <c r="D69" i="82"/>
  <c r="G68" i="82"/>
  <c r="D68" i="82"/>
  <c r="D63" i="82"/>
  <c r="C63" i="82"/>
  <c r="B63" i="82"/>
  <c r="D62" i="82"/>
  <c r="D61" i="82"/>
  <c r="D60" i="82"/>
  <c r="D56" i="82"/>
  <c r="C56" i="82"/>
  <c r="B56" i="82"/>
  <c r="D55" i="82"/>
  <c r="D54" i="82"/>
  <c r="D53" i="82"/>
  <c r="F49" i="82"/>
  <c r="E49" i="82"/>
  <c r="D49" i="82"/>
  <c r="B49" i="82"/>
  <c r="F48" i="82"/>
  <c r="E48" i="82"/>
  <c r="C48" i="82"/>
  <c r="F47" i="82"/>
  <c r="E47" i="82"/>
  <c r="C47" i="82"/>
  <c r="F46" i="82"/>
  <c r="E46" i="82"/>
  <c r="C46" i="82"/>
  <c r="F45" i="82"/>
  <c r="E45" i="82"/>
  <c r="C45" i="82"/>
  <c r="F44" i="82"/>
  <c r="E44" i="82"/>
  <c r="C44" i="82"/>
  <c r="F43" i="82"/>
  <c r="E43" i="82"/>
  <c r="C43" i="82"/>
  <c r="F42" i="82"/>
  <c r="E42" i="82"/>
  <c r="C42" i="82"/>
  <c r="F41" i="82"/>
  <c r="E41" i="82"/>
  <c r="C41" i="82"/>
  <c r="F36" i="82"/>
  <c r="E36" i="82"/>
  <c r="D36" i="82"/>
  <c r="B36" i="82"/>
  <c r="F35" i="82"/>
  <c r="E35" i="82"/>
  <c r="C35" i="82"/>
  <c r="C34" i="82"/>
  <c r="C33" i="82"/>
  <c r="C32" i="82"/>
  <c r="F31" i="82"/>
  <c r="E31" i="82"/>
  <c r="C31" i="82"/>
  <c r="F30" i="82"/>
  <c r="F29" i="82"/>
  <c r="E29" i="82"/>
  <c r="C29" i="82"/>
  <c r="F28" i="82"/>
  <c r="E28" i="82"/>
  <c r="C28" i="82"/>
  <c r="F27" i="82"/>
  <c r="E27" i="82"/>
  <c r="C27" i="82"/>
  <c r="F25" i="82"/>
  <c r="E25" i="82"/>
  <c r="C25" i="82"/>
  <c r="C17" i="82"/>
  <c r="B17" i="82"/>
  <c r="C16" i="82"/>
  <c r="B16" i="82"/>
  <c r="C15" i="82"/>
  <c r="B15" i="82"/>
  <c r="C14" i="82"/>
  <c r="B14" i="82"/>
  <c r="C13" i="82"/>
  <c r="B13" i="82"/>
  <c r="C12" i="82"/>
  <c r="B12" i="82"/>
  <c r="C8" i="82"/>
  <c r="B8" i="82"/>
  <c r="E4" i="82"/>
  <c r="C4" i="82"/>
  <c r="A4" i="82"/>
  <c r="E3" i="82"/>
  <c r="C3" i="82"/>
  <c r="A3" i="82"/>
  <c r="B101" i="40"/>
  <c r="B98" i="40"/>
  <c r="C93" i="40"/>
  <c r="B93" i="40"/>
  <c r="C91" i="40"/>
  <c r="B91" i="40"/>
  <c r="A91" i="40"/>
  <c r="C90" i="40"/>
  <c r="B90" i="40"/>
  <c r="A90" i="40"/>
  <c r="C87" i="40"/>
  <c r="E86" i="40"/>
  <c r="D86" i="40"/>
  <c r="C86" i="40"/>
  <c r="B86" i="40"/>
  <c r="A86" i="40"/>
  <c r="E85" i="40"/>
  <c r="D85" i="40"/>
  <c r="C85" i="40"/>
  <c r="B85" i="40"/>
  <c r="A85" i="40"/>
  <c r="E84" i="40"/>
  <c r="D84" i="40"/>
  <c r="C84" i="40"/>
  <c r="B84" i="40"/>
  <c r="A84" i="40"/>
  <c r="E80" i="40"/>
  <c r="D80" i="40"/>
  <c r="E79" i="40"/>
  <c r="D79" i="40"/>
  <c r="C79" i="40"/>
  <c r="B79" i="40"/>
  <c r="A79" i="40"/>
  <c r="E78" i="40"/>
  <c r="D78" i="40"/>
  <c r="C78" i="40"/>
  <c r="B78" i="40"/>
  <c r="A78" i="40"/>
  <c r="E77" i="40"/>
  <c r="D77" i="40"/>
  <c r="C77" i="40"/>
  <c r="B77" i="40"/>
  <c r="A77" i="40"/>
  <c r="C74" i="40"/>
  <c r="B74" i="40"/>
  <c r="E73" i="40"/>
  <c r="E72" i="40"/>
  <c r="E71" i="40"/>
  <c r="E70" i="40"/>
  <c r="E69" i="40"/>
  <c r="G65" i="40"/>
  <c r="F65" i="40"/>
  <c r="E65" i="40"/>
  <c r="D65" i="40"/>
  <c r="C65" i="40"/>
  <c r="B65" i="40"/>
  <c r="F64" i="40"/>
  <c r="C64" i="40"/>
  <c r="F63" i="40"/>
  <c r="C63" i="40"/>
  <c r="F62" i="40"/>
  <c r="C62" i="40"/>
  <c r="G57" i="40"/>
  <c r="F57" i="40"/>
  <c r="E57" i="40"/>
  <c r="D57" i="40"/>
  <c r="C57" i="40"/>
  <c r="B57" i="40"/>
  <c r="F56" i="40"/>
  <c r="C56" i="40"/>
  <c r="F55" i="40"/>
  <c r="C55" i="40"/>
  <c r="F54" i="40"/>
  <c r="C54" i="40"/>
  <c r="G49" i="40"/>
  <c r="F49" i="40"/>
  <c r="E49" i="40"/>
  <c r="D49" i="40"/>
  <c r="C49" i="40"/>
  <c r="B49" i="40"/>
  <c r="F48" i="40"/>
  <c r="C48" i="40"/>
  <c r="F47" i="40"/>
  <c r="C47" i="40"/>
  <c r="F46" i="40"/>
  <c r="C46" i="40"/>
  <c r="G41" i="40"/>
  <c r="F41" i="40"/>
  <c r="E41" i="40"/>
  <c r="D41" i="40"/>
  <c r="C41" i="40"/>
  <c r="B41" i="40"/>
  <c r="F40" i="40"/>
  <c r="D40" i="40"/>
  <c r="C40" i="40"/>
  <c r="B40" i="40"/>
  <c r="A40" i="40"/>
  <c r="F39" i="40"/>
  <c r="D39" i="40"/>
  <c r="C39" i="40"/>
  <c r="B39" i="40"/>
  <c r="A39" i="40"/>
  <c r="F38" i="40"/>
  <c r="D38" i="40"/>
  <c r="C38" i="40"/>
  <c r="B38" i="40"/>
  <c r="A38" i="40"/>
  <c r="F37" i="40"/>
  <c r="D37" i="40"/>
  <c r="C37" i="40"/>
  <c r="B37" i="40"/>
  <c r="A37" i="40"/>
  <c r="F36" i="40"/>
  <c r="D36" i="40"/>
  <c r="C36" i="40"/>
  <c r="B36" i="40"/>
  <c r="A36" i="40"/>
  <c r="F35" i="40"/>
  <c r="D35" i="40"/>
  <c r="C35" i="40"/>
  <c r="B35" i="40"/>
  <c r="A35" i="40"/>
  <c r="E28" i="40"/>
  <c r="D28" i="40"/>
  <c r="C28" i="40"/>
  <c r="B28" i="40"/>
  <c r="E27" i="40"/>
  <c r="D27" i="40"/>
  <c r="C27" i="40"/>
  <c r="B27" i="40"/>
  <c r="E26" i="40"/>
  <c r="C26" i="40"/>
  <c r="E25" i="40"/>
  <c r="C25" i="40"/>
  <c r="E24" i="40"/>
  <c r="C24" i="40"/>
  <c r="E23" i="40"/>
  <c r="C23" i="40"/>
  <c r="E21" i="40"/>
  <c r="C21" i="40"/>
  <c r="E17" i="40"/>
  <c r="D17" i="40"/>
  <c r="C17" i="40"/>
  <c r="B17" i="40"/>
  <c r="E16" i="40"/>
  <c r="D16" i="40"/>
  <c r="C16" i="40"/>
  <c r="B16" i="40"/>
  <c r="E15" i="40"/>
  <c r="C15" i="40"/>
  <c r="E14" i="40"/>
  <c r="C14" i="40"/>
  <c r="E13" i="40"/>
  <c r="D13" i="40"/>
  <c r="C13" i="40"/>
  <c r="B13" i="40"/>
  <c r="E12" i="40"/>
  <c r="D12" i="40"/>
  <c r="C12" i="40"/>
  <c r="B12" i="40"/>
  <c r="E10" i="40"/>
  <c r="D10" i="40"/>
  <c r="C10" i="40"/>
  <c r="B10" i="40"/>
  <c r="E4" i="40"/>
  <c r="C4" i="40"/>
  <c r="A4" i="40"/>
  <c r="E3" i="40"/>
  <c r="C3" i="40"/>
  <c r="A3" i="40"/>
  <c r="B133" i="41"/>
  <c r="B129" i="41"/>
  <c r="D122" i="41"/>
  <c r="C122" i="41"/>
  <c r="F114" i="41"/>
  <c r="C114" i="41"/>
  <c r="F113" i="41"/>
  <c r="D113" i="41"/>
  <c r="C113" i="41"/>
  <c r="B113" i="41"/>
  <c r="A113" i="41"/>
  <c r="F112" i="41"/>
  <c r="D112" i="41"/>
  <c r="C112" i="41"/>
  <c r="B112" i="41"/>
  <c r="A112" i="41"/>
  <c r="F111" i="41"/>
  <c r="D111" i="41"/>
  <c r="C111" i="41"/>
  <c r="B111" i="41"/>
  <c r="A111" i="41"/>
  <c r="F110" i="41"/>
  <c r="D110" i="41"/>
  <c r="C110" i="41"/>
  <c r="B110" i="41"/>
  <c r="A110" i="41"/>
  <c r="F109" i="41"/>
  <c r="D109" i="41"/>
  <c r="C109" i="41"/>
  <c r="B109" i="41"/>
  <c r="A109" i="41"/>
  <c r="C104" i="41"/>
  <c r="B98" i="41"/>
  <c r="E94" i="41"/>
  <c r="B86" i="41"/>
  <c r="D76" i="41"/>
  <c r="C76" i="41"/>
  <c r="B76" i="41"/>
  <c r="D75" i="41"/>
  <c r="D74" i="41"/>
  <c r="D73" i="41"/>
  <c r="D70" i="41"/>
  <c r="C70" i="41"/>
  <c r="B70" i="41"/>
  <c r="D69" i="41"/>
  <c r="D68" i="41"/>
  <c r="D67" i="41"/>
  <c r="D64" i="41"/>
  <c r="C64" i="41"/>
  <c r="B64" i="41"/>
  <c r="D63" i="41"/>
  <c r="D62" i="41"/>
  <c r="D61" i="41"/>
  <c r="F58" i="41"/>
  <c r="E58" i="41"/>
  <c r="D58" i="41"/>
  <c r="C58" i="41"/>
  <c r="B58" i="41"/>
  <c r="F57" i="41"/>
  <c r="E57" i="41"/>
  <c r="C57" i="41"/>
  <c r="E56" i="41"/>
  <c r="C56" i="41"/>
  <c r="F55" i="41"/>
  <c r="E55" i="41"/>
  <c r="C55" i="41"/>
  <c r="F54" i="41"/>
  <c r="E54" i="41"/>
  <c r="C54" i="41"/>
  <c r="F53" i="41"/>
  <c r="E53" i="41"/>
  <c r="C53" i="41"/>
  <c r="F52" i="41"/>
  <c r="E52" i="41"/>
  <c r="C52" i="41"/>
  <c r="F48" i="41"/>
  <c r="E48" i="41"/>
  <c r="D48" i="41"/>
  <c r="C48" i="41"/>
  <c r="B48" i="41"/>
  <c r="F47" i="41"/>
  <c r="E47" i="41"/>
  <c r="D47" i="41"/>
  <c r="C47" i="41"/>
  <c r="B47" i="41"/>
  <c r="A47" i="41"/>
  <c r="E46" i="41"/>
  <c r="D46" i="41"/>
  <c r="C46" i="41"/>
  <c r="B46" i="41"/>
  <c r="A46" i="41"/>
  <c r="F45" i="41"/>
  <c r="E45" i="41"/>
  <c r="D45" i="41"/>
  <c r="C45" i="41"/>
  <c r="B45" i="41"/>
  <c r="A45" i="41"/>
  <c r="F44" i="41"/>
  <c r="E44" i="41"/>
  <c r="D44" i="41"/>
  <c r="C44" i="41"/>
  <c r="B44" i="41"/>
  <c r="A44" i="41"/>
  <c r="F43" i="41"/>
  <c r="E43" i="41"/>
  <c r="D43" i="41"/>
  <c r="C43" i="41"/>
  <c r="B43" i="41"/>
  <c r="A43" i="41"/>
  <c r="F42" i="41"/>
  <c r="E42" i="41"/>
  <c r="D42" i="41"/>
  <c r="C42" i="41"/>
  <c r="B42" i="41"/>
  <c r="A42" i="41"/>
  <c r="D38" i="41"/>
  <c r="C38" i="41"/>
  <c r="B38" i="41"/>
  <c r="D37" i="41"/>
  <c r="D36" i="41"/>
  <c r="D35" i="41"/>
  <c r="D34" i="41"/>
  <c r="D33" i="41"/>
  <c r="F28" i="41"/>
  <c r="E28" i="41"/>
  <c r="D28" i="41"/>
  <c r="C28" i="41"/>
  <c r="B28" i="41"/>
  <c r="F27" i="41"/>
  <c r="E27" i="41"/>
  <c r="D27" i="41"/>
  <c r="C27" i="41"/>
  <c r="B27" i="41"/>
  <c r="F26" i="41"/>
  <c r="E26" i="41"/>
  <c r="C26" i="41"/>
  <c r="F25" i="41"/>
  <c r="E25" i="41"/>
  <c r="C25" i="41"/>
  <c r="F24" i="41"/>
  <c r="E24" i="41"/>
  <c r="C24" i="41"/>
  <c r="F23" i="41"/>
  <c r="E23" i="41"/>
  <c r="C23" i="41"/>
  <c r="F21" i="41"/>
  <c r="E21" i="41"/>
  <c r="C21" i="41"/>
  <c r="F17" i="41"/>
  <c r="E17" i="41"/>
  <c r="D17" i="41"/>
  <c r="C17" i="41"/>
  <c r="B17" i="41"/>
  <c r="F16" i="41"/>
  <c r="E16" i="41"/>
  <c r="D16" i="41"/>
  <c r="C16" i="41"/>
  <c r="B16" i="41"/>
  <c r="F15" i="41"/>
  <c r="E15" i="41"/>
  <c r="C15" i="41"/>
  <c r="F14" i="41"/>
  <c r="E14" i="41"/>
  <c r="C14" i="41"/>
  <c r="F13" i="41"/>
  <c r="E13" i="41"/>
  <c r="D13" i="41"/>
  <c r="C13" i="41"/>
  <c r="B13" i="41"/>
  <c r="F12" i="41"/>
  <c r="E12" i="41"/>
  <c r="D12" i="41"/>
  <c r="C12" i="41"/>
  <c r="B12" i="41"/>
  <c r="F10" i="41"/>
  <c r="E10" i="41"/>
  <c r="D10" i="41"/>
  <c r="C10" i="41"/>
  <c r="B10" i="41"/>
  <c r="E4" i="41"/>
  <c r="C4" i="41"/>
  <c r="A4" i="41"/>
  <c r="E3" i="41"/>
  <c r="C3" i="41"/>
  <c r="A3" i="41"/>
  <c r="E53" i="29"/>
  <c r="K51" i="29"/>
  <c r="J51" i="29"/>
  <c r="I51" i="29"/>
  <c r="H51" i="29"/>
  <c r="G51" i="29"/>
  <c r="F51" i="29"/>
  <c r="E51" i="29"/>
  <c r="D51" i="29"/>
  <c r="C51" i="29"/>
  <c r="B51" i="29"/>
  <c r="K50" i="29"/>
  <c r="J50" i="29"/>
  <c r="I50" i="29"/>
  <c r="H50" i="29"/>
  <c r="G50" i="29"/>
  <c r="F50" i="29"/>
  <c r="E50" i="29"/>
  <c r="D50" i="29"/>
  <c r="C50" i="29"/>
  <c r="B50" i="29"/>
  <c r="A50" i="29"/>
  <c r="K49" i="29"/>
  <c r="J49" i="29"/>
  <c r="I49" i="29"/>
  <c r="H49" i="29"/>
  <c r="G49" i="29"/>
  <c r="F49" i="29"/>
  <c r="E49" i="29"/>
  <c r="D49" i="29"/>
  <c r="C49" i="29"/>
  <c r="B49" i="29"/>
  <c r="A49" i="29"/>
  <c r="K48" i="29"/>
  <c r="J48" i="29"/>
  <c r="I48" i="29"/>
  <c r="H48" i="29"/>
  <c r="G48" i="29"/>
  <c r="F48" i="29"/>
  <c r="E48" i="29"/>
  <c r="D48" i="29"/>
  <c r="C48" i="29"/>
  <c r="B48" i="29"/>
  <c r="A48" i="29"/>
  <c r="K47" i="29"/>
  <c r="J47" i="29"/>
  <c r="I47" i="29"/>
  <c r="H47" i="29"/>
  <c r="G47" i="29"/>
  <c r="F47" i="29"/>
  <c r="E47" i="29"/>
  <c r="D47" i="29"/>
  <c r="C47" i="29"/>
  <c r="B47" i="29"/>
  <c r="A47" i="29"/>
  <c r="K46" i="29"/>
  <c r="J46" i="29"/>
  <c r="I46" i="29"/>
  <c r="H46" i="29"/>
  <c r="G46" i="29"/>
  <c r="F46" i="29"/>
  <c r="E46" i="29"/>
  <c r="D46" i="29"/>
  <c r="C46" i="29"/>
  <c r="B46" i="29"/>
  <c r="A46" i="29"/>
  <c r="K45" i="29"/>
  <c r="J45" i="29"/>
  <c r="I45" i="29"/>
  <c r="H45" i="29"/>
  <c r="G45" i="29"/>
  <c r="F45" i="29"/>
  <c r="E45" i="29"/>
  <c r="D45" i="29"/>
  <c r="C45" i="29"/>
  <c r="B45" i="29"/>
  <c r="A45" i="29"/>
  <c r="K43" i="29"/>
  <c r="J43" i="29"/>
  <c r="I43" i="29"/>
  <c r="H43" i="29"/>
  <c r="G43" i="29"/>
  <c r="F43" i="29"/>
  <c r="E43" i="29"/>
  <c r="D43" i="29"/>
  <c r="C43" i="29"/>
  <c r="B43" i="29"/>
  <c r="K42" i="29"/>
  <c r="J42" i="29"/>
  <c r="I42" i="29"/>
  <c r="E42" i="29"/>
  <c r="A42" i="29"/>
  <c r="K41" i="29"/>
  <c r="J41" i="29"/>
  <c r="I41" i="29"/>
  <c r="E41" i="29"/>
  <c r="A41" i="29"/>
  <c r="K40" i="29"/>
  <c r="J40" i="29"/>
  <c r="I40" i="29"/>
  <c r="E40" i="29"/>
  <c r="A40" i="29"/>
  <c r="K39" i="29"/>
  <c r="J39" i="29"/>
  <c r="I39" i="29"/>
  <c r="E39" i="29"/>
  <c r="A39" i="29"/>
  <c r="K38" i="29"/>
  <c r="J38" i="29"/>
  <c r="I38" i="29"/>
  <c r="E38" i="29"/>
  <c r="A38" i="29"/>
  <c r="K37" i="29"/>
  <c r="J37" i="29"/>
  <c r="I37" i="29"/>
  <c r="E37" i="29"/>
  <c r="A37" i="29"/>
  <c r="K35" i="29"/>
  <c r="J35" i="29"/>
  <c r="I35" i="29"/>
  <c r="H35" i="29"/>
  <c r="G35" i="29"/>
  <c r="F35" i="29"/>
  <c r="E35" i="29"/>
  <c r="D35" i="29"/>
  <c r="C35" i="29"/>
  <c r="B35" i="29"/>
  <c r="K34" i="29"/>
  <c r="J34" i="29"/>
  <c r="I34" i="29"/>
  <c r="E34" i="29"/>
  <c r="K33" i="29"/>
  <c r="J33" i="29"/>
  <c r="I33" i="29"/>
  <c r="E33" i="29"/>
  <c r="K32" i="29"/>
  <c r="J32" i="29"/>
  <c r="I32" i="29"/>
  <c r="E32" i="29"/>
  <c r="K31" i="29"/>
  <c r="J31" i="29"/>
  <c r="I31" i="29"/>
  <c r="E31" i="29"/>
  <c r="K30" i="29"/>
  <c r="J30" i="29"/>
  <c r="I30" i="29"/>
  <c r="E30" i="29"/>
  <c r="K29" i="29"/>
  <c r="J29" i="29"/>
  <c r="I29" i="29"/>
  <c r="E29" i="29"/>
  <c r="E27" i="29"/>
  <c r="D27" i="29"/>
  <c r="C27" i="29"/>
  <c r="B27" i="29"/>
  <c r="K26" i="29"/>
  <c r="J26" i="29"/>
  <c r="I26" i="29"/>
  <c r="H26" i="29"/>
  <c r="G26" i="29"/>
  <c r="F26" i="29"/>
  <c r="E26" i="29"/>
  <c r="D26" i="29"/>
  <c r="C26" i="29"/>
  <c r="B26" i="29"/>
  <c r="A26" i="29"/>
  <c r="E25" i="29"/>
  <c r="D25" i="29"/>
  <c r="C25" i="29"/>
  <c r="B25" i="29"/>
  <c r="A25" i="29"/>
  <c r="E24" i="29"/>
  <c r="D24" i="29"/>
  <c r="C24" i="29"/>
  <c r="B24" i="29"/>
  <c r="A24" i="29"/>
  <c r="E23" i="29"/>
  <c r="D23" i="29"/>
  <c r="C23" i="29"/>
  <c r="B23" i="29"/>
  <c r="A23" i="29"/>
  <c r="E22" i="29"/>
  <c r="D22" i="29"/>
  <c r="C22" i="29"/>
  <c r="B22" i="29"/>
  <c r="A22" i="29"/>
  <c r="K20" i="29"/>
  <c r="J20" i="29"/>
  <c r="I20" i="29"/>
  <c r="H20" i="29"/>
  <c r="G20" i="29"/>
  <c r="F20" i="29"/>
  <c r="E20" i="29"/>
  <c r="D20" i="29"/>
  <c r="C20" i="29"/>
  <c r="B20" i="29"/>
  <c r="K19" i="29"/>
  <c r="J19" i="29"/>
  <c r="I19" i="29"/>
  <c r="E19" i="29"/>
  <c r="A19" i="29"/>
  <c r="K18" i="29"/>
  <c r="J18" i="29"/>
  <c r="I18" i="29"/>
  <c r="E18" i="29"/>
  <c r="A18" i="29"/>
  <c r="K17" i="29"/>
  <c r="J17" i="29"/>
  <c r="I17" i="29"/>
  <c r="E17" i="29"/>
  <c r="A17" i="29"/>
  <c r="K16" i="29"/>
  <c r="J16" i="29"/>
  <c r="I16" i="29"/>
  <c r="H16" i="29"/>
  <c r="G16" i="29"/>
  <c r="F16" i="29"/>
  <c r="E16" i="29"/>
  <c r="D16" i="29"/>
  <c r="C16" i="29"/>
  <c r="B16" i="29"/>
  <c r="A16" i="29"/>
  <c r="K15" i="29"/>
  <c r="J15" i="29"/>
  <c r="I15" i="29"/>
  <c r="E15" i="29"/>
  <c r="A15" i="29"/>
  <c r="E13" i="29"/>
  <c r="D13" i="29"/>
  <c r="C13" i="29"/>
  <c r="B13" i="29"/>
  <c r="K12" i="29"/>
  <c r="J12" i="29"/>
  <c r="I12" i="29"/>
  <c r="E12" i="29"/>
  <c r="H11" i="29"/>
  <c r="H25" i="29" s="1"/>
  <c r="G11" i="29"/>
  <c r="G25" i="29" s="1"/>
  <c r="F11" i="29"/>
  <c r="F25" i="29" s="1"/>
  <c r="E11" i="29"/>
  <c r="H10" i="29"/>
  <c r="H24" i="29" s="1"/>
  <c r="H23" i="29" s="1"/>
  <c r="G10" i="29"/>
  <c r="G24" i="29" s="1"/>
  <c r="G23" i="29" s="1"/>
  <c r="F10" i="29"/>
  <c r="F24" i="29" s="1"/>
  <c r="E10" i="29"/>
  <c r="E9" i="29"/>
  <c r="D9" i="29"/>
  <c r="C9" i="29"/>
  <c r="B9" i="29"/>
  <c r="H8" i="29"/>
  <c r="G8" i="29"/>
  <c r="G22" i="29" s="1"/>
  <c r="G27" i="29" s="1"/>
  <c r="F8" i="29"/>
  <c r="F22" i="29" s="1"/>
  <c r="E8" i="29"/>
  <c r="H4" i="29"/>
  <c r="E4" i="29"/>
  <c r="A4" i="29"/>
  <c r="L3" i="29"/>
  <c r="H3" i="29"/>
  <c r="E3" i="29"/>
  <c r="A3" i="29"/>
  <c r="F4" i="79"/>
  <c r="C4" i="79"/>
  <c r="A4" i="79"/>
  <c r="F3" i="79"/>
  <c r="C3" i="79"/>
  <c r="A3" i="79"/>
  <c r="E22" i="85" l="1"/>
  <c r="N13" i="85"/>
  <c r="N12" i="85" s="1"/>
  <c r="N18" i="85"/>
  <c r="N17" i="85" s="1"/>
  <c r="B18" i="82"/>
  <c r="B20" i="82" s="1"/>
  <c r="W27" i="30"/>
  <c r="AF27" i="30"/>
  <c r="AG27" i="30"/>
  <c r="AE27" i="30"/>
  <c r="AD27" i="30"/>
  <c r="AH27" i="30"/>
  <c r="AC27" i="30"/>
  <c r="AB27" i="30"/>
  <c r="Y27" i="30"/>
  <c r="S27" i="30"/>
  <c r="T27" i="30"/>
  <c r="U27" i="30"/>
  <c r="C18" i="82"/>
  <c r="C20" i="82" s="1"/>
  <c r="F23" i="29"/>
  <c r="F27" i="29" s="1"/>
  <c r="B13" i="83"/>
  <c r="C13" i="83"/>
  <c r="C15" i="83" s="1"/>
  <c r="G9" i="29"/>
  <c r="G13" i="29" s="1"/>
  <c r="H9" i="29"/>
  <c r="H13" i="29" s="1"/>
  <c r="I10" i="29"/>
  <c r="H22" i="29"/>
  <c r="H27" i="29" s="1"/>
  <c r="I8" i="29"/>
  <c r="F9" i="29"/>
  <c r="F13" i="29" s="1"/>
  <c r="I11" i="29"/>
  <c r="N22" i="85" l="1"/>
  <c r="B15" i="83"/>
  <c r="I25" i="29"/>
  <c r="K11" i="29"/>
  <c r="J11" i="29"/>
  <c r="I24" i="29"/>
  <c r="K10" i="29"/>
  <c r="J10" i="29"/>
  <c r="I9" i="29"/>
  <c r="I13" i="29" s="1"/>
  <c r="I22" i="29"/>
  <c r="K8" i="29"/>
  <c r="J8" i="29"/>
  <c r="E110" i="41" l="1"/>
  <c r="K13" i="29"/>
  <c r="J13" i="29"/>
  <c r="E111" i="41"/>
  <c r="E112" i="41"/>
  <c r="E113" i="41"/>
  <c r="E109" i="41"/>
  <c r="E114" i="41" s="1"/>
  <c r="K9" i="29"/>
  <c r="J9" i="29"/>
  <c r="I23" i="29"/>
  <c r="K24" i="29"/>
  <c r="J24" i="29"/>
  <c r="I27" i="29"/>
  <c r="K22" i="29"/>
  <c r="J22" i="29"/>
  <c r="K25" i="29"/>
  <c r="J25" i="29"/>
  <c r="E56" i="29" l="1"/>
  <c r="I53" i="29"/>
  <c r="K27" i="29"/>
  <c r="J27" i="29"/>
  <c r="K23" i="29"/>
  <c r="J23" i="29"/>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C11" authorId="0" shapeId="0">
      <text>
        <r>
          <rPr>
            <b/>
            <sz val="9"/>
            <color indexed="81"/>
            <rFont val="宋体"/>
            <family val="3"/>
            <charset val="134"/>
          </rPr>
          <t>Windows 用户:</t>
        </r>
        <r>
          <rPr>
            <sz val="9"/>
            <color indexed="81"/>
            <rFont val="宋体"/>
            <family val="3"/>
            <charset val="134"/>
          </rPr>
          <t xml:space="preserve">
可填写客户的唯一识别编码，如被审计单位财务或业务系统中的公司编码</t>
        </r>
      </text>
    </comment>
  </commentList>
</comments>
</file>

<file path=xl/sharedStrings.xml><?xml version="1.0" encoding="utf-8"?>
<sst xmlns="http://schemas.openxmlformats.org/spreadsheetml/2006/main" count="1057" uniqueCount="498">
  <si>
    <t>底稿开列时，可先在以下单元格填写有关内容，以便其他底稿引用有关数据：</t>
  </si>
  <si>
    <t>被审计单位名称：</t>
  </si>
  <si>
    <t>序号</t>
  </si>
  <si>
    <t>内容</t>
  </si>
  <si>
    <t>索引号</t>
  </si>
  <si>
    <t>编制人：</t>
  </si>
  <si>
    <t>应收账款实质性程序表</t>
  </si>
  <si>
    <t>D2A</t>
  </si>
  <si>
    <t>编制日期：</t>
  </si>
  <si>
    <t>应收账款审定表</t>
  </si>
  <si>
    <t>D2-1</t>
  </si>
  <si>
    <t>复核人：</t>
  </si>
  <si>
    <t>附注披露信息（上市公司）</t>
  </si>
  <si>
    <t>无需打印</t>
  </si>
  <si>
    <t>复核日期：</t>
  </si>
  <si>
    <t>附注披露信息(国企)</t>
  </si>
  <si>
    <t>明细表</t>
  </si>
  <si>
    <t>D2-2</t>
  </si>
  <si>
    <t>坏账准备明细表</t>
  </si>
  <si>
    <t>D2-3</t>
  </si>
  <si>
    <t>调整分录汇总表</t>
  </si>
  <si>
    <t>D2-4</t>
  </si>
  <si>
    <t>致同会计师事务所</t>
  </si>
  <si>
    <t>索引号：</t>
  </si>
  <si>
    <t>页次：</t>
  </si>
  <si>
    <t>一、本账户涉及的科目</t>
  </si>
  <si>
    <t>应收账款</t>
  </si>
  <si>
    <t>二、审计目标和财务报表的认定</t>
  </si>
  <si>
    <t>审计目标</t>
  </si>
  <si>
    <t>财务报表的认定　</t>
  </si>
  <si>
    <t>存在</t>
  </si>
  <si>
    <t>完整性</t>
  </si>
  <si>
    <t>权利和义务</t>
  </si>
  <si>
    <t xml:space="preserve">D.应收账款以恰当的金额包括在财务报表中，与之相关的计价或分摊调整已恰当记录，相关披露已得到恰当计量和描述 </t>
  </si>
  <si>
    <t>准确性、计价和分摊</t>
  </si>
  <si>
    <t>列报</t>
  </si>
  <si>
    <t>三、计划实施的实质性程序</t>
  </si>
  <si>
    <t>程序分类</t>
  </si>
  <si>
    <t>底稿索引号</t>
  </si>
  <si>
    <t>1</t>
  </si>
  <si>
    <t>常规★</t>
  </si>
  <si>
    <t>√</t>
  </si>
  <si>
    <t>D2-1
/D2-2
/D2-3</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</si>
  <si>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</si>
  <si>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</si>
  <si>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
/D2-0
/</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</si>
  <si>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</si>
  <si>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t>3</t>
  </si>
  <si>
    <r>
      <rPr>
        <sz val="10"/>
        <rFont val="宋体"/>
        <family val="3"/>
        <charset val="134"/>
      </rPr>
      <t>取得应收账款期初余额明细表复核加计是否正确，与总账、明细账合计数是否相符；检查上期应收账款在本期收回情况；函证期初余额以及其他必要追加的审计程序。</t>
    </r>
    <r>
      <rPr>
        <sz val="10"/>
        <color rgb="FFFF0000"/>
        <rFont val="宋体"/>
        <family val="3"/>
        <charset val="134"/>
      </rPr>
      <t>（适用于首次承接）</t>
    </r>
  </si>
  <si>
    <t>备选</t>
  </si>
  <si>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</si>
  <si>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4</t>
  </si>
  <si>
    <t>获取应收账款账龄明细表：
(1）确定计算准确性并与总账核对一致；
(2）对重要应收账款账龄进行重新计算，与被审计单位提供的账龄表进行比较；
(3）对于发现的重大不一致，询问客户内部适当人员，并检查原始凭证，测试账龄划分的准确性。</t>
  </si>
  <si>
    <r>
      <rPr>
        <b/>
        <sz val="10"/>
        <color theme="1"/>
        <rFont val="宋体"/>
        <family val="3"/>
        <charset val="134"/>
      </rPr>
      <t>√</t>
    </r>
  </si>
  <si>
    <t>5</t>
  </si>
  <si>
    <t>实施分析性程序：
（1）计算除销比例、应收账款周转率及应收账款周转天数等指标，与被审计单位以前年度指标、同行业同期相关指标对比分析，检查是否存在异常；
（2）分析借贷方发生额，与对应科目比较是否存在异常；
（3）比较主要客户应收账款余额变动情况，分析合理性；
（4）与期初余额账龄比较，分析变动合理性。</t>
  </si>
  <si>
    <r>
      <rPr>
        <sz val="10"/>
        <color theme="1"/>
        <rFont val="宋体"/>
        <family val="3"/>
        <charset val="134"/>
      </rPr>
      <t>√</t>
    </r>
  </si>
  <si>
    <t>D2-5</t>
  </si>
  <si>
    <t>6</t>
  </si>
  <si>
    <r>
      <rPr>
        <sz val="10"/>
        <color theme="1"/>
        <rFont val="宋体"/>
        <family val="3"/>
        <charset val="134"/>
      </rPr>
      <t>实施函证程序：
（</t>
    </r>
    <r>
      <rPr>
        <sz val="10"/>
        <color theme="1"/>
        <rFont val="Arial Narrow"/>
        <family val="2"/>
      </rPr>
      <t>1</t>
    </r>
    <r>
      <rPr>
        <sz val="10"/>
        <color theme="1"/>
        <rFont val="宋体"/>
        <family val="3"/>
        <charset val="134"/>
      </rPr>
      <t>）以积极方式对预付账款进行函证，设计询证函、发函前核实被函证单位信息；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
（</t>
    </r>
    <r>
      <rPr>
        <sz val="10"/>
        <color theme="1"/>
        <rFont val="Arial Narrow"/>
        <family val="2"/>
      </rPr>
      <t>4</t>
    </r>
    <r>
      <rPr>
        <sz val="10"/>
        <color theme="1"/>
        <rFont val="宋体"/>
        <family val="3"/>
        <charset val="134"/>
      </rPr>
      <t>）如果未收到回函，应当考虑与被询证者联系，要求对方作出回应或再次寄发询证函，无法收到的回函实施替代程序；
（</t>
    </r>
    <r>
      <rPr>
        <sz val="10"/>
        <color theme="1"/>
        <rFont val="Arial Narrow"/>
        <family val="2"/>
      </rPr>
      <t>5</t>
    </r>
    <r>
      <rPr>
        <sz val="10"/>
        <color theme="1"/>
        <rFont val="宋体"/>
        <family val="3"/>
        <charset val="134"/>
      </rPr>
      <t>）如果管理层不允许寄发询证函的，询问管理层不允许寄发的原因，并就其原因的正当、合理性收集证据；考虑实施替代审计程序以获取相关、可靠的审计证据；
（</t>
    </r>
    <r>
      <rPr>
        <sz val="10"/>
        <color theme="1"/>
        <rFont val="Arial Narrow"/>
        <family val="2"/>
      </rPr>
      <t>6</t>
    </r>
    <r>
      <rPr>
        <sz val="10"/>
        <color theme="1"/>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</si>
  <si>
    <t>D2-0</t>
  </si>
  <si>
    <t>7</t>
  </si>
  <si>
    <t>对未函证的应收账款，抽取适当的样本检查相关支持性文件（如销售合同、销售订单、销售发票副本、发运凭证及回款单据），确定会计处理是否正确。</t>
  </si>
  <si>
    <t>D2-7</t>
  </si>
  <si>
    <t>8</t>
  </si>
  <si>
    <t>浏览应收账款发生额，关注有无不属于结算业务的债权。如有，检查至相关支持性文件，确定债权性质。</t>
  </si>
  <si>
    <t>9</t>
  </si>
  <si>
    <t>10</t>
  </si>
  <si>
    <t>检查应收账款坏账准备计提是否正确：
（1）了解应收票据坏账准备计提会计政策，确定应收账款坏账准备是否以预期信用损失为基础计提，计提政策是否恰当，是否一贯执行。必要时，与同行业其他公司的会计政策进行对比，关注其是否利用会计政策和会计估计变更操纵利润
（2）重新计算应计提的坏账准备，与被审计单位已记录的坏账准备进行比较。
（3）关注大额坏账准备转回是否合理。实际发生坏账损失的，检查转销依据是否符合有关规定，会计处理是否正确。已经确认并转销的坏账重新收回的，检查其会计处理是否正确。</t>
  </si>
  <si>
    <t>D2-9
/D2-10
/D2-11</t>
  </si>
  <si>
    <t>11</t>
  </si>
  <si>
    <t>检查应收账款中是否存在债务人破产或者死亡，以其破产财产或者遗产清偿后仍无法收回，或者债务人长期未履行偿债义务的情况，如是，应提请被审计单位处理。</t>
  </si>
  <si>
    <t>12</t>
  </si>
  <si>
    <t>IPO/上市/新三板/重组/舞弊应对</t>
  </si>
  <si>
    <t>13</t>
  </si>
  <si>
    <t>对于大额应收账款客户：
(1)检查报告期公司应收账款（含余额及发生额）主要客户与营业收入主要客户是否匹配，新增客户的应收账款余额与向该客户的销售是否匹配；
(2)检查大额应收款项是否能够按合同约定期收回以及期末收到的销售款项是否存在期后不正常流出的情况。
（3）检查是否存在改变客户信用期、放宽付款条件以促进短期销售增长，从而导致应收账款增加，分析判断是否属于人为改变正常经营活动，是否满足收入确认条件。</t>
  </si>
  <si>
    <t>14</t>
  </si>
  <si>
    <t>结合销售合同中与收款、验收相关的主要条款，对于大额应收账长期未收回的客户，分析被审计单位仍向其进行销售的合理性和真实性。</t>
  </si>
  <si>
    <t>15</t>
  </si>
  <si>
    <t>D2-12</t>
  </si>
  <si>
    <t>16</t>
  </si>
  <si>
    <t>检查应收账款询证函回函、会议纪要、借款协议和其他文件，确定应收账款是否已被质押或出售。</t>
  </si>
  <si>
    <t>17</t>
  </si>
  <si>
    <t>了解被审计单位管理应收账款的业务模式，判断应收账款分类是否正确。</t>
  </si>
  <si>
    <t>D2-13</t>
  </si>
  <si>
    <t>18</t>
  </si>
  <si>
    <t>19</t>
  </si>
  <si>
    <t>针对评估的舞弊风险等因素增加的审计程序。</t>
  </si>
  <si>
    <t>20</t>
  </si>
  <si>
    <t>检查应收账款是否已按企业会计准则或其他适用的规定在财务报表中做出恰当列报和披露。</t>
  </si>
  <si>
    <r>
      <rPr>
        <sz val="10"/>
        <rFont val="Arial Narrow"/>
        <family val="2"/>
      </rPr>
      <t>A 1-1</t>
    </r>
    <r>
      <rPr>
        <sz val="10"/>
        <color rgb="FFFF0000"/>
        <rFont val="Arial Narrow"/>
        <family val="2"/>
      </rPr>
      <t>/A1-15 /A1-16</t>
    </r>
  </si>
  <si>
    <t>项目</t>
  </si>
  <si>
    <t>期初数</t>
  </si>
  <si>
    <t>期末数</t>
  </si>
  <si>
    <t>本期与上期审定数比较</t>
  </si>
  <si>
    <t>原因分析</t>
  </si>
  <si>
    <t>未审数</t>
  </si>
  <si>
    <t>账项调整</t>
  </si>
  <si>
    <t>重分类调整</t>
  </si>
  <si>
    <t>审定数</t>
  </si>
  <si>
    <t>变动额</t>
  </si>
  <si>
    <t>变动率</t>
  </si>
  <si>
    <t>一、应收账款原值</t>
  </si>
  <si>
    <t>单项计提坏账准备</t>
  </si>
  <si>
    <t>按组合计提坏账准备</t>
  </si>
  <si>
    <t>账龄组合</t>
  </si>
  <si>
    <t>客户类型组合</t>
  </si>
  <si>
    <t>……组合</t>
  </si>
  <si>
    <t>小计</t>
  </si>
  <si>
    <t>二、应收账款坏账准备</t>
  </si>
  <si>
    <t>三、应收账款净值</t>
  </si>
  <si>
    <t>合计</t>
  </si>
  <si>
    <t>（一）账龄组合原值</t>
  </si>
  <si>
    <t>一年以内</t>
  </si>
  <si>
    <t>一到二年</t>
  </si>
  <si>
    <t>二到三年</t>
  </si>
  <si>
    <t>三到四年</t>
  </si>
  <si>
    <t>四到五年</t>
  </si>
  <si>
    <t>五年以上</t>
  </si>
  <si>
    <t>（二）账龄组合坏账准备</t>
  </si>
  <si>
    <t>（三）账龄组合净值</t>
  </si>
  <si>
    <t>试算平衡表数</t>
  </si>
  <si>
    <t>差异数</t>
  </si>
  <si>
    <r>
      <rPr>
        <b/>
        <sz val="10"/>
        <rFont val="宋体"/>
        <family val="3"/>
        <charset val="134"/>
      </rPr>
      <t>1.审计说明</t>
    </r>
  </si>
  <si>
    <t>2.审计结论</t>
  </si>
  <si>
    <t>（1）应收账款本期较上期增加（负数为减少）：</t>
  </si>
  <si>
    <r>
      <rPr>
        <sz val="10"/>
        <rFont val="宋体"/>
        <family val="3"/>
        <charset val="134"/>
      </rPr>
      <t>主要原因</t>
    </r>
    <r>
      <rPr>
        <sz val="10"/>
        <color indexed="10"/>
        <rFont val="宋体"/>
        <family val="3"/>
        <charset val="134"/>
      </rPr>
      <t>（比例超过30%的）</t>
    </r>
    <r>
      <rPr>
        <sz val="10"/>
        <rFont val="宋体"/>
        <family val="3"/>
        <charset val="134"/>
      </rPr>
      <t>：</t>
    </r>
  </si>
  <si>
    <t>（2）情况说明</t>
  </si>
  <si>
    <r>
      <rPr>
        <b/>
        <sz val="10"/>
        <rFont val="宋体"/>
        <family val="3"/>
        <charset val="134"/>
      </rPr>
      <t>致同会计师事务所</t>
    </r>
  </si>
  <si>
    <r>
      <rPr>
        <b/>
        <sz val="12"/>
        <rFont val="宋体"/>
        <family val="3"/>
        <charset val="134"/>
      </rPr>
      <t>附注披露信息（上市公司）</t>
    </r>
  </si>
  <si>
    <r>
      <rPr>
        <sz val="10"/>
        <rFont val="宋体"/>
        <family val="3"/>
        <charset val="134"/>
      </rPr>
      <t>索引：D2</t>
    </r>
    <r>
      <rPr>
        <sz val="10"/>
        <rFont val="Arial Narrow"/>
        <family val="2"/>
      </rPr>
      <t>-1</t>
    </r>
  </si>
  <si>
    <r>
      <rPr>
        <sz val="10"/>
        <rFont val="宋体"/>
        <family val="3"/>
        <charset val="134"/>
      </rPr>
      <t>页次：</t>
    </r>
  </si>
  <si>
    <r>
      <rPr>
        <sz val="12"/>
        <rFont val="仿宋_GB2312"/>
        <family val="3"/>
        <charset val="134"/>
      </rPr>
      <t>附注披露信息：</t>
    </r>
  </si>
  <si>
    <r>
      <rPr>
        <b/>
        <sz val="12"/>
        <rFont val="仿宋_GB2312"/>
        <family val="3"/>
        <charset val="134"/>
      </rPr>
      <t>应收账款</t>
    </r>
    <r>
      <rPr>
        <b/>
        <sz val="12"/>
        <color rgb="FF0000FF"/>
        <rFont val="仿宋_GB2312"/>
        <family val="3"/>
        <charset val="134"/>
      </rPr>
      <t>（以下不适用的，请删除）</t>
    </r>
  </si>
  <si>
    <r>
      <rPr>
        <b/>
        <sz val="12"/>
        <rFont val="仿宋_GB2312"/>
        <family val="3"/>
        <charset val="134"/>
      </rPr>
      <t>（</t>
    </r>
    <r>
      <rPr>
        <b/>
        <sz val="12"/>
        <rFont val="Arial Narrow"/>
        <family val="2"/>
      </rPr>
      <t>1</t>
    </r>
    <r>
      <rPr>
        <b/>
        <sz val="12"/>
        <rFont val="仿宋_GB2312"/>
        <family val="3"/>
        <charset val="134"/>
      </rPr>
      <t>）应收账款按种类披露</t>
    </r>
  </si>
  <si>
    <r>
      <rPr>
        <b/>
        <sz val="12"/>
        <rFont val="仿宋_GB2312"/>
        <family val="3"/>
        <charset val="134"/>
      </rPr>
      <t>种</t>
    </r>
    <r>
      <rPr>
        <b/>
        <sz val="12"/>
        <rFont val="仿宋_GB2312"/>
        <family val="3"/>
        <charset val="134"/>
      </rPr>
      <t>类</t>
    </r>
  </si>
  <si>
    <r>
      <rPr>
        <b/>
        <sz val="12"/>
        <rFont val="仿宋_GB2312"/>
        <family val="3"/>
        <charset val="134"/>
      </rPr>
      <t>期末数</t>
    </r>
  </si>
  <si>
    <r>
      <rPr>
        <b/>
        <sz val="12"/>
        <rFont val="仿宋_GB2312"/>
        <family val="3"/>
        <charset val="134"/>
      </rPr>
      <t>金</t>
    </r>
    <r>
      <rPr>
        <b/>
        <sz val="12"/>
        <rFont val="Arial Narrow"/>
        <family val="2"/>
      </rPr>
      <t xml:space="preserve"> </t>
    </r>
    <r>
      <rPr>
        <b/>
        <sz val="12"/>
        <rFont val="仿宋_GB2312"/>
        <family val="3"/>
        <charset val="134"/>
      </rPr>
      <t>额</t>
    </r>
  </si>
  <si>
    <r>
      <rPr>
        <b/>
        <sz val="12"/>
        <rFont val="仿宋_GB2312"/>
        <family val="3"/>
        <charset val="134"/>
      </rPr>
      <t>比例</t>
    </r>
    <r>
      <rPr>
        <b/>
        <sz val="12"/>
        <rFont val="Arial Narrow"/>
        <family val="2"/>
      </rPr>
      <t>%</t>
    </r>
  </si>
  <si>
    <r>
      <rPr>
        <b/>
        <sz val="12"/>
        <rFont val="仿宋_GB2312"/>
        <family val="3"/>
        <charset val="134"/>
      </rPr>
      <t>坏账准备</t>
    </r>
  </si>
  <si>
    <r>
      <rPr>
        <b/>
        <sz val="12"/>
        <rFont val="仿宋_GB2312"/>
        <family val="3"/>
        <charset val="134"/>
      </rPr>
      <t>计提比例</t>
    </r>
    <r>
      <rPr>
        <b/>
        <sz val="12"/>
        <rFont val="Arial Narrow"/>
        <family val="2"/>
      </rPr>
      <t>%</t>
    </r>
  </si>
  <si>
    <r>
      <rPr>
        <b/>
        <sz val="12"/>
        <rFont val="仿宋_GB2312"/>
        <family val="3"/>
        <charset val="134"/>
      </rPr>
      <t>净额</t>
    </r>
  </si>
  <si>
    <t>单项计提坏账准备的应收账款</t>
  </si>
  <si>
    <r>
      <rPr>
        <sz val="12"/>
        <rFont val="仿宋_GB2312"/>
        <family val="3"/>
        <charset val="134"/>
      </rPr>
      <t>按组合计提坏账准备的应收账款</t>
    </r>
  </si>
  <si>
    <t>其中：账龄组合</t>
  </si>
  <si>
    <t xml:space="preserve">      客户类型组合</t>
  </si>
  <si>
    <t xml:space="preserve">      产品类型组合</t>
  </si>
  <si>
    <t xml:space="preserve">      ……组合</t>
  </si>
  <si>
    <r>
      <rPr>
        <sz val="12"/>
        <rFont val="仿宋_GB2312"/>
        <family val="3"/>
        <charset val="134"/>
      </rPr>
      <t>组合小计</t>
    </r>
  </si>
  <si>
    <r>
      <rPr>
        <b/>
        <sz val="12"/>
        <rFont val="仿宋_GB2312"/>
        <family val="3"/>
        <charset val="134"/>
      </rPr>
      <t>合</t>
    </r>
    <r>
      <rPr>
        <b/>
        <sz val="12"/>
        <rFont val="Arial Narrow"/>
        <family val="2"/>
      </rPr>
      <t xml:space="preserve">  </t>
    </r>
    <r>
      <rPr>
        <b/>
        <sz val="12"/>
        <rFont val="仿宋_GB2312"/>
        <family val="3"/>
        <charset val="134"/>
      </rPr>
      <t>计</t>
    </r>
  </si>
  <si>
    <r>
      <rPr>
        <sz val="12"/>
        <rFont val="仿宋_GB2312"/>
        <family val="3"/>
        <charset val="134"/>
      </rPr>
      <t>应收账款按种类披露（续）</t>
    </r>
  </si>
  <si>
    <r>
      <rPr>
        <b/>
        <sz val="12"/>
        <rFont val="仿宋_GB2312"/>
        <family val="3"/>
        <charset val="134"/>
      </rPr>
      <t>期初数</t>
    </r>
  </si>
  <si>
    <r>
      <rPr>
        <sz val="12"/>
        <color rgb="FF0000FF"/>
        <rFont val="仿宋_GB2312"/>
        <family val="3"/>
        <charset val="134"/>
      </rPr>
      <t>注：填写组合名称。账面余额中的比例按期末该类应收账款除以应收账款合计数计算，坏账准备比例按该类应收账款期末已计提坏账准备除以期末该类应收账款余额计算。</t>
    </r>
  </si>
  <si>
    <r>
      <rPr>
        <sz val="12"/>
        <rFont val="仿宋_GB2312"/>
        <family val="3"/>
        <charset val="134"/>
      </rPr>
      <t>说明：</t>
    </r>
  </si>
  <si>
    <t>①期末单项计提坏账准备的应收账款</t>
  </si>
  <si>
    <r>
      <rPr>
        <b/>
        <sz val="12"/>
        <rFont val="仿宋_GB2312"/>
        <family val="3"/>
        <charset val="134"/>
      </rPr>
      <t>应收账款（按单位）</t>
    </r>
  </si>
  <si>
    <r>
      <rPr>
        <b/>
        <sz val="12"/>
        <rFont val="仿宋_GB2312"/>
        <family val="3"/>
        <charset val="134"/>
      </rPr>
      <t>账面余额</t>
    </r>
  </si>
  <si>
    <r>
      <rPr>
        <b/>
        <sz val="12"/>
        <rFont val="仿宋_GB2312"/>
        <family val="3"/>
        <charset val="134"/>
      </rPr>
      <t>计提理由</t>
    </r>
  </si>
  <si>
    <t>②按账龄组合计提坏账准备的应收账款：（不适用的删除）</t>
  </si>
  <si>
    <r>
      <rPr>
        <b/>
        <sz val="12"/>
        <rFont val="仿宋_GB2312"/>
        <family val="3"/>
        <charset val="134"/>
      </rPr>
      <t>账</t>
    </r>
    <r>
      <rPr>
        <b/>
        <sz val="12"/>
        <rFont val="Arial Narrow"/>
        <family val="2"/>
      </rPr>
      <t xml:space="preserve">  </t>
    </r>
    <r>
      <rPr>
        <b/>
        <sz val="12"/>
        <rFont val="仿宋_GB2312"/>
        <family val="3"/>
        <charset val="134"/>
      </rPr>
      <t>龄</t>
    </r>
  </si>
  <si>
    <r>
      <rPr>
        <sz val="12"/>
        <color rgb="FF0000FF"/>
        <rFont val="仿宋_GB2312"/>
        <family val="3"/>
        <charset val="134"/>
      </rPr>
      <t>（</t>
    </r>
    <r>
      <rPr>
        <sz val="12"/>
        <color indexed="12"/>
        <rFont val="仿宋_GB2312"/>
        <family val="3"/>
        <charset val="134"/>
      </rPr>
      <t>可根据企业具体会计政策，相应修改账龄组合的划分）</t>
    </r>
  </si>
  <si>
    <t>③组合中，采用客户类型组合计提坏账准备的应收账款：（不适用的删除）</t>
  </si>
  <si>
    <r>
      <rPr>
        <b/>
        <sz val="12"/>
        <rFont val="仿宋_GB2312"/>
        <family val="3"/>
        <charset val="134"/>
      </rPr>
      <t>组合名称</t>
    </r>
  </si>
  <si>
    <t>计提比例</t>
  </si>
  <si>
    <r>
      <rPr>
        <sz val="12"/>
        <color rgb="FF0000FF"/>
        <rFont val="仿宋_GB2312"/>
        <family val="3"/>
        <charset val="134"/>
      </rPr>
      <t>组合</t>
    </r>
    <r>
      <rPr>
        <sz val="12"/>
        <color indexed="12"/>
        <rFont val="Arial Narrow"/>
        <family val="2"/>
      </rPr>
      <t>1</t>
    </r>
    <r>
      <rPr>
        <sz val="12"/>
        <color indexed="12"/>
        <rFont val="仿宋_GB2312"/>
        <family val="3"/>
        <charset val="134"/>
      </rPr>
      <t>（注明具体组合名称）</t>
    </r>
  </si>
  <si>
    <r>
      <rPr>
        <sz val="12"/>
        <color rgb="FF0000FF"/>
        <rFont val="仿宋_GB2312"/>
        <family val="3"/>
        <charset val="134"/>
      </rPr>
      <t>组合</t>
    </r>
    <r>
      <rPr>
        <sz val="12"/>
        <color indexed="12"/>
        <rFont val="Arial Narrow"/>
        <family val="2"/>
      </rPr>
      <t>2</t>
    </r>
    <r>
      <rPr>
        <sz val="12"/>
        <color indexed="12"/>
        <rFont val="仿宋_GB2312"/>
        <family val="3"/>
        <charset val="134"/>
      </rPr>
      <t>（注明具体组合名称）</t>
    </r>
  </si>
  <si>
    <t>……</t>
  </si>
  <si>
    <t>④组合中，采用产品类型组合计提坏账准备的应收账款：（不适用的删除）</t>
  </si>
  <si>
    <t>⑤组合中，采用……组合计提坏账准备的应收账款：（不适用的删除）</t>
  </si>
  <si>
    <r>
      <rPr>
        <sz val="12"/>
        <color rgb="FF0000FF"/>
        <rFont val="仿宋_GB2312"/>
        <family val="3"/>
        <charset val="134"/>
      </rPr>
      <t>注：填写具体组合名称。</t>
    </r>
  </si>
  <si>
    <r>
      <rPr>
        <b/>
        <sz val="12"/>
        <rFont val="仿宋_GB2312"/>
        <family val="3"/>
        <charset val="134"/>
      </rPr>
      <t>（</t>
    </r>
    <r>
      <rPr>
        <b/>
        <sz val="12"/>
        <rFont val="Arial Narrow"/>
        <family val="2"/>
      </rPr>
      <t>2</t>
    </r>
    <r>
      <rPr>
        <b/>
        <sz val="12"/>
        <rFont val="仿宋_GB2312"/>
        <family val="3"/>
        <charset val="134"/>
      </rPr>
      <t>）本期计提、收回或转回的坏账准备情况</t>
    </r>
  </si>
  <si>
    <t>坏账准备金额</t>
  </si>
  <si>
    <t>本期计提</t>
  </si>
  <si>
    <t>本期收回或转回</t>
  </si>
  <si>
    <t>本期核销</t>
  </si>
  <si>
    <r>
      <rPr>
        <sz val="12"/>
        <color rgb="FFFF0000"/>
        <rFont val="Arial Narrow"/>
        <family val="2"/>
      </rPr>
      <t>[</t>
    </r>
    <r>
      <rPr>
        <sz val="12"/>
        <color rgb="FFFF0000"/>
        <rFont val="仿宋_GB2312"/>
        <family val="3"/>
        <charset val="134"/>
      </rPr>
      <t>本期转销</t>
    </r>
    <r>
      <rPr>
        <sz val="12"/>
        <color rgb="FFFF0000"/>
        <rFont val="Arial Narrow"/>
        <family val="2"/>
      </rPr>
      <t>]</t>
    </r>
  </si>
  <si>
    <r>
      <rPr>
        <sz val="12"/>
        <color rgb="FFFF0000"/>
        <rFont val="Arial Narrow"/>
        <family val="2"/>
      </rPr>
      <t>[</t>
    </r>
    <r>
      <rPr>
        <sz val="12"/>
        <color rgb="FFFF0000"/>
        <rFont val="仿宋_GB2312"/>
        <family val="3"/>
        <charset val="134"/>
      </rPr>
      <t>其他</t>
    </r>
    <r>
      <rPr>
        <sz val="12"/>
        <color rgb="FFFF0000"/>
        <rFont val="Arial Narrow"/>
        <family val="2"/>
      </rPr>
      <t>]</t>
    </r>
  </si>
  <si>
    <r>
      <rPr>
        <sz val="12"/>
        <rFont val="仿宋_GB2312"/>
        <family val="3"/>
        <charset val="134"/>
      </rPr>
      <t>其中，本期坏账准备转回或收回金额重要的：</t>
    </r>
  </si>
  <si>
    <r>
      <rPr>
        <b/>
        <sz val="12"/>
        <rFont val="仿宋_GB2312"/>
        <family val="3"/>
        <charset val="134"/>
      </rPr>
      <t>单位名称</t>
    </r>
  </si>
  <si>
    <r>
      <rPr>
        <b/>
        <sz val="12"/>
        <rFont val="仿宋_GB2312"/>
        <family val="3"/>
        <charset val="134"/>
      </rPr>
      <t>转回原因</t>
    </r>
  </si>
  <si>
    <r>
      <rPr>
        <b/>
        <sz val="12"/>
        <rFont val="仿宋_GB2312"/>
        <family val="3"/>
        <charset val="134"/>
      </rPr>
      <t>收回方式</t>
    </r>
  </si>
  <si>
    <r>
      <rPr>
        <b/>
        <sz val="12"/>
        <rFont val="仿宋_GB2312"/>
        <family val="3"/>
        <charset val="134"/>
      </rPr>
      <t>原确定坏账准备的依据</t>
    </r>
  </si>
  <si>
    <r>
      <rPr>
        <b/>
        <sz val="12"/>
        <rFont val="仿宋_GB2312"/>
        <family val="3"/>
        <charset val="134"/>
      </rPr>
      <t>转回或收回金额</t>
    </r>
  </si>
  <si>
    <r>
      <rPr>
        <sz val="12"/>
        <color rgb="FF0000FF"/>
        <rFont val="仿宋_GB2312"/>
        <family val="3"/>
        <charset val="134"/>
      </rPr>
      <t>注：本期坏账准备收回或转回金额重要的，应披露转回原因、收回方式、确定原坏账准备计提比例的依据及其合理性；</t>
    </r>
  </si>
  <si>
    <r>
      <rPr>
        <b/>
        <sz val="12"/>
        <rFont val="仿宋_GB2312"/>
        <family val="3"/>
        <charset val="134"/>
      </rPr>
      <t>（</t>
    </r>
    <r>
      <rPr>
        <b/>
        <sz val="12"/>
        <rFont val="Arial Narrow"/>
        <family val="2"/>
      </rPr>
      <t>3</t>
    </r>
    <r>
      <rPr>
        <b/>
        <sz val="12"/>
        <rFont val="仿宋_GB2312"/>
        <family val="3"/>
        <charset val="134"/>
      </rPr>
      <t>）本期实际核销的应收账款情况</t>
    </r>
  </si>
  <si>
    <r>
      <rPr>
        <b/>
        <sz val="12"/>
        <rFont val="仿宋_GB2312"/>
        <family val="3"/>
        <charset val="134"/>
      </rPr>
      <t>项目</t>
    </r>
  </si>
  <si>
    <r>
      <rPr>
        <b/>
        <sz val="12"/>
        <rFont val="仿宋_GB2312"/>
        <family val="3"/>
        <charset val="134"/>
      </rPr>
      <t>核销金额</t>
    </r>
  </si>
  <si>
    <r>
      <rPr>
        <sz val="12"/>
        <rFont val="仿宋_GB2312"/>
        <family val="3"/>
        <charset val="134"/>
      </rPr>
      <t>实际核销的应收账款</t>
    </r>
  </si>
  <si>
    <r>
      <rPr>
        <sz val="12"/>
        <rFont val="仿宋_GB2312"/>
        <family val="3"/>
        <charset val="134"/>
      </rPr>
      <t>其中，重要的应收账款核销情况（逐项披露）：</t>
    </r>
  </si>
  <si>
    <r>
      <rPr>
        <b/>
        <sz val="12"/>
        <rFont val="仿宋_GB2312"/>
        <family val="3"/>
        <charset val="134"/>
      </rPr>
      <t>应收账款的性质</t>
    </r>
  </si>
  <si>
    <r>
      <rPr>
        <b/>
        <sz val="12"/>
        <rFont val="仿宋_GB2312"/>
        <family val="3"/>
        <charset val="134"/>
      </rPr>
      <t>核销原因</t>
    </r>
  </si>
  <si>
    <r>
      <rPr>
        <b/>
        <sz val="12"/>
        <rFont val="仿宋_GB2312"/>
        <family val="3"/>
        <charset val="134"/>
      </rPr>
      <t>履行的核销程序</t>
    </r>
  </si>
  <si>
    <r>
      <rPr>
        <b/>
        <sz val="12"/>
        <rFont val="仿宋_GB2312"/>
        <family val="3"/>
        <charset val="134"/>
      </rPr>
      <t>是否由关联交易产生</t>
    </r>
  </si>
  <si>
    <r>
      <rPr>
        <sz val="12"/>
        <color rgb="FF0000FF"/>
        <rFont val="仿宋_GB2312"/>
        <family val="3"/>
        <charset val="134"/>
      </rPr>
      <t>（对于其中重要的应收账款，应逐项披露款项性质、核销原因、履行的核销程序及核销金额。实际核销的款项由关联交易产生的，应单独披露；）</t>
    </r>
  </si>
  <si>
    <r>
      <rPr>
        <sz val="12"/>
        <color rgb="FF000000"/>
        <rFont val="仿宋_GB2312"/>
        <family val="3"/>
        <charset val="134"/>
      </rPr>
      <t>说明：</t>
    </r>
  </si>
  <si>
    <r>
      <rPr>
        <b/>
        <sz val="12"/>
        <rFont val="仿宋_GB2312"/>
        <family val="3"/>
        <charset val="134"/>
      </rPr>
      <t>（</t>
    </r>
    <r>
      <rPr>
        <b/>
        <sz val="12"/>
        <rFont val="Arial Narrow"/>
        <family val="2"/>
      </rPr>
      <t>4</t>
    </r>
    <r>
      <rPr>
        <b/>
        <sz val="12"/>
        <rFont val="仿宋_GB2312"/>
        <family val="3"/>
        <charset val="134"/>
      </rPr>
      <t>）按欠款方归集的应收账款期末余额前五名单位情况</t>
    </r>
  </si>
  <si>
    <r>
      <rPr>
        <b/>
        <sz val="12"/>
        <rFont val="仿宋_GB2312"/>
        <family val="3"/>
        <charset val="134"/>
      </rPr>
      <t>款项性质</t>
    </r>
  </si>
  <si>
    <r>
      <rPr>
        <b/>
        <sz val="12"/>
        <rFont val="仿宋_GB2312"/>
        <family val="3"/>
        <charset val="134"/>
      </rPr>
      <t>应收账款期末余额</t>
    </r>
  </si>
  <si>
    <r>
      <rPr>
        <b/>
        <sz val="12"/>
        <rFont val="仿宋_GB2312"/>
        <family val="3"/>
        <charset val="134"/>
      </rPr>
      <t>账龄</t>
    </r>
  </si>
  <si>
    <r>
      <rPr>
        <b/>
        <sz val="12"/>
        <rFont val="仿宋_GB2312"/>
        <family val="3"/>
        <charset val="134"/>
      </rPr>
      <t>占应收账款期末余额合计数的比例</t>
    </r>
    <r>
      <rPr>
        <b/>
        <sz val="12"/>
        <rFont val="Arial Narrow"/>
        <family val="2"/>
      </rPr>
      <t>(%)</t>
    </r>
  </si>
  <si>
    <r>
      <rPr>
        <b/>
        <sz val="12"/>
        <rFont val="仿宋_GB2312"/>
        <family val="3"/>
        <charset val="134"/>
      </rPr>
      <t>坏账准备期末余额</t>
    </r>
  </si>
  <si>
    <r>
      <rPr>
        <sz val="12"/>
        <color rgb="FF0000FF"/>
        <rFont val="仿宋_GB2312"/>
        <family val="3"/>
        <charset val="134"/>
      </rPr>
      <t>【按欠款方归集的期末余额前五名的其他应收款，应分别披露欠款方名称、期末余额及占其他应收款期末余额合计数的比例、款项的性质、对应的账龄、坏账准备期末余额；】</t>
    </r>
  </si>
  <si>
    <r>
      <rPr>
        <b/>
        <sz val="12"/>
        <rFont val="仿宋_GB2312"/>
        <family val="3"/>
        <charset val="134"/>
      </rPr>
      <t>（</t>
    </r>
    <r>
      <rPr>
        <b/>
        <sz val="12"/>
        <rFont val="Arial Narrow"/>
        <family val="2"/>
      </rPr>
      <t>5</t>
    </r>
    <r>
      <rPr>
        <b/>
        <sz val="12"/>
        <rFont val="仿宋_GB2312"/>
        <family val="3"/>
        <charset val="134"/>
      </rPr>
      <t>）因金融资产转移而终止确认的其他应收款情况</t>
    </r>
  </si>
  <si>
    <r>
      <rPr>
        <sz val="12"/>
        <color rgb="FF0000FF"/>
        <rFont val="仿宋_GB2312"/>
        <family val="3"/>
        <charset val="134"/>
      </rPr>
      <t>【因金融资产转移而终止确认的应收款项，应列示金融资产转移的方式、终止确认的应收款项金额，及与终止确认相关的利得或损失；】</t>
    </r>
  </si>
  <si>
    <r>
      <rPr>
        <b/>
        <sz val="12"/>
        <rFont val="仿宋_GB2312"/>
        <family val="3"/>
        <charset val="134"/>
      </rPr>
      <t>项</t>
    </r>
    <r>
      <rPr>
        <b/>
        <sz val="12"/>
        <rFont val="Arial Narrow"/>
        <family val="2"/>
      </rPr>
      <t xml:space="preserve">  </t>
    </r>
    <r>
      <rPr>
        <b/>
        <sz val="12"/>
        <rFont val="仿宋_GB2312"/>
        <family val="3"/>
        <charset val="134"/>
      </rPr>
      <t>目</t>
    </r>
  </si>
  <si>
    <r>
      <rPr>
        <b/>
        <sz val="12"/>
        <rFont val="仿宋_GB2312"/>
        <family val="3"/>
        <charset val="134"/>
      </rPr>
      <t>转移方式</t>
    </r>
  </si>
  <si>
    <r>
      <rPr>
        <b/>
        <sz val="12"/>
        <rFont val="仿宋_GB2312"/>
        <family val="3"/>
        <charset val="134"/>
      </rPr>
      <t>终止确认金额</t>
    </r>
  </si>
  <si>
    <r>
      <rPr>
        <b/>
        <sz val="12"/>
        <rFont val="仿宋_GB2312"/>
        <family val="3"/>
        <charset val="134"/>
      </rPr>
      <t>与终止确认相关的利得或损失</t>
    </r>
  </si>
  <si>
    <r>
      <rPr>
        <b/>
        <sz val="12"/>
        <rFont val="仿宋_GB2312"/>
        <family val="3"/>
        <charset val="134"/>
      </rPr>
      <t>（</t>
    </r>
    <r>
      <rPr>
        <b/>
        <sz val="12"/>
        <rFont val="Arial Narrow"/>
        <family val="2"/>
      </rPr>
      <t>6</t>
    </r>
    <r>
      <rPr>
        <b/>
        <sz val="12"/>
        <rFont val="仿宋_GB2312"/>
        <family val="3"/>
        <charset val="134"/>
      </rPr>
      <t>）转移其他应收款且继续涉入形成的资产、负债的金额</t>
    </r>
  </si>
  <si>
    <r>
      <rPr>
        <sz val="12"/>
        <color rgb="FF0000FF"/>
        <rFont val="仿宋_GB2312"/>
        <family val="3"/>
        <charset val="134"/>
      </rPr>
      <t>【转移应收款项且继续涉入的，应披露资产转移方式、分项列示继续涉入形成的资产、负债的金额。】</t>
    </r>
  </si>
  <si>
    <r>
      <rPr>
        <sz val="12"/>
        <rFont val="仿宋_GB2312"/>
        <family val="3"/>
        <charset val="134"/>
      </rPr>
      <t>资产：</t>
    </r>
  </si>
  <si>
    <r>
      <rPr>
        <b/>
        <sz val="12"/>
        <rFont val="仿宋_GB2312"/>
        <family val="3"/>
        <charset val="134"/>
      </rPr>
      <t>资产小计</t>
    </r>
  </si>
  <si>
    <r>
      <rPr>
        <sz val="12"/>
        <rFont val="仿宋_GB2312"/>
        <family val="3"/>
        <charset val="134"/>
      </rPr>
      <t>负债：</t>
    </r>
  </si>
  <si>
    <r>
      <rPr>
        <b/>
        <sz val="12"/>
        <rFont val="仿宋_GB2312"/>
        <family val="3"/>
        <charset val="134"/>
      </rPr>
      <t>负债小计</t>
    </r>
  </si>
  <si>
    <r>
      <rPr>
        <sz val="12"/>
        <rFont val="仿宋_GB2312"/>
        <family val="3"/>
        <charset val="134"/>
      </rPr>
      <t>说明：</t>
    </r>
    <r>
      <rPr>
        <sz val="12"/>
        <color indexed="12"/>
        <rFont val="仿宋_GB2312"/>
        <family val="3"/>
        <charset val="134"/>
      </rPr>
      <t>（资产转移方式；未全部终止确认的被转移金融资产与相关负债之间的关系，已终止确认的金融资产继续涉入的性质及相关风险的信息。）</t>
    </r>
  </si>
  <si>
    <t>附注披露信息（国企）</t>
  </si>
  <si>
    <r>
      <rPr>
        <sz val="10"/>
        <rFont val="宋体"/>
        <family val="3"/>
        <charset val="134"/>
      </rPr>
      <t>索引：</t>
    </r>
    <r>
      <rPr>
        <sz val="10"/>
        <rFont val="Arial Narrow"/>
        <family val="2"/>
      </rPr>
      <t>D2-1</t>
    </r>
  </si>
  <si>
    <r>
      <rPr>
        <sz val="10"/>
        <rFont val="宋体"/>
        <family val="3"/>
        <charset val="134"/>
      </rPr>
      <t>页次：</t>
    </r>
    <r>
      <rPr>
        <sz val="10"/>
        <rFont val="Arial Narrow"/>
        <family val="2"/>
      </rPr>
      <t>1</t>
    </r>
  </si>
  <si>
    <r>
      <rPr>
        <sz val="12"/>
        <rFont val="仿宋_GB2312"/>
        <family val="3"/>
        <charset val="134"/>
      </rPr>
      <t>应收账款</t>
    </r>
  </si>
  <si>
    <r>
      <rPr>
        <sz val="12"/>
        <rFont val="仿宋_GB2312"/>
        <family val="3"/>
        <charset val="134"/>
      </rPr>
      <t>应收账款按种类披露</t>
    </r>
  </si>
  <si>
    <r>
      <rPr>
        <b/>
        <sz val="12"/>
        <rFont val="仿宋_GB2312"/>
        <family val="3"/>
        <charset val="134"/>
      </rPr>
      <t>种</t>
    </r>
    <r>
      <rPr>
        <b/>
        <sz val="12"/>
        <rFont val="Arial Narrow"/>
        <family val="2"/>
      </rPr>
      <t xml:space="preserve">  </t>
    </r>
    <r>
      <rPr>
        <b/>
        <sz val="12"/>
        <rFont val="仿宋_GB2312"/>
        <family val="3"/>
        <charset val="134"/>
      </rPr>
      <t>类</t>
    </r>
  </si>
  <si>
    <r>
      <rPr>
        <b/>
        <sz val="12"/>
        <rFont val="仿宋_GB2312"/>
        <family val="3"/>
        <charset val="134"/>
      </rPr>
      <t>年初数</t>
    </r>
  </si>
  <si>
    <r>
      <rPr>
        <sz val="12"/>
        <color rgb="FF0000FF"/>
        <rFont val="仿宋_GB2312"/>
        <family val="3"/>
        <charset val="134"/>
      </rPr>
      <t>（注：①填写组合名称。②账面余额中的比例按年末该类应收账款除以应收账款余额合计数计算，坏账准备比例按该类应收账款年末已计提坏账准备除以年末该类应收账款余额计算。）</t>
    </r>
  </si>
  <si>
    <r>
      <rPr>
        <sz val="12"/>
        <rFont val="仿宋_GB2312"/>
        <family val="3"/>
        <charset val="134"/>
      </rPr>
      <t>（</t>
    </r>
    <r>
      <rPr>
        <sz val="12"/>
        <rFont val="Arial Narrow"/>
        <family val="2"/>
      </rPr>
      <t>1</t>
    </r>
    <r>
      <rPr>
        <sz val="12"/>
        <rFont val="仿宋_GB2312"/>
        <family val="3"/>
        <charset val="134"/>
      </rPr>
      <t>）按组合计提坏账准备的应收账款</t>
    </r>
  </si>
  <si>
    <r>
      <rPr>
        <sz val="12"/>
        <rFont val="Arial Narrow"/>
        <family val="2"/>
      </rPr>
      <t>A</t>
    </r>
    <r>
      <rPr>
        <sz val="12"/>
        <rFont val="仿宋_GB2312"/>
        <family val="3"/>
        <charset val="134"/>
      </rPr>
      <t>、采用账龄分析法计提坏账准备的应收账款</t>
    </r>
  </si>
  <si>
    <r>
      <rPr>
        <b/>
        <sz val="12"/>
        <rFont val="仿宋_GB2312"/>
        <family val="3"/>
        <charset val="134"/>
      </rPr>
      <t>金额</t>
    </r>
  </si>
  <si>
    <r>
      <rPr>
        <b/>
        <sz val="12"/>
        <rFont val="仿宋_GB2312"/>
        <family val="3"/>
        <charset val="134"/>
      </rPr>
      <t>比例</t>
    </r>
    <r>
      <rPr>
        <b/>
        <sz val="12"/>
        <rFont val="Arial Narrow"/>
        <family val="2"/>
      </rPr>
      <t>(%)</t>
    </r>
  </si>
  <si>
    <r>
      <rPr>
        <sz val="12"/>
        <rFont val="Arial Narrow"/>
        <family val="2"/>
      </rPr>
      <t>B</t>
    </r>
    <r>
      <rPr>
        <sz val="12"/>
        <rFont val="仿宋_GB2312"/>
        <family val="3"/>
        <charset val="134"/>
      </rPr>
      <t>、采用客户类型组合计提坏账准备的应收账款</t>
    </r>
  </si>
  <si>
    <r>
      <rPr>
        <b/>
        <sz val="12"/>
        <rFont val="仿宋_GB2312"/>
        <family val="3"/>
        <charset val="134"/>
      </rPr>
      <t>计提比例</t>
    </r>
    <r>
      <rPr>
        <b/>
        <sz val="12"/>
        <rFont val="Arial Narrow"/>
        <family val="2"/>
      </rPr>
      <t>(%)</t>
    </r>
  </si>
  <si>
    <r>
      <rPr>
        <sz val="12"/>
        <color rgb="FFFF0000"/>
        <rFont val="仿宋_GB2312"/>
        <family val="3"/>
        <charset val="134"/>
      </rPr>
      <t>组合</t>
    </r>
    <r>
      <rPr>
        <sz val="12"/>
        <color rgb="FFFF0000"/>
        <rFont val="Arial Narrow"/>
        <family val="2"/>
      </rPr>
      <t>1</t>
    </r>
  </si>
  <si>
    <r>
      <rPr>
        <sz val="12"/>
        <color rgb="FFFF0000"/>
        <rFont val="仿宋_GB2312"/>
        <family val="3"/>
        <charset val="134"/>
      </rPr>
      <t>组合</t>
    </r>
    <r>
      <rPr>
        <sz val="12"/>
        <color rgb="FFFF0000"/>
        <rFont val="Arial Narrow"/>
        <family val="2"/>
      </rPr>
      <t>2</t>
    </r>
  </si>
  <si>
    <r>
      <rPr>
        <sz val="12"/>
        <rFont val="Arial Narrow"/>
        <family val="2"/>
      </rPr>
      <t>C</t>
    </r>
    <r>
      <rPr>
        <sz val="12"/>
        <rFont val="仿宋_GB2312"/>
        <family val="3"/>
        <charset val="134"/>
      </rPr>
      <t>、采用产品类型组合计提坏账准备的应收账款</t>
    </r>
  </si>
  <si>
    <r>
      <rPr>
        <sz val="12"/>
        <rFont val="Arial Narrow"/>
        <family val="2"/>
      </rPr>
      <t>D</t>
    </r>
    <r>
      <rPr>
        <sz val="12"/>
        <rFont val="仿宋_GB2312"/>
        <family val="3"/>
        <charset val="134"/>
      </rPr>
      <t>、采用</t>
    </r>
    <r>
      <rPr>
        <sz val="12"/>
        <color rgb="FFFF0000"/>
        <rFont val="仿宋_GB2312"/>
        <family val="3"/>
        <charset val="134"/>
      </rPr>
      <t>……组合</t>
    </r>
    <r>
      <rPr>
        <sz val="12"/>
        <rFont val="仿宋_GB2312"/>
        <family val="3"/>
        <charset val="134"/>
      </rPr>
      <t>计提坏账准备的应收账款</t>
    </r>
  </si>
  <si>
    <r>
      <rPr>
        <sz val="12"/>
        <rFont val="仿宋_GB2312"/>
        <family val="3"/>
        <charset val="134"/>
      </rPr>
      <t>（</t>
    </r>
    <r>
      <rPr>
        <sz val="12"/>
        <rFont val="Arial Narrow"/>
        <family val="2"/>
      </rPr>
      <t>2</t>
    </r>
    <r>
      <rPr>
        <sz val="12"/>
        <rFont val="仿宋_GB2312"/>
        <family val="3"/>
        <charset val="134"/>
      </rPr>
      <t>）单项计提坏账准备的应收账款</t>
    </r>
  </si>
  <si>
    <r>
      <rPr>
        <b/>
        <sz val="12"/>
        <rFont val="仿宋_GB2312"/>
        <family val="3"/>
        <charset val="134"/>
      </rPr>
      <t>债务人名称</t>
    </r>
  </si>
  <si>
    <r>
      <rPr>
        <b/>
        <sz val="12"/>
        <rFont val="仿宋_GB2312"/>
        <family val="3"/>
        <charset val="134"/>
      </rPr>
      <t>计提比例</t>
    </r>
  </si>
  <si>
    <r>
      <rPr>
        <sz val="12"/>
        <rFont val="仿宋_GB2312"/>
        <family val="3"/>
        <charset val="134"/>
      </rPr>
      <t>（</t>
    </r>
    <r>
      <rPr>
        <sz val="12"/>
        <rFont val="Arial Narrow"/>
        <family val="2"/>
      </rPr>
      <t>3</t>
    </r>
    <r>
      <rPr>
        <sz val="12"/>
        <rFont val="仿宋_GB2312"/>
        <family val="3"/>
        <charset val="134"/>
      </rPr>
      <t>）本期转回或收回情况</t>
    </r>
    <r>
      <rPr>
        <sz val="12"/>
        <color indexed="12"/>
        <rFont val="仿宋_GB2312"/>
        <family val="3"/>
        <charset val="134"/>
      </rPr>
      <t>（非上市公司可参照选择披露）</t>
    </r>
  </si>
  <si>
    <r>
      <rPr>
        <b/>
        <sz val="12"/>
        <rFont val="仿宋_GB2312"/>
        <family val="3"/>
        <charset val="134"/>
      </rPr>
      <t>转回或收回原因</t>
    </r>
  </si>
  <si>
    <r>
      <rPr>
        <b/>
        <sz val="12"/>
        <rFont val="仿宋_GB2312"/>
        <family val="3"/>
        <charset val="134"/>
      </rPr>
      <t>确定原坏账准备的依据</t>
    </r>
  </si>
  <si>
    <r>
      <rPr>
        <b/>
        <sz val="12"/>
        <rFont val="仿宋_GB2312"/>
        <family val="3"/>
        <charset val="134"/>
      </rPr>
      <t>转回或收回前累计已计提坏账准备金额</t>
    </r>
  </si>
  <si>
    <r>
      <rPr>
        <b/>
        <sz val="12"/>
        <rFont val="仿宋_GB2312"/>
        <family val="3"/>
        <charset val="134"/>
      </rPr>
      <t>合计</t>
    </r>
  </si>
  <si>
    <r>
      <rPr>
        <sz val="12"/>
        <color rgb="FF0000FF"/>
        <rFont val="仿宋_GB2312"/>
        <family val="3"/>
        <charset val="134"/>
      </rPr>
      <t>（注：本表列报本报告期前已全额计提坏账准备，或计提减值准备的比例较大，但在本期又全额收回或转回，或在本期收回或转回比例较大的应收账款。对本期通过重组等方式收回的金额重大的应收账款，则应逐笔列报，金额不重大的，可汇总列报。）</t>
    </r>
  </si>
  <si>
    <r>
      <rPr>
        <sz val="12"/>
        <rFont val="仿宋_GB2312"/>
        <family val="3"/>
        <charset val="134"/>
      </rPr>
      <t>（</t>
    </r>
    <r>
      <rPr>
        <sz val="12"/>
        <rFont val="Arial Narrow"/>
        <family val="2"/>
      </rPr>
      <t>4</t>
    </r>
    <r>
      <rPr>
        <sz val="12"/>
        <rFont val="仿宋_GB2312"/>
        <family val="3"/>
        <charset val="134"/>
      </rPr>
      <t>）本报告期实际核销的应收账款（非上市公司可参照选择披露）</t>
    </r>
  </si>
  <si>
    <r>
      <rPr>
        <b/>
        <sz val="12"/>
        <rFont val="仿宋_GB2312"/>
        <family val="3"/>
        <charset val="134"/>
      </rPr>
      <t>应收账款性质</t>
    </r>
  </si>
  <si>
    <r>
      <rPr>
        <b/>
        <sz val="12"/>
        <rFont val="仿宋_GB2312"/>
        <family val="3"/>
        <charset val="134"/>
      </rPr>
      <t>是否因关联交易产生</t>
    </r>
  </si>
  <si>
    <t>--</t>
  </si>
  <si>
    <r>
      <rPr>
        <sz val="12"/>
        <rFont val="仿宋_GB2312"/>
        <family val="3"/>
        <charset val="134"/>
      </rPr>
      <t>（</t>
    </r>
    <r>
      <rPr>
        <sz val="12"/>
        <rFont val="Arial Narrow"/>
        <family val="2"/>
      </rPr>
      <t>5</t>
    </r>
    <r>
      <rPr>
        <sz val="12"/>
        <rFont val="仿宋_GB2312"/>
        <family val="3"/>
        <charset val="134"/>
      </rPr>
      <t>）由金融资产转移而终止确认的应收账款情况</t>
    </r>
  </si>
  <si>
    <r>
      <rPr>
        <b/>
        <sz val="12"/>
        <rFont val="仿宋_GB2312"/>
        <family val="3"/>
        <charset val="134"/>
      </rPr>
      <t>与终止确认相关的利得或损失（损失以</t>
    </r>
    <r>
      <rPr>
        <b/>
        <sz val="12"/>
        <rFont val="Arial Narrow"/>
        <family val="2"/>
      </rPr>
      <t>“-”</t>
    </r>
    <r>
      <rPr>
        <b/>
        <sz val="12"/>
        <rFont val="仿宋_GB2312"/>
        <family val="3"/>
        <charset val="134"/>
      </rPr>
      <t>填列）</t>
    </r>
  </si>
  <si>
    <r>
      <rPr>
        <sz val="12"/>
        <rFont val="仿宋_GB2312"/>
        <family val="3"/>
        <charset val="134"/>
      </rPr>
      <t>（</t>
    </r>
    <r>
      <rPr>
        <sz val="12"/>
        <rFont val="Arial Narrow"/>
        <family val="2"/>
      </rPr>
      <t>6</t>
    </r>
    <r>
      <rPr>
        <sz val="12"/>
        <rFont val="仿宋_GB2312"/>
        <family val="3"/>
        <charset val="134"/>
      </rPr>
      <t>）应收账款转移，如证券化、保理等，继续涉入形成的资产、负债的金额</t>
    </r>
  </si>
  <si>
    <r>
      <rPr>
        <b/>
        <sz val="12"/>
        <rFont val="仿宋_GB2312"/>
        <family val="3"/>
        <charset val="134"/>
      </rPr>
      <t>期末金额</t>
    </r>
  </si>
  <si>
    <r>
      <rPr>
        <b/>
        <sz val="11"/>
        <rFont val="宋体"/>
        <family val="3"/>
        <charset val="134"/>
      </rPr>
      <t>致同会计师事务所</t>
    </r>
  </si>
  <si>
    <r>
      <rPr>
        <sz val="11"/>
        <rFont val="宋体"/>
        <family val="3"/>
        <charset val="134"/>
      </rPr>
      <t>页</t>
    </r>
    <r>
      <rPr>
        <sz val="11"/>
        <rFont val="Arial Narrow"/>
        <family val="2"/>
      </rPr>
      <t xml:space="preserve">  </t>
    </r>
    <r>
      <rPr>
        <sz val="11"/>
        <rFont val="宋体"/>
        <family val="3"/>
        <charset val="134"/>
      </rPr>
      <t>次：</t>
    </r>
  </si>
  <si>
    <t>应收账款附注</t>
  </si>
  <si>
    <t>（1）按账龄披露</t>
  </si>
  <si>
    <t>账 龄</t>
  </si>
  <si>
    <t>期末余额</t>
  </si>
  <si>
    <t>上年年末余额</t>
  </si>
  <si>
    <t>1年以内</t>
  </si>
  <si>
    <t>其中：0-X个月</t>
  </si>
  <si>
    <t xml:space="preserve">      X-Y个月</t>
  </si>
  <si>
    <t xml:space="preserve">      </t>
  </si>
  <si>
    <t>1年以内小计：</t>
  </si>
  <si>
    <t>1至2年</t>
  </si>
  <si>
    <t>2至3年</t>
  </si>
  <si>
    <t>3至4年</t>
  </si>
  <si>
    <t>4至5年</t>
  </si>
  <si>
    <t>5年以上</t>
  </si>
  <si>
    <t>小  计</t>
  </si>
  <si>
    <t>减：坏账准备</t>
  </si>
  <si>
    <t>合  计</t>
  </si>
  <si>
    <t>（2）按坏账计提方法分类披露</t>
  </si>
  <si>
    <t>类 别</t>
  </si>
  <si>
    <t>账面余额</t>
  </si>
  <si>
    <t>坏账准备</t>
  </si>
  <si>
    <t>账面价值</t>
  </si>
  <si>
    <t>金额</t>
  </si>
  <si>
    <t>比例(%)</t>
  </si>
  <si>
    <t>预期信用损失率(%)</t>
  </si>
  <si>
    <t>按单项计提坏账准备</t>
  </si>
  <si>
    <t>其中：</t>
  </si>
  <si>
    <t xml:space="preserve">  </t>
  </si>
  <si>
    <t>按组合计提坏账准备【注意：与会计政策中披露的组合保持一致】</t>
  </si>
  <si>
    <t>续：</t>
  </si>
  <si>
    <t xml:space="preserve">  应收中央企业客户</t>
  </si>
  <si>
    <t xml:space="preserve">  应收海外企业客户</t>
  </si>
  <si>
    <t>按单项计提坏账准备的应收账款：</t>
  </si>
  <si>
    <t>名 称</t>
  </si>
  <si>
    <t>预期信用损失率（%）</t>
  </si>
  <si>
    <t>计提依据</t>
  </si>
  <si>
    <t>/</t>
  </si>
  <si>
    <t>按组合计提坏账准备的应收账款：</t>
  </si>
  <si>
    <t>组合计提项目：组合1</t>
  </si>
  <si>
    <t>1-2年</t>
  </si>
  <si>
    <t>2-3年</t>
  </si>
  <si>
    <t>3-4年</t>
  </si>
  <si>
    <t>4-5年</t>
  </si>
  <si>
    <t>组合计提项目：组合2</t>
  </si>
  <si>
    <t>组合计提项目：应收海外企业客户</t>
  </si>
  <si>
    <t>组合计提项目：组合4</t>
  </si>
  <si>
    <t>组合计提项目：组合5</t>
  </si>
  <si>
    <t>（3）本期计提、收回或转回的坏账准备情况</t>
  </si>
  <si>
    <t>[本期转销]</t>
  </si>
  <si>
    <t>[其他]</t>
  </si>
  <si>
    <t>转回或收回金额重要的坏账准备如下：</t>
  </si>
  <si>
    <t>单位名称</t>
  </si>
  <si>
    <t>转回原因</t>
  </si>
  <si>
    <t>收回方式</t>
  </si>
  <si>
    <t>原确定坏账准备的依据</t>
  </si>
  <si>
    <t>转回或收回金额</t>
  </si>
  <si>
    <t>【15号文第十九条（四）4，本期坏账准备收回或转回金额重要的，应披露转回原因、收回方式、确定原坏账准备计提比例的依据及其合理性；】</t>
  </si>
  <si>
    <t xml:space="preserve">说明：【为有助于财务报表使用者了解企业损失准备变动信息，企业应当对本期发生损失准备变动的金融工具账面余额显著变动情况作出说明，这些说明信息应当包括定性和定量信息。例如： </t>
  </si>
  <si>
    <t xml:space="preserve">下述应收账款账面余额的显著变动导致2023年应收账款坏账准备的增加： </t>
  </si>
  <si>
    <t xml:space="preserve">   [XX]业务增长导致应收账款账面余额增加人民币[XX]元，相应地，坏账准备增加人民币[XX]元； </t>
  </si>
  <si>
    <t xml:space="preserve">   逾期超过30天的应收账款账面余额增加，导致坏账准备增加人民币[XX]元； </t>
  </si>
  <si>
    <r>
      <rPr>
        <sz val="11"/>
        <color rgb="FFFF0000"/>
        <rFont val="宋体"/>
        <family val="3"/>
        <charset val="134"/>
        <scheme val="minor"/>
      </rPr>
      <t>   本年核销应收账款人民币[XX]元，导致坏账准备减少人民币[XX]元。</t>
    </r>
    <r>
      <rPr>
        <sz val="11"/>
        <color rgb="FF0000FF"/>
        <rFont val="宋体"/>
        <family val="3"/>
        <charset val="134"/>
        <scheme val="minor"/>
      </rPr>
      <t>】</t>
    </r>
    <r>
      <rPr>
        <sz val="11"/>
        <color rgb="FFFF0000"/>
        <rFont val="宋体"/>
        <family val="3"/>
        <charset val="134"/>
        <scheme val="minor"/>
      </rPr>
      <t xml:space="preserve"> </t>
    </r>
  </si>
  <si>
    <t>（4）本期实际核销的应收账款情况</t>
  </si>
  <si>
    <t>项  目</t>
  </si>
  <si>
    <t>核销金额</t>
  </si>
  <si>
    <t>实际核销的应收账款</t>
  </si>
  <si>
    <t>重要的应收账款核销情况（逐项披露）：</t>
  </si>
  <si>
    <t>应收账款性质</t>
  </si>
  <si>
    <t>核销原因</t>
  </si>
  <si>
    <t>履行的核销程序</t>
  </si>
  <si>
    <t>款项是否由关联交易产生</t>
  </si>
  <si>
    <t>【15号文第十九条（四）6，对于其中重要的款项，应逐项披露款项性质、核销原因、履行的核销程序及核销金额。实际核销的款项由关联交易产生的，应单独披露；】</t>
  </si>
  <si>
    <t>说明：</t>
  </si>
  <si>
    <t>（5）按欠款方归集的应收账款和合同资产期末余额前五名单位情况</t>
  </si>
  <si>
    <t>【15号文第十九条（四）7，按欠款方集中度，汇总或分别披露期末余额前5名的应收账款和合同资产的期末余额及占应收账款和合同资产期末余额合计数的比例，以及相应计提的坏账准备期末余额。如果公司对同一客户存在合同资产的，应将合同资产与应收账款合并计算。】</t>
  </si>
  <si>
    <t>【提示：15号文第七条 公司在编制和披露财务报告时应当严格遵守保密相关法律法规。】</t>
  </si>
  <si>
    <t>汇总披露格式：</t>
  </si>
  <si>
    <t>分别披露格式：</t>
  </si>
  <si>
    <t>应收账款期末余额</t>
  </si>
  <si>
    <t>合同资产期末余额</t>
  </si>
  <si>
    <t>应收账款和合同资产期末余额</t>
  </si>
  <si>
    <t>占应收账款和合同资产期末余额合计数的比例%</t>
  </si>
  <si>
    <t>应收账款坏账准备和合同资产减值准备期末余额</t>
  </si>
  <si>
    <t>（6）因金融资产转移而终止确认的应收账款情况</t>
  </si>
  <si>
    <t>【15号文第五十一条 公司发生金融资产转移的，应按照金融资产转移方式分类列示已转移金融资产性质及金额、终止确认情况及其判断依据。
因转移而终止确认的金融资产，应分项列示金融资产转移的方式、终止确认的金融资产金额，及与终止确认相关的利得或损失。】</t>
  </si>
  <si>
    <t>转移方式</t>
  </si>
  <si>
    <t>终止确认金额</t>
  </si>
  <si>
    <t>与终止确认相关的利得或损失</t>
  </si>
  <si>
    <t>A、期末，本公司因办理了不附追索权的应收账款保理，保理金额为XXX元，同时终止确认应收账款账面价值为XXX元，账面余额为XXX元，账龄为一年以内，已计提坏账</t>
  </si>
  <si>
    <t>B、【不符合终止确认条件的应收账款的转移，应在附注中单独列示其金额。参考披露格式：</t>
  </si>
  <si>
    <t>期末，本公司共有账面价值为XXX元的应收账款，办理了附追索权的应收账款保理，账面余额为XXX元，已计提坏账准备XXX元，应收账款质押给银行取得短期借款XXX元。】</t>
  </si>
  <si>
    <t>C、本公司已背书给供应商用于结算应付账款及已向银行贴现的银行承兑汇票账面价值合计为XX元，本公司认为，其中账面价值为XXX元（2022年12月31日：XX元）的应收票据于贴现时已经转移了几乎所有的风险与报酬，符合金融资产终止确认条件，因此，终止确认相关应收票据。这些已终止确认的应收票据继续涉入的风险最大敞口与回购该票据的未折现现金流量，与应收票据的账面价值相等。本公司认为继续涉入已终止确认的应收票据的公允价值并不重大。</t>
  </si>
  <si>
    <t>（7）转移应收账款且继续涉入形成的资产、负债的金额</t>
  </si>
  <si>
    <t>【转移金融资产且继续涉入的，应披露资产转移方式、分项列示继续涉入形成的资产、负债的金额。】</t>
  </si>
  <si>
    <t>资产转移方式</t>
  </si>
  <si>
    <t>继续涉入形成的资产金额</t>
  </si>
  <si>
    <t>继续涉入形成的负债金额</t>
  </si>
  <si>
    <t>说明：（资产转移方式；未全部终止确认的被转移金融资产与相关负债之间的关系，已终止确认的金融资产继续涉入的性质及相关风险的信息。）</t>
  </si>
  <si>
    <t>页  次：</t>
  </si>
  <si>
    <t>账  龄</t>
  </si>
  <si>
    <t>1年以内（含1年）</t>
  </si>
  <si>
    <t>（1）按坏账准备计提方法分类披露应收账款</t>
  </si>
  <si>
    <t>类  别</t>
  </si>
  <si>
    <t>账面</t>
  </si>
  <si>
    <t>价值</t>
  </si>
  <si>
    <t>期末，按单项计提坏账准备的应收账款：</t>
  </si>
  <si>
    <t>债务人名称</t>
  </si>
  <si>
    <t>账龄</t>
  </si>
  <si>
    <t>——</t>
  </si>
  <si>
    <t>按信用风险特征组合计提坏账准备的应收账款：</t>
  </si>
  <si>
    <t>比例（%）</t>
  </si>
  <si>
    <t>采用余额百分比或其他组合方法计提坏账准备的应收账款</t>
  </si>
  <si>
    <t>组合名称</t>
  </si>
  <si>
    <t xml:space="preserve">期初数 </t>
  </si>
  <si>
    <t>计提比例（%）</t>
  </si>
  <si>
    <t>（注：填写具体组合名称。）</t>
  </si>
  <si>
    <t>（2）本期计提、收回或转回的坏账准备情况</t>
  </si>
  <si>
    <t>本期变动金额</t>
  </si>
  <si>
    <t>计提</t>
  </si>
  <si>
    <t>收回或转回</t>
  </si>
  <si>
    <t>转销或核销</t>
  </si>
  <si>
    <t>单项</t>
  </si>
  <si>
    <t>组合：</t>
  </si>
  <si>
    <t xml:space="preserve">  ……</t>
  </si>
  <si>
    <t>收回或转回的坏账准备：</t>
  </si>
  <si>
    <t>转回或收回前累计已计提坏账准备金额</t>
  </si>
  <si>
    <t>转回或收回原因、方式</t>
  </si>
  <si>
    <t>（注：本表列报本报告期前已全额计提坏账准备，或计提减值准备的比例较大，但在本期又全额收回或转回，或在本期收回或转回比例较大的应收账款。对本期通过重组等方式收回的金额重大的应收账款，则应逐笔列报，金额不重大的，可汇总列报。）</t>
  </si>
  <si>
    <t>（3）本期实际核销的应收账款</t>
  </si>
  <si>
    <t>是否因关联交易产生</t>
  </si>
  <si>
    <t>（4）按欠款方归集的期末余额前五名的应收账款</t>
  </si>
  <si>
    <t>占应收账款合计的比例（%）</t>
  </si>
  <si>
    <t>（5）由金融资产转移而终止确认的应收账款</t>
  </si>
  <si>
    <t>与终止确认相关的利得或损失（损失以“-”填列）</t>
  </si>
  <si>
    <t>A、期末，本公司因办理了不附追索权的应收账款贴现，贴现金额为XXX元，同时终止确认应收账款账面价值为XXX元，账面余额为XXX元，账龄为一年以内，已计提坏账准备XXX元。</t>
  </si>
  <si>
    <t>B、（不符合终止确认条件的应收账款的转移，应在附注中单独列示其金额。）参考披露格式：</t>
  </si>
  <si>
    <t>期末，本公司共有账面价值为XXX元的应收账款，账面余额为XXX元，已计提坏账准备XXX元，质押给银行取得短期借款XXX元。</t>
  </si>
  <si>
    <t>（6）应收账款转移继续涉入形成的资产、负债的金额【如证券化、保理等】</t>
  </si>
  <si>
    <t>期末金额</t>
  </si>
  <si>
    <t>资产：</t>
  </si>
  <si>
    <t>资产小计</t>
  </si>
  <si>
    <t>负债：</t>
  </si>
  <si>
    <t>负债小计</t>
  </si>
  <si>
    <t>（资产转移方式；未全部终止确认的被转移金融资产与相关负债之间的关系，已终止确认的金融资产继续涉入的性质及相关风险的信息。）</t>
  </si>
  <si>
    <t>应收账款原值明细表</t>
  </si>
  <si>
    <t>一、审计目标:</t>
  </si>
  <si>
    <t>应收账款以恰当的金额包括在财务报表中，与之相关的计价调整已恰当记录。</t>
  </si>
  <si>
    <t>二、审计过程：</t>
  </si>
  <si>
    <t>客户名称</t>
  </si>
  <si>
    <t>关联方类型</t>
  </si>
  <si>
    <t>期初未审余额</t>
  </si>
  <si>
    <t>期初账项调整</t>
  </si>
  <si>
    <t>期初重分类调整</t>
  </si>
  <si>
    <t>期初审定余额</t>
  </si>
  <si>
    <t>期初审定账龄</t>
  </si>
  <si>
    <t>借方发生</t>
  </si>
  <si>
    <t>贷方发生</t>
  </si>
  <si>
    <t>期末未审账龄</t>
  </si>
  <si>
    <t>期末审定余额</t>
  </si>
  <si>
    <t>期末审定账龄</t>
  </si>
  <si>
    <t>信用风险组合方式</t>
  </si>
  <si>
    <t>是否函证</t>
  </si>
  <si>
    <t>期后回款</t>
  </si>
  <si>
    <t>备注</t>
  </si>
  <si>
    <t>单项计提</t>
  </si>
  <si>
    <t>组合1</t>
  </si>
  <si>
    <t>组合2</t>
  </si>
  <si>
    <t>组合3</t>
  </si>
  <si>
    <t>组合4</t>
  </si>
  <si>
    <t>组合X</t>
  </si>
  <si>
    <t>账龄占比</t>
  </si>
  <si>
    <t>账龄逻辑校验</t>
  </si>
  <si>
    <r>
      <rPr>
        <b/>
        <sz val="10"/>
        <rFont val="宋体"/>
        <family val="3"/>
        <charset val="134"/>
        <scheme val="minor"/>
      </rPr>
      <t>三、审计说明：</t>
    </r>
  </si>
  <si>
    <t>四、审计结论：</t>
  </si>
  <si>
    <t>应收账款坏账准备明细表</t>
  </si>
  <si>
    <t>1.……</t>
  </si>
  <si>
    <t>本期增加</t>
  </si>
  <si>
    <t>本期减少</t>
  </si>
  <si>
    <t>期初未审数</t>
  </si>
  <si>
    <t>期初审定数</t>
  </si>
  <si>
    <t>其他增加</t>
  </si>
  <si>
    <t>转回</t>
  </si>
  <si>
    <t>核销</t>
  </si>
  <si>
    <t>其他减少</t>
  </si>
  <si>
    <t>期末未审数</t>
  </si>
  <si>
    <t>期末账项调整</t>
  </si>
  <si>
    <t>期末审定数</t>
  </si>
  <si>
    <t>按单项评估计提</t>
  </si>
  <si>
    <t>信用风险组合计提</t>
  </si>
  <si>
    <t xml:space="preserve">合计 </t>
  </si>
  <si>
    <r>
      <rPr>
        <b/>
        <sz val="10"/>
        <rFont val="宋体"/>
        <family val="3"/>
        <charset val="134"/>
      </rPr>
      <t>三、审计说明：</t>
    </r>
  </si>
  <si>
    <t>应收账款调整分录汇总表</t>
  </si>
  <si>
    <t>调整事项说明</t>
  </si>
  <si>
    <t>类别（报表调整/账项调整/其他）</t>
  </si>
  <si>
    <t>报表项目</t>
  </si>
  <si>
    <t>科目名称</t>
  </si>
  <si>
    <t>附注项目</t>
  </si>
  <si>
    <t>借方调整金额</t>
  </si>
  <si>
    <t>贷方调整金额</t>
  </si>
  <si>
    <t>索引</t>
  </si>
  <si>
    <t>提示：本底稿适用于调整分录较多、较复杂的项目，且仅列示与本报表项目相关的审计调整。项目组可根据项目实际情况选择是否使用该底稿。</t>
  </si>
  <si>
    <t>C1</t>
  </si>
  <si>
    <t>Custom 1</t>
  </si>
  <si>
    <t>C2</t>
  </si>
  <si>
    <t>Custom 2</t>
  </si>
  <si>
    <t>C3</t>
  </si>
  <si>
    <t>Custom 3</t>
  </si>
  <si>
    <t>C4</t>
  </si>
  <si>
    <t>Custom 4</t>
  </si>
  <si>
    <t>C5</t>
  </si>
  <si>
    <t>Custom 5</t>
  </si>
  <si>
    <t>C6</t>
  </si>
  <si>
    <t>Custom 6</t>
  </si>
  <si>
    <t>C7</t>
  </si>
  <si>
    <t>Custom 7</t>
  </si>
  <si>
    <t>C8</t>
  </si>
  <si>
    <t>Custom 8</t>
  </si>
  <si>
    <t>A.资产负债表中记录的应收账款是存在的，且已经记录在恰当的账户中</t>
    <phoneticPr fontId="168" type="noConversion"/>
  </si>
  <si>
    <t>B.所有应记录的应收账款均已记录，所有应当包括在财务报表中的相关披露均已包括</t>
    <phoneticPr fontId="168" type="noConversion"/>
  </si>
  <si>
    <t>C.记录的应收账款由被审计单位拥有或控制</t>
    <phoneticPr fontId="168" type="noConversion"/>
  </si>
  <si>
    <t>E.应收账款已被恰当地汇总或分解且表述清楚，相关披露在按照企业会计准则的编制基础下是相关的、可理解的</t>
    <phoneticPr fontId="168" type="noConversion"/>
  </si>
  <si>
    <t>获取或编制应收账款明细表，执行以下程序，并编制审定表：
（1）复核加计是否正确，与总账、明细账合计数核对是否相符，期初余额与上期审定期末余额是否相符；
（3）检查非记账本位币应收账款的折算汇率及折算是否正确。
（4）分析有贷方余额的项目，查明原因，必要时，作重分类调整。
（5）结合其他应收款、合同负债、预收款项等往来项目的明细余额，调查有无同一客户多处挂账、异常余额或与销售无关的其他款项（如代销账户、关联方账户或雇员账户）。如有，应做出记录，必要时作调整。
（6）请被审计单位协助，在应收账款明细表上标出至审计时已收到的应收账款金额，对已收回金额较大的款项进行检查至支持性文件。</t>
    <phoneticPr fontId="168" type="noConversion"/>
  </si>
  <si>
    <t>结合营业收入审计，对重要的客户进行背景调查、电话访谈、实地走访等，核实应收账款真实性。</t>
    <phoneticPr fontId="168" type="noConversion"/>
  </si>
  <si>
    <t>D2-6
/D2-7
/D0</t>
    <phoneticPr fontId="168" type="noConversion"/>
  </si>
  <si>
    <t>通过检查自资产负债表日至___日止被审计单位授予欠款单位的、金额大于___的减免应收账款的支持性文件，以及资产负债表日前后销售退回和赊销水平，确定应收账款是否真实存在。</t>
    <phoneticPr fontId="168" type="noConversion"/>
  </si>
  <si>
    <t>对于应收账款保理、出售、资产证券化等业务：检查保理、资产证券化等交易的整套协议和相关会计处理是否恰当，关注交易的真实性；考虑函证重要项目。</t>
    <phoneticPr fontId="168" type="noConversion"/>
  </si>
  <si>
    <t>检查应收关联方款项：
（1）了解交易的商业理由、交易事项的目的、价格和条件，考虑对关联方应收账款的合理性、合法性；
（2）检查证实交易的支持性文件（例如，发票、合同、协议和运输单据等相关文件）、检查会计处理是否正确；
（3）考虑向关联方或其他注册会计师函证重大的关联销售交易（包括担保和其他重要信息）；
（4）必要时，向与交易相关的人员和机构（如银行、律师）函证或与其讨论有关信息。
（5）考虑是否存在未识别的关联方，关联交易和余额披露是否正确。</t>
    <phoneticPr fontId="168" type="noConversion"/>
  </si>
  <si>
    <t>D4-28
/D4-29
/D4-30
/D4-31
/D4-32</t>
    <phoneticPr fontId="23"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</si>
  <si>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68" type="noConversion"/>
  </si>
  <si>
    <t>关于工作底稿与审计程序索引号对应的说明</t>
    <phoneticPr fontId="16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</si>
  <si>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6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</si>
  <si>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6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</si>
  <si>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68" type="noConversion"/>
  </si>
  <si>
    <t>根据被审计单位实际情况和风险评估情况裁剪、修改或增加审计程序</t>
    <phoneticPr fontId="168" type="noConversion"/>
  </si>
  <si>
    <t>审计程序</t>
    <phoneticPr fontId="169" type="noConversion"/>
  </si>
  <si>
    <r>
      <t>1.</t>
    </r>
    <r>
      <rPr>
        <sz val="9"/>
        <color rgb="FFFF0000"/>
        <rFont val="宋体"/>
        <family val="3"/>
        <charset val="134"/>
      </rPr>
      <t>列示科目明细表，关注应收账款贷方非收款减少和借方其他调整的情况。</t>
    </r>
  </si>
  <si>
    <r>
      <t xml:space="preserve">4. </t>
    </r>
    <r>
      <rPr>
        <sz val="9"/>
        <color rgb="FFFF0000"/>
        <rFont val="宋体"/>
        <family val="3"/>
        <charset val="134"/>
      </rPr>
      <t>对挂账时间超过三年以上本期又没有发生额或发生额很小的应收账款，要求企业说明原因提供对方单位情况，根据情况进行调整。</t>
    </r>
  </si>
  <si>
    <r>
      <t>2.</t>
    </r>
    <r>
      <rPr>
        <sz val="9"/>
        <color rgb="FFFF0000"/>
        <rFont val="宋体"/>
        <family val="3"/>
        <charset val="134"/>
      </rPr>
      <t>与客户讨论并记录各主要明细项目的性质，并对波动较大的内容进行分析。根据相关审计情况，确定调整事项。</t>
    </r>
  </si>
  <si>
    <r>
      <t>3.</t>
    </r>
    <r>
      <rPr>
        <sz val="9"/>
        <color rgb="FFFF0000"/>
        <rFont val="宋体"/>
        <family val="3"/>
        <charset val="134"/>
      </rPr>
      <t>对应收账款进行账龄分析，结合账龄的分析关注长期收不回款项的性质。</t>
    </r>
  </si>
  <si>
    <r>
      <t xml:space="preserve">5. </t>
    </r>
    <r>
      <rPr>
        <sz val="9"/>
        <color rgb="FFFF0000"/>
        <rFont val="宋体"/>
        <family val="3"/>
        <charset val="134"/>
      </rPr>
      <t>关注关联方（包括持股</t>
    </r>
    <r>
      <rPr>
        <sz val="9"/>
        <color rgb="FFFF0000"/>
        <rFont val="Arial Narrow"/>
        <family val="2"/>
      </rPr>
      <t>5%</t>
    </r>
    <r>
      <rPr>
        <sz val="9"/>
        <color rgb="FFFF0000"/>
        <rFont val="宋体"/>
        <family val="3"/>
        <charset val="134"/>
      </rPr>
      <t>以上</t>
    </r>
    <r>
      <rPr>
        <sz val="9"/>
        <color rgb="FFFF0000"/>
        <rFont val="Arial Narrow"/>
        <family val="2"/>
      </rPr>
      <t>(</t>
    </r>
    <r>
      <rPr>
        <sz val="9"/>
        <color rgb="FFFF0000"/>
        <rFont val="宋体"/>
        <family val="3"/>
        <charset val="134"/>
      </rPr>
      <t>含</t>
    </r>
    <r>
      <rPr>
        <sz val="9"/>
        <color rgb="FFFF0000"/>
        <rFont val="Arial Narrow"/>
        <family val="2"/>
      </rPr>
      <t>5%)</t>
    </r>
    <r>
      <rPr>
        <sz val="9"/>
        <color rgb="FFFF0000"/>
        <rFont val="宋体"/>
        <family val="3"/>
        <charset val="134"/>
      </rPr>
      <t>股东）款项的变动情况，对异常情况要查明原因。</t>
    </r>
  </si>
  <si>
    <t>公司代码</t>
    <phoneticPr fontId="168" type="noConversion"/>
  </si>
  <si>
    <t>期末余额</t>
    <phoneticPr fontId="168" type="noConversion"/>
  </si>
  <si>
    <t>被审计单位重分类调整</t>
    <phoneticPr fontId="168" type="noConversion"/>
  </si>
  <si>
    <t>期末未审余额</t>
    <phoneticPr fontId="168" type="noConversion"/>
  </si>
  <si>
    <r>
      <rPr>
        <b/>
        <sz val="10"/>
        <rFont val="宋体"/>
        <family val="3"/>
        <charset val="134"/>
      </rPr>
      <t>期末余额</t>
    </r>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</si>
</sst>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2">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quot;$&quot;* #,##0.00_);_(&quot;$&quot;* \(#,##0.00\);_(&quot;$&quot;* &quot;-&quot;??_);_(@_)"/>
    <numFmt numFmtId="210" formatCode="_-* #,##0_-;\-* #,##0_-;_-* &quot;-&quot;??_-;_-@_-"/>
    <numFmt numFmtId="211" formatCode="0.00000000000_);[Red]\(0.00000000000\)"/>
    <numFmt numFmtId="212" formatCode="&quot;\&quot;#,##0;&quot;\&quot;&quot;\&quot;\-#,##0"/>
    <numFmt numFmtId="213" formatCode="&quot;?#,##0;\-&quot;?#,##0"/>
    <numFmt numFmtId="214" formatCode="_-* #,##0\¥_-;\-* #,##0\¥_-;_-* &quot;-&quot;\¥_-;_-@_-"/>
    <numFmt numFmtId="215" formatCode="0%_);\(0%\)"/>
    <numFmt numFmtId="216" formatCode="&quot;$&quot;#,##0;\-&quot;$&quot;#,##0"/>
    <numFmt numFmtId="217" formatCode="#,##0&quot; $&quot;;[Red]\-#,##0&quot; $&quot;"/>
    <numFmt numFmtId="218" formatCode="#,##0.00\¥;[Red]\-#,##0.00\¥"/>
    <numFmt numFmtId="219" formatCode="\ \ @"/>
    <numFmt numFmtId="220" formatCode="#,##0_);\(#,##0_)"/>
    <numFmt numFmtId="221" formatCode="_-* #,##0\ _k_r_-;\-* #,##0\ _k_r_-;_-* &quot;-&quot;\ _k_r_-;_-@_-"/>
    <numFmt numFmtId="222" formatCode="_-* #,##0.00\ _k_r_-;\-* #,##0.00\ _k_r_-;_-* &quot;-&quot;??\ _k_r_-;_-@_-"/>
    <numFmt numFmtId="223" formatCode="#,##0.00_);#,##0.00\)"/>
    <numFmt numFmtId="224" formatCode="0.00000&quot;  &quot;"/>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_(* #,##0.00_);_(* \(#,##0.00\);_(* &quot;-&quot;??_);_(@_)"/>
    <numFmt numFmtId="23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5" formatCode="#,##0.00_ "/>
  </numFmts>
  <fonts count="176">
    <font>
      <sz val="12"/>
      <name val="宋体"/>
      <charset val="134"/>
    </font>
    <font>
      <sz val="11"/>
      <color theme="1"/>
      <name val="宋体"/>
      <family val="2"/>
      <charset val="134"/>
      <scheme val="minor"/>
    </font>
    <font>
      <sz val="10"/>
      <name val="宋体"/>
      <family val="3"/>
      <charset val="134"/>
    </font>
    <font>
      <b/>
      <sz val="12"/>
      <name val="宋体"/>
      <family val="3"/>
      <charset val="134"/>
    </font>
    <font>
      <b/>
      <sz val="14"/>
      <name val="宋体"/>
      <family val="3"/>
      <charset val="134"/>
    </font>
    <font>
      <b/>
      <sz val="10"/>
      <color indexed="8"/>
      <name val="宋体"/>
      <family val="3"/>
      <charset val="134"/>
    </font>
    <font>
      <b/>
      <sz val="10"/>
      <name val="宋体"/>
      <family val="3"/>
      <charset val="134"/>
    </font>
    <font>
      <sz val="10"/>
      <color indexed="8"/>
      <name val="宋体"/>
      <family val="3"/>
      <charset val="134"/>
    </font>
    <font>
      <sz val="10"/>
      <color indexed="8"/>
      <name val="Arial Narrow"/>
      <family val="2"/>
    </font>
    <font>
      <sz val="10"/>
      <color rgb="FFFF0000"/>
      <name val="宋体"/>
      <family val="3"/>
      <charset val="134"/>
    </font>
    <font>
      <sz val="10"/>
      <color indexed="12"/>
      <name val="宋体"/>
      <family val="3"/>
      <charset val="134"/>
    </font>
    <font>
      <sz val="10"/>
      <name val="Arial Narrow"/>
      <family val="2"/>
    </font>
    <font>
      <b/>
      <sz val="10"/>
      <name val="Arial Narrow"/>
      <family val="2"/>
    </font>
    <font>
      <sz val="10"/>
      <color indexed="10"/>
      <name val="宋体"/>
      <family val="3"/>
      <charset val="134"/>
    </font>
    <font>
      <sz val="10"/>
      <name val="宋体"/>
      <family val="3"/>
      <charset val="134"/>
      <scheme val="minor"/>
    </font>
    <font>
      <b/>
      <sz val="10"/>
      <name val="宋体"/>
      <family val="3"/>
      <charset val="134"/>
      <scheme val="minor"/>
    </font>
    <font>
      <b/>
      <sz val="12"/>
      <name val="宋体"/>
      <family val="3"/>
      <charset val="134"/>
      <scheme val="minor"/>
    </font>
    <font>
      <b/>
      <sz val="14"/>
      <name val="宋体"/>
      <family val="3"/>
      <charset val="134"/>
      <scheme val="minor"/>
    </font>
    <font>
      <b/>
      <sz val="10"/>
      <color indexed="8"/>
      <name val="宋体"/>
      <family val="3"/>
      <charset val="134"/>
      <scheme val="minor"/>
    </font>
    <font>
      <b/>
      <u/>
      <sz val="10"/>
      <color indexed="10"/>
      <name val="宋体"/>
      <family val="3"/>
      <charset val="134"/>
      <scheme val="minor"/>
    </font>
    <font>
      <sz val="9"/>
      <color indexed="8"/>
      <name val="宋体"/>
      <family val="3"/>
      <charset val="134"/>
      <scheme val="minor"/>
    </font>
    <font>
      <sz val="9"/>
      <color rgb="FFFF0000"/>
      <name val="宋体"/>
      <family val="3"/>
      <charset val="134"/>
    </font>
    <font>
      <sz val="12"/>
      <name val="宋体"/>
      <family val="3"/>
      <charset val="134"/>
      <scheme val="minor"/>
    </font>
    <font>
      <sz val="9"/>
      <name val="宋体"/>
      <family val="3"/>
      <charset val="134"/>
      <scheme val="minor"/>
    </font>
    <font>
      <sz val="9"/>
      <name val="Arial Narrow"/>
      <family val="2"/>
    </font>
    <font>
      <b/>
      <sz val="9"/>
      <name val="宋体"/>
      <family val="3"/>
      <charset val="134"/>
      <scheme val="minor"/>
    </font>
    <font>
      <sz val="10"/>
      <color rgb="FFFF0000"/>
      <name val="Arial Narrow"/>
      <family val="2"/>
    </font>
    <font>
      <sz val="10"/>
      <color indexed="10"/>
      <name val="宋体"/>
      <family val="3"/>
      <charset val="134"/>
      <scheme val="minor"/>
    </font>
    <font>
      <b/>
      <sz val="10"/>
      <color rgb="FFFF0000"/>
      <name val="宋体"/>
      <family val="3"/>
      <charset val="134"/>
      <scheme val="minor"/>
    </font>
    <font>
      <b/>
      <sz val="11"/>
      <name val="宋体"/>
      <family val="3"/>
      <charset val="134"/>
      <scheme val="minor"/>
    </font>
    <font>
      <sz val="11"/>
      <name val="宋体"/>
      <family val="3"/>
      <charset val="134"/>
      <scheme val="minor"/>
    </font>
    <font>
      <b/>
      <u/>
      <sz val="11"/>
      <color indexed="12"/>
      <name val="宋体"/>
      <family val="3"/>
      <charset val="134"/>
      <scheme val="minor"/>
    </font>
    <font>
      <u/>
      <sz val="11"/>
      <color indexed="12"/>
      <name val="宋体"/>
      <family val="3"/>
      <charset val="134"/>
      <scheme val="minor"/>
    </font>
    <font>
      <sz val="11"/>
      <color rgb="FFFF0000"/>
      <name val="宋体"/>
      <family val="3"/>
      <charset val="134"/>
      <scheme val="minor"/>
    </font>
    <font>
      <b/>
      <sz val="11"/>
      <color rgb="FF000000"/>
      <name val="宋体"/>
      <family val="3"/>
      <charset val="134"/>
      <scheme val="minor"/>
    </font>
    <font>
      <sz val="11"/>
      <color rgb="FF0000FF"/>
      <name val="宋体"/>
      <family val="3"/>
      <charset val="134"/>
      <scheme val="minor"/>
    </font>
    <font>
      <b/>
      <sz val="11"/>
      <color rgb="FF0000FF"/>
      <name val="宋体"/>
      <family val="3"/>
      <charset val="134"/>
      <scheme val="minor"/>
    </font>
    <font>
      <b/>
      <sz val="11"/>
      <name val="Arial Narrow"/>
      <family val="2"/>
    </font>
    <font>
      <b/>
      <sz val="11"/>
      <name val="宋体"/>
      <family val="3"/>
      <charset val="134"/>
    </font>
    <font>
      <sz val="11"/>
      <name val="Arial Narrow"/>
      <family val="2"/>
    </font>
    <font>
      <sz val="11"/>
      <name val="宋体"/>
      <family val="3"/>
      <charset val="134"/>
    </font>
    <font>
      <sz val="11"/>
      <color rgb="FF000000"/>
      <name val="宋体"/>
      <family val="3"/>
      <charset val="134"/>
      <scheme val="minor"/>
    </font>
    <font>
      <sz val="12"/>
      <name val="Arial Narrow"/>
      <family val="2"/>
    </font>
    <font>
      <b/>
      <sz val="12"/>
      <name val="Arial Narrow"/>
      <family val="2"/>
    </font>
    <font>
      <sz val="12"/>
      <name val="仿宋_GB2312"/>
      <family val="3"/>
      <charset val="134"/>
    </font>
    <font>
      <sz val="12"/>
      <color rgb="FFFF0000"/>
      <name val="仿宋_GB2312"/>
      <family val="3"/>
      <charset val="134"/>
    </font>
    <font>
      <b/>
      <sz val="12"/>
      <color rgb="FF000000"/>
      <name val="Arial Narrow"/>
      <family val="2"/>
    </font>
    <font>
      <sz val="12"/>
      <color rgb="FF0000FF"/>
      <name val="Arial Narrow"/>
      <family val="2"/>
    </font>
    <font>
      <sz val="12"/>
      <color rgb="FF0000FF"/>
      <name val="仿宋_GB2312"/>
      <family val="3"/>
      <charset val="134"/>
    </font>
    <font>
      <sz val="12"/>
      <color rgb="FFFF0000"/>
      <name val="Arial Narrow"/>
      <family val="2"/>
    </font>
    <font>
      <b/>
      <sz val="12"/>
      <name val="仿宋_GB2312"/>
      <family val="3"/>
      <charset val="134"/>
    </font>
    <font>
      <sz val="12"/>
      <color rgb="FF000000"/>
      <name val="Arial Narrow"/>
      <family val="2"/>
    </font>
    <font>
      <b/>
      <sz val="12"/>
      <color rgb="FF000000"/>
      <name val="仿宋_GB2312"/>
      <family val="3"/>
      <charset val="134"/>
    </font>
    <font>
      <i/>
      <u/>
      <sz val="10"/>
      <color indexed="12"/>
      <name val="宋体"/>
      <family val="3"/>
      <charset val="134"/>
    </font>
    <font>
      <u/>
      <sz val="10"/>
      <name val="宋体"/>
      <family val="3"/>
      <charset val="134"/>
    </font>
    <font>
      <u/>
      <sz val="10"/>
      <name val="Arial Narrow"/>
      <family val="2"/>
    </font>
    <font>
      <u/>
      <sz val="10"/>
      <color indexed="12"/>
      <name val="宋体"/>
      <family val="3"/>
      <charset val="134"/>
    </font>
    <font>
      <sz val="10"/>
      <color theme="1"/>
      <name val="宋体"/>
      <family val="3"/>
      <charset val="134"/>
    </font>
    <font>
      <b/>
      <sz val="10"/>
      <color theme="1"/>
      <name val="宋体"/>
      <family val="3"/>
      <charset val="134"/>
    </font>
    <font>
      <sz val="10"/>
      <color theme="1"/>
      <name val="Arial Narrow"/>
      <family val="2"/>
    </font>
    <font>
      <b/>
      <sz val="10"/>
      <color theme="1"/>
      <name val="Arial Narrow"/>
      <family val="2"/>
    </font>
    <font>
      <sz val="10"/>
      <color rgb="FF0000FF"/>
      <name val="Arial Narrow"/>
      <family val="2"/>
    </font>
    <font>
      <sz val="10"/>
      <color rgb="FF0000FF"/>
      <name val="宋体"/>
      <family val="3"/>
      <charset val="134"/>
    </font>
    <font>
      <sz val="11"/>
      <color theme="1"/>
      <name val="宋体"/>
      <family val="3"/>
      <charset val="134"/>
      <scheme val="minor"/>
    </font>
    <font>
      <u/>
      <sz val="12"/>
      <color indexed="12"/>
      <name val="宋体"/>
      <family val="3"/>
      <charset val="134"/>
    </font>
    <font>
      <sz val="10"/>
      <name val="Arial"/>
      <family val="2"/>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1"/>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0"/>
      <name val="奔覆眉"/>
      <charset val="134"/>
    </font>
    <font>
      <b/>
      <sz val="12"/>
      <color indexed="8"/>
      <name val="宋体"/>
      <family val="3"/>
      <charset val="134"/>
    </font>
    <font>
      <sz val="12"/>
      <name val="柧挬"/>
      <charset val="134"/>
    </font>
    <font>
      <sz val="12"/>
      <name val="바탕체"/>
      <family val="3"/>
    </font>
    <font>
      <sz val="12"/>
      <color indexed="12"/>
      <name val="仿宋_GB2312"/>
      <family val="3"/>
      <charset val="134"/>
    </font>
    <font>
      <sz val="12"/>
      <color indexed="12"/>
      <name val="Arial Narrow"/>
      <family val="2"/>
    </font>
    <font>
      <b/>
      <sz val="12"/>
      <color rgb="FF0000FF"/>
      <name val="仿宋_GB2312"/>
      <family val="3"/>
      <charset val="134"/>
    </font>
    <font>
      <sz val="12"/>
      <color rgb="FF000000"/>
      <name val="仿宋_GB2312"/>
      <family val="3"/>
      <charset val="134"/>
    </font>
    <font>
      <sz val="12"/>
      <name val="宋体"/>
      <family val="3"/>
      <charset val="134"/>
    </font>
    <font>
      <sz val="10"/>
      <name val="宋体"/>
      <family val="3"/>
      <charset val="134"/>
    </font>
    <font>
      <sz val="9"/>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
      <sz val="9"/>
      <color rgb="FFFF0000"/>
      <name val="Arial Narrow"/>
      <family val="2"/>
    </font>
    <font>
      <sz val="9"/>
      <color indexed="8"/>
      <name val="Arial Narrow"/>
      <family val="2"/>
    </font>
    <font>
      <sz val="10"/>
      <color indexed="12"/>
      <name val="Arial Narrow"/>
      <family val="2"/>
    </font>
    <font>
      <u/>
      <sz val="10"/>
      <color rgb="FF0000FF"/>
      <name val="宋体"/>
      <family val="3"/>
      <charset val="134"/>
    </font>
  </fonts>
  <fills count="60">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theme="0" tint="-0.14996795556505021"/>
        <bgColor indexed="64"/>
      </patternFill>
    </fill>
    <fill>
      <patternFill patternType="solid">
        <fgColor rgb="FFFFFFFF"/>
        <bgColor indexed="64"/>
      </patternFill>
    </fill>
    <fill>
      <patternFill patternType="solid">
        <fgColor theme="0"/>
        <bgColor indexed="64"/>
      </patternFill>
    </fill>
    <fill>
      <patternFill patternType="solid">
        <fgColor rgb="FFDCD5E5"/>
        <bgColor indexed="64"/>
      </patternFill>
    </fill>
    <fill>
      <patternFill patternType="solid">
        <fgColor indexed="14"/>
        <bgColor indexed="64"/>
      </patternFill>
    </fill>
    <fill>
      <patternFill patternType="solid">
        <fgColor rgb="FFC6EFCE"/>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28">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medium">
        <color auto="1"/>
      </top>
      <bottom style="medium">
        <color auto="1"/>
      </bottom>
      <diagonal/>
    </border>
    <border>
      <left/>
      <right/>
      <top/>
      <bottom style="medium">
        <color rgb="FF000000"/>
      </bottom>
      <diagonal/>
    </border>
    <border>
      <left/>
      <right/>
      <top style="medium">
        <color auto="1"/>
      </top>
      <bottom/>
      <diagonal/>
    </border>
    <border>
      <left/>
      <right/>
      <top/>
      <bottom style="medium">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702">
    <xf numFmtId="0" fontId="0" fillId="0" borderId="0">
      <protection locked="0"/>
    </xf>
    <xf numFmtId="43" fontId="166" fillId="0" borderId="0" applyFont="0" applyFill="0" applyBorder="0" applyAlignment="0" applyProtection="0"/>
    <xf numFmtId="9" fontId="166" fillId="0" borderId="0" applyFont="0" applyFill="0" applyBorder="0" applyAlignment="0" applyProtection="0"/>
    <xf numFmtId="0" fontId="64" fillId="0" borderId="0" applyNumberFormat="0" applyFill="0" applyBorder="0" applyAlignment="0" applyProtection="0">
      <alignment vertical="top"/>
      <protection locked="0"/>
    </xf>
    <xf numFmtId="0" fontId="65" fillId="0" borderId="0"/>
    <xf numFmtId="0" fontId="65" fillId="0" borderId="0"/>
    <xf numFmtId="0" fontId="166" fillId="0" borderId="0" applyNumberFormat="0" applyFill="0" applyBorder="0" applyAlignment="0" applyProtection="0"/>
    <xf numFmtId="176" fontId="65" fillId="0" borderId="0"/>
    <xf numFmtId="0" fontId="65" fillId="0" borderId="0"/>
    <xf numFmtId="0" fontId="66" fillId="0" borderId="0" applyFont="0" applyFill="0" applyBorder="0" applyAlignment="0" applyProtection="0"/>
    <xf numFmtId="0" fontId="66" fillId="0" borderId="0" applyFont="0" applyFill="0" applyBorder="0" applyAlignment="0" applyProtection="0"/>
    <xf numFmtId="0" fontId="67" fillId="0" borderId="0"/>
    <xf numFmtId="176" fontId="65" fillId="0" borderId="0"/>
    <xf numFmtId="0" fontId="65" fillId="0" borderId="0"/>
    <xf numFmtId="176" fontId="65" fillId="0" borderId="0"/>
    <xf numFmtId="0" fontId="65" fillId="0" borderId="0"/>
    <xf numFmtId="176" fontId="65" fillId="0" borderId="0"/>
    <xf numFmtId="0" fontId="65" fillId="0" borderId="0"/>
    <xf numFmtId="49" fontId="68" fillId="0" borderId="0" applyProtection="0">
      <alignment horizontal="left"/>
    </xf>
    <xf numFmtId="49" fontId="68" fillId="0" borderId="0" applyProtection="0">
      <alignment horizontal="left"/>
    </xf>
    <xf numFmtId="0" fontId="69" fillId="0" borderId="0">
      <alignment vertical="top"/>
      <protection locked="0"/>
    </xf>
    <xf numFmtId="0" fontId="69" fillId="0" borderId="0">
      <alignment vertical="top"/>
    </xf>
    <xf numFmtId="0" fontId="65" fillId="0" borderId="0" applyNumberFormat="0" applyFill="0" applyBorder="0" applyAlignment="0">
      <protection locked="0"/>
    </xf>
    <xf numFmtId="0" fontId="69" fillId="0" borderId="0">
      <alignment vertical="top"/>
      <protection locked="0"/>
    </xf>
    <xf numFmtId="0" fontId="69" fillId="0" borderId="0">
      <alignment vertical="top"/>
    </xf>
    <xf numFmtId="0" fontId="69" fillId="0" borderId="0">
      <alignment vertical="top"/>
    </xf>
    <xf numFmtId="0"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5" fillId="0" borderId="0" applyNumberFormat="0" applyFill="0" applyBorder="0" applyAlignment="0">
      <protection locked="0"/>
    </xf>
    <xf numFmtId="0" fontId="70" fillId="0" borderId="0"/>
    <xf numFmtId="0" fontId="70" fillId="0" borderId="0"/>
    <xf numFmtId="0" fontId="70" fillId="0" borderId="0"/>
    <xf numFmtId="0" fontId="70" fillId="0" borderId="0"/>
    <xf numFmtId="0" fontId="70"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70" fillId="0" borderId="0"/>
    <xf numFmtId="0" fontId="70" fillId="0" borderId="0"/>
    <xf numFmtId="0" fontId="70" fillId="0" borderId="0"/>
    <xf numFmtId="0" fontId="70" fillId="0" borderId="0"/>
    <xf numFmtId="0" fontId="70" fillId="0" borderId="0"/>
    <xf numFmtId="176" fontId="69" fillId="0" borderId="0">
      <alignment vertical="top"/>
    </xf>
    <xf numFmtId="0" fontId="69" fillId="0" borderId="0">
      <alignment vertical="top"/>
    </xf>
    <xf numFmtId="0" fontId="69" fillId="0" borderId="0">
      <alignment vertical="top"/>
    </xf>
    <xf numFmtId="0" fontId="70" fillId="0" borderId="0"/>
    <xf numFmtId="0" fontId="70" fillId="0" borderId="0"/>
    <xf numFmtId="0" fontId="70" fillId="0" borderId="0"/>
    <xf numFmtId="0" fontId="70" fillId="0" borderId="0"/>
    <xf numFmtId="0" fontId="70" fillId="0" borderId="0"/>
    <xf numFmtId="0" fontId="69" fillId="0" borderId="0">
      <alignment vertical="top"/>
    </xf>
    <xf numFmtId="0" fontId="65" fillId="0" borderId="0" applyNumberFormat="0" applyFill="0" applyBorder="0" applyAlignment="0" applyProtection="0"/>
    <xf numFmtId="0"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xf>
    <xf numFmtId="0" fontId="69" fillId="0" borderId="0">
      <alignment vertical="top"/>
    </xf>
    <xf numFmtId="0" fontId="71" fillId="0" borderId="0"/>
    <xf numFmtId="176" fontId="69" fillId="0" borderId="0">
      <alignment vertical="top"/>
    </xf>
    <xf numFmtId="0"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0" fontId="70" fillId="0" borderId="0"/>
    <xf numFmtId="176" fontId="69" fillId="0" borderId="0">
      <alignment vertical="top"/>
    </xf>
    <xf numFmtId="0" fontId="69" fillId="0" borderId="0">
      <alignment vertical="top"/>
    </xf>
    <xf numFmtId="0" fontId="70" fillId="0" borderId="0"/>
    <xf numFmtId="0" fontId="70" fillId="0" borderId="0"/>
    <xf numFmtId="0" fontId="70"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70" fillId="0" borderId="0"/>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176" fontId="69" fillId="0" borderId="0">
      <alignment vertical="top"/>
    </xf>
    <xf numFmtId="0" fontId="69" fillId="0" borderId="0">
      <alignment vertical="top"/>
    </xf>
    <xf numFmtId="0" fontId="69" fillId="0" borderId="0">
      <alignment vertical="top"/>
    </xf>
    <xf numFmtId="0" fontId="69" fillId="0" borderId="0">
      <alignment vertical="top"/>
      <protection locked="0"/>
    </xf>
    <xf numFmtId="0" fontId="70" fillId="0" borderId="0"/>
    <xf numFmtId="176" fontId="69" fillId="0" borderId="0">
      <alignment vertical="top"/>
    </xf>
    <xf numFmtId="0" fontId="69" fillId="0" borderId="0">
      <alignment vertical="top"/>
    </xf>
    <xf numFmtId="0" fontId="69" fillId="0" borderId="0">
      <alignment vertical="top"/>
      <protection locked="0"/>
    </xf>
    <xf numFmtId="176" fontId="69" fillId="0" borderId="0">
      <alignment vertical="top"/>
    </xf>
    <xf numFmtId="0" fontId="69" fillId="0" borderId="0">
      <alignment vertical="top"/>
    </xf>
    <xf numFmtId="0" fontId="69" fillId="0" borderId="0">
      <alignment vertical="top"/>
      <protection locked="0"/>
    </xf>
    <xf numFmtId="0" fontId="69" fillId="0" borderId="0">
      <alignment vertical="top"/>
      <protection locked="0"/>
    </xf>
    <xf numFmtId="0" fontId="69" fillId="0" borderId="0">
      <alignment vertical="top"/>
    </xf>
    <xf numFmtId="0" fontId="69" fillId="0" borderId="0">
      <alignment vertical="top"/>
      <protection locked="0"/>
    </xf>
    <xf numFmtId="0" fontId="69" fillId="0" borderId="0">
      <alignment vertical="top"/>
    </xf>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9" fillId="0" borderId="0">
      <alignment vertical="top"/>
      <protection locked="0"/>
    </xf>
    <xf numFmtId="0" fontId="70" fillId="0" borderId="0"/>
    <xf numFmtId="176" fontId="69" fillId="0" borderId="0">
      <alignment vertical="top"/>
    </xf>
    <xf numFmtId="0" fontId="69" fillId="0" borderId="0">
      <alignment vertical="top"/>
    </xf>
    <xf numFmtId="0" fontId="69" fillId="0" borderId="0">
      <alignment vertical="top"/>
      <protection locked="0"/>
    </xf>
    <xf numFmtId="176" fontId="69" fillId="0" borderId="0">
      <alignment vertical="top"/>
      <protection locked="0"/>
    </xf>
    <xf numFmtId="0" fontId="69" fillId="0" borderId="0">
      <alignment vertical="top"/>
      <protection locked="0"/>
    </xf>
    <xf numFmtId="0" fontId="70" fillId="0" borderId="0"/>
    <xf numFmtId="177" fontId="68" fillId="0" borderId="0" applyFill="0" applyBorder="0" applyProtection="0">
      <alignment horizontal="right"/>
    </xf>
    <xf numFmtId="178" fontId="68" fillId="0" borderId="0" applyFill="0" applyBorder="0" applyProtection="0">
      <alignment horizontal="right"/>
    </xf>
    <xf numFmtId="179" fontId="72" fillId="0" borderId="0" applyFill="0" applyBorder="0" applyProtection="0">
      <alignment horizontal="center"/>
    </xf>
    <xf numFmtId="180" fontId="72" fillId="0" borderId="0" applyFill="0" applyBorder="0" applyProtection="0">
      <alignment horizontal="center"/>
    </xf>
    <xf numFmtId="181" fontId="73" fillId="0" borderId="0" applyFill="0" applyBorder="0" applyProtection="0">
      <alignment horizontal="right"/>
    </xf>
    <xf numFmtId="182" fontId="68" fillId="0" borderId="0" applyFill="0" applyBorder="0" applyProtection="0">
      <alignment horizontal="right"/>
    </xf>
    <xf numFmtId="183" fontId="68" fillId="0" borderId="0" applyFill="0" applyBorder="0" applyProtection="0">
      <alignment horizontal="right"/>
    </xf>
    <xf numFmtId="184" fontId="68" fillId="0" borderId="0" applyFill="0" applyBorder="0" applyProtection="0">
      <alignment horizontal="right"/>
    </xf>
    <xf numFmtId="185" fontId="68" fillId="0" borderId="0" applyFill="0" applyBorder="0" applyProtection="0">
      <alignment horizontal="right"/>
    </xf>
    <xf numFmtId="186" fontId="74" fillId="0" borderId="0" applyFont="0" applyFill="0" applyBorder="0" applyAlignment="0" applyProtection="0"/>
    <xf numFmtId="0" fontId="71" fillId="0" borderId="0"/>
    <xf numFmtId="187" fontId="74" fillId="0" borderId="0" applyFont="0" applyFill="0" applyBorder="0" applyAlignment="0" applyProtection="0"/>
    <xf numFmtId="10" fontId="74" fillId="0" borderId="0" applyFont="0" applyFill="0" applyBorder="0" applyAlignment="0" applyProtection="0"/>
    <xf numFmtId="188" fontId="166" fillId="0" borderId="0" applyFont="0" applyFill="0" applyBorder="0" applyAlignment="0" applyProtection="0"/>
    <xf numFmtId="176" fontId="75" fillId="11" borderId="0" applyNumberFormat="0" applyBorder="0" applyAlignment="0" applyProtection="0"/>
    <xf numFmtId="176" fontId="75" fillId="12" borderId="0" applyNumberFormat="0" applyBorder="0" applyAlignment="0" applyProtection="0"/>
    <xf numFmtId="176" fontId="75" fillId="13" borderId="0" applyNumberFormat="0" applyBorder="0" applyAlignment="0" applyProtection="0"/>
    <xf numFmtId="176" fontId="75" fillId="14" borderId="0" applyNumberFormat="0" applyBorder="0" applyAlignment="0" applyProtection="0"/>
    <xf numFmtId="176" fontId="75" fillId="15" borderId="0" applyNumberFormat="0" applyBorder="0" applyAlignment="0" applyProtection="0"/>
    <xf numFmtId="176" fontId="75" fillId="16" borderId="0" applyNumberFormat="0" applyBorder="0" applyAlignment="0" applyProtection="0"/>
    <xf numFmtId="176" fontId="75" fillId="17" borderId="0" applyNumberFormat="0" applyBorder="0" applyAlignment="0" applyProtection="0"/>
    <xf numFmtId="176" fontId="75" fillId="18" borderId="0" applyNumberFormat="0" applyBorder="0" applyAlignment="0" applyProtection="0"/>
    <xf numFmtId="176" fontId="75" fillId="19" borderId="0" applyNumberFormat="0" applyBorder="0" applyAlignment="0" applyProtection="0"/>
    <xf numFmtId="176" fontId="75" fillId="14" borderId="0" applyNumberFormat="0" applyBorder="0" applyAlignment="0" applyProtection="0"/>
    <xf numFmtId="176" fontId="75" fillId="17" borderId="0" applyNumberFormat="0" applyBorder="0" applyAlignment="0" applyProtection="0"/>
    <xf numFmtId="176" fontId="75" fillId="20" borderId="0" applyNumberFormat="0" applyBorder="0" applyAlignment="0" applyProtection="0"/>
    <xf numFmtId="176" fontId="76" fillId="21" borderId="0" applyNumberFormat="0" applyBorder="0" applyAlignment="0" applyProtection="0"/>
    <xf numFmtId="176" fontId="76" fillId="18" borderId="0" applyNumberFormat="0" applyBorder="0" applyAlignment="0" applyProtection="0"/>
    <xf numFmtId="176" fontId="76" fillId="19" borderId="0" applyNumberFormat="0" applyBorder="0" applyAlignment="0" applyProtection="0"/>
    <xf numFmtId="176" fontId="76" fillId="22" borderId="0" applyNumberFormat="0" applyBorder="0" applyAlignment="0" applyProtection="0"/>
    <xf numFmtId="176" fontId="76" fillId="23" borderId="0" applyNumberFormat="0" applyBorder="0" applyAlignment="0" applyProtection="0"/>
    <xf numFmtId="176" fontId="76" fillId="24" borderId="0" applyNumberFormat="0" applyBorder="0" applyAlignment="0" applyProtection="0"/>
    <xf numFmtId="0" fontId="77" fillId="0" borderId="12">
      <alignment horizontal="center"/>
    </xf>
    <xf numFmtId="0" fontId="78" fillId="0" borderId="0"/>
    <xf numFmtId="0" fontId="78" fillId="0" borderId="8" applyFill="0">
      <alignment horizontal="center"/>
      <protection locked="0"/>
    </xf>
    <xf numFmtId="0" fontId="78" fillId="0" borderId="8" applyFill="0">
      <alignment horizontal="center"/>
      <protection locked="0"/>
    </xf>
    <xf numFmtId="0" fontId="77" fillId="0" borderId="0" applyFill="0">
      <alignment horizontal="center"/>
      <protection locked="0"/>
    </xf>
    <xf numFmtId="0" fontId="77" fillId="25" borderId="0"/>
    <xf numFmtId="0" fontId="77" fillId="0" borderId="0">
      <protection locked="0"/>
    </xf>
    <xf numFmtId="0" fontId="77" fillId="0" borderId="0"/>
    <xf numFmtId="189" fontId="77" fillId="0" borderId="0"/>
    <xf numFmtId="190" fontId="77" fillId="0" borderId="0"/>
    <xf numFmtId="0" fontId="78" fillId="26" borderId="0">
      <alignment horizontal="right"/>
    </xf>
    <xf numFmtId="0" fontId="77" fillId="0" borderId="0"/>
    <xf numFmtId="176" fontId="76" fillId="27"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80" fillId="29" borderId="0" applyNumberFormat="0" applyBorder="0" applyAlignment="0" applyProtection="0"/>
    <xf numFmtId="176" fontId="76" fillId="30" borderId="0" applyNumberFormat="0" applyBorder="0" applyAlignment="0" applyProtection="0"/>
    <xf numFmtId="0" fontId="79" fillId="31" borderId="0" applyNumberFormat="0" applyBorder="0" applyAlignment="0" applyProtection="0"/>
    <xf numFmtId="0" fontId="79" fillId="32" borderId="0" applyNumberFormat="0" applyBorder="0" applyAlignment="0" applyProtection="0"/>
    <xf numFmtId="0" fontId="80" fillId="33" borderId="0" applyNumberFormat="0" applyBorder="0" applyAlignment="0" applyProtection="0"/>
    <xf numFmtId="176" fontId="76" fillId="34" borderId="0" applyNumberFormat="0" applyBorder="0" applyAlignment="0" applyProtection="0"/>
    <xf numFmtId="0" fontId="79" fillId="31" borderId="0" applyNumberFormat="0" applyBorder="0" applyAlignment="0" applyProtection="0"/>
    <xf numFmtId="0" fontId="79" fillId="35" borderId="0" applyNumberFormat="0" applyBorder="0" applyAlignment="0" applyProtection="0"/>
    <xf numFmtId="0" fontId="80" fillId="32" borderId="0" applyNumberFormat="0" applyBorder="0" applyAlignment="0" applyProtection="0"/>
    <xf numFmtId="176" fontId="76" fillId="22" borderId="0" applyNumberFormat="0" applyBorder="0" applyAlignment="0" applyProtection="0"/>
    <xf numFmtId="0" fontId="79" fillId="28" borderId="0" applyNumberFormat="0" applyBorder="0" applyAlignment="0" applyProtection="0"/>
    <xf numFmtId="0" fontId="79" fillId="32" borderId="0" applyNumberFormat="0" applyBorder="0" applyAlignment="0" applyProtection="0"/>
    <xf numFmtId="0" fontId="80" fillId="32" borderId="0" applyNumberFormat="0" applyBorder="0" applyAlignment="0" applyProtection="0"/>
    <xf numFmtId="176" fontId="76" fillId="23" borderId="0" applyNumberFormat="0" applyBorder="0" applyAlignment="0" applyProtection="0"/>
    <xf numFmtId="0" fontId="79" fillId="36" borderId="0" applyNumberFormat="0" applyBorder="0" applyAlignment="0" applyProtection="0"/>
    <xf numFmtId="0" fontId="79" fillId="28" borderId="0" applyNumberFormat="0" applyBorder="0" applyAlignment="0" applyProtection="0"/>
    <xf numFmtId="0" fontId="80" fillId="29" borderId="0" applyNumberFormat="0" applyBorder="0" applyAlignment="0" applyProtection="0"/>
    <xf numFmtId="176" fontId="76" fillId="37" borderId="0" applyNumberFormat="0" applyBorder="0" applyAlignment="0" applyProtection="0"/>
    <xf numFmtId="0" fontId="79" fillId="31" borderId="0" applyNumberFormat="0" applyBorder="0" applyAlignment="0" applyProtection="0"/>
    <xf numFmtId="0" fontId="79" fillId="38" borderId="0" applyNumberFormat="0" applyBorder="0" applyAlignment="0" applyProtection="0"/>
    <xf numFmtId="0" fontId="80" fillId="38" borderId="0" applyNumberFormat="0" applyBorder="0" applyAlignment="0" applyProtection="0"/>
    <xf numFmtId="0" fontId="81" fillId="0" borderId="0">
      <alignment horizontal="center" wrapText="1"/>
      <protection locked="0"/>
    </xf>
    <xf numFmtId="176" fontId="82" fillId="12" borderId="0" applyNumberFormat="0" applyBorder="0" applyAlignment="0" applyProtection="0"/>
    <xf numFmtId="3" fontId="83" fillId="0" borderId="0"/>
    <xf numFmtId="191" fontId="84" fillId="0" borderId="13" applyAlignment="0" applyProtection="0"/>
    <xf numFmtId="192" fontId="69" fillId="0" borderId="0" applyFill="0" applyBorder="0" applyAlignment="0"/>
    <xf numFmtId="193" fontId="65" fillId="0" borderId="0" applyFill="0" applyBorder="0" applyAlignment="0"/>
    <xf numFmtId="194" fontId="65" fillId="0" borderId="0" applyFill="0" applyBorder="0" applyAlignment="0"/>
    <xf numFmtId="195" fontId="65" fillId="0" borderId="0" applyFill="0" applyBorder="0" applyAlignment="0"/>
    <xf numFmtId="196" fontId="65" fillId="0" borderId="0" applyFill="0" applyBorder="0" applyAlignment="0"/>
    <xf numFmtId="197" fontId="65" fillId="0" borderId="0" applyFill="0" applyBorder="0" applyAlignment="0"/>
    <xf numFmtId="198" fontId="65" fillId="0" borderId="0" applyFill="0" applyBorder="0" applyAlignment="0"/>
    <xf numFmtId="193" fontId="65" fillId="0" borderId="0" applyFill="0" applyBorder="0" applyAlignment="0"/>
    <xf numFmtId="176" fontId="85" fillId="39" borderId="14" applyNumberFormat="0" applyAlignment="0" applyProtection="0"/>
    <xf numFmtId="0" fontId="86" fillId="0" borderId="0"/>
    <xf numFmtId="176" fontId="87" fillId="40" borderId="15" applyNumberFormat="0" applyAlignment="0" applyProtection="0"/>
    <xf numFmtId="0" fontId="88" fillId="0" borderId="16" applyNumberFormat="0" applyFill="0" applyProtection="0">
      <alignment horizontal="center"/>
    </xf>
    <xf numFmtId="176" fontId="89" fillId="0" borderId="17">
      <alignment horizontal="center"/>
    </xf>
    <xf numFmtId="199" fontId="65" fillId="0" borderId="0"/>
    <xf numFmtId="199" fontId="65" fillId="0" borderId="0"/>
    <xf numFmtId="199" fontId="65" fillId="0" borderId="0"/>
    <xf numFmtId="199" fontId="65" fillId="0" borderId="0"/>
    <xf numFmtId="199" fontId="65" fillId="0" borderId="0"/>
    <xf numFmtId="199" fontId="65" fillId="0" borderId="0"/>
    <xf numFmtId="199" fontId="65" fillId="0" borderId="0"/>
    <xf numFmtId="199" fontId="65" fillId="0" borderId="0"/>
    <xf numFmtId="200" fontId="166" fillId="0" borderId="0" applyFont="0" applyFill="0" applyBorder="0" applyAlignment="0" applyProtection="0"/>
    <xf numFmtId="197" fontId="65"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201" fontId="68" fillId="0" borderId="0"/>
    <xf numFmtId="37" fontId="74" fillId="0" borderId="0" applyFont="0" applyFill="0" applyBorder="0" applyAlignment="0" applyProtection="0"/>
    <xf numFmtId="202" fontId="74" fillId="0" borderId="0" applyFont="0" applyFill="0" applyBorder="0" applyAlignment="0" applyProtection="0"/>
    <xf numFmtId="39" fontId="74" fillId="0" borderId="0" applyFont="0" applyFill="0" applyBorder="0" applyAlignment="0" applyProtection="0"/>
    <xf numFmtId="40" fontId="90" fillId="0" borderId="0" applyFont="0" applyFill="0" applyBorder="0" applyAlignment="0" applyProtection="0"/>
    <xf numFmtId="0" fontId="91" fillId="0" borderId="0" applyNumberFormat="0" applyAlignment="0">
      <alignment horizontal="left"/>
    </xf>
    <xf numFmtId="0" fontId="92" fillId="0" borderId="0" applyNumberFormat="0" applyAlignment="0"/>
    <xf numFmtId="200" fontId="93" fillId="0" borderId="0" applyFont="0" applyFill="0" applyBorder="0" applyAlignment="0" applyProtection="0"/>
    <xf numFmtId="193" fontId="65" fillId="0" borderId="0" applyFont="0" applyFill="0" applyBorder="0" applyAlignment="0" applyProtection="0"/>
    <xf numFmtId="191" fontId="74" fillId="0" borderId="0" applyFont="0" applyFill="0" applyBorder="0" applyAlignment="0" applyProtection="0"/>
    <xf numFmtId="203" fontId="74" fillId="0" borderId="0" applyFont="0" applyFill="0" applyBorder="0" applyAlignment="0" applyProtection="0"/>
    <xf numFmtId="204" fontId="166" fillId="0" borderId="0" applyFont="0" applyFill="0" applyBorder="0" applyAlignment="0" applyProtection="0"/>
    <xf numFmtId="205" fontId="68" fillId="0" borderId="0"/>
    <xf numFmtId="206" fontId="65" fillId="0" borderId="0">
      <protection locked="0"/>
    </xf>
    <xf numFmtId="15" fontId="90" fillId="0" borderId="0"/>
    <xf numFmtId="14" fontId="69" fillId="0" borderId="0" applyFill="0" applyBorder="0" applyAlignment="0"/>
    <xf numFmtId="206" fontId="65" fillId="0" borderId="0">
      <protection locked="0"/>
    </xf>
    <xf numFmtId="41" fontId="65" fillId="0" borderId="0" applyFont="0" applyFill="0" applyBorder="0" applyAlignment="0" applyProtection="0"/>
    <xf numFmtId="43" fontId="65" fillId="0" borderId="0" applyFont="0" applyFill="0" applyBorder="0" applyAlignment="0" applyProtection="0"/>
    <xf numFmtId="207" fontId="68" fillId="0" borderId="0"/>
    <xf numFmtId="0" fontId="94" fillId="0" borderId="0" applyNumberFormat="0" applyFill="0" applyBorder="0" applyAlignment="0" applyProtection="0"/>
    <xf numFmtId="197" fontId="65" fillId="0" borderId="0" applyFill="0" applyBorder="0" applyAlignment="0"/>
    <xf numFmtId="193" fontId="65" fillId="0" borderId="0" applyFill="0" applyBorder="0" applyAlignment="0"/>
    <xf numFmtId="197" fontId="65" fillId="0" borderId="0" applyFill="0" applyBorder="0" applyAlignment="0"/>
    <xf numFmtId="198" fontId="65" fillId="0" borderId="0" applyFill="0" applyBorder="0" applyAlignment="0"/>
    <xf numFmtId="193" fontId="65" fillId="0" borderId="0" applyFill="0" applyBorder="0" applyAlignment="0"/>
    <xf numFmtId="0" fontId="95" fillId="0" borderId="0" applyNumberFormat="0" applyAlignment="0">
      <alignment horizontal="left"/>
    </xf>
    <xf numFmtId="176" fontId="96" fillId="0" borderId="0">
      <alignment horizontal="left"/>
    </xf>
    <xf numFmtId="0" fontId="96" fillId="0" borderId="0">
      <alignment horizontal="left"/>
    </xf>
    <xf numFmtId="176" fontId="97" fillId="41" borderId="12"/>
    <xf numFmtId="0" fontId="97" fillId="41" borderId="12"/>
    <xf numFmtId="176" fontId="68" fillId="0" borderId="0" applyFont="0" applyFill="0" applyBorder="0" applyAlignment="0" applyProtection="0"/>
    <xf numFmtId="176" fontId="98" fillId="0" borderId="0" applyNumberFormat="0" applyFill="0" applyBorder="0" applyAlignment="0" applyProtection="0"/>
    <xf numFmtId="206" fontId="65" fillId="0" borderId="0">
      <protection locked="0"/>
    </xf>
    <xf numFmtId="206" fontId="65" fillId="0" borderId="0">
      <protection locked="0"/>
    </xf>
    <xf numFmtId="206" fontId="65" fillId="0" borderId="0">
      <protection locked="0"/>
    </xf>
    <xf numFmtId="206" fontId="65" fillId="0" borderId="0">
      <protection locked="0"/>
    </xf>
    <xf numFmtId="206" fontId="65" fillId="0" borderId="0">
      <protection locked="0"/>
    </xf>
    <xf numFmtId="206" fontId="65" fillId="0" borderId="0">
      <protection locked="0"/>
    </xf>
    <xf numFmtId="206" fontId="65" fillId="0" borderId="0">
      <protection locked="0"/>
    </xf>
    <xf numFmtId="206" fontId="65" fillId="0" borderId="0">
      <protection locked="0"/>
    </xf>
    <xf numFmtId="0" fontId="99" fillId="0" borderId="0" applyNumberFormat="0" applyFill="0" applyBorder="0" applyAlignment="0" applyProtection="0">
      <alignment vertical="top"/>
      <protection locked="0"/>
    </xf>
    <xf numFmtId="176" fontId="100" fillId="13" borderId="0" applyNumberFormat="0" applyBorder="0" applyAlignment="0" applyProtection="0"/>
    <xf numFmtId="38" fontId="97" fillId="39" borderId="0" applyNumberFormat="0" applyBorder="0" applyAlignment="0" applyProtection="0"/>
    <xf numFmtId="0" fontId="101" fillId="0" borderId="0">
      <alignment horizontal="left"/>
    </xf>
    <xf numFmtId="176" fontId="102" fillId="0" borderId="5" applyNumberFormat="0" applyAlignment="0" applyProtection="0">
      <alignment horizontal="left" vertical="center"/>
    </xf>
    <xf numFmtId="0" fontId="102" fillId="0" borderId="5" applyNumberFormat="0" applyAlignment="0" applyProtection="0">
      <alignment horizontal="left" vertical="center"/>
    </xf>
    <xf numFmtId="0" fontId="102" fillId="0" borderId="5" applyNumberFormat="0" applyAlignment="0" applyProtection="0">
      <alignment horizontal="left" vertical="center"/>
    </xf>
    <xf numFmtId="176" fontId="102" fillId="0" borderId="5" applyNumberFormat="0" applyAlignment="0" applyProtection="0">
      <alignment horizontal="left" vertical="center"/>
    </xf>
    <xf numFmtId="176" fontId="102" fillId="0" borderId="18">
      <alignment horizontal="left" vertical="center"/>
    </xf>
    <xf numFmtId="0" fontId="102" fillId="0" borderId="18">
      <alignment horizontal="left" vertical="center"/>
    </xf>
    <xf numFmtId="14" fontId="103" fillId="15" borderId="8">
      <alignment horizontal="center" vertical="center" wrapText="1"/>
    </xf>
    <xf numFmtId="176" fontId="104" fillId="0" borderId="19" applyNumberFormat="0" applyFill="0" applyAlignment="0" applyProtection="0"/>
    <xf numFmtId="176" fontId="105" fillId="0" borderId="20" applyNumberFormat="0" applyFill="0" applyAlignment="0" applyProtection="0"/>
    <xf numFmtId="176" fontId="106" fillId="0" borderId="21" applyNumberFormat="0" applyFill="0" applyAlignment="0" applyProtection="0"/>
    <xf numFmtId="176" fontId="106" fillId="0" borderId="21" applyNumberFormat="0" applyFill="0" applyAlignment="0" applyProtection="0"/>
    <xf numFmtId="176" fontId="106" fillId="0" borderId="0" applyNumberFormat="0" applyFill="0" applyBorder="0" applyAlignment="0" applyProtection="0"/>
    <xf numFmtId="14" fontId="103" fillId="15" borderId="8">
      <alignment horizontal="center" vertical="center" wrapText="1"/>
    </xf>
    <xf numFmtId="206" fontId="65" fillId="0" borderId="0">
      <protection locked="0"/>
    </xf>
    <xf numFmtId="206" fontId="65" fillId="0" borderId="0">
      <protection locked="0"/>
    </xf>
    <xf numFmtId="0" fontId="107" fillId="0" borderId="0" applyNumberFormat="0" applyFill="0" applyBorder="0" applyAlignment="0" applyProtection="0">
      <alignment vertical="top"/>
      <protection locked="0"/>
    </xf>
    <xf numFmtId="176" fontId="108" fillId="16" borderId="14" applyNumberFormat="0" applyAlignment="0" applyProtection="0"/>
    <xf numFmtId="10" fontId="97" fillId="42" borderId="12" applyNumberFormat="0" applyBorder="0" applyAlignment="0" applyProtection="0"/>
    <xf numFmtId="202" fontId="109" fillId="43" borderId="0"/>
    <xf numFmtId="208" fontId="166" fillId="43" borderId="0"/>
    <xf numFmtId="176" fontId="68" fillId="0" borderId="0" applyNumberFormat="0" applyFont="0" applyFill="0" applyBorder="0" applyProtection="0">
      <alignment horizontal="left" vertical="center"/>
    </xf>
    <xf numFmtId="0" fontId="68" fillId="0" borderId="0" applyNumberFormat="0" applyFont="0" applyFill="0" applyBorder="0" applyProtection="0">
      <alignment horizontal="left" vertical="center"/>
    </xf>
    <xf numFmtId="197" fontId="65" fillId="0" borderId="0" applyFill="0" applyBorder="0" applyAlignment="0"/>
    <xf numFmtId="193" fontId="65" fillId="0" borderId="0" applyFill="0" applyBorder="0" applyAlignment="0"/>
    <xf numFmtId="197" fontId="65" fillId="0" borderId="0" applyFill="0" applyBorder="0" applyAlignment="0"/>
    <xf numFmtId="198" fontId="65" fillId="0" borderId="0" applyFill="0" applyBorder="0" applyAlignment="0"/>
    <xf numFmtId="193" fontId="65" fillId="0" borderId="0" applyFill="0" applyBorder="0" applyAlignment="0"/>
    <xf numFmtId="176" fontId="110" fillId="0" borderId="22" applyNumberFormat="0" applyFill="0" applyAlignment="0" applyProtection="0"/>
    <xf numFmtId="202" fontId="111" fillId="44" borderId="0"/>
    <xf numFmtId="208" fontId="166" fillId="44" borderId="0"/>
    <xf numFmtId="41" fontId="65" fillId="0" borderId="0" applyFont="0" applyFill="0" applyBorder="0" applyAlignment="0" applyProtection="0"/>
    <xf numFmtId="43"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0" fontId="112" fillId="0" borderId="8"/>
    <xf numFmtId="0" fontId="112" fillId="0" borderId="8"/>
    <xf numFmtId="200" fontId="65" fillId="0" borderId="0" applyFont="0" applyFill="0" applyBorder="0" applyAlignment="0" applyProtection="0"/>
    <xf numFmtId="209"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210" fontId="65" fillId="0" borderId="0" applyFont="0" applyFill="0" applyBorder="0" applyAlignment="0" applyProtection="0"/>
    <xf numFmtId="211" fontId="166" fillId="0" borderId="0" applyFont="0" applyFill="0" applyBorder="0" applyAlignment="0" applyProtection="0"/>
    <xf numFmtId="176" fontId="113" fillId="45" borderId="0" applyNumberFormat="0" applyBorder="0" applyAlignment="0" applyProtection="0"/>
    <xf numFmtId="0" fontId="68" fillId="0" borderId="0"/>
    <xf numFmtId="37" fontId="114" fillId="0" borderId="0"/>
    <xf numFmtId="0" fontId="92" fillId="0" borderId="0"/>
    <xf numFmtId="212" fontId="166" fillId="0" borderId="0"/>
    <xf numFmtId="0" fontId="65" fillId="0" borderId="0"/>
    <xf numFmtId="0" fontId="65" fillId="0" borderId="0"/>
    <xf numFmtId="0" fontId="166" fillId="0" borderId="0"/>
    <xf numFmtId="0" fontId="166" fillId="0" borderId="0">
      <alignment vertical="center"/>
    </xf>
    <xf numFmtId="176" fontId="90" fillId="0" borderId="0"/>
    <xf numFmtId="176" fontId="115" fillId="0" borderId="0"/>
    <xf numFmtId="176" fontId="65" fillId="42" borderId="23" applyNumberFormat="0" applyFont="0" applyAlignment="0" applyProtection="0"/>
    <xf numFmtId="213" fontId="166" fillId="0" borderId="0" applyFont="0" applyFill="0" applyBorder="0" applyAlignment="0" applyProtection="0"/>
    <xf numFmtId="214" fontId="166" fillId="0" borderId="0" applyFont="0" applyFill="0" applyBorder="0" applyAlignment="0" applyProtection="0"/>
    <xf numFmtId="176" fontId="116" fillId="39" borderId="24" applyNumberFormat="0" applyAlignment="0" applyProtection="0"/>
    <xf numFmtId="14" fontId="81" fillId="0" borderId="0">
      <alignment horizontal="center" wrapText="1"/>
      <protection locked="0"/>
    </xf>
    <xf numFmtId="215" fontId="65" fillId="0" borderId="0" applyFont="0" applyFill="0" applyBorder="0" applyAlignment="0" applyProtection="0"/>
    <xf numFmtId="196" fontId="65" fillId="0" borderId="0" applyFont="0" applyFill="0" applyBorder="0" applyAlignment="0" applyProtection="0"/>
    <xf numFmtId="186" fontId="65" fillId="0" borderId="0" applyFont="0" applyFill="0" applyBorder="0" applyAlignment="0" applyProtection="0"/>
    <xf numFmtId="10" fontId="65" fillId="0" borderId="0" applyFont="0" applyFill="0" applyBorder="0" applyAlignment="0" applyProtection="0"/>
    <xf numFmtId="9" fontId="2" fillId="0" borderId="0" applyFont="0" applyFill="0" applyBorder="0" applyAlignment="0" applyProtection="0">
      <alignment vertical="center"/>
    </xf>
    <xf numFmtId="9" fontId="70" fillId="0" borderId="0" applyFont="0" applyFill="0" applyBorder="0" applyAlignment="0" applyProtection="0"/>
    <xf numFmtId="13" fontId="65" fillId="0" borderId="0" applyFont="0" applyFill="0" applyProtection="0"/>
    <xf numFmtId="176" fontId="97" fillId="39" borderId="12"/>
    <xf numFmtId="0" fontId="97" fillId="39" borderId="12"/>
    <xf numFmtId="197" fontId="65" fillId="0" borderId="0" applyFill="0" applyBorder="0" applyAlignment="0"/>
    <xf numFmtId="193" fontId="65" fillId="0" borderId="0" applyFill="0" applyBorder="0" applyAlignment="0"/>
    <xf numFmtId="197" fontId="65" fillId="0" borderId="0" applyFill="0" applyBorder="0" applyAlignment="0"/>
    <xf numFmtId="198" fontId="65" fillId="0" borderId="0" applyFill="0" applyBorder="0" applyAlignment="0"/>
    <xf numFmtId="193" fontId="65" fillId="0" borderId="0" applyFill="0" applyBorder="0" applyAlignment="0"/>
    <xf numFmtId="4" fontId="96" fillId="0" borderId="0">
      <alignment horizontal="right"/>
    </xf>
    <xf numFmtId="216" fontId="117" fillId="0" borderId="0"/>
    <xf numFmtId="188" fontId="117" fillId="0" borderId="0"/>
    <xf numFmtId="0" fontId="90" fillId="0" borderId="0" applyNumberFormat="0" applyFont="0" applyFill="0" applyBorder="0" applyAlignment="0" applyProtection="0">
      <alignment horizontal="left"/>
    </xf>
    <xf numFmtId="0" fontId="84" fillId="0" borderId="8">
      <alignment horizontal="center"/>
    </xf>
    <xf numFmtId="0" fontId="84" fillId="0" borderId="8">
      <alignment horizontal="center"/>
    </xf>
    <xf numFmtId="3" fontId="118" fillId="0" borderId="0"/>
    <xf numFmtId="4" fontId="119" fillId="0" borderId="0">
      <alignment horizontal="right"/>
    </xf>
    <xf numFmtId="217" fontId="71" fillId="0" borderId="0" applyNumberFormat="0" applyFill="0" applyBorder="0" applyAlignment="0" applyProtection="0">
      <alignment horizontal="left"/>
    </xf>
    <xf numFmtId="218" fontId="166" fillId="0" borderId="0" applyNumberFormat="0" applyFill="0" applyBorder="0" applyAlignment="0" applyProtection="0">
      <alignment horizontal="left"/>
    </xf>
    <xf numFmtId="41" fontId="68" fillId="0" borderId="0" applyFont="0" applyFill="0" applyBorder="0" applyAlignment="0" applyProtection="0"/>
    <xf numFmtId="0" fontId="120" fillId="46" borderId="0">
      <alignment horizontal="left" vertical="center"/>
    </xf>
    <xf numFmtId="0" fontId="120" fillId="46" borderId="0">
      <alignment horizontal="right" vertical="center"/>
    </xf>
    <xf numFmtId="4" fontId="121" fillId="45" borderId="25" applyNumberFormat="0" applyProtection="0">
      <alignment vertical="center"/>
    </xf>
    <xf numFmtId="4" fontId="122" fillId="45" borderId="25" applyNumberFormat="0" applyProtection="0">
      <alignment vertical="center"/>
    </xf>
    <xf numFmtId="4" fontId="121" fillId="45" borderId="25" applyNumberFormat="0" applyProtection="0">
      <alignment horizontal="left" vertical="center" indent="1"/>
    </xf>
    <xf numFmtId="0" fontId="121" fillId="45" borderId="25" applyNumberFormat="0" applyProtection="0">
      <alignment horizontal="left" vertical="top" indent="1"/>
    </xf>
    <xf numFmtId="4" fontId="121" fillId="47" borderId="0" applyNumberFormat="0" applyProtection="0">
      <alignment horizontal="left" vertical="center" indent="1"/>
    </xf>
    <xf numFmtId="4" fontId="69" fillId="12" borderId="25" applyNumberFormat="0" applyProtection="0">
      <alignment horizontal="right" vertical="center"/>
    </xf>
    <xf numFmtId="4" fontId="69" fillId="18" borderId="25" applyNumberFormat="0" applyProtection="0">
      <alignment horizontal="right" vertical="center"/>
    </xf>
    <xf numFmtId="4" fontId="69" fillId="30" borderId="25" applyNumberFormat="0" applyProtection="0">
      <alignment horizontal="right" vertical="center"/>
    </xf>
    <xf numFmtId="4" fontId="69" fillId="20" borderId="25" applyNumberFormat="0" applyProtection="0">
      <alignment horizontal="right" vertical="center"/>
    </xf>
    <xf numFmtId="4" fontId="69" fillId="24" borderId="25" applyNumberFormat="0" applyProtection="0">
      <alignment horizontal="right" vertical="center"/>
    </xf>
    <xf numFmtId="4" fontId="69" fillId="37" borderId="25" applyNumberFormat="0" applyProtection="0">
      <alignment horizontal="right" vertical="center"/>
    </xf>
    <xf numFmtId="4" fontId="69" fillId="34" borderId="25" applyNumberFormat="0" applyProtection="0">
      <alignment horizontal="right" vertical="center"/>
    </xf>
    <xf numFmtId="4" fontId="69" fillId="48" borderId="25" applyNumberFormat="0" applyProtection="0">
      <alignment horizontal="right" vertical="center"/>
    </xf>
    <xf numFmtId="4" fontId="69" fillId="19" borderId="25" applyNumberFormat="0" applyProtection="0">
      <alignment horizontal="right" vertical="center"/>
    </xf>
    <xf numFmtId="4" fontId="121" fillId="49" borderId="26" applyNumberFormat="0" applyProtection="0">
      <alignment horizontal="left" vertical="center" indent="1"/>
    </xf>
    <xf numFmtId="4" fontId="69" fillId="50" borderId="0" applyNumberFormat="0" applyProtection="0">
      <alignment horizontal="left" vertical="center" indent="1"/>
    </xf>
    <xf numFmtId="4" fontId="123" fillId="51" borderId="0" applyNumberFormat="0" applyProtection="0">
      <alignment horizontal="left" vertical="center" indent="1"/>
    </xf>
    <xf numFmtId="4" fontId="69" fillId="47" borderId="25" applyNumberFormat="0" applyProtection="0">
      <alignment horizontal="right" vertical="center"/>
    </xf>
    <xf numFmtId="4" fontId="69" fillId="50" borderId="0" applyNumberFormat="0" applyProtection="0">
      <alignment horizontal="left" vertical="center" indent="1"/>
    </xf>
    <xf numFmtId="4" fontId="69" fillId="47" borderId="0" applyNumberFormat="0" applyProtection="0">
      <alignment horizontal="left" vertical="center" indent="1"/>
    </xf>
    <xf numFmtId="0" fontId="65" fillId="51" borderId="25" applyNumberFormat="0" applyProtection="0">
      <alignment horizontal="left" vertical="center" indent="1"/>
    </xf>
    <xf numFmtId="0" fontId="65" fillId="51" borderId="25" applyNumberFormat="0" applyProtection="0">
      <alignment horizontal="left" vertical="top" indent="1"/>
    </xf>
    <xf numFmtId="0" fontId="65" fillId="47" borderId="25" applyNumberFormat="0" applyProtection="0">
      <alignment horizontal="left" vertical="center" indent="1"/>
    </xf>
    <xf numFmtId="0" fontId="65" fillId="47" borderId="25" applyNumberFormat="0" applyProtection="0">
      <alignment horizontal="left" vertical="top" indent="1"/>
    </xf>
    <xf numFmtId="0" fontId="65" fillId="17" borderId="25" applyNumberFormat="0" applyProtection="0">
      <alignment horizontal="left" vertical="center" indent="1"/>
    </xf>
    <xf numFmtId="0" fontId="65" fillId="17" borderId="25" applyNumberFormat="0" applyProtection="0">
      <alignment horizontal="left" vertical="top" indent="1"/>
    </xf>
    <xf numFmtId="0" fontId="65" fillId="50" borderId="25" applyNumberFormat="0" applyProtection="0">
      <alignment horizontal="left" vertical="center" indent="1"/>
    </xf>
    <xf numFmtId="0" fontId="65" fillId="50" borderId="25" applyNumberFormat="0" applyProtection="0">
      <alignment horizontal="left" vertical="top" indent="1"/>
    </xf>
    <xf numFmtId="4" fontId="69" fillId="42" borderId="25" applyNumberFormat="0" applyProtection="0">
      <alignment vertical="center"/>
    </xf>
    <xf numFmtId="4" fontId="124" fillId="42" borderId="25" applyNumberFormat="0" applyProtection="0">
      <alignment vertical="center"/>
    </xf>
    <xf numFmtId="4" fontId="69" fillId="42" borderId="25" applyNumberFormat="0" applyProtection="0">
      <alignment horizontal="left" vertical="center" indent="1"/>
    </xf>
    <xf numFmtId="0" fontId="69" fillId="42" borderId="25" applyNumberFormat="0" applyProtection="0">
      <alignment horizontal="left" vertical="top" indent="1"/>
    </xf>
    <xf numFmtId="4" fontId="69" fillId="50" borderId="25" applyNumberFormat="0" applyProtection="0">
      <alignment horizontal="right" vertical="center"/>
    </xf>
    <xf numFmtId="4" fontId="124" fillId="50" borderId="25" applyNumberFormat="0" applyProtection="0">
      <alignment horizontal="right" vertical="center"/>
    </xf>
    <xf numFmtId="4" fontId="69" fillId="47" borderId="25" applyNumberFormat="0" applyProtection="0">
      <alignment horizontal="left" vertical="center" indent="1"/>
    </xf>
    <xf numFmtId="0" fontId="69" fillId="47" borderId="25" applyNumberFormat="0" applyProtection="0">
      <alignment horizontal="left" vertical="top" indent="1"/>
    </xf>
    <xf numFmtId="4" fontId="125" fillId="43" borderId="0" applyNumberFormat="0" applyProtection="0">
      <alignment horizontal="left" vertical="center" indent="1"/>
    </xf>
    <xf numFmtId="4" fontId="126" fillId="50" borderId="25" applyNumberFormat="0" applyProtection="0">
      <alignment horizontal="right" vertical="center"/>
    </xf>
    <xf numFmtId="176" fontId="127" fillId="0" borderId="0">
      <alignment horizontal="left"/>
    </xf>
    <xf numFmtId="0" fontId="127" fillId="0" borderId="0">
      <alignment horizontal="left"/>
    </xf>
    <xf numFmtId="43" fontId="97" fillId="0" borderId="1"/>
    <xf numFmtId="43" fontId="97" fillId="0" borderId="1"/>
    <xf numFmtId="0" fontId="115" fillId="0" borderId="0"/>
    <xf numFmtId="176" fontId="128" fillId="0" borderId="12">
      <alignment horizontal="center"/>
    </xf>
    <xf numFmtId="0" fontId="128" fillId="0" borderId="12">
      <alignment horizontal="center"/>
    </xf>
    <xf numFmtId="176" fontId="128" fillId="0" borderId="0">
      <alignment horizontal="center" vertical="center"/>
    </xf>
    <xf numFmtId="0" fontId="128" fillId="0" borderId="0">
      <alignment horizontal="center" vertical="center"/>
    </xf>
    <xf numFmtId="176" fontId="129" fillId="0" borderId="0" applyNumberFormat="0" applyFill="0">
      <alignment horizontal="left" vertical="center"/>
    </xf>
    <xf numFmtId="0" fontId="129" fillId="0" borderId="0" applyNumberFormat="0" applyFill="0">
      <alignment horizontal="left" vertical="center"/>
    </xf>
    <xf numFmtId="0" fontId="112" fillId="0" borderId="0"/>
    <xf numFmtId="40" fontId="130" fillId="0" borderId="0" applyBorder="0">
      <alignment horizontal="right"/>
    </xf>
    <xf numFmtId="49" fontId="69" fillId="0" borderId="0" applyFill="0" applyBorder="0" applyAlignment="0"/>
    <xf numFmtId="219" fontId="69" fillId="0" borderId="0" applyFill="0" applyBorder="0" applyAlignment="0"/>
    <xf numFmtId="220" fontId="65" fillId="0" borderId="0" applyFill="0" applyBorder="0" applyAlignment="0"/>
    <xf numFmtId="176" fontId="131" fillId="0" borderId="0" applyFill="0" applyBorder="0" applyProtection="0">
      <alignment horizontal="left" vertical="top"/>
    </xf>
    <xf numFmtId="0" fontId="131" fillId="0" borderId="0" applyFill="0" applyBorder="0" applyProtection="0">
      <alignment horizontal="left" vertical="top"/>
    </xf>
    <xf numFmtId="176" fontId="132" fillId="0" borderId="0">
      <alignment horizontal="center"/>
    </xf>
    <xf numFmtId="0" fontId="132" fillId="0" borderId="0">
      <alignment horizontal="center"/>
    </xf>
    <xf numFmtId="176" fontId="133" fillId="0" borderId="27" applyNumberFormat="0" applyFill="0" applyAlignment="0" applyProtection="0"/>
    <xf numFmtId="221" fontId="65" fillId="0" borderId="0" applyFont="0" applyFill="0" applyBorder="0" applyAlignment="0" applyProtection="0"/>
    <xf numFmtId="222" fontId="65" fillId="0" borderId="0" applyFont="0" applyFill="0" applyBorder="0" applyAlignment="0" applyProtection="0"/>
    <xf numFmtId="223" fontId="166" fillId="0" borderId="0" applyFont="0" applyFill="0" applyBorder="0" applyAlignment="0" applyProtection="0"/>
    <xf numFmtId="224" fontId="166" fillId="0" borderId="0" applyFont="0" applyFill="0" applyBorder="0" applyAlignment="0" applyProtection="0"/>
    <xf numFmtId="176" fontId="134" fillId="0" borderId="0" applyNumberFormat="0" applyFill="0" applyBorder="0" applyAlignment="0" applyProtection="0"/>
    <xf numFmtId="176" fontId="135" fillId="0" borderId="0" applyNumberFormat="0" applyFont="0" applyFill="0" applyBorder="0" applyProtection="0">
      <alignment horizontal="center" vertical="center" wrapText="1"/>
    </xf>
    <xf numFmtId="0" fontId="135" fillId="0" borderId="0" applyNumberFormat="0" applyFont="0" applyFill="0" applyBorder="0" applyProtection="0">
      <alignment horizontal="center" vertical="center" wrapText="1"/>
    </xf>
    <xf numFmtId="9" fontId="136" fillId="0" borderId="0" applyFont="0" applyFill="0" applyBorder="0" applyAlignment="0" applyProtection="0"/>
    <xf numFmtId="0" fontId="71" fillId="0" borderId="0"/>
    <xf numFmtId="0" fontId="11" fillId="0" borderId="0"/>
    <xf numFmtId="225" fontId="71" fillId="0" borderId="0" applyFont="0" applyFill="0" applyBorder="0" applyAlignment="0" applyProtection="0"/>
    <xf numFmtId="226" fontId="71" fillId="0" borderId="0" applyFont="0" applyFill="0" applyBorder="0" applyAlignment="0" applyProtection="0"/>
    <xf numFmtId="41" fontId="65" fillId="0" borderId="0" applyFont="0" applyFill="0" applyBorder="0" applyAlignment="0" applyProtection="0"/>
    <xf numFmtId="9" fontId="71" fillId="0" borderId="0" applyFont="0" applyFill="0" applyBorder="0" applyAlignment="0" applyProtection="0"/>
    <xf numFmtId="9" fontId="65" fillId="0" borderId="0" applyFont="0" applyFill="0" applyBorder="0" applyAlignment="0" applyProtection="0"/>
    <xf numFmtId="9" fontId="166" fillId="0" borderId="0" applyFont="0" applyFill="0" applyBorder="0" applyAlignment="0" applyProtection="0">
      <alignment vertical="center"/>
    </xf>
    <xf numFmtId="9" fontId="166" fillId="0" borderId="0" applyFont="0" applyFill="0" applyBorder="0" applyAlignment="0" applyProtection="0"/>
    <xf numFmtId="9" fontId="2" fillId="0" borderId="0">
      <alignment vertical="center"/>
    </xf>
    <xf numFmtId="0" fontId="137" fillId="0" borderId="0" applyFont="0" applyFill="0" applyBorder="0" applyAlignment="0" applyProtection="0"/>
    <xf numFmtId="0" fontId="137" fillId="0" borderId="0" applyFont="0" applyFill="0" applyBorder="0" applyAlignment="0" applyProtection="0"/>
    <xf numFmtId="4" fontId="138" fillId="0" borderId="0">
      <alignment horizontal="right"/>
    </xf>
    <xf numFmtId="0" fontId="139" fillId="0" borderId="0" applyNumberFormat="0" applyFill="0" applyBorder="0" applyAlignment="0" applyProtection="0"/>
    <xf numFmtId="0" fontId="140" fillId="20"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0" fillId="20" borderId="0" applyNumberFormat="0" applyBorder="0" applyAlignment="0" applyProtection="0">
      <alignment vertical="center"/>
    </xf>
    <xf numFmtId="0" fontId="142" fillId="52" borderId="0" applyNumberFormat="0" applyBorder="0" applyAlignment="0" applyProtection="0"/>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3" fillId="41" borderId="0" applyNumberFormat="0" applyBorder="0" applyAlignment="0" applyProtection="0">
      <alignment vertical="center"/>
    </xf>
    <xf numFmtId="0" fontId="141" fillId="12" borderId="0" applyNumberFormat="0" applyBorder="0" applyAlignment="0" applyProtection="0">
      <alignment vertical="center"/>
    </xf>
    <xf numFmtId="0" fontId="144" fillId="10" borderId="0" applyNumberFormat="0" applyBorder="0" applyAlignment="0" applyProtection="0">
      <alignment vertical="center"/>
    </xf>
    <xf numFmtId="0" fontId="145" fillId="12" borderId="0" applyNumberFormat="0" applyBorder="0" applyAlignment="0" applyProtection="0">
      <alignment vertical="center"/>
    </xf>
    <xf numFmtId="0" fontId="145" fillId="12"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3" fillId="41"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1" fillId="12" borderId="0" applyNumberFormat="0" applyBorder="0" applyAlignment="0" applyProtection="0">
      <alignment vertical="center"/>
    </xf>
    <xf numFmtId="0" fontId="140" fillId="20" borderId="0" applyNumberFormat="0" applyBorder="0" applyAlignment="0" applyProtection="0">
      <alignment vertical="center"/>
    </xf>
    <xf numFmtId="0" fontId="141" fillId="12"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37"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6" fillId="14" borderId="0" applyNumberFormat="0" applyBorder="0" applyAlignment="0" applyProtection="0">
      <alignment vertical="center"/>
    </xf>
    <xf numFmtId="0" fontId="63" fillId="0" borderId="0">
      <alignment vertical="center"/>
    </xf>
    <xf numFmtId="0" fontId="63" fillId="0" borderId="0">
      <alignment vertical="center"/>
    </xf>
    <xf numFmtId="0" fontId="2" fillId="0" borderId="0">
      <alignment vertical="center"/>
    </xf>
    <xf numFmtId="0" fontId="63" fillId="0" borderId="0"/>
    <xf numFmtId="0" fontId="166" fillId="0" borderId="0">
      <alignment vertical="center"/>
      <protection locked="0"/>
    </xf>
    <xf numFmtId="0" fontId="65" fillId="0" borderId="0"/>
    <xf numFmtId="0" fontId="166" fillId="0" borderId="0">
      <alignment vertical="center"/>
      <protection locked="0"/>
    </xf>
    <xf numFmtId="0" fontId="63" fillId="0" borderId="0">
      <alignment vertical="center"/>
    </xf>
    <xf numFmtId="0" fontId="63" fillId="0" borderId="0"/>
    <xf numFmtId="0" fontId="63" fillId="0" borderId="0">
      <alignment vertical="center"/>
    </xf>
    <xf numFmtId="0" fontId="63" fillId="0" borderId="0"/>
    <xf numFmtId="176" fontId="63" fillId="0" borderId="0"/>
    <xf numFmtId="176" fontId="166" fillId="0" borderId="0">
      <alignment vertical="center"/>
      <protection locked="0"/>
    </xf>
    <xf numFmtId="0" fontId="166" fillId="0" borderId="0">
      <alignment vertical="center"/>
    </xf>
    <xf numFmtId="0" fontId="166" fillId="0" borderId="0">
      <protection locked="0"/>
    </xf>
    <xf numFmtId="0" fontId="166" fillId="0" borderId="0"/>
    <xf numFmtId="0" fontId="166" fillId="0" borderId="0">
      <protection locked="0"/>
    </xf>
    <xf numFmtId="0" fontId="2" fillId="0" borderId="0"/>
    <xf numFmtId="0" fontId="166" fillId="0" borderId="0">
      <protection locked="0"/>
    </xf>
    <xf numFmtId="176" fontId="166" fillId="0" borderId="0">
      <protection locked="0"/>
    </xf>
    <xf numFmtId="0" fontId="166" fillId="0" borderId="0">
      <protection locked="0"/>
    </xf>
    <xf numFmtId="0" fontId="166" fillId="0" borderId="0">
      <alignment vertical="center"/>
      <protection locked="0"/>
    </xf>
    <xf numFmtId="0" fontId="2" fillId="0" borderId="0"/>
    <xf numFmtId="176" fontId="166" fillId="0" borderId="0"/>
    <xf numFmtId="176" fontId="166" fillId="0" borderId="0"/>
    <xf numFmtId="0" fontId="166" fillId="0" borderId="0">
      <protection locked="0"/>
    </xf>
    <xf numFmtId="0" fontId="166" fillId="0" borderId="0">
      <alignment vertical="center"/>
      <protection locked="0"/>
    </xf>
    <xf numFmtId="0" fontId="63" fillId="0" borderId="0">
      <alignment vertical="center"/>
    </xf>
    <xf numFmtId="0" fontId="147" fillId="0" borderId="0">
      <alignment vertical="center"/>
    </xf>
    <xf numFmtId="0" fontId="63" fillId="0" borderId="0">
      <alignment vertical="center"/>
    </xf>
    <xf numFmtId="0" fontId="63" fillId="0" borderId="0">
      <alignment vertical="center"/>
    </xf>
    <xf numFmtId="0" fontId="166" fillId="0" borderId="0" applyNumberFormat="0" applyFill="0" applyBorder="0" applyAlignment="0" applyProtection="0"/>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5" fillId="0" borderId="0"/>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166" fillId="0" borderId="0">
      <alignment vertical="center"/>
    </xf>
    <xf numFmtId="0" fontId="71" fillId="0" borderId="0"/>
    <xf numFmtId="0" fontId="68" fillId="0" borderId="0">
      <protection locked="0"/>
    </xf>
    <xf numFmtId="0" fontId="166" fillId="0" borderId="0" applyFill="0" applyBorder="0"/>
    <xf numFmtId="0" fontId="166" fillId="0" borderId="0">
      <alignment vertical="center"/>
    </xf>
    <xf numFmtId="176" fontId="166" fillId="0" borderId="0">
      <alignment vertical="center"/>
    </xf>
    <xf numFmtId="0" fontId="148" fillId="0" borderId="0" applyNumberFormat="0" applyFill="0" applyBorder="0" applyAlignment="0" applyProtection="0">
      <alignment vertical="top"/>
      <protection locked="0"/>
    </xf>
    <xf numFmtId="176" fontId="64" fillId="0" borderId="0" applyNumberFormat="0" applyFill="0" applyBorder="0" applyAlignment="0" applyProtection="0">
      <alignment vertical="top"/>
      <protection locked="0"/>
    </xf>
    <xf numFmtId="176" fontId="64"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149" fillId="0" borderId="0" applyNumberFormat="0" applyFill="0" applyBorder="0" applyAlignment="0" applyProtection="0">
      <alignment vertical="top"/>
      <protection locked="0"/>
    </xf>
    <xf numFmtId="0" fontId="56" fillId="0" borderId="0">
      <alignment vertical="top"/>
      <protection locked="0"/>
    </xf>
    <xf numFmtId="176" fontId="84" fillId="0" borderId="0" applyNumberFormat="0" applyFill="0" applyBorder="0" applyAlignment="0" applyProtection="0"/>
    <xf numFmtId="0" fontId="150" fillId="53" borderId="0" applyNumberFormat="0" applyBorder="0" applyAlignment="0" applyProtection="0">
      <alignment vertical="center"/>
    </xf>
    <xf numFmtId="0" fontId="151" fillId="13" borderId="0" applyNumberFormat="0" applyBorder="0" applyAlignment="0" applyProtection="0">
      <alignment vertical="center"/>
    </xf>
    <xf numFmtId="0" fontId="151" fillId="53" borderId="0" applyNumberFormat="0" applyBorder="0" applyAlignment="0" applyProtection="0">
      <alignment vertical="center"/>
    </xf>
    <xf numFmtId="0" fontId="151" fillId="53" borderId="0" applyNumberFormat="0" applyBorder="0" applyAlignment="0" applyProtection="0">
      <alignment vertical="center"/>
    </xf>
    <xf numFmtId="0" fontId="151" fillId="53" borderId="0" applyNumberFormat="0" applyBorder="0" applyAlignment="0" applyProtection="0">
      <alignment vertical="center"/>
    </xf>
    <xf numFmtId="0" fontId="151" fillId="13" borderId="0" applyNumberFormat="0" applyBorder="0" applyAlignment="0" applyProtection="0">
      <alignment vertical="center"/>
    </xf>
    <xf numFmtId="0" fontId="150" fillId="53" borderId="0" applyNumberFormat="0" applyBorder="0" applyAlignment="0" applyProtection="0">
      <alignment vertical="center"/>
    </xf>
    <xf numFmtId="0" fontId="152" fillId="35" borderId="0" applyNumberFormat="0" applyBorder="0" applyAlignment="0" applyProtection="0"/>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1" fillId="13" borderId="0" applyNumberFormat="0" applyBorder="0" applyAlignment="0" applyProtection="0">
      <alignment vertical="center"/>
    </xf>
    <xf numFmtId="0" fontId="153" fillId="9" borderId="0" applyNumberFormat="0" applyBorder="0" applyAlignment="0" applyProtection="0">
      <alignment vertical="center"/>
    </xf>
    <xf numFmtId="0" fontId="154" fillId="13" borderId="0" applyNumberFormat="0" applyBorder="0" applyAlignment="0" applyProtection="0">
      <alignment vertical="center"/>
    </xf>
    <xf numFmtId="0" fontId="152" fillId="1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5" fillId="54" borderId="0" applyNumberFormat="0" applyBorder="0" applyAlignment="0" applyProtection="0">
      <alignment vertical="center"/>
    </xf>
    <xf numFmtId="0" fontId="150" fillId="53" borderId="0" applyNumberFormat="0" applyBorder="0" applyAlignment="0" applyProtection="0">
      <alignment vertical="center"/>
    </xf>
    <xf numFmtId="0" fontId="155" fillId="54"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1" fillId="13" borderId="0" applyNumberFormat="0" applyBorder="0" applyAlignment="0" applyProtection="0">
      <alignment vertical="center"/>
    </xf>
    <xf numFmtId="0" fontId="150" fillId="53" borderId="0" applyNumberFormat="0" applyBorder="0" applyAlignment="0" applyProtection="0">
      <alignment vertical="center"/>
    </xf>
    <xf numFmtId="0" fontId="151" fillId="1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1" fillId="55" borderId="0" applyNumberFormat="0" applyBorder="0" applyAlignment="0" applyProtection="0">
      <alignment vertical="center"/>
    </xf>
    <xf numFmtId="0" fontId="150" fillId="53" borderId="0" applyNumberFormat="0" applyBorder="0" applyAlignment="0" applyProtection="0">
      <alignment vertical="center"/>
    </xf>
    <xf numFmtId="0" fontId="155" fillId="54" borderId="0" applyNumberFormat="0" applyBorder="0" applyAlignment="0" applyProtection="0">
      <alignment vertical="center"/>
    </xf>
    <xf numFmtId="0" fontId="150" fillId="53" borderId="0" applyNumberFormat="0" applyBorder="0" applyAlignment="0" applyProtection="0">
      <alignment vertical="center"/>
    </xf>
    <xf numFmtId="0" fontId="155" fillId="54" borderId="0" applyNumberFormat="0" applyBorder="0" applyAlignment="0" applyProtection="0">
      <alignment vertical="center"/>
    </xf>
    <xf numFmtId="0" fontId="151" fillId="53" borderId="0" applyNumberFormat="0" applyBorder="0" applyAlignment="0" applyProtection="0">
      <alignment vertical="center"/>
    </xf>
    <xf numFmtId="0" fontId="154" fillId="15" borderId="0" applyNumberFormat="0" applyBorder="0" applyAlignment="0" applyProtection="0">
      <alignment vertical="center"/>
    </xf>
    <xf numFmtId="4" fontId="135" fillId="0" borderId="0" applyFont="0" applyFill="0" applyBorder="0" applyAlignment="0" applyProtection="0"/>
    <xf numFmtId="41" fontId="65" fillId="0" borderId="0" applyFont="0" applyFill="0" applyBorder="0" applyAlignment="0" applyProtection="0"/>
    <xf numFmtId="227" fontId="156" fillId="0" borderId="0" applyFont="0" applyFill="0" applyBorder="0" applyAlignment="0" applyProtection="0"/>
    <xf numFmtId="228" fontId="156" fillId="0" borderId="0" applyFont="0" applyFill="0" applyBorder="0" applyAlignment="0" applyProtection="0"/>
    <xf numFmtId="229" fontId="65" fillId="0" borderId="0" applyFont="0" applyFill="0" applyBorder="0" applyAlignment="0" applyProtection="0"/>
    <xf numFmtId="230" fontId="65" fillId="0" borderId="0" applyFont="0" applyFill="0" applyBorder="0" applyAlignment="0" applyProtection="0"/>
    <xf numFmtId="0" fontId="71" fillId="0" borderId="0"/>
    <xf numFmtId="1" fontId="71" fillId="0" borderId="0"/>
    <xf numFmtId="231" fontId="157" fillId="0" borderId="0" applyFont="0" applyFill="0" applyBorder="0" applyAlignment="0" applyProtection="0"/>
    <xf numFmtId="232" fontId="157" fillId="0" borderId="0" applyFont="0" applyFill="0" applyBorder="0" applyAlignment="0" applyProtection="0"/>
    <xf numFmtId="227" fontId="71" fillId="0" borderId="0" applyFont="0" applyFill="0" applyBorder="0" applyAlignment="0" applyProtection="0"/>
    <xf numFmtId="228" fontId="71" fillId="0" borderId="0" applyFont="0" applyFill="0" applyBorder="0" applyAlignment="0" applyProtection="0"/>
    <xf numFmtId="176" fontId="68" fillId="0" borderId="0"/>
    <xf numFmtId="41" fontId="68" fillId="0" borderId="0" applyFont="0" applyFill="0" applyBorder="0" applyAlignment="0" applyProtection="0"/>
    <xf numFmtId="43" fontId="68" fillId="0" borderId="0" applyFont="0" applyFill="0" applyBorder="0" applyAlignment="0" applyProtection="0"/>
    <xf numFmtId="41" fontId="71" fillId="0" borderId="0" applyFont="0" applyFill="0" applyBorder="0" applyAlignment="0" applyProtection="0"/>
    <xf numFmtId="43" fontId="71" fillId="0" borderId="0" applyFont="0" applyFill="0" applyBorder="0" applyAlignment="0" applyProtection="0"/>
    <xf numFmtId="43" fontId="166" fillId="0" borderId="0" applyFont="0" applyFill="0" applyBorder="0" applyAlignment="0" applyProtection="0">
      <alignment vertical="center"/>
    </xf>
    <xf numFmtId="43" fontId="166"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alignment vertical="center"/>
    </xf>
    <xf numFmtId="43" fontId="166" fillId="0" borderId="0" applyFont="0" applyFill="0" applyBorder="0" applyAlignment="0" applyProtection="0">
      <alignment vertical="center"/>
    </xf>
    <xf numFmtId="43" fontId="166" fillId="0" borderId="0" applyFont="0" applyFill="0" applyBorder="0" applyAlignment="0" applyProtection="0">
      <alignment vertical="center"/>
    </xf>
    <xf numFmtId="0" fontId="6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63" fillId="0" borderId="0" applyFont="0" applyFill="0" applyBorder="0" applyAlignment="0" applyProtection="0">
      <alignment vertical="center"/>
    </xf>
    <xf numFmtId="43" fontId="63" fillId="0" borderId="0" applyFont="0" applyFill="0" applyBorder="0" applyAlignment="0" applyProtection="0">
      <alignment vertical="center"/>
    </xf>
    <xf numFmtId="233" fontId="2" fillId="0" borderId="0">
      <alignment vertical="center"/>
    </xf>
    <xf numFmtId="43" fontId="2" fillId="0" borderId="0">
      <alignment vertical="center"/>
    </xf>
    <xf numFmtId="43" fontId="2" fillId="0" borderId="0">
      <alignment vertical="center"/>
    </xf>
    <xf numFmtId="43" fontId="2" fillId="0" borderId="0">
      <alignment vertical="center"/>
    </xf>
    <xf numFmtId="43" fontId="166" fillId="0" borderId="0" applyFont="0" applyFill="0" applyBorder="0" applyAlignment="0" applyProtection="0"/>
    <xf numFmtId="41" fontId="166" fillId="0" borderId="0" applyFont="0" applyFill="0" applyBorder="0" applyAlignment="0" applyProtection="0"/>
    <xf numFmtId="41" fontId="166" fillId="0" borderId="0" applyFont="0" applyFill="0" applyBorder="0" applyAlignment="0" applyProtection="0"/>
    <xf numFmtId="0" fontId="158" fillId="0" borderId="0"/>
    <xf numFmtId="0" fontId="159" fillId="56" borderId="0" applyNumberFormat="0" applyBorder="0" applyAlignment="0" applyProtection="0"/>
    <xf numFmtId="0" fontId="159" fillId="57" borderId="0" applyNumberFormat="0" applyBorder="0" applyAlignment="0" applyProtection="0"/>
    <xf numFmtId="0" fontId="159" fillId="58" borderId="0" applyNumberFormat="0" applyBorder="0" applyAlignment="0" applyProtection="0"/>
    <xf numFmtId="209" fontId="65" fillId="0" borderId="0" applyFont="0" applyFill="0" applyBorder="0" applyAlignment="0" applyProtection="0"/>
    <xf numFmtId="234" fontId="135" fillId="0" borderId="0" applyFont="0" applyFill="0" applyBorder="0" applyAlignment="0" applyProtection="0"/>
    <xf numFmtId="176" fontId="69" fillId="0" borderId="0">
      <alignment vertical="top"/>
    </xf>
    <xf numFmtId="0" fontId="69" fillId="0" borderId="0">
      <alignment vertical="top"/>
    </xf>
    <xf numFmtId="0" fontId="156" fillId="0" borderId="0"/>
    <xf numFmtId="0" fontId="160" fillId="0" borderId="0"/>
    <xf numFmtId="40" fontId="137" fillId="0" borderId="0" applyFont="0" applyFill="0" applyBorder="0" applyAlignment="0" applyProtection="0"/>
    <xf numFmtId="38" fontId="137" fillId="0" borderId="0" applyFont="0" applyFill="0" applyBorder="0" applyAlignment="0" applyProtection="0"/>
    <xf numFmtId="226" fontId="65" fillId="0" borderId="12" applyNumberFormat="0"/>
    <xf numFmtId="38" fontId="66" fillId="0" borderId="0" applyFont="0" applyFill="0" applyBorder="0" applyAlignment="0" applyProtection="0"/>
    <xf numFmtId="40" fontId="66" fillId="0" borderId="0" applyFont="0" applyFill="0" applyBorder="0" applyAlignment="0" applyProtection="0"/>
    <xf numFmtId="176" fontId="66" fillId="0" borderId="0" applyFont="0" applyFill="0" applyBorder="0" applyAlignment="0" applyProtection="0"/>
    <xf numFmtId="176" fontId="66" fillId="0" borderId="0" applyFont="0" applyFill="0" applyBorder="0" applyAlignment="0" applyProtection="0"/>
    <xf numFmtId="176" fontId="161" fillId="0" borderId="0"/>
    <xf numFmtId="176" fontId="1" fillId="0" borderId="0">
      <alignment vertical="center"/>
    </xf>
  </cellStyleXfs>
  <cellXfs count="535">
    <xf numFmtId="0" fontId="0" fillId="0" borderId="0" xfId="0">
      <protection locked="0"/>
    </xf>
    <xf numFmtId="0" fontId="2" fillId="0" borderId="0" xfId="0" applyFont="1">
      <protection locked="0"/>
    </xf>
    <xf numFmtId="43" fontId="2" fillId="0" borderId="0" xfId="575" applyNumberFormat="1" applyFont="1" applyBorder="1" applyAlignment="1">
      <alignment vertical="center"/>
    </xf>
    <xf numFmtId="43" fontId="2" fillId="0" borderId="0" xfId="575" applyNumberFormat="1" applyFont="1" applyBorder="1" applyAlignment="1">
      <alignment horizontal="left" vertical="center"/>
    </xf>
    <xf numFmtId="0" fontId="5" fillId="2" borderId="1" xfId="514" applyFont="1" applyFill="1" applyBorder="1" applyAlignment="1" applyProtection="1">
      <alignment horizontal="center" vertical="center"/>
    </xf>
    <xf numFmtId="0" fontId="6" fillId="2" borderId="1" xfId="514" applyFont="1" applyFill="1" applyBorder="1" applyAlignment="1" applyProtection="1">
      <alignment horizontal="center" vertical="center" wrapText="1"/>
    </xf>
    <xf numFmtId="176" fontId="6" fillId="2" borderId="1" xfId="534" applyFont="1" applyFill="1" applyBorder="1" applyAlignment="1" applyProtection="1">
      <alignment horizontal="center" vertical="center" wrapText="1"/>
      <protection locked="0"/>
    </xf>
    <xf numFmtId="0" fontId="7" fillId="0" borderId="1" xfId="514" applyFont="1" applyBorder="1" applyProtection="1">
      <alignment vertical="center"/>
    </xf>
    <xf numFmtId="43" fontId="8" fillId="0" borderId="1" xfId="514" applyNumberFormat="1" applyFont="1" applyBorder="1" applyProtection="1">
      <alignment vertical="center"/>
    </xf>
    <xf numFmtId="0" fontId="2" fillId="0" borderId="1" xfId="514" applyFont="1" applyBorder="1" applyProtection="1">
      <alignment vertical="center"/>
    </xf>
    <xf numFmtId="0" fontId="9" fillId="0" borderId="1" xfId="514" applyFont="1" applyBorder="1" applyAlignment="1" applyProtection="1">
      <alignment horizontal="left" vertical="center" indent="1"/>
    </xf>
    <xf numFmtId="0" fontId="5" fillId="0" borderId="1" xfId="514" applyFont="1" applyBorder="1" applyAlignment="1" applyProtection="1">
      <alignment horizontal="center" vertical="center"/>
    </xf>
    <xf numFmtId="0" fontId="2" fillId="0" borderId="0" xfId="514" applyFont="1" applyAlignment="1">
      <protection locked="0"/>
    </xf>
    <xf numFmtId="43" fontId="2" fillId="0" borderId="0" xfId="575" applyNumberFormat="1" applyFont="1" applyBorder="1" applyAlignment="1">
      <alignment horizontal="right" vertical="center"/>
    </xf>
    <xf numFmtId="0" fontId="2" fillId="0" borderId="0" xfId="0" applyFont="1" applyAlignment="1">
      <alignment vertical="center"/>
      <protection locked="0"/>
    </xf>
    <xf numFmtId="0" fontId="8" fillId="0" borderId="1" xfId="514" applyFont="1" applyBorder="1" applyProtection="1">
      <alignment vertical="center"/>
    </xf>
    <xf numFmtId="49" fontId="2" fillId="0" borderId="0" xfId="575" applyNumberFormat="1" applyFont="1" applyBorder="1" applyAlignment="1">
      <alignment vertical="center"/>
    </xf>
    <xf numFmtId="0" fontId="5" fillId="0" borderId="0" xfId="513" applyFont="1" applyAlignment="1">
      <alignment vertical="center"/>
    </xf>
    <xf numFmtId="0" fontId="2" fillId="0" borderId="0" xfId="513" applyFont="1" applyAlignment="1">
      <alignment horizontal="left" vertical="center"/>
    </xf>
    <xf numFmtId="0" fontId="6" fillId="0" borderId="0" xfId="513" applyFont="1" applyAlignment="1">
      <alignment horizontal="left" vertical="center"/>
    </xf>
    <xf numFmtId="0" fontId="9" fillId="0" borderId="0" xfId="0" applyFont="1" applyAlignment="1" applyProtection="1">
      <alignment horizontal="left" vertical="center"/>
    </xf>
    <xf numFmtId="0" fontId="7" fillId="0" borderId="0" xfId="0" applyFont="1" applyAlignment="1" applyProtection="1">
      <alignment horizontal="left" vertical="center"/>
    </xf>
    <xf numFmtId="0" fontId="6" fillId="3" borderId="1" xfId="347" applyFont="1" applyFill="1" applyBorder="1" applyAlignment="1">
      <alignment horizontal="center" vertical="center"/>
    </xf>
    <xf numFmtId="0" fontId="2" fillId="3" borderId="1" xfId="347" applyFont="1" applyFill="1" applyBorder="1" applyAlignment="1">
      <alignment vertical="center" shrinkToFit="1"/>
    </xf>
    <xf numFmtId="43" fontId="11" fillId="3" borderId="1" xfId="1" applyFont="1" applyFill="1" applyBorder="1" applyAlignment="1" applyProtection="1">
      <alignment vertical="center" shrinkToFit="1"/>
    </xf>
    <xf numFmtId="0" fontId="2" fillId="3" borderId="1" xfId="347" applyFont="1" applyFill="1" applyBorder="1" applyAlignment="1" applyProtection="1">
      <alignment vertical="center" shrinkToFit="1"/>
      <protection locked="0"/>
    </xf>
    <xf numFmtId="43" fontId="11" fillId="0" borderId="1" xfId="1" applyFont="1" applyFill="1" applyBorder="1" applyAlignment="1" applyProtection="1">
      <alignment vertical="center" shrinkToFit="1"/>
      <protection locked="0"/>
    </xf>
    <xf numFmtId="43" fontId="11" fillId="3" borderId="1" xfId="1" applyFont="1" applyFill="1" applyBorder="1" applyAlignment="1" applyProtection="1">
      <alignment vertical="center" shrinkToFit="1"/>
      <protection locked="0"/>
    </xf>
    <xf numFmtId="0" fontId="2" fillId="3" borderId="1" xfId="347" applyFont="1" applyFill="1" applyBorder="1" applyAlignment="1" applyProtection="1">
      <alignment horizontal="left" vertical="center" shrinkToFit="1"/>
      <protection locked="0"/>
    </xf>
    <xf numFmtId="0" fontId="2" fillId="3" borderId="1" xfId="347" applyFont="1" applyFill="1" applyBorder="1" applyAlignment="1" applyProtection="1">
      <alignment horizontal="left" vertical="center" indent="4" shrinkToFit="1"/>
      <protection locked="0"/>
    </xf>
    <xf numFmtId="0" fontId="6" fillId="3" borderId="1" xfId="347" applyFont="1" applyFill="1" applyBorder="1" applyAlignment="1">
      <alignment horizontal="center" vertical="center" shrinkToFit="1"/>
    </xf>
    <xf numFmtId="43" fontId="12" fillId="3" borderId="1" xfId="1" applyFont="1" applyFill="1" applyBorder="1" applyAlignment="1" applyProtection="1">
      <alignment vertical="center" shrinkToFit="1"/>
    </xf>
    <xf numFmtId="0" fontId="6" fillId="0" borderId="2" xfId="513" applyFont="1" applyBorder="1" applyAlignment="1" applyProtection="1">
      <alignment vertical="center"/>
      <protection locked="0"/>
    </xf>
    <xf numFmtId="0" fontId="13" fillId="0" borderId="0" xfId="513" applyFont="1" applyAlignment="1" applyProtection="1">
      <alignment horizontal="right" vertical="center"/>
      <protection locked="0"/>
    </xf>
    <xf numFmtId="0" fontId="2" fillId="0" borderId="0" xfId="513" applyFont="1" applyAlignment="1" applyProtection="1">
      <alignment vertical="center"/>
      <protection locked="0"/>
    </xf>
    <xf numFmtId="0" fontId="6" fillId="0" borderId="0" xfId="513" applyFont="1" applyAlignment="1" applyProtection="1">
      <alignment vertical="center"/>
      <protection locked="0"/>
    </xf>
    <xf numFmtId="43" fontId="11" fillId="0" borderId="1" xfId="1" applyFont="1" applyFill="1" applyBorder="1" applyAlignment="1" applyProtection="1">
      <alignment vertical="center" shrinkToFit="1"/>
    </xf>
    <xf numFmtId="0" fontId="14" fillId="0" borderId="0" xfId="513" applyFont="1" applyAlignment="1" applyProtection="1">
      <alignment vertical="center"/>
      <protection locked="0"/>
    </xf>
    <xf numFmtId="0" fontId="15" fillId="0" borderId="0" xfId="574" applyFont="1" applyAlignment="1">
      <alignment vertical="center"/>
      <protection locked="0"/>
    </xf>
    <xf numFmtId="0" fontId="15" fillId="2" borderId="0" xfId="574" applyFont="1" applyFill="1" applyAlignment="1">
      <alignment vertical="center"/>
      <protection locked="0"/>
    </xf>
    <xf numFmtId="0" fontId="14" fillId="2" borderId="0" xfId="574" applyFont="1" applyFill="1" applyAlignment="1">
      <alignment vertical="center"/>
      <protection locked="0"/>
    </xf>
    <xf numFmtId="0" fontId="14" fillId="0" borderId="0" xfId="574" applyFont="1" applyAlignment="1">
      <alignment vertical="center"/>
      <protection locked="0"/>
    </xf>
    <xf numFmtId="0" fontId="14" fillId="0" borderId="0" xfId="575" applyFont="1" applyBorder="1" applyAlignment="1">
      <alignment vertical="center"/>
    </xf>
    <xf numFmtId="0" fontId="18" fillId="0" borderId="0" xfId="513" applyFont="1" applyAlignment="1">
      <alignment vertical="center"/>
    </xf>
    <xf numFmtId="0" fontId="19" fillId="0" borderId="0" xfId="513" applyFont="1" applyAlignment="1">
      <alignment horizontal="center" vertical="center"/>
    </xf>
    <xf numFmtId="0" fontId="14" fillId="0" borderId="0" xfId="513" applyFont="1" applyAlignment="1">
      <alignment horizontal="left" vertical="center"/>
    </xf>
    <xf numFmtId="0" fontId="20" fillId="0" borderId="0" xfId="0" applyFont="1" applyAlignment="1" applyProtection="1">
      <alignment horizontal="left" vertical="center"/>
    </xf>
    <xf numFmtId="0" fontId="15" fillId="0" borderId="0" xfId="513" applyFont="1" applyAlignment="1">
      <alignment horizontal="left" vertical="center"/>
    </xf>
    <xf numFmtId="0" fontId="15" fillId="3" borderId="1" xfId="0" applyFont="1" applyFill="1" applyBorder="1" applyAlignment="1">
      <alignment horizontal="center" vertical="center" wrapText="1"/>
      <protection locked="0"/>
    </xf>
    <xf numFmtId="0" fontId="23" fillId="0" borderId="1" xfId="0" applyFont="1" applyBorder="1" applyAlignment="1" applyProtection="1">
      <alignment horizontal="right" vertical="center" shrinkToFit="1"/>
    </xf>
    <xf numFmtId="43" fontId="24" fillId="0" borderId="1" xfId="0" applyNumberFormat="1" applyFont="1" applyBorder="1" applyAlignment="1" applyProtection="1">
      <alignment horizontal="right" vertical="center" shrinkToFit="1"/>
    </xf>
    <xf numFmtId="0" fontId="25" fillId="3" borderId="1" xfId="0" applyFont="1" applyFill="1" applyBorder="1" applyAlignment="1" applyProtection="1">
      <alignment horizontal="center" vertical="center" wrapText="1"/>
    </xf>
    <xf numFmtId="0" fontId="25" fillId="3" borderId="1" xfId="0" applyFont="1" applyFill="1" applyBorder="1" applyAlignment="1" applyProtection="1">
      <alignment vertical="center" wrapText="1"/>
    </xf>
    <xf numFmtId="43" fontId="8" fillId="3" borderId="1" xfId="1" applyFont="1" applyFill="1" applyBorder="1" applyAlignment="1">
      <alignment horizontal="right" vertical="center"/>
    </xf>
    <xf numFmtId="0" fontId="18" fillId="3" borderId="0" xfId="0" applyFont="1" applyFill="1" applyAlignment="1">
      <alignment vertical="center"/>
      <protection locked="0"/>
    </xf>
    <xf numFmtId="0" fontId="23" fillId="3" borderId="0" xfId="0" applyFont="1" applyFill="1" applyAlignment="1" applyProtection="1">
      <alignment horizontal="right" vertical="center" shrinkToFit="1"/>
    </xf>
    <xf numFmtId="0" fontId="26" fillId="3" borderId="0" xfId="1" applyNumberFormat="1" applyFont="1" applyFill="1" applyBorder="1" applyAlignment="1">
      <alignment horizontal="center" vertical="center"/>
    </xf>
    <xf numFmtId="10" fontId="8" fillId="3" borderId="0" xfId="1" applyNumberFormat="1" applyFont="1" applyFill="1" applyBorder="1" applyAlignment="1">
      <alignment horizontal="right" vertical="center"/>
    </xf>
    <xf numFmtId="0" fontId="18" fillId="3" borderId="0" xfId="0" applyFont="1" applyFill="1" applyBorder="1" applyAlignment="1">
      <alignment vertical="center"/>
      <protection locked="0"/>
    </xf>
    <xf numFmtId="0" fontId="23" fillId="3" borderId="0" xfId="0" applyFont="1" applyFill="1" applyBorder="1" applyAlignment="1" applyProtection="1">
      <alignment horizontal="right" vertical="center" shrinkToFit="1"/>
    </xf>
    <xf numFmtId="0" fontId="8" fillId="3" borderId="0" xfId="1" applyNumberFormat="1" applyFont="1" applyFill="1" applyBorder="1" applyAlignment="1">
      <alignment horizontal="right" vertical="center"/>
    </xf>
    <xf numFmtId="0" fontId="15" fillId="0" borderId="0" xfId="513" applyFont="1" applyBorder="1" applyAlignment="1" applyProtection="1">
      <alignment vertical="center"/>
      <protection locked="0"/>
    </xf>
    <xf numFmtId="0" fontId="14" fillId="0" borderId="0" xfId="513" applyFont="1" applyBorder="1" applyAlignment="1" applyProtection="1">
      <alignment vertical="center"/>
      <protection locked="0"/>
    </xf>
    <xf numFmtId="0" fontId="14" fillId="0" borderId="0" xfId="574" applyFont="1" applyBorder="1" applyAlignment="1">
      <alignment vertical="center"/>
      <protection locked="0"/>
    </xf>
    <xf numFmtId="0" fontId="27" fillId="0" borderId="0" xfId="513" applyFont="1" applyBorder="1" applyAlignment="1" applyProtection="1">
      <alignment horizontal="right" vertical="center"/>
      <protection locked="0"/>
    </xf>
    <xf numFmtId="0" fontId="14" fillId="0" borderId="0" xfId="513" applyFont="1" applyAlignment="1" applyProtection="1">
      <alignment horizontal="right" vertical="center"/>
      <protection locked="0"/>
    </xf>
    <xf numFmtId="0" fontId="14" fillId="0" borderId="0" xfId="513" applyFont="1" applyAlignment="1" applyProtection="1">
      <alignment vertical="center" wrapText="1"/>
      <protection locked="0"/>
    </xf>
    <xf numFmtId="10" fontId="24" fillId="3" borderId="0" xfId="0" applyNumberFormat="1" applyFont="1" applyFill="1" applyAlignment="1" applyProtection="1">
      <alignment horizontal="right" vertical="center" shrinkToFit="1"/>
    </xf>
    <xf numFmtId="10" fontId="26" fillId="3" borderId="0" xfId="1" applyNumberFormat="1" applyFont="1" applyFill="1" applyBorder="1" applyAlignment="1">
      <alignment horizontal="center" vertical="center"/>
    </xf>
    <xf numFmtId="0" fontId="24" fillId="3" borderId="0" xfId="0" applyFont="1" applyFill="1" applyBorder="1" applyAlignment="1" applyProtection="1">
      <alignment horizontal="right" vertical="center" shrinkToFit="1"/>
    </xf>
    <xf numFmtId="0" fontId="14" fillId="0" borderId="0" xfId="576" applyFont="1">
      <alignment vertical="center"/>
    </xf>
    <xf numFmtId="43" fontId="8" fillId="0" borderId="1" xfId="1" applyFont="1" applyFill="1" applyBorder="1" applyAlignment="1">
      <alignment horizontal="right" vertical="center"/>
    </xf>
    <xf numFmtId="43" fontId="24" fillId="0" borderId="1" xfId="0" applyNumberFormat="1" applyFont="1" applyBorder="1" applyAlignment="1">
      <alignment horizontal="right" vertical="center" shrinkToFit="1"/>
      <protection locked="0"/>
    </xf>
    <xf numFmtId="0" fontId="14" fillId="0" borderId="1" xfId="0" applyFont="1" applyBorder="1" applyAlignment="1" applyProtection="1">
      <alignment horizontal="center" vertical="center" shrinkToFit="1"/>
    </xf>
    <xf numFmtId="0" fontId="23" fillId="3" borderId="1" xfId="0" applyFont="1" applyFill="1" applyBorder="1" applyAlignment="1" applyProtection="1">
      <alignment horizontal="right" vertical="center" shrinkToFit="1"/>
    </xf>
    <xf numFmtId="10" fontId="8" fillId="3" borderId="0" xfId="2" applyNumberFormat="1" applyFont="1" applyFill="1" applyBorder="1" applyAlignment="1">
      <alignment horizontal="right" vertical="center"/>
    </xf>
    <xf numFmtId="0" fontId="14" fillId="3" borderId="0" xfId="574" applyFont="1" applyFill="1" applyAlignment="1">
      <alignment vertical="center"/>
      <protection locked="0"/>
    </xf>
    <xf numFmtId="0" fontId="8" fillId="3" borderId="0" xfId="2" applyNumberFormat="1" applyFont="1" applyFill="1" applyBorder="1" applyAlignment="1">
      <alignment horizontal="right" vertical="center"/>
    </xf>
    <xf numFmtId="0" fontId="26" fillId="3" borderId="0" xfId="2" applyNumberFormat="1" applyFont="1" applyFill="1" applyBorder="1" applyAlignment="1">
      <alignment horizontal="right" vertical="center"/>
    </xf>
    <xf numFmtId="0" fontId="14" fillId="3" borderId="0" xfId="574" applyFont="1" applyFill="1" applyBorder="1" applyAlignment="1">
      <alignment vertical="center"/>
      <protection locked="0"/>
    </xf>
    <xf numFmtId="0" fontId="14" fillId="0" borderId="1" xfId="574" applyFont="1" applyBorder="1" applyAlignment="1">
      <alignment vertical="center"/>
      <protection locked="0"/>
    </xf>
    <xf numFmtId="0" fontId="15" fillId="0" borderId="1" xfId="574" applyFont="1" applyBorder="1" applyAlignment="1">
      <alignment vertical="center"/>
      <protection locked="0"/>
    </xf>
    <xf numFmtId="43" fontId="29" fillId="0" borderId="0" xfId="512" applyNumberFormat="1" applyFont="1">
      <alignment vertical="center"/>
    </xf>
    <xf numFmtId="43" fontId="30" fillId="0" borderId="0" xfId="512" applyNumberFormat="1" applyFont="1">
      <alignment vertical="center"/>
    </xf>
    <xf numFmtId="43" fontId="30" fillId="0" borderId="0" xfId="678" applyFont="1">
      <alignment vertical="center"/>
    </xf>
    <xf numFmtId="0" fontId="30" fillId="0" borderId="0" xfId="0" applyFont="1" applyAlignment="1">
      <alignment vertical="center"/>
      <protection locked="0"/>
    </xf>
    <xf numFmtId="43" fontId="31" fillId="0" borderId="0" xfId="583" applyNumberFormat="1" applyFont="1" applyAlignment="1" applyProtection="1">
      <alignment horizontal="center" vertical="center"/>
    </xf>
    <xf numFmtId="43" fontId="32" fillId="0" borderId="0" xfId="583" applyNumberFormat="1" applyFont="1" applyAlignment="1" applyProtection="1">
      <alignment horizontal="center" vertical="center"/>
    </xf>
    <xf numFmtId="43" fontId="29" fillId="0" borderId="5" xfId="512" applyNumberFormat="1" applyFont="1" applyBorder="1" applyAlignment="1">
      <alignment horizontal="justify" vertical="center" wrapText="1"/>
    </xf>
    <xf numFmtId="43" fontId="29" fillId="0" borderId="5" xfId="512" applyNumberFormat="1" applyFont="1" applyBorder="1" applyAlignment="1">
      <alignment horizontal="right" vertical="center" wrapText="1"/>
    </xf>
    <xf numFmtId="43" fontId="30" fillId="0" borderId="0" xfId="512" applyNumberFormat="1" applyFont="1" applyAlignment="1">
      <alignment horizontal="justify" vertical="center" wrapText="1"/>
    </xf>
    <xf numFmtId="43" fontId="30" fillId="4" borderId="0" xfId="512" applyNumberFormat="1" applyFont="1" applyFill="1" applyAlignment="1">
      <alignment horizontal="right" vertical="center"/>
    </xf>
    <xf numFmtId="43" fontId="30" fillId="4" borderId="0" xfId="512" applyNumberFormat="1" applyFont="1" applyFill="1" applyAlignment="1">
      <alignment horizontal="right" vertical="center" wrapText="1"/>
    </xf>
    <xf numFmtId="43" fontId="29" fillId="0" borderId="0" xfId="512" applyNumberFormat="1" applyFont="1" applyAlignment="1">
      <alignment horizontal="justify" vertical="center" wrapText="1"/>
    </xf>
    <xf numFmtId="43" fontId="29" fillId="0" borderId="0" xfId="512" applyNumberFormat="1" applyFont="1" applyAlignment="1">
      <alignment horizontal="right" vertical="center" wrapText="1"/>
    </xf>
    <xf numFmtId="43" fontId="30" fillId="0" borderId="6" xfId="512" applyNumberFormat="1" applyFont="1" applyBorder="1" applyAlignment="1">
      <alignment horizontal="justify" vertical="center" wrapText="1"/>
    </xf>
    <xf numFmtId="43" fontId="30" fillId="4" borderId="6" xfId="512" applyNumberFormat="1" applyFont="1" applyFill="1" applyBorder="1" applyAlignment="1">
      <alignment horizontal="right" vertical="center" wrapText="1"/>
    </xf>
    <xf numFmtId="43" fontId="30" fillId="0" borderId="6" xfId="512" applyNumberFormat="1" applyFont="1" applyBorder="1" applyAlignment="1">
      <alignment horizontal="right" vertical="center" wrapText="1"/>
    </xf>
    <xf numFmtId="43" fontId="29" fillId="0" borderId="6" xfId="512" applyNumberFormat="1" applyFont="1" applyBorder="1" applyAlignment="1">
      <alignment horizontal="justify" vertical="center" wrapText="1"/>
    </xf>
    <xf numFmtId="43" fontId="29" fillId="0" borderId="6" xfId="512" applyNumberFormat="1" applyFont="1" applyBorder="1" applyAlignment="1">
      <alignment horizontal="right" vertical="center" wrapText="1"/>
    </xf>
    <xf numFmtId="43" fontId="29" fillId="0" borderId="8" xfId="512" applyNumberFormat="1" applyFont="1" applyBorder="1" applyAlignment="1">
      <alignment horizontal="right" vertical="center" wrapText="1"/>
    </xf>
    <xf numFmtId="43" fontId="30" fillId="0" borderId="0" xfId="512" applyNumberFormat="1" applyFont="1" applyAlignment="1">
      <alignment horizontal="right" vertical="center" wrapText="1"/>
    </xf>
    <xf numFmtId="43" fontId="33" fillId="0" borderId="0" xfId="512" applyNumberFormat="1" applyFont="1" applyAlignment="1">
      <alignment horizontal="justify" vertical="center" wrapText="1"/>
    </xf>
    <xf numFmtId="43" fontId="33" fillId="0" borderId="8" xfId="512" applyNumberFormat="1" applyFont="1" applyBorder="1" applyAlignment="1">
      <alignment horizontal="justify" vertical="center" wrapText="1"/>
    </xf>
    <xf numFmtId="43" fontId="30" fillId="0" borderId="8" xfId="512" applyNumberFormat="1" applyFont="1" applyBorder="1" applyAlignment="1">
      <alignment horizontal="right" vertical="center" wrapText="1"/>
    </xf>
    <xf numFmtId="43" fontId="34" fillId="0" borderId="8" xfId="512" applyNumberFormat="1" applyFont="1" applyBorder="1" applyAlignment="1">
      <alignment horizontal="justify" vertical="center" wrapText="1"/>
    </xf>
    <xf numFmtId="43" fontId="34" fillId="0" borderId="8" xfId="512" applyNumberFormat="1" applyFont="1" applyBorder="1" applyAlignment="1">
      <alignment horizontal="right" vertical="center" wrapText="1"/>
    </xf>
    <xf numFmtId="43" fontId="35" fillId="4" borderId="0" xfId="512" applyNumberFormat="1" applyFont="1" applyFill="1" applyAlignment="1">
      <alignment horizontal="justify" vertical="center" wrapText="1"/>
    </xf>
    <xf numFmtId="43" fontId="29" fillId="4" borderId="0" xfId="512" applyNumberFormat="1" applyFont="1" applyFill="1" applyAlignment="1">
      <alignment horizontal="right" vertical="center" wrapText="1"/>
    </xf>
    <xf numFmtId="43" fontId="35" fillId="4" borderId="8" xfId="512" applyNumberFormat="1" applyFont="1" applyFill="1" applyBorder="1" applyAlignment="1">
      <alignment horizontal="justify" vertical="center" wrapText="1"/>
    </xf>
    <xf numFmtId="43" fontId="35" fillId="4" borderId="8" xfId="512" applyNumberFormat="1" applyFont="1" applyFill="1" applyBorder="1" applyAlignment="1">
      <alignment horizontal="right" vertical="center" wrapText="1"/>
    </xf>
    <xf numFmtId="43" fontId="35" fillId="0" borderId="8" xfId="512" applyNumberFormat="1" applyFont="1" applyBorder="1" applyAlignment="1">
      <alignment horizontal="right" vertical="center" wrapText="1"/>
    </xf>
    <xf numFmtId="43" fontId="29" fillId="0" borderId="8" xfId="512" applyNumberFormat="1" applyFont="1" applyBorder="1" applyAlignment="1">
      <alignment horizontal="justify" vertical="center" wrapText="1"/>
    </xf>
    <xf numFmtId="43" fontId="29" fillId="0" borderId="8" xfId="512" applyNumberFormat="1" applyFont="1" applyBorder="1" applyAlignment="1">
      <alignment horizontal="center" vertical="center" wrapText="1"/>
    </xf>
    <xf numFmtId="43" fontId="34" fillId="0" borderId="5" xfId="512" applyNumberFormat="1" applyFont="1" applyBorder="1" applyAlignment="1">
      <alignment horizontal="justify" vertical="center" wrapText="1"/>
    </xf>
    <xf numFmtId="43" fontId="34" fillId="0" borderId="5" xfId="512" applyNumberFormat="1" applyFont="1" applyBorder="1" applyAlignment="1">
      <alignment horizontal="right" vertical="center" wrapText="1"/>
    </xf>
    <xf numFmtId="43" fontId="30" fillId="0" borderId="0" xfId="512" applyNumberFormat="1" applyFont="1" applyAlignment="1">
      <alignment horizontal="justify" vertical="center"/>
    </xf>
    <xf numFmtId="0" fontId="30" fillId="0" borderId="0" xfId="0" applyFont="1" applyAlignment="1">
      <alignment horizontal="right" vertical="center"/>
      <protection locked="0"/>
    </xf>
    <xf numFmtId="43" fontId="30" fillId="0" borderId="8" xfId="512" applyNumberFormat="1" applyFont="1" applyBorder="1" applyAlignment="1">
      <alignment horizontal="justify" vertical="center" wrapText="1"/>
    </xf>
    <xf numFmtId="43" fontId="29" fillId="4" borderId="8" xfId="512" applyNumberFormat="1" applyFont="1" applyFill="1" applyBorder="1" applyAlignment="1">
      <alignment horizontal="right" vertical="center" wrapText="1"/>
    </xf>
    <xf numFmtId="43" fontId="35" fillId="0" borderId="0" xfId="512" applyNumberFormat="1" applyFont="1" applyAlignment="1">
      <alignment horizontal="justify" vertical="center"/>
    </xf>
    <xf numFmtId="43" fontId="29" fillId="0" borderId="0" xfId="512" applyNumberFormat="1" applyFont="1" applyAlignment="1">
      <alignment vertical="center" wrapText="1"/>
    </xf>
    <xf numFmtId="0" fontId="30" fillId="0" borderId="0" xfId="512" applyFont="1" applyAlignment="1"/>
    <xf numFmtId="235" fontId="34" fillId="0" borderId="0" xfId="512" applyNumberFormat="1" applyFont="1" applyAlignment="1">
      <alignment horizontal="left" vertical="center"/>
    </xf>
    <xf numFmtId="43" fontId="34" fillId="0" borderId="0" xfId="512" applyNumberFormat="1" applyFont="1" applyAlignment="1">
      <alignment horizontal="right" vertical="center" wrapText="1"/>
    </xf>
    <xf numFmtId="43" fontId="34" fillId="0" borderId="0" xfId="512" applyNumberFormat="1" applyFont="1" applyAlignment="1">
      <alignment horizontal="justify" vertical="center" wrapText="1"/>
    </xf>
    <xf numFmtId="43" fontId="29" fillId="0" borderId="8" xfId="512" applyNumberFormat="1" applyFont="1" applyBorder="1" applyAlignment="1">
      <alignment vertical="center" wrapText="1"/>
    </xf>
    <xf numFmtId="43" fontId="30" fillId="0" borderId="7" xfId="512" applyNumberFormat="1" applyFont="1" applyBorder="1" applyAlignment="1">
      <alignment horizontal="right" vertical="center" wrapText="1"/>
    </xf>
    <xf numFmtId="43" fontId="35" fillId="0" borderId="0" xfId="512" applyNumberFormat="1" applyFont="1">
      <alignment vertical="center"/>
    </xf>
    <xf numFmtId="43" fontId="29" fillId="5" borderId="8" xfId="512" applyNumberFormat="1" applyFont="1" applyFill="1" applyBorder="1" applyAlignment="1">
      <alignment horizontal="right" vertical="center" wrapText="1"/>
    </xf>
    <xf numFmtId="43" fontId="29" fillId="0" borderId="7" xfId="512" applyNumberFormat="1" applyFont="1" applyBorder="1" applyAlignment="1">
      <alignment horizontal="left" vertical="center" wrapText="1"/>
    </xf>
    <xf numFmtId="43" fontId="29" fillId="0" borderId="7" xfId="512" applyNumberFormat="1" applyFont="1" applyBorder="1" applyAlignment="1">
      <alignment horizontal="right" vertical="center" wrapText="1"/>
    </xf>
    <xf numFmtId="43" fontId="35" fillId="0" borderId="7" xfId="512" applyNumberFormat="1" applyFont="1" applyBorder="1" applyAlignment="1">
      <alignment horizontal="left" vertical="center" wrapText="1"/>
    </xf>
    <xf numFmtId="43" fontId="30" fillId="0" borderId="8" xfId="512" applyNumberFormat="1" applyFont="1" applyBorder="1" applyAlignment="1">
      <alignment horizontal="left" vertical="center" wrapText="1"/>
    </xf>
    <xf numFmtId="43" fontId="29" fillId="0" borderId="8" xfId="512" applyNumberFormat="1" applyFont="1" applyBorder="1" applyAlignment="1">
      <alignment horizontal="left" vertical="center" wrapText="1"/>
    </xf>
    <xf numFmtId="43" fontId="29" fillId="0" borderId="5" xfId="512" applyNumberFormat="1" applyFont="1" applyBorder="1" applyAlignment="1">
      <alignment horizontal="left" vertical="center" wrapText="1"/>
    </xf>
    <xf numFmtId="43" fontId="30" fillId="4" borderId="0" xfId="512" applyNumberFormat="1" applyFont="1" applyFill="1" applyAlignment="1">
      <alignment horizontal="left" vertical="center" wrapText="1"/>
    </xf>
    <xf numFmtId="43" fontId="30" fillId="4" borderId="8" xfId="512" applyNumberFormat="1" applyFont="1" applyFill="1" applyBorder="1" applyAlignment="1">
      <alignment horizontal="left" vertical="center" wrapText="1"/>
    </xf>
    <xf numFmtId="43" fontId="30" fillId="4" borderId="8" xfId="512" applyNumberFormat="1" applyFont="1" applyFill="1" applyBorder="1" applyAlignment="1">
      <alignment horizontal="right" vertical="center" wrapText="1"/>
    </xf>
    <xf numFmtId="43" fontId="30" fillId="4" borderId="0" xfId="512" applyNumberFormat="1" applyFont="1" applyFill="1" applyAlignment="1">
      <alignment horizontal="justify" vertical="center" wrapText="1"/>
    </xf>
    <xf numFmtId="43" fontId="30" fillId="4" borderId="8" xfId="512" applyNumberFormat="1" applyFont="1" applyFill="1" applyBorder="1" applyAlignment="1">
      <alignment horizontal="justify" vertical="center" wrapText="1"/>
    </xf>
    <xf numFmtId="43" fontId="36" fillId="0" borderId="8" xfId="512" applyNumberFormat="1" applyFont="1" applyBorder="1" applyAlignment="1">
      <alignment horizontal="right" vertical="center" wrapText="1"/>
    </xf>
    <xf numFmtId="43" fontId="35" fillId="0" borderId="0" xfId="512" applyNumberFormat="1" applyFont="1" applyAlignment="1">
      <alignment horizontal="right" vertical="center" wrapText="1"/>
    </xf>
    <xf numFmtId="43" fontId="35" fillId="0" borderId="8" xfId="512" applyNumberFormat="1" applyFont="1" applyBorder="1" applyAlignment="1">
      <alignment horizontal="justify" vertical="center" wrapText="1"/>
    </xf>
    <xf numFmtId="43" fontId="33" fillId="0" borderId="0" xfId="512" applyNumberFormat="1" applyFont="1" applyAlignment="1">
      <alignment horizontal="left" vertical="center"/>
    </xf>
    <xf numFmtId="43" fontId="35" fillId="0" borderId="0" xfId="512" applyNumberFormat="1" applyFont="1" applyAlignment="1">
      <alignment horizontal="justify" vertical="center" wrapText="1"/>
    </xf>
    <xf numFmtId="0" fontId="30" fillId="0" borderId="0" xfId="512" applyFont="1" applyAlignment="1">
      <alignment horizontal="center" vertical="center"/>
    </xf>
    <xf numFmtId="43" fontId="30" fillId="0" borderId="0" xfId="676" applyNumberFormat="1" applyFont="1">
      <alignment vertical="center"/>
    </xf>
    <xf numFmtId="43" fontId="33" fillId="0" borderId="0" xfId="676" applyNumberFormat="1" applyFont="1">
      <alignment vertical="center"/>
    </xf>
    <xf numFmtId="0" fontId="33" fillId="0" borderId="0" xfId="512" applyFont="1">
      <alignment vertical="center"/>
    </xf>
    <xf numFmtId="0" fontId="30" fillId="0" borderId="0" xfId="512" applyFont="1" applyAlignment="1">
      <alignment horizontal="left" vertical="center"/>
    </xf>
    <xf numFmtId="0" fontId="30" fillId="0" borderId="0" xfId="512" applyFont="1">
      <alignment vertical="center"/>
    </xf>
    <xf numFmtId="0" fontId="39" fillId="0" borderId="0" xfId="0" applyFont="1" applyAlignment="1">
      <alignment vertical="center"/>
      <protection locked="0"/>
    </xf>
    <xf numFmtId="0" fontId="40" fillId="0" borderId="0" xfId="0" applyFont="1" applyAlignment="1">
      <alignment horizontal="right" vertical="center"/>
      <protection locked="0"/>
    </xf>
    <xf numFmtId="0" fontId="39" fillId="0" borderId="0" xfId="0" applyFont="1" applyAlignment="1">
      <alignment horizontal="right" vertical="center"/>
      <protection locked="0"/>
    </xf>
    <xf numFmtId="0" fontId="29" fillId="0" borderId="0" xfId="512" applyFont="1" applyAlignment="1">
      <alignment horizontal="left" vertical="center"/>
    </xf>
    <xf numFmtId="0" fontId="29" fillId="0" borderId="0" xfId="512" applyFont="1">
      <alignment vertical="center"/>
    </xf>
    <xf numFmtId="0" fontId="32" fillId="0" borderId="0" xfId="583" applyFont="1" applyAlignment="1" applyProtection="1">
      <alignment horizontal="center" vertical="center"/>
    </xf>
    <xf numFmtId="0" fontId="29" fillId="0" borderId="5" xfId="512" applyFont="1" applyBorder="1" applyAlignment="1">
      <alignment horizontal="left" vertical="center" wrapText="1"/>
    </xf>
    <xf numFmtId="0" fontId="29" fillId="0" borderId="5" xfId="512" applyFont="1" applyBorder="1" applyAlignment="1">
      <alignment horizontal="right" vertical="center" wrapText="1"/>
    </xf>
    <xf numFmtId="0" fontId="30" fillId="0" borderId="0" xfId="512" applyFont="1" applyAlignment="1">
      <alignment horizontal="left" vertical="center" wrapText="1"/>
    </xf>
    <xf numFmtId="0" fontId="30" fillId="0" borderId="0" xfId="512" applyFont="1" applyAlignment="1">
      <alignment horizontal="right" vertical="center" wrapText="1"/>
    </xf>
    <xf numFmtId="43" fontId="30" fillId="4" borderId="0" xfId="676" applyNumberFormat="1" applyFont="1" applyFill="1" applyAlignment="1">
      <alignment horizontal="right" vertical="center" wrapText="1"/>
    </xf>
    <xf numFmtId="0" fontId="29" fillId="0" borderId="0" xfId="512" applyFont="1" applyAlignment="1">
      <alignment horizontal="left" vertical="center" wrapText="1"/>
    </xf>
    <xf numFmtId="0" fontId="30" fillId="0" borderId="8" xfId="512" applyFont="1" applyBorder="1" applyAlignment="1">
      <alignment horizontal="left" vertical="center" wrapText="1"/>
    </xf>
    <xf numFmtId="0" fontId="30" fillId="0" borderId="8" xfId="512" applyFont="1" applyBorder="1" applyAlignment="1">
      <alignment horizontal="right" vertical="center" wrapText="1"/>
    </xf>
    <xf numFmtId="0" fontId="29" fillId="0" borderId="8" xfId="512" applyFont="1" applyBorder="1" applyAlignment="1">
      <alignment horizontal="left" vertical="center" wrapText="1"/>
    </xf>
    <xf numFmtId="0" fontId="29" fillId="0" borderId="8" xfId="512" applyFont="1" applyBorder="1" applyAlignment="1">
      <alignment horizontal="right" vertical="center" wrapText="1"/>
    </xf>
    <xf numFmtId="9" fontId="30" fillId="4" borderId="0" xfId="461" applyFont="1" applyFill="1" applyAlignment="1">
      <alignment horizontal="right" vertical="center" wrapText="1"/>
    </xf>
    <xf numFmtId="43" fontId="30" fillId="0" borderId="0" xfId="676" applyNumberFormat="1" applyFont="1" applyAlignment="1">
      <alignment horizontal="right" vertical="center" wrapText="1"/>
    </xf>
    <xf numFmtId="0" fontId="30" fillId="4" borderId="0" xfId="512" applyFont="1" applyFill="1" applyAlignment="1">
      <alignment horizontal="right" vertical="center" wrapText="1"/>
    </xf>
    <xf numFmtId="0" fontId="33" fillId="0" borderId="0" xfId="512" applyFont="1" applyAlignment="1">
      <alignment horizontal="left" vertical="center" wrapText="1"/>
    </xf>
    <xf numFmtId="0" fontId="33" fillId="0" borderId="8" xfId="512" applyFont="1" applyBorder="1" applyAlignment="1">
      <alignment horizontal="left" vertical="center" wrapText="1"/>
    </xf>
    <xf numFmtId="0" fontId="34" fillId="0" borderId="8" xfId="512" applyFont="1" applyBorder="1" applyAlignment="1">
      <alignment horizontal="left" vertical="center" wrapText="1"/>
    </xf>
    <xf numFmtId="43" fontId="29" fillId="4" borderId="8" xfId="676" applyNumberFormat="1" applyFont="1" applyFill="1" applyBorder="1" applyAlignment="1">
      <alignment horizontal="right" vertical="center" wrapText="1"/>
    </xf>
    <xf numFmtId="9" fontId="29" fillId="4" borderId="5" xfId="461" applyFont="1" applyFill="1" applyBorder="1" applyAlignment="1">
      <alignment horizontal="right" vertical="center" wrapText="1"/>
    </xf>
    <xf numFmtId="9" fontId="30" fillId="4" borderId="5" xfId="461" applyFont="1" applyFill="1" applyBorder="1" applyAlignment="1">
      <alignment horizontal="right" vertical="center" wrapText="1"/>
    </xf>
    <xf numFmtId="43" fontId="29" fillId="0" borderId="5" xfId="676" applyNumberFormat="1" applyFont="1" applyBorder="1" applyAlignment="1">
      <alignment horizontal="right" vertical="center" wrapText="1"/>
    </xf>
    <xf numFmtId="9" fontId="30" fillId="0" borderId="0" xfId="461" applyFont="1" applyAlignment="1">
      <alignment horizontal="right" vertical="center" wrapText="1"/>
    </xf>
    <xf numFmtId="43" fontId="29" fillId="0" borderId="8" xfId="676" applyNumberFormat="1" applyFont="1" applyBorder="1" applyAlignment="1">
      <alignment horizontal="right" vertical="center" wrapText="1"/>
    </xf>
    <xf numFmtId="9" fontId="29" fillId="0" borderId="5" xfId="461" applyFont="1" applyBorder="1" applyAlignment="1">
      <alignment horizontal="right" vertical="center" wrapText="1"/>
    </xf>
    <xf numFmtId="9" fontId="30" fillId="0" borderId="5" xfId="461" applyFont="1" applyBorder="1" applyAlignment="1">
      <alignment horizontal="right" vertical="center" wrapText="1"/>
    </xf>
    <xf numFmtId="0" fontId="30" fillId="4" borderId="0" xfId="512" applyFont="1" applyFill="1" applyAlignment="1">
      <alignment horizontal="left" vertical="center" wrapText="1"/>
    </xf>
    <xf numFmtId="0" fontId="30" fillId="4" borderId="8" xfId="1" applyNumberFormat="1" applyFont="1" applyFill="1" applyBorder="1" applyAlignment="1">
      <alignment horizontal="left" vertical="center" wrapText="1"/>
    </xf>
    <xf numFmtId="43" fontId="30" fillId="4" borderId="8" xfId="1" applyFont="1" applyFill="1" applyBorder="1" applyAlignment="1">
      <alignment horizontal="right" vertical="center" wrapText="1"/>
    </xf>
    <xf numFmtId="0" fontId="29" fillId="4" borderId="8" xfId="512" applyFont="1" applyFill="1" applyBorder="1" applyAlignment="1">
      <alignment horizontal="left" vertical="center" wrapText="1"/>
    </xf>
    <xf numFmtId="0" fontId="34" fillId="0" borderId="5" xfId="512" applyFont="1" applyBorder="1" applyAlignment="1">
      <alignment horizontal="right" vertical="center" wrapText="1"/>
    </xf>
    <xf numFmtId="43" fontId="30" fillId="4" borderId="0" xfId="1" applyFont="1" applyFill="1" applyAlignment="1">
      <alignment horizontal="right" vertical="center" wrapText="1"/>
    </xf>
    <xf numFmtId="0" fontId="29" fillId="0" borderId="7" xfId="512" applyFont="1" applyBorder="1" applyAlignment="1">
      <alignment horizontal="left" vertical="center" wrapText="1"/>
    </xf>
    <xf numFmtId="0" fontId="29" fillId="0" borderId="7" xfId="512" applyFont="1" applyBorder="1" applyAlignment="1">
      <alignment horizontal="justify" vertical="center" wrapText="1"/>
    </xf>
    <xf numFmtId="0" fontId="29" fillId="0" borderId="7" xfId="512" applyFont="1" applyBorder="1" applyAlignment="1">
      <alignment horizontal="right" vertical="center" wrapText="1"/>
    </xf>
    <xf numFmtId="0" fontId="35" fillId="0" borderId="7" xfId="512" applyFont="1" applyBorder="1" applyAlignment="1">
      <alignment horizontal="left" vertical="center" wrapText="1"/>
    </xf>
    <xf numFmtId="0" fontId="30" fillId="0" borderId="7" xfId="512" applyFont="1" applyBorder="1" applyAlignment="1">
      <alignment horizontal="justify" vertical="center" wrapText="1"/>
    </xf>
    <xf numFmtId="0" fontId="30" fillId="0" borderId="7" xfId="512" applyFont="1" applyBorder="1" applyAlignment="1">
      <alignment horizontal="right" vertical="center" wrapText="1"/>
    </xf>
    <xf numFmtId="0" fontId="35" fillId="0" borderId="0" xfId="512" applyFont="1" applyAlignment="1">
      <alignment horizontal="left" vertical="center" wrapText="1"/>
    </xf>
    <xf numFmtId="0" fontId="30" fillId="0" borderId="0" xfId="512" applyFont="1" applyAlignment="1">
      <alignment horizontal="justify" vertical="center" wrapText="1"/>
    </xf>
    <xf numFmtId="0" fontId="35" fillId="0" borderId="8" xfId="512" applyFont="1" applyBorder="1" applyAlignment="1">
      <alignment horizontal="left" vertical="center" wrapText="1"/>
    </xf>
    <xf numFmtId="0" fontId="30" fillId="0" borderId="8" xfId="512" applyFont="1" applyBorder="1" applyAlignment="1">
      <alignment horizontal="justify" vertical="center" wrapText="1"/>
    </xf>
    <xf numFmtId="0" fontId="29" fillId="0" borderId="8" xfId="512" applyFont="1" applyBorder="1" applyAlignment="1">
      <alignment horizontal="justify" vertical="center" wrapText="1"/>
    </xf>
    <xf numFmtId="0" fontId="35" fillId="0" borderId="0" xfId="512" applyFont="1" applyAlignment="1">
      <alignment horizontal="left" vertical="center"/>
    </xf>
    <xf numFmtId="0" fontId="41" fillId="0" borderId="0" xfId="512" applyFont="1" applyAlignment="1">
      <alignment horizontal="left" vertical="center"/>
    </xf>
    <xf numFmtId="0" fontId="33" fillId="0" borderId="0" xfId="512" applyFont="1" applyAlignment="1">
      <alignment horizontal="left" vertical="center"/>
    </xf>
    <xf numFmtId="0" fontId="30" fillId="4" borderId="8" xfId="512" applyFont="1" applyFill="1" applyBorder="1" applyAlignment="1">
      <alignment horizontal="right" vertical="center" wrapText="1"/>
    </xf>
    <xf numFmtId="0" fontId="30" fillId="4" borderId="7" xfId="512" applyFont="1" applyFill="1" applyBorder="1" applyAlignment="1">
      <alignment horizontal="left" vertical="center" wrapText="1"/>
    </xf>
    <xf numFmtId="0" fontId="30" fillId="4" borderId="7" xfId="512" applyFont="1" applyFill="1" applyBorder="1" applyAlignment="1">
      <alignment horizontal="justify" vertical="center" wrapText="1"/>
    </xf>
    <xf numFmtId="0" fontId="30" fillId="4" borderId="7" xfId="512" applyFont="1" applyFill="1" applyBorder="1" applyAlignment="1">
      <alignment horizontal="right" vertical="center" wrapText="1"/>
    </xf>
    <xf numFmtId="0" fontId="30" fillId="4" borderId="0" xfId="512" applyFont="1" applyFill="1" applyAlignment="1">
      <alignment horizontal="justify" vertical="center" wrapText="1"/>
    </xf>
    <xf numFmtId="0" fontId="30" fillId="4" borderId="8" xfId="512" applyFont="1" applyFill="1" applyBorder="1" applyAlignment="1">
      <alignment horizontal="left" vertical="center" wrapText="1"/>
    </xf>
    <xf numFmtId="0" fontId="30" fillId="4" borderId="8" xfId="512" applyFont="1" applyFill="1" applyBorder="1" applyAlignment="1">
      <alignment horizontal="justify" vertical="center" wrapText="1"/>
    </xf>
    <xf numFmtId="43" fontId="30" fillId="4" borderId="7" xfId="512" applyNumberFormat="1" applyFont="1" applyFill="1" applyBorder="1" applyAlignment="1">
      <alignment horizontal="left" vertical="center" wrapText="1"/>
    </xf>
    <xf numFmtId="43" fontId="30" fillId="4" borderId="7" xfId="512" applyNumberFormat="1" applyFont="1" applyFill="1" applyBorder="1" applyAlignment="1">
      <alignment horizontal="right" vertical="center" wrapText="1"/>
    </xf>
    <xf numFmtId="10" fontId="30" fillId="0" borderId="7" xfId="461" applyNumberFormat="1" applyFont="1" applyBorder="1">
      <alignment vertical="center"/>
    </xf>
    <xf numFmtId="10" fontId="30" fillId="0" borderId="0" xfId="461" applyNumberFormat="1" applyFont="1">
      <alignment vertical="center"/>
    </xf>
    <xf numFmtId="10" fontId="30" fillId="0" borderId="8" xfId="461" applyNumberFormat="1" applyFont="1" applyBorder="1">
      <alignment vertical="center"/>
    </xf>
    <xf numFmtId="0" fontId="29" fillId="0" borderId="5" xfId="512" applyFont="1" applyBorder="1" applyAlignment="1">
      <alignment horizontal="justify" vertical="center" wrapText="1"/>
    </xf>
    <xf numFmtId="43" fontId="30" fillId="0" borderId="8" xfId="676" applyNumberFormat="1" applyFont="1" applyBorder="1" applyAlignment="1">
      <alignment horizontal="right" vertical="center" wrapText="1"/>
    </xf>
    <xf numFmtId="43" fontId="11" fillId="0" borderId="0" xfId="575" applyNumberFormat="1" applyFont="1" applyBorder="1" applyAlignment="1">
      <alignment vertical="center"/>
    </xf>
    <xf numFmtId="43" fontId="42" fillId="0" borderId="0" xfId="575" applyNumberFormat="1" applyFont="1" applyBorder="1" applyAlignment="1">
      <alignment vertical="center"/>
    </xf>
    <xf numFmtId="0" fontId="42" fillId="0" borderId="0" xfId="0" applyFont="1" applyAlignment="1">
      <alignment vertical="center"/>
      <protection locked="0"/>
    </xf>
    <xf numFmtId="0" fontId="11" fillId="0" borderId="0" xfId="0" applyFont="1" applyAlignment="1">
      <alignment vertical="center"/>
      <protection locked="0"/>
    </xf>
    <xf numFmtId="0" fontId="12" fillId="0" borderId="0" xfId="573" applyFont="1" applyAlignment="1">
      <alignment vertical="center"/>
    </xf>
    <xf numFmtId="43" fontId="43" fillId="0" borderId="0" xfId="575" applyNumberFormat="1" applyFont="1" applyBorder="1" applyAlignment="1">
      <alignment vertical="center"/>
    </xf>
    <xf numFmtId="49" fontId="11" fillId="0" borderId="0" xfId="575" applyNumberFormat="1" applyFont="1" applyBorder="1" applyAlignment="1">
      <alignment vertical="center"/>
    </xf>
    <xf numFmtId="0" fontId="42" fillId="0" borderId="0" xfId="0" applyFont="1" applyAlignment="1">
      <alignment horizontal="left" vertical="center"/>
      <protection locked="0"/>
    </xf>
    <xf numFmtId="0" fontId="42" fillId="0" borderId="0" xfId="0" applyFont="1" applyAlignment="1">
      <alignment horizontal="justify" vertical="center"/>
      <protection locked="0"/>
    </xf>
    <xf numFmtId="0" fontId="43" fillId="0" borderId="7" xfId="0" applyFont="1" applyBorder="1" applyAlignment="1">
      <alignment horizontal="center" vertical="center" wrapText="1"/>
      <protection locked="0"/>
    </xf>
    <xf numFmtId="0" fontId="43" fillId="0" borderId="8" xfId="0" applyFont="1" applyBorder="1" applyAlignment="1">
      <alignment horizontal="center" vertical="center" wrapText="1"/>
      <protection locked="0"/>
    </xf>
    <xf numFmtId="0" fontId="44" fillId="0" borderId="7" xfId="0" applyFont="1" applyBorder="1" applyAlignment="1">
      <alignment horizontal="left" vertical="center" wrapText="1"/>
      <protection locked="0"/>
    </xf>
    <xf numFmtId="43" fontId="42" fillId="0" borderId="7" xfId="0" applyNumberFormat="1" applyFont="1" applyBorder="1" applyAlignment="1">
      <alignment vertical="center"/>
      <protection locked="0"/>
    </xf>
    <xf numFmtId="10" fontId="42" fillId="0" borderId="7" xfId="2" applyNumberFormat="1" applyFont="1" applyFill="1" applyBorder="1" applyAlignment="1" applyProtection="1">
      <alignment horizontal="right" vertical="center" wrapText="1"/>
      <protection locked="0"/>
    </xf>
    <xf numFmtId="0" fontId="42" fillId="0" borderId="0" xfId="0" applyFont="1" applyAlignment="1">
      <alignment horizontal="left" vertical="center" wrapText="1"/>
      <protection locked="0"/>
    </xf>
    <xf numFmtId="10" fontId="42" fillId="0" borderId="0" xfId="2" applyNumberFormat="1" applyFont="1" applyFill="1" applyBorder="1" applyAlignment="1" applyProtection="1">
      <alignment horizontal="right" vertical="center" wrapText="1"/>
      <protection locked="0"/>
    </xf>
    <xf numFmtId="0" fontId="45" fillId="0" borderId="0" xfId="0" applyFont="1" applyAlignment="1">
      <alignment horizontal="justify" vertical="center" wrapText="1"/>
      <protection locked="0"/>
    </xf>
    <xf numFmtId="43" fontId="42" fillId="0" borderId="0" xfId="0" applyNumberFormat="1" applyFont="1" applyAlignment="1">
      <alignment vertical="center"/>
      <protection locked="0"/>
    </xf>
    <xf numFmtId="0" fontId="45" fillId="0" borderId="0" xfId="0" applyFont="1" applyAlignment="1">
      <alignment horizontal="left" vertical="center" wrapText="1"/>
      <protection locked="0"/>
    </xf>
    <xf numFmtId="43" fontId="42" fillId="0" borderId="0" xfId="2" applyNumberFormat="1" applyFont="1" applyFill="1" applyBorder="1" applyAlignment="1" applyProtection="1">
      <alignment horizontal="right" vertical="center" wrapText="1"/>
      <protection locked="0"/>
    </xf>
    <xf numFmtId="0" fontId="43" fillId="0" borderId="5" xfId="0" applyFont="1" applyBorder="1" applyAlignment="1">
      <alignment horizontal="left" vertical="center" wrapText="1"/>
      <protection locked="0"/>
    </xf>
    <xf numFmtId="43" fontId="46" fillId="0" borderId="5" xfId="1" applyFont="1" applyFill="1" applyBorder="1" applyAlignment="1" applyProtection="1">
      <alignment vertical="center" shrinkToFit="1"/>
      <protection locked="0"/>
    </xf>
    <xf numFmtId="10" fontId="46" fillId="0" borderId="5" xfId="2" applyNumberFormat="1" applyFont="1" applyFill="1" applyBorder="1" applyAlignment="1" applyProtection="1">
      <alignment horizontal="right" vertical="center" wrapText="1" shrinkToFit="1"/>
      <protection locked="0"/>
    </xf>
    <xf numFmtId="10" fontId="43" fillId="0" borderId="5" xfId="2" applyNumberFormat="1" applyFont="1" applyFill="1" applyBorder="1" applyAlignment="1" applyProtection="1">
      <alignment horizontal="right" vertical="center" wrapText="1"/>
      <protection locked="0"/>
    </xf>
    <xf numFmtId="10" fontId="42" fillId="0" borderId="8" xfId="2" applyNumberFormat="1" applyFont="1" applyFill="1" applyBorder="1" applyAlignment="1" applyProtection="1">
      <alignment horizontal="right" vertical="center" wrapText="1"/>
      <protection locked="0"/>
    </xf>
    <xf numFmtId="0" fontId="43" fillId="0" borderId="0" xfId="0" applyFont="1" applyAlignment="1">
      <alignment horizontal="center" vertical="center" wrapText="1"/>
      <protection locked="0"/>
    </xf>
    <xf numFmtId="0" fontId="0" fillId="0" borderId="7" xfId="0" applyFont="1" applyBorder="1" applyAlignment="1">
      <alignment horizontal="left" vertical="center" wrapText="1"/>
      <protection locked="0"/>
    </xf>
    <xf numFmtId="10" fontId="42" fillId="0" borderId="7" xfId="2" applyNumberFormat="1" applyFont="1" applyFill="1" applyBorder="1" applyAlignment="1" applyProtection="1">
      <alignment vertical="center"/>
      <protection locked="0"/>
    </xf>
    <xf numFmtId="10" fontId="42" fillId="0" borderId="0" xfId="2" applyNumberFormat="1" applyFont="1" applyFill="1" applyBorder="1" applyAlignment="1" applyProtection="1">
      <alignment vertical="center"/>
      <protection locked="0"/>
    </xf>
    <xf numFmtId="43" fontId="43" fillId="0" borderId="5" xfId="0" applyNumberFormat="1" applyFont="1" applyBorder="1" applyAlignment="1">
      <alignment vertical="center"/>
      <protection locked="0"/>
    </xf>
    <xf numFmtId="10" fontId="42" fillId="0" borderId="5" xfId="2" applyNumberFormat="1" applyFont="1" applyFill="1" applyBorder="1" applyAlignment="1" applyProtection="1">
      <alignment vertical="center"/>
      <protection locked="0"/>
    </xf>
    <xf numFmtId="0" fontId="48" fillId="0" borderId="0" xfId="0" applyFont="1" applyAlignment="1">
      <alignment horizontal="left" vertical="center"/>
      <protection locked="0"/>
    </xf>
    <xf numFmtId="0" fontId="49" fillId="0" borderId="7" xfId="0" applyFont="1" applyBorder="1" applyAlignment="1">
      <alignment horizontal="left" vertical="center" wrapText="1"/>
      <protection locked="0"/>
    </xf>
    <xf numFmtId="10" fontId="42" fillId="0" borderId="7" xfId="0" applyNumberFormat="1" applyFont="1" applyBorder="1" applyAlignment="1">
      <alignment vertical="center"/>
      <protection locked="0"/>
    </xf>
    <xf numFmtId="0" fontId="49" fillId="0" borderId="0" xfId="0" applyFont="1" applyAlignment="1">
      <alignment horizontal="left" vertical="center" wrapText="1"/>
      <protection locked="0"/>
    </xf>
    <xf numFmtId="10" fontId="42" fillId="0" borderId="0" xfId="0" applyNumberFormat="1" applyFont="1" applyAlignment="1">
      <alignment vertical="center"/>
      <protection locked="0"/>
    </xf>
    <xf numFmtId="0" fontId="49" fillId="0" borderId="8" xfId="0" applyFont="1" applyBorder="1" applyAlignment="1">
      <alignment horizontal="left" vertical="center" wrapText="1"/>
      <protection locked="0"/>
    </xf>
    <xf numFmtId="43" fontId="42" fillId="0" borderId="8" xfId="0" applyNumberFormat="1" applyFont="1" applyBorder="1" applyAlignment="1">
      <alignment vertical="center"/>
      <protection locked="0"/>
    </xf>
    <xf numFmtId="10" fontId="42" fillId="0" borderId="8" xfId="0" applyNumberFormat="1" applyFont="1" applyBorder="1" applyAlignment="1">
      <alignment vertical="center"/>
      <protection locked="0"/>
    </xf>
    <xf numFmtId="0" fontId="42" fillId="0" borderId="8" xfId="0" applyFont="1" applyBorder="1" applyAlignment="1">
      <alignment vertical="center"/>
      <protection locked="0"/>
    </xf>
    <xf numFmtId="10" fontId="43" fillId="0" borderId="5" xfId="2" applyNumberFormat="1" applyFont="1" applyFill="1" applyBorder="1" applyAlignment="1" applyProtection="1">
      <alignment vertical="center"/>
      <protection locked="0"/>
    </xf>
    <xf numFmtId="0" fontId="47" fillId="0" borderId="0" xfId="0" applyFont="1" applyAlignment="1">
      <alignment horizontal="justify" vertical="center"/>
      <protection locked="0"/>
    </xf>
    <xf numFmtId="0" fontId="43" fillId="0" borderId="0" xfId="0" applyFont="1" applyAlignment="1">
      <alignment horizontal="center" vertical="center"/>
      <protection locked="0"/>
    </xf>
    <xf numFmtId="0" fontId="49" fillId="0" borderId="7" xfId="0" applyFont="1" applyBorder="1" applyAlignment="1">
      <alignment vertical="center"/>
      <protection locked="0"/>
    </xf>
    <xf numFmtId="0" fontId="49" fillId="0" borderId="0" xfId="0" applyFont="1" applyAlignment="1">
      <alignment vertical="center"/>
      <protection locked="0"/>
    </xf>
    <xf numFmtId="0" fontId="49" fillId="0" borderId="8" xfId="0" applyFont="1" applyBorder="1" applyAlignment="1">
      <alignment vertical="center"/>
      <protection locked="0"/>
    </xf>
    <xf numFmtId="0" fontId="43" fillId="0" borderId="8" xfId="0" applyFont="1" applyBorder="1" applyAlignment="1">
      <alignment vertical="center"/>
      <protection locked="0"/>
    </xf>
    <xf numFmtId="43" fontId="43" fillId="0" borderId="8" xfId="0" applyNumberFormat="1" applyFont="1" applyBorder="1" applyAlignment="1">
      <alignment vertical="center"/>
      <protection locked="0"/>
    </xf>
    <xf numFmtId="0" fontId="43" fillId="0" borderId="8" xfId="0" applyFont="1" applyBorder="1" applyAlignment="1">
      <alignment horizontal="left" vertical="center" wrapText="1"/>
      <protection locked="0"/>
    </xf>
    <xf numFmtId="0" fontId="49" fillId="0" borderId="7" xfId="0" applyFont="1" applyBorder="1" applyAlignment="1">
      <alignment horizontal="left" vertical="center"/>
      <protection locked="0"/>
    </xf>
    <xf numFmtId="43" fontId="42" fillId="0" borderId="7" xfId="1" applyFont="1" applyFill="1" applyBorder="1" applyAlignment="1" applyProtection="1">
      <alignment vertical="center" shrinkToFit="1"/>
      <protection locked="0"/>
    </xf>
    <xf numFmtId="43" fontId="42" fillId="0" borderId="7" xfId="2" applyNumberFormat="1" applyFont="1" applyFill="1" applyBorder="1" applyAlignment="1" applyProtection="1">
      <alignment vertical="center"/>
      <protection locked="0"/>
    </xf>
    <xf numFmtId="0" fontId="42" fillId="0" borderId="7" xfId="0" applyFont="1" applyBorder="1" applyAlignment="1">
      <alignment vertical="center"/>
      <protection locked="0"/>
    </xf>
    <xf numFmtId="0" fontId="47" fillId="0" borderId="7" xfId="0" applyFont="1" applyBorder="1" applyAlignment="1">
      <alignment vertical="center"/>
      <protection locked="0"/>
    </xf>
    <xf numFmtId="0" fontId="49" fillId="0" borderId="0" xfId="0" applyFont="1" applyAlignment="1">
      <alignment horizontal="left" vertical="center"/>
      <protection locked="0"/>
    </xf>
    <xf numFmtId="43" fontId="42" fillId="0" borderId="0" xfId="1" applyFont="1" applyFill="1" applyBorder="1" applyAlignment="1" applyProtection="1">
      <alignment vertical="center" shrinkToFit="1"/>
      <protection locked="0"/>
    </xf>
    <xf numFmtId="43" fontId="42" fillId="0" borderId="0" xfId="2" applyNumberFormat="1" applyFont="1" applyFill="1" applyBorder="1" applyAlignment="1" applyProtection="1">
      <alignment vertical="center"/>
      <protection locked="0"/>
    </xf>
    <xf numFmtId="0" fontId="47" fillId="0" borderId="0" xfId="0" applyFont="1" applyAlignment="1">
      <alignment vertical="center"/>
      <protection locked="0"/>
    </xf>
    <xf numFmtId="0" fontId="49" fillId="0" borderId="8" xfId="0" applyFont="1" applyBorder="1" applyAlignment="1">
      <alignment horizontal="left" vertical="center"/>
      <protection locked="0"/>
    </xf>
    <xf numFmtId="43" fontId="42" fillId="0" borderId="8" xfId="1" applyFont="1" applyFill="1" applyBorder="1" applyAlignment="1" applyProtection="1">
      <alignment vertical="center" shrinkToFit="1"/>
      <protection locked="0"/>
    </xf>
    <xf numFmtId="43" fontId="42" fillId="0" borderId="8" xfId="2" applyNumberFormat="1" applyFont="1" applyFill="1" applyBorder="1" applyAlignment="1" applyProtection="1">
      <alignment vertical="center"/>
      <protection locked="0"/>
    </xf>
    <xf numFmtId="10" fontId="42" fillId="0" borderId="8" xfId="2" applyNumberFormat="1" applyFont="1" applyFill="1" applyBorder="1" applyAlignment="1" applyProtection="1">
      <alignment vertical="center"/>
      <protection locked="0"/>
    </xf>
    <xf numFmtId="0" fontId="47" fillId="0" borderId="8" xfId="0" applyFont="1" applyBorder="1" applyAlignment="1">
      <alignment vertical="center"/>
      <protection locked="0"/>
    </xf>
    <xf numFmtId="43" fontId="47" fillId="0" borderId="8" xfId="0" applyNumberFormat="1" applyFont="1" applyBorder="1" applyAlignment="1">
      <alignment vertical="center"/>
      <protection locked="0"/>
    </xf>
    <xf numFmtId="0" fontId="43" fillId="0" borderId="7" xfId="0" applyFont="1" applyBorder="1" applyAlignment="1">
      <alignment horizontal="left" vertical="center" wrapText="1"/>
      <protection locked="0"/>
    </xf>
    <xf numFmtId="0" fontId="43" fillId="0" borderId="7" xfId="0" applyFont="1" applyBorder="1" applyAlignment="1">
      <alignment horizontal="right" vertical="center" wrapText="1"/>
      <protection locked="0"/>
    </xf>
    <xf numFmtId="0" fontId="42" fillId="0" borderId="7" xfId="0" applyFont="1" applyBorder="1" applyAlignment="1">
      <alignment horizontal="left" vertical="center"/>
      <protection locked="0"/>
    </xf>
    <xf numFmtId="43" fontId="42" fillId="0" borderId="7" xfId="1" applyFont="1" applyFill="1" applyBorder="1" applyAlignment="1" applyProtection="1">
      <alignment vertical="center"/>
      <protection locked="0"/>
    </xf>
    <xf numFmtId="43" fontId="42" fillId="0" borderId="0" xfId="1" applyFont="1" applyFill="1" applyBorder="1" applyAlignment="1" applyProtection="1">
      <alignment vertical="center"/>
      <protection locked="0"/>
    </xf>
    <xf numFmtId="0" fontId="42" fillId="0" borderId="8" xfId="0" applyFont="1" applyBorder="1" applyAlignment="1">
      <alignment horizontal="left" vertical="center"/>
      <protection locked="0"/>
    </xf>
    <xf numFmtId="43" fontId="42" fillId="0" borderId="8" xfId="1" applyFont="1" applyFill="1" applyBorder="1" applyAlignment="1" applyProtection="1">
      <alignment vertical="center"/>
      <protection locked="0"/>
    </xf>
    <xf numFmtId="0" fontId="42" fillId="0" borderId="7" xfId="0" applyFont="1" applyBorder="1" applyAlignment="1">
      <alignment horizontal="justify" vertical="center"/>
      <protection locked="0"/>
    </xf>
    <xf numFmtId="43" fontId="42" fillId="0" borderId="7" xfId="1" applyFont="1" applyFill="1" applyBorder="1" applyAlignment="1" applyProtection="1">
      <alignment horizontal="right" vertical="center"/>
      <protection locked="0"/>
    </xf>
    <xf numFmtId="43" fontId="42" fillId="0" borderId="0" xfId="1" applyFont="1" applyFill="1" applyBorder="1" applyAlignment="1" applyProtection="1">
      <alignment horizontal="right" vertical="center"/>
      <protection locked="0"/>
    </xf>
    <xf numFmtId="0" fontId="42" fillId="0" borderId="8" xfId="0" applyFont="1" applyBorder="1" applyAlignment="1">
      <alignment horizontal="justify" vertical="center"/>
      <protection locked="0"/>
    </xf>
    <xf numFmtId="43" fontId="42" fillId="0" borderId="8" xfId="1" applyFont="1" applyFill="1" applyBorder="1" applyAlignment="1" applyProtection="1">
      <alignment horizontal="right" vertical="center"/>
      <protection locked="0"/>
    </xf>
    <xf numFmtId="0" fontId="43" fillId="0" borderId="8" xfId="0" applyFont="1" applyBorder="1" applyAlignment="1">
      <alignment horizontal="center" vertical="center"/>
      <protection locked="0"/>
    </xf>
    <xf numFmtId="43" fontId="43" fillId="0" borderId="8" xfId="1" applyFont="1" applyFill="1" applyBorder="1" applyAlignment="1" applyProtection="1">
      <alignment horizontal="center" vertical="center"/>
      <protection locked="0"/>
    </xf>
    <xf numFmtId="0" fontId="43" fillId="0" borderId="8" xfId="0" applyFont="1" applyBorder="1" applyAlignment="1">
      <alignment horizontal="left" vertical="center"/>
      <protection locked="0"/>
    </xf>
    <xf numFmtId="0" fontId="42" fillId="0" borderId="8" xfId="0" applyFont="1" applyBorder="1" applyAlignment="1">
      <alignment horizontal="justify" vertical="center" wrapText="1"/>
      <protection locked="0"/>
    </xf>
    <xf numFmtId="43" fontId="42" fillId="0" borderId="8" xfId="1" applyFont="1" applyFill="1" applyBorder="1" applyAlignment="1" applyProtection="1">
      <alignment horizontal="right" vertical="center" wrapText="1"/>
      <protection locked="0"/>
    </xf>
    <xf numFmtId="0" fontId="43" fillId="0" borderId="8" xfId="0" applyFont="1" applyBorder="1" applyAlignment="1">
      <alignment horizontal="justify" vertical="center" wrapText="1"/>
      <protection locked="0"/>
    </xf>
    <xf numFmtId="43" fontId="43" fillId="0" borderId="8" xfId="1" applyFont="1" applyFill="1" applyBorder="1" applyAlignment="1" applyProtection="1">
      <alignment horizontal="right" vertical="center" wrapText="1"/>
      <protection locked="0"/>
    </xf>
    <xf numFmtId="0" fontId="43" fillId="0" borderId="5" xfId="0" applyFont="1" applyBorder="1" applyAlignment="1">
      <alignment horizontal="center" vertical="center" wrapText="1"/>
      <protection locked="0"/>
    </xf>
    <xf numFmtId="0" fontId="42" fillId="0" borderId="0" xfId="0" applyFont="1" applyAlignment="1">
      <alignment horizontal="right" vertical="center" wrapText="1"/>
      <protection locked="0"/>
    </xf>
    <xf numFmtId="43" fontId="42" fillId="0" borderId="0" xfId="1" applyFont="1" applyFill="1" applyBorder="1" applyAlignment="1" applyProtection="1">
      <alignment horizontal="right" vertical="center" wrapText="1"/>
      <protection locked="0"/>
    </xf>
    <xf numFmtId="0" fontId="43" fillId="0" borderId="0" xfId="0" applyFont="1" applyAlignment="1">
      <alignment horizontal="left" vertical="center" wrapText="1"/>
      <protection locked="0"/>
    </xf>
    <xf numFmtId="43" fontId="43" fillId="0" borderId="0" xfId="0" applyNumberFormat="1" applyFont="1" applyAlignment="1">
      <alignment horizontal="right" vertical="center" wrapText="1"/>
      <protection locked="0"/>
    </xf>
    <xf numFmtId="0" fontId="47" fillId="0" borderId="0" xfId="0" applyFont="1" applyAlignment="1">
      <alignment horizontal="right" vertical="center" wrapText="1"/>
      <protection locked="0"/>
    </xf>
    <xf numFmtId="43" fontId="47" fillId="0" borderId="0" xfId="1" applyFont="1" applyFill="1" applyBorder="1" applyAlignment="1" applyProtection="1">
      <alignment horizontal="right" vertical="center" wrapText="1"/>
      <protection locked="0"/>
    </xf>
    <xf numFmtId="43" fontId="11" fillId="0" borderId="0" xfId="575" applyNumberFormat="1" applyFont="1" applyFill="1" applyBorder="1" applyAlignment="1">
      <alignment vertical="center"/>
    </xf>
    <xf numFmtId="43" fontId="42" fillId="0" borderId="0" xfId="575" applyNumberFormat="1" applyFont="1" applyFill="1" applyBorder="1" applyAlignment="1">
      <alignment vertical="center"/>
    </xf>
    <xf numFmtId="43" fontId="43" fillId="0" borderId="0" xfId="575" applyNumberFormat="1" applyFont="1" applyFill="1" applyBorder="1" applyAlignment="1">
      <alignment vertical="center"/>
    </xf>
    <xf numFmtId="49" fontId="11" fillId="0" borderId="0" xfId="575" applyNumberFormat="1" applyFont="1" applyFill="1" applyBorder="1" applyAlignment="1">
      <alignment vertical="center"/>
    </xf>
    <xf numFmtId="0" fontId="50" fillId="0" borderId="0" xfId="0" applyFont="1" applyAlignment="1">
      <alignment horizontal="left" vertical="center"/>
      <protection locked="0"/>
    </xf>
    <xf numFmtId="0" fontId="43" fillId="0" borderId="0" xfId="0" applyFont="1" applyAlignment="1">
      <alignment horizontal="left" vertical="center"/>
      <protection locked="0"/>
    </xf>
    <xf numFmtId="10" fontId="46" fillId="0" borderId="5" xfId="2" applyNumberFormat="1" applyFont="1" applyFill="1" applyBorder="1" applyAlignment="1" applyProtection="1">
      <alignment vertical="center" shrinkToFit="1"/>
      <protection locked="0"/>
    </xf>
    <xf numFmtId="43" fontId="51" fillId="0" borderId="0" xfId="0" applyNumberFormat="1" applyFont="1" applyAlignment="1">
      <alignment vertical="center"/>
      <protection locked="0"/>
    </xf>
    <xf numFmtId="0" fontId="44" fillId="0" borderId="0" xfId="0" applyFont="1" applyAlignment="1">
      <alignment horizontal="left" vertical="center"/>
      <protection locked="0"/>
    </xf>
    <xf numFmtId="0" fontId="49" fillId="0" borderId="0" xfId="0" applyFont="1" applyAlignment="1">
      <alignment horizontal="justify" vertical="center" wrapText="1"/>
      <protection locked="0"/>
    </xf>
    <xf numFmtId="43" fontId="42" fillId="0" borderId="0" xfId="1" applyFont="1" applyFill="1" applyBorder="1" applyAlignment="1" applyProtection="1">
      <alignment horizontal="right" vertical="center" wrapText="1" shrinkToFit="1"/>
      <protection locked="0"/>
    </xf>
    <xf numFmtId="43" fontId="42" fillId="0" borderId="0" xfId="0" applyNumberFormat="1" applyFont="1" applyAlignment="1">
      <alignment horizontal="right" vertical="center" wrapText="1"/>
      <protection locked="0"/>
    </xf>
    <xf numFmtId="43" fontId="43" fillId="0" borderId="5" xfId="1" applyFont="1" applyFill="1" applyBorder="1" applyAlignment="1" applyProtection="1">
      <alignment horizontal="right" vertical="center" wrapText="1" shrinkToFit="1"/>
      <protection locked="0"/>
    </xf>
    <xf numFmtId="10" fontId="42" fillId="0" borderId="5" xfId="2" applyNumberFormat="1" applyFont="1" applyFill="1" applyBorder="1" applyAlignment="1" applyProtection="1">
      <alignment horizontal="right" vertical="center" wrapText="1"/>
      <protection locked="0"/>
    </xf>
    <xf numFmtId="0" fontId="43" fillId="0" borderId="5" xfId="0" applyFont="1" applyBorder="1" applyAlignment="1">
      <alignment horizontal="right" vertical="center" wrapText="1"/>
      <protection locked="0"/>
    </xf>
    <xf numFmtId="0" fontId="42" fillId="0" borderId="0" xfId="0" applyFont="1" applyAlignment="1">
      <alignment horizontal="justify" vertical="center" wrapText="1"/>
      <protection locked="0"/>
    </xf>
    <xf numFmtId="10" fontId="42" fillId="0" borderId="7" xfId="2" applyNumberFormat="1" applyFont="1" applyFill="1" applyBorder="1" applyAlignment="1" applyProtection="1">
      <alignment horizontal="right" vertical="center"/>
      <protection locked="0"/>
    </xf>
    <xf numFmtId="43" fontId="42" fillId="0" borderId="7" xfId="0" applyNumberFormat="1" applyFont="1" applyBorder="1" applyAlignment="1">
      <alignment horizontal="right" vertical="center"/>
      <protection locked="0"/>
    </xf>
    <xf numFmtId="43" fontId="42" fillId="0" borderId="7" xfId="1" applyFont="1" applyFill="1" applyBorder="1" applyAlignment="1" applyProtection="1">
      <alignment horizontal="right" vertical="center" shrinkToFit="1"/>
      <protection locked="0"/>
    </xf>
    <xf numFmtId="10" fontId="42" fillId="0" borderId="0" xfId="2" applyNumberFormat="1" applyFont="1" applyFill="1" applyBorder="1" applyAlignment="1" applyProtection="1">
      <alignment horizontal="right" vertical="center"/>
      <protection locked="0"/>
    </xf>
    <xf numFmtId="43" fontId="42" fillId="0" borderId="0" xfId="0" applyNumberFormat="1" applyFont="1" applyAlignment="1">
      <alignment horizontal="right" vertical="center"/>
      <protection locked="0"/>
    </xf>
    <xf numFmtId="43" fontId="42" fillId="0" borderId="0" xfId="1" applyFont="1" applyFill="1" applyBorder="1" applyAlignment="1" applyProtection="1">
      <alignment horizontal="right" vertical="center" shrinkToFit="1"/>
      <protection locked="0"/>
    </xf>
    <xf numFmtId="43" fontId="42" fillId="0" borderId="8" xfId="0" applyNumberFormat="1" applyFont="1" applyBorder="1" applyAlignment="1">
      <alignment horizontal="right" vertical="center"/>
      <protection locked="0"/>
    </xf>
    <xf numFmtId="43" fontId="42" fillId="0" borderId="8" xfId="1" applyFont="1" applyFill="1" applyBorder="1" applyAlignment="1" applyProtection="1">
      <alignment horizontal="right" vertical="center" shrinkToFit="1"/>
      <protection locked="0"/>
    </xf>
    <xf numFmtId="43" fontId="43" fillId="0" borderId="5" xfId="1" applyFont="1" applyFill="1" applyBorder="1" applyAlignment="1" applyProtection="1">
      <alignment vertical="center" shrinkToFit="1"/>
      <protection locked="0"/>
    </xf>
    <xf numFmtId="10" fontId="43" fillId="0" borderId="5" xfId="2" applyNumberFormat="1" applyFont="1" applyFill="1" applyBorder="1" applyAlignment="1" applyProtection="1">
      <alignment horizontal="right" vertical="center"/>
      <protection locked="0"/>
    </xf>
    <xf numFmtId="43" fontId="43" fillId="0" borderId="5" xfId="1" applyFont="1" applyFill="1" applyBorder="1" applyAlignment="1" applyProtection="1">
      <alignment horizontal="right" vertical="center" shrinkToFit="1"/>
      <protection locked="0"/>
    </xf>
    <xf numFmtId="0" fontId="50" fillId="0" borderId="5" xfId="0" applyFont="1" applyBorder="1" applyAlignment="1">
      <alignment horizontal="center" vertical="center" wrapText="1"/>
      <protection locked="0"/>
    </xf>
    <xf numFmtId="0" fontId="47" fillId="0" borderId="0" xfId="0" applyFont="1" applyAlignment="1">
      <alignment horizontal="justify" vertical="center" wrapText="1"/>
      <protection locked="0"/>
    </xf>
    <xf numFmtId="10" fontId="43" fillId="0" borderId="5" xfId="2" applyNumberFormat="1" applyFont="1" applyFill="1" applyBorder="1" applyAlignment="1" applyProtection="1">
      <alignment vertical="center" shrinkToFit="1"/>
      <protection locked="0"/>
    </xf>
    <xf numFmtId="0" fontId="42" fillId="0" borderId="5" xfId="0" applyFont="1" applyBorder="1" applyAlignment="1">
      <alignment horizontal="center" vertical="center" wrapText="1"/>
      <protection locked="0"/>
    </xf>
    <xf numFmtId="0" fontId="43" fillId="0" borderId="5" xfId="0" applyFont="1" applyBorder="1" applyAlignment="1">
      <alignment horizontal="justify" vertical="center" wrapText="1"/>
      <protection locked="0"/>
    </xf>
    <xf numFmtId="0" fontId="52" fillId="0" borderId="5" xfId="0" applyFont="1" applyBorder="1" applyAlignment="1">
      <alignment horizontal="center" vertical="center" wrapText="1"/>
      <protection locked="0"/>
    </xf>
    <xf numFmtId="0" fontId="3" fillId="0" borderId="7" xfId="0" applyFont="1" applyBorder="1" applyAlignment="1">
      <alignment horizontal="justify" vertical="center" wrapText="1"/>
      <protection locked="0"/>
    </xf>
    <xf numFmtId="0" fontId="44" fillId="0" borderId="0" xfId="0" applyFont="1" applyAlignment="1">
      <alignment horizontal="justify" vertical="center" wrapText="1"/>
      <protection locked="0"/>
    </xf>
    <xf numFmtId="0" fontId="49" fillId="0" borderId="8" xfId="0" applyFont="1" applyBorder="1" applyAlignment="1">
      <alignment horizontal="justify" vertical="center" wrapText="1"/>
      <protection locked="0"/>
    </xf>
    <xf numFmtId="0" fontId="3" fillId="0" borderId="8" xfId="0" applyFont="1" applyBorder="1" applyAlignment="1">
      <alignment horizontal="justify" vertical="center" wrapText="1"/>
      <protection locked="0"/>
    </xf>
    <xf numFmtId="43" fontId="46" fillId="0" borderId="8" xfId="0" applyNumberFormat="1" applyFont="1" applyBorder="1" applyAlignment="1">
      <alignment vertical="center"/>
      <protection locked="0"/>
    </xf>
    <xf numFmtId="49" fontId="47" fillId="0" borderId="0" xfId="0" applyNumberFormat="1" applyFont="1" applyAlignment="1">
      <alignment horizontal="left" vertical="center"/>
      <protection locked="0"/>
    </xf>
    <xf numFmtId="49" fontId="43" fillId="0" borderId="0" xfId="0" applyNumberFormat="1" applyFont="1" applyAlignment="1">
      <alignment horizontal="left" vertical="center"/>
      <protection locked="0"/>
    </xf>
    <xf numFmtId="43" fontId="47" fillId="0" borderId="0" xfId="1" applyFont="1" applyFill="1" applyBorder="1" applyAlignment="1" applyProtection="1">
      <alignment horizontal="right" vertical="center"/>
      <protection locked="0"/>
    </xf>
    <xf numFmtId="0" fontId="47" fillId="0" borderId="0" xfId="0" applyFont="1" applyAlignment="1">
      <alignment horizontal="left" vertical="center"/>
      <protection locked="0"/>
    </xf>
    <xf numFmtId="43" fontId="43" fillId="0" borderId="5" xfId="0" applyNumberFormat="1" applyFont="1" applyBorder="1" applyAlignment="1">
      <alignment horizontal="right" vertical="center" wrapText="1"/>
      <protection locked="0"/>
    </xf>
    <xf numFmtId="0" fontId="47" fillId="0" borderId="0" xfId="0" applyFont="1" applyAlignment="1">
      <alignment vertical="center" wrapText="1"/>
      <protection locked="0"/>
    </xf>
    <xf numFmtId="0" fontId="42" fillId="0" borderId="5" xfId="0" applyFont="1" applyBorder="1" applyAlignment="1">
      <alignment horizontal="justify" vertical="center" wrapText="1"/>
      <protection locked="0"/>
    </xf>
    <xf numFmtId="43" fontId="42" fillId="0" borderId="5" xfId="0" applyNumberFormat="1" applyFont="1" applyBorder="1" applyAlignment="1">
      <alignment horizontal="center" vertical="center" wrapText="1"/>
      <protection locked="0"/>
    </xf>
    <xf numFmtId="0" fontId="42" fillId="0" borderId="0" xfId="0" applyFont="1" applyAlignment="1">
      <alignment horizontal="right" vertical="center"/>
      <protection locked="0"/>
    </xf>
    <xf numFmtId="0" fontId="47" fillId="0" borderId="0" xfId="0" applyFont="1" applyAlignment="1">
      <alignment horizontal="right" vertical="center"/>
      <protection locked="0"/>
    </xf>
    <xf numFmtId="0" fontId="43" fillId="0" borderId="5" xfId="0" applyFont="1" applyBorder="1" applyAlignment="1">
      <alignment horizontal="center" vertical="center"/>
      <protection locked="0"/>
    </xf>
    <xf numFmtId="0" fontId="47" fillId="0" borderId="5" xfId="0" applyFont="1" applyBorder="1" applyAlignment="1">
      <alignment horizontal="right" vertical="center"/>
      <protection locked="0"/>
    </xf>
    <xf numFmtId="0" fontId="51" fillId="0" borderId="0" xfId="0" applyFont="1" applyAlignment="1">
      <alignment horizontal="justify" vertical="center"/>
      <protection locked="0"/>
    </xf>
    <xf numFmtId="10" fontId="43" fillId="0" borderId="5" xfId="2" applyNumberFormat="1" applyFont="1" applyFill="1" applyBorder="1" applyAlignment="1" applyProtection="1">
      <alignment horizontal="right" vertical="center" shrinkToFit="1"/>
      <protection locked="0"/>
    </xf>
    <xf numFmtId="43" fontId="42" fillId="0" borderId="0" xfId="1" applyFont="1" applyFill="1" applyBorder="1" applyAlignment="1" applyProtection="1">
      <alignment horizontal="left" vertical="center" wrapText="1"/>
      <protection locked="0"/>
    </xf>
    <xf numFmtId="43" fontId="43" fillId="0" borderId="5" xfId="0" applyNumberFormat="1" applyFont="1" applyBorder="1" applyAlignment="1">
      <alignment horizontal="left" vertical="center" wrapText="1"/>
      <protection locked="0"/>
    </xf>
    <xf numFmtId="43" fontId="43" fillId="0" borderId="0" xfId="1" applyFont="1" applyFill="1" applyBorder="1" applyAlignment="1" applyProtection="1">
      <alignment horizontal="right" vertical="center" wrapText="1"/>
      <protection locked="0"/>
    </xf>
    <xf numFmtId="43" fontId="6" fillId="0" borderId="0" xfId="575" applyNumberFormat="1" applyFont="1" applyBorder="1" applyAlignment="1">
      <alignment vertical="center"/>
    </xf>
    <xf numFmtId="43" fontId="6" fillId="0" borderId="0" xfId="575" applyNumberFormat="1" applyFont="1" applyFill="1" applyBorder="1" applyAlignment="1">
      <alignment vertical="center"/>
    </xf>
    <xf numFmtId="43" fontId="2" fillId="0" borderId="0" xfId="575" applyNumberFormat="1" applyFont="1" applyFill="1" applyBorder="1" applyAlignment="1">
      <alignment vertical="center"/>
    </xf>
    <xf numFmtId="0" fontId="5" fillId="3" borderId="1" xfId="0" applyFont="1" applyFill="1" applyBorder="1" applyAlignment="1" applyProtection="1">
      <alignment horizontal="center" vertical="center"/>
    </xf>
    <xf numFmtId="0" fontId="5" fillId="3" borderId="1" xfId="0" applyFont="1" applyFill="1" applyBorder="1" applyAlignment="1" applyProtection="1">
      <alignment vertical="center"/>
    </xf>
    <xf numFmtId="176" fontId="6" fillId="3" borderId="1" xfId="533" applyFont="1" applyFill="1" applyBorder="1" applyAlignment="1" applyProtection="1">
      <alignment horizontal="center" vertical="center" wrapText="1"/>
      <protection locked="0"/>
    </xf>
    <xf numFmtId="0" fontId="7" fillId="0" borderId="1" xfId="0" applyFont="1" applyBorder="1" applyAlignment="1" applyProtection="1">
      <alignment vertical="center"/>
    </xf>
    <xf numFmtId="0" fontId="2" fillId="0" borderId="1" xfId="0" applyFont="1" applyBorder="1" applyAlignment="1" applyProtection="1">
      <alignment vertical="center"/>
    </xf>
    <xf numFmtId="0" fontId="9" fillId="0" borderId="1" xfId="0" applyFont="1" applyBorder="1" applyAlignment="1" applyProtection="1">
      <alignment horizontal="left" vertical="center" indent="1"/>
    </xf>
    <xf numFmtId="0" fontId="5" fillId="2" borderId="1" xfId="0" applyFont="1" applyFill="1" applyBorder="1" applyAlignment="1" applyProtection="1">
      <alignment vertical="center"/>
    </xf>
    <xf numFmtId="43" fontId="8" fillId="2" borderId="1" xfId="1" applyFont="1" applyFill="1" applyBorder="1" applyAlignment="1">
      <alignment horizontal="right" vertical="center"/>
    </xf>
    <xf numFmtId="0" fontId="5" fillId="0" borderId="1" xfId="0" applyFont="1" applyBorder="1" applyAlignment="1" applyProtection="1">
      <alignment horizontal="center" vertical="center"/>
    </xf>
    <xf numFmtId="43" fontId="8" fillId="6" borderId="1" xfId="1" applyFont="1" applyFill="1" applyBorder="1" applyAlignment="1">
      <alignment horizontal="right" vertical="center"/>
    </xf>
    <xf numFmtId="43" fontId="8" fillId="0" borderId="2" xfId="1" applyFont="1" applyFill="1" applyBorder="1" applyAlignment="1">
      <alignment horizontal="right" vertical="center"/>
    </xf>
    <xf numFmtId="43" fontId="8" fillId="0" borderId="0" xfId="1" applyFont="1" applyFill="1" applyBorder="1" applyAlignment="1">
      <alignment horizontal="right" vertical="center"/>
    </xf>
    <xf numFmtId="43" fontId="8" fillId="3" borderId="0" xfId="1" applyFont="1" applyFill="1" applyBorder="1" applyAlignment="1">
      <alignment horizontal="right" vertical="center"/>
    </xf>
    <xf numFmtId="0" fontId="5" fillId="0" borderId="0" xfId="0" applyFont="1" applyBorder="1" applyAlignment="1" applyProtection="1">
      <alignment horizontal="center" vertical="center"/>
    </xf>
    <xf numFmtId="43" fontId="7" fillId="0" borderId="0" xfId="1" applyFont="1" applyFill="1" applyBorder="1" applyAlignment="1">
      <alignment horizontal="right" vertical="center"/>
    </xf>
    <xf numFmtId="43" fontId="6" fillId="0" borderId="0" xfId="575" applyNumberFormat="1" applyFont="1" applyBorder="1" applyAlignment="1">
      <alignment horizontal="left" vertical="center"/>
    </xf>
    <xf numFmtId="43" fontId="53" fillId="0" borderId="0" xfId="3" applyNumberFormat="1" applyFont="1" applyBorder="1" applyAlignment="1" applyProtection="1">
      <alignment horizontal="center" vertical="center"/>
    </xf>
    <xf numFmtId="0" fontId="2" fillId="0" borderId="0" xfId="573" applyFont="1" applyBorder="1" applyAlignment="1">
      <alignment vertical="center"/>
    </xf>
    <xf numFmtId="9" fontId="54" fillId="0" borderId="0" xfId="2" applyFont="1" applyBorder="1" applyAlignment="1">
      <alignment horizontal="left" vertical="center"/>
    </xf>
    <xf numFmtId="10" fontId="55" fillId="3" borderId="0" xfId="2" applyNumberFormat="1" applyFont="1" applyFill="1" applyBorder="1" applyAlignment="1">
      <alignment horizontal="center" vertical="center"/>
    </xf>
    <xf numFmtId="10" fontId="54" fillId="0" borderId="0" xfId="2" applyNumberFormat="1" applyFont="1" applyBorder="1" applyAlignment="1">
      <alignment horizontal="left" vertical="center"/>
    </xf>
    <xf numFmtId="0" fontId="2" fillId="0" borderId="0" xfId="573" applyFont="1" applyBorder="1" applyAlignment="1">
      <alignment horizontal="left" vertical="center"/>
    </xf>
    <xf numFmtId="0" fontId="6" fillId="0" borderId="0" xfId="573" applyFont="1" applyAlignment="1">
      <alignment vertical="center"/>
    </xf>
    <xf numFmtId="0" fontId="2" fillId="0" borderId="0" xfId="573" applyFont="1" applyAlignment="1">
      <alignment vertical="center"/>
    </xf>
    <xf numFmtId="176" fontId="5" fillId="3" borderId="1" xfId="526" applyNumberFormat="1" applyFont="1" applyFill="1" applyBorder="1" applyAlignment="1">
      <alignment horizontal="center" vertical="center" wrapText="1"/>
      <protection locked="0"/>
    </xf>
    <xf numFmtId="176" fontId="6" fillId="3" borderId="1" xfId="526" applyNumberFormat="1" applyFont="1" applyFill="1" applyBorder="1" applyAlignment="1">
      <alignment horizontal="center" vertical="center"/>
      <protection locked="0"/>
    </xf>
    <xf numFmtId="43" fontId="11" fillId="3" borderId="1" xfId="1" applyFont="1" applyFill="1" applyBorder="1" applyAlignment="1">
      <alignment horizontal="right" vertical="center" wrapText="1"/>
    </xf>
    <xf numFmtId="10" fontId="11" fillId="3" borderId="1" xfId="2" applyNumberFormat="1" applyFont="1" applyFill="1" applyBorder="1" applyAlignment="1">
      <alignment horizontal="right" vertical="center" wrapText="1"/>
    </xf>
    <xf numFmtId="43" fontId="2" fillId="3" borderId="1" xfId="1" applyFont="1" applyFill="1" applyBorder="1" applyAlignment="1">
      <alignment horizontal="right" vertical="center" wrapText="1"/>
    </xf>
    <xf numFmtId="43" fontId="2" fillId="0" borderId="1" xfId="1" applyFont="1" applyFill="1" applyBorder="1" applyAlignment="1">
      <alignment horizontal="right" vertical="center" wrapText="1"/>
    </xf>
    <xf numFmtId="43" fontId="11" fillId="2" borderId="1" xfId="1" applyFont="1" applyFill="1" applyBorder="1" applyAlignment="1">
      <alignment horizontal="right" vertical="center" wrapText="1"/>
    </xf>
    <xf numFmtId="10" fontId="11" fillId="2" borderId="1" xfId="2" applyNumberFormat="1" applyFont="1" applyFill="1" applyBorder="1" applyAlignment="1">
      <alignment horizontal="right" vertical="center" wrapText="1"/>
    </xf>
    <xf numFmtId="43" fontId="2" fillId="2" borderId="1" xfId="1" applyFont="1" applyFill="1" applyBorder="1" applyAlignment="1">
      <alignment horizontal="right" vertical="center" wrapText="1"/>
    </xf>
    <xf numFmtId="43" fontId="11" fillId="0" borderId="2" xfId="1" applyFont="1" applyFill="1" applyBorder="1" applyAlignment="1">
      <alignment horizontal="right" vertical="center" wrapText="1"/>
    </xf>
    <xf numFmtId="10" fontId="11" fillId="0" borderId="0" xfId="2" applyNumberFormat="1" applyFont="1" applyFill="1" applyBorder="1" applyAlignment="1">
      <alignment horizontal="right" vertical="center" wrapText="1"/>
    </xf>
    <xf numFmtId="43" fontId="2" fillId="0" borderId="0" xfId="1" applyFont="1" applyFill="1" applyBorder="1" applyAlignment="1">
      <alignment horizontal="right" vertical="center" wrapText="1"/>
    </xf>
    <xf numFmtId="43" fontId="11" fillId="0" borderId="0" xfId="1" applyFont="1" applyFill="1" applyBorder="1" applyAlignment="1">
      <alignment horizontal="right" vertical="center" wrapText="1"/>
    </xf>
    <xf numFmtId="10" fontId="2" fillId="0" borderId="0" xfId="2" applyNumberFormat="1" applyFont="1" applyFill="1" applyBorder="1" applyAlignment="1">
      <alignment horizontal="right" vertical="center" wrapText="1"/>
    </xf>
    <xf numFmtId="0" fontId="6" fillId="0" borderId="0" xfId="573" applyFont="1" applyBorder="1" applyAlignment="1">
      <alignment vertical="center"/>
    </xf>
    <xf numFmtId="0" fontId="57" fillId="0" borderId="0" xfId="0" applyFont="1" applyAlignment="1">
      <alignment vertical="center"/>
      <protection locked="0"/>
    </xf>
    <xf numFmtId="0" fontId="2" fillId="0" borderId="0" xfId="0" applyFont="1" applyAlignment="1">
      <alignment horizontal="right" vertical="center"/>
      <protection locked="0"/>
    </xf>
    <xf numFmtId="0" fontId="6" fillId="0" borderId="0" xfId="0" applyFont="1" applyAlignment="1">
      <alignment horizontal="left" vertical="center"/>
      <protection locked="0"/>
    </xf>
    <xf numFmtId="0" fontId="2" fillId="0" borderId="0" xfId="576" applyFont="1">
      <alignment vertical="center"/>
    </xf>
    <xf numFmtId="0" fontId="57" fillId="0" borderId="0" xfId="576" applyFont="1">
      <alignment vertical="center"/>
    </xf>
    <xf numFmtId="0" fontId="2" fillId="0" borderId="0" xfId="0" applyFont="1" applyBorder="1" applyAlignment="1">
      <alignment vertical="center"/>
      <protection locked="0"/>
    </xf>
    <xf numFmtId="49" fontId="6" fillId="0" borderId="0" xfId="0" applyNumberFormat="1" applyFont="1" applyAlignment="1">
      <alignment horizontal="left" vertical="center"/>
      <protection locked="0"/>
    </xf>
    <xf numFmtId="0" fontId="6" fillId="0" borderId="0" xfId="0" applyFont="1" applyAlignment="1">
      <alignment horizontal="justify" vertical="center"/>
      <protection locked="0"/>
    </xf>
    <xf numFmtId="0" fontId="6" fillId="0" borderId="0" xfId="0" applyFont="1" applyAlignment="1">
      <alignment vertical="center"/>
      <protection locked="0"/>
    </xf>
    <xf numFmtId="0" fontId="6" fillId="0" borderId="0" xfId="0" applyFont="1" applyAlignment="1">
      <alignment horizontal="center" vertical="center"/>
      <protection locked="0"/>
    </xf>
    <xf numFmtId="0" fontId="2" fillId="0" borderId="1" xfId="0" applyFont="1" applyBorder="1" applyAlignment="1">
      <alignment horizontal="left" vertical="center" wrapText="1"/>
      <protection locked="0"/>
    </xf>
    <xf numFmtId="0" fontId="6" fillId="7" borderId="1" xfId="0" applyFont="1" applyFill="1" applyBorder="1" applyAlignment="1">
      <alignment horizontal="center" vertical="center" wrapText="1"/>
      <protection locked="0"/>
    </xf>
    <xf numFmtId="0" fontId="58" fillId="7" borderId="1" xfId="0" applyFont="1" applyFill="1" applyBorder="1" applyAlignment="1">
      <alignment horizontal="center" vertical="center" wrapText="1"/>
      <protection locked="0"/>
    </xf>
    <xf numFmtId="49" fontId="11" fillId="0" borderId="1" xfId="576" applyNumberFormat="1" applyFont="1" applyBorder="1" applyAlignment="1">
      <alignment horizontal="center" vertical="center"/>
    </xf>
    <xf numFmtId="0" fontId="7" fillId="0" borderId="1" xfId="0" applyFont="1" applyBorder="1" applyAlignment="1">
      <alignment horizontal="center" vertical="center" wrapText="1"/>
      <protection locked="0"/>
    </xf>
    <xf numFmtId="0" fontId="57" fillId="0" borderId="1" xfId="561" applyFont="1" applyFill="1" applyBorder="1" applyAlignment="1">
      <alignment horizontal="center" vertical="center" wrapText="1"/>
    </xf>
    <xf numFmtId="0" fontId="59" fillId="0" borderId="1" xfId="561" applyFont="1" applyFill="1" applyBorder="1" applyAlignment="1">
      <alignment horizontal="center" vertical="center" wrapText="1"/>
    </xf>
    <xf numFmtId="0" fontId="58" fillId="0" borderId="1" xfId="561" applyFont="1" applyFill="1" applyBorder="1" applyAlignment="1">
      <alignment horizontal="center" vertical="center" wrapText="1"/>
    </xf>
    <xf numFmtId="0" fontId="57" fillId="0" borderId="1" xfId="561" applyFont="1" applyFill="1" applyBorder="1" applyAlignment="1">
      <alignment vertical="center" wrapText="1"/>
    </xf>
    <xf numFmtId="176" fontId="57" fillId="0" borderId="1" xfId="522" applyFont="1" applyBorder="1" applyAlignment="1" applyProtection="1">
      <alignment horizontal="center" vertical="center" wrapText="1"/>
    </xf>
    <xf numFmtId="0" fontId="2" fillId="0" borderId="1" xfId="0" applyFont="1" applyBorder="1" applyAlignment="1">
      <alignment horizontal="justify" vertical="center" wrapText="1"/>
      <protection locked="0"/>
    </xf>
    <xf numFmtId="0" fontId="2" fillId="0" borderId="1" xfId="0" applyFont="1" applyBorder="1" applyAlignment="1">
      <alignment vertical="center" wrapText="1"/>
      <protection locked="0"/>
    </xf>
    <xf numFmtId="0" fontId="11" fillId="0" borderId="1" xfId="0" applyFont="1" applyBorder="1">
      <protection locked="0"/>
    </xf>
    <xf numFmtId="0" fontId="60" fillId="0" borderId="1" xfId="561" applyFont="1" applyBorder="1" applyAlignment="1">
      <alignment horizontal="center" vertical="center" wrapText="1"/>
    </xf>
    <xf numFmtId="0" fontId="59" fillId="0" borderId="1" xfId="561" applyFont="1" applyBorder="1" applyAlignment="1">
      <alignment horizontal="center" vertical="center" wrapText="1"/>
    </xf>
    <xf numFmtId="0" fontId="59" fillId="0" borderId="1" xfId="561" applyFont="1" applyFill="1" applyBorder="1" applyAlignment="1">
      <alignment vertical="center" wrapText="1"/>
    </xf>
    <xf numFmtId="0" fontId="11" fillId="0" borderId="1" xfId="0" applyFont="1" applyBorder="1" applyAlignment="1">
      <alignment horizontal="center" vertical="center" wrapText="1"/>
      <protection locked="0"/>
    </xf>
    <xf numFmtId="0" fontId="11" fillId="0" borderId="1" xfId="0" applyFont="1" applyBorder="1" applyAlignment="1">
      <alignment vertical="center" wrapText="1"/>
      <protection locked="0"/>
    </xf>
    <xf numFmtId="0" fontId="57" fillId="0" borderId="1" xfId="0" applyFont="1" applyBorder="1" applyAlignment="1" applyProtection="1">
      <alignment horizontal="center" vertical="center" wrapText="1"/>
    </xf>
    <xf numFmtId="0" fontId="2" fillId="0" borderId="1" xfId="524" applyFont="1" applyBorder="1" applyAlignment="1">
      <alignment horizontal="left" vertical="center" wrapText="1"/>
      <protection locked="0"/>
    </xf>
    <xf numFmtId="0" fontId="57" fillId="0" borderId="1" xfId="561" applyNumberFormat="1" applyFont="1" applyFill="1" applyBorder="1" applyAlignment="1">
      <alignment horizontal="center" vertical="center" wrapText="1"/>
    </xf>
    <xf numFmtId="0" fontId="2" fillId="0" borderId="0" xfId="577" applyNumberFormat="1" applyFont="1" applyAlignment="1">
      <alignment vertical="center" wrapText="1"/>
    </xf>
    <xf numFmtId="0" fontId="6" fillId="0" borderId="0" xfId="576" applyFont="1">
      <alignment vertical="center"/>
    </xf>
    <xf numFmtId="0" fontId="26" fillId="0" borderId="1" xfId="561" applyFont="1" applyFill="1" applyBorder="1" applyAlignment="1">
      <alignment horizontal="center" vertical="center" wrapText="1"/>
    </xf>
    <xf numFmtId="0" fontId="61" fillId="4" borderId="0" xfId="561" applyFont="1" applyFill="1" applyAlignment="1" applyProtection="1">
      <alignment horizontal="left" vertical="center" wrapText="1"/>
      <protection locked="0"/>
    </xf>
    <xf numFmtId="0" fontId="11" fillId="0" borderId="1" xfId="561" applyFont="1" applyFill="1" applyBorder="1" applyAlignment="1">
      <alignment horizontal="center" vertical="center" wrapText="1"/>
    </xf>
    <xf numFmtId="0" fontId="62" fillId="4" borderId="0" xfId="561" applyFont="1" applyFill="1" applyAlignment="1" applyProtection="1">
      <alignment horizontal="left" vertical="center" wrapText="1"/>
      <protection locked="0"/>
    </xf>
    <xf numFmtId="0" fontId="62" fillId="0" borderId="0" xfId="0" applyFont="1">
      <protection locked="0"/>
    </xf>
    <xf numFmtId="0" fontId="11" fillId="0" borderId="1" xfId="0" applyFont="1" applyBorder="1" applyAlignment="1">
      <alignment horizontal="center" vertical="center"/>
      <protection locked="0"/>
    </xf>
    <xf numFmtId="0" fontId="2" fillId="8" borderId="0" xfId="0" applyFont="1" applyFill="1" applyAlignment="1">
      <alignment horizontal="justify" vertical="center" wrapText="1"/>
      <protection locked="0"/>
    </xf>
    <xf numFmtId="0" fontId="2" fillId="0" borderId="0" xfId="0" applyFont="1" applyAlignment="1">
      <alignment horizontal="justify" vertical="center" wrapText="1"/>
      <protection locked="0"/>
    </xf>
    <xf numFmtId="0" fontId="11" fillId="0" borderId="12" xfId="0" applyFont="1" applyBorder="1" applyAlignment="1">
      <alignment horizontal="center" vertical="center"/>
      <protection locked="0"/>
    </xf>
    <xf numFmtId="0" fontId="62" fillId="0" borderId="0" xfId="0" applyFont="1" applyAlignment="1">
      <alignment vertical="center"/>
      <protection locked="0"/>
    </xf>
    <xf numFmtId="0" fontId="24" fillId="0" borderId="1" xfId="0" applyFont="1" applyBorder="1" applyAlignment="1" applyProtection="1">
      <alignment horizontal="center" vertical="center" wrapText="1"/>
    </xf>
    <xf numFmtId="0" fontId="11" fillId="0" borderId="1" xfId="0" applyNumberFormat="1" applyFont="1" applyBorder="1" applyAlignment="1" applyProtection="1">
      <alignment horizontal="center" vertical="center" wrapText="1"/>
      <protection locked="0"/>
    </xf>
    <xf numFmtId="0" fontId="11" fillId="8" borderId="0" xfId="0" applyFont="1" applyFill="1" applyBorder="1" applyAlignment="1">
      <alignment horizontal="justify" vertical="center" wrapText="1"/>
      <protection locked="0"/>
    </xf>
    <xf numFmtId="0" fontId="4" fillId="0" borderId="0" xfId="0" applyFont="1" applyAlignment="1">
      <alignment horizontal="center" vertical="center"/>
      <protection locked="0"/>
    </xf>
    <xf numFmtId="176" fontId="62" fillId="0" borderId="0" xfId="701" applyFont="1" applyFill="1" applyAlignment="1">
      <alignment horizontal="left" vertical="center"/>
    </xf>
    <xf numFmtId="0" fontId="172" fillId="0" borderId="0" xfId="524" applyFont="1" applyAlignment="1" applyProtection="1">
      <alignment horizontal="left" vertical="center"/>
    </xf>
    <xf numFmtId="0" fontId="173" fillId="0" borderId="0" xfId="0" applyFont="1" applyAlignment="1" applyProtection="1">
      <alignment horizontal="left" vertical="center"/>
    </xf>
    <xf numFmtId="0" fontId="11" fillId="0" borderId="0" xfId="513" applyFont="1" applyAlignment="1" applyProtection="1">
      <alignment vertical="center"/>
      <protection locked="0"/>
    </xf>
    <xf numFmtId="43" fontId="24" fillId="59" borderId="1" xfId="0" applyNumberFormat="1" applyFont="1" applyFill="1" applyBorder="1" applyAlignment="1" applyProtection="1">
      <alignment horizontal="right" vertical="center" shrinkToFit="1"/>
    </xf>
    <xf numFmtId="0" fontId="174" fillId="0" borderId="0" xfId="3" applyFont="1" applyAlignment="1">
      <alignment horizontal="left" vertical="center"/>
      <protection locked="0"/>
    </xf>
    <xf numFmtId="43" fontId="174" fillId="0" borderId="0" xfId="3" applyNumberFormat="1" applyFont="1" applyBorder="1" applyAlignment="1" applyProtection="1">
      <alignment vertical="center"/>
    </xf>
    <xf numFmtId="0" fontId="175" fillId="0" borderId="12" xfId="3" applyFont="1" applyBorder="1" applyAlignment="1">
      <alignment vertical="center"/>
      <protection locked="0"/>
    </xf>
    <xf numFmtId="0" fontId="43" fillId="0" borderId="0" xfId="0" applyFont="1" applyAlignment="1">
      <alignment horizontal="left" vertical="center" wrapText="1"/>
      <protection locked="0"/>
    </xf>
    <xf numFmtId="0" fontId="42" fillId="0" borderId="0" xfId="0" applyFont="1" applyAlignment="1">
      <alignment horizontal="left" vertical="center" wrapText="1"/>
      <protection locked="0"/>
    </xf>
    <xf numFmtId="0" fontId="6" fillId="7" borderId="1" xfId="0" applyFont="1" applyFill="1" applyBorder="1" applyAlignment="1">
      <alignment horizontal="center" vertical="center" wrapText="1"/>
      <protection locked="0"/>
    </xf>
    <xf numFmtId="0" fontId="6" fillId="2" borderId="1" xfId="0" applyFont="1" applyFill="1" applyBorder="1" applyAlignment="1">
      <alignment horizontal="center" vertical="center"/>
      <protection locked="0"/>
    </xf>
    <xf numFmtId="0" fontId="2" fillId="0" borderId="1" xfId="0" applyFont="1" applyBorder="1" applyAlignment="1">
      <alignment horizontal="center" vertical="center" wrapText="1"/>
      <protection locked="0"/>
    </xf>
    <xf numFmtId="0" fontId="6" fillId="0" borderId="0" xfId="0" applyFont="1" applyAlignment="1">
      <alignment horizontal="left" vertical="center"/>
      <protection locked="0"/>
    </xf>
    <xf numFmtId="0" fontId="6" fillId="7" borderId="1" xfId="0" applyFont="1" applyFill="1" applyBorder="1" applyAlignment="1">
      <alignment horizontal="center" vertical="center"/>
      <protection locked="0"/>
    </xf>
    <xf numFmtId="49" fontId="6" fillId="7" borderId="1" xfId="0" applyNumberFormat="1" applyFont="1" applyFill="1" applyBorder="1" applyAlignment="1">
      <alignment horizontal="center" vertical="center"/>
      <protection locked="0"/>
    </xf>
    <xf numFmtId="0" fontId="6" fillId="59" borderId="1" xfId="561" applyFont="1" applyFill="1" applyBorder="1" applyAlignment="1" applyProtection="1">
      <alignment horizontal="center" vertical="center" wrapText="1"/>
      <protection locked="0"/>
    </xf>
    <xf numFmtId="0" fontId="167" fillId="0" borderId="1" xfId="0" applyFont="1" applyBorder="1" applyAlignment="1">
      <alignment horizontal="left" vertical="center" wrapText="1"/>
      <protection locked="0"/>
    </xf>
    <xf numFmtId="0" fontId="2" fillId="0" borderId="1" xfId="0" applyFont="1" applyBorder="1" applyAlignment="1">
      <alignment horizontal="left" vertical="center" wrapText="1"/>
      <protection locked="0"/>
    </xf>
    <xf numFmtId="0" fontId="2" fillId="0" borderId="0" xfId="0" applyFont="1" applyBorder="1" applyAlignment="1">
      <alignment horizontal="left" vertical="center" wrapText="1"/>
      <protection locked="0"/>
    </xf>
    <xf numFmtId="0" fontId="6" fillId="2" borderId="1" xfId="0" applyFont="1" applyFill="1" applyBorder="1" applyAlignment="1">
      <alignment horizontal="center" vertical="center" wrapText="1"/>
      <protection locked="0"/>
    </xf>
    <xf numFmtId="0" fontId="3" fillId="0" borderId="0" xfId="572" applyFont="1" applyAlignment="1">
      <alignment horizontal="center" vertical="center"/>
    </xf>
    <xf numFmtId="0" fontId="4" fillId="0" borderId="0" xfId="572" applyFont="1" applyAlignment="1">
      <alignment horizontal="center" vertical="center"/>
    </xf>
    <xf numFmtId="0" fontId="2" fillId="0" borderId="0" xfId="0" applyFont="1" applyAlignment="1">
      <alignment horizontal="left" vertical="center"/>
      <protection locked="0"/>
    </xf>
    <xf numFmtId="43" fontId="3" fillId="0" borderId="0" xfId="575" applyNumberFormat="1" applyFont="1" applyBorder="1" applyAlignment="1">
      <alignment horizontal="center" vertical="center"/>
    </xf>
    <xf numFmtId="43" fontId="4" fillId="0" borderId="0" xfId="575" applyNumberFormat="1" applyFont="1" applyBorder="1" applyAlignment="1">
      <alignment horizontal="center" vertical="center"/>
    </xf>
    <xf numFmtId="176" fontId="6" fillId="3" borderId="9" xfId="533" applyFont="1" applyFill="1" applyBorder="1" applyAlignment="1" applyProtection="1">
      <alignment horizontal="center" vertical="center" wrapText="1"/>
      <protection locked="0"/>
    </xf>
    <xf numFmtId="176" fontId="6" fillId="3" borderId="10" xfId="533" applyFont="1" applyFill="1" applyBorder="1" applyAlignment="1" applyProtection="1">
      <alignment horizontal="center" vertical="center" wrapText="1"/>
      <protection locked="0"/>
    </xf>
    <xf numFmtId="176" fontId="6" fillId="3" borderId="11" xfId="533" applyFont="1" applyFill="1" applyBorder="1" applyAlignment="1" applyProtection="1">
      <alignment horizontal="center" vertical="center" wrapText="1"/>
      <protection locked="0"/>
    </xf>
    <xf numFmtId="176" fontId="5" fillId="3" borderId="1" xfId="526" applyNumberFormat="1" applyFont="1" applyFill="1" applyBorder="1" applyAlignment="1">
      <alignment horizontal="center" vertical="center" wrapText="1"/>
      <protection locked="0"/>
    </xf>
    <xf numFmtId="0" fontId="6" fillId="3" borderId="1" xfId="526" applyFont="1" applyFill="1" applyBorder="1" applyAlignment="1">
      <alignment horizontal="center" vertical="center" wrapText="1"/>
      <protection locked="0"/>
    </xf>
    <xf numFmtId="0" fontId="5" fillId="3" borderId="1" xfId="0" applyFont="1" applyFill="1" applyBorder="1" applyAlignment="1" applyProtection="1">
      <alignment horizontal="center" vertical="center"/>
    </xf>
    <xf numFmtId="0" fontId="5" fillId="3" borderId="1" xfId="0" applyFont="1" applyFill="1" applyBorder="1" applyAlignment="1" applyProtection="1">
      <alignment vertical="center"/>
    </xf>
    <xf numFmtId="0" fontId="7" fillId="3" borderId="1" xfId="0" applyFont="1" applyFill="1" applyBorder="1" applyAlignment="1" applyProtection="1">
      <alignment vertical="center"/>
    </xf>
    <xf numFmtId="0" fontId="47" fillId="0" borderId="0" xfId="0" applyFont="1" applyAlignment="1">
      <alignment horizontal="left" vertical="center" wrapText="1"/>
      <protection locked="0"/>
    </xf>
    <xf numFmtId="0" fontId="50" fillId="0" borderId="7" xfId="0" applyFont="1" applyBorder="1" applyAlignment="1">
      <alignment horizontal="center" vertical="center" wrapText="1"/>
      <protection locked="0"/>
    </xf>
    <xf numFmtId="0" fontId="43" fillId="0" borderId="8" xfId="0" applyFont="1" applyBorder="1" applyAlignment="1">
      <alignment horizontal="center" vertical="center" wrapText="1"/>
      <protection locked="0"/>
    </xf>
    <xf numFmtId="0" fontId="43" fillId="0" borderId="7" xfId="0" applyFont="1" applyBorder="1" applyAlignment="1">
      <alignment horizontal="center" vertical="center" wrapText="1"/>
      <protection locked="0"/>
    </xf>
    <xf numFmtId="0" fontId="12" fillId="0" borderId="0" xfId="573" applyFont="1" applyAlignment="1">
      <alignment horizontal="center" vertical="center"/>
    </xf>
    <xf numFmtId="43" fontId="43" fillId="0" borderId="0" xfId="575" applyNumberFormat="1" applyFont="1" applyFill="1" applyBorder="1" applyAlignment="1">
      <alignment horizontal="center" vertical="center"/>
    </xf>
    <xf numFmtId="0" fontId="43" fillId="0" borderId="0" xfId="0" applyFont="1" applyAlignment="1">
      <alignment horizontal="center" vertical="center" wrapText="1"/>
      <protection locked="0"/>
    </xf>
    <xf numFmtId="0" fontId="43" fillId="0" borderId="7" xfId="0" applyFont="1" applyBorder="1" applyAlignment="1">
      <alignment horizontal="center" vertical="center"/>
      <protection locked="0"/>
    </xf>
    <xf numFmtId="0" fontId="43" fillId="0" borderId="0" xfId="0" applyFont="1" applyAlignment="1">
      <alignment horizontal="center" vertical="center"/>
      <protection locked="0"/>
    </xf>
    <xf numFmtId="43" fontId="43" fillId="0" borderId="0" xfId="575" applyNumberFormat="1" applyFont="1" applyBorder="1" applyAlignment="1">
      <alignment horizontal="center" vertical="center"/>
    </xf>
    <xf numFmtId="0" fontId="35" fillId="0" borderId="0" xfId="512" applyFont="1" applyAlignment="1">
      <alignment horizontal="left" vertical="center" wrapText="1"/>
    </xf>
    <xf numFmtId="0" fontId="33" fillId="0" borderId="0" xfId="512" applyFont="1" applyAlignment="1">
      <alignment horizontal="left" vertical="center" wrapText="1"/>
    </xf>
    <xf numFmtId="0" fontId="29" fillId="0" borderId="5" xfId="512" applyFont="1" applyBorder="1" applyAlignment="1">
      <alignment horizontal="left" vertical="center" wrapText="1"/>
    </xf>
    <xf numFmtId="0" fontId="30" fillId="0" borderId="0" xfId="512" applyFont="1" applyAlignment="1">
      <alignment horizontal="left" vertical="center"/>
    </xf>
    <xf numFmtId="0" fontId="30" fillId="0" borderId="8" xfId="512" applyFont="1" applyBorder="1" applyAlignment="1"/>
    <xf numFmtId="0" fontId="29" fillId="0" borderId="8" xfId="512" applyFont="1" applyBorder="1" applyAlignment="1">
      <alignment horizontal="right" vertical="center" wrapText="1"/>
    </xf>
    <xf numFmtId="0" fontId="29" fillId="0" borderId="7" xfId="512" applyFont="1" applyBorder="1" applyAlignment="1">
      <alignment horizontal="center" vertical="center" wrapText="1"/>
    </xf>
    <xf numFmtId="0" fontId="30" fillId="0" borderId="7" xfId="512" applyFont="1" applyBorder="1" applyAlignment="1"/>
    <xf numFmtId="0" fontId="29" fillId="0" borderId="0" xfId="512" applyFont="1" applyAlignment="1">
      <alignment horizontal="center" vertical="center" wrapText="1"/>
    </xf>
    <xf numFmtId="43" fontId="30" fillId="0" borderId="0" xfId="676" applyNumberFormat="1" applyFont="1">
      <alignment vertical="center"/>
    </xf>
    <xf numFmtId="0" fontId="30" fillId="0" borderId="0" xfId="512" applyFont="1">
      <alignment vertical="center"/>
    </xf>
    <xf numFmtId="0" fontId="37" fillId="0" borderId="0" xfId="0" applyFont="1" applyAlignment="1">
      <alignment horizontal="center" vertical="center"/>
      <protection locked="0"/>
    </xf>
    <xf numFmtId="0" fontId="38" fillId="0" borderId="0" xfId="0" applyFont="1" applyAlignment="1">
      <alignment horizontal="center" vertical="center"/>
      <protection locked="0"/>
    </xf>
    <xf numFmtId="43" fontId="29" fillId="0" borderId="7" xfId="512" applyNumberFormat="1" applyFont="1" applyBorder="1" applyAlignment="1">
      <alignment horizontal="center" vertical="center" wrapText="1"/>
    </xf>
    <xf numFmtId="43" fontId="29" fillId="5" borderId="7" xfId="512" applyNumberFormat="1" applyFont="1" applyFill="1" applyBorder="1" applyAlignment="1">
      <alignment horizontal="center" vertical="center" wrapText="1"/>
    </xf>
    <xf numFmtId="43" fontId="35" fillId="0" borderId="0" xfId="512" applyNumberFormat="1" applyFont="1" applyAlignment="1">
      <alignment vertical="center" wrapText="1"/>
    </xf>
    <xf numFmtId="43" fontId="29" fillId="0" borderId="5" xfId="512" applyNumberFormat="1" applyFont="1" applyBorder="1" applyAlignment="1">
      <alignment horizontal="justify" vertical="center" wrapText="1"/>
    </xf>
    <xf numFmtId="43" fontId="30" fillId="0" borderId="0" xfId="512" applyNumberFormat="1" applyFont="1">
      <alignment vertical="center"/>
    </xf>
    <xf numFmtId="43" fontId="29" fillId="0" borderId="8" xfId="512" applyNumberFormat="1" applyFont="1" applyBorder="1" applyAlignment="1">
      <alignment horizontal="justify" vertical="center" wrapText="1"/>
    </xf>
    <xf numFmtId="43" fontId="29" fillId="5" borderId="5" xfId="512" applyNumberFormat="1" applyFont="1" applyFill="1" applyBorder="1" applyAlignment="1">
      <alignment horizontal="justify" vertical="center" wrapText="1"/>
    </xf>
    <xf numFmtId="43" fontId="29" fillId="5" borderId="5" xfId="512" applyNumberFormat="1" applyFont="1" applyFill="1" applyBorder="1" applyAlignment="1">
      <alignment horizontal="right" vertical="center" wrapText="1"/>
    </xf>
    <xf numFmtId="43" fontId="29" fillId="0" borderId="0" xfId="512" applyNumberFormat="1" applyFont="1" applyAlignment="1">
      <alignment horizontal="center" vertical="center" wrapText="1"/>
    </xf>
    <xf numFmtId="43" fontId="29" fillId="0" borderId="8" xfId="512" applyNumberFormat="1" applyFont="1" applyBorder="1" applyAlignment="1">
      <alignment horizontal="center" vertical="center" wrapText="1"/>
    </xf>
    <xf numFmtId="43" fontId="30" fillId="0" borderId="0" xfId="512" applyNumberFormat="1" applyFont="1" applyAlignment="1">
      <alignment horizontal="left" vertical="center" wrapText="1"/>
    </xf>
    <xf numFmtId="43" fontId="30" fillId="0" borderId="0" xfId="678" applyFont="1">
      <alignment vertical="center"/>
    </xf>
    <xf numFmtId="0" fontId="29" fillId="0" borderId="0" xfId="0" applyFont="1" applyAlignment="1">
      <alignment horizontal="center" vertical="center"/>
      <protection locked="0"/>
    </xf>
    <xf numFmtId="0" fontId="6" fillId="59" borderId="1" xfId="0" applyFont="1" applyFill="1" applyBorder="1" applyAlignment="1">
      <alignment horizontal="center" vertical="center" wrapText="1"/>
      <protection locked="0"/>
    </xf>
    <xf numFmtId="0" fontId="12" fillId="59" borderId="1" xfId="0" applyFont="1" applyFill="1" applyBorder="1" applyAlignment="1">
      <alignment horizontal="center" vertical="center" wrapText="1"/>
      <protection locked="0"/>
    </xf>
    <xf numFmtId="0" fontId="15" fillId="59" borderId="1" xfId="0" applyFont="1" applyFill="1" applyBorder="1" applyAlignment="1">
      <alignment horizontal="center" vertical="center" wrapText="1"/>
      <protection locked="0"/>
    </xf>
    <xf numFmtId="0" fontId="15" fillId="59" borderId="3" xfId="0" applyFont="1" applyFill="1" applyBorder="1" applyAlignment="1">
      <alignment horizontal="center" vertical="center" wrapText="1"/>
      <protection locked="0"/>
    </xf>
    <xf numFmtId="0" fontId="15" fillId="59" borderId="4" xfId="0" applyFont="1" applyFill="1" applyBorder="1" applyAlignment="1">
      <alignment horizontal="center" vertical="center" wrapText="1"/>
      <protection locked="0"/>
    </xf>
    <xf numFmtId="0" fontId="15" fillId="3" borderId="1" xfId="0" applyFont="1" applyFill="1" applyBorder="1" applyAlignment="1">
      <alignment horizontal="center" vertical="center" wrapText="1"/>
      <protection locked="0"/>
    </xf>
    <xf numFmtId="0" fontId="28" fillId="2" borderId="1" xfId="0" applyFont="1" applyFill="1" applyBorder="1" applyAlignment="1">
      <alignment horizontal="center" vertical="center" wrapText="1"/>
      <protection locked="0"/>
    </xf>
    <xf numFmtId="0" fontId="15" fillId="2" borderId="3" xfId="0" applyFont="1" applyFill="1" applyBorder="1" applyAlignment="1">
      <alignment horizontal="center" vertical="center" wrapText="1"/>
      <protection locked="0"/>
    </xf>
    <xf numFmtId="0" fontId="15" fillId="2" borderId="4" xfId="0" applyFont="1" applyFill="1" applyBorder="1" applyAlignment="1">
      <alignment horizontal="center" vertical="center" wrapText="1"/>
      <protection locked="0"/>
    </xf>
    <xf numFmtId="0" fontId="16" fillId="0" borderId="0" xfId="572" applyFont="1" applyAlignment="1">
      <alignment horizontal="center" vertical="center" wrapText="1"/>
    </xf>
    <xf numFmtId="0" fontId="17" fillId="0" borderId="0" xfId="572" applyFont="1" applyAlignment="1">
      <alignment horizontal="center" vertical="center" wrapText="1"/>
    </xf>
    <xf numFmtId="0" fontId="22" fillId="3" borderId="1" xfId="0" applyFont="1" applyFill="1" applyBorder="1" applyAlignment="1">
      <alignment horizontal="center" vertical="center" wrapText="1"/>
      <protection locked="0"/>
    </xf>
    <xf numFmtId="0" fontId="6" fillId="3" borderId="1" xfId="347" applyFont="1" applyFill="1" applyBorder="1" applyAlignment="1">
      <alignment horizontal="center" vertical="center"/>
    </xf>
    <xf numFmtId="0" fontId="10" fillId="0" borderId="0" xfId="514" applyFont="1" applyAlignment="1">
      <alignment horizontal="left" vertical="center" wrapText="1"/>
      <protection locked="0"/>
    </xf>
    <xf numFmtId="0" fontId="2" fillId="0" borderId="0" xfId="514" applyFont="1" applyAlignment="1">
      <alignment horizontal="left" vertical="center" wrapText="1"/>
      <protection locked="0"/>
    </xf>
  </cellXfs>
  <cellStyles count="702">
    <cellStyle name="_x000a_mouse.drv=lm" xfId="4"/>
    <cellStyle name="%" xfId="5"/>
    <cellStyle name="% 2" xfId="6"/>
    <cellStyle name="?" xfId="7"/>
    <cellStyle name="? 2" xfId="8"/>
    <cellStyle name="??" xfId="9"/>
    <cellStyle name="?? [0]" xfId="10"/>
    <cellStyle name="??_0N-HANDLING " xfId="11"/>
    <cellStyle name="?餡_x000c_k" xfId="12"/>
    <cellStyle name="?餡_x000c_k 2" xfId="13"/>
    <cellStyle name="?餡_x000c_k?_x000d_^" xfId="14"/>
    <cellStyle name="?餡_x000c_k?_x000d_^ 2" xfId="15"/>
    <cellStyle name="?餡_x000c_k?_x000d_^黇_x0001_??_x0007__x0001__x0001_" xfId="16"/>
    <cellStyle name="?餡_x000c_k?_x000d_^黇_x0001_??_x0007__x0001__x0001_ 2" xfId="17"/>
    <cellStyle name="@_text" xfId="18"/>
    <cellStyle name="@_text_子公司附注汇总(房开公司)" xfId="19"/>
    <cellStyle name="_(本部)2006年年报审计PBC表" xfId="20"/>
    <cellStyle name="_07930建造合同" xfId="21"/>
    <cellStyle name="_12月项目部访问及审计-德勤" xfId="22"/>
    <cellStyle name="_2005-08-31审计底稿－李" xfId="23"/>
    <cellStyle name="_2005年工作底稿" xfId="24"/>
    <cellStyle name="_2005年工作底稿_3-2-A1B-银行存款" xfId="25"/>
    <cellStyle name="_2005年工作底稿_3-2-Z17A-固定资产" xfId="26"/>
    <cellStyle name="_2005年工作底稿_Sheet1" xfId="27"/>
    <cellStyle name="_2005审计报表及附注-中国建材股份模板（房屋）" xfId="28"/>
    <cellStyle name="_2005审计报表及附注-中国建材股份模板（房屋） 2" xfId="29"/>
    <cellStyle name="_2006年年报审计PBC表（合并）" xfId="30"/>
    <cellStyle name="_2006年年报审计PBC表-XX" xfId="31"/>
    <cellStyle name="_2006年年报审计PBC表-XXX" xfId="32"/>
    <cellStyle name="_2006年年报审计PBC表-XXX 2" xfId="33"/>
    <cellStyle name="_2006年年报审计PBC表-福州分公司" xfId="34"/>
    <cellStyle name="_2006年年报审计PBC表-云南分公司" xfId="35"/>
    <cellStyle name="_2006年年报审计填报资料" xfId="36"/>
    <cellStyle name="_2006年年报审计填报资料 2" xfId="37"/>
    <cellStyle name="_2007调整分录-鲁佳" xfId="38"/>
    <cellStyle name="_3-2-A22-无形资产" xfId="39"/>
    <cellStyle name="_3-2-A4-应收账款" xfId="40"/>
    <cellStyle name="_A17固定资产" xfId="41"/>
    <cellStyle name="_A23无形资产" xfId="42"/>
    <cellStyle name="_A3应收票据" xfId="43"/>
    <cellStyle name="_A6应收账款" xfId="44"/>
    <cellStyle name="_A6应收账款_3-2-A1B-银行存款" xfId="45"/>
    <cellStyle name="_A6应收账款_3-2-Z17A-固定资产" xfId="46"/>
    <cellStyle name="_A6应收账款_Sheet1" xfId="47"/>
    <cellStyle name="_B10其他未交款" xfId="48"/>
    <cellStyle name="_B13预收账款2005" xfId="49"/>
    <cellStyle name="_B6应付工资" xfId="50"/>
    <cellStyle name="_B7应付福利费" xfId="51"/>
    <cellStyle name="_B9应交税金2005" xfId="52"/>
    <cellStyle name="_Book1" xfId="53"/>
    <cellStyle name="_Book1 2" xfId="54"/>
    <cellStyle name="_CREC(Huo" xfId="55"/>
    <cellStyle name="_D11营业外支出" xfId="56"/>
    <cellStyle name="_D12所得税2005" xfId="57"/>
    <cellStyle name="_D1主营业务收入" xfId="58"/>
    <cellStyle name="_D3主营业务税金及附加" xfId="59"/>
    <cellStyle name="_D4其他业务利润" xfId="60"/>
    <cellStyle name="_ET_STYLE_NoName_00_" xfId="61"/>
    <cellStyle name="_ET_STYLE_NoName_00__2007调整分录-鲁佳" xfId="62"/>
    <cellStyle name="_ET_STYLE_NoName_00__股份本部" xfId="63"/>
    <cellStyle name="_ET_STYLE_NoName_00__股份本部_1" xfId="64"/>
    <cellStyle name="_ET_STYLE_NoName_00__股份本部_3" xfId="65"/>
    <cellStyle name="_ET_STYLE_NoName_00__股份本部_6_股份本部_2" xfId="66"/>
    <cellStyle name="_ET_STYLE_NoName_00__股份本部_7_股份本部_3" xfId="67"/>
    <cellStyle name="_J1000-存货-ZHHG" xfId="68"/>
    <cellStyle name="_PBC审核提示" xfId="69"/>
    <cellStyle name="_PBC审核提示 2" xfId="70"/>
    <cellStyle name="_Sheet1" xfId="71"/>
    <cellStyle name="_宝丽华房地产20051231" xfId="72"/>
    <cellStyle name="_宝丽华房地产20051231 2" xfId="73"/>
    <cellStyle name="_保证金-企业填写部分" xfId="74"/>
    <cellStyle name="_保证金-企业填写部分 2" xfId="75"/>
    <cellStyle name="_北新房屋2004年审-刘" xfId="76"/>
    <cellStyle name="_北新房屋2004年审-刘 2" xfId="77"/>
    <cellStyle name="_北新股份2005年审工作底稿" xfId="78"/>
    <cellStyle name="_北新股份2005年审工作底稿 2" xfId="79"/>
    <cellStyle name="_北新建材关连交易基础表051230（10－12月版）更新稿" xfId="80"/>
    <cellStyle name="_北新建材关连交易基础表051230（10－12月版）更新稿 2" xfId="81"/>
    <cellStyle name="_北新建材-会计报表附注模版" xfId="82"/>
    <cellStyle name="_北新建材-会计报表附注模版 2" xfId="83"/>
    <cellStyle name="_北新龙之星2004年审工作底稿" xfId="84"/>
    <cellStyle name="_北新龙之星2004年审工作底稿 2" xfId="85"/>
    <cellStyle name="_北新物流2005底稿-刘" xfId="86"/>
    <cellStyle name="_北新物流2005底稿-刘 2" xfId="87"/>
    <cellStyle name="_北新置换memo" xfId="88"/>
    <cellStyle name="_北新置换memo 2" xfId="89"/>
    <cellStyle name="_本部其他应收应付年审底稿--鲁佳pb" xfId="90"/>
    <cellStyle name="_存货结转测试" xfId="91"/>
    <cellStyle name="_存货结转测试 2" xfId="92"/>
    <cellStyle name="_存货数量与明细05.12" xfId="93"/>
    <cellStyle name="_存货数量与明细05.12 2" xfId="94"/>
    <cellStyle name="_动力厂2004年审工作底稿-刘" xfId="95"/>
    <cellStyle name="_动力厂2004年审工作底稿-刘 2" xfId="96"/>
    <cellStyle name="_分工" xfId="97"/>
    <cellStyle name="_分工 2" xfId="98"/>
    <cellStyle name="_封面" xfId="99"/>
    <cellStyle name="_工程施工项目现场审计提示" xfId="100"/>
    <cellStyle name="_工程施工项目现场审计提示 2" xfId="101"/>
    <cellStyle name="_公司填表" xfId="102"/>
    <cellStyle name="_公司填表-2005蔡" xfId="103"/>
    <cellStyle name="_公司填表-2005李志刚" xfId="104"/>
    <cellStyle name="_公司填表2005-吴" xfId="105"/>
    <cellStyle name="_公司填表2005-吴_3-2-A1B-银行存款" xfId="106"/>
    <cellStyle name="_公司填表2005-吴_3-2-Z17A-固定资产" xfId="107"/>
    <cellStyle name="_公司填表2005-吴_Sheet1" xfId="108"/>
    <cellStyle name="_公司填表2005-修改" xfId="109"/>
    <cellStyle name="_公司填表2005-修改_3-2-A1B-银行存款" xfId="110"/>
    <cellStyle name="_公司填表2005-修改_3-2-Z17A-固定资产" xfId="111"/>
    <cellStyle name="_公司填表2005-修改_Sheet1" xfId="112"/>
    <cellStyle name="_公司填表2005-修改后" xfId="113"/>
    <cellStyle name="_公司填表2005-修改后_3-2-A1B-银行存款" xfId="114"/>
    <cellStyle name="_公司填表2005-修改后_3-2-Z17A-固定资产" xfId="115"/>
    <cellStyle name="_公司填表2005-修改后_Sheet1" xfId="116"/>
    <cellStyle name="_公司填表-2005杨" xfId="117"/>
    <cellStyle name="_关联交易" xfId="118"/>
    <cellStyle name="_关联交易 2" xfId="119"/>
    <cellStyle name="_关联交易、往来统计表" xfId="120"/>
    <cellStyle name="_关联交易、往来统计表 2" xfId="121"/>
    <cellStyle name="_合并报表审计调整模板(CREC)" xfId="122"/>
    <cellStyle name="_合并公司2006年度科目明细表(定稿)" xfId="123"/>
    <cellStyle name="_建造合同-宜万指（正式版）" xfId="124"/>
    <cellStyle name="_建造合同-宜万指（正式版） 2" xfId="125"/>
    <cellStyle name="_科目核对表" xfId="126"/>
    <cellStyle name="_科目核对表 2" xfId="127"/>
    <cellStyle name="_刘青分工填列信息统计" xfId="128"/>
    <cellStyle name="_刘青分工－子公司审计模板-电务" xfId="129"/>
    <cellStyle name="_刘青分工－子公司审计模板－铁达本部" xfId="130"/>
    <cellStyle name="_母PL" xfId="131"/>
    <cellStyle name="_母PL 2" xfId="132"/>
    <cellStyle name="_母公司底稿-鲁佳" xfId="133"/>
    <cellStyle name="_年审筹资循环资料清单" xfId="134"/>
    <cellStyle name="_凭证抽查-05年" xfId="135"/>
    <cellStyle name="_人员分工备忘录" xfId="136"/>
    <cellStyle name="_人员分工备忘录 2" xfId="137"/>
    <cellStyle name="_审计底稿-轩" xfId="138"/>
    <cellStyle name="_审计所需资料清单－子公司" xfId="139"/>
    <cellStyle name="_审计所需资料清单－子公司 2" xfId="140"/>
    <cellStyle name="_审计提示模版" xfId="141"/>
    <cellStyle name="_审计提示模版-母公司部分" xfId="142"/>
    <cellStyle name="_铁鸿源－刘青分工－子公司审计模板" xfId="143"/>
    <cellStyle name="_兴华审计成本" xfId="144"/>
    <cellStyle name="_岩土长投--急0121报王占学" xfId="145"/>
    <cellStyle name="_一公司建造合同前5名" xfId="146"/>
    <cellStyle name="_一公司建造合同前5名 2" xfId="147"/>
    <cellStyle name="_一公司－刘丰收" xfId="148"/>
    <cellStyle name="_一公司－刘丰收 2" xfId="149"/>
    <cellStyle name="_银行询证函统计－大表" xfId="150"/>
    <cellStyle name="_应收账款账龄--04、05" xfId="151"/>
    <cellStyle name="_长期借款－江阴" xfId="152"/>
    <cellStyle name="_长期借款－江阴 2" xfId="153"/>
    <cellStyle name="_子公司筹资循环－刘青" xfId="154"/>
    <cellStyle name="_子公司审计提示模版-Liufs" xfId="155"/>
    <cellStyle name="_子公司审计提示模版-Liufs 2" xfId="156"/>
    <cellStyle name="_子公司填表" xfId="157"/>
    <cellStyle name="{Comma [0]}" xfId="158"/>
    <cellStyle name="{Comma}" xfId="159"/>
    <cellStyle name="{Date}" xfId="160"/>
    <cellStyle name="{Month}" xfId="161"/>
    <cellStyle name="{Percent}" xfId="162"/>
    <cellStyle name="{Thousand [0]}" xfId="163"/>
    <cellStyle name="{Thousand}" xfId="164"/>
    <cellStyle name="{Z'0000(1 dec)}" xfId="165"/>
    <cellStyle name="{Z'0000(4 dec)}" xfId="166"/>
    <cellStyle name="0%" xfId="167"/>
    <cellStyle name="0,0_x000d__x000a_NA_x000d__x000a_" xfId="168"/>
    <cellStyle name="0.0%" xfId="169"/>
    <cellStyle name="0.00%" xfId="170"/>
    <cellStyle name="00" xfId="171"/>
    <cellStyle name="20% - Accent1" xfId="172"/>
    <cellStyle name="20% - Accent2" xfId="173"/>
    <cellStyle name="20% - Accent3" xfId="174"/>
    <cellStyle name="20% - Accent4" xfId="175"/>
    <cellStyle name="20% - Accent5" xfId="176"/>
    <cellStyle name="20% - Accent6" xfId="177"/>
    <cellStyle name="40% - Accent1" xfId="178"/>
    <cellStyle name="40% - Accent2" xfId="179"/>
    <cellStyle name="40% - Accent3" xfId="180"/>
    <cellStyle name="40% - Accent4" xfId="181"/>
    <cellStyle name="40% - Accent5" xfId="182"/>
    <cellStyle name="40% - Accent6" xfId="183"/>
    <cellStyle name="60% - Accent1" xfId="184"/>
    <cellStyle name="60% - Accent2" xfId="185"/>
    <cellStyle name="60% - Accent3" xfId="186"/>
    <cellStyle name="60% - Accent4" xfId="187"/>
    <cellStyle name="60% - Accent5" xfId="188"/>
    <cellStyle name="60% - Accent6" xfId="189"/>
    <cellStyle name="AA FRAME" xfId="190"/>
    <cellStyle name="AA HEADING" xfId="191"/>
    <cellStyle name="AA INITIALS" xfId="192"/>
    <cellStyle name="AA INITIALS 2" xfId="193"/>
    <cellStyle name="AA INPUT" xfId="194"/>
    <cellStyle name="AA LOCK" xfId="195"/>
    <cellStyle name="AA MGR NAME" xfId="196"/>
    <cellStyle name="AA NORMAL" xfId="197"/>
    <cellStyle name="AA NUMBER" xfId="198"/>
    <cellStyle name="AA NUMBER2" xfId="199"/>
    <cellStyle name="AA QUESTION" xfId="200"/>
    <cellStyle name="AA SHADE" xfId="201"/>
    <cellStyle name="Accent1" xfId="202"/>
    <cellStyle name="Accent1 - 20%" xfId="203"/>
    <cellStyle name="Accent1 - 40%" xfId="204"/>
    <cellStyle name="Accent1 - 60%" xfId="205"/>
    <cellStyle name="Accent2" xfId="206"/>
    <cellStyle name="Accent2 - 20%" xfId="207"/>
    <cellStyle name="Accent2 - 40%" xfId="208"/>
    <cellStyle name="Accent2 - 60%" xfId="209"/>
    <cellStyle name="Accent3" xfId="210"/>
    <cellStyle name="Accent3 - 20%" xfId="211"/>
    <cellStyle name="Accent3 - 40%" xfId="212"/>
    <cellStyle name="Accent3 - 60%" xfId="213"/>
    <cellStyle name="Accent4" xfId="214"/>
    <cellStyle name="Accent4 - 20%" xfId="215"/>
    <cellStyle name="Accent4 - 40%" xfId="216"/>
    <cellStyle name="Accent4 - 60%" xfId="217"/>
    <cellStyle name="Accent5" xfId="218"/>
    <cellStyle name="Accent5 - 20%" xfId="219"/>
    <cellStyle name="Accent5 - 40%" xfId="220"/>
    <cellStyle name="Accent5 - 60%" xfId="221"/>
    <cellStyle name="Accent6" xfId="222"/>
    <cellStyle name="Accent6 - 20%" xfId="223"/>
    <cellStyle name="Accent6 - 40%" xfId="224"/>
    <cellStyle name="Accent6 - 60%" xfId="225"/>
    <cellStyle name="args.style" xfId="226"/>
    <cellStyle name="Bad" xfId="227"/>
    <cellStyle name="Black" xfId="228"/>
    <cellStyle name="Border" xfId="229"/>
    <cellStyle name="Calc Currency (0)" xfId="230"/>
    <cellStyle name="Calc Currency (2)" xfId="231"/>
    <cellStyle name="Calc Percent (0)" xfId="232"/>
    <cellStyle name="Calc Percent (1)" xfId="233"/>
    <cellStyle name="Calc Percent (2)" xfId="234"/>
    <cellStyle name="Calc Units (0)" xfId="235"/>
    <cellStyle name="Calc Units (1)" xfId="236"/>
    <cellStyle name="Calc Units (2)" xfId="237"/>
    <cellStyle name="Calculation" xfId="238"/>
    <cellStyle name="category" xfId="239"/>
    <cellStyle name="Check Cell" xfId="240"/>
    <cellStyle name="Col Heads" xfId="241"/>
    <cellStyle name="Column_Title" xfId="242"/>
    <cellStyle name="Comma  - Style1" xfId="243"/>
    <cellStyle name="Comma  - Style2" xfId="244"/>
    <cellStyle name="Comma  - Style3" xfId="245"/>
    <cellStyle name="Comma  - Style4" xfId="246"/>
    <cellStyle name="Comma  - Style5" xfId="247"/>
    <cellStyle name="Comma  - Style6" xfId="248"/>
    <cellStyle name="Comma  - Style7" xfId="249"/>
    <cellStyle name="Comma  - Style8" xfId="250"/>
    <cellStyle name="Comma [0]" xfId="251"/>
    <cellStyle name="Comma [00]" xfId="252"/>
    <cellStyle name="Comma 28" xfId="253"/>
    <cellStyle name="Comma 28 2" xfId="254"/>
    <cellStyle name="comma zerodec" xfId="255"/>
    <cellStyle name="Comma,0" xfId="256"/>
    <cellStyle name="Comma,1" xfId="257"/>
    <cellStyle name="Comma,2" xfId="258"/>
    <cellStyle name="Comma_ rislugp" xfId="259"/>
    <cellStyle name="Copied" xfId="260"/>
    <cellStyle name="COST1" xfId="261"/>
    <cellStyle name="Currency [0]" xfId="262"/>
    <cellStyle name="Currency [00]" xfId="263"/>
    <cellStyle name="Currency,0" xfId="264"/>
    <cellStyle name="Currency,2" xfId="265"/>
    <cellStyle name="Currency_ rislugp" xfId="266"/>
    <cellStyle name="Currency1" xfId="267"/>
    <cellStyle name="Date" xfId="268"/>
    <cellStyle name="Date 2" xfId="269"/>
    <cellStyle name="Date Short" xfId="270"/>
    <cellStyle name="Date_ A1-货币资金审定表" xfId="271"/>
    <cellStyle name="Dezimal [0]_laroux" xfId="272"/>
    <cellStyle name="Dezimal_laroux" xfId="273"/>
    <cellStyle name="Dollar (zero dec)" xfId="274"/>
    <cellStyle name="E&amp;Y House" xfId="275"/>
    <cellStyle name="Enter Currency (0)" xfId="276"/>
    <cellStyle name="Enter Currency (2)" xfId="277"/>
    <cellStyle name="Enter Units (0)" xfId="278"/>
    <cellStyle name="Enter Units (1)" xfId="279"/>
    <cellStyle name="Enter Units (2)" xfId="280"/>
    <cellStyle name="Entered" xfId="281"/>
    <cellStyle name="entry" xfId="282"/>
    <cellStyle name="entry 2" xfId="283"/>
    <cellStyle name="entry box" xfId="284"/>
    <cellStyle name="entry box 2" xfId="285"/>
    <cellStyle name="Euro" xfId="286"/>
    <cellStyle name="Explanatory Text" xfId="287"/>
    <cellStyle name="F2" xfId="288"/>
    <cellStyle name="F3" xfId="289"/>
    <cellStyle name="F4" xfId="290"/>
    <cellStyle name="F5" xfId="291"/>
    <cellStyle name="F6" xfId="292"/>
    <cellStyle name="F7" xfId="293"/>
    <cellStyle name="F8" xfId="294"/>
    <cellStyle name="Fixed" xfId="295"/>
    <cellStyle name="Followed Hyperlink_AheadBehind.xls Chart 23" xfId="296"/>
    <cellStyle name="Good" xfId="297"/>
    <cellStyle name="Grey" xfId="298"/>
    <cellStyle name="HEADER" xfId="299"/>
    <cellStyle name="Header1" xfId="300"/>
    <cellStyle name="Header1 2" xfId="301"/>
    <cellStyle name="Header1 2 2" xfId="302"/>
    <cellStyle name="Header1 3" xfId="303"/>
    <cellStyle name="Header2" xfId="304"/>
    <cellStyle name="Header2 2" xfId="305"/>
    <cellStyle name="Heading" xfId="306"/>
    <cellStyle name="Heading 1" xfId="307"/>
    <cellStyle name="Heading 2" xfId="308"/>
    <cellStyle name="Heading 3" xfId="309"/>
    <cellStyle name="Heading 3 2" xfId="310"/>
    <cellStyle name="Heading 4" xfId="311"/>
    <cellStyle name="Heading 5" xfId="312"/>
    <cellStyle name="Heading1" xfId="313"/>
    <cellStyle name="Heading2" xfId="314"/>
    <cellStyle name="Hyperlink_AheadBehind.xls Chart 23" xfId="315"/>
    <cellStyle name="Input" xfId="316"/>
    <cellStyle name="Input [yellow]" xfId="317"/>
    <cellStyle name="Input Cells" xfId="318"/>
    <cellStyle name="Input Cells 2" xfId="319"/>
    <cellStyle name="left" xfId="320"/>
    <cellStyle name="left 2" xfId="321"/>
    <cellStyle name="Link Currency (0)" xfId="322"/>
    <cellStyle name="Link Currency (2)" xfId="323"/>
    <cellStyle name="Link Units (0)" xfId="324"/>
    <cellStyle name="Link Units (1)" xfId="325"/>
    <cellStyle name="Link Units (2)" xfId="326"/>
    <cellStyle name="Linked Cell" xfId="327"/>
    <cellStyle name="Linked Cells" xfId="328"/>
    <cellStyle name="Linked Cells 2" xfId="329"/>
    <cellStyle name="Millares [0]_laroux" xfId="330"/>
    <cellStyle name="Millares_laroux" xfId="331"/>
    <cellStyle name="Milliers [0]_!!!GO" xfId="332"/>
    <cellStyle name="Milliers_!!!GO" xfId="333"/>
    <cellStyle name="Model" xfId="334"/>
    <cellStyle name="Model 2" xfId="335"/>
    <cellStyle name="Moneda [0]_laroux" xfId="336"/>
    <cellStyle name="Moneda_laroux" xfId="337"/>
    <cellStyle name="Monétaire [0]_!!!GO" xfId="338"/>
    <cellStyle name="Monétaire_!!!GO" xfId="339"/>
    <cellStyle name="Mon閠aire [0]_laroux" xfId="340"/>
    <cellStyle name="Mon閠aire_laroux" xfId="341"/>
    <cellStyle name="Neutral" xfId="342"/>
    <cellStyle name="New Times Roman" xfId="343"/>
    <cellStyle name="no dec" xfId="344"/>
    <cellStyle name="Non défini" xfId="345"/>
    <cellStyle name="Normal - Style1" xfId="346"/>
    <cellStyle name="Normal 2" xfId="347"/>
    <cellStyle name="Normal 2 2" xfId="348"/>
    <cellStyle name="Normal 21" xfId="349"/>
    <cellStyle name="Normal 3 2" xfId="350"/>
    <cellStyle name="Normal_ rislugp" xfId="351"/>
    <cellStyle name="Normalny_Arkusz1" xfId="352"/>
    <cellStyle name="Note" xfId="353"/>
    <cellStyle name="Œ…‹æØ‚è [0.00]_Region Orders (2)" xfId="354"/>
    <cellStyle name="Œ…‹æØ‚è_Region Orders (2)" xfId="355"/>
    <cellStyle name="Output" xfId="356"/>
    <cellStyle name="per.style" xfId="357"/>
    <cellStyle name="Percent (0)" xfId="358"/>
    <cellStyle name="Percent [0]" xfId="359"/>
    <cellStyle name="Percent [00]" xfId="360"/>
    <cellStyle name="Percent [2]" xfId="361"/>
    <cellStyle name="Percent 2" xfId="362"/>
    <cellStyle name="Percent_!!!GO" xfId="363"/>
    <cellStyle name="Pourcentage_pldt" xfId="364"/>
    <cellStyle name="Prefilled" xfId="365"/>
    <cellStyle name="Prefilled 2" xfId="366"/>
    <cellStyle name="PrePop Currency (0)" xfId="367"/>
    <cellStyle name="PrePop Currency (2)" xfId="368"/>
    <cellStyle name="PrePop Units (0)" xfId="369"/>
    <cellStyle name="PrePop Units (1)" xfId="370"/>
    <cellStyle name="PrePop Units (2)" xfId="371"/>
    <cellStyle name="price" xfId="372"/>
    <cellStyle name="pricing" xfId="373"/>
    <cellStyle name="pricing 2" xfId="374"/>
    <cellStyle name="PSChar" xfId="375"/>
    <cellStyle name="PSHeading" xfId="376"/>
    <cellStyle name="PSHeading 2" xfId="377"/>
    <cellStyle name="Red" xfId="378"/>
    <cellStyle name="revised" xfId="379"/>
    <cellStyle name="RevList" xfId="380"/>
    <cellStyle name="RevList 2" xfId="381"/>
    <cellStyle name="row_def_array" xfId="382"/>
    <cellStyle name="S4" xfId="383"/>
    <cellStyle name="S5" xfId="384"/>
    <cellStyle name="SAPBEXaggData" xfId="385"/>
    <cellStyle name="SAPBEXaggDataEmph" xfId="386"/>
    <cellStyle name="SAPBEXaggItem" xfId="387"/>
    <cellStyle name="SAPBEXaggItemX" xfId="388"/>
    <cellStyle name="SAPBEXchaText" xfId="389"/>
    <cellStyle name="SAPBEXexcBad7" xfId="390"/>
    <cellStyle name="SAPBEXexcBad8" xfId="391"/>
    <cellStyle name="SAPBEXexcBad9" xfId="392"/>
    <cellStyle name="SAPBEXexcCritical4" xfId="393"/>
    <cellStyle name="SAPBEXexcCritical5" xfId="394"/>
    <cellStyle name="SAPBEXexcCritical6" xfId="395"/>
    <cellStyle name="SAPBEXexcGood1" xfId="396"/>
    <cellStyle name="SAPBEXexcGood2" xfId="397"/>
    <cellStyle name="SAPBEXexcGood3" xfId="398"/>
    <cellStyle name="SAPBEXfilterDrill" xfId="399"/>
    <cellStyle name="SAPBEXfilterItem" xfId="400"/>
    <cellStyle name="SAPBEXfilterText" xfId="401"/>
    <cellStyle name="SAPBEXformats" xfId="402"/>
    <cellStyle name="SAPBEXheaderItem" xfId="403"/>
    <cellStyle name="SAPBEXheaderText" xfId="404"/>
    <cellStyle name="SAPBEXHLevel0" xfId="405"/>
    <cellStyle name="SAPBEXHLevel0X" xfId="406"/>
    <cellStyle name="SAPBEXHLevel1" xfId="407"/>
    <cellStyle name="SAPBEXHLevel1X" xfId="408"/>
    <cellStyle name="SAPBEXHLevel2" xfId="409"/>
    <cellStyle name="SAPBEXHLevel2X" xfId="410"/>
    <cellStyle name="SAPBEXHLevel3" xfId="411"/>
    <cellStyle name="SAPBEXHLevel3X" xfId="412"/>
    <cellStyle name="SAPBEXresData" xfId="413"/>
    <cellStyle name="SAPBEXresDataEmph" xfId="414"/>
    <cellStyle name="SAPBEXresItem" xfId="415"/>
    <cellStyle name="SAPBEXresItemX" xfId="416"/>
    <cellStyle name="SAPBEXstdData" xfId="417"/>
    <cellStyle name="SAPBEXstdDataEmph" xfId="418"/>
    <cellStyle name="SAPBEXstdItem" xfId="419"/>
    <cellStyle name="SAPBEXstdItemX" xfId="420"/>
    <cellStyle name="SAPBEXtitle" xfId="421"/>
    <cellStyle name="SAPBEXundefined" xfId="422"/>
    <cellStyle name="section" xfId="423"/>
    <cellStyle name="section 2" xfId="424"/>
    <cellStyle name="SOR" xfId="425"/>
    <cellStyle name="SOR 2" xfId="426"/>
    <cellStyle name="Standard_AREAS" xfId="427"/>
    <cellStyle name="style" xfId="428"/>
    <cellStyle name="style 2" xfId="429"/>
    <cellStyle name="style1" xfId="430"/>
    <cellStyle name="style1 2" xfId="431"/>
    <cellStyle name="style2" xfId="432"/>
    <cellStyle name="style2 2" xfId="433"/>
    <cellStyle name="subhead" xfId="434"/>
    <cellStyle name="Subtotal" xfId="435"/>
    <cellStyle name="Text Indent A" xfId="436"/>
    <cellStyle name="Text Indent B" xfId="437"/>
    <cellStyle name="Text Indent C" xfId="438"/>
    <cellStyle name="Tickmark" xfId="439"/>
    <cellStyle name="Tickmark 2" xfId="440"/>
    <cellStyle name="title" xfId="441"/>
    <cellStyle name="title 2" xfId="442"/>
    <cellStyle name="Total" xfId="443"/>
    <cellStyle name="Tusental (0)_pldt" xfId="444"/>
    <cellStyle name="Tusental_pldt" xfId="445"/>
    <cellStyle name="Valuta (0)_pldt" xfId="446"/>
    <cellStyle name="Valuta_pldt" xfId="447"/>
    <cellStyle name="Warning Text" xfId="448"/>
    <cellStyle name="wrap" xfId="449"/>
    <cellStyle name="wrap 2" xfId="450"/>
    <cellStyle name="パーセント_laroux" xfId="451"/>
    <cellStyle name="_PLDT" xfId="452"/>
    <cellStyle name="_laroux" xfId="453"/>
    <cellStyle name="だ[0]_PLDT" xfId="454"/>
    <cellStyle name="だ_PLDT" xfId="455"/>
    <cellStyle name="だ[0]_Total (2)" xfId="456"/>
    <cellStyle name="だ_laroux" xfId="457"/>
    <cellStyle name="百分比" xfId="2" builtinId="5"/>
    <cellStyle name="百分比 2" xfId="458"/>
    <cellStyle name="百分比 2 2" xfId="459"/>
    <cellStyle name="百分比 3" xfId="460"/>
    <cellStyle name="百分比 4" xfId="461"/>
    <cellStyle name="捠壿 [0.00]_PRODUCT DETAIL Q1" xfId="462"/>
    <cellStyle name="捠壿_PRODUCT DETAIL Q1" xfId="463"/>
    <cellStyle name="標準_１１月価格表" xfId="464"/>
    <cellStyle name="表标题" xfId="465"/>
    <cellStyle name="差_10存货" xfId="466"/>
    <cellStyle name="差_19-无形资产（空白模板）" xfId="467"/>
    <cellStyle name="差_2-交易性金融资产（空白模板）" xfId="468"/>
    <cellStyle name="差_2应收账款" xfId="469"/>
    <cellStyle name="差_3-2 进一步审计程序-采购与付款循环" xfId="470"/>
    <cellStyle name="差_3-3 进一步审计程序-存货与生产循环" xfId="471"/>
    <cellStyle name="差_37-长期借款（空白模板）" xfId="472"/>
    <cellStyle name="差_49-营业收入（空白模板）" xfId="473"/>
    <cellStyle name="差_4-应收账款（空白模板）" xfId="474"/>
    <cellStyle name="差_50-营业成本（空白模板）" xfId="475"/>
    <cellStyle name="差_51-营业税金及附加（空白模板）" xfId="476"/>
    <cellStyle name="差_54-财务费用（空白模板）" xfId="477"/>
    <cellStyle name="差_55-资产减值损失（空白模板）" xfId="478"/>
    <cellStyle name="差_9管理费用" xfId="479"/>
    <cellStyle name="差_Book2" xfId="480"/>
    <cellStyle name="差_dxn底稿目录" xfId="481"/>
    <cellStyle name="差_Sheet1" xfId="482"/>
    <cellStyle name="差_StartUp" xfId="483"/>
    <cellStyle name="差_T1000-主营业务收入-LJCH" xfId="484"/>
    <cellStyle name="差_Z14-长期应收款（函证汇总表样本）" xfId="485"/>
    <cellStyle name="差_ZA0货币资金审定表 " xfId="486"/>
    <cellStyle name="差_财务费用" xfId="487"/>
    <cellStyle name="差_程序表模版" xfId="488"/>
    <cellStyle name="差_存货" xfId="489"/>
    <cellStyle name="差_大信底稿目录" xfId="490"/>
    <cellStyle name="差_底稿设置宏" xfId="491"/>
    <cellStyle name="差_管理费用" xfId="492"/>
    <cellStyle name="差_货币资金" xfId="493"/>
    <cellStyle name="差_货币资金 天职" xfId="494"/>
    <cellStyle name="差_货币资金 岳华" xfId="495"/>
    <cellStyle name="差_其他应付款" xfId="496"/>
    <cellStyle name="差_其他应付款—YH" xfId="497"/>
    <cellStyle name="差_未分配利润" xfId="498"/>
    <cellStyle name="差_无形资产" xfId="499"/>
    <cellStyle name="差_应付账款" xfId="500"/>
    <cellStyle name="差_应付职工薪酬" xfId="501"/>
    <cellStyle name="差_应收账款" xfId="502"/>
    <cellStyle name="差_盈余公积" xfId="503"/>
    <cellStyle name="差_长期应付款" xfId="504"/>
    <cellStyle name="差_账项明细表" xfId="505"/>
    <cellStyle name="差_资本公积" xfId="506"/>
    <cellStyle name="差_资产负债标准底稿" xfId="507"/>
    <cellStyle name="差_资产负债类底稿模版" xfId="508"/>
    <cellStyle name="差_子公司附注汇总(房开公司)" xfId="509"/>
    <cellStyle name="常规" xfId="0" builtinId="0"/>
    <cellStyle name="常规 10" xfId="510"/>
    <cellStyle name="常规 10 2" xfId="511"/>
    <cellStyle name="常规 11" xfId="512"/>
    <cellStyle name="常规 11 5" xfId="701"/>
    <cellStyle name="常规 2" xfId="513"/>
    <cellStyle name="常规 2 2" xfId="514"/>
    <cellStyle name="常规 2 2 2" xfId="515"/>
    <cellStyle name="常规 2 2 3" xfId="516"/>
    <cellStyle name="常规 2 2 4" xfId="517"/>
    <cellStyle name="常规 2 3" xfId="518"/>
    <cellStyle name="常规 2 3 2" xfId="519"/>
    <cellStyle name="常规 2 4" xfId="520"/>
    <cellStyle name="常规 2 4 2" xfId="521"/>
    <cellStyle name="常规 2 4 3" xfId="522"/>
    <cellStyle name="常规 2 5" xfId="523"/>
    <cellStyle name="常规 2 8" xfId="524"/>
    <cellStyle name="常规 2_10存货" xfId="525"/>
    <cellStyle name="常规 3" xfId="526"/>
    <cellStyle name="常规 3 2" xfId="527"/>
    <cellStyle name="常规 3 2 2" xfId="528"/>
    <cellStyle name="常规 3 2 3" xfId="529"/>
    <cellStyle name="常规 3 3" xfId="530"/>
    <cellStyle name="常规 3 4" xfId="531"/>
    <cellStyle name="常规 3_10存货" xfId="532"/>
    <cellStyle name="常规 4" xfId="533"/>
    <cellStyle name="常规 4 2" xfId="534"/>
    <cellStyle name="常规 4 3" xfId="535"/>
    <cellStyle name="常规 5" xfId="536"/>
    <cellStyle name="常规 5 2" xfId="537"/>
    <cellStyle name="常规 5 3" xfId="538"/>
    <cellStyle name="常规 6" xfId="539"/>
    <cellStyle name="常规 6 2" xfId="540"/>
    <cellStyle name="常规 6 2 2" xfId="541"/>
    <cellStyle name="常规 6 2 3" xfId="542"/>
    <cellStyle name="常规 6 2 3 2" xfId="543"/>
    <cellStyle name="常规 6 2 4" xfId="544"/>
    <cellStyle name="常规 6 3" xfId="545"/>
    <cellStyle name="常规 6 3 2" xfId="546"/>
    <cellStyle name="常规 6 3 2 2" xfId="547"/>
    <cellStyle name="常规 6 3 2 2 2" xfId="548"/>
    <cellStyle name="常规 6 3 2 3" xfId="549"/>
    <cellStyle name="常规 6 3 3" xfId="550"/>
    <cellStyle name="常规 6 3 3 2" xfId="551"/>
    <cellStyle name="常规 6 3 4" xfId="552"/>
    <cellStyle name="常规 6 4" xfId="553"/>
    <cellStyle name="常规 6 4 2" xfId="554"/>
    <cellStyle name="常规 6 4 2 2" xfId="555"/>
    <cellStyle name="常规 6 4 3" xfId="556"/>
    <cellStyle name="常规 6 5" xfId="557"/>
    <cellStyle name="常规 6 6" xfId="558"/>
    <cellStyle name="常规 6 6 2" xfId="559"/>
    <cellStyle name="常规 6 7" xfId="560"/>
    <cellStyle name="常规 7" xfId="561"/>
    <cellStyle name="常规 7 2" xfId="562"/>
    <cellStyle name="常规 7 2 2" xfId="563"/>
    <cellStyle name="常规 7 2 2 2" xfId="564"/>
    <cellStyle name="常规 7 2 3" xfId="565"/>
    <cellStyle name="常规 7 3" xfId="566"/>
    <cellStyle name="常规 7 3 2" xfId="567"/>
    <cellStyle name="常规 7 4" xfId="568"/>
    <cellStyle name="常规 8" xfId="569"/>
    <cellStyle name="常规 9" xfId="570"/>
    <cellStyle name="常规 9 2" xfId="571"/>
    <cellStyle name="常规_Book1" xfId="572"/>
    <cellStyle name="常规_c-资产类" xfId="573"/>
    <cellStyle name="常规_sheet" xfId="574"/>
    <cellStyle name="常规_新审定表" xfId="575"/>
    <cellStyle name="常规_制造费用" xfId="576"/>
    <cellStyle name="常规_制造费用 2" xfId="577"/>
    <cellStyle name="超级链接_A4应收账款" xfId="578"/>
    <cellStyle name="超链接" xfId="3" builtinId="8"/>
    <cellStyle name="超链接 2" xfId="579"/>
    <cellStyle name="超链接 2 2" xfId="580"/>
    <cellStyle name="超链接 2 3" xfId="581"/>
    <cellStyle name="超链接 3" xfId="582"/>
    <cellStyle name="超链接 4" xfId="583"/>
    <cellStyle name="分级显示行_1_4附件二凯旋评估表" xfId="584"/>
    <cellStyle name="好_10存货" xfId="585"/>
    <cellStyle name="好_19-无形资产（空白模板）" xfId="586"/>
    <cellStyle name="好_1财务费用" xfId="587"/>
    <cellStyle name="好_1营业收入" xfId="588"/>
    <cellStyle name="好_1资产减值损失" xfId="589"/>
    <cellStyle name="好_2-交易性金融资产（空白模板）" xfId="590"/>
    <cellStyle name="好_2应收账款" xfId="591"/>
    <cellStyle name="好_3-2 进一步审计程序-采购与付款循环" xfId="592"/>
    <cellStyle name="好_3-3 进一步审计程序-存货与生产循环" xfId="593"/>
    <cellStyle name="好_37-长期借款（空白模板）" xfId="594"/>
    <cellStyle name="好_49-营业收入（空白模板）" xfId="595"/>
    <cellStyle name="好_4-应收账款（空白模板）" xfId="596"/>
    <cellStyle name="好_50-营业成本（空白模板）" xfId="597"/>
    <cellStyle name="好_51-营业税金及附加（空白模板）" xfId="598"/>
    <cellStyle name="好_54-财务费用（空白模板）" xfId="599"/>
    <cellStyle name="好_55-资产减值损失（空白模板）" xfId="600"/>
    <cellStyle name="好_9管理费用" xfId="601"/>
    <cellStyle name="好_Book2" xfId="602"/>
    <cellStyle name="好_Sheet1" xfId="603"/>
    <cellStyle name="好_StartUp" xfId="604"/>
    <cellStyle name="好_T1000-主营业务收入" xfId="605"/>
    <cellStyle name="好_Z14-长期应收款（函证汇总表样本）" xfId="606"/>
    <cellStyle name="好_ZA0货币资金审定表 " xfId="607"/>
    <cellStyle name="好_财务费用" xfId="608"/>
    <cellStyle name="好_程序表模版" xfId="609"/>
    <cellStyle name="好_存货" xfId="610"/>
    <cellStyle name="好_存货 - 复制" xfId="611"/>
    <cellStyle name="好_大信底稿目录" xfId="612"/>
    <cellStyle name="好_底稿设置宏" xfId="613"/>
    <cellStyle name="好_底稿设置宏_大信底稿目录" xfId="614"/>
    <cellStyle name="好_管理费用" xfId="615"/>
    <cellStyle name="好_货币资金" xfId="616"/>
    <cellStyle name="好_货币资金 天职" xfId="617"/>
    <cellStyle name="好_货币资金 岳华" xfId="618"/>
    <cellStyle name="好_其他应付款" xfId="619"/>
    <cellStyle name="好_其他应付款—YH" xfId="620"/>
    <cellStyle name="好_其他应收款" xfId="621"/>
    <cellStyle name="好_实收资本(股本)" xfId="622"/>
    <cellStyle name="好_未分配利润" xfId="623"/>
    <cellStyle name="好_无形资产" xfId="624"/>
    <cellStyle name="好_银行函证结果汇总表" xfId="625"/>
    <cellStyle name="好_应付债券" xfId="626"/>
    <cellStyle name="好_应付账款" xfId="627"/>
    <cellStyle name="好_应付职工薪酬" xfId="628"/>
    <cellStyle name="好_应收利息" xfId="629"/>
    <cellStyle name="好_应收账款" xfId="630"/>
    <cellStyle name="好_盈余公积" xfId="631"/>
    <cellStyle name="好_营业收入" xfId="632"/>
    <cellStyle name="好_预收款项" xfId="633"/>
    <cellStyle name="好_长期借款—TZ" xfId="634"/>
    <cellStyle name="好_长期应付款" xfId="635"/>
    <cellStyle name="好_账项明细表" xfId="636"/>
    <cellStyle name="好_资本公积" xfId="637"/>
    <cellStyle name="好_资产负债标准底稿" xfId="638"/>
    <cellStyle name="好_资产负债标准底稿_大信底稿目录" xfId="639"/>
    <cellStyle name="好_资产负债类底稿模版" xfId="640"/>
    <cellStyle name="好_资产负债类底稿模版_大信底稿目录" xfId="641"/>
    <cellStyle name="好_资产减值损失" xfId="642"/>
    <cellStyle name="好_子公司附注汇总(房开公司)" xfId="643"/>
    <cellStyle name="桁区切り [0.00]_１１月価格表" xfId="644"/>
    <cellStyle name="桁区切り_１１月価格表" xfId="645"/>
    <cellStyle name="貨幣 [0]_SGV" xfId="646"/>
    <cellStyle name="貨幣_SGV" xfId="647"/>
    <cellStyle name="霓付 [0]_1202" xfId="648"/>
    <cellStyle name="霓付_1202" xfId="649"/>
    <cellStyle name="妞" xfId="650"/>
    <cellStyle name="欧" xfId="651"/>
    <cellStyle name="烹拳 [0]_1202" xfId="652"/>
    <cellStyle name="烹拳_1202" xfId="653"/>
    <cellStyle name="砯刽 [0]_PLDT" xfId="654"/>
    <cellStyle name="砯刽_PLDT" xfId="655"/>
    <cellStyle name="普通_ 白土" xfId="656"/>
    <cellStyle name="千分位[0]_ 白土" xfId="657"/>
    <cellStyle name="千分位_ 白土" xfId="658"/>
    <cellStyle name="千位[0]_ 应交税金审定表" xfId="659"/>
    <cellStyle name="千位_ 应交税金审定表" xfId="660"/>
    <cellStyle name="千位分隔" xfId="1" builtinId="3"/>
    <cellStyle name="千位分隔 2" xfId="661"/>
    <cellStyle name="千位分隔 2 2" xfId="662"/>
    <cellStyle name="千位分隔 2 2 2" xfId="663"/>
    <cellStyle name="千位分隔 2 3" xfId="664"/>
    <cellStyle name="千位分隔 2 3 2" xfId="665"/>
    <cellStyle name="千位分隔 2 4" xfId="666"/>
    <cellStyle name="千位分隔 3" xfId="667"/>
    <cellStyle name="千位分隔 3 2" xfId="668"/>
    <cellStyle name="千位分隔 3 2 2" xfId="669"/>
    <cellStyle name="千位分隔 3 3" xfId="670"/>
    <cellStyle name="千位分隔 3 3 2" xfId="671"/>
    <cellStyle name="千位分隔 4" xfId="672"/>
    <cellStyle name="千位分隔 4 2" xfId="673"/>
    <cellStyle name="千位分隔 5" xfId="674"/>
    <cellStyle name="千位分隔 5 2" xfId="675"/>
    <cellStyle name="千位分隔 6" xfId="676"/>
    <cellStyle name="千位分隔 6 2" xfId="677"/>
    <cellStyle name="千位分隔 7" xfId="678"/>
    <cellStyle name="千位分隔 7 2" xfId="679"/>
    <cellStyle name="千位分隔 8" xfId="680"/>
    <cellStyle name="千位分隔[0] 2" xfId="681"/>
    <cellStyle name="千位分隔[0] 2 2" xfId="682"/>
    <cellStyle name="钎霖_(沥焊何巩)岿喊牢盔拌裙" xfId="683"/>
    <cellStyle name="强调 1" xfId="684"/>
    <cellStyle name="强调 2" xfId="685"/>
    <cellStyle name="强调 3" xfId="686"/>
    <cellStyle name="通貨 [0.00]_１１月価格表" xfId="687"/>
    <cellStyle name="通貨_１１月価格表" xfId="688"/>
    <cellStyle name="样式 1" xfId="689"/>
    <cellStyle name="样式 1 2" xfId="690"/>
    <cellStyle name="一般_SGV" xfId="691"/>
    <cellStyle name="昗弨_BOOKSHIP" xfId="692"/>
    <cellStyle name="寘嬫愗傝 [0.00]_PRODUCT DETAIL Q1" xfId="693"/>
    <cellStyle name="寘嬫愗傝_PRODUCT DETAIL Q1" xfId="694"/>
    <cellStyle name="资产" xfId="695"/>
    <cellStyle name="콤마 [0]_BOILER-CO1" xfId="696"/>
    <cellStyle name="콤마_BOILER-CO1" xfId="697"/>
    <cellStyle name="통화 [0]_BOILER-CO1" xfId="698"/>
    <cellStyle name="통화_BOILER-CO1" xfId="699"/>
    <cellStyle name="표준_0N-HANDLING " xfId="700"/>
  </cellStyles>
  <dxfs count="0"/>
  <tableStyles count="0" defaultTableStyle="TableStyleMedium9" defaultPivotStyle="PivotStyleLight16"/>
  <colors>
    <mruColors>
      <color rgb="FF0000FF"/>
      <color rgb="FFE4DFEC"/>
      <color rgb="FFFFFF99"/>
      <color rgb="FFDCD5E5"/>
      <color rgb="FFE92841"/>
      <color rgb="FFCCEDF0"/>
      <color rgb="FFEBF7D6"/>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zoomScaleNormal="100" zoomScaleSheetLayoutView="100" workbookViewId="0"/>
  </sheetViews>
  <sheetFormatPr defaultColWidth="9" defaultRowHeight="20.100000000000001" customHeight="1"/>
  <cols>
    <col min="1" max="1" width="73.3984375" style="14" customWidth="1"/>
    <col min="2" max="2" width="2" style="14" customWidth="1"/>
    <col min="3" max="3" width="2.09765625" style="14" customWidth="1"/>
    <col min="4" max="4" width="6.09765625" style="14" customWidth="1"/>
    <col min="5" max="5" width="22.5" style="14" customWidth="1"/>
    <col min="6" max="6" width="8.3984375" style="14" customWidth="1"/>
    <col min="7" max="7" width="14.69921875" style="14" customWidth="1"/>
    <col min="8" max="16384" width="9" style="14"/>
  </cols>
  <sheetData>
    <row r="1" spans="1:8" ht="20.100000000000001" customHeight="1">
      <c r="A1" s="411" t="s">
        <v>0</v>
      </c>
    </row>
    <row r="2" spans="1:8" ht="20.100000000000001" customHeight="1">
      <c r="A2" s="442" t="s">
        <v>1</v>
      </c>
      <c r="B2" s="443"/>
      <c r="C2" s="443"/>
      <c r="G2" s="443"/>
      <c r="H2" s="443"/>
    </row>
    <row r="3" spans="1:8" ht="20.100000000000001" customHeight="1">
      <c r="A3" s="448" t="s">
        <v>481</v>
      </c>
      <c r="B3" s="443"/>
      <c r="C3" s="443"/>
      <c r="D3" s="412" t="s">
        <v>2</v>
      </c>
      <c r="E3" s="412" t="s">
        <v>3</v>
      </c>
      <c r="F3" s="412" t="s">
        <v>4</v>
      </c>
      <c r="G3" s="443"/>
      <c r="H3" s="443"/>
    </row>
    <row r="4" spans="1:8" ht="20.100000000000001" customHeight="1">
      <c r="A4" s="442" t="s">
        <v>5</v>
      </c>
      <c r="D4" s="444">
        <v>1</v>
      </c>
      <c r="E4" s="457" t="s">
        <v>6</v>
      </c>
      <c r="F4" s="444" t="s">
        <v>7</v>
      </c>
    </row>
    <row r="5" spans="1:8" ht="20.100000000000001" customHeight="1">
      <c r="A5" s="442" t="s">
        <v>8</v>
      </c>
      <c r="D5" s="444">
        <v>2</v>
      </c>
      <c r="E5" s="457" t="s">
        <v>9</v>
      </c>
      <c r="F5" s="444" t="s">
        <v>10</v>
      </c>
    </row>
    <row r="6" spans="1:8" ht="20.100000000000001" customHeight="1">
      <c r="A6" s="442" t="s">
        <v>11</v>
      </c>
      <c r="D6" s="444">
        <v>3</v>
      </c>
      <c r="E6" s="457" t="s">
        <v>12</v>
      </c>
      <c r="F6" s="444"/>
      <c r="G6" s="445" t="s">
        <v>13</v>
      </c>
    </row>
    <row r="7" spans="1:8" ht="20.100000000000001" customHeight="1">
      <c r="A7" s="442" t="s">
        <v>14</v>
      </c>
      <c r="D7" s="444">
        <v>4</v>
      </c>
      <c r="E7" s="457" t="s">
        <v>15</v>
      </c>
      <c r="F7" s="444"/>
      <c r="G7" s="445" t="s">
        <v>13</v>
      </c>
    </row>
    <row r="8" spans="1:8" ht="20.100000000000001" customHeight="1">
      <c r="D8" s="444">
        <v>5</v>
      </c>
      <c r="E8" s="457" t="s">
        <v>16</v>
      </c>
      <c r="F8" s="444" t="s">
        <v>17</v>
      </c>
    </row>
    <row r="9" spans="1:8" ht="20.100000000000001" customHeight="1">
      <c r="A9" s="449" t="s">
        <v>482</v>
      </c>
      <c r="D9" s="444">
        <v>6</v>
      </c>
      <c r="E9" s="457" t="s">
        <v>18</v>
      </c>
      <c r="F9" s="444" t="s">
        <v>19</v>
      </c>
    </row>
    <row r="10" spans="1:8" ht="20.100000000000001" customHeight="1">
      <c r="A10" s="458" t="s">
        <v>483</v>
      </c>
      <c r="D10" s="444">
        <v>7</v>
      </c>
      <c r="E10" s="457" t="s">
        <v>20</v>
      </c>
      <c r="F10" s="444" t="s">
        <v>21</v>
      </c>
    </row>
    <row r="11" spans="1:8" ht="20.100000000000001" customHeight="1">
      <c r="A11" s="458"/>
    </row>
    <row r="12" spans="1:8" ht="20.100000000000001" customHeight="1">
      <c r="A12" s="458"/>
    </row>
    <row r="13" spans="1:8" ht="18.75" customHeight="1">
      <c r="A13" s="458"/>
    </row>
    <row r="14" spans="1:8" ht="18.75" customHeight="1">
      <c r="A14" s="458" t="s">
        <v>484</v>
      </c>
    </row>
    <row r="15" spans="1:8" ht="22.5" customHeight="1">
      <c r="A15" s="458"/>
    </row>
    <row r="16" spans="1:8" ht="20.100000000000001" customHeight="1">
      <c r="A16" s="458"/>
    </row>
    <row r="17" spans="1:1" ht="20.100000000000001" customHeight="1">
      <c r="A17" s="459" t="s">
        <v>485</v>
      </c>
    </row>
    <row r="18" spans="1:1" ht="12">
      <c r="A18" s="459"/>
    </row>
    <row r="19" spans="1:1" ht="12">
      <c r="A19" s="459"/>
    </row>
  </sheetData>
  <mergeCells count="3">
    <mergeCell ref="A10:A13"/>
    <mergeCell ref="A14:A16"/>
    <mergeCell ref="A17:A19"/>
  </mergeCells>
  <phoneticPr fontId="168" type="noConversion"/>
  <hyperlinks>
    <hyperlink ref="E5" location="'审定表D2-1'!A1" display="应收账款审定表"/>
    <hyperlink ref="E6" location="'附注披露信息(上市公司)'!A1" display="附注披露信息（上市公司）"/>
    <hyperlink ref="E8" location="'明细表D2-2'!A1" display="明细表"/>
    <hyperlink ref="E4" location="应收账款实质性程序表D2A!A1" display="应收账款实质性程序表"/>
    <hyperlink ref="E10" location="'调整分录汇总表D2-4'!A1" display="调整分录汇总表"/>
    <hyperlink ref="E7" location="'附注披露信息(国企)'!A1" display="附注披露信息(国企)"/>
    <hyperlink ref="E9" location="'坏账准备明细表D2-3'!A1" display="坏账准备明细表"/>
  </hyperlinks>
  <pageMargins left="0.70866141732283472" right="0.70866141732283472" top="0.74803149606299213" bottom="0.74803149606299213" header="0.31496062992125984" footer="0.31496062992125984"/>
  <pageSetup paperSize="9" scale="45" orientation="landscape" blackAndWhite="1"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J44"/>
  <sheetViews>
    <sheetView view="pageBreakPreview" zoomScaleNormal="100" workbookViewId="0">
      <selection sqref="A1:I1"/>
    </sheetView>
  </sheetViews>
  <sheetFormatPr defaultColWidth="9" defaultRowHeight="20.100000000000001" customHeight="1"/>
  <cols>
    <col min="1" max="1" width="4.8984375" style="1" customWidth="1"/>
    <col min="2" max="2" width="60.8984375" style="1" customWidth="1"/>
    <col min="3" max="3" width="10.59765625" style="1" customWidth="1"/>
    <col min="4" max="4" width="5.69921875" style="1" customWidth="1"/>
    <col min="5" max="5" width="6.69921875" style="1" customWidth="1"/>
    <col min="6" max="6" width="6.59765625" style="1" customWidth="1"/>
    <col min="7" max="7" width="7.296875" style="1" customWidth="1"/>
    <col min="8" max="8" width="5.296875" style="1" customWidth="1"/>
    <col min="9" max="9" width="7" style="1" customWidth="1"/>
    <col min="10" max="10" width="54.8984375" style="1" customWidth="1"/>
    <col min="11" max="16384" width="9" style="1"/>
  </cols>
  <sheetData>
    <row r="1" spans="1:10" ht="20.100000000000001" customHeight="1">
      <c r="A1" s="471" t="s">
        <v>22</v>
      </c>
      <c r="B1" s="471"/>
      <c r="C1" s="471"/>
      <c r="D1" s="471"/>
      <c r="E1" s="471"/>
      <c r="F1" s="471"/>
      <c r="G1" s="471"/>
      <c r="H1" s="471"/>
      <c r="I1" s="471"/>
    </row>
    <row r="2" spans="1:10" ht="20.100000000000001" customHeight="1">
      <c r="A2" s="472" t="s">
        <v>6</v>
      </c>
      <c r="B2" s="472"/>
      <c r="C2" s="472"/>
      <c r="D2" s="472"/>
      <c r="E2" s="472"/>
      <c r="F2" s="472"/>
      <c r="G2" s="472"/>
      <c r="H2" s="472"/>
      <c r="I2" s="472"/>
    </row>
    <row r="3" spans="1:10" ht="20.100000000000001" customHeight="1">
      <c r="A3" s="473" t="str">
        <f>底稿目录!A2</f>
        <v>被审计单位名称：</v>
      </c>
      <c r="B3" s="473"/>
      <c r="C3" s="14" t="str">
        <f>底稿目录!A4</f>
        <v>编制人：</v>
      </c>
      <c r="D3" s="14"/>
      <c r="E3" s="14"/>
      <c r="F3" s="403" t="str">
        <f>底稿目录!A5</f>
        <v>编制日期：</v>
      </c>
      <c r="G3" s="14"/>
      <c r="H3" s="404" t="s">
        <v>23</v>
      </c>
      <c r="I3" s="456" t="s">
        <v>7</v>
      </c>
    </row>
    <row r="4" spans="1:10" ht="20.100000000000001" customHeight="1">
      <c r="A4" s="473" t="str">
        <f>底稿目录!A3</f>
        <v>截止日：202X年12月31日</v>
      </c>
      <c r="B4" s="473"/>
      <c r="C4" s="14" t="str">
        <f>底稿目录!A6</f>
        <v>复核人：</v>
      </c>
      <c r="D4" s="14"/>
      <c r="E4" s="14"/>
      <c r="F4" s="403" t="str">
        <f>底稿目录!A7</f>
        <v>复核日期：</v>
      </c>
      <c r="G4" s="14"/>
      <c r="H4" s="404" t="s">
        <v>24</v>
      </c>
    </row>
    <row r="5" spans="1:10" ht="20.100000000000001" customHeight="1">
      <c r="A5" s="463" t="s">
        <v>25</v>
      </c>
      <c r="B5" s="463"/>
      <c r="C5" s="406"/>
      <c r="D5" s="406"/>
      <c r="E5" s="406"/>
      <c r="F5" s="407"/>
      <c r="G5" s="406"/>
      <c r="H5" s="406"/>
      <c r="I5" s="435"/>
    </row>
    <row r="6" spans="1:10" ht="20.100000000000001" customHeight="1">
      <c r="A6" s="469" t="s">
        <v>26</v>
      </c>
      <c r="B6" s="469"/>
      <c r="C6" s="469"/>
      <c r="D6" s="408"/>
      <c r="E6" s="408"/>
      <c r="F6" s="408"/>
      <c r="G6" s="408"/>
      <c r="H6" s="14"/>
      <c r="I6" s="14"/>
    </row>
    <row r="7" spans="1:10" ht="20.100000000000001" customHeight="1">
      <c r="A7" s="409" t="s">
        <v>27</v>
      </c>
      <c r="B7" s="405"/>
      <c r="C7" s="410"/>
      <c r="D7" s="14"/>
      <c r="E7" s="14"/>
      <c r="F7" s="403"/>
      <c r="G7" s="14"/>
      <c r="H7" s="14"/>
      <c r="I7" s="411"/>
    </row>
    <row r="8" spans="1:10" ht="19.95" customHeight="1">
      <c r="A8" s="470" t="s">
        <v>28</v>
      </c>
      <c r="B8" s="470"/>
      <c r="C8" s="470"/>
      <c r="D8" s="470"/>
      <c r="E8" s="470"/>
      <c r="F8" s="470"/>
      <c r="G8" s="461" t="s">
        <v>29</v>
      </c>
      <c r="H8" s="461"/>
      <c r="I8" s="461"/>
    </row>
    <row r="9" spans="1:10" ht="19.95" customHeight="1">
      <c r="A9" s="467" t="s">
        <v>470</v>
      </c>
      <c r="B9" s="468"/>
      <c r="C9" s="468"/>
      <c r="D9" s="468"/>
      <c r="E9" s="468"/>
      <c r="F9" s="468"/>
      <c r="G9" s="462" t="s">
        <v>30</v>
      </c>
      <c r="H9" s="462"/>
      <c r="I9" s="462"/>
    </row>
    <row r="10" spans="1:10" ht="19.95" customHeight="1">
      <c r="A10" s="467" t="s">
        <v>471</v>
      </c>
      <c r="B10" s="468"/>
      <c r="C10" s="468"/>
      <c r="D10" s="468"/>
      <c r="E10" s="468"/>
      <c r="F10" s="468"/>
      <c r="G10" s="462" t="s">
        <v>31</v>
      </c>
      <c r="H10" s="462"/>
      <c r="I10" s="462"/>
    </row>
    <row r="11" spans="1:10" ht="19.95" customHeight="1">
      <c r="A11" s="467" t="s">
        <v>472</v>
      </c>
      <c r="B11" s="468"/>
      <c r="C11" s="468"/>
      <c r="D11" s="468"/>
      <c r="E11" s="468"/>
      <c r="F11" s="468"/>
      <c r="G11" s="462" t="s">
        <v>32</v>
      </c>
      <c r="H11" s="462"/>
      <c r="I11" s="462"/>
    </row>
    <row r="12" spans="1:10" ht="19.95" customHeight="1">
      <c r="A12" s="468" t="s">
        <v>33</v>
      </c>
      <c r="B12" s="468"/>
      <c r="C12" s="468"/>
      <c r="D12" s="468"/>
      <c r="E12" s="468"/>
      <c r="F12" s="468"/>
      <c r="G12" s="462" t="s">
        <v>34</v>
      </c>
      <c r="H12" s="462"/>
      <c r="I12" s="462"/>
    </row>
    <row r="13" spans="1:10" ht="19.95" customHeight="1">
      <c r="A13" s="467" t="s">
        <v>473</v>
      </c>
      <c r="B13" s="468"/>
      <c r="C13" s="468"/>
      <c r="D13" s="468"/>
      <c r="E13" s="468"/>
      <c r="F13" s="468"/>
      <c r="G13" s="462" t="s">
        <v>35</v>
      </c>
      <c r="H13" s="462"/>
      <c r="I13" s="462"/>
    </row>
    <row r="14" spans="1:10" ht="20.100000000000001" customHeight="1">
      <c r="A14" s="463" t="s">
        <v>36</v>
      </c>
      <c r="B14" s="463"/>
      <c r="C14" s="410"/>
      <c r="I14" s="411"/>
    </row>
    <row r="15" spans="1:10" ht="20.100000000000001" customHeight="1">
      <c r="A15" s="465" t="s">
        <v>2</v>
      </c>
      <c r="B15" s="466" t="s">
        <v>487</v>
      </c>
      <c r="C15" s="460" t="s">
        <v>37</v>
      </c>
      <c r="D15" s="464" t="s">
        <v>28</v>
      </c>
      <c r="E15" s="464"/>
      <c r="F15" s="464"/>
      <c r="G15" s="464"/>
      <c r="H15" s="464"/>
      <c r="I15" s="460" t="s">
        <v>38</v>
      </c>
    </row>
    <row r="16" spans="1:10" ht="35.25" customHeight="1">
      <c r="A16" s="465"/>
      <c r="B16" s="466"/>
      <c r="C16" s="460"/>
      <c r="D16" s="414" t="s">
        <v>30</v>
      </c>
      <c r="E16" s="414" t="s">
        <v>31</v>
      </c>
      <c r="F16" s="414" t="s">
        <v>32</v>
      </c>
      <c r="G16" s="415" t="s">
        <v>34</v>
      </c>
      <c r="H16" s="414" t="s">
        <v>35</v>
      </c>
      <c r="I16" s="460"/>
      <c r="J16" s="450" t="s">
        <v>486</v>
      </c>
    </row>
    <row r="17" spans="1:10" ht="134.25" customHeight="1">
      <c r="A17" s="416" t="s">
        <v>39</v>
      </c>
      <c r="B17" s="413" t="s">
        <v>474</v>
      </c>
      <c r="C17" s="417" t="s">
        <v>40</v>
      </c>
      <c r="D17" s="418" t="s">
        <v>41</v>
      </c>
      <c r="E17" s="418" t="s">
        <v>41</v>
      </c>
      <c r="F17" s="419"/>
      <c r="G17" s="420" t="s">
        <v>41</v>
      </c>
      <c r="H17" s="419"/>
      <c r="I17" s="429" t="s">
        <v>42</v>
      </c>
    </row>
    <row r="18" spans="1:10" ht="51.6" customHeight="1">
      <c r="A18" s="416" t="s">
        <v>43</v>
      </c>
      <c r="B18" s="421" t="s">
        <v>44</v>
      </c>
      <c r="C18" s="422" t="s">
        <v>40</v>
      </c>
      <c r="D18" s="419"/>
      <c r="E18" s="420" t="s">
        <v>41</v>
      </c>
      <c r="F18" s="419"/>
      <c r="G18" s="418" t="s">
        <v>41</v>
      </c>
      <c r="H18" s="419"/>
      <c r="I18" s="436" t="s">
        <v>45</v>
      </c>
      <c r="J18" s="437" t="s">
        <v>46</v>
      </c>
    </row>
    <row r="19" spans="1:10" ht="41.4" customHeight="1">
      <c r="A19" s="416" t="s">
        <v>47</v>
      </c>
      <c r="B19" s="423" t="s">
        <v>48</v>
      </c>
      <c r="C19" s="417" t="s">
        <v>49</v>
      </c>
      <c r="D19" s="420" t="s">
        <v>41</v>
      </c>
      <c r="E19" s="418" t="s">
        <v>41</v>
      </c>
      <c r="F19" s="418" t="s">
        <v>41</v>
      </c>
      <c r="G19" s="418" t="s">
        <v>41</v>
      </c>
      <c r="H19" s="419"/>
      <c r="I19" s="438"/>
      <c r="J19" s="437" t="s">
        <v>50</v>
      </c>
    </row>
    <row r="20" spans="1:10" ht="67.8" customHeight="1">
      <c r="A20" s="416" t="s">
        <v>51</v>
      </c>
      <c r="B20" s="424" t="s">
        <v>52</v>
      </c>
      <c r="C20" s="422" t="s">
        <v>40</v>
      </c>
      <c r="D20" s="425"/>
      <c r="E20" s="425"/>
      <c r="F20" s="425"/>
      <c r="G20" s="426" t="s">
        <v>53</v>
      </c>
      <c r="H20" s="425"/>
      <c r="I20" s="429" t="s">
        <v>17</v>
      </c>
      <c r="J20" s="439"/>
    </row>
    <row r="21" spans="1:10" ht="81" customHeight="1">
      <c r="A21" s="416" t="s">
        <v>54</v>
      </c>
      <c r="B21" s="424" t="s">
        <v>55</v>
      </c>
      <c r="C21" s="422" t="s">
        <v>40</v>
      </c>
      <c r="D21" s="426" t="s">
        <v>53</v>
      </c>
      <c r="E21" s="427"/>
      <c r="F21" s="427"/>
      <c r="G21" s="427" t="s">
        <v>56</v>
      </c>
      <c r="H21" s="425"/>
      <c r="I21" s="429" t="s">
        <v>57</v>
      </c>
    </row>
    <row r="22" spans="1:10" ht="198" customHeight="1">
      <c r="A22" s="416" t="s">
        <v>58</v>
      </c>
      <c r="B22" s="428" t="s">
        <v>59</v>
      </c>
      <c r="C22" s="422" t="s">
        <v>40</v>
      </c>
      <c r="D22" s="426" t="s">
        <v>53</v>
      </c>
      <c r="E22" s="427" t="s">
        <v>56</v>
      </c>
      <c r="F22" s="426" t="s">
        <v>53</v>
      </c>
      <c r="G22" s="427" t="s">
        <v>56</v>
      </c>
      <c r="H22" s="429"/>
      <c r="I22" s="429" t="s">
        <v>60</v>
      </c>
      <c r="J22" s="440"/>
    </row>
    <row r="23" spans="1:10" ht="120.75" customHeight="1">
      <c r="A23" s="416" t="s">
        <v>61</v>
      </c>
      <c r="B23" s="413" t="s">
        <v>479</v>
      </c>
      <c r="C23" s="431" t="s">
        <v>40</v>
      </c>
      <c r="D23" s="420" t="s">
        <v>41</v>
      </c>
      <c r="E23" s="418" t="s">
        <v>41</v>
      </c>
      <c r="F23" s="418" t="s">
        <v>41</v>
      </c>
      <c r="G23" s="420" t="s">
        <v>41</v>
      </c>
      <c r="H23" s="418" t="s">
        <v>41</v>
      </c>
      <c r="I23" s="429" t="s">
        <v>476</v>
      </c>
    </row>
    <row r="24" spans="1:10" ht="39.75" customHeight="1">
      <c r="A24" s="416" t="s">
        <v>64</v>
      </c>
      <c r="B24" s="413" t="s">
        <v>62</v>
      </c>
      <c r="C24" s="417" t="s">
        <v>40</v>
      </c>
      <c r="D24" s="420" t="s">
        <v>41</v>
      </c>
      <c r="E24" s="419"/>
      <c r="F24" s="418" t="s">
        <v>41</v>
      </c>
      <c r="G24" s="418" t="s">
        <v>41</v>
      </c>
      <c r="H24" s="419"/>
      <c r="I24" s="441" t="s">
        <v>63</v>
      </c>
    </row>
    <row r="25" spans="1:10" ht="32.700000000000003" customHeight="1">
      <c r="A25" s="416" t="s">
        <v>66</v>
      </c>
      <c r="B25" s="413" t="s">
        <v>65</v>
      </c>
      <c r="C25" s="417" t="s">
        <v>40</v>
      </c>
      <c r="D25" s="426" t="s">
        <v>53</v>
      </c>
      <c r="E25" s="430"/>
      <c r="F25" s="418" t="s">
        <v>41</v>
      </c>
      <c r="G25" s="430"/>
      <c r="H25" s="429"/>
      <c r="I25" s="441" t="s">
        <v>63</v>
      </c>
    </row>
    <row r="26" spans="1:10" ht="105.6" customHeight="1">
      <c r="A26" s="416" t="s">
        <v>67</v>
      </c>
      <c r="B26" s="432" t="s">
        <v>68</v>
      </c>
      <c r="C26" s="417" t="s">
        <v>40</v>
      </c>
      <c r="D26" s="430"/>
      <c r="E26" s="430"/>
      <c r="F26" s="430"/>
      <c r="G26" s="426" t="s">
        <v>53</v>
      </c>
      <c r="H26" s="429"/>
      <c r="I26" s="429" t="s">
        <v>69</v>
      </c>
    </row>
    <row r="27" spans="1:10" ht="43.2" customHeight="1">
      <c r="A27" s="416" t="s">
        <v>70</v>
      </c>
      <c r="B27" s="413" t="s">
        <v>71</v>
      </c>
      <c r="C27" s="417" t="s">
        <v>40</v>
      </c>
      <c r="D27" s="426"/>
      <c r="E27" s="430"/>
      <c r="F27" s="430"/>
      <c r="G27" s="426" t="s">
        <v>53</v>
      </c>
      <c r="H27" s="429"/>
      <c r="I27" s="429"/>
    </row>
    <row r="28" spans="1:10" ht="98.25" customHeight="1">
      <c r="A28" s="416" t="s">
        <v>72</v>
      </c>
      <c r="B28" s="413" t="s">
        <v>75</v>
      </c>
      <c r="C28" s="433" t="s">
        <v>73</v>
      </c>
      <c r="D28" s="426" t="s">
        <v>53</v>
      </c>
      <c r="E28" s="429"/>
      <c r="F28" s="429"/>
      <c r="G28" s="429"/>
      <c r="H28" s="429"/>
      <c r="I28" s="429"/>
    </row>
    <row r="29" spans="1:10" ht="45.6" customHeight="1">
      <c r="A29" s="416" t="s">
        <v>74</v>
      </c>
      <c r="B29" s="413" t="s">
        <v>77</v>
      </c>
      <c r="C29" s="433" t="s">
        <v>73</v>
      </c>
      <c r="D29" s="426" t="s">
        <v>53</v>
      </c>
      <c r="E29" s="429"/>
      <c r="F29" s="429"/>
      <c r="G29" s="429"/>
      <c r="H29" s="429"/>
      <c r="I29" s="429"/>
    </row>
    <row r="30" spans="1:10" ht="67.8" customHeight="1">
      <c r="A30" s="416" t="s">
        <v>76</v>
      </c>
      <c r="B30" s="413" t="s">
        <v>475</v>
      </c>
      <c r="C30" s="433" t="s">
        <v>73</v>
      </c>
      <c r="D30" s="420" t="s">
        <v>41</v>
      </c>
      <c r="E30" s="418" t="s">
        <v>41</v>
      </c>
      <c r="F30" s="418" t="s">
        <v>41</v>
      </c>
      <c r="G30" s="420" t="s">
        <v>41</v>
      </c>
      <c r="H30" s="418"/>
      <c r="I30" s="447" t="s">
        <v>480</v>
      </c>
    </row>
    <row r="31" spans="1:10" ht="40.200000000000003" customHeight="1">
      <c r="A31" s="416" t="s">
        <v>78</v>
      </c>
      <c r="B31" s="413" t="s">
        <v>478</v>
      </c>
      <c r="C31" s="417" t="s">
        <v>49</v>
      </c>
      <c r="D31" s="430"/>
      <c r="E31" s="420" t="s">
        <v>41</v>
      </c>
      <c r="F31" s="426" t="s">
        <v>53</v>
      </c>
      <c r="G31" s="430"/>
      <c r="H31" s="429"/>
      <c r="I31" s="429" t="s">
        <v>79</v>
      </c>
    </row>
    <row r="32" spans="1:10" ht="29.25" customHeight="1">
      <c r="A32" s="416" t="s">
        <v>80</v>
      </c>
      <c r="B32" s="413" t="s">
        <v>81</v>
      </c>
      <c r="C32" s="417" t="s">
        <v>40</v>
      </c>
      <c r="D32" s="430"/>
      <c r="E32" s="430"/>
      <c r="F32" s="426" t="s">
        <v>53</v>
      </c>
      <c r="G32" s="430"/>
      <c r="H32" s="429"/>
      <c r="I32" s="429" t="s">
        <v>79</v>
      </c>
    </row>
    <row r="33" spans="1:9" ht="25.8" customHeight="1">
      <c r="A33" s="416" t="s">
        <v>82</v>
      </c>
      <c r="B33" s="413" t="s">
        <v>83</v>
      </c>
      <c r="C33" s="417" t="s">
        <v>40</v>
      </c>
      <c r="D33" s="426" t="s">
        <v>53</v>
      </c>
      <c r="E33" s="430"/>
      <c r="F33" s="426"/>
      <c r="G33" s="430"/>
      <c r="H33" s="429"/>
      <c r="I33" s="429" t="s">
        <v>84</v>
      </c>
    </row>
    <row r="34" spans="1:9" ht="44.25" customHeight="1">
      <c r="A34" s="416" t="s">
        <v>85</v>
      </c>
      <c r="B34" s="413" t="s">
        <v>477</v>
      </c>
      <c r="C34" s="417" t="s">
        <v>40</v>
      </c>
      <c r="D34" s="426" t="s">
        <v>53</v>
      </c>
      <c r="E34" s="430"/>
      <c r="F34" s="430"/>
      <c r="G34" s="430"/>
      <c r="H34" s="429"/>
      <c r="I34" s="429" t="s">
        <v>63</v>
      </c>
    </row>
    <row r="35" spans="1:9" ht="42.6" customHeight="1">
      <c r="A35" s="416" t="s">
        <v>86</v>
      </c>
      <c r="B35" s="424" t="s">
        <v>87</v>
      </c>
      <c r="C35" s="433" t="s">
        <v>73</v>
      </c>
      <c r="D35" s="426"/>
      <c r="E35" s="430"/>
      <c r="F35" s="430"/>
      <c r="G35" s="430"/>
      <c r="H35" s="429"/>
      <c r="I35" s="429"/>
    </row>
    <row r="36" spans="1:9" ht="34.200000000000003" customHeight="1">
      <c r="A36" s="416" t="s">
        <v>88</v>
      </c>
      <c r="B36" s="423" t="s">
        <v>89</v>
      </c>
      <c r="C36" s="417" t="s">
        <v>40</v>
      </c>
      <c r="D36" s="430"/>
      <c r="E36" s="430"/>
      <c r="F36" s="430"/>
      <c r="G36" s="430"/>
      <c r="H36" s="426" t="s">
        <v>53</v>
      </c>
      <c r="I36" s="429" t="s">
        <v>90</v>
      </c>
    </row>
    <row r="44" spans="1:9" ht="102.75" customHeight="1">
      <c r="B44" s="434"/>
    </row>
  </sheetData>
  <mergeCells count="24">
    <mergeCell ref="A1:I1"/>
    <mergeCell ref="A2:I2"/>
    <mergeCell ref="A3:B3"/>
    <mergeCell ref="A4:B4"/>
    <mergeCell ref="A5:B5"/>
    <mergeCell ref="A13:F13"/>
    <mergeCell ref="A10:F10"/>
    <mergeCell ref="A11:F11"/>
    <mergeCell ref="A12:F12"/>
    <mergeCell ref="A6:C6"/>
    <mergeCell ref="A8:F8"/>
    <mergeCell ref="A9:F9"/>
    <mergeCell ref="A14:B14"/>
    <mergeCell ref="D15:H15"/>
    <mergeCell ref="A15:A16"/>
    <mergeCell ref="B15:B16"/>
    <mergeCell ref="C15:C16"/>
    <mergeCell ref="I15:I16"/>
    <mergeCell ref="G8:I8"/>
    <mergeCell ref="G9:I9"/>
    <mergeCell ref="G10:I10"/>
    <mergeCell ref="G11:I11"/>
    <mergeCell ref="G12:I12"/>
    <mergeCell ref="G13:I13"/>
  </mergeCells>
  <phoneticPr fontId="168" type="noConversion"/>
  <hyperlinks>
    <hyperlink ref="I3" location="底稿目录!A1" display="D2A"/>
  </hyperlinks>
  <pageMargins left="0.70833333333333304" right="0.70833333333333304" top="0.74791666666666701" bottom="0.74791666666666701" header="0.31458333333333299" footer="0.31458333333333299"/>
  <pageSetup paperSize="9" scale="71" orientation="portrait" blackAndWhite="1" r:id="rId1"/>
  <headerFooter alignWithMargins="0">
    <oddFooter>&amp;C&amp;P/&amp;N</oddFooter>
  </headerFooter>
  <rowBreaks count="1" manualBreakCount="1">
    <brk id="22" max="8"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62"/>
  <sheetViews>
    <sheetView view="pageBreakPreview" zoomScaleNormal="100" workbookViewId="0">
      <pane xSplit="1" ySplit="6" topLeftCell="B7" activePane="bottomRight" state="frozen"/>
      <selection pane="topRight"/>
      <selection pane="bottomLeft"/>
      <selection pane="bottomRight" sqref="A1:L1"/>
    </sheetView>
  </sheetViews>
  <sheetFormatPr defaultColWidth="9" defaultRowHeight="20.100000000000001" customHeight="1"/>
  <cols>
    <col min="1" max="1" width="21.59765625" style="2" customWidth="1"/>
    <col min="2" max="2" width="11.5" style="2" customWidth="1"/>
    <col min="3" max="3" width="10.19921875" style="2" customWidth="1"/>
    <col min="4" max="4" width="12.19921875" style="2" customWidth="1"/>
    <col min="5" max="5" width="11.59765625" style="2" customWidth="1"/>
    <col min="6" max="6" width="11.8984375" style="2" customWidth="1"/>
    <col min="7" max="7" width="11.59765625" style="2" customWidth="1"/>
    <col min="8" max="8" width="12.3984375" style="2" customWidth="1"/>
    <col min="9" max="9" width="11.69921875" style="2" customWidth="1"/>
    <col min="10" max="10" width="12" style="2" customWidth="1"/>
    <col min="11" max="11" width="8.19921875" style="2" customWidth="1"/>
    <col min="12" max="12" width="13.3984375" style="2" customWidth="1"/>
    <col min="13" max="13" width="13.5" style="2" customWidth="1"/>
    <col min="14" max="14" width="7.5" style="2" customWidth="1"/>
    <col min="15" max="15" width="5.69921875" style="2" customWidth="1"/>
    <col min="16" max="16" width="9.69921875" style="2" customWidth="1"/>
    <col min="17" max="17" width="9" style="2"/>
    <col min="18" max="18" width="6.19921875" style="2" customWidth="1"/>
    <col min="19" max="19" width="9" style="2" customWidth="1"/>
    <col min="20" max="20" width="9" style="2"/>
    <col min="21" max="21" width="9" style="2" customWidth="1"/>
    <col min="22" max="254" width="9" style="2"/>
    <col min="255" max="255" width="9.19921875" style="2" customWidth="1"/>
    <col min="256" max="256" width="12.19921875" style="2" customWidth="1"/>
    <col min="257" max="257" width="4.19921875" style="2" customWidth="1"/>
    <col min="258" max="258" width="9.69921875" style="2" customWidth="1"/>
    <col min="259" max="259" width="13.69921875" style="2" customWidth="1"/>
    <col min="260" max="260" width="8.69921875" style="2" customWidth="1"/>
    <col min="261" max="261" width="4.09765625" style="2" customWidth="1"/>
    <col min="262" max="265" width="6.5" style="2" customWidth="1"/>
    <col min="266" max="266" width="9" style="2" customWidth="1"/>
    <col min="267" max="267" width="3.69921875" style="2" customWidth="1"/>
    <col min="268" max="268" width="11.69921875" style="2" customWidth="1"/>
    <col min="269" max="269" width="13.5" style="2" customWidth="1"/>
    <col min="270" max="270" width="7.5" style="2" customWidth="1"/>
    <col min="271" max="271" width="5.69921875" style="2" customWidth="1"/>
    <col min="272" max="272" width="9.69921875" style="2" customWidth="1"/>
    <col min="273" max="273" width="9" style="2"/>
    <col min="274" max="274" width="6.19921875" style="2" customWidth="1"/>
    <col min="275" max="275" width="9" style="2" customWidth="1"/>
    <col min="276" max="276" width="9" style="2"/>
    <col min="277" max="277" width="9" style="2" customWidth="1"/>
    <col min="278" max="510" width="9" style="2"/>
    <col min="511" max="511" width="9.19921875" style="2" customWidth="1"/>
    <col min="512" max="512" width="12.19921875" style="2" customWidth="1"/>
    <col min="513" max="513" width="4.19921875" style="2" customWidth="1"/>
    <col min="514" max="514" width="9.69921875" style="2" customWidth="1"/>
    <col min="515" max="515" width="13.69921875" style="2" customWidth="1"/>
    <col min="516" max="516" width="8.69921875" style="2" customWidth="1"/>
    <col min="517" max="517" width="4.09765625" style="2" customWidth="1"/>
    <col min="518" max="521" width="6.5" style="2" customWidth="1"/>
    <col min="522" max="522" width="9" style="2" customWidth="1"/>
    <col min="523" max="523" width="3.69921875" style="2" customWidth="1"/>
    <col min="524" max="524" width="11.69921875" style="2" customWidth="1"/>
    <col min="525" max="525" width="13.5" style="2" customWidth="1"/>
    <col min="526" max="526" width="7.5" style="2" customWidth="1"/>
    <col min="527" max="527" width="5.69921875" style="2" customWidth="1"/>
    <col min="528" max="528" width="9.69921875" style="2" customWidth="1"/>
    <col min="529" max="529" width="9" style="2"/>
    <col min="530" max="530" width="6.19921875" style="2" customWidth="1"/>
    <col min="531" max="531" width="9" style="2" customWidth="1"/>
    <col min="532" max="532" width="9" style="2"/>
    <col min="533" max="533" width="9" style="2" customWidth="1"/>
    <col min="534" max="766" width="9" style="2"/>
    <col min="767" max="767" width="9.19921875" style="2" customWidth="1"/>
    <col min="768" max="768" width="12.19921875" style="2" customWidth="1"/>
    <col min="769" max="769" width="4.19921875" style="2" customWidth="1"/>
    <col min="770" max="770" width="9.69921875" style="2" customWidth="1"/>
    <col min="771" max="771" width="13.69921875" style="2" customWidth="1"/>
    <col min="772" max="772" width="8.69921875" style="2" customWidth="1"/>
    <col min="773" max="773" width="4.09765625" style="2" customWidth="1"/>
    <col min="774" max="777" width="6.5" style="2" customWidth="1"/>
    <col min="778" max="778" width="9" style="2" customWidth="1"/>
    <col min="779" max="779" width="3.69921875" style="2" customWidth="1"/>
    <col min="780" max="780" width="11.69921875" style="2" customWidth="1"/>
    <col min="781" max="781" width="13.5" style="2" customWidth="1"/>
    <col min="782" max="782" width="7.5" style="2" customWidth="1"/>
    <col min="783" max="783" width="5.69921875" style="2" customWidth="1"/>
    <col min="784" max="784" width="9.69921875" style="2" customWidth="1"/>
    <col min="785" max="785" width="9" style="2"/>
    <col min="786" max="786" width="6.19921875" style="2" customWidth="1"/>
    <col min="787" max="787" width="9" style="2" customWidth="1"/>
    <col min="788" max="788" width="9" style="2"/>
    <col min="789" max="789" width="9" style="2" customWidth="1"/>
    <col min="790" max="1022" width="9" style="2"/>
    <col min="1023" max="1023" width="9.19921875" style="2" customWidth="1"/>
    <col min="1024" max="1024" width="12.19921875" style="2" customWidth="1"/>
    <col min="1025" max="1025" width="4.19921875" style="2" customWidth="1"/>
    <col min="1026" max="1026" width="9.69921875" style="2" customWidth="1"/>
    <col min="1027" max="1027" width="13.69921875" style="2" customWidth="1"/>
    <col min="1028" max="1028" width="8.69921875" style="2" customWidth="1"/>
    <col min="1029" max="1029" width="4.09765625" style="2" customWidth="1"/>
    <col min="1030" max="1033" width="6.5" style="2" customWidth="1"/>
    <col min="1034" max="1034" width="9" style="2" customWidth="1"/>
    <col min="1035" max="1035" width="3.69921875" style="2" customWidth="1"/>
    <col min="1036" max="1036" width="11.69921875" style="2" customWidth="1"/>
    <col min="1037" max="1037" width="13.5" style="2" customWidth="1"/>
    <col min="1038" max="1038" width="7.5" style="2" customWidth="1"/>
    <col min="1039" max="1039" width="5.69921875" style="2" customWidth="1"/>
    <col min="1040" max="1040" width="9.69921875" style="2" customWidth="1"/>
    <col min="1041" max="1041" width="9" style="2"/>
    <col min="1042" max="1042" width="6.19921875" style="2" customWidth="1"/>
    <col min="1043" max="1043" width="9" style="2" customWidth="1"/>
    <col min="1044" max="1044" width="9" style="2"/>
    <col min="1045" max="1045" width="9" style="2" customWidth="1"/>
    <col min="1046" max="1278" width="9" style="2"/>
    <col min="1279" max="1279" width="9.19921875" style="2" customWidth="1"/>
    <col min="1280" max="1280" width="12.19921875" style="2" customWidth="1"/>
    <col min="1281" max="1281" width="4.19921875" style="2" customWidth="1"/>
    <col min="1282" max="1282" width="9.69921875" style="2" customWidth="1"/>
    <col min="1283" max="1283" width="13.69921875" style="2" customWidth="1"/>
    <col min="1284" max="1284" width="8.69921875" style="2" customWidth="1"/>
    <col min="1285" max="1285" width="4.09765625" style="2" customWidth="1"/>
    <col min="1286" max="1289" width="6.5" style="2" customWidth="1"/>
    <col min="1290" max="1290" width="9" style="2" customWidth="1"/>
    <col min="1291" max="1291" width="3.69921875" style="2" customWidth="1"/>
    <col min="1292" max="1292" width="11.69921875" style="2" customWidth="1"/>
    <col min="1293" max="1293" width="13.5" style="2" customWidth="1"/>
    <col min="1294" max="1294" width="7.5" style="2" customWidth="1"/>
    <col min="1295" max="1295" width="5.69921875" style="2" customWidth="1"/>
    <col min="1296" max="1296" width="9.69921875" style="2" customWidth="1"/>
    <col min="1297" max="1297" width="9" style="2"/>
    <col min="1298" max="1298" width="6.19921875" style="2" customWidth="1"/>
    <col min="1299" max="1299" width="9" style="2" customWidth="1"/>
    <col min="1300" max="1300" width="9" style="2"/>
    <col min="1301" max="1301" width="9" style="2" customWidth="1"/>
    <col min="1302" max="1534" width="9" style="2"/>
    <col min="1535" max="1535" width="9.19921875" style="2" customWidth="1"/>
    <col min="1536" max="1536" width="12.19921875" style="2" customWidth="1"/>
    <col min="1537" max="1537" width="4.19921875" style="2" customWidth="1"/>
    <col min="1538" max="1538" width="9.69921875" style="2" customWidth="1"/>
    <col min="1539" max="1539" width="13.69921875" style="2" customWidth="1"/>
    <col min="1540" max="1540" width="8.69921875" style="2" customWidth="1"/>
    <col min="1541" max="1541" width="4.09765625" style="2" customWidth="1"/>
    <col min="1542" max="1545" width="6.5" style="2" customWidth="1"/>
    <col min="1546" max="1546" width="9" style="2" customWidth="1"/>
    <col min="1547" max="1547" width="3.69921875" style="2" customWidth="1"/>
    <col min="1548" max="1548" width="11.69921875" style="2" customWidth="1"/>
    <col min="1549" max="1549" width="13.5" style="2" customWidth="1"/>
    <col min="1550" max="1550" width="7.5" style="2" customWidth="1"/>
    <col min="1551" max="1551" width="5.69921875" style="2" customWidth="1"/>
    <col min="1552" max="1552" width="9.69921875" style="2" customWidth="1"/>
    <col min="1553" max="1553" width="9" style="2"/>
    <col min="1554" max="1554" width="6.19921875" style="2" customWidth="1"/>
    <col min="1555" max="1555" width="9" style="2" customWidth="1"/>
    <col min="1556" max="1556" width="9" style="2"/>
    <col min="1557" max="1557" width="9" style="2" customWidth="1"/>
    <col min="1558" max="1790" width="9" style="2"/>
    <col min="1791" max="1791" width="9.19921875" style="2" customWidth="1"/>
    <col min="1792" max="1792" width="12.19921875" style="2" customWidth="1"/>
    <col min="1793" max="1793" width="4.19921875" style="2" customWidth="1"/>
    <col min="1794" max="1794" width="9.69921875" style="2" customWidth="1"/>
    <col min="1795" max="1795" width="13.69921875" style="2" customWidth="1"/>
    <col min="1796" max="1796" width="8.69921875" style="2" customWidth="1"/>
    <col min="1797" max="1797" width="4.09765625" style="2" customWidth="1"/>
    <col min="1798" max="1801" width="6.5" style="2" customWidth="1"/>
    <col min="1802" max="1802" width="9" style="2" customWidth="1"/>
    <col min="1803" max="1803" width="3.69921875" style="2" customWidth="1"/>
    <col min="1804" max="1804" width="11.69921875" style="2" customWidth="1"/>
    <col min="1805" max="1805" width="13.5" style="2" customWidth="1"/>
    <col min="1806" max="1806" width="7.5" style="2" customWidth="1"/>
    <col min="1807" max="1807" width="5.69921875" style="2" customWidth="1"/>
    <col min="1808" max="1808" width="9.69921875" style="2" customWidth="1"/>
    <col min="1809" max="1809" width="9" style="2"/>
    <col min="1810" max="1810" width="6.19921875" style="2" customWidth="1"/>
    <col min="1811" max="1811" width="9" style="2" customWidth="1"/>
    <col min="1812" max="1812" width="9" style="2"/>
    <col min="1813" max="1813" width="9" style="2" customWidth="1"/>
    <col min="1814" max="2046" width="9" style="2"/>
    <col min="2047" max="2047" width="9.19921875" style="2" customWidth="1"/>
    <col min="2048" max="2048" width="12.19921875" style="2" customWidth="1"/>
    <col min="2049" max="2049" width="4.19921875" style="2" customWidth="1"/>
    <col min="2050" max="2050" width="9.69921875" style="2" customWidth="1"/>
    <col min="2051" max="2051" width="13.69921875" style="2" customWidth="1"/>
    <col min="2052" max="2052" width="8.69921875" style="2" customWidth="1"/>
    <col min="2053" max="2053" width="4.09765625" style="2" customWidth="1"/>
    <col min="2054" max="2057" width="6.5" style="2" customWidth="1"/>
    <col min="2058" max="2058" width="9" style="2" customWidth="1"/>
    <col min="2059" max="2059" width="3.69921875" style="2" customWidth="1"/>
    <col min="2060" max="2060" width="11.69921875" style="2" customWidth="1"/>
    <col min="2061" max="2061" width="13.5" style="2" customWidth="1"/>
    <col min="2062" max="2062" width="7.5" style="2" customWidth="1"/>
    <col min="2063" max="2063" width="5.69921875" style="2" customWidth="1"/>
    <col min="2064" max="2064" width="9.69921875" style="2" customWidth="1"/>
    <col min="2065" max="2065" width="9" style="2"/>
    <col min="2066" max="2066" width="6.19921875" style="2" customWidth="1"/>
    <col min="2067" max="2067" width="9" style="2" customWidth="1"/>
    <col min="2068" max="2068" width="9" style="2"/>
    <col min="2069" max="2069" width="9" style="2" customWidth="1"/>
    <col min="2070" max="2302" width="9" style="2"/>
    <col min="2303" max="2303" width="9.19921875" style="2" customWidth="1"/>
    <col min="2304" max="2304" width="12.19921875" style="2" customWidth="1"/>
    <col min="2305" max="2305" width="4.19921875" style="2" customWidth="1"/>
    <col min="2306" max="2306" width="9.69921875" style="2" customWidth="1"/>
    <col min="2307" max="2307" width="13.69921875" style="2" customWidth="1"/>
    <col min="2308" max="2308" width="8.69921875" style="2" customWidth="1"/>
    <col min="2309" max="2309" width="4.09765625" style="2" customWidth="1"/>
    <col min="2310" max="2313" width="6.5" style="2" customWidth="1"/>
    <col min="2314" max="2314" width="9" style="2" customWidth="1"/>
    <col min="2315" max="2315" width="3.69921875" style="2" customWidth="1"/>
    <col min="2316" max="2316" width="11.69921875" style="2" customWidth="1"/>
    <col min="2317" max="2317" width="13.5" style="2" customWidth="1"/>
    <col min="2318" max="2318" width="7.5" style="2" customWidth="1"/>
    <col min="2319" max="2319" width="5.69921875" style="2" customWidth="1"/>
    <col min="2320" max="2320" width="9.69921875" style="2" customWidth="1"/>
    <col min="2321" max="2321" width="9" style="2"/>
    <col min="2322" max="2322" width="6.19921875" style="2" customWidth="1"/>
    <col min="2323" max="2323" width="9" style="2" customWidth="1"/>
    <col min="2324" max="2324" width="9" style="2"/>
    <col min="2325" max="2325" width="9" style="2" customWidth="1"/>
    <col min="2326" max="2558" width="9" style="2"/>
    <col min="2559" max="2559" width="9.19921875" style="2" customWidth="1"/>
    <col min="2560" max="2560" width="12.19921875" style="2" customWidth="1"/>
    <col min="2561" max="2561" width="4.19921875" style="2" customWidth="1"/>
    <col min="2562" max="2562" width="9.69921875" style="2" customWidth="1"/>
    <col min="2563" max="2563" width="13.69921875" style="2" customWidth="1"/>
    <col min="2564" max="2564" width="8.69921875" style="2" customWidth="1"/>
    <col min="2565" max="2565" width="4.09765625" style="2" customWidth="1"/>
    <col min="2566" max="2569" width="6.5" style="2" customWidth="1"/>
    <col min="2570" max="2570" width="9" style="2" customWidth="1"/>
    <col min="2571" max="2571" width="3.69921875" style="2" customWidth="1"/>
    <col min="2572" max="2572" width="11.69921875" style="2" customWidth="1"/>
    <col min="2573" max="2573" width="13.5" style="2" customWidth="1"/>
    <col min="2574" max="2574" width="7.5" style="2" customWidth="1"/>
    <col min="2575" max="2575" width="5.69921875" style="2" customWidth="1"/>
    <col min="2576" max="2576" width="9.69921875" style="2" customWidth="1"/>
    <col min="2577" max="2577" width="9" style="2"/>
    <col min="2578" max="2578" width="6.19921875" style="2" customWidth="1"/>
    <col min="2579" max="2579" width="9" style="2" customWidth="1"/>
    <col min="2580" max="2580" width="9" style="2"/>
    <col min="2581" max="2581" width="9" style="2" customWidth="1"/>
    <col min="2582" max="2814" width="9" style="2"/>
    <col min="2815" max="2815" width="9.19921875" style="2" customWidth="1"/>
    <col min="2816" max="2816" width="12.19921875" style="2" customWidth="1"/>
    <col min="2817" max="2817" width="4.19921875" style="2" customWidth="1"/>
    <col min="2818" max="2818" width="9.69921875" style="2" customWidth="1"/>
    <col min="2819" max="2819" width="13.69921875" style="2" customWidth="1"/>
    <col min="2820" max="2820" width="8.69921875" style="2" customWidth="1"/>
    <col min="2821" max="2821" width="4.09765625" style="2" customWidth="1"/>
    <col min="2822" max="2825" width="6.5" style="2" customWidth="1"/>
    <col min="2826" max="2826" width="9" style="2" customWidth="1"/>
    <col min="2827" max="2827" width="3.69921875" style="2" customWidth="1"/>
    <col min="2828" max="2828" width="11.69921875" style="2" customWidth="1"/>
    <col min="2829" max="2829" width="13.5" style="2" customWidth="1"/>
    <col min="2830" max="2830" width="7.5" style="2" customWidth="1"/>
    <col min="2831" max="2831" width="5.69921875" style="2" customWidth="1"/>
    <col min="2832" max="2832" width="9.69921875" style="2" customWidth="1"/>
    <col min="2833" max="2833" width="9" style="2"/>
    <col min="2834" max="2834" width="6.19921875" style="2" customWidth="1"/>
    <col min="2835" max="2835" width="9" style="2" customWidth="1"/>
    <col min="2836" max="2836" width="9" style="2"/>
    <col min="2837" max="2837" width="9" style="2" customWidth="1"/>
    <col min="2838" max="3070" width="9" style="2"/>
    <col min="3071" max="3071" width="9.19921875" style="2" customWidth="1"/>
    <col min="3072" max="3072" width="12.19921875" style="2" customWidth="1"/>
    <col min="3073" max="3073" width="4.19921875" style="2" customWidth="1"/>
    <col min="3074" max="3074" width="9.69921875" style="2" customWidth="1"/>
    <col min="3075" max="3075" width="13.69921875" style="2" customWidth="1"/>
    <col min="3076" max="3076" width="8.69921875" style="2" customWidth="1"/>
    <col min="3077" max="3077" width="4.09765625" style="2" customWidth="1"/>
    <col min="3078" max="3081" width="6.5" style="2" customWidth="1"/>
    <col min="3082" max="3082" width="9" style="2" customWidth="1"/>
    <col min="3083" max="3083" width="3.69921875" style="2" customWidth="1"/>
    <col min="3084" max="3084" width="11.69921875" style="2" customWidth="1"/>
    <col min="3085" max="3085" width="13.5" style="2" customWidth="1"/>
    <col min="3086" max="3086" width="7.5" style="2" customWidth="1"/>
    <col min="3087" max="3087" width="5.69921875" style="2" customWidth="1"/>
    <col min="3088" max="3088" width="9.69921875" style="2" customWidth="1"/>
    <col min="3089" max="3089" width="9" style="2"/>
    <col min="3090" max="3090" width="6.19921875" style="2" customWidth="1"/>
    <col min="3091" max="3091" width="9" style="2" customWidth="1"/>
    <col min="3092" max="3092" width="9" style="2"/>
    <col min="3093" max="3093" width="9" style="2" customWidth="1"/>
    <col min="3094" max="3326" width="9" style="2"/>
    <col min="3327" max="3327" width="9.19921875" style="2" customWidth="1"/>
    <col min="3328" max="3328" width="12.19921875" style="2" customWidth="1"/>
    <col min="3329" max="3329" width="4.19921875" style="2" customWidth="1"/>
    <col min="3330" max="3330" width="9.69921875" style="2" customWidth="1"/>
    <col min="3331" max="3331" width="13.69921875" style="2" customWidth="1"/>
    <col min="3332" max="3332" width="8.69921875" style="2" customWidth="1"/>
    <col min="3333" max="3333" width="4.09765625" style="2" customWidth="1"/>
    <col min="3334" max="3337" width="6.5" style="2" customWidth="1"/>
    <col min="3338" max="3338" width="9" style="2" customWidth="1"/>
    <col min="3339" max="3339" width="3.69921875" style="2" customWidth="1"/>
    <col min="3340" max="3340" width="11.69921875" style="2" customWidth="1"/>
    <col min="3341" max="3341" width="13.5" style="2" customWidth="1"/>
    <col min="3342" max="3342" width="7.5" style="2" customWidth="1"/>
    <col min="3343" max="3343" width="5.69921875" style="2" customWidth="1"/>
    <col min="3344" max="3344" width="9.69921875" style="2" customWidth="1"/>
    <col min="3345" max="3345" width="9" style="2"/>
    <col min="3346" max="3346" width="6.19921875" style="2" customWidth="1"/>
    <col min="3347" max="3347" width="9" style="2" customWidth="1"/>
    <col min="3348" max="3348" width="9" style="2"/>
    <col min="3349" max="3349" width="9" style="2" customWidth="1"/>
    <col min="3350" max="3582" width="9" style="2"/>
    <col min="3583" max="3583" width="9.19921875" style="2" customWidth="1"/>
    <col min="3584" max="3584" width="12.19921875" style="2" customWidth="1"/>
    <col min="3585" max="3585" width="4.19921875" style="2" customWidth="1"/>
    <col min="3586" max="3586" width="9.69921875" style="2" customWidth="1"/>
    <col min="3587" max="3587" width="13.69921875" style="2" customWidth="1"/>
    <col min="3588" max="3588" width="8.69921875" style="2" customWidth="1"/>
    <col min="3589" max="3589" width="4.09765625" style="2" customWidth="1"/>
    <col min="3590" max="3593" width="6.5" style="2" customWidth="1"/>
    <col min="3594" max="3594" width="9" style="2" customWidth="1"/>
    <col min="3595" max="3595" width="3.69921875" style="2" customWidth="1"/>
    <col min="3596" max="3596" width="11.69921875" style="2" customWidth="1"/>
    <col min="3597" max="3597" width="13.5" style="2" customWidth="1"/>
    <col min="3598" max="3598" width="7.5" style="2" customWidth="1"/>
    <col min="3599" max="3599" width="5.69921875" style="2" customWidth="1"/>
    <col min="3600" max="3600" width="9.69921875" style="2" customWidth="1"/>
    <col min="3601" max="3601" width="9" style="2"/>
    <col min="3602" max="3602" width="6.19921875" style="2" customWidth="1"/>
    <col min="3603" max="3603" width="9" style="2" customWidth="1"/>
    <col min="3604" max="3604" width="9" style="2"/>
    <col min="3605" max="3605" width="9" style="2" customWidth="1"/>
    <col min="3606" max="3838" width="9" style="2"/>
    <col min="3839" max="3839" width="9.19921875" style="2" customWidth="1"/>
    <col min="3840" max="3840" width="12.19921875" style="2" customWidth="1"/>
    <col min="3841" max="3841" width="4.19921875" style="2" customWidth="1"/>
    <col min="3842" max="3842" width="9.69921875" style="2" customWidth="1"/>
    <col min="3843" max="3843" width="13.69921875" style="2" customWidth="1"/>
    <col min="3844" max="3844" width="8.69921875" style="2" customWidth="1"/>
    <col min="3845" max="3845" width="4.09765625" style="2" customWidth="1"/>
    <col min="3846" max="3849" width="6.5" style="2" customWidth="1"/>
    <col min="3850" max="3850" width="9" style="2" customWidth="1"/>
    <col min="3851" max="3851" width="3.69921875" style="2" customWidth="1"/>
    <col min="3852" max="3852" width="11.69921875" style="2" customWidth="1"/>
    <col min="3853" max="3853" width="13.5" style="2" customWidth="1"/>
    <col min="3854" max="3854" width="7.5" style="2" customWidth="1"/>
    <col min="3855" max="3855" width="5.69921875" style="2" customWidth="1"/>
    <col min="3856" max="3856" width="9.69921875" style="2" customWidth="1"/>
    <col min="3857" max="3857" width="9" style="2"/>
    <col min="3858" max="3858" width="6.19921875" style="2" customWidth="1"/>
    <col min="3859" max="3859" width="9" style="2" customWidth="1"/>
    <col min="3860" max="3860" width="9" style="2"/>
    <col min="3861" max="3861" width="9" style="2" customWidth="1"/>
    <col min="3862" max="4094" width="9" style="2"/>
    <col min="4095" max="4095" width="9.19921875" style="2" customWidth="1"/>
    <col min="4096" max="4096" width="12.19921875" style="2" customWidth="1"/>
    <col min="4097" max="4097" width="4.19921875" style="2" customWidth="1"/>
    <col min="4098" max="4098" width="9.69921875" style="2" customWidth="1"/>
    <col min="4099" max="4099" width="13.69921875" style="2" customWidth="1"/>
    <col min="4100" max="4100" width="8.69921875" style="2" customWidth="1"/>
    <col min="4101" max="4101" width="4.09765625" style="2" customWidth="1"/>
    <col min="4102" max="4105" width="6.5" style="2" customWidth="1"/>
    <col min="4106" max="4106" width="9" style="2" customWidth="1"/>
    <col min="4107" max="4107" width="3.69921875" style="2" customWidth="1"/>
    <col min="4108" max="4108" width="11.69921875" style="2" customWidth="1"/>
    <col min="4109" max="4109" width="13.5" style="2" customWidth="1"/>
    <col min="4110" max="4110" width="7.5" style="2" customWidth="1"/>
    <col min="4111" max="4111" width="5.69921875" style="2" customWidth="1"/>
    <col min="4112" max="4112" width="9.69921875" style="2" customWidth="1"/>
    <col min="4113" max="4113" width="9" style="2"/>
    <col min="4114" max="4114" width="6.19921875" style="2" customWidth="1"/>
    <col min="4115" max="4115" width="9" style="2" customWidth="1"/>
    <col min="4116" max="4116" width="9" style="2"/>
    <col min="4117" max="4117" width="9" style="2" customWidth="1"/>
    <col min="4118" max="4350" width="9" style="2"/>
    <col min="4351" max="4351" width="9.19921875" style="2" customWidth="1"/>
    <col min="4352" max="4352" width="12.19921875" style="2" customWidth="1"/>
    <col min="4353" max="4353" width="4.19921875" style="2" customWidth="1"/>
    <col min="4354" max="4354" width="9.69921875" style="2" customWidth="1"/>
    <col min="4355" max="4355" width="13.69921875" style="2" customWidth="1"/>
    <col min="4356" max="4356" width="8.69921875" style="2" customWidth="1"/>
    <col min="4357" max="4357" width="4.09765625" style="2" customWidth="1"/>
    <col min="4358" max="4361" width="6.5" style="2" customWidth="1"/>
    <col min="4362" max="4362" width="9" style="2" customWidth="1"/>
    <col min="4363" max="4363" width="3.69921875" style="2" customWidth="1"/>
    <col min="4364" max="4364" width="11.69921875" style="2" customWidth="1"/>
    <col min="4365" max="4365" width="13.5" style="2" customWidth="1"/>
    <col min="4366" max="4366" width="7.5" style="2" customWidth="1"/>
    <col min="4367" max="4367" width="5.69921875" style="2" customWidth="1"/>
    <col min="4368" max="4368" width="9.69921875" style="2" customWidth="1"/>
    <col min="4369" max="4369" width="9" style="2"/>
    <col min="4370" max="4370" width="6.19921875" style="2" customWidth="1"/>
    <col min="4371" max="4371" width="9" style="2" customWidth="1"/>
    <col min="4372" max="4372" width="9" style="2"/>
    <col min="4373" max="4373" width="9" style="2" customWidth="1"/>
    <col min="4374" max="4606" width="9" style="2"/>
    <col min="4607" max="4607" width="9.19921875" style="2" customWidth="1"/>
    <col min="4608" max="4608" width="12.19921875" style="2" customWidth="1"/>
    <col min="4609" max="4609" width="4.19921875" style="2" customWidth="1"/>
    <col min="4610" max="4610" width="9.69921875" style="2" customWidth="1"/>
    <col min="4611" max="4611" width="13.69921875" style="2" customWidth="1"/>
    <col min="4612" max="4612" width="8.69921875" style="2" customWidth="1"/>
    <col min="4613" max="4613" width="4.09765625" style="2" customWidth="1"/>
    <col min="4614" max="4617" width="6.5" style="2" customWidth="1"/>
    <col min="4618" max="4618" width="9" style="2" customWidth="1"/>
    <col min="4619" max="4619" width="3.69921875" style="2" customWidth="1"/>
    <col min="4620" max="4620" width="11.69921875" style="2" customWidth="1"/>
    <col min="4621" max="4621" width="13.5" style="2" customWidth="1"/>
    <col min="4622" max="4622" width="7.5" style="2" customWidth="1"/>
    <col min="4623" max="4623" width="5.69921875" style="2" customWidth="1"/>
    <col min="4624" max="4624" width="9.69921875" style="2" customWidth="1"/>
    <col min="4625" max="4625" width="9" style="2"/>
    <col min="4626" max="4626" width="6.19921875" style="2" customWidth="1"/>
    <col min="4627" max="4627" width="9" style="2" customWidth="1"/>
    <col min="4628" max="4628" width="9" style="2"/>
    <col min="4629" max="4629" width="9" style="2" customWidth="1"/>
    <col min="4630" max="4862" width="9" style="2"/>
    <col min="4863" max="4863" width="9.19921875" style="2" customWidth="1"/>
    <col min="4864" max="4864" width="12.19921875" style="2" customWidth="1"/>
    <col min="4865" max="4865" width="4.19921875" style="2" customWidth="1"/>
    <col min="4866" max="4866" width="9.69921875" style="2" customWidth="1"/>
    <col min="4867" max="4867" width="13.69921875" style="2" customWidth="1"/>
    <col min="4868" max="4868" width="8.69921875" style="2" customWidth="1"/>
    <col min="4869" max="4869" width="4.09765625" style="2" customWidth="1"/>
    <col min="4870" max="4873" width="6.5" style="2" customWidth="1"/>
    <col min="4874" max="4874" width="9" style="2" customWidth="1"/>
    <col min="4875" max="4875" width="3.69921875" style="2" customWidth="1"/>
    <col min="4876" max="4876" width="11.69921875" style="2" customWidth="1"/>
    <col min="4877" max="4877" width="13.5" style="2" customWidth="1"/>
    <col min="4878" max="4878" width="7.5" style="2" customWidth="1"/>
    <col min="4879" max="4879" width="5.69921875" style="2" customWidth="1"/>
    <col min="4880" max="4880" width="9.69921875" style="2" customWidth="1"/>
    <col min="4881" max="4881" width="9" style="2"/>
    <col min="4882" max="4882" width="6.19921875" style="2" customWidth="1"/>
    <col min="4883" max="4883" width="9" style="2" customWidth="1"/>
    <col min="4884" max="4884" width="9" style="2"/>
    <col min="4885" max="4885" width="9" style="2" customWidth="1"/>
    <col min="4886" max="5118" width="9" style="2"/>
    <col min="5119" max="5119" width="9.19921875" style="2" customWidth="1"/>
    <col min="5120" max="5120" width="12.19921875" style="2" customWidth="1"/>
    <col min="5121" max="5121" width="4.19921875" style="2" customWidth="1"/>
    <col min="5122" max="5122" width="9.69921875" style="2" customWidth="1"/>
    <col min="5123" max="5123" width="13.69921875" style="2" customWidth="1"/>
    <col min="5124" max="5124" width="8.69921875" style="2" customWidth="1"/>
    <col min="5125" max="5125" width="4.09765625" style="2" customWidth="1"/>
    <col min="5126" max="5129" width="6.5" style="2" customWidth="1"/>
    <col min="5130" max="5130" width="9" style="2" customWidth="1"/>
    <col min="5131" max="5131" width="3.69921875" style="2" customWidth="1"/>
    <col min="5132" max="5132" width="11.69921875" style="2" customWidth="1"/>
    <col min="5133" max="5133" width="13.5" style="2" customWidth="1"/>
    <col min="5134" max="5134" width="7.5" style="2" customWidth="1"/>
    <col min="5135" max="5135" width="5.69921875" style="2" customWidth="1"/>
    <col min="5136" max="5136" width="9.69921875" style="2" customWidth="1"/>
    <col min="5137" max="5137" width="9" style="2"/>
    <col min="5138" max="5138" width="6.19921875" style="2" customWidth="1"/>
    <col min="5139" max="5139" width="9" style="2" customWidth="1"/>
    <col min="5140" max="5140" width="9" style="2"/>
    <col min="5141" max="5141" width="9" style="2" customWidth="1"/>
    <col min="5142" max="5374" width="9" style="2"/>
    <col min="5375" max="5375" width="9.19921875" style="2" customWidth="1"/>
    <col min="5376" max="5376" width="12.19921875" style="2" customWidth="1"/>
    <col min="5377" max="5377" width="4.19921875" style="2" customWidth="1"/>
    <col min="5378" max="5378" width="9.69921875" style="2" customWidth="1"/>
    <col min="5379" max="5379" width="13.69921875" style="2" customWidth="1"/>
    <col min="5380" max="5380" width="8.69921875" style="2" customWidth="1"/>
    <col min="5381" max="5381" width="4.09765625" style="2" customWidth="1"/>
    <col min="5382" max="5385" width="6.5" style="2" customWidth="1"/>
    <col min="5386" max="5386" width="9" style="2" customWidth="1"/>
    <col min="5387" max="5387" width="3.69921875" style="2" customWidth="1"/>
    <col min="5388" max="5388" width="11.69921875" style="2" customWidth="1"/>
    <col min="5389" max="5389" width="13.5" style="2" customWidth="1"/>
    <col min="5390" max="5390" width="7.5" style="2" customWidth="1"/>
    <col min="5391" max="5391" width="5.69921875" style="2" customWidth="1"/>
    <col min="5392" max="5392" width="9.69921875" style="2" customWidth="1"/>
    <col min="5393" max="5393" width="9" style="2"/>
    <col min="5394" max="5394" width="6.19921875" style="2" customWidth="1"/>
    <col min="5395" max="5395" width="9" style="2" customWidth="1"/>
    <col min="5396" max="5396" width="9" style="2"/>
    <col min="5397" max="5397" width="9" style="2" customWidth="1"/>
    <col min="5398" max="5630" width="9" style="2"/>
    <col min="5631" max="5631" width="9.19921875" style="2" customWidth="1"/>
    <col min="5632" max="5632" width="12.19921875" style="2" customWidth="1"/>
    <col min="5633" max="5633" width="4.19921875" style="2" customWidth="1"/>
    <col min="5634" max="5634" width="9.69921875" style="2" customWidth="1"/>
    <col min="5635" max="5635" width="13.69921875" style="2" customWidth="1"/>
    <col min="5636" max="5636" width="8.69921875" style="2" customWidth="1"/>
    <col min="5637" max="5637" width="4.09765625" style="2" customWidth="1"/>
    <col min="5638" max="5641" width="6.5" style="2" customWidth="1"/>
    <col min="5642" max="5642" width="9" style="2" customWidth="1"/>
    <col min="5643" max="5643" width="3.69921875" style="2" customWidth="1"/>
    <col min="5644" max="5644" width="11.69921875" style="2" customWidth="1"/>
    <col min="5645" max="5645" width="13.5" style="2" customWidth="1"/>
    <col min="5646" max="5646" width="7.5" style="2" customWidth="1"/>
    <col min="5647" max="5647" width="5.69921875" style="2" customWidth="1"/>
    <col min="5648" max="5648" width="9.69921875" style="2" customWidth="1"/>
    <col min="5649" max="5649" width="9" style="2"/>
    <col min="5650" max="5650" width="6.19921875" style="2" customWidth="1"/>
    <col min="5651" max="5651" width="9" style="2" customWidth="1"/>
    <col min="5652" max="5652" width="9" style="2"/>
    <col min="5653" max="5653" width="9" style="2" customWidth="1"/>
    <col min="5654" max="5886" width="9" style="2"/>
    <col min="5887" max="5887" width="9.19921875" style="2" customWidth="1"/>
    <col min="5888" max="5888" width="12.19921875" style="2" customWidth="1"/>
    <col min="5889" max="5889" width="4.19921875" style="2" customWidth="1"/>
    <col min="5890" max="5890" width="9.69921875" style="2" customWidth="1"/>
    <col min="5891" max="5891" width="13.69921875" style="2" customWidth="1"/>
    <col min="5892" max="5892" width="8.69921875" style="2" customWidth="1"/>
    <col min="5893" max="5893" width="4.09765625" style="2" customWidth="1"/>
    <col min="5894" max="5897" width="6.5" style="2" customWidth="1"/>
    <col min="5898" max="5898" width="9" style="2" customWidth="1"/>
    <col min="5899" max="5899" width="3.69921875" style="2" customWidth="1"/>
    <col min="5900" max="5900" width="11.69921875" style="2" customWidth="1"/>
    <col min="5901" max="5901" width="13.5" style="2" customWidth="1"/>
    <col min="5902" max="5902" width="7.5" style="2" customWidth="1"/>
    <col min="5903" max="5903" width="5.69921875" style="2" customWidth="1"/>
    <col min="5904" max="5904" width="9.69921875" style="2" customWidth="1"/>
    <col min="5905" max="5905" width="9" style="2"/>
    <col min="5906" max="5906" width="6.19921875" style="2" customWidth="1"/>
    <col min="5907" max="5907" width="9" style="2" customWidth="1"/>
    <col min="5908" max="5908" width="9" style="2"/>
    <col min="5909" max="5909" width="9" style="2" customWidth="1"/>
    <col min="5910" max="6142" width="9" style="2"/>
    <col min="6143" max="6143" width="9.19921875" style="2" customWidth="1"/>
    <col min="6144" max="6144" width="12.19921875" style="2" customWidth="1"/>
    <col min="6145" max="6145" width="4.19921875" style="2" customWidth="1"/>
    <col min="6146" max="6146" width="9.69921875" style="2" customWidth="1"/>
    <col min="6147" max="6147" width="13.69921875" style="2" customWidth="1"/>
    <col min="6148" max="6148" width="8.69921875" style="2" customWidth="1"/>
    <col min="6149" max="6149" width="4.09765625" style="2" customWidth="1"/>
    <col min="6150" max="6153" width="6.5" style="2" customWidth="1"/>
    <col min="6154" max="6154" width="9" style="2" customWidth="1"/>
    <col min="6155" max="6155" width="3.69921875" style="2" customWidth="1"/>
    <col min="6156" max="6156" width="11.69921875" style="2" customWidth="1"/>
    <col min="6157" max="6157" width="13.5" style="2" customWidth="1"/>
    <col min="6158" max="6158" width="7.5" style="2" customWidth="1"/>
    <col min="6159" max="6159" width="5.69921875" style="2" customWidth="1"/>
    <col min="6160" max="6160" width="9.69921875" style="2" customWidth="1"/>
    <col min="6161" max="6161" width="9" style="2"/>
    <col min="6162" max="6162" width="6.19921875" style="2" customWidth="1"/>
    <col min="6163" max="6163" width="9" style="2" customWidth="1"/>
    <col min="6164" max="6164" width="9" style="2"/>
    <col min="6165" max="6165" width="9" style="2" customWidth="1"/>
    <col min="6166" max="6398" width="9" style="2"/>
    <col min="6399" max="6399" width="9.19921875" style="2" customWidth="1"/>
    <col min="6400" max="6400" width="12.19921875" style="2" customWidth="1"/>
    <col min="6401" max="6401" width="4.19921875" style="2" customWidth="1"/>
    <col min="6402" max="6402" width="9.69921875" style="2" customWidth="1"/>
    <col min="6403" max="6403" width="13.69921875" style="2" customWidth="1"/>
    <col min="6404" max="6404" width="8.69921875" style="2" customWidth="1"/>
    <col min="6405" max="6405" width="4.09765625" style="2" customWidth="1"/>
    <col min="6406" max="6409" width="6.5" style="2" customWidth="1"/>
    <col min="6410" max="6410" width="9" style="2" customWidth="1"/>
    <col min="6411" max="6411" width="3.69921875" style="2" customWidth="1"/>
    <col min="6412" max="6412" width="11.69921875" style="2" customWidth="1"/>
    <col min="6413" max="6413" width="13.5" style="2" customWidth="1"/>
    <col min="6414" max="6414" width="7.5" style="2" customWidth="1"/>
    <col min="6415" max="6415" width="5.69921875" style="2" customWidth="1"/>
    <col min="6416" max="6416" width="9.69921875" style="2" customWidth="1"/>
    <col min="6417" max="6417" width="9" style="2"/>
    <col min="6418" max="6418" width="6.19921875" style="2" customWidth="1"/>
    <col min="6419" max="6419" width="9" style="2" customWidth="1"/>
    <col min="6420" max="6420" width="9" style="2"/>
    <col min="6421" max="6421" width="9" style="2" customWidth="1"/>
    <col min="6422" max="6654" width="9" style="2"/>
    <col min="6655" max="6655" width="9.19921875" style="2" customWidth="1"/>
    <col min="6656" max="6656" width="12.19921875" style="2" customWidth="1"/>
    <col min="6657" max="6657" width="4.19921875" style="2" customWidth="1"/>
    <col min="6658" max="6658" width="9.69921875" style="2" customWidth="1"/>
    <col min="6659" max="6659" width="13.69921875" style="2" customWidth="1"/>
    <col min="6660" max="6660" width="8.69921875" style="2" customWidth="1"/>
    <col min="6661" max="6661" width="4.09765625" style="2" customWidth="1"/>
    <col min="6662" max="6665" width="6.5" style="2" customWidth="1"/>
    <col min="6666" max="6666" width="9" style="2" customWidth="1"/>
    <col min="6667" max="6667" width="3.69921875" style="2" customWidth="1"/>
    <col min="6668" max="6668" width="11.69921875" style="2" customWidth="1"/>
    <col min="6669" max="6669" width="13.5" style="2" customWidth="1"/>
    <col min="6670" max="6670" width="7.5" style="2" customWidth="1"/>
    <col min="6671" max="6671" width="5.69921875" style="2" customWidth="1"/>
    <col min="6672" max="6672" width="9.69921875" style="2" customWidth="1"/>
    <col min="6673" max="6673" width="9" style="2"/>
    <col min="6674" max="6674" width="6.19921875" style="2" customWidth="1"/>
    <col min="6675" max="6675" width="9" style="2" customWidth="1"/>
    <col min="6676" max="6676" width="9" style="2"/>
    <col min="6677" max="6677" width="9" style="2" customWidth="1"/>
    <col min="6678" max="6910" width="9" style="2"/>
    <col min="6911" max="6911" width="9.19921875" style="2" customWidth="1"/>
    <col min="6912" max="6912" width="12.19921875" style="2" customWidth="1"/>
    <col min="6913" max="6913" width="4.19921875" style="2" customWidth="1"/>
    <col min="6914" max="6914" width="9.69921875" style="2" customWidth="1"/>
    <col min="6915" max="6915" width="13.69921875" style="2" customWidth="1"/>
    <col min="6916" max="6916" width="8.69921875" style="2" customWidth="1"/>
    <col min="6917" max="6917" width="4.09765625" style="2" customWidth="1"/>
    <col min="6918" max="6921" width="6.5" style="2" customWidth="1"/>
    <col min="6922" max="6922" width="9" style="2" customWidth="1"/>
    <col min="6923" max="6923" width="3.69921875" style="2" customWidth="1"/>
    <col min="6924" max="6924" width="11.69921875" style="2" customWidth="1"/>
    <col min="6925" max="6925" width="13.5" style="2" customWidth="1"/>
    <col min="6926" max="6926" width="7.5" style="2" customWidth="1"/>
    <col min="6927" max="6927" width="5.69921875" style="2" customWidth="1"/>
    <col min="6928" max="6928" width="9.69921875" style="2" customWidth="1"/>
    <col min="6929" max="6929" width="9" style="2"/>
    <col min="6930" max="6930" width="6.19921875" style="2" customWidth="1"/>
    <col min="6931" max="6931" width="9" style="2" customWidth="1"/>
    <col min="6932" max="6932" width="9" style="2"/>
    <col min="6933" max="6933" width="9" style="2" customWidth="1"/>
    <col min="6934" max="7166" width="9" style="2"/>
    <col min="7167" max="7167" width="9.19921875" style="2" customWidth="1"/>
    <col min="7168" max="7168" width="12.19921875" style="2" customWidth="1"/>
    <col min="7169" max="7169" width="4.19921875" style="2" customWidth="1"/>
    <col min="7170" max="7170" width="9.69921875" style="2" customWidth="1"/>
    <col min="7171" max="7171" width="13.69921875" style="2" customWidth="1"/>
    <col min="7172" max="7172" width="8.69921875" style="2" customWidth="1"/>
    <col min="7173" max="7173" width="4.09765625" style="2" customWidth="1"/>
    <col min="7174" max="7177" width="6.5" style="2" customWidth="1"/>
    <col min="7178" max="7178" width="9" style="2" customWidth="1"/>
    <col min="7179" max="7179" width="3.69921875" style="2" customWidth="1"/>
    <col min="7180" max="7180" width="11.69921875" style="2" customWidth="1"/>
    <col min="7181" max="7181" width="13.5" style="2" customWidth="1"/>
    <col min="7182" max="7182" width="7.5" style="2" customWidth="1"/>
    <col min="7183" max="7183" width="5.69921875" style="2" customWidth="1"/>
    <col min="7184" max="7184" width="9.69921875" style="2" customWidth="1"/>
    <col min="7185" max="7185" width="9" style="2"/>
    <col min="7186" max="7186" width="6.19921875" style="2" customWidth="1"/>
    <col min="7187" max="7187" width="9" style="2" customWidth="1"/>
    <col min="7188" max="7188" width="9" style="2"/>
    <col min="7189" max="7189" width="9" style="2" customWidth="1"/>
    <col min="7190" max="7422" width="9" style="2"/>
    <col min="7423" max="7423" width="9.19921875" style="2" customWidth="1"/>
    <col min="7424" max="7424" width="12.19921875" style="2" customWidth="1"/>
    <col min="7425" max="7425" width="4.19921875" style="2" customWidth="1"/>
    <col min="7426" max="7426" width="9.69921875" style="2" customWidth="1"/>
    <col min="7427" max="7427" width="13.69921875" style="2" customWidth="1"/>
    <col min="7428" max="7428" width="8.69921875" style="2" customWidth="1"/>
    <col min="7429" max="7429" width="4.09765625" style="2" customWidth="1"/>
    <col min="7430" max="7433" width="6.5" style="2" customWidth="1"/>
    <col min="7434" max="7434" width="9" style="2" customWidth="1"/>
    <col min="7435" max="7435" width="3.69921875" style="2" customWidth="1"/>
    <col min="7436" max="7436" width="11.69921875" style="2" customWidth="1"/>
    <col min="7437" max="7437" width="13.5" style="2" customWidth="1"/>
    <col min="7438" max="7438" width="7.5" style="2" customWidth="1"/>
    <col min="7439" max="7439" width="5.69921875" style="2" customWidth="1"/>
    <col min="7440" max="7440" width="9.69921875" style="2" customWidth="1"/>
    <col min="7441" max="7441" width="9" style="2"/>
    <col min="7442" max="7442" width="6.19921875" style="2" customWidth="1"/>
    <col min="7443" max="7443" width="9" style="2" customWidth="1"/>
    <col min="7444" max="7444" width="9" style="2"/>
    <col min="7445" max="7445" width="9" style="2" customWidth="1"/>
    <col min="7446" max="7678" width="9" style="2"/>
    <col min="7679" max="7679" width="9.19921875" style="2" customWidth="1"/>
    <col min="7680" max="7680" width="12.19921875" style="2" customWidth="1"/>
    <col min="7681" max="7681" width="4.19921875" style="2" customWidth="1"/>
    <col min="7682" max="7682" width="9.69921875" style="2" customWidth="1"/>
    <col min="7683" max="7683" width="13.69921875" style="2" customWidth="1"/>
    <col min="7684" max="7684" width="8.69921875" style="2" customWidth="1"/>
    <col min="7685" max="7685" width="4.09765625" style="2" customWidth="1"/>
    <col min="7686" max="7689" width="6.5" style="2" customWidth="1"/>
    <col min="7690" max="7690" width="9" style="2" customWidth="1"/>
    <col min="7691" max="7691" width="3.69921875" style="2" customWidth="1"/>
    <col min="7692" max="7692" width="11.69921875" style="2" customWidth="1"/>
    <col min="7693" max="7693" width="13.5" style="2" customWidth="1"/>
    <col min="7694" max="7694" width="7.5" style="2" customWidth="1"/>
    <col min="7695" max="7695" width="5.69921875" style="2" customWidth="1"/>
    <col min="7696" max="7696" width="9.69921875" style="2" customWidth="1"/>
    <col min="7697" max="7697" width="9" style="2"/>
    <col min="7698" max="7698" width="6.19921875" style="2" customWidth="1"/>
    <col min="7699" max="7699" width="9" style="2" customWidth="1"/>
    <col min="7700" max="7700" width="9" style="2"/>
    <col min="7701" max="7701" width="9" style="2" customWidth="1"/>
    <col min="7702" max="7934" width="9" style="2"/>
    <col min="7935" max="7935" width="9.19921875" style="2" customWidth="1"/>
    <col min="7936" max="7936" width="12.19921875" style="2" customWidth="1"/>
    <col min="7937" max="7937" width="4.19921875" style="2" customWidth="1"/>
    <col min="7938" max="7938" width="9.69921875" style="2" customWidth="1"/>
    <col min="7939" max="7939" width="13.69921875" style="2" customWidth="1"/>
    <col min="7940" max="7940" width="8.69921875" style="2" customWidth="1"/>
    <col min="7941" max="7941" width="4.09765625" style="2" customWidth="1"/>
    <col min="7942" max="7945" width="6.5" style="2" customWidth="1"/>
    <col min="7946" max="7946" width="9" style="2" customWidth="1"/>
    <col min="7947" max="7947" width="3.69921875" style="2" customWidth="1"/>
    <col min="7948" max="7948" width="11.69921875" style="2" customWidth="1"/>
    <col min="7949" max="7949" width="13.5" style="2" customWidth="1"/>
    <col min="7950" max="7950" width="7.5" style="2" customWidth="1"/>
    <col min="7951" max="7951" width="5.69921875" style="2" customWidth="1"/>
    <col min="7952" max="7952" width="9.69921875" style="2" customWidth="1"/>
    <col min="7953" max="7953" width="9" style="2"/>
    <col min="7954" max="7954" width="6.19921875" style="2" customWidth="1"/>
    <col min="7955" max="7955" width="9" style="2" customWidth="1"/>
    <col min="7956" max="7956" width="9" style="2"/>
    <col min="7957" max="7957" width="9" style="2" customWidth="1"/>
    <col min="7958" max="8190" width="9" style="2"/>
    <col min="8191" max="8191" width="9.19921875" style="2" customWidth="1"/>
    <col min="8192" max="8192" width="12.19921875" style="2" customWidth="1"/>
    <col min="8193" max="8193" width="4.19921875" style="2" customWidth="1"/>
    <col min="8194" max="8194" width="9.69921875" style="2" customWidth="1"/>
    <col min="8195" max="8195" width="13.69921875" style="2" customWidth="1"/>
    <col min="8196" max="8196" width="8.69921875" style="2" customWidth="1"/>
    <col min="8197" max="8197" width="4.09765625" style="2" customWidth="1"/>
    <col min="8198" max="8201" width="6.5" style="2" customWidth="1"/>
    <col min="8202" max="8202" width="9" style="2" customWidth="1"/>
    <col min="8203" max="8203" width="3.69921875" style="2" customWidth="1"/>
    <col min="8204" max="8204" width="11.69921875" style="2" customWidth="1"/>
    <col min="8205" max="8205" width="13.5" style="2" customWidth="1"/>
    <col min="8206" max="8206" width="7.5" style="2" customWidth="1"/>
    <col min="8207" max="8207" width="5.69921875" style="2" customWidth="1"/>
    <col min="8208" max="8208" width="9.69921875" style="2" customWidth="1"/>
    <col min="8209" max="8209" width="9" style="2"/>
    <col min="8210" max="8210" width="6.19921875" style="2" customWidth="1"/>
    <col min="8211" max="8211" width="9" style="2" customWidth="1"/>
    <col min="8212" max="8212" width="9" style="2"/>
    <col min="8213" max="8213" width="9" style="2" customWidth="1"/>
    <col min="8214" max="8446" width="9" style="2"/>
    <col min="8447" max="8447" width="9.19921875" style="2" customWidth="1"/>
    <col min="8448" max="8448" width="12.19921875" style="2" customWidth="1"/>
    <col min="8449" max="8449" width="4.19921875" style="2" customWidth="1"/>
    <col min="8450" max="8450" width="9.69921875" style="2" customWidth="1"/>
    <col min="8451" max="8451" width="13.69921875" style="2" customWidth="1"/>
    <col min="8452" max="8452" width="8.69921875" style="2" customWidth="1"/>
    <col min="8453" max="8453" width="4.09765625" style="2" customWidth="1"/>
    <col min="8454" max="8457" width="6.5" style="2" customWidth="1"/>
    <col min="8458" max="8458" width="9" style="2" customWidth="1"/>
    <col min="8459" max="8459" width="3.69921875" style="2" customWidth="1"/>
    <col min="8460" max="8460" width="11.69921875" style="2" customWidth="1"/>
    <col min="8461" max="8461" width="13.5" style="2" customWidth="1"/>
    <col min="8462" max="8462" width="7.5" style="2" customWidth="1"/>
    <col min="8463" max="8463" width="5.69921875" style="2" customWidth="1"/>
    <col min="8464" max="8464" width="9.69921875" style="2" customWidth="1"/>
    <col min="8465" max="8465" width="9" style="2"/>
    <col min="8466" max="8466" width="6.19921875" style="2" customWidth="1"/>
    <col min="8467" max="8467" width="9" style="2" customWidth="1"/>
    <col min="8468" max="8468" width="9" style="2"/>
    <col min="8469" max="8469" width="9" style="2" customWidth="1"/>
    <col min="8470" max="8702" width="9" style="2"/>
    <col min="8703" max="8703" width="9.19921875" style="2" customWidth="1"/>
    <col min="8704" max="8704" width="12.19921875" style="2" customWidth="1"/>
    <col min="8705" max="8705" width="4.19921875" style="2" customWidth="1"/>
    <col min="8706" max="8706" width="9.69921875" style="2" customWidth="1"/>
    <col min="8707" max="8707" width="13.69921875" style="2" customWidth="1"/>
    <col min="8708" max="8708" width="8.69921875" style="2" customWidth="1"/>
    <col min="8709" max="8709" width="4.09765625" style="2" customWidth="1"/>
    <col min="8710" max="8713" width="6.5" style="2" customWidth="1"/>
    <col min="8714" max="8714" width="9" style="2" customWidth="1"/>
    <col min="8715" max="8715" width="3.69921875" style="2" customWidth="1"/>
    <col min="8716" max="8716" width="11.69921875" style="2" customWidth="1"/>
    <col min="8717" max="8717" width="13.5" style="2" customWidth="1"/>
    <col min="8718" max="8718" width="7.5" style="2" customWidth="1"/>
    <col min="8719" max="8719" width="5.69921875" style="2" customWidth="1"/>
    <col min="8720" max="8720" width="9.69921875" style="2" customWidth="1"/>
    <col min="8721" max="8721" width="9" style="2"/>
    <col min="8722" max="8722" width="6.19921875" style="2" customWidth="1"/>
    <col min="8723" max="8723" width="9" style="2" customWidth="1"/>
    <col min="8724" max="8724" width="9" style="2"/>
    <col min="8725" max="8725" width="9" style="2" customWidth="1"/>
    <col min="8726" max="8958" width="9" style="2"/>
    <col min="8959" max="8959" width="9.19921875" style="2" customWidth="1"/>
    <col min="8960" max="8960" width="12.19921875" style="2" customWidth="1"/>
    <col min="8961" max="8961" width="4.19921875" style="2" customWidth="1"/>
    <col min="8962" max="8962" width="9.69921875" style="2" customWidth="1"/>
    <col min="8963" max="8963" width="13.69921875" style="2" customWidth="1"/>
    <col min="8964" max="8964" width="8.69921875" style="2" customWidth="1"/>
    <col min="8965" max="8965" width="4.09765625" style="2" customWidth="1"/>
    <col min="8966" max="8969" width="6.5" style="2" customWidth="1"/>
    <col min="8970" max="8970" width="9" style="2" customWidth="1"/>
    <col min="8971" max="8971" width="3.69921875" style="2" customWidth="1"/>
    <col min="8972" max="8972" width="11.69921875" style="2" customWidth="1"/>
    <col min="8973" max="8973" width="13.5" style="2" customWidth="1"/>
    <col min="8974" max="8974" width="7.5" style="2" customWidth="1"/>
    <col min="8975" max="8975" width="5.69921875" style="2" customWidth="1"/>
    <col min="8976" max="8976" width="9.69921875" style="2" customWidth="1"/>
    <col min="8977" max="8977" width="9" style="2"/>
    <col min="8978" max="8978" width="6.19921875" style="2" customWidth="1"/>
    <col min="8979" max="8979" width="9" style="2" customWidth="1"/>
    <col min="8980" max="8980" width="9" style="2"/>
    <col min="8981" max="8981" width="9" style="2" customWidth="1"/>
    <col min="8982" max="9214" width="9" style="2"/>
    <col min="9215" max="9215" width="9.19921875" style="2" customWidth="1"/>
    <col min="9216" max="9216" width="12.19921875" style="2" customWidth="1"/>
    <col min="9217" max="9217" width="4.19921875" style="2" customWidth="1"/>
    <col min="9218" max="9218" width="9.69921875" style="2" customWidth="1"/>
    <col min="9219" max="9219" width="13.69921875" style="2" customWidth="1"/>
    <col min="9220" max="9220" width="8.69921875" style="2" customWidth="1"/>
    <col min="9221" max="9221" width="4.09765625" style="2" customWidth="1"/>
    <col min="9222" max="9225" width="6.5" style="2" customWidth="1"/>
    <col min="9226" max="9226" width="9" style="2" customWidth="1"/>
    <col min="9227" max="9227" width="3.69921875" style="2" customWidth="1"/>
    <col min="9228" max="9228" width="11.69921875" style="2" customWidth="1"/>
    <col min="9229" max="9229" width="13.5" style="2" customWidth="1"/>
    <col min="9230" max="9230" width="7.5" style="2" customWidth="1"/>
    <col min="9231" max="9231" width="5.69921875" style="2" customWidth="1"/>
    <col min="9232" max="9232" width="9.69921875" style="2" customWidth="1"/>
    <col min="9233" max="9233" width="9" style="2"/>
    <col min="9234" max="9234" width="6.19921875" style="2" customWidth="1"/>
    <col min="9235" max="9235" width="9" style="2" customWidth="1"/>
    <col min="9236" max="9236" width="9" style="2"/>
    <col min="9237" max="9237" width="9" style="2" customWidth="1"/>
    <col min="9238" max="9470" width="9" style="2"/>
    <col min="9471" max="9471" width="9.19921875" style="2" customWidth="1"/>
    <col min="9472" max="9472" width="12.19921875" style="2" customWidth="1"/>
    <col min="9473" max="9473" width="4.19921875" style="2" customWidth="1"/>
    <col min="9474" max="9474" width="9.69921875" style="2" customWidth="1"/>
    <col min="9475" max="9475" width="13.69921875" style="2" customWidth="1"/>
    <col min="9476" max="9476" width="8.69921875" style="2" customWidth="1"/>
    <col min="9477" max="9477" width="4.09765625" style="2" customWidth="1"/>
    <col min="9478" max="9481" width="6.5" style="2" customWidth="1"/>
    <col min="9482" max="9482" width="9" style="2" customWidth="1"/>
    <col min="9483" max="9483" width="3.69921875" style="2" customWidth="1"/>
    <col min="9484" max="9484" width="11.69921875" style="2" customWidth="1"/>
    <col min="9485" max="9485" width="13.5" style="2" customWidth="1"/>
    <col min="9486" max="9486" width="7.5" style="2" customWidth="1"/>
    <col min="9487" max="9487" width="5.69921875" style="2" customWidth="1"/>
    <col min="9488" max="9488" width="9.69921875" style="2" customWidth="1"/>
    <col min="9489" max="9489" width="9" style="2"/>
    <col min="9490" max="9490" width="6.19921875" style="2" customWidth="1"/>
    <col min="9491" max="9491" width="9" style="2" customWidth="1"/>
    <col min="9492" max="9492" width="9" style="2"/>
    <col min="9493" max="9493" width="9" style="2" customWidth="1"/>
    <col min="9494" max="9726" width="9" style="2"/>
    <col min="9727" max="9727" width="9.19921875" style="2" customWidth="1"/>
    <col min="9728" max="9728" width="12.19921875" style="2" customWidth="1"/>
    <col min="9729" max="9729" width="4.19921875" style="2" customWidth="1"/>
    <col min="9730" max="9730" width="9.69921875" style="2" customWidth="1"/>
    <col min="9731" max="9731" width="13.69921875" style="2" customWidth="1"/>
    <col min="9732" max="9732" width="8.69921875" style="2" customWidth="1"/>
    <col min="9733" max="9733" width="4.09765625" style="2" customWidth="1"/>
    <col min="9734" max="9737" width="6.5" style="2" customWidth="1"/>
    <col min="9738" max="9738" width="9" style="2" customWidth="1"/>
    <col min="9739" max="9739" width="3.69921875" style="2" customWidth="1"/>
    <col min="9740" max="9740" width="11.69921875" style="2" customWidth="1"/>
    <col min="9741" max="9741" width="13.5" style="2" customWidth="1"/>
    <col min="9742" max="9742" width="7.5" style="2" customWidth="1"/>
    <col min="9743" max="9743" width="5.69921875" style="2" customWidth="1"/>
    <col min="9744" max="9744" width="9.69921875" style="2" customWidth="1"/>
    <col min="9745" max="9745" width="9" style="2"/>
    <col min="9746" max="9746" width="6.19921875" style="2" customWidth="1"/>
    <col min="9747" max="9747" width="9" style="2" customWidth="1"/>
    <col min="9748" max="9748" width="9" style="2"/>
    <col min="9749" max="9749" width="9" style="2" customWidth="1"/>
    <col min="9750" max="9982" width="9" style="2"/>
    <col min="9983" max="9983" width="9.19921875" style="2" customWidth="1"/>
    <col min="9984" max="9984" width="12.19921875" style="2" customWidth="1"/>
    <col min="9985" max="9985" width="4.19921875" style="2" customWidth="1"/>
    <col min="9986" max="9986" width="9.69921875" style="2" customWidth="1"/>
    <col min="9987" max="9987" width="13.69921875" style="2" customWidth="1"/>
    <col min="9988" max="9988" width="8.69921875" style="2" customWidth="1"/>
    <col min="9989" max="9989" width="4.09765625" style="2" customWidth="1"/>
    <col min="9990" max="9993" width="6.5" style="2" customWidth="1"/>
    <col min="9994" max="9994" width="9" style="2" customWidth="1"/>
    <col min="9995" max="9995" width="3.69921875" style="2" customWidth="1"/>
    <col min="9996" max="9996" width="11.69921875" style="2" customWidth="1"/>
    <col min="9997" max="9997" width="13.5" style="2" customWidth="1"/>
    <col min="9998" max="9998" width="7.5" style="2" customWidth="1"/>
    <col min="9999" max="9999" width="5.69921875" style="2" customWidth="1"/>
    <col min="10000" max="10000" width="9.69921875" style="2" customWidth="1"/>
    <col min="10001" max="10001" width="9" style="2"/>
    <col min="10002" max="10002" width="6.19921875" style="2" customWidth="1"/>
    <col min="10003" max="10003" width="9" style="2" customWidth="1"/>
    <col min="10004" max="10004" width="9" style="2"/>
    <col min="10005" max="10005" width="9" style="2" customWidth="1"/>
    <col min="10006" max="10238" width="9" style="2"/>
    <col min="10239" max="10239" width="9.19921875" style="2" customWidth="1"/>
    <col min="10240" max="10240" width="12.19921875" style="2" customWidth="1"/>
    <col min="10241" max="10241" width="4.19921875" style="2" customWidth="1"/>
    <col min="10242" max="10242" width="9.69921875" style="2" customWidth="1"/>
    <col min="10243" max="10243" width="13.69921875" style="2" customWidth="1"/>
    <col min="10244" max="10244" width="8.69921875" style="2" customWidth="1"/>
    <col min="10245" max="10245" width="4.09765625" style="2" customWidth="1"/>
    <col min="10246" max="10249" width="6.5" style="2" customWidth="1"/>
    <col min="10250" max="10250" width="9" style="2" customWidth="1"/>
    <col min="10251" max="10251" width="3.69921875" style="2" customWidth="1"/>
    <col min="10252" max="10252" width="11.69921875" style="2" customWidth="1"/>
    <col min="10253" max="10253" width="13.5" style="2" customWidth="1"/>
    <col min="10254" max="10254" width="7.5" style="2" customWidth="1"/>
    <col min="10255" max="10255" width="5.69921875" style="2" customWidth="1"/>
    <col min="10256" max="10256" width="9.69921875" style="2" customWidth="1"/>
    <col min="10257" max="10257" width="9" style="2"/>
    <col min="10258" max="10258" width="6.19921875" style="2" customWidth="1"/>
    <col min="10259" max="10259" width="9" style="2" customWidth="1"/>
    <col min="10260" max="10260" width="9" style="2"/>
    <col min="10261" max="10261" width="9" style="2" customWidth="1"/>
    <col min="10262" max="10494" width="9" style="2"/>
    <col min="10495" max="10495" width="9.19921875" style="2" customWidth="1"/>
    <col min="10496" max="10496" width="12.19921875" style="2" customWidth="1"/>
    <col min="10497" max="10497" width="4.19921875" style="2" customWidth="1"/>
    <col min="10498" max="10498" width="9.69921875" style="2" customWidth="1"/>
    <col min="10499" max="10499" width="13.69921875" style="2" customWidth="1"/>
    <col min="10500" max="10500" width="8.69921875" style="2" customWidth="1"/>
    <col min="10501" max="10501" width="4.09765625" style="2" customWidth="1"/>
    <col min="10502" max="10505" width="6.5" style="2" customWidth="1"/>
    <col min="10506" max="10506" width="9" style="2" customWidth="1"/>
    <col min="10507" max="10507" width="3.69921875" style="2" customWidth="1"/>
    <col min="10508" max="10508" width="11.69921875" style="2" customWidth="1"/>
    <col min="10509" max="10509" width="13.5" style="2" customWidth="1"/>
    <col min="10510" max="10510" width="7.5" style="2" customWidth="1"/>
    <col min="10511" max="10511" width="5.69921875" style="2" customWidth="1"/>
    <col min="10512" max="10512" width="9.69921875" style="2" customWidth="1"/>
    <col min="10513" max="10513" width="9" style="2"/>
    <col min="10514" max="10514" width="6.19921875" style="2" customWidth="1"/>
    <col min="10515" max="10515" width="9" style="2" customWidth="1"/>
    <col min="10516" max="10516" width="9" style="2"/>
    <col min="10517" max="10517" width="9" style="2" customWidth="1"/>
    <col min="10518" max="10750" width="9" style="2"/>
    <col min="10751" max="10751" width="9.19921875" style="2" customWidth="1"/>
    <col min="10752" max="10752" width="12.19921875" style="2" customWidth="1"/>
    <col min="10753" max="10753" width="4.19921875" style="2" customWidth="1"/>
    <col min="10754" max="10754" width="9.69921875" style="2" customWidth="1"/>
    <col min="10755" max="10755" width="13.69921875" style="2" customWidth="1"/>
    <col min="10756" max="10756" width="8.69921875" style="2" customWidth="1"/>
    <col min="10757" max="10757" width="4.09765625" style="2" customWidth="1"/>
    <col min="10758" max="10761" width="6.5" style="2" customWidth="1"/>
    <col min="10762" max="10762" width="9" style="2" customWidth="1"/>
    <col min="10763" max="10763" width="3.69921875" style="2" customWidth="1"/>
    <col min="10764" max="10764" width="11.69921875" style="2" customWidth="1"/>
    <col min="10765" max="10765" width="13.5" style="2" customWidth="1"/>
    <col min="10766" max="10766" width="7.5" style="2" customWidth="1"/>
    <col min="10767" max="10767" width="5.69921875" style="2" customWidth="1"/>
    <col min="10768" max="10768" width="9.69921875" style="2" customWidth="1"/>
    <col min="10769" max="10769" width="9" style="2"/>
    <col min="10770" max="10770" width="6.19921875" style="2" customWidth="1"/>
    <col min="10771" max="10771" width="9" style="2" customWidth="1"/>
    <col min="10772" max="10772" width="9" style="2"/>
    <col min="10773" max="10773" width="9" style="2" customWidth="1"/>
    <col min="10774" max="11006" width="9" style="2"/>
    <col min="11007" max="11007" width="9.19921875" style="2" customWidth="1"/>
    <col min="11008" max="11008" width="12.19921875" style="2" customWidth="1"/>
    <col min="11009" max="11009" width="4.19921875" style="2" customWidth="1"/>
    <col min="11010" max="11010" width="9.69921875" style="2" customWidth="1"/>
    <col min="11011" max="11011" width="13.69921875" style="2" customWidth="1"/>
    <col min="11012" max="11012" width="8.69921875" style="2" customWidth="1"/>
    <col min="11013" max="11013" width="4.09765625" style="2" customWidth="1"/>
    <col min="11014" max="11017" width="6.5" style="2" customWidth="1"/>
    <col min="11018" max="11018" width="9" style="2" customWidth="1"/>
    <col min="11019" max="11019" width="3.69921875" style="2" customWidth="1"/>
    <col min="11020" max="11020" width="11.69921875" style="2" customWidth="1"/>
    <col min="11021" max="11021" width="13.5" style="2" customWidth="1"/>
    <col min="11022" max="11022" width="7.5" style="2" customWidth="1"/>
    <col min="11023" max="11023" width="5.69921875" style="2" customWidth="1"/>
    <col min="11024" max="11024" width="9.69921875" style="2" customWidth="1"/>
    <col min="11025" max="11025" width="9" style="2"/>
    <col min="11026" max="11026" width="6.19921875" style="2" customWidth="1"/>
    <col min="11027" max="11027" width="9" style="2" customWidth="1"/>
    <col min="11028" max="11028" width="9" style="2"/>
    <col min="11029" max="11029" width="9" style="2" customWidth="1"/>
    <col min="11030" max="11262" width="9" style="2"/>
    <col min="11263" max="11263" width="9.19921875" style="2" customWidth="1"/>
    <col min="11264" max="11264" width="12.19921875" style="2" customWidth="1"/>
    <col min="11265" max="11265" width="4.19921875" style="2" customWidth="1"/>
    <col min="11266" max="11266" width="9.69921875" style="2" customWidth="1"/>
    <col min="11267" max="11267" width="13.69921875" style="2" customWidth="1"/>
    <col min="11268" max="11268" width="8.69921875" style="2" customWidth="1"/>
    <col min="11269" max="11269" width="4.09765625" style="2" customWidth="1"/>
    <col min="11270" max="11273" width="6.5" style="2" customWidth="1"/>
    <col min="11274" max="11274" width="9" style="2" customWidth="1"/>
    <col min="11275" max="11275" width="3.69921875" style="2" customWidth="1"/>
    <col min="11276" max="11276" width="11.69921875" style="2" customWidth="1"/>
    <col min="11277" max="11277" width="13.5" style="2" customWidth="1"/>
    <col min="11278" max="11278" width="7.5" style="2" customWidth="1"/>
    <col min="11279" max="11279" width="5.69921875" style="2" customWidth="1"/>
    <col min="11280" max="11280" width="9.69921875" style="2" customWidth="1"/>
    <col min="11281" max="11281" width="9" style="2"/>
    <col min="11282" max="11282" width="6.19921875" style="2" customWidth="1"/>
    <col min="11283" max="11283" width="9" style="2" customWidth="1"/>
    <col min="11284" max="11284" width="9" style="2"/>
    <col min="11285" max="11285" width="9" style="2" customWidth="1"/>
    <col min="11286" max="11518" width="9" style="2"/>
    <col min="11519" max="11519" width="9.19921875" style="2" customWidth="1"/>
    <col min="11520" max="11520" width="12.19921875" style="2" customWidth="1"/>
    <col min="11521" max="11521" width="4.19921875" style="2" customWidth="1"/>
    <col min="11522" max="11522" width="9.69921875" style="2" customWidth="1"/>
    <col min="11523" max="11523" width="13.69921875" style="2" customWidth="1"/>
    <col min="11524" max="11524" width="8.69921875" style="2" customWidth="1"/>
    <col min="11525" max="11525" width="4.09765625" style="2" customWidth="1"/>
    <col min="11526" max="11529" width="6.5" style="2" customWidth="1"/>
    <col min="11530" max="11530" width="9" style="2" customWidth="1"/>
    <col min="11531" max="11531" width="3.69921875" style="2" customWidth="1"/>
    <col min="11532" max="11532" width="11.69921875" style="2" customWidth="1"/>
    <col min="11533" max="11533" width="13.5" style="2" customWidth="1"/>
    <col min="11534" max="11534" width="7.5" style="2" customWidth="1"/>
    <col min="11535" max="11535" width="5.69921875" style="2" customWidth="1"/>
    <col min="11536" max="11536" width="9.69921875" style="2" customWidth="1"/>
    <col min="11537" max="11537" width="9" style="2"/>
    <col min="11538" max="11538" width="6.19921875" style="2" customWidth="1"/>
    <col min="11539" max="11539" width="9" style="2" customWidth="1"/>
    <col min="11540" max="11540" width="9" style="2"/>
    <col min="11541" max="11541" width="9" style="2" customWidth="1"/>
    <col min="11542" max="11774" width="9" style="2"/>
    <col min="11775" max="11775" width="9.19921875" style="2" customWidth="1"/>
    <col min="11776" max="11776" width="12.19921875" style="2" customWidth="1"/>
    <col min="11777" max="11777" width="4.19921875" style="2" customWidth="1"/>
    <col min="11778" max="11778" width="9.69921875" style="2" customWidth="1"/>
    <col min="11779" max="11779" width="13.69921875" style="2" customWidth="1"/>
    <col min="11780" max="11780" width="8.69921875" style="2" customWidth="1"/>
    <col min="11781" max="11781" width="4.09765625" style="2" customWidth="1"/>
    <col min="11782" max="11785" width="6.5" style="2" customWidth="1"/>
    <col min="11786" max="11786" width="9" style="2" customWidth="1"/>
    <col min="11787" max="11787" width="3.69921875" style="2" customWidth="1"/>
    <col min="11788" max="11788" width="11.69921875" style="2" customWidth="1"/>
    <col min="11789" max="11789" width="13.5" style="2" customWidth="1"/>
    <col min="11790" max="11790" width="7.5" style="2" customWidth="1"/>
    <col min="11791" max="11791" width="5.69921875" style="2" customWidth="1"/>
    <col min="11792" max="11792" width="9.69921875" style="2" customWidth="1"/>
    <col min="11793" max="11793" width="9" style="2"/>
    <col min="11794" max="11794" width="6.19921875" style="2" customWidth="1"/>
    <col min="11795" max="11795" width="9" style="2" customWidth="1"/>
    <col min="11796" max="11796" width="9" style="2"/>
    <col min="11797" max="11797" width="9" style="2" customWidth="1"/>
    <col min="11798" max="12030" width="9" style="2"/>
    <col min="12031" max="12031" width="9.19921875" style="2" customWidth="1"/>
    <col min="12032" max="12032" width="12.19921875" style="2" customWidth="1"/>
    <col min="12033" max="12033" width="4.19921875" style="2" customWidth="1"/>
    <col min="12034" max="12034" width="9.69921875" style="2" customWidth="1"/>
    <col min="12035" max="12035" width="13.69921875" style="2" customWidth="1"/>
    <col min="12036" max="12036" width="8.69921875" style="2" customWidth="1"/>
    <col min="12037" max="12037" width="4.09765625" style="2" customWidth="1"/>
    <col min="12038" max="12041" width="6.5" style="2" customWidth="1"/>
    <col min="12042" max="12042" width="9" style="2" customWidth="1"/>
    <col min="12043" max="12043" width="3.69921875" style="2" customWidth="1"/>
    <col min="12044" max="12044" width="11.69921875" style="2" customWidth="1"/>
    <col min="12045" max="12045" width="13.5" style="2" customWidth="1"/>
    <col min="12046" max="12046" width="7.5" style="2" customWidth="1"/>
    <col min="12047" max="12047" width="5.69921875" style="2" customWidth="1"/>
    <col min="12048" max="12048" width="9.69921875" style="2" customWidth="1"/>
    <col min="12049" max="12049" width="9" style="2"/>
    <col min="12050" max="12050" width="6.19921875" style="2" customWidth="1"/>
    <col min="12051" max="12051" width="9" style="2" customWidth="1"/>
    <col min="12052" max="12052" width="9" style="2"/>
    <col min="12053" max="12053" width="9" style="2" customWidth="1"/>
    <col min="12054" max="12286" width="9" style="2"/>
    <col min="12287" max="12287" width="9.19921875" style="2" customWidth="1"/>
    <col min="12288" max="12288" width="12.19921875" style="2" customWidth="1"/>
    <col min="12289" max="12289" width="4.19921875" style="2" customWidth="1"/>
    <col min="12290" max="12290" width="9.69921875" style="2" customWidth="1"/>
    <col min="12291" max="12291" width="13.69921875" style="2" customWidth="1"/>
    <col min="12292" max="12292" width="8.69921875" style="2" customWidth="1"/>
    <col min="12293" max="12293" width="4.09765625" style="2" customWidth="1"/>
    <col min="12294" max="12297" width="6.5" style="2" customWidth="1"/>
    <col min="12298" max="12298" width="9" style="2" customWidth="1"/>
    <col min="12299" max="12299" width="3.69921875" style="2" customWidth="1"/>
    <col min="12300" max="12300" width="11.69921875" style="2" customWidth="1"/>
    <col min="12301" max="12301" width="13.5" style="2" customWidth="1"/>
    <col min="12302" max="12302" width="7.5" style="2" customWidth="1"/>
    <col min="12303" max="12303" width="5.69921875" style="2" customWidth="1"/>
    <col min="12304" max="12304" width="9.69921875" style="2" customWidth="1"/>
    <col min="12305" max="12305" width="9" style="2"/>
    <col min="12306" max="12306" width="6.19921875" style="2" customWidth="1"/>
    <col min="12307" max="12307" width="9" style="2" customWidth="1"/>
    <col min="12308" max="12308" width="9" style="2"/>
    <col min="12309" max="12309" width="9" style="2" customWidth="1"/>
    <col min="12310" max="12542" width="9" style="2"/>
    <col min="12543" max="12543" width="9.19921875" style="2" customWidth="1"/>
    <col min="12544" max="12544" width="12.19921875" style="2" customWidth="1"/>
    <col min="12545" max="12545" width="4.19921875" style="2" customWidth="1"/>
    <col min="12546" max="12546" width="9.69921875" style="2" customWidth="1"/>
    <col min="12547" max="12547" width="13.69921875" style="2" customWidth="1"/>
    <col min="12548" max="12548" width="8.69921875" style="2" customWidth="1"/>
    <col min="12549" max="12549" width="4.09765625" style="2" customWidth="1"/>
    <col min="12550" max="12553" width="6.5" style="2" customWidth="1"/>
    <col min="12554" max="12554" width="9" style="2" customWidth="1"/>
    <col min="12555" max="12555" width="3.69921875" style="2" customWidth="1"/>
    <col min="12556" max="12556" width="11.69921875" style="2" customWidth="1"/>
    <col min="12557" max="12557" width="13.5" style="2" customWidth="1"/>
    <col min="12558" max="12558" width="7.5" style="2" customWidth="1"/>
    <col min="12559" max="12559" width="5.69921875" style="2" customWidth="1"/>
    <col min="12560" max="12560" width="9.69921875" style="2" customWidth="1"/>
    <col min="12561" max="12561" width="9" style="2"/>
    <col min="12562" max="12562" width="6.19921875" style="2" customWidth="1"/>
    <col min="12563" max="12563" width="9" style="2" customWidth="1"/>
    <col min="12564" max="12564" width="9" style="2"/>
    <col min="12565" max="12565" width="9" style="2" customWidth="1"/>
    <col min="12566" max="12798" width="9" style="2"/>
    <col min="12799" max="12799" width="9.19921875" style="2" customWidth="1"/>
    <col min="12800" max="12800" width="12.19921875" style="2" customWidth="1"/>
    <col min="12801" max="12801" width="4.19921875" style="2" customWidth="1"/>
    <col min="12802" max="12802" width="9.69921875" style="2" customWidth="1"/>
    <col min="12803" max="12803" width="13.69921875" style="2" customWidth="1"/>
    <col min="12804" max="12804" width="8.69921875" style="2" customWidth="1"/>
    <col min="12805" max="12805" width="4.09765625" style="2" customWidth="1"/>
    <col min="12806" max="12809" width="6.5" style="2" customWidth="1"/>
    <col min="12810" max="12810" width="9" style="2" customWidth="1"/>
    <col min="12811" max="12811" width="3.69921875" style="2" customWidth="1"/>
    <col min="12812" max="12812" width="11.69921875" style="2" customWidth="1"/>
    <col min="12813" max="12813" width="13.5" style="2" customWidth="1"/>
    <col min="12814" max="12814" width="7.5" style="2" customWidth="1"/>
    <col min="12815" max="12815" width="5.69921875" style="2" customWidth="1"/>
    <col min="12816" max="12816" width="9.69921875" style="2" customWidth="1"/>
    <col min="12817" max="12817" width="9" style="2"/>
    <col min="12818" max="12818" width="6.19921875" style="2" customWidth="1"/>
    <col min="12819" max="12819" width="9" style="2" customWidth="1"/>
    <col min="12820" max="12820" width="9" style="2"/>
    <col min="12821" max="12821" width="9" style="2" customWidth="1"/>
    <col min="12822" max="13054" width="9" style="2"/>
    <col min="13055" max="13055" width="9.19921875" style="2" customWidth="1"/>
    <col min="13056" max="13056" width="12.19921875" style="2" customWidth="1"/>
    <col min="13057" max="13057" width="4.19921875" style="2" customWidth="1"/>
    <col min="13058" max="13058" width="9.69921875" style="2" customWidth="1"/>
    <col min="13059" max="13059" width="13.69921875" style="2" customWidth="1"/>
    <col min="13060" max="13060" width="8.69921875" style="2" customWidth="1"/>
    <col min="13061" max="13061" width="4.09765625" style="2" customWidth="1"/>
    <col min="13062" max="13065" width="6.5" style="2" customWidth="1"/>
    <col min="13066" max="13066" width="9" style="2" customWidth="1"/>
    <col min="13067" max="13067" width="3.69921875" style="2" customWidth="1"/>
    <col min="13068" max="13068" width="11.69921875" style="2" customWidth="1"/>
    <col min="13069" max="13069" width="13.5" style="2" customWidth="1"/>
    <col min="13070" max="13070" width="7.5" style="2" customWidth="1"/>
    <col min="13071" max="13071" width="5.69921875" style="2" customWidth="1"/>
    <col min="13072" max="13072" width="9.69921875" style="2" customWidth="1"/>
    <col min="13073" max="13073" width="9" style="2"/>
    <col min="13074" max="13074" width="6.19921875" style="2" customWidth="1"/>
    <col min="13075" max="13075" width="9" style="2" customWidth="1"/>
    <col min="13076" max="13076" width="9" style="2"/>
    <col min="13077" max="13077" width="9" style="2" customWidth="1"/>
    <col min="13078" max="13310" width="9" style="2"/>
    <col min="13311" max="13311" width="9.19921875" style="2" customWidth="1"/>
    <col min="13312" max="13312" width="12.19921875" style="2" customWidth="1"/>
    <col min="13313" max="13313" width="4.19921875" style="2" customWidth="1"/>
    <col min="13314" max="13314" width="9.69921875" style="2" customWidth="1"/>
    <col min="13315" max="13315" width="13.69921875" style="2" customWidth="1"/>
    <col min="13316" max="13316" width="8.69921875" style="2" customWidth="1"/>
    <col min="13317" max="13317" width="4.09765625" style="2" customWidth="1"/>
    <col min="13318" max="13321" width="6.5" style="2" customWidth="1"/>
    <col min="13322" max="13322" width="9" style="2" customWidth="1"/>
    <col min="13323" max="13323" width="3.69921875" style="2" customWidth="1"/>
    <col min="13324" max="13324" width="11.69921875" style="2" customWidth="1"/>
    <col min="13325" max="13325" width="13.5" style="2" customWidth="1"/>
    <col min="13326" max="13326" width="7.5" style="2" customWidth="1"/>
    <col min="13327" max="13327" width="5.69921875" style="2" customWidth="1"/>
    <col min="13328" max="13328" width="9.69921875" style="2" customWidth="1"/>
    <col min="13329" max="13329" width="9" style="2"/>
    <col min="13330" max="13330" width="6.19921875" style="2" customWidth="1"/>
    <col min="13331" max="13331" width="9" style="2" customWidth="1"/>
    <col min="13332" max="13332" width="9" style="2"/>
    <col min="13333" max="13333" width="9" style="2" customWidth="1"/>
    <col min="13334" max="13566" width="9" style="2"/>
    <col min="13567" max="13567" width="9.19921875" style="2" customWidth="1"/>
    <col min="13568" max="13568" width="12.19921875" style="2" customWidth="1"/>
    <col min="13569" max="13569" width="4.19921875" style="2" customWidth="1"/>
    <col min="13570" max="13570" width="9.69921875" style="2" customWidth="1"/>
    <col min="13571" max="13571" width="13.69921875" style="2" customWidth="1"/>
    <col min="13572" max="13572" width="8.69921875" style="2" customWidth="1"/>
    <col min="13573" max="13573" width="4.09765625" style="2" customWidth="1"/>
    <col min="13574" max="13577" width="6.5" style="2" customWidth="1"/>
    <col min="13578" max="13578" width="9" style="2" customWidth="1"/>
    <col min="13579" max="13579" width="3.69921875" style="2" customWidth="1"/>
    <col min="13580" max="13580" width="11.69921875" style="2" customWidth="1"/>
    <col min="13581" max="13581" width="13.5" style="2" customWidth="1"/>
    <col min="13582" max="13582" width="7.5" style="2" customWidth="1"/>
    <col min="13583" max="13583" width="5.69921875" style="2" customWidth="1"/>
    <col min="13584" max="13584" width="9.69921875" style="2" customWidth="1"/>
    <col min="13585" max="13585" width="9" style="2"/>
    <col min="13586" max="13586" width="6.19921875" style="2" customWidth="1"/>
    <col min="13587" max="13587" width="9" style="2" customWidth="1"/>
    <col min="13588" max="13588" width="9" style="2"/>
    <col min="13589" max="13589" width="9" style="2" customWidth="1"/>
    <col min="13590" max="13822" width="9" style="2"/>
    <col min="13823" max="13823" width="9.19921875" style="2" customWidth="1"/>
    <col min="13824" max="13824" width="12.19921875" style="2" customWidth="1"/>
    <col min="13825" max="13825" width="4.19921875" style="2" customWidth="1"/>
    <col min="13826" max="13826" width="9.69921875" style="2" customWidth="1"/>
    <col min="13827" max="13827" width="13.69921875" style="2" customWidth="1"/>
    <col min="13828" max="13828" width="8.69921875" style="2" customWidth="1"/>
    <col min="13829" max="13829" width="4.09765625" style="2" customWidth="1"/>
    <col min="13830" max="13833" width="6.5" style="2" customWidth="1"/>
    <col min="13834" max="13834" width="9" style="2" customWidth="1"/>
    <col min="13835" max="13835" width="3.69921875" style="2" customWidth="1"/>
    <col min="13836" max="13836" width="11.69921875" style="2" customWidth="1"/>
    <col min="13837" max="13837" width="13.5" style="2" customWidth="1"/>
    <col min="13838" max="13838" width="7.5" style="2" customWidth="1"/>
    <col min="13839" max="13839" width="5.69921875" style="2" customWidth="1"/>
    <col min="13840" max="13840" width="9.69921875" style="2" customWidth="1"/>
    <col min="13841" max="13841" width="9" style="2"/>
    <col min="13842" max="13842" width="6.19921875" style="2" customWidth="1"/>
    <col min="13843" max="13843" width="9" style="2" customWidth="1"/>
    <col min="13844" max="13844" width="9" style="2"/>
    <col min="13845" max="13845" width="9" style="2" customWidth="1"/>
    <col min="13846" max="14078" width="9" style="2"/>
    <col min="14079" max="14079" width="9.19921875" style="2" customWidth="1"/>
    <col min="14080" max="14080" width="12.19921875" style="2" customWidth="1"/>
    <col min="14081" max="14081" width="4.19921875" style="2" customWidth="1"/>
    <col min="14082" max="14082" width="9.69921875" style="2" customWidth="1"/>
    <col min="14083" max="14083" width="13.69921875" style="2" customWidth="1"/>
    <col min="14084" max="14084" width="8.69921875" style="2" customWidth="1"/>
    <col min="14085" max="14085" width="4.09765625" style="2" customWidth="1"/>
    <col min="14086" max="14089" width="6.5" style="2" customWidth="1"/>
    <col min="14090" max="14090" width="9" style="2" customWidth="1"/>
    <col min="14091" max="14091" width="3.69921875" style="2" customWidth="1"/>
    <col min="14092" max="14092" width="11.69921875" style="2" customWidth="1"/>
    <col min="14093" max="14093" width="13.5" style="2" customWidth="1"/>
    <col min="14094" max="14094" width="7.5" style="2" customWidth="1"/>
    <col min="14095" max="14095" width="5.69921875" style="2" customWidth="1"/>
    <col min="14096" max="14096" width="9.69921875" style="2" customWidth="1"/>
    <col min="14097" max="14097" width="9" style="2"/>
    <col min="14098" max="14098" width="6.19921875" style="2" customWidth="1"/>
    <col min="14099" max="14099" width="9" style="2" customWidth="1"/>
    <col min="14100" max="14100" width="9" style="2"/>
    <col min="14101" max="14101" width="9" style="2" customWidth="1"/>
    <col min="14102" max="14334" width="9" style="2"/>
    <col min="14335" max="14335" width="9.19921875" style="2" customWidth="1"/>
    <col min="14336" max="14336" width="12.19921875" style="2" customWidth="1"/>
    <col min="14337" max="14337" width="4.19921875" style="2" customWidth="1"/>
    <col min="14338" max="14338" width="9.69921875" style="2" customWidth="1"/>
    <col min="14339" max="14339" width="13.69921875" style="2" customWidth="1"/>
    <col min="14340" max="14340" width="8.69921875" style="2" customWidth="1"/>
    <col min="14341" max="14341" width="4.09765625" style="2" customWidth="1"/>
    <col min="14342" max="14345" width="6.5" style="2" customWidth="1"/>
    <col min="14346" max="14346" width="9" style="2" customWidth="1"/>
    <col min="14347" max="14347" width="3.69921875" style="2" customWidth="1"/>
    <col min="14348" max="14348" width="11.69921875" style="2" customWidth="1"/>
    <col min="14349" max="14349" width="13.5" style="2" customWidth="1"/>
    <col min="14350" max="14350" width="7.5" style="2" customWidth="1"/>
    <col min="14351" max="14351" width="5.69921875" style="2" customWidth="1"/>
    <col min="14352" max="14352" width="9.69921875" style="2" customWidth="1"/>
    <col min="14353" max="14353" width="9" style="2"/>
    <col min="14354" max="14354" width="6.19921875" style="2" customWidth="1"/>
    <col min="14355" max="14355" width="9" style="2" customWidth="1"/>
    <col min="14356" max="14356" width="9" style="2"/>
    <col min="14357" max="14357" width="9" style="2" customWidth="1"/>
    <col min="14358" max="14590" width="9" style="2"/>
    <col min="14591" max="14591" width="9.19921875" style="2" customWidth="1"/>
    <col min="14592" max="14592" width="12.19921875" style="2" customWidth="1"/>
    <col min="14593" max="14593" width="4.19921875" style="2" customWidth="1"/>
    <col min="14594" max="14594" width="9.69921875" style="2" customWidth="1"/>
    <col min="14595" max="14595" width="13.69921875" style="2" customWidth="1"/>
    <col min="14596" max="14596" width="8.69921875" style="2" customWidth="1"/>
    <col min="14597" max="14597" width="4.09765625" style="2" customWidth="1"/>
    <col min="14598" max="14601" width="6.5" style="2" customWidth="1"/>
    <col min="14602" max="14602" width="9" style="2" customWidth="1"/>
    <col min="14603" max="14603" width="3.69921875" style="2" customWidth="1"/>
    <col min="14604" max="14604" width="11.69921875" style="2" customWidth="1"/>
    <col min="14605" max="14605" width="13.5" style="2" customWidth="1"/>
    <col min="14606" max="14606" width="7.5" style="2" customWidth="1"/>
    <col min="14607" max="14607" width="5.69921875" style="2" customWidth="1"/>
    <col min="14608" max="14608" width="9.69921875" style="2" customWidth="1"/>
    <col min="14609" max="14609" width="9" style="2"/>
    <col min="14610" max="14610" width="6.19921875" style="2" customWidth="1"/>
    <col min="14611" max="14611" width="9" style="2" customWidth="1"/>
    <col min="14612" max="14612" width="9" style="2"/>
    <col min="14613" max="14613" width="9" style="2" customWidth="1"/>
    <col min="14614" max="14846" width="9" style="2"/>
    <col min="14847" max="14847" width="9.19921875" style="2" customWidth="1"/>
    <col min="14848" max="14848" width="12.19921875" style="2" customWidth="1"/>
    <col min="14849" max="14849" width="4.19921875" style="2" customWidth="1"/>
    <col min="14850" max="14850" width="9.69921875" style="2" customWidth="1"/>
    <col min="14851" max="14851" width="13.69921875" style="2" customWidth="1"/>
    <col min="14852" max="14852" width="8.69921875" style="2" customWidth="1"/>
    <col min="14853" max="14853" width="4.09765625" style="2" customWidth="1"/>
    <col min="14854" max="14857" width="6.5" style="2" customWidth="1"/>
    <col min="14858" max="14858" width="9" style="2" customWidth="1"/>
    <col min="14859" max="14859" width="3.69921875" style="2" customWidth="1"/>
    <col min="14860" max="14860" width="11.69921875" style="2" customWidth="1"/>
    <col min="14861" max="14861" width="13.5" style="2" customWidth="1"/>
    <col min="14862" max="14862" width="7.5" style="2" customWidth="1"/>
    <col min="14863" max="14863" width="5.69921875" style="2" customWidth="1"/>
    <col min="14864" max="14864" width="9.69921875" style="2" customWidth="1"/>
    <col min="14865" max="14865" width="9" style="2"/>
    <col min="14866" max="14866" width="6.19921875" style="2" customWidth="1"/>
    <col min="14867" max="14867" width="9" style="2" customWidth="1"/>
    <col min="14868" max="14868" width="9" style="2"/>
    <col min="14869" max="14869" width="9" style="2" customWidth="1"/>
    <col min="14870" max="15102" width="9" style="2"/>
    <col min="15103" max="15103" width="9.19921875" style="2" customWidth="1"/>
    <col min="15104" max="15104" width="12.19921875" style="2" customWidth="1"/>
    <col min="15105" max="15105" width="4.19921875" style="2" customWidth="1"/>
    <col min="15106" max="15106" width="9.69921875" style="2" customWidth="1"/>
    <col min="15107" max="15107" width="13.69921875" style="2" customWidth="1"/>
    <col min="15108" max="15108" width="8.69921875" style="2" customWidth="1"/>
    <col min="15109" max="15109" width="4.09765625" style="2" customWidth="1"/>
    <col min="15110" max="15113" width="6.5" style="2" customWidth="1"/>
    <col min="15114" max="15114" width="9" style="2" customWidth="1"/>
    <col min="15115" max="15115" width="3.69921875" style="2" customWidth="1"/>
    <col min="15116" max="15116" width="11.69921875" style="2" customWidth="1"/>
    <col min="15117" max="15117" width="13.5" style="2" customWidth="1"/>
    <col min="15118" max="15118" width="7.5" style="2" customWidth="1"/>
    <col min="15119" max="15119" width="5.69921875" style="2" customWidth="1"/>
    <col min="15120" max="15120" width="9.69921875" style="2" customWidth="1"/>
    <col min="15121" max="15121" width="9" style="2"/>
    <col min="15122" max="15122" width="6.19921875" style="2" customWidth="1"/>
    <col min="15123" max="15123" width="9" style="2" customWidth="1"/>
    <col min="15124" max="15124" width="9" style="2"/>
    <col min="15125" max="15125" width="9" style="2" customWidth="1"/>
    <col min="15126" max="15358" width="9" style="2"/>
    <col min="15359" max="15359" width="9.19921875" style="2" customWidth="1"/>
    <col min="15360" max="15360" width="12.19921875" style="2" customWidth="1"/>
    <col min="15361" max="15361" width="4.19921875" style="2" customWidth="1"/>
    <col min="15362" max="15362" width="9.69921875" style="2" customWidth="1"/>
    <col min="15363" max="15363" width="13.69921875" style="2" customWidth="1"/>
    <col min="15364" max="15364" width="8.69921875" style="2" customWidth="1"/>
    <col min="15365" max="15365" width="4.09765625" style="2" customWidth="1"/>
    <col min="15366" max="15369" width="6.5" style="2" customWidth="1"/>
    <col min="15370" max="15370" width="9" style="2" customWidth="1"/>
    <col min="15371" max="15371" width="3.69921875" style="2" customWidth="1"/>
    <col min="15372" max="15372" width="11.69921875" style="2" customWidth="1"/>
    <col min="15373" max="15373" width="13.5" style="2" customWidth="1"/>
    <col min="15374" max="15374" width="7.5" style="2" customWidth="1"/>
    <col min="15375" max="15375" width="5.69921875" style="2" customWidth="1"/>
    <col min="15376" max="15376" width="9.69921875" style="2" customWidth="1"/>
    <col min="15377" max="15377" width="9" style="2"/>
    <col min="15378" max="15378" width="6.19921875" style="2" customWidth="1"/>
    <col min="15379" max="15379" width="9" style="2" customWidth="1"/>
    <col min="15380" max="15380" width="9" style="2"/>
    <col min="15381" max="15381" width="9" style="2" customWidth="1"/>
    <col min="15382" max="15614" width="9" style="2"/>
    <col min="15615" max="15615" width="9.19921875" style="2" customWidth="1"/>
    <col min="15616" max="15616" width="12.19921875" style="2" customWidth="1"/>
    <col min="15617" max="15617" width="4.19921875" style="2" customWidth="1"/>
    <col min="15618" max="15618" width="9.69921875" style="2" customWidth="1"/>
    <col min="15619" max="15619" width="13.69921875" style="2" customWidth="1"/>
    <col min="15620" max="15620" width="8.69921875" style="2" customWidth="1"/>
    <col min="15621" max="15621" width="4.09765625" style="2" customWidth="1"/>
    <col min="15622" max="15625" width="6.5" style="2" customWidth="1"/>
    <col min="15626" max="15626" width="9" style="2" customWidth="1"/>
    <col min="15627" max="15627" width="3.69921875" style="2" customWidth="1"/>
    <col min="15628" max="15628" width="11.69921875" style="2" customWidth="1"/>
    <col min="15629" max="15629" width="13.5" style="2" customWidth="1"/>
    <col min="15630" max="15630" width="7.5" style="2" customWidth="1"/>
    <col min="15631" max="15631" width="5.69921875" style="2" customWidth="1"/>
    <col min="15632" max="15632" width="9.69921875" style="2" customWidth="1"/>
    <col min="15633" max="15633" width="9" style="2"/>
    <col min="15634" max="15634" width="6.19921875" style="2" customWidth="1"/>
    <col min="15635" max="15635" width="9" style="2" customWidth="1"/>
    <col min="15636" max="15636" width="9" style="2"/>
    <col min="15637" max="15637" width="9" style="2" customWidth="1"/>
    <col min="15638" max="15870" width="9" style="2"/>
    <col min="15871" max="15871" width="9.19921875" style="2" customWidth="1"/>
    <col min="15872" max="15872" width="12.19921875" style="2" customWidth="1"/>
    <col min="15873" max="15873" width="4.19921875" style="2" customWidth="1"/>
    <col min="15874" max="15874" width="9.69921875" style="2" customWidth="1"/>
    <col min="15875" max="15875" width="13.69921875" style="2" customWidth="1"/>
    <col min="15876" max="15876" width="8.69921875" style="2" customWidth="1"/>
    <col min="15877" max="15877" width="4.09765625" style="2" customWidth="1"/>
    <col min="15878" max="15881" width="6.5" style="2" customWidth="1"/>
    <col min="15882" max="15882" width="9" style="2" customWidth="1"/>
    <col min="15883" max="15883" width="3.69921875" style="2" customWidth="1"/>
    <col min="15884" max="15884" width="11.69921875" style="2" customWidth="1"/>
    <col min="15885" max="15885" width="13.5" style="2" customWidth="1"/>
    <col min="15886" max="15886" width="7.5" style="2" customWidth="1"/>
    <col min="15887" max="15887" width="5.69921875" style="2" customWidth="1"/>
    <col min="15888" max="15888" width="9.69921875" style="2" customWidth="1"/>
    <col min="15889" max="15889" width="9" style="2"/>
    <col min="15890" max="15890" width="6.19921875" style="2" customWidth="1"/>
    <col min="15891" max="15891" width="9" style="2" customWidth="1"/>
    <col min="15892" max="15892" width="9" style="2"/>
    <col min="15893" max="15893" width="9" style="2" customWidth="1"/>
    <col min="15894" max="16126" width="9" style="2"/>
    <col min="16127" max="16127" width="9.19921875" style="2" customWidth="1"/>
    <col min="16128" max="16128" width="12.19921875" style="2" customWidth="1"/>
    <col min="16129" max="16129" width="4.19921875" style="2" customWidth="1"/>
    <col min="16130" max="16130" width="9.69921875" style="2" customWidth="1"/>
    <col min="16131" max="16131" width="13.69921875" style="2" customWidth="1"/>
    <col min="16132" max="16132" width="8.69921875" style="2" customWidth="1"/>
    <col min="16133" max="16133" width="4.09765625" style="2" customWidth="1"/>
    <col min="16134" max="16137" width="6.5" style="2" customWidth="1"/>
    <col min="16138" max="16138" width="9" style="2" customWidth="1"/>
    <col min="16139" max="16139" width="3.69921875" style="2" customWidth="1"/>
    <col min="16140" max="16140" width="11.69921875" style="2" customWidth="1"/>
    <col min="16141" max="16141" width="13.5" style="2" customWidth="1"/>
    <col min="16142" max="16142" width="7.5" style="2" customWidth="1"/>
    <col min="16143" max="16143" width="5.69921875" style="2" customWidth="1"/>
    <col min="16144" max="16144" width="9.69921875" style="2" customWidth="1"/>
    <col min="16145" max="16145" width="9" style="2"/>
    <col min="16146" max="16146" width="6.19921875" style="2" customWidth="1"/>
    <col min="16147" max="16147" width="9" style="2" customWidth="1"/>
    <col min="16148" max="16148" width="9" style="2"/>
    <col min="16149" max="16149" width="9" style="2" customWidth="1"/>
    <col min="16150" max="16384" width="9" style="2"/>
  </cols>
  <sheetData>
    <row r="1" spans="1:12" ht="20.100000000000001" customHeight="1">
      <c r="A1" s="474" t="s">
        <v>22</v>
      </c>
      <c r="B1" s="474"/>
      <c r="C1" s="474"/>
      <c r="D1" s="474"/>
      <c r="E1" s="474"/>
      <c r="F1" s="474"/>
      <c r="G1" s="474"/>
      <c r="H1" s="474"/>
      <c r="I1" s="474"/>
      <c r="J1" s="474"/>
      <c r="K1" s="474"/>
      <c r="L1" s="474"/>
    </row>
    <row r="2" spans="1:12" ht="20.100000000000001" customHeight="1">
      <c r="A2" s="475" t="s">
        <v>9</v>
      </c>
      <c r="B2" s="475"/>
      <c r="C2" s="475"/>
      <c r="D2" s="475"/>
      <c r="E2" s="475"/>
      <c r="F2" s="475"/>
      <c r="G2" s="475"/>
      <c r="H2" s="475"/>
      <c r="I2" s="475"/>
      <c r="J2" s="475"/>
      <c r="K2" s="475"/>
      <c r="L2" s="475"/>
    </row>
    <row r="3" spans="1:12" ht="20.100000000000001" customHeight="1">
      <c r="A3" s="2" t="str">
        <f>底稿目录!A2</f>
        <v>被审计单位名称：</v>
      </c>
      <c r="E3" s="3" t="str">
        <f>底稿目录!A4</f>
        <v>编制人：</v>
      </c>
      <c r="H3" s="3" t="str">
        <f>底稿目录!A5</f>
        <v>编制日期：</v>
      </c>
      <c r="K3" s="13" t="s">
        <v>23</v>
      </c>
      <c r="L3" s="456" t="str">
        <f>底稿目录!F5</f>
        <v>D2-1</v>
      </c>
    </row>
    <row r="4" spans="1:12" ht="20.100000000000001" customHeight="1">
      <c r="A4" s="2" t="str">
        <f>底稿目录!A3</f>
        <v>截止日：202X年12月31日</v>
      </c>
      <c r="B4" s="16"/>
      <c r="E4" s="3" t="str">
        <f>底稿目录!A6</f>
        <v>复核人：</v>
      </c>
      <c r="H4" s="3" t="str">
        <f>底稿目录!A7</f>
        <v>复核日期：</v>
      </c>
      <c r="K4" s="13" t="s">
        <v>24</v>
      </c>
    </row>
    <row r="5" spans="1:12" ht="20.100000000000001" customHeight="1">
      <c r="A5" s="481" t="s">
        <v>91</v>
      </c>
      <c r="B5" s="476" t="s">
        <v>92</v>
      </c>
      <c r="C5" s="477"/>
      <c r="D5" s="477"/>
      <c r="E5" s="478"/>
      <c r="F5" s="476" t="s">
        <v>93</v>
      </c>
      <c r="G5" s="477"/>
      <c r="H5" s="477"/>
      <c r="I5" s="478"/>
      <c r="J5" s="479" t="s">
        <v>94</v>
      </c>
      <c r="K5" s="480"/>
      <c r="L5" s="481" t="s">
        <v>95</v>
      </c>
    </row>
    <row r="6" spans="1:12" ht="20.100000000000001" customHeight="1">
      <c r="A6" s="482"/>
      <c r="B6" s="366" t="s">
        <v>96</v>
      </c>
      <c r="C6" s="366" t="s">
        <v>97</v>
      </c>
      <c r="D6" s="366" t="s">
        <v>98</v>
      </c>
      <c r="E6" s="366" t="s">
        <v>99</v>
      </c>
      <c r="F6" s="366" t="s">
        <v>96</v>
      </c>
      <c r="G6" s="366" t="s">
        <v>97</v>
      </c>
      <c r="H6" s="366" t="s">
        <v>98</v>
      </c>
      <c r="I6" s="366" t="s">
        <v>99</v>
      </c>
      <c r="J6" s="389" t="s">
        <v>100</v>
      </c>
      <c r="K6" s="388" t="s">
        <v>101</v>
      </c>
      <c r="L6" s="483"/>
    </row>
    <row r="7" spans="1:12" s="361" customFormat="1" ht="20.100000000000001" customHeight="1">
      <c r="A7" s="365" t="s">
        <v>102</v>
      </c>
      <c r="B7" s="53"/>
      <c r="C7" s="53"/>
      <c r="D7" s="53"/>
      <c r="E7" s="53"/>
      <c r="F7" s="53"/>
      <c r="G7" s="53"/>
      <c r="H7" s="53"/>
      <c r="I7" s="53"/>
      <c r="J7" s="390"/>
      <c r="K7" s="391"/>
      <c r="L7" s="392"/>
    </row>
    <row r="8" spans="1:12" s="361" customFormat="1" ht="20.100000000000001" customHeight="1">
      <c r="A8" s="367" t="s">
        <v>103</v>
      </c>
      <c r="B8" s="71"/>
      <c r="C8" s="71"/>
      <c r="D8" s="71"/>
      <c r="E8" s="53">
        <f>B8+C8+D8</f>
        <v>0</v>
      </c>
      <c r="F8" s="53">
        <f>SUMIF('明细表D2-2'!$AI$13:$AI$25,"单项计提",'明细表D2-2'!$S$13:$S$25)</f>
        <v>0</v>
      </c>
      <c r="G8" s="53">
        <f>SUMIF('明细表D2-2'!$AI$13:$AI$25,"单项计提",'明细表D2-2'!$Z$13:$Z$25)</f>
        <v>0</v>
      </c>
      <c r="H8" s="53">
        <f>SUMIF('明细表D2-2'!$AI$13:$AI$25,"单项计提",'明细表D2-2'!$AA$13:$AA$25)</f>
        <v>0</v>
      </c>
      <c r="I8" s="53">
        <f>F8+G8+H8</f>
        <v>0</v>
      </c>
      <c r="J8" s="390">
        <f>I8-E8</f>
        <v>0</v>
      </c>
      <c r="K8" s="391" t="str">
        <f>IF(AND(E8=0,I8=0),"",IF(AND(E8=0,I8&gt;0),1,J8/E8))</f>
        <v/>
      </c>
      <c r="L8" s="393"/>
    </row>
    <row r="9" spans="1:12" s="361" customFormat="1" ht="20.100000000000001" customHeight="1">
      <c r="A9" s="368" t="s">
        <v>104</v>
      </c>
      <c r="B9" s="53">
        <f>SUM(B10:B12)</f>
        <v>0</v>
      </c>
      <c r="C9" s="53">
        <f t="shared" ref="C9:H9" si="0">SUM(C10:C12)</f>
        <v>0</v>
      </c>
      <c r="D9" s="53">
        <f t="shared" si="0"/>
        <v>0</v>
      </c>
      <c r="E9" s="53">
        <f t="shared" si="0"/>
        <v>0</v>
      </c>
      <c r="F9" s="53">
        <f t="shared" si="0"/>
        <v>0</v>
      </c>
      <c r="G9" s="53">
        <f t="shared" si="0"/>
        <v>0</v>
      </c>
      <c r="H9" s="53">
        <f t="shared" si="0"/>
        <v>0</v>
      </c>
      <c r="I9" s="53">
        <f t="shared" ref="I9" si="1">SUM(I10:I12)</f>
        <v>0</v>
      </c>
      <c r="J9" s="390">
        <f t="shared" ref="J9:J13" si="2">I9-E9</f>
        <v>0</v>
      </c>
      <c r="K9" s="391" t="str">
        <f t="shared" ref="K9:K13" si="3">IF(AND(E9=0,I9=0),"",IF(AND(E9=0,I9&gt;0),1,J9/E9))</f>
        <v/>
      </c>
      <c r="L9" s="393"/>
    </row>
    <row r="10" spans="1:12" s="361" customFormat="1" ht="20.100000000000001" customHeight="1">
      <c r="A10" s="369" t="s">
        <v>105</v>
      </c>
      <c r="B10" s="71"/>
      <c r="C10" s="71"/>
      <c r="D10" s="71"/>
      <c r="E10" s="53">
        <f t="shared" ref="E10:E12" si="4">B10+C10+D10</f>
        <v>0</v>
      </c>
      <c r="F10" s="53">
        <f>SUMIF('明细表D2-2'!$AI$13:$AI$25,"账龄组合",'明细表D2-2'!$S$13:$S$25)</f>
        <v>0</v>
      </c>
      <c r="G10" s="53">
        <f>SUMIF('明细表D2-2'!$AI$13:$AI$25,"账龄组合",'明细表D2-2'!$Z$13:$Z$25)</f>
        <v>0</v>
      </c>
      <c r="H10" s="53">
        <f>SUMIF('明细表D2-2'!$AI$13:$AI$25,"账龄组合",'明细表D2-2'!$AA$13:$AA$25)</f>
        <v>0</v>
      </c>
      <c r="I10" s="53">
        <f>F10+G10+H10</f>
        <v>0</v>
      </c>
      <c r="J10" s="390">
        <f t="shared" si="2"/>
        <v>0</v>
      </c>
      <c r="K10" s="391" t="str">
        <f t="shared" si="3"/>
        <v/>
      </c>
      <c r="L10" s="393"/>
    </row>
    <row r="11" spans="1:12" s="361" customFormat="1" ht="20.100000000000001" customHeight="1">
      <c r="A11" s="369" t="s">
        <v>106</v>
      </c>
      <c r="B11" s="71"/>
      <c r="C11" s="71"/>
      <c r="D11" s="71"/>
      <c r="E11" s="53">
        <f t="shared" si="4"/>
        <v>0</v>
      </c>
      <c r="F11" s="53">
        <f>SUMIF('明细表D2-2'!$AI$13:$AI$25,"客户类型组合",'明细表D2-2'!$S$13:$S$25)</f>
        <v>0</v>
      </c>
      <c r="G11" s="53">
        <f>SUMIF('明细表D2-2'!$AI$13:$AI$25,"客户类型组合",'明细表D2-2'!$Z$13:$Z$25)</f>
        <v>0</v>
      </c>
      <c r="H11" s="53">
        <f>SUMIF('明细表D2-2'!$AI$13:$AI$25,"客户类型组合",'明细表D2-2'!$AA$13:$AA$25)</f>
        <v>0</v>
      </c>
      <c r="I11" s="53">
        <f>F11+G11+H11</f>
        <v>0</v>
      </c>
      <c r="J11" s="390">
        <f t="shared" si="2"/>
        <v>0</v>
      </c>
      <c r="K11" s="391" t="str">
        <f t="shared" si="3"/>
        <v/>
      </c>
      <c r="L11" s="393"/>
    </row>
    <row r="12" spans="1:12" s="361" customFormat="1" ht="20.100000000000001" customHeight="1">
      <c r="A12" s="369" t="s">
        <v>107</v>
      </c>
      <c r="B12" s="71"/>
      <c r="C12" s="71"/>
      <c r="D12" s="71"/>
      <c r="E12" s="53">
        <f t="shared" si="4"/>
        <v>0</v>
      </c>
      <c r="F12" s="71"/>
      <c r="G12" s="71"/>
      <c r="H12" s="71"/>
      <c r="I12" s="53">
        <f t="shared" ref="I12" si="5">F12+G12+H12</f>
        <v>0</v>
      </c>
      <c r="J12" s="390">
        <f t="shared" si="2"/>
        <v>0</v>
      </c>
      <c r="K12" s="391" t="str">
        <f t="shared" si="3"/>
        <v/>
      </c>
      <c r="L12" s="393"/>
    </row>
    <row r="13" spans="1:12" s="361" customFormat="1" ht="20.100000000000001" customHeight="1">
      <c r="A13" s="364" t="s">
        <v>108</v>
      </c>
      <c r="B13" s="53">
        <f>SUM(B8,B9)</f>
        <v>0</v>
      </c>
      <c r="C13" s="53">
        <f t="shared" ref="C13:I13" si="6">SUM(C8,C9)</f>
        <v>0</v>
      </c>
      <c r="D13" s="53">
        <f t="shared" si="6"/>
        <v>0</v>
      </c>
      <c r="E13" s="53">
        <f t="shared" si="6"/>
        <v>0</v>
      </c>
      <c r="F13" s="53">
        <f t="shared" si="6"/>
        <v>0</v>
      </c>
      <c r="G13" s="53">
        <f t="shared" si="6"/>
        <v>0</v>
      </c>
      <c r="H13" s="53">
        <f t="shared" si="6"/>
        <v>0</v>
      </c>
      <c r="I13" s="53">
        <f t="shared" si="6"/>
        <v>0</v>
      </c>
      <c r="J13" s="390">
        <f t="shared" si="2"/>
        <v>0</v>
      </c>
      <c r="K13" s="391" t="str">
        <f t="shared" si="3"/>
        <v/>
      </c>
      <c r="L13" s="393"/>
    </row>
    <row r="14" spans="1:12" s="361" customFormat="1" ht="20.100000000000001" customHeight="1">
      <c r="A14" s="365" t="s">
        <v>109</v>
      </c>
      <c r="B14" s="53"/>
      <c r="C14" s="53"/>
      <c r="D14" s="53"/>
      <c r="E14" s="53"/>
      <c r="F14" s="53"/>
      <c r="G14" s="53"/>
      <c r="H14" s="53"/>
      <c r="I14" s="53"/>
      <c r="J14" s="390"/>
      <c r="K14" s="391"/>
      <c r="L14" s="392"/>
    </row>
    <row r="15" spans="1:12" s="361" customFormat="1" ht="20.100000000000001" customHeight="1">
      <c r="A15" s="367" t="str">
        <f>A8</f>
        <v>单项计提坏账准备</v>
      </c>
      <c r="B15" s="71"/>
      <c r="C15" s="71"/>
      <c r="D15" s="71"/>
      <c r="E15" s="53">
        <f>B15+C15+D15</f>
        <v>0</v>
      </c>
      <c r="F15" s="71"/>
      <c r="G15" s="71"/>
      <c r="H15" s="71"/>
      <c r="I15" s="53">
        <f>F15+G15+H15</f>
        <v>0</v>
      </c>
      <c r="J15" s="390">
        <f>I15-E15</f>
        <v>0</v>
      </c>
      <c r="K15" s="391" t="str">
        <f>IF(AND(E15=0,I15=0),"",IF(AND(E15=0,I15&gt;0),1,J15/E15))</f>
        <v/>
      </c>
      <c r="L15" s="393"/>
    </row>
    <row r="16" spans="1:12" s="361" customFormat="1" ht="20.100000000000001" customHeight="1">
      <c r="A16" s="368" t="str">
        <f>A9</f>
        <v>按组合计提坏账准备</v>
      </c>
      <c r="B16" s="53">
        <f>SUM(B17:B19)</f>
        <v>0</v>
      </c>
      <c r="C16" s="53">
        <f t="shared" ref="C16" si="7">SUM(C17:C19)</f>
        <v>0</v>
      </c>
      <c r="D16" s="53">
        <f t="shared" ref="D16" si="8">SUM(D17:D19)</f>
        <v>0</v>
      </c>
      <c r="E16" s="53">
        <f t="shared" ref="E16" si="9">SUM(E17:E19)</f>
        <v>0</v>
      </c>
      <c r="F16" s="53">
        <f t="shared" ref="F16" si="10">SUM(F17:F19)</f>
        <v>0</v>
      </c>
      <c r="G16" s="53">
        <f t="shared" ref="G16" si="11">SUM(G17:G19)</f>
        <v>0</v>
      </c>
      <c r="H16" s="53">
        <f t="shared" ref="H16" si="12">SUM(H17:H19)</f>
        <v>0</v>
      </c>
      <c r="I16" s="53">
        <f t="shared" ref="I16" si="13">SUM(I17:I19)</f>
        <v>0</v>
      </c>
      <c r="J16" s="390">
        <f t="shared" ref="J16" si="14">I16-E16</f>
        <v>0</v>
      </c>
      <c r="K16" s="391" t="str">
        <f t="shared" ref="K16:K20" si="15">IF(AND(E16=0,I16=0),"",IF(AND(E16=0,I16&gt;0),1,J16/E16))</f>
        <v/>
      </c>
      <c r="L16" s="393"/>
    </row>
    <row r="17" spans="1:12" s="361" customFormat="1" ht="20.100000000000001" customHeight="1">
      <c r="A17" s="369" t="str">
        <f t="shared" ref="A17:A19" si="16">A10</f>
        <v>账龄组合</v>
      </c>
      <c r="B17" s="71"/>
      <c r="C17" s="71"/>
      <c r="D17" s="71"/>
      <c r="E17" s="53">
        <f t="shared" ref="E17:E19" si="17">B17+C17+D17</f>
        <v>0</v>
      </c>
      <c r="F17" s="71"/>
      <c r="G17" s="71"/>
      <c r="H17" s="71"/>
      <c r="I17" s="53">
        <f t="shared" ref="I17:I19" si="18">F17+G17+H17</f>
        <v>0</v>
      </c>
      <c r="J17" s="390">
        <f t="shared" ref="J17:J20" si="19">I17-E17</f>
        <v>0</v>
      </c>
      <c r="K17" s="391" t="str">
        <f t="shared" si="15"/>
        <v/>
      </c>
      <c r="L17" s="393"/>
    </row>
    <row r="18" spans="1:12" s="361" customFormat="1" ht="20.100000000000001" customHeight="1">
      <c r="A18" s="369" t="str">
        <f t="shared" si="16"/>
        <v>客户类型组合</v>
      </c>
      <c r="B18" s="71"/>
      <c r="C18" s="71"/>
      <c r="D18" s="71"/>
      <c r="E18" s="53">
        <f t="shared" si="17"/>
        <v>0</v>
      </c>
      <c r="F18" s="71"/>
      <c r="G18" s="71"/>
      <c r="H18" s="71"/>
      <c r="I18" s="53">
        <f t="shared" si="18"/>
        <v>0</v>
      </c>
      <c r="J18" s="390">
        <f t="shared" si="19"/>
        <v>0</v>
      </c>
      <c r="K18" s="391" t="str">
        <f t="shared" si="15"/>
        <v/>
      </c>
      <c r="L18" s="393"/>
    </row>
    <row r="19" spans="1:12" s="361" customFormat="1" ht="20.100000000000001" customHeight="1">
      <c r="A19" s="369" t="str">
        <f t="shared" si="16"/>
        <v>……组合</v>
      </c>
      <c r="B19" s="71"/>
      <c r="C19" s="71"/>
      <c r="D19" s="71"/>
      <c r="E19" s="53">
        <f t="shared" si="17"/>
        <v>0</v>
      </c>
      <c r="F19" s="71"/>
      <c r="G19" s="71"/>
      <c r="H19" s="71"/>
      <c r="I19" s="53">
        <f t="shared" si="18"/>
        <v>0</v>
      </c>
      <c r="J19" s="390">
        <f t="shared" si="19"/>
        <v>0</v>
      </c>
      <c r="K19" s="391" t="str">
        <f t="shared" si="15"/>
        <v/>
      </c>
      <c r="L19" s="393"/>
    </row>
    <row r="20" spans="1:12" s="361" customFormat="1" ht="20.100000000000001" customHeight="1">
      <c r="A20" s="364" t="s">
        <v>108</v>
      </c>
      <c r="B20" s="53">
        <f>SUM(B15,B16)</f>
        <v>0</v>
      </c>
      <c r="C20" s="53">
        <f t="shared" ref="C20:I20" si="20">SUM(C15,C16)</f>
        <v>0</v>
      </c>
      <c r="D20" s="53">
        <f t="shared" si="20"/>
        <v>0</v>
      </c>
      <c r="E20" s="53">
        <f t="shared" si="20"/>
        <v>0</v>
      </c>
      <c r="F20" s="53">
        <f t="shared" si="20"/>
        <v>0</v>
      </c>
      <c r="G20" s="53">
        <f t="shared" si="20"/>
        <v>0</v>
      </c>
      <c r="H20" s="53">
        <f t="shared" si="20"/>
        <v>0</v>
      </c>
      <c r="I20" s="53">
        <f t="shared" si="20"/>
        <v>0</v>
      </c>
      <c r="J20" s="390">
        <f t="shared" si="19"/>
        <v>0</v>
      </c>
      <c r="K20" s="391" t="str">
        <f t="shared" si="15"/>
        <v/>
      </c>
      <c r="L20" s="393"/>
    </row>
    <row r="21" spans="1:12" s="361" customFormat="1" ht="20.100000000000001" customHeight="1">
      <c r="A21" s="370" t="s">
        <v>110</v>
      </c>
      <c r="B21" s="371"/>
      <c r="C21" s="371"/>
      <c r="D21" s="371"/>
      <c r="E21" s="53"/>
      <c r="F21" s="371"/>
      <c r="G21" s="371"/>
      <c r="H21" s="371"/>
      <c r="I21" s="371"/>
      <c r="J21" s="394"/>
      <c r="K21" s="395"/>
      <c r="L21" s="396"/>
    </row>
    <row r="22" spans="1:12" s="361" customFormat="1" ht="20.100000000000001" customHeight="1">
      <c r="A22" s="367" t="str">
        <f>A8</f>
        <v>单项计提坏账准备</v>
      </c>
      <c r="B22" s="53">
        <f t="shared" ref="B22:I22" si="21">B8-B15</f>
        <v>0</v>
      </c>
      <c r="C22" s="53">
        <f t="shared" si="21"/>
        <v>0</v>
      </c>
      <c r="D22" s="53">
        <f t="shared" si="21"/>
        <v>0</v>
      </c>
      <c r="E22" s="53">
        <f t="shared" si="21"/>
        <v>0</v>
      </c>
      <c r="F22" s="53">
        <f t="shared" si="21"/>
        <v>0</v>
      </c>
      <c r="G22" s="53">
        <f t="shared" si="21"/>
        <v>0</v>
      </c>
      <c r="H22" s="53">
        <f t="shared" si="21"/>
        <v>0</v>
      </c>
      <c r="I22" s="53">
        <f t="shared" si="21"/>
        <v>0</v>
      </c>
      <c r="J22" s="390">
        <f>I22-E22</f>
        <v>0</v>
      </c>
      <c r="K22" s="391" t="str">
        <f>IF(AND(E22=0,I22=0),"",IF(AND(E22=0,I22&gt;0),1,J22/E22))</f>
        <v/>
      </c>
      <c r="L22" s="393"/>
    </row>
    <row r="23" spans="1:12" s="361" customFormat="1" ht="20.100000000000001" customHeight="1">
      <c r="A23" s="368" t="str">
        <f>A9</f>
        <v>按组合计提坏账准备</v>
      </c>
      <c r="B23" s="53">
        <f>SUM(B24:B26)</f>
        <v>0</v>
      </c>
      <c r="C23" s="53">
        <f t="shared" ref="C23" si="22">SUM(C24:C26)</f>
        <v>0</v>
      </c>
      <c r="D23" s="53">
        <f t="shared" ref="D23" si="23">SUM(D24:D26)</f>
        <v>0</v>
      </c>
      <c r="E23" s="53">
        <f t="shared" ref="E23" si="24">SUM(E24:E26)</f>
        <v>0</v>
      </c>
      <c r="F23" s="53">
        <f t="shared" ref="F23" si="25">SUM(F24:F26)</f>
        <v>0</v>
      </c>
      <c r="G23" s="53">
        <f t="shared" ref="G23" si="26">SUM(G24:G26)</f>
        <v>0</v>
      </c>
      <c r="H23" s="53">
        <f t="shared" ref="H23" si="27">SUM(H24:H26)</f>
        <v>0</v>
      </c>
      <c r="I23" s="53">
        <f t="shared" ref="I23" si="28">SUM(I24:I26)</f>
        <v>0</v>
      </c>
      <c r="J23" s="390">
        <f t="shared" ref="J23:J27" si="29">I23-E23</f>
        <v>0</v>
      </c>
      <c r="K23" s="391" t="str">
        <f t="shared" ref="K23:K27" si="30">IF(AND(E23=0,I23=0),"",IF(AND(E23=0,I23&gt;0),1,J23/E23))</f>
        <v/>
      </c>
      <c r="L23" s="393"/>
    </row>
    <row r="24" spans="1:12" s="361" customFormat="1" ht="20.100000000000001" customHeight="1">
      <c r="A24" s="369" t="str">
        <f>A10</f>
        <v>账龄组合</v>
      </c>
      <c r="B24" s="53">
        <f t="shared" ref="B24:I26" si="31">B10-B17</f>
        <v>0</v>
      </c>
      <c r="C24" s="53">
        <f t="shared" si="31"/>
        <v>0</v>
      </c>
      <c r="D24" s="53">
        <f t="shared" si="31"/>
        <v>0</v>
      </c>
      <c r="E24" s="53">
        <f t="shared" si="31"/>
        <v>0</v>
      </c>
      <c r="F24" s="53">
        <f t="shared" si="31"/>
        <v>0</v>
      </c>
      <c r="G24" s="53">
        <f t="shared" si="31"/>
        <v>0</v>
      </c>
      <c r="H24" s="53">
        <f t="shared" si="31"/>
        <v>0</v>
      </c>
      <c r="I24" s="53">
        <f t="shared" si="31"/>
        <v>0</v>
      </c>
      <c r="J24" s="390">
        <f t="shared" si="29"/>
        <v>0</v>
      </c>
      <c r="K24" s="391" t="str">
        <f t="shared" si="30"/>
        <v/>
      </c>
      <c r="L24" s="393"/>
    </row>
    <row r="25" spans="1:12" s="361" customFormat="1" ht="20.100000000000001" customHeight="1">
      <c r="A25" s="369" t="str">
        <f>A11</f>
        <v>客户类型组合</v>
      </c>
      <c r="B25" s="53">
        <f t="shared" si="31"/>
        <v>0</v>
      </c>
      <c r="C25" s="53">
        <f t="shared" si="31"/>
        <v>0</v>
      </c>
      <c r="D25" s="53">
        <f t="shared" si="31"/>
        <v>0</v>
      </c>
      <c r="E25" s="53">
        <f t="shared" si="31"/>
        <v>0</v>
      </c>
      <c r="F25" s="53">
        <f t="shared" si="31"/>
        <v>0</v>
      </c>
      <c r="G25" s="53">
        <f t="shared" si="31"/>
        <v>0</v>
      </c>
      <c r="H25" s="53">
        <f t="shared" si="31"/>
        <v>0</v>
      </c>
      <c r="I25" s="53">
        <f t="shared" si="31"/>
        <v>0</v>
      </c>
      <c r="J25" s="390">
        <f t="shared" si="29"/>
        <v>0</v>
      </c>
      <c r="K25" s="391" t="str">
        <f t="shared" si="30"/>
        <v/>
      </c>
      <c r="L25" s="393"/>
    </row>
    <row r="26" spans="1:12" s="361" customFormat="1" ht="20.100000000000001" customHeight="1">
      <c r="A26" s="369" t="str">
        <f>A12</f>
        <v>……组合</v>
      </c>
      <c r="B26" s="53">
        <f t="shared" si="31"/>
        <v>0</v>
      </c>
      <c r="C26" s="53">
        <f t="shared" si="31"/>
        <v>0</v>
      </c>
      <c r="D26" s="53">
        <f t="shared" si="31"/>
        <v>0</v>
      </c>
      <c r="E26" s="53">
        <f t="shared" si="31"/>
        <v>0</v>
      </c>
      <c r="F26" s="53">
        <f>F12-F19</f>
        <v>0</v>
      </c>
      <c r="G26" s="53">
        <f t="shared" si="31"/>
        <v>0</v>
      </c>
      <c r="H26" s="53">
        <f t="shared" si="31"/>
        <v>0</v>
      </c>
      <c r="I26" s="53">
        <f t="shared" si="31"/>
        <v>0</v>
      </c>
      <c r="J26" s="390">
        <f t="shared" si="29"/>
        <v>0</v>
      </c>
      <c r="K26" s="391" t="str">
        <f t="shared" si="30"/>
        <v/>
      </c>
      <c r="L26" s="393"/>
    </row>
    <row r="27" spans="1:12" s="361" customFormat="1" ht="20.100000000000001" customHeight="1">
      <c r="A27" s="372" t="s">
        <v>111</v>
      </c>
      <c r="B27" s="53">
        <f>SUM(B22,B23)</f>
        <v>0</v>
      </c>
      <c r="C27" s="53">
        <f t="shared" ref="C27:I27" si="32">SUM(C22,C23)</f>
        <v>0</v>
      </c>
      <c r="D27" s="53">
        <f t="shared" si="32"/>
        <v>0</v>
      </c>
      <c r="E27" s="53">
        <f t="shared" si="32"/>
        <v>0</v>
      </c>
      <c r="F27" s="53">
        <f t="shared" si="32"/>
        <v>0</v>
      </c>
      <c r="G27" s="53">
        <f t="shared" si="32"/>
        <v>0</v>
      </c>
      <c r="H27" s="53">
        <f t="shared" si="32"/>
        <v>0</v>
      </c>
      <c r="I27" s="53">
        <f t="shared" si="32"/>
        <v>0</v>
      </c>
      <c r="J27" s="390">
        <f t="shared" si="29"/>
        <v>0</v>
      </c>
      <c r="K27" s="391" t="str">
        <f t="shared" si="30"/>
        <v/>
      </c>
      <c r="L27" s="393"/>
    </row>
    <row r="28" spans="1:12" s="361" customFormat="1" ht="20.100000000000001" customHeight="1">
      <c r="A28" s="370" t="s">
        <v>112</v>
      </c>
      <c r="B28" s="371"/>
      <c r="C28" s="371"/>
      <c r="D28" s="371"/>
      <c r="E28" s="53"/>
      <c r="F28" s="371"/>
      <c r="G28" s="371"/>
      <c r="H28" s="371"/>
      <c r="I28" s="371"/>
      <c r="J28" s="394"/>
      <c r="K28" s="395"/>
      <c r="L28" s="396"/>
    </row>
    <row r="29" spans="1:12" s="361" customFormat="1" ht="20.100000000000001" customHeight="1">
      <c r="A29" s="369" t="s">
        <v>113</v>
      </c>
      <c r="B29" s="71"/>
      <c r="C29" s="71"/>
      <c r="D29" s="71"/>
      <c r="E29" s="53">
        <f>B29+C29+D29</f>
        <v>0</v>
      </c>
      <c r="F29" s="373"/>
      <c r="G29" s="373"/>
      <c r="H29" s="71"/>
      <c r="I29" s="53">
        <f>F29+G29+H29</f>
        <v>0</v>
      </c>
      <c r="J29" s="390">
        <f>I29-E29</f>
        <v>0</v>
      </c>
      <c r="K29" s="391" t="str">
        <f>IF(AND(E29=0,I29=0),"",IF(AND(E29=0,I29&gt;0),1,J29/E29))</f>
        <v/>
      </c>
      <c r="L29" s="393"/>
    </row>
    <row r="30" spans="1:12" s="361" customFormat="1" ht="20.100000000000001" customHeight="1">
      <c r="A30" s="369" t="s">
        <v>114</v>
      </c>
      <c r="B30" s="71"/>
      <c r="C30" s="71"/>
      <c r="D30" s="71"/>
      <c r="E30" s="53">
        <f t="shared" ref="E30:E34" si="33">B30+C30+D30</f>
        <v>0</v>
      </c>
      <c r="F30" s="373"/>
      <c r="G30" s="373"/>
      <c r="H30" s="71"/>
      <c r="I30" s="53">
        <f t="shared" ref="I30:I34" si="34">F30+G30+H30</f>
        <v>0</v>
      </c>
      <c r="J30" s="390">
        <f>I30-E30</f>
        <v>0</v>
      </c>
      <c r="K30" s="391" t="str">
        <f t="shared" ref="K30:K35" si="35">IF(AND(E30=0,I30=0),"",IF(AND(E30=0,I30&gt;0),1,J30/E30))</f>
        <v/>
      </c>
      <c r="L30" s="393"/>
    </row>
    <row r="31" spans="1:12" s="361" customFormat="1" ht="20.100000000000001" customHeight="1">
      <c r="A31" s="369" t="s">
        <v>115</v>
      </c>
      <c r="B31" s="71"/>
      <c r="C31" s="71"/>
      <c r="D31" s="71"/>
      <c r="E31" s="53">
        <f t="shared" si="33"/>
        <v>0</v>
      </c>
      <c r="F31" s="373"/>
      <c r="G31" s="373"/>
      <c r="H31" s="71"/>
      <c r="I31" s="53">
        <f t="shared" si="34"/>
        <v>0</v>
      </c>
      <c r="J31" s="390">
        <f>I31-E31</f>
        <v>0</v>
      </c>
      <c r="K31" s="391" t="str">
        <f t="shared" si="35"/>
        <v/>
      </c>
      <c r="L31" s="393"/>
    </row>
    <row r="32" spans="1:12" s="361" customFormat="1" ht="20.100000000000001" customHeight="1">
      <c r="A32" s="369" t="s">
        <v>116</v>
      </c>
      <c r="B32" s="71"/>
      <c r="C32" s="71"/>
      <c r="D32" s="71"/>
      <c r="E32" s="53">
        <f t="shared" si="33"/>
        <v>0</v>
      </c>
      <c r="F32" s="373"/>
      <c r="G32" s="373"/>
      <c r="H32" s="71"/>
      <c r="I32" s="53">
        <f t="shared" si="34"/>
        <v>0</v>
      </c>
      <c r="J32" s="390">
        <f>I32-E32</f>
        <v>0</v>
      </c>
      <c r="K32" s="391" t="str">
        <f t="shared" si="35"/>
        <v/>
      </c>
      <c r="L32" s="393"/>
    </row>
    <row r="33" spans="1:12" s="361" customFormat="1" ht="20.100000000000001" customHeight="1">
      <c r="A33" s="369" t="s">
        <v>117</v>
      </c>
      <c r="B33" s="71"/>
      <c r="C33" s="71"/>
      <c r="D33" s="71"/>
      <c r="E33" s="53">
        <f t="shared" si="33"/>
        <v>0</v>
      </c>
      <c r="F33" s="373"/>
      <c r="G33" s="373"/>
      <c r="H33" s="71"/>
      <c r="I33" s="53">
        <f t="shared" si="34"/>
        <v>0</v>
      </c>
      <c r="J33" s="390">
        <f t="shared" ref="J33:J35" si="36">I33-E33</f>
        <v>0</v>
      </c>
      <c r="K33" s="391" t="str">
        <f t="shared" si="35"/>
        <v/>
      </c>
      <c r="L33" s="393"/>
    </row>
    <row r="34" spans="1:12" s="361" customFormat="1" ht="20.100000000000001" customHeight="1">
      <c r="A34" s="369" t="s">
        <v>118</v>
      </c>
      <c r="B34" s="71"/>
      <c r="C34" s="71"/>
      <c r="D34" s="71"/>
      <c r="E34" s="53">
        <f t="shared" si="33"/>
        <v>0</v>
      </c>
      <c r="F34" s="71"/>
      <c r="G34" s="71"/>
      <c r="H34" s="71"/>
      <c r="I34" s="53">
        <f t="shared" si="34"/>
        <v>0</v>
      </c>
      <c r="J34" s="390">
        <f t="shared" si="36"/>
        <v>0</v>
      </c>
      <c r="K34" s="391" t="str">
        <f t="shared" si="35"/>
        <v/>
      </c>
      <c r="L34" s="393"/>
    </row>
    <row r="35" spans="1:12" s="361" customFormat="1" ht="20.100000000000001" customHeight="1">
      <c r="A35" s="364" t="s">
        <v>108</v>
      </c>
      <c r="B35" s="53">
        <f>SUM(B29:B34)</f>
        <v>0</v>
      </c>
      <c r="C35" s="53">
        <f t="shared" ref="C35:F35" si="37">SUM(C29:C34)</f>
        <v>0</v>
      </c>
      <c r="D35" s="53">
        <f t="shared" si="37"/>
        <v>0</v>
      </c>
      <c r="E35" s="53">
        <f t="shared" si="37"/>
        <v>0</v>
      </c>
      <c r="F35" s="53">
        <f t="shared" si="37"/>
        <v>0</v>
      </c>
      <c r="G35" s="53">
        <f t="shared" ref="G35:I35" si="38">SUM(G29:G34)</f>
        <v>0</v>
      </c>
      <c r="H35" s="53">
        <f t="shared" si="38"/>
        <v>0</v>
      </c>
      <c r="I35" s="53">
        <f t="shared" si="38"/>
        <v>0</v>
      </c>
      <c r="J35" s="390">
        <f t="shared" si="36"/>
        <v>0</v>
      </c>
      <c r="K35" s="391" t="str">
        <f t="shared" si="35"/>
        <v/>
      </c>
      <c r="L35" s="393"/>
    </row>
    <row r="36" spans="1:12" s="361" customFormat="1" ht="20.100000000000001" customHeight="1">
      <c r="A36" s="370" t="s">
        <v>119</v>
      </c>
      <c r="B36" s="371"/>
      <c r="C36" s="371"/>
      <c r="D36" s="371"/>
      <c r="E36" s="371"/>
      <c r="F36" s="371"/>
      <c r="G36" s="371"/>
      <c r="H36" s="371"/>
      <c r="I36" s="371"/>
      <c r="J36" s="394"/>
      <c r="K36" s="395"/>
      <c r="L36" s="396"/>
    </row>
    <row r="37" spans="1:12" s="361" customFormat="1" ht="20.100000000000001" customHeight="1">
      <c r="A37" s="369" t="str">
        <f t="shared" ref="A37:A42" si="39">A29</f>
        <v>一年以内</v>
      </c>
      <c r="B37" s="71"/>
      <c r="C37" s="71"/>
      <c r="D37" s="71"/>
      <c r="E37" s="53">
        <f>B37+C37+D37</f>
        <v>0</v>
      </c>
      <c r="F37" s="373"/>
      <c r="G37" s="373"/>
      <c r="H37" s="71"/>
      <c r="I37" s="53">
        <f>F37+G37+H37</f>
        <v>0</v>
      </c>
      <c r="J37" s="390">
        <f>I37-E37</f>
        <v>0</v>
      </c>
      <c r="K37" s="391" t="str">
        <f>IF(AND(E37=0,I37=0),"",IF(AND(E37=0,I37&gt;0),1,J37/E37))</f>
        <v/>
      </c>
      <c r="L37" s="393"/>
    </row>
    <row r="38" spans="1:12" s="361" customFormat="1" ht="20.100000000000001" customHeight="1">
      <c r="A38" s="369" t="str">
        <f t="shared" si="39"/>
        <v>一到二年</v>
      </c>
      <c r="B38" s="71"/>
      <c r="C38" s="71"/>
      <c r="D38" s="71"/>
      <c r="E38" s="53">
        <f t="shared" ref="E38:E42" si="40">B38+C38+D38</f>
        <v>0</v>
      </c>
      <c r="F38" s="373"/>
      <c r="G38" s="373"/>
      <c r="H38" s="71"/>
      <c r="I38" s="53">
        <f t="shared" ref="I38:I42" si="41">F38+G38+H38</f>
        <v>0</v>
      </c>
      <c r="J38" s="390">
        <f>I38-E38</f>
        <v>0</v>
      </c>
      <c r="K38" s="391" t="str">
        <f t="shared" ref="K38:K43" si="42">IF(AND(E38=0,I38=0),"",IF(AND(E38=0,I38&gt;0),1,J38/E38))</f>
        <v/>
      </c>
      <c r="L38" s="393"/>
    </row>
    <row r="39" spans="1:12" s="361" customFormat="1" ht="20.100000000000001" customHeight="1">
      <c r="A39" s="369" t="str">
        <f t="shared" si="39"/>
        <v>二到三年</v>
      </c>
      <c r="B39" s="71"/>
      <c r="C39" s="71"/>
      <c r="D39" s="71"/>
      <c r="E39" s="53">
        <f t="shared" si="40"/>
        <v>0</v>
      </c>
      <c r="F39" s="373"/>
      <c r="G39" s="373"/>
      <c r="H39" s="71"/>
      <c r="I39" s="53">
        <f t="shared" si="41"/>
        <v>0</v>
      </c>
      <c r="J39" s="390">
        <f>I39-E39</f>
        <v>0</v>
      </c>
      <c r="K39" s="391" t="str">
        <f t="shared" si="42"/>
        <v/>
      </c>
      <c r="L39" s="393"/>
    </row>
    <row r="40" spans="1:12" s="361" customFormat="1" ht="20.100000000000001" customHeight="1">
      <c r="A40" s="369" t="str">
        <f t="shared" si="39"/>
        <v>三到四年</v>
      </c>
      <c r="B40" s="71"/>
      <c r="C40" s="71"/>
      <c r="D40" s="71"/>
      <c r="E40" s="53">
        <f t="shared" si="40"/>
        <v>0</v>
      </c>
      <c r="F40" s="373"/>
      <c r="G40" s="373"/>
      <c r="H40" s="71"/>
      <c r="I40" s="53">
        <f t="shared" si="41"/>
        <v>0</v>
      </c>
      <c r="J40" s="390">
        <f>I40-E40</f>
        <v>0</v>
      </c>
      <c r="K40" s="391" t="str">
        <f t="shared" si="42"/>
        <v/>
      </c>
      <c r="L40" s="393"/>
    </row>
    <row r="41" spans="1:12" s="361" customFormat="1" ht="20.100000000000001" customHeight="1">
      <c r="A41" s="369" t="str">
        <f t="shared" si="39"/>
        <v>四到五年</v>
      </c>
      <c r="B41" s="71"/>
      <c r="C41" s="71"/>
      <c r="D41" s="71"/>
      <c r="E41" s="53">
        <f t="shared" si="40"/>
        <v>0</v>
      </c>
      <c r="F41" s="373"/>
      <c r="G41" s="373"/>
      <c r="H41" s="71"/>
      <c r="I41" s="53">
        <f t="shared" si="41"/>
        <v>0</v>
      </c>
      <c r="J41" s="390">
        <f t="shared" ref="J41:J43" si="43">I41-E41</f>
        <v>0</v>
      </c>
      <c r="K41" s="391" t="str">
        <f t="shared" si="42"/>
        <v/>
      </c>
      <c r="L41" s="393"/>
    </row>
    <row r="42" spans="1:12" s="361" customFormat="1" ht="20.100000000000001" customHeight="1">
      <c r="A42" s="369" t="str">
        <f t="shared" si="39"/>
        <v>五年以上</v>
      </c>
      <c r="B42" s="71"/>
      <c r="C42" s="71"/>
      <c r="D42" s="71"/>
      <c r="E42" s="53">
        <f t="shared" si="40"/>
        <v>0</v>
      </c>
      <c r="F42" s="71"/>
      <c r="G42" s="71"/>
      <c r="H42" s="71"/>
      <c r="I42" s="53">
        <f t="shared" si="41"/>
        <v>0</v>
      </c>
      <c r="J42" s="390">
        <f t="shared" si="43"/>
        <v>0</v>
      </c>
      <c r="K42" s="391" t="str">
        <f t="shared" si="42"/>
        <v/>
      </c>
      <c r="L42" s="393"/>
    </row>
    <row r="43" spans="1:12" s="361" customFormat="1" ht="20.100000000000001" customHeight="1">
      <c r="A43" s="364" t="s">
        <v>108</v>
      </c>
      <c r="B43" s="53">
        <f>SUM(B37:B42)</f>
        <v>0</v>
      </c>
      <c r="C43" s="53">
        <f t="shared" ref="C43:F43" si="44">SUM(C37:C42)</f>
        <v>0</v>
      </c>
      <c r="D43" s="53">
        <f t="shared" si="44"/>
        <v>0</v>
      </c>
      <c r="E43" s="53">
        <f t="shared" si="44"/>
        <v>0</v>
      </c>
      <c r="F43" s="53">
        <f t="shared" si="44"/>
        <v>0</v>
      </c>
      <c r="G43" s="53">
        <f t="shared" ref="G43:I43" si="45">SUM(G37:G42)</f>
        <v>0</v>
      </c>
      <c r="H43" s="53">
        <f t="shared" si="45"/>
        <v>0</v>
      </c>
      <c r="I43" s="53">
        <f t="shared" si="45"/>
        <v>0</v>
      </c>
      <c r="J43" s="390">
        <f t="shared" si="43"/>
        <v>0</v>
      </c>
      <c r="K43" s="391" t="str">
        <f t="shared" si="42"/>
        <v/>
      </c>
      <c r="L43" s="393"/>
    </row>
    <row r="44" spans="1:12" s="361" customFormat="1" ht="20.100000000000001" customHeight="1">
      <c r="A44" s="370" t="s">
        <v>120</v>
      </c>
      <c r="B44" s="371"/>
      <c r="C44" s="371"/>
      <c r="D44" s="371"/>
      <c r="E44" s="371"/>
      <c r="F44" s="371"/>
      <c r="G44" s="371"/>
      <c r="H44" s="371"/>
      <c r="I44" s="371"/>
      <c r="J44" s="394"/>
      <c r="K44" s="395"/>
      <c r="L44" s="396"/>
    </row>
    <row r="45" spans="1:12" s="361" customFormat="1" ht="20.100000000000001" customHeight="1">
      <c r="A45" s="369" t="str">
        <f t="shared" ref="A45:A50" si="46">A29</f>
        <v>一年以内</v>
      </c>
      <c r="B45" s="53">
        <f>B29-B37</f>
        <v>0</v>
      </c>
      <c r="C45" s="53">
        <f t="shared" ref="C45:D45" si="47">C29-C37</f>
        <v>0</v>
      </c>
      <c r="D45" s="53">
        <f t="shared" si="47"/>
        <v>0</v>
      </c>
      <c r="E45" s="53">
        <f t="shared" ref="E45:H45" si="48">E29-E37</f>
        <v>0</v>
      </c>
      <c r="F45" s="53">
        <f t="shared" si="48"/>
        <v>0</v>
      </c>
      <c r="G45" s="53">
        <f t="shared" si="48"/>
        <v>0</v>
      </c>
      <c r="H45" s="53">
        <f t="shared" si="48"/>
        <v>0</v>
      </c>
      <c r="I45" s="53">
        <f t="shared" ref="I45" si="49">I29-I37</f>
        <v>0</v>
      </c>
      <c r="J45" s="390">
        <f>I45-E45</f>
        <v>0</v>
      </c>
      <c r="K45" s="391" t="str">
        <f>IF(AND(E45=0,I45=0),"",IF(AND(E45=0,I45&gt;0),1,J45/E45))</f>
        <v/>
      </c>
      <c r="L45" s="393"/>
    </row>
    <row r="46" spans="1:12" s="361" customFormat="1" ht="20.100000000000001" customHeight="1">
      <c r="A46" s="369" t="str">
        <f t="shared" si="46"/>
        <v>一到二年</v>
      </c>
      <c r="B46" s="53">
        <f t="shared" ref="B46:D50" si="50">B30-B38</f>
        <v>0</v>
      </c>
      <c r="C46" s="53">
        <f t="shared" si="50"/>
        <v>0</v>
      </c>
      <c r="D46" s="53">
        <f t="shared" si="50"/>
        <v>0</v>
      </c>
      <c r="E46" s="53">
        <f t="shared" ref="E46:H46" si="51">E30-E38</f>
        <v>0</v>
      </c>
      <c r="F46" s="53">
        <f t="shared" si="51"/>
        <v>0</v>
      </c>
      <c r="G46" s="53">
        <f t="shared" si="51"/>
        <v>0</v>
      </c>
      <c r="H46" s="53">
        <f t="shared" si="51"/>
        <v>0</v>
      </c>
      <c r="I46" s="53">
        <f t="shared" ref="I46" si="52">I30-I38</f>
        <v>0</v>
      </c>
      <c r="J46" s="390">
        <f>I46-E46</f>
        <v>0</v>
      </c>
      <c r="K46" s="391" t="str">
        <f t="shared" ref="K46:K51" si="53">IF(AND(E46=0,I46=0),"",IF(AND(E46=0,I46&gt;0),1,J46/E46))</f>
        <v/>
      </c>
      <c r="L46" s="393"/>
    </row>
    <row r="47" spans="1:12" s="361" customFormat="1" ht="20.100000000000001" customHeight="1">
      <c r="A47" s="369" t="str">
        <f t="shared" si="46"/>
        <v>二到三年</v>
      </c>
      <c r="B47" s="53">
        <f t="shared" si="50"/>
        <v>0</v>
      </c>
      <c r="C47" s="53">
        <f t="shared" si="50"/>
        <v>0</v>
      </c>
      <c r="D47" s="53">
        <f t="shared" si="50"/>
        <v>0</v>
      </c>
      <c r="E47" s="53">
        <f t="shared" ref="E47:H47" si="54">E31-E39</f>
        <v>0</v>
      </c>
      <c r="F47" s="53">
        <f t="shared" si="54"/>
        <v>0</v>
      </c>
      <c r="G47" s="53">
        <f t="shared" si="54"/>
        <v>0</v>
      </c>
      <c r="H47" s="53">
        <f t="shared" si="54"/>
        <v>0</v>
      </c>
      <c r="I47" s="53">
        <f t="shared" ref="I47" si="55">I31-I39</f>
        <v>0</v>
      </c>
      <c r="J47" s="390">
        <f>I47-E47</f>
        <v>0</v>
      </c>
      <c r="K47" s="391" t="str">
        <f t="shared" si="53"/>
        <v/>
      </c>
      <c r="L47" s="393"/>
    </row>
    <row r="48" spans="1:12" s="361" customFormat="1" ht="20.100000000000001" customHeight="1">
      <c r="A48" s="369" t="str">
        <f t="shared" si="46"/>
        <v>三到四年</v>
      </c>
      <c r="B48" s="53">
        <f t="shared" si="50"/>
        <v>0</v>
      </c>
      <c r="C48" s="53">
        <f t="shared" si="50"/>
        <v>0</v>
      </c>
      <c r="D48" s="53">
        <f t="shared" si="50"/>
        <v>0</v>
      </c>
      <c r="E48" s="53">
        <f t="shared" ref="E48:H48" si="56">E32-E40</f>
        <v>0</v>
      </c>
      <c r="F48" s="53">
        <f t="shared" si="56"/>
        <v>0</v>
      </c>
      <c r="G48" s="53">
        <f t="shared" si="56"/>
        <v>0</v>
      </c>
      <c r="H48" s="53">
        <f t="shared" si="56"/>
        <v>0</v>
      </c>
      <c r="I48" s="53">
        <f t="shared" ref="I48" si="57">I32-I40</f>
        <v>0</v>
      </c>
      <c r="J48" s="390">
        <f>I48-E48</f>
        <v>0</v>
      </c>
      <c r="K48" s="391" t="str">
        <f t="shared" si="53"/>
        <v/>
      </c>
      <c r="L48" s="393"/>
    </row>
    <row r="49" spans="1:13" s="361" customFormat="1" ht="20.100000000000001" customHeight="1">
      <c r="A49" s="369" t="str">
        <f t="shared" si="46"/>
        <v>四到五年</v>
      </c>
      <c r="B49" s="53">
        <f t="shared" si="50"/>
        <v>0</v>
      </c>
      <c r="C49" s="53">
        <f t="shared" si="50"/>
        <v>0</v>
      </c>
      <c r="D49" s="53">
        <f t="shared" si="50"/>
        <v>0</v>
      </c>
      <c r="E49" s="53">
        <f t="shared" ref="E49:H49" si="58">E33-E41</f>
        <v>0</v>
      </c>
      <c r="F49" s="53">
        <f t="shared" si="58"/>
        <v>0</v>
      </c>
      <c r="G49" s="53">
        <f t="shared" si="58"/>
        <v>0</v>
      </c>
      <c r="H49" s="53">
        <f t="shared" si="58"/>
        <v>0</v>
      </c>
      <c r="I49" s="53">
        <f t="shared" ref="I49" si="59">I33-I41</f>
        <v>0</v>
      </c>
      <c r="J49" s="390">
        <f t="shared" ref="J49:J50" si="60">I49-E49</f>
        <v>0</v>
      </c>
      <c r="K49" s="391" t="str">
        <f t="shared" si="53"/>
        <v/>
      </c>
      <c r="L49" s="393"/>
    </row>
    <row r="50" spans="1:13" s="361" customFormat="1" ht="20.100000000000001" customHeight="1">
      <c r="A50" s="369" t="str">
        <f t="shared" si="46"/>
        <v>五年以上</v>
      </c>
      <c r="B50" s="53">
        <f t="shared" si="50"/>
        <v>0</v>
      </c>
      <c r="C50" s="53">
        <f t="shared" si="50"/>
        <v>0</v>
      </c>
      <c r="D50" s="53">
        <f t="shared" si="50"/>
        <v>0</v>
      </c>
      <c r="E50" s="53">
        <f t="shared" ref="E50:H50" si="61">E34-E42</f>
        <v>0</v>
      </c>
      <c r="F50" s="53">
        <f t="shared" si="61"/>
        <v>0</v>
      </c>
      <c r="G50" s="53">
        <f t="shared" si="61"/>
        <v>0</v>
      </c>
      <c r="H50" s="53">
        <f t="shared" si="61"/>
        <v>0</v>
      </c>
      <c r="I50" s="53">
        <f t="shared" ref="I50" si="62">I34-I42</f>
        <v>0</v>
      </c>
      <c r="J50" s="390">
        <f t="shared" si="60"/>
        <v>0</v>
      </c>
      <c r="K50" s="391" t="str">
        <f t="shared" si="53"/>
        <v/>
      </c>
      <c r="L50" s="393"/>
    </row>
    <row r="51" spans="1:13" s="361" customFormat="1" ht="20.100000000000001" customHeight="1">
      <c r="A51" s="364" t="s">
        <v>111</v>
      </c>
      <c r="B51" s="53">
        <f>SUM(B45:B50)</f>
        <v>0</v>
      </c>
      <c r="C51" s="53">
        <f t="shared" ref="C51:E51" si="63">SUM(C45:C50)</f>
        <v>0</v>
      </c>
      <c r="D51" s="53">
        <f t="shared" si="63"/>
        <v>0</v>
      </c>
      <c r="E51" s="53">
        <f t="shared" si="63"/>
        <v>0</v>
      </c>
      <c r="F51" s="53">
        <f t="shared" ref="F51:I51" si="64">SUM(F45:F50)</f>
        <v>0</v>
      </c>
      <c r="G51" s="53">
        <f t="shared" si="64"/>
        <v>0</v>
      </c>
      <c r="H51" s="53">
        <f t="shared" si="64"/>
        <v>0</v>
      </c>
      <c r="I51" s="53">
        <f t="shared" si="64"/>
        <v>0</v>
      </c>
      <c r="J51" s="390">
        <f t="shared" ref="J51" si="65">I51-E51</f>
        <v>0</v>
      </c>
      <c r="K51" s="391" t="str">
        <f t="shared" si="53"/>
        <v/>
      </c>
      <c r="L51" s="392"/>
    </row>
    <row r="52" spans="1:13" s="362" customFormat="1" ht="20.100000000000001" customHeight="1">
      <c r="A52" s="362" t="s">
        <v>121</v>
      </c>
      <c r="B52" s="374"/>
      <c r="C52" s="374"/>
      <c r="D52" s="374"/>
      <c r="E52" s="374"/>
      <c r="F52" s="374"/>
      <c r="G52" s="374"/>
      <c r="H52" s="374"/>
      <c r="I52" s="375"/>
      <c r="J52" s="397"/>
      <c r="K52" s="398"/>
      <c r="L52" s="399"/>
    </row>
    <row r="53" spans="1:13" s="362" customFormat="1" ht="20.100000000000001" customHeight="1">
      <c r="A53" s="362" t="s">
        <v>122</v>
      </c>
      <c r="B53" s="375"/>
      <c r="C53" s="375"/>
      <c r="D53" s="375"/>
      <c r="E53" s="376">
        <f>E27-E52</f>
        <v>0</v>
      </c>
      <c r="F53" s="375"/>
      <c r="G53" s="375"/>
      <c r="H53" s="375"/>
      <c r="I53" s="376">
        <f>I27-I52</f>
        <v>0</v>
      </c>
      <c r="J53" s="400"/>
      <c r="K53" s="398"/>
      <c r="L53" s="399"/>
    </row>
    <row r="54" spans="1:13" s="362" customFormat="1" ht="20.100000000000001" customHeight="1">
      <c r="A54" s="377"/>
      <c r="B54" s="378"/>
      <c r="C54" s="378"/>
      <c r="D54" s="378"/>
      <c r="E54" s="378"/>
      <c r="F54" s="378"/>
      <c r="G54" s="378"/>
      <c r="H54" s="378"/>
      <c r="I54" s="378"/>
      <c r="J54" s="399"/>
      <c r="K54" s="401"/>
      <c r="L54" s="399"/>
    </row>
    <row r="55" spans="1:13" s="362" customFormat="1" ht="20.100000000000001" customHeight="1">
      <c r="A55" s="379" t="s">
        <v>123</v>
      </c>
      <c r="B55" s="3"/>
      <c r="C55" s="3"/>
      <c r="D55" s="3"/>
      <c r="E55" s="3"/>
      <c r="F55" s="380"/>
      <c r="G55" s="380"/>
      <c r="H55" s="3"/>
      <c r="I55" s="402" t="s">
        <v>124</v>
      </c>
      <c r="J55" s="2"/>
      <c r="K55" s="2"/>
      <c r="L55" s="2"/>
      <c r="M55" s="2"/>
    </row>
    <row r="56" spans="1:13" s="363" customFormat="1" ht="20.100000000000001" customHeight="1">
      <c r="A56" s="381" t="s">
        <v>125</v>
      </c>
      <c r="B56" s="381"/>
      <c r="C56" s="381"/>
      <c r="D56" s="382"/>
      <c r="E56" s="383">
        <f>IF(AND(E27=0,I27=0),0,IF(AND(E27=0,I27&gt;0),1,(I27-E27)/E27))</f>
        <v>0</v>
      </c>
      <c r="F56" s="384"/>
      <c r="G56" s="384"/>
      <c r="H56" s="384"/>
      <c r="I56" s="384"/>
      <c r="J56" s="384"/>
      <c r="K56" s="384"/>
      <c r="L56" s="2"/>
      <c r="M56" s="2"/>
    </row>
    <row r="57" spans="1:13" s="362" customFormat="1" ht="20.100000000000001" customHeight="1">
      <c r="A57" s="381" t="s">
        <v>126</v>
      </c>
      <c r="B57" s="381"/>
      <c r="C57" s="381"/>
      <c r="D57" s="381"/>
      <c r="E57" s="381"/>
      <c r="F57" s="381"/>
      <c r="G57" s="381"/>
      <c r="H57" s="381"/>
      <c r="I57" s="381"/>
      <c r="J57" s="381"/>
      <c r="K57" s="381"/>
      <c r="L57" s="2"/>
      <c r="M57" s="2"/>
    </row>
    <row r="58" spans="1:13" s="363" customFormat="1" ht="20.100000000000001" customHeight="1">
      <c r="A58" s="381"/>
      <c r="B58" s="381"/>
      <c r="C58" s="381"/>
      <c r="D58" s="381"/>
      <c r="E58" s="381"/>
      <c r="F58" s="381"/>
      <c r="G58" s="381"/>
      <c r="H58" s="381"/>
      <c r="I58" s="381"/>
      <c r="J58" s="381"/>
      <c r="K58" s="381"/>
      <c r="L58" s="2"/>
      <c r="M58" s="2"/>
    </row>
    <row r="59" spans="1:13" s="363" customFormat="1" ht="20.100000000000001" customHeight="1">
      <c r="A59" s="385" t="s">
        <v>127</v>
      </c>
      <c r="B59" s="381"/>
      <c r="C59" s="381"/>
      <c r="D59" s="381"/>
      <c r="E59" s="381"/>
      <c r="F59" s="381"/>
      <c r="G59" s="381"/>
      <c r="H59" s="381"/>
      <c r="I59" s="381"/>
      <c r="J59" s="381"/>
      <c r="K59" s="381"/>
      <c r="L59" s="2"/>
      <c r="M59" s="2"/>
    </row>
    <row r="60" spans="1:13" s="363" customFormat="1" ht="20.100000000000001" customHeight="1">
      <c r="B60" s="385"/>
      <c r="C60" s="385"/>
      <c r="D60" s="385"/>
      <c r="E60" s="385"/>
      <c r="F60" s="385"/>
      <c r="G60" s="385"/>
      <c r="H60" s="385"/>
      <c r="I60" s="385"/>
      <c r="J60" s="385"/>
      <c r="K60" s="385"/>
      <c r="L60" s="2"/>
      <c r="M60" s="2"/>
    </row>
    <row r="61" spans="1:13" s="363" customFormat="1" ht="20.100000000000001" customHeight="1">
      <c r="B61" s="385"/>
      <c r="C61" s="385"/>
      <c r="D61" s="385"/>
      <c r="E61" s="385"/>
      <c r="F61" s="385"/>
      <c r="G61" s="385"/>
      <c r="H61" s="385"/>
      <c r="I61" s="385"/>
      <c r="J61" s="385"/>
      <c r="K61" s="385"/>
      <c r="L61" s="2"/>
      <c r="M61" s="2"/>
    </row>
    <row r="62" spans="1:13" ht="20.100000000000001" customHeight="1">
      <c r="A62" s="386"/>
      <c r="B62" s="387"/>
      <c r="C62" s="387"/>
      <c r="D62" s="387"/>
      <c r="E62" s="387"/>
      <c r="F62" s="387"/>
      <c r="G62" s="387"/>
      <c r="H62" s="387"/>
      <c r="I62" s="387"/>
      <c r="J62" s="387"/>
      <c r="K62" s="387"/>
    </row>
  </sheetData>
  <mergeCells count="7">
    <mergeCell ref="A1:L1"/>
    <mergeCell ref="A2:L2"/>
    <mergeCell ref="B5:E5"/>
    <mergeCell ref="F5:I5"/>
    <mergeCell ref="J5:K5"/>
    <mergeCell ref="A5:A6"/>
    <mergeCell ref="L5:L6"/>
  </mergeCells>
  <phoneticPr fontId="168" type="noConversion"/>
  <hyperlinks>
    <hyperlink ref="L3" location="底稿目录!A1" display="=底稿目录!F5"/>
  </hyperlinks>
  <pageMargins left="0.70833333333333304" right="0.70833333333333304" top="0.74791666666666701" bottom="0.74791666666666701" header="0.31458333333333299" footer="0.31458333333333299"/>
  <pageSetup paperSize="9" scale="80" orientation="landscape" blackAndWhite="1" r:id="rId1"/>
  <headerFooter alignWithMargins="0">
    <oddFooter>&amp;C&amp;P/&amp;N</oddFooter>
  </headerFooter>
  <rowBreaks count="1" manualBreakCount="1">
    <brk id="32"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134"/>
  <sheetViews>
    <sheetView view="pageBreakPreview" zoomScale="60" zoomScaleNormal="100" workbookViewId="0">
      <selection activeCell="K84" sqref="K84"/>
    </sheetView>
  </sheetViews>
  <sheetFormatPr defaultColWidth="9" defaultRowHeight="13.8"/>
  <cols>
    <col min="1" max="1" width="26.09765625" style="219" customWidth="1"/>
    <col min="2" max="2" width="14" style="219" customWidth="1"/>
    <col min="3" max="3" width="15" style="219" customWidth="1"/>
    <col min="4" max="4" width="16.5" style="219" customWidth="1"/>
    <col min="5" max="5" width="18.5" style="219" customWidth="1"/>
    <col min="6" max="6" width="13.5" style="219" customWidth="1"/>
    <col min="7" max="16384" width="9" style="219"/>
  </cols>
  <sheetData>
    <row r="1" spans="1:9" s="306" customFormat="1" ht="20.100000000000001" customHeight="1">
      <c r="A1" s="488" t="s">
        <v>128</v>
      </c>
      <c r="B1" s="488"/>
      <c r="C1" s="488"/>
      <c r="D1" s="488"/>
      <c r="E1" s="488"/>
      <c r="F1" s="488"/>
      <c r="G1" s="220"/>
      <c r="H1" s="220"/>
      <c r="I1" s="220"/>
    </row>
    <row r="2" spans="1:9" s="307" customFormat="1" ht="25.2" customHeight="1">
      <c r="A2" s="489" t="s">
        <v>129</v>
      </c>
      <c r="B2" s="489"/>
      <c r="C2" s="489"/>
      <c r="D2" s="489"/>
      <c r="E2" s="489"/>
      <c r="F2" s="489"/>
      <c r="G2" s="308"/>
      <c r="H2" s="308"/>
      <c r="I2" s="308"/>
    </row>
    <row r="3" spans="1:9" s="306" customFormat="1" ht="20.100000000000001" customHeight="1">
      <c r="A3" s="306" t="str">
        <f>底稿目录!A2</f>
        <v>被审计单位名称：</v>
      </c>
      <c r="C3" s="306" t="str">
        <f>底稿目录!A4</f>
        <v>编制人：</v>
      </c>
      <c r="E3" s="306" t="str">
        <f>底稿目录!A5</f>
        <v>编制日期：</v>
      </c>
      <c r="F3" s="306" t="s">
        <v>130</v>
      </c>
    </row>
    <row r="4" spans="1:9" s="306" customFormat="1" ht="20.100000000000001" customHeight="1">
      <c r="A4" s="306" t="str">
        <f>底稿目录!A3</f>
        <v>截止日：202X年12月31日</v>
      </c>
      <c r="B4" s="309"/>
      <c r="C4" s="306" t="str">
        <f>底稿目录!A6</f>
        <v>复核人：</v>
      </c>
      <c r="E4" s="306" t="str">
        <f>底稿目录!A7</f>
        <v>复核日期：</v>
      </c>
      <c r="F4" s="306" t="s">
        <v>131</v>
      </c>
      <c r="I4" s="309"/>
    </row>
    <row r="5" spans="1:9" s="218" customFormat="1" ht="20.100000000000001" customHeight="1">
      <c r="A5" s="218" t="s">
        <v>132</v>
      </c>
    </row>
    <row r="6" spans="1:9" s="218" customFormat="1" ht="20.100000000000001" customHeight="1">
      <c r="A6" s="310" t="s">
        <v>133</v>
      </c>
    </row>
    <row r="7" spans="1:9" s="218" customFormat="1" ht="20.100000000000001" customHeight="1">
      <c r="A7" s="311" t="s">
        <v>134</v>
      </c>
    </row>
    <row r="8" spans="1:9" s="218" customFormat="1" ht="20.100000000000001" customHeight="1">
      <c r="A8" s="485" t="s">
        <v>135</v>
      </c>
      <c r="B8" s="487" t="s">
        <v>136</v>
      </c>
      <c r="C8" s="487"/>
      <c r="D8" s="487"/>
      <c r="E8" s="487"/>
      <c r="F8" s="487"/>
    </row>
    <row r="9" spans="1:9" s="218" customFormat="1" ht="20.100000000000001" customHeight="1">
      <c r="A9" s="486"/>
      <c r="B9" s="226" t="s">
        <v>137</v>
      </c>
      <c r="C9" s="226" t="s">
        <v>138</v>
      </c>
      <c r="D9" s="226" t="s">
        <v>139</v>
      </c>
      <c r="E9" s="226" t="s">
        <v>140</v>
      </c>
      <c r="F9" s="226" t="s">
        <v>141</v>
      </c>
    </row>
    <row r="10" spans="1:9" s="218" customFormat="1" ht="31.2">
      <c r="A10" s="227" t="s">
        <v>142</v>
      </c>
      <c r="B10" s="233" t="e">
        <f>#REF!</f>
        <v>#REF!</v>
      </c>
      <c r="C10" s="244" t="e">
        <f>B10/$B$17</f>
        <v>#REF!</v>
      </c>
      <c r="D10" s="233" t="e">
        <f>#REF!</f>
        <v>#REF!</v>
      </c>
      <c r="E10" s="244" t="e">
        <f>IF(B10=0,,D10/B10)</f>
        <v>#REF!</v>
      </c>
      <c r="F10" s="233" t="e">
        <f>B10-D10</f>
        <v>#REF!</v>
      </c>
    </row>
    <row r="11" spans="1:9" s="218" customFormat="1" ht="31.2">
      <c r="A11" s="230" t="s">
        <v>143</v>
      </c>
      <c r="B11" s="233"/>
      <c r="C11" s="244"/>
      <c r="D11" s="233"/>
      <c r="E11" s="244"/>
      <c r="F11" s="233"/>
    </row>
    <row r="12" spans="1:9" s="218" customFormat="1" ht="20.100000000000001" customHeight="1">
      <c r="A12" s="232" t="s">
        <v>144</v>
      </c>
      <c r="B12" s="233" t="e">
        <f>#REF!</f>
        <v>#REF!</v>
      </c>
      <c r="C12" s="244" t="e">
        <f t="shared" ref="C12:C16" si="0">B12/$B$17</f>
        <v>#REF!</v>
      </c>
      <c r="D12" s="233" t="e">
        <f>#REF!</f>
        <v>#REF!</v>
      </c>
      <c r="E12" s="244" t="e">
        <f t="shared" ref="E12:E17" si="1">IF(B12=0,,D12/B12)</f>
        <v>#REF!</v>
      </c>
      <c r="F12" s="233" t="e">
        <f t="shared" ref="F12:F15" si="2">B12-D12</f>
        <v>#REF!</v>
      </c>
    </row>
    <row r="13" spans="1:9" s="218" customFormat="1" ht="20.100000000000001" customHeight="1">
      <c r="A13" s="232" t="s">
        <v>145</v>
      </c>
      <c r="B13" s="233" t="e">
        <f>#REF!</f>
        <v>#REF!</v>
      </c>
      <c r="C13" s="244" t="e">
        <f t="shared" si="0"/>
        <v>#REF!</v>
      </c>
      <c r="D13" s="233" t="e">
        <f>#REF!</f>
        <v>#REF!</v>
      </c>
      <c r="E13" s="244" t="e">
        <f t="shared" si="1"/>
        <v>#REF!</v>
      </c>
      <c r="F13" s="233" t="e">
        <f t="shared" si="2"/>
        <v>#REF!</v>
      </c>
    </row>
    <row r="14" spans="1:9" s="218" customFormat="1" ht="20.100000000000001" customHeight="1">
      <c r="A14" s="234" t="s">
        <v>146</v>
      </c>
      <c r="B14" s="233"/>
      <c r="C14" s="244" t="e">
        <f t="shared" si="0"/>
        <v>#REF!</v>
      </c>
      <c r="D14" s="233"/>
      <c r="E14" s="244">
        <f t="shared" si="1"/>
        <v>0</v>
      </c>
      <c r="F14" s="233">
        <f t="shared" si="2"/>
        <v>0</v>
      </c>
    </row>
    <row r="15" spans="1:9" s="218" customFormat="1" ht="20.100000000000001" customHeight="1">
      <c r="A15" s="234" t="s">
        <v>147</v>
      </c>
      <c r="B15" s="233"/>
      <c r="C15" s="244" t="e">
        <f t="shared" si="0"/>
        <v>#REF!</v>
      </c>
      <c r="D15" s="233"/>
      <c r="E15" s="244">
        <f t="shared" si="1"/>
        <v>0</v>
      </c>
      <c r="F15" s="233">
        <f t="shared" si="2"/>
        <v>0</v>
      </c>
    </row>
    <row r="16" spans="1:9" s="218" customFormat="1" ht="19.5" customHeight="1">
      <c r="A16" s="230" t="s">
        <v>148</v>
      </c>
      <c r="B16" s="233" t="e">
        <f t="shared" ref="B16:D16" si="3">SUM(B12:B15)</f>
        <v>#REF!</v>
      </c>
      <c r="C16" s="244" t="e">
        <f t="shared" si="0"/>
        <v>#REF!</v>
      </c>
      <c r="D16" s="233" t="e">
        <f t="shared" si="3"/>
        <v>#REF!</v>
      </c>
      <c r="E16" s="233" t="e">
        <f t="shared" si="1"/>
        <v>#REF!</v>
      </c>
      <c r="F16" s="233" t="e">
        <f>SUM(F12:F15)</f>
        <v>#REF!</v>
      </c>
    </row>
    <row r="17" spans="1:6" s="218" customFormat="1" ht="20.100000000000001" customHeight="1">
      <c r="A17" s="299" t="s">
        <v>149</v>
      </c>
      <c r="B17" s="237" t="e">
        <f>SUM(B10+B16)</f>
        <v>#REF!</v>
      </c>
      <c r="C17" s="312" t="e">
        <f>B17/B17</f>
        <v>#REF!</v>
      </c>
      <c r="D17" s="237" t="e">
        <f>SUM(D10+D16)</f>
        <v>#REF!</v>
      </c>
      <c r="E17" s="312" t="e">
        <f t="shared" si="1"/>
        <v>#REF!</v>
      </c>
      <c r="F17" s="237" t="e">
        <f>SUM(F10+F16)</f>
        <v>#REF!</v>
      </c>
    </row>
    <row r="18" spans="1:6" s="218" customFormat="1" ht="20.100000000000001" customHeight="1">
      <c r="A18" s="223" t="s">
        <v>150</v>
      </c>
    </row>
    <row r="19" spans="1:6" s="218" customFormat="1" ht="20.100000000000001" customHeight="1">
      <c r="A19" s="485" t="s">
        <v>135</v>
      </c>
      <c r="B19" s="487" t="s">
        <v>151</v>
      </c>
      <c r="C19" s="487"/>
      <c r="D19" s="487"/>
      <c r="E19" s="487"/>
      <c r="F19" s="487"/>
    </row>
    <row r="20" spans="1:6" s="218" customFormat="1" ht="20.100000000000001" customHeight="1">
      <c r="A20" s="486"/>
      <c r="B20" s="226" t="s">
        <v>137</v>
      </c>
      <c r="C20" s="226" t="s">
        <v>138</v>
      </c>
      <c r="D20" s="226" t="s">
        <v>139</v>
      </c>
      <c r="E20" s="226" t="s">
        <v>140</v>
      </c>
      <c r="F20" s="226" t="s">
        <v>141</v>
      </c>
    </row>
    <row r="21" spans="1:6" s="218" customFormat="1" ht="31.2">
      <c r="A21" s="227" t="s">
        <v>142</v>
      </c>
      <c r="B21" s="233"/>
      <c r="C21" s="244">
        <f>IF($B$28=0,0,B21/$B$28)</f>
        <v>0</v>
      </c>
      <c r="D21" s="233"/>
      <c r="E21" s="244">
        <f>IF(B21=0,0,D21/B21)</f>
        <v>0</v>
      </c>
      <c r="F21" s="233">
        <f>B21-D21</f>
        <v>0</v>
      </c>
    </row>
    <row r="22" spans="1:6" s="218" customFormat="1" ht="31.2">
      <c r="A22" s="230" t="s">
        <v>143</v>
      </c>
      <c r="C22" s="244"/>
      <c r="E22" s="244"/>
      <c r="F22" s="233"/>
    </row>
    <row r="23" spans="1:6" s="218" customFormat="1" ht="20.100000000000001" customHeight="1">
      <c r="A23" s="232" t="s">
        <v>144</v>
      </c>
      <c r="B23" s="233"/>
      <c r="C23" s="244">
        <f t="shared" ref="C23:C26" si="4">IF($B$28=0,0,B23/$B$28)</f>
        <v>0</v>
      </c>
      <c r="D23" s="233"/>
      <c r="E23" s="244">
        <f>IF(B23=0,0,D23/B23)</f>
        <v>0</v>
      </c>
      <c r="F23" s="233">
        <f t="shared" ref="F23:F25" si="5">B23-D23</f>
        <v>0</v>
      </c>
    </row>
    <row r="24" spans="1:6" s="218" customFormat="1" ht="20.100000000000001" customHeight="1">
      <c r="A24" s="232" t="s">
        <v>145</v>
      </c>
      <c r="B24" s="233"/>
      <c r="C24" s="244">
        <f t="shared" si="4"/>
        <v>0</v>
      </c>
      <c r="D24" s="233"/>
      <c r="E24" s="244">
        <f t="shared" ref="E24:E26" si="6">IF(B24=0,0,D24/B24)</f>
        <v>0</v>
      </c>
      <c r="F24" s="233">
        <f t="shared" si="5"/>
        <v>0</v>
      </c>
    </row>
    <row r="25" spans="1:6" s="218" customFormat="1" ht="19.5" customHeight="1">
      <c r="A25" s="234" t="s">
        <v>146</v>
      </c>
      <c r="B25" s="233"/>
      <c r="C25" s="244">
        <f t="shared" si="4"/>
        <v>0</v>
      </c>
      <c r="D25" s="233"/>
      <c r="E25" s="244">
        <f t="shared" si="6"/>
        <v>0</v>
      </c>
      <c r="F25" s="233">
        <f t="shared" si="5"/>
        <v>0</v>
      </c>
    </row>
    <row r="26" spans="1:6" s="218" customFormat="1" ht="20.100000000000001" customHeight="1">
      <c r="A26" s="234" t="s">
        <v>147</v>
      </c>
      <c r="B26" s="233"/>
      <c r="C26" s="244">
        <f t="shared" si="4"/>
        <v>0</v>
      </c>
      <c r="D26" s="233"/>
      <c r="E26" s="244">
        <f t="shared" si="6"/>
        <v>0</v>
      </c>
      <c r="F26" s="233">
        <f>SUM(F23:F25)</f>
        <v>0</v>
      </c>
    </row>
    <row r="27" spans="1:6" s="218" customFormat="1" ht="15.6">
      <c r="A27" s="230" t="s">
        <v>148</v>
      </c>
      <c r="B27" s="313">
        <f>SUM(B23:B26)</f>
        <v>0</v>
      </c>
      <c r="C27" s="244">
        <f>SUM(C23:C26)</f>
        <v>0</v>
      </c>
      <c r="D27" s="313">
        <f>SUM(D23:D26)</f>
        <v>0</v>
      </c>
      <c r="E27" s="244">
        <f>SUM(E23:E26)</f>
        <v>0</v>
      </c>
      <c r="F27" s="233">
        <f>B27-D27</f>
        <v>0</v>
      </c>
    </row>
    <row r="28" spans="1:6" s="218" customFormat="1" ht="20.100000000000001" customHeight="1">
      <c r="A28" s="299" t="s">
        <v>149</v>
      </c>
      <c r="B28" s="237">
        <f>SUM(B21+B27)</f>
        <v>0</v>
      </c>
      <c r="C28" s="312">
        <f>SUM(C21+C27)</f>
        <v>0</v>
      </c>
      <c r="D28" s="237">
        <f>SUM(D21+D27)</f>
        <v>0</v>
      </c>
      <c r="E28" s="312">
        <f>SUM(E21+E27)</f>
        <v>0</v>
      </c>
      <c r="F28" s="237">
        <f>SUM(F21+F27)</f>
        <v>0</v>
      </c>
    </row>
    <row r="29" spans="1:6" s="218" customFormat="1" ht="33.75" customHeight="1">
      <c r="A29" s="484" t="s">
        <v>152</v>
      </c>
      <c r="B29" s="484"/>
      <c r="C29" s="484"/>
      <c r="D29" s="484"/>
      <c r="E29" s="484"/>
      <c r="F29" s="484"/>
    </row>
    <row r="30" spans="1:6" s="218" customFormat="1" ht="20.100000000000001" customHeight="1">
      <c r="A30" s="224" t="s">
        <v>153</v>
      </c>
    </row>
    <row r="31" spans="1:6" s="218" customFormat="1" ht="20.100000000000001" customHeight="1">
      <c r="A31" s="314" t="s">
        <v>154</v>
      </c>
    </row>
    <row r="32" spans="1:6" s="218" customFormat="1" ht="20.100000000000001" customHeight="1">
      <c r="A32" s="299" t="s">
        <v>155</v>
      </c>
      <c r="B32" s="299" t="s">
        <v>156</v>
      </c>
      <c r="C32" s="299" t="s">
        <v>139</v>
      </c>
      <c r="D32" s="299" t="s">
        <v>140</v>
      </c>
      <c r="E32" s="299" t="s">
        <v>157</v>
      </c>
    </row>
    <row r="33" spans="1:6" s="218" customFormat="1" ht="20.100000000000001" customHeight="1">
      <c r="A33" s="315"/>
      <c r="B33" s="316"/>
      <c r="C33" s="235"/>
      <c r="D33" s="231">
        <f>IF(B33=0,0,C33/B33)</f>
        <v>0</v>
      </c>
      <c r="E33" s="231"/>
      <c r="F33" s="317"/>
    </row>
    <row r="34" spans="1:6" s="218" customFormat="1" ht="20.100000000000001" customHeight="1">
      <c r="A34" s="315"/>
      <c r="B34" s="316"/>
      <c r="C34" s="235"/>
      <c r="D34" s="231">
        <f t="shared" ref="D34:D38" si="7">IF(B34=0,0,C34/B34)</f>
        <v>0</v>
      </c>
      <c r="E34" s="231"/>
      <c r="F34" s="317"/>
    </row>
    <row r="35" spans="1:6" s="218" customFormat="1" ht="20.100000000000001" customHeight="1">
      <c r="A35" s="315"/>
      <c r="B35" s="316"/>
      <c r="C35" s="235"/>
      <c r="D35" s="231">
        <f t="shared" si="7"/>
        <v>0</v>
      </c>
      <c r="E35" s="231"/>
      <c r="F35" s="317"/>
    </row>
    <row r="36" spans="1:6" s="218" customFormat="1" ht="20.100000000000001" customHeight="1">
      <c r="A36" s="315"/>
      <c r="B36" s="316"/>
      <c r="C36" s="235"/>
      <c r="D36" s="231">
        <f t="shared" si="7"/>
        <v>0</v>
      </c>
      <c r="E36" s="231"/>
      <c r="F36" s="317"/>
    </row>
    <row r="37" spans="1:6" s="218" customFormat="1" ht="20.100000000000001" customHeight="1">
      <c r="A37" s="315"/>
      <c r="B37" s="316"/>
      <c r="C37" s="235"/>
      <c r="D37" s="231">
        <f t="shared" si="7"/>
        <v>0</v>
      </c>
      <c r="E37" s="231"/>
      <c r="F37" s="317"/>
    </row>
    <row r="38" spans="1:6" s="218" customFormat="1" ht="20.100000000000001" customHeight="1">
      <c r="A38" s="299" t="s">
        <v>149</v>
      </c>
      <c r="B38" s="318">
        <f>SUM(B33:B37)</f>
        <v>0</v>
      </c>
      <c r="C38" s="318">
        <f t="shared" ref="C38" si="8">SUM(C33:C37)</f>
        <v>0</v>
      </c>
      <c r="D38" s="319">
        <f t="shared" si="7"/>
        <v>0</v>
      </c>
      <c r="E38" s="320"/>
    </row>
    <row r="39" spans="1:6" s="218" customFormat="1" ht="20.100000000000001" customHeight="1">
      <c r="A39" s="314" t="s">
        <v>158</v>
      </c>
    </row>
    <row r="40" spans="1:6" s="218" customFormat="1" ht="20.100000000000001" customHeight="1">
      <c r="A40" s="487" t="s">
        <v>159</v>
      </c>
      <c r="B40" s="487" t="s">
        <v>136</v>
      </c>
      <c r="C40" s="487"/>
      <c r="D40" s="487"/>
      <c r="E40" s="487"/>
      <c r="F40" s="487"/>
    </row>
    <row r="41" spans="1:6" s="218" customFormat="1" ht="20.100000000000001" customHeight="1">
      <c r="A41" s="486"/>
      <c r="B41" s="226" t="s">
        <v>137</v>
      </c>
      <c r="C41" s="226" t="s">
        <v>138</v>
      </c>
      <c r="D41" s="226" t="s">
        <v>139</v>
      </c>
      <c r="E41" s="226" t="s">
        <v>140</v>
      </c>
      <c r="F41" s="226" t="s">
        <v>141</v>
      </c>
    </row>
    <row r="42" spans="1:6" s="218" customFormat="1" ht="20.100000000000001" customHeight="1">
      <c r="A42" s="321" t="e">
        <f>#REF!</f>
        <v>#REF!</v>
      </c>
      <c r="B42" s="228" t="e">
        <f>#REF!</f>
        <v>#REF!</v>
      </c>
      <c r="C42" s="322" t="e">
        <f>IF(B42=0,0,B42/$B$48)</f>
        <v>#REF!</v>
      </c>
      <c r="D42" s="323" t="e">
        <f>#REF!</f>
        <v>#REF!</v>
      </c>
      <c r="E42" s="322" t="e">
        <f>IF(D42=0,0,D42/B42)</f>
        <v>#REF!</v>
      </c>
      <c r="F42" s="324" t="e">
        <f>B42-D42</f>
        <v>#REF!</v>
      </c>
    </row>
    <row r="43" spans="1:6" s="218" customFormat="1" ht="20.100000000000001" customHeight="1">
      <c r="A43" s="321" t="e">
        <f>#REF!</f>
        <v>#REF!</v>
      </c>
      <c r="B43" s="233" t="e">
        <f>#REF!</f>
        <v>#REF!</v>
      </c>
      <c r="C43" s="325" t="e">
        <f>IF(B43=0,0,B43/$B$48)</f>
        <v>#REF!</v>
      </c>
      <c r="D43" s="326" t="e">
        <f>#REF!</f>
        <v>#REF!</v>
      </c>
      <c r="E43" s="325" t="e">
        <f t="shared" ref="E43:E48" si="9">IF(D43=0,0,D43/B43)</f>
        <v>#REF!</v>
      </c>
      <c r="F43" s="327" t="e">
        <f t="shared" ref="F43:F47" si="10">B43-D43</f>
        <v>#REF!</v>
      </c>
    </row>
    <row r="44" spans="1:6" s="218" customFormat="1" ht="20.100000000000001" customHeight="1">
      <c r="A44" s="321" t="e">
        <f>#REF!</f>
        <v>#REF!</v>
      </c>
      <c r="B44" s="233" t="e">
        <f>#REF!</f>
        <v>#REF!</v>
      </c>
      <c r="C44" s="325" t="e">
        <f>IF(B44=0,0,B44/$B$48)</f>
        <v>#REF!</v>
      </c>
      <c r="D44" s="326" t="e">
        <f>#REF!</f>
        <v>#REF!</v>
      </c>
      <c r="E44" s="325" t="e">
        <f t="shared" si="9"/>
        <v>#REF!</v>
      </c>
      <c r="F44" s="327" t="e">
        <f t="shared" si="10"/>
        <v>#REF!</v>
      </c>
    </row>
    <row r="45" spans="1:6" s="218" customFormat="1" ht="20.100000000000001" customHeight="1">
      <c r="A45" s="321" t="e">
        <f>#REF!</f>
        <v>#REF!</v>
      </c>
      <c r="B45" s="233" t="e">
        <f>#REF!</f>
        <v>#REF!</v>
      </c>
      <c r="C45" s="325" t="e">
        <f>IF(B45=0,0,B45/$B$48)</f>
        <v>#REF!</v>
      </c>
      <c r="D45" s="326" t="e">
        <f>#REF!</f>
        <v>#REF!</v>
      </c>
      <c r="E45" s="325" t="e">
        <f t="shared" si="9"/>
        <v>#REF!</v>
      </c>
      <c r="F45" s="327" t="e">
        <f t="shared" si="10"/>
        <v>#REF!</v>
      </c>
    </row>
    <row r="46" spans="1:6" s="218" customFormat="1" ht="20.100000000000001" customHeight="1">
      <c r="A46" s="321" t="e">
        <f>#REF!</f>
        <v>#REF!</v>
      </c>
      <c r="B46" s="233" t="e">
        <f>#REF!</f>
        <v>#REF!</v>
      </c>
      <c r="C46" s="325" t="e">
        <f t="shared" ref="C46:C47" si="11">IF(B46=0,0,B46/$B$48)</f>
        <v>#REF!</v>
      </c>
      <c r="D46" s="326" t="e">
        <f>#REF!</f>
        <v>#REF!</v>
      </c>
      <c r="E46" s="325" t="e">
        <f t="shared" si="9"/>
        <v>#REF!</v>
      </c>
      <c r="F46" s="327"/>
    </row>
    <row r="47" spans="1:6" s="218" customFormat="1" ht="20.100000000000001" customHeight="1">
      <c r="A47" s="321" t="e">
        <f>#REF!</f>
        <v>#REF!</v>
      </c>
      <c r="B47" s="253" t="e">
        <f>#REF!</f>
        <v>#REF!</v>
      </c>
      <c r="C47" s="325" t="e">
        <f t="shared" si="11"/>
        <v>#REF!</v>
      </c>
      <c r="D47" s="328" t="e">
        <f>#REF!</f>
        <v>#REF!</v>
      </c>
      <c r="E47" s="325" t="e">
        <f t="shared" si="9"/>
        <v>#REF!</v>
      </c>
      <c r="F47" s="329" t="e">
        <f t="shared" si="10"/>
        <v>#REF!</v>
      </c>
    </row>
    <row r="48" spans="1:6" s="218" customFormat="1" ht="20.100000000000001" customHeight="1">
      <c r="A48" s="299" t="s">
        <v>149</v>
      </c>
      <c r="B48" s="330" t="e">
        <f>SUM(B42:B47)</f>
        <v>#REF!</v>
      </c>
      <c r="C48" s="331" t="e">
        <f>SUM(C42:C47)</f>
        <v>#REF!</v>
      </c>
      <c r="D48" s="332" t="e">
        <f>SUM(D42:D47)</f>
        <v>#REF!</v>
      </c>
      <c r="E48" s="331" t="e">
        <f t="shared" si="9"/>
        <v>#REF!</v>
      </c>
      <c r="F48" s="332" t="e">
        <f>SUM(F42:F47)</f>
        <v>#REF!</v>
      </c>
    </row>
    <row r="49" spans="1:6" s="218" customFormat="1" ht="20.100000000000001" customHeight="1">
      <c r="A49" s="247" t="s">
        <v>160</v>
      </c>
    </row>
    <row r="50" spans="1:6" s="218" customFormat="1" ht="20.100000000000001" customHeight="1">
      <c r="A50" s="487" t="s">
        <v>159</v>
      </c>
      <c r="B50" s="487" t="s">
        <v>151</v>
      </c>
      <c r="C50" s="487"/>
      <c r="D50" s="487"/>
      <c r="E50" s="487"/>
      <c r="F50" s="487"/>
    </row>
    <row r="51" spans="1:6" s="218" customFormat="1" ht="20.100000000000001" customHeight="1">
      <c r="A51" s="486"/>
      <c r="B51" s="226" t="s">
        <v>137</v>
      </c>
      <c r="C51" s="226" t="s">
        <v>138</v>
      </c>
      <c r="D51" s="226" t="s">
        <v>139</v>
      </c>
      <c r="E51" s="226" t="s">
        <v>140</v>
      </c>
      <c r="F51" s="226" t="s">
        <v>141</v>
      </c>
    </row>
    <row r="52" spans="1:6" s="218" customFormat="1" ht="20.100000000000001" customHeight="1">
      <c r="A52" s="321"/>
      <c r="B52" s="233"/>
      <c r="C52" s="244">
        <f>IF(B52=0,0,B52/$B$58)</f>
        <v>0</v>
      </c>
      <c r="D52" s="233"/>
      <c r="E52" s="244">
        <f>IF(D52=0,0,D52/B52)</f>
        <v>0</v>
      </c>
      <c r="F52" s="271">
        <f>B52-D52</f>
        <v>0</v>
      </c>
    </row>
    <row r="53" spans="1:6" s="218" customFormat="1" ht="20.100000000000001" customHeight="1">
      <c r="A53" s="321"/>
      <c r="B53" s="233"/>
      <c r="C53" s="244">
        <f>IF(B53=0,0,B53/$B$58)</f>
        <v>0</v>
      </c>
      <c r="D53" s="233"/>
      <c r="E53" s="244">
        <f t="shared" ref="E53:E58" si="12">IF(D53=0,0,D53/B53)</f>
        <v>0</v>
      </c>
      <c r="F53" s="271">
        <f t="shared" ref="F53:F57" si="13">B53-D53</f>
        <v>0</v>
      </c>
    </row>
    <row r="54" spans="1:6" s="218" customFormat="1" ht="20.100000000000001" customHeight="1">
      <c r="A54" s="321"/>
      <c r="B54" s="233"/>
      <c r="C54" s="244">
        <f>IF(B54=0,0,B54/$B$58)</f>
        <v>0</v>
      </c>
      <c r="D54" s="233"/>
      <c r="E54" s="244">
        <f t="shared" si="12"/>
        <v>0</v>
      </c>
      <c r="F54" s="271">
        <f t="shared" si="13"/>
        <v>0</v>
      </c>
    </row>
    <row r="55" spans="1:6" s="218" customFormat="1" ht="20.100000000000001" customHeight="1">
      <c r="A55" s="321"/>
      <c r="B55" s="233"/>
      <c r="C55" s="244">
        <f>IF(B55=0,0,B55/$B$58)</f>
        <v>0</v>
      </c>
      <c r="D55" s="233"/>
      <c r="E55" s="244">
        <f t="shared" si="12"/>
        <v>0</v>
      </c>
      <c r="F55" s="271">
        <f t="shared" si="13"/>
        <v>0</v>
      </c>
    </row>
    <row r="56" spans="1:6" s="218" customFormat="1" ht="20.100000000000001" customHeight="1">
      <c r="A56" s="321"/>
      <c r="B56" s="233"/>
      <c r="C56" s="244">
        <f t="shared" ref="C56:C58" si="14">IF(B56=0,0,B56/$B$58)</f>
        <v>0</v>
      </c>
      <c r="D56" s="233"/>
      <c r="E56" s="244">
        <f t="shared" si="12"/>
        <v>0</v>
      </c>
      <c r="F56" s="271"/>
    </row>
    <row r="57" spans="1:6" s="218" customFormat="1" ht="20.100000000000001" customHeight="1">
      <c r="A57" s="321"/>
      <c r="B57" s="233"/>
      <c r="C57" s="244">
        <f t="shared" si="14"/>
        <v>0</v>
      </c>
      <c r="D57" s="233"/>
      <c r="E57" s="244">
        <f t="shared" si="12"/>
        <v>0</v>
      </c>
      <c r="F57" s="271">
        <f t="shared" si="13"/>
        <v>0</v>
      </c>
    </row>
    <row r="58" spans="1:6" s="218" customFormat="1" ht="20.100000000000001" customHeight="1">
      <c r="A58" s="299" t="s">
        <v>149</v>
      </c>
      <c r="B58" s="330">
        <f>SUM(B52:B57)</f>
        <v>0</v>
      </c>
      <c r="C58" s="256">
        <f t="shared" si="14"/>
        <v>0</v>
      </c>
      <c r="D58" s="330">
        <f>SUM(D52:D57)</f>
        <v>0</v>
      </c>
      <c r="E58" s="256">
        <f t="shared" si="12"/>
        <v>0</v>
      </c>
      <c r="F58" s="330">
        <f>SUM(F52:F57)</f>
        <v>0</v>
      </c>
    </row>
    <row r="59" spans="1:6" s="218" customFormat="1" ht="20.100000000000001" customHeight="1">
      <c r="A59" s="314" t="s">
        <v>161</v>
      </c>
    </row>
    <row r="60" spans="1:6" s="218" customFormat="1" ht="20.100000000000001" customHeight="1">
      <c r="A60" s="299" t="s">
        <v>162</v>
      </c>
      <c r="B60" s="299" t="s">
        <v>156</v>
      </c>
      <c r="C60" s="299" t="s">
        <v>139</v>
      </c>
      <c r="D60" s="333" t="s">
        <v>163</v>
      </c>
    </row>
    <row r="61" spans="1:6" s="218" customFormat="1" ht="20.100000000000001" customHeight="1">
      <c r="A61" s="334" t="s">
        <v>164</v>
      </c>
      <c r="B61" s="233"/>
      <c r="C61" s="233"/>
      <c r="D61" s="244">
        <f>IF(B61=0,0,C61/B61)</f>
        <v>0</v>
      </c>
    </row>
    <row r="62" spans="1:6" s="218" customFormat="1" ht="20.100000000000001" customHeight="1">
      <c r="A62" s="334" t="s">
        <v>165</v>
      </c>
      <c r="B62" s="233"/>
      <c r="C62" s="233"/>
      <c r="D62" s="251">
        <f t="shared" ref="D62:D64" si="15">IF(B62=0,0,C62/B62)</f>
        <v>0</v>
      </c>
    </row>
    <row r="63" spans="1:6" s="218" customFormat="1" ht="20.100000000000001" customHeight="1">
      <c r="A63" s="321" t="s">
        <v>166</v>
      </c>
      <c r="B63" s="233"/>
      <c r="C63" s="233"/>
      <c r="D63" s="251">
        <f t="shared" si="15"/>
        <v>0</v>
      </c>
    </row>
    <row r="64" spans="1:6" s="218" customFormat="1" ht="20.100000000000001" customHeight="1">
      <c r="A64" s="299" t="s">
        <v>149</v>
      </c>
      <c r="B64" s="330">
        <f>SUM(B61:B63)</f>
        <v>0</v>
      </c>
      <c r="C64" s="330">
        <f t="shared" ref="C64" si="16">SUM(C61:C63)</f>
        <v>0</v>
      </c>
      <c r="D64" s="335">
        <f t="shared" si="15"/>
        <v>0</v>
      </c>
    </row>
    <row r="65" spans="1:6" s="218" customFormat="1" ht="20.100000000000001" customHeight="1">
      <c r="A65" s="314" t="s">
        <v>167</v>
      </c>
    </row>
    <row r="66" spans="1:6" ht="20.100000000000001" customHeight="1">
      <c r="A66" s="299" t="s">
        <v>162</v>
      </c>
      <c r="B66" s="299" t="s">
        <v>156</v>
      </c>
      <c r="C66" s="299" t="s">
        <v>139</v>
      </c>
      <c r="D66" s="333" t="s">
        <v>163</v>
      </c>
      <c r="E66" s="218"/>
      <c r="F66" s="218"/>
    </row>
    <row r="67" spans="1:6" ht="20.100000000000001" customHeight="1">
      <c r="A67" s="334" t="s">
        <v>164</v>
      </c>
      <c r="B67" s="233"/>
      <c r="C67" s="233"/>
      <c r="D67" s="244">
        <f>IF(B67=0,0,C67/B67)</f>
        <v>0</v>
      </c>
      <c r="E67" s="218"/>
      <c r="F67" s="218"/>
    </row>
    <row r="68" spans="1:6" ht="20.100000000000001" customHeight="1">
      <c r="A68" s="334" t="s">
        <v>165</v>
      </c>
      <c r="B68" s="233"/>
      <c r="C68" s="233"/>
      <c r="D68" s="251">
        <f t="shared" ref="D68:D70" si="17">IF(B68=0,0,C68/B68)</f>
        <v>0</v>
      </c>
      <c r="E68" s="218"/>
      <c r="F68" s="218"/>
    </row>
    <row r="69" spans="1:6" ht="20.100000000000001" customHeight="1">
      <c r="A69" s="321" t="s">
        <v>166</v>
      </c>
      <c r="B69" s="233"/>
      <c r="C69" s="233"/>
      <c r="D69" s="251">
        <f t="shared" si="17"/>
        <v>0</v>
      </c>
      <c r="E69" s="218"/>
      <c r="F69" s="218"/>
    </row>
    <row r="70" spans="1:6" ht="20.100000000000001" customHeight="1">
      <c r="A70" s="336" t="s">
        <v>149</v>
      </c>
      <c r="B70" s="330">
        <f>SUM(B67:B69)</f>
        <v>0</v>
      </c>
      <c r="C70" s="330">
        <f>SUM(C67:C69)</f>
        <v>0</v>
      </c>
      <c r="D70" s="335">
        <f t="shared" si="17"/>
        <v>0</v>
      </c>
      <c r="E70" s="218"/>
      <c r="F70" s="218"/>
    </row>
    <row r="71" spans="1:6" ht="20.100000000000001" customHeight="1">
      <c r="A71" s="314" t="s">
        <v>168</v>
      </c>
      <c r="B71" s="218"/>
      <c r="C71" s="218"/>
      <c r="D71" s="218"/>
      <c r="E71" s="218"/>
      <c r="F71" s="218"/>
    </row>
    <row r="72" spans="1:6" ht="20.100000000000001" customHeight="1">
      <c r="A72" s="299" t="s">
        <v>162</v>
      </c>
      <c r="B72" s="299" t="s">
        <v>156</v>
      </c>
      <c r="C72" s="299" t="s">
        <v>139</v>
      </c>
      <c r="D72" s="333" t="s">
        <v>163</v>
      </c>
      <c r="E72" s="218"/>
      <c r="F72" s="218"/>
    </row>
    <row r="73" spans="1:6" ht="20.100000000000001" customHeight="1">
      <c r="A73" s="334" t="s">
        <v>164</v>
      </c>
      <c r="B73" s="233"/>
      <c r="C73" s="233"/>
      <c r="D73" s="244">
        <f>IF(B73=0,0,C73/B73)</f>
        <v>0</v>
      </c>
      <c r="E73" s="218"/>
      <c r="F73" s="218"/>
    </row>
    <row r="74" spans="1:6" ht="20.100000000000001" customHeight="1">
      <c r="A74" s="334" t="s">
        <v>165</v>
      </c>
      <c r="B74" s="233"/>
      <c r="C74" s="233"/>
      <c r="D74" s="251">
        <f t="shared" ref="D74:D76" si="18">IF(B74=0,0,C74/B74)</f>
        <v>0</v>
      </c>
      <c r="E74" s="218"/>
      <c r="F74" s="218"/>
    </row>
    <row r="75" spans="1:6" ht="20.100000000000001" customHeight="1">
      <c r="A75" s="321" t="s">
        <v>166</v>
      </c>
      <c r="B75" s="233"/>
      <c r="C75" s="233"/>
      <c r="D75" s="251">
        <f t="shared" si="18"/>
        <v>0</v>
      </c>
      <c r="E75" s="218"/>
      <c r="F75" s="218"/>
    </row>
    <row r="76" spans="1:6" ht="20.100000000000001" customHeight="1">
      <c r="A76" s="336" t="s">
        <v>149</v>
      </c>
      <c r="B76" s="330">
        <f>SUM(B73:B75)</f>
        <v>0</v>
      </c>
      <c r="C76" s="330">
        <f>SUM(C73:C75)</f>
        <v>0</v>
      </c>
      <c r="D76" s="335">
        <f t="shared" si="18"/>
        <v>0</v>
      </c>
      <c r="E76" s="218"/>
      <c r="F76" s="218"/>
    </row>
    <row r="77" spans="1:6" s="218" customFormat="1" ht="20.100000000000001" customHeight="1">
      <c r="A77" s="257" t="s">
        <v>169</v>
      </c>
    </row>
    <row r="78" spans="1:6" s="218" customFormat="1" ht="20.100000000000001" customHeight="1">
      <c r="A78" s="311" t="s">
        <v>170</v>
      </c>
    </row>
    <row r="79" spans="1:6" s="218" customFormat="1" ht="20.100000000000001" customHeight="1">
      <c r="A79" s="337"/>
      <c r="B79" s="338" t="s">
        <v>171</v>
      </c>
    </row>
    <row r="80" spans="1:6" s="218" customFormat="1" ht="20.100000000000001" customHeight="1">
      <c r="A80" s="339" t="s">
        <v>92</v>
      </c>
      <c r="B80" s="228"/>
    </row>
    <row r="81" spans="1:5" s="218" customFormat="1" ht="20.100000000000001" customHeight="1">
      <c r="A81" s="340" t="s">
        <v>172</v>
      </c>
      <c r="B81" s="233"/>
    </row>
    <row r="82" spans="1:5" s="218" customFormat="1" ht="20.100000000000001" customHeight="1">
      <c r="A82" s="340" t="s">
        <v>173</v>
      </c>
      <c r="B82" s="233"/>
    </row>
    <row r="83" spans="1:5" s="218" customFormat="1" ht="20.100000000000001" customHeight="1">
      <c r="A83" s="340" t="s">
        <v>174</v>
      </c>
      <c r="B83" s="233"/>
    </row>
    <row r="84" spans="1:5" s="218" customFormat="1" ht="20.100000000000001" customHeight="1">
      <c r="A84" s="315" t="s">
        <v>175</v>
      </c>
      <c r="B84" s="233"/>
    </row>
    <row r="85" spans="1:5" s="218" customFormat="1" ht="20.100000000000001" customHeight="1">
      <c r="A85" s="341" t="s">
        <v>176</v>
      </c>
      <c r="B85" s="253"/>
    </row>
    <row r="86" spans="1:5" s="218" customFormat="1" ht="20.100000000000001" customHeight="1">
      <c r="A86" s="342" t="s">
        <v>93</v>
      </c>
      <c r="B86" s="343">
        <f>B80+B81-B82-B83-B84-B85</f>
        <v>0</v>
      </c>
    </row>
    <row r="87" spans="1:5" s="218" customFormat="1" ht="20.100000000000001" customHeight="1">
      <c r="A87" s="223" t="s">
        <v>177</v>
      </c>
    </row>
    <row r="88" spans="1:5" s="218" customFormat="1" ht="27.75" customHeight="1">
      <c r="A88" s="299" t="s">
        <v>178</v>
      </c>
      <c r="B88" s="299" t="s">
        <v>179</v>
      </c>
      <c r="C88" s="299" t="s">
        <v>180</v>
      </c>
      <c r="D88" s="299" t="s">
        <v>181</v>
      </c>
      <c r="E88" s="299" t="s">
        <v>182</v>
      </c>
    </row>
    <row r="89" spans="1:5" s="218" customFormat="1" ht="20.100000000000001" customHeight="1">
      <c r="A89" s="344"/>
      <c r="B89" s="345"/>
      <c r="C89" s="345"/>
      <c r="D89" s="311"/>
      <c r="E89" s="346"/>
    </row>
    <row r="90" spans="1:5" s="218" customFormat="1" ht="20.100000000000001" customHeight="1">
      <c r="A90" s="344"/>
      <c r="B90" s="345"/>
      <c r="C90" s="345"/>
      <c r="D90" s="311"/>
      <c r="E90" s="346"/>
    </row>
    <row r="91" spans="1:5" s="218" customFormat="1" ht="20.100000000000001" customHeight="1">
      <c r="A91" s="344"/>
      <c r="B91" s="345"/>
      <c r="C91" s="345"/>
      <c r="D91" s="311"/>
      <c r="E91" s="346"/>
    </row>
    <row r="92" spans="1:5" s="218" customFormat="1" ht="20.100000000000001" customHeight="1">
      <c r="A92" s="344"/>
      <c r="B92" s="345"/>
      <c r="C92" s="345"/>
      <c r="D92" s="311"/>
      <c r="E92" s="346"/>
    </row>
    <row r="93" spans="1:5" s="218" customFormat="1" ht="20.100000000000001" customHeight="1">
      <c r="A93" s="344"/>
      <c r="B93" s="344"/>
      <c r="C93" s="344"/>
      <c r="D93" s="347"/>
      <c r="E93" s="346"/>
    </row>
    <row r="94" spans="1:5" s="218" customFormat="1" ht="20.100000000000001" customHeight="1">
      <c r="A94" s="236" t="s">
        <v>149</v>
      </c>
      <c r="B94" s="320"/>
      <c r="C94" s="320"/>
      <c r="D94" s="320"/>
      <c r="E94" s="348">
        <f>SUM(E89:E93)</f>
        <v>0</v>
      </c>
    </row>
    <row r="95" spans="1:5" s="218" customFormat="1" ht="20.100000000000001" customHeight="1">
      <c r="A95" s="347" t="s">
        <v>183</v>
      </c>
      <c r="B95" s="349"/>
      <c r="C95" s="349"/>
      <c r="D95" s="349"/>
      <c r="E95" s="349"/>
    </row>
    <row r="96" spans="1:5" s="218" customFormat="1" ht="20.100000000000001" customHeight="1">
      <c r="A96" s="311" t="s">
        <v>184</v>
      </c>
    </row>
    <row r="97" spans="1:6" s="218" customFormat="1" ht="20.100000000000001" customHeight="1">
      <c r="A97" s="299" t="s">
        <v>185</v>
      </c>
      <c r="B97" s="299" t="s">
        <v>186</v>
      </c>
    </row>
    <row r="98" spans="1:6" s="218" customFormat="1" ht="20.100000000000001" customHeight="1">
      <c r="A98" s="350" t="s">
        <v>187</v>
      </c>
      <c r="B98" s="351" t="e">
        <f>#REF!</f>
        <v>#REF!</v>
      </c>
    </row>
    <row r="99" spans="1:6" s="218" customFormat="1" ht="20.100000000000001" customHeight="1">
      <c r="A99" s="223" t="s">
        <v>188</v>
      </c>
    </row>
    <row r="100" spans="1:6" s="218" customFormat="1" ht="28.5" customHeight="1">
      <c r="A100" s="225" t="s">
        <v>178</v>
      </c>
      <c r="B100" s="225" t="s">
        <v>189</v>
      </c>
      <c r="C100" s="225" t="s">
        <v>186</v>
      </c>
      <c r="D100" s="225" t="s">
        <v>190</v>
      </c>
      <c r="E100" s="225" t="s">
        <v>191</v>
      </c>
      <c r="F100" s="225" t="s">
        <v>192</v>
      </c>
    </row>
    <row r="101" spans="1:6" s="218" customFormat="1" ht="20.100000000000001" customHeight="1">
      <c r="A101" s="224"/>
      <c r="B101" s="352"/>
      <c r="C101" s="289"/>
      <c r="D101" s="352"/>
      <c r="E101" s="352"/>
      <c r="F101" s="352"/>
    </row>
    <row r="102" spans="1:6" s="218" customFormat="1" ht="20.100000000000001" customHeight="1">
      <c r="A102" s="224"/>
      <c r="B102" s="352"/>
      <c r="C102" s="289"/>
      <c r="D102" s="352"/>
      <c r="E102" s="352"/>
      <c r="F102" s="352"/>
    </row>
    <row r="103" spans="1:6" s="218" customFormat="1" ht="20.100000000000001" customHeight="1">
      <c r="A103" s="257"/>
      <c r="B103" s="353"/>
      <c r="C103" s="346"/>
      <c r="D103" s="353"/>
      <c r="E103" s="353"/>
      <c r="F103" s="353"/>
    </row>
    <row r="104" spans="1:6" s="218" customFormat="1" ht="20.100000000000001" customHeight="1">
      <c r="A104" s="354" t="s">
        <v>149</v>
      </c>
      <c r="B104" s="355"/>
      <c r="C104" s="332">
        <f>SUM(C101:C103)</f>
        <v>0</v>
      </c>
      <c r="D104" s="355"/>
      <c r="E104" s="355"/>
      <c r="F104" s="355"/>
    </row>
    <row r="105" spans="1:6" s="218" customFormat="1" ht="30" customHeight="1">
      <c r="A105" s="484" t="s">
        <v>193</v>
      </c>
      <c r="B105" s="484"/>
      <c r="C105" s="484"/>
      <c r="D105" s="484"/>
      <c r="E105" s="484"/>
      <c r="F105" s="484"/>
    </row>
    <row r="106" spans="1:6" s="218" customFormat="1" ht="20.100000000000001" customHeight="1">
      <c r="A106" s="356" t="s">
        <v>194</v>
      </c>
    </row>
    <row r="107" spans="1:6" s="218" customFormat="1" ht="20.100000000000001" customHeight="1">
      <c r="A107" s="311" t="s">
        <v>195</v>
      </c>
    </row>
    <row r="108" spans="1:6" s="218" customFormat="1" ht="28.5" customHeight="1">
      <c r="A108" s="299" t="s">
        <v>178</v>
      </c>
      <c r="B108" s="299" t="s">
        <v>196</v>
      </c>
      <c r="C108" s="299" t="s">
        <v>197</v>
      </c>
      <c r="D108" s="299" t="s">
        <v>198</v>
      </c>
      <c r="E108" s="299" t="s">
        <v>199</v>
      </c>
      <c r="F108" s="299" t="s">
        <v>200</v>
      </c>
    </row>
    <row r="109" spans="1:6" s="218" customFormat="1" ht="20.100000000000001" customHeight="1">
      <c r="A109" s="223" t="e">
        <f>#REF!</f>
        <v>#REF!</v>
      </c>
      <c r="B109" s="223">
        <f>IF(ISERROR(VLOOKUP(A109,'明细表D2-2'!#REF!,2,0)),,VLOOKUP(A109,'明细表D2-2'!#REF!,2,0))</f>
        <v>0</v>
      </c>
      <c r="C109" s="326" t="e">
        <f>#REF!</f>
        <v>#REF!</v>
      </c>
      <c r="D109" s="352" t="e">
        <f>#REF!</f>
        <v>#REF!</v>
      </c>
      <c r="E109" s="325">
        <f>IF('审定表D2-1'!$I$13=0,0,C109/'审定表D2-1'!$I$13)</f>
        <v>0</v>
      </c>
      <c r="F109" s="326" t="e">
        <f>#REF!</f>
        <v>#REF!</v>
      </c>
    </row>
    <row r="110" spans="1:6" s="218" customFormat="1" ht="20.100000000000001" customHeight="1">
      <c r="A110" s="223" t="e">
        <f>#REF!</f>
        <v>#REF!</v>
      </c>
      <c r="B110" s="223">
        <f>IF(ISERROR(VLOOKUP(A110,'明细表D2-2'!#REF!,2,0)),,VLOOKUP(A110,'明细表D2-2'!#REF!,2,0))</f>
        <v>0</v>
      </c>
      <c r="C110" s="326" t="e">
        <f>#REF!</f>
        <v>#REF!</v>
      </c>
      <c r="D110" s="352" t="e">
        <f>#REF!</f>
        <v>#REF!</v>
      </c>
      <c r="E110" s="325">
        <f>IF('审定表D2-1'!$I$13=0,0,C110/'审定表D2-1'!$I$13)</f>
        <v>0</v>
      </c>
      <c r="F110" s="326" t="e">
        <f>#REF!</f>
        <v>#REF!</v>
      </c>
    </row>
    <row r="111" spans="1:6" s="218" customFormat="1" ht="20.100000000000001" customHeight="1">
      <c r="A111" s="223" t="e">
        <f>#REF!</f>
        <v>#REF!</v>
      </c>
      <c r="B111" s="223">
        <f>IF(ISERROR(VLOOKUP(A111,'明细表D2-2'!#REF!,2,0)),,VLOOKUP(A111,'明细表D2-2'!#REF!,2,0))</f>
        <v>0</v>
      </c>
      <c r="C111" s="326" t="e">
        <f>#REF!</f>
        <v>#REF!</v>
      </c>
      <c r="D111" s="352" t="e">
        <f>#REF!</f>
        <v>#REF!</v>
      </c>
      <c r="E111" s="325">
        <f>IF('审定表D2-1'!$I$13=0,0,C111/'审定表D2-1'!$I$13)</f>
        <v>0</v>
      </c>
      <c r="F111" s="326" t="e">
        <f>#REF!</f>
        <v>#REF!</v>
      </c>
    </row>
    <row r="112" spans="1:6" s="218" customFormat="1" ht="20.100000000000001" customHeight="1">
      <c r="A112" s="223" t="e">
        <f>#REF!</f>
        <v>#REF!</v>
      </c>
      <c r="B112" s="223">
        <f>IF(ISERROR(VLOOKUP(A112,'明细表D2-2'!#REF!,2,0)),,VLOOKUP(A112,'明细表D2-2'!#REF!,2,0))</f>
        <v>0</v>
      </c>
      <c r="C112" s="326" t="e">
        <f>#REF!</f>
        <v>#REF!</v>
      </c>
      <c r="D112" s="352" t="e">
        <f>#REF!</f>
        <v>#REF!</v>
      </c>
      <c r="E112" s="325">
        <f>IF('审定表D2-1'!$I$13=0,0,C112/'审定表D2-1'!$I$13)</f>
        <v>0</v>
      </c>
      <c r="F112" s="326" t="e">
        <f>#REF!</f>
        <v>#REF!</v>
      </c>
    </row>
    <row r="113" spans="1:6" s="218" customFormat="1" ht="20.100000000000001" customHeight="1">
      <c r="A113" s="223" t="e">
        <f>#REF!</f>
        <v>#REF!</v>
      </c>
      <c r="B113" s="223">
        <f>IF(ISERROR(VLOOKUP(A113,'明细表D2-2'!#REF!,2,0)),,VLOOKUP(A113,'明细表D2-2'!#REF!,2,0))</f>
        <v>0</v>
      </c>
      <c r="C113" s="346" t="e">
        <f>#REF!</f>
        <v>#REF!</v>
      </c>
      <c r="D113" s="352" t="e">
        <f>#REF!</f>
        <v>#REF!</v>
      </c>
      <c r="E113" s="325">
        <f>IF('审定表D2-1'!$I$13=0,0,C113/'审定表D2-1'!$I$13)</f>
        <v>0</v>
      </c>
      <c r="F113" s="326" t="e">
        <f>#REF!</f>
        <v>#REF!</v>
      </c>
    </row>
    <row r="114" spans="1:6" s="218" customFormat="1" ht="20.100000000000001" customHeight="1">
      <c r="A114" s="354" t="s">
        <v>149</v>
      </c>
      <c r="B114" s="355"/>
      <c r="C114" s="332" t="e">
        <f>SUM(C109:C113)</f>
        <v>#REF!</v>
      </c>
      <c r="D114" s="355"/>
      <c r="E114" s="357">
        <f t="shared" ref="E114:F114" si="19">SUM(E109:E113)</f>
        <v>0</v>
      </c>
      <c r="F114" s="332" t="e">
        <f t="shared" si="19"/>
        <v>#REF!</v>
      </c>
    </row>
    <row r="115" spans="1:6" s="218" customFormat="1" ht="32.25" customHeight="1">
      <c r="A115" s="484" t="s">
        <v>201</v>
      </c>
      <c r="B115" s="484"/>
      <c r="C115" s="484"/>
      <c r="D115" s="484"/>
      <c r="E115" s="484"/>
      <c r="F115" s="484"/>
    </row>
    <row r="116" spans="1:6" s="218" customFormat="1" ht="20.100000000000001" customHeight="1">
      <c r="A116" s="458" t="s">
        <v>202</v>
      </c>
      <c r="B116" s="458"/>
      <c r="C116" s="458"/>
      <c r="D116" s="458"/>
      <c r="E116" s="458"/>
    </row>
    <row r="117" spans="1:6" s="218" customFormat="1" ht="33" customHeight="1">
      <c r="A117" s="484" t="s">
        <v>203</v>
      </c>
      <c r="B117" s="484"/>
      <c r="C117" s="484"/>
      <c r="D117" s="484"/>
      <c r="E117" s="484"/>
    </row>
    <row r="118" spans="1:6" s="218" customFormat="1" ht="31.2">
      <c r="A118" s="299" t="s">
        <v>204</v>
      </c>
      <c r="B118" s="299" t="s">
        <v>205</v>
      </c>
      <c r="C118" s="299" t="s">
        <v>206</v>
      </c>
      <c r="D118" s="299" t="s">
        <v>207</v>
      </c>
    </row>
    <row r="119" spans="1:6" s="218" customFormat="1" ht="20.100000000000001" customHeight="1">
      <c r="A119" s="230"/>
      <c r="B119" s="230"/>
      <c r="C119" s="358"/>
      <c r="D119" s="301"/>
    </row>
    <row r="120" spans="1:6" s="218" customFormat="1" ht="20.100000000000001" customHeight="1">
      <c r="A120" s="230"/>
      <c r="B120" s="230"/>
      <c r="C120" s="358"/>
      <c r="D120" s="301"/>
    </row>
    <row r="121" spans="1:6" s="218" customFormat="1" ht="20.100000000000001" customHeight="1">
      <c r="A121" s="230"/>
      <c r="B121" s="230"/>
      <c r="C121" s="358"/>
      <c r="D121" s="301"/>
    </row>
    <row r="122" spans="1:6" s="218" customFormat="1" ht="20.100000000000001" customHeight="1">
      <c r="A122" s="299" t="s">
        <v>149</v>
      </c>
      <c r="B122" s="236"/>
      <c r="C122" s="359">
        <f>SUM(C119:C121)</f>
        <v>0</v>
      </c>
      <c r="D122" s="348">
        <f>SUM(D119:D121)</f>
        <v>0</v>
      </c>
    </row>
    <row r="123" spans="1:6" s="218" customFormat="1" ht="20.100000000000001" customHeight="1">
      <c r="A123" s="458" t="s">
        <v>208</v>
      </c>
      <c r="B123" s="458"/>
      <c r="C123" s="458"/>
      <c r="D123" s="458"/>
    </row>
    <row r="124" spans="1:6" s="218" customFormat="1" ht="20.100000000000001" customHeight="1">
      <c r="A124" s="273" t="s">
        <v>209</v>
      </c>
      <c r="B124" s="273"/>
      <c r="C124" s="273"/>
      <c r="D124" s="273"/>
    </row>
    <row r="125" spans="1:6" s="218" customFormat="1" ht="20.100000000000001" customHeight="1">
      <c r="A125" s="299" t="s">
        <v>204</v>
      </c>
      <c r="B125" s="299" t="s">
        <v>136</v>
      </c>
    </row>
    <row r="126" spans="1:6" s="218" customFormat="1" ht="20.100000000000001" customHeight="1">
      <c r="A126" s="321" t="s">
        <v>210</v>
      </c>
      <c r="B126" s="300"/>
    </row>
    <row r="127" spans="1:6" s="218" customFormat="1" ht="20.100000000000001" customHeight="1">
      <c r="A127" s="321"/>
      <c r="B127" s="301"/>
    </row>
    <row r="128" spans="1:6" s="218" customFormat="1" ht="20.100000000000001" customHeight="1">
      <c r="A128" s="321"/>
      <c r="B128" s="301"/>
    </row>
    <row r="129" spans="1:6" s="218" customFormat="1" ht="20.100000000000001" customHeight="1">
      <c r="A129" s="241" t="s">
        <v>211</v>
      </c>
      <c r="B129" s="360">
        <f>SUM(B127:B127)</f>
        <v>0</v>
      </c>
    </row>
    <row r="130" spans="1:6" s="218" customFormat="1" ht="20.100000000000001" customHeight="1">
      <c r="A130" s="321" t="s">
        <v>212</v>
      </c>
      <c r="B130" s="304"/>
    </row>
    <row r="131" spans="1:6" s="218" customFormat="1" ht="20.100000000000001" customHeight="1">
      <c r="A131" s="321"/>
      <c r="B131" s="305"/>
    </row>
    <row r="132" spans="1:6" s="218" customFormat="1" ht="20.100000000000001" customHeight="1">
      <c r="A132" s="321"/>
      <c r="B132" s="305"/>
    </row>
    <row r="133" spans="1:6" s="218" customFormat="1" ht="20.100000000000001" customHeight="1">
      <c r="A133" s="226" t="s">
        <v>213</v>
      </c>
      <c r="B133" s="298">
        <f>SUM(B131:B131)</f>
        <v>0</v>
      </c>
    </row>
    <row r="134" spans="1:6" s="218" customFormat="1" ht="34.5" customHeight="1">
      <c r="A134" s="459" t="s">
        <v>214</v>
      </c>
      <c r="B134" s="459"/>
      <c r="C134" s="459"/>
      <c r="D134" s="459"/>
      <c r="E134" s="459"/>
      <c r="F134" s="459"/>
    </row>
  </sheetData>
  <mergeCells count="17">
    <mergeCell ref="A1:F1"/>
    <mergeCell ref="A2:F2"/>
    <mergeCell ref="B8:F8"/>
    <mergeCell ref="B19:F19"/>
    <mergeCell ref="A29:F29"/>
    <mergeCell ref="A117:E117"/>
    <mergeCell ref="A123:D123"/>
    <mergeCell ref="A134:F134"/>
    <mergeCell ref="A8:A9"/>
    <mergeCell ref="A19:A20"/>
    <mergeCell ref="A40:A41"/>
    <mergeCell ref="A50:A51"/>
    <mergeCell ref="B40:F40"/>
    <mergeCell ref="B50:F50"/>
    <mergeCell ref="A105:F105"/>
    <mergeCell ref="A115:F115"/>
    <mergeCell ref="A116:E116"/>
  </mergeCells>
  <phoneticPr fontId="168" type="noConversion"/>
  <printOptions horizontalCentered="1"/>
  <pageMargins left="0.98425196850393704" right="0.74803149606299202" top="0.98425196850393704" bottom="0.98425196850393704" header="0.511811023622047" footer="0.511811023622047"/>
  <pageSetup paperSize="9" scale="70" fitToHeight="100" orientation="portrait" blackAndWhite="1" cellComments="atEnd" r:id="rId1"/>
  <headerFooter alignWithMargins="0"/>
  <rowBreaks count="2" manualBreakCount="2">
    <brk id="38" max="5" man="1"/>
    <brk id="95"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102"/>
  <sheetViews>
    <sheetView view="pageBreakPreview" topLeftCell="A87" zoomScale="70" zoomScaleNormal="100" workbookViewId="0">
      <selection activeCell="K84" sqref="K84"/>
    </sheetView>
  </sheetViews>
  <sheetFormatPr defaultColWidth="9" defaultRowHeight="13.8"/>
  <cols>
    <col min="1" max="1" width="30" style="219" customWidth="1"/>
    <col min="2" max="2" width="16.59765625" style="219" customWidth="1"/>
    <col min="3" max="3" width="19.19921875" style="219" customWidth="1"/>
    <col min="4" max="4" width="14.69921875" style="219" customWidth="1"/>
    <col min="5" max="5" width="16.19921875" style="219" customWidth="1"/>
    <col min="6" max="6" width="13.69921875" style="219" customWidth="1"/>
    <col min="7" max="7" width="12.69921875" style="219" customWidth="1"/>
    <col min="8" max="16384" width="9" style="219"/>
  </cols>
  <sheetData>
    <row r="1" spans="1:10" s="216" customFormat="1" ht="20.100000000000001" customHeight="1">
      <c r="A1" s="488" t="s">
        <v>128</v>
      </c>
      <c r="B1" s="488"/>
      <c r="C1" s="488"/>
      <c r="D1" s="488"/>
      <c r="E1" s="488"/>
      <c r="F1" s="488"/>
      <c r="G1" s="488"/>
      <c r="H1" s="220"/>
      <c r="I1" s="220"/>
      <c r="J1" s="220"/>
    </row>
    <row r="2" spans="1:10" s="217" customFormat="1" ht="25.2" customHeight="1">
      <c r="A2" s="474" t="s">
        <v>215</v>
      </c>
      <c r="B2" s="493"/>
      <c r="C2" s="493"/>
      <c r="D2" s="493"/>
      <c r="E2" s="493"/>
      <c r="F2" s="493"/>
      <c r="G2" s="493"/>
      <c r="H2" s="221"/>
      <c r="I2" s="221"/>
      <c r="J2" s="221"/>
    </row>
    <row r="3" spans="1:10" s="216" customFormat="1" ht="20.100000000000001" customHeight="1">
      <c r="A3" s="216" t="str">
        <f>底稿目录!A2</f>
        <v>被审计单位名称：</v>
      </c>
      <c r="C3" s="216" t="str">
        <f>底稿目录!A4</f>
        <v>编制人：</v>
      </c>
      <c r="E3" s="216" t="str">
        <f>底稿目录!A5</f>
        <v>编制日期：</v>
      </c>
      <c r="G3" s="216" t="s">
        <v>216</v>
      </c>
    </row>
    <row r="4" spans="1:10" s="216" customFormat="1" ht="20.100000000000001" customHeight="1">
      <c r="A4" s="216" t="str">
        <f>底稿目录!A3</f>
        <v>截止日：202X年12月31日</v>
      </c>
      <c r="B4" s="222"/>
      <c r="C4" s="216" t="str">
        <f>底稿目录!A6</f>
        <v>复核人：</v>
      </c>
      <c r="E4" s="216" t="str">
        <f>底稿目录!A7</f>
        <v>复核日期：</v>
      </c>
      <c r="G4" s="216" t="s">
        <v>217</v>
      </c>
      <c r="J4" s="222"/>
    </row>
    <row r="5" spans="1:10" s="218" customFormat="1" ht="20.100000000000001" customHeight="1">
      <c r="A5" s="218" t="s">
        <v>132</v>
      </c>
    </row>
    <row r="6" spans="1:10" s="218" customFormat="1" ht="20.100000000000001" customHeight="1">
      <c r="A6" s="223" t="s">
        <v>218</v>
      </c>
    </row>
    <row r="7" spans="1:10" s="218" customFormat="1" ht="20.100000000000001" customHeight="1">
      <c r="A7" s="224" t="s">
        <v>219</v>
      </c>
    </row>
    <row r="8" spans="1:10" s="218" customFormat="1" ht="20.100000000000001" customHeight="1">
      <c r="A8" s="487" t="s">
        <v>220</v>
      </c>
      <c r="B8" s="487" t="s">
        <v>136</v>
      </c>
      <c r="C8" s="487"/>
      <c r="D8" s="487"/>
      <c r="E8" s="487"/>
    </row>
    <row r="9" spans="1:10" s="218" customFormat="1" ht="20.100000000000001" customHeight="1">
      <c r="A9" s="486"/>
      <c r="B9" s="226" t="s">
        <v>156</v>
      </c>
      <c r="C9" s="226" t="s">
        <v>138</v>
      </c>
      <c r="D9" s="226" t="s">
        <v>139</v>
      </c>
      <c r="E9" s="226" t="s">
        <v>138</v>
      </c>
    </row>
    <row r="10" spans="1:10" s="218" customFormat="1" ht="15.6">
      <c r="A10" s="227" t="s">
        <v>142</v>
      </c>
      <c r="B10" s="228" t="e">
        <f>#REF!</f>
        <v>#REF!</v>
      </c>
      <c r="C10" s="229" t="e">
        <f>IF($B$17=0,0,B10/$B$17)</f>
        <v>#REF!</v>
      </c>
      <c r="D10" s="228" t="e">
        <f>#REF!</f>
        <v>#REF!</v>
      </c>
      <c r="E10" s="229" t="e">
        <f>IF(B10=0,0,D10/B10)</f>
        <v>#REF!</v>
      </c>
    </row>
    <row r="11" spans="1:10" s="218" customFormat="1" ht="15.6">
      <c r="A11" s="230" t="s">
        <v>143</v>
      </c>
      <c r="C11" s="231"/>
      <c r="E11" s="231"/>
    </row>
    <row r="12" spans="1:10" s="218" customFormat="1" ht="20.100000000000001" customHeight="1">
      <c r="A12" s="232" t="s">
        <v>144</v>
      </c>
      <c r="B12" s="233" t="e">
        <f>#REF!</f>
        <v>#REF!</v>
      </c>
      <c r="C12" s="231" t="e">
        <f>IF($B$17=0,0,B12/$B$17)</f>
        <v>#REF!</v>
      </c>
      <c r="D12" s="233" t="e">
        <f>#REF!</f>
        <v>#REF!</v>
      </c>
      <c r="E12" s="231" t="e">
        <f>IF(B12=0,0,D12/B12)</f>
        <v>#REF!</v>
      </c>
      <c r="F12" s="231"/>
    </row>
    <row r="13" spans="1:10" s="218" customFormat="1" ht="20.100000000000001" customHeight="1">
      <c r="A13" s="232" t="s">
        <v>145</v>
      </c>
      <c r="B13" s="233" t="e">
        <f>#REF!</f>
        <v>#REF!</v>
      </c>
      <c r="C13" s="231" t="e">
        <f>IF($B$17=0,0,B13/$B$17)</f>
        <v>#REF!</v>
      </c>
      <c r="D13" s="233" t="e">
        <f>#REF!</f>
        <v>#REF!</v>
      </c>
      <c r="E13" s="231" t="e">
        <f t="shared" ref="E13:E17" si="0">IF(B13=0,0,D13/B13)</f>
        <v>#REF!</v>
      </c>
      <c r="F13" s="231"/>
    </row>
    <row r="14" spans="1:10" s="218" customFormat="1" ht="20.100000000000001" customHeight="1">
      <c r="A14" s="234" t="s">
        <v>146</v>
      </c>
      <c r="B14" s="233"/>
      <c r="C14" s="231" t="e">
        <f>IF($B$17=0,0,B14/$B$17)</f>
        <v>#REF!</v>
      </c>
      <c r="D14" s="233"/>
      <c r="E14" s="231">
        <f t="shared" si="0"/>
        <v>0</v>
      </c>
      <c r="F14" s="235"/>
    </row>
    <row r="15" spans="1:10" s="218" customFormat="1" ht="20.100000000000001" customHeight="1">
      <c r="A15" s="234" t="s">
        <v>147</v>
      </c>
      <c r="B15" s="233"/>
      <c r="C15" s="231" t="e">
        <f>IF($B$17=0,0,B15/$B$17)</f>
        <v>#REF!</v>
      </c>
      <c r="D15" s="233"/>
      <c r="E15" s="231">
        <f t="shared" si="0"/>
        <v>0</v>
      </c>
      <c r="F15" s="235"/>
    </row>
    <row r="16" spans="1:10" s="218" customFormat="1" ht="20.100000000000001" customHeight="1">
      <c r="A16" s="230" t="s">
        <v>148</v>
      </c>
      <c r="B16" s="233" t="e">
        <f>SUM(B12:B15)</f>
        <v>#REF!</v>
      </c>
      <c r="C16" s="231" t="e">
        <f>IF($B$17=0,0,B16/$B$17)</f>
        <v>#REF!</v>
      </c>
      <c r="D16" s="233" t="e">
        <f>SUM(D12:D15)</f>
        <v>#REF!</v>
      </c>
      <c r="E16" s="231" t="e">
        <f t="shared" si="0"/>
        <v>#REF!</v>
      </c>
      <c r="F16" s="231"/>
    </row>
    <row r="17" spans="1:7" s="218" customFormat="1" ht="20.100000000000001" customHeight="1">
      <c r="A17" s="236" t="s">
        <v>149</v>
      </c>
      <c r="B17" s="237" t="e">
        <f>SUM(B10+B16)</f>
        <v>#REF!</v>
      </c>
      <c r="C17" s="238" t="e">
        <f>SUM(C10+C16)</f>
        <v>#REF!</v>
      </c>
      <c r="D17" s="237" t="e">
        <f>SUM(D10+D16)</f>
        <v>#REF!</v>
      </c>
      <c r="E17" s="239" t="e">
        <f t="shared" si="0"/>
        <v>#REF!</v>
      </c>
    </row>
    <row r="18" spans="1:7" s="218" customFormat="1" ht="20.100000000000001" customHeight="1">
      <c r="A18" s="224" t="s">
        <v>150</v>
      </c>
    </row>
    <row r="19" spans="1:7" s="218" customFormat="1" ht="20.100000000000001" customHeight="1">
      <c r="A19" s="487" t="s">
        <v>220</v>
      </c>
      <c r="B19" s="487" t="s">
        <v>221</v>
      </c>
      <c r="C19" s="487"/>
      <c r="D19" s="487"/>
      <c r="E19" s="487"/>
    </row>
    <row r="20" spans="1:7" s="218" customFormat="1" ht="20.100000000000001" customHeight="1">
      <c r="A20" s="486"/>
      <c r="B20" s="226" t="s">
        <v>156</v>
      </c>
      <c r="C20" s="226" t="s">
        <v>138</v>
      </c>
      <c r="D20" s="226" t="s">
        <v>139</v>
      </c>
      <c r="E20" s="226" t="s">
        <v>138</v>
      </c>
    </row>
    <row r="21" spans="1:7" s="218" customFormat="1" ht="15.6">
      <c r="A21" s="227" t="s">
        <v>142</v>
      </c>
      <c r="B21" s="228"/>
      <c r="C21" s="229">
        <f>IF($B$28=0,0,B21/$B$28)</f>
        <v>0</v>
      </c>
      <c r="D21" s="228"/>
      <c r="E21" s="229">
        <f>IF(B21=0,0,D21/B21)</f>
        <v>0</v>
      </c>
    </row>
    <row r="22" spans="1:7" s="218" customFormat="1" ht="15.6">
      <c r="A22" s="230" t="s">
        <v>143</v>
      </c>
      <c r="C22" s="231"/>
      <c r="E22" s="231"/>
    </row>
    <row r="23" spans="1:7" s="218" customFormat="1" ht="20.100000000000001" customHeight="1">
      <c r="A23" s="232" t="s">
        <v>144</v>
      </c>
      <c r="B23" s="233"/>
      <c r="C23" s="231">
        <f>IF($B$28=0,0,B23/$B$28)</f>
        <v>0</v>
      </c>
      <c r="D23" s="233"/>
      <c r="E23" s="231">
        <f>IF(B23=0,0,D23/B23)</f>
        <v>0</v>
      </c>
      <c r="F23" s="231"/>
    </row>
    <row r="24" spans="1:7" s="218" customFormat="1" ht="20.100000000000001" customHeight="1">
      <c r="A24" s="232" t="s">
        <v>145</v>
      </c>
      <c r="B24" s="233"/>
      <c r="C24" s="231">
        <f t="shared" ref="C24:C27" si="1">IF($B$28=0,0,B24/$B$28)</f>
        <v>0</v>
      </c>
      <c r="D24" s="233"/>
      <c r="E24" s="231">
        <f t="shared" ref="E24:E28" si="2">IF(B24=0,0,D24/B24)</f>
        <v>0</v>
      </c>
      <c r="F24" s="231"/>
    </row>
    <row r="25" spans="1:7" s="218" customFormat="1" ht="20.100000000000001" customHeight="1">
      <c r="A25" s="234" t="s">
        <v>146</v>
      </c>
      <c r="B25" s="233"/>
      <c r="C25" s="231">
        <f t="shared" si="1"/>
        <v>0</v>
      </c>
      <c r="D25" s="233"/>
      <c r="E25" s="231">
        <f t="shared" si="2"/>
        <v>0</v>
      </c>
      <c r="F25" s="235"/>
    </row>
    <row r="26" spans="1:7" s="218" customFormat="1" ht="20.100000000000001" customHeight="1">
      <c r="A26" s="234" t="s">
        <v>147</v>
      </c>
      <c r="B26" s="233"/>
      <c r="C26" s="231">
        <f t="shared" si="1"/>
        <v>0</v>
      </c>
      <c r="D26" s="233"/>
      <c r="E26" s="231">
        <f t="shared" si="2"/>
        <v>0</v>
      </c>
      <c r="F26" s="231"/>
    </row>
    <row r="27" spans="1:7" s="218" customFormat="1" ht="15.6">
      <c r="A27" s="230" t="s">
        <v>148</v>
      </c>
      <c r="B27" s="233">
        <f>SUM(B23:B26)</f>
        <v>0</v>
      </c>
      <c r="C27" s="240">
        <f t="shared" si="1"/>
        <v>0</v>
      </c>
      <c r="D27" s="233">
        <f>SUM(D23:D26)</f>
        <v>0</v>
      </c>
      <c r="E27" s="240">
        <f t="shared" si="2"/>
        <v>0</v>
      </c>
      <c r="F27" s="231"/>
    </row>
    <row r="28" spans="1:7" s="218" customFormat="1" ht="20.100000000000001" customHeight="1">
      <c r="A28" s="236" t="s">
        <v>149</v>
      </c>
      <c r="B28" s="237">
        <f>SUM(B21+B26+B27)</f>
        <v>0</v>
      </c>
      <c r="C28" s="238">
        <f>SUM(C21+C26+C27)</f>
        <v>0</v>
      </c>
      <c r="D28" s="237">
        <f>SUM(D21+D26+D27)</f>
        <v>0</v>
      </c>
      <c r="E28" s="239">
        <f t="shared" si="2"/>
        <v>0</v>
      </c>
    </row>
    <row r="29" spans="1:7" s="218" customFormat="1" ht="30" customHeight="1">
      <c r="A29" s="484" t="s">
        <v>222</v>
      </c>
      <c r="B29" s="484"/>
      <c r="C29" s="484"/>
      <c r="D29" s="484"/>
      <c r="E29" s="484"/>
    </row>
    <row r="30" spans="1:7" s="218" customFormat="1" ht="20.100000000000001" customHeight="1">
      <c r="A30" s="223" t="s">
        <v>223</v>
      </c>
    </row>
    <row r="31" spans="1:7" s="218" customFormat="1" ht="20.100000000000001" customHeight="1">
      <c r="A31" s="223" t="s">
        <v>224</v>
      </c>
    </row>
    <row r="32" spans="1:7" s="218" customFormat="1" ht="20.100000000000001" customHeight="1">
      <c r="A32" s="487" t="s">
        <v>159</v>
      </c>
      <c r="B32" s="487" t="s">
        <v>136</v>
      </c>
      <c r="C32" s="487"/>
      <c r="D32" s="487"/>
      <c r="E32" s="487" t="s">
        <v>221</v>
      </c>
      <c r="F32" s="487"/>
      <c r="G32" s="487"/>
    </row>
    <row r="33" spans="1:7" s="218" customFormat="1" ht="20.100000000000001" customHeight="1">
      <c r="A33" s="490"/>
      <c r="B33" s="490" t="s">
        <v>156</v>
      </c>
      <c r="C33" s="490"/>
      <c r="D33" s="490" t="s">
        <v>139</v>
      </c>
      <c r="E33" s="490" t="s">
        <v>156</v>
      </c>
      <c r="F33" s="490"/>
      <c r="G33" s="490" t="s">
        <v>139</v>
      </c>
    </row>
    <row r="34" spans="1:7" s="218" customFormat="1" ht="20.100000000000001" customHeight="1">
      <c r="A34" s="486"/>
      <c r="B34" s="226" t="s">
        <v>225</v>
      </c>
      <c r="C34" s="226" t="s">
        <v>226</v>
      </c>
      <c r="D34" s="486"/>
      <c r="E34" s="226" t="s">
        <v>225</v>
      </c>
      <c r="F34" s="226" t="s">
        <v>226</v>
      </c>
      <c r="G34" s="486"/>
    </row>
    <row r="35" spans="1:7" s="218" customFormat="1" ht="20.100000000000001" customHeight="1">
      <c r="A35" s="242" t="e">
        <f>#REF!</f>
        <v>#REF!</v>
      </c>
      <c r="B35" s="228" t="e">
        <f>#REF!</f>
        <v>#REF!</v>
      </c>
      <c r="C35" s="243" t="e">
        <f>IF(B35=0,0,B35/$B$41)</f>
        <v>#REF!</v>
      </c>
      <c r="D35" s="228" t="e">
        <f>#REF!</f>
        <v>#REF!</v>
      </c>
      <c r="E35" s="228"/>
      <c r="F35" s="243">
        <f>IF(E35=0,0,E35/$E$41)</f>
        <v>0</v>
      </c>
      <c r="G35" s="228"/>
    </row>
    <row r="36" spans="1:7" s="218" customFormat="1" ht="20.100000000000001" customHeight="1">
      <c r="A36" s="230" t="e">
        <f>#REF!</f>
        <v>#REF!</v>
      </c>
      <c r="B36" s="233" t="e">
        <f>#REF!</f>
        <v>#REF!</v>
      </c>
      <c r="C36" s="244" t="e">
        <f>IF(B36=0,0,B36/$B$41)</f>
        <v>#REF!</v>
      </c>
      <c r="D36" s="233" t="e">
        <f>#REF!</f>
        <v>#REF!</v>
      </c>
      <c r="E36" s="233"/>
      <c r="F36" s="244">
        <f>IF(E36=0,0,E36/$E$41)</f>
        <v>0</v>
      </c>
      <c r="G36" s="233"/>
    </row>
    <row r="37" spans="1:7" s="218" customFormat="1" ht="20.100000000000001" customHeight="1">
      <c r="A37" s="230" t="e">
        <f>#REF!</f>
        <v>#REF!</v>
      </c>
      <c r="B37" s="233" t="e">
        <f>#REF!</f>
        <v>#REF!</v>
      </c>
      <c r="C37" s="244" t="e">
        <f>IF(B37=0,0,B37/$B$41)</f>
        <v>#REF!</v>
      </c>
      <c r="D37" s="233" t="e">
        <f>#REF!</f>
        <v>#REF!</v>
      </c>
      <c r="E37" s="233"/>
      <c r="F37" s="244">
        <f>IF(E37=0,0,E37/$E$41)</f>
        <v>0</v>
      </c>
      <c r="G37" s="233"/>
    </row>
    <row r="38" spans="1:7" s="218" customFormat="1" ht="20.100000000000001" customHeight="1">
      <c r="A38" s="230" t="e">
        <f>#REF!</f>
        <v>#REF!</v>
      </c>
      <c r="B38" s="233" t="e">
        <f>#REF!</f>
        <v>#REF!</v>
      </c>
      <c r="C38" s="244" t="e">
        <f>IF(B38=0,0,B38/$B$41)</f>
        <v>#REF!</v>
      </c>
      <c r="D38" s="233" t="e">
        <f>#REF!</f>
        <v>#REF!</v>
      </c>
      <c r="E38" s="233"/>
      <c r="F38" s="244">
        <f>IF(E38=0,0,E38/$E$41)</f>
        <v>0</v>
      </c>
      <c r="G38" s="233"/>
    </row>
    <row r="39" spans="1:7" s="218" customFormat="1" ht="20.100000000000001" customHeight="1">
      <c r="A39" s="230" t="e">
        <f>#REF!</f>
        <v>#REF!</v>
      </c>
      <c r="B39" s="233" t="e">
        <f>#REF!</f>
        <v>#REF!</v>
      </c>
      <c r="C39" s="244" t="e">
        <f t="shared" ref="C39:C41" si="3">IF(B39=0,0,B39/$B$41)</f>
        <v>#REF!</v>
      </c>
      <c r="D39" s="233" t="e">
        <f>#REF!</f>
        <v>#REF!</v>
      </c>
      <c r="E39" s="233"/>
      <c r="F39" s="244">
        <f t="shared" ref="F39:F41" si="4">IF(E39=0,0,E39/$E$41)</f>
        <v>0</v>
      </c>
      <c r="G39" s="233"/>
    </row>
    <row r="40" spans="1:7" s="218" customFormat="1" ht="20.100000000000001" customHeight="1">
      <c r="A40" s="230" t="e">
        <f>#REF!</f>
        <v>#REF!</v>
      </c>
      <c r="B40" s="233" t="e">
        <f>#REF!</f>
        <v>#REF!</v>
      </c>
      <c r="C40" s="244" t="e">
        <f t="shared" si="3"/>
        <v>#REF!</v>
      </c>
      <c r="D40" s="233" t="e">
        <f>#REF!</f>
        <v>#REF!</v>
      </c>
      <c r="E40" s="233"/>
      <c r="F40" s="244">
        <f t="shared" si="4"/>
        <v>0</v>
      </c>
      <c r="G40" s="233"/>
    </row>
    <row r="41" spans="1:7" s="218" customFormat="1" ht="20.100000000000001" customHeight="1">
      <c r="A41" s="236" t="s">
        <v>149</v>
      </c>
      <c r="B41" s="245" t="e">
        <f>SUM(B35:B40)</f>
        <v>#REF!</v>
      </c>
      <c r="C41" s="246" t="e">
        <f t="shared" si="3"/>
        <v>#REF!</v>
      </c>
      <c r="D41" s="245" t="e">
        <f>SUM(D35:D40)</f>
        <v>#REF!</v>
      </c>
      <c r="E41" s="245">
        <f>SUM(E35:E40)</f>
        <v>0</v>
      </c>
      <c r="F41" s="246">
        <f t="shared" si="4"/>
        <v>0</v>
      </c>
      <c r="G41" s="245">
        <f>SUM(G35:G40)</f>
        <v>0</v>
      </c>
    </row>
    <row r="42" spans="1:7" s="218" customFormat="1" ht="20.100000000000001" customHeight="1">
      <c r="A42" s="247" t="s">
        <v>160</v>
      </c>
    </row>
    <row r="43" spans="1:7" s="218" customFormat="1" ht="20.100000000000001" customHeight="1">
      <c r="A43" s="223" t="s">
        <v>227</v>
      </c>
    </row>
    <row r="44" spans="1:7" s="218" customFormat="1" ht="20.100000000000001" customHeight="1">
      <c r="A44" s="487" t="s">
        <v>162</v>
      </c>
      <c r="B44" s="487" t="s">
        <v>136</v>
      </c>
      <c r="C44" s="487"/>
      <c r="D44" s="487"/>
      <c r="E44" s="487" t="s">
        <v>221</v>
      </c>
      <c r="F44" s="487"/>
      <c r="G44" s="487"/>
    </row>
    <row r="45" spans="1:7" s="218" customFormat="1" ht="20.100000000000001" customHeight="1">
      <c r="A45" s="490"/>
      <c r="B45" s="241" t="s">
        <v>156</v>
      </c>
      <c r="C45" s="241" t="s">
        <v>228</v>
      </c>
      <c r="D45" s="241" t="s">
        <v>139</v>
      </c>
      <c r="E45" s="241" t="s">
        <v>156</v>
      </c>
      <c r="F45" s="241" t="s">
        <v>228</v>
      </c>
      <c r="G45" s="241" t="s">
        <v>139</v>
      </c>
    </row>
    <row r="46" spans="1:7" s="218" customFormat="1" ht="20.100000000000001" customHeight="1">
      <c r="A46" s="248" t="s">
        <v>229</v>
      </c>
      <c r="B46" s="228"/>
      <c r="C46" s="249">
        <f>IF(B46=0,0,B46/$B$49)</f>
        <v>0</v>
      </c>
      <c r="D46" s="228"/>
      <c r="E46" s="228"/>
      <c r="F46" s="249">
        <f>IF(E46=0,0,E46/$E$49)</f>
        <v>0</v>
      </c>
      <c r="G46" s="228"/>
    </row>
    <row r="47" spans="1:7" s="218" customFormat="1" ht="20.100000000000001" customHeight="1">
      <c r="A47" s="250" t="s">
        <v>230</v>
      </c>
      <c r="B47" s="233"/>
      <c r="C47" s="251">
        <f t="shared" ref="C47:C48" si="5">IF(B47=0,0,B47/$B$49)</f>
        <v>0</v>
      </c>
      <c r="D47" s="233"/>
      <c r="F47" s="251">
        <f t="shared" ref="F47:F48" si="6">IF(E47=0,0,E47/$E$49)</f>
        <v>0</v>
      </c>
    </row>
    <row r="48" spans="1:7" s="218" customFormat="1" ht="20.100000000000001" customHeight="1">
      <c r="A48" s="252" t="s">
        <v>166</v>
      </c>
      <c r="B48" s="253"/>
      <c r="C48" s="254">
        <f t="shared" si="5"/>
        <v>0</v>
      </c>
      <c r="D48" s="253"/>
      <c r="E48" s="255"/>
      <c r="F48" s="254">
        <f t="shared" si="6"/>
        <v>0</v>
      </c>
      <c r="G48" s="255"/>
    </row>
    <row r="49" spans="1:7" s="218" customFormat="1" ht="20.100000000000001" customHeight="1">
      <c r="A49" s="236" t="s">
        <v>149</v>
      </c>
      <c r="B49" s="245">
        <f>SUM(B46:B48)</f>
        <v>0</v>
      </c>
      <c r="C49" s="256">
        <f>IF(B49=0,0,D49/B49)</f>
        <v>0</v>
      </c>
      <c r="D49" s="245">
        <f t="shared" ref="D49" si="7">SUM(D46:D48)</f>
        <v>0</v>
      </c>
      <c r="E49" s="245">
        <f t="shared" ref="E49" si="8">SUM(E46:E48)</f>
        <v>0</v>
      </c>
      <c r="F49" s="256">
        <f>IF(E49=0,0,G49/E49)</f>
        <v>0</v>
      </c>
      <c r="G49" s="245">
        <f t="shared" ref="G49" si="9">SUM(G46:G48)</f>
        <v>0</v>
      </c>
    </row>
    <row r="50" spans="1:7" s="218" customFormat="1" ht="20.100000000000001" customHeight="1">
      <c r="A50" s="257" t="s">
        <v>169</v>
      </c>
    </row>
    <row r="51" spans="1:7" s="218" customFormat="1" ht="20.100000000000001" customHeight="1">
      <c r="A51" s="223" t="s">
        <v>231</v>
      </c>
    </row>
    <row r="52" spans="1:7" s="218" customFormat="1" ht="20.100000000000001" customHeight="1">
      <c r="A52" s="491" t="s">
        <v>162</v>
      </c>
      <c r="B52" s="491" t="s">
        <v>136</v>
      </c>
      <c r="C52" s="491"/>
      <c r="D52" s="491"/>
      <c r="E52" s="491" t="s">
        <v>221</v>
      </c>
      <c r="F52" s="491"/>
      <c r="G52" s="491"/>
    </row>
    <row r="53" spans="1:7" s="218" customFormat="1" ht="20.100000000000001" customHeight="1">
      <c r="A53" s="492"/>
      <c r="B53" s="258" t="s">
        <v>156</v>
      </c>
      <c r="C53" s="258" t="s">
        <v>228</v>
      </c>
      <c r="D53" s="258" t="s">
        <v>139</v>
      </c>
      <c r="E53" s="258" t="s">
        <v>156</v>
      </c>
      <c r="F53" s="258" t="s">
        <v>228</v>
      </c>
      <c r="G53" s="258" t="s">
        <v>139</v>
      </c>
    </row>
    <row r="54" spans="1:7" s="218" customFormat="1" ht="20.100000000000001" customHeight="1">
      <c r="A54" s="259" t="s">
        <v>229</v>
      </c>
      <c r="B54" s="228"/>
      <c r="C54" s="249">
        <f>IF(B54=0,0,B54/$B$57)</f>
        <v>0</v>
      </c>
      <c r="D54" s="228"/>
      <c r="E54" s="228"/>
      <c r="F54" s="249">
        <f>IF(E54=0,0,E54/$E$57)</f>
        <v>0</v>
      </c>
      <c r="G54" s="228"/>
    </row>
    <row r="55" spans="1:7" s="218" customFormat="1" ht="20.100000000000001" customHeight="1">
      <c r="A55" s="260" t="s">
        <v>230</v>
      </c>
      <c r="B55" s="233"/>
      <c r="C55" s="251">
        <f>IF(B55=0,0,B55/$B$57)</f>
        <v>0</v>
      </c>
      <c r="D55" s="233"/>
      <c r="E55" s="233"/>
      <c r="F55" s="251">
        <f>IF(E55=0,0,E55/$E$57)</f>
        <v>0</v>
      </c>
      <c r="G55" s="233"/>
    </row>
    <row r="56" spans="1:7" s="218" customFormat="1" ht="20.100000000000001" customHeight="1">
      <c r="A56" s="261" t="s">
        <v>166</v>
      </c>
      <c r="B56" s="253"/>
      <c r="C56" s="254">
        <f>IF(B56=0,0,B56/$B$57)</f>
        <v>0</v>
      </c>
      <c r="D56" s="253"/>
      <c r="E56" s="255"/>
      <c r="F56" s="254">
        <f>IF(E56=0,0,E56/$E$57)</f>
        <v>0</v>
      </c>
      <c r="G56" s="255"/>
    </row>
    <row r="57" spans="1:7" s="218" customFormat="1" ht="20.100000000000001" customHeight="1">
      <c r="A57" s="262" t="s">
        <v>149</v>
      </c>
      <c r="B57" s="263">
        <f>SUM(B54:B56)</f>
        <v>0</v>
      </c>
      <c r="C57" s="256">
        <f>IF(B57=0,0,D57/B57)</f>
        <v>0</v>
      </c>
      <c r="D57" s="263">
        <f>SUM(D54:D56)</f>
        <v>0</v>
      </c>
      <c r="E57" s="263">
        <f>SUM(E54:E56)</f>
        <v>0</v>
      </c>
      <c r="F57" s="256">
        <f>IF(E57=0,0,G57/E57)</f>
        <v>0</v>
      </c>
      <c r="G57" s="263">
        <f>SUM(G54:G56)</f>
        <v>0</v>
      </c>
    </row>
    <row r="58" spans="1:7" s="218" customFormat="1" ht="20.100000000000001" customHeight="1">
      <c r="A58" s="257" t="s">
        <v>169</v>
      </c>
    </row>
    <row r="59" spans="1:7" s="218" customFormat="1" ht="20.100000000000001" customHeight="1">
      <c r="A59" s="223" t="s">
        <v>232</v>
      </c>
    </row>
    <row r="60" spans="1:7" s="218" customFormat="1" ht="20.100000000000001" customHeight="1">
      <c r="A60" s="487" t="s">
        <v>162</v>
      </c>
      <c r="B60" s="487" t="s">
        <v>136</v>
      </c>
      <c r="C60" s="487"/>
      <c r="D60" s="487"/>
      <c r="E60" s="487" t="s">
        <v>221</v>
      </c>
      <c r="F60" s="487"/>
      <c r="G60" s="487"/>
    </row>
    <row r="61" spans="1:7" s="218" customFormat="1" ht="20.100000000000001" customHeight="1">
      <c r="A61" s="490"/>
      <c r="B61" s="241" t="s">
        <v>156</v>
      </c>
      <c r="C61" s="241" t="s">
        <v>228</v>
      </c>
      <c r="D61" s="241" t="s">
        <v>139</v>
      </c>
      <c r="E61" s="241" t="s">
        <v>156</v>
      </c>
      <c r="F61" s="241" t="s">
        <v>228</v>
      </c>
      <c r="G61" s="241" t="s">
        <v>139</v>
      </c>
    </row>
    <row r="62" spans="1:7" s="218" customFormat="1" ht="20.100000000000001" customHeight="1">
      <c r="A62" s="248" t="s">
        <v>229</v>
      </c>
      <c r="B62" s="228"/>
      <c r="C62" s="249">
        <f>IF(B62=0,0,B62/$B$65)</f>
        <v>0</v>
      </c>
      <c r="D62" s="228"/>
      <c r="E62" s="228"/>
      <c r="F62" s="249">
        <f>IF(E62=0,0,E62/$E$65)</f>
        <v>0</v>
      </c>
      <c r="G62" s="228"/>
    </row>
    <row r="63" spans="1:7" s="218" customFormat="1" ht="20.100000000000001" customHeight="1">
      <c r="A63" s="250" t="s">
        <v>230</v>
      </c>
      <c r="B63" s="233"/>
      <c r="C63" s="251">
        <f>IF(B63=0,0,B63/$B$65)</f>
        <v>0</v>
      </c>
      <c r="D63" s="233"/>
      <c r="E63" s="233"/>
      <c r="F63" s="251">
        <f>IF(E63=0,0,E63/$E$65)</f>
        <v>0</v>
      </c>
      <c r="G63" s="233"/>
    </row>
    <row r="64" spans="1:7" s="218" customFormat="1" ht="20.100000000000001" customHeight="1">
      <c r="A64" s="252" t="s">
        <v>166</v>
      </c>
      <c r="B64" s="253"/>
      <c r="C64" s="254">
        <f>IF(B64=0,0,B64/$B$65)</f>
        <v>0</v>
      </c>
      <c r="D64" s="253"/>
      <c r="E64" s="255"/>
      <c r="F64" s="254">
        <f>IF(E64=0,0,E64/$E$65)</f>
        <v>0</v>
      </c>
      <c r="G64" s="255"/>
    </row>
    <row r="65" spans="1:7" s="218" customFormat="1" ht="20.100000000000001" customHeight="1">
      <c r="A65" s="264" t="s">
        <v>149</v>
      </c>
      <c r="B65" s="263">
        <f>SUM(B62:B64)</f>
        <v>0</v>
      </c>
      <c r="C65" s="256">
        <f>IF(B65=0,0,D65/B65)</f>
        <v>0</v>
      </c>
      <c r="D65" s="263">
        <f>SUM(D62:D64)</f>
        <v>0</v>
      </c>
      <c r="E65" s="263">
        <f>SUM(E62:E64)</f>
        <v>0</v>
      </c>
      <c r="F65" s="256">
        <f>IF(E65=0,0,G65/E65)</f>
        <v>0</v>
      </c>
      <c r="G65" s="263">
        <f>SUM(G62:G64)</f>
        <v>0</v>
      </c>
    </row>
    <row r="66" spans="1:7" s="218" customFormat="1" ht="20.100000000000001" customHeight="1">
      <c r="A66" s="257" t="s">
        <v>169</v>
      </c>
    </row>
    <row r="67" spans="1:7" s="218" customFormat="1" ht="20.100000000000001" customHeight="1">
      <c r="A67" s="223" t="s">
        <v>233</v>
      </c>
    </row>
    <row r="68" spans="1:7" s="218" customFormat="1" ht="20.100000000000001" customHeight="1">
      <c r="A68" s="225" t="s">
        <v>234</v>
      </c>
      <c r="B68" s="225" t="s">
        <v>156</v>
      </c>
      <c r="C68" s="225" t="s">
        <v>139</v>
      </c>
      <c r="D68" s="225" t="s">
        <v>198</v>
      </c>
      <c r="E68" s="225" t="s">
        <v>235</v>
      </c>
      <c r="F68" s="225" t="s">
        <v>157</v>
      </c>
    </row>
    <row r="69" spans="1:7" s="218" customFormat="1" ht="20.100000000000001" customHeight="1">
      <c r="A69" s="265"/>
      <c r="B69" s="266"/>
      <c r="C69" s="267"/>
      <c r="D69" s="268"/>
      <c r="E69" s="243">
        <f>IF(B69=0,0,C69/B69)</f>
        <v>0</v>
      </c>
      <c r="F69" s="269"/>
    </row>
    <row r="70" spans="1:7" s="218" customFormat="1" ht="20.100000000000001" customHeight="1">
      <c r="A70" s="270"/>
      <c r="B70" s="271"/>
      <c r="C70" s="272"/>
      <c r="E70" s="244">
        <f>IF(B70=0,0,C70/B70)</f>
        <v>0</v>
      </c>
      <c r="F70" s="273"/>
    </row>
    <row r="71" spans="1:7" s="218" customFormat="1" ht="20.100000000000001" customHeight="1">
      <c r="A71" s="270"/>
      <c r="B71" s="271"/>
      <c r="C71" s="272"/>
      <c r="E71" s="244">
        <f>IF(B71=0,0,C71/B71)</f>
        <v>0</v>
      </c>
      <c r="F71" s="273"/>
    </row>
    <row r="72" spans="1:7" s="218" customFormat="1" ht="20.100000000000001" customHeight="1">
      <c r="A72" s="270"/>
      <c r="B72" s="271"/>
      <c r="C72" s="272"/>
      <c r="E72" s="244">
        <f>IF(B72=0,0,C72/B72)</f>
        <v>0</v>
      </c>
      <c r="F72" s="273"/>
    </row>
    <row r="73" spans="1:7" s="218" customFormat="1" ht="20.100000000000001" customHeight="1">
      <c r="A73" s="274"/>
      <c r="B73" s="275"/>
      <c r="C73" s="276"/>
      <c r="D73" s="255"/>
      <c r="E73" s="277">
        <f>IF(B73=0,0,C73/B73)</f>
        <v>0</v>
      </c>
      <c r="F73" s="278"/>
    </row>
    <row r="74" spans="1:7" s="218" customFormat="1" ht="20.100000000000001" customHeight="1">
      <c r="A74" s="262" t="s">
        <v>149</v>
      </c>
      <c r="B74" s="279">
        <f>SUM(B69:B73)</f>
        <v>0</v>
      </c>
      <c r="C74" s="279">
        <f t="shared" ref="C74" si="10">SUM(C69:C73)</f>
        <v>0</v>
      </c>
      <c r="D74" s="279"/>
      <c r="E74" s="279"/>
      <c r="F74" s="278"/>
    </row>
    <row r="75" spans="1:7" s="218" customFormat="1" ht="20.100000000000001" customHeight="1">
      <c r="A75" s="223" t="s">
        <v>236</v>
      </c>
    </row>
    <row r="76" spans="1:7" s="218" customFormat="1" ht="46.8">
      <c r="A76" s="280" t="s">
        <v>234</v>
      </c>
      <c r="B76" s="281" t="s">
        <v>237</v>
      </c>
      <c r="C76" s="281" t="s">
        <v>238</v>
      </c>
      <c r="D76" s="281" t="s">
        <v>239</v>
      </c>
      <c r="E76" s="281" t="s">
        <v>182</v>
      </c>
    </row>
    <row r="77" spans="1:7" s="218" customFormat="1" ht="20.100000000000001" customHeight="1">
      <c r="A77" s="282" t="e">
        <f>#REF!</f>
        <v>#REF!</v>
      </c>
      <c r="B77" s="282" t="e">
        <f>#REF!</f>
        <v>#REF!</v>
      </c>
      <c r="C77" s="282" t="e">
        <f>#REF!</f>
        <v>#REF!</v>
      </c>
      <c r="D77" s="283" t="e">
        <f>#REF!</f>
        <v>#REF!</v>
      </c>
      <c r="E77" s="283" t="e">
        <f>#REF!</f>
        <v>#REF!</v>
      </c>
    </row>
    <row r="78" spans="1:7" s="218" customFormat="1" ht="20.100000000000001" customHeight="1">
      <c r="A78" s="223" t="e">
        <f>#REF!</f>
        <v>#REF!</v>
      </c>
      <c r="B78" s="223" t="e">
        <f>#REF!</f>
        <v>#REF!</v>
      </c>
      <c r="C78" s="223" t="e">
        <f>#REF!</f>
        <v>#REF!</v>
      </c>
      <c r="D78" s="284" t="e">
        <f>#REF!</f>
        <v>#REF!</v>
      </c>
      <c r="E78" s="284" t="e">
        <f>#REF!</f>
        <v>#REF!</v>
      </c>
    </row>
    <row r="79" spans="1:7" s="218" customFormat="1" ht="20.100000000000001" customHeight="1">
      <c r="A79" s="285" t="e">
        <f>#REF!</f>
        <v>#REF!</v>
      </c>
      <c r="B79" s="285" t="e">
        <f>#REF!</f>
        <v>#REF!</v>
      </c>
      <c r="C79" s="285" t="e">
        <f>#REF!</f>
        <v>#REF!</v>
      </c>
      <c r="D79" s="286" t="e">
        <f>#REF!</f>
        <v>#REF!</v>
      </c>
      <c r="E79" s="286" t="e">
        <f>#REF!</f>
        <v>#REF!</v>
      </c>
    </row>
    <row r="80" spans="1:7" s="218" customFormat="1" ht="20.100000000000001" customHeight="1">
      <c r="A80" s="262" t="s">
        <v>240</v>
      </c>
      <c r="B80" s="262"/>
      <c r="C80" s="262"/>
      <c r="D80" s="263" t="e">
        <f>SUM(D77:D79)</f>
        <v>#REF!</v>
      </c>
      <c r="E80" s="263" t="e">
        <f>SUM(E77:E79)</f>
        <v>#REF!</v>
      </c>
    </row>
    <row r="81" spans="1:5" s="218" customFormat="1" ht="28.5" customHeight="1">
      <c r="A81" s="484" t="s">
        <v>241</v>
      </c>
      <c r="B81" s="484"/>
      <c r="C81" s="484"/>
      <c r="D81" s="484"/>
      <c r="E81" s="484"/>
    </row>
    <row r="82" spans="1:5" s="218" customFormat="1" ht="20.100000000000001" customHeight="1">
      <c r="A82" s="223" t="s">
        <v>242</v>
      </c>
    </row>
    <row r="83" spans="1:5" s="218" customFormat="1" ht="39.75" customHeight="1">
      <c r="A83" s="225" t="s">
        <v>234</v>
      </c>
      <c r="B83" s="225" t="s">
        <v>243</v>
      </c>
      <c r="C83" s="225" t="s">
        <v>186</v>
      </c>
      <c r="D83" s="225" t="s">
        <v>190</v>
      </c>
      <c r="E83" s="225" t="s">
        <v>244</v>
      </c>
    </row>
    <row r="84" spans="1:5" s="218" customFormat="1" ht="20.100000000000001" customHeight="1">
      <c r="A84" s="287" t="e">
        <f>#REF!</f>
        <v>#REF!</v>
      </c>
      <c r="B84" s="282" t="e">
        <f>#REF!</f>
        <v>#REF!</v>
      </c>
      <c r="C84" s="288" t="e">
        <f>#REF!</f>
        <v>#REF!</v>
      </c>
      <c r="D84" s="282" t="e">
        <f>#REF!</f>
        <v>#REF!</v>
      </c>
      <c r="E84" s="282" t="e">
        <f>#REF!</f>
        <v>#REF!</v>
      </c>
    </row>
    <row r="85" spans="1:5" s="218" customFormat="1" ht="20.100000000000001" customHeight="1">
      <c r="A85" s="224" t="e">
        <f>#REF!</f>
        <v>#REF!</v>
      </c>
      <c r="B85" s="223" t="e">
        <f>#REF!</f>
        <v>#REF!</v>
      </c>
      <c r="C85" s="289" t="e">
        <f>#REF!</f>
        <v>#REF!</v>
      </c>
      <c r="D85" s="223" t="e">
        <f>#REF!</f>
        <v>#REF!</v>
      </c>
      <c r="E85" s="223" t="e">
        <f>#REF!</f>
        <v>#REF!</v>
      </c>
    </row>
    <row r="86" spans="1:5" s="218" customFormat="1" ht="20.100000000000001" customHeight="1">
      <c r="A86" s="290" t="e">
        <f>#REF!</f>
        <v>#REF!</v>
      </c>
      <c r="B86" s="285" t="e">
        <f>#REF!</f>
        <v>#REF!</v>
      </c>
      <c r="C86" s="291" t="e">
        <f>#REF!</f>
        <v>#REF!</v>
      </c>
      <c r="D86" s="285" t="e">
        <f>#REF!</f>
        <v>#REF!</v>
      </c>
      <c r="E86" s="285" t="e">
        <f>#REF!</f>
        <v>#REF!</v>
      </c>
    </row>
    <row r="87" spans="1:5" s="218" customFormat="1" ht="20.100000000000001" customHeight="1">
      <c r="A87" s="292" t="s">
        <v>240</v>
      </c>
      <c r="B87" s="292" t="s">
        <v>245</v>
      </c>
      <c r="C87" s="293" t="e">
        <f>SUM(C84:C86)</f>
        <v>#REF!</v>
      </c>
      <c r="D87" s="294" t="s">
        <v>245</v>
      </c>
      <c r="E87" s="294" t="s">
        <v>245</v>
      </c>
    </row>
    <row r="88" spans="1:5" s="218" customFormat="1" ht="20.100000000000001" customHeight="1">
      <c r="A88" s="223" t="s">
        <v>246</v>
      </c>
    </row>
    <row r="89" spans="1:5" s="218" customFormat="1" ht="47.4">
      <c r="A89" s="225" t="s">
        <v>178</v>
      </c>
      <c r="B89" s="225" t="s">
        <v>206</v>
      </c>
      <c r="C89" s="225" t="s">
        <v>247</v>
      </c>
    </row>
    <row r="90" spans="1:5" s="218" customFormat="1" ht="20.100000000000001" customHeight="1">
      <c r="A90" s="287" t="e">
        <f>#REF!</f>
        <v>#REF!</v>
      </c>
      <c r="B90" s="288" t="e">
        <f>#REF!</f>
        <v>#REF!</v>
      </c>
      <c r="C90" s="288" t="e">
        <f>#REF!</f>
        <v>#REF!</v>
      </c>
    </row>
    <row r="91" spans="1:5" s="218" customFormat="1" ht="20.100000000000001" customHeight="1">
      <c r="A91" s="224" t="e">
        <f>#REF!</f>
        <v>#REF!</v>
      </c>
      <c r="B91" s="289" t="e">
        <f>#REF!</f>
        <v>#REF!</v>
      </c>
      <c r="C91" s="289" t="e">
        <f>#REF!</f>
        <v>#REF!</v>
      </c>
    </row>
    <row r="92" spans="1:5" s="218" customFormat="1" ht="20.100000000000001" customHeight="1">
      <c r="A92" s="295"/>
      <c r="B92" s="296"/>
      <c r="C92" s="296"/>
    </row>
    <row r="93" spans="1:5" s="218" customFormat="1" ht="20.100000000000001" customHeight="1">
      <c r="A93" s="297" t="s">
        <v>149</v>
      </c>
      <c r="B93" s="298" t="e">
        <f>SUM(B90:B92)</f>
        <v>#REF!</v>
      </c>
      <c r="C93" s="298" t="e">
        <f>SUM(C90:C92)</f>
        <v>#REF!</v>
      </c>
    </row>
    <row r="94" spans="1:5" s="218" customFormat="1" ht="20.100000000000001" customHeight="1">
      <c r="A94" s="223" t="s">
        <v>248</v>
      </c>
    </row>
    <row r="95" spans="1:5" s="218" customFormat="1" ht="20.100000000000001" customHeight="1">
      <c r="A95" s="299" t="s">
        <v>204</v>
      </c>
      <c r="B95" s="299" t="s">
        <v>249</v>
      </c>
    </row>
    <row r="96" spans="1:5" s="218" customFormat="1" ht="20.100000000000001" customHeight="1">
      <c r="A96" s="230" t="s">
        <v>210</v>
      </c>
      <c r="B96" s="300"/>
    </row>
    <row r="97" spans="1:7" s="218" customFormat="1" ht="20.100000000000001" customHeight="1">
      <c r="A97" s="230"/>
      <c r="B97" s="301"/>
    </row>
    <row r="98" spans="1:7" s="218" customFormat="1" ht="20.100000000000001" customHeight="1">
      <c r="A98" s="302" t="s">
        <v>211</v>
      </c>
      <c r="B98" s="303">
        <f>SUM(B97:B97)</f>
        <v>0</v>
      </c>
    </row>
    <row r="99" spans="1:7" s="218" customFormat="1" ht="20.100000000000001" customHeight="1">
      <c r="A99" s="230" t="s">
        <v>212</v>
      </c>
      <c r="B99" s="304"/>
    </row>
    <row r="100" spans="1:7" s="218" customFormat="1" ht="20.100000000000001" customHeight="1">
      <c r="A100" s="230"/>
      <c r="B100" s="305"/>
    </row>
    <row r="101" spans="1:7" s="218" customFormat="1" ht="20.100000000000001" customHeight="1">
      <c r="A101" s="264" t="s">
        <v>213</v>
      </c>
      <c r="B101" s="298">
        <f>SUM(B100:B100)</f>
        <v>0</v>
      </c>
    </row>
    <row r="102" spans="1:7" s="218" customFormat="1" ht="30" customHeight="1">
      <c r="A102" s="459" t="s">
        <v>214</v>
      </c>
      <c r="B102" s="459"/>
      <c r="C102" s="459"/>
      <c r="D102" s="459"/>
      <c r="E102" s="459"/>
      <c r="F102" s="459"/>
      <c r="G102" s="459"/>
    </row>
  </sheetData>
  <mergeCells count="25">
    <mergeCell ref="B33:C33"/>
    <mergeCell ref="E33:F33"/>
    <mergeCell ref="B44:D44"/>
    <mergeCell ref="E44:G44"/>
    <mergeCell ref="A1:G1"/>
    <mergeCell ref="A2:G2"/>
    <mergeCell ref="B8:E8"/>
    <mergeCell ref="B19:E19"/>
    <mergeCell ref="A29:E29"/>
    <mergeCell ref="A102:G102"/>
    <mergeCell ref="A8:A9"/>
    <mergeCell ref="A19:A20"/>
    <mergeCell ref="A32:A34"/>
    <mergeCell ref="A44:A45"/>
    <mergeCell ref="A52:A53"/>
    <mergeCell ref="A60:A61"/>
    <mergeCell ref="D33:D34"/>
    <mergeCell ref="G33:G34"/>
    <mergeCell ref="B52:D52"/>
    <mergeCell ref="E52:G52"/>
    <mergeCell ref="B60:D60"/>
    <mergeCell ref="E60:G60"/>
    <mergeCell ref="A81:E81"/>
    <mergeCell ref="B32:D32"/>
    <mergeCell ref="E32:G32"/>
  </mergeCells>
  <phoneticPr fontId="168" type="noConversion"/>
  <printOptions horizontalCentered="1"/>
  <pageMargins left="0.74803149606299202" right="0.55118110236220497" top="0.98425196850393704" bottom="0.23622047244094499" header="0.511811023622047" footer="0.196850393700787"/>
  <pageSetup paperSize="9" scale="67" fitToHeight="3" orientation="portrait" blackAndWhite="1" cellComments="atEnd" r:id="rId1"/>
  <headerFooter alignWithMargins="0"/>
  <rowBreaks count="3" manualBreakCount="3">
    <brk id="17" max="6" man="1"/>
    <brk id="42" max="6" man="1"/>
    <brk id="52"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81"/>
  <sheetViews>
    <sheetView view="pageBreakPreview" zoomScale="85" zoomScaleNormal="70" workbookViewId="0">
      <selection sqref="A1:I1"/>
    </sheetView>
  </sheetViews>
  <sheetFormatPr defaultColWidth="8.19921875" defaultRowHeight="20.100000000000001" customHeight="1"/>
  <cols>
    <col min="1" max="1" width="20.09765625" style="150" customWidth="1"/>
    <col min="2" max="2" width="18.69921875" style="151" customWidth="1"/>
    <col min="3" max="3" width="17.19921875" style="147" customWidth="1"/>
    <col min="4" max="4" width="22.69921875" style="151" customWidth="1"/>
    <col min="5" max="5" width="23" style="151" customWidth="1"/>
    <col min="6" max="6" width="13" style="151" customWidth="1"/>
    <col min="7" max="7" width="23.5" style="151" customWidth="1"/>
    <col min="8" max="11" width="13.19921875" style="151" customWidth="1"/>
    <col min="12" max="16384" width="8.19921875" style="151"/>
  </cols>
  <sheetData>
    <row r="1" spans="1:9" ht="20.100000000000001" customHeight="1">
      <c r="A1" s="505" t="s">
        <v>250</v>
      </c>
      <c r="B1" s="505"/>
      <c r="C1" s="505"/>
      <c r="D1" s="505"/>
      <c r="E1" s="505"/>
      <c r="F1" s="505"/>
      <c r="G1" s="505"/>
      <c r="H1" s="505"/>
      <c r="I1" s="505"/>
    </row>
    <row r="2" spans="1:9" ht="20.100000000000001" customHeight="1">
      <c r="A2" s="506" t="s">
        <v>12</v>
      </c>
      <c r="B2" s="505"/>
      <c r="C2" s="505"/>
      <c r="D2" s="505"/>
      <c r="E2" s="505"/>
      <c r="F2" s="505"/>
      <c r="G2" s="505"/>
      <c r="H2" s="505"/>
      <c r="I2" s="505"/>
    </row>
    <row r="3" spans="1:9" ht="20.100000000000001" customHeight="1">
      <c r="A3" s="152" t="str">
        <f>底稿目录!A2</f>
        <v>被审计单位名称：</v>
      </c>
      <c r="B3" s="152"/>
      <c r="C3" s="152" t="str">
        <f>底稿目录!A4</f>
        <v>编制人：</v>
      </c>
      <c r="D3" s="152"/>
      <c r="E3" s="152" t="str">
        <f>底稿目录!A5</f>
        <v>编制日期：</v>
      </c>
      <c r="F3" s="152"/>
      <c r="G3" s="152"/>
      <c r="H3" s="153" t="s">
        <v>23</v>
      </c>
    </row>
    <row r="4" spans="1:9" ht="20.100000000000001" customHeight="1">
      <c r="A4" s="152" t="str">
        <f>底稿目录!A3</f>
        <v>截止日：202X年12月31日</v>
      </c>
      <c r="B4" s="152"/>
      <c r="C4" s="152" t="str">
        <f>底稿目录!A6</f>
        <v>复核人：</v>
      </c>
      <c r="D4" s="152"/>
      <c r="E4" s="152" t="str">
        <f>底稿目录!A7</f>
        <v>复核日期：</v>
      </c>
      <c r="F4" s="152"/>
      <c r="G4" s="152"/>
      <c r="H4" s="154" t="s">
        <v>251</v>
      </c>
    </row>
    <row r="5" spans="1:9" ht="25.5" customHeight="1">
      <c r="A5" s="155" t="s">
        <v>252</v>
      </c>
      <c r="B5" s="156"/>
      <c r="C5" s="156"/>
      <c r="D5" s="156"/>
      <c r="E5" s="157"/>
      <c r="F5" s="157"/>
      <c r="G5" s="156"/>
    </row>
    <row r="6" spans="1:9" ht="14.4">
      <c r="A6" s="150" t="s">
        <v>253</v>
      </c>
      <c r="C6" s="151"/>
    </row>
    <row r="7" spans="1:9" s="146" customFormat="1" ht="14.4">
      <c r="A7" s="158" t="s">
        <v>254</v>
      </c>
      <c r="B7" s="159" t="s">
        <v>255</v>
      </c>
      <c r="C7" s="159" t="s">
        <v>256</v>
      </c>
      <c r="D7" s="151"/>
      <c r="E7" s="151"/>
      <c r="F7" s="151"/>
      <c r="G7" s="151"/>
    </row>
    <row r="8" spans="1:9" ht="14.4">
      <c r="A8" s="160" t="s">
        <v>257</v>
      </c>
      <c r="B8" s="92">
        <f>'明细表D2-2'!AC26</f>
        <v>0</v>
      </c>
      <c r="C8" s="92">
        <f>'明细表D2-2'!I26</f>
        <v>0</v>
      </c>
    </row>
    <row r="9" spans="1:9" ht="14.4">
      <c r="A9" s="160" t="s">
        <v>258</v>
      </c>
      <c r="B9" s="161"/>
      <c r="C9" s="161"/>
    </row>
    <row r="10" spans="1:9" ht="14.4">
      <c r="A10" s="160" t="s">
        <v>259</v>
      </c>
      <c r="B10" s="161"/>
      <c r="C10" s="161"/>
    </row>
    <row r="11" spans="1:9" ht="14.4">
      <c r="A11" s="160" t="s">
        <v>260</v>
      </c>
      <c r="B11" s="161"/>
      <c r="C11" s="161"/>
    </row>
    <row r="12" spans="1:9" ht="14.4">
      <c r="A12" s="160" t="s">
        <v>261</v>
      </c>
      <c r="B12" s="162">
        <f>SUM(B9:B11)</f>
        <v>0</v>
      </c>
      <c r="C12" s="162">
        <f>SUM(C9:C11)</f>
        <v>0</v>
      </c>
    </row>
    <row r="13" spans="1:9" ht="14.4">
      <c r="A13" s="160" t="s">
        <v>262</v>
      </c>
      <c r="B13" s="92">
        <f>'明细表D2-2'!AD26</f>
        <v>0</v>
      </c>
      <c r="C13" s="92">
        <f>'明细表D2-2'!J26</f>
        <v>0</v>
      </c>
    </row>
    <row r="14" spans="1:9" ht="14.4">
      <c r="A14" s="160" t="s">
        <v>263</v>
      </c>
      <c r="B14" s="92">
        <f>'明细表D2-2'!AE26</f>
        <v>0</v>
      </c>
      <c r="C14" s="92">
        <f>'明细表D2-2'!K26</f>
        <v>0</v>
      </c>
    </row>
    <row r="15" spans="1:9" ht="14.4">
      <c r="A15" s="160" t="s">
        <v>264</v>
      </c>
      <c r="B15" s="92">
        <f>'明细表D2-2'!AF26</f>
        <v>0</v>
      </c>
      <c r="C15" s="92">
        <f>'明细表D2-2'!L26</f>
        <v>0</v>
      </c>
    </row>
    <row r="16" spans="1:9" s="146" customFormat="1" ht="14.4">
      <c r="A16" s="160" t="s">
        <v>265</v>
      </c>
      <c r="B16" s="92">
        <f>'明细表D2-2'!AG26</f>
        <v>0</v>
      </c>
      <c r="C16" s="92">
        <f>'明细表D2-2'!M26</f>
        <v>0</v>
      </c>
      <c r="D16" s="151"/>
      <c r="E16" s="151"/>
      <c r="F16" s="151"/>
      <c r="G16" s="151"/>
    </row>
    <row r="17" spans="1:7" ht="14.4">
      <c r="A17" s="160" t="s">
        <v>266</v>
      </c>
      <c r="B17" s="92">
        <f>'明细表D2-2'!AH26</f>
        <v>0</v>
      </c>
      <c r="C17" s="92">
        <f>'明细表D2-2'!N26</f>
        <v>0</v>
      </c>
    </row>
    <row r="18" spans="1:7" ht="14.4">
      <c r="A18" s="163" t="s">
        <v>267</v>
      </c>
      <c r="B18" s="108">
        <f>SUM(B12:B17)</f>
        <v>0</v>
      </c>
      <c r="C18" s="108">
        <f>SUM(C12:C17)</f>
        <v>0</v>
      </c>
    </row>
    <row r="19" spans="1:7" ht="14.4">
      <c r="A19" s="164" t="s">
        <v>268</v>
      </c>
      <c r="B19" s="138"/>
      <c r="C19" s="165"/>
    </row>
    <row r="20" spans="1:7" ht="14.4">
      <c r="A20" s="166" t="s">
        <v>269</v>
      </c>
      <c r="B20" s="100">
        <f>B18-B19</f>
        <v>0</v>
      </c>
      <c r="C20" s="100">
        <f>C18-C19</f>
        <v>0</v>
      </c>
    </row>
    <row r="21" spans="1:7" ht="14.4">
      <c r="A21" s="150" t="s">
        <v>270</v>
      </c>
      <c r="C21" s="151"/>
    </row>
    <row r="22" spans="1:7" ht="14.4">
      <c r="A22" s="496" t="s">
        <v>271</v>
      </c>
      <c r="B22" s="500" t="s">
        <v>255</v>
      </c>
      <c r="C22" s="501"/>
      <c r="D22" s="501"/>
      <c r="E22" s="501"/>
      <c r="F22" s="501"/>
    </row>
    <row r="23" spans="1:7" ht="14.4">
      <c r="A23" s="497"/>
      <c r="B23" s="502" t="s">
        <v>272</v>
      </c>
      <c r="C23" s="503"/>
      <c r="D23" s="502" t="s">
        <v>273</v>
      </c>
      <c r="E23" s="504"/>
      <c r="F23" s="499" t="s">
        <v>274</v>
      </c>
    </row>
    <row r="24" spans="1:7" s="147" customFormat="1" ht="14.4">
      <c r="A24" s="498"/>
      <c r="B24" s="167" t="s">
        <v>275</v>
      </c>
      <c r="C24" s="167" t="s">
        <v>276</v>
      </c>
      <c r="D24" s="167" t="s">
        <v>275</v>
      </c>
      <c r="E24" s="167" t="s">
        <v>277</v>
      </c>
      <c r="F24" s="498"/>
      <c r="G24" s="151"/>
    </row>
    <row r="25" spans="1:7" s="148" customFormat="1" ht="14.4">
      <c r="A25" s="160" t="s">
        <v>278</v>
      </c>
      <c r="B25" s="92"/>
      <c r="C25" s="168">
        <f>IFERROR(B25/$B$36,0)</f>
        <v>0</v>
      </c>
      <c r="D25" s="92"/>
      <c r="E25" s="168">
        <f t="shared" ref="E25:E36" si="0">IFERROR(D25/B25,0)</f>
        <v>0</v>
      </c>
      <c r="F25" s="169">
        <f t="shared" ref="F25:F36" si="1">B25-D25</f>
        <v>0</v>
      </c>
      <c r="G25" s="151"/>
    </row>
    <row r="26" spans="1:7" ht="14.4">
      <c r="A26" s="160" t="s">
        <v>279</v>
      </c>
      <c r="B26" s="92"/>
      <c r="C26" s="168"/>
      <c r="D26" s="92"/>
      <c r="E26" s="168"/>
      <c r="F26" s="169"/>
    </row>
    <row r="27" spans="1:7" s="146" customFormat="1" ht="14.4">
      <c r="A27" s="160" t="s">
        <v>280</v>
      </c>
      <c r="B27" s="92"/>
      <c r="C27" s="168">
        <f>IFERROR(B27/$B$36,0)</f>
        <v>0</v>
      </c>
      <c r="D27" s="92"/>
      <c r="E27" s="168">
        <f t="shared" si="0"/>
        <v>0</v>
      </c>
      <c r="F27" s="169">
        <f t="shared" si="1"/>
        <v>0</v>
      </c>
      <c r="G27" s="151"/>
    </row>
    <row r="28" spans="1:7" ht="14.4">
      <c r="A28" s="160" t="s">
        <v>280</v>
      </c>
      <c r="B28" s="92"/>
      <c r="C28" s="168">
        <f>IFERROR(B28/$B$36,0)</f>
        <v>0</v>
      </c>
      <c r="D28" s="92"/>
      <c r="E28" s="168">
        <f t="shared" si="0"/>
        <v>0</v>
      </c>
      <c r="F28" s="169">
        <f t="shared" si="1"/>
        <v>0</v>
      </c>
    </row>
    <row r="29" spans="1:7" ht="43.2">
      <c r="A29" s="160" t="s">
        <v>281</v>
      </c>
      <c r="B29" s="92"/>
      <c r="C29" s="168">
        <f>IFERROR(B29/$B$36,0)</f>
        <v>0</v>
      </c>
      <c r="D29" s="92"/>
      <c r="E29" s="168">
        <f t="shared" si="0"/>
        <v>0</v>
      </c>
      <c r="F29" s="169">
        <f t="shared" si="1"/>
        <v>0</v>
      </c>
    </row>
    <row r="30" spans="1:7" ht="14.4">
      <c r="A30" s="160" t="s">
        <v>279</v>
      </c>
      <c r="B30" s="170"/>
      <c r="C30" s="168"/>
      <c r="D30" s="170"/>
      <c r="E30" s="168"/>
      <c r="F30" s="169">
        <f t="shared" si="1"/>
        <v>0</v>
      </c>
    </row>
    <row r="31" spans="1:7" ht="14.4">
      <c r="A31" s="171"/>
      <c r="B31" s="92"/>
      <c r="C31" s="168">
        <f t="shared" ref="C31:C35" si="2">IFERROR(B31/$B$36,0)</f>
        <v>0</v>
      </c>
      <c r="D31" s="92"/>
      <c r="E31" s="168">
        <f t="shared" si="0"/>
        <v>0</v>
      </c>
      <c r="F31" s="169">
        <f t="shared" si="1"/>
        <v>0</v>
      </c>
    </row>
    <row r="32" spans="1:7" ht="14.4">
      <c r="A32" s="171"/>
      <c r="B32" s="92"/>
      <c r="C32" s="168">
        <f t="shared" si="2"/>
        <v>0</v>
      </c>
      <c r="D32" s="92"/>
      <c r="E32" s="168"/>
      <c r="F32" s="169"/>
    </row>
    <row r="33" spans="1:7" ht="14.4">
      <c r="A33" s="171"/>
      <c r="B33" s="92"/>
      <c r="C33" s="168">
        <f t="shared" si="2"/>
        <v>0</v>
      </c>
      <c r="D33" s="92"/>
      <c r="E33" s="168"/>
      <c r="F33" s="169"/>
    </row>
    <row r="34" spans="1:7" ht="14.4">
      <c r="A34" s="171"/>
      <c r="B34" s="92"/>
      <c r="C34" s="168">
        <f t="shared" si="2"/>
        <v>0</v>
      </c>
      <c r="D34" s="92"/>
      <c r="E34" s="168"/>
      <c r="F34" s="169"/>
    </row>
    <row r="35" spans="1:7" ht="14.4">
      <c r="A35" s="172"/>
      <c r="B35" s="138"/>
      <c r="C35" s="168">
        <f t="shared" si="2"/>
        <v>0</v>
      </c>
      <c r="D35" s="138"/>
      <c r="E35" s="168">
        <f t="shared" si="0"/>
        <v>0</v>
      </c>
      <c r="F35" s="169">
        <f t="shared" si="1"/>
        <v>0</v>
      </c>
    </row>
    <row r="36" spans="1:7" ht="14.4">
      <c r="A36" s="173" t="s">
        <v>269</v>
      </c>
      <c r="B36" s="174">
        <f>B25+B29</f>
        <v>0</v>
      </c>
      <c r="C36" s="175"/>
      <c r="D36" s="174">
        <f>D25+D29</f>
        <v>0</v>
      </c>
      <c r="E36" s="176">
        <f t="shared" si="0"/>
        <v>0</v>
      </c>
      <c r="F36" s="177">
        <f t="shared" si="1"/>
        <v>0</v>
      </c>
    </row>
    <row r="37" spans="1:7" ht="14.4">
      <c r="A37" s="150" t="s">
        <v>282</v>
      </c>
      <c r="C37" s="151"/>
    </row>
    <row r="38" spans="1:7" s="149" customFormat="1" ht="14.4">
      <c r="A38" s="496" t="s">
        <v>271</v>
      </c>
      <c r="B38" s="500" t="s">
        <v>256</v>
      </c>
      <c r="C38" s="501"/>
      <c r="D38" s="501"/>
      <c r="E38" s="501"/>
      <c r="F38" s="501"/>
      <c r="G38" s="151"/>
    </row>
    <row r="39" spans="1:7" ht="14.4">
      <c r="A39" s="497"/>
      <c r="B39" s="502" t="s">
        <v>272</v>
      </c>
      <c r="C39" s="503"/>
      <c r="D39" s="502" t="s">
        <v>273</v>
      </c>
      <c r="E39" s="504"/>
      <c r="F39" s="499" t="s">
        <v>274</v>
      </c>
    </row>
    <row r="40" spans="1:7" ht="14.4">
      <c r="A40" s="498"/>
      <c r="B40" s="167" t="s">
        <v>275</v>
      </c>
      <c r="C40" s="167" t="s">
        <v>276</v>
      </c>
      <c r="D40" s="167" t="s">
        <v>275</v>
      </c>
      <c r="E40" s="167" t="s">
        <v>277</v>
      </c>
      <c r="F40" s="498"/>
    </row>
    <row r="41" spans="1:7" s="146" customFormat="1" ht="14.4">
      <c r="A41" s="160" t="s">
        <v>278</v>
      </c>
      <c r="B41" s="161"/>
      <c r="C41" s="178">
        <f t="shared" ref="C41:C48" si="3">IFERROR(B41/$B$36,0)</f>
        <v>0</v>
      </c>
      <c r="D41" s="161"/>
      <c r="E41" s="178">
        <f t="shared" ref="E41:E49" si="4">IFERROR(D41/B41,0)</f>
        <v>0</v>
      </c>
      <c r="F41" s="169">
        <f t="shared" ref="F41:F49" si="5">B41-D41</f>
        <v>0</v>
      </c>
      <c r="G41" s="151"/>
    </row>
    <row r="42" spans="1:7" ht="14.4">
      <c r="A42" s="160" t="s">
        <v>279</v>
      </c>
      <c r="B42" s="161"/>
      <c r="C42" s="178">
        <f t="shared" si="3"/>
        <v>0</v>
      </c>
      <c r="D42" s="161"/>
      <c r="E42" s="178">
        <f t="shared" si="4"/>
        <v>0</v>
      </c>
      <c r="F42" s="169">
        <f t="shared" si="5"/>
        <v>0</v>
      </c>
    </row>
    <row r="43" spans="1:7" ht="14.4">
      <c r="A43" s="160" t="s">
        <v>280</v>
      </c>
      <c r="B43" s="161"/>
      <c r="C43" s="178">
        <f t="shared" si="3"/>
        <v>0</v>
      </c>
      <c r="D43" s="161"/>
      <c r="E43" s="178">
        <f t="shared" si="4"/>
        <v>0</v>
      </c>
      <c r="F43" s="169">
        <f t="shared" si="5"/>
        <v>0</v>
      </c>
    </row>
    <row r="44" spans="1:7" ht="14.4">
      <c r="A44" s="160" t="s">
        <v>280</v>
      </c>
      <c r="B44" s="161"/>
      <c r="C44" s="178">
        <f t="shared" si="3"/>
        <v>0</v>
      </c>
      <c r="D44" s="161"/>
      <c r="E44" s="178">
        <f t="shared" si="4"/>
        <v>0</v>
      </c>
      <c r="F44" s="169">
        <f t="shared" si="5"/>
        <v>0</v>
      </c>
    </row>
    <row r="45" spans="1:7" ht="43.2">
      <c r="A45" s="160" t="s">
        <v>281</v>
      </c>
      <c r="B45" s="161"/>
      <c r="C45" s="178">
        <f t="shared" si="3"/>
        <v>0</v>
      </c>
      <c r="D45" s="161"/>
      <c r="E45" s="178">
        <f t="shared" si="4"/>
        <v>0</v>
      </c>
      <c r="F45" s="169">
        <f t="shared" si="5"/>
        <v>0</v>
      </c>
    </row>
    <row r="46" spans="1:7" ht="14.4">
      <c r="A46" s="160" t="s">
        <v>279</v>
      </c>
      <c r="B46" s="161"/>
      <c r="C46" s="178">
        <f t="shared" si="3"/>
        <v>0</v>
      </c>
      <c r="D46" s="161"/>
      <c r="E46" s="178">
        <f t="shared" si="4"/>
        <v>0</v>
      </c>
      <c r="F46" s="169">
        <f t="shared" si="5"/>
        <v>0</v>
      </c>
    </row>
    <row r="47" spans="1:7" ht="14.4">
      <c r="A47" s="171" t="s">
        <v>283</v>
      </c>
      <c r="B47" s="161"/>
      <c r="C47" s="178">
        <f t="shared" si="3"/>
        <v>0</v>
      </c>
      <c r="D47" s="161"/>
      <c r="E47" s="178">
        <f t="shared" si="4"/>
        <v>0</v>
      </c>
      <c r="F47" s="169">
        <f t="shared" si="5"/>
        <v>0</v>
      </c>
    </row>
    <row r="48" spans="1:7" ht="14.4">
      <c r="A48" s="172" t="s">
        <v>284</v>
      </c>
      <c r="B48" s="165"/>
      <c r="C48" s="178">
        <f t="shared" si="3"/>
        <v>0</v>
      </c>
      <c r="D48" s="165"/>
      <c r="E48" s="178">
        <f t="shared" si="4"/>
        <v>0</v>
      </c>
      <c r="F48" s="169">
        <f t="shared" si="5"/>
        <v>0</v>
      </c>
    </row>
    <row r="49" spans="1:7" s="149" customFormat="1" ht="14.4">
      <c r="A49" s="173" t="s">
        <v>269</v>
      </c>
      <c r="B49" s="179">
        <f>B41+B45</f>
        <v>0</v>
      </c>
      <c r="C49" s="180"/>
      <c r="D49" s="179">
        <f>D41+D45</f>
        <v>0</v>
      </c>
      <c r="E49" s="181">
        <f t="shared" si="4"/>
        <v>0</v>
      </c>
      <c r="F49" s="177">
        <f t="shared" si="5"/>
        <v>0</v>
      </c>
      <c r="G49" s="151"/>
    </row>
    <row r="50" spans="1:7" ht="14.4">
      <c r="A50" s="150" t="s">
        <v>285</v>
      </c>
      <c r="C50" s="151"/>
    </row>
    <row r="51" spans="1:7" ht="14.4">
      <c r="A51" s="496" t="s">
        <v>286</v>
      </c>
      <c r="B51" s="500" t="s">
        <v>255</v>
      </c>
      <c r="C51" s="501"/>
      <c r="D51" s="501"/>
      <c r="E51" s="501"/>
    </row>
    <row r="52" spans="1:7" s="146" customFormat="1" ht="14.4">
      <c r="A52" s="498"/>
      <c r="B52" s="167" t="s">
        <v>272</v>
      </c>
      <c r="C52" s="167" t="s">
        <v>273</v>
      </c>
      <c r="D52" s="167" t="s">
        <v>287</v>
      </c>
      <c r="E52" s="167" t="s">
        <v>288</v>
      </c>
      <c r="F52" s="151"/>
      <c r="G52" s="151"/>
    </row>
    <row r="53" spans="1:7" ht="14.4">
      <c r="A53" s="182"/>
      <c r="B53" s="92"/>
      <c r="C53" s="92"/>
      <c r="D53" s="168">
        <f>IFERROR(C53/B53,0)</f>
        <v>0</v>
      </c>
      <c r="E53" s="161"/>
    </row>
    <row r="54" spans="1:7" ht="14.4">
      <c r="A54" s="182"/>
      <c r="B54" s="92"/>
      <c r="C54" s="92"/>
      <c r="D54" s="168">
        <f>IFERROR(C54/B54,0)</f>
        <v>0</v>
      </c>
      <c r="E54" s="161"/>
    </row>
    <row r="55" spans="1:7" ht="14.4">
      <c r="A55" s="183"/>
      <c r="B55" s="184"/>
      <c r="C55" s="184"/>
      <c r="D55" s="168">
        <f>IFERROR(C55/B55,0)</f>
        <v>0</v>
      </c>
      <c r="E55" s="165"/>
    </row>
    <row r="56" spans="1:7" ht="14.4">
      <c r="A56" s="185" t="s">
        <v>269</v>
      </c>
      <c r="B56" s="174">
        <f>SUM(B53:B55)</f>
        <v>0</v>
      </c>
      <c r="C56" s="174">
        <f>SUM(C53:C55)</f>
        <v>0</v>
      </c>
      <c r="D56" s="176">
        <f>IFERROR(C56/B56,0)</f>
        <v>0</v>
      </c>
      <c r="E56" s="167" t="s">
        <v>289</v>
      </c>
    </row>
    <row r="57" spans="1:7" ht="14.4">
      <c r="A57" s="150" t="s">
        <v>282</v>
      </c>
      <c r="C57" s="151"/>
    </row>
    <row r="58" spans="1:7" ht="14.4">
      <c r="A58" s="496" t="s">
        <v>286</v>
      </c>
      <c r="B58" s="500" t="s">
        <v>256</v>
      </c>
      <c r="C58" s="501"/>
      <c r="D58" s="501"/>
      <c r="E58" s="501"/>
    </row>
    <row r="59" spans="1:7" ht="14.4">
      <c r="A59" s="498"/>
      <c r="B59" s="167" t="s">
        <v>272</v>
      </c>
      <c r="C59" s="167" t="s">
        <v>273</v>
      </c>
      <c r="D59" s="167" t="s">
        <v>287</v>
      </c>
      <c r="E59" s="167" t="s">
        <v>288</v>
      </c>
    </row>
    <row r="60" spans="1:7" ht="14.4">
      <c r="A60" s="160"/>
      <c r="B60" s="161"/>
      <c r="C60" s="161"/>
      <c r="D60" s="178">
        <f>IFERROR(C60/B60,0)</f>
        <v>0</v>
      </c>
      <c r="E60" s="161"/>
    </row>
    <row r="61" spans="1:7" ht="14.4">
      <c r="A61" s="160"/>
      <c r="B61" s="161"/>
      <c r="C61" s="161"/>
      <c r="D61" s="178">
        <f>IFERROR(C61/B61,0)</f>
        <v>0</v>
      </c>
      <c r="E61" s="161"/>
    </row>
    <row r="62" spans="1:7" ht="14.4">
      <c r="A62" s="164"/>
      <c r="B62" s="165"/>
      <c r="C62" s="165"/>
      <c r="D62" s="178">
        <f>IFERROR(C62/B62,0)</f>
        <v>0</v>
      </c>
      <c r="E62" s="165"/>
    </row>
    <row r="63" spans="1:7" ht="14.4">
      <c r="A63" s="166" t="s">
        <v>269</v>
      </c>
      <c r="B63" s="179">
        <f>SUM(B60:B62)</f>
        <v>0</v>
      </c>
      <c r="C63" s="179">
        <f>SUM(C60:C62)</f>
        <v>0</v>
      </c>
      <c r="D63" s="181">
        <f>IFERROR(C63/B63,0)</f>
        <v>0</v>
      </c>
      <c r="E63" s="167" t="s">
        <v>289</v>
      </c>
    </row>
    <row r="64" spans="1:7" s="149" customFormat="1" ht="14.4">
      <c r="A64" s="150" t="s">
        <v>290</v>
      </c>
      <c r="B64" s="151"/>
      <c r="C64" s="151"/>
      <c r="D64" s="151"/>
      <c r="E64" s="151"/>
      <c r="F64" s="151"/>
      <c r="G64" s="151"/>
    </row>
    <row r="65" spans="1:7" s="149" customFormat="1" ht="14.4">
      <c r="A65" s="150" t="s">
        <v>291</v>
      </c>
      <c r="B65" s="151"/>
      <c r="C65" s="151"/>
      <c r="D65" s="151"/>
      <c r="E65" s="151"/>
      <c r="F65" s="151"/>
      <c r="G65" s="151"/>
    </row>
    <row r="66" spans="1:7" ht="14.4">
      <c r="A66" s="496"/>
      <c r="B66" s="500" t="s">
        <v>255</v>
      </c>
      <c r="C66" s="501"/>
      <c r="D66" s="501"/>
      <c r="E66" s="500" t="s">
        <v>256</v>
      </c>
      <c r="F66" s="501"/>
      <c r="G66" s="501"/>
    </row>
    <row r="67" spans="1:7" ht="14.4">
      <c r="A67" s="498"/>
      <c r="B67" s="167" t="s">
        <v>26</v>
      </c>
      <c r="C67" s="167" t="s">
        <v>273</v>
      </c>
      <c r="D67" s="167" t="s">
        <v>277</v>
      </c>
      <c r="E67" s="167" t="s">
        <v>26</v>
      </c>
      <c r="F67" s="167" t="s">
        <v>273</v>
      </c>
      <c r="G67" s="167" t="s">
        <v>277</v>
      </c>
    </row>
    <row r="68" spans="1:7" ht="14.4">
      <c r="A68" s="171" t="s">
        <v>257</v>
      </c>
      <c r="B68" s="92"/>
      <c r="C68" s="92"/>
      <c r="D68" s="178">
        <f>IFERROR(C68/B68,0)</f>
        <v>0</v>
      </c>
      <c r="E68" s="161"/>
      <c r="F68" s="161"/>
      <c r="G68" s="178">
        <f>IFERROR(F68/E68,0)</f>
        <v>0</v>
      </c>
    </row>
    <row r="69" spans="1:7" ht="14.4">
      <c r="A69" s="171" t="s">
        <v>292</v>
      </c>
      <c r="B69" s="92"/>
      <c r="C69" s="92"/>
      <c r="D69" s="178">
        <f>IFERROR(C69/B69,0)</f>
        <v>0</v>
      </c>
      <c r="E69" s="161"/>
      <c r="F69" s="161"/>
      <c r="G69" s="178">
        <f>IFERROR(F69/E69,0)</f>
        <v>0</v>
      </c>
    </row>
    <row r="70" spans="1:7" ht="14.4">
      <c r="A70" s="171" t="s">
        <v>293</v>
      </c>
      <c r="B70" s="92"/>
      <c r="C70" s="92"/>
      <c r="D70" s="178"/>
      <c r="E70" s="161"/>
      <c r="F70" s="161"/>
      <c r="G70" s="178"/>
    </row>
    <row r="71" spans="1:7" ht="14.4">
      <c r="A71" s="171" t="s">
        <v>294</v>
      </c>
      <c r="B71" s="92"/>
      <c r="C71" s="92"/>
      <c r="D71" s="178"/>
      <c r="E71" s="161"/>
      <c r="F71" s="161"/>
      <c r="G71" s="178"/>
    </row>
    <row r="72" spans="1:7" ht="14.4">
      <c r="A72" s="171" t="s">
        <v>295</v>
      </c>
      <c r="B72" s="92"/>
      <c r="C72" s="92"/>
      <c r="D72" s="178">
        <f>IFERROR(C72/B72,0)</f>
        <v>0</v>
      </c>
      <c r="E72" s="161"/>
      <c r="F72" s="161"/>
      <c r="G72" s="178">
        <f>IFERROR(F72/E72,0)</f>
        <v>0</v>
      </c>
    </row>
    <row r="73" spans="1:7" ht="14.4">
      <c r="A73" s="172" t="s">
        <v>266</v>
      </c>
      <c r="B73" s="138"/>
      <c r="C73" s="138"/>
      <c r="D73" s="178">
        <f>IFERROR(C73/B73,0)</f>
        <v>0</v>
      </c>
      <c r="E73" s="165"/>
      <c r="F73" s="165"/>
      <c r="G73" s="178">
        <f>IFERROR(F73/E73,0)</f>
        <v>0</v>
      </c>
    </row>
    <row r="74" spans="1:7" ht="14.4">
      <c r="A74" s="173" t="s">
        <v>269</v>
      </c>
      <c r="B74" s="179"/>
      <c r="C74" s="179"/>
      <c r="D74" s="181">
        <f>IFERROR(C74/B74,0)</f>
        <v>0</v>
      </c>
      <c r="E74" s="179">
        <f>SUM(E68:E73)</f>
        <v>0</v>
      </c>
      <c r="F74" s="179">
        <f>SUM(F68:F73)</f>
        <v>0</v>
      </c>
      <c r="G74" s="181">
        <f>IFERROR(F74/E74,0)</f>
        <v>0</v>
      </c>
    </row>
    <row r="75" spans="1:7" ht="14.4">
      <c r="A75" s="150" t="s">
        <v>296</v>
      </c>
      <c r="C75" s="151"/>
    </row>
    <row r="76" spans="1:7" ht="14.4">
      <c r="A76" s="496"/>
      <c r="B76" s="500" t="s">
        <v>255</v>
      </c>
      <c r="C76" s="501"/>
      <c r="D76" s="501"/>
      <c r="E76" s="500" t="s">
        <v>256</v>
      </c>
      <c r="F76" s="501"/>
      <c r="G76" s="501"/>
    </row>
    <row r="77" spans="1:7" s="149" customFormat="1" ht="14.4">
      <c r="A77" s="498"/>
      <c r="B77" s="167" t="s">
        <v>26</v>
      </c>
      <c r="C77" s="167" t="s">
        <v>273</v>
      </c>
      <c r="D77" s="167" t="s">
        <v>277</v>
      </c>
      <c r="E77" s="167" t="s">
        <v>26</v>
      </c>
      <c r="F77" s="167" t="s">
        <v>273</v>
      </c>
      <c r="G77" s="167" t="s">
        <v>277</v>
      </c>
    </row>
    <row r="78" spans="1:7" s="149" customFormat="1" ht="14.4">
      <c r="A78" s="171" t="s">
        <v>257</v>
      </c>
      <c r="B78" s="92"/>
      <c r="C78" s="92"/>
      <c r="D78" s="178">
        <f>IFERROR(C78/B78,0)</f>
        <v>0</v>
      </c>
      <c r="E78" s="161"/>
      <c r="F78" s="161"/>
      <c r="G78" s="178">
        <f>IFERROR(F78/E78,0)</f>
        <v>0</v>
      </c>
    </row>
    <row r="79" spans="1:7" s="149" customFormat="1" ht="14.4">
      <c r="A79" s="171" t="s">
        <v>292</v>
      </c>
      <c r="B79" s="92"/>
      <c r="C79" s="92"/>
      <c r="D79" s="178">
        <f>IFERROR(C79/B79,0)</f>
        <v>0</v>
      </c>
      <c r="E79" s="161"/>
      <c r="F79" s="161"/>
      <c r="G79" s="178">
        <f>IFERROR(F79/E79,0)</f>
        <v>0</v>
      </c>
    </row>
    <row r="80" spans="1:7" s="149" customFormat="1" ht="14.4">
      <c r="A80" s="171" t="s">
        <v>293</v>
      </c>
      <c r="B80" s="92"/>
      <c r="C80" s="92"/>
      <c r="D80" s="178"/>
      <c r="E80" s="161"/>
      <c r="F80" s="161"/>
      <c r="G80" s="178"/>
    </row>
    <row r="81" spans="1:7" s="149" customFormat="1" ht="14.4">
      <c r="A81" s="171" t="s">
        <v>294</v>
      </c>
      <c r="B81" s="92"/>
      <c r="C81" s="92"/>
      <c r="D81" s="178"/>
      <c r="E81" s="161"/>
      <c r="F81" s="161"/>
      <c r="G81" s="178"/>
    </row>
    <row r="82" spans="1:7" s="149" customFormat="1" ht="14.4">
      <c r="A82" s="171" t="s">
        <v>295</v>
      </c>
      <c r="B82" s="92"/>
      <c r="C82" s="92"/>
      <c r="D82" s="178">
        <f>IFERROR(C82/B82,0)</f>
        <v>0</v>
      </c>
      <c r="E82" s="161"/>
      <c r="F82" s="161"/>
      <c r="G82" s="178">
        <f>IFERROR(F82/E82,0)</f>
        <v>0</v>
      </c>
    </row>
    <row r="83" spans="1:7" s="149" customFormat="1" ht="14.4">
      <c r="A83" s="172" t="s">
        <v>266</v>
      </c>
      <c r="B83" s="138"/>
      <c r="C83" s="138"/>
      <c r="D83" s="178">
        <f>IFERROR(C83/B83,0)</f>
        <v>0</v>
      </c>
      <c r="E83" s="165"/>
      <c r="F83" s="165"/>
      <c r="G83" s="178">
        <f>IFERROR(F83/E83,0)</f>
        <v>0</v>
      </c>
    </row>
    <row r="84" spans="1:7" s="149" customFormat="1" ht="14.4">
      <c r="A84" s="173" t="s">
        <v>269</v>
      </c>
      <c r="B84" s="179"/>
      <c r="C84" s="179"/>
      <c r="D84" s="181">
        <f>IFERROR(C84/B84,0)</f>
        <v>0</v>
      </c>
      <c r="E84" s="179">
        <f>SUM(E78:E83)</f>
        <v>0</v>
      </c>
      <c r="F84" s="179">
        <f>SUM(F78:F83)</f>
        <v>0</v>
      </c>
      <c r="G84" s="181">
        <f>IFERROR(F84/E84,0)</f>
        <v>0</v>
      </c>
    </row>
    <row r="85" spans="1:7" s="149" customFormat="1" ht="14.4">
      <c r="A85" s="150" t="s">
        <v>297</v>
      </c>
      <c r="B85" s="151"/>
      <c r="C85" s="151"/>
      <c r="D85" s="151"/>
      <c r="E85" s="151"/>
      <c r="F85" s="151"/>
      <c r="G85" s="151"/>
    </row>
    <row r="86" spans="1:7" s="149" customFormat="1" ht="14.4">
      <c r="A86" s="496"/>
      <c r="B86" s="500" t="s">
        <v>255</v>
      </c>
      <c r="C86" s="501"/>
      <c r="D86" s="501"/>
      <c r="E86" s="500" t="s">
        <v>256</v>
      </c>
      <c r="F86" s="501"/>
      <c r="G86" s="501"/>
    </row>
    <row r="87" spans="1:7" s="149" customFormat="1" ht="14.4">
      <c r="A87" s="498"/>
      <c r="B87" s="167" t="s">
        <v>26</v>
      </c>
      <c r="C87" s="167" t="s">
        <v>273</v>
      </c>
      <c r="D87" s="167" t="s">
        <v>277</v>
      </c>
      <c r="E87" s="167" t="s">
        <v>26</v>
      </c>
      <c r="F87" s="167" t="s">
        <v>273</v>
      </c>
      <c r="G87" s="167" t="s">
        <v>277</v>
      </c>
    </row>
    <row r="88" spans="1:7" s="149" customFormat="1" ht="14.4">
      <c r="A88" s="171" t="s">
        <v>257</v>
      </c>
      <c r="B88" s="92"/>
      <c r="C88" s="92"/>
      <c r="D88" s="178">
        <f>IFERROR(C88/B88,0)</f>
        <v>0</v>
      </c>
      <c r="E88" s="161"/>
      <c r="F88" s="161"/>
      <c r="G88" s="178">
        <f>IFERROR(F88/E88,0)</f>
        <v>0</v>
      </c>
    </row>
    <row r="89" spans="1:7" s="149" customFormat="1" ht="14.4">
      <c r="A89" s="171" t="s">
        <v>292</v>
      </c>
      <c r="B89" s="92"/>
      <c r="C89" s="92"/>
      <c r="D89" s="178"/>
      <c r="E89" s="161"/>
      <c r="F89" s="161"/>
      <c r="G89" s="178"/>
    </row>
    <row r="90" spans="1:7" s="149" customFormat="1" ht="14.4">
      <c r="A90" s="171" t="s">
        <v>293</v>
      </c>
      <c r="B90" s="92"/>
      <c r="C90" s="92"/>
      <c r="D90" s="178">
        <f>IFERROR(C90/B90,0)</f>
        <v>0</v>
      </c>
      <c r="E90" s="161"/>
      <c r="F90" s="161"/>
      <c r="G90" s="178">
        <f>IFERROR(F90/E90,0)</f>
        <v>0</v>
      </c>
    </row>
    <row r="91" spans="1:7" s="149" customFormat="1" ht="14.4">
      <c r="A91" s="171" t="s">
        <v>294</v>
      </c>
      <c r="B91" s="92"/>
      <c r="C91" s="92"/>
      <c r="D91" s="178"/>
      <c r="E91" s="161"/>
      <c r="F91" s="161"/>
      <c r="G91" s="178"/>
    </row>
    <row r="92" spans="1:7" ht="14.4">
      <c r="A92" s="171" t="s">
        <v>295</v>
      </c>
      <c r="B92" s="92"/>
      <c r="C92" s="92"/>
      <c r="D92" s="178">
        <f>IFERROR(C92/B92,0)</f>
        <v>0</v>
      </c>
      <c r="E92" s="161"/>
      <c r="F92" s="161"/>
      <c r="G92" s="178">
        <f>IFERROR(F92/E92,0)</f>
        <v>0</v>
      </c>
    </row>
    <row r="93" spans="1:7" s="147" customFormat="1" ht="21.75" customHeight="1">
      <c r="A93" s="172" t="s">
        <v>266</v>
      </c>
      <c r="B93" s="138"/>
      <c r="C93" s="138"/>
      <c r="D93" s="178">
        <f>IFERROR(C93/B93,0)</f>
        <v>0</v>
      </c>
      <c r="E93" s="165"/>
      <c r="F93" s="165"/>
      <c r="G93" s="178">
        <f>IFERROR(F93/E93,0)</f>
        <v>0</v>
      </c>
    </row>
    <row r="94" spans="1:7" ht="21.75" customHeight="1">
      <c r="A94" s="173" t="s">
        <v>269</v>
      </c>
      <c r="B94" s="179"/>
      <c r="C94" s="179"/>
      <c r="D94" s="181">
        <f>IFERROR(C94/B94,0)</f>
        <v>0</v>
      </c>
      <c r="E94" s="179">
        <f>SUM(E88:E93)</f>
        <v>0</v>
      </c>
      <c r="F94" s="179">
        <f>SUM(F88:F93)</f>
        <v>0</v>
      </c>
      <c r="G94" s="181">
        <f>IFERROR(F94/E94,0)</f>
        <v>0</v>
      </c>
    </row>
    <row r="95" spans="1:7" ht="21.75" customHeight="1">
      <c r="A95" s="150" t="s">
        <v>298</v>
      </c>
      <c r="C95" s="151"/>
    </row>
    <row r="96" spans="1:7" ht="21.75" customHeight="1">
      <c r="A96" s="496"/>
      <c r="B96" s="500" t="s">
        <v>255</v>
      </c>
      <c r="C96" s="501"/>
      <c r="D96" s="501"/>
      <c r="E96" s="500" t="s">
        <v>256</v>
      </c>
      <c r="F96" s="501"/>
      <c r="G96" s="501"/>
    </row>
    <row r="97" spans="1:7" ht="21.75" customHeight="1">
      <c r="A97" s="498"/>
      <c r="B97" s="167" t="s">
        <v>26</v>
      </c>
      <c r="C97" s="167" t="s">
        <v>273</v>
      </c>
      <c r="D97" s="167" t="s">
        <v>277</v>
      </c>
      <c r="E97" s="167" t="s">
        <v>26</v>
      </c>
      <c r="F97" s="167" t="s">
        <v>273</v>
      </c>
      <c r="G97" s="167" t="s">
        <v>277</v>
      </c>
    </row>
    <row r="98" spans="1:7" ht="21.75" customHeight="1">
      <c r="A98" s="171" t="s">
        <v>257</v>
      </c>
      <c r="B98" s="92"/>
      <c r="C98" s="92"/>
      <c r="D98" s="178">
        <f>IFERROR(C98/B98,0)</f>
        <v>0</v>
      </c>
      <c r="E98" s="161"/>
      <c r="F98" s="161"/>
      <c r="G98" s="178">
        <f>IFERROR(F98/E98,0)</f>
        <v>0</v>
      </c>
    </row>
    <row r="99" spans="1:7" ht="21.75" customHeight="1">
      <c r="A99" s="171" t="s">
        <v>292</v>
      </c>
      <c r="B99" s="92"/>
      <c r="C99" s="92"/>
      <c r="D99" s="178">
        <f>IFERROR(C99/B99,0)</f>
        <v>0</v>
      </c>
      <c r="E99" s="161"/>
      <c r="F99" s="161"/>
      <c r="G99" s="178">
        <f>IFERROR(F99/E99,0)</f>
        <v>0</v>
      </c>
    </row>
    <row r="100" spans="1:7" ht="21.75" customHeight="1">
      <c r="A100" s="171" t="s">
        <v>293</v>
      </c>
      <c r="B100" s="92"/>
      <c r="C100" s="92"/>
      <c r="D100" s="178"/>
      <c r="E100" s="161"/>
      <c r="F100" s="161"/>
      <c r="G100" s="178"/>
    </row>
    <row r="101" spans="1:7" ht="21.75" customHeight="1">
      <c r="A101" s="171" t="s">
        <v>294</v>
      </c>
      <c r="B101" s="92"/>
      <c r="C101" s="92"/>
      <c r="D101" s="178"/>
      <c r="E101" s="161"/>
      <c r="F101" s="161"/>
      <c r="G101" s="178"/>
    </row>
    <row r="102" spans="1:7" ht="14.4">
      <c r="A102" s="171" t="s">
        <v>295</v>
      </c>
      <c r="B102" s="92"/>
      <c r="C102" s="92"/>
      <c r="D102" s="178">
        <f>IFERROR(C102/B102,0)</f>
        <v>0</v>
      </c>
      <c r="E102" s="161"/>
      <c r="F102" s="161"/>
      <c r="G102" s="178">
        <f>IFERROR(F102/E102,0)</f>
        <v>0</v>
      </c>
    </row>
    <row r="103" spans="1:7" ht="21.75" customHeight="1">
      <c r="A103" s="172" t="s">
        <v>266</v>
      </c>
      <c r="B103" s="138"/>
      <c r="C103" s="138"/>
      <c r="D103" s="178">
        <f>IFERROR(C103/B103,0)</f>
        <v>0</v>
      </c>
      <c r="E103" s="165"/>
      <c r="F103" s="165"/>
      <c r="G103" s="178">
        <f>IFERROR(F103/E103,0)</f>
        <v>0</v>
      </c>
    </row>
    <row r="104" spans="1:7" ht="21.75" customHeight="1">
      <c r="A104" s="173" t="s">
        <v>269</v>
      </c>
      <c r="B104" s="179"/>
      <c r="C104" s="179"/>
      <c r="D104" s="181">
        <f>IFERROR(C104/B104,0)</f>
        <v>0</v>
      </c>
      <c r="E104" s="179">
        <f>SUM(E98:E103)</f>
        <v>0</v>
      </c>
      <c r="F104" s="179">
        <f>SUM(F98:F103)</f>
        <v>0</v>
      </c>
      <c r="G104" s="181">
        <f>IFERROR(F104/E104,0)</f>
        <v>0</v>
      </c>
    </row>
    <row r="105" spans="1:7" ht="21.75" customHeight="1">
      <c r="A105" s="150" t="s">
        <v>299</v>
      </c>
      <c r="C105" s="151"/>
    </row>
    <row r="106" spans="1:7" s="146" customFormat="1" ht="24" customHeight="1">
      <c r="A106" s="496"/>
      <c r="B106" s="500" t="s">
        <v>255</v>
      </c>
      <c r="C106" s="501"/>
      <c r="D106" s="501"/>
      <c r="E106" s="500" t="s">
        <v>256</v>
      </c>
      <c r="F106" s="501"/>
      <c r="G106" s="501"/>
    </row>
    <row r="107" spans="1:7" ht="14.4">
      <c r="A107" s="498"/>
      <c r="B107" s="167" t="s">
        <v>26</v>
      </c>
      <c r="C107" s="167" t="s">
        <v>273</v>
      </c>
      <c r="D107" s="167" t="s">
        <v>277</v>
      </c>
      <c r="E107" s="167" t="s">
        <v>26</v>
      </c>
      <c r="F107" s="167" t="s">
        <v>273</v>
      </c>
      <c r="G107" s="167" t="s">
        <v>277</v>
      </c>
    </row>
    <row r="108" spans="1:7" ht="14.4">
      <c r="A108" s="171" t="s">
        <v>257</v>
      </c>
      <c r="B108" s="92"/>
      <c r="C108" s="92"/>
      <c r="D108" s="178">
        <f>IFERROR(C108/B108,0)</f>
        <v>0</v>
      </c>
      <c r="E108" s="161"/>
      <c r="F108" s="161"/>
      <c r="G108" s="178">
        <f>IFERROR(F108/E108,0)</f>
        <v>0</v>
      </c>
    </row>
    <row r="109" spans="1:7" ht="14.4">
      <c r="A109" s="171" t="s">
        <v>292</v>
      </c>
      <c r="B109" s="92"/>
      <c r="C109" s="92"/>
      <c r="D109" s="178">
        <f>IFERROR(C109/B109,0)</f>
        <v>0</v>
      </c>
      <c r="E109" s="161"/>
      <c r="F109" s="161"/>
      <c r="G109" s="178">
        <f>IFERROR(F109/E109,0)</f>
        <v>0</v>
      </c>
    </row>
    <row r="110" spans="1:7" ht="14.4">
      <c r="A110" s="171" t="s">
        <v>293</v>
      </c>
      <c r="B110" s="92"/>
      <c r="C110" s="92"/>
      <c r="D110" s="178"/>
      <c r="E110" s="161"/>
      <c r="F110" s="161"/>
      <c r="G110" s="178"/>
    </row>
    <row r="111" spans="1:7" ht="14.4">
      <c r="A111" s="171" t="s">
        <v>294</v>
      </c>
      <c r="B111" s="92"/>
      <c r="C111" s="92"/>
      <c r="D111" s="178"/>
      <c r="E111" s="161"/>
      <c r="F111" s="161"/>
      <c r="G111" s="178"/>
    </row>
    <row r="112" spans="1:7" ht="14.4">
      <c r="A112" s="171" t="s">
        <v>295</v>
      </c>
      <c r="B112" s="92"/>
      <c r="C112" s="92"/>
      <c r="D112" s="178">
        <f>IFERROR(C112/B112,0)</f>
        <v>0</v>
      </c>
      <c r="E112" s="161"/>
      <c r="F112" s="161"/>
      <c r="G112" s="178">
        <f>IFERROR(F112/E112,0)</f>
        <v>0</v>
      </c>
    </row>
    <row r="113" spans="1:7" ht="14.4">
      <c r="A113" s="172" t="s">
        <v>266</v>
      </c>
      <c r="B113" s="138"/>
      <c r="C113" s="138"/>
      <c r="D113" s="178">
        <f>IFERROR(C113/B113,0)</f>
        <v>0</v>
      </c>
      <c r="E113" s="165"/>
      <c r="F113" s="165"/>
      <c r="G113" s="178">
        <f>IFERROR(F113/E113,0)</f>
        <v>0</v>
      </c>
    </row>
    <row r="114" spans="1:7" ht="14.4">
      <c r="A114" s="173" t="s">
        <v>269</v>
      </c>
      <c r="B114" s="179"/>
      <c r="C114" s="179"/>
      <c r="D114" s="181">
        <f>IFERROR(C114/B114,0)</f>
        <v>0</v>
      </c>
      <c r="E114" s="179">
        <f>SUM(E108:E113)</f>
        <v>0</v>
      </c>
      <c r="F114" s="179">
        <f>SUM(F108:F113)</f>
        <v>0</v>
      </c>
      <c r="G114" s="181">
        <f>IFERROR(F114/E114,0)</f>
        <v>0</v>
      </c>
    </row>
    <row r="115" spans="1:7" ht="14.4">
      <c r="A115" s="150" t="s">
        <v>300</v>
      </c>
      <c r="C115" s="151"/>
    </row>
    <row r="116" spans="1:7" ht="14.4">
      <c r="A116" s="158"/>
      <c r="B116" s="186" t="s">
        <v>171</v>
      </c>
      <c r="C116" s="151"/>
    </row>
    <row r="117" spans="1:7" ht="14.4">
      <c r="A117" s="160" t="s">
        <v>256</v>
      </c>
      <c r="B117" s="170">
        <f>C19</f>
        <v>0</v>
      </c>
      <c r="C117" s="151"/>
    </row>
    <row r="118" spans="1:7" ht="14.4">
      <c r="A118" s="160" t="s">
        <v>172</v>
      </c>
      <c r="B118" s="187"/>
      <c r="C118" s="151"/>
    </row>
    <row r="119" spans="1:7" ht="14.4">
      <c r="A119" s="160" t="s">
        <v>173</v>
      </c>
      <c r="B119" s="161"/>
      <c r="C119" s="151"/>
    </row>
    <row r="120" spans="1:7" ht="14.4">
      <c r="A120" s="160" t="s">
        <v>174</v>
      </c>
      <c r="B120" s="161"/>
      <c r="C120" s="151"/>
    </row>
    <row r="121" spans="1:7" ht="14.4">
      <c r="A121" s="171" t="s">
        <v>301</v>
      </c>
      <c r="B121" s="187"/>
      <c r="C121" s="151"/>
    </row>
    <row r="122" spans="1:7" ht="14.4">
      <c r="A122" s="171" t="s">
        <v>302</v>
      </c>
      <c r="B122" s="161"/>
      <c r="C122" s="151"/>
    </row>
    <row r="123" spans="1:7" ht="32.25" customHeight="1">
      <c r="A123" s="166" t="s">
        <v>255</v>
      </c>
      <c r="B123" s="174">
        <f>B117+B118-B119-B120-B121-B122</f>
        <v>0</v>
      </c>
      <c r="C123" s="151"/>
    </row>
    <row r="124" spans="1:7" ht="14.4">
      <c r="A124" s="150" t="s">
        <v>303</v>
      </c>
      <c r="C124" s="151"/>
    </row>
    <row r="125" spans="1:7" ht="31.5" customHeight="1">
      <c r="A125" s="188" t="s">
        <v>304</v>
      </c>
      <c r="B125" s="189" t="s">
        <v>305</v>
      </c>
      <c r="C125" s="189" t="s">
        <v>306</v>
      </c>
      <c r="D125" s="189" t="s">
        <v>307</v>
      </c>
      <c r="E125" s="190" t="s">
        <v>308</v>
      </c>
    </row>
    <row r="126" spans="1:7" ht="14.4">
      <c r="A126" s="191"/>
      <c r="B126" s="192"/>
      <c r="C126" s="192"/>
      <c r="D126" s="192"/>
      <c r="E126" s="193"/>
    </row>
    <row r="127" spans="1:7" ht="14.4">
      <c r="A127" s="194"/>
      <c r="B127" s="195"/>
      <c r="C127" s="195"/>
      <c r="D127" s="195"/>
      <c r="E127" s="161"/>
    </row>
    <row r="128" spans="1:7" ht="14.4">
      <c r="A128" s="196"/>
      <c r="B128" s="197"/>
      <c r="C128" s="197"/>
      <c r="D128" s="197"/>
      <c r="E128" s="165"/>
    </row>
    <row r="129" spans="1:7" ht="14.4">
      <c r="A129" s="166" t="s">
        <v>269</v>
      </c>
      <c r="B129" s="198"/>
      <c r="C129" s="198"/>
      <c r="D129" s="198"/>
      <c r="E129" s="167"/>
    </row>
    <row r="130" spans="1:7" ht="14.4">
      <c r="A130" s="199" t="s">
        <v>309</v>
      </c>
      <c r="C130" s="151"/>
    </row>
    <row r="131" spans="1:7" s="146" customFormat="1" ht="38.25" customHeight="1">
      <c r="A131" s="200" t="s">
        <v>310</v>
      </c>
      <c r="B131" s="151"/>
      <c r="C131" s="151"/>
      <c r="D131" s="151"/>
      <c r="E131" s="151"/>
      <c r="F131" s="151"/>
      <c r="G131" s="151"/>
    </row>
    <row r="132" spans="1:7" ht="14.4">
      <c r="A132" s="201" t="s">
        <v>311</v>
      </c>
      <c r="C132" s="151"/>
    </row>
    <row r="133" spans="1:7" ht="14.4">
      <c r="A133" s="201" t="s">
        <v>312</v>
      </c>
      <c r="C133" s="151"/>
    </row>
    <row r="134" spans="1:7" ht="14.4">
      <c r="A134" s="201" t="s">
        <v>313</v>
      </c>
      <c r="C134" s="151"/>
    </row>
    <row r="135" spans="1:7" ht="14.4">
      <c r="A135" s="201" t="s">
        <v>314</v>
      </c>
      <c r="C135" s="151"/>
    </row>
    <row r="136" spans="1:7" ht="14.4">
      <c r="A136" s="150" t="s">
        <v>315</v>
      </c>
      <c r="C136" s="151"/>
    </row>
    <row r="137" spans="1:7" ht="14.4">
      <c r="A137" s="158" t="s">
        <v>316</v>
      </c>
      <c r="B137" s="159" t="s">
        <v>317</v>
      </c>
      <c r="C137" s="151"/>
    </row>
    <row r="138" spans="1:7" ht="14.4">
      <c r="A138" s="164" t="s">
        <v>318</v>
      </c>
      <c r="B138" s="202">
        <f>B120</f>
        <v>0</v>
      </c>
      <c r="C138" s="151"/>
    </row>
    <row r="139" spans="1:7" ht="14.4">
      <c r="A139" s="150" t="s">
        <v>319</v>
      </c>
      <c r="C139" s="151"/>
    </row>
    <row r="140" spans="1:7" ht="40.5" customHeight="1">
      <c r="A140" s="188" t="s">
        <v>304</v>
      </c>
      <c r="B140" s="189" t="s">
        <v>320</v>
      </c>
      <c r="C140" s="190" t="s">
        <v>317</v>
      </c>
      <c r="D140" s="190" t="s">
        <v>321</v>
      </c>
      <c r="E140" s="190" t="s">
        <v>322</v>
      </c>
      <c r="F140" s="190" t="s">
        <v>323</v>
      </c>
    </row>
    <row r="141" spans="1:7" ht="14.4">
      <c r="A141" s="203"/>
      <c r="B141" s="204"/>
      <c r="C141" s="205"/>
      <c r="D141" s="205"/>
      <c r="E141" s="205"/>
      <c r="F141" s="205"/>
    </row>
    <row r="142" spans="1:7" s="146" customFormat="1" ht="14.4">
      <c r="A142" s="182"/>
      <c r="B142" s="206"/>
      <c r="C142" s="170"/>
      <c r="D142" s="170"/>
      <c r="E142" s="170"/>
      <c r="F142" s="170"/>
      <c r="G142" s="151"/>
    </row>
    <row r="143" spans="1:7" ht="14.4">
      <c r="A143" s="207"/>
      <c r="B143" s="208"/>
      <c r="C143" s="202"/>
      <c r="D143" s="202"/>
      <c r="E143" s="202"/>
      <c r="F143" s="202"/>
    </row>
    <row r="144" spans="1:7" ht="14.4">
      <c r="A144" s="166" t="s">
        <v>269</v>
      </c>
      <c r="B144" s="198"/>
      <c r="C144" s="179">
        <f>SUM(C141:C143)</f>
        <v>0</v>
      </c>
      <c r="D144" s="167"/>
      <c r="E144" s="167"/>
      <c r="F144" s="167"/>
    </row>
    <row r="145" spans="1:9" ht="14.4">
      <c r="A145" s="199" t="s">
        <v>324</v>
      </c>
      <c r="C145" s="151"/>
    </row>
    <row r="146" spans="1:9" ht="14.4">
      <c r="A146" s="200" t="s">
        <v>325</v>
      </c>
      <c r="C146" s="151"/>
    </row>
    <row r="147" spans="1:9" ht="14.4">
      <c r="A147" s="150" t="s">
        <v>326</v>
      </c>
      <c r="C147" s="151"/>
    </row>
    <row r="148" spans="1:9" ht="34.049999999999997" customHeight="1">
      <c r="A148" s="494" t="s">
        <v>327</v>
      </c>
      <c r="B148" s="494"/>
      <c r="C148" s="494"/>
      <c r="D148" s="494"/>
      <c r="E148" s="494"/>
      <c r="F148" s="494"/>
      <c r="G148" s="494"/>
      <c r="H148" s="494"/>
      <c r="I148" s="494"/>
    </row>
    <row r="149" spans="1:9" ht="14.4">
      <c r="A149" s="199" t="s">
        <v>328</v>
      </c>
      <c r="C149" s="151"/>
    </row>
    <row r="150" spans="1:9" ht="14.4">
      <c r="A150" s="199" t="s">
        <v>329</v>
      </c>
      <c r="C150" s="151"/>
    </row>
    <row r="151" spans="1:9" ht="14.4">
      <c r="C151" s="151"/>
    </row>
    <row r="152" spans="1:9" ht="14.4">
      <c r="A152" s="199" t="s">
        <v>330</v>
      </c>
      <c r="C152" s="151"/>
    </row>
    <row r="153" spans="1:9" ht="47.25" customHeight="1">
      <c r="A153" s="188" t="s">
        <v>304</v>
      </c>
      <c r="B153" s="190" t="s">
        <v>331</v>
      </c>
      <c r="C153" s="190" t="s">
        <v>332</v>
      </c>
      <c r="D153" s="188" t="s">
        <v>333</v>
      </c>
      <c r="E153" s="190" t="s">
        <v>334</v>
      </c>
      <c r="F153" s="188" t="s">
        <v>335</v>
      </c>
    </row>
    <row r="154" spans="1:9" ht="14.4">
      <c r="A154" s="209"/>
      <c r="B154" s="210"/>
      <c r="C154" s="127"/>
      <c r="D154" s="127"/>
      <c r="E154" s="211"/>
      <c r="F154" s="127"/>
    </row>
    <row r="155" spans="1:9" ht="14.4">
      <c r="A155" s="170"/>
      <c r="B155" s="92"/>
      <c r="C155" s="101"/>
      <c r="D155" s="101"/>
      <c r="E155" s="212"/>
      <c r="F155" s="101"/>
    </row>
    <row r="156" spans="1:9" ht="14.4">
      <c r="A156" s="170"/>
      <c r="B156" s="92"/>
      <c r="C156" s="101"/>
      <c r="D156" s="101"/>
      <c r="E156" s="212"/>
      <c r="F156" s="101"/>
    </row>
    <row r="157" spans="1:9" ht="14.4">
      <c r="A157" s="170"/>
      <c r="B157" s="92"/>
      <c r="C157" s="101"/>
      <c r="D157" s="101"/>
      <c r="E157" s="212"/>
      <c r="F157" s="101"/>
    </row>
    <row r="158" spans="1:9" ht="14.4">
      <c r="A158" s="202"/>
      <c r="B158" s="138"/>
      <c r="C158" s="104"/>
      <c r="D158" s="104"/>
      <c r="E158" s="213"/>
      <c r="F158" s="104"/>
    </row>
    <row r="159" spans="1:9" ht="14.4">
      <c r="A159" s="166" t="s">
        <v>269</v>
      </c>
      <c r="B159" s="179">
        <f>SUM(B154:B158)</f>
        <v>0</v>
      </c>
      <c r="C159" s="179"/>
      <c r="D159" s="179"/>
      <c r="E159" s="213"/>
      <c r="F159" s="104" t="e">
        <f>#REF!</f>
        <v>#REF!</v>
      </c>
    </row>
    <row r="160" spans="1:9" ht="14.4">
      <c r="A160" s="150" t="s">
        <v>336</v>
      </c>
      <c r="C160" s="151"/>
    </row>
    <row r="161" spans="1:9" ht="33" customHeight="1">
      <c r="A161" s="494" t="s">
        <v>337</v>
      </c>
      <c r="B161" s="494"/>
      <c r="C161" s="494"/>
      <c r="D161" s="494"/>
      <c r="E161" s="494"/>
      <c r="F161" s="494"/>
      <c r="G161" s="494"/>
      <c r="H161" s="494"/>
      <c r="I161" s="494"/>
    </row>
    <row r="162" spans="1:9" ht="42.75" customHeight="1">
      <c r="A162" s="158" t="s">
        <v>316</v>
      </c>
      <c r="B162" s="214" t="s">
        <v>338</v>
      </c>
      <c r="C162" s="159" t="s">
        <v>339</v>
      </c>
      <c r="D162" s="159" t="s">
        <v>340</v>
      </c>
    </row>
    <row r="163" spans="1:9" ht="14.4">
      <c r="A163" s="160"/>
      <c r="B163" s="195"/>
      <c r="C163" s="161"/>
      <c r="D163" s="161"/>
    </row>
    <row r="164" spans="1:9" ht="14.4">
      <c r="A164" s="160"/>
      <c r="B164" s="195"/>
      <c r="C164" s="161"/>
      <c r="D164" s="161"/>
    </row>
    <row r="165" spans="1:9" ht="14.4">
      <c r="A165" s="164"/>
      <c r="B165" s="197"/>
      <c r="C165" s="165"/>
      <c r="D165" s="165"/>
    </row>
    <row r="166" spans="1:9" ht="14.4">
      <c r="A166" s="166" t="s">
        <v>269</v>
      </c>
      <c r="B166" s="198"/>
      <c r="C166" s="179">
        <f>SUM(C163:C165)</f>
        <v>0</v>
      </c>
      <c r="D166" s="179">
        <f>SUM(D163:D165)</f>
        <v>0</v>
      </c>
    </row>
    <row r="167" spans="1:9" ht="14.4">
      <c r="A167" s="150" t="s">
        <v>325</v>
      </c>
      <c r="C167" s="151"/>
    </row>
    <row r="168" spans="1:9" ht="14.4">
      <c r="A168" s="201" t="s">
        <v>341</v>
      </c>
      <c r="C168" s="151"/>
    </row>
    <row r="169" spans="1:9" ht="14.4">
      <c r="A169" s="201" t="s">
        <v>342</v>
      </c>
      <c r="C169" s="151"/>
    </row>
    <row r="170" spans="1:9" ht="14.4">
      <c r="A170" s="201" t="s">
        <v>343</v>
      </c>
      <c r="C170" s="151"/>
    </row>
    <row r="171" spans="1:9" ht="49.95" customHeight="1">
      <c r="A171" s="495" t="s">
        <v>344</v>
      </c>
      <c r="B171" s="495"/>
      <c r="C171" s="495"/>
      <c r="D171" s="495"/>
      <c r="E171" s="495"/>
      <c r="F171" s="495"/>
      <c r="G171" s="495"/>
      <c r="H171" s="495"/>
      <c r="I171" s="495"/>
    </row>
    <row r="172" spans="1:9" ht="14.4">
      <c r="A172" s="150" t="s">
        <v>345</v>
      </c>
      <c r="C172" s="151"/>
    </row>
    <row r="173" spans="1:9" ht="14.4">
      <c r="A173" s="199" t="s">
        <v>346</v>
      </c>
      <c r="C173" s="151"/>
    </row>
    <row r="174" spans="1:9" ht="28.8">
      <c r="A174" s="158" t="s">
        <v>316</v>
      </c>
      <c r="B174" s="158" t="s">
        <v>347</v>
      </c>
      <c r="C174" s="158" t="s">
        <v>348</v>
      </c>
      <c r="D174" s="159" t="s">
        <v>349</v>
      </c>
    </row>
    <row r="175" spans="1:9" ht="14.4">
      <c r="B175" s="160"/>
      <c r="C175" s="160"/>
      <c r="D175" s="161"/>
    </row>
    <row r="176" spans="1:9" ht="14.4">
      <c r="A176" s="160"/>
      <c r="B176" s="160"/>
      <c r="C176" s="160"/>
      <c r="D176" s="161"/>
    </row>
    <row r="177" spans="1:4" ht="14.4">
      <c r="A177" s="160"/>
      <c r="B177" s="160"/>
      <c r="C177" s="160"/>
      <c r="D177" s="169"/>
    </row>
    <row r="178" spans="1:4" ht="14.4">
      <c r="A178" s="160"/>
      <c r="B178" s="160"/>
      <c r="C178" s="160"/>
      <c r="D178" s="169"/>
    </row>
    <row r="179" spans="1:4" ht="14.4">
      <c r="A179" s="194"/>
      <c r="B179" s="194"/>
      <c r="C179" s="194"/>
      <c r="D179" s="169"/>
    </row>
    <row r="180" spans="1:4" ht="14.4">
      <c r="A180" s="164"/>
      <c r="B180" s="164"/>
      <c r="C180" s="164"/>
      <c r="D180" s="215"/>
    </row>
    <row r="181" spans="1:4" ht="14.4">
      <c r="A181" s="150" t="s">
        <v>350</v>
      </c>
      <c r="C181" s="151"/>
    </row>
  </sheetData>
  <mergeCells count="34">
    <mergeCell ref="A1:I1"/>
    <mergeCell ref="A2:I2"/>
    <mergeCell ref="B22:F22"/>
    <mergeCell ref="B23:C23"/>
    <mergeCell ref="D23:E23"/>
    <mergeCell ref="B38:F38"/>
    <mergeCell ref="B39:C39"/>
    <mergeCell ref="D39:E39"/>
    <mergeCell ref="B51:E51"/>
    <mergeCell ref="B58:E58"/>
    <mergeCell ref="E106:G106"/>
    <mergeCell ref="A148:I148"/>
    <mergeCell ref="B66:D66"/>
    <mergeCell ref="E66:G66"/>
    <mergeCell ref="B76:D76"/>
    <mergeCell ref="E76:G76"/>
    <mergeCell ref="B86:D86"/>
    <mergeCell ref="E86:G86"/>
    <mergeCell ref="A161:I161"/>
    <mergeCell ref="A171:I171"/>
    <mergeCell ref="A22:A24"/>
    <mergeCell ref="A38:A40"/>
    <mergeCell ref="A51:A52"/>
    <mergeCell ref="A58:A59"/>
    <mergeCell ref="A66:A67"/>
    <mergeCell ref="A76:A77"/>
    <mergeCell ref="A86:A87"/>
    <mergeCell ref="A96:A97"/>
    <mergeCell ref="A106:A107"/>
    <mergeCell ref="F23:F24"/>
    <mergeCell ref="F39:F40"/>
    <mergeCell ref="B96:D96"/>
    <mergeCell ref="E96:G96"/>
    <mergeCell ref="B106:D106"/>
  </mergeCells>
  <phoneticPr fontId="168" type="noConversion"/>
  <pageMargins left="0.70833333333333304" right="0.70833333333333304" top="0.74791666666666701" bottom="0.74791666666666701" header="0.31458333333333299" footer="0.31458333333333299"/>
  <pageSetup paperSize="9" scale="74"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38"/>
  <sheetViews>
    <sheetView view="pageBreakPreview" zoomScale="80" zoomScaleNormal="80" workbookViewId="0">
      <selection sqref="A1:I1"/>
    </sheetView>
  </sheetViews>
  <sheetFormatPr defaultColWidth="10.09765625" defaultRowHeight="20.25" customHeight="1"/>
  <cols>
    <col min="1" max="1" width="21.69921875" style="83" customWidth="1"/>
    <col min="2" max="2" width="18.5" style="83" customWidth="1"/>
    <col min="3" max="3" width="17.19921875" style="84" customWidth="1"/>
    <col min="4" max="4" width="20.5" style="83" customWidth="1"/>
    <col min="5" max="5" width="20.69921875" style="83" customWidth="1"/>
    <col min="6" max="18" width="12.69921875" style="83" customWidth="1"/>
    <col min="19" max="22" width="13.09765625" style="83" customWidth="1"/>
    <col min="23" max="25" width="13.69921875" style="83" customWidth="1"/>
    <col min="26" max="26" width="10.09765625" style="83" customWidth="1"/>
    <col min="27" max="16384" width="10.09765625" style="83"/>
  </cols>
  <sheetData>
    <row r="1" spans="1:10" ht="20.25" customHeight="1">
      <c r="A1" s="519" t="s">
        <v>22</v>
      </c>
      <c r="B1" s="519"/>
      <c r="C1" s="519"/>
      <c r="D1" s="519"/>
      <c r="E1" s="519"/>
      <c r="F1" s="519"/>
      <c r="G1" s="519"/>
      <c r="H1" s="519"/>
      <c r="I1" s="519"/>
    </row>
    <row r="2" spans="1:10" ht="20.25" customHeight="1">
      <c r="A2" s="519" t="s">
        <v>215</v>
      </c>
      <c r="B2" s="519"/>
      <c r="C2" s="519"/>
      <c r="D2" s="519"/>
      <c r="E2" s="519"/>
      <c r="F2" s="519"/>
      <c r="G2" s="519"/>
      <c r="H2" s="519"/>
      <c r="I2" s="519"/>
    </row>
    <row r="3" spans="1:10" ht="20.25" customHeight="1">
      <c r="A3" s="85" t="str">
        <f>底稿目录!A2</f>
        <v>被审计单位名称：</v>
      </c>
      <c r="B3" s="85"/>
      <c r="C3" s="85" t="str">
        <f>底稿目录!A4</f>
        <v>编制人：</v>
      </c>
      <c r="D3" s="85"/>
      <c r="E3" s="85" t="str">
        <f>底稿目录!A5</f>
        <v>编制日期：</v>
      </c>
      <c r="F3" s="85"/>
      <c r="G3" s="85"/>
      <c r="H3" s="85"/>
      <c r="J3" s="117" t="s">
        <v>23</v>
      </c>
    </row>
    <row r="4" spans="1:10" ht="20.25" customHeight="1">
      <c r="A4" s="85" t="str">
        <f>底稿目录!A3</f>
        <v>截止日：202X年12月31日</v>
      </c>
      <c r="B4" s="85"/>
      <c r="C4" s="85" t="str">
        <f>底稿目录!A6</f>
        <v>复核人：</v>
      </c>
      <c r="D4" s="85"/>
      <c r="E4" s="85" t="str">
        <f>底稿目录!A7</f>
        <v>复核日期：</v>
      </c>
      <c r="F4" s="85"/>
      <c r="G4" s="85"/>
      <c r="H4" s="85"/>
      <c r="J4" s="117" t="s">
        <v>351</v>
      </c>
    </row>
    <row r="5" spans="1:10" s="82" customFormat="1" ht="28.5" customHeight="1">
      <c r="A5" s="82" t="s">
        <v>252</v>
      </c>
      <c r="E5" s="86"/>
      <c r="F5" s="87"/>
    </row>
    <row r="6" spans="1:10" ht="14.4">
      <c r="A6" s="88" t="s">
        <v>352</v>
      </c>
      <c r="B6" s="89" t="s">
        <v>93</v>
      </c>
      <c r="C6" s="89" t="s">
        <v>92</v>
      </c>
    </row>
    <row r="7" spans="1:10" ht="14.4">
      <c r="A7" s="90" t="s">
        <v>353</v>
      </c>
      <c r="B7" s="91">
        <f>'明细表D2-2'!AC26</f>
        <v>0</v>
      </c>
      <c r="C7" s="92">
        <f>'明细表D2-2'!I26</f>
        <v>0</v>
      </c>
    </row>
    <row r="8" spans="1:10" ht="14.4">
      <c r="A8" s="90" t="s">
        <v>262</v>
      </c>
      <c r="B8" s="91">
        <f>'明细表D2-2'!AD26</f>
        <v>0</v>
      </c>
      <c r="C8" s="92">
        <f>'明细表D2-2'!J26</f>
        <v>0</v>
      </c>
    </row>
    <row r="9" spans="1:10" ht="14.4">
      <c r="A9" s="90" t="s">
        <v>263</v>
      </c>
      <c r="B9" s="91">
        <f>'明细表D2-2'!AE26</f>
        <v>0</v>
      </c>
      <c r="C9" s="92">
        <f>'明细表D2-2'!K26</f>
        <v>0</v>
      </c>
    </row>
    <row r="10" spans="1:10" ht="14.4">
      <c r="A10" s="90" t="s">
        <v>264</v>
      </c>
      <c r="B10" s="91">
        <f>'明细表D2-2'!AF26</f>
        <v>0</v>
      </c>
      <c r="C10" s="92">
        <f>'明细表D2-2'!L26</f>
        <v>0</v>
      </c>
    </row>
    <row r="11" spans="1:10" ht="14.4">
      <c r="A11" s="90" t="s">
        <v>265</v>
      </c>
      <c r="B11" s="91">
        <f>'明细表D2-2'!AG26</f>
        <v>0</v>
      </c>
      <c r="C11" s="92">
        <f>'明细表D2-2'!M26</f>
        <v>0</v>
      </c>
    </row>
    <row r="12" spans="1:10" ht="14.4">
      <c r="A12" s="90" t="s">
        <v>266</v>
      </c>
      <c r="B12" s="91">
        <f>'明细表D2-2'!AH26</f>
        <v>0</v>
      </c>
      <c r="C12" s="92">
        <f>'明细表D2-2'!N26</f>
        <v>0</v>
      </c>
    </row>
    <row r="13" spans="1:10" ht="14.4">
      <c r="A13" s="93" t="s">
        <v>267</v>
      </c>
      <c r="B13" s="94">
        <f>SUM(B7:B12)</f>
        <v>0</v>
      </c>
      <c r="C13" s="94">
        <f>SUM(C7:C12)</f>
        <v>0</v>
      </c>
    </row>
    <row r="14" spans="1:10" ht="14.4">
      <c r="A14" s="95" t="s">
        <v>268</v>
      </c>
      <c r="B14" s="96"/>
      <c r="C14" s="97"/>
    </row>
    <row r="15" spans="1:10" ht="14.4">
      <c r="A15" s="98" t="s">
        <v>269</v>
      </c>
      <c r="B15" s="99">
        <f>C13-B14</f>
        <v>0</v>
      </c>
      <c r="C15" s="99">
        <f>C13-C14</f>
        <v>0</v>
      </c>
    </row>
    <row r="16" spans="1:10" ht="14.4">
      <c r="A16" s="83" t="s">
        <v>354</v>
      </c>
      <c r="C16" s="83"/>
    </row>
    <row r="17" spans="1:11" ht="14.4">
      <c r="A17" s="510" t="s">
        <v>355</v>
      </c>
      <c r="B17" s="507" t="s">
        <v>93</v>
      </c>
      <c r="C17" s="501"/>
      <c r="D17" s="501"/>
      <c r="E17" s="501"/>
      <c r="F17" s="501"/>
      <c r="G17" s="507" t="s">
        <v>92</v>
      </c>
      <c r="H17" s="501"/>
      <c r="I17" s="501"/>
      <c r="J17" s="501"/>
      <c r="K17" s="501"/>
    </row>
    <row r="18" spans="1:11" ht="14.4">
      <c r="A18" s="511"/>
      <c r="B18" s="515" t="s">
        <v>272</v>
      </c>
      <c r="C18" s="518"/>
      <c r="D18" s="515" t="s">
        <v>273</v>
      </c>
      <c r="E18" s="511"/>
      <c r="F18" s="94" t="s">
        <v>356</v>
      </c>
      <c r="G18" s="515" t="s">
        <v>272</v>
      </c>
      <c r="H18" s="511"/>
      <c r="I18" s="515" t="s">
        <v>273</v>
      </c>
      <c r="J18" s="511"/>
      <c r="K18" s="94" t="s">
        <v>356</v>
      </c>
    </row>
    <row r="19" spans="1:11" ht="28.8">
      <c r="A19" s="498"/>
      <c r="B19" s="100" t="s">
        <v>275</v>
      </c>
      <c r="C19" s="100" t="s">
        <v>276</v>
      </c>
      <c r="D19" s="100" t="s">
        <v>275</v>
      </c>
      <c r="E19" s="100" t="s">
        <v>277</v>
      </c>
      <c r="F19" s="100" t="s">
        <v>357</v>
      </c>
      <c r="G19" s="100" t="s">
        <v>275</v>
      </c>
      <c r="H19" s="100" t="s">
        <v>276</v>
      </c>
      <c r="I19" s="100" t="s">
        <v>275</v>
      </c>
      <c r="J19" s="100" t="s">
        <v>277</v>
      </c>
      <c r="K19" s="100" t="s">
        <v>357</v>
      </c>
    </row>
    <row r="20" spans="1:11" ht="14.4">
      <c r="A20" s="90" t="s">
        <v>278</v>
      </c>
      <c r="B20" s="92"/>
      <c r="C20" s="101">
        <f>IFERROR(B20/$B$28*100,0)</f>
        <v>0</v>
      </c>
      <c r="D20" s="92"/>
      <c r="E20" s="101">
        <f>IFERROR(D20/B20*100,0)</f>
        <v>0</v>
      </c>
      <c r="F20" s="101">
        <f>B20-D20</f>
        <v>0</v>
      </c>
      <c r="G20" s="101"/>
      <c r="H20" s="101">
        <f>IFERROR(G20/$G$28*100,0)</f>
        <v>0</v>
      </c>
      <c r="I20" s="101"/>
      <c r="J20" s="101">
        <f>IFERROR(I20/G20*100,0)</f>
        <v>0</v>
      </c>
      <c r="K20" s="101">
        <f>G20-I20</f>
        <v>0</v>
      </c>
    </row>
    <row r="21" spans="1:11" ht="14.4">
      <c r="A21" s="90" t="s">
        <v>104</v>
      </c>
      <c r="B21" s="92"/>
      <c r="C21" s="101">
        <f>IFERROR(B21/$B$28*100,0)</f>
        <v>0</v>
      </c>
      <c r="D21" s="92"/>
      <c r="E21" s="101">
        <f>IFERROR(D21/B21*100,0)</f>
        <v>0</v>
      </c>
      <c r="F21" s="101">
        <f>B21-D21</f>
        <v>0</v>
      </c>
      <c r="G21" s="101"/>
      <c r="H21" s="101">
        <f>IFERROR(G21/$G$28*100,0)</f>
        <v>0</v>
      </c>
      <c r="I21" s="101"/>
      <c r="J21" s="101">
        <f>IFERROR(I21/G21*100,0)</f>
        <v>0</v>
      </c>
      <c r="K21" s="101">
        <f>G21-I21</f>
        <v>0</v>
      </c>
    </row>
    <row r="22" spans="1:11" ht="14.4">
      <c r="A22" s="517" t="s">
        <v>279</v>
      </c>
      <c r="B22" s="511"/>
      <c r="C22" s="518"/>
      <c r="D22" s="511"/>
      <c r="E22" s="511"/>
      <c r="F22" s="511"/>
      <c r="G22" s="511"/>
      <c r="H22" s="511"/>
      <c r="I22" s="511"/>
      <c r="J22" s="511"/>
      <c r="K22" s="511"/>
    </row>
    <row r="23" spans="1:11" ht="14.4">
      <c r="A23" s="102" t="e">
        <f>#REF!</f>
        <v>#REF!</v>
      </c>
      <c r="B23" s="101"/>
      <c r="C23" s="101">
        <f>IFERROR(B23/$B$28*100,0)</f>
        <v>0</v>
      </c>
      <c r="D23" s="101"/>
      <c r="E23" s="101">
        <f>IFERROR(D23/B23*100,0)</f>
        <v>0</v>
      </c>
      <c r="F23" s="101">
        <f>B23-D23</f>
        <v>0</v>
      </c>
      <c r="G23" s="101"/>
      <c r="H23" s="101">
        <f>IFERROR(G23/$G$28*100,0)</f>
        <v>0</v>
      </c>
      <c r="I23" s="101"/>
      <c r="J23" s="101">
        <f>IFERROR(I23/G23*100,0)</f>
        <v>0</v>
      </c>
      <c r="K23" s="101">
        <f>G23-I23</f>
        <v>0</v>
      </c>
    </row>
    <row r="24" spans="1:11" ht="14.4">
      <c r="A24" s="102" t="e">
        <f>#REF!</f>
        <v>#REF!</v>
      </c>
      <c r="B24" s="101"/>
      <c r="C24" s="101">
        <f t="shared" ref="C24:C28" si="0">IFERROR(B24/$B$28*100,0)</f>
        <v>0</v>
      </c>
      <c r="D24" s="101"/>
      <c r="E24" s="101">
        <f t="shared" ref="E24:E28" si="1">IFERROR(D24/B24*100,0)</f>
        <v>0</v>
      </c>
      <c r="F24" s="101">
        <f t="shared" ref="F24:F27" si="2">B24-D24</f>
        <v>0</v>
      </c>
      <c r="G24" s="101"/>
      <c r="H24" s="101">
        <f t="shared" ref="H24:H28" si="3">IFERROR(G24/$G$28*100,0)</f>
        <v>0</v>
      </c>
      <c r="I24" s="101"/>
      <c r="J24" s="101">
        <f t="shared" ref="J24:J28" si="4">IFERROR(I24/G24*100,0)</f>
        <v>0</v>
      </c>
      <c r="K24" s="101">
        <f t="shared" ref="K24:K27" si="5">G24-I24</f>
        <v>0</v>
      </c>
    </row>
    <row r="25" spans="1:11" ht="14.4">
      <c r="A25" s="102" t="e">
        <f>#REF!</f>
        <v>#REF!</v>
      </c>
      <c r="B25" s="101"/>
      <c r="C25" s="101">
        <f t="shared" si="0"/>
        <v>0</v>
      </c>
      <c r="D25" s="101"/>
      <c r="E25" s="101">
        <f t="shared" si="1"/>
        <v>0</v>
      </c>
      <c r="F25" s="101">
        <f t="shared" si="2"/>
        <v>0</v>
      </c>
      <c r="G25" s="101"/>
      <c r="H25" s="101">
        <f t="shared" si="3"/>
        <v>0</v>
      </c>
      <c r="I25" s="101"/>
      <c r="J25" s="101">
        <f t="shared" si="4"/>
        <v>0</v>
      </c>
      <c r="K25" s="101">
        <f t="shared" si="5"/>
        <v>0</v>
      </c>
    </row>
    <row r="26" spans="1:11" ht="14.4">
      <c r="A26" s="102" t="e">
        <f>#REF!</f>
        <v>#REF!</v>
      </c>
      <c r="B26" s="101"/>
      <c r="C26" s="101">
        <f t="shared" si="0"/>
        <v>0</v>
      </c>
      <c r="D26" s="101"/>
      <c r="E26" s="101">
        <f t="shared" si="1"/>
        <v>0</v>
      </c>
      <c r="F26" s="101">
        <f t="shared" si="2"/>
        <v>0</v>
      </c>
      <c r="G26" s="101"/>
      <c r="H26" s="101">
        <f t="shared" si="3"/>
        <v>0</v>
      </c>
      <c r="I26" s="101"/>
      <c r="J26" s="101">
        <f t="shared" si="4"/>
        <v>0</v>
      </c>
      <c r="K26" s="101">
        <f t="shared" si="5"/>
        <v>0</v>
      </c>
    </row>
    <row r="27" spans="1:11" ht="14.4">
      <c r="A27" s="103" t="e">
        <f>#REF!</f>
        <v>#REF!</v>
      </c>
      <c r="B27" s="104"/>
      <c r="C27" s="104">
        <f t="shared" si="0"/>
        <v>0</v>
      </c>
      <c r="D27" s="104"/>
      <c r="E27" s="104">
        <f t="shared" si="1"/>
        <v>0</v>
      </c>
      <c r="F27" s="104">
        <f t="shared" si="2"/>
        <v>0</v>
      </c>
      <c r="G27" s="104"/>
      <c r="H27" s="104">
        <f t="shared" si="3"/>
        <v>0</v>
      </c>
      <c r="I27" s="104"/>
      <c r="J27" s="104">
        <f t="shared" si="4"/>
        <v>0</v>
      </c>
      <c r="K27" s="104">
        <f t="shared" si="5"/>
        <v>0</v>
      </c>
    </row>
    <row r="28" spans="1:11" ht="14.4">
      <c r="A28" s="105" t="s">
        <v>269</v>
      </c>
      <c r="B28" s="106">
        <f>B20+B21</f>
        <v>0</v>
      </c>
      <c r="C28" s="104">
        <f t="shared" si="0"/>
        <v>0</v>
      </c>
      <c r="D28" s="106">
        <f>D20+D21</f>
        <v>0</v>
      </c>
      <c r="E28" s="104">
        <f t="shared" si="1"/>
        <v>0</v>
      </c>
      <c r="F28" s="106">
        <f>F20+F21</f>
        <v>0</v>
      </c>
      <c r="G28" s="106">
        <f>G20+G21</f>
        <v>0</v>
      </c>
      <c r="H28" s="104">
        <f t="shared" si="3"/>
        <v>0</v>
      </c>
      <c r="I28" s="106">
        <f>I20+I21</f>
        <v>0</v>
      </c>
      <c r="J28" s="104">
        <f t="shared" si="4"/>
        <v>0</v>
      </c>
      <c r="K28" s="106">
        <f>K20+K21</f>
        <v>0</v>
      </c>
    </row>
    <row r="29" spans="1:11" ht="14.4">
      <c r="A29" s="83" t="s">
        <v>358</v>
      </c>
      <c r="C29" s="83"/>
    </row>
    <row r="30" spans="1:11" ht="14.4">
      <c r="A30" s="88" t="s">
        <v>359</v>
      </c>
      <c r="B30" s="89" t="s">
        <v>272</v>
      </c>
      <c r="C30" s="89" t="s">
        <v>273</v>
      </c>
      <c r="D30" s="89" t="s">
        <v>360</v>
      </c>
      <c r="E30" s="89" t="s">
        <v>287</v>
      </c>
      <c r="F30" s="89"/>
    </row>
    <row r="31" spans="1:11" ht="14.4">
      <c r="A31" s="107"/>
      <c r="B31" s="108"/>
      <c r="C31" s="108"/>
      <c r="D31" s="108"/>
      <c r="E31" s="108"/>
      <c r="F31" s="94"/>
    </row>
    <row r="32" spans="1:11" ht="14.4">
      <c r="A32" s="109"/>
      <c r="B32" s="110"/>
      <c r="C32" s="110"/>
      <c r="D32" s="110"/>
      <c r="E32" s="110"/>
      <c r="F32" s="111"/>
    </row>
    <row r="33" spans="1:6" ht="14.4">
      <c r="A33" s="112" t="s">
        <v>269</v>
      </c>
      <c r="B33" s="112">
        <f>SUM(B31:B32)</f>
        <v>0</v>
      </c>
      <c r="C33" s="112">
        <f>SUM(C31:C32)</f>
        <v>0</v>
      </c>
      <c r="D33" s="112" t="s">
        <v>361</v>
      </c>
      <c r="E33" s="112" t="s">
        <v>361</v>
      </c>
      <c r="F33" s="112" t="s">
        <v>361</v>
      </c>
    </row>
    <row r="34" spans="1:6" ht="14.4">
      <c r="A34" s="83" t="s">
        <v>362</v>
      </c>
      <c r="C34" s="83"/>
    </row>
    <row r="35" spans="1:6" ht="14.4">
      <c r="A35" s="83" t="s">
        <v>291</v>
      </c>
      <c r="C35" s="83"/>
    </row>
    <row r="36" spans="1:6" ht="15" customHeight="1">
      <c r="A36" s="510" t="s">
        <v>360</v>
      </c>
      <c r="B36" s="507" t="s">
        <v>93</v>
      </c>
      <c r="C36" s="507"/>
      <c r="D36" s="507"/>
    </row>
    <row r="37" spans="1:6" ht="15" customHeight="1">
      <c r="A37" s="512"/>
      <c r="B37" s="515" t="s">
        <v>272</v>
      </c>
      <c r="C37" s="515"/>
      <c r="D37" s="515" t="s">
        <v>273</v>
      </c>
    </row>
    <row r="38" spans="1:6" ht="14.4">
      <c r="A38" s="498"/>
      <c r="B38" s="100" t="s">
        <v>26</v>
      </c>
      <c r="C38" s="100" t="s">
        <v>363</v>
      </c>
      <c r="D38" s="516"/>
    </row>
    <row r="39" spans="1:6" ht="14.4">
      <c r="A39" s="102" t="s">
        <v>353</v>
      </c>
      <c r="B39" s="108"/>
      <c r="C39" s="108"/>
      <c r="D39" s="108"/>
    </row>
    <row r="40" spans="1:6" ht="14.4">
      <c r="A40" s="90" t="s">
        <v>262</v>
      </c>
      <c r="B40" s="108"/>
      <c r="C40" s="108"/>
      <c r="D40" s="108"/>
    </row>
    <row r="41" spans="1:6" ht="14.4">
      <c r="A41" s="90" t="s">
        <v>263</v>
      </c>
      <c r="B41" s="108"/>
      <c r="C41" s="108"/>
      <c r="D41" s="108"/>
    </row>
    <row r="42" spans="1:6" ht="14.4">
      <c r="A42" s="90" t="s">
        <v>264</v>
      </c>
      <c r="B42" s="108"/>
      <c r="C42" s="108"/>
      <c r="D42" s="108"/>
    </row>
    <row r="43" spans="1:6" ht="14.4">
      <c r="A43" s="90" t="s">
        <v>265</v>
      </c>
      <c r="B43" s="108"/>
      <c r="C43" s="108"/>
      <c r="D43" s="108"/>
    </row>
    <row r="44" spans="1:6" ht="14.4">
      <c r="A44" s="90" t="s">
        <v>266</v>
      </c>
      <c r="B44" s="108"/>
      <c r="C44" s="108"/>
      <c r="D44" s="108"/>
    </row>
    <row r="45" spans="1:6" ht="14.4">
      <c r="A45" s="114" t="s">
        <v>269</v>
      </c>
      <c r="B45" s="115">
        <f>SUM(B39:B44)</f>
        <v>0</v>
      </c>
      <c r="C45" s="115" t="s">
        <v>361</v>
      </c>
      <c r="D45" s="115"/>
    </row>
    <row r="46" spans="1:6" ht="14.4">
      <c r="A46" s="116" t="s">
        <v>282</v>
      </c>
      <c r="C46" s="83"/>
    </row>
    <row r="47" spans="1:6" ht="14.4">
      <c r="A47" s="510" t="s">
        <v>360</v>
      </c>
      <c r="B47" s="507" t="s">
        <v>92</v>
      </c>
      <c r="C47" s="507"/>
      <c r="D47" s="507"/>
    </row>
    <row r="48" spans="1:6" ht="14.4">
      <c r="A48" s="512"/>
      <c r="B48" s="515" t="s">
        <v>272</v>
      </c>
      <c r="C48" s="515"/>
      <c r="D48" s="515" t="s">
        <v>273</v>
      </c>
    </row>
    <row r="49" spans="1:4" ht="14.4">
      <c r="A49" s="498"/>
      <c r="B49" s="100" t="s">
        <v>26</v>
      </c>
      <c r="C49" s="100" t="s">
        <v>363</v>
      </c>
      <c r="D49" s="516"/>
    </row>
    <row r="50" spans="1:4" ht="14.4">
      <c r="A50" s="102" t="s">
        <v>353</v>
      </c>
      <c r="B50" s="108"/>
      <c r="C50" s="108"/>
      <c r="D50" s="108"/>
    </row>
    <row r="51" spans="1:4" ht="14.4">
      <c r="A51" s="90" t="s">
        <v>262</v>
      </c>
      <c r="B51" s="108"/>
      <c r="C51" s="108"/>
      <c r="D51" s="108"/>
    </row>
    <row r="52" spans="1:4" ht="14.4">
      <c r="A52" s="90" t="s">
        <v>263</v>
      </c>
      <c r="B52" s="108"/>
      <c r="C52" s="108"/>
      <c r="D52" s="108"/>
    </row>
    <row r="53" spans="1:4" ht="14.4">
      <c r="A53" s="90" t="s">
        <v>264</v>
      </c>
      <c r="B53" s="108"/>
      <c r="C53" s="108"/>
      <c r="D53" s="108"/>
    </row>
    <row r="54" spans="1:4" ht="14.4">
      <c r="A54" s="90" t="s">
        <v>265</v>
      </c>
      <c r="B54" s="108"/>
      <c r="C54" s="108"/>
      <c r="D54" s="108"/>
    </row>
    <row r="55" spans="1:4" ht="14.4">
      <c r="A55" s="90" t="s">
        <v>266</v>
      </c>
      <c r="B55" s="108"/>
      <c r="C55" s="108"/>
      <c r="D55" s="108"/>
    </row>
    <row r="56" spans="1:4" ht="14.4">
      <c r="A56" s="114" t="s">
        <v>269</v>
      </c>
      <c r="B56" s="115"/>
      <c r="C56" s="115"/>
      <c r="D56" s="115"/>
    </row>
    <row r="57" spans="1:4" ht="14.4">
      <c r="A57" s="83" t="s">
        <v>296</v>
      </c>
      <c r="C57" s="83"/>
    </row>
    <row r="58" spans="1:4" ht="15" customHeight="1">
      <c r="A58" s="510" t="s">
        <v>360</v>
      </c>
      <c r="B58" s="507" t="s">
        <v>93</v>
      </c>
      <c r="C58" s="507"/>
      <c r="D58" s="507"/>
    </row>
    <row r="59" spans="1:4" ht="15" customHeight="1">
      <c r="A59" s="512"/>
      <c r="B59" s="515" t="s">
        <v>272</v>
      </c>
      <c r="C59" s="515"/>
      <c r="D59" s="515" t="s">
        <v>273</v>
      </c>
    </row>
    <row r="60" spans="1:4" ht="14.4">
      <c r="A60" s="498"/>
      <c r="B60" s="100" t="s">
        <v>26</v>
      </c>
      <c r="C60" s="100" t="s">
        <v>363</v>
      </c>
      <c r="D60" s="516"/>
    </row>
    <row r="61" spans="1:4" ht="14.4">
      <c r="A61" s="102" t="s">
        <v>353</v>
      </c>
      <c r="B61" s="108"/>
      <c r="C61" s="108"/>
      <c r="D61" s="108"/>
    </row>
    <row r="62" spans="1:4" ht="14.4">
      <c r="A62" s="90" t="s">
        <v>262</v>
      </c>
      <c r="B62" s="108"/>
      <c r="C62" s="108"/>
      <c r="D62" s="108"/>
    </row>
    <row r="63" spans="1:4" ht="14.4">
      <c r="A63" s="90" t="s">
        <v>263</v>
      </c>
      <c r="B63" s="108"/>
      <c r="C63" s="108"/>
      <c r="D63" s="108"/>
    </row>
    <row r="64" spans="1:4" ht="14.4">
      <c r="A64" s="90" t="s">
        <v>264</v>
      </c>
      <c r="B64" s="108"/>
      <c r="C64" s="108"/>
      <c r="D64" s="108"/>
    </row>
    <row r="65" spans="1:4" ht="14.4">
      <c r="A65" s="90" t="s">
        <v>265</v>
      </c>
      <c r="B65" s="108"/>
      <c r="C65" s="108"/>
      <c r="D65" s="108"/>
    </row>
    <row r="66" spans="1:4" ht="14.4">
      <c r="A66" s="118" t="s">
        <v>266</v>
      </c>
      <c r="B66" s="119"/>
      <c r="C66" s="119"/>
      <c r="D66" s="119"/>
    </row>
    <row r="67" spans="1:4" ht="14.4">
      <c r="A67" s="105" t="s">
        <v>269</v>
      </c>
      <c r="B67" s="106"/>
      <c r="C67" s="106"/>
      <c r="D67" s="106"/>
    </row>
    <row r="68" spans="1:4" ht="14.4">
      <c r="A68" s="120" t="s">
        <v>282</v>
      </c>
      <c r="C68" s="83"/>
    </row>
    <row r="69" spans="1:4" ht="14.4">
      <c r="A69" s="121"/>
      <c r="B69" s="121"/>
      <c r="C69" s="122"/>
      <c r="D69" s="122"/>
    </row>
    <row r="70" spans="1:4" ht="14.4">
      <c r="A70" s="510" t="s">
        <v>360</v>
      </c>
      <c r="B70" s="507" t="s">
        <v>92</v>
      </c>
      <c r="C70" s="507"/>
      <c r="D70" s="507"/>
    </row>
    <row r="71" spans="1:4" ht="14.4">
      <c r="A71" s="512"/>
      <c r="B71" s="515" t="s">
        <v>272</v>
      </c>
      <c r="C71" s="515"/>
      <c r="D71" s="515" t="s">
        <v>273</v>
      </c>
    </row>
    <row r="72" spans="1:4" ht="14.4">
      <c r="A72" s="498"/>
      <c r="B72" s="100" t="s">
        <v>26</v>
      </c>
      <c r="C72" s="100" t="s">
        <v>363</v>
      </c>
      <c r="D72" s="516"/>
    </row>
    <row r="73" spans="1:4" ht="14.4">
      <c r="A73" s="102" t="s">
        <v>353</v>
      </c>
      <c r="B73" s="94"/>
      <c r="C73" s="108" t="e">
        <f>ROUND(B73/$B$79,4)</f>
        <v>#DIV/0!</v>
      </c>
      <c r="D73" s="94"/>
    </row>
    <row r="74" spans="1:4" ht="14.4">
      <c r="A74" s="90" t="s">
        <v>262</v>
      </c>
      <c r="B74" s="94"/>
      <c r="C74" s="108" t="e">
        <f t="shared" ref="C74:C78" si="6">ROUND(B74/$B$79,4)</f>
        <v>#DIV/0!</v>
      </c>
      <c r="D74" s="94"/>
    </row>
    <row r="75" spans="1:4" ht="14.4">
      <c r="A75" s="90" t="s">
        <v>263</v>
      </c>
      <c r="B75" s="94"/>
      <c r="C75" s="108" t="e">
        <f t="shared" si="6"/>
        <v>#DIV/0!</v>
      </c>
      <c r="D75" s="94"/>
    </row>
    <row r="76" spans="1:4" ht="14.4">
      <c r="A76" s="90" t="s">
        <v>264</v>
      </c>
      <c r="B76" s="94"/>
      <c r="C76" s="108" t="e">
        <f t="shared" si="6"/>
        <v>#DIV/0!</v>
      </c>
      <c r="D76" s="94"/>
    </row>
    <row r="77" spans="1:4" ht="14.4">
      <c r="A77" s="90" t="s">
        <v>265</v>
      </c>
      <c r="B77" s="94"/>
      <c r="C77" s="108" t="e">
        <f t="shared" si="6"/>
        <v>#DIV/0!</v>
      </c>
      <c r="D77" s="94"/>
    </row>
    <row r="78" spans="1:4" ht="14.4">
      <c r="A78" s="118" t="s">
        <v>266</v>
      </c>
      <c r="B78" s="100"/>
      <c r="C78" s="108" t="e">
        <f t="shared" si="6"/>
        <v>#DIV/0!</v>
      </c>
      <c r="D78" s="100"/>
    </row>
    <row r="79" spans="1:4" ht="14.4">
      <c r="A79" s="105" t="s">
        <v>269</v>
      </c>
      <c r="B79" s="106">
        <f>SUM(B73:B78)</f>
        <v>0</v>
      </c>
      <c r="C79" s="115" t="s">
        <v>361</v>
      </c>
      <c r="D79" s="106">
        <f>SUM(D73:D78)</f>
        <v>0</v>
      </c>
    </row>
    <row r="80" spans="1:4" ht="14.4">
      <c r="A80" s="123" t="s">
        <v>364</v>
      </c>
      <c r="B80" s="124"/>
      <c r="C80" s="124"/>
      <c r="D80" s="101"/>
    </row>
    <row r="81" spans="1:7" ht="14.4">
      <c r="A81" s="125"/>
      <c r="B81" s="124"/>
      <c r="C81" s="124"/>
      <c r="D81" s="101"/>
    </row>
    <row r="82" spans="1:7" ht="14.4">
      <c r="A82" s="510" t="s">
        <v>365</v>
      </c>
      <c r="B82" s="507" t="s">
        <v>93</v>
      </c>
      <c r="C82" s="501"/>
      <c r="D82" s="501"/>
      <c r="E82" s="507" t="s">
        <v>366</v>
      </c>
      <c r="F82" s="501"/>
      <c r="G82" s="501"/>
    </row>
    <row r="83" spans="1:7" ht="28.8">
      <c r="A83" s="498"/>
      <c r="B83" s="113" t="s">
        <v>272</v>
      </c>
      <c r="C83" s="113" t="s">
        <v>367</v>
      </c>
      <c r="D83" s="113" t="s">
        <v>273</v>
      </c>
      <c r="E83" s="126" t="s">
        <v>272</v>
      </c>
      <c r="F83" s="126" t="s">
        <v>367</v>
      </c>
      <c r="G83" s="113" t="s">
        <v>273</v>
      </c>
    </row>
    <row r="84" spans="1:7" ht="14.4">
      <c r="A84" s="102"/>
      <c r="B84" s="94"/>
      <c r="C84" s="94"/>
      <c r="D84" s="127"/>
      <c r="E84" s="94"/>
      <c r="F84" s="94"/>
      <c r="G84" s="127"/>
    </row>
    <row r="85" spans="1:7" ht="14.4">
      <c r="A85" s="90"/>
      <c r="B85" s="94"/>
      <c r="C85" s="94"/>
      <c r="D85" s="101"/>
      <c r="E85" s="94"/>
      <c r="F85" s="94"/>
      <c r="G85" s="101"/>
    </row>
    <row r="86" spans="1:7" ht="14.4">
      <c r="A86" s="90"/>
      <c r="B86" s="94"/>
      <c r="C86" s="94"/>
      <c r="D86" s="101"/>
      <c r="E86" s="94"/>
      <c r="F86" s="94"/>
      <c r="G86" s="101"/>
    </row>
    <row r="87" spans="1:7" ht="14.4">
      <c r="A87" s="90"/>
      <c r="B87" s="94"/>
      <c r="C87" s="94"/>
      <c r="D87" s="101"/>
      <c r="E87" s="94"/>
      <c r="F87" s="94"/>
      <c r="G87" s="101"/>
    </row>
    <row r="88" spans="1:7" ht="14.4">
      <c r="A88" s="90"/>
      <c r="B88" s="94"/>
      <c r="C88" s="94"/>
      <c r="D88" s="101"/>
      <c r="E88" s="94"/>
      <c r="F88" s="94"/>
      <c r="G88" s="101"/>
    </row>
    <row r="89" spans="1:7" ht="14.4">
      <c r="A89" s="118"/>
      <c r="B89" s="100"/>
      <c r="C89" s="100"/>
      <c r="D89" s="104"/>
      <c r="E89" s="100"/>
      <c r="F89" s="100"/>
      <c r="G89" s="104"/>
    </row>
    <row r="90" spans="1:7" ht="14.4">
      <c r="A90" s="105" t="s">
        <v>269</v>
      </c>
      <c r="B90" s="106">
        <f>SUM(B84:B89)</f>
        <v>0</v>
      </c>
      <c r="C90" s="106">
        <f>SUM(C84:C89)</f>
        <v>0</v>
      </c>
      <c r="D90" s="104">
        <f t="shared" ref="D90" si="7">IFERROR(C90/B90*100,0)</f>
        <v>0</v>
      </c>
      <c r="E90" s="106">
        <f>SUM(E84:E89)</f>
        <v>0</v>
      </c>
      <c r="F90" s="106">
        <f>SUM(F84:F89)</f>
        <v>0</v>
      </c>
      <c r="G90" s="104">
        <f t="shared" ref="G90" si="8">IFERROR(F90/E90*100,0)</f>
        <v>0</v>
      </c>
    </row>
    <row r="91" spans="1:7" ht="14.4">
      <c r="A91" s="125"/>
      <c r="B91" s="124"/>
      <c r="C91" s="124"/>
      <c r="D91" s="101"/>
    </row>
    <row r="92" spans="1:7" ht="14.4">
      <c r="A92" s="128" t="s">
        <v>368</v>
      </c>
      <c r="C92" s="83"/>
    </row>
    <row r="93" spans="1:7" ht="14.4">
      <c r="A93" s="83" t="s">
        <v>369</v>
      </c>
      <c r="C93" s="83"/>
    </row>
    <row r="94" spans="1:7" ht="14.4">
      <c r="A94" s="513" t="s">
        <v>355</v>
      </c>
      <c r="B94" s="514" t="s">
        <v>92</v>
      </c>
      <c r="C94" s="508" t="s">
        <v>370</v>
      </c>
      <c r="D94" s="501"/>
      <c r="E94" s="501"/>
      <c r="F94" s="514" t="s">
        <v>93</v>
      </c>
    </row>
    <row r="95" spans="1:7" ht="14.4">
      <c r="A95" s="498"/>
      <c r="B95" s="498"/>
      <c r="C95" s="129" t="s">
        <v>371</v>
      </c>
      <c r="D95" s="129" t="s">
        <v>372</v>
      </c>
      <c r="E95" s="129" t="s">
        <v>373</v>
      </c>
      <c r="F95" s="498"/>
    </row>
    <row r="96" spans="1:7" ht="14.4">
      <c r="A96" s="102" t="s">
        <v>374</v>
      </c>
      <c r="B96" s="101"/>
      <c r="C96" s="101"/>
      <c r="D96" s="101"/>
      <c r="E96" s="101"/>
      <c r="F96" s="101">
        <f>B96+C96-D96-E96</f>
        <v>0</v>
      </c>
    </row>
    <row r="97" spans="1:11" ht="14.4">
      <c r="A97" s="102" t="s">
        <v>375</v>
      </c>
      <c r="B97" s="101"/>
      <c r="C97" s="101"/>
      <c r="D97" s="101"/>
      <c r="E97" s="101"/>
      <c r="F97" s="101">
        <f>B97+C97-D97-E97</f>
        <v>0</v>
      </c>
    </row>
    <row r="98" spans="1:11" ht="14.4">
      <c r="A98" s="118" t="s">
        <v>376</v>
      </c>
      <c r="B98" s="104"/>
      <c r="C98" s="104"/>
      <c r="D98" s="104"/>
      <c r="E98" s="104"/>
      <c r="F98" s="104">
        <f>B98+C98-D98-E98</f>
        <v>0</v>
      </c>
    </row>
    <row r="99" spans="1:11" ht="14.4">
      <c r="A99" s="105" t="s">
        <v>269</v>
      </c>
      <c r="B99" s="106">
        <f>B96+B97</f>
        <v>0</v>
      </c>
      <c r="C99" s="106">
        <f>C96+C97</f>
        <v>0</v>
      </c>
      <c r="D99" s="106">
        <f>D96+D97</f>
        <v>0</v>
      </c>
      <c r="E99" s="106">
        <f>E96+E97</f>
        <v>0</v>
      </c>
      <c r="F99" s="104">
        <f>B99+C99-D99-E99</f>
        <v>0</v>
      </c>
    </row>
    <row r="100" spans="1:11" ht="14.4">
      <c r="A100" s="83" t="s">
        <v>377</v>
      </c>
      <c r="C100" s="83"/>
    </row>
    <row r="101" spans="1:11" ht="23.7" customHeight="1">
      <c r="A101" s="130" t="s">
        <v>359</v>
      </c>
      <c r="B101" s="131" t="s">
        <v>308</v>
      </c>
      <c r="C101" s="131" t="s">
        <v>378</v>
      </c>
      <c r="D101" s="131" t="s">
        <v>379</v>
      </c>
    </row>
    <row r="102" spans="1:11" ht="14.4">
      <c r="A102" s="132"/>
      <c r="B102" s="127"/>
      <c r="C102" s="127"/>
      <c r="D102" s="127"/>
    </row>
    <row r="103" spans="1:11" ht="14.4">
      <c r="A103" s="133"/>
      <c r="B103" s="104"/>
      <c r="C103" s="104"/>
      <c r="D103" s="104"/>
    </row>
    <row r="104" spans="1:11" ht="14.4">
      <c r="A104" s="134" t="s">
        <v>269</v>
      </c>
      <c r="B104" s="100">
        <f>SUM(B102:B103)</f>
        <v>0</v>
      </c>
      <c r="C104" s="100">
        <f>SUM(C102:C103)</f>
        <v>0</v>
      </c>
      <c r="D104" s="100"/>
    </row>
    <row r="105" spans="1:11" ht="33" customHeight="1">
      <c r="A105" s="509" t="s">
        <v>380</v>
      </c>
      <c r="B105" s="509"/>
      <c r="C105" s="509"/>
      <c r="D105" s="509"/>
      <c r="E105" s="509"/>
      <c r="F105" s="509"/>
      <c r="G105" s="509"/>
      <c r="H105" s="509"/>
      <c r="I105" s="509"/>
      <c r="J105" s="509"/>
      <c r="K105" s="509"/>
    </row>
    <row r="106" spans="1:11" ht="14.4">
      <c r="A106" s="83" t="s">
        <v>381</v>
      </c>
      <c r="C106" s="83"/>
    </row>
    <row r="107" spans="1:11" ht="23.7" customHeight="1">
      <c r="A107" s="135" t="s">
        <v>359</v>
      </c>
      <c r="B107" s="89" t="s">
        <v>320</v>
      </c>
      <c r="C107" s="89" t="s">
        <v>317</v>
      </c>
      <c r="D107" s="89" t="s">
        <v>321</v>
      </c>
      <c r="E107" s="89" t="s">
        <v>322</v>
      </c>
      <c r="F107" s="89" t="s">
        <v>382</v>
      </c>
    </row>
    <row r="108" spans="1:11" ht="14.4">
      <c r="A108" s="136"/>
      <c r="B108" s="92"/>
      <c r="C108" s="92"/>
      <c r="D108" s="92"/>
      <c r="E108" s="92"/>
      <c r="F108" s="92"/>
    </row>
    <row r="109" spans="1:11" ht="14.4">
      <c r="A109" s="137"/>
      <c r="B109" s="138"/>
      <c r="C109" s="138"/>
      <c r="D109" s="138"/>
      <c r="E109" s="138"/>
      <c r="F109" s="138"/>
    </row>
    <row r="110" spans="1:11" ht="14.4">
      <c r="A110" s="134" t="s">
        <v>269</v>
      </c>
      <c r="B110" s="100" t="s">
        <v>361</v>
      </c>
      <c r="C110" s="100"/>
      <c r="D110" s="100" t="s">
        <v>361</v>
      </c>
      <c r="E110" s="100"/>
      <c r="F110" s="100" t="s">
        <v>361</v>
      </c>
    </row>
    <row r="111" spans="1:11" ht="14.4">
      <c r="A111" s="128" t="s">
        <v>383</v>
      </c>
      <c r="C111" s="83"/>
    </row>
    <row r="112" spans="1:11" ht="23.7" customHeight="1">
      <c r="A112" s="88" t="s">
        <v>359</v>
      </c>
      <c r="B112" s="89" t="s">
        <v>272</v>
      </c>
      <c r="C112" s="89" t="s">
        <v>384</v>
      </c>
      <c r="D112" s="89" t="s">
        <v>273</v>
      </c>
    </row>
    <row r="113" spans="1:4" ht="14.4">
      <c r="A113" s="139"/>
      <c r="B113" s="92"/>
      <c r="C113" s="101"/>
      <c r="D113" s="92"/>
    </row>
    <row r="114" spans="1:4" ht="14.4">
      <c r="A114" s="139"/>
      <c r="B114" s="92"/>
      <c r="C114" s="101"/>
      <c r="D114" s="92"/>
    </row>
    <row r="115" spans="1:4" ht="14.4">
      <c r="A115" s="139"/>
      <c r="B115" s="92"/>
      <c r="C115" s="101"/>
      <c r="D115" s="92"/>
    </row>
    <row r="116" spans="1:4" ht="14.4">
      <c r="A116" s="139"/>
      <c r="B116" s="92"/>
      <c r="C116" s="101"/>
      <c r="D116" s="92"/>
    </row>
    <row r="117" spans="1:4" ht="14.4">
      <c r="A117" s="140"/>
      <c r="B117" s="138"/>
      <c r="C117" s="104"/>
      <c r="D117" s="138"/>
    </row>
    <row r="118" spans="1:4" s="82" customFormat="1" ht="14.4">
      <c r="A118" s="112" t="s">
        <v>269</v>
      </c>
      <c r="B118" s="141">
        <f>SUM(B113:B117)</f>
        <v>0</v>
      </c>
      <c r="C118" s="100">
        <f t="shared" ref="C118" si="9">IFERROR(B118/$B$28*100,0)</f>
        <v>0</v>
      </c>
      <c r="D118" s="141">
        <f>SUM(D113:D117)</f>
        <v>0</v>
      </c>
    </row>
    <row r="119" spans="1:4" ht="14.4">
      <c r="A119" s="128" t="s">
        <v>385</v>
      </c>
      <c r="C119" s="83"/>
    </row>
    <row r="120" spans="1:4" ht="48" customHeight="1">
      <c r="A120" s="88" t="s">
        <v>359</v>
      </c>
      <c r="B120" s="89" t="s">
        <v>339</v>
      </c>
      <c r="C120" s="89" t="s">
        <v>386</v>
      </c>
    </row>
    <row r="121" spans="1:4" ht="14.4">
      <c r="A121" s="90"/>
      <c r="B121" s="101"/>
      <c r="C121" s="101"/>
    </row>
    <row r="122" spans="1:4" ht="14.4">
      <c r="A122" s="90"/>
      <c r="B122" s="142"/>
      <c r="C122" s="142"/>
    </row>
    <row r="123" spans="1:4" ht="14.4">
      <c r="A123" s="143"/>
      <c r="B123" s="111"/>
      <c r="C123" s="111"/>
    </row>
    <row r="124" spans="1:4" ht="14.4">
      <c r="A124" s="112" t="s">
        <v>269</v>
      </c>
      <c r="B124" s="100">
        <f>SUM(B121:B123)</f>
        <v>0</v>
      </c>
      <c r="C124" s="111">
        <f>SUM(C121:C123)</f>
        <v>0</v>
      </c>
    </row>
    <row r="125" spans="1:4" ht="14.4">
      <c r="A125" s="116" t="s">
        <v>325</v>
      </c>
      <c r="C125" s="83"/>
    </row>
    <row r="126" spans="1:4" ht="14.4">
      <c r="A126" s="83" t="s">
        <v>387</v>
      </c>
      <c r="C126" s="83"/>
    </row>
    <row r="127" spans="1:4" ht="14.4">
      <c r="A127" s="83" t="s">
        <v>388</v>
      </c>
      <c r="C127" s="83"/>
    </row>
    <row r="128" spans="1:4" ht="14.4">
      <c r="A128" s="144" t="s">
        <v>389</v>
      </c>
      <c r="C128" s="83"/>
    </row>
    <row r="129" spans="1:3" ht="14.4">
      <c r="A129" s="83" t="s">
        <v>390</v>
      </c>
      <c r="C129" s="83"/>
    </row>
    <row r="130" spans="1:3" ht="14.4">
      <c r="A130" s="88" t="s">
        <v>316</v>
      </c>
      <c r="B130" s="89" t="s">
        <v>391</v>
      </c>
      <c r="C130" s="83"/>
    </row>
    <row r="131" spans="1:3" ht="14.4">
      <c r="A131" s="90" t="s">
        <v>392</v>
      </c>
      <c r="B131" s="101"/>
      <c r="C131" s="83"/>
    </row>
    <row r="132" spans="1:3" ht="14.4">
      <c r="A132" s="90"/>
      <c r="B132" s="101"/>
      <c r="C132" s="83"/>
    </row>
    <row r="133" spans="1:3" ht="14.4">
      <c r="A133" s="93" t="s">
        <v>393</v>
      </c>
      <c r="B133" s="94">
        <f>SUM(B132)</f>
        <v>0</v>
      </c>
      <c r="C133" s="83"/>
    </row>
    <row r="134" spans="1:3" ht="14.4">
      <c r="A134" s="90" t="s">
        <v>394</v>
      </c>
      <c r="B134" s="142"/>
      <c r="C134" s="83"/>
    </row>
    <row r="135" spans="1:3" ht="14.4">
      <c r="A135" s="145"/>
      <c r="B135" s="142"/>
      <c r="C135" s="83"/>
    </row>
    <row r="136" spans="1:3" ht="14.4">
      <c r="A136" s="112" t="s">
        <v>395</v>
      </c>
      <c r="B136" s="100">
        <f>SUM(B135)</f>
        <v>0</v>
      </c>
      <c r="C136" s="83"/>
    </row>
    <row r="137" spans="1:3" ht="14.4">
      <c r="A137" s="116" t="s">
        <v>325</v>
      </c>
      <c r="C137" s="83"/>
    </row>
    <row r="138" spans="1:3" ht="14.4">
      <c r="A138" s="128" t="s">
        <v>396</v>
      </c>
      <c r="C138" s="83"/>
    </row>
  </sheetData>
  <mergeCells count="34">
    <mergeCell ref="A1:I1"/>
    <mergeCell ref="A2:I2"/>
    <mergeCell ref="B17:F17"/>
    <mergeCell ref="G17:K17"/>
    <mergeCell ref="B18:C18"/>
    <mergeCell ref="D18:E18"/>
    <mergeCell ref="G18:H18"/>
    <mergeCell ref="I18:J18"/>
    <mergeCell ref="A22:K22"/>
    <mergeCell ref="B36:D36"/>
    <mergeCell ref="B37:C37"/>
    <mergeCell ref="B47:D47"/>
    <mergeCell ref="B48:C48"/>
    <mergeCell ref="B58:D58"/>
    <mergeCell ref="B59:C59"/>
    <mergeCell ref="B70:D70"/>
    <mergeCell ref="B71:C71"/>
    <mergeCell ref="B82:D82"/>
    <mergeCell ref="E82:G82"/>
    <mergeCell ref="C94:E94"/>
    <mergeCell ref="A105:K105"/>
    <mergeCell ref="A17:A19"/>
    <mergeCell ref="A36:A38"/>
    <mergeCell ref="A47:A49"/>
    <mergeCell ref="A58:A60"/>
    <mergeCell ref="A70:A72"/>
    <mergeCell ref="A82:A83"/>
    <mergeCell ref="A94:A95"/>
    <mergeCell ref="B94:B95"/>
    <mergeCell ref="D37:D38"/>
    <mergeCell ref="D48:D49"/>
    <mergeCell ref="D59:D60"/>
    <mergeCell ref="D71:D72"/>
    <mergeCell ref="F94:F95"/>
  </mergeCells>
  <phoneticPr fontId="168" type="noConversion"/>
  <pageMargins left="0.70833333333333304" right="0.70833333333333304" top="0.74791666666666701" bottom="0.74791666666666701" header="0.31458333333333299" footer="0.31458333333333299"/>
  <pageSetup paperSize="9" scale="70" orientation="landscape" blackAndWhite="1"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AM35"/>
  <sheetViews>
    <sheetView view="pageBreakPreview" zoomScaleNormal="100" workbookViewId="0">
      <pane xSplit="5" ySplit="12" topLeftCell="F13" activePane="bottomRight" state="frozen"/>
      <selection pane="topRight"/>
      <selection pane="bottomLeft"/>
      <selection pane="bottomRight" sqref="A1:S1"/>
    </sheetView>
  </sheetViews>
  <sheetFormatPr defaultColWidth="7" defaultRowHeight="20.100000000000001" customHeight="1"/>
  <cols>
    <col min="1" max="1" width="5.5" style="41" customWidth="1"/>
    <col min="2" max="2" width="19.19921875" style="41" customWidth="1"/>
    <col min="3" max="3" width="10" style="41" customWidth="1"/>
    <col min="4" max="4" width="13.09765625" style="41" customWidth="1"/>
    <col min="5" max="8" width="10.19921875" style="41" customWidth="1"/>
    <col min="9" max="9" width="9.59765625" style="41" customWidth="1"/>
    <col min="10" max="10" width="9.3984375" style="41" customWidth="1"/>
    <col min="11" max="11" width="10" style="41" customWidth="1"/>
    <col min="12" max="12" width="10.09765625" style="41" customWidth="1"/>
    <col min="13" max="13" width="9.5" style="41" customWidth="1"/>
    <col min="14" max="14" width="9.3984375" style="41" customWidth="1"/>
    <col min="15" max="19" width="9.69921875" style="41" customWidth="1"/>
    <col min="20" max="25" width="9.59765625" style="41" customWidth="1"/>
    <col min="26" max="26" width="10.59765625" style="41" customWidth="1"/>
    <col min="27" max="27" width="10.69921875" style="41" customWidth="1"/>
    <col min="28" max="28" width="8.8984375" style="41" customWidth="1"/>
    <col min="29" max="34" width="9.796875" style="41" customWidth="1"/>
    <col min="35" max="35" width="10.5" style="41" customWidth="1"/>
    <col min="36" max="36" width="10.19921875" style="41" customWidth="1"/>
    <col min="37" max="37" width="6.3984375" style="41" customWidth="1"/>
    <col min="38" max="38" width="8.5" style="41" customWidth="1"/>
    <col min="39" max="16384" width="7" style="41"/>
  </cols>
  <sheetData>
    <row r="1" spans="1:39" ht="20.100000000000001" customHeight="1">
      <c r="A1" s="529" t="s">
        <v>22</v>
      </c>
      <c r="B1" s="529"/>
      <c r="C1" s="529"/>
      <c r="D1" s="529"/>
      <c r="E1" s="529"/>
      <c r="F1" s="529"/>
      <c r="G1" s="529"/>
      <c r="H1" s="529"/>
      <c r="I1" s="529"/>
      <c r="J1" s="529"/>
      <c r="K1" s="529"/>
      <c r="L1" s="529"/>
      <c r="M1" s="529"/>
      <c r="N1" s="529"/>
      <c r="O1" s="529"/>
      <c r="P1" s="529"/>
      <c r="Q1" s="529"/>
      <c r="R1" s="529"/>
      <c r="S1" s="529"/>
      <c r="T1" s="529" t="s">
        <v>22</v>
      </c>
      <c r="U1" s="529"/>
      <c r="V1" s="529"/>
      <c r="W1" s="529"/>
      <c r="X1" s="529"/>
      <c r="Y1" s="529"/>
      <c r="Z1" s="529"/>
      <c r="AA1" s="529"/>
      <c r="AB1" s="529"/>
      <c r="AC1" s="529"/>
      <c r="AD1" s="529"/>
      <c r="AE1" s="529"/>
      <c r="AF1" s="529"/>
      <c r="AG1" s="529"/>
      <c r="AH1" s="529"/>
      <c r="AI1" s="529"/>
      <c r="AJ1" s="529"/>
      <c r="AK1" s="529"/>
      <c r="AL1" s="529"/>
      <c r="AM1" s="529"/>
    </row>
    <row r="2" spans="1:39" ht="20.100000000000001" customHeight="1">
      <c r="A2" s="530" t="s">
        <v>397</v>
      </c>
      <c r="B2" s="530"/>
      <c r="C2" s="530"/>
      <c r="D2" s="530"/>
      <c r="E2" s="530"/>
      <c r="F2" s="530"/>
      <c r="G2" s="530"/>
      <c r="H2" s="530"/>
      <c r="I2" s="530"/>
      <c r="J2" s="530"/>
      <c r="K2" s="530"/>
      <c r="L2" s="530"/>
      <c r="M2" s="530"/>
      <c r="N2" s="530"/>
      <c r="O2" s="530"/>
      <c r="P2" s="530"/>
      <c r="Q2" s="530"/>
      <c r="R2" s="530"/>
      <c r="S2" s="530"/>
      <c r="T2" s="530" t="s">
        <v>397</v>
      </c>
      <c r="U2" s="530"/>
      <c r="V2" s="530"/>
      <c r="W2" s="530"/>
      <c r="X2" s="530"/>
      <c r="Y2" s="530"/>
      <c r="Z2" s="530"/>
      <c r="AA2" s="530"/>
      <c r="AB2" s="530"/>
      <c r="AC2" s="530"/>
      <c r="AD2" s="530"/>
      <c r="AE2" s="530"/>
      <c r="AF2" s="530"/>
      <c r="AG2" s="530"/>
      <c r="AH2" s="530"/>
      <c r="AI2" s="530"/>
      <c r="AJ2" s="530"/>
      <c r="AK2" s="530"/>
      <c r="AL2" s="530"/>
      <c r="AM2" s="530"/>
    </row>
    <row r="3" spans="1:39" ht="20.100000000000001" customHeight="1">
      <c r="A3" s="42" t="str">
        <f>底稿目录!A2</f>
        <v>被审计单位名称：</v>
      </c>
      <c r="E3" s="37"/>
      <c r="F3" s="37" t="str">
        <f>底稿目录!A4</f>
        <v>编制人：</v>
      </c>
      <c r="G3" s="37"/>
      <c r="H3" s="37"/>
      <c r="I3" s="37"/>
      <c r="J3" s="41" t="str">
        <f>底稿目录!A5</f>
        <v>编制日期：</v>
      </c>
      <c r="K3" s="37"/>
      <c r="L3" s="37"/>
      <c r="M3" s="37"/>
      <c r="N3" s="37"/>
      <c r="Q3" s="65"/>
      <c r="R3" s="65" t="s">
        <v>23</v>
      </c>
      <c r="S3" s="455" t="s">
        <v>17</v>
      </c>
      <c r="T3" s="42" t="str">
        <f>底稿目录!A2</f>
        <v>被审计单位名称：</v>
      </c>
      <c r="U3" s="37"/>
      <c r="V3" s="37"/>
      <c r="W3" s="37"/>
      <c r="X3" s="37"/>
      <c r="Y3" s="37"/>
      <c r="AB3" s="37" t="str">
        <f>底稿目录!A4</f>
        <v>编制人：</v>
      </c>
      <c r="AG3" s="41" t="str">
        <f>底稿目录!A5</f>
        <v>编制日期：</v>
      </c>
      <c r="AL3" s="65" t="s">
        <v>23</v>
      </c>
      <c r="AM3" s="455" t="s">
        <v>17</v>
      </c>
    </row>
    <row r="4" spans="1:39" ht="20.100000000000001" customHeight="1">
      <c r="A4" s="42" t="str">
        <f>底稿目录!A3</f>
        <v>截止日：202X年12月31日</v>
      </c>
      <c r="E4" s="37"/>
      <c r="F4" s="37" t="str">
        <f>底稿目录!A6</f>
        <v>复核人：</v>
      </c>
      <c r="G4" s="37"/>
      <c r="H4" s="37"/>
      <c r="I4" s="37"/>
      <c r="J4" s="41" t="str">
        <f>底稿目录!A7</f>
        <v>复核日期：</v>
      </c>
      <c r="K4" s="37"/>
      <c r="L4" s="37"/>
      <c r="M4" s="37"/>
      <c r="N4" s="37"/>
      <c r="Q4" s="65"/>
      <c r="R4" s="65" t="s">
        <v>24</v>
      </c>
      <c r="T4" s="42" t="str">
        <f>底稿目录!A3</f>
        <v>截止日：202X年12月31日</v>
      </c>
      <c r="U4" s="37"/>
      <c r="V4" s="37"/>
      <c r="W4" s="37"/>
      <c r="X4" s="37"/>
      <c r="Y4" s="37"/>
      <c r="AB4" s="37" t="str">
        <f>底稿目录!A6</f>
        <v>复核人：</v>
      </c>
      <c r="AG4" s="41" t="str">
        <f>底稿目录!A7</f>
        <v>复核日期：</v>
      </c>
      <c r="AL4" s="65" t="s">
        <v>24</v>
      </c>
    </row>
    <row r="5" spans="1:39" s="37" customFormat="1" ht="20.100000000000001" customHeight="1">
      <c r="A5" s="43" t="s">
        <v>398</v>
      </c>
      <c r="B5" s="44"/>
      <c r="C5" s="44"/>
      <c r="D5" s="44"/>
      <c r="O5" s="66"/>
    </row>
    <row r="6" spans="1:39" s="37" customFormat="1" ht="20.100000000000001" customHeight="1">
      <c r="A6" s="45" t="s">
        <v>399</v>
      </c>
      <c r="B6" s="46"/>
      <c r="C6" s="46"/>
      <c r="D6" s="46"/>
      <c r="AA6" s="46"/>
    </row>
    <row r="7" spans="1:39" s="37" customFormat="1" ht="20.100000000000001" customHeight="1">
      <c r="A7" s="47" t="s">
        <v>400</v>
      </c>
      <c r="Z7" s="70"/>
    </row>
    <row r="8" spans="1:39" s="37" customFormat="1" ht="20.100000000000001" customHeight="1">
      <c r="A8" s="451" t="s">
        <v>488</v>
      </c>
      <c r="B8" s="452"/>
      <c r="C8" s="452"/>
      <c r="D8" s="452"/>
      <c r="E8" s="453"/>
      <c r="F8" s="453"/>
      <c r="G8" s="453"/>
      <c r="H8" s="451" t="s">
        <v>489</v>
      </c>
    </row>
    <row r="9" spans="1:39" s="37" customFormat="1" ht="20.100000000000001" customHeight="1">
      <c r="A9" s="451" t="s">
        <v>490</v>
      </c>
      <c r="B9" s="452"/>
      <c r="C9" s="452"/>
      <c r="D9" s="452"/>
      <c r="E9" s="453"/>
      <c r="F9" s="453"/>
      <c r="G9" s="453"/>
      <c r="H9" s="451" t="s">
        <v>492</v>
      </c>
    </row>
    <row r="10" spans="1:39" s="37" customFormat="1" ht="20.100000000000001" customHeight="1">
      <c r="A10" s="451" t="s">
        <v>491</v>
      </c>
      <c r="B10" s="452"/>
      <c r="C10" s="452"/>
      <c r="D10" s="452"/>
      <c r="E10" s="453"/>
      <c r="F10" s="453"/>
      <c r="G10" s="453"/>
      <c r="H10" s="453"/>
    </row>
    <row r="11" spans="1:39" ht="20.100000000000001" customHeight="1">
      <c r="A11" s="525" t="s">
        <v>2</v>
      </c>
      <c r="B11" s="525" t="s">
        <v>401</v>
      </c>
      <c r="C11" s="520" t="s">
        <v>493</v>
      </c>
      <c r="D11" s="525" t="s">
        <v>402</v>
      </c>
      <c r="E11" s="525" t="s">
        <v>403</v>
      </c>
      <c r="F11" s="525" t="s">
        <v>404</v>
      </c>
      <c r="G11" s="525" t="s">
        <v>405</v>
      </c>
      <c r="H11" s="525" t="s">
        <v>406</v>
      </c>
      <c r="I11" s="525" t="s">
        <v>407</v>
      </c>
      <c r="J11" s="525"/>
      <c r="K11" s="525"/>
      <c r="L11" s="525"/>
      <c r="M11" s="525"/>
      <c r="N11" s="525"/>
      <c r="O11" s="525" t="s">
        <v>408</v>
      </c>
      <c r="P11" s="525" t="s">
        <v>409</v>
      </c>
      <c r="Q11" s="522" t="s">
        <v>494</v>
      </c>
      <c r="R11" s="523" t="s">
        <v>495</v>
      </c>
      <c r="S11" s="522" t="s">
        <v>496</v>
      </c>
      <c r="T11" s="525" t="s">
        <v>410</v>
      </c>
      <c r="U11" s="525"/>
      <c r="V11" s="525"/>
      <c r="W11" s="525"/>
      <c r="X11" s="525"/>
      <c r="Y11" s="525"/>
      <c r="Z11" s="525" t="s">
        <v>97</v>
      </c>
      <c r="AA11" s="525" t="s">
        <v>98</v>
      </c>
      <c r="AB11" s="525" t="s">
        <v>411</v>
      </c>
      <c r="AC11" s="525" t="s">
        <v>412</v>
      </c>
      <c r="AD11" s="525"/>
      <c r="AE11" s="525"/>
      <c r="AF11" s="525"/>
      <c r="AG11" s="525"/>
      <c r="AH11" s="525"/>
      <c r="AI11" s="525" t="s">
        <v>413</v>
      </c>
      <c r="AJ11" s="525" t="s">
        <v>365</v>
      </c>
      <c r="AK11" s="526" t="s">
        <v>414</v>
      </c>
      <c r="AL11" s="526" t="s">
        <v>415</v>
      </c>
      <c r="AM11" s="527" t="s">
        <v>416</v>
      </c>
    </row>
    <row r="12" spans="1:39" ht="20.100000000000001" customHeight="1">
      <c r="A12" s="525"/>
      <c r="B12" s="525"/>
      <c r="C12" s="521"/>
      <c r="D12" s="525"/>
      <c r="E12" s="525"/>
      <c r="F12" s="531"/>
      <c r="G12" s="531"/>
      <c r="H12" s="525"/>
      <c r="I12" s="48" t="s">
        <v>257</v>
      </c>
      <c r="J12" s="48" t="s">
        <v>292</v>
      </c>
      <c r="K12" s="48" t="s">
        <v>293</v>
      </c>
      <c r="L12" s="48" t="s">
        <v>294</v>
      </c>
      <c r="M12" s="48" t="s">
        <v>295</v>
      </c>
      <c r="N12" s="48" t="s">
        <v>266</v>
      </c>
      <c r="O12" s="525"/>
      <c r="P12" s="525"/>
      <c r="Q12" s="522" t="s">
        <v>497</v>
      </c>
      <c r="R12" s="524"/>
      <c r="S12" s="522" t="s">
        <v>497</v>
      </c>
      <c r="T12" s="48" t="s">
        <v>257</v>
      </c>
      <c r="U12" s="48" t="s">
        <v>292</v>
      </c>
      <c r="V12" s="48" t="s">
        <v>293</v>
      </c>
      <c r="W12" s="48" t="s">
        <v>294</v>
      </c>
      <c r="X12" s="48" t="s">
        <v>295</v>
      </c>
      <c r="Y12" s="48" t="s">
        <v>266</v>
      </c>
      <c r="Z12" s="525"/>
      <c r="AA12" s="525"/>
      <c r="AB12" s="525"/>
      <c r="AC12" s="48" t="s">
        <v>257</v>
      </c>
      <c r="AD12" s="48" t="s">
        <v>292</v>
      </c>
      <c r="AE12" s="48" t="s">
        <v>293</v>
      </c>
      <c r="AF12" s="48" t="s">
        <v>294</v>
      </c>
      <c r="AG12" s="48" t="s">
        <v>295</v>
      </c>
      <c r="AH12" s="48" t="s">
        <v>266</v>
      </c>
      <c r="AI12" s="525"/>
      <c r="AJ12" s="525"/>
      <c r="AK12" s="526"/>
      <c r="AL12" s="526"/>
      <c r="AM12" s="528"/>
    </row>
    <row r="13" spans="1:39" ht="20.100000000000001" customHeight="1">
      <c r="A13" s="446">
        <v>1</v>
      </c>
      <c r="B13" s="49"/>
      <c r="C13" s="49"/>
      <c r="D13" s="49"/>
      <c r="E13" s="50"/>
      <c r="F13" s="50"/>
      <c r="G13" s="50"/>
      <c r="H13" s="50"/>
      <c r="I13" s="50"/>
      <c r="J13" s="50"/>
      <c r="K13" s="50"/>
      <c r="L13" s="50"/>
      <c r="M13" s="50"/>
      <c r="N13" s="50"/>
      <c r="O13" s="50"/>
      <c r="P13" s="50"/>
      <c r="Q13" s="454">
        <f>E13+O13-P13</f>
        <v>0</v>
      </c>
      <c r="R13" s="50"/>
      <c r="S13" s="53">
        <f>Q13+R13</f>
        <v>0</v>
      </c>
      <c r="T13" s="71"/>
      <c r="U13" s="71"/>
      <c r="V13" s="71"/>
      <c r="W13" s="71"/>
      <c r="X13" s="71"/>
      <c r="Y13" s="71"/>
      <c r="Z13" s="50"/>
      <c r="AA13" s="50"/>
      <c r="AB13" s="53">
        <f t="shared" ref="AB13:AB25" si="0">S13+Z13+AA13</f>
        <v>0</v>
      </c>
      <c r="AC13" s="50"/>
      <c r="AD13" s="72"/>
      <c r="AE13" s="50"/>
      <c r="AF13" s="50"/>
      <c r="AG13" s="50"/>
      <c r="AH13" s="50"/>
      <c r="AI13" s="73" t="s">
        <v>417</v>
      </c>
      <c r="AJ13" s="73" t="s">
        <v>417</v>
      </c>
      <c r="AK13" s="49"/>
      <c r="AL13" s="80"/>
      <c r="AM13" s="80"/>
    </row>
    <row r="14" spans="1:39" ht="20.100000000000001" customHeight="1">
      <c r="A14" s="446">
        <v>2</v>
      </c>
      <c r="B14" s="49"/>
      <c r="C14" s="49"/>
      <c r="D14" s="49"/>
      <c r="E14" s="50"/>
      <c r="F14" s="50"/>
      <c r="G14" s="50"/>
      <c r="H14" s="50"/>
      <c r="I14" s="50"/>
      <c r="J14" s="50"/>
      <c r="K14" s="50"/>
      <c r="L14" s="50"/>
      <c r="M14" s="50"/>
      <c r="N14" s="50"/>
      <c r="O14" s="50"/>
      <c r="P14" s="50"/>
      <c r="Q14" s="454">
        <f t="shared" ref="Q14:Q25" si="1">E14+O14-P14</f>
        <v>0</v>
      </c>
      <c r="R14" s="50"/>
      <c r="S14" s="53">
        <f t="shared" ref="S14:S25" si="2">Q14+R14</f>
        <v>0</v>
      </c>
      <c r="T14" s="71"/>
      <c r="U14" s="71"/>
      <c r="V14" s="71"/>
      <c r="W14" s="71"/>
      <c r="X14" s="71"/>
      <c r="Y14" s="71"/>
      <c r="Z14" s="50"/>
      <c r="AA14" s="50"/>
      <c r="AB14" s="53">
        <f t="shared" si="0"/>
        <v>0</v>
      </c>
      <c r="AC14" s="50"/>
      <c r="AD14" s="72"/>
      <c r="AE14" s="50"/>
      <c r="AF14" s="50"/>
      <c r="AG14" s="50"/>
      <c r="AH14" s="50"/>
      <c r="AI14" s="73" t="s">
        <v>106</v>
      </c>
      <c r="AJ14" s="73" t="s">
        <v>418</v>
      </c>
      <c r="AK14" s="49"/>
      <c r="AL14" s="80"/>
      <c r="AM14" s="80"/>
    </row>
    <row r="15" spans="1:39" s="38" customFormat="1" ht="20.100000000000001" customHeight="1">
      <c r="A15" s="446">
        <v>3</v>
      </c>
      <c r="B15" s="49"/>
      <c r="C15" s="49"/>
      <c r="D15" s="49"/>
      <c r="E15" s="50"/>
      <c r="F15" s="50"/>
      <c r="G15" s="50"/>
      <c r="H15" s="50"/>
      <c r="I15" s="50"/>
      <c r="J15" s="50"/>
      <c r="K15" s="50"/>
      <c r="L15" s="50"/>
      <c r="M15" s="50"/>
      <c r="N15" s="50"/>
      <c r="O15" s="50"/>
      <c r="P15" s="50"/>
      <c r="Q15" s="454">
        <f t="shared" si="1"/>
        <v>0</v>
      </c>
      <c r="R15" s="50"/>
      <c r="S15" s="53">
        <f t="shared" si="2"/>
        <v>0</v>
      </c>
      <c r="T15" s="71"/>
      <c r="U15" s="71"/>
      <c r="V15" s="71"/>
      <c r="W15" s="71"/>
      <c r="X15" s="71"/>
      <c r="Y15" s="71"/>
      <c r="Z15" s="50"/>
      <c r="AA15" s="50"/>
      <c r="AB15" s="53">
        <f t="shared" si="0"/>
        <v>0</v>
      </c>
      <c r="AC15" s="50"/>
      <c r="AD15" s="72"/>
      <c r="AE15" s="50"/>
      <c r="AF15" s="50"/>
      <c r="AG15" s="50"/>
      <c r="AH15" s="50"/>
      <c r="AI15" s="73" t="s">
        <v>106</v>
      </c>
      <c r="AJ15" s="73" t="s">
        <v>419</v>
      </c>
      <c r="AK15" s="49"/>
      <c r="AL15" s="81"/>
      <c r="AM15" s="81"/>
    </row>
    <row r="16" spans="1:39" s="38" customFormat="1" ht="20.100000000000001" customHeight="1">
      <c r="A16" s="446">
        <v>4</v>
      </c>
      <c r="B16" s="49"/>
      <c r="C16" s="49"/>
      <c r="D16" s="49"/>
      <c r="E16" s="50"/>
      <c r="F16" s="50"/>
      <c r="G16" s="50"/>
      <c r="H16" s="50"/>
      <c r="I16" s="50"/>
      <c r="J16" s="50"/>
      <c r="K16" s="50"/>
      <c r="L16" s="50"/>
      <c r="M16" s="50"/>
      <c r="N16" s="50"/>
      <c r="O16" s="50"/>
      <c r="P16" s="50"/>
      <c r="Q16" s="454">
        <f t="shared" si="1"/>
        <v>0</v>
      </c>
      <c r="R16" s="50"/>
      <c r="S16" s="53">
        <f t="shared" si="2"/>
        <v>0</v>
      </c>
      <c r="T16" s="71"/>
      <c r="U16" s="71"/>
      <c r="V16" s="71"/>
      <c r="W16" s="71"/>
      <c r="X16" s="71"/>
      <c r="Y16" s="71"/>
      <c r="Z16" s="50"/>
      <c r="AA16" s="50"/>
      <c r="AB16" s="53">
        <f t="shared" si="0"/>
        <v>0</v>
      </c>
      <c r="AC16" s="50"/>
      <c r="AD16" s="72"/>
      <c r="AE16" s="50"/>
      <c r="AF16" s="50"/>
      <c r="AG16" s="50"/>
      <c r="AH16" s="50"/>
      <c r="AI16" s="73" t="s">
        <v>106</v>
      </c>
      <c r="AJ16" s="73" t="s">
        <v>420</v>
      </c>
      <c r="AK16" s="49"/>
      <c r="AL16" s="81"/>
      <c r="AM16" s="81"/>
    </row>
    <row r="17" spans="1:39" s="38" customFormat="1" ht="20.100000000000001" customHeight="1">
      <c r="A17" s="446">
        <v>5</v>
      </c>
      <c r="B17" s="49"/>
      <c r="C17" s="49"/>
      <c r="D17" s="49"/>
      <c r="E17" s="50"/>
      <c r="F17" s="50"/>
      <c r="G17" s="50"/>
      <c r="H17" s="50"/>
      <c r="I17" s="50"/>
      <c r="J17" s="50"/>
      <c r="K17" s="50"/>
      <c r="L17" s="50"/>
      <c r="M17" s="50"/>
      <c r="N17" s="50"/>
      <c r="O17" s="50"/>
      <c r="P17" s="50"/>
      <c r="Q17" s="454">
        <f t="shared" si="1"/>
        <v>0</v>
      </c>
      <c r="R17" s="50"/>
      <c r="S17" s="53">
        <f t="shared" si="2"/>
        <v>0</v>
      </c>
      <c r="T17" s="71"/>
      <c r="U17" s="71"/>
      <c r="V17" s="71"/>
      <c r="W17" s="71"/>
      <c r="X17" s="71"/>
      <c r="Y17" s="71"/>
      <c r="Z17" s="50"/>
      <c r="AA17" s="50"/>
      <c r="AB17" s="53">
        <f t="shared" si="0"/>
        <v>0</v>
      </c>
      <c r="AC17" s="50"/>
      <c r="AD17" s="72"/>
      <c r="AE17" s="50"/>
      <c r="AF17" s="50"/>
      <c r="AG17" s="50"/>
      <c r="AH17" s="50"/>
      <c r="AI17" s="73" t="s">
        <v>106</v>
      </c>
      <c r="AJ17" s="73" t="s">
        <v>421</v>
      </c>
      <c r="AK17" s="49"/>
      <c r="AL17" s="81"/>
      <c r="AM17" s="81"/>
    </row>
    <row r="18" spans="1:39" s="38" customFormat="1" ht="20.100000000000001" customHeight="1">
      <c r="A18" s="446">
        <v>6</v>
      </c>
      <c r="B18" s="49"/>
      <c r="C18" s="49"/>
      <c r="D18" s="49"/>
      <c r="E18" s="50"/>
      <c r="F18" s="50"/>
      <c r="G18" s="50"/>
      <c r="H18" s="50"/>
      <c r="I18" s="50"/>
      <c r="J18" s="50"/>
      <c r="K18" s="50"/>
      <c r="L18" s="50"/>
      <c r="M18" s="50"/>
      <c r="N18" s="50"/>
      <c r="O18" s="50"/>
      <c r="P18" s="50"/>
      <c r="Q18" s="454">
        <f t="shared" si="1"/>
        <v>0</v>
      </c>
      <c r="R18" s="50"/>
      <c r="S18" s="53">
        <f t="shared" si="2"/>
        <v>0</v>
      </c>
      <c r="T18" s="71"/>
      <c r="U18" s="71"/>
      <c r="V18" s="71"/>
      <c r="W18" s="71"/>
      <c r="X18" s="71"/>
      <c r="Y18" s="71"/>
      <c r="Z18" s="50"/>
      <c r="AA18" s="50"/>
      <c r="AB18" s="53">
        <f t="shared" si="0"/>
        <v>0</v>
      </c>
      <c r="AC18" s="50"/>
      <c r="AD18" s="72"/>
      <c r="AE18" s="50"/>
      <c r="AF18" s="50"/>
      <c r="AG18" s="50"/>
      <c r="AH18" s="50"/>
      <c r="AI18" s="73" t="s">
        <v>106</v>
      </c>
      <c r="AJ18" s="73" t="s">
        <v>422</v>
      </c>
      <c r="AK18" s="49"/>
      <c r="AL18" s="81"/>
      <c r="AM18" s="81"/>
    </row>
    <row r="19" spans="1:39" s="38" customFormat="1" ht="20.100000000000001" customHeight="1">
      <c r="A19" s="446">
        <v>7</v>
      </c>
      <c r="B19" s="49"/>
      <c r="C19" s="49"/>
      <c r="D19" s="49"/>
      <c r="E19" s="50"/>
      <c r="F19" s="50"/>
      <c r="G19" s="50"/>
      <c r="H19" s="50"/>
      <c r="I19" s="50"/>
      <c r="J19" s="50"/>
      <c r="K19" s="50"/>
      <c r="L19" s="50"/>
      <c r="M19" s="50"/>
      <c r="N19" s="50"/>
      <c r="O19" s="50"/>
      <c r="P19" s="50"/>
      <c r="Q19" s="454">
        <f t="shared" si="1"/>
        <v>0</v>
      </c>
      <c r="R19" s="50"/>
      <c r="S19" s="53">
        <f t="shared" si="2"/>
        <v>0</v>
      </c>
      <c r="T19" s="71"/>
      <c r="U19" s="71"/>
      <c r="V19" s="71"/>
      <c r="W19" s="71"/>
      <c r="X19" s="71"/>
      <c r="Y19" s="71"/>
      <c r="Z19" s="50"/>
      <c r="AA19" s="50"/>
      <c r="AB19" s="53">
        <f t="shared" si="0"/>
        <v>0</v>
      </c>
      <c r="AC19" s="50"/>
      <c r="AD19" s="72"/>
      <c r="AE19" s="50"/>
      <c r="AF19" s="50"/>
      <c r="AG19" s="50"/>
      <c r="AH19" s="50"/>
      <c r="AI19" s="73"/>
      <c r="AJ19" s="73"/>
      <c r="AK19" s="49"/>
      <c r="AL19" s="81"/>
      <c r="AM19" s="81"/>
    </row>
    <row r="20" spans="1:39" s="38" customFormat="1" ht="20.100000000000001" customHeight="1">
      <c r="A20" s="446">
        <v>8</v>
      </c>
      <c r="B20" s="49"/>
      <c r="C20" s="49"/>
      <c r="D20" s="49"/>
      <c r="E20" s="50"/>
      <c r="F20" s="50"/>
      <c r="G20" s="50"/>
      <c r="H20" s="50"/>
      <c r="I20" s="50"/>
      <c r="J20" s="50"/>
      <c r="K20" s="50"/>
      <c r="L20" s="50"/>
      <c r="M20" s="50"/>
      <c r="N20" s="50"/>
      <c r="O20" s="50"/>
      <c r="P20" s="50"/>
      <c r="Q20" s="454">
        <f t="shared" si="1"/>
        <v>0</v>
      </c>
      <c r="R20" s="50"/>
      <c r="S20" s="53">
        <f t="shared" si="2"/>
        <v>0</v>
      </c>
      <c r="T20" s="71"/>
      <c r="U20" s="71"/>
      <c r="V20" s="71"/>
      <c r="W20" s="71"/>
      <c r="X20" s="71"/>
      <c r="Y20" s="71"/>
      <c r="Z20" s="50"/>
      <c r="AA20" s="50"/>
      <c r="AB20" s="53">
        <f t="shared" si="0"/>
        <v>0</v>
      </c>
      <c r="AC20" s="50"/>
      <c r="AD20" s="72"/>
      <c r="AE20" s="50"/>
      <c r="AF20" s="50"/>
      <c r="AG20" s="50"/>
      <c r="AH20" s="50"/>
      <c r="AI20" s="73"/>
      <c r="AJ20" s="73"/>
      <c r="AK20" s="49"/>
      <c r="AL20" s="81"/>
      <c r="AM20" s="81"/>
    </row>
    <row r="21" spans="1:39" s="38" customFormat="1" ht="20.100000000000001" customHeight="1">
      <c r="A21" s="446">
        <v>9</v>
      </c>
      <c r="B21" s="49"/>
      <c r="C21" s="49"/>
      <c r="D21" s="49"/>
      <c r="E21" s="50"/>
      <c r="F21" s="50"/>
      <c r="G21" s="50"/>
      <c r="H21" s="50"/>
      <c r="I21" s="50"/>
      <c r="J21" s="50"/>
      <c r="K21" s="50"/>
      <c r="L21" s="50"/>
      <c r="M21" s="50"/>
      <c r="N21" s="50"/>
      <c r="O21" s="50"/>
      <c r="P21" s="50"/>
      <c r="Q21" s="454">
        <f t="shared" si="1"/>
        <v>0</v>
      </c>
      <c r="R21" s="50"/>
      <c r="S21" s="53">
        <f t="shared" si="2"/>
        <v>0</v>
      </c>
      <c r="T21" s="71"/>
      <c r="U21" s="71"/>
      <c r="V21" s="71"/>
      <c r="W21" s="71"/>
      <c r="X21" s="71"/>
      <c r="Y21" s="71"/>
      <c r="Z21" s="50"/>
      <c r="AA21" s="50"/>
      <c r="AB21" s="53">
        <f t="shared" si="0"/>
        <v>0</v>
      </c>
      <c r="AC21" s="50"/>
      <c r="AD21" s="72"/>
      <c r="AE21" s="50"/>
      <c r="AF21" s="50"/>
      <c r="AG21" s="50"/>
      <c r="AH21" s="50"/>
      <c r="AI21" s="73"/>
      <c r="AJ21" s="73"/>
      <c r="AK21" s="49"/>
      <c r="AL21" s="81"/>
      <c r="AM21" s="81"/>
    </row>
    <row r="22" spans="1:39" s="38" customFormat="1" ht="20.100000000000001" customHeight="1">
      <c r="A22" s="446">
        <v>10</v>
      </c>
      <c r="B22" s="49"/>
      <c r="C22" s="49"/>
      <c r="D22" s="49"/>
      <c r="E22" s="50"/>
      <c r="F22" s="50"/>
      <c r="G22" s="50"/>
      <c r="H22" s="50"/>
      <c r="I22" s="50"/>
      <c r="J22" s="50"/>
      <c r="K22" s="50"/>
      <c r="L22" s="50"/>
      <c r="M22" s="50"/>
      <c r="N22" s="50"/>
      <c r="O22" s="50"/>
      <c r="P22" s="50"/>
      <c r="Q22" s="454">
        <f t="shared" si="1"/>
        <v>0</v>
      </c>
      <c r="R22" s="50"/>
      <c r="S22" s="53">
        <f t="shared" si="2"/>
        <v>0</v>
      </c>
      <c r="T22" s="71"/>
      <c r="U22" s="71"/>
      <c r="V22" s="71"/>
      <c r="W22" s="71"/>
      <c r="X22" s="71"/>
      <c r="Y22" s="71"/>
      <c r="Z22" s="50"/>
      <c r="AA22" s="50"/>
      <c r="AB22" s="53">
        <f t="shared" si="0"/>
        <v>0</v>
      </c>
      <c r="AC22" s="50"/>
      <c r="AD22" s="72"/>
      <c r="AE22" s="50"/>
      <c r="AF22" s="50"/>
      <c r="AG22" s="50"/>
      <c r="AH22" s="50"/>
      <c r="AI22" s="73"/>
      <c r="AJ22" s="73"/>
      <c r="AK22" s="49"/>
      <c r="AL22" s="81"/>
      <c r="AM22" s="81"/>
    </row>
    <row r="23" spans="1:39" s="38" customFormat="1" ht="20.100000000000001" customHeight="1">
      <c r="A23" s="446">
        <v>11</v>
      </c>
      <c r="B23" s="49"/>
      <c r="C23" s="49"/>
      <c r="D23" s="49"/>
      <c r="E23" s="50"/>
      <c r="F23" s="50"/>
      <c r="G23" s="50"/>
      <c r="H23" s="50"/>
      <c r="I23" s="50"/>
      <c r="J23" s="50"/>
      <c r="K23" s="50"/>
      <c r="L23" s="50"/>
      <c r="M23" s="50"/>
      <c r="N23" s="50"/>
      <c r="O23" s="50"/>
      <c r="P23" s="50"/>
      <c r="Q23" s="454">
        <f t="shared" si="1"/>
        <v>0</v>
      </c>
      <c r="R23" s="50"/>
      <c r="S23" s="53">
        <f t="shared" si="2"/>
        <v>0</v>
      </c>
      <c r="T23" s="71"/>
      <c r="U23" s="71"/>
      <c r="V23" s="71"/>
      <c r="W23" s="71"/>
      <c r="X23" s="71"/>
      <c r="Y23" s="71"/>
      <c r="Z23" s="50"/>
      <c r="AA23" s="50"/>
      <c r="AB23" s="53">
        <f t="shared" si="0"/>
        <v>0</v>
      </c>
      <c r="AC23" s="50"/>
      <c r="AD23" s="72"/>
      <c r="AE23" s="50"/>
      <c r="AF23" s="50"/>
      <c r="AG23" s="50"/>
      <c r="AH23" s="50"/>
      <c r="AI23" s="73"/>
      <c r="AJ23" s="73"/>
      <c r="AK23" s="49"/>
      <c r="AL23" s="81"/>
      <c r="AM23" s="81"/>
    </row>
    <row r="24" spans="1:39" ht="20.100000000000001" customHeight="1">
      <c r="A24" s="446">
        <v>12</v>
      </c>
      <c r="B24" s="49"/>
      <c r="C24" s="49"/>
      <c r="D24" s="49"/>
      <c r="E24" s="50"/>
      <c r="F24" s="50"/>
      <c r="G24" s="50"/>
      <c r="H24" s="50"/>
      <c r="I24" s="50"/>
      <c r="J24" s="50"/>
      <c r="K24" s="50"/>
      <c r="L24" s="50"/>
      <c r="M24" s="50"/>
      <c r="N24" s="50"/>
      <c r="O24" s="50"/>
      <c r="P24" s="50"/>
      <c r="Q24" s="454">
        <f t="shared" si="1"/>
        <v>0</v>
      </c>
      <c r="R24" s="50"/>
      <c r="S24" s="53">
        <f t="shared" si="2"/>
        <v>0</v>
      </c>
      <c r="T24" s="71"/>
      <c r="U24" s="71"/>
      <c r="V24" s="71"/>
      <c r="W24" s="71"/>
      <c r="X24" s="71"/>
      <c r="Y24" s="71"/>
      <c r="Z24" s="50"/>
      <c r="AA24" s="50"/>
      <c r="AB24" s="53">
        <f t="shared" si="0"/>
        <v>0</v>
      </c>
      <c r="AC24" s="50"/>
      <c r="AD24" s="72"/>
      <c r="AE24" s="50"/>
      <c r="AF24" s="50"/>
      <c r="AG24" s="50"/>
      <c r="AH24" s="50"/>
      <c r="AI24" s="73"/>
      <c r="AJ24" s="73"/>
      <c r="AK24" s="49"/>
      <c r="AL24" s="80"/>
      <c r="AM24" s="80"/>
    </row>
    <row r="25" spans="1:39" ht="20.100000000000001" customHeight="1">
      <c r="A25" s="446" t="s">
        <v>166</v>
      </c>
      <c r="B25" s="49"/>
      <c r="C25" s="49"/>
      <c r="D25" s="49"/>
      <c r="E25" s="50"/>
      <c r="F25" s="50"/>
      <c r="G25" s="50"/>
      <c r="H25" s="50"/>
      <c r="I25" s="50"/>
      <c r="J25" s="50"/>
      <c r="K25" s="50"/>
      <c r="L25" s="50"/>
      <c r="M25" s="50"/>
      <c r="N25" s="50"/>
      <c r="O25" s="50"/>
      <c r="P25" s="50"/>
      <c r="Q25" s="454">
        <f t="shared" si="1"/>
        <v>0</v>
      </c>
      <c r="R25" s="50"/>
      <c r="S25" s="53">
        <f t="shared" si="2"/>
        <v>0</v>
      </c>
      <c r="T25" s="71"/>
      <c r="U25" s="71"/>
      <c r="V25" s="71"/>
      <c r="W25" s="71"/>
      <c r="X25" s="71"/>
      <c r="Y25" s="71"/>
      <c r="Z25" s="50"/>
      <c r="AA25" s="50"/>
      <c r="AB25" s="53">
        <f t="shared" si="0"/>
        <v>0</v>
      </c>
      <c r="AC25" s="50"/>
      <c r="AD25" s="72"/>
      <c r="AE25" s="50"/>
      <c r="AF25" s="50"/>
      <c r="AG25" s="50"/>
      <c r="AH25" s="50"/>
      <c r="AI25" s="73"/>
      <c r="AJ25" s="73"/>
      <c r="AK25" s="49"/>
      <c r="AL25" s="80"/>
      <c r="AM25" s="80"/>
    </row>
    <row r="26" spans="1:39" s="39" customFormat="1" ht="20.100000000000001" customHeight="1">
      <c r="A26" s="51" t="s">
        <v>111</v>
      </c>
      <c r="B26" s="52"/>
      <c r="C26" s="52"/>
      <c r="D26" s="52"/>
      <c r="E26" s="53">
        <f>SUM(E13:E25)</f>
        <v>0</v>
      </c>
      <c r="F26" s="53">
        <f t="shared" ref="F26:H26" si="3">SUM(F13:F25)</f>
        <v>0</v>
      </c>
      <c r="G26" s="53">
        <f t="shared" si="3"/>
        <v>0</v>
      </c>
      <c r="H26" s="53">
        <f t="shared" si="3"/>
        <v>0</v>
      </c>
      <c r="I26" s="53">
        <f t="shared" ref="I26:J26" si="4">SUM(I13:I25)</f>
        <v>0</v>
      </c>
      <c r="J26" s="53">
        <f t="shared" si="4"/>
        <v>0</v>
      </c>
      <c r="K26" s="53">
        <f t="shared" ref="K26" si="5">SUM(K13:K25)</f>
        <v>0</v>
      </c>
      <c r="L26" s="53">
        <f t="shared" ref="L26:M26" si="6">SUM(L13:L25)</f>
        <v>0</v>
      </c>
      <c r="M26" s="53">
        <f t="shared" si="6"/>
        <v>0</v>
      </c>
      <c r="N26" s="53">
        <f t="shared" ref="N26:O26" si="7">SUM(N13:N25)</f>
        <v>0</v>
      </c>
      <c r="O26" s="53">
        <f t="shared" si="7"/>
        <v>0</v>
      </c>
      <c r="P26" s="53">
        <f t="shared" ref="P26:R26" si="8">SUM(P13:P25)</f>
        <v>0</v>
      </c>
      <c r="Q26" s="53">
        <f t="shared" si="8"/>
        <v>0</v>
      </c>
      <c r="R26" s="53">
        <f t="shared" si="8"/>
        <v>0</v>
      </c>
      <c r="S26" s="53">
        <f>SUM(S13:S25)</f>
        <v>0</v>
      </c>
      <c r="T26" s="53">
        <f t="shared" ref="T26:Y26" si="9">SUM(T13:T25)</f>
        <v>0</v>
      </c>
      <c r="U26" s="53">
        <f t="shared" si="9"/>
        <v>0</v>
      </c>
      <c r="V26" s="53">
        <f t="shared" si="9"/>
        <v>0</v>
      </c>
      <c r="W26" s="53">
        <f t="shared" si="9"/>
        <v>0</v>
      </c>
      <c r="X26" s="53">
        <f t="shared" si="9"/>
        <v>0</v>
      </c>
      <c r="Y26" s="53">
        <f t="shared" si="9"/>
        <v>0</v>
      </c>
      <c r="Z26" s="53">
        <f t="shared" ref="Z26" si="10">SUM(Z13:Z25)</f>
        <v>0</v>
      </c>
      <c r="AA26" s="53">
        <f t="shared" ref="AA26:AB26" si="11">SUM(AA13:AA25)</f>
        <v>0</v>
      </c>
      <c r="AB26" s="53">
        <f t="shared" si="11"/>
        <v>0</v>
      </c>
      <c r="AC26" s="53">
        <f t="shared" ref="AC26" si="12">SUM(AC13:AC25)</f>
        <v>0</v>
      </c>
      <c r="AD26" s="53">
        <f t="shared" ref="AD26" si="13">SUM(AD13:AD25)</f>
        <v>0</v>
      </c>
      <c r="AE26" s="53">
        <f t="shared" ref="AE26" si="14">SUM(AE13:AE25)</f>
        <v>0</v>
      </c>
      <c r="AF26" s="53">
        <f t="shared" ref="AF26" si="15">SUM(AF13:AF25)</f>
        <v>0</v>
      </c>
      <c r="AG26" s="53">
        <f t="shared" ref="AG26" si="16">SUM(AG13:AG25)</f>
        <v>0</v>
      </c>
      <c r="AH26" s="53">
        <f t="shared" ref="AH26" si="17">SUM(AH13:AH25)</f>
        <v>0</v>
      </c>
      <c r="AI26" s="74"/>
      <c r="AJ26" s="74"/>
      <c r="AK26" s="74"/>
      <c r="AL26" s="74"/>
      <c r="AM26" s="74"/>
    </row>
    <row r="27" spans="1:39" s="40" customFormat="1" ht="20.100000000000001" customHeight="1">
      <c r="A27" s="54" t="s">
        <v>423</v>
      </c>
      <c r="B27" s="54"/>
      <c r="C27" s="54"/>
      <c r="D27" s="54"/>
      <c r="E27" s="55"/>
      <c r="F27" s="55"/>
      <c r="G27" s="55"/>
      <c r="H27" s="56" t="str">
        <f>IF((H26-SUM(I26:N26)=0),"OK","账龄与审定不匹配")</f>
        <v>OK</v>
      </c>
      <c r="I27" s="57" t="e">
        <f>ROUND(I26/$H$26,4)</f>
        <v>#DIV/0!</v>
      </c>
      <c r="J27" s="57" t="e">
        <f t="shared" ref="J27:N27" si="18">ROUND(J26/$H$26,4)</f>
        <v>#DIV/0!</v>
      </c>
      <c r="K27" s="57" t="e">
        <f t="shared" si="18"/>
        <v>#DIV/0!</v>
      </c>
      <c r="L27" s="57" t="e">
        <f t="shared" si="18"/>
        <v>#DIV/0!</v>
      </c>
      <c r="M27" s="57" t="e">
        <f t="shared" si="18"/>
        <v>#DIV/0!</v>
      </c>
      <c r="N27" s="57" t="e">
        <f t="shared" si="18"/>
        <v>#DIV/0!</v>
      </c>
      <c r="O27" s="67"/>
      <c r="P27" s="67"/>
      <c r="Q27" s="67"/>
      <c r="R27" s="67"/>
      <c r="S27" s="68" t="str">
        <f>IF((S26=E26+O26-P26),"OK","否")</f>
        <v>OK</v>
      </c>
      <c r="T27" s="57" t="e">
        <f t="shared" ref="T27:Y27" si="19">ROUND(T26/$S$26,4)</f>
        <v>#DIV/0!</v>
      </c>
      <c r="U27" s="57" t="e">
        <f t="shared" si="19"/>
        <v>#DIV/0!</v>
      </c>
      <c r="V27" s="57" t="e">
        <f t="shared" si="19"/>
        <v>#DIV/0!</v>
      </c>
      <c r="W27" s="57" t="e">
        <f t="shared" si="19"/>
        <v>#DIV/0!</v>
      </c>
      <c r="X27" s="57" t="e">
        <f t="shared" si="19"/>
        <v>#DIV/0!</v>
      </c>
      <c r="Y27" s="57" t="e">
        <f t="shared" si="19"/>
        <v>#DIV/0!</v>
      </c>
      <c r="Z27" s="67"/>
      <c r="AA27" s="67"/>
      <c r="AB27" s="68" t="str">
        <f>IF((AB26-SUM(AC26:AH26)=0),"OK","账龄与审定不匹配")</f>
        <v>OK</v>
      </c>
      <c r="AC27" s="75" t="e">
        <f>ROUND(AC26/$AB$26,4)</f>
        <v>#DIV/0!</v>
      </c>
      <c r="AD27" s="75" t="e">
        <f t="shared" ref="AD27:AH27" si="20">ROUND(AD26/$AB$26,4)</f>
        <v>#DIV/0!</v>
      </c>
      <c r="AE27" s="75" t="e">
        <f t="shared" si="20"/>
        <v>#DIV/0!</v>
      </c>
      <c r="AF27" s="75" t="e">
        <f t="shared" si="20"/>
        <v>#DIV/0!</v>
      </c>
      <c r="AG27" s="75" t="e">
        <f t="shared" si="20"/>
        <v>#DIV/0!</v>
      </c>
      <c r="AH27" s="75" t="e">
        <f t="shared" si="20"/>
        <v>#DIV/0!</v>
      </c>
      <c r="AI27" s="76"/>
      <c r="AJ27" s="76"/>
      <c r="AK27" s="76"/>
      <c r="AL27" s="76"/>
      <c r="AM27" s="76"/>
    </row>
    <row r="28" spans="1:39" s="40" customFormat="1" ht="20.100000000000001" customHeight="1">
      <c r="A28" s="58" t="s">
        <v>424</v>
      </c>
      <c r="B28" s="58"/>
      <c r="C28" s="58"/>
      <c r="D28" s="58"/>
      <c r="E28" s="59"/>
      <c r="F28" s="59"/>
      <c r="G28" s="59"/>
      <c r="H28" s="56"/>
      <c r="I28" s="60"/>
      <c r="J28" s="60"/>
      <c r="K28" s="60"/>
      <c r="L28" s="60"/>
      <c r="M28" s="60"/>
      <c r="N28" s="60"/>
      <c r="O28" s="69"/>
      <c r="P28" s="69"/>
      <c r="Q28" s="69"/>
      <c r="R28" s="69"/>
      <c r="S28" s="56"/>
      <c r="T28" s="56"/>
      <c r="U28" s="56"/>
      <c r="V28" s="56"/>
      <c r="W28" s="56"/>
      <c r="X28" s="56"/>
      <c r="Y28" s="56"/>
      <c r="Z28" s="69"/>
      <c r="AA28" s="69"/>
      <c r="AB28" s="56"/>
      <c r="AC28" s="77"/>
      <c r="AD28" s="78" t="b">
        <f>IF(AD26&lt;=T26,TRUE,FALSE)</f>
        <v>1</v>
      </c>
      <c r="AE28" s="78" t="b">
        <f>IF(AE26&lt;=J26,TRUE,FALSE)</f>
        <v>1</v>
      </c>
      <c r="AF28" s="78" t="b">
        <f>IF(AF26&lt;=K26,TRUE,FALSE)</f>
        <v>1</v>
      </c>
      <c r="AG28" s="78" t="b">
        <f>IF(AG26&lt;=L26,TRUE,FALSE)</f>
        <v>1</v>
      </c>
      <c r="AH28" s="78" t="b">
        <f>IF(AH26&lt;=(M26+N26),TRUE,FALSE)</f>
        <v>1</v>
      </c>
      <c r="AI28" s="79"/>
      <c r="AJ28" s="79"/>
      <c r="AK28" s="79"/>
      <c r="AL28" s="79"/>
      <c r="AM28" s="79"/>
    </row>
    <row r="29" spans="1:39" ht="20.100000000000001" customHeight="1">
      <c r="A29" s="61" t="s">
        <v>425</v>
      </c>
      <c r="B29" s="62"/>
      <c r="C29" s="62"/>
      <c r="D29" s="62"/>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row>
    <row r="30" spans="1:39" ht="20.100000000000001" customHeight="1">
      <c r="A30" s="64"/>
      <c r="B30" s="62"/>
      <c r="C30" s="62"/>
      <c r="D30" s="62"/>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row>
    <row r="31" spans="1:39" ht="20.100000000000001" customHeight="1">
      <c r="A31" s="64"/>
      <c r="B31" s="62"/>
      <c r="C31" s="62"/>
      <c r="D31" s="62"/>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row>
    <row r="32" spans="1:39" ht="20.100000000000001" customHeight="1">
      <c r="A32" s="62"/>
      <c r="B32" s="62"/>
      <c r="C32" s="62"/>
      <c r="D32" s="62"/>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row>
    <row r="33" spans="1:39" ht="20.100000000000001" customHeight="1">
      <c r="A33" s="61" t="s">
        <v>426</v>
      </c>
      <c r="B33" s="62"/>
      <c r="C33" s="62"/>
      <c r="D33" s="62"/>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row>
    <row r="34" spans="1:39" ht="20.100000000000001" customHeight="1">
      <c r="A34" s="62"/>
      <c r="B34" s="62"/>
      <c r="C34" s="62"/>
      <c r="D34" s="62"/>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row>
    <row r="35" spans="1:39" ht="20.100000000000001" customHeight="1">
      <c r="A35" s="37"/>
      <c r="B35" s="37"/>
      <c r="C35" s="37"/>
      <c r="D35" s="37"/>
    </row>
  </sheetData>
  <mergeCells count="28">
    <mergeCell ref="A1:S1"/>
    <mergeCell ref="T1:AM1"/>
    <mergeCell ref="A2:S2"/>
    <mergeCell ref="T2:AM2"/>
    <mergeCell ref="I11:N11"/>
    <mergeCell ref="T11:Y11"/>
    <mergeCell ref="AC11:AH11"/>
    <mergeCell ref="A11:A12"/>
    <mergeCell ref="B11:B12"/>
    <mergeCell ref="D11:D12"/>
    <mergeCell ref="E11:E12"/>
    <mergeCell ref="F11:F12"/>
    <mergeCell ref="G11:G12"/>
    <mergeCell ref="H11:H12"/>
    <mergeCell ref="O11:O12"/>
    <mergeCell ref="P11:P12"/>
    <mergeCell ref="AL11:AL12"/>
    <mergeCell ref="AM11:AM12"/>
    <mergeCell ref="S11:S12"/>
    <mergeCell ref="Z11:Z12"/>
    <mergeCell ref="AA11:AA12"/>
    <mergeCell ref="AB11:AB12"/>
    <mergeCell ref="AI11:AI12"/>
    <mergeCell ref="C11:C12"/>
    <mergeCell ref="Q11:Q12"/>
    <mergeCell ref="R11:R12"/>
    <mergeCell ref="AJ11:AJ12"/>
    <mergeCell ref="AK11:AK12"/>
  </mergeCells>
  <phoneticPr fontId="168" type="noConversion"/>
  <dataValidations count="7">
    <dataValidation type="list" allowBlank="1" showInputMessage="1" showErrorMessage="1" sqref="D13:D24">
      <formula1>"合并范围内关联方,合并范围外关联方,非关联方"</formula1>
    </dataValidation>
    <dataValidation type="list" allowBlank="1" showInputMessage="1" showErrorMessage="1" prompt="如要修改下列框的选项，单击“数据-数据有效性-设置-序列-来源”。" sqref="AI13:AI25">
      <formula1>"单项计提,账龄组合,客户类型组合,其他组合"</formula1>
    </dataValidation>
    <dataValidation type="list" allowBlank="1" showInputMessage="1" showErrorMessage="1" prompt="如要修改下列框的选项，单击“数据-数据有效性-设置-序列-来源”。" sqref="AJ13:AJ25">
      <formula1>"单项计提,组合1,组合2,组合3,组合4,组合X"</formula1>
    </dataValidation>
    <dataValidation type="list" allowBlank="1" showInputMessage="1" showErrorMessage="1" sqref="AN65539:AN65553 AN131075:AN131089 AN196611:AN196625 AN262147:AN262161 AN327683:AN327697 AN393219:AN393233 AN458755:AN458769 AN524291:AN524305 AN589827:AN589841 AN655363:AN655377 AN720899:AN720913 AN786435:AN786449 AN851971:AN851985 AN917507:AN917521 AN983043:AN983057">
      <formula1>"√,×"</formula1>
    </dataValidation>
    <dataValidation type="list" allowBlank="1" showInputMessage="1" showErrorMessage="1" sqref="AP65539:AP65553 AP131075:AP131089 AP196611:AP196625 AP262147:AP262161 AP327683:AP327697 AP393219:AP393233 AP458755:AP458769 AP524291:AP524305 AP589827:AP589841 AP655363:AP655377 AP720899:AP720913 AP786435:AP786449 AP851971:AP851985 AP917507:AP917521 AP983043:AP983057">
      <formula1>"未支付,全额支付,部分支付"</formula1>
    </dataValidation>
    <dataValidation type="list" allowBlank="1" showInputMessage="1" sqref="E65539:N65553 E131075:N131089 E196611:N196625 E262147:N262161 E327683:N327697 E393219:N393233 E458755:N458769 E524291:N524305 E589827:N589841 E655363:N655377 E720899:N720913 E786435:N786449 E851971:N851985 E917507:N917521 E983043:N983057">
      <formula1>"人民币,美元,港元,日元,欧元,英镑,瑞士法郎,加拿大元,澳大利亚元,新加坡元,丹麦克朗,挪威克朗,瑞典克朗,澳门元,新西兰元,韩元,其他(请填写) "</formula1>
    </dataValidation>
    <dataValidation type="list" allowBlank="1" showInputMessage="1" showErrorMessage="1" sqref="B65538:D65553 B131074:D131089 B196610:D196625 B262146:D262161 B327682:D327697 B393218:D393233 B458754:D458769 B524290:D524305 B589826:D589841 B655362:D655377 B720898:D720913 B786434:D786449 B851970:D851985 B917506:D917521 B983042:D983057">
      <formula1>"是,否"</formula1>
    </dataValidation>
  </dataValidations>
  <hyperlinks>
    <hyperlink ref="S3" location="底稿目录!A1" display="D2-2"/>
    <hyperlink ref="AM3" location="底稿目录!A1" display="D2-2"/>
  </hyperlinks>
  <pageMargins left="0.70833333333333304" right="0.70833333333333304" top="0.74791666666666701" bottom="0.74791666666666701" header="0.31458333333333299" footer="0.31458333333333299"/>
  <pageSetup paperSize="9" scale="61" orientation="landscape" blackAndWhite="1" r:id="rId1"/>
  <headerFooter alignWithMargins="0">
    <oddFooter>&amp;C&amp;P/&amp;N</oddFooter>
  </headerFooter>
  <colBreaks count="1" manualBreakCount="1">
    <brk id="19" max="33" man="1"/>
  </col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N41"/>
  <sheetViews>
    <sheetView view="pageBreakPreview" zoomScaleNormal="100" workbookViewId="0">
      <selection sqref="A1:N1"/>
    </sheetView>
  </sheetViews>
  <sheetFormatPr defaultColWidth="9" defaultRowHeight="12"/>
  <cols>
    <col min="1" max="1" width="16" style="1" customWidth="1"/>
    <col min="2" max="2" width="11.59765625" style="1" customWidth="1"/>
    <col min="3" max="4" width="13" style="1" customWidth="1"/>
    <col min="5" max="5" width="12.09765625" style="1" customWidth="1"/>
    <col min="6" max="6" width="10.69921875" style="1" customWidth="1"/>
    <col min="7" max="10" width="9" style="1"/>
    <col min="11" max="11" width="11.5" style="1" customWidth="1"/>
    <col min="12" max="12" width="13.5" style="1" customWidth="1"/>
    <col min="13" max="13" width="13.59765625" style="1" customWidth="1"/>
    <col min="14" max="14" width="11" style="1" customWidth="1"/>
    <col min="15" max="16384" width="9" style="1"/>
  </cols>
  <sheetData>
    <row r="1" spans="1:14" s="2" customFormat="1" ht="20.100000000000001" customHeight="1">
      <c r="A1" s="474" t="s">
        <v>22</v>
      </c>
      <c r="B1" s="474"/>
      <c r="C1" s="474"/>
      <c r="D1" s="474"/>
      <c r="E1" s="474"/>
      <c r="F1" s="474"/>
      <c r="G1" s="474"/>
      <c r="H1" s="474"/>
      <c r="I1" s="474"/>
      <c r="J1" s="474"/>
      <c r="K1" s="474"/>
      <c r="L1" s="474"/>
      <c r="M1" s="474"/>
      <c r="N1" s="474"/>
    </row>
    <row r="2" spans="1:14" s="2" customFormat="1" ht="25.2" customHeight="1">
      <c r="A2" s="475" t="s">
        <v>427</v>
      </c>
      <c r="B2" s="475"/>
      <c r="C2" s="475"/>
      <c r="D2" s="475"/>
      <c r="E2" s="475"/>
      <c r="F2" s="475"/>
      <c r="G2" s="475"/>
      <c r="H2" s="475"/>
      <c r="I2" s="475"/>
      <c r="J2" s="475"/>
      <c r="K2" s="475"/>
      <c r="L2" s="475"/>
      <c r="M2" s="475"/>
      <c r="N2" s="475"/>
    </row>
    <row r="3" spans="1:14" s="2" customFormat="1" ht="21" customHeight="1">
      <c r="A3" s="2" t="str">
        <f>底稿目录!A2</f>
        <v>被审计单位名称：</v>
      </c>
      <c r="E3" s="3" t="str">
        <f>底稿目录!A4</f>
        <v>编制人：</v>
      </c>
      <c r="I3" s="3" t="str">
        <f>底稿目录!A5</f>
        <v>编制日期：</v>
      </c>
      <c r="M3" s="13" t="s">
        <v>23</v>
      </c>
      <c r="N3" s="455" t="s">
        <v>19</v>
      </c>
    </row>
    <row r="4" spans="1:14" s="2" customFormat="1" ht="21" customHeight="1">
      <c r="A4" s="2" t="str">
        <f>底稿目录!A3</f>
        <v>截止日：202X年12月31日</v>
      </c>
      <c r="B4" s="16"/>
      <c r="E4" s="3" t="str">
        <f>底稿目录!A6</f>
        <v>复核人：</v>
      </c>
      <c r="I4" s="3" t="str">
        <f>底稿目录!A7</f>
        <v>复核日期：</v>
      </c>
      <c r="M4" s="13" t="s">
        <v>24</v>
      </c>
      <c r="N4" s="3"/>
    </row>
    <row r="5" spans="1:14" ht="21" customHeight="1">
      <c r="A5" s="17" t="s">
        <v>398</v>
      </c>
    </row>
    <row r="6" spans="1:14" ht="21" customHeight="1">
      <c r="A6" s="18" t="s">
        <v>399</v>
      </c>
    </row>
    <row r="7" spans="1:14" ht="21" customHeight="1">
      <c r="A7" s="19" t="s">
        <v>400</v>
      </c>
    </row>
    <row r="8" spans="1:14" ht="21" customHeight="1">
      <c r="A8" s="20" t="s">
        <v>428</v>
      </c>
    </row>
    <row r="9" spans="1:14" ht="21" customHeight="1">
      <c r="A9" s="21"/>
    </row>
    <row r="10" spans="1:14" ht="21" customHeight="1">
      <c r="A10" s="532" t="s">
        <v>91</v>
      </c>
      <c r="B10" s="532" t="s">
        <v>92</v>
      </c>
      <c r="C10" s="532"/>
      <c r="D10" s="532"/>
      <c r="E10" s="532"/>
      <c r="F10" s="532" t="s">
        <v>429</v>
      </c>
      <c r="G10" s="532"/>
      <c r="H10" s="532" t="s">
        <v>430</v>
      </c>
      <c r="I10" s="532"/>
      <c r="J10" s="532"/>
      <c r="K10" s="532" t="s">
        <v>93</v>
      </c>
      <c r="L10" s="532"/>
      <c r="M10" s="532"/>
      <c r="N10" s="532"/>
    </row>
    <row r="11" spans="1:14" ht="21" customHeight="1">
      <c r="A11" s="532"/>
      <c r="B11" s="22" t="s">
        <v>431</v>
      </c>
      <c r="C11" s="22" t="s">
        <v>404</v>
      </c>
      <c r="D11" s="22" t="s">
        <v>98</v>
      </c>
      <c r="E11" s="22" t="s">
        <v>432</v>
      </c>
      <c r="F11" s="22" t="s">
        <v>371</v>
      </c>
      <c r="G11" s="22" t="s">
        <v>433</v>
      </c>
      <c r="H11" s="22" t="s">
        <v>434</v>
      </c>
      <c r="I11" s="22" t="s">
        <v>435</v>
      </c>
      <c r="J11" s="22" t="s">
        <v>436</v>
      </c>
      <c r="K11" s="22" t="s">
        <v>437</v>
      </c>
      <c r="L11" s="22" t="s">
        <v>438</v>
      </c>
      <c r="M11" s="22" t="s">
        <v>98</v>
      </c>
      <c r="N11" s="22" t="s">
        <v>439</v>
      </c>
    </row>
    <row r="12" spans="1:14" ht="21" customHeight="1">
      <c r="A12" s="23" t="s">
        <v>440</v>
      </c>
      <c r="B12" s="24">
        <f t="shared" ref="B12:N12" si="0">SUM(B13:B16)</f>
        <v>0</v>
      </c>
      <c r="C12" s="24">
        <f t="shared" si="0"/>
        <v>0</v>
      </c>
      <c r="D12" s="24">
        <f t="shared" si="0"/>
        <v>0</v>
      </c>
      <c r="E12" s="24">
        <f t="shared" si="0"/>
        <v>0</v>
      </c>
      <c r="F12" s="24">
        <f t="shared" si="0"/>
        <v>0</v>
      </c>
      <c r="G12" s="24">
        <f t="shared" si="0"/>
        <v>0</v>
      </c>
      <c r="H12" s="24">
        <f t="shared" si="0"/>
        <v>0</v>
      </c>
      <c r="I12" s="24">
        <f t="shared" si="0"/>
        <v>0</v>
      </c>
      <c r="J12" s="24">
        <f t="shared" si="0"/>
        <v>0</v>
      </c>
      <c r="K12" s="24">
        <f t="shared" si="0"/>
        <v>0</v>
      </c>
      <c r="L12" s="24">
        <f t="shared" si="0"/>
        <v>0</v>
      </c>
      <c r="M12" s="24">
        <f t="shared" si="0"/>
        <v>0</v>
      </c>
      <c r="N12" s="24">
        <f t="shared" si="0"/>
        <v>0</v>
      </c>
    </row>
    <row r="13" spans="1:14" ht="21" customHeight="1">
      <c r="A13" s="25" t="s">
        <v>279</v>
      </c>
      <c r="B13" s="26"/>
      <c r="C13" s="26"/>
      <c r="D13" s="26"/>
      <c r="E13" s="27">
        <f>B13+C13+D13</f>
        <v>0</v>
      </c>
      <c r="F13" s="26"/>
      <c r="G13" s="26"/>
      <c r="H13" s="26"/>
      <c r="I13" s="26"/>
      <c r="J13" s="26"/>
      <c r="K13" s="24">
        <f t="shared" ref="K13:K21" si="1">B13+SUM(F13:G13)-SUM(H13:J13)</f>
        <v>0</v>
      </c>
      <c r="L13" s="26"/>
      <c r="M13" s="26"/>
      <c r="N13" s="27">
        <f>K13+L13+M13</f>
        <v>0</v>
      </c>
    </row>
    <row r="14" spans="1:14" ht="21" customHeight="1">
      <c r="A14" s="25"/>
      <c r="B14" s="26"/>
      <c r="C14" s="26"/>
      <c r="D14" s="26"/>
      <c r="E14" s="27">
        <f t="shared" ref="E14:E16" si="2">B14+C14+D14</f>
        <v>0</v>
      </c>
      <c r="F14" s="26"/>
      <c r="G14" s="26"/>
      <c r="H14" s="26"/>
      <c r="I14" s="26"/>
      <c r="J14" s="26"/>
      <c r="K14" s="24">
        <f t="shared" si="1"/>
        <v>0</v>
      </c>
      <c r="L14" s="26"/>
      <c r="M14" s="26"/>
      <c r="N14" s="27">
        <f t="shared" ref="N14:N16" si="3">K14+L14+M14</f>
        <v>0</v>
      </c>
    </row>
    <row r="15" spans="1:14" ht="21" customHeight="1">
      <c r="A15" s="25"/>
      <c r="B15" s="26"/>
      <c r="C15" s="26"/>
      <c r="D15" s="26"/>
      <c r="E15" s="27">
        <f t="shared" si="2"/>
        <v>0</v>
      </c>
      <c r="F15" s="26"/>
      <c r="G15" s="26"/>
      <c r="H15" s="26"/>
      <c r="I15" s="26"/>
      <c r="J15" s="26"/>
      <c r="K15" s="24">
        <f t="shared" si="1"/>
        <v>0</v>
      </c>
      <c r="L15" s="26"/>
      <c r="M15" s="26"/>
      <c r="N15" s="27">
        <f t="shared" si="3"/>
        <v>0</v>
      </c>
    </row>
    <row r="16" spans="1:14" ht="21" customHeight="1">
      <c r="A16" s="25"/>
      <c r="B16" s="26"/>
      <c r="C16" s="26"/>
      <c r="D16" s="26"/>
      <c r="E16" s="27">
        <f t="shared" si="2"/>
        <v>0</v>
      </c>
      <c r="F16" s="26"/>
      <c r="G16" s="26"/>
      <c r="H16" s="26"/>
      <c r="I16" s="26"/>
      <c r="J16" s="26"/>
      <c r="K16" s="24">
        <f t="shared" si="1"/>
        <v>0</v>
      </c>
      <c r="L16" s="26"/>
      <c r="M16" s="26"/>
      <c r="N16" s="27">
        <f t="shared" si="3"/>
        <v>0</v>
      </c>
    </row>
    <row r="17" spans="1:14" ht="21" customHeight="1">
      <c r="A17" s="23" t="s">
        <v>441</v>
      </c>
      <c r="B17" s="24">
        <f t="shared" ref="B17:J17" si="4">SUM(B18:B20)</f>
        <v>0</v>
      </c>
      <c r="C17" s="24">
        <f t="shared" si="4"/>
        <v>0</v>
      </c>
      <c r="D17" s="24">
        <f t="shared" si="4"/>
        <v>0</v>
      </c>
      <c r="E17" s="24">
        <f>SUM(E18:E21)</f>
        <v>0</v>
      </c>
      <c r="F17" s="24">
        <f t="shared" si="4"/>
        <v>0</v>
      </c>
      <c r="G17" s="24">
        <f t="shared" si="4"/>
        <v>0</v>
      </c>
      <c r="H17" s="24">
        <f t="shared" si="4"/>
        <v>0</v>
      </c>
      <c r="I17" s="24">
        <f t="shared" si="4"/>
        <v>0</v>
      </c>
      <c r="J17" s="24">
        <f t="shared" si="4"/>
        <v>0</v>
      </c>
      <c r="K17" s="24">
        <f>SUM(K18:K21)</f>
        <v>0</v>
      </c>
      <c r="L17" s="24">
        <f>SUM(L18:L20)</f>
        <v>0</v>
      </c>
      <c r="M17" s="24">
        <f>SUM(M18:M20)</f>
        <v>0</v>
      </c>
      <c r="N17" s="24">
        <f>SUM(N18:N21)</f>
        <v>0</v>
      </c>
    </row>
    <row r="18" spans="1:14" ht="21" customHeight="1">
      <c r="A18" s="28" t="s">
        <v>279</v>
      </c>
      <c r="B18" s="26"/>
      <c r="C18" s="26"/>
      <c r="D18" s="26"/>
      <c r="E18" s="27">
        <f>B18+C18+D18</f>
        <v>0</v>
      </c>
      <c r="F18" s="26"/>
      <c r="G18" s="26"/>
      <c r="H18" s="26"/>
      <c r="I18" s="26"/>
      <c r="J18" s="26"/>
      <c r="K18" s="24">
        <f>B18+SUM(F18:G18)-SUM(H18:J18)</f>
        <v>0</v>
      </c>
      <c r="L18" s="26"/>
      <c r="M18" s="26"/>
      <c r="N18" s="27">
        <f>K18+L18</f>
        <v>0</v>
      </c>
    </row>
    <row r="19" spans="1:14" ht="21" customHeight="1">
      <c r="A19" s="29"/>
      <c r="B19" s="26"/>
      <c r="C19" s="26"/>
      <c r="D19" s="26"/>
      <c r="E19" s="27">
        <f t="shared" ref="E19:E21" si="5">B19+C19+D19</f>
        <v>0</v>
      </c>
      <c r="F19" s="26"/>
      <c r="G19" s="26"/>
      <c r="H19" s="26"/>
      <c r="I19" s="26"/>
      <c r="J19" s="26"/>
      <c r="K19" s="24">
        <f t="shared" si="1"/>
        <v>0</v>
      </c>
      <c r="L19" s="26"/>
      <c r="M19" s="26"/>
      <c r="N19" s="27">
        <f>K19+L19</f>
        <v>0</v>
      </c>
    </row>
    <row r="20" spans="1:14" ht="21" customHeight="1">
      <c r="A20" s="25"/>
      <c r="B20" s="26"/>
      <c r="C20" s="26"/>
      <c r="D20" s="26"/>
      <c r="E20" s="27">
        <f t="shared" si="5"/>
        <v>0</v>
      </c>
      <c r="F20" s="26"/>
      <c r="G20" s="26"/>
      <c r="H20" s="26"/>
      <c r="I20" s="26"/>
      <c r="J20" s="26"/>
      <c r="K20" s="24">
        <f t="shared" si="1"/>
        <v>0</v>
      </c>
      <c r="L20" s="26"/>
      <c r="M20" s="26"/>
      <c r="N20" s="27">
        <f>K20+L20</f>
        <v>0</v>
      </c>
    </row>
    <row r="21" spans="1:14" ht="21" customHeight="1">
      <c r="A21" s="25"/>
      <c r="B21" s="26"/>
      <c r="C21" s="26"/>
      <c r="D21" s="26"/>
      <c r="E21" s="27">
        <f t="shared" si="5"/>
        <v>0</v>
      </c>
      <c r="F21" s="26"/>
      <c r="G21" s="26"/>
      <c r="H21" s="26"/>
      <c r="I21" s="26"/>
      <c r="J21" s="26"/>
      <c r="K21" s="24">
        <f t="shared" si="1"/>
        <v>0</v>
      </c>
      <c r="L21" s="36"/>
      <c r="M21" s="36"/>
      <c r="N21" s="27">
        <f>K21+L21</f>
        <v>0</v>
      </c>
    </row>
    <row r="22" spans="1:14" ht="21" customHeight="1">
      <c r="A22" s="30" t="s">
        <v>442</v>
      </c>
      <c r="B22" s="31">
        <f>B12+B17</f>
        <v>0</v>
      </c>
      <c r="C22" s="31">
        <f>C12+C17</f>
        <v>0</v>
      </c>
      <c r="D22" s="31">
        <f>D12+D17</f>
        <v>0</v>
      </c>
      <c r="E22" s="31">
        <f>E12+E17</f>
        <v>0</v>
      </c>
      <c r="F22" s="31">
        <f t="shared" ref="F22:N22" si="6">F12+F17</f>
        <v>0</v>
      </c>
      <c r="G22" s="31">
        <f t="shared" si="6"/>
        <v>0</v>
      </c>
      <c r="H22" s="31">
        <f t="shared" si="6"/>
        <v>0</v>
      </c>
      <c r="I22" s="31">
        <f t="shared" si="6"/>
        <v>0</v>
      </c>
      <c r="J22" s="31">
        <f t="shared" si="6"/>
        <v>0</v>
      </c>
      <c r="K22" s="31">
        <f t="shared" si="6"/>
        <v>0</v>
      </c>
      <c r="L22" s="31">
        <f t="shared" si="6"/>
        <v>0</v>
      </c>
      <c r="M22" s="31">
        <f t="shared" si="6"/>
        <v>0</v>
      </c>
      <c r="N22" s="31">
        <f t="shared" si="6"/>
        <v>0</v>
      </c>
    </row>
    <row r="23" spans="1:14" ht="19.5" customHeight="1">
      <c r="A23" s="32" t="s">
        <v>443</v>
      </c>
    </row>
    <row r="24" spans="1:14" ht="19.5" customHeight="1"/>
    <row r="25" spans="1:14" ht="19.5" customHeight="1">
      <c r="A25" s="33"/>
    </row>
    <row r="26" spans="1:14" ht="19.5" customHeight="1">
      <c r="A26" s="34"/>
    </row>
    <row r="27" spans="1:14" ht="19.5" customHeight="1">
      <c r="A27" s="35" t="s">
        <v>426</v>
      </c>
    </row>
    <row r="28" spans="1:14" ht="19.5" customHeight="1"/>
    <row r="29" spans="1:14" ht="19.5" customHeight="1"/>
    <row r="30" spans="1:14" ht="19.5" customHeight="1"/>
    <row r="31" spans="1:14" ht="19.5" customHeight="1"/>
    <row r="32" spans="1:14" ht="19.5" customHeight="1"/>
    <row r="33" ht="19.5" customHeight="1"/>
    <row r="34" ht="19.5" customHeight="1"/>
    <row r="35" ht="19.5" customHeight="1"/>
    <row r="36" ht="19.5" customHeight="1"/>
    <row r="37" ht="19.5" customHeight="1"/>
    <row r="38" ht="19.5" customHeight="1"/>
    <row r="39" ht="19.5" customHeight="1"/>
    <row r="40" ht="19.5" customHeight="1"/>
    <row r="41" ht="19.5" customHeight="1"/>
  </sheetData>
  <mergeCells count="7">
    <mergeCell ref="A1:N1"/>
    <mergeCell ref="A2:N2"/>
    <mergeCell ref="B10:E10"/>
    <mergeCell ref="F10:G10"/>
    <mergeCell ref="H10:J10"/>
    <mergeCell ref="K10:N10"/>
    <mergeCell ref="A10:A11"/>
  </mergeCells>
  <phoneticPr fontId="168" type="noConversion"/>
  <hyperlinks>
    <hyperlink ref="N3" location="底稿目录!A1" display="D2-3"/>
  </hyperlinks>
  <pageMargins left="0.70833333333333304" right="0.70833333333333304" top="0.74791666666666701" bottom="0.74791666666666701" header="0.31458333333333299" footer="0.31458333333333299"/>
  <pageSetup paperSize="9" scale="76" orientation="landscape"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5"/>
  <sheetViews>
    <sheetView view="pageBreakPreview" zoomScaleNormal="100" workbookViewId="0">
      <selection sqref="A1:J1"/>
    </sheetView>
  </sheetViews>
  <sheetFormatPr defaultColWidth="9" defaultRowHeight="20.100000000000001" customHeight="1"/>
  <cols>
    <col min="1" max="1" width="12.69921875" style="1" customWidth="1"/>
    <col min="2" max="2" width="11.59765625" style="1" customWidth="1"/>
    <col min="3" max="6" width="9" style="1"/>
    <col min="7" max="7" width="9.09765625" style="1" customWidth="1"/>
    <col min="8" max="16384" width="9" style="1"/>
  </cols>
  <sheetData>
    <row r="1" spans="1:10" ht="20.100000000000001" customHeight="1">
      <c r="A1" s="474" t="s">
        <v>22</v>
      </c>
      <c r="B1" s="474"/>
      <c r="C1" s="474"/>
      <c r="D1" s="474"/>
      <c r="E1" s="474"/>
      <c r="F1" s="474"/>
      <c r="G1" s="474"/>
      <c r="H1" s="474"/>
      <c r="I1" s="474"/>
      <c r="J1" s="474"/>
    </row>
    <row r="2" spans="1:10" ht="20.100000000000001" customHeight="1">
      <c r="A2" s="475" t="s">
        <v>444</v>
      </c>
      <c r="B2" s="475"/>
      <c r="C2" s="475"/>
      <c r="D2" s="475"/>
      <c r="E2" s="475"/>
      <c r="F2" s="475"/>
      <c r="G2" s="475"/>
      <c r="H2" s="475"/>
      <c r="I2" s="475"/>
      <c r="J2" s="475"/>
    </row>
    <row r="3" spans="1:10" ht="20.100000000000001" customHeight="1">
      <c r="A3" s="2" t="str">
        <f>底稿目录!A2</f>
        <v>被审计单位名称：</v>
      </c>
      <c r="B3" s="2"/>
      <c r="C3" s="2"/>
      <c r="D3" s="2" t="str">
        <f>底稿目录!A4</f>
        <v>编制人：</v>
      </c>
      <c r="E3" s="2"/>
      <c r="F3" s="3"/>
      <c r="G3" s="2" t="str">
        <f>底稿目录!A5</f>
        <v>编制日期：</v>
      </c>
      <c r="H3" s="2"/>
      <c r="I3" s="13" t="s">
        <v>23</v>
      </c>
      <c r="J3" s="455" t="s">
        <v>21</v>
      </c>
    </row>
    <row r="4" spans="1:10" ht="20.100000000000001" customHeight="1">
      <c r="A4" s="2" t="str">
        <f>底稿目录!A3</f>
        <v>截止日：202X年12月31日</v>
      </c>
      <c r="B4" s="2"/>
      <c r="C4" s="2"/>
      <c r="D4" s="2" t="str">
        <f>底稿目录!A6</f>
        <v>复核人：</v>
      </c>
      <c r="E4" s="2"/>
      <c r="F4" s="3"/>
      <c r="G4" s="2" t="str">
        <f>底稿目录!A7</f>
        <v>复核日期：</v>
      </c>
      <c r="H4" s="2"/>
      <c r="I4" s="13" t="s">
        <v>24</v>
      </c>
      <c r="J4" s="14"/>
    </row>
    <row r="5" spans="1:10" ht="45.75" customHeight="1">
      <c r="A5" s="4" t="s">
        <v>445</v>
      </c>
      <c r="B5" s="5" t="s">
        <v>446</v>
      </c>
      <c r="C5" s="5" t="s">
        <v>447</v>
      </c>
      <c r="D5" s="6" t="s">
        <v>448</v>
      </c>
      <c r="E5" s="6" t="s">
        <v>449</v>
      </c>
      <c r="F5" s="6" t="s">
        <v>166</v>
      </c>
      <c r="G5" s="6" t="s">
        <v>450</v>
      </c>
      <c r="H5" s="6" t="s">
        <v>451</v>
      </c>
      <c r="I5" s="6" t="s">
        <v>452</v>
      </c>
      <c r="J5" s="6" t="s">
        <v>416</v>
      </c>
    </row>
    <row r="6" spans="1:10" ht="20.100000000000001" customHeight="1">
      <c r="A6" s="7"/>
      <c r="B6" s="7"/>
      <c r="C6" s="7"/>
      <c r="D6" s="7"/>
      <c r="E6" s="7"/>
      <c r="F6" s="7"/>
      <c r="G6" s="8"/>
      <c r="H6" s="8"/>
      <c r="I6" s="15"/>
      <c r="J6" s="7"/>
    </row>
    <row r="7" spans="1:10" ht="20.100000000000001" customHeight="1">
      <c r="A7" s="9"/>
      <c r="B7" s="7"/>
      <c r="C7" s="7"/>
      <c r="D7" s="7"/>
      <c r="E7" s="7"/>
      <c r="F7" s="7"/>
      <c r="G7" s="8"/>
      <c r="H7" s="8"/>
      <c r="I7" s="15"/>
      <c r="J7" s="7"/>
    </row>
    <row r="8" spans="1:10" ht="20.100000000000001" customHeight="1">
      <c r="A8" s="10"/>
      <c r="B8" s="7"/>
      <c r="C8" s="7"/>
      <c r="D8" s="7"/>
      <c r="E8" s="7"/>
      <c r="F8" s="7"/>
      <c r="G8" s="8"/>
      <c r="H8" s="8"/>
      <c r="I8" s="15"/>
      <c r="J8" s="7"/>
    </row>
    <row r="9" spans="1:10" ht="20.100000000000001" customHeight="1">
      <c r="A9" s="10"/>
      <c r="B9" s="7"/>
      <c r="C9" s="7"/>
      <c r="D9" s="7"/>
      <c r="E9" s="7"/>
      <c r="F9" s="7"/>
      <c r="G9" s="8"/>
      <c r="H9" s="8"/>
      <c r="I9" s="15"/>
      <c r="J9" s="7"/>
    </row>
    <row r="10" spans="1:10" ht="20.100000000000001" customHeight="1">
      <c r="A10" s="10"/>
      <c r="B10" s="7"/>
      <c r="C10" s="7"/>
      <c r="D10" s="7"/>
      <c r="E10" s="7"/>
      <c r="F10" s="7"/>
      <c r="G10" s="8"/>
      <c r="H10" s="8"/>
      <c r="I10" s="15"/>
      <c r="J10" s="7"/>
    </row>
    <row r="11" spans="1:10" ht="20.100000000000001" customHeight="1">
      <c r="A11" s="11"/>
      <c r="B11" s="7"/>
      <c r="C11" s="7"/>
      <c r="D11" s="7"/>
      <c r="E11" s="7"/>
      <c r="F11" s="7"/>
      <c r="G11" s="8"/>
      <c r="H11" s="8"/>
      <c r="I11" s="15"/>
      <c r="J11" s="7"/>
    </row>
    <row r="12" spans="1:10" ht="20.100000000000001" customHeight="1">
      <c r="A12" s="10"/>
      <c r="B12" s="7"/>
      <c r="C12" s="7"/>
      <c r="D12" s="7"/>
      <c r="E12" s="7"/>
      <c r="F12" s="7"/>
      <c r="G12" s="8"/>
      <c r="H12" s="8"/>
      <c r="I12" s="15"/>
      <c r="J12" s="7"/>
    </row>
    <row r="13" spans="1:10" ht="20.100000000000001" customHeight="1">
      <c r="A13" s="10"/>
      <c r="B13" s="7"/>
      <c r="C13" s="7"/>
      <c r="D13" s="7"/>
      <c r="E13" s="7"/>
      <c r="F13" s="7"/>
      <c r="G13" s="8"/>
      <c r="H13" s="8"/>
      <c r="I13" s="15"/>
      <c r="J13" s="7"/>
    </row>
    <row r="14" spans="1:10" ht="20.100000000000001" customHeight="1">
      <c r="A14" s="10"/>
      <c r="B14" s="7"/>
      <c r="C14" s="7"/>
      <c r="D14" s="7"/>
      <c r="E14" s="7"/>
      <c r="F14" s="7"/>
      <c r="G14" s="8"/>
      <c r="H14" s="8"/>
      <c r="I14" s="15"/>
      <c r="J14" s="7"/>
    </row>
    <row r="15" spans="1:10" ht="20.100000000000001" customHeight="1">
      <c r="A15" s="10"/>
      <c r="B15" s="7"/>
      <c r="C15" s="7"/>
      <c r="D15" s="7"/>
      <c r="E15" s="7"/>
      <c r="F15" s="7"/>
      <c r="G15" s="8"/>
      <c r="H15" s="8"/>
      <c r="I15" s="15"/>
      <c r="J15" s="7"/>
    </row>
    <row r="16" spans="1:10" ht="20.100000000000001" customHeight="1">
      <c r="A16" s="10"/>
      <c r="B16" s="7"/>
      <c r="C16" s="7"/>
      <c r="D16" s="7"/>
      <c r="E16" s="7"/>
      <c r="F16" s="7"/>
      <c r="G16" s="8"/>
      <c r="H16" s="8"/>
      <c r="I16" s="15"/>
      <c r="J16" s="7"/>
    </row>
    <row r="17" spans="1:10" ht="20.100000000000001" customHeight="1">
      <c r="A17" s="10"/>
      <c r="B17" s="7"/>
      <c r="C17" s="7"/>
      <c r="D17" s="7"/>
      <c r="E17" s="7"/>
      <c r="F17" s="7"/>
      <c r="G17" s="8"/>
      <c r="H17" s="8"/>
      <c r="I17" s="15"/>
      <c r="J17" s="7"/>
    </row>
    <row r="18" spans="1:10" ht="20.100000000000001" customHeight="1">
      <c r="A18" s="10"/>
      <c r="B18" s="7"/>
      <c r="C18" s="7"/>
      <c r="D18" s="7"/>
      <c r="E18" s="7"/>
      <c r="F18" s="7"/>
      <c r="G18" s="8"/>
      <c r="H18" s="8"/>
      <c r="I18" s="15"/>
      <c r="J18" s="7"/>
    </row>
    <row r="19" spans="1:10" ht="20.100000000000001" customHeight="1">
      <c r="A19" s="10"/>
      <c r="B19" s="7"/>
      <c r="C19" s="7"/>
      <c r="D19" s="7"/>
      <c r="E19" s="7"/>
      <c r="F19" s="7"/>
      <c r="G19" s="8"/>
      <c r="H19" s="8"/>
      <c r="I19" s="15"/>
      <c r="J19" s="7"/>
    </row>
    <row r="20" spans="1:10" ht="20.100000000000001" customHeight="1">
      <c r="A20" s="10"/>
      <c r="B20" s="7"/>
      <c r="C20" s="7"/>
      <c r="D20" s="7"/>
      <c r="E20" s="7"/>
      <c r="F20" s="7"/>
      <c r="G20" s="8"/>
      <c r="H20" s="8"/>
      <c r="I20" s="15"/>
      <c r="J20" s="7"/>
    </row>
    <row r="21" spans="1:10" ht="20.100000000000001" customHeight="1">
      <c r="A21" s="12"/>
      <c r="B21" s="12"/>
      <c r="C21" s="12"/>
      <c r="D21" s="12"/>
      <c r="E21" s="12"/>
      <c r="F21" s="12"/>
      <c r="G21" s="12"/>
      <c r="H21" s="12"/>
      <c r="I21" s="12"/>
      <c r="J21" s="12"/>
    </row>
    <row r="22" spans="1:10" ht="20.100000000000001" customHeight="1">
      <c r="A22" s="12"/>
      <c r="B22" s="12"/>
      <c r="C22" s="12"/>
      <c r="D22" s="12"/>
      <c r="E22" s="12"/>
      <c r="F22" s="12"/>
      <c r="G22" s="12"/>
      <c r="H22" s="12"/>
      <c r="I22" s="12"/>
      <c r="J22" s="12"/>
    </row>
    <row r="23" spans="1:10" ht="34.5" customHeight="1">
      <c r="A23" s="533" t="s">
        <v>453</v>
      </c>
      <c r="B23" s="534"/>
      <c r="C23" s="534"/>
      <c r="D23" s="534"/>
      <c r="E23" s="534"/>
      <c r="F23" s="534"/>
      <c r="G23" s="534"/>
      <c r="H23" s="534"/>
      <c r="I23" s="534"/>
      <c r="J23" s="534"/>
    </row>
    <row r="24" spans="1:10" ht="20.100000000000001" customHeight="1">
      <c r="A24" s="12"/>
      <c r="B24" s="12"/>
      <c r="C24" s="12"/>
      <c r="D24" s="12"/>
      <c r="E24" s="12"/>
      <c r="F24" s="12"/>
      <c r="G24" s="12"/>
      <c r="H24" s="12"/>
      <c r="I24" s="12"/>
      <c r="J24" s="12"/>
    </row>
    <row r="25" spans="1:10" ht="20.100000000000001" customHeight="1">
      <c r="A25" s="12"/>
      <c r="B25" s="12"/>
      <c r="C25" s="12"/>
      <c r="D25" s="12"/>
      <c r="E25" s="12"/>
      <c r="F25" s="12"/>
      <c r="G25" s="12"/>
      <c r="H25" s="12"/>
      <c r="I25" s="12"/>
      <c r="J25" s="12"/>
    </row>
  </sheetData>
  <mergeCells count="3">
    <mergeCell ref="A1:J1"/>
    <mergeCell ref="A2:J2"/>
    <mergeCell ref="A23:J23"/>
  </mergeCells>
  <phoneticPr fontId="168" type="noConversion"/>
  <dataValidations count="1">
    <dataValidation type="list" allowBlank="1" showInputMessage="1" showErrorMessage="1" sqref="B6:B20">
      <formula1>"账项调整,报表调整,其他"</formula1>
    </dataValidation>
  </dataValidations>
  <hyperlinks>
    <hyperlink ref="J3" location="底稿目录!A1" display="D2-4"/>
  </hyperlinks>
  <pageMargins left="0.70833333333333304" right="0.70833333333333304" top="0.74791666666666701" bottom="0.74791666666666701" header="0.31458333333333299" footer="0.31458333333333299"/>
  <pageSetup paperSize="9" scale="85" orientation="portrait"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ColWidth="9" defaultRowHeight="15.6"/>
  <sheetData>
    <row r="1" spans="1:2">
      <c r="A1" t="s">
        <v>454</v>
      </c>
      <c r="B1" t="s">
        <v>455</v>
      </c>
    </row>
    <row r="2" spans="1:2">
      <c r="A2" t="s">
        <v>456</v>
      </c>
      <c r="B2" t="s">
        <v>457</v>
      </c>
    </row>
    <row r="3" spans="1:2">
      <c r="A3" t="s">
        <v>458</v>
      </c>
      <c r="B3" t="s">
        <v>459</v>
      </c>
    </row>
    <row r="4" spans="1:2">
      <c r="A4" t="s">
        <v>460</v>
      </c>
      <c r="B4" t="s">
        <v>461</v>
      </c>
    </row>
    <row r="5" spans="1:2">
      <c r="A5" t="s">
        <v>462</v>
      </c>
      <c r="B5" t="s">
        <v>463</v>
      </c>
    </row>
    <row r="6" spans="1:2">
      <c r="A6" t="s">
        <v>464</v>
      </c>
      <c r="B6" t="s">
        <v>465</v>
      </c>
    </row>
    <row r="7" spans="1:2">
      <c r="A7" t="s">
        <v>466</v>
      </c>
      <c r="B7" t="s">
        <v>467</v>
      </c>
    </row>
    <row r="8" spans="1:2">
      <c r="A8" t="s">
        <v>468</v>
      </c>
      <c r="B8" t="s">
        <v>469</v>
      </c>
    </row>
  </sheetData>
  <phoneticPr fontId="16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29</vt:i4>
      </vt:variant>
    </vt:vector>
  </HeadingPairs>
  <TitlesOfParts>
    <vt:vector size="40" baseType="lpstr">
      <vt:lpstr>底稿目录</vt:lpstr>
      <vt:lpstr>应收账款实质性程序表D2A</vt:lpstr>
      <vt:lpstr>审定表D2-1</vt:lpstr>
      <vt:lpstr>附注披露信息(上市公司）D2-1</vt:lpstr>
      <vt:lpstr>附注披露信息（国企）D2-1</vt:lpstr>
      <vt:lpstr>附注披露信息(上市公司)</vt:lpstr>
      <vt:lpstr>附注披露信息(国企)</vt:lpstr>
      <vt:lpstr>明细表D2-2</vt:lpstr>
      <vt:lpstr>坏账准备明细表D2-3</vt:lpstr>
      <vt:lpstr>调整分录汇总表D2-4</vt:lpstr>
      <vt:lpstr>GT_Custom</vt:lpstr>
      <vt:lpstr>'附注披露信息(上市公司)'!_jds82</vt:lpstr>
      <vt:lpstr>'附注披露信息(上市公司)'!_jds83</vt:lpstr>
      <vt:lpstr>'附注披露信息(上市公司)'!_jds85</vt:lpstr>
      <vt:lpstr>'附注披露信息(上市公司)'!_jds86</vt:lpstr>
      <vt:lpstr>'附注披露信息(上市公司)'!_jds87</vt:lpstr>
      <vt:lpstr>'附注披露信息(上市公司)'!_jds88</vt:lpstr>
      <vt:lpstr>'附注披露信息(上市公司)'!_jds89</vt:lpstr>
      <vt:lpstr>'附注披露信息(上市公司)'!_jds91</vt:lpstr>
      <vt:lpstr>'附注披露信息(上市公司)'!_jds92</vt:lpstr>
      <vt:lpstr>'附注披露信息(上市公司)'!_jds93</vt:lpstr>
      <vt:lpstr>'附注披露信息(上市公司)'!_jds94</vt:lpstr>
      <vt:lpstr>'附注披露信息(上市公司)'!_jds95</vt:lpstr>
      <vt:lpstr>'附注披露信息(上市公司)'!_jds96</vt:lpstr>
      <vt:lpstr>'附注披露信息(上市公司)'!_jds97</vt:lpstr>
      <vt:lpstr>'附注披露信息(上市公司)'!_jds98</vt:lpstr>
      <vt:lpstr>'附注披露信息(上市公司)'!_Ref82415221</vt:lpstr>
      <vt:lpstr>'附注披露信息(上市公司)'!_Ref82415222</vt:lpstr>
      <vt:lpstr>'调整分录汇总表D2-4'!Print_Area</vt:lpstr>
      <vt:lpstr>'附注披露信息(国企)'!Print_Area</vt:lpstr>
      <vt:lpstr>'附注披露信息（国企）D2-1'!Print_Area</vt:lpstr>
      <vt:lpstr>'附注披露信息(上市公司)'!Print_Area</vt:lpstr>
      <vt:lpstr>'附注披露信息(上市公司）D2-1'!Print_Area</vt:lpstr>
      <vt:lpstr>'坏账准备明细表D2-3'!Print_Area</vt:lpstr>
      <vt:lpstr>'明细表D2-2'!Print_Area</vt:lpstr>
      <vt:lpstr>'审定表D2-1'!Print_Area</vt:lpstr>
      <vt:lpstr>应收账款实质性程序表D2A!Print_Area</vt:lpstr>
      <vt:lpstr>'明细表D2-2'!Print_Titles</vt:lpstr>
      <vt:lpstr>'审定表D2-1'!Print_Titles</vt:lpstr>
      <vt:lpstr>应收账款实质性程序表D2A!Print_Titles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2025-10-30T03:14:20Z</cp:lastPrinted>
  <dcterms:created xsi:type="dcterms:W3CDTF">2007-05-20T08:51:00Z</dcterms:created>
  <dcterms:modified xsi:type="dcterms:W3CDTF">2025-10-30T10:09:32Z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B510077688BB48ECAEAB0D89A49A0527_12</vt:lpwstr>
  </property>
  <property fmtid="{D5CDD505-2E9C-101B-9397-08002B2CF9AE}" pid="3" name="KSOProductBuildVer">
    <vt:lpwstr>2052-12.1.0.22529</vt:lpwstr>
  </property>
</Properties>
</file>