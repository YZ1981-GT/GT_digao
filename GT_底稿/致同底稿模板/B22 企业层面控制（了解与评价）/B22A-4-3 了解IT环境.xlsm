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3040" windowHeight="8735" tabRatio="778"/>
  </bookViews>
  <sheets>
    <sheet name="指引" sheetId="9" r:id="rId1"/>
    <sheet name="IT 环境 - 应用程序" sheetId="10" r:id="rId2"/>
    <sheet name="IT 环境 - 基础设施" sheetId="11" r:id="rId3"/>
    <sheet name="IT环境 -流程" sheetId="12" r:id="rId4"/>
    <sheet name="IT 环境 -信息处理" sheetId="13" r:id="rId5"/>
    <sheet name="Lists" sheetId="6" state="hidden" r:id="rId6"/>
    <sheet name="Translation" sheetId="7" state="hidden" r:id="rId7"/>
  </sheets>
  <definedNames>
    <definedName name="_xlnm._FilterDatabase" localSheetId="1" hidden="1">'IT 环境 - 应用程序'!$A$5:$N$7</definedName>
    <definedName name="_sheetContentTranslation_A_10" hidden="1">Translation!$A$9</definedName>
    <definedName name="_sheetContentTranslation_A_11" hidden="1">Translation!$A$10</definedName>
    <definedName name="_sheetContentTranslation_A_12" hidden="1">Translation!$A$11</definedName>
    <definedName name="_sheetContentTranslation_A_13" hidden="1">Translation!$A$12</definedName>
    <definedName name="_sheetContentTranslation_A_14" hidden="1">Translation!$A$13</definedName>
    <definedName name="_sheetContentTranslation_A_15" hidden="1">Translation!$A$14</definedName>
    <definedName name="_sheetContentTranslation_A_16" hidden="1">Translation!$A$15</definedName>
    <definedName name="_sheetContentTranslation_A_17" hidden="1">Translation!$A$16</definedName>
    <definedName name="_sheetContentTranslation_A_18" hidden="1">Translation!$A$17</definedName>
    <definedName name="_sheetContentTranslation_A_19" hidden="1">Translation!$A$18</definedName>
    <definedName name="_sheetContentTranslation_A_20" hidden="1">Translation!$A$19</definedName>
    <definedName name="_sheetContentTranslation_A_21" hidden="1">Translation!$A$20</definedName>
    <definedName name="_sheetContentTranslation_A_22" hidden="1">Translation!$A$21</definedName>
    <definedName name="_sheetContentTranslation_A_23" hidden="1">Translation!$A$22</definedName>
    <definedName name="_sheetContentTranslation_A_24" hidden="1">Translation!$A$23</definedName>
    <definedName name="_sheetContentTranslation_A_25" hidden="1">Translation!$A$24</definedName>
    <definedName name="_sheetContentTranslation_A_26" hidden="1">Translation!$A$25</definedName>
    <definedName name="_sheetContentTranslation_A_27" hidden="1">Translation!$A$26</definedName>
    <definedName name="_sheetContentTranslation_A_28" hidden="1">Translation!$A$27</definedName>
    <definedName name="_sheetContentTranslation_A_29" hidden="1">Translation!$A$28</definedName>
    <definedName name="_sheetContentTranslation_A_3" hidden="1">Translation!$A$3</definedName>
    <definedName name="_sheetContentTranslation_A_30" hidden="1">Translation!$A$29</definedName>
    <definedName name="_sheetContentTranslation_A_31" hidden="1">Translation!$A$30</definedName>
    <definedName name="_sheetContentTranslation_A_32" hidden="1">Translation!$A$31</definedName>
    <definedName name="_sheetContentTranslation_A_33" hidden="1">Translation!$A$32</definedName>
    <definedName name="_sheetContentTranslation_A_34" hidden="1">Translation!$A$33</definedName>
    <definedName name="_sheetContentTranslation_A_35" hidden="1">Translation!$A$34</definedName>
    <definedName name="_sheetContentTranslation_A_36" hidden="1">Translation!$A$35</definedName>
    <definedName name="_sheetContentTranslation_A_37" hidden="1">Translation!$A$36</definedName>
    <definedName name="_sheetContentTranslation_A_38" hidden="1">Translation!$A$37</definedName>
    <definedName name="_sheetContentTranslation_A_39" hidden="1">Translation!$A$38</definedName>
    <definedName name="_sheetContentTranslation_A_4" hidden="1">Translation!$A$4</definedName>
    <definedName name="_sheetContentTranslation_A_40" hidden="1">Translation!$A$39</definedName>
    <definedName name="_sheetContentTranslation_A_41" hidden="1">Translation!$A$40</definedName>
    <definedName name="_sheetContentTranslation_A_42" hidden="1">Translation!$A$41</definedName>
    <definedName name="_sheetContentTranslation_A_43" hidden="1">Translation!$A$42</definedName>
    <definedName name="_sheetContentTranslation_A_44" hidden="1">Translation!$A$43</definedName>
    <definedName name="_sheetContentTranslation_A_45" hidden="1">Translation!$A$44</definedName>
    <definedName name="_sheetContentTranslation_A_46" hidden="1">Translation!$A$45</definedName>
    <definedName name="_sheetContentTranslation_A_47" hidden="1">Translation!$A$46</definedName>
    <definedName name="_sheetContentTranslation_A_48" hidden="1">Translation!$A$47</definedName>
    <definedName name="_sheetContentTranslation_A_49" hidden="1">Translation!$A$48</definedName>
    <definedName name="_sheetContentTranslation_A_5" hidden="1">Translation!#REF!</definedName>
    <definedName name="_sheetContentTranslation_A_50" hidden="1">Translation!$A$49</definedName>
    <definedName name="_sheetContentTranslation_A_51" hidden="1">Translation!$A$50</definedName>
    <definedName name="_sheetContentTranslation_A_52" hidden="1">Translation!$A$51</definedName>
    <definedName name="_sheetContentTranslation_A_53" hidden="1">Translation!$A$52</definedName>
    <definedName name="_sheetContentTranslation_A_54" hidden="1">Translation!$A$53</definedName>
    <definedName name="_sheetContentTranslation_A_55" hidden="1">Translation!$A$54</definedName>
    <definedName name="_sheetContentTranslation_A_56" hidden="1">Translation!$A$55</definedName>
    <definedName name="_sheetContentTranslation_A_57" hidden="1">Translation!$A$56</definedName>
    <definedName name="_sheetContentTranslation_A_58" hidden="1">Translation!$A$57</definedName>
    <definedName name="_sheetContentTranslation_A_59" hidden="1">Translation!$A$58</definedName>
    <definedName name="_sheetContentTranslation_A_6" hidden="1">Translation!$A$5</definedName>
    <definedName name="_sheetContentTranslation_A_60" hidden="1">Translation!$A$59</definedName>
    <definedName name="_sheetContentTranslation_A_61" hidden="1">Translation!$A$60</definedName>
    <definedName name="_sheetContentTranslation_A_62" hidden="1">Translation!$A$61</definedName>
    <definedName name="_sheetContentTranslation_A_63" hidden="1">Translation!$A$62</definedName>
    <definedName name="_sheetContentTranslation_A_64" hidden="1">Translation!$A$63</definedName>
    <definedName name="_sheetContentTranslation_A_65" hidden="1">Translation!$A$64</definedName>
    <definedName name="_sheetContentTranslation_A_66" hidden="1">Translation!$A$65</definedName>
    <definedName name="_sheetContentTranslation_A_67" hidden="1">Translation!$A$66</definedName>
    <definedName name="_sheetContentTranslation_A_68" hidden="1">Translation!$A$67</definedName>
    <definedName name="_sheetContentTranslation_A_69" hidden="1">Translation!$A$68</definedName>
    <definedName name="_sheetContentTranslation_A_7" hidden="1">Translation!$A$6</definedName>
    <definedName name="_sheetContentTranslation_A_70" hidden="1">Translation!$A$69</definedName>
    <definedName name="_sheetContentTranslation_A_71" hidden="1">Translation!$A$70</definedName>
    <definedName name="_sheetContentTranslation_A_72" hidden="1">Translation!$A$71</definedName>
    <definedName name="_sheetContentTranslation_A_73" hidden="1">Translation!$A$72</definedName>
    <definedName name="_sheetContentTranslation_A_74" hidden="1">Translation!$A$73</definedName>
    <definedName name="_sheetContentTranslation_A_75" hidden="1">Translation!$A$74</definedName>
    <definedName name="_sheetContentTranslation_A_76" hidden="1">Translation!$A$75</definedName>
    <definedName name="_sheetContentTranslation_A_77" hidden="1">Translation!$A$76</definedName>
    <definedName name="_sheetContentTranslation_A_78" hidden="1">Translation!$A$77</definedName>
    <definedName name="_sheetContentTranslation_A_79" hidden="1">Translation!$A$78</definedName>
    <definedName name="_sheetContentTranslation_A_8" hidden="1">Translation!$A$7</definedName>
    <definedName name="_sheetContentTranslation_A_80" hidden="1">Translation!$A$79</definedName>
    <definedName name="_sheetContentTranslation_A_81" hidden="1">Translation!$A$80</definedName>
    <definedName name="_sheetContentTranslation_A_82" hidden="1">Translation!$A$81</definedName>
    <definedName name="_sheetContentTranslation_A_9" hidden="1">Translation!$A$8</definedName>
    <definedName name="InputsInterfaces">Lists!$C$2:$C$4</definedName>
    <definedName name="VolumeAndComplexity">Lists!$E$2:$E$4</definedName>
    <definedName name="YesNo">Lists!$A$2:$A$3</definedName>
    <definedName name="_xlnm.Print_Area" localSheetId="2">'IT 环境 - 基础设施'!$A$1:$J$15</definedName>
    <definedName name="_xlnm.Print_Area" localSheetId="0">指引!$A$1:$B$9</definedName>
    <definedName name="_xlnm.Print_Area" localSheetId="3">'IT环境 -流程'!$A$1:$M$15</definedName>
    <definedName name="_xlnm.Print_Area" localSheetId="4">'IT 环境 -信息处理'!$A$1:$K$15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韩天佩</author>
  </authors>
  <commentList>
    <comment ref="I5" authorId="0">
      <text>
        <r>
          <rPr>
            <sz val="9"/>
            <rFont val="宋体"/>
            <charset val="134"/>
          </rPr>
          <t>SQL, Oracle, DB2</t>
        </r>
      </text>
    </comment>
    <comment ref="J5" authorId="0">
      <text>
        <r>
          <rPr>
            <sz val="9"/>
            <rFont val="宋体"/>
            <charset val="134"/>
          </rPr>
          <t>For example, Windows, Unix, Linux</t>
        </r>
      </text>
    </comment>
    <comment ref="L5" authorId="0">
      <text>
        <r>
          <rPr>
            <sz val="9"/>
            <rFont val="宋体"/>
            <charset val="134"/>
          </rPr>
          <t>For example, local-area networks (LANs) or wide-area
networks (WANs)</t>
        </r>
      </text>
    </comment>
    <comment ref="M5" authorId="0">
      <text>
        <r>
          <rPr>
            <sz val="9"/>
            <rFont val="宋体"/>
            <charset val="134"/>
          </rPr>
          <t>The number and skill level of the IT support resources that
manage security and changes to the IT environment may impact
it
负责管理IT环境安全和变更的IT支持资源的数量和技能水平可能会影响IT</t>
        </r>
      </text>
    </comment>
    <comment ref="N5" authorId="0">
      <text>
        <r>
          <rPr>
            <sz val="9"/>
            <rFont val="宋体"/>
            <charset val="134"/>
          </rPr>
          <t xml:space="preserve">This refers to whether or not third-parties are involved in
hosting the IT application or managing it in an outsourcing
capacity
这是指第三方是否参与托管IT应用程序或以外包方式管理IT。
</t>
        </r>
      </text>
    </comment>
  </commentList>
</comments>
</file>

<file path=xl/comments2.xml><?xml version="1.0" encoding="utf-8"?>
<comments xmlns="http://schemas.openxmlformats.org/spreadsheetml/2006/main">
  <authors>
    <author>韩天佩</author>
  </authors>
  <commentList>
    <comment ref="J5" authorId="0">
      <text>
        <r>
          <rPr>
            <sz val="9"/>
            <rFont val="宋体"/>
            <charset val="134"/>
          </rPr>
          <t>This refers to whether or not third-parties are involved in
hosting the IT application or managing it in an outsourcing
capacity
这是指第三方是否参与托管IT应用程序或以外包方式管理IT。</t>
        </r>
      </text>
    </comment>
  </commentList>
</comments>
</file>

<file path=xl/comments3.xml><?xml version="1.0" encoding="utf-8"?>
<comments xmlns="http://schemas.openxmlformats.org/spreadsheetml/2006/main">
  <authors>
    <author>xiaomeng.yan</author>
    <author>韩天佩</author>
  </authors>
  <commentList>
    <comment ref="C5" authorId="0">
      <text>
        <r>
          <rPr>
            <sz val="9"/>
            <rFont val="宋体"/>
            <charset val="134"/>
          </rPr>
          <t xml:space="preserve">索引&lt;IT 环境 - 应用程序&gt;处索引号
</t>
        </r>
      </text>
    </comment>
    <comment ref="E6" authorId="1">
      <text>
        <r>
          <rPr>
            <sz val="9"/>
            <rFont val="宋体"/>
            <charset val="134"/>
          </rPr>
          <t>For example, network, operating system, application, or
database. If other, describe.
例如，网络、操作系统、应用程序或数据库。如果其他，请描述。</t>
        </r>
      </text>
    </comment>
    <comment ref="F6" authorId="1">
      <text>
        <r>
          <rPr>
            <sz val="9"/>
            <rFont val="宋体"/>
            <charset val="134"/>
          </rPr>
          <t>Complex systems will have complex processes managed by IT
department while a simple system may have only a single
individual with administrative access manages access rights
复杂的系统会有由IT部门管理的复杂流程，而简单的系统可能只有一个
拥有管理权限的个人管理访问权限</t>
        </r>
      </text>
    </comment>
    <comment ref="G6" authorId="1">
      <text>
        <r>
          <rPr>
            <sz val="9"/>
            <rFont val="宋体"/>
            <charset val="134"/>
          </rPr>
          <t>This includes the vulnerability of the IT environment to
cyber risks particularly when there are web-based
transactions or transactions involving external interfaces.
Complex systems will include multiple platforms with
web-based access and complex security models while a simple
system will not have web-facing elements
这包括IT环境对网络风险的脆弱性，特别是当存在基于网络的交易或
涉及外部接口的交易时。复杂系统将包括多个具有基于网络访问的多
平台和复杂的安全模型，而简单系统将不会有面向网络的元素。</t>
        </r>
      </text>
    </comment>
    <comment ref="J6" authorId="1">
      <text>
        <r>
          <rPr>
            <sz val="9"/>
            <rFont val="宋体"/>
            <charset val="134"/>
          </rPr>
          <t>For example new aspects of the IT Environment or significant
hanges in the IT applications underlying IT structure. In a
less complex system changes may be limited to version
upgrades of commercial software whereas in a more complex
system there may be new or a large number or complex
changes, several development cycles or heavy ERP
customization.
例如，IT环境的新方面或IT应用程序底层IT结构的重大变化。
在不太复杂的系统中，变更可能仅限于商业软件的版本升级，
而在较复杂的系统中，可能会有新的或许多复杂的变化、
多个开发周期或大量的ERP定制。</t>
        </r>
      </text>
    </comment>
    <comment ref="L6" authorId="1">
      <text>
        <r>
          <rPr>
            <sz val="9"/>
            <rFont val="宋体"/>
            <charset val="134"/>
          </rPr>
          <t>Changes may include no upgrades, simple upgrades provided
directly by the vendor, or complex changes to the way the
data is processed with heavy customization, etc. If data
conversion is applicable during the period, answer "yes" in
the New system implementation workprogram section question.
更改可能包括没有升级、由供应商直接提供的简单升级，或对数据
处理方式进行复杂更改和重度定制等。如果在此期间适用数据转换
，请回答“是”。</t>
        </r>
      </text>
    </comment>
    <comment ref="A7" authorId="0">
      <text>
        <r>
          <rPr>
            <sz val="9"/>
            <rFont val="宋体"/>
            <charset val="134"/>
          </rPr>
          <t>填写示例仅供参考，不限制项目组的填写形式，描述清晰、准确、完整、符合实际情况即可</t>
        </r>
      </text>
    </comment>
  </commentList>
</comments>
</file>

<file path=xl/comments4.xml><?xml version="1.0" encoding="utf-8"?>
<comments xmlns="http://schemas.openxmlformats.org/spreadsheetml/2006/main">
  <authors>
    <author>xiaomeng.yan</author>
    <author>韩天佩</author>
  </authors>
  <commentList>
    <comment ref="C5" authorId="0">
      <text>
        <r>
          <rPr>
            <sz val="9"/>
            <rFont val="宋体"/>
            <charset val="134"/>
          </rPr>
          <t>索引&lt;IT 环境 - 应用程序&gt;处索引号</t>
        </r>
      </text>
    </comment>
    <comment ref="D5" authorId="1">
      <text>
        <r>
          <rPr>
            <sz val="9"/>
            <rFont val="宋体"/>
            <charset val="134"/>
          </rPr>
          <t>The extent of automated procedures for processing and the
complexity of those procedures, including whether there is
highly automated, paperless processing.
处理的自动化程序的程度和这些程序的复杂性，包括是否有高度自
动化、无纸化的处理。</t>
        </r>
      </text>
    </comment>
    <comment ref="E5" authorId="1">
      <text>
        <r>
          <rPr>
            <sz val="9"/>
            <rFont val="宋体"/>
            <charset val="134"/>
          </rPr>
          <t>Complex systems will have a large number of data inputs or
complex interfaces between one another that transfers data
through the IT Environment. Non-complex systems will not
have automated data interfaces and may rely on manual inputs
into systems
复杂系统将具有大量数据输入或彼此之间通过IT环境传输数据的复杂
接口。不复杂的系统将不具备自动数据接口，并且可能依赖于手动输
入系统</t>
        </r>
      </text>
    </comment>
    <comment ref="F5" authorId="1">
      <text>
        <r>
          <rPr>
            <sz val="9"/>
            <rFont val="宋体"/>
            <charset val="134"/>
          </rPr>
          <t>Complex systems will have extensive use of automated
procedures that are often complex and paperless while
non-complex systems will rely on manual intervention for
processing. Batch processing is when a series of jobs are
executed in an application without manual intervention.
复杂系统将广泛使用自动化程序，这些程序通常是复杂和无纸化
的，而非复杂系统将依赖人工干预进行处理。批处理是指在没有
手动干预的情况下在应用程序中执行一系列作业。</t>
        </r>
      </text>
    </comment>
    <comment ref="G5" authorId="1">
      <text>
        <r>
          <rPr>
            <sz val="9"/>
            <rFont val="宋体"/>
            <charset val="134"/>
          </rPr>
          <t>Complex systems will have automated report logic and may use
report-write software while non-complex systems will use
simple report logic
复杂系统将具有自动报告逻辑，并可能使用报告编写软件，而非复杂
系统将使用简单的报告逻辑</t>
        </r>
      </text>
    </comment>
    <comment ref="H5" authorId="1">
      <text>
        <r>
          <rPr>
            <sz val="9"/>
            <rFont val="宋体"/>
            <charset val="134"/>
          </rPr>
          <t>Complex systems may have a large number of data inputs which
can include customer or vendor input or complex interfaces
while non-complex systems may have simple manual inputs
复杂系统可具有大量数据输入，其可包括客户或供应商输入或复杂接
口，而非复杂系统可具有简单的手动输入</t>
        </r>
      </text>
    </comment>
    <comment ref="I5" authorId="1">
      <text>
        <r>
          <rPr>
            <sz val="9"/>
            <rFont val="宋体"/>
            <charset val="134"/>
          </rPr>
          <t>The volume and complexity of data may include whether
accounting records or other information are stored in
digital form and the location of the stored data. Complex
systems will have large volumes of data or complex data
stored in data warehouses potentially by IT service
providers, while simple systems have low volumes of data
that is simple and easily verified manually
数据的数量和复杂性可能包括会计记录或其他信息是否以数字形
式存储以及存储数据的位置。复杂系统将有大量数据或复杂数据
存储在可能由IT服务提供商提供的数据仓库中，而简单的系统具
有少量简单且易于手动验证的数据</t>
        </r>
      </text>
    </comment>
    <comment ref="J5" authorId="1">
      <text>
        <r>
          <rPr>
            <sz val="9"/>
            <rFont val="宋体"/>
            <charset val="134"/>
          </rPr>
          <t>Level of customization refers to how much the entity may
have modified the IT application. Some IT applications may
be used with any changes made to the application developed
by a third-party, while other IT applications may have many
modifications or adjustments
定制化程度指的是实体对IT应用程序的修改程度。有些IT应用程序
可以在不做任何更改的情况下使用第三方开发的应用程序，而其他
IT应用程序可能进行了许多修改或调整。</t>
        </r>
      </text>
    </comment>
    <comment ref="K5" authorId="1">
      <text>
        <r>
          <rPr>
            <sz val="9"/>
            <rFont val="宋体"/>
            <charset val="134"/>
          </rPr>
          <t>Does the entity use emerging technologies that affect its
financial reporting which in a complex system can be a mixed
use of emerging technologies across platforms while a simple
system will not use such technologies
该实体是否使用影响其财务报告的新兴技术，在复杂系统中可能会
在多个平台上混合使用新兴技术，而简单系统则不会使用此类技术</t>
        </r>
      </text>
    </comment>
    <comment ref="A6" authorId="0">
      <text>
        <r>
          <rPr>
            <sz val="9"/>
            <rFont val="宋体"/>
            <charset val="134"/>
          </rPr>
          <t>填写示例仅供参考，不限制项目组的填写形式，描述清晰、准确、完整、符合实际情况即可</t>
        </r>
      </text>
    </comment>
  </commentList>
</comments>
</file>

<file path=xl/sharedStrings.xml><?xml version="1.0" encoding="utf-8"?>
<sst xmlns="http://schemas.openxmlformats.org/spreadsheetml/2006/main" count="266" uniqueCount="174">
  <si>
    <r>
      <rPr>
        <b/>
        <sz val="10"/>
        <color rgb="FF4F2D7F"/>
        <rFont val="宋体"/>
        <charset val="134"/>
      </rPr>
      <t>信息技术</t>
    </r>
    <r>
      <rPr>
        <b/>
        <sz val="10"/>
        <color rgb="FF4F2D7F"/>
        <rFont val="Arial Narrow"/>
        <charset val="134"/>
      </rPr>
      <t xml:space="preserve"> </t>
    </r>
    <r>
      <rPr>
        <b/>
        <sz val="10"/>
        <color rgb="FF4F2D7F"/>
        <rFont val="宋体"/>
        <charset val="134"/>
      </rPr>
      <t>（</t>
    </r>
    <r>
      <rPr>
        <b/>
        <sz val="10"/>
        <color rgb="FF4F2D7F"/>
        <rFont val="Arial Narrow"/>
        <charset val="134"/>
      </rPr>
      <t>IT)</t>
    </r>
    <r>
      <rPr>
        <b/>
        <sz val="10"/>
        <color rgb="FF4F2D7F"/>
        <rFont val="宋体"/>
        <charset val="134"/>
      </rPr>
      <t>）环境</t>
    </r>
  </si>
  <si>
    <r>
      <rPr>
        <sz val="10"/>
        <color rgb="FFFF0000"/>
        <rFont val="宋体"/>
        <charset val="134"/>
      </rPr>
      <t>项目组可能会注意到</t>
    </r>
    <r>
      <rPr>
        <sz val="10"/>
        <color rgb="FFFF0000"/>
        <rFont val="Arial Narrow"/>
        <charset val="134"/>
      </rPr>
      <t xml:space="preserve"> IT </t>
    </r>
    <r>
      <rPr>
        <sz val="10"/>
        <color rgb="FFFF0000"/>
        <rFont val="宋体"/>
        <charset val="134"/>
      </rPr>
      <t>环境的某些部分，包括作为了解业务流程的一部分的</t>
    </r>
    <r>
      <rPr>
        <sz val="10"/>
        <color rgb="FFFF0000"/>
        <rFont val="Arial Narrow"/>
        <charset val="134"/>
      </rPr>
      <t xml:space="preserve"> IT </t>
    </r>
    <r>
      <rPr>
        <sz val="10"/>
        <color rgb="FFFF0000"/>
        <rFont val="宋体"/>
        <charset val="134"/>
      </rPr>
      <t>应用程序。项目组可使用这个了解作为完成此模板的一部分。</t>
    </r>
  </si>
  <si>
    <t>如何：输入信息或从项目组编辑的阴影单元格中的下拉列表选择适用的信息。</t>
  </si>
  <si>
    <t>目的</t>
  </si>
  <si>
    <r>
      <rPr>
        <sz val="10"/>
        <rFont val="Arial Narrow"/>
        <charset val="134"/>
      </rPr>
      <t xml:space="preserve">IT </t>
    </r>
    <r>
      <rPr>
        <sz val="10"/>
        <rFont val="宋体"/>
        <charset val="134"/>
      </rPr>
      <t>环境工作簿用于记录项目组对</t>
    </r>
    <r>
      <rPr>
        <sz val="10"/>
        <rFont val="Arial Narrow"/>
        <charset val="134"/>
      </rPr>
      <t xml:space="preserve"> IT </t>
    </r>
    <r>
      <rPr>
        <sz val="10"/>
        <rFont val="宋体"/>
        <charset val="134"/>
      </rPr>
      <t>环境（包括</t>
    </r>
    <r>
      <rPr>
        <sz val="10"/>
        <rFont val="Arial Narrow"/>
        <charset val="134"/>
      </rPr>
      <t xml:space="preserve"> IT </t>
    </r>
    <r>
      <rPr>
        <sz val="10"/>
        <rFont val="宋体"/>
        <charset val="134"/>
      </rPr>
      <t>应用程序、</t>
    </r>
    <r>
      <rPr>
        <sz val="10"/>
        <rFont val="Arial Narrow"/>
        <charset val="134"/>
      </rPr>
      <t xml:space="preserve">IT </t>
    </r>
    <r>
      <rPr>
        <sz val="10"/>
        <rFont val="宋体"/>
        <charset val="134"/>
      </rPr>
      <t>基础结构和</t>
    </r>
    <r>
      <rPr>
        <sz val="10"/>
        <rFont val="Arial Narrow"/>
        <charset val="134"/>
      </rPr>
      <t xml:space="preserve"> IT </t>
    </r>
    <r>
      <rPr>
        <sz val="10"/>
        <rFont val="宋体"/>
        <charset val="134"/>
      </rPr>
      <t>流程）的了解。它有助于确定范围系统或应用程序及其复杂性。</t>
    </r>
  </si>
  <si>
    <t>业务流程</t>
  </si>
  <si>
    <t>项目组了解对财务报表具有重要意义的交易类别、账户余额和披露的业务流程。这种了解的一部分可能包括信息如何在被审计单位信息系统中的传递。项目组队可在完成此模板的某些部分的同时了解被审计单位的业务流程。</t>
  </si>
  <si>
    <r>
      <rPr>
        <b/>
        <sz val="10"/>
        <rFont val="Arial Narrow"/>
        <charset val="134"/>
      </rPr>
      <t xml:space="preserve">IT </t>
    </r>
    <r>
      <rPr>
        <b/>
        <sz val="10"/>
        <color theme="1"/>
        <rFont val="宋体"/>
        <charset val="134"/>
      </rPr>
      <t>环境</t>
    </r>
  </si>
  <si>
    <r>
      <rPr>
        <sz val="10"/>
        <color theme="1"/>
        <rFont val="Arial Narrow"/>
        <charset val="134"/>
      </rPr>
      <t xml:space="preserve">IT </t>
    </r>
    <r>
      <rPr>
        <sz val="10"/>
        <color theme="1"/>
        <rFont val="宋体"/>
        <charset val="134"/>
      </rPr>
      <t>环境包括被审计单位用于支持业务运营和实现经营战略的</t>
    </r>
    <r>
      <rPr>
        <sz val="10"/>
        <color theme="1"/>
        <rFont val="Arial Narrow"/>
        <charset val="134"/>
      </rPr>
      <t>IT</t>
    </r>
    <r>
      <rPr>
        <sz val="10"/>
        <color theme="1"/>
        <rFont val="宋体"/>
        <charset val="134"/>
      </rPr>
      <t>应用程序和支持</t>
    </r>
    <r>
      <rPr>
        <sz val="10"/>
        <color theme="1"/>
        <rFont val="Arial Narrow"/>
        <charset val="134"/>
      </rPr>
      <t>IT</t>
    </r>
    <r>
      <rPr>
        <sz val="10"/>
        <color theme="1"/>
        <rFont val="宋体"/>
        <charset val="134"/>
      </rPr>
      <t>基础设施以及这些过程中涉及的</t>
    </r>
    <r>
      <rPr>
        <sz val="10"/>
        <color theme="1"/>
        <rFont val="Arial Narrow"/>
        <charset val="134"/>
      </rPr>
      <t>IT</t>
    </r>
    <r>
      <rPr>
        <sz val="10"/>
        <color theme="1"/>
        <rFont val="宋体"/>
        <charset val="134"/>
      </rPr>
      <t>流程和人员。</t>
    </r>
  </si>
  <si>
    <r>
      <rPr>
        <b/>
        <sz val="10"/>
        <rFont val="Arial Narrow"/>
        <charset val="134"/>
      </rPr>
      <t>IT</t>
    </r>
    <r>
      <rPr>
        <b/>
        <sz val="10"/>
        <color theme="1"/>
        <rFont val="宋体"/>
        <charset val="134"/>
      </rPr>
      <t>应用程序</t>
    </r>
  </si>
  <si>
    <r>
      <rPr>
        <sz val="10"/>
        <color theme="1"/>
        <rFont val="Arial Narrow"/>
        <charset val="134"/>
      </rPr>
      <t>IT</t>
    </r>
    <r>
      <rPr>
        <sz val="10"/>
        <color theme="1"/>
        <rFont val="宋体"/>
        <charset val="134"/>
      </rPr>
      <t>应用程序是用于生成、处理、记录和报告交易或信息的一种或一组程序。</t>
    </r>
    <r>
      <rPr>
        <sz val="10"/>
        <color theme="1"/>
        <rFont val="Arial Narrow"/>
        <charset val="134"/>
      </rPr>
      <t>IT</t>
    </r>
    <r>
      <rPr>
        <sz val="10"/>
        <color theme="1"/>
        <rFont val="宋体"/>
        <charset val="134"/>
      </rPr>
      <t>应用程序，包括数据仓库和报告撰写</t>
    </r>
    <r>
      <rPr>
        <sz val="10"/>
        <color theme="1"/>
        <rFont val="Arial Narrow"/>
        <charset val="134"/>
      </rPr>
      <t xml:space="preserve"> </t>
    </r>
    <r>
      <rPr>
        <sz val="10"/>
        <color theme="1"/>
        <rFont val="宋体"/>
        <charset val="134"/>
      </rPr>
      <t>。与该了解相关的</t>
    </r>
    <r>
      <rPr>
        <sz val="10"/>
        <color theme="1"/>
        <rFont val="Arial Narrow"/>
        <charset val="134"/>
      </rPr>
      <t>IT</t>
    </r>
    <r>
      <rPr>
        <sz val="10"/>
        <color theme="1"/>
        <rFont val="宋体"/>
        <charset val="134"/>
      </rPr>
      <t>应用程序是记录为</t>
    </r>
    <r>
      <rPr>
        <sz val="10"/>
        <color theme="1"/>
        <rFont val="Arial Narrow"/>
        <charset val="134"/>
      </rPr>
      <t>“</t>
    </r>
    <r>
      <rPr>
        <sz val="10"/>
        <color theme="1"/>
        <rFont val="宋体"/>
        <charset val="134"/>
      </rPr>
      <t>业务流程</t>
    </r>
    <r>
      <rPr>
        <sz val="10"/>
        <color theme="1"/>
        <rFont val="Arial Narrow"/>
        <charset val="134"/>
      </rPr>
      <t>”</t>
    </r>
    <r>
      <rPr>
        <sz val="10"/>
        <color theme="1"/>
        <rFont val="宋体"/>
        <charset val="134"/>
      </rPr>
      <t>模板或</t>
    </r>
    <r>
      <rPr>
        <sz val="10"/>
        <color theme="1"/>
        <rFont val="Arial Narrow"/>
        <charset val="134"/>
      </rPr>
      <t>“</t>
    </r>
    <r>
      <rPr>
        <sz val="10"/>
        <color theme="1"/>
        <rFont val="宋体"/>
        <charset val="134"/>
      </rPr>
      <t>了解会计分录控制</t>
    </r>
    <r>
      <rPr>
        <sz val="10"/>
        <color theme="1"/>
        <rFont val="Arial Narrow"/>
        <charset val="134"/>
      </rPr>
      <t>”</t>
    </r>
    <r>
      <rPr>
        <sz val="10"/>
        <color theme="1"/>
        <rFont val="宋体"/>
        <charset val="134"/>
      </rPr>
      <t>模板的一部分。</t>
    </r>
  </si>
  <si>
    <r>
      <rPr>
        <b/>
        <sz val="10"/>
        <rFont val="Arial Narrow"/>
        <charset val="134"/>
      </rPr>
      <t xml:space="preserve">IT </t>
    </r>
    <r>
      <rPr>
        <b/>
        <sz val="10"/>
        <color theme="1"/>
        <rFont val="宋体"/>
        <charset val="134"/>
      </rPr>
      <t>基础设施</t>
    </r>
  </si>
  <si>
    <r>
      <rPr>
        <sz val="10"/>
        <color theme="1"/>
        <rFont val="Arial Narrow"/>
        <charset val="134"/>
      </rPr>
      <t xml:space="preserve">IT </t>
    </r>
    <r>
      <rPr>
        <sz val="10"/>
        <color theme="1"/>
        <rFont val="宋体"/>
        <charset val="134"/>
      </rPr>
      <t>基础设施由网络、操作系统、数据库及其相关硬件和软件构成。</t>
    </r>
  </si>
  <si>
    <r>
      <rPr>
        <b/>
        <sz val="10"/>
        <rFont val="Arial Narrow"/>
        <charset val="134"/>
      </rPr>
      <t xml:space="preserve">IT </t>
    </r>
    <r>
      <rPr>
        <b/>
        <sz val="10"/>
        <color theme="1"/>
        <rFont val="宋体"/>
        <charset val="134"/>
      </rPr>
      <t>流程</t>
    </r>
  </si>
  <si>
    <r>
      <rPr>
        <sz val="10"/>
        <color theme="1"/>
        <rFont val="Arial Narrow"/>
        <charset val="134"/>
      </rPr>
      <t xml:space="preserve">IT </t>
    </r>
    <r>
      <rPr>
        <sz val="10"/>
        <color theme="1"/>
        <rFont val="宋体"/>
        <charset val="134"/>
      </rPr>
      <t>流程是被审计单位管理</t>
    </r>
    <r>
      <rPr>
        <sz val="10"/>
        <color theme="1"/>
        <rFont val="Arial Narrow"/>
        <charset val="134"/>
      </rPr>
      <t>IT</t>
    </r>
    <r>
      <rPr>
        <sz val="10"/>
        <color theme="1"/>
        <rFont val="宋体"/>
        <charset val="134"/>
      </rPr>
      <t>环境的访问、管理程序变更或</t>
    </r>
    <r>
      <rPr>
        <sz val="10"/>
        <color theme="1"/>
        <rFont val="Arial Narrow"/>
        <charset val="134"/>
      </rPr>
      <t>IT</t>
    </r>
    <r>
      <rPr>
        <sz val="10"/>
        <color theme="1"/>
        <rFont val="宋体"/>
        <charset val="134"/>
      </rPr>
      <t>环境变更，以及管理</t>
    </r>
    <r>
      <rPr>
        <sz val="10"/>
        <color theme="1"/>
        <rFont val="Arial Narrow"/>
        <charset val="134"/>
      </rPr>
      <t>IT</t>
    </r>
    <r>
      <rPr>
        <sz val="10"/>
        <color theme="1"/>
        <rFont val="宋体"/>
        <charset val="134"/>
      </rPr>
      <t>运行的流程。</t>
    </r>
  </si>
  <si>
    <r>
      <rPr>
        <b/>
        <sz val="10"/>
        <color rgb="FF4F2D7F"/>
        <rFont val="宋体"/>
        <charset val="134"/>
      </rPr>
      <t>信息技术</t>
    </r>
    <r>
      <rPr>
        <b/>
        <sz val="10"/>
        <color rgb="FF4F2D7F"/>
        <rFont val="Arial Narrow"/>
        <charset val="134"/>
      </rPr>
      <t xml:space="preserve"> (IT) </t>
    </r>
    <r>
      <rPr>
        <b/>
        <sz val="10"/>
        <color rgb="FF4F2D7F"/>
        <rFont val="宋体"/>
        <charset val="134"/>
      </rPr>
      <t>环境</t>
    </r>
    <r>
      <rPr>
        <b/>
        <sz val="10"/>
        <color rgb="FF4F2D7F"/>
        <rFont val="Arial Narrow"/>
        <charset val="134"/>
      </rPr>
      <t xml:space="preserve"> - </t>
    </r>
    <r>
      <rPr>
        <b/>
        <sz val="10"/>
        <color rgb="FF4F2D7F"/>
        <rFont val="宋体"/>
        <charset val="134"/>
      </rPr>
      <t>应用程序</t>
    </r>
  </si>
  <si>
    <t>被审计单位名称</t>
  </si>
  <si>
    <t>截止日</t>
  </si>
  <si>
    <r>
      <rPr>
        <sz val="10"/>
        <color theme="1"/>
        <rFont val="Arial Narrow"/>
        <charset val="134"/>
      </rPr>
      <t>202X</t>
    </r>
    <r>
      <rPr>
        <sz val="10"/>
        <color theme="1"/>
        <rFont val="宋体"/>
        <charset val="134"/>
      </rPr>
      <t>年</t>
    </r>
    <r>
      <rPr>
        <sz val="10"/>
        <color theme="1"/>
        <rFont val="Arial Narrow"/>
        <charset val="134"/>
      </rPr>
      <t>12</t>
    </r>
    <r>
      <rPr>
        <sz val="10"/>
        <color theme="1"/>
        <rFont val="宋体"/>
        <charset val="134"/>
      </rPr>
      <t>月</t>
    </r>
    <r>
      <rPr>
        <sz val="10"/>
        <color theme="1"/>
        <rFont val="Arial Narrow"/>
        <charset val="134"/>
      </rPr>
      <t>31</t>
    </r>
    <r>
      <rPr>
        <sz val="10"/>
        <color theme="1"/>
        <rFont val="宋体"/>
        <charset val="134"/>
      </rPr>
      <t>日</t>
    </r>
  </si>
  <si>
    <t>索引号</t>
  </si>
  <si>
    <t>类别</t>
  </si>
  <si>
    <t>应用程序名称</t>
  </si>
  <si>
    <t>应用程序版本</t>
  </si>
  <si>
    <t>应用程序描述</t>
  </si>
  <si>
    <t>系统所属单位</t>
  </si>
  <si>
    <t>上线时间及最近升级时间</t>
  </si>
  <si>
    <t>涉及的重大业务流程</t>
  </si>
  <si>
    <t>数据库</t>
  </si>
  <si>
    <t>操作系统</t>
  </si>
  <si>
    <t>服务器设备编号（如适用）</t>
  </si>
  <si>
    <t>网络</t>
  </si>
  <si>
    <t>维护此应用程序及其环境的人员</t>
  </si>
  <si>
    <t>是否有服务机构或其它第三方参与</t>
  </si>
  <si>
    <t>APP-001</t>
  </si>
  <si>
    <r>
      <rPr>
        <b/>
        <sz val="10"/>
        <color rgb="FF4F2D7F"/>
        <rFont val="宋体"/>
        <charset val="134"/>
      </rPr>
      <t>信息技术</t>
    </r>
    <r>
      <rPr>
        <b/>
        <sz val="10"/>
        <color rgb="FF4F2D7F"/>
        <rFont val="Arial Narrow"/>
        <charset val="134"/>
      </rPr>
      <t xml:space="preserve"> (IT) </t>
    </r>
    <r>
      <rPr>
        <b/>
        <sz val="10"/>
        <color rgb="FF4F2D7F"/>
        <rFont val="宋体"/>
        <charset val="134"/>
      </rPr>
      <t>环境</t>
    </r>
    <r>
      <rPr>
        <b/>
        <sz val="10"/>
        <color rgb="FF4F2D7F"/>
        <rFont val="Arial Narrow"/>
        <charset val="134"/>
      </rPr>
      <t xml:space="preserve"> - </t>
    </r>
    <r>
      <rPr>
        <b/>
        <sz val="10"/>
        <color rgb="FF4F2D7F"/>
        <rFont val="宋体"/>
        <charset val="134"/>
      </rPr>
      <t>基础设施</t>
    </r>
  </si>
  <si>
    <r>
      <rPr>
        <b/>
        <sz val="10"/>
        <rFont val="宋体"/>
        <charset val="134"/>
      </rPr>
      <t>被审计单位名称</t>
    </r>
  </si>
  <si>
    <r>
      <rPr>
        <b/>
        <sz val="10"/>
        <rFont val="宋体"/>
        <charset val="134"/>
      </rPr>
      <t>截止日</t>
    </r>
  </si>
  <si>
    <r>
      <rPr>
        <b/>
        <sz val="10"/>
        <rFont val="宋体"/>
        <charset val="134"/>
      </rPr>
      <t>索引号</t>
    </r>
  </si>
  <si>
    <t>基础设施名称</t>
  </si>
  <si>
    <r>
      <rPr>
        <b/>
        <sz val="10"/>
        <rFont val="宋体"/>
        <charset val="134"/>
      </rPr>
      <t>对应的应用程序名称</t>
    </r>
  </si>
  <si>
    <r>
      <rPr>
        <b/>
        <sz val="10"/>
        <rFont val="宋体"/>
        <charset val="134"/>
      </rPr>
      <t>类别</t>
    </r>
  </si>
  <si>
    <t>版本（如适用）</t>
  </si>
  <si>
    <t>设备编号（如适用）</t>
  </si>
  <si>
    <r>
      <rPr>
        <b/>
        <sz val="10"/>
        <rFont val="宋体"/>
        <charset val="134"/>
      </rPr>
      <t>描述</t>
    </r>
  </si>
  <si>
    <t>服务器的物理位置</t>
  </si>
  <si>
    <r>
      <rPr>
        <b/>
        <sz val="10"/>
        <rFont val="宋体"/>
        <charset val="134"/>
      </rPr>
      <t>维护人员</t>
    </r>
  </si>
  <si>
    <r>
      <rPr>
        <b/>
        <sz val="10"/>
        <rFont val="宋体"/>
        <charset val="134"/>
      </rPr>
      <t>服务机构或第三方参与</t>
    </r>
  </si>
  <si>
    <r>
      <rPr>
        <b/>
        <sz val="10"/>
        <color rgb="FF4F2D7F"/>
        <rFont val="宋体"/>
        <charset val="134"/>
      </rPr>
      <t>信息技术</t>
    </r>
    <r>
      <rPr>
        <b/>
        <sz val="10"/>
        <color rgb="FF4F2D7F"/>
        <rFont val="Arial Narrow"/>
        <charset val="134"/>
      </rPr>
      <t xml:space="preserve"> (IT) </t>
    </r>
    <r>
      <rPr>
        <b/>
        <sz val="10"/>
        <color rgb="FF4F2D7F"/>
        <rFont val="宋体"/>
        <charset val="134"/>
      </rPr>
      <t>环境</t>
    </r>
    <r>
      <rPr>
        <b/>
        <sz val="10"/>
        <color rgb="FF4F2D7F"/>
        <rFont val="Arial Narrow"/>
        <charset val="134"/>
      </rPr>
      <t xml:space="preserve"> - </t>
    </r>
    <r>
      <rPr>
        <b/>
        <sz val="10"/>
        <color rgb="FF4F2D7F"/>
        <rFont val="宋体"/>
        <charset val="134"/>
      </rPr>
      <t>流程</t>
    </r>
  </si>
  <si>
    <r>
      <rPr>
        <b/>
        <sz val="10"/>
        <rFont val="宋体"/>
        <charset val="134"/>
      </rPr>
      <t>序号</t>
    </r>
    <r>
      <rPr>
        <b/>
        <sz val="10"/>
        <rFont val="Arial Narrow"/>
        <charset val="134"/>
      </rPr>
      <t>/</t>
    </r>
    <r>
      <rPr>
        <b/>
        <sz val="10"/>
        <rFont val="宋体"/>
        <charset val="134"/>
      </rPr>
      <t>索引号</t>
    </r>
  </si>
  <si>
    <r>
      <rPr>
        <b/>
        <sz val="10"/>
        <rFont val="宋体"/>
        <charset val="134"/>
      </rPr>
      <t>应用程序名称</t>
    </r>
  </si>
  <si>
    <t>索引号（应用程序）</t>
  </si>
  <si>
    <r>
      <rPr>
        <b/>
        <sz val="10"/>
        <rFont val="Arial Narrow"/>
        <charset val="134"/>
      </rPr>
      <t xml:space="preserve">IT </t>
    </r>
    <r>
      <rPr>
        <b/>
        <sz val="10"/>
        <rFont val="宋体"/>
        <charset val="134"/>
      </rPr>
      <t>流程：管理访问权限</t>
    </r>
  </si>
  <si>
    <r>
      <rPr>
        <b/>
        <sz val="10"/>
        <rFont val="Arial Narrow"/>
        <charset val="134"/>
      </rPr>
      <t>IT</t>
    </r>
    <r>
      <rPr>
        <b/>
        <sz val="10"/>
        <rFont val="宋体"/>
        <charset val="134"/>
      </rPr>
      <t>流程：管理程序或</t>
    </r>
    <r>
      <rPr>
        <b/>
        <sz val="10"/>
        <rFont val="Arial Narrow"/>
        <charset val="134"/>
      </rPr>
      <t>IT</t>
    </r>
    <r>
      <rPr>
        <b/>
        <sz val="10"/>
        <rFont val="宋体"/>
        <charset val="134"/>
      </rPr>
      <t>环境变化</t>
    </r>
  </si>
  <si>
    <t>管理访问权限并向员工提供权限的流程</t>
  </si>
  <si>
    <t>对应用程序用户进行身份验证的层级</t>
  </si>
  <si>
    <t>访问权限管理流程的复杂性</t>
  </si>
  <si>
    <r>
      <rPr>
        <b/>
        <sz val="10"/>
        <rFont val="Arial Narrow"/>
        <charset val="134"/>
      </rPr>
      <t>IT</t>
    </r>
    <r>
      <rPr>
        <b/>
        <sz val="10"/>
        <rFont val="宋体"/>
        <charset val="134"/>
      </rPr>
      <t>环境安全的复杂性</t>
    </r>
  </si>
  <si>
    <t>管理变更的流程，如适用</t>
  </si>
  <si>
    <r>
      <rPr>
        <b/>
        <sz val="10"/>
        <rFont val="宋体"/>
        <charset val="134"/>
      </rPr>
      <t>记录</t>
    </r>
    <r>
      <rPr>
        <b/>
        <sz val="10"/>
        <rFont val="Arial Narrow"/>
        <charset val="134"/>
      </rPr>
      <t xml:space="preserve"> IT </t>
    </r>
    <r>
      <rPr>
        <b/>
        <sz val="10"/>
        <rFont val="宋体"/>
        <charset val="134"/>
      </rPr>
      <t>环境的变化程度（如有）</t>
    </r>
  </si>
  <si>
    <r>
      <rPr>
        <b/>
        <sz val="10"/>
        <rFont val="宋体"/>
        <charset val="134"/>
      </rPr>
      <t>在此期间实施的应用程序？</t>
    </r>
  </si>
  <si>
    <t>在此期间的数据转换（新系统实施期间除外）？</t>
  </si>
  <si>
    <r>
      <rPr>
        <b/>
        <sz val="10"/>
        <rFont val="宋体"/>
        <charset val="134"/>
      </rPr>
      <t>被审计单位人员是否有权访问源代码？</t>
    </r>
  </si>
  <si>
    <t>财务管理系统</t>
  </si>
  <si>
    <r>
      <rPr>
        <i/>
        <sz val="10"/>
        <color rgb="FFFF0000"/>
        <rFont val="Arial Narrow"/>
        <charset val="134"/>
      </rPr>
      <t xml:space="preserve">1. </t>
    </r>
    <r>
      <rPr>
        <i/>
        <sz val="10"/>
        <color rgb="FFFF0000"/>
        <rFont val="宋体"/>
        <charset val="134"/>
      </rPr>
      <t>初始权限（入职）：</t>
    </r>
    <r>
      <rPr>
        <i/>
        <sz val="10"/>
        <color rgb="FFFF0000"/>
        <rFont val="Arial Narrow"/>
        <charset val="134"/>
      </rPr>
      <t xml:space="preserve"> </t>
    </r>
    <r>
      <rPr>
        <i/>
        <sz val="10"/>
        <color rgb="FFFF0000"/>
        <rFont val="宋体"/>
        <charset val="134"/>
      </rPr>
      <t>新员工入职时，人力资源部通过</t>
    </r>
    <r>
      <rPr>
        <i/>
        <sz val="10"/>
        <color rgb="FFFF0000"/>
        <rFont val="Arial Narrow"/>
        <charset val="134"/>
      </rPr>
      <t>OA</t>
    </r>
    <r>
      <rPr>
        <i/>
        <sz val="10"/>
        <color rgb="FFFF0000"/>
        <rFont val="宋体"/>
        <charset val="134"/>
      </rPr>
      <t>系统向</t>
    </r>
    <r>
      <rPr>
        <i/>
        <sz val="10"/>
        <color rgb="FFFF0000"/>
        <rFont val="Arial Narrow"/>
        <charset val="134"/>
      </rPr>
      <t>IT</t>
    </r>
    <r>
      <rPr>
        <i/>
        <sz val="10"/>
        <color rgb="FFFF0000"/>
        <rFont val="宋体"/>
        <charset val="134"/>
      </rPr>
      <t>部门发起</t>
    </r>
    <r>
      <rPr>
        <i/>
        <sz val="10"/>
        <color rgb="FFFF0000"/>
        <rFont val="Arial Narrow"/>
        <charset val="134"/>
      </rPr>
      <t>“</t>
    </r>
    <r>
      <rPr>
        <i/>
        <sz val="10"/>
        <color rgb="FFFF0000"/>
        <rFont val="宋体"/>
        <charset val="134"/>
      </rPr>
      <t>账号开通</t>
    </r>
    <r>
      <rPr>
        <i/>
        <sz val="10"/>
        <color rgb="FFFF0000"/>
        <rFont val="Arial Narrow"/>
        <charset val="134"/>
      </rPr>
      <t>”</t>
    </r>
    <r>
      <rPr>
        <i/>
        <sz val="10"/>
        <color rgb="FFFF0000"/>
        <rFont val="宋体"/>
        <charset val="134"/>
      </rPr>
      <t>流程。</t>
    </r>
    <r>
      <rPr>
        <i/>
        <sz val="10"/>
        <color rgb="FFFF0000"/>
        <rFont val="Arial Narrow"/>
        <charset val="134"/>
      </rPr>
      <t>IT</t>
    </r>
    <r>
      <rPr>
        <i/>
        <sz val="10"/>
        <color rgb="FFFF0000"/>
        <rFont val="宋体"/>
        <charset val="134"/>
      </rPr>
      <t>部门据此为员工创建统一的域账号（用于登录电脑和基础办公软件），并授予基础的、预设的</t>
    </r>
    <r>
      <rPr>
        <i/>
        <sz val="10"/>
        <color rgb="FFFF0000"/>
        <rFont val="Arial Narrow"/>
        <charset val="134"/>
      </rPr>
      <t>“</t>
    </r>
    <r>
      <rPr>
        <i/>
        <sz val="10"/>
        <color rgb="FFFF0000"/>
        <rFont val="宋体"/>
        <charset val="134"/>
      </rPr>
      <t>通用权限</t>
    </r>
    <r>
      <rPr>
        <i/>
        <sz val="10"/>
        <color rgb="FFFF0000"/>
        <rFont val="Arial Narrow"/>
        <charset val="134"/>
      </rPr>
      <t>”</t>
    </r>
    <r>
      <rPr>
        <i/>
        <sz val="10"/>
        <color rgb="FFFF0000"/>
        <rFont val="宋体"/>
        <charset val="134"/>
      </rPr>
      <t>（如：电子邮件、基础办公套件）。</t>
    </r>
    <r>
      <rPr>
        <i/>
        <sz val="10"/>
        <color rgb="FFFF0000"/>
        <rFont val="Arial Narrow"/>
        <charset val="134"/>
      </rPr>
      <t xml:space="preserve">
2. </t>
    </r>
    <r>
      <rPr>
        <i/>
        <sz val="10"/>
        <color rgb="FFFF0000"/>
        <rFont val="宋体"/>
        <charset val="134"/>
      </rPr>
      <t>业务权限申请：</t>
    </r>
    <r>
      <rPr>
        <i/>
        <sz val="10"/>
        <color rgb="FFFF0000"/>
        <rFont val="Arial Narrow"/>
        <charset val="134"/>
      </rPr>
      <t xml:space="preserve"> </t>
    </r>
    <r>
      <rPr>
        <i/>
        <sz val="10"/>
        <color rgb="FFFF0000"/>
        <rFont val="宋体"/>
        <charset val="134"/>
      </rPr>
      <t>员工如需访问特定业务系统（如：</t>
    </r>
    <r>
      <rPr>
        <i/>
        <sz val="10"/>
        <color rgb="FFFF0000"/>
        <rFont val="Arial Narrow"/>
        <charset val="134"/>
      </rPr>
      <t>ERP</t>
    </r>
    <r>
      <rPr>
        <i/>
        <sz val="10"/>
        <color rgb="FFFF0000"/>
        <rFont val="宋体"/>
        <charset val="134"/>
      </rPr>
      <t>、</t>
    </r>
    <r>
      <rPr>
        <i/>
        <sz val="10"/>
        <color rgb="FFFF0000"/>
        <rFont val="Arial Narrow"/>
        <charset val="134"/>
      </rPr>
      <t>CRM</t>
    </r>
    <r>
      <rPr>
        <i/>
        <sz val="10"/>
        <color rgb="FFFF0000"/>
        <rFont val="宋体"/>
        <charset val="134"/>
      </rPr>
      <t>、财务系统），需由其直属部门经理通过统一的</t>
    </r>
    <r>
      <rPr>
        <i/>
        <sz val="10"/>
        <color rgb="FFFF0000"/>
        <rFont val="Arial Narrow"/>
        <charset val="134"/>
      </rPr>
      <t>“IT</t>
    </r>
    <r>
      <rPr>
        <i/>
        <sz val="10"/>
        <color rgb="FFFF0000"/>
        <rFont val="宋体"/>
        <charset val="134"/>
      </rPr>
      <t>权限申请</t>
    </r>
    <r>
      <rPr>
        <i/>
        <sz val="10"/>
        <color rgb="FFFF0000"/>
        <rFont val="Arial Narrow"/>
        <charset val="134"/>
      </rPr>
      <t>”</t>
    </r>
    <r>
      <rPr>
        <i/>
        <sz val="10"/>
        <color rgb="FFFF0000"/>
        <rFont val="宋体"/>
        <charset val="134"/>
      </rPr>
      <t>工单系统发起请求。申请中必须明确填写所需的系统名称、权限角色（或权限列表）及业务合理性。</t>
    </r>
    <r>
      <rPr>
        <i/>
        <sz val="10"/>
        <color rgb="FFFF0000"/>
        <rFont val="Arial Narrow"/>
        <charset val="134"/>
      </rPr>
      <t xml:space="preserve">
3. </t>
    </r>
    <r>
      <rPr>
        <i/>
        <sz val="10"/>
        <color rgb="FFFF0000"/>
        <rFont val="宋体"/>
        <charset val="134"/>
      </rPr>
      <t>审批与授权：</t>
    </r>
    <r>
      <rPr>
        <i/>
        <sz val="10"/>
        <color rgb="FFFF0000"/>
        <rFont val="Arial Narrow"/>
        <charset val="134"/>
      </rPr>
      <t xml:space="preserve"> </t>
    </r>
    <r>
      <rPr>
        <i/>
        <sz val="10"/>
        <color rgb="FFFF0000"/>
        <rFont val="宋体"/>
        <charset val="134"/>
      </rPr>
      <t>该申请将根据系统重要性，流转至系统所有者或部门负责人进行审批。对于高权限（如：管理员、敏感数据访问）申请，需额外经由信息安全部门或内控部门审批。</t>
    </r>
    <r>
      <rPr>
        <i/>
        <sz val="10"/>
        <color rgb="FFFF0000"/>
        <rFont val="Arial Narrow"/>
        <charset val="134"/>
      </rPr>
      <t xml:space="preserve">
4. </t>
    </r>
    <r>
      <rPr>
        <i/>
        <sz val="10"/>
        <color rgb="FFFF0000"/>
        <rFont val="宋体"/>
        <charset val="134"/>
      </rPr>
      <t>执行与复核：</t>
    </r>
    <r>
      <rPr>
        <i/>
        <sz val="10"/>
        <color rgb="FFFF0000"/>
        <rFont val="Arial Narrow"/>
        <charset val="134"/>
      </rPr>
      <t xml:space="preserve"> IT</t>
    </r>
    <r>
      <rPr>
        <i/>
        <sz val="10"/>
        <color rgb="FFFF0000"/>
        <rFont val="宋体"/>
        <charset val="134"/>
      </rPr>
      <t>部门在收到全部审批后，方可在对应系统中为用户配置权限。此外，</t>
    </r>
    <r>
      <rPr>
        <i/>
        <sz val="10"/>
        <color rgb="FFFF0000"/>
        <rFont val="Arial Narrow"/>
        <charset val="134"/>
      </rPr>
      <t>IT</t>
    </r>
    <r>
      <rPr>
        <i/>
        <sz val="10"/>
        <color rgb="FFFF0000"/>
        <rFont val="宋体"/>
        <charset val="134"/>
      </rPr>
      <t>部门会联合业务部门每半年进行一次权限复核，确保权限与岗位职责匹配，并及时清理离职、转岗员工的冗余权限。</t>
    </r>
  </si>
  <si>
    <r>
      <rPr>
        <i/>
        <sz val="10"/>
        <color rgb="FFFF0000"/>
        <rFont val="宋体"/>
        <charset val="134"/>
      </rPr>
      <t>双因素认证（用户名</t>
    </r>
    <r>
      <rPr>
        <i/>
        <sz val="10"/>
        <color rgb="FFFF0000"/>
        <rFont val="Arial Narrow"/>
        <charset val="134"/>
      </rPr>
      <t>/</t>
    </r>
    <r>
      <rPr>
        <i/>
        <sz val="10"/>
        <color rgb="FFFF0000"/>
        <rFont val="宋体"/>
        <charset val="134"/>
      </rPr>
      <t>密码</t>
    </r>
    <r>
      <rPr>
        <i/>
        <sz val="10"/>
        <color rgb="FFFF0000"/>
        <rFont val="Arial Narrow"/>
        <charset val="134"/>
      </rPr>
      <t>+</t>
    </r>
    <r>
      <rPr>
        <i/>
        <sz val="10"/>
        <color rgb="FFFF0000"/>
        <rFont val="宋体"/>
        <charset val="134"/>
      </rPr>
      <t>短信验证码）</t>
    </r>
  </si>
  <si>
    <t>复杂：有详细的角色划分和权限审批流程，并定期审查</t>
  </si>
  <si>
    <t>中等：系统有防火墙保护，定期安全扫描，但部分旧系统存在漏洞</t>
  </si>
  <si>
    <t>1. 申请： 变更发起人（如：业务用户、开发人员） 需通过OA/ITSM等系统提交“变更请求”，详细说明变更内容、原因、影响范围、实施计划、回滚方案及测试计划。
2. 分类与审批： 变更经理根据变更的风险、影响和成本将其分类为标准、一般或重大变更。
- 标准变更（低风险、预批准，如：病毒库更新）：由IT部门经理直接审批。
- 一般变更（中等风险，如：小型功能上线）：需由变更经理及相关业务系统负责人共同审批。
- 重大变更（高风险，如：核心系统升级、架构变更）：必须提交至XX委员会进行会审。
3. 开发、测试与实施：变更需求获批后，由开发团队按照编码规范进行程序开发、由测试团队在测试环境进行测试，测试通过后，根据计划在变更窗口期内实施至生产环境。所有实施步骤须有详细记录。
4. 验证与关闭： 变更实施后，由测试人员或申请方进行验证，确认达到预期目标且无负面影响后，变更请求方可关闭。所有变更文档均归档保存。</t>
  </si>
  <si>
    <t>中度变化：本年度进行了两次重大升级，包括模块功能增强和安全性提升</t>
  </si>
  <si>
    <t>是</t>
  </si>
  <si>
    <t>否</t>
  </si>
  <si>
    <r>
      <rPr>
        <b/>
        <sz val="10"/>
        <color rgb="FF4F2D7F"/>
        <rFont val="宋体"/>
        <charset val="134"/>
      </rPr>
      <t>信息技术</t>
    </r>
    <r>
      <rPr>
        <b/>
        <sz val="10"/>
        <color rgb="FF4F2D7F"/>
        <rFont val="Arial Narrow"/>
        <charset val="134"/>
      </rPr>
      <t xml:space="preserve"> (IT) </t>
    </r>
    <r>
      <rPr>
        <b/>
        <sz val="10"/>
        <color rgb="FF4F2D7F"/>
        <rFont val="宋体"/>
        <charset val="134"/>
      </rPr>
      <t>环境</t>
    </r>
    <r>
      <rPr>
        <b/>
        <sz val="10"/>
        <color rgb="FF4F2D7F"/>
        <rFont val="Arial Narrow"/>
        <charset val="134"/>
      </rPr>
      <t xml:space="preserve"> - IT</t>
    </r>
    <r>
      <rPr>
        <b/>
        <sz val="10"/>
        <color rgb="FF4F2D7F"/>
        <rFont val="宋体"/>
        <charset val="134"/>
      </rPr>
      <t>信息处理</t>
    </r>
  </si>
  <si>
    <t>序号/索引号</t>
  </si>
  <si>
    <r>
      <rPr>
        <b/>
        <sz val="10"/>
        <rFont val="宋体"/>
        <charset val="134"/>
      </rPr>
      <t>有关</t>
    </r>
    <r>
      <rPr>
        <b/>
        <sz val="10"/>
        <rFont val="Arial Narrow"/>
        <charset val="134"/>
      </rPr>
      <t>IT</t>
    </r>
    <r>
      <rPr>
        <b/>
        <sz val="10"/>
        <rFont val="宋体"/>
        <charset val="134"/>
      </rPr>
      <t>运作的流程</t>
    </r>
  </si>
  <si>
    <r>
      <rPr>
        <b/>
        <sz val="10"/>
        <rFont val="Arial Narrow"/>
        <charset val="134"/>
      </rPr>
      <t xml:space="preserve">IT </t>
    </r>
    <r>
      <rPr>
        <b/>
        <sz val="10"/>
        <rFont val="宋体"/>
        <charset val="134"/>
      </rPr>
      <t>环境中的通信（应用程序之间、数据库之间等）</t>
    </r>
  </si>
  <si>
    <t>自动化处理（批处理）的程度和复杂性</t>
  </si>
  <si>
    <t>在信息处理中对系统生成报告的依赖</t>
  </si>
  <si>
    <r>
      <rPr>
        <b/>
        <sz val="10"/>
        <rFont val="宋体"/>
        <charset val="134"/>
      </rPr>
      <t>将数据输入到</t>
    </r>
    <r>
      <rPr>
        <b/>
        <sz val="10"/>
        <rFont val="Arial Narrow"/>
        <charset val="134"/>
      </rPr>
      <t xml:space="preserve"> IT </t>
    </r>
    <r>
      <rPr>
        <b/>
        <sz val="10"/>
        <rFont val="宋体"/>
        <charset val="134"/>
      </rPr>
      <t>应用程序中</t>
    </r>
  </si>
  <si>
    <t>处理数据的数量和复杂性</t>
  </si>
  <si>
    <t>定制化程度</t>
  </si>
  <si>
    <t>新兴技术的使用</t>
  </si>
  <si>
    <r>
      <rPr>
        <i/>
        <sz val="10"/>
        <color rgb="FFFF0000"/>
        <rFont val="Arial Narrow"/>
        <charset val="134"/>
      </rPr>
      <t>1.</t>
    </r>
    <r>
      <rPr>
        <i/>
        <sz val="10"/>
        <color rgb="FFFF0000"/>
        <rFont val="宋体"/>
        <charset val="134"/>
      </rPr>
      <t>每日定时执行成本结转、总账过账等批处理作业；</t>
    </r>
    <r>
      <rPr>
        <i/>
        <sz val="10"/>
        <color rgb="FFFF0000"/>
        <rFont val="Arial Narrow"/>
        <charset val="134"/>
      </rPr>
      <t xml:space="preserve">
2.</t>
    </r>
    <r>
      <rPr>
        <i/>
        <sz val="10"/>
        <color rgb="FFFF0000"/>
        <rFont val="宋体"/>
        <charset val="134"/>
      </rPr>
      <t>月末执行财务报表自动生成程序；</t>
    </r>
    <r>
      <rPr>
        <i/>
        <sz val="10"/>
        <color rgb="FFFF0000"/>
        <rFont val="Arial Narrow"/>
        <charset val="134"/>
      </rPr>
      <t xml:space="preserve">
3.</t>
    </r>
    <r>
      <rPr>
        <i/>
        <sz val="10"/>
        <color rgb="FFFF0000"/>
        <rFont val="宋体"/>
        <charset val="134"/>
      </rPr>
      <t>系统管理员每日检查作业执行状态，异常时通过邮件告警。</t>
    </r>
  </si>
  <si>
    <t>1.通过企业服务总线与HR系统进行员工主数据同步；
2.通过API接口与银行系统进行银企直连；
3.通过数据库链接与业务系统进行数据抽取。</t>
  </si>
  <si>
    <t>高度自动化：每日执行15个批处理作业，包括数据校验、计算、过账等复杂逻辑，处理时间约2小时</t>
  </si>
  <si>
    <t>高度依赖：财务部门依赖系统自动生成的资产负债表、利润表、现金流量表进行决策</t>
  </si>
  <si>
    <t>1.财务人员手工录入凭证（约占60%）；
2.业务系统自动生成凭证并传输（约占40%）；
3.银行对账单通过银企直连自动导入。</t>
  </si>
  <si>
    <t>数据量大：日均处理5,000笔交易，月末处理约20万笔；数据结构复杂，涉及多维度核算</t>
  </si>
  <si>
    <t>中度定制：基于标准ERP产品进行了本地化配置和报表开发，定制化代码约占30%</t>
  </si>
  <si>
    <r>
      <rPr>
        <i/>
        <sz val="10"/>
        <color rgb="FFFF0000"/>
        <rFont val="宋体"/>
        <charset val="134"/>
      </rPr>
      <t>使用</t>
    </r>
    <r>
      <rPr>
        <i/>
        <sz val="10"/>
        <color rgb="FFFF0000"/>
        <rFont val="Arial Narrow"/>
        <charset val="134"/>
      </rPr>
      <t>RPA</t>
    </r>
    <r>
      <rPr>
        <i/>
        <sz val="10"/>
        <color rgb="FFFF0000"/>
        <rFont val="宋体"/>
        <charset val="134"/>
      </rPr>
      <t>机器人自动处理银行对账；计划引入</t>
    </r>
    <r>
      <rPr>
        <i/>
        <sz val="10"/>
        <color rgb="FFFF0000"/>
        <rFont val="Arial Narrow"/>
        <charset val="134"/>
      </rPr>
      <t>AI</t>
    </r>
    <r>
      <rPr>
        <i/>
        <sz val="10"/>
        <color rgb="FFFF0000"/>
        <rFont val="宋体"/>
        <charset val="134"/>
      </rPr>
      <t>进行异常交易识别</t>
    </r>
  </si>
  <si>
    <t>Information technology (IT) environment</t>
  </si>
  <si>
    <t xml:space="preserve">The engagement team may note parts of the IT Environment including the IT applications as part of obtaining a business process understanding. The engagement team can use that understanding as part of completing this template. </t>
  </si>
  <si>
    <t>Purpose</t>
  </si>
  <si>
    <t>The IT environment workbook is used to document the engagement team's understanding of the IT environment, which includes the  IT applications, IT infrastructure, and IT processes. It assists with determining in scope systems or applications as well as their complexity.</t>
  </si>
  <si>
    <t>The IT environment worksheet is used to document the engagement team's understanding of IT environment, which includes the  IT applications, IT infrastructure, and IT processes. It assists with determining in scope systems or applications as well as their complexity.</t>
  </si>
  <si>
    <t>Business process</t>
  </si>
  <si>
    <t xml:space="preserve">The engagement team obtains an understanding of the business processes for classes of transactions, account balances, and disclosures significant to the financial statements. Part of this understanding may include how the information flows through the entity's information system. The engagement team may complete portions of this template while obtaining an understanding of the entity's business processes. </t>
  </si>
  <si>
    <t xml:space="preserve">The engagement team obtains an understanding of the business process for classes of transactions, account balances, and disclosures significant to the financial statements. Part of this understanding may include how the information flows through the entity's information system. The engagement team may complete portions of this template while obtaining an understanding of the entity's business processes. </t>
  </si>
  <si>
    <t>IT environment</t>
  </si>
  <si>
    <t xml:space="preserve">The IT environment includes the IT applications and supporting IT infrastructure, as well as the IT processes and personnel involved in those processes, that an entity uses to support business operations and achieve business strategies. </t>
  </si>
  <si>
    <t>IT application</t>
  </si>
  <si>
    <t>An IT application is a program or a set of programs that is used in the initiation, processing, recording and reporting of transactions or information. IT applications include data warehouses and report writers. The IT applications relevant to this understanding are those documented as part of the "Business processes" template or the "Understanding journal entry controls" template.</t>
  </si>
  <si>
    <t>An IT application is a program or a set of programs that is used in the initiation, processing, recording and reporting of transactions or information. IT applications include data warehouses and report writers. The IT applications relevant to this understanding are those documented as part of the "Business processes" template or the "Journal entries and other adjustments process" template.</t>
  </si>
  <si>
    <t>IT infrastructure</t>
  </si>
  <si>
    <t xml:space="preserve">The IT infrastructure comprises the network, operating systems, and databases and their related hardware and software. </t>
  </si>
  <si>
    <t>IT processes</t>
  </si>
  <si>
    <t>IT processes are the entity's processes to manage access to the IT environment, manage program changes or changes to the IT environment and manage IT operations</t>
  </si>
  <si>
    <t>Network</t>
  </si>
  <si>
    <t>For example, Windows, Unix, Linux</t>
  </si>
  <si>
    <t>Operating System</t>
  </si>
  <si>
    <t> </t>
  </si>
  <si>
    <t>Entity name</t>
  </si>
  <si>
    <t>Period-end date</t>
  </si>
  <si>
    <t>IT Environment - Infrastructure</t>
  </si>
  <si>
    <t>SQL, Oracle, DB2</t>
  </si>
  <si>
    <t>The number and skill level of the IT support resources that manage security and changes to the IT environment may impact it</t>
  </si>
  <si>
    <t>This refers to whether or not third-parties are involved in hosting the IT application or managing it in an outsourcing capacity</t>
  </si>
  <si>
    <t>Complex systems are custom developed or more complex ERPs with significant customization, while simple systems are purchased applications with little or no customization</t>
  </si>
  <si>
    <t>Level of customization refers to how much the entity may have modified the IT application. Some IT applications may be used with any changes made to the application developed by a third-party, while other IT applications may have many modifications or adjustments</t>
  </si>
  <si>
    <t>Does the entity use emerging technologies that affect its financial reporting which in a complex system can be a mixed use of emerging technologies across platforms while a simple system will not use such technologies</t>
  </si>
  <si>
    <t>Ref</t>
  </si>
  <si>
    <t>Application name</t>
  </si>
  <si>
    <t>Application 
version</t>
  </si>
  <si>
    <t>Application 
description</t>
  </si>
  <si>
    <t>Operating system</t>
  </si>
  <si>
    <t>Database</t>
  </si>
  <si>
    <t>Physical location of servers</t>
  </si>
  <si>
    <t>Personnel who maintain this application and its environment</t>
  </si>
  <si>
    <t>Service organization or other third-party involvement</t>
  </si>
  <si>
    <t>Complexity</t>
  </si>
  <si>
    <t>Describe the level of customization</t>
  </si>
  <si>
    <t>Emerging technology usage</t>
  </si>
  <si>
    <t>IT processes: manage access</t>
  </si>
  <si>
    <t>IT processes: manage program or IT environment changes</t>
  </si>
  <si>
    <t>Complex systems will have complex processes managed by IT department while a simple system may have only a single individual with administrative access manages access rights</t>
  </si>
  <si>
    <t>This includes the vulnerability of the IT environment to cyber risks particularly when there are web-based transactions or transactions involving external interfaces. Complex systems will include multiple platforms with web-based access and complex security models while a simple system will not have web-facing elements</t>
  </si>
  <si>
    <t>Changes may include no upgrades, simple upgrades provided directly by the vendor, or complex changes to the way the data is processed with heavy customization, etc. If data conversion is applicable during the period, answer "yes" in the New system implementation workprogram section question.</t>
  </si>
  <si>
    <t>Process to manage access rights and provide them to employees</t>
  </si>
  <si>
    <t>Layer at which application users are authenticated</t>
  </si>
  <si>
    <t>Complexity of process to manage access rights</t>
  </si>
  <si>
    <t>Complexity of the security over the IT environment</t>
  </si>
  <si>
    <t>Process to manage changes, if applicable</t>
  </si>
  <si>
    <t>Document the extent of changes in the IT environment, if any</t>
  </si>
  <si>
    <t>Application implemented during period?</t>
  </si>
  <si>
    <t>Data conversion (other than during new system implementation) during period?</t>
  </si>
  <si>
    <t>Entity personnel have access to source code?</t>
  </si>
  <si>
    <t>IT information processing</t>
  </si>
  <si>
    <t>Complex systems will have a large number of data inputs or complex interfaces between one another that transfers data through the IT Environment. Non-complex systems will not have automated data interfaces and may rely on manual inputs into systems</t>
  </si>
  <si>
    <t>Complex systems will have extensive use of automated procedures that are often complex and paperless while non-complex systems will rely on manual intervention for processing. Batch processing is when a series of jobs are executed in an application without manual intervention.</t>
  </si>
  <si>
    <t>UNUSED - REMOVED</t>
  </si>
  <si>
    <t>Complex systems will have automated report logic and may use report-write software while non-complex systems will use simple report logic</t>
  </si>
  <si>
    <t>Complex systems may have a large number of data inputs which can include customer or vendor input or complex interfaces while non-complex systems may have simple manual inputs</t>
  </si>
  <si>
    <t>The volume and complexity of data may include whether accounting records or other information are stored in digital form and the location of the stored data. Complex systems will have large volumes of data or complex data stored in data warehouses potentially by IT service providers, while simple systems have low volumes of data that is simple and easily verified manually</t>
  </si>
  <si>
    <t>Data automation and use of data</t>
  </si>
  <si>
    <t>Process over IT operations</t>
  </si>
  <si>
    <t>Communication within the IT environment (between applications, databases, etc.)</t>
  </si>
  <si>
    <t>Extent of automated processing (batch) and the complexity</t>
  </si>
  <si>
    <t>Application uses batch processing or scheduling?</t>
  </si>
  <si>
    <t>Reliance on system-generated reports in information processing</t>
  </si>
  <si>
    <t>Data input into the IT application</t>
  </si>
  <si>
    <t>Volume and complexity of data processed</t>
  </si>
  <si>
    <t>Yes</t>
  </si>
  <si>
    <t>Manual data inputs</t>
  </si>
  <si>
    <t>Low volume, simple data verified manually and available locally</t>
  </si>
  <si>
    <t>No</t>
  </si>
  <si>
    <t>Simple interfaces from other applications</t>
  </si>
  <si>
    <t>Low volume of data or simple data</t>
  </si>
  <si>
    <t>Complex interfaces from other applications</t>
  </si>
  <si>
    <t>Large volume of data or complex data, data warehouses, IT service providers</t>
  </si>
  <si>
    <t>For example, network, operating system, application, or database. If other, describe.</t>
  </si>
  <si>
    <t>For example, local-area networks (LANs) or wide-area networks (WANs)</t>
  </si>
  <si>
    <t xml:space="preserve">How to: Enter the information or select the applicable drop-down from the cells shaded for engagement team editing. </t>
  </si>
  <si>
    <t xml:space="preserve">How to: Enter the information or select the applicable drop-down from the cells shaded light orange for engagement team editing. </t>
  </si>
  <si>
    <t>The extent of automated procedures for processing and the complexity of those procedures, including whether there is highly automated, paperless processing.</t>
  </si>
  <si>
    <t xml:space="preserve"> For example new aspects of the IT Environment or significant changes in the IT applications underlying IT structure. In a less complex system changes may be limited to version upgrades of commercial software whereas in a more complex system there may be new or a large number or complex changes, several development cycles or heavy ERP customization.</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</si>
</sst>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3">
    <font>
      <sz val="11"/>
      <color theme="1"/>
      <name val="等线"/>
      <charset val="134"/>
      <scheme val="minor"/>
    </font>
    <font>
      <b/>
      <sz val="10"/>
      <name val="Arial"/>
      <charset val="134"/>
    </font>
    <font>
      <sz val="10"/>
      <color theme="1"/>
      <name val="Arial Narrow"/>
      <charset val="134"/>
    </font>
    <font>
      <b/>
      <sz val="10"/>
      <color theme="1"/>
      <name val="Arial Narrow"/>
      <charset val="134"/>
    </font>
    <font>
      <sz val="10"/>
      <color rgb="FFFF0000"/>
      <name val="Arial Narrow"/>
      <charset val="134"/>
    </font>
    <font>
      <b/>
      <sz val="10"/>
      <color rgb="FF4F2D7F"/>
      <name val="宋体"/>
      <charset val="134"/>
    </font>
    <font>
      <sz val="10"/>
      <color rgb="FF000000"/>
      <name val="Arial Narrow"/>
      <charset val="204"/>
    </font>
    <font>
      <b/>
      <sz val="10"/>
      <color rgb="FF4F2D7F"/>
      <name val="Arial Narrow"/>
      <charset val="134"/>
    </font>
    <font>
      <b/>
      <sz val="10"/>
      <name val="宋体"/>
      <charset val="134"/>
    </font>
    <font>
      <b/>
      <sz val="10"/>
      <name val="Arial Narrow"/>
      <charset val="134"/>
    </font>
    <font>
      <sz val="10"/>
      <name val="Arial Narrow"/>
      <charset val="134"/>
    </font>
    <font>
      <i/>
      <sz val="10"/>
      <color rgb="FFFF0000"/>
      <name val="宋体"/>
      <charset val="134"/>
    </font>
    <font>
      <i/>
      <sz val="10"/>
      <color rgb="FFFF0000"/>
      <name val="Arial Narrow"/>
      <charset val="134"/>
    </font>
    <font>
      <b/>
      <sz val="10"/>
      <color theme="0"/>
      <name val="Arial Narrow"/>
      <charset val="134"/>
    </font>
    <font>
      <b/>
      <i/>
      <sz val="10"/>
      <color rgb="FFFF0000"/>
      <name val="Arial Narrow"/>
      <charset val="134"/>
    </font>
    <font>
      <sz val="10"/>
      <color rgb="FF000000"/>
      <name val="Arial Narrow"/>
      <charset val="134"/>
    </font>
    <font>
      <sz val="10"/>
      <color rgb="FFFF0000"/>
      <name val="宋体"/>
      <charset val="134"/>
    </font>
    <font>
      <sz val="10"/>
      <name val="宋体"/>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rgb="FF000000"/>
      <name val="Calibri"/>
      <charset val="204"/>
    </font>
    <font>
      <sz val="11"/>
      <name val="Times New Roman"/>
      <charset val="134"/>
    </font>
    <font>
      <sz val="10"/>
      <name val="Arial"/>
      <charset val="134"/>
    </font>
    <font>
      <b/>
      <sz val="10"/>
      <color theme="1"/>
      <name val="宋体"/>
      <charset val="134"/>
    </font>
    <font>
      <sz val="10"/>
      <color theme="1"/>
      <name val="宋体"/>
      <charset val="134"/>
    </font>
    <font>
      <sz val="9"/>
      <name val="宋体"/>
      <charset val="134"/>
    </font>
  </fonts>
  <fills count="37">
    <fill>
      <patternFill patternType="none"/>
    </fill>
    <fill>
      <patternFill patternType="gray125"/>
    </fill>
    <fill>
      <patternFill patternType="solid">
        <fgColor theme="2" tint="-0.0999481185338908"/>
        <bgColor indexed="64"/>
      </patternFill>
    </fill>
    <fill>
      <patternFill patternType="solid">
        <fgColor theme="0"/>
        <bgColor indexed="64"/>
      </patternFill>
    </fill>
    <fill>
      <patternFill patternType="solid">
        <fgColor rgb="FFE4DFEC"/>
        <bgColor indexed="64"/>
      </patternFill>
    </fill>
    <fill>
      <patternFill patternType="solid">
        <fgColor theme="0" tint="-0.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0" fillId="6" borderId="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5" applyNumberFormat="0" applyFill="0" applyAlignment="0" applyProtection="0">
      <alignment vertical="center"/>
    </xf>
    <xf numFmtId="0" fontId="24" fillId="0" borderId="5" applyNumberFormat="0" applyFill="0" applyAlignment="0" applyProtection="0">
      <alignment vertical="center"/>
    </xf>
    <xf numFmtId="0" fontId="25" fillId="0" borderId="6" applyNumberFormat="0" applyFill="0" applyAlignment="0" applyProtection="0">
      <alignment vertical="center"/>
    </xf>
    <xf numFmtId="0" fontId="25" fillId="0" borderId="0" applyNumberFormat="0" applyFill="0" applyBorder="0" applyAlignment="0" applyProtection="0">
      <alignment vertical="center"/>
    </xf>
    <xf numFmtId="0" fontId="26" fillId="7" borderId="7" applyNumberFormat="0" applyAlignment="0" applyProtection="0">
      <alignment vertical="center"/>
    </xf>
    <xf numFmtId="0" fontId="27" fillId="8" borderId="8" applyNumberFormat="0" applyAlignment="0" applyProtection="0">
      <alignment vertical="center"/>
    </xf>
    <xf numFmtId="0" fontId="28" fillId="8" borderId="7" applyNumberFormat="0" applyAlignment="0" applyProtection="0">
      <alignment vertical="center"/>
    </xf>
    <xf numFmtId="0" fontId="29" fillId="9" borderId="9" applyNumberFormat="0" applyAlignment="0" applyProtection="0">
      <alignment vertical="center"/>
    </xf>
    <xf numFmtId="0" fontId="30" fillId="0" borderId="10" applyNumberFormat="0" applyFill="0" applyAlignment="0" applyProtection="0">
      <alignment vertical="center"/>
    </xf>
    <xf numFmtId="0" fontId="31" fillId="0" borderId="11" applyNumberFormat="0" applyFill="0" applyAlignment="0" applyProtection="0">
      <alignment vertical="center"/>
    </xf>
    <xf numFmtId="0" fontId="32" fillId="10" borderId="0" applyNumberFormat="0" applyBorder="0" applyAlignment="0" applyProtection="0">
      <alignment vertical="center"/>
    </xf>
    <xf numFmtId="0" fontId="33" fillId="11" borderId="0" applyNumberFormat="0" applyBorder="0" applyAlignment="0" applyProtection="0">
      <alignment vertical="center"/>
    </xf>
    <xf numFmtId="0" fontId="34" fillId="12" borderId="0" applyNumberFormat="0" applyBorder="0" applyAlignment="0" applyProtection="0">
      <alignment vertical="center"/>
    </xf>
    <xf numFmtId="0" fontId="35" fillId="13" borderId="0" applyNumberFormat="0" applyBorder="0" applyAlignment="0" applyProtection="0">
      <alignment vertical="center"/>
    </xf>
    <xf numFmtId="0" fontId="36" fillId="14" borderId="0" applyNumberFormat="0" applyBorder="0" applyAlignment="0" applyProtection="0">
      <alignment vertical="center"/>
    </xf>
    <xf numFmtId="0" fontId="36"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5" fillId="20" borderId="0" applyNumberFormat="0" applyBorder="0" applyAlignment="0" applyProtection="0">
      <alignment vertical="center"/>
    </xf>
    <xf numFmtId="0" fontId="35"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7" fillId="0" borderId="0"/>
    <xf numFmtId="0" fontId="38" fillId="0" borderId="0"/>
    <xf numFmtId="0" fontId="0" fillId="0" borderId="0"/>
    <xf numFmtId="0" fontId="39" fillId="0" borderId="0">
      <protection locked="0"/>
    </xf>
  </cellStyleXfs>
  <cellXfs count="65">
    <xf numFmtId="0" fontId="0" fillId="0" borderId="0" xfId="0"/>
    <xf numFmtId="0" fontId="0" fillId="0" borderId="0" xfId="0" applyAlignment="1">
      <alignment wrapText="1"/>
    </xf>
    <xf numFmtId="0" fontId="0" fillId="2" borderId="0" xfId="0" applyFill="1" applyAlignment="1">
      <alignment wrapText="1"/>
    </xf>
    <xf numFmtId="17" fontId="0" fillId="0" borderId="0" xfId="0" applyNumberFormat="1" applyAlignment="1">
      <alignment wrapText="1"/>
    </xf>
    <xf numFmtId="17" fontId="0" fillId="2" borderId="0" xfId="0" applyNumberFormat="1" applyFill="1" applyAlignment="1">
      <alignment wrapText="1"/>
    </xf>
    <xf numFmtId="0" fontId="1" fillId="0" borderId="0" xfId="50" applyFont="1" applyAlignment="1">
      <alignment horizontal="left" vertical="top" wrapText="1"/>
    </xf>
    <xf numFmtId="0" fontId="2" fillId="3" borderId="0" xfId="0" applyFont="1" applyFill="1" applyAlignment="1">
      <alignment vertical="center"/>
    </xf>
    <xf numFmtId="0" fontId="3" fillId="3" borderId="0" xfId="0" applyFont="1" applyFill="1" applyAlignment="1">
      <alignment horizontal="center" vertical="center" wrapText="1"/>
    </xf>
    <xf numFmtId="0" fontId="4" fillId="3" borderId="0" xfId="0" applyFont="1" applyFill="1" applyAlignment="1">
      <alignment horizontal="center" vertical="center"/>
    </xf>
    <xf numFmtId="0" fontId="2" fillId="3" borderId="0" xfId="0" applyFont="1" applyFill="1" applyAlignment="1">
      <alignment horizontal="center" vertical="center"/>
    </xf>
    <xf numFmtId="0" fontId="2" fillId="3" borderId="0" xfId="0" applyFont="1" applyFill="1"/>
    <xf numFmtId="0" fontId="5" fillId="3" borderId="0" xfId="0" applyFont="1" applyFill="1" applyAlignment="1">
      <alignment vertical="center"/>
    </xf>
    <xf numFmtId="0" fontId="6" fillId="3" borderId="0" xfId="49" applyFont="1" applyFill="1" applyAlignment="1">
      <alignment vertical="center"/>
    </xf>
    <xf numFmtId="0" fontId="7" fillId="3" borderId="0" xfId="0" applyFont="1" applyFill="1" applyAlignment="1">
      <alignment vertical="center" wrapText="1"/>
    </xf>
    <xf numFmtId="0" fontId="8" fillId="4" borderId="1" xfId="0" applyFont="1" applyFill="1" applyBorder="1" applyAlignment="1">
      <alignment horizontal="left" vertical="center" wrapText="1"/>
    </xf>
    <xf numFmtId="0" fontId="9" fillId="4" borderId="1" xfId="0" applyFont="1" applyFill="1" applyBorder="1" applyAlignment="1">
      <alignment horizontal="left" vertical="center" wrapText="1"/>
    </xf>
    <xf numFmtId="14" fontId="2" fillId="3" borderId="1" xfId="0" applyNumberFormat="1" applyFont="1" applyFill="1" applyBorder="1" applyAlignment="1">
      <alignment horizontal="center" vertical="center" wrapText="1"/>
    </xf>
    <xf numFmtId="0" fontId="2" fillId="3" borderId="0" xfId="0" applyFont="1" applyFill="1" applyAlignment="1">
      <alignment vertical="center" wrapText="1"/>
    </xf>
    <xf numFmtId="0" fontId="2" fillId="3" borderId="0" xfId="0" applyFont="1" applyFill="1" applyAlignment="1">
      <alignment horizontal="left" vertical="center" wrapText="1"/>
    </xf>
    <xf numFmtId="14" fontId="2" fillId="3" borderId="1" xfId="0" applyNumberFormat="1" applyFont="1" applyFill="1" applyBorder="1" applyAlignment="1">
      <alignment horizontal="left" vertical="center" wrapText="1"/>
    </xf>
    <xf numFmtId="14" fontId="2" fillId="3" borderId="0" xfId="0" applyNumberFormat="1" applyFont="1" applyFill="1" applyAlignment="1">
      <alignment horizontal="left" vertical="center" wrapText="1"/>
    </xf>
    <xf numFmtId="0" fontId="10" fillId="3" borderId="0" xfId="50" applyFont="1" applyFill="1" applyAlignment="1">
      <alignment vertical="center"/>
    </xf>
    <xf numFmtId="0" fontId="8" fillId="4"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4" fillId="0" borderId="1" xfId="0" applyFont="1" applyFill="1" applyBorder="1" applyAlignment="1">
      <alignment horizontal="center" vertical="center"/>
    </xf>
    <xf numFmtId="0" fontId="11" fillId="0" borderId="1" xfId="0" applyFont="1" applyFill="1" applyBorder="1" applyAlignment="1">
      <alignment horizontal="center" vertical="center"/>
    </xf>
    <xf numFmtId="0" fontId="12" fillId="0"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0" xfId="0" applyFont="1" applyFill="1" applyAlignment="1">
      <alignment horizontal="right"/>
    </xf>
    <xf numFmtId="0" fontId="7" fillId="3" borderId="0" xfId="0" applyFont="1" applyFill="1" applyAlignment="1">
      <alignment vertical="center"/>
    </xf>
    <xf numFmtId="0" fontId="13" fillId="3" borderId="0" xfId="49" applyFont="1" applyFill="1" applyAlignment="1">
      <alignment vertical="center"/>
    </xf>
    <xf numFmtId="0" fontId="9" fillId="4" borderId="1" xfId="49" applyFont="1" applyFill="1" applyBorder="1" applyAlignment="1">
      <alignment horizontal="center" vertical="center"/>
    </xf>
    <xf numFmtId="0" fontId="12" fillId="3" borderId="1" xfId="0" applyFont="1" applyFill="1" applyBorder="1" applyAlignment="1">
      <alignment horizontal="left" vertical="center" wrapText="1"/>
    </xf>
    <xf numFmtId="0" fontId="14" fillId="3" borderId="0" xfId="0" applyFont="1" applyFill="1" applyAlignment="1">
      <alignment horizontal="center" vertical="center" wrapText="1"/>
    </xf>
    <xf numFmtId="0" fontId="11" fillId="3" borderId="1" xfId="0" applyFont="1" applyFill="1" applyBorder="1" applyAlignment="1">
      <alignment horizontal="left" vertical="center" wrapText="1"/>
    </xf>
    <xf numFmtId="0" fontId="2" fillId="3" borderId="0" xfId="0" applyFont="1" applyFill="1" applyAlignment="1">
      <alignment horizontal="center" vertical="center" wrapText="1"/>
    </xf>
    <xf numFmtId="0" fontId="6" fillId="3" borderId="0" xfId="49" applyFont="1" applyFill="1"/>
    <xf numFmtId="0" fontId="7" fillId="3" borderId="0" xfId="0" applyFont="1" applyFill="1" applyAlignment="1">
      <alignment vertical="top" wrapText="1"/>
    </xf>
    <xf numFmtId="0" fontId="9" fillId="4" borderId="2" xfId="0" applyFont="1" applyFill="1" applyBorder="1" applyAlignment="1">
      <alignment vertical="center" wrapText="1"/>
    </xf>
    <xf numFmtId="0" fontId="9" fillId="4" borderId="3" xfId="0" applyFont="1" applyFill="1" applyBorder="1" applyAlignment="1">
      <alignment vertical="center" wrapText="1"/>
    </xf>
    <xf numFmtId="14" fontId="2" fillId="3" borderId="2" xfId="0" applyNumberFormat="1" applyFont="1" applyFill="1" applyBorder="1" applyAlignment="1">
      <alignment vertical="center" wrapText="1"/>
    </xf>
    <xf numFmtId="14" fontId="2" fillId="3" borderId="3" xfId="0" applyNumberFormat="1" applyFont="1" applyFill="1" applyBorder="1" applyAlignment="1">
      <alignment vertical="center" wrapText="1"/>
    </xf>
    <xf numFmtId="14" fontId="2" fillId="3" borderId="0" xfId="0" applyNumberFormat="1" applyFont="1" applyFill="1" applyAlignment="1">
      <alignment horizontal="center" vertical="center" wrapText="1"/>
    </xf>
    <xf numFmtId="0" fontId="2" fillId="3" borderId="1" xfId="0" applyNumberFormat="1" applyFont="1" applyFill="1" applyBorder="1" applyAlignment="1">
      <alignment horizontal="center" vertical="center"/>
    </xf>
    <xf numFmtId="49" fontId="2" fillId="3" borderId="1" xfId="0" applyNumberFormat="1" applyFont="1" applyFill="1" applyBorder="1" applyAlignment="1">
      <alignment horizontal="center" vertical="center"/>
    </xf>
    <xf numFmtId="0" fontId="10" fillId="3" borderId="0" xfId="49" applyFont="1" applyFill="1" applyAlignment="1">
      <alignment vertical="center"/>
    </xf>
    <xf numFmtId="0" fontId="2" fillId="0" borderId="0" xfId="0" applyFont="1" applyAlignment="1">
      <alignment vertical="center"/>
    </xf>
    <xf numFmtId="0" fontId="5" fillId="0" borderId="0" xfId="0" applyFont="1" applyAlignment="1">
      <alignment vertical="center"/>
    </xf>
    <xf numFmtId="0" fontId="15" fillId="0" borderId="0" xfId="49" applyFont="1" applyAlignment="1">
      <alignment vertical="center"/>
    </xf>
    <xf numFmtId="0" fontId="16" fillId="0" borderId="0" xfId="49" applyFont="1" applyAlignment="1">
      <alignment horizontal="left" vertical="center" wrapText="1"/>
    </xf>
    <xf numFmtId="0" fontId="4" fillId="0" borderId="0" xfId="49" applyFont="1" applyAlignment="1">
      <alignment horizontal="left" vertical="center" wrapText="1"/>
    </xf>
    <xf numFmtId="0" fontId="2" fillId="0" borderId="0" xfId="0" applyFont="1" applyFill="1" applyAlignment="1">
      <alignment vertical="center"/>
    </xf>
    <xf numFmtId="0" fontId="17" fillId="0" borderId="0" xfId="49" applyFont="1" applyBorder="1" applyAlignment="1">
      <alignment horizontal="left" vertical="center" wrapText="1"/>
    </xf>
    <xf numFmtId="0" fontId="10" fillId="0" borderId="0" xfId="0" applyFont="1" applyBorder="1" applyAlignment="1">
      <alignment horizontal="left" vertical="center" wrapText="1"/>
    </xf>
    <xf numFmtId="0" fontId="8" fillId="4" borderId="1" xfId="50" applyFont="1" applyFill="1" applyBorder="1" applyAlignment="1">
      <alignment vertical="center"/>
    </xf>
    <xf numFmtId="0" fontId="10" fillId="5" borderId="1" xfId="0" applyFont="1" applyFill="1" applyBorder="1" applyAlignment="1">
      <alignment vertical="center" wrapText="1"/>
    </xf>
    <xf numFmtId="0" fontId="17" fillId="5" borderId="1" xfId="0" applyFont="1" applyFill="1" applyBorder="1" applyAlignment="1">
      <alignment vertical="center" wrapText="1"/>
    </xf>
    <xf numFmtId="0" fontId="9" fillId="4" borderId="1" xfId="50" applyFont="1" applyFill="1" applyBorder="1" applyAlignment="1">
      <alignment vertical="center"/>
    </xf>
    <xf numFmtId="0" fontId="2" fillId="5" borderId="1" xfId="0" applyFont="1" applyFill="1" applyBorder="1" applyAlignment="1">
      <alignment vertical="center" wrapText="1"/>
    </xf>
    <xf numFmtId="0" fontId="2" fillId="0" borderId="0" xfId="0" applyFont="1" applyAlignment="1">
      <alignment vertical="center" wrapText="1"/>
    </xf>
    <xf numFmtId="0" fontId="15" fillId="0" borderId="0" xfId="0" applyFont="1" applyAlignment="1">
      <alignment vertical="center"/>
    </xf>
    <xf numFmtId="0" fontId="16" fillId="0" borderId="0" xfId="49" applyFont="1" applyAlignment="1" quotePrefix="1">
      <alignment horizontal="left" vertical="center" wrapText="1"/>
    </xf>
    <xf numFmtId="0" fontId="17" fillId="0" borderId="0" xfId="49" applyFont="1" applyBorder="1" applyAlignment="1" quotePrefix="1">
      <alignment horizontal="left" vertical="center" wrapText="1"/>
    </xf>
  </cellXfs>
  <cellStyles count="5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2" xfId="49"/>
    <cellStyle name="Normal_PMB AP-106" xfId="50"/>
    <cellStyle name="常规 5" xfId="51"/>
    <cellStyle name="常规 2 2 2" xfId="52"/>
  </cellStyles>
  <tableStyles count="0" defaultTableStyle="TableStyleMedium2" defaultPivotStyle="PivotStyleLight16"/>
  <colors>
    <mruColors>
      <color rgb="004F2D7F"/>
      <color rgb="000000FF"/>
      <color rgb="00E4DF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2.xml"/><Relationship Id="rId8" Type="http://schemas.openxmlformats.org/officeDocument/2006/relationships/customXml" Target="../customXml/item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tyles" Target="styles.xml"/><Relationship Id="rId15" Type="http://schemas.microsoft.com/office/2006/relationships/vbaProject" Target="vbaProject.bin"/><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customXml" Target="../customXml/item5.xml"/><Relationship Id="rId11" Type="http://schemas.openxmlformats.org/officeDocument/2006/relationships/customXml" Target="../customXml/item4.xml"/><Relationship Id="rId10" Type="http://schemas.openxmlformats.org/officeDocument/2006/relationships/customXml" Target="../customXml/item3.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15"/>
  <sheetViews>
    <sheetView showGridLines="0" tabSelected="1" view="pageBreakPreview" zoomScaleNormal="100" workbookViewId="0">
      <selection activeCell="A1" sqref="A1"/>
    </sheetView>
  </sheetViews>
  <sheetFormatPr defaultColWidth="9" defaultRowHeight="13.8" outlineLevelCol="2"/>
  <cols>
    <col min="1" max="1" width="16" style="50" customWidth="1"/>
    <col min="2" max="2" width="99.8796296296296" style="50" customWidth="1"/>
    <col min="3" max="16384" width="9" style="50"/>
  </cols>
  <sheetData>
    <row r="1" ht="22" customHeight="1" spans="1:3">
      <c r="A1" s="51" t="s">
        <v>0</v>
      </c>
      <c r="B1" s="52"/>
    </row>
    <row r="2" ht="22" customHeight="1" spans="1:3">
      <c r="A2" s="65" t="s">
        <v>1</v>
      </c>
      <c r="B2" s="54"/>
      <c r="C2" s="55"/>
    </row>
    <row r="3" ht="22" customHeight="1" spans="1:3">
      <c r="A3" s="66" t="s">
        <v>2</v>
      </c>
      <c r="B3" s="57"/>
    </row>
    <row r="4" s="50" customFormat="1" ht="37" customHeight="1" spans="1:3">
      <c r="A4" s="58" t="s">
        <v>3</v>
      </c>
      <c r="B4" s="59" t="s">
        <v>4</v>
      </c>
    </row>
    <row r="5" s="50" customFormat="1" ht="36" customHeight="1" spans="1:3">
      <c r="A5" s="58" t="s">
        <v>5</v>
      </c>
      <c r="B5" s="60" t="s">
        <v>6</v>
      </c>
    </row>
    <row r="6" s="50" customFormat="1" ht="34" customHeight="1" spans="1:3">
      <c r="A6" s="61" t="s">
        <v>7</v>
      </c>
      <c r="B6" s="62" t="s">
        <v>8</v>
      </c>
    </row>
    <row r="7" s="50" customFormat="1" ht="36" customHeight="1" spans="1:3">
      <c r="A7" s="61" t="s">
        <v>9</v>
      </c>
      <c r="B7" s="62" t="s">
        <v>10</v>
      </c>
    </row>
    <row r="8" s="50" customFormat="1" ht="30" customHeight="1" spans="1:3">
      <c r="A8" s="61" t="s">
        <v>11</v>
      </c>
      <c r="B8" s="62" t="s">
        <v>12</v>
      </c>
    </row>
    <row r="9" s="50" customFormat="1" ht="30" customHeight="1" spans="1:3">
      <c r="A9" s="61" t="s">
        <v>13</v>
      </c>
      <c r="B9" s="62" t="s">
        <v>14</v>
      </c>
    </row>
    <row r="10" spans="1:3">
      <c r="A10" s="52"/>
      <c r="B10" s="63"/>
    </row>
    <row r="11" spans="1:3">
      <c r="A11" s="52"/>
      <c r="B11" s="63"/>
    </row>
    <row r="12" spans="1:3">
      <c r="A12" s="64"/>
      <c r="B12" s="63"/>
    </row>
    <row r="13" spans="1:3">
      <c r="A13" s="52"/>
      <c r="B13" s="52"/>
    </row>
    <row r="14" spans="1:3">
      <c r="A14" s="52"/>
      <c r="B14" s="52"/>
    </row>
    <row r="15" spans="1:3">
      <c r="A15" s="52"/>
      <c r="B15" s="52"/>
    </row>
  </sheetData>
  <mergeCells count="2">
    <mergeCell ref="A2:B2"/>
    <mergeCell ref="A3:B3"/>
  </mergeCells>
  <pageMargins left="0.708333333333333" right="0.708333333333333" top="0.747916666666667" bottom="0.747916666666667" header="0.314583333333333" footer="0.314583333333333"/>
  <pageSetup paperSize="9" orientation="landscape" blackAndWhite="1" horizontalDpi="600"/>
  <headerFooter>
    <oddFooter>&amp;C&amp;P/&amp;N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N9"/>
  <sheetViews>
    <sheetView view="pageBreakPreview" zoomScaleNormal="100" workbookViewId="0">
      <selection activeCell="C9" sqref="C9"/>
    </sheetView>
  </sheetViews>
  <sheetFormatPr defaultColWidth="9" defaultRowHeight="20" customHeight="1"/>
  <cols>
    <col min="1" max="2" width="15" style="6" customWidth="1"/>
    <col min="3" max="4" width="18.8888888888889" style="6" customWidth="1"/>
    <col min="5" max="14" width="18.2222222222222" style="6" customWidth="1"/>
    <col min="15" max="16384" width="9" style="6"/>
  </cols>
  <sheetData>
    <row r="1" s="6" customFormat="1" customHeight="1" spans="1:14">
      <c r="A1" s="11" t="s">
        <v>15</v>
      </c>
      <c r="B1" s="33"/>
      <c r="C1" s="12"/>
      <c r="D1" s="13"/>
      <c r="E1" s="12"/>
      <c r="F1" s="12"/>
      <c r="G1" s="12"/>
      <c r="H1" s="12"/>
      <c r="I1" s="12"/>
      <c r="J1" s="12"/>
      <c r="K1" s="12"/>
      <c r="L1" s="12"/>
      <c r="M1" s="12"/>
      <c r="N1" s="12"/>
    </row>
    <row r="2" customHeight="1" spans="1:14">
      <c r="A2" s="14" t="s">
        <v>16</v>
      </c>
      <c r="B2" s="15"/>
      <c r="C2" s="16"/>
      <c r="D2" s="16"/>
      <c r="E2" s="17"/>
      <c r="F2" s="18"/>
      <c r="G2" s="18"/>
      <c r="H2" s="18"/>
      <c r="I2" s="12"/>
      <c r="J2" s="12"/>
      <c r="K2" s="12"/>
      <c r="L2" s="12"/>
      <c r="M2" s="12"/>
      <c r="N2" s="12"/>
    </row>
    <row r="3" customHeight="1" spans="1:14">
      <c r="A3" s="14" t="s">
        <v>17</v>
      </c>
      <c r="B3" s="15"/>
      <c r="C3" s="19" t="s">
        <v>18</v>
      </c>
      <c r="D3" s="19"/>
      <c r="F3" s="20"/>
      <c r="G3" s="20"/>
      <c r="H3" s="20"/>
      <c r="I3" s="21"/>
      <c r="J3" s="21"/>
      <c r="K3" s="21"/>
      <c r="L3" s="21"/>
      <c r="M3" s="21"/>
      <c r="N3" s="21"/>
    </row>
    <row r="4" s="6" customFormat="1" customHeight="1" spans="1:14">
      <c r="A4" s="21"/>
      <c r="B4" s="21"/>
      <c r="C4" s="49"/>
      <c r="D4" s="21"/>
      <c r="E4" s="21"/>
      <c r="F4" s="21"/>
      <c r="G4" s="21"/>
      <c r="H4" s="21"/>
      <c r="I4" s="21"/>
      <c r="J4" s="21"/>
      <c r="K4" s="21"/>
      <c r="L4" s="21"/>
      <c r="M4" s="21"/>
      <c r="N4" s="21"/>
    </row>
    <row r="5" s="39" customFormat="1" ht="33" customHeight="1" spans="1:14">
      <c r="A5" s="22" t="s">
        <v>19</v>
      </c>
      <c r="B5" s="22" t="s">
        <v>20</v>
      </c>
      <c r="C5" s="22" t="s">
        <v>21</v>
      </c>
      <c r="D5" s="22" t="s">
        <v>22</v>
      </c>
      <c r="E5" s="22" t="s">
        <v>23</v>
      </c>
      <c r="F5" s="22" t="s">
        <v>24</v>
      </c>
      <c r="G5" s="22" t="s">
        <v>25</v>
      </c>
      <c r="H5" s="22" t="s">
        <v>26</v>
      </c>
      <c r="I5" s="22" t="s">
        <v>27</v>
      </c>
      <c r="J5" s="22" t="s">
        <v>28</v>
      </c>
      <c r="K5" s="22" t="s">
        <v>29</v>
      </c>
      <c r="L5" s="22" t="s">
        <v>30</v>
      </c>
      <c r="M5" s="22" t="s">
        <v>31</v>
      </c>
      <c r="N5" s="22" t="s">
        <v>32</v>
      </c>
    </row>
    <row r="6" s="9" customFormat="1" customHeight="1" spans="1:14">
      <c r="A6" s="26" t="s">
        <v>33</v>
      </c>
      <c r="B6" s="30"/>
      <c r="C6" s="30"/>
      <c r="D6" s="30"/>
      <c r="E6" s="30"/>
      <c r="F6" s="30"/>
      <c r="G6" s="30"/>
      <c r="H6" s="30"/>
      <c r="I6" s="30"/>
      <c r="J6" s="30"/>
      <c r="K6" s="30"/>
      <c r="L6" s="30"/>
      <c r="M6" s="30"/>
      <c r="N6" s="30"/>
    </row>
    <row r="7" s="9" customFormat="1" customHeight="1" spans="1:14">
      <c r="A7" s="30"/>
      <c r="B7" s="30"/>
      <c r="C7" s="30"/>
      <c r="D7" s="30"/>
      <c r="E7" s="30"/>
      <c r="F7" s="30"/>
      <c r="G7" s="30"/>
      <c r="H7" s="30"/>
      <c r="I7" s="30"/>
      <c r="J7" s="30"/>
      <c r="K7" s="30"/>
      <c r="L7" s="30"/>
      <c r="M7" s="30"/>
      <c r="N7" s="30"/>
    </row>
    <row r="8" s="9" customFormat="1" customHeight="1" spans="1:14">
      <c r="A8" s="30"/>
      <c r="B8" s="30"/>
      <c r="C8" s="30"/>
      <c r="D8" s="30"/>
      <c r="E8" s="30"/>
      <c r="F8" s="30"/>
      <c r="G8" s="30"/>
      <c r="H8" s="30"/>
      <c r="I8" s="30"/>
      <c r="J8" s="30"/>
      <c r="K8" s="30"/>
      <c r="L8" s="30"/>
      <c r="M8" s="30"/>
      <c r="N8" s="30"/>
    </row>
    <row r="9" s="9" customFormat="1" customHeight="1" spans="1:14">
      <c r="A9" s="30"/>
      <c r="B9" s="30"/>
      <c r="C9" s="30"/>
      <c r="D9" s="30"/>
      <c r="E9" s="30"/>
      <c r="F9" s="30"/>
      <c r="G9" s="30"/>
      <c r="H9" s="30"/>
      <c r="I9" s="30"/>
      <c r="J9" s="30"/>
      <c r="K9" s="30"/>
      <c r="L9" s="30"/>
      <c r="M9" s="30"/>
      <c r="N9" s="30"/>
    </row>
  </sheetData>
  <autoFilter xmlns:etc="http://www.wps.cn/officeDocument/2017/etCustomData" ref="A5:N7" etc:filterBottomFollowUsedRange="0">
    <extLst/>
  </autoFilter>
  <mergeCells count="4">
    <mergeCell ref="A2:B2"/>
    <mergeCell ref="C2:D2"/>
    <mergeCell ref="A3:B3"/>
    <mergeCell ref="C3:D3"/>
  </mergeCells>
  <dataValidations count="2">
    <dataValidation type="list" allowBlank="1" showInputMessage="1" showErrorMessage="1" sqref="L6:L9">
      <formula1>"局域网（LAN）,广域网（WAN）,城域网（MAN）"</formula1>
    </dataValidation>
    <dataValidation type="list" allowBlank="1" showInputMessage="1" showErrorMessage="1" sqref="N6:N45">
      <formula1>YesNo</formula1>
    </dataValidation>
  </dataValidations>
  <pageMargins left="0.708333333333333" right="0.708333333333333" top="0.747916666666667" bottom="0.747916666666667" header="0.314583333333333" footer="0.314583333333333"/>
  <pageSetup paperSize="9" scale="51" orientation="landscape" blackAndWhite="1" horizontalDpi="600"/>
  <headerFooter>
    <oddFooter>&amp;C&amp;P/&amp;N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P15"/>
  <sheetViews>
    <sheetView view="pageBreakPreview" zoomScaleNormal="100" workbookViewId="0">
      <selection activeCell="C18" sqref="C18"/>
    </sheetView>
  </sheetViews>
  <sheetFormatPr defaultColWidth="9" defaultRowHeight="20" customHeight="1"/>
  <cols>
    <col min="1" max="1" width="15.2222222222222" style="10" customWidth="1"/>
    <col min="2" max="2" width="19.3333333333333" style="10" customWidth="1"/>
    <col min="3" max="6" width="22.1296296296296" style="10" customWidth="1"/>
    <col min="7" max="7" width="21.8888888888889" style="10" customWidth="1"/>
    <col min="8" max="8" width="22.2222222222222" style="10" customWidth="1"/>
    <col min="9" max="9" width="22.6666666666667" style="10" customWidth="1"/>
    <col min="10" max="10" width="24" style="10" customWidth="1"/>
    <col min="11" max="16384" width="9" style="10"/>
  </cols>
  <sheetData>
    <row r="1" customHeight="1" spans="1:16">
      <c r="A1" s="33" t="s">
        <v>34</v>
      </c>
      <c r="B1" s="33"/>
      <c r="C1" s="40"/>
      <c r="D1" s="41"/>
      <c r="E1" s="40"/>
      <c r="F1" s="40"/>
      <c r="G1" s="40"/>
      <c r="H1" s="40"/>
      <c r="I1" s="40"/>
      <c r="J1" s="40"/>
    </row>
    <row r="2" s="6" customFormat="1" customHeight="1" spans="1:16">
      <c r="A2" s="42" t="s">
        <v>35</v>
      </c>
      <c r="B2" s="43"/>
      <c r="C2" s="44"/>
      <c r="D2" s="45"/>
      <c r="F2" s="46"/>
      <c r="G2" s="17"/>
      <c r="H2" s="18"/>
      <c r="I2" s="18"/>
      <c r="J2" s="18"/>
      <c r="K2" s="12"/>
      <c r="L2" s="12"/>
      <c r="M2" s="12"/>
      <c r="N2" s="12"/>
      <c r="O2" s="12"/>
      <c r="P2" s="12"/>
    </row>
    <row r="3" s="6" customFormat="1" customHeight="1" spans="1:16">
      <c r="A3" s="42" t="s">
        <v>36</v>
      </c>
      <c r="B3" s="43"/>
      <c r="C3" s="44" t="s">
        <v>18</v>
      </c>
      <c r="D3" s="45"/>
      <c r="F3" s="20"/>
      <c r="G3" s="6"/>
      <c r="H3" s="20"/>
      <c r="I3" s="20"/>
      <c r="J3" s="20"/>
      <c r="K3" s="21"/>
      <c r="L3" s="21"/>
      <c r="M3" s="21"/>
      <c r="N3" s="21"/>
      <c r="O3" s="21"/>
      <c r="P3" s="21"/>
    </row>
    <row r="5" s="39" customFormat="1" customHeight="1" spans="1:16">
      <c r="A5" s="23" t="s">
        <v>37</v>
      </c>
      <c r="B5" s="22" t="s">
        <v>38</v>
      </c>
      <c r="C5" s="23" t="s">
        <v>39</v>
      </c>
      <c r="D5" s="23" t="s">
        <v>40</v>
      </c>
      <c r="E5" s="22" t="s">
        <v>41</v>
      </c>
      <c r="F5" s="22" t="s">
        <v>42</v>
      </c>
      <c r="G5" s="23" t="s">
        <v>43</v>
      </c>
      <c r="H5" s="22" t="s">
        <v>44</v>
      </c>
      <c r="I5" s="23" t="s">
        <v>45</v>
      </c>
      <c r="J5" s="23" t="s">
        <v>46</v>
      </c>
    </row>
    <row r="6" customHeight="1" spans="1:16">
      <c r="A6" s="26"/>
      <c r="B6" s="30"/>
      <c r="C6" s="47"/>
      <c r="D6" s="30"/>
      <c r="E6" s="30"/>
      <c r="F6" s="30"/>
      <c r="G6" s="30"/>
      <c r="H6" s="30"/>
      <c r="I6" s="30"/>
      <c r="J6" s="30"/>
    </row>
    <row r="7" customHeight="1" spans="1:16">
      <c r="A7" s="30"/>
      <c r="B7" s="30"/>
      <c r="C7" s="48"/>
      <c r="D7" s="30"/>
      <c r="E7" s="30"/>
      <c r="F7" s="30"/>
      <c r="G7" s="30"/>
      <c r="H7" s="30"/>
      <c r="I7" s="30"/>
      <c r="J7" s="30"/>
    </row>
    <row r="8" customHeight="1" spans="1:16">
      <c r="A8" s="30"/>
      <c r="B8" s="30"/>
      <c r="C8" s="48"/>
      <c r="D8" s="30"/>
      <c r="E8" s="30"/>
      <c r="F8" s="30"/>
      <c r="G8" s="30"/>
      <c r="H8" s="30"/>
      <c r="I8" s="30"/>
      <c r="J8" s="30"/>
    </row>
    <row r="9" customHeight="1" spans="1:16">
      <c r="A9" s="30"/>
      <c r="B9" s="30"/>
      <c r="C9" s="48"/>
      <c r="D9" s="30"/>
      <c r="E9" s="30"/>
      <c r="F9" s="30"/>
      <c r="G9" s="30"/>
      <c r="H9" s="30"/>
      <c r="I9" s="30"/>
      <c r="J9" s="30"/>
    </row>
    <row r="10" customHeight="1" spans="1:16">
      <c r="A10" s="30"/>
      <c r="B10" s="30"/>
      <c r="C10" s="48"/>
      <c r="D10" s="30"/>
      <c r="E10" s="30"/>
      <c r="F10" s="30"/>
      <c r="G10" s="30"/>
      <c r="H10" s="30"/>
      <c r="I10" s="30"/>
      <c r="J10" s="30"/>
    </row>
    <row r="11" customHeight="1" spans="1:16">
      <c r="A11" s="30"/>
      <c r="B11" s="30"/>
      <c r="C11" s="48"/>
      <c r="D11" s="30"/>
      <c r="E11" s="30"/>
      <c r="F11" s="30"/>
      <c r="G11" s="30"/>
      <c r="H11" s="30"/>
      <c r="I11" s="30"/>
      <c r="J11" s="30"/>
    </row>
    <row r="12" customHeight="1" spans="1:16">
      <c r="A12" s="30"/>
      <c r="B12" s="30"/>
      <c r="C12" s="48"/>
      <c r="D12" s="30"/>
      <c r="E12" s="30"/>
      <c r="F12" s="30"/>
      <c r="G12" s="30"/>
      <c r="H12" s="30"/>
      <c r="I12" s="30"/>
      <c r="J12" s="30"/>
    </row>
    <row r="13" customHeight="1" spans="1:16">
      <c r="A13" s="30"/>
      <c r="B13" s="30"/>
      <c r="C13" s="48"/>
      <c r="D13" s="30"/>
      <c r="E13" s="30"/>
      <c r="F13" s="30"/>
      <c r="G13" s="30"/>
      <c r="H13" s="30"/>
      <c r="I13" s="30"/>
      <c r="J13" s="30"/>
    </row>
    <row r="14" customHeight="1" spans="1:16">
      <c r="A14" s="30"/>
      <c r="B14" s="30"/>
      <c r="C14" s="48"/>
      <c r="D14" s="30"/>
      <c r="E14" s="30"/>
      <c r="F14" s="30"/>
      <c r="G14" s="30"/>
      <c r="H14" s="30"/>
      <c r="I14" s="30"/>
      <c r="J14" s="30"/>
    </row>
    <row r="15" customHeight="1" spans="1:16">
      <c r="A15" s="30"/>
      <c r="B15" s="30"/>
      <c r="C15" s="47"/>
      <c r="D15" s="30"/>
      <c r="E15" s="30"/>
      <c r="F15" s="30"/>
      <c r="G15" s="30"/>
      <c r="H15" s="30"/>
      <c r="I15" s="30"/>
      <c r="J15" s="30"/>
    </row>
  </sheetData>
  <mergeCells count="4">
    <mergeCell ref="A2:B2"/>
    <mergeCell ref="C2:D2"/>
    <mergeCell ref="A3:B3"/>
    <mergeCell ref="C3:D3"/>
  </mergeCells>
  <dataValidations count="2">
    <dataValidation type="list" allowBlank="1" showInputMessage="1" showErrorMessage="1" sqref="D6:D15">
      <formula1>"网络,操作系统,数据库,相关的硬件,相关的软件,其他"</formula1>
    </dataValidation>
    <dataValidation type="list" allowBlank="1" showInputMessage="1" showErrorMessage="1" sqref="J6:J55">
      <formula1>YesNo</formula1>
    </dataValidation>
  </dataValidations>
  <pageMargins left="0.708333333333333" right="0.708333333333333" top="0.747916666666667" bottom="0.747916666666667" header="0.314583333333333" footer="0.314583333333333"/>
  <pageSetup paperSize="9" scale="59" orientation="landscape" blackAndWhite="1" horizontalDpi="600"/>
  <headerFooter>
    <oddFooter>&amp;C&amp;P/&amp;N</oddFooter>
  </headerFooter>
  <colBreaks count="1" manualBreakCount="1">
    <brk id="10" max="1048575" man="1"/>
  </col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P206"/>
  <sheetViews>
    <sheetView view="pageBreakPreview" zoomScaleNormal="100" topLeftCell="A2" workbookViewId="0">
      <selection activeCell="I7" sqref="I7"/>
    </sheetView>
  </sheetViews>
  <sheetFormatPr defaultColWidth="9.37962962962963" defaultRowHeight="20" customHeight="1"/>
  <cols>
    <col min="1" max="1" width="12.8148148148148" style="10" customWidth="1"/>
    <col min="2" max="2" width="13.8888888888889" style="10" customWidth="1"/>
    <col min="3" max="3" width="13.5277777777778" style="10" customWidth="1"/>
    <col min="4" max="4" width="43.3333333333333" style="10" customWidth="1"/>
    <col min="5" max="5" width="17.7777777777778" style="6" customWidth="1"/>
    <col min="6" max="7" width="17.7777777777778" style="10" customWidth="1"/>
    <col min="8" max="8" width="0.972222222222222" style="10" customWidth="1"/>
    <col min="9" max="9" width="35.7777777777778" style="10" customWidth="1"/>
    <col min="10" max="13" width="18.1111111111111" style="10" customWidth="1"/>
    <col min="14" max="14" width="3.12962962962963" style="10" customWidth="1"/>
    <col min="15" max="15" width="15.8796296296296" style="10" customWidth="1"/>
    <col min="16" max="16" width="14.8796296296296" style="10" customWidth="1"/>
    <col min="17" max="17" width="16.3796296296296" style="10" customWidth="1"/>
    <col min="18" max="18" width="12.1296296296296" style="10" customWidth="1"/>
    <col min="19" max="16384" width="9.37962962962963" style="10"/>
  </cols>
  <sheetData>
    <row r="1" s="6" customFormat="1" customHeight="1" spans="1:16">
      <c r="A1" s="33" t="s">
        <v>47</v>
      </c>
      <c r="B1" s="12"/>
      <c r="C1" s="13"/>
      <c r="D1" s="12"/>
      <c r="E1" s="12"/>
      <c r="F1" s="12"/>
      <c r="G1" s="12"/>
      <c r="H1" s="12"/>
    </row>
    <row r="2" s="6" customFormat="1" customHeight="1" spans="1:16">
      <c r="A2" s="15" t="s">
        <v>35</v>
      </c>
      <c r="B2" s="15"/>
      <c r="C2" s="16"/>
      <c r="D2" s="16"/>
      <c r="E2" s="17"/>
      <c r="F2" s="18"/>
      <c r="G2" s="18"/>
      <c r="H2" s="18"/>
      <c r="I2" s="12"/>
      <c r="J2" s="12"/>
      <c r="K2" s="12"/>
      <c r="L2" s="12"/>
      <c r="M2" s="12"/>
      <c r="N2" s="12"/>
    </row>
    <row r="3" s="6" customFormat="1" customHeight="1" spans="1:16">
      <c r="A3" s="15" t="s">
        <v>36</v>
      </c>
      <c r="B3" s="15"/>
      <c r="C3" s="19" t="s">
        <v>18</v>
      </c>
      <c r="D3" s="19"/>
      <c r="E3" s="6"/>
      <c r="F3" s="20"/>
      <c r="G3" s="20"/>
      <c r="H3" s="20"/>
      <c r="I3" s="21"/>
      <c r="J3" s="21"/>
      <c r="K3" s="21"/>
      <c r="L3" s="21"/>
      <c r="M3" s="21"/>
      <c r="N3" s="21"/>
    </row>
    <row r="4" s="21" customFormat="1" customHeight="1" spans="1:16">
      <c r="A4" s="34"/>
      <c r="B4" s="34"/>
      <c r="C4" s="34"/>
      <c r="H4" s="34"/>
      <c r="P4" s="34"/>
    </row>
    <row r="5" s="10" customFormat="1" customHeight="1" spans="1:16">
      <c r="A5" s="22" t="s">
        <v>48</v>
      </c>
      <c r="B5" s="23" t="s">
        <v>49</v>
      </c>
      <c r="C5" s="23" t="s">
        <v>50</v>
      </c>
      <c r="D5" s="35" t="s">
        <v>51</v>
      </c>
      <c r="E5" s="35"/>
      <c r="F5" s="35"/>
      <c r="G5" s="35"/>
      <c r="I5" s="35" t="s">
        <v>52</v>
      </c>
      <c r="J5" s="35"/>
      <c r="K5" s="35"/>
      <c r="L5" s="35"/>
      <c r="M5" s="35"/>
    </row>
    <row r="6" s="7" customFormat="1" ht="36" spans="1:16">
      <c r="A6" s="23"/>
      <c r="B6" s="23"/>
      <c r="C6" s="23"/>
      <c r="D6" s="22" t="s">
        <v>53</v>
      </c>
      <c r="E6" s="22" t="s">
        <v>54</v>
      </c>
      <c r="F6" s="22" t="s">
        <v>55</v>
      </c>
      <c r="G6" s="23" t="s">
        <v>56</v>
      </c>
      <c r="I6" s="22" t="s">
        <v>57</v>
      </c>
      <c r="J6" s="22" t="s">
        <v>58</v>
      </c>
      <c r="K6" s="23" t="s">
        <v>59</v>
      </c>
      <c r="L6" s="22" t="s">
        <v>60</v>
      </c>
      <c r="M6" s="23" t="s">
        <v>61</v>
      </c>
    </row>
    <row r="7" s="9" customFormat="1" ht="303" customHeight="1" spans="1:16">
      <c r="A7" s="25">
        <v>1</v>
      </c>
      <c r="B7" s="25" t="s">
        <v>62</v>
      </c>
      <c r="C7" s="26" t="s">
        <v>33</v>
      </c>
      <c r="D7" s="36" t="s">
        <v>63</v>
      </c>
      <c r="E7" s="28" t="s">
        <v>64</v>
      </c>
      <c r="F7" s="28" t="s">
        <v>65</v>
      </c>
      <c r="G7" s="28" t="s">
        <v>66</v>
      </c>
      <c r="H7" s="37"/>
      <c r="I7" s="38" t="s">
        <v>67</v>
      </c>
      <c r="J7" s="28" t="s">
        <v>68</v>
      </c>
      <c r="K7" s="28" t="s">
        <v>69</v>
      </c>
      <c r="L7" s="28" t="s">
        <v>69</v>
      </c>
      <c r="M7" s="28" t="s">
        <v>70</v>
      </c>
    </row>
    <row r="8" s="9" customFormat="1" customHeight="1" spans="1:16">
      <c r="A8" s="29"/>
      <c r="B8" s="29"/>
      <c r="C8" s="29"/>
      <c r="D8" s="30"/>
      <c r="E8" s="31"/>
      <c r="F8" s="31"/>
      <c r="G8" s="31"/>
      <c r="H8" s="7"/>
      <c r="I8" s="30"/>
      <c r="J8" s="30"/>
      <c r="K8" s="31"/>
      <c r="L8" s="31"/>
      <c r="M8" s="31"/>
    </row>
    <row r="9" s="9" customFormat="1" customHeight="1" spans="1:16">
      <c r="A9" s="29"/>
      <c r="B9" s="29"/>
      <c r="C9" s="29"/>
      <c r="D9" s="30"/>
      <c r="E9" s="30"/>
      <c r="F9" s="31"/>
      <c r="G9" s="31"/>
      <c r="H9" s="7"/>
      <c r="I9" s="30"/>
      <c r="J9" s="30"/>
      <c r="K9" s="31"/>
      <c r="L9" s="31"/>
      <c r="M9" s="31"/>
    </row>
    <row r="10" s="9" customFormat="1" customHeight="1" spans="1:16">
      <c r="A10" s="29"/>
      <c r="B10" s="29"/>
      <c r="C10" s="29"/>
      <c r="D10" s="30"/>
      <c r="E10" s="30"/>
      <c r="F10" s="31"/>
      <c r="G10" s="31"/>
      <c r="H10" s="7"/>
      <c r="I10" s="30"/>
      <c r="J10" s="30"/>
      <c r="K10" s="31"/>
      <c r="L10" s="31"/>
      <c r="M10" s="31"/>
    </row>
    <row r="11" s="9" customFormat="1" customHeight="1" spans="1:16">
      <c r="A11" s="29"/>
      <c r="B11" s="29"/>
      <c r="C11" s="29"/>
      <c r="D11" s="30"/>
      <c r="E11" s="30"/>
      <c r="F11" s="31"/>
      <c r="G11" s="31"/>
      <c r="H11" s="7"/>
      <c r="I11" s="30"/>
      <c r="J11" s="30"/>
      <c r="K11" s="31"/>
      <c r="L11" s="31"/>
      <c r="M11" s="31"/>
    </row>
    <row r="12" s="9" customFormat="1" customHeight="1" spans="1:16">
      <c r="A12" s="29"/>
      <c r="B12" s="29"/>
      <c r="C12" s="29"/>
      <c r="D12" s="30"/>
      <c r="E12" s="30"/>
      <c r="F12" s="31"/>
      <c r="G12" s="31"/>
      <c r="H12" s="7"/>
      <c r="I12" s="30"/>
      <c r="J12" s="30"/>
      <c r="K12" s="31"/>
      <c r="L12" s="31"/>
      <c r="M12" s="31"/>
    </row>
    <row r="13" s="9" customFormat="1" customHeight="1" spans="1:16">
      <c r="A13" s="29"/>
      <c r="B13" s="29"/>
      <c r="C13" s="29"/>
      <c r="D13" s="30"/>
      <c r="E13" s="30"/>
      <c r="F13" s="31"/>
      <c r="G13" s="31"/>
      <c r="H13" s="7"/>
      <c r="I13" s="30"/>
      <c r="J13" s="30"/>
      <c r="K13" s="31"/>
      <c r="L13" s="31"/>
      <c r="M13" s="31"/>
    </row>
    <row r="14" s="9" customFormat="1" customHeight="1" spans="1:16">
      <c r="A14" s="29"/>
      <c r="B14" s="29"/>
      <c r="C14" s="29"/>
      <c r="D14" s="30"/>
      <c r="E14" s="30"/>
      <c r="F14" s="31"/>
      <c r="G14" s="31"/>
      <c r="H14" s="7"/>
      <c r="I14" s="30"/>
      <c r="J14" s="30"/>
      <c r="K14" s="31"/>
      <c r="L14" s="31"/>
      <c r="M14" s="31"/>
    </row>
    <row r="15" customHeight="1" spans="1:16">
      <c r="A15" s="32"/>
      <c r="H15" s="7"/>
    </row>
    <row r="16" customHeight="1" spans="1:16">
      <c r="H16" s="7"/>
    </row>
    <row r="26" customHeight="1" spans="1:2">
      <c r="A26" s="32" t="str">
        <f>""&amp;'IT 环境 - 应用程序'!A17</f>
        <v/>
      </c>
      <c r="B26" s="10" t="str">
        <f>""&amp;'IT 环境 - 应用程序'!C17</f>
        <v/>
      </c>
    </row>
    <row r="27" customHeight="1" spans="1:2">
      <c r="A27" s="32" t="str">
        <f>""&amp;'IT 环境 - 应用程序'!A18</f>
        <v/>
      </c>
      <c r="B27" s="10" t="str">
        <f>""&amp;'IT 环境 - 应用程序'!C18</f>
        <v/>
      </c>
    </row>
    <row r="28" customHeight="1" spans="1:2">
      <c r="A28" s="32" t="str">
        <f>""&amp;'IT 环境 - 应用程序'!A19</f>
        <v/>
      </c>
      <c r="B28" s="10" t="str">
        <f>""&amp;'IT 环境 - 应用程序'!C19</f>
        <v/>
      </c>
    </row>
    <row r="29" customHeight="1" spans="1:2">
      <c r="A29" s="32" t="str">
        <f>""&amp;'IT 环境 - 应用程序'!A20</f>
        <v/>
      </c>
      <c r="B29" s="10" t="str">
        <f>""&amp;'IT 环境 - 应用程序'!C20</f>
        <v/>
      </c>
    </row>
    <row r="30" customHeight="1" spans="1:2">
      <c r="A30" s="32" t="str">
        <f>""&amp;'IT 环境 - 应用程序'!A21</f>
        <v/>
      </c>
      <c r="B30" s="10" t="str">
        <f>""&amp;'IT 环境 - 应用程序'!C21</f>
        <v/>
      </c>
    </row>
    <row r="31" customHeight="1" spans="1:2">
      <c r="A31" s="32" t="str">
        <f>""&amp;'IT 环境 - 应用程序'!A22</f>
        <v/>
      </c>
      <c r="B31" s="10" t="str">
        <f>""&amp;'IT 环境 - 应用程序'!C22</f>
        <v/>
      </c>
    </row>
    <row r="32" customHeight="1" spans="1:2">
      <c r="A32" s="32" t="str">
        <f>""&amp;'IT 环境 - 应用程序'!A23</f>
        <v/>
      </c>
      <c r="B32" s="10" t="str">
        <f>""&amp;'IT 环境 - 应用程序'!C23</f>
        <v/>
      </c>
    </row>
    <row r="33" customHeight="1" spans="1:2">
      <c r="A33" s="32" t="str">
        <f>""&amp;'IT 环境 - 应用程序'!A24</f>
        <v/>
      </c>
      <c r="B33" s="10" t="str">
        <f>""&amp;'IT 环境 - 应用程序'!C24</f>
        <v/>
      </c>
    </row>
    <row r="34" customHeight="1" spans="1:2">
      <c r="A34" s="32" t="str">
        <f>""&amp;'IT 环境 - 应用程序'!A25</f>
        <v/>
      </c>
      <c r="B34" s="10" t="str">
        <f>""&amp;'IT 环境 - 应用程序'!C25</f>
        <v/>
      </c>
    </row>
    <row r="35" customHeight="1" spans="1:2">
      <c r="A35" s="32" t="str">
        <f>""&amp;'IT 环境 - 应用程序'!A26</f>
        <v/>
      </c>
      <c r="B35" s="10" t="str">
        <f>""&amp;'IT 环境 - 应用程序'!C26</f>
        <v/>
      </c>
    </row>
    <row r="36" customHeight="1" spans="1:2">
      <c r="A36" s="32" t="str">
        <f>""&amp;'IT 环境 - 应用程序'!A27</f>
        <v/>
      </c>
      <c r="B36" s="10" t="str">
        <f>""&amp;'IT 环境 - 应用程序'!C27</f>
        <v/>
      </c>
    </row>
    <row r="37" customHeight="1" spans="1:2">
      <c r="A37" s="32" t="str">
        <f>""&amp;'IT 环境 - 应用程序'!A28</f>
        <v/>
      </c>
      <c r="B37" s="10" t="str">
        <f>""&amp;'IT 环境 - 应用程序'!C28</f>
        <v/>
      </c>
    </row>
    <row r="38" customHeight="1" spans="1:2">
      <c r="A38" s="32" t="str">
        <f>""&amp;'IT 环境 - 应用程序'!A29</f>
        <v/>
      </c>
      <c r="B38" s="10" t="str">
        <f>""&amp;'IT 环境 - 应用程序'!C29</f>
        <v/>
      </c>
    </row>
    <row r="39" customHeight="1" spans="1:2">
      <c r="A39" s="32" t="str">
        <f>""&amp;'IT 环境 - 应用程序'!A30</f>
        <v/>
      </c>
      <c r="B39" s="10" t="str">
        <f>""&amp;'IT 环境 - 应用程序'!C30</f>
        <v/>
      </c>
    </row>
    <row r="40" customHeight="1" spans="1:2">
      <c r="A40" s="32" t="str">
        <f>""&amp;'IT 环境 - 应用程序'!A31</f>
        <v/>
      </c>
      <c r="B40" s="10" t="str">
        <f>""&amp;'IT 环境 - 应用程序'!C31</f>
        <v/>
      </c>
    </row>
    <row r="41" customHeight="1" spans="1:2">
      <c r="A41" s="32" t="str">
        <f>""&amp;'IT 环境 - 应用程序'!A32</f>
        <v/>
      </c>
      <c r="B41" s="10" t="str">
        <f>""&amp;'IT 环境 - 应用程序'!C32</f>
        <v/>
      </c>
    </row>
    <row r="42" customHeight="1" spans="1:2">
      <c r="A42" s="32" t="str">
        <f>""&amp;'IT 环境 - 应用程序'!A33</f>
        <v/>
      </c>
      <c r="B42" s="10" t="str">
        <f>""&amp;'IT 环境 - 应用程序'!C33</f>
        <v/>
      </c>
    </row>
    <row r="43" customHeight="1" spans="1:2">
      <c r="A43" s="32" t="str">
        <f>""&amp;'IT 环境 - 应用程序'!A34</f>
        <v/>
      </c>
      <c r="B43" s="10" t="str">
        <f>""&amp;'IT 环境 - 应用程序'!C34</f>
        <v/>
      </c>
    </row>
    <row r="44" customHeight="1" spans="1:2">
      <c r="A44" s="32" t="str">
        <f>""&amp;'IT 环境 - 应用程序'!A35</f>
        <v/>
      </c>
      <c r="B44" s="10" t="str">
        <f>""&amp;'IT 环境 - 应用程序'!C35</f>
        <v/>
      </c>
    </row>
    <row r="45" customHeight="1" spans="1:2">
      <c r="A45" s="32" t="str">
        <f>""&amp;'IT 环境 - 应用程序'!A36</f>
        <v/>
      </c>
      <c r="B45" s="10" t="str">
        <f>""&amp;'IT 环境 - 应用程序'!C36</f>
        <v/>
      </c>
    </row>
    <row r="46" customHeight="1" spans="1:2">
      <c r="A46" s="32" t="str">
        <f>""&amp;'IT 环境 - 应用程序'!A37</f>
        <v/>
      </c>
      <c r="B46" s="10" t="str">
        <f>""&amp;'IT 环境 - 应用程序'!C37</f>
        <v/>
      </c>
    </row>
    <row r="47" customHeight="1" spans="1:2">
      <c r="A47" s="32" t="str">
        <f>""&amp;'IT 环境 - 应用程序'!A38</f>
        <v/>
      </c>
      <c r="B47" s="10" t="str">
        <f>""&amp;'IT 环境 - 应用程序'!C38</f>
        <v/>
      </c>
    </row>
    <row r="48" customHeight="1" spans="1:2">
      <c r="A48" s="32" t="str">
        <f>""&amp;'IT 环境 - 应用程序'!A39</f>
        <v/>
      </c>
      <c r="B48" s="10" t="str">
        <f>""&amp;'IT 环境 - 应用程序'!C39</f>
        <v/>
      </c>
    </row>
    <row r="49" customHeight="1" spans="1:2">
      <c r="A49" s="32" t="str">
        <f>""&amp;'IT 环境 - 应用程序'!A40</f>
        <v/>
      </c>
      <c r="B49" s="10" t="str">
        <f>""&amp;'IT 环境 - 应用程序'!C40</f>
        <v/>
      </c>
    </row>
    <row r="50" customHeight="1" spans="1:2">
      <c r="A50" s="32" t="str">
        <f>""&amp;'IT 环境 - 应用程序'!A41</f>
        <v/>
      </c>
      <c r="B50" s="10" t="str">
        <f>""&amp;'IT 环境 - 应用程序'!C41</f>
        <v/>
      </c>
    </row>
    <row r="51" customHeight="1" spans="1:2">
      <c r="A51" s="32" t="str">
        <f>""&amp;'IT 环境 - 应用程序'!A42</f>
        <v/>
      </c>
      <c r="B51" s="10" t="str">
        <f>""&amp;'IT 环境 - 应用程序'!C42</f>
        <v/>
      </c>
    </row>
    <row r="52" customHeight="1" spans="1:2">
      <c r="A52" s="32" t="str">
        <f>""&amp;'IT 环境 - 应用程序'!A43</f>
        <v/>
      </c>
      <c r="B52" s="10" t="str">
        <f>""&amp;'IT 环境 - 应用程序'!C43</f>
        <v/>
      </c>
    </row>
    <row r="53" customHeight="1" spans="1:2">
      <c r="A53" s="32" t="str">
        <f>""&amp;'IT 环境 - 应用程序'!A44</f>
        <v/>
      </c>
      <c r="B53" s="10" t="str">
        <f>""&amp;'IT 环境 - 应用程序'!C44</f>
        <v/>
      </c>
    </row>
    <row r="54" customHeight="1" spans="1:2">
      <c r="A54" s="32" t="str">
        <f>""&amp;'IT 环境 - 应用程序'!A45</f>
        <v/>
      </c>
      <c r="B54" s="10" t="str">
        <f>""&amp;'IT 环境 - 应用程序'!C45</f>
        <v/>
      </c>
    </row>
    <row r="55" customHeight="1" spans="1:2">
      <c r="A55" s="32" t="str">
        <f>""&amp;'IT 环境 - 应用程序'!A46</f>
        <v/>
      </c>
      <c r="B55" s="10" t="str">
        <f>""&amp;'IT 环境 - 应用程序'!C46</f>
        <v/>
      </c>
    </row>
    <row r="56" customHeight="1" spans="1:2">
      <c r="A56" s="32" t="str">
        <f>""&amp;'IT 环境 - 应用程序'!A47</f>
        <v/>
      </c>
      <c r="B56" s="10" t="str">
        <f>""&amp;'IT 环境 - 应用程序'!C47</f>
        <v/>
      </c>
    </row>
    <row r="57" customHeight="1" spans="1:2">
      <c r="A57" s="32" t="str">
        <f>""&amp;'IT 环境 - 应用程序'!A48</f>
        <v/>
      </c>
      <c r="B57" s="10" t="str">
        <f>""&amp;'IT 环境 - 应用程序'!C48</f>
        <v/>
      </c>
    </row>
    <row r="58" customHeight="1" spans="1:2">
      <c r="A58" s="32" t="str">
        <f>""&amp;'IT 环境 - 应用程序'!A49</f>
        <v/>
      </c>
      <c r="B58" s="10" t="str">
        <f>""&amp;'IT 环境 - 应用程序'!C49</f>
        <v/>
      </c>
    </row>
    <row r="59" customHeight="1" spans="1:2">
      <c r="A59" s="32" t="str">
        <f>""&amp;'IT 环境 - 应用程序'!A50</f>
        <v/>
      </c>
      <c r="B59" s="10" t="str">
        <f>""&amp;'IT 环境 - 应用程序'!C50</f>
        <v/>
      </c>
    </row>
    <row r="60" customHeight="1" spans="1:2">
      <c r="A60" s="32" t="str">
        <f>""&amp;'IT 环境 - 应用程序'!A51</f>
        <v/>
      </c>
      <c r="B60" s="10" t="str">
        <f>""&amp;'IT 环境 - 应用程序'!C51</f>
        <v/>
      </c>
    </row>
    <row r="61" customHeight="1" spans="1:2">
      <c r="A61" s="32" t="str">
        <f>""&amp;'IT 环境 - 应用程序'!A52</f>
        <v/>
      </c>
      <c r="B61" s="10" t="str">
        <f>""&amp;'IT 环境 - 应用程序'!C52</f>
        <v/>
      </c>
    </row>
    <row r="62" customHeight="1" spans="1:2">
      <c r="A62" s="32" t="str">
        <f>""&amp;'IT 环境 - 应用程序'!A53</f>
        <v/>
      </c>
      <c r="B62" s="10" t="str">
        <f>""&amp;'IT 环境 - 应用程序'!C53</f>
        <v/>
      </c>
    </row>
    <row r="63" customHeight="1" spans="1:2">
      <c r="A63" s="32" t="str">
        <f>""&amp;'IT 环境 - 应用程序'!A54</f>
        <v/>
      </c>
      <c r="B63" s="10" t="str">
        <f>""&amp;'IT 环境 - 应用程序'!C54</f>
        <v/>
      </c>
    </row>
    <row r="64" customHeight="1" spans="1:2">
      <c r="A64" s="32" t="str">
        <f>""&amp;'IT 环境 - 应用程序'!A55</f>
        <v/>
      </c>
      <c r="B64" s="10" t="str">
        <f>""&amp;'IT 环境 - 应用程序'!C55</f>
        <v/>
      </c>
    </row>
    <row r="65" customHeight="1" spans="1:2">
      <c r="A65" s="32" t="str">
        <f>""&amp;'IT 环境 - 应用程序'!A56</f>
        <v/>
      </c>
      <c r="B65" s="10" t="str">
        <f>""&amp;'IT 环境 - 应用程序'!C56</f>
        <v/>
      </c>
    </row>
    <row r="66" customHeight="1" spans="1:2">
      <c r="A66" s="32" t="str">
        <f>""&amp;'IT 环境 - 应用程序'!A57</f>
        <v/>
      </c>
      <c r="B66" s="10" t="str">
        <f>""&amp;'IT 环境 - 应用程序'!C57</f>
        <v/>
      </c>
    </row>
    <row r="67" customHeight="1" spans="1:2">
      <c r="A67" s="32" t="str">
        <f>""&amp;'IT 环境 - 应用程序'!A58</f>
        <v/>
      </c>
      <c r="B67" s="10" t="str">
        <f>""&amp;'IT 环境 - 应用程序'!C58</f>
        <v/>
      </c>
    </row>
    <row r="68" customHeight="1" spans="1:2">
      <c r="A68" s="32" t="str">
        <f>""&amp;'IT 环境 - 应用程序'!A59</f>
        <v/>
      </c>
      <c r="B68" s="10" t="str">
        <f>""&amp;'IT 环境 - 应用程序'!C59</f>
        <v/>
      </c>
    </row>
    <row r="69" customHeight="1" spans="1:2">
      <c r="A69" s="32" t="str">
        <f>""&amp;'IT 环境 - 应用程序'!A60</f>
        <v/>
      </c>
      <c r="B69" s="10" t="str">
        <f>""&amp;'IT 环境 - 应用程序'!C60</f>
        <v/>
      </c>
    </row>
    <row r="70" customHeight="1" spans="1:2">
      <c r="A70" s="32" t="str">
        <f>""&amp;'IT 环境 - 应用程序'!A61</f>
        <v/>
      </c>
      <c r="B70" s="10" t="str">
        <f>""&amp;'IT 环境 - 应用程序'!C61</f>
        <v/>
      </c>
    </row>
    <row r="71" customHeight="1" spans="1:2">
      <c r="A71" s="32" t="str">
        <f>""&amp;'IT 环境 - 应用程序'!A62</f>
        <v/>
      </c>
      <c r="B71" s="10" t="str">
        <f>""&amp;'IT 环境 - 应用程序'!C62</f>
        <v/>
      </c>
    </row>
    <row r="72" customHeight="1" spans="1:2">
      <c r="A72" s="32" t="str">
        <f>""&amp;'IT 环境 - 应用程序'!A63</f>
        <v/>
      </c>
      <c r="B72" s="10" t="str">
        <f>""&amp;'IT 环境 - 应用程序'!C63</f>
        <v/>
      </c>
    </row>
    <row r="73" customHeight="1" spans="1:2">
      <c r="A73" s="32" t="str">
        <f>""&amp;'IT 环境 - 应用程序'!A64</f>
        <v/>
      </c>
      <c r="B73" s="10" t="str">
        <f>""&amp;'IT 环境 - 应用程序'!C64</f>
        <v/>
      </c>
    </row>
    <row r="74" customHeight="1" spans="1:2">
      <c r="A74" s="32" t="str">
        <f>""&amp;'IT 环境 - 应用程序'!A65</f>
        <v/>
      </c>
      <c r="B74" s="10" t="str">
        <f>""&amp;'IT 环境 - 应用程序'!C65</f>
        <v/>
      </c>
    </row>
    <row r="75" customHeight="1" spans="1:2">
      <c r="A75" s="32" t="str">
        <f>""&amp;'IT 环境 - 应用程序'!A66</f>
        <v/>
      </c>
      <c r="B75" s="10" t="str">
        <f>""&amp;'IT 环境 - 应用程序'!C66</f>
        <v/>
      </c>
    </row>
    <row r="76" customHeight="1" spans="1:2">
      <c r="A76" s="32" t="str">
        <f>""&amp;'IT 环境 - 应用程序'!A67</f>
        <v/>
      </c>
      <c r="B76" s="10" t="str">
        <f>""&amp;'IT 环境 - 应用程序'!C67</f>
        <v/>
      </c>
    </row>
    <row r="77" customHeight="1" spans="1:2">
      <c r="A77" s="32" t="str">
        <f>""&amp;'IT 环境 - 应用程序'!A68</f>
        <v/>
      </c>
      <c r="B77" s="10" t="str">
        <f>""&amp;'IT 环境 - 应用程序'!C68</f>
        <v/>
      </c>
    </row>
    <row r="78" customHeight="1" spans="1:2">
      <c r="A78" s="32" t="str">
        <f>""&amp;'IT 环境 - 应用程序'!A69</f>
        <v/>
      </c>
      <c r="B78" s="10" t="str">
        <f>""&amp;'IT 环境 - 应用程序'!C69</f>
        <v/>
      </c>
    </row>
    <row r="79" customHeight="1" spans="1:2">
      <c r="A79" s="32" t="str">
        <f>""&amp;'IT 环境 - 应用程序'!A70</f>
        <v/>
      </c>
      <c r="B79" s="10" t="str">
        <f>""&amp;'IT 环境 - 应用程序'!C70</f>
        <v/>
      </c>
    </row>
    <row r="80" customHeight="1" spans="1:2">
      <c r="A80" s="32" t="str">
        <f>""&amp;'IT 环境 - 应用程序'!A71</f>
        <v/>
      </c>
      <c r="B80" s="10" t="str">
        <f>""&amp;'IT 环境 - 应用程序'!C71</f>
        <v/>
      </c>
    </row>
    <row r="81" customHeight="1" spans="1:2">
      <c r="A81" s="32" t="str">
        <f>""&amp;'IT 环境 - 应用程序'!A72</f>
        <v/>
      </c>
      <c r="B81" s="10" t="str">
        <f>""&amp;'IT 环境 - 应用程序'!C72</f>
        <v/>
      </c>
    </row>
    <row r="82" customHeight="1" spans="1:2">
      <c r="A82" s="32" t="str">
        <f>""&amp;'IT 环境 - 应用程序'!A73</f>
        <v/>
      </c>
      <c r="B82" s="10" t="str">
        <f>""&amp;'IT 环境 - 应用程序'!C73</f>
        <v/>
      </c>
    </row>
    <row r="83" customHeight="1" spans="1:2">
      <c r="A83" s="32" t="str">
        <f>""&amp;'IT 环境 - 应用程序'!A74</f>
        <v/>
      </c>
      <c r="B83" s="10" t="str">
        <f>""&amp;'IT 环境 - 应用程序'!C74</f>
        <v/>
      </c>
    </row>
    <row r="84" customHeight="1" spans="1:2">
      <c r="A84" s="32" t="str">
        <f>""&amp;'IT 环境 - 应用程序'!A75</f>
        <v/>
      </c>
      <c r="B84" s="10" t="str">
        <f>""&amp;'IT 环境 - 应用程序'!C75</f>
        <v/>
      </c>
    </row>
    <row r="85" customHeight="1" spans="1:2">
      <c r="A85" s="32" t="str">
        <f>""&amp;'IT 环境 - 应用程序'!A76</f>
        <v/>
      </c>
      <c r="B85" s="10" t="str">
        <f>""&amp;'IT 环境 - 应用程序'!C76</f>
        <v/>
      </c>
    </row>
    <row r="86" customHeight="1" spans="1:2">
      <c r="A86" s="32" t="str">
        <f>""&amp;'IT 环境 - 应用程序'!A77</f>
        <v/>
      </c>
      <c r="B86" s="10" t="str">
        <f>""&amp;'IT 环境 - 应用程序'!C77</f>
        <v/>
      </c>
    </row>
    <row r="87" customHeight="1" spans="1:2">
      <c r="A87" s="32" t="str">
        <f>""&amp;'IT 环境 - 应用程序'!A78</f>
        <v/>
      </c>
      <c r="B87" s="10" t="str">
        <f>""&amp;'IT 环境 - 应用程序'!C78</f>
        <v/>
      </c>
    </row>
    <row r="88" customHeight="1" spans="1:2">
      <c r="A88" s="32" t="str">
        <f>""&amp;'IT 环境 - 应用程序'!A79</f>
        <v/>
      </c>
      <c r="B88" s="10" t="str">
        <f>""&amp;'IT 环境 - 应用程序'!C79</f>
        <v/>
      </c>
    </row>
    <row r="89" customHeight="1" spans="1:2">
      <c r="A89" s="32" t="str">
        <f>""&amp;'IT 环境 - 应用程序'!A80</f>
        <v/>
      </c>
      <c r="B89" s="10" t="str">
        <f>""&amp;'IT 环境 - 应用程序'!C80</f>
        <v/>
      </c>
    </row>
    <row r="90" customHeight="1" spans="1:2">
      <c r="A90" s="32" t="str">
        <f>""&amp;'IT 环境 - 应用程序'!A81</f>
        <v/>
      </c>
      <c r="B90" s="10" t="str">
        <f>""&amp;'IT 环境 - 应用程序'!C81</f>
        <v/>
      </c>
    </row>
    <row r="91" customHeight="1" spans="1:2">
      <c r="A91" s="32" t="str">
        <f>""&amp;'IT 环境 - 应用程序'!A82</f>
        <v/>
      </c>
      <c r="B91" s="10" t="str">
        <f>""&amp;'IT 环境 - 应用程序'!C82</f>
        <v/>
      </c>
    </row>
    <row r="92" customHeight="1" spans="1:2">
      <c r="A92" s="32" t="str">
        <f>""&amp;'IT 环境 - 应用程序'!A83</f>
        <v/>
      </c>
      <c r="B92" s="10" t="str">
        <f>""&amp;'IT 环境 - 应用程序'!C83</f>
        <v/>
      </c>
    </row>
    <row r="93" customHeight="1" spans="1:2">
      <c r="A93" s="32" t="str">
        <f>""&amp;'IT 环境 - 应用程序'!A84</f>
        <v/>
      </c>
      <c r="B93" s="10" t="str">
        <f>""&amp;'IT 环境 - 应用程序'!C84</f>
        <v/>
      </c>
    </row>
    <row r="94" customHeight="1" spans="1:2">
      <c r="A94" s="32" t="str">
        <f>""&amp;'IT 环境 - 应用程序'!A85</f>
        <v/>
      </c>
      <c r="B94" s="10" t="str">
        <f>""&amp;'IT 环境 - 应用程序'!C85</f>
        <v/>
      </c>
    </row>
    <row r="95" customHeight="1" spans="1:2">
      <c r="A95" s="32" t="str">
        <f>""&amp;'IT 环境 - 应用程序'!A86</f>
        <v/>
      </c>
      <c r="B95" s="10" t="str">
        <f>""&amp;'IT 环境 - 应用程序'!C86</f>
        <v/>
      </c>
    </row>
    <row r="96" customHeight="1" spans="1:2">
      <c r="A96" s="32" t="str">
        <f>""&amp;'IT 环境 - 应用程序'!A87</f>
        <v/>
      </c>
      <c r="B96" s="10" t="str">
        <f>""&amp;'IT 环境 - 应用程序'!C87</f>
        <v/>
      </c>
    </row>
    <row r="97" customHeight="1" spans="1:2">
      <c r="A97" s="32" t="str">
        <f>""&amp;'IT 环境 - 应用程序'!A88</f>
        <v/>
      </c>
      <c r="B97" s="10" t="str">
        <f>""&amp;'IT 环境 - 应用程序'!C88</f>
        <v/>
      </c>
    </row>
    <row r="98" customHeight="1" spans="1:2">
      <c r="A98" s="32" t="str">
        <f>""&amp;'IT 环境 - 应用程序'!A89</f>
        <v/>
      </c>
      <c r="B98" s="10" t="str">
        <f>""&amp;'IT 环境 - 应用程序'!C89</f>
        <v/>
      </c>
    </row>
    <row r="99" customHeight="1" spans="1:2">
      <c r="A99" s="32" t="str">
        <f>""&amp;'IT 环境 - 应用程序'!A90</f>
        <v/>
      </c>
      <c r="B99" s="10" t="str">
        <f>""&amp;'IT 环境 - 应用程序'!C90</f>
        <v/>
      </c>
    </row>
    <row r="100" customHeight="1" spans="1:2">
      <c r="A100" s="32" t="str">
        <f>""&amp;'IT 环境 - 应用程序'!A91</f>
        <v/>
      </c>
      <c r="B100" s="10" t="str">
        <f>""&amp;'IT 环境 - 应用程序'!C91</f>
        <v/>
      </c>
    </row>
    <row r="101" customHeight="1" spans="1:2">
      <c r="A101" s="32" t="str">
        <f>""&amp;'IT 环境 - 应用程序'!A92</f>
        <v/>
      </c>
      <c r="B101" s="10" t="str">
        <f>""&amp;'IT 环境 - 应用程序'!C92</f>
        <v/>
      </c>
    </row>
    <row r="102" customHeight="1" spans="1:2">
      <c r="A102" s="32" t="str">
        <f>""&amp;'IT 环境 - 应用程序'!A93</f>
        <v/>
      </c>
      <c r="B102" s="10" t="str">
        <f>""&amp;'IT 环境 - 应用程序'!C93</f>
        <v/>
      </c>
    </row>
    <row r="103" customHeight="1" spans="1:2">
      <c r="A103" s="10" t="str">
        <f>""&amp;'IT 环境 - 应用程序'!A94</f>
        <v/>
      </c>
      <c r="B103" s="10" t="str">
        <f>""&amp;'IT 环境 - 应用程序'!C94</f>
        <v/>
      </c>
    </row>
    <row r="104" customHeight="1" spans="1:2">
      <c r="A104" s="10" t="str">
        <f>""&amp;'IT 环境 - 应用程序'!A95</f>
        <v/>
      </c>
      <c r="B104" s="10" t="str">
        <f>""&amp;'IT 环境 - 应用程序'!C95</f>
        <v/>
      </c>
    </row>
    <row r="105" customHeight="1" spans="1:2">
      <c r="A105" s="10" t="str">
        <f>""&amp;'IT 环境 - 应用程序'!A96</f>
        <v/>
      </c>
      <c r="B105" s="10" t="str">
        <f>""&amp;'IT 环境 - 应用程序'!C96</f>
        <v/>
      </c>
    </row>
    <row r="106" customHeight="1" spans="1:2">
      <c r="A106" s="10" t="str">
        <f>""&amp;'IT 环境 - 应用程序'!A97</f>
        <v/>
      </c>
      <c r="B106" s="10" t="str">
        <f>""&amp;'IT 环境 - 应用程序'!C97</f>
        <v/>
      </c>
    </row>
    <row r="107" customHeight="1" spans="1:2">
      <c r="A107" s="10" t="str">
        <f>""&amp;'IT 环境 - 应用程序'!A98</f>
        <v/>
      </c>
      <c r="B107" s="10" t="str">
        <f>""&amp;'IT 环境 - 应用程序'!C98</f>
        <v/>
      </c>
    </row>
    <row r="108" customHeight="1" spans="1:2">
      <c r="A108" s="10" t="str">
        <f>""&amp;'IT 环境 - 应用程序'!A99</f>
        <v/>
      </c>
      <c r="B108" s="10" t="str">
        <f>""&amp;'IT 环境 - 应用程序'!C99</f>
        <v/>
      </c>
    </row>
    <row r="109" customHeight="1" spans="1:2">
      <c r="A109" s="10" t="str">
        <f>""&amp;'IT 环境 - 应用程序'!A100</f>
        <v/>
      </c>
      <c r="B109" s="10" t="str">
        <f>""&amp;'IT 环境 - 应用程序'!C100</f>
        <v/>
      </c>
    </row>
    <row r="110" customHeight="1" spans="1:2">
      <c r="A110" s="10" t="str">
        <f>""&amp;'IT 环境 - 应用程序'!A101</f>
        <v/>
      </c>
      <c r="B110" s="10" t="str">
        <f>""&amp;'IT 环境 - 应用程序'!C101</f>
        <v/>
      </c>
    </row>
    <row r="111" customHeight="1" spans="1:2">
      <c r="A111" s="10" t="str">
        <f>""&amp;'IT 环境 - 应用程序'!A102</f>
        <v/>
      </c>
      <c r="B111" s="10" t="str">
        <f>""&amp;'IT 环境 - 应用程序'!C102</f>
        <v/>
      </c>
    </row>
    <row r="112" customHeight="1" spans="1:2">
      <c r="A112" s="10" t="str">
        <f>""&amp;'IT 环境 - 应用程序'!A103</f>
        <v/>
      </c>
      <c r="B112" s="10" t="str">
        <f>""&amp;'IT 环境 - 应用程序'!C103</f>
        <v/>
      </c>
    </row>
    <row r="113" customHeight="1" spans="1:2">
      <c r="A113" s="10" t="str">
        <f>""&amp;'IT 环境 - 应用程序'!A104</f>
        <v/>
      </c>
      <c r="B113" s="10" t="str">
        <f>""&amp;'IT 环境 - 应用程序'!C104</f>
        <v/>
      </c>
    </row>
    <row r="114" customHeight="1" spans="1:2">
      <c r="A114" s="10" t="str">
        <f>""&amp;'IT 环境 - 应用程序'!A105</f>
        <v/>
      </c>
      <c r="B114" s="10" t="str">
        <f>""&amp;'IT 环境 - 应用程序'!C105</f>
        <v/>
      </c>
    </row>
    <row r="115" customHeight="1" spans="1:2">
      <c r="A115" s="10" t="str">
        <f>""&amp;'IT 环境 - 应用程序'!A106</f>
        <v/>
      </c>
      <c r="B115" s="10" t="str">
        <f>""&amp;'IT 环境 - 应用程序'!C106</f>
        <v/>
      </c>
    </row>
    <row r="116" customHeight="1" spans="1:2">
      <c r="A116" s="10" t="str">
        <f>""&amp;'IT 环境 - 应用程序'!A107</f>
        <v/>
      </c>
      <c r="B116" s="10" t="str">
        <f>""&amp;'IT 环境 - 应用程序'!C107</f>
        <v/>
      </c>
    </row>
    <row r="117" customHeight="1" spans="1:2">
      <c r="A117" s="10" t="str">
        <f>""&amp;'IT 环境 - 应用程序'!A108</f>
        <v/>
      </c>
      <c r="B117" s="10" t="str">
        <f>""&amp;'IT 环境 - 应用程序'!C108</f>
        <v/>
      </c>
    </row>
    <row r="118" customHeight="1" spans="1:2">
      <c r="A118" s="10" t="str">
        <f>""&amp;'IT 环境 - 应用程序'!A109</f>
        <v/>
      </c>
      <c r="B118" s="10" t="str">
        <f>""&amp;'IT 环境 - 应用程序'!C109</f>
        <v/>
      </c>
    </row>
    <row r="119" customHeight="1" spans="1:2">
      <c r="A119" s="10" t="str">
        <f>""&amp;'IT 环境 - 应用程序'!A110</f>
        <v/>
      </c>
      <c r="B119" s="10" t="str">
        <f>""&amp;'IT 环境 - 应用程序'!C110</f>
        <v/>
      </c>
    </row>
    <row r="120" customHeight="1" spans="1:2">
      <c r="A120" s="10" t="str">
        <f>""&amp;'IT 环境 - 应用程序'!A111</f>
        <v/>
      </c>
      <c r="B120" s="10" t="str">
        <f>""&amp;'IT 环境 - 应用程序'!C111</f>
        <v/>
      </c>
    </row>
    <row r="121" customHeight="1" spans="1:2">
      <c r="A121" s="10" t="str">
        <f>""&amp;'IT 环境 - 应用程序'!A112</f>
        <v/>
      </c>
      <c r="B121" s="10" t="str">
        <f>""&amp;'IT 环境 - 应用程序'!C112</f>
        <v/>
      </c>
    </row>
    <row r="122" customHeight="1" spans="1:2">
      <c r="A122" s="10" t="str">
        <f>""&amp;'IT 环境 - 应用程序'!A113</f>
        <v/>
      </c>
      <c r="B122" s="10" t="str">
        <f>""&amp;'IT 环境 - 应用程序'!C113</f>
        <v/>
      </c>
    </row>
    <row r="123" customHeight="1" spans="1:2">
      <c r="A123" s="10" t="str">
        <f>""&amp;'IT 环境 - 应用程序'!A114</f>
        <v/>
      </c>
      <c r="B123" s="10" t="str">
        <f>""&amp;'IT 环境 - 应用程序'!C114</f>
        <v/>
      </c>
    </row>
    <row r="124" customHeight="1" spans="1:2">
      <c r="A124" s="10" t="str">
        <f>""&amp;'IT 环境 - 应用程序'!A115</f>
        <v/>
      </c>
      <c r="B124" s="10" t="str">
        <f>""&amp;'IT 环境 - 应用程序'!C115</f>
        <v/>
      </c>
    </row>
    <row r="125" customHeight="1" spans="1:2">
      <c r="A125" s="10" t="str">
        <f>""&amp;'IT 环境 - 应用程序'!A116</f>
        <v/>
      </c>
      <c r="B125" s="10" t="str">
        <f>""&amp;'IT 环境 - 应用程序'!C116</f>
        <v/>
      </c>
    </row>
    <row r="126" customHeight="1" spans="1:2">
      <c r="A126" s="10" t="str">
        <f>""&amp;'IT 环境 - 应用程序'!A117</f>
        <v/>
      </c>
      <c r="B126" s="10" t="str">
        <f>""&amp;'IT 环境 - 应用程序'!C117</f>
        <v/>
      </c>
    </row>
    <row r="127" customHeight="1" spans="1:2">
      <c r="A127" s="10" t="str">
        <f>""&amp;'IT 环境 - 应用程序'!A118</f>
        <v/>
      </c>
      <c r="B127" s="10" t="str">
        <f>""&amp;'IT 环境 - 应用程序'!C118</f>
        <v/>
      </c>
    </row>
    <row r="128" customHeight="1" spans="1:2">
      <c r="A128" s="10" t="str">
        <f>""&amp;'IT 环境 - 应用程序'!A119</f>
        <v/>
      </c>
      <c r="B128" s="10" t="str">
        <f>""&amp;'IT 环境 - 应用程序'!C119</f>
        <v/>
      </c>
    </row>
    <row r="129" customHeight="1" spans="1:2">
      <c r="A129" s="10" t="str">
        <f>""&amp;'IT 环境 - 应用程序'!A120</f>
        <v/>
      </c>
      <c r="B129" s="10" t="str">
        <f>""&amp;'IT 环境 - 应用程序'!C120</f>
        <v/>
      </c>
    </row>
    <row r="130" customHeight="1" spans="1:2">
      <c r="A130" s="10" t="str">
        <f>""&amp;'IT 环境 - 应用程序'!A121</f>
        <v/>
      </c>
      <c r="B130" s="10" t="str">
        <f>""&amp;'IT 环境 - 应用程序'!C121</f>
        <v/>
      </c>
    </row>
    <row r="131" customHeight="1" spans="1:2">
      <c r="A131" s="10" t="str">
        <f>""&amp;'IT 环境 - 应用程序'!A122</f>
        <v/>
      </c>
      <c r="B131" s="10" t="str">
        <f>""&amp;'IT 环境 - 应用程序'!C122</f>
        <v/>
      </c>
    </row>
    <row r="132" customHeight="1" spans="1:2">
      <c r="A132" s="10" t="str">
        <f>""&amp;'IT 环境 - 应用程序'!A123</f>
        <v/>
      </c>
      <c r="B132" s="10" t="str">
        <f>""&amp;'IT 环境 - 应用程序'!C123</f>
        <v/>
      </c>
    </row>
    <row r="133" customHeight="1" spans="1:2">
      <c r="A133" s="10" t="str">
        <f>""&amp;'IT 环境 - 应用程序'!A124</f>
        <v/>
      </c>
      <c r="B133" s="10" t="str">
        <f>""&amp;'IT 环境 - 应用程序'!C124</f>
        <v/>
      </c>
    </row>
    <row r="134" customHeight="1" spans="1:2">
      <c r="A134" s="10" t="str">
        <f>""&amp;'IT 环境 - 应用程序'!A125</f>
        <v/>
      </c>
      <c r="B134" s="10" t="str">
        <f>""&amp;'IT 环境 - 应用程序'!C125</f>
        <v/>
      </c>
    </row>
    <row r="135" customHeight="1" spans="1:2">
      <c r="A135" s="10" t="str">
        <f>""&amp;'IT 环境 - 应用程序'!A126</f>
        <v/>
      </c>
      <c r="B135" s="10" t="str">
        <f>""&amp;'IT 环境 - 应用程序'!C126</f>
        <v/>
      </c>
    </row>
    <row r="136" customHeight="1" spans="1:2">
      <c r="A136" s="10" t="str">
        <f>""&amp;'IT 环境 - 应用程序'!A127</f>
        <v/>
      </c>
      <c r="B136" s="10" t="str">
        <f>""&amp;'IT 环境 - 应用程序'!C127</f>
        <v/>
      </c>
    </row>
    <row r="137" customHeight="1" spans="1:2">
      <c r="A137" s="10" t="str">
        <f>""&amp;'IT 环境 - 应用程序'!A128</f>
        <v/>
      </c>
      <c r="B137" s="10" t="str">
        <f>""&amp;'IT 环境 - 应用程序'!C128</f>
        <v/>
      </c>
    </row>
    <row r="138" customHeight="1" spans="1:2">
      <c r="A138" s="10" t="str">
        <f>""&amp;'IT 环境 - 应用程序'!A129</f>
        <v/>
      </c>
      <c r="B138" s="10" t="str">
        <f>""&amp;'IT 环境 - 应用程序'!C129</f>
        <v/>
      </c>
    </row>
    <row r="139" customHeight="1" spans="1:2">
      <c r="A139" s="10" t="str">
        <f>""&amp;'IT 环境 - 应用程序'!A130</f>
        <v/>
      </c>
      <c r="B139" s="10" t="str">
        <f>""&amp;'IT 环境 - 应用程序'!C130</f>
        <v/>
      </c>
    </row>
    <row r="140" customHeight="1" spans="1:2">
      <c r="A140" s="10" t="str">
        <f>""&amp;'IT 环境 - 应用程序'!A131</f>
        <v/>
      </c>
      <c r="B140" s="10" t="str">
        <f>""&amp;'IT 环境 - 应用程序'!C131</f>
        <v/>
      </c>
    </row>
    <row r="141" customHeight="1" spans="1:2">
      <c r="A141" s="10" t="str">
        <f>""&amp;'IT 环境 - 应用程序'!A132</f>
        <v/>
      </c>
      <c r="B141" s="10" t="str">
        <f>""&amp;'IT 环境 - 应用程序'!C132</f>
        <v/>
      </c>
    </row>
    <row r="142" customHeight="1" spans="1:2">
      <c r="A142" s="10" t="str">
        <f>""&amp;'IT 环境 - 应用程序'!A133</f>
        <v/>
      </c>
      <c r="B142" s="10" t="str">
        <f>""&amp;'IT 环境 - 应用程序'!C133</f>
        <v/>
      </c>
    </row>
    <row r="143" customHeight="1" spans="1:2">
      <c r="A143" s="10" t="str">
        <f>""&amp;'IT 环境 - 应用程序'!A134</f>
        <v/>
      </c>
      <c r="B143" s="10" t="str">
        <f>""&amp;'IT 环境 - 应用程序'!C134</f>
        <v/>
      </c>
    </row>
    <row r="144" customHeight="1" spans="1:2">
      <c r="A144" s="10" t="str">
        <f>""&amp;'IT 环境 - 应用程序'!A135</f>
        <v/>
      </c>
      <c r="B144" s="10" t="str">
        <f>""&amp;'IT 环境 - 应用程序'!C135</f>
        <v/>
      </c>
    </row>
    <row r="145" customHeight="1" spans="1:2">
      <c r="A145" s="10" t="str">
        <f>""&amp;'IT 环境 - 应用程序'!A136</f>
        <v/>
      </c>
      <c r="B145" s="10" t="str">
        <f>""&amp;'IT 环境 - 应用程序'!C136</f>
        <v/>
      </c>
    </row>
    <row r="146" customHeight="1" spans="1:2">
      <c r="A146" s="10" t="str">
        <f>""&amp;'IT 环境 - 应用程序'!A137</f>
        <v/>
      </c>
      <c r="B146" s="10" t="str">
        <f>""&amp;'IT 环境 - 应用程序'!C137</f>
        <v/>
      </c>
    </row>
    <row r="147" customHeight="1" spans="1:2">
      <c r="A147" s="10" t="str">
        <f>""&amp;'IT 环境 - 应用程序'!A138</f>
        <v/>
      </c>
      <c r="B147" s="10" t="str">
        <f>""&amp;'IT 环境 - 应用程序'!C138</f>
        <v/>
      </c>
    </row>
    <row r="148" customHeight="1" spans="1:2">
      <c r="A148" s="10" t="str">
        <f>""&amp;'IT 环境 - 应用程序'!A139</f>
        <v/>
      </c>
      <c r="B148" s="10" t="str">
        <f>""&amp;'IT 环境 - 应用程序'!C139</f>
        <v/>
      </c>
    </row>
    <row r="149" customHeight="1" spans="1:2">
      <c r="A149" s="10" t="str">
        <f>""&amp;'IT 环境 - 应用程序'!A140</f>
        <v/>
      </c>
      <c r="B149" s="10" t="str">
        <f>""&amp;'IT 环境 - 应用程序'!C140</f>
        <v/>
      </c>
    </row>
    <row r="150" customHeight="1" spans="1:2">
      <c r="A150" s="10" t="str">
        <f>""&amp;'IT 环境 - 应用程序'!A141</f>
        <v/>
      </c>
      <c r="B150" s="10" t="str">
        <f>""&amp;'IT 环境 - 应用程序'!C141</f>
        <v/>
      </c>
    </row>
    <row r="151" customHeight="1" spans="1:2">
      <c r="A151" s="10" t="str">
        <f>""&amp;'IT 环境 - 应用程序'!A142</f>
        <v/>
      </c>
      <c r="B151" s="10" t="str">
        <f>""&amp;'IT 环境 - 应用程序'!C142</f>
        <v/>
      </c>
    </row>
    <row r="152" customHeight="1" spans="1:2">
      <c r="A152" s="10" t="str">
        <f>""&amp;'IT 环境 - 应用程序'!A143</f>
        <v/>
      </c>
      <c r="B152" s="10" t="str">
        <f>""&amp;'IT 环境 - 应用程序'!C143</f>
        <v/>
      </c>
    </row>
    <row r="153" customHeight="1" spans="1:2">
      <c r="A153" s="10" t="str">
        <f>""&amp;'IT 环境 - 应用程序'!A144</f>
        <v/>
      </c>
      <c r="B153" s="10" t="str">
        <f>""&amp;'IT 环境 - 应用程序'!C144</f>
        <v/>
      </c>
    </row>
    <row r="154" customHeight="1" spans="1:2">
      <c r="A154" s="10" t="str">
        <f>""&amp;'IT 环境 - 应用程序'!A145</f>
        <v/>
      </c>
      <c r="B154" s="10" t="str">
        <f>""&amp;'IT 环境 - 应用程序'!C145</f>
        <v/>
      </c>
    </row>
    <row r="155" customHeight="1" spans="1:2">
      <c r="A155" s="10" t="str">
        <f>""&amp;'IT 环境 - 应用程序'!A146</f>
        <v/>
      </c>
      <c r="B155" s="10" t="str">
        <f>""&amp;'IT 环境 - 应用程序'!C146</f>
        <v/>
      </c>
    </row>
    <row r="156" customHeight="1" spans="1:2">
      <c r="A156" s="10" t="str">
        <f>""&amp;'IT 环境 - 应用程序'!A147</f>
        <v/>
      </c>
      <c r="B156" s="10" t="str">
        <f>""&amp;'IT 环境 - 应用程序'!C147</f>
        <v/>
      </c>
    </row>
    <row r="157" customHeight="1" spans="1:2">
      <c r="A157" s="10" t="str">
        <f>""&amp;'IT 环境 - 应用程序'!A148</f>
        <v/>
      </c>
      <c r="B157" s="10" t="str">
        <f>""&amp;'IT 环境 - 应用程序'!C148</f>
        <v/>
      </c>
    </row>
    <row r="158" customHeight="1" spans="1:2">
      <c r="A158" s="10" t="str">
        <f>""&amp;'IT 环境 - 应用程序'!A149</f>
        <v/>
      </c>
      <c r="B158" s="10" t="str">
        <f>""&amp;'IT 环境 - 应用程序'!C149</f>
        <v/>
      </c>
    </row>
    <row r="159" customHeight="1" spans="1:2">
      <c r="A159" s="10" t="str">
        <f>""&amp;'IT 环境 - 应用程序'!A150</f>
        <v/>
      </c>
      <c r="B159" s="10" t="str">
        <f>""&amp;'IT 环境 - 应用程序'!C150</f>
        <v/>
      </c>
    </row>
    <row r="160" customHeight="1" spans="1:2">
      <c r="A160" s="10" t="str">
        <f>""&amp;'IT 环境 - 应用程序'!A151</f>
        <v/>
      </c>
      <c r="B160" s="10" t="str">
        <f>""&amp;'IT 环境 - 应用程序'!C151</f>
        <v/>
      </c>
    </row>
    <row r="161" customHeight="1" spans="1:2">
      <c r="A161" s="10" t="str">
        <f>""&amp;'IT 环境 - 应用程序'!A152</f>
        <v/>
      </c>
      <c r="B161" s="10" t="str">
        <f>""&amp;'IT 环境 - 应用程序'!C152</f>
        <v/>
      </c>
    </row>
    <row r="162" customHeight="1" spans="1:2">
      <c r="A162" s="10" t="str">
        <f>""&amp;'IT 环境 - 应用程序'!A153</f>
        <v/>
      </c>
      <c r="B162" s="10" t="str">
        <f>""&amp;'IT 环境 - 应用程序'!C153</f>
        <v/>
      </c>
    </row>
    <row r="163" customHeight="1" spans="1:2">
      <c r="A163" s="10" t="str">
        <f>""&amp;'IT 环境 - 应用程序'!A154</f>
        <v/>
      </c>
      <c r="B163" s="10" t="str">
        <f>""&amp;'IT 环境 - 应用程序'!C154</f>
        <v/>
      </c>
    </row>
    <row r="164" customHeight="1" spans="1:2">
      <c r="A164" s="10" t="str">
        <f>""&amp;'IT 环境 - 应用程序'!A155</f>
        <v/>
      </c>
      <c r="B164" s="10" t="str">
        <f>""&amp;'IT 环境 - 应用程序'!C155</f>
        <v/>
      </c>
    </row>
    <row r="165" customHeight="1" spans="1:2">
      <c r="A165" s="10" t="str">
        <f>""&amp;'IT 环境 - 应用程序'!A156</f>
        <v/>
      </c>
      <c r="B165" s="10" t="str">
        <f>""&amp;'IT 环境 - 应用程序'!C156</f>
        <v/>
      </c>
    </row>
    <row r="166" customHeight="1" spans="1:2">
      <c r="A166" s="10" t="str">
        <f>""&amp;'IT 环境 - 应用程序'!A157</f>
        <v/>
      </c>
      <c r="B166" s="10" t="str">
        <f>""&amp;'IT 环境 - 应用程序'!C157</f>
        <v/>
      </c>
    </row>
    <row r="167" customHeight="1" spans="1:2">
      <c r="A167" s="10" t="str">
        <f>""&amp;'IT 环境 - 应用程序'!A158</f>
        <v/>
      </c>
      <c r="B167" s="10" t="str">
        <f>""&amp;'IT 环境 - 应用程序'!C158</f>
        <v/>
      </c>
    </row>
    <row r="168" customHeight="1" spans="1:2">
      <c r="A168" s="10" t="str">
        <f>""&amp;'IT 环境 - 应用程序'!A159</f>
        <v/>
      </c>
      <c r="B168" s="10" t="str">
        <f>""&amp;'IT 环境 - 应用程序'!C159</f>
        <v/>
      </c>
    </row>
    <row r="169" customHeight="1" spans="1:2">
      <c r="A169" s="10" t="str">
        <f>""&amp;'IT 环境 - 应用程序'!A160</f>
        <v/>
      </c>
      <c r="B169" s="10" t="str">
        <f>""&amp;'IT 环境 - 应用程序'!C160</f>
        <v/>
      </c>
    </row>
    <row r="170" customHeight="1" spans="1:2">
      <c r="A170" s="10" t="str">
        <f>""&amp;'IT 环境 - 应用程序'!A161</f>
        <v/>
      </c>
      <c r="B170" s="10" t="str">
        <f>""&amp;'IT 环境 - 应用程序'!C161</f>
        <v/>
      </c>
    </row>
    <row r="171" customHeight="1" spans="1:2">
      <c r="A171" s="10" t="str">
        <f>""&amp;'IT 环境 - 应用程序'!A162</f>
        <v/>
      </c>
      <c r="B171" s="10" t="str">
        <f>""&amp;'IT 环境 - 应用程序'!C162</f>
        <v/>
      </c>
    </row>
    <row r="172" customHeight="1" spans="1:2">
      <c r="A172" s="10" t="str">
        <f>""&amp;'IT 环境 - 应用程序'!A163</f>
        <v/>
      </c>
      <c r="B172" s="10" t="str">
        <f>""&amp;'IT 环境 - 应用程序'!C163</f>
        <v/>
      </c>
    </row>
    <row r="173" customHeight="1" spans="1:2">
      <c r="A173" s="10" t="str">
        <f>""&amp;'IT 环境 - 应用程序'!A164</f>
        <v/>
      </c>
      <c r="B173" s="10" t="str">
        <f>""&amp;'IT 环境 - 应用程序'!C164</f>
        <v/>
      </c>
    </row>
    <row r="174" customHeight="1" spans="1:2">
      <c r="A174" s="10" t="str">
        <f>""&amp;'IT 环境 - 应用程序'!A165</f>
        <v/>
      </c>
      <c r="B174" s="10" t="str">
        <f>""&amp;'IT 环境 - 应用程序'!C165</f>
        <v/>
      </c>
    </row>
    <row r="175" customHeight="1" spans="1:2">
      <c r="A175" s="10" t="str">
        <f>""&amp;'IT 环境 - 应用程序'!A166</f>
        <v/>
      </c>
      <c r="B175" s="10" t="str">
        <f>""&amp;'IT 环境 - 应用程序'!C166</f>
        <v/>
      </c>
    </row>
    <row r="176" customHeight="1" spans="1:2">
      <c r="A176" s="10" t="str">
        <f>""&amp;'IT 环境 - 应用程序'!A167</f>
        <v/>
      </c>
      <c r="B176" s="10" t="str">
        <f>""&amp;'IT 环境 - 应用程序'!C167</f>
        <v/>
      </c>
    </row>
    <row r="177" customHeight="1" spans="1:2">
      <c r="A177" s="10" t="str">
        <f>""&amp;'IT 环境 - 应用程序'!A168</f>
        <v/>
      </c>
      <c r="B177" s="10" t="str">
        <f>""&amp;'IT 环境 - 应用程序'!C168</f>
        <v/>
      </c>
    </row>
    <row r="178" customHeight="1" spans="1:2">
      <c r="A178" s="10" t="str">
        <f>""&amp;'IT 环境 - 应用程序'!A169</f>
        <v/>
      </c>
      <c r="B178" s="10" t="str">
        <f>""&amp;'IT 环境 - 应用程序'!C169</f>
        <v/>
      </c>
    </row>
    <row r="179" customHeight="1" spans="1:2">
      <c r="A179" s="10" t="str">
        <f>""&amp;'IT 环境 - 应用程序'!A170</f>
        <v/>
      </c>
      <c r="B179" s="10" t="str">
        <f>""&amp;'IT 环境 - 应用程序'!C170</f>
        <v/>
      </c>
    </row>
    <row r="180" customHeight="1" spans="1:2">
      <c r="A180" s="10" t="str">
        <f>""&amp;'IT 环境 - 应用程序'!A171</f>
        <v/>
      </c>
      <c r="B180" s="10" t="str">
        <f>""&amp;'IT 环境 - 应用程序'!C171</f>
        <v/>
      </c>
    </row>
    <row r="181" customHeight="1" spans="1:2">
      <c r="A181" s="10" t="str">
        <f>""&amp;'IT 环境 - 应用程序'!A172</f>
        <v/>
      </c>
      <c r="B181" s="10" t="str">
        <f>""&amp;'IT 环境 - 应用程序'!C172</f>
        <v/>
      </c>
    </row>
    <row r="182" customHeight="1" spans="1:2">
      <c r="A182" s="10" t="str">
        <f>""&amp;'IT 环境 - 应用程序'!A173</f>
        <v/>
      </c>
      <c r="B182" s="10" t="str">
        <f>""&amp;'IT 环境 - 应用程序'!C173</f>
        <v/>
      </c>
    </row>
    <row r="183" customHeight="1" spans="1:2">
      <c r="A183" s="10" t="str">
        <f>""&amp;'IT 环境 - 应用程序'!A174</f>
        <v/>
      </c>
      <c r="B183" s="10" t="str">
        <f>""&amp;'IT 环境 - 应用程序'!C174</f>
        <v/>
      </c>
    </row>
    <row r="184" customHeight="1" spans="1:2">
      <c r="A184" s="10" t="str">
        <f>""&amp;'IT 环境 - 应用程序'!A175</f>
        <v/>
      </c>
      <c r="B184" s="10" t="str">
        <f>""&amp;'IT 环境 - 应用程序'!C175</f>
        <v/>
      </c>
    </row>
    <row r="185" customHeight="1" spans="1:2">
      <c r="A185" s="10" t="str">
        <f>""&amp;'IT 环境 - 应用程序'!A176</f>
        <v/>
      </c>
      <c r="B185" s="10" t="str">
        <f>""&amp;'IT 环境 - 应用程序'!C176</f>
        <v/>
      </c>
    </row>
    <row r="186" customHeight="1" spans="1:2">
      <c r="A186" s="10" t="str">
        <f>""&amp;'IT 环境 - 应用程序'!A177</f>
        <v/>
      </c>
      <c r="B186" s="10" t="str">
        <f>""&amp;'IT 环境 - 应用程序'!C177</f>
        <v/>
      </c>
    </row>
    <row r="187" customHeight="1" spans="1:2">
      <c r="A187" s="10" t="str">
        <f>""&amp;'IT 环境 - 应用程序'!A178</f>
        <v/>
      </c>
      <c r="B187" s="10" t="str">
        <f>""&amp;'IT 环境 - 应用程序'!C178</f>
        <v/>
      </c>
    </row>
    <row r="188" customHeight="1" spans="1:2">
      <c r="A188" s="10" t="str">
        <f>""&amp;'IT 环境 - 应用程序'!A179</f>
        <v/>
      </c>
      <c r="B188" s="10" t="str">
        <f>""&amp;'IT 环境 - 应用程序'!C179</f>
        <v/>
      </c>
    </row>
    <row r="189" customHeight="1" spans="1:2">
      <c r="A189" s="10" t="str">
        <f>""&amp;'IT 环境 - 应用程序'!A180</f>
        <v/>
      </c>
      <c r="B189" s="10" t="str">
        <f>""&amp;'IT 环境 - 应用程序'!C180</f>
        <v/>
      </c>
    </row>
    <row r="190" customHeight="1" spans="1:2">
      <c r="A190" s="10" t="str">
        <f>""&amp;'IT 环境 - 应用程序'!A181</f>
        <v/>
      </c>
      <c r="B190" s="10" t="str">
        <f>""&amp;'IT 环境 - 应用程序'!C181</f>
        <v/>
      </c>
    </row>
    <row r="191" customHeight="1" spans="1:2">
      <c r="A191" s="10" t="str">
        <f>""&amp;'IT 环境 - 应用程序'!A182</f>
        <v/>
      </c>
      <c r="B191" s="10" t="str">
        <f>""&amp;'IT 环境 - 应用程序'!C182</f>
        <v/>
      </c>
    </row>
    <row r="192" customHeight="1" spans="1:2">
      <c r="A192" s="10" t="str">
        <f>""&amp;'IT 环境 - 应用程序'!A183</f>
        <v/>
      </c>
      <c r="B192" s="10" t="str">
        <f>""&amp;'IT 环境 - 应用程序'!C183</f>
        <v/>
      </c>
    </row>
    <row r="193" customHeight="1" spans="1:2">
      <c r="A193" s="10" t="str">
        <f>""&amp;'IT 环境 - 应用程序'!A184</f>
        <v/>
      </c>
      <c r="B193" s="10" t="str">
        <f>""&amp;'IT 环境 - 应用程序'!C184</f>
        <v/>
      </c>
    </row>
    <row r="194" customHeight="1" spans="1:2">
      <c r="A194" s="10" t="str">
        <f>""&amp;'IT 环境 - 应用程序'!A185</f>
        <v/>
      </c>
      <c r="B194" s="10" t="str">
        <f>""&amp;'IT 环境 - 应用程序'!C185</f>
        <v/>
      </c>
    </row>
    <row r="195" customHeight="1" spans="1:2">
      <c r="A195" s="10" t="str">
        <f>""&amp;'IT 环境 - 应用程序'!A186</f>
        <v/>
      </c>
      <c r="B195" s="10" t="str">
        <f>""&amp;'IT 环境 - 应用程序'!C186</f>
        <v/>
      </c>
    </row>
    <row r="196" customHeight="1" spans="1:2">
      <c r="A196" s="10" t="str">
        <f>""&amp;'IT 环境 - 应用程序'!A187</f>
        <v/>
      </c>
      <c r="B196" s="10" t="str">
        <f>""&amp;'IT 环境 - 应用程序'!C187</f>
        <v/>
      </c>
    </row>
    <row r="197" customHeight="1" spans="1:2">
      <c r="A197" s="10" t="str">
        <f>""&amp;'IT 环境 - 应用程序'!A188</f>
        <v/>
      </c>
      <c r="B197" s="10" t="str">
        <f>""&amp;'IT 环境 - 应用程序'!C188</f>
        <v/>
      </c>
    </row>
    <row r="198" customHeight="1" spans="1:2">
      <c r="A198" s="10" t="str">
        <f>""&amp;'IT 环境 - 应用程序'!A189</f>
        <v/>
      </c>
      <c r="B198" s="10" t="str">
        <f>""&amp;'IT 环境 - 应用程序'!C189</f>
        <v/>
      </c>
    </row>
    <row r="199" customHeight="1" spans="1:2">
      <c r="A199" s="10" t="str">
        <f>""&amp;'IT 环境 - 应用程序'!A190</f>
        <v/>
      </c>
      <c r="B199" s="10" t="str">
        <f>""&amp;'IT 环境 - 应用程序'!C190</f>
        <v/>
      </c>
    </row>
    <row r="200" customHeight="1" spans="1:2">
      <c r="A200" s="10" t="str">
        <f>""&amp;'IT 环境 - 应用程序'!A191</f>
        <v/>
      </c>
      <c r="B200" s="10" t="str">
        <f>""&amp;'IT 环境 - 应用程序'!C191</f>
        <v/>
      </c>
    </row>
    <row r="201" customHeight="1" spans="1:2">
      <c r="A201" s="10" t="str">
        <f>""&amp;'IT 环境 - 应用程序'!A192</f>
        <v/>
      </c>
      <c r="B201" s="10" t="str">
        <f>""&amp;'IT 环境 - 应用程序'!C192</f>
        <v/>
      </c>
    </row>
    <row r="202" customHeight="1" spans="1:2">
      <c r="A202" s="10" t="str">
        <f>""&amp;'IT 环境 - 应用程序'!A193</f>
        <v/>
      </c>
      <c r="B202" s="10" t="str">
        <f>""&amp;'IT 环境 - 应用程序'!C193</f>
        <v/>
      </c>
    </row>
    <row r="203" customHeight="1" spans="1:2">
      <c r="A203" s="10" t="str">
        <f>""&amp;'IT 环境 - 应用程序'!A194</f>
        <v/>
      </c>
      <c r="B203" s="10" t="str">
        <f>""&amp;'IT 环境 - 应用程序'!C194</f>
        <v/>
      </c>
    </row>
    <row r="204" customHeight="1" spans="1:2">
      <c r="A204" s="10" t="str">
        <f>""&amp;'IT 环境 - 应用程序'!A195</f>
        <v/>
      </c>
      <c r="B204" s="10" t="str">
        <f>""&amp;'IT 环境 - 应用程序'!C195</f>
        <v/>
      </c>
    </row>
    <row r="205" customHeight="1" spans="1:2">
      <c r="A205" s="10" t="str">
        <f>""&amp;'IT 环境 - 应用程序'!A196</f>
        <v/>
      </c>
      <c r="B205" s="10" t="str">
        <f>""&amp;'IT 环境 - 应用程序'!C196</f>
        <v/>
      </c>
    </row>
    <row r="206" customHeight="1" spans="1:2">
      <c r="A206" s="10" t="str">
        <f>""&amp;'IT 环境 - 应用程序'!A197</f>
        <v/>
      </c>
      <c r="B206" s="10" t="str">
        <f>""&amp;'IT 环境 - 应用程序'!C197</f>
        <v/>
      </c>
    </row>
  </sheetData>
  <mergeCells count="9">
    <mergeCell ref="A2:B2"/>
    <mergeCell ref="C2:D2"/>
    <mergeCell ref="A3:B3"/>
    <mergeCell ref="C3:D3"/>
    <mergeCell ref="D5:G5"/>
    <mergeCell ref="I5:M5"/>
    <mergeCell ref="A5:A6"/>
    <mergeCell ref="B5:B6"/>
    <mergeCell ref="C5:C6"/>
  </mergeCells>
  <dataValidations count="1">
    <dataValidation type="list" allowBlank="1" showInputMessage="1" showErrorMessage="1" sqref="K15:M54">
      <formula1>YesNo</formula1>
    </dataValidation>
  </dataValidations>
  <pageMargins left="0.708333333333333" right="0.708333333333333" top="0.747916666666667" bottom="0.747916666666667" header="0.314583333333333" footer="0.314583333333333"/>
  <pageSetup paperSize="9" scale="52" orientation="landscape" blackAndWhite="1" horizontalDpi="600"/>
  <headerFooter>
    <oddFooter>&amp;C&amp;P/&amp;N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N207"/>
  <sheetViews>
    <sheetView view="pageBreakPreview" zoomScaleNormal="100" workbookViewId="0">
      <selection activeCell="E6" sqref="E6"/>
    </sheetView>
  </sheetViews>
  <sheetFormatPr defaultColWidth="9.37962962962963" defaultRowHeight="20" customHeight="1"/>
  <cols>
    <col min="1" max="1" width="12.3611111111111" style="10" customWidth="1"/>
    <col min="2" max="2" width="16.4444444444444" style="10" customWidth="1"/>
    <col min="3" max="3" width="18.7777777777778" style="10" customWidth="1"/>
    <col min="4" max="4" width="23.1111111111111" style="10" customWidth="1"/>
    <col min="5" max="11" width="20.8888888888889" style="10" customWidth="1"/>
    <col min="12" max="12" width="18.1296296296296" style="10" customWidth="1"/>
    <col min="13" max="13" width="15.8796296296296" style="10" customWidth="1"/>
    <col min="14" max="14" width="14.8796296296296" style="10" customWidth="1"/>
    <col min="15" max="15" width="16.3796296296296" style="10" customWidth="1"/>
    <col min="16" max="16" width="12.1296296296296" style="10" customWidth="1"/>
    <col min="17" max="16384" width="9.37962962962963" style="10"/>
  </cols>
  <sheetData>
    <row r="1" s="6" customFormat="1" customHeight="1" spans="1:14">
      <c r="A1" s="11" t="s">
        <v>71</v>
      </c>
      <c r="B1" s="12"/>
      <c r="C1" s="13"/>
      <c r="D1" s="12"/>
      <c r="F1" s="12"/>
      <c r="G1" s="12"/>
      <c r="H1" s="12"/>
    </row>
    <row r="2" s="6" customFormat="1" customHeight="1" spans="1:14">
      <c r="A2" s="14" t="s">
        <v>16</v>
      </c>
      <c r="B2" s="15"/>
      <c r="C2" s="16"/>
      <c r="D2" s="16"/>
      <c r="E2" s="17"/>
      <c r="F2" s="18"/>
      <c r="G2" s="18"/>
      <c r="H2" s="18"/>
      <c r="I2" s="12"/>
      <c r="J2" s="12"/>
      <c r="K2" s="12"/>
      <c r="L2" s="12"/>
      <c r="M2" s="12"/>
      <c r="N2" s="12"/>
    </row>
    <row r="3" s="6" customFormat="1" customHeight="1" spans="1:14">
      <c r="A3" s="14" t="s">
        <v>17</v>
      </c>
      <c r="B3" s="15"/>
      <c r="C3" s="19" t="s">
        <v>18</v>
      </c>
      <c r="D3" s="19"/>
      <c r="E3" s="6"/>
      <c r="F3" s="20"/>
      <c r="G3" s="20"/>
      <c r="H3" s="20"/>
      <c r="I3" s="21"/>
      <c r="J3" s="21"/>
      <c r="K3" s="21"/>
      <c r="L3" s="21"/>
      <c r="M3" s="21"/>
      <c r="N3" s="21"/>
    </row>
    <row r="4" s="6" customFormat="1" customHeight="1" spans="1:14">
      <c r="A4" s="20"/>
      <c r="B4" s="20"/>
      <c r="C4" s="20"/>
      <c r="D4" s="20"/>
      <c r="F4" s="20"/>
      <c r="G4" s="20"/>
      <c r="H4" s="20"/>
      <c r="I4" s="21"/>
      <c r="J4" s="21"/>
      <c r="K4" s="21"/>
      <c r="L4" s="21"/>
      <c r="M4" s="21"/>
      <c r="N4" s="21"/>
    </row>
    <row r="5" s="7" customFormat="1" ht="46" customHeight="1" spans="1:14">
      <c r="A5" s="22" t="s">
        <v>72</v>
      </c>
      <c r="B5" s="22" t="s">
        <v>21</v>
      </c>
      <c r="C5" s="22" t="s">
        <v>50</v>
      </c>
      <c r="D5" s="22" t="s">
        <v>73</v>
      </c>
      <c r="E5" s="23" t="s">
        <v>74</v>
      </c>
      <c r="F5" s="22" t="s">
        <v>75</v>
      </c>
      <c r="G5" s="22" t="s">
        <v>76</v>
      </c>
      <c r="H5" s="22" t="s">
        <v>77</v>
      </c>
      <c r="I5" s="22" t="s">
        <v>78</v>
      </c>
      <c r="J5" s="22" t="s">
        <v>79</v>
      </c>
      <c r="K5" s="22" t="s">
        <v>80</v>
      </c>
    </row>
    <row r="6" s="8" customFormat="1" ht="111" customHeight="1" spans="1:14">
      <c r="A6" s="24">
        <v>1</v>
      </c>
      <c r="B6" s="25" t="s">
        <v>62</v>
      </c>
      <c r="C6" s="26" t="s">
        <v>33</v>
      </c>
      <c r="D6" s="27" t="s">
        <v>81</v>
      </c>
      <c r="E6" s="28" t="s">
        <v>82</v>
      </c>
      <c r="F6" s="28" t="s">
        <v>83</v>
      </c>
      <c r="G6" s="28" t="s">
        <v>84</v>
      </c>
      <c r="H6" s="28" t="s">
        <v>85</v>
      </c>
      <c r="I6" s="28" t="s">
        <v>86</v>
      </c>
      <c r="J6" s="28" t="s">
        <v>87</v>
      </c>
      <c r="K6" s="28" t="s">
        <v>88</v>
      </c>
    </row>
    <row r="7" s="9" customFormat="1" customHeight="1" spans="1:14">
      <c r="A7" s="29"/>
      <c r="B7" s="29"/>
      <c r="C7" s="29"/>
      <c r="D7" s="30"/>
      <c r="E7" s="31"/>
      <c r="F7" s="31"/>
      <c r="G7" s="31"/>
      <c r="H7" s="31"/>
      <c r="I7" s="31"/>
      <c r="J7" s="31"/>
      <c r="K7" s="31"/>
    </row>
    <row r="8" s="9" customFormat="1" customHeight="1" spans="1:14">
      <c r="A8" s="29"/>
      <c r="B8" s="29"/>
      <c r="C8" s="29"/>
      <c r="D8" s="30"/>
      <c r="E8" s="31"/>
      <c r="F8" s="31"/>
      <c r="G8" s="31"/>
      <c r="H8" s="31"/>
      <c r="I8" s="31"/>
      <c r="J8" s="31"/>
      <c r="K8" s="31"/>
    </row>
    <row r="9" s="9" customFormat="1" customHeight="1" spans="1:14">
      <c r="A9" s="29"/>
      <c r="B9" s="29"/>
      <c r="C9" s="29"/>
      <c r="D9" s="30"/>
      <c r="E9" s="31"/>
      <c r="F9" s="31"/>
      <c r="G9" s="31"/>
      <c r="H9" s="31"/>
      <c r="I9" s="31"/>
      <c r="J9" s="31"/>
      <c r="K9" s="31"/>
    </row>
    <row r="10" s="9" customFormat="1" customHeight="1" spans="1:14">
      <c r="A10" s="29"/>
      <c r="B10" s="29"/>
      <c r="C10" s="29"/>
      <c r="D10" s="30"/>
      <c r="E10" s="31"/>
      <c r="F10" s="31"/>
      <c r="G10" s="31"/>
      <c r="H10" s="31"/>
      <c r="I10" s="31"/>
      <c r="J10" s="31"/>
      <c r="K10" s="31"/>
    </row>
    <row r="11" s="9" customFormat="1" customHeight="1" spans="1:14">
      <c r="A11" s="29"/>
      <c r="B11" s="29"/>
      <c r="C11" s="29"/>
      <c r="D11" s="30"/>
      <c r="E11" s="31"/>
      <c r="F11" s="31"/>
      <c r="G11" s="31"/>
      <c r="H11" s="31"/>
      <c r="I11" s="31"/>
      <c r="J11" s="31"/>
      <c r="K11" s="31"/>
    </row>
    <row r="12" s="9" customFormat="1" customHeight="1" spans="1:14">
      <c r="A12" s="29"/>
      <c r="B12" s="29"/>
      <c r="C12" s="29"/>
      <c r="D12" s="30"/>
      <c r="E12" s="31"/>
      <c r="F12" s="31"/>
      <c r="G12" s="31"/>
      <c r="H12" s="31"/>
      <c r="I12" s="31"/>
      <c r="J12" s="31"/>
      <c r="K12" s="31"/>
    </row>
    <row r="13" s="9" customFormat="1" customHeight="1" spans="1:14">
      <c r="A13" s="29"/>
      <c r="B13" s="29"/>
      <c r="C13" s="29"/>
      <c r="D13" s="30"/>
      <c r="E13" s="31"/>
      <c r="F13" s="31"/>
      <c r="G13" s="31"/>
      <c r="H13" s="31"/>
      <c r="I13" s="31"/>
      <c r="J13" s="31"/>
      <c r="K13" s="31"/>
    </row>
    <row r="14" s="9" customFormat="1" customHeight="1" spans="1:14">
      <c r="A14" s="29"/>
      <c r="B14" s="29"/>
      <c r="C14" s="29"/>
      <c r="D14" s="30"/>
      <c r="E14" s="31"/>
      <c r="F14" s="31"/>
      <c r="G14" s="31"/>
      <c r="H14" s="31"/>
      <c r="I14" s="31"/>
      <c r="J14" s="31"/>
      <c r="K14" s="31"/>
    </row>
    <row r="15" s="9" customFormat="1" customHeight="1" spans="1:14">
      <c r="A15" s="29"/>
      <c r="B15" s="29"/>
      <c r="C15" s="29"/>
      <c r="D15" s="30"/>
      <c r="E15" s="31"/>
      <c r="F15" s="31"/>
      <c r="G15" s="31"/>
      <c r="H15" s="31"/>
      <c r="I15" s="31"/>
      <c r="J15" s="31"/>
      <c r="K15" s="31"/>
    </row>
    <row r="16" customHeight="1" spans="1:14">
      <c r="A16" s="32"/>
    </row>
    <row r="17" customHeight="1" spans="1:2">
      <c r="A17" s="32"/>
    </row>
    <row r="18" customHeight="1" spans="1:2">
      <c r="A18" s="32" t="str">
        <f>""&amp;'IT 环境 - 应用程序'!A8</f>
        <v/>
      </c>
      <c r="B18" s="10" t="str">
        <f>""&amp;'IT 环境 - 应用程序'!C8</f>
        <v/>
      </c>
    </row>
    <row r="19" customHeight="1" spans="1:2">
      <c r="A19" s="32" t="str">
        <f>""&amp;'IT 环境 - 应用程序'!A9</f>
        <v/>
      </c>
      <c r="B19" s="10" t="str">
        <f>""&amp;'IT 环境 - 应用程序'!C9</f>
        <v/>
      </c>
    </row>
    <row r="20" customHeight="1" spans="1:2">
      <c r="A20" s="32" t="str">
        <f>""&amp;'IT 环境 - 应用程序'!A10</f>
        <v/>
      </c>
      <c r="B20" s="10" t="str">
        <f>""&amp;'IT 环境 - 应用程序'!C10</f>
        <v/>
      </c>
    </row>
    <row r="21" customHeight="1" spans="1:2">
      <c r="A21" s="32" t="str">
        <f>""&amp;'IT 环境 - 应用程序'!A11</f>
        <v/>
      </c>
      <c r="B21" s="10" t="str">
        <f>""&amp;'IT 环境 - 应用程序'!C11</f>
        <v/>
      </c>
    </row>
    <row r="22" customHeight="1" spans="1:2">
      <c r="A22" s="32" t="str">
        <f>""&amp;'IT 环境 - 应用程序'!A12</f>
        <v/>
      </c>
      <c r="B22" s="10" t="str">
        <f>""&amp;'IT 环境 - 应用程序'!C12</f>
        <v/>
      </c>
    </row>
    <row r="23" customHeight="1" spans="1:2">
      <c r="A23" s="32" t="str">
        <f>""&amp;'IT 环境 - 应用程序'!A13</f>
        <v/>
      </c>
      <c r="B23" s="10" t="str">
        <f>""&amp;'IT 环境 - 应用程序'!C13</f>
        <v/>
      </c>
    </row>
    <row r="24" customHeight="1" spans="1:2">
      <c r="A24" s="32" t="str">
        <f>""&amp;'IT 环境 - 应用程序'!A14</f>
        <v/>
      </c>
      <c r="B24" s="10" t="str">
        <f>""&amp;'IT 环境 - 应用程序'!C14</f>
        <v/>
      </c>
    </row>
    <row r="25" customHeight="1" spans="1:2">
      <c r="A25" s="32" t="str">
        <f>""&amp;'IT 环境 - 应用程序'!A15</f>
        <v/>
      </c>
      <c r="B25" s="10" t="str">
        <f>""&amp;'IT 环境 - 应用程序'!C15</f>
        <v/>
      </c>
    </row>
    <row r="26" customHeight="1" spans="1:2">
      <c r="A26" s="32" t="str">
        <f>""&amp;'IT 环境 - 应用程序'!A16</f>
        <v/>
      </c>
      <c r="B26" s="10" t="str">
        <f>""&amp;'IT 环境 - 应用程序'!C16</f>
        <v/>
      </c>
    </row>
    <row r="27" customHeight="1" spans="1:2">
      <c r="A27" s="32" t="str">
        <f>""&amp;'IT 环境 - 应用程序'!A17</f>
        <v/>
      </c>
      <c r="B27" s="10" t="str">
        <f>""&amp;'IT 环境 - 应用程序'!C17</f>
        <v/>
      </c>
    </row>
    <row r="28" customHeight="1" spans="1:2">
      <c r="A28" s="32" t="str">
        <f>""&amp;'IT 环境 - 应用程序'!A18</f>
        <v/>
      </c>
      <c r="B28" s="10" t="str">
        <f>""&amp;'IT 环境 - 应用程序'!C18</f>
        <v/>
      </c>
    </row>
    <row r="29" customHeight="1" spans="1:2">
      <c r="A29" s="32" t="str">
        <f>""&amp;'IT 环境 - 应用程序'!A19</f>
        <v/>
      </c>
      <c r="B29" s="10" t="str">
        <f>""&amp;'IT 环境 - 应用程序'!C19</f>
        <v/>
      </c>
    </row>
    <row r="30" customHeight="1" spans="1:2">
      <c r="A30" s="32" t="str">
        <f>""&amp;'IT 环境 - 应用程序'!A20</f>
        <v/>
      </c>
      <c r="B30" s="10" t="str">
        <f>""&amp;'IT 环境 - 应用程序'!C20</f>
        <v/>
      </c>
    </row>
    <row r="31" customHeight="1" spans="1:2">
      <c r="A31" s="32" t="str">
        <f>""&amp;'IT 环境 - 应用程序'!A21</f>
        <v/>
      </c>
      <c r="B31" s="10" t="str">
        <f>""&amp;'IT 环境 - 应用程序'!C21</f>
        <v/>
      </c>
    </row>
    <row r="32" customHeight="1" spans="1:2">
      <c r="A32" s="32" t="str">
        <f>""&amp;'IT 环境 - 应用程序'!A22</f>
        <v/>
      </c>
      <c r="B32" s="10" t="str">
        <f>""&amp;'IT 环境 - 应用程序'!C22</f>
        <v/>
      </c>
    </row>
    <row r="33" customHeight="1" spans="1:2">
      <c r="A33" s="32" t="str">
        <f>""&amp;'IT 环境 - 应用程序'!A23</f>
        <v/>
      </c>
      <c r="B33" s="10" t="str">
        <f>""&amp;'IT 环境 - 应用程序'!C23</f>
        <v/>
      </c>
    </row>
    <row r="34" customHeight="1" spans="1:2">
      <c r="A34" s="32" t="str">
        <f>""&amp;'IT 环境 - 应用程序'!A24</f>
        <v/>
      </c>
      <c r="B34" s="10" t="str">
        <f>""&amp;'IT 环境 - 应用程序'!C24</f>
        <v/>
      </c>
    </row>
    <row r="35" customHeight="1" spans="1:2">
      <c r="A35" s="32" t="str">
        <f>""&amp;'IT 环境 - 应用程序'!A25</f>
        <v/>
      </c>
      <c r="B35" s="10" t="str">
        <f>""&amp;'IT 环境 - 应用程序'!C25</f>
        <v/>
      </c>
    </row>
    <row r="36" customHeight="1" spans="1:2">
      <c r="A36" s="32" t="str">
        <f>""&amp;'IT 环境 - 应用程序'!A26</f>
        <v/>
      </c>
      <c r="B36" s="10" t="str">
        <f>""&amp;'IT 环境 - 应用程序'!C26</f>
        <v/>
      </c>
    </row>
    <row r="37" customHeight="1" spans="1:2">
      <c r="A37" s="32" t="str">
        <f>""&amp;'IT 环境 - 应用程序'!A27</f>
        <v/>
      </c>
      <c r="B37" s="10" t="str">
        <f>""&amp;'IT 环境 - 应用程序'!C27</f>
        <v/>
      </c>
    </row>
    <row r="38" customHeight="1" spans="1:2">
      <c r="A38" s="32" t="str">
        <f>""&amp;'IT 环境 - 应用程序'!A28</f>
        <v/>
      </c>
      <c r="B38" s="10" t="str">
        <f>""&amp;'IT 环境 - 应用程序'!C28</f>
        <v/>
      </c>
    </row>
    <row r="39" customHeight="1" spans="1:2">
      <c r="A39" s="32" t="str">
        <f>""&amp;'IT 环境 - 应用程序'!A29</f>
        <v/>
      </c>
      <c r="B39" s="10" t="str">
        <f>""&amp;'IT 环境 - 应用程序'!C29</f>
        <v/>
      </c>
    </row>
    <row r="40" customHeight="1" spans="1:2">
      <c r="A40" s="32" t="str">
        <f>""&amp;'IT 环境 - 应用程序'!A30</f>
        <v/>
      </c>
      <c r="B40" s="10" t="str">
        <f>""&amp;'IT 环境 - 应用程序'!C30</f>
        <v/>
      </c>
    </row>
    <row r="41" customHeight="1" spans="1:2">
      <c r="A41" s="32" t="str">
        <f>""&amp;'IT 环境 - 应用程序'!A31</f>
        <v/>
      </c>
      <c r="B41" s="10" t="str">
        <f>""&amp;'IT 环境 - 应用程序'!C31</f>
        <v/>
      </c>
    </row>
    <row r="42" customHeight="1" spans="1:2">
      <c r="A42" s="32" t="str">
        <f>""&amp;'IT 环境 - 应用程序'!A32</f>
        <v/>
      </c>
      <c r="B42" s="10" t="str">
        <f>""&amp;'IT 环境 - 应用程序'!C32</f>
        <v/>
      </c>
    </row>
    <row r="43" customHeight="1" spans="1:2">
      <c r="A43" s="32" t="str">
        <f>""&amp;'IT 环境 - 应用程序'!A33</f>
        <v/>
      </c>
      <c r="B43" s="10" t="str">
        <f>""&amp;'IT 环境 - 应用程序'!C33</f>
        <v/>
      </c>
    </row>
    <row r="44" customHeight="1" spans="1:2">
      <c r="A44" s="32" t="str">
        <f>""&amp;'IT 环境 - 应用程序'!A34</f>
        <v/>
      </c>
      <c r="B44" s="10" t="str">
        <f>""&amp;'IT 环境 - 应用程序'!C34</f>
        <v/>
      </c>
    </row>
    <row r="45" customHeight="1" spans="1:2">
      <c r="A45" s="32" t="str">
        <f>""&amp;'IT 环境 - 应用程序'!A35</f>
        <v/>
      </c>
      <c r="B45" s="10" t="str">
        <f>""&amp;'IT 环境 - 应用程序'!C35</f>
        <v/>
      </c>
    </row>
    <row r="46" customHeight="1" spans="1:2">
      <c r="A46" s="32" t="str">
        <f>""&amp;'IT 环境 - 应用程序'!A36</f>
        <v/>
      </c>
      <c r="B46" s="10" t="str">
        <f>""&amp;'IT 环境 - 应用程序'!C36</f>
        <v/>
      </c>
    </row>
    <row r="47" customHeight="1" spans="1:2">
      <c r="A47" s="32" t="str">
        <f>""&amp;'IT 环境 - 应用程序'!A37</f>
        <v/>
      </c>
      <c r="B47" s="10" t="str">
        <f>""&amp;'IT 环境 - 应用程序'!C37</f>
        <v/>
      </c>
    </row>
    <row r="48" customHeight="1" spans="1:2">
      <c r="A48" s="32" t="str">
        <f>""&amp;'IT 环境 - 应用程序'!A38</f>
        <v/>
      </c>
      <c r="B48" s="10" t="str">
        <f>""&amp;'IT 环境 - 应用程序'!C38</f>
        <v/>
      </c>
    </row>
    <row r="49" customHeight="1" spans="1:2">
      <c r="A49" s="32" t="str">
        <f>""&amp;'IT 环境 - 应用程序'!A39</f>
        <v/>
      </c>
      <c r="B49" s="10" t="str">
        <f>""&amp;'IT 环境 - 应用程序'!C39</f>
        <v/>
      </c>
    </row>
    <row r="50" customHeight="1" spans="1:2">
      <c r="A50" s="32" t="str">
        <f>""&amp;'IT 环境 - 应用程序'!A40</f>
        <v/>
      </c>
      <c r="B50" s="10" t="str">
        <f>""&amp;'IT 环境 - 应用程序'!C40</f>
        <v/>
      </c>
    </row>
    <row r="51" customHeight="1" spans="1:2">
      <c r="A51" s="32" t="str">
        <f>""&amp;'IT 环境 - 应用程序'!A41</f>
        <v/>
      </c>
      <c r="B51" s="10" t="str">
        <f>""&amp;'IT 环境 - 应用程序'!C41</f>
        <v/>
      </c>
    </row>
    <row r="52" customHeight="1" spans="1:2">
      <c r="A52" s="32" t="str">
        <f>""&amp;'IT 环境 - 应用程序'!A42</f>
        <v/>
      </c>
      <c r="B52" s="10" t="str">
        <f>""&amp;'IT 环境 - 应用程序'!C42</f>
        <v/>
      </c>
    </row>
    <row r="53" customHeight="1" spans="1:2">
      <c r="A53" s="32" t="str">
        <f>""&amp;'IT 环境 - 应用程序'!A43</f>
        <v/>
      </c>
      <c r="B53" s="10" t="str">
        <f>""&amp;'IT 环境 - 应用程序'!C43</f>
        <v/>
      </c>
    </row>
    <row r="54" customHeight="1" spans="1:2">
      <c r="A54" s="32" t="str">
        <f>""&amp;'IT 环境 - 应用程序'!A44</f>
        <v/>
      </c>
      <c r="B54" s="10" t="str">
        <f>""&amp;'IT 环境 - 应用程序'!C44</f>
        <v/>
      </c>
    </row>
    <row r="55" customHeight="1" spans="1:2">
      <c r="A55" s="32" t="str">
        <f>""&amp;'IT 环境 - 应用程序'!A45</f>
        <v/>
      </c>
      <c r="B55" s="10" t="str">
        <f>""&amp;'IT 环境 - 应用程序'!C45</f>
        <v/>
      </c>
    </row>
    <row r="56" customHeight="1" spans="1:2">
      <c r="A56" s="32" t="str">
        <f>""&amp;'IT 环境 - 应用程序'!A46</f>
        <v/>
      </c>
      <c r="B56" s="10" t="str">
        <f>""&amp;'IT 环境 - 应用程序'!C46</f>
        <v/>
      </c>
    </row>
    <row r="57" customHeight="1" spans="1:2">
      <c r="A57" s="32" t="str">
        <f>""&amp;'IT 环境 - 应用程序'!A47</f>
        <v/>
      </c>
      <c r="B57" s="10" t="str">
        <f>""&amp;'IT 环境 - 应用程序'!C47</f>
        <v/>
      </c>
    </row>
    <row r="58" customHeight="1" spans="1:2">
      <c r="A58" s="32" t="str">
        <f>""&amp;'IT 环境 - 应用程序'!A48</f>
        <v/>
      </c>
      <c r="B58" s="10" t="str">
        <f>""&amp;'IT 环境 - 应用程序'!C48</f>
        <v/>
      </c>
    </row>
    <row r="59" customHeight="1" spans="1:2">
      <c r="A59" s="32" t="str">
        <f>""&amp;'IT 环境 - 应用程序'!A49</f>
        <v/>
      </c>
      <c r="B59" s="10" t="str">
        <f>""&amp;'IT 环境 - 应用程序'!C49</f>
        <v/>
      </c>
    </row>
    <row r="60" customHeight="1" spans="1:2">
      <c r="A60" s="32" t="str">
        <f>""&amp;'IT 环境 - 应用程序'!A50</f>
        <v/>
      </c>
      <c r="B60" s="10" t="str">
        <f>""&amp;'IT 环境 - 应用程序'!C50</f>
        <v/>
      </c>
    </row>
    <row r="61" customHeight="1" spans="1:2">
      <c r="A61" s="32" t="str">
        <f>""&amp;'IT 环境 - 应用程序'!A51</f>
        <v/>
      </c>
      <c r="B61" s="10" t="str">
        <f>""&amp;'IT 环境 - 应用程序'!C51</f>
        <v/>
      </c>
    </row>
    <row r="62" customHeight="1" spans="1:2">
      <c r="A62" s="32" t="str">
        <f>""&amp;'IT 环境 - 应用程序'!A52</f>
        <v/>
      </c>
      <c r="B62" s="10" t="str">
        <f>""&amp;'IT 环境 - 应用程序'!C52</f>
        <v/>
      </c>
    </row>
    <row r="63" customHeight="1" spans="1:2">
      <c r="A63" s="32" t="str">
        <f>""&amp;'IT 环境 - 应用程序'!A53</f>
        <v/>
      </c>
      <c r="B63" s="10" t="str">
        <f>""&amp;'IT 环境 - 应用程序'!C53</f>
        <v/>
      </c>
    </row>
    <row r="64" customHeight="1" spans="1:2">
      <c r="A64" s="32" t="str">
        <f>""&amp;'IT 环境 - 应用程序'!A54</f>
        <v/>
      </c>
      <c r="B64" s="10" t="str">
        <f>""&amp;'IT 环境 - 应用程序'!C54</f>
        <v/>
      </c>
    </row>
    <row r="65" customHeight="1" spans="1:2">
      <c r="A65" s="32" t="str">
        <f>""&amp;'IT 环境 - 应用程序'!A55</f>
        <v/>
      </c>
      <c r="B65" s="10" t="str">
        <f>""&amp;'IT 环境 - 应用程序'!C55</f>
        <v/>
      </c>
    </row>
    <row r="66" customHeight="1" spans="1:2">
      <c r="A66" s="32" t="str">
        <f>""&amp;'IT 环境 - 应用程序'!A56</f>
        <v/>
      </c>
      <c r="B66" s="10" t="str">
        <f>""&amp;'IT 环境 - 应用程序'!C56</f>
        <v/>
      </c>
    </row>
    <row r="67" customHeight="1" spans="1:2">
      <c r="A67" s="32" t="str">
        <f>""&amp;'IT 环境 - 应用程序'!A57</f>
        <v/>
      </c>
      <c r="B67" s="10" t="str">
        <f>""&amp;'IT 环境 - 应用程序'!C57</f>
        <v/>
      </c>
    </row>
    <row r="68" customHeight="1" spans="1:2">
      <c r="A68" s="32" t="str">
        <f>""&amp;'IT 环境 - 应用程序'!A58</f>
        <v/>
      </c>
      <c r="B68" s="10" t="str">
        <f>""&amp;'IT 环境 - 应用程序'!C58</f>
        <v/>
      </c>
    </row>
    <row r="69" customHeight="1" spans="1:2">
      <c r="A69" s="32" t="str">
        <f>""&amp;'IT 环境 - 应用程序'!A59</f>
        <v/>
      </c>
      <c r="B69" s="10" t="str">
        <f>""&amp;'IT 环境 - 应用程序'!C59</f>
        <v/>
      </c>
    </row>
    <row r="70" customHeight="1" spans="1:2">
      <c r="A70" s="32" t="str">
        <f>""&amp;'IT 环境 - 应用程序'!A60</f>
        <v/>
      </c>
      <c r="B70" s="10" t="str">
        <f>""&amp;'IT 环境 - 应用程序'!C60</f>
        <v/>
      </c>
    </row>
    <row r="71" customHeight="1" spans="1:2">
      <c r="A71" s="32" t="str">
        <f>""&amp;'IT 环境 - 应用程序'!A61</f>
        <v/>
      </c>
      <c r="B71" s="10" t="str">
        <f>""&amp;'IT 环境 - 应用程序'!C61</f>
        <v/>
      </c>
    </row>
    <row r="72" customHeight="1" spans="1:2">
      <c r="A72" s="32" t="str">
        <f>""&amp;'IT 环境 - 应用程序'!A62</f>
        <v/>
      </c>
      <c r="B72" s="10" t="str">
        <f>""&amp;'IT 环境 - 应用程序'!C62</f>
        <v/>
      </c>
    </row>
    <row r="73" customHeight="1" spans="1:2">
      <c r="A73" s="32" t="str">
        <f>""&amp;'IT 环境 - 应用程序'!A63</f>
        <v/>
      </c>
      <c r="B73" s="10" t="str">
        <f>""&amp;'IT 环境 - 应用程序'!C63</f>
        <v/>
      </c>
    </row>
    <row r="74" customHeight="1" spans="1:2">
      <c r="A74" s="32" t="str">
        <f>""&amp;'IT 环境 - 应用程序'!A64</f>
        <v/>
      </c>
      <c r="B74" s="10" t="str">
        <f>""&amp;'IT 环境 - 应用程序'!C64</f>
        <v/>
      </c>
    </row>
    <row r="75" customHeight="1" spans="1:2">
      <c r="A75" s="32" t="str">
        <f>""&amp;'IT 环境 - 应用程序'!A65</f>
        <v/>
      </c>
      <c r="B75" s="10" t="str">
        <f>""&amp;'IT 环境 - 应用程序'!C65</f>
        <v/>
      </c>
    </row>
    <row r="76" customHeight="1" spans="1:2">
      <c r="A76" s="32" t="str">
        <f>""&amp;'IT 环境 - 应用程序'!A66</f>
        <v/>
      </c>
      <c r="B76" s="10" t="str">
        <f>""&amp;'IT 环境 - 应用程序'!C66</f>
        <v/>
      </c>
    </row>
    <row r="77" customHeight="1" spans="1:2">
      <c r="A77" s="32" t="str">
        <f>""&amp;'IT 环境 - 应用程序'!A67</f>
        <v/>
      </c>
      <c r="B77" s="10" t="str">
        <f>""&amp;'IT 环境 - 应用程序'!C67</f>
        <v/>
      </c>
    </row>
    <row r="78" customHeight="1" spans="1:2">
      <c r="A78" s="32" t="str">
        <f>""&amp;'IT 环境 - 应用程序'!A68</f>
        <v/>
      </c>
      <c r="B78" s="10" t="str">
        <f>""&amp;'IT 环境 - 应用程序'!C68</f>
        <v/>
      </c>
    </row>
    <row r="79" customHeight="1" spans="1:2">
      <c r="A79" s="10" t="str">
        <f>""&amp;'IT 环境 - 应用程序'!A69</f>
        <v/>
      </c>
      <c r="B79" s="10" t="str">
        <f>""&amp;'IT 环境 - 应用程序'!C69</f>
        <v/>
      </c>
    </row>
    <row r="80" customHeight="1" spans="1:2">
      <c r="A80" s="10" t="str">
        <f>""&amp;'IT 环境 - 应用程序'!A70</f>
        <v/>
      </c>
      <c r="B80" s="10" t="str">
        <f>""&amp;'IT 环境 - 应用程序'!C70</f>
        <v/>
      </c>
    </row>
    <row r="81" customHeight="1" spans="1:2">
      <c r="A81" s="10" t="str">
        <f>""&amp;'IT 环境 - 应用程序'!A71</f>
        <v/>
      </c>
      <c r="B81" s="10" t="str">
        <f>""&amp;'IT 环境 - 应用程序'!C71</f>
        <v/>
      </c>
    </row>
    <row r="82" customHeight="1" spans="1:2">
      <c r="A82" s="10" t="str">
        <f>""&amp;'IT 环境 - 应用程序'!A72</f>
        <v/>
      </c>
      <c r="B82" s="10" t="str">
        <f>""&amp;'IT 环境 - 应用程序'!C72</f>
        <v/>
      </c>
    </row>
    <row r="83" customHeight="1" spans="1:2">
      <c r="A83" s="10" t="str">
        <f>""&amp;'IT 环境 - 应用程序'!A73</f>
        <v/>
      </c>
      <c r="B83" s="10" t="str">
        <f>""&amp;'IT 环境 - 应用程序'!C73</f>
        <v/>
      </c>
    </row>
    <row r="84" customHeight="1" spans="1:2">
      <c r="A84" s="10" t="str">
        <f>""&amp;'IT 环境 - 应用程序'!A74</f>
        <v/>
      </c>
      <c r="B84" s="10" t="str">
        <f>""&amp;'IT 环境 - 应用程序'!C74</f>
        <v/>
      </c>
    </row>
    <row r="85" customHeight="1" spans="1:2">
      <c r="A85" s="10" t="str">
        <f>""&amp;'IT 环境 - 应用程序'!A75</f>
        <v/>
      </c>
      <c r="B85" s="10" t="str">
        <f>""&amp;'IT 环境 - 应用程序'!C75</f>
        <v/>
      </c>
    </row>
    <row r="86" customHeight="1" spans="1:2">
      <c r="A86" s="10" t="str">
        <f>""&amp;'IT 环境 - 应用程序'!A76</f>
        <v/>
      </c>
      <c r="B86" s="10" t="str">
        <f>""&amp;'IT 环境 - 应用程序'!C76</f>
        <v/>
      </c>
    </row>
    <row r="87" customHeight="1" spans="1:2">
      <c r="A87" s="10" t="str">
        <f>""&amp;'IT 环境 - 应用程序'!A77</f>
        <v/>
      </c>
      <c r="B87" s="10" t="str">
        <f>""&amp;'IT 环境 - 应用程序'!C77</f>
        <v/>
      </c>
    </row>
    <row r="88" customHeight="1" spans="1:2">
      <c r="A88" s="10" t="str">
        <f>""&amp;'IT 环境 - 应用程序'!A78</f>
        <v/>
      </c>
      <c r="B88" s="10" t="str">
        <f>""&amp;'IT 环境 - 应用程序'!C78</f>
        <v/>
      </c>
    </row>
    <row r="89" customHeight="1" spans="1:2">
      <c r="A89" s="10" t="str">
        <f>""&amp;'IT 环境 - 应用程序'!A79</f>
        <v/>
      </c>
      <c r="B89" s="10" t="str">
        <f>""&amp;'IT 环境 - 应用程序'!C79</f>
        <v/>
      </c>
    </row>
    <row r="90" customHeight="1" spans="1:2">
      <c r="A90" s="10" t="str">
        <f>""&amp;'IT 环境 - 应用程序'!A80</f>
        <v/>
      </c>
      <c r="B90" s="10" t="str">
        <f>""&amp;'IT 环境 - 应用程序'!C80</f>
        <v/>
      </c>
    </row>
    <row r="91" customHeight="1" spans="1:2">
      <c r="A91" s="10" t="str">
        <f>""&amp;'IT 环境 - 应用程序'!A81</f>
        <v/>
      </c>
      <c r="B91" s="10" t="str">
        <f>""&amp;'IT 环境 - 应用程序'!C81</f>
        <v/>
      </c>
    </row>
    <row r="92" customHeight="1" spans="1:2">
      <c r="A92" s="10" t="str">
        <f>""&amp;'IT 环境 - 应用程序'!A82</f>
        <v/>
      </c>
      <c r="B92" s="10" t="str">
        <f>""&amp;'IT 环境 - 应用程序'!C82</f>
        <v/>
      </c>
    </row>
    <row r="93" customHeight="1" spans="1:2">
      <c r="A93" s="10" t="str">
        <f>""&amp;'IT 环境 - 应用程序'!A83</f>
        <v/>
      </c>
      <c r="B93" s="10" t="str">
        <f>""&amp;'IT 环境 - 应用程序'!C83</f>
        <v/>
      </c>
    </row>
    <row r="94" customHeight="1" spans="1:2">
      <c r="A94" s="10" t="str">
        <f>""&amp;'IT 环境 - 应用程序'!A84</f>
        <v/>
      </c>
      <c r="B94" s="10" t="str">
        <f>""&amp;'IT 环境 - 应用程序'!C84</f>
        <v/>
      </c>
    </row>
    <row r="95" customHeight="1" spans="1:2">
      <c r="A95" s="10" t="str">
        <f>""&amp;'IT 环境 - 应用程序'!A85</f>
        <v/>
      </c>
      <c r="B95" s="10" t="str">
        <f>""&amp;'IT 环境 - 应用程序'!C85</f>
        <v/>
      </c>
    </row>
    <row r="96" customHeight="1" spans="1:2">
      <c r="A96" s="10" t="str">
        <f>""&amp;'IT 环境 - 应用程序'!A86</f>
        <v/>
      </c>
      <c r="B96" s="10" t="str">
        <f>""&amp;'IT 环境 - 应用程序'!C86</f>
        <v/>
      </c>
    </row>
    <row r="97" customHeight="1" spans="1:2">
      <c r="A97" s="10" t="str">
        <f>""&amp;'IT 环境 - 应用程序'!A87</f>
        <v/>
      </c>
      <c r="B97" s="10" t="str">
        <f>""&amp;'IT 环境 - 应用程序'!C87</f>
        <v/>
      </c>
    </row>
    <row r="98" customHeight="1" spans="1:2">
      <c r="A98" s="10" t="str">
        <f>""&amp;'IT 环境 - 应用程序'!A88</f>
        <v/>
      </c>
      <c r="B98" s="10" t="str">
        <f>""&amp;'IT 环境 - 应用程序'!C88</f>
        <v/>
      </c>
    </row>
    <row r="99" customHeight="1" spans="1:2">
      <c r="A99" s="10" t="str">
        <f>""&amp;'IT 环境 - 应用程序'!A89</f>
        <v/>
      </c>
      <c r="B99" s="10" t="str">
        <f>""&amp;'IT 环境 - 应用程序'!C89</f>
        <v/>
      </c>
    </row>
    <row r="100" customHeight="1" spans="1:2">
      <c r="A100" s="10" t="str">
        <f>""&amp;'IT 环境 - 应用程序'!A90</f>
        <v/>
      </c>
      <c r="B100" s="10" t="str">
        <f>""&amp;'IT 环境 - 应用程序'!C90</f>
        <v/>
      </c>
    </row>
    <row r="101" customHeight="1" spans="1:2">
      <c r="A101" s="10" t="str">
        <f>""&amp;'IT 环境 - 应用程序'!A91</f>
        <v/>
      </c>
      <c r="B101" s="10" t="str">
        <f>""&amp;'IT 环境 - 应用程序'!C91</f>
        <v/>
      </c>
    </row>
    <row r="102" customHeight="1" spans="1:2">
      <c r="A102" s="10" t="str">
        <f>""&amp;'IT 环境 - 应用程序'!A92</f>
        <v/>
      </c>
      <c r="B102" s="10" t="str">
        <f>""&amp;'IT 环境 - 应用程序'!C92</f>
        <v/>
      </c>
    </row>
    <row r="103" customHeight="1" spans="1:2">
      <c r="A103" s="10" t="str">
        <f>""&amp;'IT 环境 - 应用程序'!A93</f>
        <v/>
      </c>
      <c r="B103" s="10" t="str">
        <f>""&amp;'IT 环境 - 应用程序'!C93</f>
        <v/>
      </c>
    </row>
    <row r="104" customHeight="1" spans="1:2">
      <c r="A104" s="10" t="str">
        <f>""&amp;'IT 环境 - 应用程序'!A94</f>
        <v/>
      </c>
      <c r="B104" s="10" t="str">
        <f>""&amp;'IT 环境 - 应用程序'!C94</f>
        <v/>
      </c>
    </row>
    <row r="105" customHeight="1" spans="1:2">
      <c r="A105" s="10" t="str">
        <f>""&amp;'IT 环境 - 应用程序'!A95</f>
        <v/>
      </c>
      <c r="B105" s="10" t="str">
        <f>""&amp;'IT 环境 - 应用程序'!C95</f>
        <v/>
      </c>
    </row>
    <row r="106" customHeight="1" spans="1:2">
      <c r="A106" s="10" t="str">
        <f>""&amp;'IT 环境 - 应用程序'!A96</f>
        <v/>
      </c>
      <c r="B106" s="10" t="str">
        <f>""&amp;'IT 环境 - 应用程序'!C96</f>
        <v/>
      </c>
    </row>
    <row r="107" customHeight="1" spans="1:2">
      <c r="A107" s="10" t="str">
        <f>""&amp;'IT 环境 - 应用程序'!A97</f>
        <v/>
      </c>
      <c r="B107" s="10" t="str">
        <f>""&amp;'IT 环境 - 应用程序'!C97</f>
        <v/>
      </c>
    </row>
    <row r="108" customHeight="1" spans="1:2">
      <c r="A108" s="10" t="str">
        <f>""&amp;'IT 环境 - 应用程序'!A98</f>
        <v/>
      </c>
      <c r="B108" s="10" t="str">
        <f>""&amp;'IT 环境 - 应用程序'!C98</f>
        <v/>
      </c>
    </row>
    <row r="109" customHeight="1" spans="1:2">
      <c r="A109" s="10" t="str">
        <f>""&amp;'IT 环境 - 应用程序'!A99</f>
        <v/>
      </c>
      <c r="B109" s="10" t="str">
        <f>""&amp;'IT 环境 - 应用程序'!C99</f>
        <v/>
      </c>
    </row>
    <row r="110" customHeight="1" spans="1:2">
      <c r="A110" s="10" t="str">
        <f>""&amp;'IT 环境 - 应用程序'!A100</f>
        <v/>
      </c>
      <c r="B110" s="10" t="str">
        <f>""&amp;'IT 环境 - 应用程序'!C100</f>
        <v/>
      </c>
    </row>
    <row r="111" customHeight="1" spans="1:2">
      <c r="A111" s="10" t="str">
        <f>""&amp;'IT 环境 - 应用程序'!A101</f>
        <v/>
      </c>
      <c r="B111" s="10" t="str">
        <f>""&amp;'IT 环境 - 应用程序'!C101</f>
        <v/>
      </c>
    </row>
    <row r="112" customHeight="1" spans="1:2">
      <c r="A112" s="10" t="str">
        <f>""&amp;'IT 环境 - 应用程序'!A102</f>
        <v/>
      </c>
      <c r="B112" s="10" t="str">
        <f>""&amp;'IT 环境 - 应用程序'!C102</f>
        <v/>
      </c>
    </row>
    <row r="113" customHeight="1" spans="1:2">
      <c r="A113" s="10" t="str">
        <f>""&amp;'IT 环境 - 应用程序'!A103</f>
        <v/>
      </c>
      <c r="B113" s="10" t="str">
        <f>""&amp;'IT 环境 - 应用程序'!C103</f>
        <v/>
      </c>
    </row>
    <row r="114" customHeight="1" spans="1:2">
      <c r="A114" s="10" t="str">
        <f>""&amp;'IT 环境 - 应用程序'!A104</f>
        <v/>
      </c>
      <c r="B114" s="10" t="str">
        <f>""&amp;'IT 环境 - 应用程序'!C104</f>
        <v/>
      </c>
    </row>
    <row r="115" customHeight="1" spans="1:2">
      <c r="A115" s="10" t="str">
        <f>""&amp;'IT 环境 - 应用程序'!A105</f>
        <v/>
      </c>
      <c r="B115" s="10" t="str">
        <f>""&amp;'IT 环境 - 应用程序'!C105</f>
        <v/>
      </c>
    </row>
    <row r="116" customHeight="1" spans="1:2">
      <c r="A116" s="10" t="str">
        <f>""&amp;'IT 环境 - 应用程序'!A106</f>
        <v/>
      </c>
      <c r="B116" s="10" t="str">
        <f>""&amp;'IT 环境 - 应用程序'!C106</f>
        <v/>
      </c>
    </row>
    <row r="117" customHeight="1" spans="1:2">
      <c r="A117" s="10" t="str">
        <f>""&amp;'IT 环境 - 应用程序'!A107</f>
        <v/>
      </c>
      <c r="B117" s="10" t="str">
        <f>""&amp;'IT 环境 - 应用程序'!C107</f>
        <v/>
      </c>
    </row>
    <row r="118" customHeight="1" spans="1:2">
      <c r="A118" s="10" t="str">
        <f>""&amp;'IT 环境 - 应用程序'!A108</f>
        <v/>
      </c>
      <c r="B118" s="10" t="str">
        <f>""&amp;'IT 环境 - 应用程序'!C108</f>
        <v/>
      </c>
    </row>
    <row r="119" customHeight="1" spans="1:2">
      <c r="A119" s="10" t="str">
        <f>""&amp;'IT 环境 - 应用程序'!A109</f>
        <v/>
      </c>
      <c r="B119" s="10" t="str">
        <f>""&amp;'IT 环境 - 应用程序'!C109</f>
        <v/>
      </c>
    </row>
    <row r="120" customHeight="1" spans="1:2">
      <c r="A120" s="10" t="str">
        <f>""&amp;'IT 环境 - 应用程序'!A110</f>
        <v/>
      </c>
      <c r="B120" s="10" t="str">
        <f>""&amp;'IT 环境 - 应用程序'!C110</f>
        <v/>
      </c>
    </row>
    <row r="121" customHeight="1" spans="1:2">
      <c r="A121" s="10" t="str">
        <f>""&amp;'IT 环境 - 应用程序'!A111</f>
        <v/>
      </c>
      <c r="B121" s="10" t="str">
        <f>""&amp;'IT 环境 - 应用程序'!C111</f>
        <v/>
      </c>
    </row>
    <row r="122" customHeight="1" spans="1:2">
      <c r="A122" s="10" t="str">
        <f>""&amp;'IT 环境 - 应用程序'!A112</f>
        <v/>
      </c>
      <c r="B122" s="10" t="str">
        <f>""&amp;'IT 环境 - 应用程序'!C112</f>
        <v/>
      </c>
    </row>
    <row r="123" customHeight="1" spans="1:2">
      <c r="A123" s="10" t="str">
        <f>""&amp;'IT 环境 - 应用程序'!A113</f>
        <v/>
      </c>
      <c r="B123" s="10" t="str">
        <f>""&amp;'IT 环境 - 应用程序'!C113</f>
        <v/>
      </c>
    </row>
    <row r="124" customHeight="1" spans="1:2">
      <c r="A124" s="10" t="str">
        <f>""&amp;'IT 环境 - 应用程序'!A114</f>
        <v/>
      </c>
      <c r="B124" s="10" t="str">
        <f>""&amp;'IT 环境 - 应用程序'!C114</f>
        <v/>
      </c>
    </row>
    <row r="125" customHeight="1" spans="1:2">
      <c r="A125" s="10" t="str">
        <f>""&amp;'IT 环境 - 应用程序'!A115</f>
        <v/>
      </c>
      <c r="B125" s="10" t="str">
        <f>""&amp;'IT 环境 - 应用程序'!C115</f>
        <v/>
      </c>
    </row>
    <row r="126" customHeight="1" spans="1:2">
      <c r="A126" s="10" t="str">
        <f>""&amp;'IT 环境 - 应用程序'!A116</f>
        <v/>
      </c>
      <c r="B126" s="10" t="str">
        <f>""&amp;'IT 环境 - 应用程序'!C116</f>
        <v/>
      </c>
    </row>
    <row r="127" customHeight="1" spans="1:2">
      <c r="A127" s="10" t="str">
        <f>""&amp;'IT 环境 - 应用程序'!A117</f>
        <v/>
      </c>
      <c r="B127" s="10" t="str">
        <f>""&amp;'IT 环境 - 应用程序'!C117</f>
        <v/>
      </c>
    </row>
    <row r="128" customHeight="1" spans="1:2">
      <c r="A128" s="10" t="str">
        <f>""&amp;'IT 环境 - 应用程序'!A118</f>
        <v/>
      </c>
      <c r="B128" s="10" t="str">
        <f>""&amp;'IT 环境 - 应用程序'!C118</f>
        <v/>
      </c>
    </row>
    <row r="129" customHeight="1" spans="1:2">
      <c r="A129" s="10" t="str">
        <f>""&amp;'IT 环境 - 应用程序'!A119</f>
        <v/>
      </c>
      <c r="B129" s="10" t="str">
        <f>""&amp;'IT 环境 - 应用程序'!C119</f>
        <v/>
      </c>
    </row>
    <row r="130" customHeight="1" spans="1:2">
      <c r="A130" s="10" t="str">
        <f>""&amp;'IT 环境 - 应用程序'!A120</f>
        <v/>
      </c>
      <c r="B130" s="10" t="str">
        <f>""&amp;'IT 环境 - 应用程序'!C120</f>
        <v/>
      </c>
    </row>
    <row r="131" customHeight="1" spans="1:2">
      <c r="A131" s="10" t="str">
        <f>""&amp;'IT 环境 - 应用程序'!A121</f>
        <v/>
      </c>
      <c r="B131" s="10" t="str">
        <f>""&amp;'IT 环境 - 应用程序'!C121</f>
        <v/>
      </c>
    </row>
    <row r="132" customHeight="1" spans="1:2">
      <c r="A132" s="10" t="str">
        <f>""&amp;'IT 环境 - 应用程序'!A122</f>
        <v/>
      </c>
      <c r="B132" s="10" t="str">
        <f>""&amp;'IT 环境 - 应用程序'!C122</f>
        <v/>
      </c>
    </row>
    <row r="133" customHeight="1" spans="1:2">
      <c r="A133" s="10" t="str">
        <f>""&amp;'IT 环境 - 应用程序'!A123</f>
        <v/>
      </c>
      <c r="B133" s="10" t="str">
        <f>""&amp;'IT 环境 - 应用程序'!C123</f>
        <v/>
      </c>
    </row>
    <row r="134" customHeight="1" spans="1:2">
      <c r="A134" s="10" t="str">
        <f>""&amp;'IT 环境 - 应用程序'!A124</f>
        <v/>
      </c>
      <c r="B134" s="10" t="str">
        <f>""&amp;'IT 环境 - 应用程序'!C124</f>
        <v/>
      </c>
    </row>
    <row r="135" customHeight="1" spans="1:2">
      <c r="A135" s="10" t="str">
        <f>""&amp;'IT 环境 - 应用程序'!A125</f>
        <v/>
      </c>
      <c r="B135" s="10" t="str">
        <f>""&amp;'IT 环境 - 应用程序'!C125</f>
        <v/>
      </c>
    </row>
    <row r="136" customHeight="1" spans="1:2">
      <c r="A136" s="10" t="str">
        <f>""&amp;'IT 环境 - 应用程序'!A126</f>
        <v/>
      </c>
      <c r="B136" s="10" t="str">
        <f>""&amp;'IT 环境 - 应用程序'!C126</f>
        <v/>
      </c>
    </row>
    <row r="137" customHeight="1" spans="1:2">
      <c r="A137" s="10" t="str">
        <f>""&amp;'IT 环境 - 应用程序'!A127</f>
        <v/>
      </c>
      <c r="B137" s="10" t="str">
        <f>""&amp;'IT 环境 - 应用程序'!C127</f>
        <v/>
      </c>
    </row>
    <row r="138" customHeight="1" spans="1:2">
      <c r="A138" s="10" t="str">
        <f>""&amp;'IT 环境 - 应用程序'!A128</f>
        <v/>
      </c>
      <c r="B138" s="10" t="str">
        <f>""&amp;'IT 环境 - 应用程序'!C128</f>
        <v/>
      </c>
    </row>
    <row r="139" customHeight="1" spans="1:2">
      <c r="A139" s="10" t="str">
        <f>""&amp;'IT 环境 - 应用程序'!A129</f>
        <v/>
      </c>
      <c r="B139" s="10" t="str">
        <f>""&amp;'IT 环境 - 应用程序'!C129</f>
        <v/>
      </c>
    </row>
    <row r="140" customHeight="1" spans="1:2">
      <c r="A140" s="10" t="str">
        <f>""&amp;'IT 环境 - 应用程序'!A130</f>
        <v/>
      </c>
      <c r="B140" s="10" t="str">
        <f>""&amp;'IT 环境 - 应用程序'!C130</f>
        <v/>
      </c>
    </row>
    <row r="141" customHeight="1" spans="1:2">
      <c r="A141" s="10" t="str">
        <f>""&amp;'IT 环境 - 应用程序'!A131</f>
        <v/>
      </c>
      <c r="B141" s="10" t="str">
        <f>""&amp;'IT 环境 - 应用程序'!C131</f>
        <v/>
      </c>
    </row>
    <row r="142" customHeight="1" spans="1:2">
      <c r="A142" s="10" t="str">
        <f>""&amp;'IT 环境 - 应用程序'!A132</f>
        <v/>
      </c>
      <c r="B142" s="10" t="str">
        <f>""&amp;'IT 环境 - 应用程序'!C132</f>
        <v/>
      </c>
    </row>
    <row r="143" customHeight="1" spans="1:2">
      <c r="A143" s="10" t="str">
        <f>""&amp;'IT 环境 - 应用程序'!A133</f>
        <v/>
      </c>
      <c r="B143" s="10" t="str">
        <f>""&amp;'IT 环境 - 应用程序'!C133</f>
        <v/>
      </c>
    </row>
    <row r="144" customHeight="1" spans="1:2">
      <c r="A144" s="10" t="str">
        <f>""&amp;'IT 环境 - 应用程序'!A134</f>
        <v/>
      </c>
      <c r="B144" s="10" t="str">
        <f>""&amp;'IT 环境 - 应用程序'!C134</f>
        <v/>
      </c>
    </row>
    <row r="145" customHeight="1" spans="1:2">
      <c r="A145" s="10" t="str">
        <f>""&amp;'IT 环境 - 应用程序'!A135</f>
        <v/>
      </c>
      <c r="B145" s="10" t="str">
        <f>""&amp;'IT 环境 - 应用程序'!C135</f>
        <v/>
      </c>
    </row>
    <row r="146" customHeight="1" spans="1:2">
      <c r="A146" s="10" t="str">
        <f>""&amp;'IT 环境 - 应用程序'!A136</f>
        <v/>
      </c>
      <c r="B146" s="10" t="str">
        <f>""&amp;'IT 环境 - 应用程序'!C136</f>
        <v/>
      </c>
    </row>
    <row r="147" customHeight="1" spans="1:2">
      <c r="A147" s="10" t="str">
        <f>""&amp;'IT 环境 - 应用程序'!A137</f>
        <v/>
      </c>
      <c r="B147" s="10" t="str">
        <f>""&amp;'IT 环境 - 应用程序'!C137</f>
        <v/>
      </c>
    </row>
    <row r="148" customHeight="1" spans="1:2">
      <c r="A148" s="10" t="str">
        <f>""&amp;'IT 环境 - 应用程序'!A138</f>
        <v/>
      </c>
      <c r="B148" s="10" t="str">
        <f>""&amp;'IT 环境 - 应用程序'!C138</f>
        <v/>
      </c>
    </row>
    <row r="149" customHeight="1" spans="1:2">
      <c r="A149" s="10" t="str">
        <f>""&amp;'IT 环境 - 应用程序'!A139</f>
        <v/>
      </c>
      <c r="B149" s="10" t="str">
        <f>""&amp;'IT 环境 - 应用程序'!C139</f>
        <v/>
      </c>
    </row>
    <row r="150" customHeight="1" spans="1:2">
      <c r="A150" s="10" t="str">
        <f>""&amp;'IT 环境 - 应用程序'!A140</f>
        <v/>
      </c>
      <c r="B150" s="10" t="str">
        <f>""&amp;'IT 环境 - 应用程序'!C140</f>
        <v/>
      </c>
    </row>
    <row r="151" customHeight="1" spans="1:2">
      <c r="A151" s="10" t="str">
        <f>""&amp;'IT 环境 - 应用程序'!A141</f>
        <v/>
      </c>
      <c r="B151" s="10" t="str">
        <f>""&amp;'IT 环境 - 应用程序'!C141</f>
        <v/>
      </c>
    </row>
    <row r="152" customHeight="1" spans="1:2">
      <c r="A152" s="10" t="str">
        <f>""&amp;'IT 环境 - 应用程序'!A142</f>
        <v/>
      </c>
      <c r="B152" s="10" t="str">
        <f>""&amp;'IT 环境 - 应用程序'!C142</f>
        <v/>
      </c>
    </row>
    <row r="153" customHeight="1" spans="1:2">
      <c r="A153" s="10" t="str">
        <f>""&amp;'IT 环境 - 应用程序'!A143</f>
        <v/>
      </c>
      <c r="B153" s="10" t="str">
        <f>""&amp;'IT 环境 - 应用程序'!C143</f>
        <v/>
      </c>
    </row>
    <row r="154" customHeight="1" spans="1:2">
      <c r="A154" s="10" t="str">
        <f>""&amp;'IT 环境 - 应用程序'!A144</f>
        <v/>
      </c>
      <c r="B154" s="10" t="str">
        <f>""&amp;'IT 环境 - 应用程序'!C144</f>
        <v/>
      </c>
    </row>
    <row r="155" customHeight="1" spans="1:2">
      <c r="A155" s="10" t="str">
        <f>""&amp;'IT 环境 - 应用程序'!A145</f>
        <v/>
      </c>
      <c r="B155" s="10" t="str">
        <f>""&amp;'IT 环境 - 应用程序'!C145</f>
        <v/>
      </c>
    </row>
    <row r="156" customHeight="1" spans="1:2">
      <c r="A156" s="10" t="str">
        <f>""&amp;'IT 环境 - 应用程序'!A146</f>
        <v/>
      </c>
      <c r="B156" s="10" t="str">
        <f>""&amp;'IT 环境 - 应用程序'!C146</f>
        <v/>
      </c>
    </row>
    <row r="157" customHeight="1" spans="1:2">
      <c r="A157" s="10" t="str">
        <f>""&amp;'IT 环境 - 应用程序'!A147</f>
        <v/>
      </c>
      <c r="B157" s="10" t="str">
        <f>""&amp;'IT 环境 - 应用程序'!C147</f>
        <v/>
      </c>
    </row>
    <row r="158" customHeight="1" spans="1:2">
      <c r="A158" s="10" t="str">
        <f>""&amp;'IT 环境 - 应用程序'!A148</f>
        <v/>
      </c>
      <c r="B158" s="10" t="str">
        <f>""&amp;'IT 环境 - 应用程序'!C148</f>
        <v/>
      </c>
    </row>
    <row r="159" customHeight="1" spans="1:2">
      <c r="A159" s="10" t="str">
        <f>""&amp;'IT 环境 - 应用程序'!A149</f>
        <v/>
      </c>
      <c r="B159" s="10" t="str">
        <f>""&amp;'IT 环境 - 应用程序'!C149</f>
        <v/>
      </c>
    </row>
    <row r="160" customHeight="1" spans="1:2">
      <c r="A160" s="10" t="str">
        <f>""&amp;'IT 环境 - 应用程序'!A150</f>
        <v/>
      </c>
      <c r="B160" s="10" t="str">
        <f>""&amp;'IT 环境 - 应用程序'!C150</f>
        <v/>
      </c>
    </row>
    <row r="161" customHeight="1" spans="1:2">
      <c r="A161" s="10" t="str">
        <f>""&amp;'IT 环境 - 应用程序'!A151</f>
        <v/>
      </c>
      <c r="B161" s="10" t="str">
        <f>""&amp;'IT 环境 - 应用程序'!C151</f>
        <v/>
      </c>
    </row>
    <row r="162" customHeight="1" spans="1:2">
      <c r="A162" s="10" t="str">
        <f>""&amp;'IT 环境 - 应用程序'!A152</f>
        <v/>
      </c>
      <c r="B162" s="10" t="str">
        <f>""&amp;'IT 环境 - 应用程序'!C152</f>
        <v/>
      </c>
    </row>
    <row r="163" customHeight="1" spans="1:2">
      <c r="A163" s="10" t="str">
        <f>""&amp;'IT 环境 - 应用程序'!A153</f>
        <v/>
      </c>
      <c r="B163" s="10" t="str">
        <f>""&amp;'IT 环境 - 应用程序'!C153</f>
        <v/>
      </c>
    </row>
    <row r="164" customHeight="1" spans="1:2">
      <c r="A164" s="10" t="str">
        <f>""&amp;'IT 环境 - 应用程序'!A154</f>
        <v/>
      </c>
      <c r="B164" s="10" t="str">
        <f>""&amp;'IT 环境 - 应用程序'!C154</f>
        <v/>
      </c>
    </row>
    <row r="165" customHeight="1" spans="1:2">
      <c r="A165" s="10" t="str">
        <f>""&amp;'IT 环境 - 应用程序'!A155</f>
        <v/>
      </c>
      <c r="B165" s="10" t="str">
        <f>""&amp;'IT 环境 - 应用程序'!C155</f>
        <v/>
      </c>
    </row>
    <row r="166" customHeight="1" spans="1:2">
      <c r="A166" s="10" t="str">
        <f>""&amp;'IT 环境 - 应用程序'!A156</f>
        <v/>
      </c>
      <c r="B166" s="10" t="str">
        <f>""&amp;'IT 环境 - 应用程序'!C156</f>
        <v/>
      </c>
    </row>
    <row r="167" customHeight="1" spans="1:2">
      <c r="A167" s="10" t="str">
        <f>""&amp;'IT 环境 - 应用程序'!A157</f>
        <v/>
      </c>
      <c r="B167" s="10" t="str">
        <f>""&amp;'IT 环境 - 应用程序'!C157</f>
        <v/>
      </c>
    </row>
    <row r="168" customHeight="1" spans="1:2">
      <c r="A168" s="10" t="str">
        <f>""&amp;'IT 环境 - 应用程序'!A158</f>
        <v/>
      </c>
      <c r="B168" s="10" t="str">
        <f>""&amp;'IT 环境 - 应用程序'!C158</f>
        <v/>
      </c>
    </row>
    <row r="169" customHeight="1" spans="1:2">
      <c r="A169" s="10" t="str">
        <f>""&amp;'IT 环境 - 应用程序'!A159</f>
        <v/>
      </c>
      <c r="B169" s="10" t="str">
        <f>""&amp;'IT 环境 - 应用程序'!C159</f>
        <v/>
      </c>
    </row>
    <row r="170" customHeight="1" spans="1:2">
      <c r="A170" s="10" t="str">
        <f>""&amp;'IT 环境 - 应用程序'!A160</f>
        <v/>
      </c>
      <c r="B170" s="10" t="str">
        <f>""&amp;'IT 环境 - 应用程序'!C160</f>
        <v/>
      </c>
    </row>
    <row r="171" customHeight="1" spans="1:2">
      <c r="A171" s="10" t="str">
        <f>""&amp;'IT 环境 - 应用程序'!A161</f>
        <v/>
      </c>
      <c r="B171" s="10" t="str">
        <f>""&amp;'IT 环境 - 应用程序'!C161</f>
        <v/>
      </c>
    </row>
    <row r="172" customHeight="1" spans="1:2">
      <c r="A172" s="10" t="str">
        <f>""&amp;'IT 环境 - 应用程序'!A162</f>
        <v/>
      </c>
      <c r="B172" s="10" t="str">
        <f>""&amp;'IT 环境 - 应用程序'!C162</f>
        <v/>
      </c>
    </row>
    <row r="173" customHeight="1" spans="1:2">
      <c r="A173" s="10" t="str">
        <f>""&amp;'IT 环境 - 应用程序'!A163</f>
        <v/>
      </c>
      <c r="B173" s="10" t="str">
        <f>""&amp;'IT 环境 - 应用程序'!C163</f>
        <v/>
      </c>
    </row>
    <row r="174" customHeight="1" spans="1:2">
      <c r="A174" s="10" t="str">
        <f>""&amp;'IT 环境 - 应用程序'!A164</f>
        <v/>
      </c>
      <c r="B174" s="10" t="str">
        <f>""&amp;'IT 环境 - 应用程序'!C164</f>
        <v/>
      </c>
    </row>
    <row r="175" customHeight="1" spans="1:2">
      <c r="A175" s="10" t="str">
        <f>""&amp;'IT 环境 - 应用程序'!A165</f>
        <v/>
      </c>
      <c r="B175" s="10" t="str">
        <f>""&amp;'IT 环境 - 应用程序'!C165</f>
        <v/>
      </c>
    </row>
    <row r="176" customHeight="1" spans="1:2">
      <c r="A176" s="10" t="str">
        <f>""&amp;'IT 环境 - 应用程序'!A166</f>
        <v/>
      </c>
      <c r="B176" s="10" t="str">
        <f>""&amp;'IT 环境 - 应用程序'!C166</f>
        <v/>
      </c>
    </row>
    <row r="177" customHeight="1" spans="1:2">
      <c r="A177" s="10" t="str">
        <f>""&amp;'IT 环境 - 应用程序'!A167</f>
        <v/>
      </c>
      <c r="B177" s="10" t="str">
        <f>""&amp;'IT 环境 - 应用程序'!C167</f>
        <v/>
      </c>
    </row>
    <row r="178" customHeight="1" spans="1:2">
      <c r="A178" s="10" t="str">
        <f>""&amp;'IT 环境 - 应用程序'!A168</f>
        <v/>
      </c>
      <c r="B178" s="10" t="str">
        <f>""&amp;'IT 环境 - 应用程序'!C168</f>
        <v/>
      </c>
    </row>
    <row r="179" customHeight="1" spans="1:2">
      <c r="A179" s="10" t="str">
        <f>""&amp;'IT 环境 - 应用程序'!A169</f>
        <v/>
      </c>
      <c r="B179" s="10" t="str">
        <f>""&amp;'IT 环境 - 应用程序'!C169</f>
        <v/>
      </c>
    </row>
    <row r="180" customHeight="1" spans="1:2">
      <c r="A180" s="10" t="str">
        <f>""&amp;'IT 环境 - 应用程序'!A170</f>
        <v/>
      </c>
      <c r="B180" s="10" t="str">
        <f>""&amp;'IT 环境 - 应用程序'!C170</f>
        <v/>
      </c>
    </row>
    <row r="181" customHeight="1" spans="1:2">
      <c r="A181" s="10" t="str">
        <f>""&amp;'IT 环境 - 应用程序'!A171</f>
        <v/>
      </c>
      <c r="B181" s="10" t="str">
        <f>""&amp;'IT 环境 - 应用程序'!C171</f>
        <v/>
      </c>
    </row>
    <row r="182" customHeight="1" spans="1:2">
      <c r="A182" s="10" t="str">
        <f>""&amp;'IT 环境 - 应用程序'!A172</f>
        <v/>
      </c>
      <c r="B182" s="10" t="str">
        <f>""&amp;'IT 环境 - 应用程序'!C172</f>
        <v/>
      </c>
    </row>
    <row r="183" customHeight="1" spans="1:2">
      <c r="A183" s="10" t="str">
        <f>""&amp;'IT 环境 - 应用程序'!A173</f>
        <v/>
      </c>
      <c r="B183" s="10" t="str">
        <f>""&amp;'IT 环境 - 应用程序'!C173</f>
        <v/>
      </c>
    </row>
    <row r="184" customHeight="1" spans="1:2">
      <c r="A184" s="10" t="str">
        <f>""&amp;'IT 环境 - 应用程序'!A174</f>
        <v/>
      </c>
      <c r="B184" s="10" t="str">
        <f>""&amp;'IT 环境 - 应用程序'!C174</f>
        <v/>
      </c>
    </row>
    <row r="185" customHeight="1" spans="1:2">
      <c r="A185" s="10" t="str">
        <f>""&amp;'IT 环境 - 应用程序'!A175</f>
        <v/>
      </c>
      <c r="B185" s="10" t="str">
        <f>""&amp;'IT 环境 - 应用程序'!C175</f>
        <v/>
      </c>
    </row>
    <row r="186" customHeight="1" spans="1:2">
      <c r="A186" s="10" t="str">
        <f>""&amp;'IT 环境 - 应用程序'!A176</f>
        <v/>
      </c>
      <c r="B186" s="10" t="str">
        <f>""&amp;'IT 环境 - 应用程序'!C176</f>
        <v/>
      </c>
    </row>
    <row r="187" customHeight="1" spans="1:2">
      <c r="A187" s="10" t="str">
        <f>""&amp;'IT 环境 - 应用程序'!A177</f>
        <v/>
      </c>
      <c r="B187" s="10" t="str">
        <f>""&amp;'IT 环境 - 应用程序'!C177</f>
        <v/>
      </c>
    </row>
    <row r="188" customHeight="1" spans="1:2">
      <c r="A188" s="10" t="str">
        <f>""&amp;'IT 环境 - 应用程序'!A178</f>
        <v/>
      </c>
      <c r="B188" s="10" t="str">
        <f>""&amp;'IT 环境 - 应用程序'!C178</f>
        <v/>
      </c>
    </row>
    <row r="189" customHeight="1" spans="1:2">
      <c r="A189" s="10" t="str">
        <f>""&amp;'IT 环境 - 应用程序'!A179</f>
        <v/>
      </c>
      <c r="B189" s="10" t="str">
        <f>""&amp;'IT 环境 - 应用程序'!C179</f>
        <v/>
      </c>
    </row>
    <row r="190" customHeight="1" spans="1:2">
      <c r="A190" s="10" t="str">
        <f>""&amp;'IT 环境 - 应用程序'!A180</f>
        <v/>
      </c>
      <c r="B190" s="10" t="str">
        <f>""&amp;'IT 环境 - 应用程序'!C180</f>
        <v/>
      </c>
    </row>
    <row r="191" customHeight="1" spans="1:2">
      <c r="A191" s="10" t="str">
        <f>""&amp;'IT 环境 - 应用程序'!A181</f>
        <v/>
      </c>
      <c r="B191" s="10" t="str">
        <f>""&amp;'IT 环境 - 应用程序'!C181</f>
        <v/>
      </c>
    </row>
    <row r="192" customHeight="1" spans="1:2">
      <c r="A192" s="10" t="str">
        <f>""&amp;'IT 环境 - 应用程序'!A182</f>
        <v/>
      </c>
      <c r="B192" s="10" t="str">
        <f>""&amp;'IT 环境 - 应用程序'!C182</f>
        <v/>
      </c>
    </row>
    <row r="193" customHeight="1" spans="1:2">
      <c r="A193" s="10" t="str">
        <f>""&amp;'IT 环境 - 应用程序'!A183</f>
        <v/>
      </c>
      <c r="B193" s="10" t="str">
        <f>""&amp;'IT 环境 - 应用程序'!C183</f>
        <v/>
      </c>
    </row>
    <row r="194" customHeight="1" spans="1:2">
      <c r="A194" s="10" t="str">
        <f>""&amp;'IT 环境 - 应用程序'!A184</f>
        <v/>
      </c>
      <c r="B194" s="10" t="str">
        <f>""&amp;'IT 环境 - 应用程序'!C184</f>
        <v/>
      </c>
    </row>
    <row r="195" customHeight="1" spans="1:2">
      <c r="A195" s="10" t="str">
        <f>""&amp;'IT 环境 - 应用程序'!A185</f>
        <v/>
      </c>
      <c r="B195" s="10" t="str">
        <f>""&amp;'IT 环境 - 应用程序'!C185</f>
        <v/>
      </c>
    </row>
    <row r="196" customHeight="1" spans="1:2">
      <c r="A196" s="10" t="str">
        <f>""&amp;'IT 环境 - 应用程序'!A186</f>
        <v/>
      </c>
      <c r="B196" s="10" t="str">
        <f>""&amp;'IT 环境 - 应用程序'!C186</f>
        <v/>
      </c>
    </row>
    <row r="197" customHeight="1" spans="1:2">
      <c r="A197" s="10" t="str">
        <f>""&amp;'IT 环境 - 应用程序'!A187</f>
        <v/>
      </c>
      <c r="B197" s="10" t="str">
        <f>""&amp;'IT 环境 - 应用程序'!C187</f>
        <v/>
      </c>
    </row>
    <row r="198" customHeight="1" spans="1:2">
      <c r="A198" s="10" t="str">
        <f>""&amp;'IT 环境 - 应用程序'!A188</f>
        <v/>
      </c>
      <c r="B198" s="10" t="str">
        <f>""&amp;'IT 环境 - 应用程序'!C188</f>
        <v/>
      </c>
    </row>
    <row r="199" customHeight="1" spans="1:2">
      <c r="A199" s="10" t="str">
        <f>""&amp;'IT 环境 - 应用程序'!A189</f>
        <v/>
      </c>
      <c r="B199" s="10" t="str">
        <f>""&amp;'IT 环境 - 应用程序'!C189</f>
        <v/>
      </c>
    </row>
    <row r="200" customHeight="1" spans="1:2">
      <c r="A200" s="10" t="str">
        <f>""&amp;'IT 环境 - 应用程序'!A190</f>
        <v/>
      </c>
      <c r="B200" s="10" t="str">
        <f>""&amp;'IT 环境 - 应用程序'!C190</f>
        <v/>
      </c>
    </row>
    <row r="201" customHeight="1" spans="1:2">
      <c r="A201" s="10" t="str">
        <f>""&amp;'IT 环境 - 应用程序'!A191</f>
        <v/>
      </c>
      <c r="B201" s="10" t="str">
        <f>""&amp;'IT 环境 - 应用程序'!C191</f>
        <v/>
      </c>
    </row>
    <row r="202" customHeight="1" spans="1:2">
      <c r="A202" s="10" t="str">
        <f>""&amp;'IT 环境 - 应用程序'!A192</f>
        <v/>
      </c>
      <c r="B202" s="10" t="str">
        <f>""&amp;'IT 环境 - 应用程序'!C192</f>
        <v/>
      </c>
    </row>
    <row r="203" customHeight="1" spans="1:2">
      <c r="A203" s="10" t="str">
        <f>""&amp;'IT 环境 - 应用程序'!A193</f>
        <v/>
      </c>
      <c r="B203" s="10" t="str">
        <f>""&amp;'IT 环境 - 应用程序'!C193</f>
        <v/>
      </c>
    </row>
    <row r="204" customHeight="1" spans="1:2">
      <c r="A204" s="10" t="str">
        <f>""&amp;'IT 环境 - 应用程序'!A194</f>
        <v/>
      </c>
      <c r="B204" s="10" t="str">
        <f>""&amp;'IT 环境 - 应用程序'!C194</f>
        <v/>
      </c>
    </row>
    <row r="205" customHeight="1" spans="1:2">
      <c r="A205" s="10" t="str">
        <f>""&amp;'IT 环境 - 应用程序'!A195</f>
        <v/>
      </c>
      <c r="B205" s="10" t="str">
        <f>""&amp;'IT 环境 - 应用程序'!C195</f>
        <v/>
      </c>
    </row>
    <row r="206" customHeight="1" spans="1:2">
      <c r="A206" s="10" t="str">
        <f>""&amp;'IT 环境 - 应用程序'!A196</f>
        <v/>
      </c>
      <c r="B206" s="10" t="str">
        <f>""&amp;'IT 环境 - 应用程序'!C196</f>
        <v/>
      </c>
    </row>
    <row r="207" customHeight="1" spans="1:2">
      <c r="A207" s="10" t="str">
        <f>""&amp;'IT 环境 - 应用程序'!A197</f>
        <v/>
      </c>
      <c r="B207" s="10" t="str">
        <f>""&amp;'IT 环境 - 应用程序'!C197</f>
        <v/>
      </c>
    </row>
  </sheetData>
  <mergeCells count="4">
    <mergeCell ref="A2:B2"/>
    <mergeCell ref="C2:D2"/>
    <mergeCell ref="A3:B3"/>
    <mergeCell ref="C3:D3"/>
  </mergeCells>
  <dataValidations count="3">
    <dataValidation type="list" allowBlank="1" showInputMessage="1" showErrorMessage="1" sqref="H16:H55">
      <formula1>InputsInterfaces</formula1>
    </dataValidation>
    <dataValidation type="list" allowBlank="1" showInputMessage="1" showErrorMessage="1" sqref="I16:I55">
      <formula1>VolumeAndComplexity</formula1>
    </dataValidation>
    <dataValidation type="list" allowBlank="1" showInputMessage="1" showErrorMessage="1" sqref="K16:K55">
      <formula1>YesNo</formula1>
    </dataValidation>
  </dataValidations>
  <pageMargins left="0.708333333333333" right="0.708333333333333" top="0.747916666666667" bottom="0.747916666666667" header="0.314583333333333" footer="0.314583333333333"/>
  <pageSetup paperSize="9" scale="59" orientation="landscape" blackAndWhite="1" horizontalDpi="600"/>
  <headerFooter>
    <oddFooter>&amp;C&amp;P/&amp;N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Lists"/>
  <dimension ref="A2:E4"/>
  <sheetViews>
    <sheetView workbookViewId="0">
      <selection activeCell="A2" sqref="A2"/>
    </sheetView>
  </sheetViews>
  <sheetFormatPr defaultColWidth="9" defaultRowHeight="13.8" outlineLevelRow="3" outlineLevelCol="4"/>
  <cols>
    <col min="1" max="1" width="15.3796296296296" customWidth="1"/>
    <col min="3" max="3" width="44" customWidth="1"/>
    <col min="5" max="5" width="47.25" customWidth="1"/>
  </cols>
  <sheetData>
    <row r="2" ht="26.4" spans="1:5">
      <c r="A2" t="str">
        <f>_sheetContentTranslation_A_74</f>
        <v>Yes</v>
      </c>
      <c r="C2" s="5" t="str">
        <f>_sheetContentTranslation_A_75</f>
        <v>Manual data inputs</v>
      </c>
      <c r="E2" s="5" t="str">
        <f>_sheetContentTranslation_A_76</f>
        <v>Low volume, simple data verified manually and available locally</v>
      </c>
    </row>
    <row r="3" spans="1:5">
      <c r="A3" t="str">
        <f>_sheetContentTranslation_A_77</f>
        <v>No</v>
      </c>
      <c r="C3" s="5" t="str">
        <f>_sheetContentTranslation_A_78</f>
        <v>Simple interfaces from other applications</v>
      </c>
      <c r="E3" s="5" t="str">
        <f>_sheetContentTranslation_A_79</f>
        <v>Low volume of data or simple data</v>
      </c>
    </row>
    <row r="4" ht="26.4" spans="1:5">
      <c r="C4" s="5" t="str">
        <f>_sheetContentTranslation_A_80</f>
        <v>Complex interfaces from other applications</v>
      </c>
      <c r="E4" s="5" t="str">
        <f>_sheetContentTranslation_A_81</f>
        <v>Large volume of data or complex data, data warehouses, IT service providers</v>
      </c>
    </row>
  </sheetData>
  <sheetProtection sheet="1" objects="1" scenarios="1"/>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ContentTranslation"/>
  <dimension ref="A3:B86"/>
  <sheetViews>
    <sheetView topLeftCell="B1" workbookViewId="0">
      <selection activeCell="B48" sqref="B48"/>
    </sheetView>
  </sheetViews>
  <sheetFormatPr defaultColWidth="9" defaultRowHeight="13.8" outlineLevelCol="1"/>
  <cols>
    <col min="1" max="1" width="86.1296296296296" style="1" customWidth="1"/>
    <col min="2" max="2" width="86.1296296296296" style="2" customWidth="1"/>
  </cols>
  <sheetData>
    <row r="3" spans="1:2">
      <c r="A3" s="1" t="s">
        <v>89</v>
      </c>
      <c r="B3" s="2" t="s">
        <v>89</v>
      </c>
    </row>
    <row r="4" spans="1:2">
      <c r="A4" s="3">
        <v>44348</v>
      </c>
      <c r="B4" s="4">
        <v>44348</v>
      </c>
    </row>
    <row r="5" ht="41.4" spans="1:2">
      <c r="A5" s="1" t="s">
        <v>90</v>
      </c>
      <c r="B5" s="2" t="s">
        <v>90</v>
      </c>
    </row>
    <row r="6" spans="1:2">
      <c r="A6" s="1" t="s">
        <v>91</v>
      </c>
      <c r="B6" s="2" t="s">
        <v>91</v>
      </c>
    </row>
    <row r="7" ht="41.4" spans="1:2">
      <c r="A7" s="1" t="s">
        <v>92</v>
      </c>
      <c r="B7" s="2" t="s">
        <v>93</v>
      </c>
    </row>
    <row r="8" spans="1:2">
      <c r="A8" s="1" t="s">
        <v>94</v>
      </c>
      <c r="B8" s="2" t="s">
        <v>94</v>
      </c>
    </row>
    <row r="9" ht="69" spans="1:2">
      <c r="A9" s="1" t="s">
        <v>95</v>
      </c>
      <c r="B9" s="2" t="s">
        <v>96</v>
      </c>
    </row>
    <row r="10" spans="1:2">
      <c r="A10" s="1" t="s">
        <v>97</v>
      </c>
      <c r="B10" s="2" t="s">
        <v>97</v>
      </c>
    </row>
    <row r="11" ht="41.4" spans="1:2">
      <c r="A11" s="1" t="s">
        <v>98</v>
      </c>
      <c r="B11" s="2" t="s">
        <v>98</v>
      </c>
    </row>
    <row r="12" spans="1:2">
      <c r="A12" s="1" t="s">
        <v>99</v>
      </c>
      <c r="B12" s="2" t="s">
        <v>99</v>
      </c>
    </row>
    <row r="13" ht="55.2" spans="1:2">
      <c r="A13" s="1" t="s">
        <v>100</v>
      </c>
      <c r="B13" s="2" t="s">
        <v>101</v>
      </c>
    </row>
    <row r="14" spans="1:2">
      <c r="A14" s="1" t="s">
        <v>102</v>
      </c>
      <c r="B14" s="2" t="s">
        <v>102</v>
      </c>
    </row>
    <row r="15" ht="27.6" spans="1:2">
      <c r="A15" s="1" t="s">
        <v>103</v>
      </c>
      <c r="B15" s="2" t="s">
        <v>103</v>
      </c>
    </row>
    <row r="16" spans="1:2">
      <c r="A16" s="1" t="s">
        <v>104</v>
      </c>
      <c r="B16" s="2" t="s">
        <v>104</v>
      </c>
    </row>
    <row r="17" ht="27.6" spans="1:2">
      <c r="A17" s="1" t="s">
        <v>105</v>
      </c>
      <c r="B17" s="2" t="s">
        <v>105</v>
      </c>
    </row>
    <row r="18" spans="1:2">
      <c r="A18" s="1" t="s">
        <v>106</v>
      </c>
      <c r="B18" s="2" t="s">
        <v>106</v>
      </c>
    </row>
    <row r="19" spans="1:2">
      <c r="A19" s="1" t="s">
        <v>107</v>
      </c>
      <c r="B19" s="2" t="s">
        <v>107</v>
      </c>
    </row>
    <row r="20" spans="1:2">
      <c r="A20" s="1" t="s">
        <v>108</v>
      </c>
      <c r="B20" s="2" t="s">
        <v>108</v>
      </c>
    </row>
    <row r="21" spans="1:2">
      <c r="A21" s="1" t="s">
        <v>109</v>
      </c>
      <c r="B21" s="2" t="s">
        <v>109</v>
      </c>
    </row>
    <row r="22" spans="1:2">
      <c r="A22" s="1" t="s">
        <v>110</v>
      </c>
      <c r="B22" s="2" t="s">
        <v>110</v>
      </c>
    </row>
    <row r="23" spans="1:2">
      <c r="A23" s="1" t="s">
        <v>111</v>
      </c>
      <c r="B23" s="2" t="s">
        <v>111</v>
      </c>
    </row>
    <row r="24" spans="1:2">
      <c r="A24" s="1" t="s">
        <v>112</v>
      </c>
      <c r="B24" s="2" t="s">
        <v>112</v>
      </c>
    </row>
    <row r="25" spans="1:2">
      <c r="A25" s="1" t="s">
        <v>107</v>
      </c>
      <c r="B25" s="2" t="s">
        <v>107</v>
      </c>
    </row>
    <row r="26" spans="1:2">
      <c r="A26" s="1" t="s">
        <v>113</v>
      </c>
      <c r="B26" s="2" t="s">
        <v>113</v>
      </c>
    </row>
    <row r="27" ht="27.6" spans="1:2">
      <c r="A27" s="1" t="s">
        <v>114</v>
      </c>
      <c r="B27" s="2" t="s">
        <v>114</v>
      </c>
    </row>
    <row r="28" ht="27.6" spans="1:2">
      <c r="A28" s="1" t="s">
        <v>115</v>
      </c>
      <c r="B28" s="2" t="s">
        <v>115</v>
      </c>
    </row>
    <row r="29" ht="27.6" spans="1:2">
      <c r="A29" s="1" t="s">
        <v>116</v>
      </c>
      <c r="B29" s="2" t="s">
        <v>116</v>
      </c>
    </row>
    <row r="30" ht="41.4" spans="1:2">
      <c r="A30" s="1" t="s">
        <v>117</v>
      </c>
      <c r="B30" s="2" t="s">
        <v>117</v>
      </c>
    </row>
    <row r="31" ht="41.4" spans="1:2">
      <c r="A31" s="1" t="s">
        <v>118</v>
      </c>
      <c r="B31" s="2" t="s">
        <v>118</v>
      </c>
    </row>
    <row r="32" spans="1:2">
      <c r="A32" s="1" t="s">
        <v>119</v>
      </c>
      <c r="B32" s="2" t="s">
        <v>119</v>
      </c>
    </row>
    <row r="33" spans="1:2">
      <c r="A33" s="1" t="s">
        <v>120</v>
      </c>
      <c r="B33" s="2" t="s">
        <v>120</v>
      </c>
    </row>
    <row r="34" ht="27.6" spans="1:2">
      <c r="A34" s="1" t="s">
        <v>121</v>
      </c>
      <c r="B34" s="2" t="s">
        <v>121</v>
      </c>
    </row>
    <row r="35" ht="27.6" spans="1:2">
      <c r="A35" s="1" t="s">
        <v>122</v>
      </c>
      <c r="B35" s="2" t="s">
        <v>122</v>
      </c>
    </row>
    <row r="36" spans="1:2">
      <c r="A36" s="1" t="s">
        <v>123</v>
      </c>
      <c r="B36" s="2" t="s">
        <v>123</v>
      </c>
    </row>
    <row r="37" spans="1:2">
      <c r="A37" s="1" t="s">
        <v>124</v>
      </c>
      <c r="B37" s="2" t="s">
        <v>124</v>
      </c>
    </row>
    <row r="38" spans="1:2">
      <c r="A38" s="1" t="s">
        <v>125</v>
      </c>
      <c r="B38" s="2" t="s">
        <v>125</v>
      </c>
    </row>
    <row r="39" spans="1:2">
      <c r="A39" s="1" t="s">
        <v>126</v>
      </c>
      <c r="B39" s="2" t="s">
        <v>126</v>
      </c>
    </row>
    <row r="40" spans="1:2">
      <c r="A40" s="1" t="s">
        <v>127</v>
      </c>
      <c r="B40" s="2" t="s">
        <v>127</v>
      </c>
    </row>
    <row r="41" spans="1:2">
      <c r="A41" s="1" t="s">
        <v>128</v>
      </c>
      <c r="B41" s="2" t="s">
        <v>128</v>
      </c>
    </row>
    <row r="42" spans="1:2">
      <c r="A42" s="1" t="s">
        <v>129</v>
      </c>
      <c r="B42" s="2" t="s">
        <v>129</v>
      </c>
    </row>
    <row r="43" spans="1:2">
      <c r="A43" s="1" t="s">
        <v>130</v>
      </c>
      <c r="B43" s="2" t="s">
        <v>130</v>
      </c>
    </row>
    <row r="44" spans="1:2">
      <c r="A44" s="1" t="s">
        <v>131</v>
      </c>
      <c r="B44" s="2" t="s">
        <v>131</v>
      </c>
    </row>
    <row r="45" spans="1:2">
      <c r="A45" s="1" t="s">
        <v>132</v>
      </c>
      <c r="B45" s="2" t="s">
        <v>132</v>
      </c>
    </row>
    <row r="46" ht="27.6" spans="1:2">
      <c r="A46" s="1" t="s">
        <v>133</v>
      </c>
      <c r="B46" s="2" t="s">
        <v>133</v>
      </c>
    </row>
    <row r="47" ht="55.2" spans="1:2">
      <c r="A47" s="1" t="s">
        <v>134</v>
      </c>
      <c r="B47" s="2" t="s">
        <v>134</v>
      </c>
    </row>
    <row r="48" ht="55.2" spans="1:2">
      <c r="A48" s="1" t="s">
        <v>135</v>
      </c>
      <c r="B48" s="2" t="s">
        <v>135</v>
      </c>
    </row>
    <row r="49" spans="1:2">
      <c r="A49" s="1" t="s">
        <v>136</v>
      </c>
      <c r="B49" s="2" t="s">
        <v>136</v>
      </c>
    </row>
    <row r="50" spans="1:2">
      <c r="A50" s="1" t="s">
        <v>137</v>
      </c>
      <c r="B50" s="2" t="s">
        <v>137</v>
      </c>
    </row>
    <row r="51" spans="1:2">
      <c r="A51" s="1" t="s">
        <v>138</v>
      </c>
      <c r="B51" s="2" t="s">
        <v>138</v>
      </c>
    </row>
    <row r="52" spans="1:2">
      <c r="A52" s="1" t="s">
        <v>139</v>
      </c>
      <c r="B52" s="2" t="s">
        <v>139</v>
      </c>
    </row>
    <row r="53" spans="1:2">
      <c r="A53" s="1" t="s">
        <v>140</v>
      </c>
      <c r="B53" s="2" t="s">
        <v>140</v>
      </c>
    </row>
    <row r="54" spans="1:2">
      <c r="A54" s="1" t="s">
        <v>141</v>
      </c>
      <c r="B54" s="2" t="s">
        <v>141</v>
      </c>
    </row>
    <row r="55" spans="1:2">
      <c r="A55" s="1" t="s">
        <v>142</v>
      </c>
      <c r="B55" s="2" t="s">
        <v>142</v>
      </c>
    </row>
    <row r="56" spans="1:2">
      <c r="A56" s="1" t="s">
        <v>143</v>
      </c>
      <c r="B56" s="2" t="s">
        <v>143</v>
      </c>
    </row>
    <row r="57" spans="1:2">
      <c r="A57" s="1" t="s">
        <v>144</v>
      </c>
      <c r="B57" s="2" t="s">
        <v>144</v>
      </c>
    </row>
    <row r="58" spans="1:2">
      <c r="A58" s="1" t="s">
        <v>145</v>
      </c>
      <c r="B58" s="2" t="s">
        <v>145</v>
      </c>
    </row>
    <row r="59" ht="41.4" spans="1:2">
      <c r="A59" s="1" t="s">
        <v>146</v>
      </c>
      <c r="B59" s="2" t="s">
        <v>146</v>
      </c>
    </row>
    <row r="60" ht="41.4" spans="1:2">
      <c r="A60" s="1" t="s">
        <v>147</v>
      </c>
      <c r="B60" s="2" t="s">
        <v>147</v>
      </c>
    </row>
    <row r="61" spans="1:2">
      <c r="A61" s="1" t="s">
        <v>148</v>
      </c>
      <c r="B61" s="2" t="s">
        <v>148</v>
      </c>
    </row>
    <row r="62" ht="27.6" spans="1:2">
      <c r="A62" s="1" t="s">
        <v>149</v>
      </c>
      <c r="B62" s="2" t="s">
        <v>149</v>
      </c>
    </row>
    <row r="63" ht="27.6" spans="1:2">
      <c r="A63" s="1" t="s">
        <v>150</v>
      </c>
      <c r="B63" s="2" t="s">
        <v>150</v>
      </c>
    </row>
    <row r="64" ht="55.2" spans="1:2">
      <c r="A64" s="1" t="s">
        <v>151</v>
      </c>
      <c r="B64" s="2" t="s">
        <v>151</v>
      </c>
    </row>
    <row r="65" spans="1:2">
      <c r="A65" s="1" t="s">
        <v>152</v>
      </c>
      <c r="B65" s="2" t="s">
        <v>152</v>
      </c>
    </row>
    <row r="66" spans="1:2">
      <c r="A66" s="1" t="s">
        <v>153</v>
      </c>
      <c r="B66" s="2" t="s">
        <v>153</v>
      </c>
    </row>
    <row r="67" spans="1:2">
      <c r="A67" s="1" t="s">
        <v>154</v>
      </c>
      <c r="B67" s="2" t="s">
        <v>154</v>
      </c>
    </row>
    <row r="68" spans="1:2">
      <c r="A68" s="1" t="s">
        <v>155</v>
      </c>
      <c r="B68" s="2" t="s">
        <v>155</v>
      </c>
    </row>
    <row r="69" spans="1:2">
      <c r="A69" s="1" t="s">
        <v>156</v>
      </c>
      <c r="B69" s="2" t="s">
        <v>156</v>
      </c>
    </row>
    <row r="70" spans="1:2">
      <c r="A70" s="1" t="s">
        <v>157</v>
      </c>
      <c r="B70" s="2" t="s">
        <v>157</v>
      </c>
    </row>
    <row r="71" spans="1:2">
      <c r="A71" s="1" t="s">
        <v>158</v>
      </c>
      <c r="B71" s="2" t="s">
        <v>158</v>
      </c>
    </row>
    <row r="72" spans="1:2">
      <c r="A72" s="1" t="s">
        <v>159</v>
      </c>
      <c r="B72" s="2" t="s">
        <v>159</v>
      </c>
    </row>
    <row r="73" spans="1:2">
      <c r="A73" s="1" t="s">
        <v>160</v>
      </c>
      <c r="B73" s="2" t="s">
        <v>160</v>
      </c>
    </row>
    <row r="74" spans="1:2">
      <c r="A74" s="1" t="s">
        <v>161</v>
      </c>
      <c r="B74" s="2" t="s">
        <v>161</v>
      </c>
    </row>
    <row r="75" spans="1:2">
      <c r="A75" s="1" t="s">
        <v>162</v>
      </c>
      <c r="B75" s="2" t="s">
        <v>162</v>
      </c>
    </row>
    <row r="76" spans="1:2">
      <c r="A76" s="1" t="s">
        <v>163</v>
      </c>
      <c r="B76" s="2" t="s">
        <v>163</v>
      </c>
    </row>
    <row r="77" spans="1:2">
      <c r="A77" s="1" t="s">
        <v>164</v>
      </c>
      <c r="B77" s="2" t="s">
        <v>164</v>
      </c>
    </row>
    <row r="78" spans="1:2">
      <c r="A78" s="1" t="s">
        <v>165</v>
      </c>
      <c r="B78" s="2" t="s">
        <v>165</v>
      </c>
    </row>
    <row r="79" spans="1:2">
      <c r="A79" s="1" t="s">
        <v>166</v>
      </c>
      <c r="B79" s="2" t="s">
        <v>166</v>
      </c>
    </row>
    <row r="80" spans="1:2">
      <c r="A80" s="1" t="s">
        <v>167</v>
      </c>
      <c r="B80" s="2" t="s">
        <v>167</v>
      </c>
    </row>
    <row r="81" spans="1:2">
      <c r="A81" s="3">
        <v>44348</v>
      </c>
      <c r="B81" s="4">
        <v>44348</v>
      </c>
    </row>
    <row r="82" spans="1:2">
      <c r="A82" s="1" t="s">
        <v>168</v>
      </c>
      <c r="B82" s="2" t="s">
        <v>168</v>
      </c>
    </row>
    <row r="83" spans="1:2">
      <c r="A83" s="1" t="s">
        <v>169</v>
      </c>
      <c r="B83" s="2" t="s">
        <v>169</v>
      </c>
    </row>
    <row r="84" ht="27.6" spans="1:2">
      <c r="A84" s="1" t="s">
        <v>170</v>
      </c>
      <c r="B84" s="2" t="s">
        <v>171</v>
      </c>
    </row>
    <row r="85" ht="27.6" spans="1:2">
      <c r="A85" s="1" t="s">
        <v>172</v>
      </c>
      <c r="B85" s="2" t="s">
        <v>172</v>
      </c>
    </row>
    <row r="86" ht="55.2" spans="1:2">
      <c r="A86" s="1" t="s">
        <v>173</v>
      </c>
      <c r="B86" s="2" t="s">
        <v>173</v>
      </c>
    </row>
  </sheetData>
  <pageMargins left="0.7" right="0.7" top="0.75" bottom="0.75" header="0.3" footer="0.3"/>
  <pageSetup paperSize="1" orientation="portrait" horizontalDpi="360" verticalDpi="36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allowEditUser xmlns="https://web.wps.cn/et/2018/main" xmlns:s="http://schemas.openxmlformats.org/spreadsheetml/2006/main" hasInvisiblePropRange="0">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6" master="" otherUserPermission="visible"/>
  <rangeList sheetStid="7" master="" otherUserPermission="visible"/>
</allowEditUser>
</file>

<file path=customXml/item2.xml>�� 
</file>

<file path=customXml/item3.xml>�� 
</file>

<file path=customXml/item4.xml>�� 
</file>

<file path=customXml/item5.xml>��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06AC3932-7EC9-4EF1-BA2A-B0E0FEC4E525}">
  <ds:schemaRefs/>
</ds:datastoreItem>
</file>

<file path=customXml/itemProps3.xml><?xml version="1.0" encoding="utf-8"?>
<ds:datastoreItem xmlns:ds="http://schemas.openxmlformats.org/officeDocument/2006/customXml" ds:itemID="{CDD65FE9-4219-470F-A871-2B550DB108FB}">
  <ds:schemaRefs/>
</ds:datastoreItem>
</file>

<file path=customXml/itemProps4.xml><?xml version="1.0" encoding="utf-8"?>
<ds:datastoreItem xmlns:ds="http://schemas.openxmlformats.org/officeDocument/2006/customXml" ds:itemID="{1F10D3F7-1E15-475E-92AC-A831D662AC58}">
  <ds:schemaRefs/>
</ds:datastoreItem>
</file>

<file path=customXml/itemProps5.xml><?xml version="1.0" encoding="utf-8"?>
<ds:datastoreItem xmlns:ds="http://schemas.openxmlformats.org/officeDocument/2006/customXml" ds:itemID="{C6F89381-9F3A-4228-8F41-F9557C0B4F7B}">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指引</vt:lpstr>
      <vt:lpstr>IT 环境 - 应用程序</vt:lpstr>
      <vt:lpstr>IT 环境 - 基础设施</vt:lpstr>
      <vt:lpstr>IT环境 -流程</vt:lpstr>
      <vt:lpstr>IT 环境 -信息处理</vt:lpstr>
      <vt:lpstr>Lists</vt:lpstr>
      <vt:lpstr>Translation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Francie Kaufman</dc:creator>
  <cp:lastModifiedBy>小坦克2号^O^</cp:lastModifiedBy>
  <dcterms:created xsi:type="dcterms:W3CDTF">2021-05-04T17:20:00Z</dcterms:created>
  <dcterms:modified xsi:type="dcterms:W3CDTF">2025-11-03T02:23:59Z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0x0101002F336B2D3F1F0B47B83A799D32CBD522</vt:lpwstr>
  </property>
  <property fmtid="{D5CDD505-2E9C-101B-9397-08002B2CF9AE}" pid="3" name="_dlc_DocIdItemGuid">
    <vt:lpwstr>17cb379b-6130-4a07-9fe5-ea560662568e</vt:lpwstr>
  </property>
  <property fmtid="{D5CDD505-2E9C-101B-9397-08002B2CF9AE}" pid="4" name="ICV">
    <vt:lpwstr>3384DD583A7E4187BDB30A6399A4A2C4_12</vt:lpwstr>
  </property>
  <property fmtid="{D5CDD505-2E9C-101B-9397-08002B2CF9AE}" pid="5" name="KSOProductBuildVer">
    <vt:lpwstr>2052-12.1.0.23542</vt:lpwstr>
  </property>
</Properties>
</file>