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8735" firstSheet="1" activeTab="1"/>
  </bookViews>
  <sheets>
    <sheet name="Instructions" sheetId="11" state="hidden" r:id="rId1"/>
    <sheet name="指引（填写示例）" sheetId="7" r:id="rId2"/>
    <sheet name="ITGC SoD analysis" sheetId="12" state="hidden" r:id="rId3"/>
    <sheet name="IT一般控制职责分离分析模板" sheetId="5" r:id="rId4"/>
    <sheet name="Data" sheetId="6" state="hidden" r:id="rId5"/>
    <sheet name="GT_Custom" sheetId="8" state="hidden" r:id="rId6"/>
  </sheets>
  <externalReferences>
    <externalReference r:id="rId1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<sst xmlns="http://schemas.openxmlformats.org/spreadsheetml/2006/main" count="332" uniqueCount="150">
  <si>
    <t>IT general controls segregation of duties analysis template</t>
  </si>
  <si>
    <t>Period-end date</t>
  </si>
  <si>
    <t xml:space="preserve">This template is used to analyze segregation of duties related to information technology (IT) general controls. It may be modified to fit the circumstances of the engagement, such as by adding or deleting rows, or by deleting the new systems implementation analysis if it does not apply to the particular audit engagement.
</t>
  </si>
  <si>
    <t>For each relevant IT general controls category, document the role that performs each of the duties identified. Place an "X" in the duty that the role performs. If a particular role performs more than one duty, there may be a segregation of duties issue. This includes situations in which an individual with IT related duties also has a role in the entity's business processes or the entity's financial reporting process (that is, the individual has the ability to initiate, record, process, or report entity transactions, events, or conditions or to maintain accountability for the related assets, liabilities, or equity). A lack of segregation of duties is identified as a control deficiency and evaluated as to severity.</t>
  </si>
  <si>
    <t>Depending on the configuration, segregation of duties related batch scheduling (technology infrastructure) may be addressed through the analysis of other IT general controls categories, particularly security management and technology (program) maintenance. If this is not the case, add a section related to batch scheduling (technology infrastructure) on the “ITGC SoD analysis” tab.</t>
  </si>
  <si>
    <t>Delete these instructions and do not include them in the audit file.</t>
  </si>
  <si>
    <t>Guidance</t>
  </si>
  <si>
    <t>Security management</t>
  </si>
  <si>
    <t>Security management includes sub-processes and control activities over who and what has access to technology, including who has the ability to execute transactions. Segregation of duties related to security management generally entails dividing responsibility for the authorization and approval of security access, processing security access rights, and monitoring security access to systems and programs.</t>
  </si>
  <si>
    <t>New system implementation (acquisition and development)</t>
  </si>
  <si>
    <r>
      <rPr>
        <sz val="10"/>
        <rFont val="Arial"/>
        <charset val="134"/>
      </rPr>
      <t>New system implementation (acquisition and development) applies only when the entity acquired or internally developed and also implemented a new IT system related to financial reporting during</t>
    </r>
    <r>
      <rPr>
        <sz val="10"/>
        <color theme="1"/>
        <rFont val="Arial"/>
        <charset val="134"/>
      </rPr>
      <t xml:space="preserve"> the period. </t>
    </r>
    <r>
      <rPr>
        <sz val="10"/>
        <rFont val="Arial"/>
        <charset val="134"/>
      </rPr>
      <t>Segregation of duties related to new system implementation generally entails dividing responsibility for the following:
- Authorization and approval of new systems or programs (for example, an IT governance board or manager)
- Design and development of new systems or programs (for example, a developer or programmer)
- Review and testing of new systems or programs (for example, another developer, programmer, or architect)
- Implementation of new systems or programs (for example, a software change or system administrator).</t>
    </r>
  </si>
  <si>
    <t>Technology (program) maintenance (including program change controls)</t>
  </si>
  <si>
    <t>Technology maintenance relates specifically to changes in technology, including program change controls. It ordinarily applies to all entities, regardless of whether IT systems are acquired or developed internally. Segregation of duties related to technology maintenance generally entails dividing responsibility for the following:
- Authorization and approval of changes to existing systems or programs (for example, an IT governance board or manager)
- Design and development of changes to existing systems or programs (for example, a developer or programmer)
- Review and testing of changes to existing systems or programs (for example, another developer, programmer, or architect)
- Implementation of changes to existing systems or programs (for example, a software change or system administrator).</t>
  </si>
  <si>
    <t>Illustrative example</t>
  </si>
  <si>
    <t>Individual (Role)</t>
  </si>
  <si>
    <t>Authorization/ approval</t>
  </si>
  <si>
    <t>Process access request</t>
  </si>
  <si>
    <t>Monitoring</t>
  </si>
  <si>
    <t>Business processes or financial reporting process</t>
  </si>
  <si>
    <t xml:space="preserve">Individual (role) performs more than one duty </t>
  </si>
  <si>
    <t>Control deficiency identified?</t>
  </si>
  <si>
    <t>Describe segregation of duties issue or significant judgments made (if any)</t>
  </si>
  <si>
    <t>System Administrator</t>
  </si>
  <si>
    <t>-</t>
  </si>
  <si>
    <t>X</t>
  </si>
  <si>
    <t>Human Resources Manager</t>
  </si>
  <si>
    <t>Controller</t>
  </si>
  <si>
    <t>No</t>
  </si>
  <si>
    <t>In this circumstance, review of rights and financial reporting would likely not be seen as conflicting duties.</t>
  </si>
  <si>
    <t>Database Administrator</t>
  </si>
  <si>
    <t>Yes</t>
  </si>
  <si>
    <t>Role has ability to make changes at the database level but also can design system roles and grant application access.</t>
  </si>
  <si>
    <t>The controller has access to administer application security as well as perform financial reporting responsibilities.</t>
  </si>
  <si>
    <t>Design/ development</t>
  </si>
  <si>
    <t>Review/ 
testing</t>
  </si>
  <si>
    <t>Implementation</t>
  </si>
  <si>
    <t>Program developer</t>
  </si>
  <si>
    <t>Ability to make changes to the system and push through to implementation would result in a segregation of duties issue.</t>
  </si>
  <si>
    <t>IT Director</t>
  </si>
  <si>
    <t>Ability to authorize changes and develop changes would result in a segregation of duties issue.</t>
  </si>
  <si>
    <t>Operations manager</t>
  </si>
  <si>
    <t>Project Manager</t>
  </si>
  <si>
    <t>In this circumstance, ability to authorize new systems and financial reporting would likely not result in conflicting duties.</t>
  </si>
  <si>
    <t>Implementation consultants (developers and programmers)</t>
  </si>
  <si>
    <r>
      <rPr>
        <b/>
        <sz val="10"/>
        <rFont val="Arial"/>
        <charset val="134"/>
      </rPr>
      <t>IT</t>
    </r>
    <r>
      <rPr>
        <b/>
        <sz val="10"/>
        <rFont val="宋体"/>
        <charset val="134"/>
      </rPr>
      <t>一般控制职责分离分析模板</t>
    </r>
  </si>
  <si>
    <r>
      <rPr>
        <b/>
        <sz val="10"/>
        <color rgb="FFFF0000"/>
        <rFont val="宋体"/>
        <charset val="134"/>
      </rPr>
      <t>截止日</t>
    </r>
  </si>
  <si>
    <r>
      <rPr>
        <sz val="10"/>
        <rFont val="宋体"/>
        <charset val="134"/>
      </rPr>
      <t>此模板用于分析与信息技术</t>
    </r>
    <r>
      <rPr>
        <sz val="10"/>
        <rFont val="Arial"/>
        <charset val="134"/>
      </rPr>
      <t xml:space="preserve"> </t>
    </r>
    <r>
      <rPr>
        <sz val="10"/>
        <rFont val="宋体"/>
        <charset val="134"/>
      </rPr>
      <t>（</t>
    </r>
    <r>
      <rPr>
        <sz val="10"/>
        <rFont val="Arial"/>
        <charset val="134"/>
      </rPr>
      <t>IT</t>
    </r>
    <r>
      <rPr>
        <sz val="10"/>
        <rFont val="宋体"/>
        <charset val="134"/>
      </rPr>
      <t>）</t>
    </r>
    <r>
      <rPr>
        <sz val="10"/>
        <rFont val="Arial"/>
        <charset val="134"/>
      </rPr>
      <t xml:space="preserve"> </t>
    </r>
    <r>
      <rPr>
        <sz val="10"/>
        <rFont val="宋体"/>
        <charset val="134"/>
      </rPr>
      <t>一般控制的职责分离。可以按照实际情况进行修改，例如添加或删除行，或者当它不适用于特定的审计项目时删除新系统实施分析。</t>
    </r>
  </si>
  <si>
    <r>
      <rPr>
        <sz val="10"/>
        <rFont val="宋体"/>
        <charset val="134"/>
      </rPr>
      <t>对于每个</t>
    </r>
    <r>
      <rPr>
        <sz val="10"/>
        <rFont val="Arial"/>
        <charset val="134"/>
      </rPr>
      <t xml:space="preserve"> IT </t>
    </r>
    <r>
      <rPr>
        <sz val="10"/>
        <rFont val="宋体"/>
        <charset val="134"/>
      </rPr>
      <t>一般控制的类别，分别记录每个角色执行的职责，</t>
    </r>
    <r>
      <rPr>
        <sz val="10"/>
        <rFont val="Arial"/>
        <charset val="134"/>
      </rPr>
      <t>“√”</t>
    </r>
    <r>
      <rPr>
        <sz val="10"/>
        <rFont val="宋体"/>
        <charset val="134"/>
      </rPr>
      <t>代表执行该职责，“-”代表不执行该职责。如果某个角色履行多于一个职责，那么通常存在职责分离问题。这包括当具有</t>
    </r>
    <r>
      <rPr>
        <sz val="10"/>
        <rFont val="Arial"/>
        <charset val="134"/>
      </rPr>
      <t>IT</t>
    </r>
    <r>
      <rPr>
        <sz val="10"/>
        <rFont val="宋体"/>
        <charset val="134"/>
      </rPr>
      <t>相关职责的人员同时也在被审计单位业务流程或财务报告过程（即，有能力生成、记录、处理或报告被审计单位的交易、事项或情况以及维护相关资产、负债或权益的会计责任的人员）承担一定的角色，通常存在职责分离问题。</t>
    </r>
    <r>
      <rPr>
        <sz val="10"/>
        <rFont val="Arial"/>
        <charset val="134"/>
      </rPr>
      <t xml:space="preserve"> </t>
    </r>
    <r>
      <rPr>
        <sz val="10"/>
        <rFont val="宋体"/>
        <charset val="134"/>
      </rPr>
      <t>存在职责分离问题应该被确定为缺陷，并评价其严重程度。</t>
    </r>
  </si>
  <si>
    <r>
      <rPr>
        <sz val="10"/>
        <rFont val="宋体"/>
        <charset val="134"/>
      </rPr>
      <t>根据配置，可以通过分析其他</t>
    </r>
    <r>
      <rPr>
        <sz val="10"/>
        <rFont val="Arial"/>
        <charset val="134"/>
      </rPr>
      <t>IT</t>
    </r>
    <r>
      <rPr>
        <sz val="10"/>
        <rFont val="宋体"/>
        <charset val="134"/>
      </rPr>
      <t>一般控制的类别，特别是安全管理和技术（程序）维护来解决与职责分离相关的批量调度（技术基础设施）问题。</t>
    </r>
    <r>
      <rPr>
        <sz val="10"/>
        <rFont val="Arial"/>
        <charset val="134"/>
      </rPr>
      <t xml:space="preserve"> </t>
    </r>
    <r>
      <rPr>
        <sz val="10"/>
        <rFont val="宋体"/>
        <charset val="134"/>
      </rPr>
      <t>如果不是这种情况，请在</t>
    </r>
    <r>
      <rPr>
        <sz val="10"/>
        <rFont val="Arial"/>
        <charset val="134"/>
      </rPr>
      <t xml:space="preserve">“ITGC SoD </t>
    </r>
    <r>
      <rPr>
        <sz val="10"/>
        <rFont val="宋体"/>
        <charset val="134"/>
      </rPr>
      <t>分析</t>
    </r>
    <r>
      <rPr>
        <sz val="10"/>
        <rFont val="Arial"/>
        <charset val="134"/>
      </rPr>
      <t>”</t>
    </r>
    <r>
      <rPr>
        <sz val="10"/>
        <rFont val="宋体"/>
        <charset val="134"/>
      </rPr>
      <t>选项卡上添加与批量调度计划（技术基础设施）相关的部分。</t>
    </r>
  </si>
  <si>
    <r>
      <rPr>
        <b/>
        <sz val="10"/>
        <color rgb="FFFF0000"/>
        <rFont val="宋体"/>
        <charset val="134"/>
      </rPr>
      <t>删除这些说明，不要将它们包含在审计底稿中。</t>
    </r>
  </si>
  <si>
    <r>
      <rPr>
        <b/>
        <sz val="10"/>
        <rFont val="宋体"/>
        <charset val="134"/>
      </rPr>
      <t>指引</t>
    </r>
  </si>
  <si>
    <r>
      <rPr>
        <b/>
        <sz val="10"/>
        <rFont val="宋体"/>
        <charset val="134"/>
      </rPr>
      <t>安全管理</t>
    </r>
  </si>
  <si>
    <r>
      <rPr>
        <sz val="10"/>
        <rFont val="宋体"/>
        <charset val="134"/>
      </rPr>
      <t>安全管理包括针对谁有权限以及如何访问被审计单位的系统的子流程和控制活动，包括谁有能力执行该项交易。与安全管理相关的职责分离通常需要划分职责为安全访问的授权和批准、处理安全访问的权限、系统和程序安全访问的监控。</t>
    </r>
  </si>
  <si>
    <r>
      <rPr>
        <b/>
        <sz val="10"/>
        <rFont val="宋体"/>
        <charset val="134"/>
      </rPr>
      <t>实施新系统（采购和开发）</t>
    </r>
  </si>
  <si>
    <r>
      <rPr>
        <sz val="10"/>
        <rFont val="宋体"/>
        <charset val="134"/>
      </rPr>
      <t>实施新系统</t>
    </r>
    <r>
      <rPr>
        <sz val="10"/>
        <rFont val="Arial"/>
        <charset val="134"/>
      </rPr>
      <t xml:space="preserve"> (</t>
    </r>
    <r>
      <rPr>
        <sz val="10"/>
        <rFont val="宋体"/>
        <charset val="134"/>
      </rPr>
      <t>采购和开发</t>
    </r>
    <r>
      <rPr>
        <sz val="10"/>
        <rFont val="Arial"/>
        <charset val="134"/>
      </rPr>
      <t>)</t>
    </r>
    <r>
      <rPr>
        <sz val="10"/>
        <rFont val="宋体"/>
        <charset val="134"/>
      </rPr>
      <t>仅用于与企业采购或内部开发，并在该期间实施与财务报告相关的新</t>
    </r>
    <r>
      <rPr>
        <sz val="10"/>
        <rFont val="Arial"/>
        <charset val="134"/>
      </rPr>
      <t>IT</t>
    </r>
    <r>
      <rPr>
        <sz val="10"/>
        <rFont val="宋体"/>
        <charset val="134"/>
      </rPr>
      <t>系统。</t>
    </r>
    <r>
      <rPr>
        <sz val="10"/>
        <rFont val="Arial"/>
        <charset val="134"/>
      </rPr>
      <t xml:space="preserve"> </t>
    </r>
    <r>
      <rPr>
        <sz val="10"/>
        <rFont val="宋体"/>
        <charset val="134"/>
      </rPr>
      <t>与实施新系统相关的职责分离通常需要：</t>
    </r>
    <r>
      <rPr>
        <sz val="10"/>
        <rFont val="Arial"/>
        <charset val="134"/>
      </rPr>
      <t xml:space="preserve">
- </t>
    </r>
    <r>
      <rPr>
        <sz val="10"/>
        <rFont val="宋体"/>
        <charset val="134"/>
      </rPr>
      <t>新系统或软件的授权和批准</t>
    </r>
    <r>
      <rPr>
        <sz val="10"/>
        <rFont val="Arial"/>
        <charset val="134"/>
      </rPr>
      <t xml:space="preserve"> (</t>
    </r>
    <r>
      <rPr>
        <sz val="10"/>
        <rFont val="宋体"/>
        <charset val="134"/>
      </rPr>
      <t>例如，</t>
    </r>
    <r>
      <rPr>
        <sz val="10"/>
        <rFont val="Arial"/>
        <charset val="134"/>
      </rPr>
      <t>IT</t>
    </r>
    <r>
      <rPr>
        <sz val="10"/>
        <rFont val="宋体"/>
        <charset val="134"/>
      </rPr>
      <t>治理委员会或经理</t>
    </r>
    <r>
      <rPr>
        <sz val="10"/>
        <rFont val="Arial"/>
        <charset val="134"/>
      </rPr>
      <t xml:space="preserve">)
- </t>
    </r>
    <r>
      <rPr>
        <sz val="10"/>
        <rFont val="宋体"/>
        <charset val="134"/>
      </rPr>
      <t>设计和开发新系统或软件</t>
    </r>
    <r>
      <rPr>
        <sz val="10"/>
        <rFont val="Arial"/>
        <charset val="134"/>
      </rPr>
      <t xml:space="preserve"> (</t>
    </r>
    <r>
      <rPr>
        <sz val="10"/>
        <rFont val="宋体"/>
        <charset val="134"/>
      </rPr>
      <t>例如，</t>
    </r>
    <r>
      <rPr>
        <sz val="10"/>
        <rFont val="Arial"/>
        <charset val="134"/>
      </rPr>
      <t xml:space="preserve"> </t>
    </r>
    <r>
      <rPr>
        <sz val="10"/>
        <rFont val="宋体"/>
        <charset val="134"/>
      </rPr>
      <t>开发人员或程序员</t>
    </r>
    <r>
      <rPr>
        <sz val="10"/>
        <rFont val="Arial"/>
        <charset val="134"/>
      </rPr>
      <t xml:space="preserve">)
- </t>
    </r>
    <r>
      <rPr>
        <sz val="10"/>
        <rFont val="宋体"/>
        <charset val="134"/>
      </rPr>
      <t>复核和检查新系统或软件</t>
    </r>
    <r>
      <rPr>
        <sz val="10"/>
        <rFont val="Arial"/>
        <charset val="134"/>
      </rPr>
      <t xml:space="preserve"> (</t>
    </r>
    <r>
      <rPr>
        <sz val="10"/>
        <rFont val="宋体"/>
        <charset val="134"/>
      </rPr>
      <t>例如，其他开发人员、程序员。或工程师</t>
    </r>
    <r>
      <rPr>
        <sz val="10"/>
        <rFont val="Arial"/>
        <charset val="134"/>
      </rPr>
      <t xml:space="preserve">)
- </t>
    </r>
    <r>
      <rPr>
        <sz val="10"/>
        <rFont val="宋体"/>
        <charset val="134"/>
      </rPr>
      <t>实施新系统或软件</t>
    </r>
    <r>
      <rPr>
        <sz val="10"/>
        <rFont val="Arial"/>
        <charset val="134"/>
      </rPr>
      <t xml:space="preserve"> (</t>
    </r>
    <r>
      <rPr>
        <sz val="10"/>
        <rFont val="宋体"/>
        <charset val="134"/>
      </rPr>
      <t>例如，</t>
    </r>
    <r>
      <rPr>
        <sz val="10"/>
        <rFont val="Arial"/>
        <charset val="134"/>
      </rPr>
      <t xml:space="preserve"> </t>
    </r>
    <r>
      <rPr>
        <sz val="10"/>
        <rFont val="宋体"/>
        <charset val="134"/>
      </rPr>
      <t>软件变更或系统管理员</t>
    </r>
    <r>
      <rPr>
        <sz val="10"/>
        <rFont val="Arial"/>
        <charset val="134"/>
      </rPr>
      <t>)</t>
    </r>
  </si>
  <si>
    <r>
      <rPr>
        <b/>
        <sz val="10"/>
        <rFont val="宋体"/>
        <charset val="134"/>
      </rPr>
      <t>技术维护</t>
    </r>
    <r>
      <rPr>
        <b/>
        <sz val="10"/>
        <rFont val="Arial"/>
        <charset val="134"/>
      </rPr>
      <t xml:space="preserve"> (</t>
    </r>
    <r>
      <rPr>
        <b/>
        <sz val="10"/>
        <rFont val="宋体"/>
        <charset val="134"/>
      </rPr>
      <t>包括程式变更控制</t>
    </r>
    <r>
      <rPr>
        <b/>
        <sz val="10"/>
        <rFont val="Arial"/>
        <charset val="134"/>
      </rPr>
      <t>)</t>
    </r>
  </si>
  <si>
    <r>
      <rPr>
        <sz val="10"/>
        <rFont val="宋体"/>
        <charset val="134"/>
      </rPr>
      <t>技术维护与具体的技术变更相关，包括程式变更控制。这适用于所有实体，无论</t>
    </r>
    <r>
      <rPr>
        <sz val="10"/>
        <rFont val="Arial"/>
        <charset val="134"/>
      </rPr>
      <t>IT</t>
    </r>
    <r>
      <rPr>
        <sz val="10"/>
        <rFont val="宋体"/>
        <charset val="134"/>
      </rPr>
      <t>系统是外购的或自行开发的。与技术维护相关的职责分离通常需要划分职责为</t>
    </r>
    <r>
      <rPr>
        <sz val="10"/>
        <rFont val="Arial"/>
        <charset val="134"/>
      </rPr>
      <t xml:space="preserve">:
- </t>
    </r>
    <r>
      <rPr>
        <sz val="10"/>
        <rFont val="宋体"/>
        <charset val="134"/>
      </rPr>
      <t>变更现有系统或软件的授权和批准</t>
    </r>
    <r>
      <rPr>
        <sz val="10"/>
        <rFont val="Arial"/>
        <charset val="134"/>
      </rPr>
      <t xml:space="preserve"> (</t>
    </r>
    <r>
      <rPr>
        <sz val="10"/>
        <rFont val="宋体"/>
        <charset val="134"/>
      </rPr>
      <t>例如，</t>
    </r>
    <r>
      <rPr>
        <sz val="10"/>
        <rFont val="Arial"/>
        <charset val="134"/>
      </rPr>
      <t>IT</t>
    </r>
    <r>
      <rPr>
        <sz val="10"/>
        <rFont val="宋体"/>
        <charset val="134"/>
      </rPr>
      <t>治理委员会或经理</t>
    </r>
    <r>
      <rPr>
        <sz val="10"/>
        <rFont val="Arial"/>
        <charset val="134"/>
      </rPr>
      <t xml:space="preserve">)
- </t>
    </r>
    <r>
      <rPr>
        <sz val="10"/>
        <rFont val="宋体"/>
        <charset val="134"/>
      </rPr>
      <t>变更现有系统或软件的设计和开发</t>
    </r>
    <r>
      <rPr>
        <sz val="10"/>
        <rFont val="Arial"/>
        <charset val="134"/>
      </rPr>
      <t xml:space="preserve"> (</t>
    </r>
    <r>
      <rPr>
        <sz val="10"/>
        <rFont val="宋体"/>
        <charset val="134"/>
      </rPr>
      <t>例如，</t>
    </r>
    <r>
      <rPr>
        <sz val="10"/>
        <rFont val="Arial"/>
        <charset val="134"/>
      </rPr>
      <t xml:space="preserve"> </t>
    </r>
    <r>
      <rPr>
        <sz val="10"/>
        <rFont val="宋体"/>
        <charset val="134"/>
      </rPr>
      <t>开发人员或程序员</t>
    </r>
    <r>
      <rPr>
        <sz val="10"/>
        <rFont val="Arial"/>
        <charset val="134"/>
      </rPr>
      <t xml:space="preserve">)
- </t>
    </r>
    <r>
      <rPr>
        <sz val="10"/>
        <rFont val="宋体"/>
        <charset val="134"/>
      </rPr>
      <t>变更现有系统或软件的复核和检查</t>
    </r>
    <r>
      <rPr>
        <sz val="10"/>
        <rFont val="Arial"/>
        <charset val="134"/>
      </rPr>
      <t xml:space="preserve"> (</t>
    </r>
    <r>
      <rPr>
        <sz val="10"/>
        <rFont val="宋体"/>
        <charset val="134"/>
      </rPr>
      <t>例如，其他开发人员、程序员。或工程师</t>
    </r>
    <r>
      <rPr>
        <sz val="10"/>
        <rFont val="Arial"/>
        <charset val="134"/>
      </rPr>
      <t xml:space="preserve">)
- </t>
    </r>
    <r>
      <rPr>
        <sz val="10"/>
        <rFont val="宋体"/>
        <charset val="134"/>
      </rPr>
      <t>变更现有系统或软件的实施</t>
    </r>
    <r>
      <rPr>
        <sz val="10"/>
        <rFont val="Arial"/>
        <charset val="134"/>
      </rPr>
      <t xml:space="preserve"> (</t>
    </r>
    <r>
      <rPr>
        <sz val="10"/>
        <rFont val="宋体"/>
        <charset val="134"/>
      </rPr>
      <t>例如，</t>
    </r>
    <r>
      <rPr>
        <sz val="10"/>
        <rFont val="Arial"/>
        <charset val="134"/>
      </rPr>
      <t xml:space="preserve"> </t>
    </r>
    <r>
      <rPr>
        <sz val="10"/>
        <rFont val="宋体"/>
        <charset val="134"/>
      </rPr>
      <t>软件变更或系统管理员</t>
    </r>
    <r>
      <rPr>
        <sz val="10"/>
        <rFont val="Arial"/>
        <charset val="134"/>
      </rPr>
      <t>)</t>
    </r>
  </si>
  <si>
    <r>
      <rPr>
        <b/>
        <sz val="10"/>
        <color rgb="FFFF0000"/>
        <rFont val="宋体"/>
        <charset val="134"/>
      </rPr>
      <t>示例</t>
    </r>
  </si>
  <si>
    <r>
      <rPr>
        <b/>
        <sz val="10"/>
        <rFont val="宋体"/>
        <charset val="134"/>
      </rPr>
      <t>人员（角色）</t>
    </r>
  </si>
  <si>
    <r>
      <rPr>
        <b/>
        <sz val="10"/>
        <rFont val="宋体"/>
        <charset val="134"/>
      </rPr>
      <t>授权和批准</t>
    </r>
  </si>
  <si>
    <r>
      <rPr>
        <b/>
        <sz val="10"/>
        <rFont val="宋体"/>
        <charset val="134"/>
      </rPr>
      <t>进程访问请求</t>
    </r>
  </si>
  <si>
    <r>
      <rPr>
        <b/>
        <sz val="10"/>
        <rFont val="宋体"/>
        <charset val="134"/>
      </rPr>
      <t>监督</t>
    </r>
  </si>
  <si>
    <r>
      <rPr>
        <b/>
        <sz val="10"/>
        <rFont val="宋体"/>
        <charset val="134"/>
      </rPr>
      <t>业务流程或财务报告流程</t>
    </r>
  </si>
  <si>
    <r>
      <rPr>
        <b/>
        <sz val="10"/>
        <rFont val="宋体"/>
        <charset val="134"/>
      </rPr>
      <t>存在职责分离问题</t>
    </r>
    <r>
      <rPr>
        <b/>
        <sz val="10"/>
        <rFont val="Arial"/>
        <charset val="134"/>
      </rPr>
      <t>?</t>
    </r>
  </si>
  <si>
    <r>
      <rPr>
        <b/>
        <sz val="10"/>
        <rFont val="宋体"/>
        <charset val="134"/>
      </rPr>
      <t>识别出缺陷</t>
    </r>
    <r>
      <rPr>
        <b/>
        <sz val="10"/>
        <rFont val="Arial"/>
        <charset val="134"/>
      </rPr>
      <t xml:space="preserve"> ?</t>
    </r>
  </si>
  <si>
    <r>
      <rPr>
        <b/>
        <sz val="10"/>
        <rFont val="宋体"/>
        <charset val="134"/>
      </rPr>
      <t>描述职责分离问题或已作出的重大判断</t>
    </r>
    <r>
      <rPr>
        <b/>
        <sz val="10"/>
        <rFont val="Arial"/>
        <charset val="134"/>
      </rPr>
      <t>(</t>
    </r>
    <r>
      <rPr>
        <b/>
        <sz val="10"/>
        <rFont val="宋体"/>
        <charset val="134"/>
      </rPr>
      <t>如有</t>
    </r>
    <r>
      <rPr>
        <b/>
        <sz val="10"/>
        <rFont val="Arial"/>
        <charset val="134"/>
      </rPr>
      <t>)</t>
    </r>
  </si>
  <si>
    <r>
      <rPr>
        <sz val="10"/>
        <rFont val="宋体"/>
        <charset val="134"/>
      </rPr>
      <t>系统管理员</t>
    </r>
  </si>
  <si>
    <t>√</t>
  </si>
  <si>
    <r>
      <rPr>
        <sz val="10"/>
        <color theme="1"/>
        <rFont val="宋体"/>
        <charset val="134"/>
      </rPr>
      <t>否</t>
    </r>
  </si>
  <si>
    <r>
      <rPr>
        <sz val="10"/>
        <rFont val="宋体"/>
        <charset val="134"/>
      </rPr>
      <t>人力资源经理</t>
    </r>
  </si>
  <si>
    <r>
      <rPr>
        <sz val="10"/>
        <rFont val="宋体"/>
        <charset val="134"/>
      </rPr>
      <t>财务总监</t>
    </r>
  </si>
  <si>
    <r>
      <rPr>
        <sz val="10"/>
        <color theme="1"/>
        <rFont val="宋体"/>
        <charset val="134"/>
      </rPr>
      <t>在这种情况下，对权利和财务报告的复核不会被视为相互冲突的职责。</t>
    </r>
  </si>
  <si>
    <r>
      <rPr>
        <sz val="10"/>
        <rFont val="宋体"/>
        <charset val="134"/>
      </rPr>
      <t>数据库管理员</t>
    </r>
  </si>
  <si>
    <r>
      <rPr>
        <sz val="10"/>
        <color theme="1"/>
        <rFont val="宋体"/>
        <charset val="134"/>
      </rPr>
      <t>是</t>
    </r>
  </si>
  <si>
    <r>
      <rPr>
        <sz val="10"/>
        <color theme="1"/>
        <rFont val="宋体"/>
        <charset val="134"/>
      </rPr>
      <t>角色能够在数据库中进行更改，但也可以为各种人员设计角色</t>
    </r>
  </si>
  <si>
    <r>
      <rPr>
        <sz val="10"/>
        <color theme="1"/>
        <rFont val="宋体"/>
        <charset val="134"/>
      </rPr>
      <t>在这种情况下，设计和财务报告会产生职责分离问题</t>
    </r>
  </si>
  <si>
    <r>
      <rPr>
        <b/>
        <sz val="10"/>
        <rFont val="宋体"/>
        <charset val="134"/>
      </rPr>
      <t>设计</t>
    </r>
    <r>
      <rPr>
        <b/>
        <sz val="10"/>
        <rFont val="Arial"/>
        <charset val="134"/>
      </rPr>
      <t>/</t>
    </r>
    <r>
      <rPr>
        <b/>
        <sz val="10"/>
        <rFont val="宋体"/>
        <charset val="134"/>
      </rPr>
      <t>开发</t>
    </r>
  </si>
  <si>
    <r>
      <rPr>
        <b/>
        <sz val="10"/>
        <rFont val="宋体"/>
        <charset val="134"/>
      </rPr>
      <t>复核</t>
    </r>
    <r>
      <rPr>
        <b/>
        <sz val="10"/>
        <rFont val="Arial"/>
        <charset val="134"/>
      </rPr>
      <t>/</t>
    </r>
    <r>
      <rPr>
        <b/>
        <sz val="10"/>
        <rFont val="宋体"/>
        <charset val="134"/>
      </rPr>
      <t>测试</t>
    </r>
  </si>
  <si>
    <r>
      <rPr>
        <b/>
        <sz val="10"/>
        <rFont val="宋体"/>
        <charset val="134"/>
      </rPr>
      <t>实施</t>
    </r>
  </si>
  <si>
    <r>
      <rPr>
        <sz val="10"/>
        <rFont val="宋体"/>
        <charset val="134"/>
      </rPr>
      <t>程序开发员</t>
    </r>
  </si>
  <si>
    <r>
      <rPr>
        <sz val="10"/>
        <color theme="1"/>
        <rFont val="宋体"/>
        <charset val="134"/>
      </rPr>
      <t>能够对系统进行更改并推进实施将导致职责分离问题。</t>
    </r>
  </si>
  <si>
    <r>
      <rPr>
        <sz val="10"/>
        <rFont val="Arial"/>
        <charset val="134"/>
      </rPr>
      <t>IT</t>
    </r>
    <r>
      <rPr>
        <sz val="10"/>
        <rFont val="宋体"/>
        <charset val="134"/>
      </rPr>
      <t>总监</t>
    </r>
  </si>
  <si>
    <r>
      <rPr>
        <sz val="10"/>
        <color theme="1"/>
        <rFont val="宋体"/>
        <charset val="134"/>
      </rPr>
      <t>更改授权和更改开发的职责将导致职责分离问题。</t>
    </r>
  </si>
  <si>
    <r>
      <rPr>
        <sz val="10"/>
        <rFont val="宋体"/>
        <charset val="134"/>
      </rPr>
      <t>运营经理</t>
    </r>
  </si>
  <si>
    <r>
      <rPr>
        <b/>
        <sz val="10"/>
        <rFont val="宋体"/>
        <charset val="134"/>
      </rPr>
      <t>新系统实施（引入和开发）</t>
    </r>
  </si>
  <si>
    <r>
      <rPr>
        <sz val="10"/>
        <rFont val="宋体"/>
        <charset val="134"/>
      </rPr>
      <t>项目经理</t>
    </r>
  </si>
  <si>
    <r>
      <rPr>
        <sz val="10"/>
        <color theme="1"/>
        <rFont val="宋体"/>
        <charset val="134"/>
      </rPr>
      <t>在这种情况下，授权新系统和财务报告不会导致相互冲突的职责。</t>
    </r>
  </si>
  <si>
    <r>
      <rPr>
        <sz val="10"/>
        <rFont val="宋体"/>
        <charset val="134"/>
      </rPr>
      <t>实施顾问（开发人员和程序员）</t>
    </r>
  </si>
  <si>
    <t>Entity Name</t>
  </si>
  <si>
    <t>IT general controls segregation of duties analysis</t>
  </si>
  <si>
    <t>Understanding of entity's process</t>
  </si>
  <si>
    <t>Obtain and document an understanding of the entity's process related to segregation of duties with respect to each relevant IT general controls category, including how the entity implements and monitors such segregation of duties. Describe segregation of duties issues identified by management and include such issues within the analysis below.</t>
  </si>
  <si>
    <t>Individual 1</t>
  </si>
  <si>
    <t>Individual 2</t>
  </si>
  <si>
    <t>Individual 3</t>
  </si>
  <si>
    <t>Individual 4</t>
  </si>
  <si>
    <t>Individual 5</t>
  </si>
  <si>
    <r>
      <rPr>
        <b/>
        <sz val="10"/>
        <rFont val="宋体"/>
        <charset val="134"/>
      </rPr>
      <t>致</t>
    </r>
    <r>
      <rPr>
        <b/>
        <sz val="10"/>
        <rFont val="Arial Narrow"/>
        <charset val="134"/>
      </rPr>
      <t xml:space="preserve"> </t>
    </r>
    <r>
      <rPr>
        <b/>
        <sz val="10"/>
        <rFont val="宋体"/>
        <charset val="134"/>
      </rPr>
      <t>同</t>
    </r>
    <r>
      <rPr>
        <b/>
        <sz val="10"/>
        <rFont val="Arial Narrow"/>
        <charset val="134"/>
      </rPr>
      <t xml:space="preserve"> </t>
    </r>
    <r>
      <rPr>
        <b/>
        <sz val="10"/>
        <rFont val="宋体"/>
        <charset val="134"/>
      </rPr>
      <t>会</t>
    </r>
    <r>
      <rPr>
        <b/>
        <sz val="10"/>
        <rFont val="Arial Narrow"/>
        <charset val="134"/>
      </rPr>
      <t xml:space="preserve"> </t>
    </r>
    <r>
      <rPr>
        <b/>
        <sz val="10"/>
        <rFont val="宋体"/>
        <charset val="134"/>
      </rPr>
      <t>计</t>
    </r>
    <r>
      <rPr>
        <b/>
        <sz val="10"/>
        <rFont val="Arial Narrow"/>
        <charset val="134"/>
      </rPr>
      <t xml:space="preserve"> </t>
    </r>
    <r>
      <rPr>
        <b/>
        <sz val="10"/>
        <rFont val="宋体"/>
        <charset val="134"/>
      </rPr>
      <t>师</t>
    </r>
    <r>
      <rPr>
        <b/>
        <sz val="10"/>
        <rFont val="Arial Narrow"/>
        <charset val="134"/>
      </rPr>
      <t xml:space="preserve"> </t>
    </r>
    <r>
      <rPr>
        <b/>
        <sz val="10"/>
        <rFont val="宋体"/>
        <charset val="134"/>
      </rPr>
      <t>事</t>
    </r>
    <r>
      <rPr>
        <b/>
        <sz val="10"/>
        <rFont val="Arial Narrow"/>
        <charset val="134"/>
      </rPr>
      <t xml:space="preserve"> </t>
    </r>
    <r>
      <rPr>
        <b/>
        <sz val="10"/>
        <rFont val="宋体"/>
        <charset val="134"/>
      </rPr>
      <t>务</t>
    </r>
    <r>
      <rPr>
        <b/>
        <sz val="10"/>
        <rFont val="Arial Narrow"/>
        <charset val="134"/>
      </rPr>
      <t xml:space="preserve"> </t>
    </r>
    <r>
      <rPr>
        <b/>
        <sz val="10"/>
        <rFont val="宋体"/>
        <charset val="134"/>
      </rPr>
      <t>所</t>
    </r>
  </si>
  <si>
    <t>IT一般控制职责分离分析</t>
  </si>
  <si>
    <t>被审计单位：</t>
  </si>
  <si>
    <t>编制人（项目负责经理）：</t>
  </si>
  <si>
    <t>编制日期：</t>
  </si>
  <si>
    <t>索引号：</t>
  </si>
  <si>
    <t>B22A-4-4</t>
  </si>
  <si>
    <t>截止日：</t>
  </si>
  <si>
    <t>复核人（项目合伙人）：</t>
  </si>
  <si>
    <t>复核日期：</t>
  </si>
  <si>
    <r>
      <rPr>
        <sz val="10"/>
        <rFont val="宋体"/>
        <charset val="134"/>
      </rPr>
      <t>页</t>
    </r>
    <r>
      <rPr>
        <sz val="10"/>
        <rFont val="Arial Narrow"/>
        <charset val="134"/>
      </rPr>
      <t xml:space="preserve">  </t>
    </r>
    <r>
      <rPr>
        <sz val="10"/>
        <rFont val="宋体"/>
        <charset val="134"/>
      </rPr>
      <t>次：</t>
    </r>
  </si>
  <si>
    <t>了解被审计单位流程</t>
  </si>
  <si>
    <r>
      <rPr>
        <sz val="10"/>
        <color rgb="FFFF0000"/>
        <rFont val="宋体"/>
        <charset val="134"/>
      </rPr>
      <t>获取并记录与每个</t>
    </r>
    <r>
      <rPr>
        <sz val="10"/>
        <color rgb="FFFF0000"/>
        <rFont val="Arial Narrow"/>
        <charset val="134"/>
      </rPr>
      <t>IT</t>
    </r>
    <r>
      <rPr>
        <sz val="10"/>
        <color rgb="FFFF0000"/>
        <rFont val="宋体"/>
        <charset val="134"/>
      </rPr>
      <t>一般控制类别的职责分离相关的被审计单位流程的了解，包括被审计单位如何执行和监督职责分离。描述管理层识别出的职责分离问题，并将其列入下表进行分析。</t>
    </r>
  </si>
  <si>
    <t>人员（角色）</t>
  </si>
  <si>
    <t>授权和批准</t>
  </si>
  <si>
    <t>进程访问请求</t>
  </si>
  <si>
    <t>监督</t>
  </si>
  <si>
    <t>业务流程或财务报告流程</t>
  </si>
  <si>
    <r>
      <rPr>
        <b/>
        <sz val="10"/>
        <rFont val="宋体"/>
        <charset val="134"/>
      </rPr>
      <t>存在职责分离问题</t>
    </r>
    <r>
      <rPr>
        <b/>
        <sz val="10"/>
        <rFont val="Arial Narrow"/>
        <charset val="134"/>
      </rPr>
      <t>?</t>
    </r>
  </si>
  <si>
    <r>
      <rPr>
        <b/>
        <sz val="10"/>
        <rFont val="宋体"/>
        <charset val="134"/>
      </rPr>
      <t>识别出缺陷</t>
    </r>
    <r>
      <rPr>
        <b/>
        <sz val="10"/>
        <rFont val="Arial Narrow"/>
        <charset val="134"/>
      </rPr>
      <t xml:space="preserve"> ?</t>
    </r>
  </si>
  <si>
    <r>
      <rPr>
        <b/>
        <sz val="10"/>
        <rFont val="宋体"/>
        <charset val="134"/>
      </rPr>
      <t>描述职责分离问题或已作出的重大判断</t>
    </r>
    <r>
      <rPr>
        <b/>
        <sz val="10"/>
        <rFont val="Arial Narrow"/>
        <charset val="134"/>
      </rPr>
      <t>(</t>
    </r>
    <r>
      <rPr>
        <b/>
        <sz val="10"/>
        <rFont val="宋体"/>
        <charset val="134"/>
      </rPr>
      <t>如有</t>
    </r>
    <r>
      <rPr>
        <b/>
        <sz val="10"/>
        <rFont val="Arial Narrow"/>
        <charset val="134"/>
      </rPr>
      <t>)</t>
    </r>
  </si>
  <si>
    <t>安全管理</t>
  </si>
  <si>
    <r>
      <rPr>
        <sz val="10"/>
        <rFont val="宋体"/>
        <charset val="134"/>
      </rPr>
      <t>人员</t>
    </r>
    <r>
      <rPr>
        <sz val="10"/>
        <rFont val="Arial Narrow"/>
        <charset val="134"/>
      </rPr>
      <t xml:space="preserve"> 1</t>
    </r>
  </si>
  <si>
    <r>
      <rPr>
        <sz val="10"/>
        <rFont val="宋体"/>
        <charset val="134"/>
      </rPr>
      <t>人员</t>
    </r>
    <r>
      <rPr>
        <sz val="10"/>
        <rFont val="Arial Narrow"/>
        <charset val="134"/>
      </rPr>
      <t xml:space="preserve"> 2</t>
    </r>
  </si>
  <si>
    <r>
      <rPr>
        <sz val="10"/>
        <rFont val="宋体"/>
        <charset val="134"/>
      </rPr>
      <t>人员</t>
    </r>
    <r>
      <rPr>
        <sz val="10"/>
        <rFont val="Arial Narrow"/>
        <charset val="134"/>
      </rPr>
      <t xml:space="preserve"> 3</t>
    </r>
  </si>
  <si>
    <r>
      <rPr>
        <sz val="10"/>
        <rFont val="宋体"/>
        <charset val="134"/>
      </rPr>
      <t>人员</t>
    </r>
    <r>
      <rPr>
        <sz val="10"/>
        <rFont val="Arial Narrow"/>
        <charset val="134"/>
      </rPr>
      <t xml:space="preserve"> 4</t>
    </r>
  </si>
  <si>
    <r>
      <rPr>
        <sz val="10"/>
        <rFont val="宋体"/>
        <charset val="134"/>
      </rPr>
      <t>人员</t>
    </r>
    <r>
      <rPr>
        <sz val="10"/>
        <rFont val="Arial Narrow"/>
        <charset val="134"/>
      </rPr>
      <t xml:space="preserve"> 5</t>
    </r>
  </si>
  <si>
    <t>个人（角色）</t>
  </si>
  <si>
    <r>
      <rPr>
        <b/>
        <sz val="10"/>
        <rFont val="宋体"/>
        <charset val="134"/>
      </rPr>
      <t>设计</t>
    </r>
    <r>
      <rPr>
        <b/>
        <sz val="10"/>
        <rFont val="Arial Narrow"/>
        <charset val="134"/>
      </rPr>
      <t xml:space="preserve"> / </t>
    </r>
    <r>
      <rPr>
        <b/>
        <sz val="10"/>
        <rFont val="宋体"/>
        <charset val="134"/>
      </rPr>
      <t>开发</t>
    </r>
  </si>
  <si>
    <r>
      <rPr>
        <b/>
        <sz val="10"/>
        <rFont val="宋体"/>
        <charset val="134"/>
      </rPr>
      <t>复核</t>
    </r>
    <r>
      <rPr>
        <b/>
        <sz val="10"/>
        <rFont val="Arial Narrow"/>
        <charset val="134"/>
      </rPr>
      <t>/</t>
    </r>
    <r>
      <rPr>
        <b/>
        <sz val="10"/>
        <rFont val="宋体"/>
        <charset val="134"/>
      </rPr>
      <t>测试</t>
    </r>
  </si>
  <si>
    <t>实施</t>
  </si>
  <si>
    <r>
      <rPr>
        <b/>
        <sz val="10"/>
        <rFont val="宋体"/>
        <charset val="134"/>
      </rPr>
      <t>技术维护</t>
    </r>
    <r>
      <rPr>
        <b/>
        <sz val="10"/>
        <rFont val="Arial Narrow"/>
        <charset val="134"/>
      </rPr>
      <t xml:space="preserve"> (</t>
    </r>
    <r>
      <rPr>
        <b/>
        <sz val="10"/>
        <rFont val="宋体"/>
        <charset val="134"/>
      </rPr>
      <t>包括程式变更控制</t>
    </r>
    <r>
      <rPr>
        <b/>
        <sz val="10"/>
        <rFont val="Arial Narrow"/>
        <charset val="134"/>
      </rPr>
      <t>)</t>
    </r>
  </si>
  <si>
    <r>
      <rPr>
        <b/>
        <sz val="10"/>
        <rFont val="宋体"/>
        <charset val="134"/>
      </rPr>
      <t>实施新系统</t>
    </r>
    <r>
      <rPr>
        <b/>
        <sz val="10"/>
        <rFont val="Arial Narrow"/>
        <charset val="134"/>
      </rPr>
      <t xml:space="preserve"> (</t>
    </r>
    <r>
      <rPr>
        <b/>
        <sz val="10"/>
        <rFont val="宋体"/>
        <charset val="134"/>
      </rPr>
      <t>采购和开发</t>
    </r>
    <r>
      <rPr>
        <b/>
        <sz val="10"/>
        <rFont val="Arial Narrow"/>
        <charset val="134"/>
      </rPr>
      <t>)</t>
    </r>
  </si>
  <si>
    <t>程序</t>
  </si>
  <si>
    <t>是或否</t>
  </si>
  <si>
    <t>是</t>
  </si>
  <si>
    <t>否</t>
  </si>
  <si>
    <t>C1</t>
  </si>
  <si>
    <t>Custom 1</t>
  </si>
  <si>
    <t>C2</t>
  </si>
  <si>
    <t>Custom 2</t>
  </si>
  <si>
    <t>C3</t>
  </si>
  <si>
    <t>Custom 3</t>
  </si>
  <si>
    <t>C4</t>
  </si>
  <si>
    <t>Custom 4</t>
  </si>
  <si>
    <t>C5</t>
  </si>
  <si>
    <t>Custom 5</t>
  </si>
  <si>
    <t>C6</t>
  </si>
  <si>
    <t>Custom 6</t>
  </si>
  <si>
    <t>C7</t>
  </si>
  <si>
    <t>Custom 7</t>
  </si>
  <si>
    <t>C8</t>
  </si>
  <si>
    <t>Custom 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</si>
</sst>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s>
  <fonts count="40">
    <font>
      <sz val="11"/>
      <color theme="1"/>
      <name val="宋体"/>
      <charset val="134"/>
      <scheme val="minor"/>
    </font>
    <font>
      <sz val="10"/>
      <color theme="1"/>
      <name val="Arial"/>
      <charset val="134"/>
    </font>
    <font>
      <sz val="10"/>
      <name val="宋体"/>
      <charset val="134"/>
    </font>
    <font>
      <sz val="10"/>
      <name val="Arial"/>
      <charset val="134"/>
    </font>
    <font>
      <sz val="10"/>
      <color theme="1"/>
      <name val="Arial Narrow"/>
      <charset val="134"/>
    </font>
    <font>
      <sz val="10"/>
      <name val="Arial Narrow"/>
      <charset val="134"/>
    </font>
    <font>
      <b/>
      <sz val="10"/>
      <name val="宋体"/>
      <charset val="134"/>
    </font>
    <font>
      <b/>
      <sz val="10"/>
      <color rgb="FF000000"/>
      <name val="宋体"/>
      <charset val="134"/>
    </font>
    <font>
      <b/>
      <sz val="10"/>
      <name val="Arial Narrow"/>
      <charset val="134"/>
    </font>
    <font>
      <sz val="10"/>
      <color rgb="FFFF0000"/>
      <name val="宋体"/>
      <charset val="134"/>
    </font>
    <font>
      <b/>
      <sz val="10"/>
      <color rgb="FFFF0000"/>
      <name val="Arial"/>
      <charset val="134"/>
    </font>
    <font>
      <b/>
      <sz val="10"/>
      <color theme="1"/>
      <name val="Arial"/>
      <charset val="134"/>
    </font>
    <font>
      <b/>
      <sz val="10"/>
      <color theme="0"/>
      <name val="Arial"/>
      <charset val="134"/>
    </font>
    <font>
      <sz val="10"/>
      <color rgb="FFFF0000"/>
      <name val="Arial"/>
      <charset val="134"/>
    </font>
    <font>
      <b/>
      <sz val="10"/>
      <name val="Arial"/>
      <charset val="134"/>
    </font>
    <font>
      <b/>
      <sz val="12"/>
      <color theme="0"/>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Times New Roman"/>
      <charset val="134"/>
    </font>
    <font>
      <sz val="10"/>
      <color indexed="8"/>
      <name val="Arial"/>
      <charset val="134"/>
    </font>
    <font>
      <sz val="10"/>
      <color theme="1"/>
      <name val="宋体"/>
      <charset val="134"/>
    </font>
    <font>
      <b/>
      <sz val="10"/>
      <color rgb="FFFF0000"/>
      <name val="宋体"/>
      <charset val="134"/>
    </font>
    <font>
      <sz val="10"/>
      <color rgb="FFFF0000"/>
      <name val="Arial Narrow"/>
      <charset val="134"/>
    </font>
  </fonts>
  <fills count="39">
    <fill>
      <patternFill patternType="none"/>
    </fill>
    <fill>
      <patternFill patternType="gray125"/>
    </fill>
    <fill>
      <patternFill patternType="solid">
        <fgColor theme="0"/>
        <bgColor indexed="64"/>
      </patternFill>
    </fill>
    <fill>
      <patternFill patternType="solid">
        <fgColor rgb="FFE4DFEC"/>
        <bgColor indexed="64"/>
      </patternFill>
    </fill>
    <fill>
      <patternFill patternType="solid">
        <fgColor theme="0" tint="-0.15"/>
        <bgColor indexed="64"/>
      </patternFill>
    </fill>
    <fill>
      <patternFill patternType="solid">
        <fgColor rgb="FF4F2D7F"/>
        <bgColor indexed="64"/>
      </patternFill>
    </fill>
    <fill>
      <patternFill patternType="solid">
        <fgColor theme="0" tint="-0.249977111117893"/>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2">
    <border>
      <left/>
      <right/>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8" borderId="24"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25" applyNumberFormat="0" applyFill="0" applyAlignment="0" applyProtection="0">
      <alignment vertical="center"/>
    </xf>
    <xf numFmtId="0" fontId="22" fillId="0" borderId="25" applyNumberFormat="0" applyFill="0" applyAlignment="0" applyProtection="0">
      <alignment vertical="center"/>
    </xf>
    <xf numFmtId="0" fontId="23" fillId="0" borderId="26" applyNumberFormat="0" applyFill="0" applyAlignment="0" applyProtection="0">
      <alignment vertical="center"/>
    </xf>
    <xf numFmtId="0" fontId="23" fillId="0" borderId="0" applyNumberFormat="0" applyFill="0" applyBorder="0" applyAlignment="0" applyProtection="0">
      <alignment vertical="center"/>
    </xf>
    <xf numFmtId="0" fontId="24" fillId="9" borderId="27" applyNumberFormat="0" applyAlignment="0" applyProtection="0">
      <alignment vertical="center"/>
    </xf>
    <xf numFmtId="0" fontId="25" fillId="10" borderId="28" applyNumberFormat="0" applyAlignment="0" applyProtection="0">
      <alignment vertical="center"/>
    </xf>
    <xf numFmtId="0" fontId="26" fillId="10" borderId="27" applyNumberFormat="0" applyAlignment="0" applyProtection="0">
      <alignment vertical="center"/>
    </xf>
    <xf numFmtId="0" fontId="27" fillId="11" borderId="29" applyNumberFormat="0" applyAlignment="0" applyProtection="0">
      <alignment vertical="center"/>
    </xf>
    <xf numFmtId="0" fontId="28" fillId="0" borderId="30" applyNumberFormat="0" applyFill="0" applyAlignment="0" applyProtection="0">
      <alignment vertical="center"/>
    </xf>
    <xf numFmtId="0" fontId="29" fillId="0" borderId="31" applyNumberFormat="0" applyFill="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4" fillId="36" borderId="0" applyNumberFormat="0" applyBorder="0" applyAlignment="0" applyProtection="0">
      <alignment vertical="center"/>
    </xf>
    <xf numFmtId="0" fontId="34" fillId="37" borderId="0" applyNumberFormat="0" applyBorder="0" applyAlignment="0" applyProtection="0">
      <alignment vertical="center"/>
    </xf>
    <xf numFmtId="0" fontId="33" fillId="38" borderId="0" applyNumberFormat="0" applyBorder="0" applyAlignment="0" applyProtection="0">
      <alignment vertical="center"/>
    </xf>
    <xf numFmtId="176" fontId="3" fillId="0" borderId="0" applyFont="0" applyFill="0" applyBorder="0" applyAlignment="0" applyProtection="0"/>
    <xf numFmtId="0" fontId="3" fillId="0" borderId="0"/>
    <xf numFmtId="0" fontId="3" fillId="0" borderId="0"/>
    <xf numFmtId="0" fontId="0" fillId="0" borderId="0"/>
    <xf numFmtId="0" fontId="1" fillId="0" borderId="0"/>
    <xf numFmtId="0" fontId="3" fillId="0" borderId="0"/>
    <xf numFmtId="0" fontId="3" fillId="0" borderId="0"/>
    <xf numFmtId="0" fontId="3" fillId="0" borderId="0"/>
    <xf numFmtId="0" fontId="35" fillId="0" borderId="0"/>
    <xf numFmtId="0" fontId="36" fillId="0" borderId="0">
      <alignment vertical="top"/>
    </xf>
  </cellStyleXfs>
  <cellXfs count="109">
    <xf numFmtId="0" fontId="0" fillId="0" borderId="0" xfId="0"/>
    <xf numFmtId="0" fontId="1" fillId="0" borderId="0" xfId="0" applyFont="1"/>
    <xf numFmtId="0" fontId="2" fillId="0" borderId="0" xfId="0" applyFont="1"/>
    <xf numFmtId="0" fontId="3" fillId="0" borderId="0" xfId="0" applyFont="1"/>
    <xf numFmtId="0" fontId="4" fillId="0" borderId="0" xfId="0" applyFont="1" applyFill="1" applyAlignment="1">
      <alignment vertical="center"/>
    </xf>
    <xf numFmtId="0" fontId="5" fillId="0" borderId="0" xfId="0" applyFont="1" applyAlignment="1">
      <alignment vertical="center"/>
    </xf>
    <xf numFmtId="0" fontId="4" fillId="0" borderId="0" xfId="0" applyFont="1" applyAlignment="1">
      <alignment vertical="center"/>
    </xf>
    <xf numFmtId="0" fontId="4" fillId="0" borderId="0" xfId="0" applyFont="1" applyAlignment="1">
      <alignment horizontal="center" vertical="center"/>
    </xf>
    <xf numFmtId="0" fontId="6" fillId="2" borderId="0" xfId="58" applyFont="1" applyFill="1" applyAlignment="1">
      <alignment horizontal="center" vertical="center"/>
    </xf>
    <xf numFmtId="0" fontId="7" fillId="2" borderId="0" xfId="58" applyFont="1" applyFill="1" applyAlignment="1">
      <alignment horizontal="center" vertical="center" wrapText="1"/>
    </xf>
    <xf numFmtId="0" fontId="2" fillId="2" borderId="0" xfId="58" applyFont="1" applyFill="1" applyAlignment="1">
      <alignment vertical="center"/>
    </xf>
    <xf numFmtId="0" fontId="5" fillId="2" borderId="0" xfId="58" applyFont="1" applyFill="1" applyAlignment="1">
      <alignment vertical="center"/>
    </xf>
    <xf numFmtId="0" fontId="2" fillId="2" borderId="0" xfId="58" applyFont="1" applyFill="1" applyAlignment="1">
      <alignment horizontal="left" vertical="center"/>
    </xf>
    <xf numFmtId="0" fontId="5" fillId="2" borderId="0" xfId="58" applyFont="1" applyFill="1" applyAlignment="1">
      <alignment horizontal="left" vertical="center"/>
    </xf>
    <xf numFmtId="0" fontId="2" fillId="2" borderId="0" xfId="58" applyFont="1" applyFill="1" applyAlignment="1">
      <alignment horizontal="right" vertical="center"/>
    </xf>
    <xf numFmtId="0" fontId="6" fillId="3" borderId="1" xfId="0" applyFont="1" applyFill="1" applyBorder="1" applyAlignment="1" applyProtection="1">
      <alignment horizontal="left" vertical="center" wrapText="1"/>
      <protection locked="0"/>
    </xf>
    <xf numFmtId="0" fontId="8" fillId="3" borderId="1" xfId="0" applyFont="1" applyFill="1" applyBorder="1" applyAlignment="1" applyProtection="1">
      <alignment horizontal="left" vertical="center" wrapText="1"/>
      <protection locked="0"/>
    </xf>
    <xf numFmtId="0" fontId="9" fillId="0" borderId="1" xfId="0" applyFont="1" applyBorder="1" applyAlignment="1">
      <alignment horizontal="left" vertical="center" wrapText="1"/>
    </xf>
    <xf numFmtId="0" fontId="5" fillId="0" borderId="1" xfId="0" applyFont="1" applyBorder="1" applyAlignment="1">
      <alignment horizontal="left" vertical="center" wrapText="1"/>
    </xf>
    <xf numFmtId="0" fontId="6" fillId="3" borderId="1" xfId="0" applyFont="1" applyFill="1" applyBorder="1" applyAlignment="1" applyProtection="1">
      <alignment horizontal="left" vertical="center"/>
      <protection locked="0"/>
    </xf>
    <xf numFmtId="0" fontId="6" fillId="3" borderId="1" xfId="0" applyFont="1" applyFill="1" applyBorder="1" applyAlignment="1" applyProtection="1">
      <alignment horizontal="center" vertical="center" wrapText="1"/>
      <protection locked="0"/>
    </xf>
    <xf numFmtId="0" fontId="6" fillId="3" borderId="2" xfId="0" applyFont="1" applyFill="1" applyBorder="1" applyAlignment="1" applyProtection="1">
      <alignment horizontal="center" vertical="center" wrapText="1"/>
      <protection locked="0"/>
    </xf>
    <xf numFmtId="0" fontId="6" fillId="3" borderId="3" xfId="0" applyFont="1" applyFill="1" applyBorder="1" applyAlignment="1" applyProtection="1">
      <alignment horizontal="center" vertical="center" wrapText="1"/>
      <protection locked="0"/>
    </xf>
    <xf numFmtId="0" fontId="6" fillId="4" borderId="1" xfId="0" applyFont="1" applyFill="1" applyBorder="1" applyAlignment="1" applyProtection="1">
      <alignment horizontal="left" vertical="center"/>
      <protection locked="0"/>
    </xf>
    <xf numFmtId="0" fontId="8" fillId="4" borderId="1" xfId="0" applyFont="1" applyFill="1" applyBorder="1" applyAlignment="1" applyProtection="1">
      <alignment horizontal="left" vertical="center"/>
      <protection locked="0"/>
    </xf>
    <xf numFmtId="0" fontId="2" fillId="0" borderId="1" xfId="50" applyFont="1" applyBorder="1" applyAlignment="1">
      <alignment horizontal="left" vertical="center"/>
    </xf>
    <xf numFmtId="0" fontId="3" fillId="0" borderId="1" xfId="50" applyFont="1" applyBorder="1" applyAlignment="1">
      <alignment horizontal="center" vertical="center"/>
    </xf>
    <xf numFmtId="0" fontId="3" fillId="0" borderId="2" xfId="50" applyFont="1" applyBorder="1" applyAlignment="1">
      <alignment horizontal="center" vertical="center"/>
    </xf>
    <xf numFmtId="0" fontId="3" fillId="0" borderId="3" xfId="5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5" fillId="0" borderId="0" xfId="50" applyFont="1" applyAlignment="1">
      <alignment vertical="center"/>
    </xf>
    <xf numFmtId="0" fontId="5" fillId="0" borderId="0" xfId="50" applyFont="1" applyAlignment="1">
      <alignment horizontal="center" vertical="center"/>
    </xf>
    <xf numFmtId="0" fontId="4" fillId="0" borderId="0" xfId="0" applyFont="1" applyAlignment="1">
      <alignment horizontal="left" vertical="center"/>
    </xf>
    <xf numFmtId="0" fontId="1" fillId="0" borderId="0" xfId="0" applyFont="1" applyAlignment="1">
      <alignment horizontal="center"/>
    </xf>
    <xf numFmtId="0" fontId="10" fillId="0" borderId="0" xfId="0" applyFont="1"/>
    <xf numFmtId="0" fontId="11" fillId="0" borderId="0" xfId="0" applyFont="1"/>
    <xf numFmtId="0" fontId="12" fillId="5" borderId="0" xfId="0" applyFont="1" applyFill="1" applyAlignment="1" applyProtection="1">
      <alignment horizontal="left" vertical="top" wrapText="1"/>
      <protection locked="0"/>
    </xf>
    <xf numFmtId="0" fontId="3" fillId="0" borderId="0" xfId="0" applyFont="1" applyAlignment="1">
      <alignment horizontal="left" vertical="top"/>
    </xf>
    <xf numFmtId="0" fontId="1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12" fillId="5" borderId="0" xfId="0" applyFont="1" applyFill="1" applyAlignment="1" applyProtection="1">
      <alignment horizontal="left"/>
      <protection locked="0"/>
    </xf>
    <xf numFmtId="0" fontId="12" fillId="5" borderId="0" xfId="0" applyFont="1" applyFill="1" applyAlignment="1" applyProtection="1">
      <alignment horizontal="center" wrapText="1"/>
      <protection locked="0"/>
    </xf>
    <xf numFmtId="0" fontId="12" fillId="5" borderId="0" xfId="0" applyFont="1" applyFill="1" applyAlignment="1" applyProtection="1">
      <alignment horizontal="left" wrapText="1"/>
      <protection locked="0"/>
    </xf>
    <xf numFmtId="0" fontId="3" fillId="0" borderId="0" xfId="50"/>
    <xf numFmtId="0" fontId="3" fillId="0" borderId="0" xfId="50" applyAlignment="1">
      <alignment horizontal="center"/>
    </xf>
    <xf numFmtId="0" fontId="3" fillId="0" borderId="0" xfId="50" applyAlignment="1">
      <alignment horizontal="center" vertical="top"/>
    </xf>
    <xf numFmtId="0" fontId="1" fillId="0" borderId="0" xfId="0" applyFont="1" applyAlignment="1">
      <alignment horizontal="left" vertical="top"/>
    </xf>
    <xf numFmtId="0" fontId="14" fillId="6" borderId="7" xfId="0" applyFont="1" applyFill="1" applyBorder="1" applyAlignment="1" applyProtection="1">
      <alignment horizontal="left" vertical="top"/>
      <protection locked="0"/>
    </xf>
    <xf numFmtId="0" fontId="14" fillId="6" borderId="8" xfId="0" applyFont="1" applyFill="1" applyBorder="1" applyAlignment="1" applyProtection="1">
      <alignment horizontal="left" vertical="top"/>
      <protection locked="0"/>
    </xf>
    <xf numFmtId="0" fontId="3" fillId="0" borderId="7" xfId="50" applyBorder="1" applyAlignment="1">
      <alignment horizontal="left" vertical="top"/>
    </xf>
    <xf numFmtId="0" fontId="3" fillId="0" borderId="7" xfId="50" applyBorder="1" applyAlignment="1">
      <alignment horizontal="center" vertical="center"/>
    </xf>
    <xf numFmtId="0" fontId="3" fillId="0" borderId="4" xfId="50" applyBorder="1" applyAlignment="1">
      <alignment horizontal="center" vertical="center"/>
    </xf>
    <xf numFmtId="0" fontId="1" fillId="7" borderId="8" xfId="0" applyFont="1" applyFill="1" applyBorder="1" applyAlignment="1">
      <alignment horizontal="center" wrapText="1"/>
    </xf>
    <xf numFmtId="0" fontId="1" fillId="0" borderId="6" xfId="0" applyFont="1" applyBorder="1" applyAlignment="1">
      <alignment horizontal="center" vertical="center"/>
    </xf>
    <xf numFmtId="0" fontId="1" fillId="0" borderId="7" xfId="0" applyFont="1" applyBorder="1" applyAlignment="1">
      <alignment horizontal="left" wrapText="1"/>
    </xf>
    <xf numFmtId="0" fontId="1" fillId="7" borderId="9" xfId="0" applyFont="1" applyFill="1" applyBorder="1" applyAlignment="1">
      <alignment horizontal="center" wrapText="1"/>
    </xf>
    <xf numFmtId="0" fontId="1" fillId="7" borderId="10" xfId="0" applyFont="1" applyFill="1" applyBorder="1" applyAlignment="1">
      <alignment horizontal="center" wrapText="1"/>
    </xf>
    <xf numFmtId="0" fontId="3" fillId="0" borderId="0" xfId="0" applyFont="1" applyAlignment="1">
      <alignment vertical="center"/>
    </xf>
    <xf numFmtId="0" fontId="1" fillId="0" borderId="0" xfId="0" applyFont="1" applyAlignment="1">
      <alignment vertical="center"/>
    </xf>
    <xf numFmtId="0" fontId="1" fillId="0" borderId="0" xfId="0" applyFont="1" applyAlignment="1">
      <alignment horizontal="center" vertical="center"/>
    </xf>
    <xf numFmtId="4" fontId="14" fillId="3" borderId="1" xfId="0" applyNumberFormat="1" applyFont="1" applyFill="1" applyBorder="1" applyAlignment="1">
      <alignment vertical="center"/>
    </xf>
    <xf numFmtId="17" fontId="10" fillId="0" borderId="11" xfId="0" applyNumberFormat="1" applyFont="1" applyBorder="1" applyAlignment="1">
      <alignment vertical="center" wrapText="1"/>
    </xf>
    <xf numFmtId="17" fontId="10" fillId="0" borderId="12" xfId="0" applyNumberFormat="1" applyFont="1" applyBorder="1" applyAlignment="1">
      <alignment vertical="center" wrapText="1"/>
    </xf>
    <xf numFmtId="17" fontId="10" fillId="0" borderId="13" xfId="0" applyNumberFormat="1" applyFont="1" applyBorder="1" applyAlignment="1">
      <alignment vertical="center" wrapText="1"/>
    </xf>
    <xf numFmtId="0" fontId="3" fillId="0" borderId="14" xfId="0" applyFont="1" applyBorder="1" applyAlignment="1">
      <alignment vertical="center" wrapText="1"/>
    </xf>
    <xf numFmtId="0" fontId="3" fillId="0" borderId="0" xfId="0" applyFont="1" applyBorder="1" applyAlignment="1">
      <alignment vertical="center" wrapText="1"/>
    </xf>
    <xf numFmtId="0" fontId="3" fillId="0" borderId="15" xfId="0" applyFont="1" applyBorder="1" applyAlignment="1">
      <alignment vertical="center" wrapText="1"/>
    </xf>
    <xf numFmtId="0" fontId="2" fillId="0" borderId="14" xfId="0" applyFont="1" applyBorder="1" applyAlignment="1">
      <alignment horizontal="left" vertical="center" wrapText="1"/>
    </xf>
    <xf numFmtId="0" fontId="3" fillId="0" borderId="0" xfId="0" applyFont="1" applyBorder="1" applyAlignment="1">
      <alignment horizontal="left" vertical="center" wrapText="1"/>
    </xf>
    <xf numFmtId="0" fontId="3" fillId="0" borderId="15" xfId="0" applyFont="1" applyBorder="1" applyAlignment="1">
      <alignment horizontal="left" vertical="center" wrapText="1"/>
    </xf>
    <xf numFmtId="0" fontId="3" fillId="0" borderId="16" xfId="0" applyFont="1" applyBorder="1" applyAlignment="1">
      <alignment horizontal="left"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10" fillId="0" borderId="0" xfId="0" applyFont="1" applyBorder="1" applyAlignment="1">
      <alignment horizontal="left" vertical="center" wrapText="1"/>
    </xf>
    <xf numFmtId="0" fontId="14" fillId="3" borderId="1" xfId="0" applyFont="1" applyFill="1" applyBorder="1" applyAlignment="1">
      <alignment horizontal="left" vertical="center" wrapText="1"/>
    </xf>
    <xf numFmtId="0" fontId="14" fillId="0" borderId="1" xfId="0" applyFont="1" applyFill="1" applyBorder="1" applyAlignment="1">
      <alignment vertical="center"/>
    </xf>
    <xf numFmtId="0" fontId="3" fillId="0" borderId="1" xfId="0" applyFont="1" applyFill="1" applyBorder="1" applyAlignment="1">
      <alignment vertical="center" wrapText="1"/>
    </xf>
    <xf numFmtId="0" fontId="14" fillId="0" borderId="1" xfId="0" applyFont="1" applyFill="1" applyBorder="1" applyAlignment="1">
      <alignment vertical="center" wrapText="1"/>
    </xf>
    <xf numFmtId="17" fontId="10" fillId="0" borderId="0" xfId="0" applyNumberFormat="1" applyFont="1" applyAlignment="1">
      <alignment vertical="center" wrapText="1"/>
    </xf>
    <xf numFmtId="0" fontId="14" fillId="3" borderId="1" xfId="0" applyFont="1" applyFill="1" applyBorder="1" applyAlignment="1" applyProtection="1">
      <alignment horizontal="left" vertical="center"/>
      <protection locked="0"/>
    </xf>
    <xf numFmtId="0" fontId="14" fillId="3" borderId="1" xfId="0" applyFont="1" applyFill="1" applyBorder="1" applyAlignment="1" applyProtection="1">
      <alignment horizontal="center" vertical="center" wrapText="1"/>
      <protection locked="0"/>
    </xf>
    <xf numFmtId="0" fontId="14" fillId="3" borderId="1" xfId="0" applyFont="1" applyFill="1" applyBorder="1" applyAlignment="1" applyProtection="1">
      <alignment horizontal="left" vertical="center" wrapText="1"/>
      <protection locked="0"/>
    </xf>
    <xf numFmtId="0" fontId="3" fillId="0" borderId="1" xfId="50" applyFont="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3" fillId="0" borderId="1" xfId="50" applyFont="1" applyBorder="1" applyAlignment="1">
      <alignment horizontal="left" vertical="center" wrapText="1"/>
    </xf>
    <xf numFmtId="4" fontId="15" fillId="5" borderId="0" xfId="0" applyNumberFormat="1" applyFont="1" applyFill="1" applyAlignment="1">
      <alignment horizontal="left" vertical="center"/>
    </xf>
    <xf numFmtId="0" fontId="1" fillId="5" borderId="0" xfId="0" applyFont="1" applyFill="1"/>
    <xf numFmtId="0" fontId="1" fillId="5" borderId="0" xfId="0" applyFont="1" applyFill="1" applyAlignment="1">
      <alignment horizontal="center"/>
    </xf>
    <xf numFmtId="17" fontId="10" fillId="0" borderId="0" xfId="0" applyNumberFormat="1" applyFont="1" applyAlignment="1">
      <alignment horizontal="left" wrapText="1"/>
    </xf>
    <xf numFmtId="0" fontId="10" fillId="0" borderId="0" xfId="0" applyFont="1" applyAlignment="1">
      <alignment horizontal="left" wrapText="1"/>
    </xf>
    <xf numFmtId="0" fontId="3" fillId="0" borderId="0" xfId="0" applyFont="1" applyAlignment="1">
      <alignment vertical="top" wrapText="1"/>
    </xf>
    <xf numFmtId="0" fontId="3" fillId="0" borderId="0" xfId="0" applyFont="1" applyAlignment="1">
      <alignment horizontal="left" vertical="top" wrapText="1"/>
    </xf>
    <xf numFmtId="0" fontId="10" fillId="0" borderId="19" xfId="0" applyFont="1" applyBorder="1" applyAlignment="1">
      <alignment horizontal="left" vertical="top" wrapText="1"/>
    </xf>
    <xf numFmtId="0" fontId="14" fillId="6" borderId="4" xfId="0" applyFont="1" applyFill="1" applyBorder="1" applyAlignment="1">
      <alignment horizontal="left" vertical="top" wrapText="1"/>
    </xf>
    <xf numFmtId="0" fontId="14" fillId="6" borderId="5" xfId="0" applyFont="1" applyFill="1" applyBorder="1" applyAlignment="1">
      <alignment horizontal="left" vertical="top" wrapText="1"/>
    </xf>
    <xf numFmtId="0" fontId="14" fillId="6" borderId="6" xfId="0" applyFont="1" applyFill="1" applyBorder="1" applyAlignment="1">
      <alignment horizontal="left" vertical="top" wrapText="1"/>
    </xf>
    <xf numFmtId="0" fontId="14" fillId="7" borderId="20" xfId="0" applyFont="1" applyFill="1" applyBorder="1" applyAlignment="1">
      <alignment vertical="top"/>
    </xf>
    <xf numFmtId="0" fontId="3" fillId="7" borderId="0" xfId="0" applyFont="1" applyFill="1" applyAlignment="1">
      <alignment vertical="top" wrapText="1"/>
    </xf>
    <xf numFmtId="0" fontId="3" fillId="7" borderId="21" xfId="0" applyFont="1" applyFill="1" applyBorder="1" applyAlignment="1">
      <alignment vertical="top" wrapText="1"/>
    </xf>
    <xf numFmtId="0" fontId="14" fillId="7" borderId="20" xfId="0" applyFont="1" applyFill="1" applyBorder="1" applyAlignment="1">
      <alignment vertical="top" wrapText="1"/>
    </xf>
    <xf numFmtId="0" fontId="14" fillId="7" borderId="22" xfId="0" applyFont="1" applyFill="1" applyBorder="1" applyAlignment="1">
      <alignment vertical="top" wrapText="1"/>
    </xf>
    <xf numFmtId="0" fontId="3" fillId="7" borderId="19" xfId="0" applyFont="1" applyFill="1" applyBorder="1" applyAlignment="1">
      <alignment vertical="top" wrapText="1"/>
    </xf>
    <xf numFmtId="0" fontId="3" fillId="7" borderId="23" xfId="0" applyFont="1" applyFill="1" applyBorder="1" applyAlignment="1">
      <alignment vertical="top" wrapText="1"/>
    </xf>
    <xf numFmtId="0" fontId="12" fillId="5" borderId="0" xfId="0" applyFont="1" applyFill="1" applyAlignment="1">
      <alignment horizontal="left" vertical="top" wrapText="1"/>
    </xf>
    <xf numFmtId="0" fontId="1" fillId="0" borderId="7" xfId="0" applyFont="1" applyBorder="1" applyAlignment="1">
      <alignment horizontal="left" vertical="top" wrapText="1"/>
    </xf>
    <xf numFmtId="0" fontId="3" fillId="0" borderId="7" xfId="50" applyBorder="1" applyAlignment="1">
      <alignment horizontal="left" vertical="top" wrapText="1"/>
    </xf>
    <xf numFmtId="17" fontId="10" fillId="0" borderId="0" xfId="0" applyNumberFormat="1" applyFont="1" applyAlignment="1" quotePrefix="1">
      <alignment horizontal="left" wrapText="1"/>
    </xf>
    <xf numFmtId="17" fontId="10" fillId="0" borderId="11" xfId="0" applyNumberFormat="1" applyFont="1" applyBorder="1" applyAlignment="1" quotePrefix="1">
      <alignment vertical="center" wrapText="1"/>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3" xfId="49"/>
    <cellStyle name="Normal 2" xfId="50"/>
    <cellStyle name="Normal 2 2" xfId="51"/>
    <cellStyle name="Normal 3" xfId="52"/>
    <cellStyle name="Normal 4" xfId="53"/>
    <cellStyle name="Normal 4 2" xfId="54"/>
    <cellStyle name="Normal 6" xfId="55"/>
    <cellStyle name="Normal 8" xfId="56"/>
    <cellStyle name="Normal_PMB AP-106" xfId="57"/>
    <cellStyle name="常规_B5审计项目工时预算与控制表(汇总－参考)" xfId="58"/>
  </cellStyles>
  <dxfs count="1">
    <dxf>
      <fill>
        <patternFill patternType="solid">
          <bgColor theme="0" tint="-0.14996795556505"/>
        </patternFill>
      </fill>
    </dxf>
  </dxfs>
  <tableStyles count="0" defaultTableStyle="TableStyleMedium2" defaultPivotStyle="PivotStyleLight16"/>
  <colors>
    <mruColors>
      <color rgb="004F2D7F"/>
      <color rgb="00B2A1C7"/>
      <color rgb="00E4DFE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3.xml"/><Relationship Id="rId8" Type="http://schemas.openxmlformats.org/officeDocument/2006/relationships/customXml" Target="../customXml/item2.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1.xml"/><Relationship Id="rId10" Type="http://schemas.openxmlformats.org/officeDocument/2006/relationships/customXml" Target="../customXml/item4.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20Data\Desktop\GT\1.&#24037;&#20316;\11.&#27169;&#26495;&#20462;&#35746;\2022&#24180;\LEAP&#27169;&#26495;@2022.06\IT%20general%20controls%20segregation%20of%20duties%20analysis%20template%20June%20202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ITGC SoD analysis"/>
      <sheetName val="Data"/>
      <sheetName val="GT_Custom"/>
    </sheetNames>
    <sheetDataSet>
      <sheetData sheetId="0" refreshError="1"/>
      <sheetData sheetId="1" refreshError="1"/>
      <sheetData sheetId="2">
        <row r="2">
          <cell r="B2" t="str">
            <v>Yes</v>
          </cell>
        </row>
        <row r="3">
          <cell r="A3" t="str">
            <v>X</v>
          </cell>
          <cell r="B3" t="str">
            <v>No</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35"/>
  <sheetViews>
    <sheetView showGridLines="0" zoomScale="90" zoomScaleNormal="90" workbookViewId="0">
      <selection activeCell="C11" sqref="C11:J11"/>
    </sheetView>
  </sheetViews>
  <sheetFormatPr defaultColWidth="9.12962962962963" defaultRowHeight="13.2"/>
  <cols>
    <col min="1" max="1" width="1.75" style="1" customWidth="1"/>
    <col min="2" max="2" width="26.8796296296296" style="1" customWidth="1"/>
    <col min="3" max="7" width="17" style="1" customWidth="1"/>
    <col min="8" max="8" width="12.75" style="34" customWidth="1"/>
    <col min="9" max="9" width="12.75" style="1" customWidth="1"/>
    <col min="10" max="10" width="33.1296296296296" style="1" customWidth="1"/>
    <col min="11" max="16384" width="9.12962962962963" style="1"/>
  </cols>
  <sheetData>
    <row r="1" ht="18.95" customHeight="1" spans="1:10">
      <c r="A1" s="88" t="s">
        <v>0</v>
      </c>
      <c r="B1" s="89"/>
      <c r="C1" s="89"/>
      <c r="D1" s="89"/>
      <c r="E1" s="89"/>
      <c r="F1" s="89"/>
      <c r="G1" s="89"/>
      <c r="H1" s="90"/>
      <c r="I1" s="89"/>
      <c r="J1" s="89"/>
    </row>
    <row r="2" ht="17.45" customHeight="1" spans="1:10">
      <c r="A2" s="109" t="s">
        <v>1</v>
      </c>
      <c r="B2" s="92"/>
      <c r="C2" s="92"/>
      <c r="D2" s="92"/>
      <c r="E2" s="92"/>
      <c r="F2" s="92"/>
      <c r="G2" s="92"/>
      <c r="H2" s="92"/>
      <c r="I2" s="92"/>
    </row>
    <row r="3" s="3" customFormat="1"/>
    <row r="4" s="3" customFormat="1" ht="33" customHeight="1" spans="1:10">
      <c r="B4" s="93" t="s">
        <v>2</v>
      </c>
      <c r="C4" s="93"/>
      <c r="D4" s="93"/>
      <c r="E4" s="93"/>
      <c r="F4" s="93"/>
      <c r="G4" s="93"/>
      <c r="H4" s="93"/>
      <c r="I4" s="93"/>
      <c r="J4" s="93"/>
    </row>
    <row r="5" s="3" customFormat="1" ht="57.95" customHeight="1" spans="1:10">
      <c r="B5" s="94" t="s">
        <v>3</v>
      </c>
      <c r="C5" s="94"/>
      <c r="D5" s="94"/>
      <c r="E5" s="94"/>
      <c r="F5" s="94"/>
      <c r="G5" s="94"/>
      <c r="H5" s="94"/>
      <c r="I5" s="94"/>
      <c r="J5" s="94"/>
    </row>
    <row r="6" s="3" customFormat="1" ht="33.95" customHeight="1" spans="1:10">
      <c r="B6" s="94" t="s">
        <v>4</v>
      </c>
      <c r="C6" s="94"/>
      <c r="D6" s="94"/>
      <c r="E6" s="94"/>
      <c r="F6" s="94"/>
      <c r="G6" s="94"/>
      <c r="H6" s="94"/>
      <c r="I6" s="94"/>
      <c r="J6" s="94"/>
    </row>
    <row r="7" s="3" customFormat="1" ht="21.6" customHeight="1" spans="1:10">
      <c r="B7" s="95" t="s">
        <v>5</v>
      </c>
      <c r="C7" s="95"/>
      <c r="D7" s="95"/>
      <c r="E7" s="95"/>
      <c r="F7" s="95"/>
      <c r="G7" s="95"/>
      <c r="H7" s="95"/>
      <c r="I7" s="95"/>
      <c r="J7" s="95"/>
    </row>
    <row r="8" s="3" customFormat="1" spans="1:10">
      <c r="B8" s="96" t="s">
        <v>6</v>
      </c>
      <c r="C8" s="97"/>
      <c r="D8" s="97"/>
      <c r="E8" s="97"/>
      <c r="F8" s="97"/>
      <c r="G8" s="97"/>
      <c r="H8" s="97"/>
      <c r="I8" s="97"/>
      <c r="J8" s="98"/>
    </row>
    <row r="9" s="3" customFormat="1" ht="50.1" customHeight="1" spans="1:10">
      <c r="B9" s="99" t="s">
        <v>7</v>
      </c>
      <c r="C9" s="100" t="s">
        <v>8</v>
      </c>
      <c r="D9" s="100"/>
      <c r="E9" s="100"/>
      <c r="F9" s="100"/>
      <c r="G9" s="100"/>
      <c r="H9" s="100"/>
      <c r="I9" s="100"/>
      <c r="J9" s="101"/>
    </row>
    <row r="10" s="3" customFormat="1" ht="84" customHeight="1" spans="1:10">
      <c r="B10" s="102" t="s">
        <v>9</v>
      </c>
      <c r="C10" s="100" t="s">
        <v>10</v>
      </c>
      <c r="D10" s="100"/>
      <c r="E10" s="100"/>
      <c r="F10" s="100"/>
      <c r="G10" s="100"/>
      <c r="H10" s="100"/>
      <c r="I10" s="100"/>
      <c r="J10" s="101"/>
    </row>
    <row r="11" s="3" customFormat="1" ht="82.5" customHeight="1" spans="1:10">
      <c r="B11" s="103" t="s">
        <v>11</v>
      </c>
      <c r="C11" s="104" t="s">
        <v>12</v>
      </c>
      <c r="D11" s="104"/>
      <c r="E11" s="104"/>
      <c r="F11" s="104"/>
      <c r="G11" s="104"/>
      <c r="H11" s="104"/>
      <c r="I11" s="104"/>
      <c r="J11" s="105"/>
    </row>
    <row r="12" s="3" customFormat="1"/>
    <row r="13" s="3" customFormat="1" spans="1:10">
      <c r="B13" s="106" t="s">
        <v>13</v>
      </c>
      <c r="C13" s="106"/>
      <c r="D13" s="106"/>
      <c r="E13" s="106"/>
      <c r="F13" s="106"/>
      <c r="G13" s="106"/>
      <c r="H13" s="106"/>
      <c r="I13" s="106"/>
      <c r="J13" s="106"/>
    </row>
    <row r="14" ht="66" spans="1:10">
      <c r="B14" s="42" t="s">
        <v>14</v>
      </c>
      <c r="C14" s="43" t="s">
        <v>15</v>
      </c>
      <c r="D14" s="43" t="s">
        <v>16</v>
      </c>
      <c r="E14" s="43" t="s">
        <v>17</v>
      </c>
      <c r="F14" s="43" t="s">
        <v>18</v>
      </c>
      <c r="G14" s="43"/>
      <c r="H14" s="43" t="s">
        <v>19</v>
      </c>
      <c r="I14" s="43" t="s">
        <v>20</v>
      </c>
      <c r="J14" s="44" t="s">
        <v>21</v>
      </c>
    </row>
    <row r="15" spans="1:10">
      <c r="B15" s="45"/>
      <c r="C15" s="46"/>
      <c r="D15" s="46"/>
      <c r="E15" s="46"/>
      <c r="F15" s="46"/>
      <c r="G15" s="46"/>
      <c r="H15" s="46"/>
      <c r="I15" s="47"/>
      <c r="J15" s="48"/>
    </row>
    <row r="16" s="3" customFormat="1" spans="1:10">
      <c r="B16" s="49" t="s">
        <v>7</v>
      </c>
      <c r="C16" s="49"/>
      <c r="D16" s="49"/>
      <c r="E16" s="49"/>
      <c r="F16" s="49"/>
      <c r="G16" s="50"/>
      <c r="H16" s="50"/>
      <c r="I16" s="49"/>
      <c r="J16" s="49"/>
    </row>
    <row r="17" spans="2:10">
      <c r="B17" s="51" t="s">
        <v>22</v>
      </c>
      <c r="C17" s="52" t="s">
        <v>23</v>
      </c>
      <c r="D17" s="52" t="s">
        <v>24</v>
      </c>
      <c r="E17" s="52" t="s">
        <v>23</v>
      </c>
      <c r="F17" s="53" t="s">
        <v>23</v>
      </c>
      <c r="G17" s="54"/>
      <c r="H17" s="55" t="str">
        <f>IF(COUNTIF(C17:F17,[1]Data!$A$3)&gt;1,[1]Data!$B$2,[1]Data!$B$3)</f>
        <v>No</v>
      </c>
      <c r="I17" s="55"/>
      <c r="J17" s="56"/>
    </row>
    <row r="18" spans="2:10">
      <c r="B18" s="51" t="s">
        <v>25</v>
      </c>
      <c r="C18" s="52" t="s">
        <v>24</v>
      </c>
      <c r="D18" s="52" t="s">
        <v>23</v>
      </c>
      <c r="E18" s="52" t="s">
        <v>23</v>
      </c>
      <c r="F18" s="53" t="s">
        <v>23</v>
      </c>
      <c r="G18" s="57"/>
      <c r="H18" s="55" t="str">
        <f>IF(COUNTIF(C18:F18,[1]Data!$A$3)&gt;1,[1]Data!$B$2,[1]Data!$B$3)</f>
        <v>No</v>
      </c>
      <c r="I18" s="55"/>
      <c r="J18" s="56"/>
    </row>
    <row r="19" ht="39.6" spans="2:10">
      <c r="B19" s="51" t="s">
        <v>26</v>
      </c>
      <c r="C19" s="52" t="s">
        <v>23</v>
      </c>
      <c r="D19" s="52" t="s">
        <v>23</v>
      </c>
      <c r="E19" s="52" t="s">
        <v>24</v>
      </c>
      <c r="F19" s="53" t="s">
        <v>24</v>
      </c>
      <c r="G19" s="57"/>
      <c r="H19" s="55" t="str">
        <f>IF(COUNTIF(C19:F19,[1]Data!$A$3)&gt;1,[1]Data!$B$2,[1]Data!$B$3)</f>
        <v>Yes</v>
      </c>
      <c r="I19" s="55" t="s">
        <v>27</v>
      </c>
      <c r="J19" s="56" t="s">
        <v>28</v>
      </c>
    </row>
    <row r="20" ht="52.8" spans="2:10">
      <c r="B20" s="51" t="s">
        <v>29</v>
      </c>
      <c r="C20" s="52" t="s">
        <v>24</v>
      </c>
      <c r="D20" s="52" t="s">
        <v>24</v>
      </c>
      <c r="E20" s="52" t="s">
        <v>23</v>
      </c>
      <c r="F20" s="53" t="s">
        <v>23</v>
      </c>
      <c r="G20" s="57"/>
      <c r="H20" s="55" t="str">
        <f>IF(COUNTIF(C20:F20,[1]Data!$A$3)&gt;1,[1]Data!$B$2,[1]Data!$B$3)</f>
        <v>Yes</v>
      </c>
      <c r="I20" s="55" t="s">
        <v>30</v>
      </c>
      <c r="J20" s="56" t="s">
        <v>31</v>
      </c>
    </row>
    <row r="21" ht="39.6" spans="2:10">
      <c r="B21" s="51" t="s">
        <v>26</v>
      </c>
      <c r="C21" s="52" t="s">
        <v>23</v>
      </c>
      <c r="D21" s="52" t="s">
        <v>24</v>
      </c>
      <c r="E21" s="52" t="s">
        <v>23</v>
      </c>
      <c r="F21" s="53" t="s">
        <v>24</v>
      </c>
      <c r="G21" s="58"/>
      <c r="H21" s="55" t="str">
        <f>IF(COUNTIF(C21:F21,[1]Data!$A$3)&gt;1,[1]Data!$B$2,[1]Data!$B$3)</f>
        <v>Yes</v>
      </c>
      <c r="I21" s="55" t="s">
        <v>30</v>
      </c>
      <c r="J21" s="56" t="s">
        <v>32</v>
      </c>
    </row>
    <row r="22" spans="2:10">
      <c r="B22" s="45"/>
      <c r="C22" s="46"/>
      <c r="D22" s="46"/>
      <c r="E22" s="46"/>
      <c r="F22" s="46"/>
      <c r="G22" s="46"/>
      <c r="H22" s="46"/>
      <c r="I22" s="47"/>
      <c r="J22" s="48"/>
    </row>
    <row r="23" s="3" customFormat="1" spans="2:10">
      <c r="B23" s="106" t="s">
        <v>13</v>
      </c>
      <c r="C23" s="106"/>
      <c r="D23" s="106"/>
      <c r="E23" s="106"/>
      <c r="F23" s="106"/>
      <c r="G23" s="106"/>
      <c r="H23" s="106"/>
      <c r="I23" s="106"/>
      <c r="J23" s="106"/>
    </row>
    <row r="24" ht="66" spans="2:10">
      <c r="B24" s="42" t="s">
        <v>14</v>
      </c>
      <c r="C24" s="43" t="s">
        <v>15</v>
      </c>
      <c r="D24" s="43" t="s">
        <v>33</v>
      </c>
      <c r="E24" s="43" t="s">
        <v>34</v>
      </c>
      <c r="F24" s="43" t="s">
        <v>35</v>
      </c>
      <c r="G24" s="43" t="s">
        <v>18</v>
      </c>
      <c r="H24" s="43" t="s">
        <v>19</v>
      </c>
      <c r="I24" s="43" t="s">
        <v>20</v>
      </c>
      <c r="J24" s="44" t="s">
        <v>21</v>
      </c>
    </row>
    <row r="25" spans="2:10">
      <c r="B25" s="45"/>
      <c r="C25" s="46"/>
      <c r="D25" s="46"/>
      <c r="E25" s="46"/>
      <c r="F25" s="46"/>
      <c r="G25" s="46"/>
      <c r="H25" s="46"/>
      <c r="I25" s="47"/>
      <c r="J25" s="48"/>
    </row>
    <row r="26" spans="2:10">
      <c r="B26" s="49" t="s">
        <v>11</v>
      </c>
      <c r="C26" s="49"/>
      <c r="D26" s="49"/>
      <c r="E26" s="49"/>
      <c r="F26" s="49"/>
      <c r="G26" s="49"/>
      <c r="H26" s="49"/>
      <c r="I26" s="49"/>
      <c r="J26" s="49"/>
    </row>
    <row r="27" ht="52.8" spans="2:10">
      <c r="B27" s="51" t="s">
        <v>36</v>
      </c>
      <c r="C27" s="52" t="s">
        <v>23</v>
      </c>
      <c r="D27" s="52" t="s">
        <v>24</v>
      </c>
      <c r="E27" s="52" t="s">
        <v>23</v>
      </c>
      <c r="F27" s="52" t="s">
        <v>24</v>
      </c>
      <c r="G27" s="52" t="s">
        <v>23</v>
      </c>
      <c r="H27" s="55" t="str">
        <f>IF(COUNTIF(C27:G27,[1]Data!$A$3)&gt;1,[1]Data!$B$2,[1]Data!$B$3)</f>
        <v>Yes</v>
      </c>
      <c r="I27" s="55" t="s">
        <v>30</v>
      </c>
      <c r="J27" s="56" t="s">
        <v>37</v>
      </c>
    </row>
    <row r="28" ht="39.6" spans="2:10">
      <c r="B28" s="51" t="s">
        <v>38</v>
      </c>
      <c r="C28" s="52" t="s">
        <v>24</v>
      </c>
      <c r="D28" s="52" t="s">
        <v>24</v>
      </c>
      <c r="E28" s="52" t="s">
        <v>23</v>
      </c>
      <c r="F28" s="52" t="s">
        <v>23</v>
      </c>
      <c r="G28" s="52" t="s">
        <v>23</v>
      </c>
      <c r="H28" s="55" t="str">
        <f>IF(COUNTIF(C28:G28,[1]Data!$A$3)&gt;1,[1]Data!$B$2,[1]Data!$B$3)</f>
        <v>Yes</v>
      </c>
      <c r="I28" s="55" t="s">
        <v>30</v>
      </c>
      <c r="J28" s="56" t="s">
        <v>39</v>
      </c>
    </row>
    <row r="29" spans="2:10">
      <c r="B29" s="51" t="s">
        <v>40</v>
      </c>
      <c r="C29" s="52" t="s">
        <v>23</v>
      </c>
      <c r="D29" s="52" t="s">
        <v>23</v>
      </c>
      <c r="E29" s="52" t="s">
        <v>23</v>
      </c>
      <c r="F29" s="52" t="s">
        <v>23</v>
      </c>
      <c r="G29" s="52" t="s">
        <v>24</v>
      </c>
      <c r="H29" s="55" t="str">
        <f>IF(COUNTIF(C29:G29,[1]Data!$A$3)&gt;1,[1]Data!$B$2,[1]Data!$B$3)</f>
        <v>No</v>
      </c>
      <c r="I29" s="55"/>
      <c r="J29" s="56"/>
    </row>
    <row r="31" spans="2:10">
      <c r="B31" s="49" t="s">
        <v>9</v>
      </c>
      <c r="C31" s="49"/>
      <c r="D31" s="49"/>
      <c r="E31" s="49"/>
      <c r="F31" s="49"/>
      <c r="G31" s="49"/>
      <c r="H31" s="49"/>
      <c r="I31" s="49"/>
      <c r="J31" s="49"/>
    </row>
    <row r="32" spans="2:10">
      <c r="B32" s="51" t="s">
        <v>41</v>
      </c>
      <c r="C32" s="52" t="s">
        <v>23</v>
      </c>
      <c r="D32" s="52" t="s">
        <v>23</v>
      </c>
      <c r="E32" s="52" t="s">
        <v>24</v>
      </c>
      <c r="F32" s="52" t="s">
        <v>23</v>
      </c>
      <c r="G32" s="52" t="s">
        <v>23</v>
      </c>
      <c r="H32" s="55" t="str">
        <f>IF(COUNTIF(C32:G32,[1]Data!$A$3)&gt;1,[1]Data!$B$2,[1]Data!$B$3)</f>
        <v>No</v>
      </c>
      <c r="I32" s="55"/>
      <c r="J32" s="56"/>
    </row>
    <row r="33" ht="40.5" customHeight="1" spans="2:10">
      <c r="B33" s="51" t="s">
        <v>26</v>
      </c>
      <c r="C33" s="52" t="s">
        <v>24</v>
      </c>
      <c r="D33" s="52" t="s">
        <v>23</v>
      </c>
      <c r="E33" s="52" t="s">
        <v>23</v>
      </c>
      <c r="F33" s="52" t="s">
        <v>24</v>
      </c>
      <c r="G33" s="52" t="s">
        <v>23</v>
      </c>
      <c r="H33" s="55" t="str">
        <f>IF(COUNTIF(C33:G33,[1]Data!$A$3)&gt;1,[1]Data!$B$2,[1]Data!$B$3)</f>
        <v>Yes</v>
      </c>
      <c r="I33" s="55" t="s">
        <v>27</v>
      </c>
      <c r="J33" s="107" t="s">
        <v>42</v>
      </c>
    </row>
    <row r="34" ht="26.4" spans="2:10">
      <c r="B34" s="108" t="s">
        <v>43</v>
      </c>
      <c r="C34" s="52" t="s">
        <v>23</v>
      </c>
      <c r="D34" s="52" t="s">
        <v>24</v>
      </c>
      <c r="E34" s="52" t="s">
        <v>23</v>
      </c>
      <c r="F34" s="52" t="s">
        <v>23</v>
      </c>
      <c r="G34" s="52" t="s">
        <v>23</v>
      </c>
      <c r="H34" s="55" t="str">
        <f>IF(COUNTIF(C34:G34,[1]Data!$A$3)&gt;1,[1]Data!$B$2,[1]Data!$B$3)</f>
        <v>No</v>
      </c>
      <c r="I34" s="55"/>
      <c r="J34" s="56"/>
    </row>
    <row r="35" spans="2:10">
      <c r="H35" s="1"/>
      <c r="I35" s="34"/>
    </row>
  </sheetData>
  <mergeCells count="15">
    <mergeCell ref="A2:I2"/>
    <mergeCell ref="B4:J4"/>
    <mergeCell ref="B5:J5"/>
    <mergeCell ref="B6:J6"/>
    <mergeCell ref="B7:J7"/>
    <mergeCell ref="B8:J8"/>
    <mergeCell ref="C9:J9"/>
    <mergeCell ref="C10:J10"/>
    <mergeCell ref="C11:J11"/>
    <mergeCell ref="B13:J13"/>
    <mergeCell ref="B16:J16"/>
    <mergeCell ref="B23:J23"/>
    <mergeCell ref="B26:J26"/>
    <mergeCell ref="B31:J31"/>
    <mergeCell ref="G17:G21"/>
  </mergeCells>
  <conditionalFormatting sqref="I17:J21 I27:J29 I32:J34">
    <cfRule type="expression" dxfId="0" priority="1">
      <formula>$H17=[1]Data!#REF!</formula>
    </cfRule>
  </conditionalFormatting>
  <dataValidations count="1">
    <dataValidation type="list" allowBlank="1" showInputMessage="1" showErrorMessage="1" sqref="I17:I21 I27:I29 I32:I34 C27:G29 C17:F21 C32:G34">
      <formula1>[1]Data!#REF!</formula1>
    </dataValidation>
  </dataValidations>
  <pageMargins left="0.25" right="0.25" top="0.75" bottom="0.75" header="0.3" footer="0.3"/>
  <pageSetup paperSize="5"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K30"/>
  <sheetViews>
    <sheetView showGridLines="0" tabSelected="1" view="pageBreakPreview" zoomScaleNormal="98" workbookViewId="0">
      <selection activeCell="A1" sqref="A1:I1"/>
    </sheetView>
  </sheetViews>
  <sheetFormatPr defaultColWidth="9.12962962962963" defaultRowHeight="13.2"/>
  <cols>
    <col min="1" max="1" width="26.8796296296296" style="60" customWidth="1"/>
    <col min="2" max="6" width="17" style="60" customWidth="1"/>
    <col min="7" max="7" width="12.75" style="61" customWidth="1"/>
    <col min="8" max="8" width="12.75" style="60" customWidth="1"/>
    <col min="9" max="9" width="33.1296296296296" style="60" customWidth="1"/>
    <col min="10" max="16384" width="9.12962962962963" style="60"/>
  </cols>
  <sheetData>
    <row r="1" ht="20" customHeight="1" spans="1:11">
      <c r="A1" s="62" t="s">
        <v>44</v>
      </c>
      <c r="B1" s="62"/>
      <c r="C1" s="62"/>
      <c r="D1" s="62"/>
      <c r="E1" s="62"/>
      <c r="F1" s="62"/>
      <c r="G1" s="62"/>
      <c r="H1" s="62"/>
      <c r="I1" s="62"/>
    </row>
    <row r="2" ht="20" customHeight="1" spans="1:11">
      <c r="A2" s="110" t="s">
        <v>45</v>
      </c>
      <c r="B2" s="64"/>
      <c r="C2" s="64"/>
      <c r="D2" s="64"/>
      <c r="E2" s="64"/>
      <c r="F2" s="64"/>
      <c r="G2" s="64"/>
      <c r="H2" s="64"/>
      <c r="I2" s="65"/>
    </row>
    <row r="3" s="59" customFormat="1" ht="20" customHeight="1" spans="1:11">
      <c r="A3" s="66" t="s">
        <v>46</v>
      </c>
      <c r="B3" s="67"/>
      <c r="C3" s="67"/>
      <c r="D3" s="67"/>
      <c r="E3" s="67"/>
      <c r="F3" s="67"/>
      <c r="G3" s="67"/>
      <c r="H3" s="67"/>
      <c r="I3" s="68"/>
    </row>
    <row r="4" s="59" customFormat="1" ht="44" customHeight="1" spans="1:11">
      <c r="A4" s="69" t="s">
        <v>47</v>
      </c>
      <c r="B4" s="70"/>
      <c r="C4" s="70"/>
      <c r="D4" s="70"/>
      <c r="E4" s="70"/>
      <c r="F4" s="70"/>
      <c r="G4" s="70"/>
      <c r="H4" s="70"/>
      <c r="I4" s="71"/>
    </row>
    <row r="5" s="59" customFormat="1" ht="32" customHeight="1" spans="1:11">
      <c r="A5" s="72" t="s">
        <v>48</v>
      </c>
      <c r="B5" s="73"/>
      <c r="C5" s="73"/>
      <c r="D5" s="73"/>
      <c r="E5" s="73"/>
      <c r="F5" s="73"/>
      <c r="G5" s="73"/>
      <c r="H5" s="73"/>
      <c r="I5" s="74"/>
    </row>
    <row r="6" s="59" customFormat="1" ht="20" customHeight="1" spans="1:11">
      <c r="A6" s="75" t="s">
        <v>49</v>
      </c>
      <c r="B6" s="75"/>
      <c r="C6" s="75"/>
      <c r="D6" s="75"/>
      <c r="E6" s="75"/>
      <c r="F6" s="75"/>
      <c r="G6" s="75"/>
      <c r="H6" s="75"/>
      <c r="I6" s="75"/>
    </row>
    <row r="7" s="59" customFormat="1" ht="20" customHeight="1" spans="1:11">
      <c r="A7" s="76" t="s">
        <v>50</v>
      </c>
      <c r="B7" s="76"/>
      <c r="C7" s="76"/>
      <c r="D7" s="76"/>
      <c r="E7" s="76"/>
      <c r="F7" s="76"/>
      <c r="G7" s="76"/>
      <c r="H7" s="76"/>
      <c r="I7" s="76"/>
    </row>
    <row r="8" s="59" customFormat="1" ht="28" customHeight="1" spans="1:11">
      <c r="A8" s="77" t="s">
        <v>51</v>
      </c>
      <c r="B8" s="78" t="s">
        <v>52</v>
      </c>
      <c r="C8" s="78"/>
      <c r="D8" s="78"/>
      <c r="E8" s="78"/>
      <c r="F8" s="78"/>
      <c r="G8" s="78"/>
      <c r="H8" s="78"/>
      <c r="I8" s="78"/>
    </row>
    <row r="9" s="59" customFormat="1" ht="69" customHeight="1" spans="1:11">
      <c r="A9" s="79" t="s">
        <v>53</v>
      </c>
      <c r="B9" s="78" t="s">
        <v>54</v>
      </c>
      <c r="C9" s="78"/>
      <c r="D9" s="78"/>
      <c r="E9" s="78"/>
      <c r="F9" s="78"/>
      <c r="G9" s="78"/>
      <c r="H9" s="78"/>
      <c r="I9" s="78"/>
    </row>
    <row r="10" s="59" customFormat="1" ht="69" customHeight="1" spans="1:11">
      <c r="A10" s="79" t="s">
        <v>55</v>
      </c>
      <c r="B10" s="78" t="s">
        <v>56</v>
      </c>
      <c r="C10" s="78"/>
      <c r="D10" s="78"/>
      <c r="E10" s="78"/>
      <c r="F10" s="78"/>
      <c r="G10" s="78"/>
      <c r="H10" s="78"/>
      <c r="I10" s="78"/>
    </row>
    <row r="11" s="59" customFormat="1" ht="20" customHeight="1" spans="1:11">
      <c r="A11" s="80" t="s">
        <v>57</v>
      </c>
      <c r="B11" s="80"/>
      <c r="C11" s="80"/>
      <c r="D11" s="80"/>
      <c r="E11" s="80"/>
      <c r="F11" s="80"/>
      <c r="G11" s="80"/>
      <c r="H11" s="80"/>
      <c r="I11" s="60"/>
    </row>
    <row r="12" s="60" customFormat="1" ht="30" customHeight="1" spans="1:11">
      <c r="A12" s="81" t="s">
        <v>58</v>
      </c>
      <c r="B12" s="82" t="s">
        <v>59</v>
      </c>
      <c r="C12" s="82" t="s">
        <v>60</v>
      </c>
      <c r="D12" s="82" t="s">
        <v>61</v>
      </c>
      <c r="E12" s="82" t="s">
        <v>62</v>
      </c>
      <c r="F12" s="82"/>
      <c r="G12" s="82" t="s">
        <v>63</v>
      </c>
      <c r="H12" s="82" t="s">
        <v>64</v>
      </c>
      <c r="I12" s="83" t="s">
        <v>65</v>
      </c>
    </row>
    <row r="13" s="59" customFormat="1" ht="20" customHeight="1" spans="1:11">
      <c r="A13" s="23" t="s">
        <v>51</v>
      </c>
      <c r="B13" s="24"/>
      <c r="C13" s="24"/>
      <c r="D13" s="24"/>
      <c r="E13" s="24"/>
      <c r="F13" s="24"/>
      <c r="G13" s="24"/>
      <c r="H13" s="24"/>
      <c r="I13" s="24"/>
    </row>
    <row r="14" s="60" customFormat="1" ht="20" customHeight="1" spans="1:11">
      <c r="A14" s="84" t="s">
        <v>66</v>
      </c>
      <c r="B14" s="26" t="s">
        <v>23</v>
      </c>
      <c r="C14" s="26" t="s">
        <v>67</v>
      </c>
      <c r="D14" s="26" t="s">
        <v>23</v>
      </c>
      <c r="E14" s="27" t="s">
        <v>23</v>
      </c>
      <c r="F14" s="28"/>
      <c r="G14" s="85" t="str">
        <f>IF(COUNTIF(B14:E14,Data!$A$3)&gt;1,Data!$B$2,Data!$B$3)</f>
        <v>否</v>
      </c>
      <c r="H14" s="85" t="s">
        <v>68</v>
      </c>
      <c r="I14" s="86"/>
      <c r="J14" s="59"/>
      <c r="K14" s="59"/>
    </row>
    <row r="15" s="60" customFormat="1" ht="20" customHeight="1" spans="1:11">
      <c r="A15" s="84" t="s">
        <v>69</v>
      </c>
      <c r="B15" s="26" t="s">
        <v>67</v>
      </c>
      <c r="C15" s="26" t="s">
        <v>23</v>
      </c>
      <c r="D15" s="26" t="s">
        <v>23</v>
      </c>
      <c r="E15" s="27" t="s">
        <v>23</v>
      </c>
      <c r="F15" s="28"/>
      <c r="G15" s="85" t="str">
        <f>IF(COUNTIF(B15:E15,Data!$A$3)&gt;1,Data!$B$2,Data!$B$3)</f>
        <v>否</v>
      </c>
      <c r="H15" s="85" t="s">
        <v>68</v>
      </c>
      <c r="I15" s="86"/>
      <c r="J15" s="59"/>
      <c r="K15" s="59"/>
    </row>
    <row r="16" s="60" customFormat="1" ht="28" customHeight="1" spans="1:11">
      <c r="A16" s="84" t="s">
        <v>70</v>
      </c>
      <c r="B16" s="26" t="s">
        <v>23</v>
      </c>
      <c r="C16" s="26" t="s">
        <v>23</v>
      </c>
      <c r="D16" s="26" t="s">
        <v>67</v>
      </c>
      <c r="E16" s="27" t="s">
        <v>67</v>
      </c>
      <c r="F16" s="28"/>
      <c r="G16" s="85" t="str">
        <f>IF(COUNTIF(B16:E16,Data!$A$3)&gt;1,Data!$B$2,Data!$B$3)</f>
        <v>否</v>
      </c>
      <c r="H16" s="85" t="s">
        <v>68</v>
      </c>
      <c r="I16" s="86" t="s">
        <v>71</v>
      </c>
      <c r="J16" s="59"/>
      <c r="K16" s="59"/>
    </row>
    <row r="17" s="60" customFormat="1" ht="28" customHeight="1" spans="1:9">
      <c r="A17" s="84" t="s">
        <v>72</v>
      </c>
      <c r="B17" s="26" t="s">
        <v>67</v>
      </c>
      <c r="C17" s="26" t="s">
        <v>67</v>
      </c>
      <c r="D17" s="26" t="s">
        <v>23</v>
      </c>
      <c r="E17" s="27" t="s">
        <v>23</v>
      </c>
      <c r="F17" s="28"/>
      <c r="G17" s="85" t="str">
        <f>IF(COUNTIF(B17:E17,Data!$A$3)&gt;1,Data!$B$2,Data!$B$3)</f>
        <v>否</v>
      </c>
      <c r="H17" s="85" t="s">
        <v>73</v>
      </c>
      <c r="I17" s="86" t="s">
        <v>74</v>
      </c>
    </row>
    <row r="18" s="60" customFormat="1" ht="28" customHeight="1" spans="1:9">
      <c r="A18" s="84" t="s">
        <v>70</v>
      </c>
      <c r="B18" s="26" t="s">
        <v>23</v>
      </c>
      <c r="C18" s="26" t="s">
        <v>67</v>
      </c>
      <c r="D18" s="26" t="s">
        <v>23</v>
      </c>
      <c r="E18" s="27" t="s">
        <v>67</v>
      </c>
      <c r="F18" s="28"/>
      <c r="G18" s="85" t="str">
        <f>IF(COUNTIF(B18:E18,Data!$A$3)&gt;1,Data!$B$2,Data!$B$3)</f>
        <v>否</v>
      </c>
      <c r="H18" s="85" t="s">
        <v>73</v>
      </c>
      <c r="I18" s="86" t="s">
        <v>75</v>
      </c>
    </row>
    <row r="19" s="59" customFormat="1" ht="20" customHeight="1" spans="1:9">
      <c r="A19" s="80" t="s">
        <v>57</v>
      </c>
      <c r="B19" s="80"/>
      <c r="C19" s="80"/>
      <c r="D19" s="80"/>
      <c r="E19" s="80"/>
      <c r="F19" s="80"/>
      <c r="G19" s="80"/>
      <c r="H19" s="80"/>
      <c r="I19" s="60"/>
    </row>
    <row r="20" s="59" customFormat="1" ht="28" customHeight="1" spans="1:9">
      <c r="A20" s="81" t="s">
        <v>58</v>
      </c>
      <c r="B20" s="82" t="s">
        <v>59</v>
      </c>
      <c r="C20" s="82" t="s">
        <v>76</v>
      </c>
      <c r="D20" s="82" t="s">
        <v>77</v>
      </c>
      <c r="E20" s="82" t="s">
        <v>78</v>
      </c>
      <c r="F20" s="82" t="s">
        <v>62</v>
      </c>
      <c r="G20" s="82" t="s">
        <v>63</v>
      </c>
      <c r="H20" s="82" t="s">
        <v>64</v>
      </c>
      <c r="I20" s="83" t="s">
        <v>65</v>
      </c>
    </row>
    <row r="21" ht="20" customHeight="1" spans="1:9">
      <c r="A21" s="23" t="s">
        <v>55</v>
      </c>
      <c r="B21" s="24"/>
      <c r="C21" s="24"/>
      <c r="D21" s="24"/>
      <c r="E21" s="24"/>
      <c r="F21" s="24"/>
      <c r="G21" s="24"/>
      <c r="H21" s="24"/>
      <c r="I21" s="24"/>
    </row>
    <row r="22" s="60" customFormat="1" ht="29" customHeight="1" spans="1:9">
      <c r="A22" s="84" t="s">
        <v>79</v>
      </c>
      <c r="B22" s="26" t="s">
        <v>23</v>
      </c>
      <c r="C22" s="26" t="s">
        <v>67</v>
      </c>
      <c r="D22" s="26" t="s">
        <v>23</v>
      </c>
      <c r="E22" s="26" t="s">
        <v>67</v>
      </c>
      <c r="F22" s="26" t="s">
        <v>23</v>
      </c>
      <c r="G22" s="85" t="str">
        <f>IF(COUNTIF(B22:F22,Data!$A$3)&gt;1,Data!$B$2,Data!$B$3)</f>
        <v>否</v>
      </c>
      <c r="H22" s="85" t="s">
        <v>73</v>
      </c>
      <c r="I22" s="86" t="s">
        <v>80</v>
      </c>
    </row>
    <row r="23" s="60" customFormat="1" ht="29" customHeight="1" spans="1:9">
      <c r="A23" s="84" t="s">
        <v>81</v>
      </c>
      <c r="B23" s="26" t="s">
        <v>67</v>
      </c>
      <c r="C23" s="26" t="s">
        <v>67</v>
      </c>
      <c r="D23" s="26" t="s">
        <v>23</v>
      </c>
      <c r="E23" s="26" t="s">
        <v>23</v>
      </c>
      <c r="F23" s="26" t="s">
        <v>23</v>
      </c>
      <c r="G23" s="85" t="str">
        <f>IF(COUNTIF(B23:F23,Data!$A$3)&gt;1,Data!$B$2,Data!$B$3)</f>
        <v>否</v>
      </c>
      <c r="H23" s="85" t="s">
        <v>73</v>
      </c>
      <c r="I23" s="86" t="s">
        <v>82</v>
      </c>
    </row>
    <row r="24" s="60" customFormat="1" ht="20" customHeight="1" spans="1:9">
      <c r="A24" s="84" t="s">
        <v>83</v>
      </c>
      <c r="B24" s="26" t="s">
        <v>23</v>
      </c>
      <c r="C24" s="26" t="s">
        <v>23</v>
      </c>
      <c r="D24" s="26" t="s">
        <v>23</v>
      </c>
      <c r="E24" s="26" t="s">
        <v>23</v>
      </c>
      <c r="F24" s="26" t="s">
        <v>67</v>
      </c>
      <c r="G24" s="85" t="str">
        <f>IF(COUNTIF(B24:F24,Data!$A$3)&gt;1,Data!$B$2,Data!$B$3)</f>
        <v>否</v>
      </c>
      <c r="H24" s="85"/>
      <c r="I24" s="86"/>
    </row>
    <row r="25" ht="20" customHeight="1"/>
    <row r="26" ht="20" customHeight="1" spans="1:9">
      <c r="A26" s="23" t="s">
        <v>84</v>
      </c>
      <c r="B26" s="24"/>
      <c r="C26" s="24"/>
      <c r="D26" s="24"/>
      <c r="E26" s="24"/>
      <c r="F26" s="24"/>
      <c r="G26" s="24"/>
      <c r="H26" s="24"/>
      <c r="I26" s="24"/>
    </row>
    <row r="27" s="60" customFormat="1" ht="20" customHeight="1" spans="1:9">
      <c r="A27" s="84" t="s">
        <v>85</v>
      </c>
      <c r="B27" s="26" t="s">
        <v>23</v>
      </c>
      <c r="C27" s="26" t="s">
        <v>23</v>
      </c>
      <c r="D27" s="26" t="s">
        <v>67</v>
      </c>
      <c r="E27" s="26" t="s">
        <v>23</v>
      </c>
      <c r="F27" s="26" t="s">
        <v>23</v>
      </c>
      <c r="G27" s="85" t="str">
        <f>IF(COUNTIF(B27:F27,Data!$A$3)&gt;1,Data!$B$2,Data!$B$3)</f>
        <v>否</v>
      </c>
      <c r="H27" s="85"/>
      <c r="I27" s="86"/>
    </row>
    <row r="28" s="60" customFormat="1" ht="29" customHeight="1" spans="1:9">
      <c r="A28" s="84" t="s">
        <v>70</v>
      </c>
      <c r="B28" s="26" t="s">
        <v>67</v>
      </c>
      <c r="C28" s="26" t="s">
        <v>23</v>
      </c>
      <c r="D28" s="26" t="s">
        <v>23</v>
      </c>
      <c r="E28" s="26" t="s">
        <v>67</v>
      </c>
      <c r="F28" s="26" t="s">
        <v>23</v>
      </c>
      <c r="G28" s="85" t="str">
        <f>IF(COUNTIF(B28:F28,Data!$A$3)&gt;1,Data!$B$2,Data!$B$3)</f>
        <v>否</v>
      </c>
      <c r="H28" s="85" t="s">
        <v>68</v>
      </c>
      <c r="I28" s="86" t="s">
        <v>86</v>
      </c>
    </row>
    <row r="29" s="60" customFormat="1" ht="27" customHeight="1" spans="1:9">
      <c r="A29" s="87" t="s">
        <v>87</v>
      </c>
      <c r="B29" s="26" t="s">
        <v>23</v>
      </c>
      <c r="C29" s="26" t="s">
        <v>67</v>
      </c>
      <c r="D29" s="26" t="s">
        <v>23</v>
      </c>
      <c r="E29" s="26" t="s">
        <v>23</v>
      </c>
      <c r="F29" s="26" t="s">
        <v>23</v>
      </c>
      <c r="G29" s="85" t="str">
        <f>IF(COUNTIF(B29:F29,Data!$A$3)&gt;1,Data!$B$2,Data!$B$3)</f>
        <v>否</v>
      </c>
      <c r="H29" s="85"/>
      <c r="I29" s="86"/>
    </row>
    <row r="30" spans="1:9">
      <c r="G30" s="60"/>
      <c r="H30" s="61"/>
    </row>
  </sheetData>
  <mergeCells count="19">
    <mergeCell ref="A1:I1"/>
    <mergeCell ref="A2:I2"/>
    <mergeCell ref="A3:I3"/>
    <mergeCell ref="A4:I4"/>
    <mergeCell ref="A5:I5"/>
    <mergeCell ref="A6:I6"/>
    <mergeCell ref="A7:I7"/>
    <mergeCell ref="B8:I8"/>
    <mergeCell ref="B9:I9"/>
    <mergeCell ref="B10:I10"/>
    <mergeCell ref="E12:F12"/>
    <mergeCell ref="A13:I13"/>
    <mergeCell ref="E14:F14"/>
    <mergeCell ref="E15:F15"/>
    <mergeCell ref="E16:F16"/>
    <mergeCell ref="E17:F17"/>
    <mergeCell ref="E18:F18"/>
    <mergeCell ref="A21:I21"/>
    <mergeCell ref="A26:I26"/>
  </mergeCells>
  <dataValidations count="2">
    <dataValidation type="list" allowBlank="1" showInputMessage="1" showErrorMessage="1" sqref="H14:H18 H22:H24 H27:H29">
      <formula1>Data!$B$2:$B$3</formula1>
    </dataValidation>
    <dataValidation type="list" allowBlank="1" showInputMessage="1" showErrorMessage="1" sqref="B16:F18 B22:F24 B14:F15 B27:F29">
      <formula1>"-,√"</formula1>
    </dataValidation>
  </dataValidations>
  <pageMargins left="0.708333333333333" right="0.708333333333333" top="0.747916666666667" bottom="0.747916666666667" header="0.314583333333333" footer="0.314583333333333"/>
  <pageSetup paperSize="5" scale="96" orientation="landscape" blackAndWhite="1" horizontalDpi="600"/>
  <headerFooter>
    <oddFooter>&amp;C&amp;P/&amp;N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J32"/>
  <sheetViews>
    <sheetView showGridLines="0" zoomScale="80" zoomScaleNormal="80" workbookViewId="0">
      <selection activeCell="A3" sqref="A3"/>
    </sheetView>
  </sheetViews>
  <sheetFormatPr defaultColWidth="9.12962962962963" defaultRowHeight="13.2"/>
  <cols>
    <col min="1" max="1" width="1.75" style="1" customWidth="1"/>
    <col min="2" max="2" width="18.5" style="1" customWidth="1"/>
    <col min="3" max="7" width="18.25" style="1" customWidth="1"/>
    <col min="8" max="8" width="12.75" style="1" customWidth="1"/>
    <col min="9" max="9" width="12.75" style="34" customWidth="1"/>
    <col min="10" max="10" width="34.5" style="1" customWidth="1"/>
    <col min="11" max="16384" width="9.12962962962963" style="1"/>
  </cols>
  <sheetData>
    <row r="1" ht="15.6" customHeight="1" spans="1:10">
      <c r="A1" s="35" t="s">
        <v>88</v>
      </c>
    </row>
    <row r="2" spans="1:10">
      <c r="A2" s="36" t="s">
        <v>89</v>
      </c>
    </row>
    <row r="3" spans="1:10">
      <c r="A3" s="35" t="s">
        <v>1</v>
      </c>
    </row>
    <row r="4" s="3" customFormat="1" ht="16.5" customHeight="1"/>
    <row r="5" s="3" customFormat="1" ht="16.5" customHeight="1" spans="1:10">
      <c r="B5" s="37" t="s">
        <v>90</v>
      </c>
      <c r="C5" s="37"/>
      <c r="D5" s="37"/>
      <c r="E5" s="37"/>
      <c r="F5" s="37"/>
      <c r="G5" s="37"/>
      <c r="H5" s="37"/>
      <c r="I5" s="37"/>
      <c r="J5" s="37"/>
    </row>
    <row r="6" s="3" customFormat="1" ht="12.6" customHeight="1" spans="1:10">
      <c r="B6" s="38"/>
      <c r="C6" s="38"/>
      <c r="D6" s="38"/>
      <c r="E6" s="38"/>
      <c r="F6" s="38"/>
      <c r="G6" s="38"/>
      <c r="H6" s="38"/>
      <c r="I6" s="38"/>
      <c r="J6" s="38"/>
    </row>
    <row r="7" s="3" customFormat="1" ht="64.5" customHeight="1" spans="1:10">
      <c r="B7" s="39" t="s">
        <v>91</v>
      </c>
      <c r="C7" s="40"/>
      <c r="D7" s="40"/>
      <c r="E7" s="40"/>
      <c r="F7" s="40"/>
      <c r="G7" s="40"/>
      <c r="H7" s="40"/>
      <c r="I7" s="40"/>
      <c r="J7" s="41"/>
    </row>
    <row r="8" s="3" customFormat="1" ht="16.5" customHeight="1"/>
    <row r="9" ht="66" spans="1:10">
      <c r="B9" s="42" t="s">
        <v>14</v>
      </c>
      <c r="C9" s="43" t="s">
        <v>15</v>
      </c>
      <c r="D9" s="43" t="s">
        <v>16</v>
      </c>
      <c r="E9" s="43" t="s">
        <v>17</v>
      </c>
      <c r="F9" s="43" t="s">
        <v>18</v>
      </c>
      <c r="G9" s="43"/>
      <c r="H9" s="43" t="s">
        <v>19</v>
      </c>
      <c r="I9" s="43" t="s">
        <v>20</v>
      </c>
      <c r="J9" s="44" t="s">
        <v>21</v>
      </c>
    </row>
    <row r="10" spans="1:10">
      <c r="B10" s="45"/>
      <c r="C10" s="46"/>
      <c r="D10" s="46"/>
      <c r="E10" s="46"/>
      <c r="F10" s="46"/>
      <c r="G10" s="46"/>
      <c r="H10" s="46"/>
      <c r="I10" s="47"/>
      <c r="J10" s="48"/>
    </row>
    <row r="11" s="3" customFormat="1" spans="1:10">
      <c r="B11" s="49" t="s">
        <v>7</v>
      </c>
      <c r="C11" s="49"/>
      <c r="D11" s="49"/>
      <c r="E11" s="49"/>
      <c r="F11" s="49"/>
      <c r="G11" s="50"/>
      <c r="H11" s="50"/>
      <c r="I11" s="49"/>
      <c r="J11" s="49"/>
    </row>
    <row r="12" spans="1:10">
      <c r="B12" s="51" t="s">
        <v>92</v>
      </c>
      <c r="C12" s="52" t="s">
        <v>24</v>
      </c>
      <c r="D12" s="52" t="s">
        <v>24</v>
      </c>
      <c r="E12" s="52" t="s">
        <v>24</v>
      </c>
      <c r="F12" s="53" t="s">
        <v>24</v>
      </c>
      <c r="G12" s="54"/>
      <c r="H12" s="55" t="str">
        <f>IF(COUNTIF(C12:F12,[1]Data!$A$3)&gt;1,[1]Data!$B$2,[1]Data!$B$3)</f>
        <v>Yes</v>
      </c>
      <c r="I12" s="55"/>
      <c r="J12" s="56"/>
    </row>
    <row r="13" spans="1:10">
      <c r="B13" s="51" t="s">
        <v>93</v>
      </c>
      <c r="C13" s="52"/>
      <c r="D13" s="52"/>
      <c r="E13" s="52"/>
      <c r="F13" s="53"/>
      <c r="G13" s="57"/>
      <c r="H13" s="55" t="str">
        <f>IF(COUNTIF(C13:F13,[1]Data!$A$3)&gt;1,[1]Data!$B$2,[1]Data!$B$3)</f>
        <v>No</v>
      </c>
      <c r="I13" s="55"/>
      <c r="J13" s="56"/>
    </row>
    <row r="14" spans="1:10">
      <c r="B14" s="51" t="s">
        <v>94</v>
      </c>
      <c r="C14" s="52"/>
      <c r="D14" s="52"/>
      <c r="E14" s="52"/>
      <c r="F14" s="53"/>
      <c r="G14" s="57"/>
      <c r="H14" s="55" t="str">
        <f>IF(COUNTIF(C14:F14,[1]Data!$A$3)&gt;1,[1]Data!$B$2,[1]Data!$B$3)</f>
        <v>No</v>
      </c>
      <c r="I14" s="55"/>
      <c r="J14" s="56"/>
    </row>
    <row r="15" spans="1:10">
      <c r="B15" s="51" t="s">
        <v>95</v>
      </c>
      <c r="C15" s="52"/>
      <c r="D15" s="52"/>
      <c r="E15" s="52"/>
      <c r="F15" s="53"/>
      <c r="G15" s="57"/>
      <c r="H15" s="55" t="str">
        <f>IF(COUNTIF(C15:F15,[1]Data!$A$3)&gt;1,[1]Data!$B$2,[1]Data!$B$3)</f>
        <v>No</v>
      </c>
      <c r="I15" s="55"/>
      <c r="J15" s="56"/>
    </row>
    <row r="16" spans="1:10">
      <c r="B16" s="51" t="s">
        <v>96</v>
      </c>
      <c r="C16" s="52"/>
      <c r="D16" s="52"/>
      <c r="E16" s="52"/>
      <c r="F16" s="53"/>
      <c r="G16" s="58"/>
      <c r="H16" s="55" t="str">
        <f>IF(COUNTIF(C16:F16,[1]Data!$A$3)&gt;1,[1]Data!$B$2,[1]Data!$B$3)</f>
        <v>No</v>
      </c>
      <c r="I16" s="55"/>
      <c r="J16" s="56"/>
    </row>
    <row r="17" spans="2:10">
      <c r="B17" s="45"/>
      <c r="C17" s="46"/>
      <c r="D17" s="46"/>
      <c r="E17" s="46"/>
      <c r="F17" s="46"/>
      <c r="G17" s="46"/>
      <c r="H17" s="46"/>
      <c r="I17" s="47"/>
      <c r="J17" s="48"/>
    </row>
    <row r="18" ht="66" spans="2:10">
      <c r="B18" s="42" t="s">
        <v>14</v>
      </c>
      <c r="C18" s="43" t="s">
        <v>15</v>
      </c>
      <c r="D18" s="43" t="s">
        <v>33</v>
      </c>
      <c r="E18" s="43" t="s">
        <v>34</v>
      </c>
      <c r="F18" s="43" t="s">
        <v>35</v>
      </c>
      <c r="G18" s="43" t="s">
        <v>18</v>
      </c>
      <c r="H18" s="43" t="s">
        <v>19</v>
      </c>
      <c r="I18" s="43" t="s">
        <v>20</v>
      </c>
      <c r="J18" s="44" t="s">
        <v>21</v>
      </c>
    </row>
    <row r="19" spans="2:10">
      <c r="B19" s="45"/>
      <c r="C19" s="46"/>
      <c r="D19" s="46"/>
      <c r="E19" s="46"/>
      <c r="F19" s="46"/>
      <c r="G19" s="46"/>
      <c r="H19" s="46"/>
      <c r="I19" s="47"/>
      <c r="J19" s="48"/>
    </row>
    <row r="20" spans="2:10">
      <c r="B20" s="49" t="s">
        <v>11</v>
      </c>
      <c r="C20" s="49"/>
      <c r="D20" s="49"/>
      <c r="E20" s="49"/>
      <c r="F20" s="49"/>
      <c r="G20" s="49"/>
      <c r="H20" s="49"/>
      <c r="I20" s="49"/>
      <c r="J20" s="49"/>
    </row>
    <row r="21" spans="2:10">
      <c r="B21" s="51" t="s">
        <v>92</v>
      </c>
      <c r="C21" s="52"/>
      <c r="D21" s="52"/>
      <c r="E21" s="52"/>
      <c r="F21" s="52"/>
      <c r="G21" s="52"/>
      <c r="H21" s="55" t="str">
        <f>IF(COUNTIF(C21:G21,[1]Data!$A$3)&gt;1,[1]Data!$B$2,[1]Data!$B$3)</f>
        <v>No</v>
      </c>
      <c r="I21" s="55"/>
      <c r="J21" s="56"/>
    </row>
    <row r="22" spans="2:10">
      <c r="B22" s="51" t="s">
        <v>93</v>
      </c>
      <c r="C22" s="52"/>
      <c r="D22" s="52"/>
      <c r="E22" s="52"/>
      <c r="F22" s="52"/>
      <c r="G22" s="52"/>
      <c r="H22" s="55" t="str">
        <f>IF(COUNTIF(C22:G22,[1]Data!$A$3)&gt;1,[1]Data!$B$2,[1]Data!$B$3)</f>
        <v>No</v>
      </c>
      <c r="I22" s="55"/>
      <c r="J22" s="56"/>
    </row>
    <row r="23" spans="2:10">
      <c r="B23" s="51" t="s">
        <v>94</v>
      </c>
      <c r="C23" s="52"/>
      <c r="D23" s="52"/>
      <c r="E23" s="52"/>
      <c r="F23" s="52"/>
      <c r="G23" s="52"/>
      <c r="H23" s="55" t="str">
        <f>IF(COUNTIF(C23:G23,[1]Data!$A$3)&gt;1,[1]Data!$B$2,[1]Data!$B$3)</f>
        <v>No</v>
      </c>
      <c r="I23" s="55"/>
      <c r="J23" s="56"/>
    </row>
    <row r="24" spans="2:10">
      <c r="B24" s="51" t="s">
        <v>95</v>
      </c>
      <c r="C24" s="52"/>
      <c r="D24" s="52"/>
      <c r="E24" s="52"/>
      <c r="F24" s="52"/>
      <c r="G24" s="52"/>
      <c r="H24" s="55" t="str">
        <f>IF(COUNTIF(C24:G24,[1]Data!$A$3)&gt;1,[1]Data!$B$2,[1]Data!$B$3)</f>
        <v>No</v>
      </c>
      <c r="I24" s="55"/>
      <c r="J24" s="56"/>
    </row>
    <row r="25" spans="2:10">
      <c r="B25" s="51" t="s">
        <v>96</v>
      </c>
      <c r="C25" s="52"/>
      <c r="D25" s="52"/>
      <c r="E25" s="52"/>
      <c r="F25" s="52"/>
      <c r="G25" s="52"/>
      <c r="H25" s="55" t="str">
        <f>IF(COUNTIF(C25:G25,[1]Data!$A$3)&gt;1,[1]Data!$B$2,[1]Data!$B$3)</f>
        <v>No</v>
      </c>
      <c r="I25" s="55"/>
      <c r="J25" s="56"/>
    </row>
    <row r="27" spans="2:10">
      <c r="B27" s="49" t="s">
        <v>9</v>
      </c>
      <c r="C27" s="49"/>
      <c r="D27" s="49"/>
      <c r="E27" s="49"/>
      <c r="F27" s="49"/>
      <c r="G27" s="49"/>
      <c r="H27" s="49"/>
      <c r="I27" s="49"/>
      <c r="J27" s="49"/>
    </row>
    <row r="28" spans="2:10">
      <c r="B28" s="51" t="s">
        <v>92</v>
      </c>
      <c r="C28" s="52"/>
      <c r="D28" s="52"/>
      <c r="E28" s="52"/>
      <c r="F28" s="52"/>
      <c r="G28" s="52"/>
      <c r="H28" s="55" t="str">
        <f>IF(COUNTIF(C28:G28,[1]Data!$A$3)&gt;1,[1]Data!$B$2,[1]Data!$B$3)</f>
        <v>No</v>
      </c>
      <c r="I28" s="55"/>
      <c r="J28" s="56"/>
    </row>
    <row r="29" spans="2:10">
      <c r="B29" s="51" t="s">
        <v>93</v>
      </c>
      <c r="C29" s="52"/>
      <c r="D29" s="52"/>
      <c r="E29" s="52"/>
      <c r="F29" s="52"/>
      <c r="G29" s="52"/>
      <c r="H29" s="55" t="str">
        <f>IF(COUNTIF(C29:G29,[1]Data!$A$3)&gt;1,[1]Data!$B$2,[1]Data!$B$3)</f>
        <v>No</v>
      </c>
      <c r="I29" s="55"/>
      <c r="J29" s="56"/>
    </row>
    <row r="30" spans="2:10">
      <c r="B30" s="51" t="s">
        <v>94</v>
      </c>
      <c r="C30" s="52"/>
      <c r="D30" s="52"/>
      <c r="E30" s="52"/>
      <c r="F30" s="52"/>
      <c r="G30" s="52"/>
      <c r="H30" s="55" t="str">
        <f>IF(COUNTIF(C30:G30,[1]Data!$A$3)&gt;1,[1]Data!$B$2,[1]Data!$B$3)</f>
        <v>No</v>
      </c>
      <c r="I30" s="55"/>
      <c r="J30" s="56"/>
    </row>
    <row r="31" spans="2:10">
      <c r="B31" s="51" t="s">
        <v>95</v>
      </c>
      <c r="C31" s="52"/>
      <c r="D31" s="52"/>
      <c r="E31" s="52"/>
      <c r="F31" s="52"/>
      <c r="G31" s="52"/>
      <c r="H31" s="55" t="str">
        <f>IF(COUNTIF(C31:G31,[1]Data!$A$3)&gt;1,[1]Data!$B$2,[1]Data!$B$3)</f>
        <v>No</v>
      </c>
      <c r="I31" s="55"/>
      <c r="J31" s="56"/>
    </row>
    <row r="32" spans="2:10">
      <c r="B32" s="51" t="s">
        <v>96</v>
      </c>
      <c r="C32" s="52"/>
      <c r="D32" s="52"/>
      <c r="E32" s="52"/>
      <c r="F32" s="52"/>
      <c r="G32" s="52"/>
      <c r="H32" s="55" t="str">
        <f>IF(COUNTIF(C32:G32,[1]Data!$A$3)&gt;1,[1]Data!$B$2,[1]Data!$B$3)</f>
        <v>No</v>
      </c>
      <c r="I32" s="55"/>
      <c r="J32" s="56"/>
    </row>
  </sheetData>
  <mergeCells count="7">
    <mergeCell ref="B5:J5"/>
    <mergeCell ref="B6:J6"/>
    <mergeCell ref="B7:J7"/>
    <mergeCell ref="B11:J11"/>
    <mergeCell ref="B20:J20"/>
    <mergeCell ref="B27:J27"/>
    <mergeCell ref="G12:G16"/>
  </mergeCells>
  <conditionalFormatting sqref="I12:J16 I28:J32">
    <cfRule type="expression" dxfId="0" priority="2">
      <formula>$H12=[1]Data!#REF!</formula>
    </cfRule>
  </conditionalFormatting>
  <conditionalFormatting sqref="I21:J25">
    <cfRule type="expression" dxfId="0" priority="1">
      <formula>$H21=[1]Data!#REF!</formula>
    </cfRule>
  </conditionalFormatting>
  <dataValidations count="1">
    <dataValidation type="list" allowBlank="1" showInputMessage="1" showErrorMessage="1" sqref="I12:I16 I21:I25 I28:I32 C21:G25 C12:F16 C28:G32">
      <formula1>[1]Data!#REF!</formula1>
    </dataValidation>
  </dataValidations>
  <pageMargins left="0.25" right="0.25" top="0.75" bottom="0.75" header="0.3" footer="0.3"/>
  <pageSetup paperSize="5"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I29"/>
  <sheetViews>
    <sheetView showGridLines="0" view="pageBreakPreview" zoomScaleNormal="98" workbookViewId="0">
      <selection activeCell="G26" sqref="G26"/>
    </sheetView>
  </sheetViews>
  <sheetFormatPr defaultColWidth="9.12962962962963" defaultRowHeight="20" customHeight="1"/>
  <cols>
    <col min="1" max="1" width="18.5" style="6" customWidth="1"/>
    <col min="2" max="6" width="18.25" style="6" customWidth="1"/>
    <col min="7" max="7" width="15.3055555555556" style="6" customWidth="1"/>
    <col min="8" max="8" width="15" style="7" customWidth="1"/>
    <col min="9" max="9" width="34.5" style="6" customWidth="1"/>
    <col min="10" max="16384" width="9.12962962962963" style="6"/>
  </cols>
  <sheetData>
    <row r="1" s="4" customFormat="1" customHeight="1" spans="1:9">
      <c r="A1" s="8" t="s">
        <v>97</v>
      </c>
      <c r="B1" s="8"/>
      <c r="C1" s="8"/>
      <c r="D1" s="8"/>
      <c r="E1" s="8"/>
      <c r="F1" s="8"/>
      <c r="G1" s="8"/>
      <c r="H1" s="8"/>
      <c r="I1" s="8"/>
    </row>
    <row r="2" s="4" customFormat="1" customHeight="1" spans="1:9">
      <c r="A2" s="9" t="s">
        <v>98</v>
      </c>
      <c r="B2" s="9"/>
      <c r="C2" s="9"/>
      <c r="D2" s="9"/>
      <c r="E2" s="9"/>
      <c r="F2" s="9"/>
      <c r="G2" s="9"/>
      <c r="H2" s="9"/>
      <c r="I2" s="9"/>
    </row>
    <row r="3" s="4" customFormat="1" customHeight="1" spans="1:9">
      <c r="A3" s="10" t="s">
        <v>99</v>
      </c>
      <c r="B3" s="11"/>
      <c r="C3" s="12" t="s">
        <v>100</v>
      </c>
      <c r="D3" s="13"/>
      <c r="E3" s="10" t="s">
        <v>101</v>
      </c>
      <c r="F3" s="11"/>
      <c r="G3" s="14" t="s">
        <v>102</v>
      </c>
      <c r="H3" s="11" t="s">
        <v>103</v>
      </c>
    </row>
    <row r="4" s="4" customFormat="1" customHeight="1" spans="1:9">
      <c r="A4" s="10" t="s">
        <v>104</v>
      </c>
      <c r="B4" s="11"/>
      <c r="C4" s="12" t="s">
        <v>105</v>
      </c>
      <c r="D4" s="13"/>
      <c r="E4" s="10" t="s">
        <v>106</v>
      </c>
      <c r="F4" s="11"/>
      <c r="G4" s="14" t="s">
        <v>107</v>
      </c>
      <c r="H4" s="13">
        <v>1</v>
      </c>
    </row>
    <row r="5" s="5" customFormat="1" customHeight="1" spans="1:9">
      <c r="A5" s="15" t="s">
        <v>108</v>
      </c>
      <c r="B5" s="16"/>
      <c r="C5" s="16"/>
      <c r="D5" s="16"/>
      <c r="E5" s="16"/>
      <c r="F5" s="16"/>
      <c r="G5" s="16"/>
      <c r="H5" s="16"/>
      <c r="I5" s="16"/>
    </row>
    <row r="6" s="5" customFormat="1" customHeight="1" spans="1:9">
      <c r="A6" s="17" t="s">
        <v>109</v>
      </c>
      <c r="B6" s="18"/>
      <c r="C6" s="18"/>
      <c r="D6" s="18"/>
      <c r="E6" s="18"/>
      <c r="F6" s="18"/>
      <c r="G6" s="18"/>
      <c r="H6" s="18"/>
      <c r="I6" s="18"/>
    </row>
    <row r="7" s="5" customFormat="1" customHeight="1"/>
    <row r="8" s="6" customFormat="1" ht="28" customHeight="1" spans="1:9">
      <c r="A8" s="19" t="s">
        <v>110</v>
      </c>
      <c r="B8" s="20" t="s">
        <v>111</v>
      </c>
      <c r="C8" s="20" t="s">
        <v>112</v>
      </c>
      <c r="D8" s="20" t="s">
        <v>113</v>
      </c>
      <c r="E8" s="21" t="s">
        <v>114</v>
      </c>
      <c r="F8" s="22"/>
      <c r="G8" s="20" t="s">
        <v>115</v>
      </c>
      <c r="H8" s="20" t="s">
        <v>116</v>
      </c>
      <c r="I8" s="15" t="s">
        <v>117</v>
      </c>
    </row>
    <row r="9" s="5" customFormat="1" customHeight="1" spans="1:9">
      <c r="A9" s="23" t="s">
        <v>118</v>
      </c>
      <c r="B9" s="24"/>
      <c r="C9" s="24"/>
      <c r="D9" s="24"/>
      <c r="E9" s="24"/>
      <c r="F9" s="24"/>
      <c r="G9" s="24"/>
      <c r="H9" s="24"/>
      <c r="I9" s="24"/>
    </row>
    <row r="10" customHeight="1" spans="1:9">
      <c r="A10" s="25" t="s">
        <v>119</v>
      </c>
      <c r="B10" s="26"/>
      <c r="C10" s="26"/>
      <c r="D10" s="26"/>
      <c r="E10" s="27"/>
      <c r="F10" s="28"/>
      <c r="G10" s="29"/>
      <c r="H10" s="29"/>
      <c r="I10" s="30"/>
    </row>
    <row r="11" customHeight="1" spans="1:9">
      <c r="A11" s="25" t="s">
        <v>120</v>
      </c>
      <c r="B11" s="26"/>
      <c r="C11" s="26"/>
      <c r="D11" s="26"/>
      <c r="E11" s="27"/>
      <c r="F11" s="28"/>
      <c r="G11" s="29"/>
      <c r="H11" s="29"/>
      <c r="I11" s="30"/>
    </row>
    <row r="12" customHeight="1" spans="1:9">
      <c r="A12" s="25" t="s">
        <v>121</v>
      </c>
      <c r="B12" s="26"/>
      <c r="C12" s="26"/>
      <c r="D12" s="26"/>
      <c r="E12" s="27"/>
      <c r="F12" s="28"/>
      <c r="G12" s="29"/>
      <c r="H12" s="29"/>
      <c r="I12" s="30"/>
    </row>
    <row r="13" customHeight="1" spans="1:9">
      <c r="A13" s="25" t="s">
        <v>122</v>
      </c>
      <c r="B13" s="26"/>
      <c r="C13" s="26"/>
      <c r="D13" s="26"/>
      <c r="E13" s="27"/>
      <c r="F13" s="28"/>
      <c r="G13" s="29"/>
      <c r="H13" s="29"/>
      <c r="I13" s="30"/>
    </row>
    <row r="14" customHeight="1" spans="1:9">
      <c r="A14" s="25" t="s">
        <v>123</v>
      </c>
      <c r="B14" s="26"/>
      <c r="C14" s="26"/>
      <c r="D14" s="26"/>
      <c r="E14" s="27"/>
      <c r="F14" s="28"/>
      <c r="G14" s="29"/>
      <c r="H14" s="29"/>
      <c r="I14" s="30"/>
    </row>
    <row r="15" customHeight="1" spans="1:9">
      <c r="A15" s="31"/>
      <c r="B15" s="32"/>
      <c r="C15" s="32"/>
      <c r="D15" s="32"/>
      <c r="E15" s="32"/>
      <c r="F15" s="32"/>
      <c r="G15" s="32"/>
      <c r="H15" s="32"/>
      <c r="I15" s="33"/>
    </row>
    <row r="16" s="6" customFormat="1" ht="30" customHeight="1" spans="1:9">
      <c r="A16" s="19" t="s">
        <v>124</v>
      </c>
      <c r="B16" s="20" t="s">
        <v>111</v>
      </c>
      <c r="C16" s="20" t="s">
        <v>125</v>
      </c>
      <c r="D16" s="20" t="s">
        <v>126</v>
      </c>
      <c r="E16" s="20" t="s">
        <v>127</v>
      </c>
      <c r="F16" s="20" t="s">
        <v>114</v>
      </c>
      <c r="G16" s="20" t="s">
        <v>115</v>
      </c>
      <c r="H16" s="20" t="s">
        <v>116</v>
      </c>
      <c r="I16" s="15" t="s">
        <v>117</v>
      </c>
    </row>
    <row r="17" customHeight="1" spans="1:9">
      <c r="A17" s="23" t="s">
        <v>128</v>
      </c>
      <c r="B17" s="24"/>
      <c r="C17" s="24"/>
      <c r="D17" s="24"/>
      <c r="E17" s="24"/>
      <c r="F17" s="24"/>
      <c r="G17" s="24"/>
      <c r="H17" s="24"/>
      <c r="I17" s="24"/>
    </row>
    <row r="18" customHeight="1" spans="1:9">
      <c r="A18" s="25" t="s">
        <v>119</v>
      </c>
      <c r="B18" s="26"/>
      <c r="C18" s="26"/>
      <c r="D18" s="26"/>
      <c r="E18" s="27"/>
      <c r="F18" s="28"/>
      <c r="G18" s="29"/>
      <c r="H18" s="29"/>
      <c r="I18" s="30"/>
    </row>
    <row r="19" customHeight="1" spans="1:9">
      <c r="A19" s="25" t="s">
        <v>120</v>
      </c>
      <c r="B19" s="26"/>
      <c r="C19" s="26"/>
      <c r="D19" s="26"/>
      <c r="E19" s="27"/>
      <c r="F19" s="28"/>
      <c r="G19" s="29"/>
      <c r="H19" s="29"/>
      <c r="I19" s="30"/>
    </row>
    <row r="20" customHeight="1" spans="1:9">
      <c r="A20" s="25" t="s">
        <v>121</v>
      </c>
      <c r="B20" s="26"/>
      <c r="C20" s="26"/>
      <c r="D20" s="26"/>
      <c r="E20" s="27"/>
      <c r="F20" s="28"/>
      <c r="G20" s="29"/>
      <c r="H20" s="29"/>
      <c r="I20" s="30"/>
    </row>
    <row r="21" customHeight="1" spans="1:9">
      <c r="A21" s="25" t="s">
        <v>122</v>
      </c>
      <c r="B21" s="26"/>
      <c r="C21" s="26"/>
      <c r="D21" s="26"/>
      <c r="E21" s="27"/>
      <c r="F21" s="28"/>
      <c r="G21" s="29"/>
      <c r="H21" s="29"/>
      <c r="I21" s="30"/>
    </row>
    <row r="22" customHeight="1" spans="1:9">
      <c r="A22" s="25" t="s">
        <v>123</v>
      </c>
      <c r="B22" s="26"/>
      <c r="C22" s="26"/>
      <c r="D22" s="26"/>
      <c r="E22" s="27"/>
      <c r="F22" s="28"/>
      <c r="G22" s="29"/>
      <c r="H22" s="29"/>
      <c r="I22" s="30"/>
    </row>
    <row r="24" customHeight="1" spans="1:9">
      <c r="A24" s="23" t="s">
        <v>129</v>
      </c>
      <c r="B24" s="24"/>
      <c r="C24" s="24"/>
      <c r="D24" s="24"/>
      <c r="E24" s="24"/>
      <c r="F24" s="24"/>
      <c r="G24" s="24"/>
      <c r="H24" s="24"/>
      <c r="I24" s="24"/>
    </row>
    <row r="25" customHeight="1" spans="1:9">
      <c r="A25" s="25" t="s">
        <v>119</v>
      </c>
      <c r="B25" s="26"/>
      <c r="C25" s="26"/>
      <c r="D25" s="26"/>
      <c r="E25" s="27"/>
      <c r="F25" s="28"/>
      <c r="G25" s="29"/>
      <c r="H25" s="29"/>
      <c r="I25" s="30"/>
    </row>
    <row r="26" customHeight="1" spans="1:9">
      <c r="A26" s="25" t="s">
        <v>120</v>
      </c>
      <c r="B26" s="26"/>
      <c r="C26" s="26"/>
      <c r="D26" s="26"/>
      <c r="E26" s="27"/>
      <c r="F26" s="28"/>
      <c r="G26" s="29"/>
      <c r="H26" s="29"/>
      <c r="I26" s="30"/>
    </row>
    <row r="27" customHeight="1" spans="1:9">
      <c r="A27" s="25" t="s">
        <v>121</v>
      </c>
      <c r="B27" s="26"/>
      <c r="C27" s="26"/>
      <c r="D27" s="26"/>
      <c r="E27" s="27"/>
      <c r="F27" s="28"/>
      <c r="G27" s="29"/>
      <c r="H27" s="29"/>
      <c r="I27" s="30"/>
    </row>
    <row r="28" customHeight="1" spans="1:9">
      <c r="A28" s="25" t="s">
        <v>122</v>
      </c>
      <c r="B28" s="26"/>
      <c r="C28" s="26"/>
      <c r="D28" s="26"/>
      <c r="E28" s="27"/>
      <c r="F28" s="28"/>
      <c r="G28" s="29"/>
      <c r="H28" s="29"/>
      <c r="I28" s="30"/>
    </row>
    <row r="29" customHeight="1" spans="1:9">
      <c r="A29" s="25" t="s">
        <v>123</v>
      </c>
      <c r="B29" s="26"/>
      <c r="C29" s="26"/>
      <c r="D29" s="26"/>
      <c r="E29" s="27"/>
      <c r="F29" s="28"/>
      <c r="G29" s="29"/>
      <c r="H29" s="29"/>
      <c r="I29" s="30"/>
    </row>
  </sheetData>
  <mergeCells count="23">
    <mergeCell ref="A1:I1"/>
    <mergeCell ref="A2:I2"/>
    <mergeCell ref="A5:I5"/>
    <mergeCell ref="A6:I6"/>
    <mergeCell ref="E8:F8"/>
    <mergeCell ref="A9:I9"/>
    <mergeCell ref="E10:F10"/>
    <mergeCell ref="E11:F11"/>
    <mergeCell ref="E12:F12"/>
    <mergeCell ref="E13:F13"/>
    <mergeCell ref="E14:F14"/>
    <mergeCell ref="A17:I17"/>
    <mergeCell ref="E18:F18"/>
    <mergeCell ref="E19:F19"/>
    <mergeCell ref="E20:F20"/>
    <mergeCell ref="E21:F21"/>
    <mergeCell ref="E22:F22"/>
    <mergeCell ref="A24:I24"/>
    <mergeCell ref="E25:F25"/>
    <mergeCell ref="E26:F26"/>
    <mergeCell ref="E27:F27"/>
    <mergeCell ref="E28:F28"/>
    <mergeCell ref="E29:F29"/>
  </mergeCells>
  <dataValidations count="2">
    <dataValidation type="list" allowBlank="1" showInputMessage="1" showErrorMessage="1" sqref="B12:F14 B10:F11 B18:F22 B25:F29">
      <formula1>"-,√"</formula1>
    </dataValidation>
    <dataValidation type="list" allowBlank="1" showInputMessage="1" showErrorMessage="1" sqref="G10:H14 G25:H29 G18:H22">
      <formula1>Data!$B$2:$B$3</formula1>
    </dataValidation>
  </dataValidations>
  <pageMargins left="0.708333333333333" right="0.708333333333333" top="0.747916666666667" bottom="0.747916666666667" header="0.314583333333333" footer="0.314583333333333"/>
  <pageSetup paperSize="5" scale="90" orientation="landscape" blackAndWhite="1" horizontalDpi="600"/>
  <headerFooter>
    <oddFooter>&amp;C&amp;P/&amp;N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dimension ref="A1:B3"/>
  <sheetViews>
    <sheetView workbookViewId="0">
      <selection activeCell="A2" sqref="A2"/>
    </sheetView>
  </sheetViews>
  <sheetFormatPr defaultColWidth="8.87962962962963" defaultRowHeight="13.2" outlineLevelRow="2" outlineLevelCol="1"/>
  <cols>
    <col min="1" max="16384" width="8.87962962962963" style="1"/>
  </cols>
  <sheetData>
    <row r="1" spans="1:2">
      <c r="A1" s="2" t="s">
        <v>130</v>
      </c>
      <c r="B1" s="2" t="s">
        <v>131</v>
      </c>
    </row>
    <row r="2" spans="1:2">
      <c r="A2" s="3" t="s">
        <v>23</v>
      </c>
      <c r="B2" s="2" t="s">
        <v>132</v>
      </c>
    </row>
    <row r="3" spans="1:2">
      <c r="A3" s="3" t="s">
        <v>24</v>
      </c>
      <c r="B3" s="2" t="s">
        <v>133</v>
      </c>
    </row>
  </sheetData>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B8"/>
  <sheetViews>
    <sheetView workbookViewId="0">
      <selection activeCell="A1" sqref="A1"/>
    </sheetView>
  </sheetViews>
  <sheetFormatPr defaultColWidth="9" defaultRowHeight="14.4" outlineLevelRow="7" outlineLevelCol="1"/>
  <sheetData>
    <row r="1" spans="1:2">
      <c r="A1" t="s">
        <v>134</v>
      </c>
      <c r="B1" t="s">
        <v>135</v>
      </c>
    </row>
    <row r="2" spans="1:2">
      <c r="A2" t="s">
        <v>136</v>
      </c>
      <c r="B2" t="s">
        <v>137</v>
      </c>
    </row>
    <row r="3" spans="1:2">
      <c r="A3" t="s">
        <v>138</v>
      </c>
      <c r="B3" t="s">
        <v>139</v>
      </c>
    </row>
    <row r="4" spans="1:2">
      <c r="A4" t="s">
        <v>140</v>
      </c>
      <c r="B4" t="s">
        <v>141</v>
      </c>
    </row>
    <row r="5" spans="1:2">
      <c r="A5" t="s">
        <v>142</v>
      </c>
      <c r="B5" t="s">
        <v>143</v>
      </c>
    </row>
    <row r="6" spans="1:2">
      <c r="A6" t="s">
        <v>144</v>
      </c>
      <c r="B6" t="s">
        <v>145</v>
      </c>
    </row>
    <row r="7" spans="1:2">
      <c r="A7" t="s">
        <v>146</v>
      </c>
      <c r="B7" t="s">
        <v>147</v>
      </c>
    </row>
    <row r="8" spans="1:2">
      <c r="A8" t="s">
        <v>148</v>
      </c>
      <c r="B8" t="s">
        <v>149</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E4C0AD13-5E42-4107-B073-269FE9453942}">
  <ds:schemaRefs/>
</ds:datastoreItem>
</file>

<file path=customXml/itemProps2.xml><?xml version="1.0" encoding="utf-8"?>
<ds:datastoreItem xmlns:ds="http://schemas.openxmlformats.org/officeDocument/2006/customXml" ds:itemID="{3DD4250E-39C0-4C30-8BBF-5EDBC282C69A}">
  <ds:schemaRefs/>
</ds:datastoreItem>
</file>

<file path=customXml/itemProps3.xml><?xml version="1.0" encoding="utf-8"?>
<ds:datastoreItem xmlns:ds="http://schemas.openxmlformats.org/officeDocument/2006/customXml" ds:itemID="{12685F84-D32A-4F14-9FD7-9B831D04B41B}">
  <ds:schemaRefs/>
</ds:datastoreItem>
</file>

<file path=customXml/itemProps4.xml><?xml version="1.0" encoding="utf-8"?>
<ds:datastoreItem xmlns:ds="http://schemas.openxmlformats.org/officeDocument/2006/customXml" ds:itemID="{817658C2-C136-424C-9E66-E55BD10647D3}">
  <ds:schemaRefs/>
</ds:datastoreItem>
</file>

<file path=docProps/app.xml><?xml version="1.0" encoding="utf-8"?>
<Properties xmlns="http://schemas.openxmlformats.org/officeDocument/2006/extended-properties" xmlns:vt="http://schemas.openxmlformats.org/officeDocument/2006/docPropsVTypes">
  <Company>Grant Thornton LLP</Company>
  <Application>Microsoft Excel</Application>
  <HeadingPairs>
    <vt:vector size="2" baseType="variant">
      <vt:variant>
        <vt:lpstr>工作表</vt:lpstr>
      </vt:variant>
      <vt:variant>
        <vt:i4>6</vt:i4>
      </vt:variant>
    </vt:vector>
  </HeadingPairs>
  <TitlesOfParts>
    <vt:vector size="6" baseType="lpstr">
      <vt:lpstr>Instructions</vt:lpstr>
      <vt:lpstr>指引（填写示例）</vt:lpstr>
      <vt:lpstr>ITGC SoD analysis</vt:lpstr>
      <vt:lpstr>IT一般控制职责分离分析模板</vt:lpstr>
      <vt:lpstr>Data</vt:lpstr>
      <vt:lpstr>GT_Custom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Thornton LLP</dc:creator>
  <cp:lastModifiedBy>小坦克2号^O^</cp:lastModifiedBy>
  <dcterms:created xsi:type="dcterms:W3CDTF">2015-09-29T20:35:00Z</dcterms:created>
  <dcterms:modified xsi:type="dcterms:W3CDTF">2025-11-03T01:56:30Z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0x0101002F336B2D3F1F0B47B83A799D32CBD522</vt:lpwstr>
  </property>
  <property fmtid="{D5CDD505-2E9C-101B-9397-08002B2CF9AE}" pid="3" name="_dlc_DocIdItemGuid">
    <vt:lpwstr>84da184d-19e7-4cb1-bc2f-b723302b8545</vt:lpwstr>
  </property>
  <property fmtid="{D5CDD505-2E9C-101B-9397-08002B2CF9AE}" pid="4" name="ICV">
    <vt:lpwstr>8D16F386EA9D45FEB290BECDCB137647_12</vt:lpwstr>
  </property>
  <property fmtid="{D5CDD505-2E9C-101B-9397-08002B2CF9AE}" pid="5" name="KSOProductBuildVer">
    <vt:lpwstr>2052-12.1.0.23542</vt:lpwstr>
  </property>
</Properties>
</file>